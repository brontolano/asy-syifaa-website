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960654C330FD7DF/Documents/Data Base Master/"/>
    </mc:Choice>
  </mc:AlternateContent>
  <xr:revisionPtr revIDLastSave="6657" documentId="8_{D5DF5E00-D2BC-497D-9B34-BA7D1CC280F4}" xr6:coauthVersionLast="47" xr6:coauthVersionMax="47" xr10:uidLastSave="{B6A7205A-DD68-4FE4-8CB4-3E57B7EF1ADA}"/>
  <bookViews>
    <workbookView xWindow="-120" yWindow="-120" windowWidth="20730" windowHeight="11040" tabRatio="599" xr2:uid="{00000000-000D-0000-FFFF-FFFF00000000}"/>
  </bookViews>
  <sheets>
    <sheet name="MASTER" sheetId="1" r:id="rId1"/>
    <sheet name="Sheet3" sheetId="8" r:id="rId2"/>
    <sheet name="Emis" sheetId="6" r:id="rId3"/>
    <sheet name="Sheet4" sheetId="7" r:id="rId4"/>
    <sheet name="Sheet1" sheetId="3" r:id="rId5"/>
    <sheet name="Sheet2" sheetId="5" r:id="rId6"/>
    <sheet name="YANG NYOBLOS " sheetId="4" r:id="rId7"/>
  </sheets>
  <definedNames>
    <definedName name="_xlnm._FilterDatabase" localSheetId="0" hidden="1">MASTER!$A$7:$CK$687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508" i="1" l="1"/>
  <c r="CM508" i="1"/>
  <c r="A637" i="1"/>
  <c r="A638" i="1"/>
  <c r="A651" i="1"/>
  <c r="A665" i="1"/>
  <c r="A667" i="1"/>
  <c r="A676" i="1"/>
  <c r="A685" i="1"/>
  <c r="A686" i="1"/>
  <c r="A596" i="1"/>
  <c r="A609" i="1"/>
  <c r="A610" i="1"/>
  <c r="A611" i="1"/>
  <c r="A613" i="1"/>
  <c r="A616" i="1"/>
  <c r="A628" i="1"/>
  <c r="A632" i="1"/>
  <c r="A639" i="1"/>
  <c r="A643" i="1"/>
  <c r="A644" i="1"/>
  <c r="A647" i="1"/>
  <c r="A648" i="1"/>
  <c r="A653" i="1"/>
  <c r="A654" i="1"/>
  <c r="A655" i="1"/>
  <c r="A656" i="1"/>
  <c r="A658" i="1"/>
  <c r="A662" i="1"/>
  <c r="A663" i="1"/>
  <c r="A669" i="1"/>
  <c r="A671" i="1"/>
  <c r="A674" i="1"/>
  <c r="A678" i="1"/>
  <c r="A679" i="1"/>
  <c r="A683" i="1"/>
  <c r="A684" i="1"/>
  <c r="A636" i="1"/>
  <c r="A591" i="1"/>
  <c r="A592" i="1"/>
  <c r="A597" i="1"/>
  <c r="A598" i="1"/>
  <c r="A601" i="1"/>
  <c r="A603" i="1"/>
  <c r="A604" i="1"/>
  <c r="A614" i="1"/>
  <c r="A617" i="1"/>
  <c r="A618" i="1"/>
  <c r="A619" i="1"/>
  <c r="A625" i="1"/>
  <c r="A626" i="1"/>
  <c r="A630" i="1"/>
  <c r="A634" i="1"/>
  <c r="A635" i="1"/>
  <c r="A642" i="1"/>
  <c r="A649" i="1"/>
  <c r="A650" i="1"/>
  <c r="A652" i="1"/>
  <c r="A657" i="1"/>
  <c r="A661" i="1"/>
  <c r="A670" i="1"/>
  <c r="A673" i="1"/>
  <c r="A660" i="1"/>
  <c r="A680" i="1"/>
  <c r="A682" i="1"/>
  <c r="A593" i="1"/>
  <c r="A599" i="1"/>
  <c r="A600" i="1"/>
  <c r="A602" i="1"/>
  <c r="A605" i="1"/>
  <c r="A606" i="1"/>
  <c r="A607" i="1"/>
  <c r="A608" i="1"/>
  <c r="A612" i="1"/>
  <c r="A620" i="1"/>
  <c r="A622" i="1"/>
  <c r="A623" i="1"/>
  <c r="A624" i="1"/>
  <c r="A627" i="1"/>
  <c r="A631" i="1"/>
  <c r="A629" i="1"/>
  <c r="A633" i="1"/>
  <c r="A640" i="1"/>
  <c r="A641" i="1"/>
  <c r="A645" i="1"/>
  <c r="A646" i="1"/>
  <c r="A659" i="1"/>
  <c r="A664" i="1"/>
  <c r="A666" i="1"/>
  <c r="A668" i="1"/>
  <c r="A672" i="1"/>
  <c r="A675" i="1"/>
  <c r="A677" i="1"/>
  <c r="A681" i="1"/>
  <c r="A588" i="1"/>
  <c r="A687" i="1"/>
  <c r="CL637" i="1"/>
  <c r="CL638" i="1"/>
  <c r="CL651" i="1"/>
  <c r="CL665" i="1"/>
  <c r="CL667" i="1"/>
  <c r="CL676" i="1"/>
  <c r="CL685" i="1"/>
  <c r="CL686" i="1"/>
  <c r="CL596" i="1"/>
  <c r="CL609" i="1"/>
  <c r="CL610" i="1"/>
  <c r="CL611" i="1"/>
  <c r="CL613" i="1"/>
  <c r="CL616" i="1"/>
  <c r="CL628" i="1"/>
  <c r="CL632" i="1"/>
  <c r="CL639" i="1"/>
  <c r="CL643" i="1"/>
  <c r="CL644" i="1"/>
  <c r="CL647" i="1"/>
  <c r="CL648" i="1"/>
  <c r="CL653" i="1"/>
  <c r="CL654" i="1"/>
  <c r="CL655" i="1"/>
  <c r="CL656" i="1"/>
  <c r="CL658" i="1"/>
  <c r="CL662" i="1"/>
  <c r="CL663" i="1"/>
  <c r="CL669" i="1"/>
  <c r="CL671" i="1"/>
  <c r="CL674" i="1"/>
  <c r="CL678" i="1"/>
  <c r="CL679" i="1"/>
  <c r="CL683" i="1"/>
  <c r="CL684" i="1"/>
  <c r="CL636" i="1"/>
  <c r="CL591" i="1"/>
  <c r="CL592" i="1"/>
  <c r="CL597" i="1"/>
  <c r="CL598" i="1"/>
  <c r="CL601" i="1"/>
  <c r="CL603" i="1"/>
  <c r="CL604" i="1"/>
  <c r="CL614" i="1"/>
  <c r="CL617" i="1"/>
  <c r="CL618" i="1"/>
  <c r="CL619" i="1"/>
  <c r="CL625" i="1"/>
  <c r="CL626" i="1"/>
  <c r="CL630" i="1"/>
  <c r="CL634" i="1"/>
  <c r="CL635" i="1"/>
  <c r="CL642" i="1"/>
  <c r="CL649" i="1"/>
  <c r="CL650" i="1"/>
  <c r="CL652" i="1"/>
  <c r="CL657" i="1"/>
  <c r="CL661" i="1"/>
  <c r="CL670" i="1"/>
  <c r="CL673" i="1"/>
  <c r="CL660" i="1"/>
  <c r="CL680" i="1"/>
  <c r="CL682" i="1"/>
  <c r="CL593" i="1"/>
  <c r="CL599" i="1"/>
  <c r="CL600" i="1"/>
  <c r="CL602" i="1"/>
  <c r="CL605" i="1"/>
  <c r="CL606" i="1"/>
  <c r="CL607" i="1"/>
  <c r="CL608" i="1"/>
  <c r="CL612" i="1"/>
  <c r="CL620" i="1"/>
  <c r="CL622" i="1"/>
  <c r="CL623" i="1"/>
  <c r="CL624" i="1"/>
  <c r="CL627" i="1"/>
  <c r="CL631" i="1"/>
  <c r="CL629" i="1"/>
  <c r="CL633" i="1"/>
  <c r="CL640" i="1"/>
  <c r="CL641" i="1"/>
  <c r="CL645" i="1"/>
  <c r="CL646" i="1"/>
  <c r="CL659" i="1"/>
  <c r="CL664" i="1"/>
  <c r="CL666" i="1"/>
  <c r="CL668" i="1"/>
  <c r="CL672" i="1"/>
  <c r="CL675" i="1"/>
  <c r="CL677" i="1"/>
  <c r="CL681" i="1"/>
  <c r="CL588" i="1"/>
  <c r="CL687" i="1"/>
  <c r="CM637" i="1"/>
  <c r="CM638" i="1"/>
  <c r="CM651" i="1"/>
  <c r="CM665" i="1"/>
  <c r="CM667" i="1"/>
  <c r="CM676" i="1"/>
  <c r="CM685" i="1"/>
  <c r="CM686" i="1"/>
  <c r="CM596" i="1"/>
  <c r="CM609" i="1"/>
  <c r="CM610" i="1"/>
  <c r="CM611" i="1"/>
  <c r="CM613" i="1"/>
  <c r="CM616" i="1"/>
  <c r="CM628" i="1"/>
  <c r="CM632" i="1"/>
  <c r="CM639" i="1"/>
  <c r="CM643" i="1"/>
  <c r="CM644" i="1"/>
  <c r="CM647" i="1"/>
  <c r="CM648" i="1"/>
  <c r="CM653" i="1"/>
  <c r="CM654" i="1"/>
  <c r="CM655" i="1"/>
  <c r="CM656" i="1"/>
  <c r="CM658" i="1"/>
  <c r="CM662" i="1"/>
  <c r="CM663" i="1"/>
  <c r="CM669" i="1"/>
  <c r="CM671" i="1"/>
  <c r="CM674" i="1"/>
  <c r="CM678" i="1"/>
  <c r="CM679" i="1"/>
  <c r="CM683" i="1"/>
  <c r="CM684" i="1"/>
  <c r="CM636" i="1"/>
  <c r="CM591" i="1"/>
  <c r="CM592" i="1"/>
  <c r="CM597" i="1"/>
  <c r="CM598" i="1"/>
  <c r="CM601" i="1"/>
  <c r="CM603" i="1"/>
  <c r="CM604" i="1"/>
  <c r="CM614" i="1"/>
  <c r="CM617" i="1"/>
  <c r="CM618" i="1"/>
  <c r="CM619" i="1"/>
  <c r="CM625" i="1"/>
  <c r="CM626" i="1"/>
  <c r="CM630" i="1"/>
  <c r="CM634" i="1"/>
  <c r="CM635" i="1"/>
  <c r="CM642" i="1"/>
  <c r="CM649" i="1"/>
  <c r="CM650" i="1"/>
  <c r="CM652" i="1"/>
  <c r="CM657" i="1"/>
  <c r="CM661" i="1"/>
  <c r="CM670" i="1"/>
  <c r="CM673" i="1"/>
  <c r="CM660" i="1"/>
  <c r="CM680" i="1"/>
  <c r="CM682" i="1"/>
  <c r="CM593" i="1"/>
  <c r="CM599" i="1"/>
  <c r="CM600" i="1"/>
  <c r="CM602" i="1"/>
  <c r="CM605" i="1"/>
  <c r="CM606" i="1"/>
  <c r="CM607" i="1"/>
  <c r="CM608" i="1"/>
  <c r="CM612" i="1"/>
  <c r="CM620" i="1"/>
  <c r="CM622" i="1"/>
  <c r="CM623" i="1"/>
  <c r="CM624" i="1"/>
  <c r="CM627" i="1"/>
  <c r="CM631" i="1"/>
  <c r="CM629" i="1"/>
  <c r="CM633" i="1"/>
  <c r="CM640" i="1"/>
  <c r="CM641" i="1"/>
  <c r="CM645" i="1"/>
  <c r="CM646" i="1"/>
  <c r="CM659" i="1"/>
  <c r="CM664" i="1"/>
  <c r="CM666" i="1"/>
  <c r="CM668" i="1"/>
  <c r="CM672" i="1"/>
  <c r="CM675" i="1"/>
  <c r="CM677" i="1"/>
  <c r="CM681" i="1"/>
  <c r="CM588" i="1"/>
  <c r="CM687" i="1"/>
  <c r="A516" i="1"/>
  <c r="A482" i="1"/>
  <c r="A508" i="1"/>
  <c r="A479" i="1"/>
  <c r="A483" i="1"/>
  <c r="A517" i="1"/>
  <c r="A518" i="1"/>
  <c r="A511" i="1"/>
  <c r="A506" i="1"/>
  <c r="A521" i="1"/>
  <c r="A510" i="1"/>
  <c r="A512" i="1"/>
  <c r="A513" i="1"/>
  <c r="A514" i="1"/>
  <c r="A485" i="1"/>
  <c r="A522" i="1"/>
  <c r="A519" i="1"/>
  <c r="A515" i="1"/>
  <c r="A481" i="1"/>
  <c r="A520" i="1"/>
  <c r="A523" i="1"/>
  <c r="A594" i="1"/>
  <c r="A595" i="1"/>
  <c r="A509" i="1"/>
  <c r="A504" i="1"/>
  <c r="A484" i="1"/>
  <c r="A615" i="1"/>
  <c r="A505" i="1"/>
  <c r="A480" i="1"/>
  <c r="A621" i="1"/>
  <c r="A507" i="1"/>
  <c r="CL516" i="1"/>
  <c r="CL482" i="1"/>
  <c r="CL479" i="1"/>
  <c r="CL483" i="1"/>
  <c r="CL517" i="1"/>
  <c r="CL518" i="1"/>
  <c r="CL511" i="1"/>
  <c r="CL506" i="1"/>
  <c r="CL521" i="1"/>
  <c r="CL510" i="1"/>
  <c r="CL512" i="1"/>
  <c r="CL513" i="1"/>
  <c r="CL514" i="1"/>
  <c r="CL485" i="1"/>
  <c r="CL522" i="1"/>
  <c r="CL519" i="1"/>
  <c r="CL515" i="1"/>
  <c r="CL481" i="1"/>
  <c r="CL520" i="1"/>
  <c r="CL523" i="1"/>
  <c r="CL594" i="1"/>
  <c r="CL595" i="1"/>
  <c r="CL509" i="1"/>
  <c r="CL504" i="1"/>
  <c r="CL484" i="1"/>
  <c r="CL615" i="1"/>
  <c r="CL505" i="1"/>
  <c r="CL480" i="1"/>
  <c r="CL621" i="1"/>
  <c r="CL507" i="1"/>
  <c r="CM516" i="1"/>
  <c r="CM482" i="1"/>
  <c r="CM479" i="1"/>
  <c r="CM483" i="1"/>
  <c r="CM517" i="1"/>
  <c r="CM518" i="1"/>
  <c r="CM511" i="1"/>
  <c r="CM506" i="1"/>
  <c r="CM521" i="1"/>
  <c r="CM510" i="1"/>
  <c r="CM512" i="1"/>
  <c r="CM513" i="1"/>
  <c r="CM514" i="1"/>
  <c r="CM485" i="1"/>
  <c r="CM522" i="1"/>
  <c r="CM519" i="1"/>
  <c r="CM515" i="1"/>
  <c r="CM481" i="1"/>
  <c r="CM520" i="1"/>
  <c r="CM523" i="1"/>
  <c r="CM594" i="1"/>
  <c r="CM595" i="1"/>
  <c r="CM509" i="1"/>
  <c r="CM504" i="1"/>
  <c r="CM484" i="1"/>
  <c r="CM615" i="1"/>
  <c r="CM505" i="1"/>
  <c r="CM480" i="1"/>
  <c r="CM621" i="1"/>
  <c r="CM507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527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176" i="1"/>
  <c r="CM177" i="1"/>
  <c r="CM178" i="1"/>
  <c r="CM179" i="1"/>
  <c r="CM180" i="1"/>
  <c r="CM181" i="1"/>
  <c r="CM182" i="1"/>
  <c r="CM183" i="1"/>
  <c r="CM184" i="1"/>
  <c r="CM185" i="1"/>
  <c r="CM186" i="1"/>
  <c r="CM187" i="1"/>
  <c r="CM188" i="1"/>
  <c r="CM189" i="1"/>
  <c r="CM190" i="1"/>
  <c r="CM191" i="1"/>
  <c r="CM192" i="1"/>
  <c r="CM193" i="1"/>
  <c r="CM194" i="1"/>
  <c r="CM195" i="1"/>
  <c r="CM196" i="1"/>
  <c r="CM197" i="1"/>
  <c r="CM198" i="1"/>
  <c r="CM199" i="1"/>
  <c r="CM200" i="1"/>
  <c r="CM201" i="1"/>
  <c r="CM202" i="1"/>
  <c r="CM203" i="1"/>
  <c r="CM204" i="1"/>
  <c r="CM205" i="1"/>
  <c r="CM206" i="1"/>
  <c r="CM207" i="1"/>
  <c r="CM208" i="1"/>
  <c r="CM209" i="1"/>
  <c r="CM210" i="1"/>
  <c r="CM211" i="1"/>
  <c r="CM212" i="1"/>
  <c r="CM213" i="1"/>
  <c r="CM214" i="1"/>
  <c r="CM215" i="1"/>
  <c r="CM216" i="1"/>
  <c r="CM217" i="1"/>
  <c r="CM218" i="1"/>
  <c r="CM219" i="1"/>
  <c r="CM220" i="1"/>
  <c r="CM221" i="1"/>
  <c r="CM222" i="1"/>
  <c r="CM223" i="1"/>
  <c r="CM224" i="1"/>
  <c r="CM225" i="1"/>
  <c r="CM226" i="1"/>
  <c r="CM227" i="1"/>
  <c r="CM228" i="1"/>
  <c r="CM229" i="1"/>
  <c r="CM230" i="1"/>
  <c r="CM231" i="1"/>
  <c r="CM232" i="1"/>
  <c r="CM233" i="1"/>
  <c r="CM234" i="1"/>
  <c r="CM235" i="1"/>
  <c r="CM236" i="1"/>
  <c r="CM237" i="1"/>
  <c r="CM238" i="1"/>
  <c r="CM239" i="1"/>
  <c r="CM240" i="1"/>
  <c r="CM241" i="1"/>
  <c r="CM242" i="1"/>
  <c r="CM243" i="1"/>
  <c r="CM244" i="1"/>
  <c r="CM245" i="1"/>
  <c r="CM246" i="1"/>
  <c r="CM247" i="1"/>
  <c r="CM248" i="1"/>
  <c r="CM249" i="1"/>
  <c r="CM250" i="1"/>
  <c r="CM251" i="1"/>
  <c r="CM252" i="1"/>
  <c r="CM253" i="1"/>
  <c r="CM254" i="1"/>
  <c r="CM255" i="1"/>
  <c r="CM256" i="1"/>
  <c r="CM257" i="1"/>
  <c r="CM258" i="1"/>
  <c r="CM259" i="1"/>
  <c r="CM260" i="1"/>
  <c r="CM261" i="1"/>
  <c r="CM262" i="1"/>
  <c r="CM263" i="1"/>
  <c r="CM264" i="1"/>
  <c r="CM265" i="1"/>
  <c r="CM266" i="1"/>
  <c r="CM267" i="1"/>
  <c r="CM268" i="1"/>
  <c r="CM269" i="1"/>
  <c r="CM270" i="1"/>
  <c r="CM271" i="1"/>
  <c r="CM272" i="1"/>
  <c r="CM273" i="1"/>
  <c r="CM274" i="1"/>
  <c r="CM275" i="1"/>
  <c r="CM276" i="1"/>
  <c r="CM277" i="1"/>
  <c r="CM278" i="1"/>
  <c r="CM279" i="1"/>
  <c r="CM280" i="1"/>
  <c r="CM281" i="1"/>
  <c r="CM282" i="1"/>
  <c r="CM283" i="1"/>
  <c r="CM284" i="1"/>
  <c r="CM285" i="1"/>
  <c r="CM286" i="1"/>
  <c r="CM287" i="1"/>
  <c r="CM288" i="1"/>
  <c r="CM289" i="1"/>
  <c r="CM290" i="1"/>
  <c r="CM291" i="1"/>
  <c r="CM292" i="1"/>
  <c r="CM293" i="1"/>
  <c r="CM294" i="1"/>
  <c r="CM295" i="1"/>
  <c r="CM296" i="1"/>
  <c r="CM297" i="1"/>
  <c r="CM298" i="1"/>
  <c r="CM299" i="1"/>
  <c r="CM300" i="1"/>
  <c r="CM301" i="1"/>
  <c r="CM302" i="1"/>
  <c r="CM303" i="1"/>
  <c r="CM304" i="1"/>
  <c r="CM305" i="1"/>
  <c r="CM306" i="1"/>
  <c r="CM307" i="1"/>
  <c r="CM308" i="1"/>
  <c r="CM309" i="1"/>
  <c r="CM310" i="1"/>
  <c r="CM311" i="1"/>
  <c r="CM312" i="1"/>
  <c r="CM313" i="1"/>
  <c r="CM314" i="1"/>
  <c r="CM315" i="1"/>
  <c r="CM316" i="1"/>
  <c r="CM317" i="1"/>
  <c r="CM318" i="1"/>
  <c r="CM319" i="1"/>
  <c r="CM320" i="1"/>
  <c r="CM321" i="1"/>
  <c r="CM322" i="1"/>
  <c r="CM323" i="1"/>
  <c r="CM324" i="1"/>
  <c r="CM325" i="1"/>
  <c r="CM326" i="1"/>
  <c r="CM327" i="1"/>
  <c r="CM328" i="1"/>
  <c r="CM329" i="1"/>
  <c r="CM330" i="1"/>
  <c r="CM331" i="1"/>
  <c r="CM332" i="1"/>
  <c r="CM333" i="1"/>
  <c r="CM334" i="1"/>
  <c r="CM335" i="1"/>
  <c r="CM336" i="1"/>
  <c r="CM337" i="1"/>
  <c r="CM338" i="1"/>
  <c r="CM339" i="1"/>
  <c r="CM340" i="1"/>
  <c r="CM341" i="1"/>
  <c r="CM342" i="1"/>
  <c r="CM343" i="1"/>
  <c r="CM344" i="1"/>
  <c r="CM345" i="1"/>
  <c r="CM346" i="1"/>
  <c r="CM347" i="1"/>
  <c r="CM348" i="1"/>
  <c r="CM349" i="1"/>
  <c r="CM350" i="1"/>
  <c r="CM351" i="1"/>
  <c r="CM352" i="1"/>
  <c r="CM353" i="1"/>
  <c r="CM354" i="1"/>
  <c r="CM355" i="1"/>
  <c r="CM356" i="1"/>
  <c r="CM357" i="1"/>
  <c r="CM358" i="1"/>
  <c r="CM359" i="1"/>
  <c r="CM360" i="1"/>
  <c r="CM361" i="1"/>
  <c r="CM362" i="1"/>
  <c r="CM363" i="1"/>
  <c r="CM364" i="1"/>
  <c r="CM365" i="1"/>
  <c r="CM366" i="1"/>
  <c r="CM367" i="1"/>
  <c r="CM368" i="1"/>
  <c r="CM369" i="1"/>
  <c r="CM370" i="1"/>
  <c r="CM371" i="1"/>
  <c r="CM372" i="1"/>
  <c r="CM373" i="1"/>
  <c r="CM374" i="1"/>
  <c r="CM375" i="1"/>
  <c r="CM376" i="1"/>
  <c r="CM377" i="1"/>
  <c r="CM378" i="1"/>
  <c r="CM379" i="1"/>
  <c r="CM380" i="1"/>
  <c r="CM381" i="1"/>
  <c r="CM382" i="1"/>
  <c r="CM383" i="1"/>
  <c r="CM384" i="1"/>
  <c r="CM385" i="1"/>
  <c r="CM386" i="1"/>
  <c r="CM387" i="1"/>
  <c r="CM388" i="1"/>
  <c r="CM389" i="1"/>
  <c r="CM390" i="1"/>
  <c r="CM391" i="1"/>
  <c r="CM392" i="1"/>
  <c r="CM393" i="1"/>
  <c r="CM394" i="1"/>
  <c r="CM395" i="1"/>
  <c r="CM396" i="1"/>
  <c r="CM397" i="1"/>
  <c r="CM398" i="1"/>
  <c r="CM399" i="1"/>
  <c r="CM400" i="1"/>
  <c r="CM401" i="1"/>
  <c r="CM402" i="1"/>
  <c r="CM403" i="1"/>
  <c r="CM404" i="1"/>
  <c r="CM405" i="1"/>
  <c r="CM406" i="1"/>
  <c r="CM407" i="1"/>
  <c r="CM408" i="1"/>
  <c r="CM409" i="1"/>
  <c r="CM410" i="1"/>
  <c r="CM411" i="1"/>
  <c r="CM412" i="1"/>
  <c r="CM413" i="1"/>
  <c r="CM414" i="1"/>
  <c r="CM415" i="1"/>
  <c r="CM416" i="1"/>
  <c r="CM417" i="1"/>
  <c r="CM418" i="1"/>
  <c r="CM419" i="1"/>
  <c r="CM420" i="1"/>
  <c r="CM421" i="1"/>
  <c r="CM422" i="1"/>
  <c r="CM423" i="1"/>
  <c r="CM424" i="1"/>
  <c r="CM425" i="1"/>
  <c r="CM426" i="1"/>
  <c r="CM427" i="1"/>
  <c r="CM428" i="1"/>
  <c r="CM429" i="1"/>
  <c r="CM430" i="1"/>
  <c r="CM431" i="1"/>
  <c r="CM432" i="1"/>
  <c r="CM433" i="1"/>
  <c r="CM434" i="1"/>
  <c r="CM435" i="1"/>
  <c r="CM436" i="1"/>
  <c r="CM437" i="1"/>
  <c r="CM438" i="1"/>
  <c r="CM439" i="1"/>
  <c r="CM440" i="1"/>
  <c r="CM441" i="1"/>
  <c r="CM442" i="1"/>
  <c r="CM443" i="1"/>
  <c r="CM444" i="1"/>
  <c r="CM445" i="1"/>
  <c r="CM446" i="1"/>
  <c r="CM447" i="1"/>
  <c r="CM448" i="1"/>
  <c r="CM449" i="1"/>
  <c r="CM450" i="1"/>
  <c r="CM451" i="1"/>
  <c r="CM452" i="1"/>
  <c r="CM453" i="1"/>
  <c r="CM454" i="1"/>
  <c r="CM455" i="1"/>
  <c r="CM456" i="1"/>
  <c r="CM457" i="1"/>
  <c r="CM458" i="1"/>
  <c r="CM459" i="1"/>
  <c r="CM460" i="1"/>
  <c r="CM461" i="1"/>
  <c r="CM462" i="1"/>
  <c r="CM463" i="1"/>
  <c r="CM464" i="1"/>
  <c r="CM465" i="1"/>
  <c r="CM466" i="1"/>
  <c r="CM467" i="1"/>
  <c r="CM468" i="1"/>
  <c r="CM469" i="1"/>
  <c r="CM470" i="1"/>
  <c r="CM471" i="1"/>
  <c r="CM472" i="1"/>
  <c r="CM473" i="1"/>
  <c r="CM474" i="1"/>
  <c r="CM475" i="1"/>
  <c r="CM476" i="1"/>
  <c r="CM477" i="1"/>
  <c r="CM478" i="1"/>
  <c r="CM486" i="1"/>
  <c r="CM487" i="1"/>
  <c r="CM488" i="1"/>
  <c r="CM489" i="1"/>
  <c r="CM490" i="1"/>
  <c r="CM491" i="1"/>
  <c r="CM492" i="1"/>
  <c r="CM493" i="1"/>
  <c r="CM494" i="1"/>
  <c r="CM495" i="1"/>
  <c r="CM496" i="1"/>
  <c r="CM497" i="1"/>
  <c r="CM498" i="1"/>
  <c r="CM499" i="1"/>
  <c r="CM500" i="1"/>
  <c r="CM501" i="1"/>
  <c r="CM502" i="1"/>
  <c r="CM503" i="1"/>
  <c r="CM524" i="1"/>
  <c r="CM525" i="1"/>
  <c r="CM526" i="1"/>
  <c r="CM528" i="1"/>
  <c r="CM529" i="1"/>
  <c r="CM530" i="1"/>
  <c r="CM531" i="1"/>
  <c r="CM532" i="1"/>
  <c r="CM533" i="1"/>
  <c r="CM534" i="1"/>
  <c r="CM535" i="1"/>
  <c r="CM536" i="1"/>
  <c r="CM537" i="1"/>
  <c r="CM538" i="1"/>
  <c r="CM539" i="1"/>
  <c r="CM540" i="1"/>
  <c r="CM541" i="1"/>
  <c r="CM542" i="1"/>
  <c r="CM543" i="1"/>
  <c r="CM544" i="1"/>
  <c r="CM545" i="1"/>
  <c r="CM546" i="1"/>
  <c r="CM547" i="1"/>
  <c r="CM548" i="1"/>
  <c r="CM549" i="1"/>
  <c r="CM550" i="1"/>
  <c r="CM551" i="1"/>
  <c r="CM552" i="1"/>
  <c r="CM553" i="1"/>
  <c r="CM554" i="1"/>
  <c r="CM555" i="1"/>
  <c r="CM556" i="1"/>
  <c r="CM557" i="1"/>
  <c r="CM558" i="1"/>
  <c r="CM559" i="1"/>
  <c r="CM560" i="1"/>
  <c r="CM561" i="1"/>
  <c r="CM562" i="1"/>
  <c r="CM563" i="1"/>
  <c r="CM564" i="1"/>
  <c r="CM565" i="1"/>
  <c r="CM566" i="1"/>
  <c r="CM567" i="1"/>
  <c r="CM568" i="1"/>
  <c r="CM569" i="1"/>
  <c r="CM570" i="1"/>
  <c r="CM571" i="1"/>
  <c r="CM572" i="1"/>
  <c r="CM573" i="1"/>
  <c r="CM574" i="1"/>
  <c r="CM575" i="1"/>
  <c r="CM576" i="1"/>
  <c r="CM577" i="1"/>
  <c r="CM578" i="1"/>
  <c r="CM579" i="1"/>
  <c r="CM580" i="1"/>
  <c r="CM581" i="1"/>
  <c r="CM582" i="1"/>
  <c r="CM583" i="1"/>
  <c r="CM584" i="1"/>
  <c r="CM585" i="1"/>
  <c r="CM586" i="1"/>
  <c r="CM587" i="1"/>
  <c r="CM589" i="1"/>
  <c r="CM590" i="1"/>
  <c r="CM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527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L185" i="1"/>
  <c r="CL186" i="1"/>
  <c r="CL187" i="1"/>
  <c r="CL154" i="1"/>
  <c r="CL188" i="1"/>
  <c r="CL189" i="1"/>
  <c r="CL190" i="1"/>
  <c r="CL191" i="1"/>
  <c r="CL192" i="1"/>
  <c r="CL193" i="1"/>
  <c r="CL194" i="1"/>
  <c r="CL195" i="1"/>
  <c r="CL196" i="1"/>
  <c r="CL197" i="1"/>
  <c r="CL198" i="1"/>
  <c r="CL199" i="1"/>
  <c r="CL200" i="1"/>
  <c r="CL201" i="1"/>
  <c r="CL202" i="1"/>
  <c r="CL203" i="1"/>
  <c r="CL204" i="1"/>
  <c r="CL205" i="1"/>
  <c r="CL206" i="1"/>
  <c r="CL207" i="1"/>
  <c r="CL208" i="1"/>
  <c r="CL209" i="1"/>
  <c r="CL210" i="1"/>
  <c r="CL211" i="1"/>
  <c r="CL212" i="1"/>
  <c r="CL213" i="1"/>
  <c r="CL214" i="1"/>
  <c r="CL215" i="1"/>
  <c r="CL216" i="1"/>
  <c r="CL217" i="1"/>
  <c r="CL218" i="1"/>
  <c r="CL219" i="1"/>
  <c r="CL220" i="1"/>
  <c r="CL221" i="1"/>
  <c r="CL222" i="1"/>
  <c r="CL223" i="1"/>
  <c r="CL224" i="1"/>
  <c r="CL225" i="1"/>
  <c r="CL226" i="1"/>
  <c r="CL227" i="1"/>
  <c r="CL228" i="1"/>
  <c r="CL229" i="1"/>
  <c r="CL230" i="1"/>
  <c r="CL231" i="1"/>
  <c r="CL232" i="1"/>
  <c r="CL233" i="1"/>
  <c r="CL234" i="1"/>
  <c r="CL235" i="1"/>
  <c r="CL236" i="1"/>
  <c r="CL237" i="1"/>
  <c r="CL238" i="1"/>
  <c r="CL239" i="1"/>
  <c r="CL240" i="1"/>
  <c r="CL241" i="1"/>
  <c r="CL242" i="1"/>
  <c r="CL243" i="1"/>
  <c r="CL244" i="1"/>
  <c r="CL245" i="1"/>
  <c r="CL246" i="1"/>
  <c r="CL247" i="1"/>
  <c r="CL248" i="1"/>
  <c r="CL249" i="1"/>
  <c r="CL250" i="1"/>
  <c r="CL251" i="1"/>
  <c r="CL252" i="1"/>
  <c r="CL253" i="1"/>
  <c r="CL254" i="1"/>
  <c r="CL255" i="1"/>
  <c r="CL256" i="1"/>
  <c r="CL257" i="1"/>
  <c r="CL258" i="1"/>
  <c r="CL259" i="1"/>
  <c r="CL260" i="1"/>
  <c r="CL261" i="1"/>
  <c r="CL262" i="1"/>
  <c r="CL263" i="1"/>
  <c r="CL264" i="1"/>
  <c r="CL265" i="1"/>
  <c r="CL266" i="1"/>
  <c r="CL267" i="1"/>
  <c r="CL268" i="1"/>
  <c r="CL269" i="1"/>
  <c r="CL270" i="1"/>
  <c r="CL271" i="1"/>
  <c r="CL272" i="1"/>
  <c r="CL273" i="1"/>
  <c r="CL274" i="1"/>
  <c r="CL275" i="1"/>
  <c r="CL276" i="1"/>
  <c r="CL277" i="1"/>
  <c r="CL278" i="1"/>
  <c r="CL279" i="1"/>
  <c r="CL280" i="1"/>
  <c r="CL281" i="1"/>
  <c r="CL282" i="1"/>
  <c r="CL283" i="1"/>
  <c r="CL284" i="1"/>
  <c r="CL285" i="1"/>
  <c r="CL286" i="1"/>
  <c r="CL287" i="1"/>
  <c r="CL288" i="1"/>
  <c r="CL289" i="1"/>
  <c r="CL290" i="1"/>
  <c r="CL291" i="1"/>
  <c r="CL292" i="1"/>
  <c r="CL293" i="1"/>
  <c r="CL294" i="1"/>
  <c r="CL295" i="1"/>
  <c r="CL296" i="1"/>
  <c r="CL297" i="1"/>
  <c r="CL298" i="1"/>
  <c r="CL299" i="1"/>
  <c r="CL300" i="1"/>
  <c r="CL301" i="1"/>
  <c r="CL302" i="1"/>
  <c r="CL303" i="1"/>
  <c r="CL304" i="1"/>
  <c r="CL305" i="1"/>
  <c r="CL306" i="1"/>
  <c r="CL307" i="1"/>
  <c r="CL308" i="1"/>
  <c r="CL309" i="1"/>
  <c r="CL310" i="1"/>
  <c r="CL311" i="1"/>
  <c r="CL312" i="1"/>
  <c r="CL313" i="1"/>
  <c r="CL314" i="1"/>
  <c r="CL315" i="1"/>
  <c r="CL316" i="1"/>
  <c r="CL317" i="1"/>
  <c r="CL318" i="1"/>
  <c r="CL319" i="1"/>
  <c r="CL320" i="1"/>
  <c r="CL321" i="1"/>
  <c r="CL322" i="1"/>
  <c r="CL323" i="1"/>
  <c r="CL324" i="1"/>
  <c r="CL325" i="1"/>
  <c r="CL326" i="1"/>
  <c r="CL327" i="1"/>
  <c r="CL328" i="1"/>
  <c r="CL329" i="1"/>
  <c r="CL330" i="1"/>
  <c r="CL331" i="1"/>
  <c r="CL332" i="1"/>
  <c r="CL333" i="1"/>
  <c r="CL334" i="1"/>
  <c r="CL335" i="1"/>
  <c r="CL336" i="1"/>
  <c r="CL337" i="1"/>
  <c r="CL338" i="1"/>
  <c r="CL339" i="1"/>
  <c r="CL340" i="1"/>
  <c r="CL341" i="1"/>
  <c r="CL342" i="1"/>
  <c r="CL343" i="1"/>
  <c r="CL344" i="1"/>
  <c r="CL345" i="1"/>
  <c r="CL346" i="1"/>
  <c r="CL347" i="1"/>
  <c r="CL348" i="1"/>
  <c r="CL349" i="1"/>
  <c r="CL350" i="1"/>
  <c r="CL351" i="1"/>
  <c r="CL352" i="1"/>
  <c r="CL353" i="1"/>
  <c r="CL354" i="1"/>
  <c r="CL355" i="1"/>
  <c r="CL356" i="1"/>
  <c r="CL357" i="1"/>
  <c r="CL358" i="1"/>
  <c r="CL359" i="1"/>
  <c r="CL360" i="1"/>
  <c r="CL361" i="1"/>
  <c r="CL362" i="1"/>
  <c r="CL363" i="1"/>
  <c r="CL364" i="1"/>
  <c r="CL365" i="1"/>
  <c r="CL366" i="1"/>
  <c r="CL367" i="1"/>
  <c r="CL368" i="1"/>
  <c r="CL369" i="1"/>
  <c r="CL370" i="1"/>
  <c r="CL371" i="1"/>
  <c r="CL372" i="1"/>
  <c r="CL373" i="1"/>
  <c r="CL374" i="1"/>
  <c r="CL375" i="1"/>
  <c r="CL376" i="1"/>
  <c r="CL377" i="1"/>
  <c r="CL378" i="1"/>
  <c r="CL379" i="1"/>
  <c r="CL380" i="1"/>
  <c r="CL381" i="1"/>
  <c r="CL382" i="1"/>
  <c r="CL383" i="1"/>
  <c r="CL384" i="1"/>
  <c r="CL385" i="1"/>
  <c r="CL386" i="1"/>
  <c r="CL387" i="1"/>
  <c r="CL388" i="1"/>
  <c r="CL389" i="1"/>
  <c r="CL390" i="1"/>
  <c r="CL391" i="1"/>
  <c r="CL392" i="1"/>
  <c r="CL393" i="1"/>
  <c r="CL394" i="1"/>
  <c r="CL395" i="1"/>
  <c r="CL396" i="1"/>
  <c r="CL397" i="1"/>
  <c r="CL398" i="1"/>
  <c r="CL399" i="1"/>
  <c r="CL400" i="1"/>
  <c r="CL401" i="1"/>
  <c r="CL402" i="1"/>
  <c r="CL403" i="1"/>
  <c r="CL404" i="1"/>
  <c r="CL405" i="1"/>
  <c r="CL406" i="1"/>
  <c r="CL407" i="1"/>
  <c r="CL408" i="1"/>
  <c r="CL409" i="1"/>
  <c r="CL410" i="1"/>
  <c r="CL411" i="1"/>
  <c r="CL412" i="1"/>
  <c r="CL413" i="1"/>
  <c r="CL414" i="1"/>
  <c r="CL415" i="1"/>
  <c r="CL416" i="1"/>
  <c r="CL417" i="1"/>
  <c r="CL418" i="1"/>
  <c r="CL419" i="1"/>
  <c r="CL420" i="1"/>
  <c r="CL421" i="1"/>
  <c r="CL422" i="1"/>
  <c r="CL423" i="1"/>
  <c r="CL424" i="1"/>
  <c r="CL425" i="1"/>
  <c r="CL426" i="1"/>
  <c r="CL427" i="1"/>
  <c r="CL454" i="1"/>
  <c r="CL456" i="1"/>
  <c r="CL446" i="1"/>
  <c r="CL428" i="1"/>
  <c r="CL429" i="1"/>
  <c r="CL430" i="1"/>
  <c r="CL431" i="1"/>
  <c r="CL432" i="1"/>
  <c r="CL433" i="1"/>
  <c r="CL434" i="1"/>
  <c r="CL435" i="1"/>
  <c r="CL436" i="1"/>
  <c r="CL437" i="1"/>
  <c r="CL438" i="1"/>
  <c r="CL439" i="1"/>
  <c r="CL440" i="1"/>
  <c r="CL441" i="1"/>
  <c r="CL442" i="1"/>
  <c r="CL443" i="1"/>
  <c r="CL444" i="1"/>
  <c r="CL445" i="1"/>
  <c r="CL447" i="1"/>
  <c r="CL448" i="1"/>
  <c r="CL449" i="1"/>
  <c r="CL450" i="1"/>
  <c r="CL451" i="1"/>
  <c r="CL452" i="1"/>
  <c r="CL453" i="1"/>
  <c r="CL455" i="1"/>
  <c r="CL457" i="1"/>
  <c r="CL458" i="1"/>
  <c r="CL459" i="1"/>
  <c r="CL460" i="1"/>
  <c r="CL461" i="1"/>
  <c r="CL462" i="1"/>
  <c r="CL463" i="1"/>
  <c r="CL464" i="1"/>
  <c r="CL465" i="1"/>
  <c r="CL466" i="1"/>
  <c r="CL467" i="1"/>
  <c r="CL468" i="1"/>
  <c r="CL469" i="1"/>
  <c r="CL470" i="1"/>
  <c r="CL471" i="1"/>
  <c r="CL472" i="1"/>
  <c r="CL473" i="1"/>
  <c r="CL474" i="1"/>
  <c r="CL475" i="1"/>
  <c r="CL476" i="1"/>
  <c r="CL477" i="1"/>
  <c r="CL478" i="1"/>
  <c r="CL486" i="1"/>
  <c r="CL487" i="1"/>
  <c r="CL488" i="1"/>
  <c r="CL489" i="1"/>
  <c r="CL490" i="1"/>
  <c r="CL491" i="1"/>
  <c r="CL492" i="1"/>
  <c r="CL493" i="1"/>
  <c r="CL494" i="1"/>
  <c r="CL495" i="1"/>
  <c r="CL496" i="1"/>
  <c r="CL497" i="1"/>
  <c r="CL498" i="1"/>
  <c r="CL499" i="1"/>
  <c r="CL500" i="1"/>
  <c r="CL501" i="1"/>
  <c r="CL502" i="1"/>
  <c r="CL503" i="1"/>
  <c r="CL524" i="1"/>
  <c r="CL525" i="1"/>
  <c r="CL526" i="1"/>
  <c r="CL528" i="1"/>
  <c r="CL529" i="1"/>
  <c r="CL530" i="1"/>
  <c r="CL531" i="1"/>
  <c r="CL532" i="1"/>
  <c r="CL533" i="1"/>
  <c r="CL534" i="1"/>
  <c r="CL535" i="1"/>
  <c r="CL536" i="1"/>
  <c r="CL537" i="1"/>
  <c r="CL538" i="1"/>
  <c r="CL539" i="1"/>
  <c r="CL540" i="1"/>
  <c r="CL541" i="1"/>
  <c r="CL542" i="1"/>
  <c r="CL543" i="1"/>
  <c r="CL544" i="1"/>
  <c r="CL545" i="1"/>
  <c r="CL546" i="1"/>
  <c r="CL547" i="1"/>
  <c r="CL548" i="1"/>
  <c r="CL549" i="1"/>
  <c r="CL550" i="1"/>
  <c r="CL551" i="1"/>
  <c r="CL552" i="1"/>
  <c r="CL553" i="1"/>
  <c r="CL554" i="1"/>
  <c r="CL555" i="1"/>
  <c r="CL556" i="1"/>
  <c r="CL557" i="1"/>
  <c r="CL558" i="1"/>
  <c r="CL559" i="1"/>
  <c r="CL560" i="1"/>
  <c r="CL561" i="1"/>
  <c r="CL562" i="1"/>
  <c r="CL563" i="1"/>
  <c r="CL564" i="1"/>
  <c r="CL565" i="1"/>
  <c r="CL566" i="1"/>
  <c r="CL567" i="1"/>
  <c r="CL568" i="1"/>
  <c r="CL569" i="1"/>
  <c r="CL570" i="1"/>
  <c r="CL571" i="1"/>
  <c r="CL572" i="1"/>
  <c r="CL573" i="1"/>
  <c r="CL574" i="1"/>
  <c r="CL575" i="1"/>
  <c r="CL576" i="1"/>
  <c r="CL577" i="1"/>
  <c r="CL578" i="1"/>
  <c r="CL579" i="1"/>
  <c r="CL580" i="1"/>
  <c r="CL581" i="1"/>
  <c r="CL582" i="1"/>
  <c r="CL583" i="1"/>
  <c r="CL584" i="1"/>
  <c r="CL585" i="1"/>
  <c r="CL586" i="1"/>
  <c r="CL587" i="1"/>
  <c r="CL589" i="1"/>
  <c r="CL590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527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5" i="1"/>
  <c r="A156" i="1"/>
  <c r="A157" i="1"/>
  <c r="A158" i="1"/>
  <c r="A159" i="1"/>
  <c r="A160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54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54" i="1"/>
  <c r="A456" i="1"/>
  <c r="A446" i="1"/>
  <c r="A428" i="1"/>
  <c r="A429" i="1"/>
  <c r="A430" i="1"/>
  <c r="A431" i="1"/>
  <c r="A432" i="1"/>
  <c r="A433" i="1"/>
  <c r="A434" i="1"/>
  <c r="A436" i="1"/>
  <c r="A437" i="1"/>
  <c r="A438" i="1"/>
  <c r="A439" i="1"/>
  <c r="A440" i="1"/>
  <c r="A441" i="1"/>
  <c r="A442" i="1"/>
  <c r="A443" i="1"/>
  <c r="A444" i="1"/>
  <c r="A445" i="1"/>
  <c r="A447" i="1"/>
  <c r="A448" i="1"/>
  <c r="A449" i="1"/>
  <c r="A450" i="1"/>
  <c r="A451" i="1"/>
  <c r="A452" i="1"/>
  <c r="A453" i="1"/>
  <c r="A455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3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24" i="1"/>
  <c r="A525" i="1"/>
  <c r="A526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9" i="1"/>
  <c r="A590" i="1"/>
  <c r="A269" i="1"/>
  <c r="A161" i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E286" i="6"/>
  <c r="F6" i="6"/>
  <c r="F10" i="6"/>
  <c r="F18" i="6"/>
  <c r="F22" i="6"/>
  <c r="F26" i="6"/>
  <c r="F34" i="6"/>
  <c r="F38" i="6"/>
  <c r="F42" i="6"/>
  <c r="F50" i="6"/>
  <c r="F54" i="6"/>
  <c r="F58" i="6"/>
  <c r="F66" i="6"/>
  <c r="F70" i="6"/>
  <c r="F74" i="6"/>
  <c r="F82" i="6"/>
  <c r="F86" i="6"/>
  <c r="F90" i="6"/>
  <c r="F98" i="6"/>
  <c r="F102" i="6"/>
  <c r="F106" i="6"/>
  <c r="F114" i="6"/>
  <c r="F118" i="6"/>
  <c r="F122" i="6"/>
  <c r="F130" i="6"/>
  <c r="F134" i="6"/>
  <c r="F138" i="6"/>
  <c r="F146" i="6"/>
  <c r="F150" i="6"/>
  <c r="F154" i="6"/>
  <c r="F162" i="6"/>
  <c r="F166" i="6"/>
  <c r="F170" i="6"/>
  <c r="F178" i="6"/>
  <c r="F182" i="6"/>
  <c r="F186" i="6"/>
  <c r="F194" i="6"/>
  <c r="F198" i="6"/>
  <c r="F202" i="6"/>
  <c r="F210" i="6"/>
  <c r="F214" i="6"/>
  <c r="F218" i="6"/>
  <c r="F226" i="6"/>
  <c r="F230" i="6"/>
  <c r="F234" i="6"/>
  <c r="F242" i="6"/>
  <c r="F246" i="6"/>
  <c r="F250" i="6"/>
  <c r="F258" i="6"/>
  <c r="F262" i="6"/>
  <c r="F266" i="6"/>
  <c r="F274" i="6"/>
  <c r="F278" i="6"/>
  <c r="F282" i="6"/>
  <c r="F290" i="6"/>
  <c r="F294" i="6"/>
  <c r="F298" i="6"/>
  <c r="F306" i="6"/>
  <c r="F310" i="6"/>
  <c r="F314" i="6"/>
  <c r="F318" i="6"/>
  <c r="F322" i="6"/>
  <c r="F326" i="6"/>
  <c r="F330" i="6"/>
  <c r="F334" i="6"/>
  <c r="F338" i="6"/>
  <c r="F342" i="6"/>
  <c r="F346" i="6"/>
  <c r="F350" i="6"/>
  <c r="F354" i="6"/>
  <c r="F358" i="6"/>
  <c r="F14" i="6"/>
  <c r="F30" i="6"/>
  <c r="F46" i="6"/>
  <c r="F62" i="6"/>
  <c r="F78" i="6"/>
  <c r="F94" i="6"/>
  <c r="F110" i="6"/>
  <c r="F126" i="6"/>
  <c r="F142" i="6"/>
  <c r="F158" i="6"/>
  <c r="F174" i="6"/>
  <c r="F190" i="6"/>
  <c r="F206" i="6"/>
  <c r="F222" i="6"/>
  <c r="F238" i="6"/>
  <c r="F254" i="6"/>
  <c r="F270" i="6"/>
  <c r="F286" i="6"/>
  <c r="F30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F3" i="6"/>
  <c r="F4" i="6"/>
  <c r="F5" i="6"/>
  <c r="F7" i="6"/>
  <c r="F8" i="6"/>
  <c r="F9" i="6"/>
  <c r="F11" i="6"/>
  <c r="F12" i="6"/>
  <c r="F13" i="6"/>
  <c r="F15" i="6"/>
  <c r="F16" i="6"/>
  <c r="F17" i="6"/>
  <c r="F19" i="6"/>
  <c r="F20" i="6"/>
  <c r="F21" i="6"/>
  <c r="F23" i="6"/>
  <c r="F24" i="6"/>
  <c r="F25" i="6"/>
  <c r="F27" i="6"/>
  <c r="F28" i="6"/>
  <c r="F29" i="6"/>
  <c r="F31" i="6"/>
  <c r="F32" i="6"/>
  <c r="F33" i="6"/>
  <c r="F35" i="6"/>
  <c r="F36" i="6"/>
  <c r="F37" i="6"/>
  <c r="F39" i="6"/>
  <c r="F40" i="6"/>
  <c r="F41" i="6"/>
  <c r="F43" i="6"/>
  <c r="F44" i="6"/>
  <c r="F45" i="6"/>
  <c r="F47" i="6"/>
  <c r="F48" i="6"/>
  <c r="F49" i="6"/>
  <c r="F51" i="6"/>
  <c r="F52" i="6"/>
  <c r="F53" i="6"/>
  <c r="F55" i="6"/>
  <c r="F56" i="6"/>
  <c r="F57" i="6"/>
  <c r="F59" i="6"/>
  <c r="F60" i="6"/>
  <c r="F61" i="6"/>
  <c r="F63" i="6"/>
  <c r="F64" i="6"/>
  <c r="F65" i="6"/>
  <c r="F67" i="6"/>
  <c r="F68" i="6"/>
  <c r="F69" i="6"/>
  <c r="F71" i="6"/>
  <c r="F72" i="6"/>
  <c r="F73" i="6"/>
  <c r="F75" i="6"/>
  <c r="F76" i="6"/>
  <c r="F77" i="6"/>
  <c r="F79" i="6"/>
  <c r="F80" i="6"/>
  <c r="F81" i="6"/>
  <c r="F83" i="6"/>
  <c r="F84" i="6"/>
  <c r="F85" i="6"/>
  <c r="F87" i="6"/>
  <c r="F88" i="6"/>
  <c r="F89" i="6"/>
  <c r="F91" i="6"/>
  <c r="F92" i="6"/>
  <c r="F93" i="6"/>
  <c r="F95" i="6"/>
  <c r="F96" i="6"/>
  <c r="F97" i="6"/>
  <c r="F99" i="6"/>
  <c r="F100" i="6"/>
  <c r="F101" i="6"/>
  <c r="F103" i="6"/>
  <c r="F104" i="6"/>
  <c r="F105" i="6"/>
  <c r="F107" i="6"/>
  <c r="F108" i="6"/>
  <c r="F109" i="6"/>
  <c r="F111" i="6"/>
  <c r="F112" i="6"/>
  <c r="F113" i="6"/>
  <c r="F115" i="6"/>
  <c r="F116" i="6"/>
  <c r="F117" i="6"/>
  <c r="F119" i="6"/>
  <c r="F120" i="6"/>
  <c r="F121" i="6"/>
  <c r="F123" i="6"/>
  <c r="F124" i="6"/>
  <c r="F125" i="6"/>
  <c r="F127" i="6"/>
  <c r="F128" i="6"/>
  <c r="F129" i="6"/>
  <c r="F131" i="6"/>
  <c r="F132" i="6"/>
  <c r="F133" i="6"/>
  <c r="F135" i="6"/>
  <c r="F136" i="6"/>
  <c r="F137" i="6"/>
  <c r="F139" i="6"/>
  <c r="F140" i="6"/>
  <c r="F141" i="6"/>
  <c r="F143" i="6"/>
  <c r="F144" i="6"/>
  <c r="F145" i="6"/>
  <c r="F147" i="6"/>
  <c r="F148" i="6"/>
  <c r="F149" i="6"/>
  <c r="F151" i="6"/>
  <c r="F152" i="6"/>
  <c r="F153" i="6"/>
  <c r="F155" i="6"/>
  <c r="F156" i="6"/>
  <c r="F157" i="6"/>
  <c r="F159" i="6"/>
  <c r="F160" i="6"/>
  <c r="F161" i="6"/>
  <c r="F163" i="6"/>
  <c r="F164" i="6"/>
  <c r="F165" i="6"/>
  <c r="F167" i="6"/>
  <c r="F168" i="6"/>
  <c r="F169" i="6"/>
  <c r="F171" i="6"/>
  <c r="F172" i="6"/>
  <c r="F173" i="6"/>
  <c r="F175" i="6"/>
  <c r="F176" i="6"/>
  <c r="F177" i="6"/>
  <c r="F179" i="6"/>
  <c r="F180" i="6"/>
  <c r="F181" i="6"/>
  <c r="F183" i="6"/>
  <c r="F184" i="6"/>
  <c r="F185" i="6"/>
  <c r="F187" i="6"/>
  <c r="F188" i="6"/>
  <c r="F189" i="6"/>
  <c r="F191" i="6"/>
  <c r="F192" i="6"/>
  <c r="F193" i="6"/>
  <c r="F195" i="6"/>
  <c r="F196" i="6"/>
  <c r="F197" i="6"/>
  <c r="F199" i="6"/>
  <c r="F200" i="6"/>
  <c r="F201" i="6"/>
  <c r="F203" i="6"/>
  <c r="F204" i="6"/>
  <c r="F205" i="6"/>
  <c r="F207" i="6"/>
  <c r="F208" i="6"/>
  <c r="F209" i="6"/>
  <c r="F211" i="6"/>
  <c r="F212" i="6"/>
  <c r="F213" i="6"/>
  <c r="F215" i="6"/>
  <c r="F216" i="6"/>
  <c r="F217" i="6"/>
  <c r="F219" i="6"/>
  <c r="F220" i="6"/>
  <c r="F221" i="6"/>
  <c r="F223" i="6"/>
  <c r="F224" i="6"/>
  <c r="F225" i="6"/>
  <c r="F227" i="6"/>
  <c r="F228" i="6"/>
  <c r="F229" i="6"/>
  <c r="F231" i="6"/>
  <c r="F232" i="6"/>
  <c r="F233" i="6"/>
  <c r="F235" i="6"/>
  <c r="F236" i="6"/>
  <c r="F237" i="6"/>
  <c r="F239" i="6"/>
  <c r="F240" i="6"/>
  <c r="F241" i="6"/>
  <c r="F243" i="6"/>
  <c r="F244" i="6"/>
  <c r="F245" i="6"/>
  <c r="F247" i="6"/>
  <c r="F248" i="6"/>
  <c r="F249" i="6"/>
  <c r="F251" i="6"/>
  <c r="F252" i="6"/>
  <c r="F253" i="6"/>
  <c r="F255" i="6"/>
  <c r="F256" i="6"/>
  <c r="F257" i="6"/>
  <c r="F259" i="6"/>
  <c r="F260" i="6"/>
  <c r="F261" i="6"/>
  <c r="F263" i="6"/>
  <c r="F264" i="6"/>
  <c r="F265" i="6"/>
  <c r="F267" i="6"/>
  <c r="F268" i="6"/>
  <c r="F269" i="6"/>
  <c r="F271" i="6"/>
  <c r="F272" i="6"/>
  <c r="F273" i="6"/>
  <c r="F275" i="6"/>
  <c r="F276" i="6"/>
  <c r="F277" i="6"/>
  <c r="F279" i="6"/>
  <c r="F280" i="6"/>
  <c r="F281" i="6"/>
  <c r="F283" i="6"/>
  <c r="F284" i="6"/>
  <c r="F285" i="6"/>
  <c r="F287" i="6"/>
  <c r="F288" i="6"/>
  <c r="F289" i="6"/>
  <c r="F291" i="6"/>
  <c r="F292" i="6"/>
  <c r="F293" i="6"/>
  <c r="F295" i="6"/>
  <c r="F296" i="6"/>
  <c r="F297" i="6"/>
  <c r="F299" i="6"/>
  <c r="F300" i="6"/>
  <c r="F301" i="6"/>
  <c r="F303" i="6"/>
  <c r="F304" i="6"/>
  <c r="F305" i="6"/>
  <c r="F307" i="6"/>
  <c r="F308" i="6"/>
  <c r="F309" i="6"/>
  <c r="F311" i="6"/>
  <c r="F312" i="6"/>
  <c r="F313" i="6"/>
  <c r="F315" i="6"/>
  <c r="F316" i="6"/>
  <c r="F317" i="6"/>
  <c r="F319" i="6"/>
  <c r="F320" i="6"/>
  <c r="F321" i="6"/>
  <c r="F323" i="6"/>
  <c r="F324" i="6"/>
  <c r="F325" i="6"/>
  <c r="F327" i="6"/>
  <c r="F328" i="6"/>
  <c r="F329" i="6"/>
  <c r="F331" i="6"/>
  <c r="F332" i="6"/>
  <c r="F333" i="6"/>
  <c r="F335" i="6"/>
  <c r="F336" i="6"/>
  <c r="F337" i="6"/>
  <c r="F339" i="6"/>
  <c r="F340" i="6"/>
  <c r="F341" i="6"/>
  <c r="F343" i="6"/>
  <c r="F344" i="6"/>
  <c r="F345" i="6"/>
  <c r="F347" i="6"/>
  <c r="F348" i="6"/>
  <c r="F349" i="6"/>
  <c r="F351" i="6"/>
  <c r="F352" i="6"/>
  <c r="F353" i="6"/>
  <c r="F355" i="6"/>
  <c r="F356" i="6"/>
  <c r="F357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68" i="6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3" i="7"/>
  <c r="A8" i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3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" i="5"/>
  <c r="H2" i="5"/>
  <c r="CL8" i="1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H415" authorId="0" shapeId="0" xr:uid="{7942CD2C-854D-423C-8303-C299DD14FF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<sst xmlns="http://schemas.openxmlformats.org/spreadsheetml/2006/main" count="37498" uniqueCount="9968">
  <si>
    <t>Nomer Induk Siswa Nasional</t>
  </si>
  <si>
    <t>Nomer Induk Kependudukan (NIK)</t>
  </si>
  <si>
    <t>Tempat lahir</t>
  </si>
  <si>
    <t>Tanggal Lahir</t>
  </si>
  <si>
    <t>Jenis Kelamin</t>
  </si>
  <si>
    <t>Anak ke-</t>
  </si>
  <si>
    <t>Jumlah Saudara</t>
  </si>
  <si>
    <t>Kebangsaan</t>
  </si>
  <si>
    <t>Golongan Darah</t>
  </si>
  <si>
    <t>Hobi</t>
  </si>
  <si>
    <t>Cita-Cita</t>
  </si>
  <si>
    <t>Pedidikan Terakhir</t>
  </si>
  <si>
    <t>Yang Membiayai Pesantren</t>
  </si>
  <si>
    <t>Kebutuhan Khusus</t>
  </si>
  <si>
    <t>Kebutuhan Disabilitas</t>
  </si>
  <si>
    <t>Nomer Kartu Keluarga</t>
  </si>
  <si>
    <t>Nama Kepala Keluarga</t>
  </si>
  <si>
    <t>Nama Ayah Kandung</t>
  </si>
  <si>
    <t>Status Ayah kandung</t>
  </si>
  <si>
    <t>Tempat Lahir Ayah kandung</t>
  </si>
  <si>
    <t>Tanggal Kelahiran Ayah Kandung</t>
  </si>
  <si>
    <t>NIK Ayah Kandung</t>
  </si>
  <si>
    <t>Pekerjaan Ayah</t>
  </si>
  <si>
    <t>Pendidikan Ayah</t>
  </si>
  <si>
    <t>Nomer Telepon Ayah</t>
  </si>
  <si>
    <t>Penghasilan Ayah</t>
  </si>
  <si>
    <t>Alamat Ayah</t>
  </si>
  <si>
    <t>RT/RW Ayah</t>
  </si>
  <si>
    <t>Desa/Kelurahan Ayah</t>
  </si>
  <si>
    <t>Kecamatan Ayah</t>
  </si>
  <si>
    <t>Kabupaten/Kota Ayah</t>
  </si>
  <si>
    <t>Provinsi Ayah</t>
  </si>
  <si>
    <t>Kode POS Ayah</t>
  </si>
  <si>
    <t>Nama Ibu Kandung</t>
  </si>
  <si>
    <t>Status Ibu Kandung</t>
  </si>
  <si>
    <t>Tempat Lahir Ibu Kandung</t>
  </si>
  <si>
    <t>Tanggal Kelahiran Ibu kandung</t>
  </si>
  <si>
    <t>NIK Ibu</t>
  </si>
  <si>
    <t>Pekerjaan Ibu</t>
  </si>
  <si>
    <t>Pendidikan Ibu</t>
  </si>
  <si>
    <t>Nomor Telepon Ibu</t>
  </si>
  <si>
    <t>Penghasilan Ibu</t>
  </si>
  <si>
    <t>Alamat Ibu</t>
  </si>
  <si>
    <t>Alamat Ibu Kandung</t>
  </si>
  <si>
    <t>RT/R Ibu</t>
  </si>
  <si>
    <t>Desa/Kelurahan Ibu</t>
  </si>
  <si>
    <t>Kecamatan Ibu</t>
  </si>
  <si>
    <t>Kabupaten/Kota Ibu</t>
  </si>
  <si>
    <t>Provinsi Ibu</t>
  </si>
  <si>
    <t>Kode POS Ibu</t>
  </si>
  <si>
    <t>Status Wali Santri</t>
  </si>
  <si>
    <t>Nama Wali</t>
  </si>
  <si>
    <t>Tempat Lahir Wali</t>
  </si>
  <si>
    <t>Tanggal Kelahiran Wali</t>
  </si>
  <si>
    <t>NIK Wali</t>
  </si>
  <si>
    <t>Pekerjaan Wali</t>
  </si>
  <si>
    <t>Pendidikan Wali</t>
  </si>
  <si>
    <t>Nomor Telepon Wali</t>
  </si>
  <si>
    <t>Penghasilan Wali</t>
  </si>
  <si>
    <t>Alamat Wali</t>
  </si>
  <si>
    <t>RT/RW Wali</t>
  </si>
  <si>
    <t>Desa/Kelurahan Wali</t>
  </si>
  <si>
    <t>Kecamatan Wali</t>
  </si>
  <si>
    <t>Kabupaten/Kota Wali</t>
  </si>
  <si>
    <t>Provinsi Wali</t>
  </si>
  <si>
    <t>Kode POS Wali</t>
  </si>
  <si>
    <t>Status Rumah</t>
  </si>
  <si>
    <t>Alamat Santri</t>
  </si>
  <si>
    <t>RT/RW Santri</t>
  </si>
  <si>
    <t>Desa/Kelurahan Santri</t>
  </si>
  <si>
    <t>Kecamatan Santri</t>
  </si>
  <si>
    <t>Kabupaten/Kota Santri</t>
  </si>
  <si>
    <t>Provinsi Santri</t>
  </si>
  <si>
    <t>Kode POS Santri</t>
  </si>
  <si>
    <t>Usia Santri</t>
  </si>
  <si>
    <t>No</t>
  </si>
  <si>
    <t>Status</t>
  </si>
  <si>
    <t>Tahun Masuk</t>
  </si>
  <si>
    <t>Tahun Keluar</t>
  </si>
  <si>
    <t>Kelas</t>
  </si>
  <si>
    <t>Kelas Detail</t>
  </si>
  <si>
    <t>Emis</t>
  </si>
  <si>
    <t>Ulya/Wustho</t>
  </si>
  <si>
    <t>Rombel</t>
  </si>
  <si>
    <t>NIS</t>
  </si>
  <si>
    <t>Nama lengkap</t>
  </si>
  <si>
    <t>Aktif</t>
  </si>
  <si>
    <t>1-A</t>
  </si>
  <si>
    <t>0122309098</t>
  </si>
  <si>
    <t>3240116406120005</t>
  </si>
  <si>
    <t>Bandung</t>
  </si>
  <si>
    <t>24/06/2012</t>
  </si>
  <si>
    <t>Perempuan</t>
  </si>
  <si>
    <t>B</t>
  </si>
  <si>
    <t>Membaca</t>
  </si>
  <si>
    <t>Agamawan</t>
  </si>
  <si>
    <t>SD</t>
  </si>
  <si>
    <t>Orang Tua</t>
  </si>
  <si>
    <t>Tidak Ada</t>
  </si>
  <si>
    <t>3204110607120011</t>
  </si>
  <si>
    <t>Agus Hidayat, Sh.</t>
  </si>
  <si>
    <t>Masih Hidup</t>
  </si>
  <si>
    <t>3204112708710001</t>
  </si>
  <si>
    <t>PNS</t>
  </si>
  <si>
    <t>diploma IV/strata1</t>
  </si>
  <si>
    <t>08122113459</t>
  </si>
  <si>
    <t>&gt;= Rp. 5.000.001</t>
  </si>
  <si>
    <t>Komp. Soreang Resindece f4 no 12-13</t>
  </si>
  <si>
    <t>004/017</t>
  </si>
  <si>
    <t>Ganda Sari</t>
  </si>
  <si>
    <t>Katapang</t>
  </si>
  <si>
    <t>Jawa Barat</t>
  </si>
  <si>
    <t>Yani Heryani, S.Pd.I</t>
  </si>
  <si>
    <t>3204114107760004</t>
  </si>
  <si>
    <t>Wiraswasta</t>
  </si>
  <si>
    <t>S1</t>
  </si>
  <si>
    <t>085222511827</t>
  </si>
  <si>
    <t>Rp. 3.00.001 - Rp. 5.00.000</t>
  </si>
  <si>
    <t>40971</t>
  </si>
  <si>
    <t>Agus Hidayat, SH</t>
  </si>
  <si>
    <t>0111877880</t>
  </si>
  <si>
    <t>3211185909110001</t>
  </si>
  <si>
    <t>Sumedang</t>
  </si>
  <si>
    <t>O</t>
  </si>
  <si>
    <t>Kesenian</t>
  </si>
  <si>
    <t>3211180101000073</t>
  </si>
  <si>
    <t>Luki Hasanul Khulki</t>
  </si>
  <si>
    <t>3211180803800004</t>
  </si>
  <si>
    <t>Strata 1</t>
  </si>
  <si>
    <t>081320703107</t>
  </si>
  <si>
    <t>Rp. 2.000.001 - Rp. 3.000.000</t>
  </si>
  <si>
    <t>Perumahan Vill Garden Mekarsari B. 30</t>
  </si>
  <si>
    <t>01/10</t>
  </si>
  <si>
    <t>Mekarjaya</t>
  </si>
  <si>
    <t>Sumedang Utara</t>
  </si>
  <si>
    <t>Ciamis</t>
  </si>
  <si>
    <t>3211184105800016</t>
  </si>
  <si>
    <t>081321102587</t>
  </si>
  <si>
    <t>-</t>
  </si>
  <si>
    <t>0115297876</t>
  </si>
  <si>
    <t>3217016011110003</t>
  </si>
  <si>
    <t>BANDUNG</t>
  </si>
  <si>
    <t>Belum Tes</t>
  </si>
  <si>
    <t>Olahraga</t>
  </si>
  <si>
    <t>3217011312110016</t>
  </si>
  <si>
    <t>Cecep Ahmad Supriadi</t>
  </si>
  <si>
    <t>CECEP AHMAD SUPRIADI</t>
  </si>
  <si>
    <t>3217010203900022</t>
  </si>
  <si>
    <t>KARYAWAN SWASTA</t>
  </si>
  <si>
    <t>SLTA</t>
  </si>
  <si>
    <t>087825300376</t>
  </si>
  <si>
    <t>KP BARUNAGRI</t>
  </si>
  <si>
    <t>02/03</t>
  </si>
  <si>
    <t>SUKAJAYA</t>
  </si>
  <si>
    <t>LEMBANG</t>
  </si>
  <si>
    <t>Bandung Barat</t>
  </si>
  <si>
    <t>JAWA BARAT</t>
  </si>
  <si>
    <t>3217016103900005</t>
  </si>
  <si>
    <t>IBU RUMAH TANGGA</t>
  </si>
  <si>
    <t>SLTP</t>
  </si>
  <si>
    <t>085703131204</t>
  </si>
  <si>
    <t>Ayah Kandung</t>
  </si>
  <si>
    <t>KP.BARUNAGRI</t>
  </si>
  <si>
    <t>BANDUNG BARAT</t>
  </si>
  <si>
    <t>Milik Sendiri</t>
  </si>
  <si>
    <t>0112432733</t>
  </si>
  <si>
    <t>3204295309110005</t>
  </si>
  <si>
    <t>Jalan-jalan</t>
  </si>
  <si>
    <t>3204293004130078</t>
  </si>
  <si>
    <t>Noor Khrisna Mochamad Hermawan</t>
  </si>
  <si>
    <t>3204290910800006</t>
  </si>
  <si>
    <t>S 1</t>
  </si>
  <si>
    <t>085716795065</t>
  </si>
  <si>
    <t>Jl. Babakan no 2</t>
  </si>
  <si>
    <t>001/002</t>
  </si>
  <si>
    <t>Desa Babakan</t>
  </si>
  <si>
    <t>Ciparay</t>
  </si>
  <si>
    <t>Kab.Bandung</t>
  </si>
  <si>
    <t>Hj. Euis Hopsah</t>
  </si>
  <si>
    <t>3204296611400001</t>
  </si>
  <si>
    <t>Mengurus Rumah Tangga</t>
  </si>
  <si>
    <t>085321301522</t>
  </si>
  <si>
    <t>Jl.Babakan no 2</t>
  </si>
  <si>
    <t>Kab. Bandung</t>
  </si>
  <si>
    <t>Jl. Babakan Rancakole No. 02</t>
  </si>
  <si>
    <t>Rumah Orang Tua</t>
  </si>
  <si>
    <t>0121550693</t>
  </si>
  <si>
    <t>3204346007120001</t>
  </si>
  <si>
    <t>belum tes</t>
  </si>
  <si>
    <t>bembeca</t>
  </si>
  <si>
    <t>orang yang bermanfaat</t>
  </si>
  <si>
    <t>sd</t>
  </si>
  <si>
    <t>3204342404140012</t>
  </si>
  <si>
    <t>Dadang</t>
  </si>
  <si>
    <t xml:space="preserve"> 07/08/1985</t>
  </si>
  <si>
    <t>3204340708850004</t>
  </si>
  <si>
    <t>slta</t>
  </si>
  <si>
    <t>kp. sekepeuntas</t>
  </si>
  <si>
    <t>02/13</t>
  </si>
  <si>
    <t>solokanjeruk</t>
  </si>
  <si>
    <t>bandung</t>
  </si>
  <si>
    <t>Heni Supartika</t>
  </si>
  <si>
    <t>3204346905880002</t>
  </si>
  <si>
    <t>sltp</t>
  </si>
  <si>
    <t>0104173879</t>
  </si>
  <si>
    <t>3204065105100002</t>
  </si>
  <si>
    <t>11/05/2010</t>
  </si>
  <si>
    <t>WNI</t>
  </si>
  <si>
    <t>TIDAK ADA</t>
  </si>
  <si>
    <t xml:space="preserve">3204062007070010 </t>
  </si>
  <si>
    <t>3204060904710005</t>
  </si>
  <si>
    <t>BURUH HARIAN LEPAS</t>
  </si>
  <si>
    <t xml:space="preserve">BUNTIS </t>
  </si>
  <si>
    <t>01/14</t>
  </si>
  <si>
    <t>CIMENYAN</t>
  </si>
  <si>
    <t>3204064707770037</t>
  </si>
  <si>
    <t>IRT</t>
  </si>
  <si>
    <t>3129466380</t>
  </si>
  <si>
    <t>1706045308120001</t>
  </si>
  <si>
    <t>Air Hitam</t>
  </si>
  <si>
    <t>1706042806100003</t>
  </si>
  <si>
    <t>Salimudin Az</t>
  </si>
  <si>
    <t>Lampung</t>
  </si>
  <si>
    <t>1706041605820002</t>
  </si>
  <si>
    <t>Petani/Pekebun</t>
  </si>
  <si>
    <t>085273454576</t>
  </si>
  <si>
    <t>Dusun II Air Hitam</t>
  </si>
  <si>
    <t>06/02</t>
  </si>
  <si>
    <t>Pondok Suguh</t>
  </si>
  <si>
    <t>Muko Muko</t>
  </si>
  <si>
    <t>Bengkulu</t>
  </si>
  <si>
    <t>Yuli Aryani</t>
  </si>
  <si>
    <t>1706045607880004</t>
  </si>
  <si>
    <t>Salimudin AZ</t>
  </si>
  <si>
    <t>0121081022</t>
  </si>
  <si>
    <t>3205105901120001</t>
  </si>
  <si>
    <t>Garut</t>
  </si>
  <si>
    <t>3205102211070228</t>
  </si>
  <si>
    <t>Amas Novianto</t>
  </si>
  <si>
    <t>3205100107700246</t>
  </si>
  <si>
    <t>081312769192</t>
  </si>
  <si>
    <t xml:space="preserve">kp. cipari </t>
  </si>
  <si>
    <t>06/04</t>
  </si>
  <si>
    <t>Gandamekar</t>
  </si>
  <si>
    <t>kadungora</t>
  </si>
  <si>
    <t>jawabarat</t>
  </si>
  <si>
    <t>3205104107820166</t>
  </si>
  <si>
    <t>085322036199</t>
  </si>
  <si>
    <t>amas Novianto</t>
  </si>
  <si>
    <t>garut</t>
  </si>
  <si>
    <t>pedagang</t>
  </si>
  <si>
    <t>kp cipari rt/rw 02/13 desa gandamekar kecamatan kadungora kabupaten garut</t>
  </si>
  <si>
    <t>gandamekar</t>
  </si>
  <si>
    <t>0113490063</t>
  </si>
  <si>
    <t>3273035109110001</t>
  </si>
  <si>
    <t>Dokter</t>
  </si>
  <si>
    <t>3273031904120007</t>
  </si>
  <si>
    <t>Yusup Suparman</t>
  </si>
  <si>
    <t>YUSUF SUPARMAN</t>
  </si>
  <si>
    <t>3273031304900004</t>
  </si>
  <si>
    <t>082111702022</t>
  </si>
  <si>
    <t>JL.CARINGIN GG LUMBUNG IV</t>
  </si>
  <si>
    <t>03/05</t>
  </si>
  <si>
    <t>BABAKAN CIPARAY</t>
  </si>
  <si>
    <t>3273037110890006</t>
  </si>
  <si>
    <t>08995407144</t>
  </si>
  <si>
    <t>Rp. 1.000.001 - Rp. 2.000.000</t>
  </si>
  <si>
    <t>0108311562</t>
  </si>
  <si>
    <t>3201136306100001</t>
  </si>
  <si>
    <t>DUA</t>
  </si>
  <si>
    <t>Guru/Dosen</t>
  </si>
  <si>
    <t>3201130112080011</t>
  </si>
  <si>
    <t>JOKO SUMENDA</t>
  </si>
  <si>
    <t>CIANJUR</t>
  </si>
  <si>
    <t>3201132405800004</t>
  </si>
  <si>
    <t>082123619361</t>
  </si>
  <si>
    <t>KP. KUBANG</t>
  </si>
  <si>
    <t>CIMACAN</t>
  </si>
  <si>
    <t>CIPANA</t>
  </si>
  <si>
    <t>3201136305870004</t>
  </si>
  <si>
    <t>082130255855</t>
  </si>
  <si>
    <t>CIPANAS</t>
  </si>
  <si>
    <t>0129866964</t>
  </si>
  <si>
    <t>3204286307120001</t>
  </si>
  <si>
    <t>Belum tahu</t>
  </si>
  <si>
    <t>Menggambar</t>
  </si>
  <si>
    <t>3204280108120010</t>
  </si>
  <si>
    <t>Ecep Sudrajat</t>
  </si>
  <si>
    <t>3204281906750002</t>
  </si>
  <si>
    <t>Buruh Harian Lepas</t>
  </si>
  <si>
    <t>D III</t>
  </si>
  <si>
    <t>081322249555</t>
  </si>
  <si>
    <t>Jl.Anyelir IV No.64 Blok 14</t>
  </si>
  <si>
    <t>007/014</t>
  </si>
  <si>
    <t>Rancaekek Kencana</t>
  </si>
  <si>
    <t>Rancaekek</t>
  </si>
  <si>
    <t>Heni Susilowati</t>
  </si>
  <si>
    <t>3204284901840001</t>
  </si>
  <si>
    <t>Mengurus rumah tangga</t>
  </si>
  <si>
    <t>081321447662</t>
  </si>
  <si>
    <t>Jl.Anyelir IV No.64 blok 14</t>
  </si>
  <si>
    <t>0099430602</t>
  </si>
  <si>
    <t>3204384405090004</t>
  </si>
  <si>
    <t>AB</t>
  </si>
  <si>
    <t>3204380607120009</t>
  </si>
  <si>
    <t>REPA</t>
  </si>
  <si>
    <t>3204380404870001</t>
  </si>
  <si>
    <t>WIRASWASTA</t>
  </si>
  <si>
    <t>+62 821-1150-2837</t>
  </si>
  <si>
    <t>Kp. SUKATANI</t>
  </si>
  <si>
    <t xml:space="preserve"> 03 / 11</t>
  </si>
  <si>
    <t>Cikoneng</t>
  </si>
  <si>
    <t>Pasirjambu</t>
  </si>
  <si>
    <t>Jawabarat</t>
  </si>
  <si>
    <t>3204384809880003</t>
  </si>
  <si>
    <t>Rp. 500.001 - Rp. 1.000.000</t>
  </si>
  <si>
    <t>SUKATANI</t>
  </si>
  <si>
    <t>Rt03 rw11</t>
  </si>
  <si>
    <t>Jawa barat</t>
  </si>
  <si>
    <t>0129710073</t>
  </si>
  <si>
    <t>3204345808120002</t>
  </si>
  <si>
    <t>TNI/Polri</t>
  </si>
  <si>
    <t>3204340711070030</t>
  </si>
  <si>
    <t>Tony Nurul Falah</t>
  </si>
  <si>
    <t>3204341107840003</t>
  </si>
  <si>
    <t>089601294001</t>
  </si>
  <si>
    <t>Kp boncel</t>
  </si>
  <si>
    <t>001/011</t>
  </si>
  <si>
    <t>Bojongemas</t>
  </si>
  <si>
    <t>Solokanjeruk</t>
  </si>
  <si>
    <t>Elis Sopiah</t>
  </si>
  <si>
    <t>3204345703840009</t>
  </si>
  <si>
    <t>D1</t>
  </si>
  <si>
    <t>089656300785</t>
  </si>
  <si>
    <t>T</t>
  </si>
  <si>
    <t>0112390511</t>
  </si>
  <si>
    <t>3217094712110002</t>
  </si>
  <si>
    <t>Satu</t>
  </si>
  <si>
    <t>Dua</t>
  </si>
  <si>
    <t>Karate</t>
  </si>
  <si>
    <t>3217090612110008</t>
  </si>
  <si>
    <t>Taupik ramadhan</t>
  </si>
  <si>
    <t>3217090105890015</t>
  </si>
  <si>
    <t>Buruh</t>
  </si>
  <si>
    <t>089630998085</t>
  </si>
  <si>
    <t>kp. jalantir</t>
  </si>
  <si>
    <t>selacau</t>
  </si>
  <si>
    <t>Batujajar</t>
  </si>
  <si>
    <t>3217094202900024</t>
  </si>
  <si>
    <t>0895372109472</t>
  </si>
  <si>
    <t>Perumahan puri indah sari baru no B23</t>
  </si>
  <si>
    <t>Hegarmanah</t>
  </si>
  <si>
    <t>Cikancung</t>
  </si>
  <si>
    <t>0125390298</t>
  </si>
  <si>
    <t>7471074304120002</t>
  </si>
  <si>
    <t>Kendari</t>
  </si>
  <si>
    <t>Polwan</t>
  </si>
  <si>
    <t>7471072002080174</t>
  </si>
  <si>
    <t>Labunti</t>
  </si>
  <si>
    <t>7471071012740001</t>
  </si>
  <si>
    <t>ASN</t>
  </si>
  <si>
    <t>081525829634</t>
  </si>
  <si>
    <t>Jl.Chairil Anwar</t>
  </si>
  <si>
    <t>024/008</t>
  </si>
  <si>
    <t>Puuwatu</t>
  </si>
  <si>
    <t>Kota Kendari</t>
  </si>
  <si>
    <t>Sulawesi tenggara</t>
  </si>
  <si>
    <t>Siti Nurjanah, A.Ma</t>
  </si>
  <si>
    <t>7471074608830002</t>
  </si>
  <si>
    <t>D2</t>
  </si>
  <si>
    <t>085232213733</t>
  </si>
  <si>
    <t>Jl. Chairil Anwar</t>
  </si>
  <si>
    <t>Tututario SE,S.Kom</t>
  </si>
  <si>
    <t>0093945762</t>
  </si>
  <si>
    <t>3204336801090005</t>
  </si>
  <si>
    <t>3204332705050233</t>
  </si>
  <si>
    <t>ACUN SAEPULOH</t>
  </si>
  <si>
    <t>3204332711770005</t>
  </si>
  <si>
    <t>082117447046</t>
  </si>
  <si>
    <t>Kp.SUKAMANAH</t>
  </si>
  <si>
    <t>03/12</t>
  </si>
  <si>
    <t>MAJAKERTA</t>
  </si>
  <si>
    <t>MAJALAYA</t>
  </si>
  <si>
    <t>3204334910840008</t>
  </si>
  <si>
    <t>082171349090</t>
  </si>
  <si>
    <t>KP. SUKAMANAH</t>
  </si>
  <si>
    <t>0081404561</t>
  </si>
  <si>
    <t>3175095712081005</t>
  </si>
  <si>
    <t>Jakarta</t>
  </si>
  <si>
    <t>3175092701131002</t>
  </si>
  <si>
    <t>Agus dahlan</t>
  </si>
  <si>
    <t>3211150606820005</t>
  </si>
  <si>
    <t>082211000382</t>
  </si>
  <si>
    <t>Jl.poncol GG.nusaindah</t>
  </si>
  <si>
    <t>001/007</t>
  </si>
  <si>
    <t>Ciracas</t>
  </si>
  <si>
    <t>Jakarta timur</t>
  </si>
  <si>
    <t>DKI jakarta</t>
  </si>
  <si>
    <t>Haerani</t>
  </si>
  <si>
    <t>3211154101890013</t>
  </si>
  <si>
    <t>082211000208</t>
  </si>
  <si>
    <t>Jl.poncol GG nusaindah</t>
  </si>
  <si>
    <t>Sewa/Kontrak</t>
  </si>
  <si>
    <t>0111885260</t>
  </si>
  <si>
    <t>3204336307110001</t>
  </si>
  <si>
    <t>3204352605150007</t>
  </si>
  <si>
    <t>3204331307830001</t>
  </si>
  <si>
    <t>08980919102</t>
  </si>
  <si>
    <t>Kp. Babakan Jati</t>
  </si>
  <si>
    <t>Cipaku</t>
  </si>
  <si>
    <t>Paseh</t>
  </si>
  <si>
    <t>Fatimah, A.Md. Kep</t>
  </si>
  <si>
    <t>3204336206870003</t>
  </si>
  <si>
    <t>D3</t>
  </si>
  <si>
    <t>089619145335</t>
  </si>
  <si>
    <t>0117909942</t>
  </si>
  <si>
    <t>3204295710110004</t>
  </si>
  <si>
    <t>Berbakat/Kecerdasan Luar Biasa</t>
  </si>
  <si>
    <t>3204290810120133</t>
  </si>
  <si>
    <t>Atin Mulyadi</t>
  </si>
  <si>
    <t>3204292601860002</t>
  </si>
  <si>
    <t>085320667850</t>
  </si>
  <si>
    <t>Kp.Babakan Cianjur</t>
  </si>
  <si>
    <t>001/008</t>
  </si>
  <si>
    <t>Sumbersari</t>
  </si>
  <si>
    <t>Siti Rohayati</t>
  </si>
  <si>
    <t>Lebak</t>
  </si>
  <si>
    <t>3204294204870002</t>
  </si>
  <si>
    <t>Ibu Rumah Tangga</t>
  </si>
  <si>
    <t>083843497629</t>
  </si>
  <si>
    <t>0119920248</t>
  </si>
  <si>
    <t>3273304305110002</t>
  </si>
  <si>
    <t>A</t>
  </si>
  <si>
    <t>3273300412180005</t>
  </si>
  <si>
    <t>HENI TARYANI</t>
  </si>
  <si>
    <t>Brebes</t>
  </si>
  <si>
    <t>3273301212700008</t>
  </si>
  <si>
    <t>Pegawai Swasta</t>
  </si>
  <si>
    <t>Cikarang</t>
  </si>
  <si>
    <t>00/00</t>
  </si>
  <si>
    <t>3273304710920002</t>
  </si>
  <si>
    <t>Wirausaha</t>
  </si>
  <si>
    <t>087733704001</t>
  </si>
  <si>
    <t>Jl. Jatihandap timur no 68</t>
  </si>
  <si>
    <t>003/007</t>
  </si>
  <si>
    <t>Jatihandap</t>
  </si>
  <si>
    <t>Mandalajati</t>
  </si>
  <si>
    <t>40193</t>
  </si>
  <si>
    <t>Ibu Kandung</t>
  </si>
  <si>
    <t>Jl. Jatihandap timur</t>
  </si>
  <si>
    <t>0125766091</t>
  </si>
  <si>
    <t>1706044707120001</t>
  </si>
  <si>
    <t>Air hitam</t>
  </si>
  <si>
    <t>Menulis</t>
  </si>
  <si>
    <t>1706042302100020</t>
  </si>
  <si>
    <t>Mahmud yunus</t>
  </si>
  <si>
    <t>Cimahi</t>
  </si>
  <si>
    <t>1706041804770002</t>
  </si>
  <si>
    <t>083171285817</t>
  </si>
  <si>
    <t>006/002</t>
  </si>
  <si>
    <t>Pondok suguh</t>
  </si>
  <si>
    <t>Muko muko</t>
  </si>
  <si>
    <t>1706046801890001</t>
  </si>
  <si>
    <t>+6283171285817</t>
  </si>
  <si>
    <t>Muko-muko</t>
  </si>
  <si>
    <t>0125455523</t>
  </si>
  <si>
    <t>3204084301120001</t>
  </si>
  <si>
    <t>3204082012060028</t>
  </si>
  <si>
    <t>Holid Saepudin</t>
  </si>
  <si>
    <t>3204082301740002</t>
  </si>
  <si>
    <t>Wirasuata</t>
  </si>
  <si>
    <t>089602491890</t>
  </si>
  <si>
    <t>Komplek Mutiara bandung selatan blok D 96</t>
  </si>
  <si>
    <t>06/09</t>
  </si>
  <si>
    <t>Bojong soang</t>
  </si>
  <si>
    <t>Suliah</t>
  </si>
  <si>
    <t>3204086111820006</t>
  </si>
  <si>
    <t>088212773264</t>
  </si>
  <si>
    <t>Holid saepudin</t>
  </si>
  <si>
    <t>Komplek Mutiara blok D96</t>
  </si>
  <si>
    <t>40287-40288</t>
  </si>
  <si>
    <t>0118654728</t>
  </si>
  <si>
    <t>3213036710110005</t>
  </si>
  <si>
    <t>3213031206084456</t>
  </si>
  <si>
    <t>Sendy Prabowo</t>
  </si>
  <si>
    <t>3213031901830009</t>
  </si>
  <si>
    <t>081224266694</t>
  </si>
  <si>
    <t>blok Cilaja</t>
  </si>
  <si>
    <t>66/22</t>
  </si>
  <si>
    <t>cigadung</t>
  </si>
  <si>
    <t>subang</t>
  </si>
  <si>
    <t>Romelin</t>
  </si>
  <si>
    <t>Karawang</t>
  </si>
  <si>
    <t>3213035008840012</t>
  </si>
  <si>
    <t>085220862350</t>
  </si>
  <si>
    <t>Perumahan Asabri bumi Kiara indah</t>
  </si>
  <si>
    <t>Citimun</t>
  </si>
  <si>
    <t>Cimalaka</t>
  </si>
  <si>
    <t>3112950807</t>
  </si>
  <si>
    <t>3204137110110003</t>
  </si>
  <si>
    <t>3204130306052485</t>
  </si>
  <si>
    <t>Rohendi</t>
  </si>
  <si>
    <t>3204130203690007</t>
  </si>
  <si>
    <t>0813 1242 9560</t>
  </si>
  <si>
    <t>Kp.Tarigu</t>
  </si>
  <si>
    <t>003 / 001</t>
  </si>
  <si>
    <t>Margahurip</t>
  </si>
  <si>
    <t>Banjaran</t>
  </si>
  <si>
    <t>Titin Rukiyah</t>
  </si>
  <si>
    <t>3204137003740014</t>
  </si>
  <si>
    <t>0121516619</t>
  </si>
  <si>
    <t>3205206902120003</t>
  </si>
  <si>
    <t>GARUT</t>
  </si>
  <si>
    <t>29/02/2021</t>
  </si>
  <si>
    <t>3205201309120008</t>
  </si>
  <si>
    <t>MUHAMAD MADANI</t>
  </si>
  <si>
    <t>BADUNG</t>
  </si>
  <si>
    <t>3205200503830012</t>
  </si>
  <si>
    <t>BURUH</t>
  </si>
  <si>
    <t>081222663719</t>
  </si>
  <si>
    <t>Kp. Palalangon lebak</t>
  </si>
  <si>
    <t>02/05</t>
  </si>
  <si>
    <t>Cisurupan</t>
  </si>
  <si>
    <t>3205205205870006</t>
  </si>
  <si>
    <t>085220078850</t>
  </si>
  <si>
    <t>Kp. Palalangon Lebak</t>
  </si>
  <si>
    <t>0111112517</t>
  </si>
  <si>
    <t>1701015411100002</t>
  </si>
  <si>
    <t>BENGKULU SELATAN</t>
  </si>
  <si>
    <t>Wali/Orang tua Asuh</t>
  </si>
  <si>
    <t>1701012003240001</t>
  </si>
  <si>
    <t>SASTRYON</t>
  </si>
  <si>
    <t>Meninggal</t>
  </si>
  <si>
    <t>1701010107710002</t>
  </si>
  <si>
    <t>Tidak ada</t>
  </si>
  <si>
    <t xml:space="preserve">Desa Keban Agung 2 </t>
  </si>
  <si>
    <t>Desa</t>
  </si>
  <si>
    <t>keban agung 2</t>
  </si>
  <si>
    <t>KEDURANG</t>
  </si>
  <si>
    <t>BENGKULU</t>
  </si>
  <si>
    <t>Curup</t>
  </si>
  <si>
    <t>1701014107730007</t>
  </si>
  <si>
    <t>Desa Keban Agung II</t>
  </si>
  <si>
    <t>Kedurang</t>
  </si>
  <si>
    <t>Bengkulu Selatan</t>
  </si>
  <si>
    <t>Kakak Kandung</t>
  </si>
  <si>
    <t>Keban Agung II</t>
  </si>
  <si>
    <t>1701012712940001</t>
  </si>
  <si>
    <t>&lt;= Rp. 500.000</t>
  </si>
  <si>
    <t>Desa keban agung II</t>
  </si>
  <si>
    <t>Bengkulu selatan</t>
  </si>
  <si>
    <t>WULAN FITRIANI</t>
  </si>
  <si>
    <t>0114356559</t>
  </si>
  <si>
    <t>3211156008110004</t>
  </si>
  <si>
    <t>3211152607120008</t>
  </si>
  <si>
    <t>Budhi purwadhi mukti</t>
  </si>
  <si>
    <t>3273252606760003</t>
  </si>
  <si>
    <t>081395121199</t>
  </si>
  <si>
    <t>dudun cikeruh</t>
  </si>
  <si>
    <t>RT 05/RW 09</t>
  </si>
  <si>
    <t>Cikeruh</t>
  </si>
  <si>
    <t>Jatinangor</t>
  </si>
  <si>
    <t>Yuyun Yunengsih</t>
  </si>
  <si>
    <t>3273255308770003</t>
  </si>
  <si>
    <t>089661993655</t>
  </si>
  <si>
    <t>Desa cikeruh kecamatan Jatinangor kabupaten Sumedang</t>
  </si>
  <si>
    <t>RT 01/RW 09</t>
  </si>
  <si>
    <t>Gojek online</t>
  </si>
  <si>
    <t>Desa cikeruh kecamatan Jatinangor kabupaten Sumedang Jawa Barat</t>
  </si>
  <si>
    <t>0116434685</t>
  </si>
  <si>
    <t>3204114609110001</t>
  </si>
  <si>
    <t>3204110512120033</t>
  </si>
  <si>
    <t>Muhamad Taufik</t>
  </si>
  <si>
    <t>3204110702880011</t>
  </si>
  <si>
    <t>Karyawan swasta</t>
  </si>
  <si>
    <t>088218897585</t>
  </si>
  <si>
    <t>Muara Ciwidey</t>
  </si>
  <si>
    <t>003/002</t>
  </si>
  <si>
    <t>Cilampeni</t>
  </si>
  <si>
    <t>3204116711880003</t>
  </si>
  <si>
    <t>088802243640</t>
  </si>
  <si>
    <t>Muaraciwidey</t>
  </si>
  <si>
    <t>1-B</t>
  </si>
  <si>
    <t>0119551461</t>
  </si>
  <si>
    <t>3211114211110003</t>
  </si>
  <si>
    <t>Nonton</t>
  </si>
  <si>
    <t>3211112106110004</t>
  </si>
  <si>
    <t>Agus Dian Pertiwa</t>
  </si>
  <si>
    <t>3211111908880007</t>
  </si>
  <si>
    <t>Swasta</t>
  </si>
  <si>
    <t>Dusun Pangkalan</t>
  </si>
  <si>
    <t>03/011</t>
  </si>
  <si>
    <t>Margajaya</t>
  </si>
  <si>
    <t>Tanjungsari</t>
  </si>
  <si>
    <t>Tita Rosmala</t>
  </si>
  <si>
    <t>3211116005910006</t>
  </si>
  <si>
    <t>0128046825</t>
  </si>
  <si>
    <t>3205136503120002</t>
  </si>
  <si>
    <t>Berenang</t>
  </si>
  <si>
    <t>3205131601120002</t>
  </si>
  <si>
    <t>Wawan</t>
  </si>
  <si>
    <t>3205131712740001</t>
  </si>
  <si>
    <t>Karyawan Swasta</t>
  </si>
  <si>
    <t>Kp.Kubang</t>
  </si>
  <si>
    <t>03/04</t>
  </si>
  <si>
    <t>Nanjung Jaya</t>
  </si>
  <si>
    <t>Kersamanah</t>
  </si>
  <si>
    <t>Ai Yati</t>
  </si>
  <si>
    <t>3205135506810001</t>
  </si>
  <si>
    <t>0119028338</t>
  </si>
  <si>
    <t>3204136008110001</t>
  </si>
  <si>
    <t>Baandung</t>
  </si>
  <si>
    <t>3204130611120103</t>
  </si>
  <si>
    <t>Ade rifki kristiana</t>
  </si>
  <si>
    <t>3204133103830005</t>
  </si>
  <si>
    <t>Kp.citeureup</t>
  </si>
  <si>
    <t>04/014</t>
  </si>
  <si>
    <t>Neglasari</t>
  </si>
  <si>
    <t>BANJARAN</t>
  </si>
  <si>
    <t>Ika Rahmawati</t>
  </si>
  <si>
    <t>3204135205840002</t>
  </si>
  <si>
    <t>3215266201120002</t>
  </si>
  <si>
    <t>3215262910070038</t>
  </si>
  <si>
    <t>Tasikmalaya</t>
  </si>
  <si>
    <t>3215260702720002</t>
  </si>
  <si>
    <t>+62 899-9435-849</t>
  </si>
  <si>
    <t>Johar Barat</t>
  </si>
  <si>
    <t>005/017</t>
  </si>
  <si>
    <t>Karawang wetan</t>
  </si>
  <si>
    <t>Karawang Timur</t>
  </si>
  <si>
    <t>jawa barat</t>
  </si>
  <si>
    <t>Nurhasanah</t>
  </si>
  <si>
    <t>3215265507770003</t>
  </si>
  <si>
    <t>kakak kandung</t>
  </si>
  <si>
    <t>naufal Najib</t>
  </si>
  <si>
    <t>mahasiswa</t>
  </si>
  <si>
    <t>3273305108120001</t>
  </si>
  <si>
    <t>Chep</t>
  </si>
  <si>
    <t>3273302111120007</t>
  </si>
  <si>
    <t>Dadang Darmawan</t>
  </si>
  <si>
    <t>3273300503760004</t>
  </si>
  <si>
    <t xml:space="preserve">Jl Arcamanik gg cempaka </t>
  </si>
  <si>
    <t>04/09</t>
  </si>
  <si>
    <t>Pasir Impun</t>
  </si>
  <si>
    <t>Kota Bandung</t>
  </si>
  <si>
    <t>Jawab Barat</t>
  </si>
  <si>
    <t>Ela Maelasari</t>
  </si>
  <si>
    <t>3273306401780001</t>
  </si>
  <si>
    <t>Jl arcamanik gg cempaka</t>
  </si>
  <si>
    <t>Kota bandung</t>
  </si>
  <si>
    <t>3210142711110001</t>
  </si>
  <si>
    <t>MAJALENGKA</t>
  </si>
  <si>
    <t>3210141508080006</t>
  </si>
  <si>
    <t>DIDING SOLAHUDIN</t>
  </si>
  <si>
    <t>3210140607710021</t>
  </si>
  <si>
    <t>BLOK KIDUL</t>
  </si>
  <si>
    <t>004/002</t>
  </si>
  <si>
    <t>SUKAWSNA</t>
  </si>
  <si>
    <t>KERTAJATI</t>
  </si>
  <si>
    <t>3210142603810021</t>
  </si>
  <si>
    <t>SUKAWANA</t>
  </si>
  <si>
    <t>0117121336</t>
  </si>
  <si>
    <t>3277026406110003</t>
  </si>
  <si>
    <t>3277020207090253</t>
  </si>
  <si>
    <t>Oman Rohman</t>
  </si>
  <si>
    <t>3277023006820011</t>
  </si>
  <si>
    <t>Jl.Pojok Utara II</t>
  </si>
  <si>
    <t>04/05</t>
  </si>
  <si>
    <t>Setiamanah</t>
  </si>
  <si>
    <t>Cimahi Tengah</t>
  </si>
  <si>
    <t>Dini Wahyuni</t>
  </si>
  <si>
    <t>3277024812880001</t>
  </si>
  <si>
    <t>DIII</t>
  </si>
  <si>
    <t>3126235472</t>
  </si>
  <si>
    <t>3211156206120001</t>
  </si>
  <si>
    <t>MI (Madrasah Ibtidaiyah)</t>
  </si>
  <si>
    <t>3211150401120005</t>
  </si>
  <si>
    <t>Dede Nazar Kurnia</t>
  </si>
  <si>
    <t>3211151405850017</t>
  </si>
  <si>
    <t>Dusun Citeureup</t>
  </si>
  <si>
    <t>002/009</t>
  </si>
  <si>
    <t>Cilayung</t>
  </si>
  <si>
    <t>Yati Sumiati</t>
  </si>
  <si>
    <t>3273036005880005</t>
  </si>
  <si>
    <t>Rumah Tangga</t>
  </si>
  <si>
    <t>3205104202110001</t>
  </si>
  <si>
    <t>02/02/2011</t>
  </si>
  <si>
    <t>MAIN BOLA</t>
  </si>
  <si>
    <t>USTADZAH</t>
  </si>
  <si>
    <t>ORANG TUA</t>
  </si>
  <si>
    <t>3205102109210009</t>
  </si>
  <si>
    <t>HIDUP</t>
  </si>
  <si>
    <t>3205100107880080</t>
  </si>
  <si>
    <t>TAMAT SD/SEDERAJAT</t>
  </si>
  <si>
    <t>KP.LUNJUK HILIR</t>
  </si>
  <si>
    <t>04/13</t>
  </si>
  <si>
    <t>TALAGASARI</t>
  </si>
  <si>
    <t>KADUNGORA</t>
  </si>
  <si>
    <t>18-10-1987</t>
  </si>
  <si>
    <t>3205105810870003</t>
  </si>
  <si>
    <t>SLTP/SEDERAJAT</t>
  </si>
  <si>
    <t>S</t>
  </si>
  <si>
    <t>LIA APRILIANI</t>
  </si>
  <si>
    <t>0076288197</t>
  </si>
  <si>
    <t>3273226604070002</t>
  </si>
  <si>
    <t>26/04/2007</t>
  </si>
  <si>
    <t>MENULIS</t>
  </si>
  <si>
    <t>GURU</t>
  </si>
  <si>
    <t>3273222009120026</t>
  </si>
  <si>
    <t>DEDI</t>
  </si>
  <si>
    <t>3273220708840002</t>
  </si>
  <si>
    <t>JL.RANCABOLANG NO .79</t>
  </si>
  <si>
    <t>04/04</t>
  </si>
  <si>
    <t>SEKEJATI</t>
  </si>
  <si>
    <t>BUAHBATU</t>
  </si>
  <si>
    <t>01/06/1986</t>
  </si>
  <si>
    <t>3205284106860002</t>
  </si>
  <si>
    <t>JL.RANCABOLANG NO.79</t>
  </si>
  <si>
    <t>40286</t>
  </si>
  <si>
    <t>s</t>
  </si>
  <si>
    <t>0112186112</t>
  </si>
  <si>
    <t>3215055802110005</t>
  </si>
  <si>
    <t>menggambar</t>
  </si>
  <si>
    <t>3215050201130076</t>
  </si>
  <si>
    <t>Azam Nurofik</t>
  </si>
  <si>
    <t>Pemalang</t>
  </si>
  <si>
    <t>3215050510820010</t>
  </si>
  <si>
    <t>prum DE Griya Blok J 7 / 27</t>
  </si>
  <si>
    <t>18/13</t>
  </si>
  <si>
    <t>cibalongsari</t>
  </si>
  <si>
    <t>kelari</t>
  </si>
  <si>
    <t>Noviyanti</t>
  </si>
  <si>
    <t>3211154611860018</t>
  </si>
  <si>
    <t>S 2</t>
  </si>
  <si>
    <t>0126407847</t>
  </si>
  <si>
    <t>3273154101120005</t>
  </si>
  <si>
    <t>01/01/2012</t>
  </si>
  <si>
    <t>2 (Dua)</t>
  </si>
  <si>
    <t>3 (Tiga)</t>
  </si>
  <si>
    <t>3273151707140002</t>
  </si>
  <si>
    <t>Oki Saparingga</t>
  </si>
  <si>
    <t>3204462810870002</t>
  </si>
  <si>
    <t>kmp. Cigonewah kaler</t>
  </si>
  <si>
    <t>Cigondewah Kaler</t>
  </si>
  <si>
    <t>Bandung Kulon</t>
  </si>
  <si>
    <t>Mawar Lilis Gantina</t>
  </si>
  <si>
    <t>3273156810870003</t>
  </si>
  <si>
    <t>Karyawan Pabrik</t>
  </si>
  <si>
    <t>0129698816</t>
  </si>
  <si>
    <t>3205045804120005</t>
  </si>
  <si>
    <t>3205042611070106</t>
  </si>
  <si>
    <t>Ahmad Hasan Basri</t>
  </si>
  <si>
    <t>3205040304700006</t>
  </si>
  <si>
    <t>SMA</t>
  </si>
  <si>
    <t>08122131616a</t>
  </si>
  <si>
    <t>GARUT PERUMAHAN BUMI MALAYU ASRI BLOK G23</t>
  </si>
  <si>
    <t>02/09</t>
  </si>
  <si>
    <t>SIRNAJAYA</t>
  </si>
  <si>
    <t>TAROGONG KALER</t>
  </si>
  <si>
    <t>3205045708730003</t>
  </si>
  <si>
    <t>.</t>
  </si>
  <si>
    <t>01/01/0111</t>
  </si>
  <si>
    <t>0112900321</t>
  </si>
  <si>
    <t>3204174811110001</t>
  </si>
  <si>
    <t>3204172504130009</t>
  </si>
  <si>
    <t>Uu Suryana</t>
  </si>
  <si>
    <t>UU SURYANA</t>
  </si>
  <si>
    <t>3204170608650004</t>
  </si>
  <si>
    <t>KP.CIAWITALI</t>
  </si>
  <si>
    <t>04/07</t>
  </si>
  <si>
    <t>PASIRHUNI</t>
  </si>
  <si>
    <t>CIMAUNG</t>
  </si>
  <si>
    <t>3204176005750004</t>
  </si>
  <si>
    <t>0113956011</t>
  </si>
  <si>
    <t>3273204708110002</t>
  </si>
  <si>
    <t>BERENANG</t>
  </si>
  <si>
    <t>3273240610105196</t>
  </si>
  <si>
    <t>Ikin</t>
  </si>
  <si>
    <t>Tidak Diketahui</t>
  </si>
  <si>
    <t>01/01/0001</t>
  </si>
  <si>
    <t>000000000000000</t>
  </si>
  <si>
    <t>3273204503770001</t>
  </si>
  <si>
    <t>Parakan Saat</t>
  </si>
  <si>
    <t>04/06</t>
  </si>
  <si>
    <t>Cisaranten Endah</t>
  </si>
  <si>
    <t xml:space="preserve">arcamanik </t>
  </si>
  <si>
    <t>KAKAK KANDUNG</t>
  </si>
  <si>
    <t>SOPIAN</t>
  </si>
  <si>
    <t>3273200602960001</t>
  </si>
  <si>
    <t>PENJAGA TOKO MAKANAN, GOJEK</t>
  </si>
  <si>
    <t>3109362914</t>
  </si>
  <si>
    <t>3172034703101008</t>
  </si>
  <si>
    <t>07/03/2010</t>
  </si>
  <si>
    <t>MENONTON</t>
  </si>
  <si>
    <t xml:space="preserve">DOKTER </t>
  </si>
  <si>
    <t>MI</t>
  </si>
  <si>
    <t>3172031010110007</t>
  </si>
  <si>
    <t>JAKARTA</t>
  </si>
  <si>
    <t>21/07/1977</t>
  </si>
  <si>
    <t>3172032107770011</t>
  </si>
  <si>
    <t>SLTA/SEDERAJAT</t>
  </si>
  <si>
    <t>JL.MANGGA BLOK A GG.IV/13</t>
  </si>
  <si>
    <t>08/09</t>
  </si>
  <si>
    <t>LAGOA</t>
  </si>
  <si>
    <t>KOJA</t>
  </si>
  <si>
    <t>JAKARTA UTARA</t>
  </si>
  <si>
    <t>DKI JAKARTA</t>
  </si>
  <si>
    <t>05/05/1989</t>
  </si>
  <si>
    <t>3601204906890001</t>
  </si>
  <si>
    <t>3211224309110001</t>
  </si>
  <si>
    <t>Ustadzah</t>
  </si>
  <si>
    <t>3211222711080008</t>
  </si>
  <si>
    <t>Bambang Purnama Komara Rohidayat</t>
  </si>
  <si>
    <t>3211220406880001</t>
  </si>
  <si>
    <t>Dsn. Pamekarsari</t>
  </si>
  <si>
    <t>01/03</t>
  </si>
  <si>
    <t>Trunamanggala</t>
  </si>
  <si>
    <t>Yeti Oyi Dini Latifah</t>
  </si>
  <si>
    <t>3211225209900006</t>
  </si>
  <si>
    <t>Guru</t>
  </si>
  <si>
    <t>0128652114</t>
  </si>
  <si>
    <t>3273115306120003</t>
  </si>
  <si>
    <t>Ustadzah, mengajar</t>
  </si>
  <si>
    <t>3273112912120005</t>
  </si>
  <si>
    <t>Suryana</t>
  </si>
  <si>
    <t>3273111101820007</t>
  </si>
  <si>
    <t>Tukang Bangunan Majelis Dzikir Al-Baariq</t>
  </si>
  <si>
    <t>Jl. Pasirluyu No.121</t>
  </si>
  <si>
    <t>003/005</t>
  </si>
  <si>
    <t>Pasirluyu</t>
  </si>
  <si>
    <t>R. Yenny Priastuti Darmawan</t>
  </si>
  <si>
    <t>Serang</t>
  </si>
  <si>
    <t>3273115001840007</t>
  </si>
  <si>
    <t>Regol</t>
  </si>
  <si>
    <t>0124157734</t>
  </si>
  <si>
    <t>3204284303120003</t>
  </si>
  <si>
    <t>Chef</t>
  </si>
  <si>
    <t>3104282303120024</t>
  </si>
  <si>
    <t>Makbul</t>
  </si>
  <si>
    <t>3204281607720001</t>
  </si>
  <si>
    <t>Bhl</t>
  </si>
  <si>
    <t xml:space="preserve"> Melur V no 17 blok 15 Rancaekek kencana</t>
  </si>
  <si>
    <t>04/15</t>
  </si>
  <si>
    <t>rancaekek kencana</t>
  </si>
  <si>
    <t>3204285211790001</t>
  </si>
  <si>
    <t>Irt</t>
  </si>
  <si>
    <t>3204136512110004</t>
  </si>
  <si>
    <t>3204132601170012</t>
  </si>
  <si>
    <t>Andri Arisandi</t>
  </si>
  <si>
    <t>ANDRI ARISANDI</t>
  </si>
  <si>
    <t>3204130309830005</t>
  </si>
  <si>
    <t>KP.SIRNAPIKIR</t>
  </si>
  <si>
    <t>002/002</t>
  </si>
  <si>
    <t>BANJARAN KULON</t>
  </si>
  <si>
    <t>3204136202890002</t>
  </si>
  <si>
    <t>D 3</t>
  </si>
  <si>
    <t>0114367446</t>
  </si>
  <si>
    <t>3273154709110005</t>
  </si>
  <si>
    <t>Dua (2)</t>
  </si>
  <si>
    <t>Tiga (3)</t>
  </si>
  <si>
    <t>3211111612160001</t>
  </si>
  <si>
    <t>Arif Fajarudin</t>
  </si>
  <si>
    <t>3273152002860011</t>
  </si>
  <si>
    <t>Perum tanjungsari permai blok ea no 3</t>
  </si>
  <si>
    <t>03/10</t>
  </si>
  <si>
    <t>Raharja</t>
  </si>
  <si>
    <t>Siti Romlah Yulistian</t>
  </si>
  <si>
    <t>3273156007880013</t>
  </si>
  <si>
    <t>0119985520</t>
  </si>
  <si>
    <t>3211176508110002</t>
  </si>
  <si>
    <t>Beasiswa Yatim</t>
  </si>
  <si>
    <t>3211131504130001</t>
  </si>
  <si>
    <t>Enjang Sulaeman</t>
  </si>
  <si>
    <t>Budi Soleh Baran</t>
  </si>
  <si>
    <t>0000000000000000</t>
  </si>
  <si>
    <t>XXXX</t>
  </si>
  <si>
    <t>XXXXX</t>
  </si>
  <si>
    <t>Siti Nur Sofa Samuroh</t>
  </si>
  <si>
    <t>3211174609830005</t>
  </si>
  <si>
    <t>Dsn. Rengganis</t>
  </si>
  <si>
    <t>01/02</t>
  </si>
  <si>
    <t>Haurngombong</t>
  </si>
  <si>
    <t>Pamulihan</t>
  </si>
  <si>
    <t>Ayah Sambung</t>
  </si>
  <si>
    <t>3211112002770004</t>
  </si>
  <si>
    <t>3204145109110002</t>
  </si>
  <si>
    <t>3204141308120020</t>
  </si>
  <si>
    <t>Muhamad dede ali daud</t>
  </si>
  <si>
    <t>3204140206830004</t>
  </si>
  <si>
    <t>Kp tambakan</t>
  </si>
  <si>
    <t>002/001</t>
  </si>
  <si>
    <t>Bojong kunci</t>
  </si>
  <si>
    <t>Pameungpeuk</t>
  </si>
  <si>
    <t>3204144602910001</t>
  </si>
  <si>
    <t>+62 852-1403-1460</t>
  </si>
  <si>
    <t>0112558967</t>
  </si>
  <si>
    <t>3273254910110003</t>
  </si>
  <si>
    <t>09/10/2011</t>
  </si>
  <si>
    <t>3273251509120001</t>
  </si>
  <si>
    <t>APEP KUSWARA</t>
  </si>
  <si>
    <t>3273252611760002</t>
  </si>
  <si>
    <t>Jln. Cilenkrang 1, No.13</t>
  </si>
  <si>
    <t>Cibiru</t>
  </si>
  <si>
    <t>3273255212850002</t>
  </si>
  <si>
    <t>Jln. Cilengkrang 1, No.13</t>
  </si>
  <si>
    <t>0094305005</t>
  </si>
  <si>
    <t>3211185505090002</t>
  </si>
  <si>
    <t>3211182408210007</t>
  </si>
  <si>
    <t>Leny Nurwulan</t>
  </si>
  <si>
    <t>Asep Saepudin</t>
  </si>
  <si>
    <t>xxxx</t>
  </si>
  <si>
    <t>xx/xx</t>
  </si>
  <si>
    <t>xxxxx</t>
  </si>
  <si>
    <t>3211185712840006</t>
  </si>
  <si>
    <t>Pedagang</t>
  </si>
  <si>
    <t>gang Mesjid</t>
  </si>
  <si>
    <t>02/07</t>
  </si>
  <si>
    <t>Kota Kaler</t>
  </si>
  <si>
    <t>0125836188</t>
  </si>
  <si>
    <t>3211116702120001</t>
  </si>
  <si>
    <t>Pengusaha</t>
  </si>
  <si>
    <t>3211111904110008</t>
  </si>
  <si>
    <t>Dadan saputra</t>
  </si>
  <si>
    <t>3211110507860001</t>
  </si>
  <si>
    <t>Dsn. Cijanggel</t>
  </si>
  <si>
    <t>03/01</t>
  </si>
  <si>
    <t>cinanjung</t>
  </si>
  <si>
    <t xml:space="preserve">tanjungsari </t>
  </si>
  <si>
    <t>Nurhayati</t>
  </si>
  <si>
    <t>3211115805890004</t>
  </si>
  <si>
    <t>Kp lunjuk</t>
  </si>
  <si>
    <t>Cisempur</t>
  </si>
  <si>
    <t>0126728496</t>
  </si>
  <si>
    <t>3213045104120002</t>
  </si>
  <si>
    <t>SUBANG</t>
  </si>
  <si>
    <t>3213040704100267</t>
  </si>
  <si>
    <t>ICI KUSDINAR</t>
  </si>
  <si>
    <t>3213041004820075</t>
  </si>
  <si>
    <t>Blok Kaum</t>
  </si>
  <si>
    <t>19/06</t>
  </si>
  <si>
    <t>Kalijati Barat</t>
  </si>
  <si>
    <t>Kalijati</t>
  </si>
  <si>
    <t>Subang</t>
  </si>
  <si>
    <t>3213046812830012</t>
  </si>
  <si>
    <t>Ayah kandung</t>
  </si>
  <si>
    <t>Padagang</t>
  </si>
  <si>
    <t>Babakan sereh</t>
  </si>
  <si>
    <t>Dawuan barat</t>
  </si>
  <si>
    <t>Cikampek</t>
  </si>
  <si>
    <t>0088872501</t>
  </si>
  <si>
    <t>3204374906080001</t>
  </si>
  <si>
    <t>3204371905120012</t>
  </si>
  <si>
    <t>DEDI ISKANDAR</t>
  </si>
  <si>
    <t>3204370611830001</t>
  </si>
  <si>
    <t>KP. CIBURIAL BARAT</t>
  </si>
  <si>
    <t>SOREANG</t>
  </si>
  <si>
    <t>3204375308820011</t>
  </si>
  <si>
    <t>0112782637</t>
  </si>
  <si>
    <t>3205135005110003</t>
  </si>
  <si>
    <t>MENGHAFAL QUR'AN</t>
  </si>
  <si>
    <t>3205132812070653</t>
  </si>
  <si>
    <t>Syarif Hidayat</t>
  </si>
  <si>
    <t>SYARIF HIDAYAT</t>
  </si>
  <si>
    <t>3205130702800001</t>
  </si>
  <si>
    <t>KP.CIPEUJEUH</t>
  </si>
  <si>
    <t>SUKAMERANG</t>
  </si>
  <si>
    <t>KERSAMANAH</t>
  </si>
  <si>
    <t>3205134807860001</t>
  </si>
  <si>
    <t>0119779717</t>
  </si>
  <si>
    <t>3211155111110004</t>
  </si>
  <si>
    <t>Menyanyi</t>
  </si>
  <si>
    <t>3211151703063484</t>
  </si>
  <si>
    <t>Amin Miming</t>
  </si>
  <si>
    <t>3211152208760011</t>
  </si>
  <si>
    <t>Dusun Sirnagalih</t>
  </si>
  <si>
    <t>Mekargalih</t>
  </si>
  <si>
    <t>Ginarti</t>
  </si>
  <si>
    <t>Madiun</t>
  </si>
  <si>
    <t>3211154902800025</t>
  </si>
  <si>
    <t>2-A</t>
  </si>
  <si>
    <t>0115325340</t>
  </si>
  <si>
    <t>3204095708110002</t>
  </si>
  <si>
    <t xml:space="preserve">BANDUNG </t>
  </si>
  <si>
    <t>17/08/2011</t>
  </si>
  <si>
    <t>*</t>
  </si>
  <si>
    <t>MENDENGAR LAGU</t>
  </si>
  <si>
    <t>PENGUSAHA</t>
  </si>
  <si>
    <t xml:space="preserve">3204092104051750 </t>
  </si>
  <si>
    <t>16/02/1981</t>
  </si>
  <si>
    <t>3204091602810001</t>
  </si>
  <si>
    <t>081770019447</t>
  </si>
  <si>
    <t xml:space="preserve">KP SADANG </t>
  </si>
  <si>
    <t>05/08</t>
  </si>
  <si>
    <t>MARGAHAYU TENGAH</t>
  </si>
  <si>
    <t>MARGAHAYU</t>
  </si>
  <si>
    <t>3204094506830006</t>
  </si>
  <si>
    <t>0105728533</t>
  </si>
  <si>
    <t>3273045804100002</t>
  </si>
  <si>
    <t>18/04/2010</t>
  </si>
  <si>
    <t>TIDUR</t>
  </si>
  <si>
    <t>3273040612120011</t>
  </si>
  <si>
    <t>22/07/1980</t>
  </si>
  <si>
    <t>3273042207800002</t>
  </si>
  <si>
    <t>085877117546</t>
  </si>
  <si>
    <t>GG INDIK NO 86/88</t>
  </si>
  <si>
    <t>BABAKAN TARONGGONG</t>
  </si>
  <si>
    <t>BOJONGLOA KALER</t>
  </si>
  <si>
    <t>23/06/1983</t>
  </si>
  <si>
    <t>3273066305830003</t>
  </si>
  <si>
    <t>03/02</t>
  </si>
  <si>
    <t>3204464106110001</t>
  </si>
  <si>
    <t>01/06/2011</t>
  </si>
  <si>
    <t>MEMBACA</t>
  </si>
  <si>
    <t>3204462102120003</t>
  </si>
  <si>
    <t>3204461011880004</t>
  </si>
  <si>
    <t>083829115414</t>
  </si>
  <si>
    <t xml:space="preserve">KMP DUKUH </t>
  </si>
  <si>
    <t>01/04</t>
  </si>
  <si>
    <t>SUKAMULYA</t>
  </si>
  <si>
    <t>KUTAWARINGIN</t>
  </si>
  <si>
    <t>23/09/1983</t>
  </si>
  <si>
    <t>3204466309930001</t>
  </si>
  <si>
    <t>AZZAHRA ALMADENAMARWAN</t>
  </si>
  <si>
    <t>0071216005</t>
  </si>
  <si>
    <t>3273184610070002</t>
  </si>
  <si>
    <t>06/10/2007</t>
  </si>
  <si>
    <t>RENANG</t>
  </si>
  <si>
    <t xml:space="preserve">DESAINER </t>
  </si>
  <si>
    <t>MTS</t>
  </si>
  <si>
    <t>3273182309100786</t>
  </si>
  <si>
    <t>14/03/1976</t>
  </si>
  <si>
    <t>3273181403760004</t>
  </si>
  <si>
    <t>083822191091</t>
  </si>
  <si>
    <t xml:space="preserve">CIGADUNG WETAN </t>
  </si>
  <si>
    <t>05/05</t>
  </si>
  <si>
    <t>CIGADUNG</t>
  </si>
  <si>
    <t>CIBEUYIR KALER</t>
  </si>
  <si>
    <t>3273184812820003</t>
  </si>
  <si>
    <t>0107447537</t>
  </si>
  <si>
    <t>3273064212100003</t>
  </si>
  <si>
    <t>02/12/2010</t>
  </si>
  <si>
    <t>MAKAN</t>
  </si>
  <si>
    <t>DOKTER</t>
  </si>
  <si>
    <t>3273051805160005</t>
  </si>
  <si>
    <t>14/07/2977</t>
  </si>
  <si>
    <t>3273061407770014</t>
  </si>
  <si>
    <t>085321414112</t>
  </si>
  <si>
    <t xml:space="preserve">JL ARJUNA SIMPANG III </t>
  </si>
  <si>
    <t>04/01</t>
  </si>
  <si>
    <t>CIROYOM</t>
  </si>
  <si>
    <t>ANDIR</t>
  </si>
  <si>
    <t>3273065107810012</t>
  </si>
  <si>
    <t>04/02</t>
  </si>
  <si>
    <t>0092144407</t>
  </si>
  <si>
    <t>3204284311090003</t>
  </si>
  <si>
    <t>03/11/2009</t>
  </si>
  <si>
    <t>TRAVELLING</t>
  </si>
  <si>
    <t>3204280910120037</t>
  </si>
  <si>
    <t>TASIKMALAYA</t>
  </si>
  <si>
    <t>3204282401820006</t>
  </si>
  <si>
    <t>089606938266</t>
  </si>
  <si>
    <t>KP.KAUM</t>
  </si>
  <si>
    <t>BOJONGLOA</t>
  </si>
  <si>
    <t>RANCAEKEK</t>
  </si>
  <si>
    <t>3204285602840001</t>
  </si>
  <si>
    <t>0108906657</t>
  </si>
  <si>
    <t>3204085001100001</t>
  </si>
  <si>
    <t>10/01/2010</t>
  </si>
  <si>
    <t>SHOPPING</t>
  </si>
  <si>
    <t>ISTRI HABIB</t>
  </si>
  <si>
    <t>3204080905180021</t>
  </si>
  <si>
    <t>SUDAH MENINGGAL</t>
  </si>
  <si>
    <t>10/07/1978</t>
  </si>
  <si>
    <t>3204085007780005</t>
  </si>
  <si>
    <t>089696326807</t>
  </si>
  <si>
    <t>KP.CIKONENG</t>
  </si>
  <si>
    <t>03/06</t>
  </si>
  <si>
    <t>BOJONGSOANG</t>
  </si>
  <si>
    <t>0114435275</t>
  </si>
  <si>
    <t>3205106504110003</t>
  </si>
  <si>
    <t>25/04/2011</t>
  </si>
  <si>
    <t>POLWAN</t>
  </si>
  <si>
    <t>3205102410130012</t>
  </si>
  <si>
    <t>20/05/1980</t>
  </si>
  <si>
    <t>3205102005800007</t>
  </si>
  <si>
    <t>085320642588</t>
  </si>
  <si>
    <t xml:space="preserve">KP LUNJUK HILIR </t>
  </si>
  <si>
    <t>05/13</t>
  </si>
  <si>
    <t>3205104601840006</t>
  </si>
  <si>
    <t>3211175303080002</t>
  </si>
  <si>
    <t>SUMEDANG</t>
  </si>
  <si>
    <t>13/03/2008</t>
  </si>
  <si>
    <t>BELAJAR</t>
  </si>
  <si>
    <t>ORANG SUKSES</t>
  </si>
  <si>
    <t>3211173112080011</t>
  </si>
  <si>
    <t>31/01/1982</t>
  </si>
  <si>
    <t>3211173101820008</t>
  </si>
  <si>
    <t>082118170090</t>
  </si>
  <si>
    <t>DSN.CIHONJE</t>
  </si>
  <si>
    <t>01/08</t>
  </si>
  <si>
    <t>GUNASARI</t>
  </si>
  <si>
    <t>SUMEDANG SELATAN</t>
  </si>
  <si>
    <t>25/01/1986</t>
  </si>
  <si>
    <t>3211176501860007</t>
  </si>
  <si>
    <t xml:space="preserve">NABILA OKTAVIA </t>
  </si>
  <si>
    <t>3273036410070001</t>
  </si>
  <si>
    <t>24/10/2007</t>
  </si>
  <si>
    <t xml:space="preserve">SMP </t>
  </si>
  <si>
    <t>3273030108104631</t>
  </si>
  <si>
    <t>25/10/1985</t>
  </si>
  <si>
    <t>3273030510850001</t>
  </si>
  <si>
    <t>KP.SITU AKSAN</t>
  </si>
  <si>
    <t>BABAKAN</t>
  </si>
  <si>
    <t>24/01/1993</t>
  </si>
  <si>
    <t>3273036401930001</t>
  </si>
  <si>
    <t>0104212175</t>
  </si>
  <si>
    <t>3204056212100006</t>
  </si>
  <si>
    <t>22/12/2010</t>
  </si>
  <si>
    <t>3204051707190024</t>
  </si>
  <si>
    <t>3273160706790007</t>
  </si>
  <si>
    <t>081221398889</t>
  </si>
  <si>
    <t>KAV. MEKAR BIRU NO.149 A</t>
  </si>
  <si>
    <t>03/07</t>
  </si>
  <si>
    <t>CIBIRU HILIR</t>
  </si>
  <si>
    <t>CILEUNYI</t>
  </si>
  <si>
    <t>3273234502840002</t>
  </si>
  <si>
    <t>DIPLOMA IV/SRATA I</t>
  </si>
  <si>
    <t>3204374106100003</t>
  </si>
  <si>
    <t>01/06/2010</t>
  </si>
  <si>
    <t xml:space="preserve">3204372812200010 </t>
  </si>
  <si>
    <t xml:space="preserve">KMP LEMBUR TEGAL </t>
  </si>
  <si>
    <t>PAMEKARAN</t>
  </si>
  <si>
    <t>14/06/1986</t>
  </si>
  <si>
    <t>3204375408860006</t>
  </si>
  <si>
    <t>AKADEMI DIPLOMA III</t>
  </si>
  <si>
    <t>NAJWA NUR  AJIZAH</t>
  </si>
  <si>
    <t>0006248265/0062948265</t>
  </si>
  <si>
    <t>3204066207060005</t>
  </si>
  <si>
    <t>22/07/2006</t>
  </si>
  <si>
    <t>MENGAJAR</t>
  </si>
  <si>
    <t>USTADZAH,DOKTER</t>
  </si>
  <si>
    <t>SMP</t>
  </si>
  <si>
    <t>3204063005120040</t>
  </si>
  <si>
    <t>3204060106840002</t>
  </si>
  <si>
    <t>CICAYUR</t>
  </si>
  <si>
    <t>01/12</t>
  </si>
  <si>
    <t>23/05/1985</t>
  </si>
  <si>
    <t>3204066305850001</t>
  </si>
  <si>
    <t>3204374309100003</t>
  </si>
  <si>
    <t>03/09/2010</t>
  </si>
  <si>
    <t>PSIKOLOGI</t>
  </si>
  <si>
    <t>IBU</t>
  </si>
  <si>
    <t>3204462901180018</t>
  </si>
  <si>
    <t>CERAI HIDUP</t>
  </si>
  <si>
    <t>3204370702810009</t>
  </si>
  <si>
    <t>KP JALUR</t>
  </si>
  <si>
    <t>01/023</t>
  </si>
  <si>
    <t xml:space="preserve">SOREANG </t>
  </si>
  <si>
    <t>3204374306840008</t>
  </si>
  <si>
    <t>085871299184</t>
  </si>
  <si>
    <t xml:space="preserve">KP.SUKAMULYA </t>
  </si>
  <si>
    <t>01/07</t>
  </si>
  <si>
    <t>PADASUKA</t>
  </si>
  <si>
    <t>0114743677</t>
  </si>
  <si>
    <t>3277025901110005</t>
  </si>
  <si>
    <t>CIMAHI</t>
  </si>
  <si>
    <t>19/01/2011</t>
  </si>
  <si>
    <t>MEMANAH</t>
  </si>
  <si>
    <t>PENDAKWAH</t>
  </si>
  <si>
    <t>MII</t>
  </si>
  <si>
    <t>3277022812100012</t>
  </si>
  <si>
    <t>3277020703850010</t>
  </si>
  <si>
    <t>081322297077</t>
  </si>
  <si>
    <t xml:space="preserve">KP. SUKASENANG </t>
  </si>
  <si>
    <t>01/09</t>
  </si>
  <si>
    <t>CIGUGUR TENGAH</t>
  </si>
  <si>
    <t>CIMAHI TENGAH</t>
  </si>
  <si>
    <t>KOTA CIMAHI</t>
  </si>
  <si>
    <t>20/10/1991</t>
  </si>
  <si>
    <t>3277026010910009</t>
  </si>
  <si>
    <t>0112567560</t>
  </si>
  <si>
    <t>3204085006110001</t>
  </si>
  <si>
    <t>10/06/2011</t>
  </si>
  <si>
    <t>PENULIS</t>
  </si>
  <si>
    <t>3204082705110021</t>
  </si>
  <si>
    <t>3204080509900009</t>
  </si>
  <si>
    <t>0895355205114</t>
  </si>
  <si>
    <t>CIJERUK</t>
  </si>
  <si>
    <t>04/19</t>
  </si>
  <si>
    <t>BOJONGSARI</t>
  </si>
  <si>
    <t>3204085304910003</t>
  </si>
  <si>
    <t>1501015402120001</t>
  </si>
  <si>
    <t>TALANG KEMUNING</t>
  </si>
  <si>
    <t>14/02/2012</t>
  </si>
  <si>
    <t>1501012902120002</t>
  </si>
  <si>
    <t>1501010101750006</t>
  </si>
  <si>
    <t>082387517034</t>
  </si>
  <si>
    <t>BUKITKERMAN</t>
  </si>
  <si>
    <t>KERINCI</t>
  </si>
  <si>
    <t>JAMBI</t>
  </si>
  <si>
    <t>1501014608750001</t>
  </si>
  <si>
    <t>0104955663</t>
  </si>
  <si>
    <t>3211186804100001</t>
  </si>
  <si>
    <t>28/04/2010</t>
  </si>
  <si>
    <t>NAFAS</t>
  </si>
  <si>
    <t>SUKSES</t>
  </si>
  <si>
    <t>TIDAK AD</t>
  </si>
  <si>
    <t>3211220504170007</t>
  </si>
  <si>
    <t>3211180102820008</t>
  </si>
  <si>
    <t>081953515842</t>
  </si>
  <si>
    <t>DUSUN CIBUNUT</t>
  </si>
  <si>
    <t>CIKOLE</t>
  </si>
  <si>
    <t>CIMALAKA</t>
  </si>
  <si>
    <t>3211186008840008</t>
  </si>
  <si>
    <t>JAWABARAT</t>
  </si>
  <si>
    <t>3204376207080001</t>
  </si>
  <si>
    <t>22/07/2008</t>
  </si>
  <si>
    <t>3204371211080018</t>
  </si>
  <si>
    <t>3204370808740019</t>
  </si>
  <si>
    <t>082312613359</t>
  </si>
  <si>
    <t xml:space="preserve">GADING TUTUKA I BLOK K30.05 </t>
  </si>
  <si>
    <t>CINGCIN</t>
  </si>
  <si>
    <t>3204375111740002</t>
  </si>
  <si>
    <t>0096481744</t>
  </si>
  <si>
    <t>3204376908090002</t>
  </si>
  <si>
    <t>29/08/2009</t>
  </si>
  <si>
    <t>MENGHIBUR</t>
  </si>
  <si>
    <t>3204372702060050</t>
  </si>
  <si>
    <t>3204370405670007</t>
  </si>
  <si>
    <t>DIPLOMA IV STRATA</t>
  </si>
  <si>
    <t>082116406158</t>
  </si>
  <si>
    <t>JLN.RATYA SOREANG NO.28</t>
  </si>
  <si>
    <t>3204376606730011</t>
  </si>
  <si>
    <t>JLN.RAYA SOREANG NO.28</t>
  </si>
  <si>
    <t>0119983111</t>
  </si>
  <si>
    <t>3204067101110002</t>
  </si>
  <si>
    <t>31/01/2011</t>
  </si>
  <si>
    <t>3204062904056056</t>
  </si>
  <si>
    <t>3204060501740002</t>
  </si>
  <si>
    <t>088219812584</t>
  </si>
  <si>
    <t xml:space="preserve">KP TUGU </t>
  </si>
  <si>
    <t>02/18</t>
  </si>
  <si>
    <t>14/04/1979</t>
  </si>
  <si>
    <t>3204065404790003</t>
  </si>
  <si>
    <t>3114329132</t>
  </si>
  <si>
    <t>3273076003110002</t>
  </si>
  <si>
    <t>20/03/2011</t>
  </si>
  <si>
    <t>MEMASAK</t>
  </si>
  <si>
    <t>3217050102190003</t>
  </si>
  <si>
    <t>PURWAKARTA</t>
  </si>
  <si>
    <t>3273070402800004</t>
  </si>
  <si>
    <t>AKADEMI/DIPLOMA III</t>
  </si>
  <si>
    <t>082320269017</t>
  </si>
  <si>
    <t xml:space="preserve">KP CIKAWARON </t>
  </si>
  <si>
    <t>01/13</t>
  </si>
  <si>
    <t>SIRNAGALIH</t>
  </si>
  <si>
    <t>CIPEUNDEUY</t>
  </si>
  <si>
    <t>3273074710870003</t>
  </si>
  <si>
    <t>0117683489</t>
  </si>
  <si>
    <t>3217036802110001</t>
  </si>
  <si>
    <t>28/02/2011</t>
  </si>
  <si>
    <t>3217031207110006</t>
  </si>
  <si>
    <t>26/02/1986</t>
  </si>
  <si>
    <t>3217032602860006</t>
  </si>
  <si>
    <t>085221523678</t>
  </si>
  <si>
    <t>KP BONGKOK</t>
  </si>
  <si>
    <t>PADAASIH</t>
  </si>
  <si>
    <t>CISARUA</t>
  </si>
  <si>
    <t>3217034809830012</t>
  </si>
  <si>
    <t>0115649128</t>
  </si>
  <si>
    <t>3211176002110002</t>
  </si>
  <si>
    <t>20/02/2011</t>
  </si>
  <si>
    <t>MUBALIGOH</t>
  </si>
  <si>
    <t>3211170107110007</t>
  </si>
  <si>
    <t>3211171011840007</t>
  </si>
  <si>
    <t>089649618536</t>
  </si>
  <si>
    <t xml:space="preserve">LINGKUNGAN DARANGDAN KEBON </t>
  </si>
  <si>
    <t>01/15</t>
  </si>
  <si>
    <t>KOTA KULON</t>
  </si>
  <si>
    <t>20/10/1990</t>
  </si>
  <si>
    <t>3211176010900015</t>
  </si>
  <si>
    <t>0106127807</t>
  </si>
  <si>
    <t>3273245109100001</t>
  </si>
  <si>
    <t>11/09/2010</t>
  </si>
  <si>
    <t>KOKI</t>
  </si>
  <si>
    <t>3273230410220002</t>
  </si>
  <si>
    <t>29/03/1982</t>
  </si>
  <si>
    <t>3273246903820006</t>
  </si>
  <si>
    <t>08996052405</t>
  </si>
  <si>
    <t xml:space="preserve">RANCALOA </t>
  </si>
  <si>
    <t>03/03</t>
  </si>
  <si>
    <t>CIPAMOKOLAN</t>
  </si>
  <si>
    <t>RANCASARI</t>
  </si>
  <si>
    <t>0105135628</t>
  </si>
  <si>
    <t>1706045809100001</t>
  </si>
  <si>
    <t>AIR HITAM</t>
  </si>
  <si>
    <t>18/09/2010</t>
  </si>
  <si>
    <t xml:space="preserve">1706042303080420 </t>
  </si>
  <si>
    <t>31/12/1974</t>
  </si>
  <si>
    <t>1706043112740003</t>
  </si>
  <si>
    <t xml:space="preserve">DESA AIR HITAM DUSUN AIR HITAM </t>
  </si>
  <si>
    <t>PONDOK SUGUH</t>
  </si>
  <si>
    <t>MUKO MUKO</t>
  </si>
  <si>
    <t>26/06/1978</t>
  </si>
  <si>
    <t>1706046606780001</t>
  </si>
  <si>
    <t>0101736804</t>
  </si>
  <si>
    <t>1706044307100001</t>
  </si>
  <si>
    <t>PEMAIN BOLA</t>
  </si>
  <si>
    <t>1706042302100016</t>
  </si>
  <si>
    <t>26/02/1990</t>
  </si>
  <si>
    <t>1706042602900001</t>
  </si>
  <si>
    <t>082175908477</t>
  </si>
  <si>
    <t>DESA AIR HITAM</t>
  </si>
  <si>
    <t>05/02</t>
  </si>
  <si>
    <t>MUKOMUKO</t>
  </si>
  <si>
    <t>1706044402930003</t>
  </si>
  <si>
    <t>3211184312100004</t>
  </si>
  <si>
    <t>03/12/2010</t>
  </si>
  <si>
    <t>3211181001110043</t>
  </si>
  <si>
    <t>CIREBON</t>
  </si>
  <si>
    <t>3211180607700003</t>
  </si>
  <si>
    <t>082318480626</t>
  </si>
  <si>
    <t xml:space="preserve">LINGKUNGAN CIPADUNG </t>
  </si>
  <si>
    <t>KOTAKALER</t>
  </si>
  <si>
    <t>SUMEDANG UTARA</t>
  </si>
  <si>
    <t>31/12/1978</t>
  </si>
  <si>
    <t>3211187112780040</t>
  </si>
  <si>
    <t>3273135305110001</t>
  </si>
  <si>
    <t>13/05/2011</t>
  </si>
  <si>
    <t>NGAJI</t>
  </si>
  <si>
    <t>3273130206106479</t>
  </si>
  <si>
    <t>3273130408700001</t>
  </si>
  <si>
    <t>081321320227</t>
  </si>
  <si>
    <t xml:space="preserve">JL.KARAPITAN III NO.107/36A </t>
  </si>
  <si>
    <t>02/06</t>
  </si>
  <si>
    <t>PALEDANG</t>
  </si>
  <si>
    <t>LENGKONG</t>
  </si>
  <si>
    <t>3273134905800003</t>
  </si>
  <si>
    <t>0106551384</t>
  </si>
  <si>
    <t>3204095209100003</t>
  </si>
  <si>
    <t>12/09/2010</t>
  </si>
  <si>
    <t>3204443011150002</t>
  </si>
  <si>
    <t>3204090309870003</t>
  </si>
  <si>
    <t>085601346159</t>
  </si>
  <si>
    <t>JL.CILUNCAT NO.64</t>
  </si>
  <si>
    <t>03/14</t>
  </si>
  <si>
    <t>CILUNCAT</t>
  </si>
  <si>
    <t>CANGKUANG</t>
  </si>
  <si>
    <t>3204094707900008</t>
  </si>
  <si>
    <t>3204255412100001</t>
  </si>
  <si>
    <t>14/12/2010</t>
  </si>
  <si>
    <t>3204251610120117</t>
  </si>
  <si>
    <t>18/06/1977</t>
  </si>
  <si>
    <t>3204251806770018</t>
  </si>
  <si>
    <t>083820628903</t>
  </si>
  <si>
    <t>KP.BEOR</t>
  </si>
  <si>
    <t>03/11</t>
  </si>
  <si>
    <t>BABAKAN PEUTEUY</t>
  </si>
  <si>
    <t>CICALENGKA</t>
  </si>
  <si>
    <t xml:space="preserve">BANDUNG   </t>
  </si>
  <si>
    <t>3204254101890003</t>
  </si>
  <si>
    <t>0082706406</t>
  </si>
  <si>
    <t>3211185304080002</t>
  </si>
  <si>
    <t>13/04/2008</t>
  </si>
  <si>
    <t>3211181211110002</t>
  </si>
  <si>
    <t>27/03/1981</t>
  </si>
  <si>
    <t>3211182703810005</t>
  </si>
  <si>
    <t>081221666362</t>
  </si>
  <si>
    <t>JL.PANYINGKIRAN NO 75</t>
  </si>
  <si>
    <t>02/02</t>
  </si>
  <si>
    <t xml:space="preserve">SITU </t>
  </si>
  <si>
    <t>3211184210820014</t>
  </si>
  <si>
    <t>0103006732</t>
  </si>
  <si>
    <t>3204136401100001</t>
  </si>
  <si>
    <t>24/01/2010</t>
  </si>
  <si>
    <t>DONATUR</t>
  </si>
  <si>
    <t>3204130903060004</t>
  </si>
  <si>
    <t>3204130703760007</t>
  </si>
  <si>
    <t>081912907545</t>
  </si>
  <si>
    <t>KP CIAPUS</t>
  </si>
  <si>
    <t>CIAPUS</t>
  </si>
  <si>
    <t>3204134906800007</t>
  </si>
  <si>
    <t>3216194105100001</t>
  </si>
  <si>
    <t>BEKASI</t>
  </si>
  <si>
    <t>01/05/2010</t>
  </si>
  <si>
    <t>KULINER</t>
  </si>
  <si>
    <t>3216190310130016</t>
  </si>
  <si>
    <t>26/02/1979</t>
  </si>
  <si>
    <t>3216192602790007</t>
  </si>
  <si>
    <t>081381605803</t>
  </si>
  <si>
    <t>VILLA MUTIARA CKR 2 BLOK D.4 NO.20</t>
  </si>
  <si>
    <t>17/08</t>
  </si>
  <si>
    <t>SUKASEJATI</t>
  </si>
  <si>
    <t>CIKARANG SELATAN</t>
  </si>
  <si>
    <t>3216194808820004</t>
  </si>
  <si>
    <t>0114790811</t>
  </si>
  <si>
    <t>3214054404110001</t>
  </si>
  <si>
    <t>04/04/2011</t>
  </si>
  <si>
    <t>MULTIHOBI</t>
  </si>
  <si>
    <t>3214052412080032</t>
  </si>
  <si>
    <t>3214051203740009</t>
  </si>
  <si>
    <t>081289754989</t>
  </si>
  <si>
    <t>KP.CILALAWI</t>
  </si>
  <si>
    <t>CIANTING UTARA</t>
  </si>
  <si>
    <t>25/07/1982</t>
  </si>
  <si>
    <t>3214056507820002</t>
  </si>
  <si>
    <t>0119301291</t>
  </si>
  <si>
    <t>3204286201110002</t>
  </si>
  <si>
    <t>22/01/2011</t>
  </si>
  <si>
    <t>3204282612130035</t>
  </si>
  <si>
    <t>3204282206820003</t>
  </si>
  <si>
    <t>089630589006</t>
  </si>
  <si>
    <t>3204284208880005</t>
  </si>
  <si>
    <t>0099453612</t>
  </si>
  <si>
    <t>3204136908090003</t>
  </si>
  <si>
    <t>3204130604055273</t>
  </si>
  <si>
    <t>3204130208770001</t>
  </si>
  <si>
    <t>KP.SUKARAME</t>
  </si>
  <si>
    <t>02/01</t>
  </si>
  <si>
    <t>SINDANGPANON</t>
  </si>
  <si>
    <t>3204134506760001</t>
  </si>
  <si>
    <t>0109813572</t>
  </si>
  <si>
    <t xml:space="preserve">3205134509100001 </t>
  </si>
  <si>
    <t>05/09/2010</t>
  </si>
  <si>
    <t>PASKIBRA</t>
  </si>
  <si>
    <t>3205132212100003</t>
  </si>
  <si>
    <t>23/09/1984</t>
  </si>
  <si>
    <t>3205132309840002</t>
  </si>
  <si>
    <t>082117777271</t>
  </si>
  <si>
    <t>KP.SUKAMERANG</t>
  </si>
  <si>
    <t>02/08</t>
  </si>
  <si>
    <t>23/11/1987</t>
  </si>
  <si>
    <t>3205136311870001</t>
  </si>
  <si>
    <t>2-B</t>
  </si>
  <si>
    <t>0096441534</t>
  </si>
  <si>
    <t>3204284411090002</t>
  </si>
  <si>
    <t>3204281001080006</t>
  </si>
  <si>
    <t>Nurcahya</t>
  </si>
  <si>
    <t>3204281208820021</t>
  </si>
  <si>
    <t>08977995107</t>
  </si>
  <si>
    <t>Kp.rancaekek kulon</t>
  </si>
  <si>
    <t>01/06</t>
  </si>
  <si>
    <t>Rancaekek kulon</t>
  </si>
  <si>
    <t>3204285107810021</t>
  </si>
  <si>
    <t>3205104603110001</t>
  </si>
  <si>
    <t>06/03/2011</t>
  </si>
  <si>
    <t>3205100802120002</t>
  </si>
  <si>
    <t>23-07-1979</t>
  </si>
  <si>
    <t>3205102307790003</t>
  </si>
  <si>
    <t>KP.BABAKAN GALUMPIT</t>
  </si>
  <si>
    <t>RANCASALAK</t>
  </si>
  <si>
    <t>3205104602890005</t>
  </si>
  <si>
    <t>3273265201110003</t>
  </si>
  <si>
    <t>12/01/2011</t>
  </si>
  <si>
    <t xml:space="preserve">RENANG </t>
  </si>
  <si>
    <t>3273260204110280</t>
  </si>
  <si>
    <t>16-05-1988</t>
  </si>
  <si>
    <t>3273261606880008</t>
  </si>
  <si>
    <t>CIPICUNG NO.27</t>
  </si>
  <si>
    <t>01/11</t>
  </si>
  <si>
    <t>PASIRWANGI</t>
  </si>
  <si>
    <t>UJUNGBERUNG</t>
  </si>
  <si>
    <t>31-07-1987</t>
  </si>
  <si>
    <t>3273267107870002</t>
  </si>
  <si>
    <t>3175047009101002</t>
  </si>
  <si>
    <t>30/09/2010</t>
  </si>
  <si>
    <t>ULAMA</t>
  </si>
  <si>
    <t>KAKA</t>
  </si>
  <si>
    <t>3175042007160017</t>
  </si>
  <si>
    <t>3175045111710009</t>
  </si>
  <si>
    <t>JL.DUKUH V</t>
  </si>
  <si>
    <t>07/04</t>
  </si>
  <si>
    <t>DUKUH</t>
  </si>
  <si>
    <t>KRAMAT JATI</t>
  </si>
  <si>
    <t>JAKARTA TIMUR</t>
  </si>
  <si>
    <t> 13550</t>
  </si>
  <si>
    <t>0105977539</t>
  </si>
  <si>
    <t>3273044309100003</t>
  </si>
  <si>
    <t>WALI</t>
  </si>
  <si>
    <t>3273221805210020</t>
  </si>
  <si>
    <t>3273040302650001</t>
  </si>
  <si>
    <t>JL.SANGGAR KENCANA VII NO.42</t>
  </si>
  <si>
    <t>JATISARI</t>
  </si>
  <si>
    <t>SITI ROHMAH</t>
  </si>
  <si>
    <t>3273044405670018</t>
  </si>
  <si>
    <t xml:space="preserve"> JL.SANGGAR KENCANA IIV NO.42</t>
  </si>
  <si>
    <t>0086766906</t>
  </si>
  <si>
    <t>3527114107082914</t>
  </si>
  <si>
    <t>01/07/2008</t>
  </si>
  <si>
    <t>MENULS</t>
  </si>
  <si>
    <t>3204323010140033</t>
  </si>
  <si>
    <t>3527110104850008</t>
  </si>
  <si>
    <t>KP BOJONG KUKUN</t>
  </si>
  <si>
    <t>02/11</t>
  </si>
  <si>
    <t>RANCAMANYAR</t>
  </si>
  <si>
    <t>BALEENDAH</t>
  </si>
  <si>
    <t>13-02-1987</t>
  </si>
  <si>
    <t>3527115302870003</t>
  </si>
  <si>
    <t>0101284482</t>
  </si>
  <si>
    <t>3203014505100004</t>
  </si>
  <si>
    <t>01/11/2010</t>
  </si>
  <si>
    <t>3203270203180012</t>
  </si>
  <si>
    <t>3203010305820016</t>
  </si>
  <si>
    <t>KP.CIBELENG</t>
  </si>
  <si>
    <t>SUKARATU</t>
  </si>
  <si>
    <t>GEKBRONG</t>
  </si>
  <si>
    <t>26-10-1984</t>
  </si>
  <si>
    <t>3203016610840011</t>
  </si>
  <si>
    <t>0092337736</t>
  </si>
  <si>
    <t>3273254803090001</t>
  </si>
  <si>
    <t>Menggambar dan melukis</t>
  </si>
  <si>
    <t>Animator</t>
  </si>
  <si>
    <t>3273250810107413</t>
  </si>
  <si>
    <t>Wandi Susandi</t>
  </si>
  <si>
    <t>3273252212840001</t>
  </si>
  <si>
    <t>081221921400</t>
  </si>
  <si>
    <t>Jalan Parakan Muncang perumahan villa bumi asri blok f3 no.142</t>
  </si>
  <si>
    <t>06/03</t>
  </si>
  <si>
    <t>Cimanggung</t>
  </si>
  <si>
    <t>Idawati</t>
  </si>
  <si>
    <t>3273256509850003</t>
  </si>
  <si>
    <t>0071280783</t>
  </si>
  <si>
    <t>3204165507080002</t>
  </si>
  <si>
    <t>15/07/2008</t>
  </si>
  <si>
    <t>MENYANYI</t>
  </si>
  <si>
    <t>3204161909160003</t>
  </si>
  <si>
    <t>3204160407820017</t>
  </si>
  <si>
    <t>KP.KEBON KELAPA</t>
  </si>
  <si>
    <t>BATUKARUT</t>
  </si>
  <si>
    <t>ARJASARI</t>
  </si>
  <si>
    <t>19-04-1986</t>
  </si>
  <si>
    <t>3204165904860002</t>
  </si>
  <si>
    <t>0118390351</t>
  </si>
  <si>
    <t>3205405701110001</t>
  </si>
  <si>
    <t>17/01/2011</t>
  </si>
  <si>
    <t>3205402906090002</t>
  </si>
  <si>
    <t>28-10-1988</t>
  </si>
  <si>
    <t>3205402810880004</t>
  </si>
  <si>
    <t>KP.CIBACANG</t>
  </si>
  <si>
    <t>03/09</t>
  </si>
  <si>
    <t>MAJASARI</t>
  </si>
  <si>
    <t>CIBIUK</t>
  </si>
  <si>
    <t>3205405212880002</t>
  </si>
  <si>
    <t> 44193</t>
  </si>
  <si>
    <t>3204446801110001</t>
  </si>
  <si>
    <t>28/01/2011</t>
  </si>
  <si>
    <t>3204442912120003</t>
  </si>
  <si>
    <t>14-11-1988</t>
  </si>
  <si>
    <t>3204441411880001</t>
  </si>
  <si>
    <t>3204444707870004</t>
  </si>
  <si>
    <t>3204135905100005</t>
  </si>
  <si>
    <t>19/05/2010</t>
  </si>
  <si>
    <t>3204130306052282</t>
  </si>
  <si>
    <t>3204131406780003</t>
  </si>
  <si>
    <t>082129675297</t>
  </si>
  <si>
    <t>KP.DANGDEUR</t>
  </si>
  <si>
    <t>KIANGROKE</t>
  </si>
  <si>
    <t>04/04/1985</t>
  </si>
  <si>
    <t>3204134404850005</t>
  </si>
  <si>
    <t>3214014605110002</t>
  </si>
  <si>
    <t>06/05/2011</t>
  </si>
  <si>
    <t>MASAK</t>
  </si>
  <si>
    <t xml:space="preserve">3214010605110020 </t>
  </si>
  <si>
    <t>3214010302830013</t>
  </si>
  <si>
    <t>089685159588</t>
  </si>
  <si>
    <t xml:space="preserve">KP CITALANG </t>
  </si>
  <si>
    <t>05/01</t>
  </si>
  <si>
    <t>CITALANG</t>
  </si>
  <si>
    <t>3214014203890005</t>
  </si>
  <si>
    <t>3217165711110001</t>
  </si>
  <si>
    <t>17/11/2010</t>
  </si>
  <si>
    <t>WIRAUSAHA</t>
  </si>
  <si>
    <t>3217161212110008</t>
  </si>
  <si>
    <t>3217160411800001</t>
  </si>
  <si>
    <t>KP.BIJINGHALEUANG</t>
  </si>
  <si>
    <t>BOJONGHALEUANG</t>
  </si>
  <si>
    <t>SAGULING</t>
  </si>
  <si>
    <t>3217164904840001</t>
  </si>
  <si>
    <t>KP.BOJONGHALEUANG</t>
  </si>
  <si>
    <t>NABILA MEYSUN</t>
  </si>
  <si>
    <t>0066624313</t>
  </si>
  <si>
    <t>3204325611060008</t>
  </si>
  <si>
    <t>16/11/2006</t>
  </si>
  <si>
    <t>3204320904080018</t>
  </si>
  <si>
    <t>17-04-1982</t>
  </si>
  <si>
    <t>3204321704820019</t>
  </si>
  <si>
    <t xml:space="preserve">KP.BABAKAN </t>
  </si>
  <si>
    <t>30-07-1984</t>
  </si>
  <si>
    <t>3204327007840009</t>
  </si>
  <si>
    <t>3211254907100002</t>
  </si>
  <si>
    <t>09/07/2010</t>
  </si>
  <si>
    <t>CHEF</t>
  </si>
  <si>
    <t xml:space="preserve"> 3211251001190001</t>
  </si>
  <si>
    <t>3211250202720004</t>
  </si>
  <si>
    <t>083824731975</t>
  </si>
  <si>
    <t>DUSUN UJUNG JAYA</t>
  </si>
  <si>
    <t>UJUNG JAYA</t>
  </si>
  <si>
    <t xml:space="preserve">3211254506750007 </t>
  </si>
  <si>
    <t>3211216705080001</t>
  </si>
  <si>
    <t>27/05/2008</t>
  </si>
  <si>
    <t>MEONTON</t>
  </si>
  <si>
    <t>3211211406070005</t>
  </si>
  <si>
    <t>3211211111780001</t>
  </si>
  <si>
    <t>KAMPUNG PAWENANG</t>
  </si>
  <si>
    <t>CIKARAMAS</t>
  </si>
  <si>
    <t>TANJUNGMEDAR</t>
  </si>
  <si>
    <t>3211214205810002</t>
  </si>
  <si>
    <t>0108458499</t>
  </si>
  <si>
    <t>3273136308100001</t>
  </si>
  <si>
    <t>23/08/2010</t>
  </si>
  <si>
    <t>BERSHOLAWAT</t>
  </si>
  <si>
    <t>3273130109102164</t>
  </si>
  <si>
    <t>25-04-1979</t>
  </si>
  <si>
    <t>3273132504790004</t>
  </si>
  <si>
    <t>CIJAGRA I GG.III N0.104/206 B</t>
  </si>
  <si>
    <t>07/02</t>
  </si>
  <si>
    <t>CIJAGRA</t>
  </si>
  <si>
    <t>3273134110840001</t>
  </si>
  <si>
    <t>3211144607100001</t>
  </si>
  <si>
    <t>06/07/2010</t>
  </si>
  <si>
    <t>OLAHRAGA</t>
  </si>
  <si>
    <t>3211141812100015</t>
  </si>
  <si>
    <t>25-05-1974</t>
  </si>
  <si>
    <t>3211142505740009</t>
  </si>
  <si>
    <t>DUSUN PARAKANMUNCANG</t>
  </si>
  <si>
    <t>SINDANGPAKUON</t>
  </si>
  <si>
    <t>CIMANGGUNG</t>
  </si>
  <si>
    <t>3211144811800005</t>
  </si>
  <si>
    <t>0109325692</t>
  </si>
  <si>
    <t>3217085309100008</t>
  </si>
  <si>
    <t>13/09/2010</t>
  </si>
  <si>
    <t>BERMAIN BOLA</t>
  </si>
  <si>
    <t>TIMNAS WANITA</t>
  </si>
  <si>
    <t xml:space="preserve">3217101607180000 </t>
  </si>
  <si>
    <t>22/02/1990</t>
  </si>
  <si>
    <t>3217082202900019</t>
  </si>
  <si>
    <t>PERUM ALAM SANGGAR INDAH NO 28</t>
  </si>
  <si>
    <t>CITAPEN</t>
  </si>
  <si>
    <t>CIHAMPELAS</t>
  </si>
  <si>
    <t>3277034812900007</t>
  </si>
  <si>
    <t>3203114409100003</t>
  </si>
  <si>
    <t>04/09/2010</t>
  </si>
  <si>
    <t>3203112511054901</t>
  </si>
  <si>
    <t>3203110205680005</t>
  </si>
  <si>
    <t>KP.PUNCAK MANIS</t>
  </si>
  <si>
    <t>CUGENANG</t>
  </si>
  <si>
    <t>3203114603730002</t>
  </si>
  <si>
    <t>3273104208100003</t>
  </si>
  <si>
    <t>02/08/2010</t>
  </si>
  <si>
    <t>PRAKARYA</t>
  </si>
  <si>
    <t>3204052904130041</t>
  </si>
  <si>
    <t>28-07-1982</t>
  </si>
  <si>
    <t>3273102807820006</t>
  </si>
  <si>
    <t>KOMP.PERMATA BIRU BLK F-2 N0.2</t>
  </si>
  <si>
    <t>05/27</t>
  </si>
  <si>
    <t>CINUNUK</t>
  </si>
  <si>
    <t>3204054710840003</t>
  </si>
  <si>
    <t>0116895729</t>
  </si>
  <si>
    <t>3204134901110007</t>
  </si>
  <si>
    <t>09/01/2011</t>
  </si>
  <si>
    <t>3204130106110170</t>
  </si>
  <si>
    <t>17-08-1989</t>
  </si>
  <si>
    <t>3204131708890013</t>
  </si>
  <si>
    <t>CIPARINGGA</t>
  </si>
  <si>
    <t> </t>
  </si>
  <si>
    <t>0107159246</t>
  </si>
  <si>
    <t>3205195211100001</t>
  </si>
  <si>
    <t>12/11/2010</t>
  </si>
  <si>
    <t>3215290703130011</t>
  </si>
  <si>
    <t>3205190107790172</t>
  </si>
  <si>
    <t>DUSUN KARAJAN</t>
  </si>
  <si>
    <t>MEKARJAYA</t>
  </si>
  <si>
    <t>PURWASARI</t>
  </si>
  <si>
    <t>KARAWANG</t>
  </si>
  <si>
    <t>3205194807870009</t>
  </si>
  <si>
    <t>3273035507100003</t>
  </si>
  <si>
    <t>15/07/2010</t>
  </si>
  <si>
    <t>3273032301170006</t>
  </si>
  <si>
    <t>3273151808820012</t>
  </si>
  <si>
    <t>JL. REUNGAS</t>
  </si>
  <si>
    <t>GEMPOLSARI</t>
  </si>
  <si>
    <t xml:space="preserve">BANDUNG KULON </t>
  </si>
  <si>
    <t>BANSUNG</t>
  </si>
  <si>
    <t>3273035008840005</t>
  </si>
  <si>
    <t>JL.CARINGIN GG.LUMBUNG IV</t>
  </si>
  <si>
    <t>3211186511090002</t>
  </si>
  <si>
    <t>25/11/2009</t>
  </si>
  <si>
    <t xml:space="preserve">MEMBACA </t>
  </si>
  <si>
    <t>DOKTER HEWAN</t>
  </si>
  <si>
    <t>3211182312090007</t>
  </si>
  <si>
    <t>3211182405760002</t>
  </si>
  <si>
    <t>LINGK. TALUN KIDUL</t>
  </si>
  <si>
    <t>TALUN</t>
  </si>
  <si>
    <t>SUKABUMI</t>
  </si>
  <si>
    <t>04/02/1988</t>
  </si>
  <si>
    <t>3211184402880004</t>
  </si>
  <si>
    <t>085328422717</t>
  </si>
  <si>
    <t>0099896996</t>
  </si>
  <si>
    <t>3273245509090004</t>
  </si>
  <si>
    <t>15/09/2009</t>
  </si>
  <si>
    <t>3273240510107986</t>
  </si>
  <si>
    <t>3273243008780004</t>
  </si>
  <si>
    <t>DIPLOMA I/II</t>
  </si>
  <si>
    <t>PASAR SINDANGLAYA</t>
  </si>
  <si>
    <t>CISARANTEN BINA HARAPAN</t>
  </si>
  <si>
    <t>ARCAMANIK</t>
  </si>
  <si>
    <t>KOTA BANDUNG</t>
  </si>
  <si>
    <t>Devi Utari</t>
  </si>
  <si>
    <t>SAROH MUTMAINAH</t>
  </si>
  <si>
    <t>3205056610070007</t>
  </si>
  <si>
    <t>26/10/2007</t>
  </si>
  <si>
    <t>MENGGAMBAR</t>
  </si>
  <si>
    <t>KOMIKUS,NOVELIS</t>
  </si>
  <si>
    <t>3205051002160012</t>
  </si>
  <si>
    <t>26-06-1972</t>
  </si>
  <si>
    <t>3205052606720006</t>
  </si>
  <si>
    <t>KP DIRGAHAYU</t>
  </si>
  <si>
    <t>SUKAKARYA</t>
  </si>
  <si>
    <t>TAROGONG KIDUL</t>
  </si>
  <si>
    <t>19-11-1976</t>
  </si>
  <si>
    <t>3205055911760001</t>
  </si>
  <si>
    <t>DIPLOMAN IV/STRATA I</t>
  </si>
  <si>
    <t>0108642740</t>
  </si>
  <si>
    <t>3277036911100006</t>
  </si>
  <si>
    <t>29/11/2010</t>
  </si>
  <si>
    <t>3277030806100005</t>
  </si>
  <si>
    <t>14-06-1986</t>
  </si>
  <si>
    <t>3277031406860004</t>
  </si>
  <si>
    <t>AKADEMI/DIPLOMA III/SARJANA MUDA</t>
  </si>
  <si>
    <t>JL BUDHI NO.23</t>
  </si>
  <si>
    <t>PASIRKALIKI</t>
  </si>
  <si>
    <t>CIMAHI UTARA</t>
  </si>
  <si>
    <t>18-12-1990</t>
  </si>
  <si>
    <t>3277035812900009</t>
  </si>
  <si>
    <t>3273057007100001</t>
  </si>
  <si>
    <t>30/07/2010</t>
  </si>
  <si>
    <t>PESEPAK BOLA</t>
  </si>
  <si>
    <t>3273050708103548</t>
  </si>
  <si>
    <t>19-05-1976</t>
  </si>
  <si>
    <t>3273051905760004</t>
  </si>
  <si>
    <t>JL.JEND.SUDIRMAN GG.ABAH MUHAMAD</t>
  </si>
  <si>
    <t>MALEBER</t>
  </si>
  <si>
    <t>30-12-1975</t>
  </si>
  <si>
    <t>3273057012750014</t>
  </si>
  <si>
    <t>SITI KHODIJAH</t>
  </si>
  <si>
    <t>0093386529</t>
  </si>
  <si>
    <t>3211185412090003</t>
  </si>
  <si>
    <t>14/12/2009</t>
  </si>
  <si>
    <t>3211182804090012</t>
  </si>
  <si>
    <t>19-03-1970</t>
  </si>
  <si>
    <t>3211181903700004</t>
  </si>
  <si>
    <t>DUSUN SUKAASIH</t>
  </si>
  <si>
    <t>JATIHURIP</t>
  </si>
  <si>
    <t>16-01-1991</t>
  </si>
  <si>
    <t>3211185601910007</t>
  </si>
  <si>
    <t>SITI SHOFIYAH RAHADATUL AISY</t>
  </si>
  <si>
    <t>3211026011070001</t>
  </si>
  <si>
    <t>20/11/2007</t>
  </si>
  <si>
    <t>31-12-1965</t>
  </si>
  <si>
    <t>3211023112650127</t>
  </si>
  <si>
    <t>DUSUN PANGKALAN</t>
  </si>
  <si>
    <t>KIRISIK</t>
  </si>
  <si>
    <t>JATINUNGGAL</t>
  </si>
  <si>
    <t>3211024808660003</t>
  </si>
  <si>
    <t>0119984944</t>
  </si>
  <si>
    <t>3205236810110001</t>
  </si>
  <si>
    <t>28/10/2011</t>
  </si>
  <si>
    <t>30-08-1979</t>
  </si>
  <si>
    <t>3205233008790001</t>
  </si>
  <si>
    <t>KP.BABAKAN PASUKETAN</t>
  </si>
  <si>
    <t>MULYAJAYA</t>
  </si>
  <si>
    <t>BANJARWANGI</t>
  </si>
  <si>
    <t>3205234611880002</t>
  </si>
  <si>
    <t>0091375766</t>
  </si>
  <si>
    <t>3211174412090002</t>
  </si>
  <si>
    <t>04/12/2009</t>
  </si>
  <si>
    <t>DESAINER</t>
  </si>
  <si>
    <t>3211170407070033</t>
  </si>
  <si>
    <t>3211171305800006</t>
  </si>
  <si>
    <t>085222316672</t>
  </si>
  <si>
    <t>LINGKUNGAN DARANGDAN KEBON</t>
  </si>
  <si>
    <t>KOTAKULON</t>
  </si>
  <si>
    <t>3211174509830016</t>
  </si>
  <si>
    <t>085323504464</t>
  </si>
  <si>
    <t>3093343152</t>
  </si>
  <si>
    <t>3204097108090002</t>
  </si>
  <si>
    <t>31/08/2009</t>
  </si>
  <si>
    <t>BERMAIN</t>
  </si>
  <si>
    <t>3204092207080010</t>
  </si>
  <si>
    <t>3204092405840011</t>
  </si>
  <si>
    <t>JL.SANDANG</t>
  </si>
  <si>
    <t>3204096711830007</t>
  </si>
  <si>
    <t>JL.SADANG</t>
  </si>
  <si>
    <t>0095953341</t>
  </si>
  <si>
    <t>3204135906091001</t>
  </si>
  <si>
    <t>3204130304050420</t>
  </si>
  <si>
    <t>Aep Rukanda Sonjaya</t>
  </si>
  <si>
    <t>Lemah Duhur</t>
  </si>
  <si>
    <t>3204130604680008</t>
  </si>
  <si>
    <t>081223104416</t>
  </si>
  <si>
    <t>KP.CIGENTUR</t>
  </si>
  <si>
    <t>001/017</t>
  </si>
  <si>
    <t>Cicih Supartika</t>
  </si>
  <si>
    <t>3204136004750001</t>
  </si>
  <si>
    <t>0114842803</t>
  </si>
  <si>
    <t>3202294804110002</t>
  </si>
  <si>
    <t>08/04/2011</t>
  </si>
  <si>
    <t>3202012510190005</t>
  </si>
  <si>
    <t>3202110304800008</t>
  </si>
  <si>
    <t>JL.BUKIT DAGO UTARA II NO.16</t>
  </si>
  <si>
    <t>05/03</t>
  </si>
  <si>
    <t>DAGO</t>
  </si>
  <si>
    <t>COBLONG</t>
  </si>
  <si>
    <t>22-10-1988</t>
  </si>
  <si>
    <t>3202296210880007</t>
  </si>
  <si>
    <t>3211255005100002</t>
  </si>
  <si>
    <t>10/05/2010</t>
  </si>
  <si>
    <t>MENYANI</t>
  </si>
  <si>
    <t>3211252110130004</t>
  </si>
  <si>
    <t>3211251003780002</t>
  </si>
  <si>
    <t>DIPLOMA IV/STRATA I</t>
  </si>
  <si>
    <t>DUSUN UJUNGJAYA</t>
  </si>
  <si>
    <t>25-06-1990</t>
  </si>
  <si>
    <t>3211256306900001</t>
  </si>
  <si>
    <t>UJUNGJAYA</t>
  </si>
  <si>
    <t>3210076502110042</t>
  </si>
  <si>
    <t>25/02/2011</t>
  </si>
  <si>
    <t>3210073101080023</t>
  </si>
  <si>
    <t>15-08-1967</t>
  </si>
  <si>
    <t>3210071508670061</t>
  </si>
  <si>
    <t>LINGK.MARGALUYU</t>
  </si>
  <si>
    <t>23/08</t>
  </si>
  <si>
    <t>CICURUG</t>
  </si>
  <si>
    <t>3210074907680001</t>
  </si>
  <si>
    <t>DIPLIMA III</t>
  </si>
  <si>
    <t>0101424256</t>
  </si>
  <si>
    <t>3213124307100009</t>
  </si>
  <si>
    <t>03/07/2010</t>
  </si>
  <si>
    <t>3213122007070098</t>
  </si>
  <si>
    <t>25-11-1980</t>
  </si>
  <si>
    <t>3213122511800012</t>
  </si>
  <si>
    <t>TAMBAKAN</t>
  </si>
  <si>
    <t>14/04</t>
  </si>
  <si>
    <t>JALANCAGAK</t>
  </si>
  <si>
    <t>3213124810840001</t>
  </si>
  <si>
    <t>3-A</t>
  </si>
  <si>
    <t>0103137419</t>
  </si>
  <si>
    <t>3204065409100003</t>
  </si>
  <si>
    <t>14/09/2010</t>
  </si>
  <si>
    <t>SILAT</t>
  </si>
  <si>
    <t>3204062906120010</t>
  </si>
  <si>
    <t>24/03/1974</t>
  </si>
  <si>
    <t>3204062403740004</t>
  </si>
  <si>
    <t>KP.PASIR KIARA</t>
  </si>
  <si>
    <t>CIKADUT</t>
  </si>
  <si>
    <t>3204066101800003</t>
  </si>
  <si>
    <t>085693035121</t>
  </si>
  <si>
    <t>0092306846</t>
  </si>
  <si>
    <t>3275025209090002</t>
  </si>
  <si>
    <t>12/09/2009</t>
  </si>
  <si>
    <t>AHLI TENIK</t>
  </si>
  <si>
    <t>3275022901090202</t>
  </si>
  <si>
    <t>3275020207810028</t>
  </si>
  <si>
    <t>081324902010</t>
  </si>
  <si>
    <t>JL.BANTENG NO.2</t>
  </si>
  <si>
    <t>02/12</t>
  </si>
  <si>
    <t>KRANJI</t>
  </si>
  <si>
    <t>BEKASI BARAT</t>
  </si>
  <si>
    <t>KOTA BEKASI</t>
  </si>
  <si>
    <t>3275025809840021</t>
  </si>
  <si>
    <t>SLTA/SEDARAJAT</t>
  </si>
  <si>
    <t>081291208902</t>
  </si>
  <si>
    <t>3273045203080013</t>
  </si>
  <si>
    <t>12/03/2008</t>
  </si>
  <si>
    <t>PRAMUGARI</t>
  </si>
  <si>
    <t>3204441609220001</t>
  </si>
  <si>
    <t>3273044106730010</t>
  </si>
  <si>
    <t>0859138418510</t>
  </si>
  <si>
    <t>07/05</t>
  </si>
  <si>
    <t>BABAKAN TAROGONG</t>
  </si>
  <si>
    <t>3273156903080002</t>
  </si>
  <si>
    <t>29/03/2008</t>
  </si>
  <si>
    <t>PENYANYI</t>
  </si>
  <si>
    <t>3273150909101201</t>
  </si>
  <si>
    <t>3273150203780009</t>
  </si>
  <si>
    <t>GG.MANUNGGAL IIC</t>
  </si>
  <si>
    <t>06/10</t>
  </si>
  <si>
    <t>CIJERAH</t>
  </si>
  <si>
    <t>BANDUNG KULON</t>
  </si>
  <si>
    <t>3273154408790002</t>
  </si>
  <si>
    <t xml:space="preserve">ASYIFA DZIKRA PUTRI HADIAN </t>
  </si>
  <si>
    <t>0078953732</t>
  </si>
  <si>
    <t>3204086203070002</t>
  </si>
  <si>
    <t>22/03/2007</t>
  </si>
  <si>
    <t>MAIN GAME</t>
  </si>
  <si>
    <t>ARSITEK</t>
  </si>
  <si>
    <t>3204080212160006</t>
  </si>
  <si>
    <t>3204051112810005</t>
  </si>
  <si>
    <t>DIPLOMA IVISTRATA I</t>
  </si>
  <si>
    <t>081223345102</t>
  </si>
  <si>
    <t>KOMP. GBI K.5 NO 31</t>
  </si>
  <si>
    <t>10/11</t>
  </si>
  <si>
    <t>3273236809820002</t>
  </si>
  <si>
    <t>082218788182</t>
  </si>
  <si>
    <t>3092074137</t>
  </si>
  <si>
    <t>3204116409090001</t>
  </si>
  <si>
    <t>24/10/2009</t>
  </si>
  <si>
    <t>MENARI</t>
  </si>
  <si>
    <t>3204110904058239</t>
  </si>
  <si>
    <t>3204111304850003</t>
  </si>
  <si>
    <t>0895320048004</t>
  </si>
  <si>
    <t>KP.PANGAUBAN</t>
  </si>
  <si>
    <t>PANGAUBAN</t>
  </si>
  <si>
    <t>KATAPANG</t>
  </si>
  <si>
    <t>01/04/1981</t>
  </si>
  <si>
    <t>3204114104810001</t>
  </si>
  <si>
    <t>0895409477555</t>
  </si>
  <si>
    <t>0097706851</t>
  </si>
  <si>
    <t>3273206908090003</t>
  </si>
  <si>
    <t>3273200102120005</t>
  </si>
  <si>
    <t>3273021605820012</t>
  </si>
  <si>
    <t>089671695583</t>
  </si>
  <si>
    <t>JL.SINDANG SARI 1 GG.MEKARSARI 5 NO.4</t>
  </si>
  <si>
    <t>ANTAPANI WETAN</t>
  </si>
  <si>
    <t>ANTAPANI</t>
  </si>
  <si>
    <t>3273205309840003</t>
  </si>
  <si>
    <t>085281168429</t>
  </si>
  <si>
    <t>3092990349</t>
  </si>
  <si>
    <t>3273074904100004</t>
  </si>
  <si>
    <t>09/04/2010</t>
  </si>
  <si>
    <t>3273071706160018</t>
  </si>
  <si>
    <t>ANDRI ARIO</t>
  </si>
  <si>
    <t>3273074510690010</t>
  </si>
  <si>
    <t>082219811708</t>
  </si>
  <si>
    <t>GG.H YASIN VIII</t>
  </si>
  <si>
    <t>10/02</t>
  </si>
  <si>
    <t>SUKABUNGAH</t>
  </si>
  <si>
    <t>SUKAJADI</t>
  </si>
  <si>
    <t xml:space="preserve">JAWA BARAT </t>
  </si>
  <si>
    <t>TEGAL</t>
  </si>
  <si>
    <t>03/04/1991</t>
  </si>
  <si>
    <t>3328033004910004</t>
  </si>
  <si>
    <t>GG.H.YASIN VIII</t>
  </si>
  <si>
    <t>0093488308</t>
  </si>
  <si>
    <t>3211115111090001</t>
  </si>
  <si>
    <t>11/11/2009</t>
  </si>
  <si>
    <t>3211121211140004</t>
  </si>
  <si>
    <t>12/09/1971</t>
  </si>
  <si>
    <t>3211111209710011</t>
  </si>
  <si>
    <t>DUSUN SUKABAKTI</t>
  </si>
  <si>
    <t>SUKARAPIH</t>
  </si>
  <si>
    <t>SUKASARI</t>
  </si>
  <si>
    <t>3211115612910009</t>
  </si>
  <si>
    <t>089619915694</t>
  </si>
  <si>
    <t>3204066205110003</t>
  </si>
  <si>
    <t>22/05/2011</t>
  </si>
  <si>
    <t>TIDAK TAMAT SD</t>
  </si>
  <si>
    <t>3273152811220002</t>
  </si>
  <si>
    <t>3273034609830001</t>
  </si>
  <si>
    <t>STRATA-II</t>
  </si>
  <si>
    <t>082128559575</t>
  </si>
  <si>
    <t>JL.CIBUNTU SAYURAN</t>
  </si>
  <si>
    <t>06/07</t>
  </si>
  <si>
    <t>WARUNG MUNCANG</t>
  </si>
  <si>
    <t>0098106414</t>
  </si>
  <si>
    <t>3217085704090002</t>
  </si>
  <si>
    <t>17/04/2009</t>
  </si>
  <si>
    <t>BELANJA</t>
  </si>
  <si>
    <t>3217162008210002</t>
  </si>
  <si>
    <t>3217082505850014</t>
  </si>
  <si>
    <t>KP.CIKANDE</t>
  </si>
  <si>
    <t>3217084306880020</t>
  </si>
  <si>
    <t>083108578731</t>
  </si>
  <si>
    <t>3100955270</t>
  </si>
  <si>
    <t>3204375609100002</t>
  </si>
  <si>
    <t>16/09/2010</t>
  </si>
  <si>
    <t>3204370505090004</t>
  </si>
  <si>
    <t>3204371812870014</t>
  </si>
  <si>
    <t>0895337069003</t>
  </si>
  <si>
    <t>KMP.LEGOK KEONG</t>
  </si>
  <si>
    <t>29/06/1977</t>
  </si>
  <si>
    <t>3273166906770003</t>
  </si>
  <si>
    <t>0109589236</t>
  </si>
  <si>
    <t>3211194508100002</t>
  </si>
  <si>
    <t>05/08/2010</t>
  </si>
  <si>
    <t>CEO</t>
  </si>
  <si>
    <t>3211181606140004</t>
  </si>
  <si>
    <t>3211190806800001</t>
  </si>
  <si>
    <t>LINGKUNGAN TALUN KIDUL</t>
  </si>
  <si>
    <t>3211194804880007</t>
  </si>
  <si>
    <t xml:space="preserve">SLTP/SEDERAJAT </t>
  </si>
  <si>
    <t>083139066916</t>
  </si>
  <si>
    <t xml:space="preserve">KHOIRUNNISA </t>
  </si>
  <si>
    <t>3211256112060002</t>
  </si>
  <si>
    <t>21/12/2006</t>
  </si>
  <si>
    <t>3211252403062650</t>
  </si>
  <si>
    <t>3211251111630004</t>
  </si>
  <si>
    <t>3211256104680004</t>
  </si>
  <si>
    <t>0091055125</t>
  </si>
  <si>
    <t>3217014410090002</t>
  </si>
  <si>
    <t>04/10/2009</t>
  </si>
  <si>
    <t>PENGUSHA</t>
  </si>
  <si>
    <t>3217022009170009</t>
  </si>
  <si>
    <t>3217010101850320</t>
  </si>
  <si>
    <t>KP.PASIR SEREH</t>
  </si>
  <si>
    <t>CIHIDEUNG</t>
  </si>
  <si>
    <t>PARONGPONG</t>
  </si>
  <si>
    <t>04/07/1991</t>
  </si>
  <si>
    <t>3217014407910009</t>
  </si>
  <si>
    <t>0109281161</t>
  </si>
  <si>
    <t>3204136108100003</t>
  </si>
  <si>
    <t>21/08/2010</t>
  </si>
  <si>
    <t>3204133108120047</t>
  </si>
  <si>
    <t>24/07/1979</t>
  </si>
  <si>
    <t>3204132407790001</t>
  </si>
  <si>
    <t>KP.KAMASAN</t>
  </si>
  <si>
    <t>KAMASAN</t>
  </si>
  <si>
    <t xml:space="preserve">BANDUNG  </t>
  </si>
  <si>
    <t>26/01/1983</t>
  </si>
  <si>
    <t>3204136601830004</t>
  </si>
  <si>
    <t>0105858367</t>
  </si>
  <si>
    <t>3273254302100005</t>
  </si>
  <si>
    <t>03/02/2010</t>
  </si>
  <si>
    <t>DOKTER BEDAH</t>
  </si>
  <si>
    <t>3273250805110091</t>
  </si>
  <si>
    <t>19/04/1969</t>
  </si>
  <si>
    <t>3273251904690007</t>
  </si>
  <si>
    <t>DIPLOMA IV/STARATA I</t>
  </si>
  <si>
    <t>082115181392</t>
  </si>
  <si>
    <t>JL.CILENGKRANG I NO.13</t>
  </si>
  <si>
    <t>CISURUPAN</t>
  </si>
  <si>
    <t>CIBIRU</t>
  </si>
  <si>
    <t>26/01/1975</t>
  </si>
  <si>
    <t>3273256601750003</t>
  </si>
  <si>
    <t>089648085798</t>
  </si>
  <si>
    <t>NIKEN AULIA NURASIFA</t>
  </si>
  <si>
    <t>0077104234</t>
  </si>
  <si>
    <t>3204106502070005</t>
  </si>
  <si>
    <t>25/02/2007</t>
  </si>
  <si>
    <t>TRAVELING</t>
  </si>
  <si>
    <t>DOSEN</t>
  </si>
  <si>
    <t>3204461112190004</t>
  </si>
  <si>
    <t>01/01/1981</t>
  </si>
  <si>
    <t>3204100101810139</t>
  </si>
  <si>
    <t>BELUM/TIDAK BEKERJA</t>
  </si>
  <si>
    <t>SLTP/ESEDERAJAT</t>
  </si>
  <si>
    <t>082114430717</t>
  </si>
  <si>
    <t>KP.PASIR KALAPA</t>
  </si>
  <si>
    <t xml:space="preserve">FIFIN FAHQUL JANNAH </t>
  </si>
  <si>
    <t>WONOGORI</t>
  </si>
  <si>
    <t>06-07-1998</t>
  </si>
  <si>
    <t>3312184607980001</t>
  </si>
  <si>
    <t>0101707212</t>
  </si>
  <si>
    <t>3204464805100004</t>
  </si>
  <si>
    <t>06/05/2010</t>
  </si>
  <si>
    <t>VOLI</t>
  </si>
  <si>
    <t>ATLET VOLI</t>
  </si>
  <si>
    <t>3204462205120022</t>
  </si>
  <si>
    <t>3204462603840002</t>
  </si>
  <si>
    <t>KMP.BOJONG NANGKA</t>
  </si>
  <si>
    <t>KOPO</t>
  </si>
  <si>
    <t>3204464908850002</t>
  </si>
  <si>
    <t>KMP. BOJONG NANGKA</t>
  </si>
  <si>
    <t>0061042380</t>
  </si>
  <si>
    <t>3201134910060006</t>
  </si>
  <si>
    <t>0099153594</t>
  </si>
  <si>
    <t>3217075408090003</t>
  </si>
  <si>
    <t>14/08/2009</t>
  </si>
  <si>
    <t>3217070607090027</t>
  </si>
  <si>
    <t>3217070202780028</t>
  </si>
  <si>
    <t>08991834299</t>
  </si>
  <si>
    <t>KP.TONJONG</t>
  </si>
  <si>
    <t>NYALINDUNG</t>
  </si>
  <si>
    <t>CIPATAT</t>
  </si>
  <si>
    <t>3217075808850019</t>
  </si>
  <si>
    <t>083103856946</t>
  </si>
  <si>
    <t>0101930359</t>
  </si>
  <si>
    <t>3273165103100003</t>
  </si>
  <si>
    <t>11/03/2010</t>
  </si>
  <si>
    <t>3273161309100906</t>
  </si>
  <si>
    <t>3273162908700005</t>
  </si>
  <si>
    <t>CIDURIAN TENGAH</t>
  </si>
  <si>
    <t>SUKAPURA</t>
  </si>
  <si>
    <t>KIARACONDONG</t>
  </si>
  <si>
    <t>3273164601740005</t>
  </si>
  <si>
    <t>082214702874</t>
  </si>
  <si>
    <t>SITI AISYAH JAMILAH</t>
  </si>
  <si>
    <t>0059880792</t>
  </si>
  <si>
    <t>3211185811050002</t>
  </si>
  <si>
    <t>18/11/2005</t>
  </si>
  <si>
    <t>3211162810140002</t>
  </si>
  <si>
    <t>3211180412760010</t>
  </si>
  <si>
    <t xml:space="preserve">DUSUN CILOA </t>
  </si>
  <si>
    <t>PANGADEGAN</t>
  </si>
  <si>
    <t>RANCAKALONG</t>
  </si>
  <si>
    <t>SURYANI AYUB</t>
  </si>
  <si>
    <t>16/09/1993</t>
  </si>
  <si>
    <t>3173085809930001</t>
  </si>
  <si>
    <t>DUSUN CILOA</t>
  </si>
  <si>
    <t>0089984052</t>
  </si>
  <si>
    <t>3211175010080002</t>
  </si>
  <si>
    <t>10/10/2008</t>
  </si>
  <si>
    <t>3211170103230005</t>
  </si>
  <si>
    <t>3211175311640005</t>
  </si>
  <si>
    <t>DUSUN CIPICUNG</t>
  </si>
  <si>
    <t>MARGAMEKAR</t>
  </si>
  <si>
    <t>0086054941</t>
  </si>
  <si>
    <t>3277014111080006</t>
  </si>
  <si>
    <t>01/11/2008</t>
  </si>
  <si>
    <t>3277011503160015</t>
  </si>
  <si>
    <t>3277011505820023</t>
  </si>
  <si>
    <t>JL.KERKOP NO.198</t>
  </si>
  <si>
    <t>LEUWIGAJAH</t>
  </si>
  <si>
    <t xml:space="preserve">CIMAHI SELATAN </t>
  </si>
  <si>
    <t>10/05/1983</t>
  </si>
  <si>
    <t>3273045005830001</t>
  </si>
  <si>
    <t>0895631906040</t>
  </si>
  <si>
    <t>JL.KERKOF NO.198</t>
  </si>
  <si>
    <t>3204446411090002</t>
  </si>
  <si>
    <t>24/11/2009</t>
  </si>
  <si>
    <t>3204442101190002</t>
  </si>
  <si>
    <t>3204445801810006</t>
  </si>
  <si>
    <t>085156673858</t>
  </si>
  <si>
    <t>GUMURUH</t>
  </si>
  <si>
    <t>05/04</t>
  </si>
  <si>
    <t>NAGRAK</t>
  </si>
  <si>
    <t>0094947799</t>
  </si>
  <si>
    <t>3211186107090005</t>
  </si>
  <si>
    <t>21/07/2009</t>
  </si>
  <si>
    <t>3211182606070093</t>
  </si>
  <si>
    <t>02/05/1976</t>
  </si>
  <si>
    <t>SD/SEDERAJAT</t>
  </si>
  <si>
    <t>082126908083</t>
  </si>
  <si>
    <t>LINGKUNGAN BARAK</t>
  </si>
  <si>
    <t>SITU</t>
  </si>
  <si>
    <t xml:space="preserve">SUMEDANG UTARA </t>
  </si>
  <si>
    <t xml:space="preserve">SUMEDANG </t>
  </si>
  <si>
    <t>10/06/1979</t>
  </si>
  <si>
    <t>3211185006790010</t>
  </si>
  <si>
    <t xml:space="preserve">LINGKUNGAN BARAK </t>
  </si>
  <si>
    <t>SITI NURLAELA ULFA</t>
  </si>
  <si>
    <t>0074376324</t>
  </si>
  <si>
    <t>3277014504070003</t>
  </si>
  <si>
    <t>05/04/2007</t>
  </si>
  <si>
    <t>3277011010060095</t>
  </si>
  <si>
    <t>3277011708710003</t>
  </si>
  <si>
    <t>RANCA BENTANG</t>
  </si>
  <si>
    <t>002/026</t>
  </si>
  <si>
    <t>CIBEUREUM</t>
  </si>
  <si>
    <t>CIMAHI SELATAN</t>
  </si>
  <si>
    <t>27/01/1979</t>
  </si>
  <si>
    <t>3277010701790001</t>
  </si>
  <si>
    <t>0088495482</t>
  </si>
  <si>
    <t>3273066103080002</t>
  </si>
  <si>
    <t>21/03/2008</t>
  </si>
  <si>
    <t>3273061108105079</t>
  </si>
  <si>
    <t>3273060607690005</t>
  </si>
  <si>
    <t>087732652472</t>
  </si>
  <si>
    <t>CICUKANG II/72</t>
  </si>
  <si>
    <t>05/07</t>
  </si>
  <si>
    <t>HUSEN SASTRANEGARA</t>
  </si>
  <si>
    <t>CICENDO</t>
  </si>
  <si>
    <t>31/12/1984</t>
  </si>
  <si>
    <t>3273067112840001</t>
  </si>
  <si>
    <t>087821244061</t>
  </si>
  <si>
    <t xml:space="preserve">SOVI SALHA ADAWIYAH </t>
  </si>
  <si>
    <t>3211155207070001</t>
  </si>
  <si>
    <t>12/07/2007</t>
  </si>
  <si>
    <t>3211151703067216</t>
  </si>
  <si>
    <t>30/12/1962</t>
  </si>
  <si>
    <t>3211153012620006</t>
  </si>
  <si>
    <t>DUSUN BOJONG</t>
  </si>
  <si>
    <t>CILAYUNG</t>
  </si>
  <si>
    <t>JATINANGOR</t>
  </si>
  <si>
    <t>3211156706660001</t>
  </si>
  <si>
    <t>085864408910</t>
  </si>
  <si>
    <t>0086784626</t>
  </si>
  <si>
    <t>3603155106090005</t>
  </si>
  <si>
    <t>TANGERANG</t>
  </si>
  <si>
    <t>11/06/2009</t>
  </si>
  <si>
    <t>3603151111110023</t>
  </si>
  <si>
    <t>3603151708630001</t>
  </si>
  <si>
    <t>KP.KRAMAT</t>
  </si>
  <si>
    <t>SUKAWALI</t>
  </si>
  <si>
    <t>PAKUHAJI</t>
  </si>
  <si>
    <t>BANTEN</t>
  </si>
  <si>
    <t>27/08/1970</t>
  </si>
  <si>
    <t>3603156708700001</t>
  </si>
  <si>
    <t>SYIFA YULIANI</t>
  </si>
  <si>
    <t>0074715157</t>
  </si>
  <si>
    <t>3211176405070003</t>
  </si>
  <si>
    <t>24/05/2007</t>
  </si>
  <si>
    <t>3211172711080033</t>
  </si>
  <si>
    <t>3211171511840001</t>
  </si>
  <si>
    <t>LINGK DARANGDAN</t>
  </si>
  <si>
    <t>06/08</t>
  </si>
  <si>
    <t xml:space="preserve">SUMEDANG SELATAN </t>
  </si>
  <si>
    <t>3211176411850016</t>
  </si>
  <si>
    <t>082315613081</t>
  </si>
  <si>
    <t>3-B</t>
  </si>
  <si>
    <t>0091677173</t>
  </si>
  <si>
    <t>3273285910090001</t>
  </si>
  <si>
    <t>19/10/2009</t>
  </si>
  <si>
    <t>3273261709130012</t>
  </si>
  <si>
    <t>13/08/1983</t>
  </si>
  <si>
    <t>3273281308830001</t>
  </si>
  <si>
    <t>PASIR KUNCI</t>
  </si>
  <si>
    <t>PASIRJATI</t>
  </si>
  <si>
    <t>3273286310840001</t>
  </si>
  <si>
    <t>S,</t>
  </si>
  <si>
    <t>0093231727</t>
  </si>
  <si>
    <t>3204076010100001</t>
  </si>
  <si>
    <t>17/10/2009</t>
  </si>
  <si>
    <t>NONTON</t>
  </si>
  <si>
    <t>3204072105110060</t>
  </si>
  <si>
    <t>3204070805820003</t>
  </si>
  <si>
    <t>KP.PARATAG</t>
  </si>
  <si>
    <t>MELATIWANGI</t>
  </si>
  <si>
    <t>CILENGKRANG</t>
  </si>
  <si>
    <t>3204076107880002</t>
  </si>
  <si>
    <t>3204446804100001</t>
  </si>
  <si>
    <t>3204442007200012</t>
  </si>
  <si>
    <t>CERAI MATI</t>
  </si>
  <si>
    <t>003/009</t>
  </si>
  <si>
    <t>3204445802850001</t>
  </si>
  <si>
    <t>3100487573</t>
  </si>
  <si>
    <t>3273124911100003</t>
  </si>
  <si>
    <t>09/11/2010</t>
  </si>
  <si>
    <t>3273120205120017</t>
  </si>
  <si>
    <t>3273120309840011</t>
  </si>
  <si>
    <t>JL.KEBON GEDANG III</t>
  </si>
  <si>
    <t>002/012</t>
  </si>
  <si>
    <t>MALEER</t>
  </si>
  <si>
    <t>BATUNUNGGAL</t>
  </si>
  <si>
    <t>3273126606780013</t>
  </si>
  <si>
    <t xml:space="preserve">S </t>
  </si>
  <si>
    <t>0097779454</t>
  </si>
  <si>
    <t>1502206208090001</t>
  </si>
  <si>
    <t>22/08/2009</t>
  </si>
  <si>
    <t>3211180306140007</t>
  </si>
  <si>
    <t>1502201311840001</t>
  </si>
  <si>
    <t>004/005</t>
  </si>
  <si>
    <t>08/06/1984</t>
  </si>
  <si>
    <t>1502204806840002</t>
  </si>
  <si>
    <t>CHA CHA HASNA  NUR SYAFA'NAH</t>
  </si>
  <si>
    <t>3211036511080004</t>
  </si>
  <si>
    <t>25/11/2005</t>
  </si>
  <si>
    <t>3211031507080004</t>
  </si>
  <si>
    <t>3211030809710001</t>
  </si>
  <si>
    <t>DUSUN NAGRONG</t>
  </si>
  <si>
    <t>CIENTEUNG</t>
  </si>
  <si>
    <t>DARMARAJA</t>
  </si>
  <si>
    <t>3211035404880004</t>
  </si>
  <si>
    <t>3090825646</t>
  </si>
  <si>
    <t>3215265307090001</t>
  </si>
  <si>
    <t>13/07/2009</t>
  </si>
  <si>
    <t>3215262806080024</t>
  </si>
  <si>
    <t>3215262208790001</t>
  </si>
  <si>
    <t>PERUM BUANA ASRI A.3/1</t>
  </si>
  <si>
    <t>002/017</t>
  </si>
  <si>
    <t>PALUMBONSARI</t>
  </si>
  <si>
    <t>KARAWANG TIMUR</t>
  </si>
  <si>
    <t>23/06/1984</t>
  </si>
  <si>
    <t>3215266306840003</t>
  </si>
  <si>
    <t>GIANI AULIA UTAMI</t>
  </si>
  <si>
    <t>0065636695</t>
  </si>
  <si>
    <t>3273285009060001</t>
  </si>
  <si>
    <t>10/09/2006</t>
  </si>
  <si>
    <t>3273281310100551</t>
  </si>
  <si>
    <t>3273280604710001</t>
  </si>
  <si>
    <t>JL.TERATAI MEKAR VII NO.11</t>
  </si>
  <si>
    <t>MEKAR MULYA</t>
  </si>
  <si>
    <t>PANYILEUKAN</t>
  </si>
  <si>
    <t>27/08/1976</t>
  </si>
  <si>
    <t>3273286708760002</t>
  </si>
  <si>
    <t>0093286526</t>
  </si>
  <si>
    <t>3273266807090002</t>
  </si>
  <si>
    <t>28/07/2009</t>
  </si>
  <si>
    <t>3273261110108798</t>
  </si>
  <si>
    <t>10/09/1983</t>
  </si>
  <si>
    <t>3273261009830002</t>
  </si>
  <si>
    <t>KP.SASAK LEMAH</t>
  </si>
  <si>
    <t>005/009</t>
  </si>
  <si>
    <t>21/01/1989</t>
  </si>
  <si>
    <t>3273266101890002</t>
  </si>
  <si>
    <t>0107540645</t>
  </si>
  <si>
    <t>3211114203100003</t>
  </si>
  <si>
    <t>02/03/2010</t>
  </si>
  <si>
    <t>3211112003064354</t>
  </si>
  <si>
    <t>23/11/1976</t>
  </si>
  <si>
    <t>3211112311760003</t>
  </si>
  <si>
    <t>DUSUN PASIR ANGIN</t>
  </si>
  <si>
    <t>001/006</t>
  </si>
  <si>
    <t>MARGALUYU</t>
  </si>
  <si>
    <t>TANJUNGSARI</t>
  </si>
  <si>
    <t>10/08/1979</t>
  </si>
  <si>
    <t>3211115008790015</t>
  </si>
  <si>
    <t>0102171919</t>
  </si>
  <si>
    <t>3204135206100001</t>
  </si>
  <si>
    <t>12/06/2010</t>
  </si>
  <si>
    <t>KONTEN CREATOR</t>
  </si>
  <si>
    <t>3204133001200010</t>
  </si>
  <si>
    <t>12/02/1978</t>
  </si>
  <si>
    <t>3204131202780009</t>
  </si>
  <si>
    <t>KP.CIPAKU</t>
  </si>
  <si>
    <t>TARAJUSARI</t>
  </si>
  <si>
    <t>01/09/1981</t>
  </si>
  <si>
    <t>3204134109810013</t>
  </si>
  <si>
    <t>0108520414</t>
  </si>
  <si>
    <t>3211114304100001</t>
  </si>
  <si>
    <t>03/04/2010</t>
  </si>
  <si>
    <t>TIDUR,MAKAN</t>
  </si>
  <si>
    <t>3211111304100007</t>
  </si>
  <si>
    <t>11/04/1983</t>
  </si>
  <si>
    <t>3211111104830004</t>
  </si>
  <si>
    <t>DUSUN CIJOLANG</t>
  </si>
  <si>
    <t>3211114508870008</t>
  </si>
  <si>
    <t>0082218036</t>
  </si>
  <si>
    <t>3204375506080002</t>
  </si>
  <si>
    <t>15/06/2008</t>
  </si>
  <si>
    <t>3204370902060044</t>
  </si>
  <si>
    <t>3204371405770003</t>
  </si>
  <si>
    <t>KP.CARINGIN</t>
  </si>
  <si>
    <t>002/008</t>
  </si>
  <si>
    <t>3204375311790010</t>
  </si>
  <si>
    <t>0101659103</t>
  </si>
  <si>
    <t>3204164407100006</t>
  </si>
  <si>
    <t>04/07/2010</t>
  </si>
  <si>
    <t>3204162312120013</t>
  </si>
  <si>
    <t>3204162804760003</t>
  </si>
  <si>
    <t>KP.PASIRDANTA</t>
  </si>
  <si>
    <t>WARGALUYU</t>
  </si>
  <si>
    <t>3204166408900001</t>
  </si>
  <si>
    <t>0094965019</t>
  </si>
  <si>
    <t>3273156010090001</t>
  </si>
  <si>
    <t>20/10/2009</t>
  </si>
  <si>
    <t>PUBLIC FIGURE</t>
  </si>
  <si>
    <t>3273151009101361</t>
  </si>
  <si>
    <t>3273151010830009</t>
  </si>
  <si>
    <t>JL.CIJERAH GG.AL IHSAN</t>
  </si>
  <si>
    <t>005/005</t>
  </si>
  <si>
    <t>CIBUNTU</t>
  </si>
  <si>
    <t>3273154305880001</t>
  </si>
  <si>
    <t>0106043588</t>
  </si>
  <si>
    <t>3204135005100007</t>
  </si>
  <si>
    <t>MAIN SEPAK BOLA</t>
  </si>
  <si>
    <t>3204131103130003</t>
  </si>
  <si>
    <t>3204130603800006</t>
  </si>
  <si>
    <t>KP.TARIGU</t>
  </si>
  <si>
    <t>003/001</t>
  </si>
  <si>
    <t>MARGAHURIP</t>
  </si>
  <si>
    <t>3204134702850001</t>
  </si>
  <si>
    <t>0108391461</t>
  </si>
  <si>
    <t>3273045102100004</t>
  </si>
  <si>
    <t>11/02/2010</t>
  </si>
  <si>
    <t>PSIKOLGI,YOUTUBER</t>
  </si>
  <si>
    <t>3273040612120039</t>
  </si>
  <si>
    <t>3273041009840004</t>
  </si>
  <si>
    <t>JL.BABAKAN IRIGASI</t>
  </si>
  <si>
    <t>004/007</t>
  </si>
  <si>
    <t>3273044204860004</t>
  </si>
  <si>
    <t>MARSYA ANJULIA EKA PUTRI</t>
  </si>
  <si>
    <t>0073428215</t>
  </si>
  <si>
    <t>1603055207070001</t>
  </si>
  <si>
    <t>PENDOPO</t>
  </si>
  <si>
    <t>1603051202080001</t>
  </si>
  <si>
    <t>1603051201800001</t>
  </si>
  <si>
    <t>KAMPUNG RAMBUTAN</t>
  </si>
  <si>
    <t>019/005</t>
  </si>
  <si>
    <t>PASAR BHAYANGKARA</t>
  </si>
  <si>
    <t>TALANG UBI</t>
  </si>
  <si>
    <t>PENUKAL ABAB LEMATANG ILIR</t>
  </si>
  <si>
    <t>SUMATERA SELATAN</t>
  </si>
  <si>
    <t>1603056708870002</t>
  </si>
  <si>
    <t>0108405776</t>
  </si>
  <si>
    <t>3273255401100002</t>
  </si>
  <si>
    <t>3273250910100152</t>
  </si>
  <si>
    <t>3273261407320003</t>
  </si>
  <si>
    <t>JL.CILENGKRANG II</t>
  </si>
  <si>
    <t>PALASARI</t>
  </si>
  <si>
    <t>3273255404870002</t>
  </si>
  <si>
    <t>DIPLOMA III/S.MUDA</t>
  </si>
  <si>
    <t>0097538957</t>
  </si>
  <si>
    <t>3217064810090004</t>
  </si>
  <si>
    <t>08/10/2009</t>
  </si>
  <si>
    <t>3217060602090009</t>
  </si>
  <si>
    <t>3217062311730010</t>
  </si>
  <si>
    <t>KP.CICAU</t>
  </si>
  <si>
    <t>011/009</t>
  </si>
  <si>
    <t>GADOBANGKONG</t>
  </si>
  <si>
    <t>NGAMPRAH</t>
  </si>
  <si>
    <t>20/12/1980</t>
  </si>
  <si>
    <t>3217066012800011</t>
  </si>
  <si>
    <t>0106509275</t>
  </si>
  <si>
    <t>3214014501100004</t>
  </si>
  <si>
    <t>05/01/2010</t>
  </si>
  <si>
    <t>TADABBUR ALAM</t>
  </si>
  <si>
    <t>PSIKIATER</t>
  </si>
  <si>
    <t>3214012805078099</t>
  </si>
  <si>
    <t>3214010307740004</t>
  </si>
  <si>
    <t>GHARA CITALANG PERMAI</t>
  </si>
  <si>
    <t>025/006</t>
  </si>
  <si>
    <t>27/03/1980</t>
  </si>
  <si>
    <t>3214016703800003</t>
  </si>
  <si>
    <t>0091227910</t>
  </si>
  <si>
    <t>3211156806090001</t>
  </si>
  <si>
    <t>28/06/2009</t>
  </si>
  <si>
    <t>3211150704090018</t>
  </si>
  <si>
    <t>27/05/1984</t>
  </si>
  <si>
    <t>3211152705840004</t>
  </si>
  <si>
    <t>DUSUN MEKARASIH</t>
  </si>
  <si>
    <t>004/013</t>
  </si>
  <si>
    <t>HEGARMANAH</t>
  </si>
  <si>
    <t>18/11/1987</t>
  </si>
  <si>
    <t>3211155811870008</t>
  </si>
  <si>
    <t>0104842377</t>
  </si>
  <si>
    <t>3273245501100001</t>
  </si>
  <si>
    <t>15/01/2010</t>
  </si>
  <si>
    <t>3273240504111347</t>
  </si>
  <si>
    <t>23/08/1985</t>
  </si>
  <si>
    <t>3273242308850003</t>
  </si>
  <si>
    <t>JL.PARAKANSAAT II</t>
  </si>
  <si>
    <t>CISARANTEN ENDAH</t>
  </si>
  <si>
    <t>08/02/1989</t>
  </si>
  <si>
    <t>3273244802890002</t>
  </si>
  <si>
    <t>3108710587</t>
  </si>
  <si>
    <t>3273044607100003</t>
  </si>
  <si>
    <t>3273040608101633</t>
  </si>
  <si>
    <t>05/05/1971</t>
  </si>
  <si>
    <t>3273040505710001</t>
  </si>
  <si>
    <t>JL.KOPO BBK ASIH</t>
  </si>
  <si>
    <t>006/001</t>
  </si>
  <si>
    <t>BABAKAN ASIH</t>
  </si>
  <si>
    <t>3273046307760001</t>
  </si>
  <si>
    <t>0108246704</t>
  </si>
  <si>
    <t>3204464703100003</t>
  </si>
  <si>
    <t>KMP.CIGONDEWAH KALER</t>
  </si>
  <si>
    <t>003/004</t>
  </si>
  <si>
    <t>CIGONDEWAH KALER</t>
  </si>
  <si>
    <t>3105119028</t>
  </si>
  <si>
    <t>3204294503100002</t>
  </si>
  <si>
    <t>05/03/2010</t>
  </si>
  <si>
    <t>3273262909160004</t>
  </si>
  <si>
    <t>3204291705750003</t>
  </si>
  <si>
    <t>ANDIR WETAN</t>
  </si>
  <si>
    <t xml:space="preserve">PASANGGRAHAN </t>
  </si>
  <si>
    <t>3204295201780007</t>
  </si>
  <si>
    <t>0106601706</t>
  </si>
  <si>
    <t>3211174501100002</t>
  </si>
  <si>
    <t>3211172801100001</t>
  </si>
  <si>
    <t>3211171803820004</t>
  </si>
  <si>
    <t>LINGKUNGAN LEBAK HUNI</t>
  </si>
  <si>
    <t>003/013</t>
  </si>
  <si>
    <t>PASANGGRAHAN BARU</t>
  </si>
  <si>
    <t>3211175412820012</t>
  </si>
  <si>
    <t>0108848932</t>
  </si>
  <si>
    <t>3204284807100006</t>
  </si>
  <si>
    <t>08/07/2010</t>
  </si>
  <si>
    <t>3204280611120021</t>
  </si>
  <si>
    <t>3204283108850003</t>
  </si>
  <si>
    <t>DUSUN NEGLASARI</t>
  </si>
  <si>
    <t>005/004</t>
  </si>
  <si>
    <t>SUKAMAJU</t>
  </si>
  <si>
    <t>3204285702860002</t>
  </si>
  <si>
    <t>3102991103</t>
  </si>
  <si>
    <t>3211034402100001</t>
  </si>
  <si>
    <t>04/02/2010</t>
  </si>
  <si>
    <t>BADMINTON</t>
  </si>
  <si>
    <t>3211032907080002</t>
  </si>
  <si>
    <t>3211031702780004</t>
  </si>
  <si>
    <t>002/004</t>
  </si>
  <si>
    <t>CIEUNTEUNG</t>
  </si>
  <si>
    <t>05/08/1987</t>
  </si>
  <si>
    <t>3211034508870001</t>
  </si>
  <si>
    <t>0095832955</t>
  </si>
  <si>
    <t>3211187012090002</t>
  </si>
  <si>
    <t>30/12/2009</t>
  </si>
  <si>
    <t>3211181007070042</t>
  </si>
  <si>
    <t>28/05/1977</t>
  </si>
  <si>
    <t>3211182805770006</t>
  </si>
  <si>
    <t>DUSUN PABUARAN</t>
  </si>
  <si>
    <t>003/008</t>
  </si>
  <si>
    <t>16/12/1984</t>
  </si>
  <si>
    <t>3211185612840005</t>
  </si>
  <si>
    <t>0105347786</t>
  </si>
  <si>
    <t>3217015003100001</t>
  </si>
  <si>
    <t>10/03/2010</t>
  </si>
  <si>
    <t>3217010408090027</t>
  </si>
  <si>
    <t>3217011307860016</t>
  </si>
  <si>
    <t>KP.PAMECELAN</t>
  </si>
  <si>
    <t>3217014107910309</t>
  </si>
  <si>
    <t>0091357049</t>
  </si>
  <si>
    <t>3204286603090007</t>
  </si>
  <si>
    <t>26/03/2009</t>
  </si>
  <si>
    <t>3204282906200017</t>
  </si>
  <si>
    <t>3204280111790007</t>
  </si>
  <si>
    <t>KP.CIPARANJE</t>
  </si>
  <si>
    <t>002/005</t>
  </si>
  <si>
    <t>SANGIANG</t>
  </si>
  <si>
    <t>3204285404820007</t>
  </si>
  <si>
    <t>ZAHROTUSITA</t>
  </si>
  <si>
    <t>0092803688</t>
  </si>
  <si>
    <t>3172045611091016</t>
  </si>
  <si>
    <t>16/11/2000</t>
  </si>
  <si>
    <t>BACA NOVEL</t>
  </si>
  <si>
    <t>3172041609111006</t>
  </si>
  <si>
    <t>3172040103790019</t>
  </si>
  <si>
    <t>JL.KALIBARU BARAT IV</t>
  </si>
  <si>
    <t>010/007</t>
  </si>
  <si>
    <t>KALIBARU</t>
  </si>
  <si>
    <t>CILINCING</t>
  </si>
  <si>
    <t>3172046708780009</t>
  </si>
  <si>
    <t>4-A</t>
  </si>
  <si>
    <t>v</t>
  </si>
  <si>
    <t>0084243344</t>
  </si>
  <si>
    <t>3217085809080010</t>
  </si>
  <si>
    <t>18/09/2008</t>
  </si>
  <si>
    <t>BERPETUALANG</t>
  </si>
  <si>
    <t>3217081008060024</t>
  </si>
  <si>
    <t>3217080111740011</t>
  </si>
  <si>
    <t>+62 896-5690-5834</t>
  </si>
  <si>
    <t>KP.CIPEUNDEUY</t>
  </si>
  <si>
    <t>PADALARANG</t>
  </si>
  <si>
    <t>3217084510790018</t>
  </si>
  <si>
    <t>0093605989</t>
  </si>
  <si>
    <t>3204115303090001</t>
  </si>
  <si>
    <t>13/03/2009</t>
  </si>
  <si>
    <t>3204111707130009</t>
  </si>
  <si>
    <t>29/06/1978</t>
  </si>
  <si>
    <t>3204112906780001</t>
  </si>
  <si>
    <t>DIPLOMA IV / SASTRA I</t>
  </si>
  <si>
    <t>+62 819-0507-5798</t>
  </si>
  <si>
    <t>04/11</t>
  </si>
  <si>
    <t>3204114702800004</t>
  </si>
  <si>
    <t>+62 812-2025-876</t>
  </si>
  <si>
    <t>JL.H. ALPI NO 34</t>
  </si>
  <si>
    <t xml:space="preserve">ALYA RAMADHANI </t>
  </si>
  <si>
    <t>0059846803</t>
  </si>
  <si>
    <t>3204285110050001</t>
  </si>
  <si>
    <t>11/10/2005</t>
  </si>
  <si>
    <t>3204282111220012</t>
  </si>
  <si>
    <t>16/3/1974</t>
  </si>
  <si>
    <t>3204285603740004</t>
  </si>
  <si>
    <t>+62 813-1303-6776</t>
  </si>
  <si>
    <t>JL. KAMBOJA NO 27</t>
  </si>
  <si>
    <t>04/17</t>
  </si>
  <si>
    <t>RANCAEKEK KENCANA</t>
  </si>
  <si>
    <t>0058678651</t>
  </si>
  <si>
    <t>3204445107050004</t>
  </si>
  <si>
    <t>11/07/2005</t>
  </si>
  <si>
    <t>3204440509050071</t>
  </si>
  <si>
    <t>20/7/1969</t>
  </si>
  <si>
    <t>3204442007690001</t>
  </si>
  <si>
    <t>+62 815-6524-284</t>
  </si>
  <si>
    <t>KP.TENJOLAYA</t>
  </si>
  <si>
    <t>18/2/1977</t>
  </si>
  <si>
    <t>3204445802770001</t>
  </si>
  <si>
    <t>TAMAT SD/SEDERAJATA</t>
  </si>
  <si>
    <t xml:space="preserve">AULIA NUR HIDAYAH </t>
  </si>
  <si>
    <t>0079077941</t>
  </si>
  <si>
    <t>3277016611070007</t>
  </si>
  <si>
    <t>26/11/2007</t>
  </si>
  <si>
    <t>BIDAN</t>
  </si>
  <si>
    <t>3277011002070008</t>
  </si>
  <si>
    <t>27/11/1981</t>
  </si>
  <si>
    <t>3277012711810003</t>
  </si>
  <si>
    <t>+62 812-9549-5087</t>
  </si>
  <si>
    <t>KAMP HUJUNG KULON</t>
  </si>
  <si>
    <t>UTAMA</t>
  </si>
  <si>
    <t>23/03/1981</t>
  </si>
  <si>
    <t>3277016303810040</t>
  </si>
  <si>
    <t>0071939934</t>
  </si>
  <si>
    <t>3217026212070002</t>
  </si>
  <si>
    <t>22/12/2007</t>
  </si>
  <si>
    <t>TENTARA</t>
  </si>
  <si>
    <t>3277030508140012</t>
  </si>
  <si>
    <t>3217020911650001</t>
  </si>
  <si>
    <t>JL.CIHANJUANG BLOK B NO 188</t>
  </si>
  <si>
    <t>05/20</t>
  </si>
  <si>
    <t>CIBABAT</t>
  </si>
  <si>
    <t>16/09/1972</t>
  </si>
  <si>
    <t>3217026609720002</t>
  </si>
  <si>
    <t>JL,CIHANJUANG BLOK B NO 188</t>
  </si>
  <si>
    <t>DAVA PUTRI RAFAEL NUR ANDIKA</t>
  </si>
  <si>
    <t>0074074725</t>
  </si>
  <si>
    <t>3204485403070001</t>
  </si>
  <si>
    <t>29/08/2007</t>
  </si>
  <si>
    <t>PERAWAT</t>
  </si>
  <si>
    <t>3204482602070006</t>
  </si>
  <si>
    <t>30/01/1981</t>
  </si>
  <si>
    <t>04/12</t>
  </si>
  <si>
    <t>26/05/1983</t>
  </si>
  <si>
    <t>0072272278</t>
  </si>
  <si>
    <t>3273075412070003</t>
  </si>
  <si>
    <t>04/12/2007</t>
  </si>
  <si>
    <t>3273072601120006</t>
  </si>
  <si>
    <t>3273070312800005</t>
  </si>
  <si>
    <t>JL.CIBOGO ATAS</t>
  </si>
  <si>
    <t>SUKAWARNA</t>
  </si>
  <si>
    <t>3273074908830010</t>
  </si>
  <si>
    <t>belum tamat sd</t>
  </si>
  <si>
    <t>3211176806090002</t>
  </si>
  <si>
    <t>Belum Tamat SD</t>
  </si>
  <si>
    <t>3211172203060690</t>
  </si>
  <si>
    <t>3211171512680005</t>
  </si>
  <si>
    <t>LINGKA KEBON CAU</t>
  </si>
  <si>
    <t>CIPAMEUMPEUK</t>
  </si>
  <si>
    <t>3211174304690003</t>
  </si>
  <si>
    <t>JAWABRAT</t>
  </si>
  <si>
    <t>0088664725</t>
  </si>
  <si>
    <t>3211114311080005</t>
  </si>
  <si>
    <t>03/11/2008</t>
  </si>
  <si>
    <t>MILYADER</t>
  </si>
  <si>
    <t>3211110109090001</t>
  </si>
  <si>
    <t>25/08/1978</t>
  </si>
  <si>
    <t>3211112508780008</t>
  </si>
  <si>
    <t>DUSUB CIBOGO</t>
  </si>
  <si>
    <t>RAHARJA</t>
  </si>
  <si>
    <t>23/02/1984</t>
  </si>
  <si>
    <t>3211116302850002</t>
  </si>
  <si>
    <t xml:space="preserve">FAHRANI </t>
  </si>
  <si>
    <t>0072309677</t>
  </si>
  <si>
    <t>3273095109070001</t>
  </si>
  <si>
    <t>11/09/2007</t>
  </si>
  <si>
    <t>3273092008109266</t>
  </si>
  <si>
    <t>27/07/1980</t>
  </si>
  <si>
    <t>3273092707800004</t>
  </si>
  <si>
    <t>JL.LIMGGAWASTU NO.14/25</t>
  </si>
  <si>
    <t>02/16</t>
  </si>
  <si>
    <t>TAMANSARI</t>
  </si>
  <si>
    <t>BANDUNG WETAN</t>
  </si>
  <si>
    <t>3273095904840001</t>
  </si>
  <si>
    <t>JL.LIGGAWASTU NO.14/25</t>
  </si>
  <si>
    <t>0089162705</t>
  </si>
  <si>
    <t>3204084107080005</t>
  </si>
  <si>
    <t>3204082304050476</t>
  </si>
  <si>
    <t>29/10/1970</t>
  </si>
  <si>
    <t>3204082910700001</t>
  </si>
  <si>
    <t>+62 812-1466-4479</t>
  </si>
  <si>
    <t>KP.CIJERUK</t>
  </si>
  <si>
    <t>3204084106830016</t>
  </si>
  <si>
    <t>0086034217</t>
  </si>
  <si>
    <t>3217085605080007</t>
  </si>
  <si>
    <t>16/05/2008</t>
  </si>
  <si>
    <t>3217082911070142</t>
  </si>
  <si>
    <t>16/06/1980</t>
  </si>
  <si>
    <t>3217081606800020</t>
  </si>
  <si>
    <t>25/12/1987</t>
  </si>
  <si>
    <t>3217086512870015</t>
  </si>
  <si>
    <t>KP.CIPENDEUY</t>
  </si>
  <si>
    <t>0089263181</t>
  </si>
  <si>
    <t>3207225207080001</t>
  </si>
  <si>
    <t>12/07/2008</t>
  </si>
  <si>
    <t>3207222909070459</t>
  </si>
  <si>
    <t>3207220407760002</t>
  </si>
  <si>
    <t>DIPLOMA IV/STERATA I</t>
  </si>
  <si>
    <t>+62 857-3033-1974</t>
  </si>
  <si>
    <t>DUSUN WONOHARJO</t>
  </si>
  <si>
    <t>WONOHARJO</t>
  </si>
  <si>
    <t>PANGANDARAN</t>
  </si>
  <si>
    <t> 46396</t>
  </si>
  <si>
    <t>3207224605770001</t>
  </si>
  <si>
    <t>0082465629</t>
  </si>
  <si>
    <t>3271067001080008</t>
  </si>
  <si>
    <t>30/01/2008</t>
  </si>
  <si>
    <t>3204380310190001</t>
  </si>
  <si>
    <t>IMAM GUNADI</t>
  </si>
  <si>
    <t>27/5/1986</t>
  </si>
  <si>
    <t>3603176705860001</t>
  </si>
  <si>
    <t>+62 831-7964-8684</t>
  </si>
  <si>
    <t>KP.CULAMEGA</t>
  </si>
  <si>
    <t>CIKONENG</t>
  </si>
  <si>
    <t>PASIRJAMBU</t>
  </si>
  <si>
    <t>09/05/1986</t>
  </si>
  <si>
    <t>3204380905860004</t>
  </si>
  <si>
    <t>KP. CULAMEGA</t>
  </si>
  <si>
    <t>0087167342</t>
  </si>
  <si>
    <t>3204106806080006</t>
  </si>
  <si>
    <t>28/06/2008</t>
  </si>
  <si>
    <t>3204100903200001</t>
  </si>
  <si>
    <t>21/08/1981</t>
  </si>
  <si>
    <t>3273152108810009</t>
  </si>
  <si>
    <t>KP. BOJONG HAUR</t>
  </si>
  <si>
    <t>RAHAYU</t>
  </si>
  <si>
    <t>MARGAASIH</t>
  </si>
  <si>
    <t>3204104908850002</t>
  </si>
  <si>
    <t xml:space="preserve">MAHARANI ANNISA AL FAJR </t>
  </si>
  <si>
    <t>0052637042</t>
  </si>
  <si>
    <t>3277036502050004</t>
  </si>
  <si>
    <t>25/02/2005</t>
  </si>
  <si>
    <t>3277031901070202</t>
  </si>
  <si>
    <t>20/9/1973</t>
  </si>
  <si>
    <t>3277032009730015</t>
  </si>
  <si>
    <t>081321091751</t>
  </si>
  <si>
    <t>JL PASANTREN NO.109</t>
  </si>
  <si>
    <t>3277035010740031</t>
  </si>
  <si>
    <t>0095297861</t>
  </si>
  <si>
    <t>3204165801090003</t>
  </si>
  <si>
    <t>18/01/2009</t>
  </si>
  <si>
    <t>INSFESTOR</t>
  </si>
  <si>
    <t>3204162911050048</t>
  </si>
  <si>
    <t>3204161211700003</t>
  </si>
  <si>
    <t>+62 812-9358-2176</t>
  </si>
  <si>
    <t>KP.KEBON KALAPA</t>
  </si>
  <si>
    <t>04/03</t>
  </si>
  <si>
    <t>3204165112750006</t>
  </si>
  <si>
    <t>0087776051</t>
  </si>
  <si>
    <t>3205095105080006</t>
  </si>
  <si>
    <t>11/05/2008</t>
  </si>
  <si>
    <t>3205090607200005</t>
  </si>
  <si>
    <t>15/08/1980</t>
  </si>
  <si>
    <t>3205091508800005</t>
  </si>
  <si>
    <t>+62 877-7888-3524</t>
  </si>
  <si>
    <t>KP.BABAKAN SUAMA</t>
  </si>
  <si>
    <t>01/05</t>
  </si>
  <si>
    <t>JANGKURANG</t>
  </si>
  <si>
    <t>LELES</t>
  </si>
  <si>
    <t>22/02/1984</t>
  </si>
  <si>
    <t>3205096202840001</t>
  </si>
  <si>
    <t>0092542011</t>
  </si>
  <si>
    <t>3204466811090003</t>
  </si>
  <si>
    <t>28/05/2009</t>
  </si>
  <si>
    <t xml:space="preserve">HEALING </t>
  </si>
  <si>
    <t>3204461207120027</t>
  </si>
  <si>
    <t>3204460605890008</t>
  </si>
  <si>
    <t>KMP.PUNCAK MULYA</t>
  </si>
  <si>
    <t>3024464301920001</t>
  </si>
  <si>
    <t>0088325563</t>
  </si>
  <si>
    <t>3273095607080001</t>
  </si>
  <si>
    <t>16/07/2008</t>
  </si>
  <si>
    <t xml:space="preserve">DOKTER  </t>
  </si>
  <si>
    <t>3273092008109351</t>
  </si>
  <si>
    <t>3273090310820002</t>
  </si>
  <si>
    <t>JL.LINGGA WASTU NO.14</t>
  </si>
  <si>
    <t>15/12/1988</t>
  </si>
  <si>
    <t>32730955112880001</t>
  </si>
  <si>
    <t xml:space="preserve">NISRINA AFIFAH </t>
  </si>
  <si>
    <t>0076563802</t>
  </si>
  <si>
    <t>3211184311070001</t>
  </si>
  <si>
    <t>03/11/2007</t>
  </si>
  <si>
    <t>3211221702170007</t>
  </si>
  <si>
    <t>29/6/1986</t>
  </si>
  <si>
    <t>3211182906860004</t>
  </si>
  <si>
    <t>+62 852-2073-0944</t>
  </si>
  <si>
    <t xml:space="preserve">DSN.SIRNAMURNI </t>
  </si>
  <si>
    <t>CIBEUREUM WETAN</t>
  </si>
  <si>
    <t>3211184804870006</t>
  </si>
  <si>
    <t>0081668804</t>
  </si>
  <si>
    <t>3211185708080002</t>
  </si>
  <si>
    <t>17/09/2008</t>
  </si>
  <si>
    <t>3211181906070147</t>
  </si>
  <si>
    <t>3211180112820014</t>
  </si>
  <si>
    <t>DUSUN CIBITUNG</t>
  </si>
  <si>
    <t>SIRNAMULYA</t>
  </si>
  <si>
    <t>14/07/1986</t>
  </si>
  <si>
    <t>3211185507860006</t>
  </si>
  <si>
    <t xml:space="preserve">RESTU SALSABILA </t>
  </si>
  <si>
    <t>0074679533</t>
  </si>
  <si>
    <t>3204156204070010</t>
  </si>
  <si>
    <t>22/04/2007</t>
  </si>
  <si>
    <t>3204171505150012</t>
  </si>
  <si>
    <t>3204152002790001</t>
  </si>
  <si>
    <t>PERUM BUKIT JAGABAYA ASRI</t>
  </si>
  <si>
    <t>JAGABAYA</t>
  </si>
  <si>
    <t>3204155404840004</t>
  </si>
  <si>
    <t>DIPLOMA VII</t>
  </si>
  <si>
    <t>0081024688</t>
  </si>
  <si>
    <t>3204145006080005</t>
  </si>
  <si>
    <t>SUKARAJA</t>
  </si>
  <si>
    <t>10/06/2008</t>
  </si>
  <si>
    <t>3204142712050030</t>
  </si>
  <si>
    <t>3204140506780006</t>
  </si>
  <si>
    <t>+62 812-8228-4516</t>
  </si>
  <si>
    <t>KP.BABAKAN MEKAR</t>
  </si>
  <si>
    <t>LANGONSARI</t>
  </si>
  <si>
    <t>PAMEUMPEUK</t>
  </si>
  <si>
    <t>3204145108780004</t>
  </si>
  <si>
    <t>3079189451</t>
  </si>
  <si>
    <t>3275113108100016</t>
  </si>
  <si>
    <t>04/11/2007</t>
  </si>
  <si>
    <t>3275114411070004</t>
  </si>
  <si>
    <t>KAWIN</t>
  </si>
  <si>
    <t>25/01/1974</t>
  </si>
  <si>
    <t>3275112501740010</t>
  </si>
  <si>
    <t>BEKASI TIMUR REGENSI BLOK H 8/12</t>
  </si>
  <si>
    <t>09/16</t>
  </si>
  <si>
    <t>CIMUNING</t>
  </si>
  <si>
    <t>MUSTIKA JAYA</t>
  </si>
  <si>
    <t>O3/08/1982</t>
  </si>
  <si>
    <t>0094421555</t>
  </si>
  <si>
    <t>3204376503090004</t>
  </si>
  <si>
    <t>25/03/2009</t>
  </si>
  <si>
    <t>JOGET</t>
  </si>
  <si>
    <t>3204370412060071</t>
  </si>
  <si>
    <t>3204370905810012</t>
  </si>
  <si>
    <t>KMP.CIGEMBRENG</t>
  </si>
  <si>
    <t>27/05/1976</t>
  </si>
  <si>
    <t>3204376705760002</t>
  </si>
  <si>
    <t>KMP,CIGEMBRENG</t>
  </si>
  <si>
    <t>0089893486</t>
  </si>
  <si>
    <t>3204376001080004</t>
  </si>
  <si>
    <t>20/01/2008</t>
  </si>
  <si>
    <t>GUR</t>
  </si>
  <si>
    <t>3204371306080059</t>
  </si>
  <si>
    <t>3204370905770010</t>
  </si>
  <si>
    <t>KMP.CIHAUR</t>
  </si>
  <si>
    <t>3204374807780240</t>
  </si>
  <si>
    <t>AKADEMI DIPLOMA III/SARJANA MUDA</t>
  </si>
  <si>
    <t>0081958610</t>
  </si>
  <si>
    <t>3211175510080001</t>
  </si>
  <si>
    <t>15/10/2008</t>
  </si>
  <si>
    <t>3273202407180001</t>
  </si>
  <si>
    <t>15/03/1985</t>
  </si>
  <si>
    <t>3211171503830005</t>
  </si>
  <si>
    <t>JL. SUKANEGLA</t>
  </si>
  <si>
    <t>06/01</t>
  </si>
  <si>
    <t>ANTAPANI KULON</t>
  </si>
  <si>
    <t>30/06/1985</t>
  </si>
  <si>
    <t>3211177006850004</t>
  </si>
  <si>
    <t>0083199647</t>
  </si>
  <si>
    <t>3273124308080004</t>
  </si>
  <si>
    <t>03/06/2008</t>
  </si>
  <si>
    <t>3273030503130007</t>
  </si>
  <si>
    <t>30/01/1976</t>
  </si>
  <si>
    <t>3273123001760001</t>
  </si>
  <si>
    <t>JL.CIBOLERANG NO.23</t>
  </si>
  <si>
    <t>MARGASUKA</t>
  </si>
  <si>
    <t>32732126906770003</t>
  </si>
  <si>
    <t>0087273336</t>
  </si>
  <si>
    <t>3211155607080004</t>
  </si>
  <si>
    <t>3211152506070290</t>
  </si>
  <si>
    <t>20/07/1973</t>
  </si>
  <si>
    <t>3211152007730006</t>
  </si>
  <si>
    <t>DUSUN SAYANG</t>
  </si>
  <si>
    <t>SAYANG</t>
  </si>
  <si>
    <t>26/06/1981</t>
  </si>
  <si>
    <t>3211156606810020</t>
  </si>
  <si>
    <t>0087585491</t>
  </si>
  <si>
    <t>3213034308080001</t>
  </si>
  <si>
    <t>03/08/2008</t>
  </si>
  <si>
    <t>19/01/1983</t>
  </si>
  <si>
    <t>3213031901830001</t>
  </si>
  <si>
    <t>DIPLOMA III/SARJANA MUDA</t>
  </si>
  <si>
    <t>BLOK CILAJA</t>
  </si>
  <si>
    <t>MENIKAH</t>
  </si>
  <si>
    <t>0091506000</t>
  </si>
  <si>
    <t>3211185604090001</t>
  </si>
  <si>
    <t>16/04/2009</t>
  </si>
  <si>
    <t>3211182204090003</t>
  </si>
  <si>
    <t>3211180807770005</t>
  </si>
  <si>
    <t>SLTA /SEDERAJAT</t>
  </si>
  <si>
    <t>DUSUBN CIBIRU</t>
  </si>
  <si>
    <t>JATIMULYA</t>
  </si>
  <si>
    <t>27/06/1988</t>
  </si>
  <si>
    <t>3211186706880004</t>
  </si>
  <si>
    <t>0086496704</t>
  </si>
  <si>
    <t>3211184710080002</t>
  </si>
  <si>
    <t>07/10/2008</t>
  </si>
  <si>
    <t>3211182103061396</t>
  </si>
  <si>
    <t>3211181107670001</t>
  </si>
  <si>
    <t>DUSUN RANCAMULUD</t>
  </si>
  <si>
    <t>13/07/1978</t>
  </si>
  <si>
    <t>3211185307780002</t>
  </si>
  <si>
    <t>SLTA/ SEDERAJAT</t>
  </si>
  <si>
    <t xml:space="preserve">TASYA KANIA PUTRI </t>
  </si>
  <si>
    <t>0078289405</t>
  </si>
  <si>
    <t>3273035411070001</t>
  </si>
  <si>
    <t>14/11/2007</t>
  </si>
  <si>
    <t>MUSISI</t>
  </si>
  <si>
    <t>3273003107105216</t>
  </si>
  <si>
    <t>27/02/1983</t>
  </si>
  <si>
    <t>3273032702830004</t>
  </si>
  <si>
    <t>JL.CARINGIN GG LUMBUNG IV NO.28</t>
  </si>
  <si>
    <t>3273034304850002</t>
  </si>
  <si>
    <t>0098481318</t>
  </si>
  <si>
    <t>3204296904090003</t>
  </si>
  <si>
    <t>29/04/2009</t>
  </si>
  <si>
    <t>3204290905130008</t>
  </si>
  <si>
    <t>3204291105850008</t>
  </si>
  <si>
    <t>+62 896-5676-6132</t>
  </si>
  <si>
    <t>KP.LANDBAU</t>
  </si>
  <si>
    <t>09/13</t>
  </si>
  <si>
    <t>BUMIWANGI</t>
  </si>
  <si>
    <t>CIPARAY</t>
  </si>
  <si>
    <t>3204295010890019</t>
  </si>
  <si>
    <t>BLM TAMAT SD</t>
  </si>
  <si>
    <t>3204104612090009</t>
  </si>
  <si>
    <t>06/12/2009</t>
  </si>
  <si>
    <t>3204320605190007</t>
  </si>
  <si>
    <t>3204101310880002</t>
  </si>
  <si>
    <t>KOMP.BUMI SARI INDAH II. BLOK.W-42</t>
  </si>
  <si>
    <t>03/22</t>
  </si>
  <si>
    <t>MANGGAHANG</t>
  </si>
  <si>
    <t>3204104903890005</t>
  </si>
  <si>
    <t>MAHANGGANG</t>
  </si>
  <si>
    <t>0088305474</t>
  </si>
  <si>
    <t>3211034309080003</t>
  </si>
  <si>
    <t>03/09/2008</t>
  </si>
  <si>
    <t>3211033112140001</t>
  </si>
  <si>
    <t>29/11/1981</t>
  </si>
  <si>
    <t>32110329118100002</t>
  </si>
  <si>
    <t>DUSUN ANDIR</t>
  </si>
  <si>
    <t>CIKEUSI</t>
  </si>
  <si>
    <t>16/04/1987</t>
  </si>
  <si>
    <t>3211035604070007</t>
  </si>
  <si>
    <t xml:space="preserve">WULAN SITI MARWAH </t>
  </si>
  <si>
    <t>0087688267</t>
  </si>
  <si>
    <t>3211145908080001</t>
  </si>
  <si>
    <t>19/08/2005</t>
  </si>
  <si>
    <t>3211141704230007</t>
  </si>
  <si>
    <t>3211146808810007</t>
  </si>
  <si>
    <t>DUSUN CICABE</t>
  </si>
  <si>
    <t>SINDANGGALIH</t>
  </si>
  <si>
    <t>0083030343</t>
  </si>
  <si>
    <t>3204325705080012</t>
  </si>
  <si>
    <t>17/05/2008</t>
  </si>
  <si>
    <t>3204322609160010</t>
  </si>
  <si>
    <t>3204321811770006</t>
  </si>
  <si>
    <t>SPMA</t>
  </si>
  <si>
    <t>KP. SUNIARAJA NO 29</t>
  </si>
  <si>
    <t>08/04</t>
  </si>
  <si>
    <t>SAGALA HERANG KALER</t>
  </si>
  <si>
    <t>SAGALAHERANG</t>
  </si>
  <si>
    <t>3204324407800009</t>
  </si>
  <si>
    <t xml:space="preserve">KP. ANDIR </t>
  </si>
  <si>
    <t>4-B</t>
  </si>
  <si>
    <t xml:space="preserve">ALAWIYAH MUTHOHAROH </t>
  </si>
  <si>
    <t>3274034505070005</t>
  </si>
  <si>
    <t>05/05/2007</t>
  </si>
  <si>
    <t>BERBAGI</t>
  </si>
  <si>
    <t>MILIYADER</t>
  </si>
  <si>
    <t>3209191104190002</t>
  </si>
  <si>
    <t>3274031103690005</t>
  </si>
  <si>
    <t>BELUM TAMAT SD / SEDERAJAT</t>
  </si>
  <si>
    <t>BLOK MASJID KERAMAT</t>
  </si>
  <si>
    <t>22/01</t>
  </si>
  <si>
    <t>MEGUGEDE</t>
  </si>
  <si>
    <t>WERU</t>
  </si>
  <si>
    <t>3274034611790002</t>
  </si>
  <si>
    <t>BELUM TAMAT SEKOLAH/SEDERAJAT</t>
  </si>
  <si>
    <t>22/02</t>
  </si>
  <si>
    <t>3214012105090002</t>
  </si>
  <si>
    <t>21/05/2009</t>
  </si>
  <si>
    <t>3214011811090036</t>
  </si>
  <si>
    <t>15/11/1984</t>
  </si>
  <si>
    <t>3214011811840007</t>
  </si>
  <si>
    <t>JL. VETERAN</t>
  </si>
  <si>
    <t>CISEUREUH</t>
  </si>
  <si>
    <t>18/02/1984</t>
  </si>
  <si>
    <t>3214015802840004</t>
  </si>
  <si>
    <t>ALIFA PUTRI RAHAYU</t>
  </si>
  <si>
    <t>0054272031</t>
  </si>
  <si>
    <t>3273136307060001</t>
  </si>
  <si>
    <t>23/07/2005</t>
  </si>
  <si>
    <t>3273130109102434</t>
  </si>
  <si>
    <t>3273131007790003</t>
  </si>
  <si>
    <t>+62 838-2123-3766</t>
  </si>
  <si>
    <t>JL.CIJAGRA I GG.I NO.50</t>
  </si>
  <si>
    <t>3273135109790002</t>
  </si>
  <si>
    <t>0097398028</t>
  </si>
  <si>
    <t>3273155201090000</t>
  </si>
  <si>
    <t>12/01/2009</t>
  </si>
  <si>
    <t>3273151009101295</t>
  </si>
  <si>
    <t>3273150101810009</t>
  </si>
  <si>
    <t>CIBUNTU BARAT</t>
  </si>
  <si>
    <t>05/09</t>
  </si>
  <si>
    <t>19/08/1982</t>
  </si>
  <si>
    <t>3273155908820005</t>
  </si>
  <si>
    <t xml:space="preserve">ALISYA SAFITRI </t>
  </si>
  <si>
    <t>0074518718</t>
  </si>
  <si>
    <t>3216195410070006</t>
  </si>
  <si>
    <t>14/10/2007</t>
  </si>
  <si>
    <t>3216190404074064</t>
  </si>
  <si>
    <t>18/10/1976</t>
  </si>
  <si>
    <t>3216191810760006</t>
  </si>
  <si>
    <t>+62 813-1436-5509</t>
  </si>
  <si>
    <t xml:space="preserve">KP. LW. MALANG </t>
  </si>
  <si>
    <t>SUKARESMI</t>
  </si>
  <si>
    <t>15/01/1979</t>
  </si>
  <si>
    <t>3216195501790004</t>
  </si>
  <si>
    <t>ANDINI JULIANISA</t>
  </si>
  <si>
    <t>0057279579</t>
  </si>
  <si>
    <t>3204105507040003</t>
  </si>
  <si>
    <t>15/07/2004</t>
  </si>
  <si>
    <t>3204102004059654</t>
  </si>
  <si>
    <t>3204101101710005</t>
  </si>
  <si>
    <t>JL. JATINANGOR I.BLOK C. 12 NO.22</t>
  </si>
  <si>
    <t>26/04/1976</t>
  </si>
  <si>
    <t>3204106604760002</t>
  </si>
  <si>
    <t>0099086208</t>
  </si>
  <si>
    <t>3204154404090004</t>
  </si>
  <si>
    <t>04/04/2009</t>
  </si>
  <si>
    <t>PENGUSAHA SUKSES</t>
  </si>
  <si>
    <t>3204152005120038</t>
  </si>
  <si>
    <t>3204150507540002</t>
  </si>
  <si>
    <t>KP.BABAKAN MULYANA</t>
  </si>
  <si>
    <t>PANGALENGAN</t>
  </si>
  <si>
    <t>3204156108810001</t>
  </si>
  <si>
    <t>DENIS FITRIA</t>
  </si>
  <si>
    <t>0005866681</t>
  </si>
  <si>
    <t>3204154812000012</t>
  </si>
  <si>
    <t>08/12/2000</t>
  </si>
  <si>
    <t>MUBALIGHOH</t>
  </si>
  <si>
    <t>MA</t>
  </si>
  <si>
    <t>3204150212170003</t>
  </si>
  <si>
    <t>3204157001760003</t>
  </si>
  <si>
    <t>KP. MEKAR BAKTI</t>
  </si>
  <si>
    <t>TRIBAKTIMULYA</t>
  </si>
  <si>
    <t xml:space="preserve">PANGALENGAN </t>
  </si>
  <si>
    <t>0099222468</t>
  </si>
  <si>
    <t>3273076505090003</t>
  </si>
  <si>
    <t>15/05/2009</t>
  </si>
  <si>
    <t>SUKSES DUNIA AKHIRAT</t>
  </si>
  <si>
    <t>3273070710120021</t>
  </si>
  <si>
    <t>3273071007840008</t>
  </si>
  <si>
    <t xml:space="preserve"> JL.CIBOGO SARIJADI BLOK.24</t>
  </si>
  <si>
    <t>3273074602870006</t>
  </si>
  <si>
    <t>0085685293</t>
  </si>
  <si>
    <t>3204384904080001</t>
  </si>
  <si>
    <t>09/04/2008</t>
  </si>
  <si>
    <t>3204381208080039</t>
  </si>
  <si>
    <t>3204381103700001</t>
  </si>
  <si>
    <t>PASIR JAMBU</t>
  </si>
  <si>
    <t>3204384901750002</t>
  </si>
  <si>
    <t>FATIMAH AULIA AZZAHRA</t>
  </si>
  <si>
    <t>3172045911070008</t>
  </si>
  <si>
    <t>19/11/2007</t>
  </si>
  <si>
    <t>3171031012100036</t>
  </si>
  <si>
    <t>AGAM MARET</t>
  </si>
  <si>
    <t>PURI IMPIAN SENTOSA BLOK B NO 2 DSN CIRENG II</t>
  </si>
  <si>
    <t>CIBALONGSARI</t>
  </si>
  <si>
    <t>KLARI</t>
  </si>
  <si>
    <t>3172046007730018</t>
  </si>
  <si>
    <t xml:space="preserve">JAKARTA </t>
  </si>
  <si>
    <t>3171031903720008</t>
  </si>
  <si>
    <t xml:space="preserve">KARYAWAN SWASTA </t>
  </si>
  <si>
    <t>PURI IMPIAN SENTOSA BLOK B NO 2 DSN CIREJANG II</t>
  </si>
  <si>
    <t>CIBOLANGSARI</t>
  </si>
  <si>
    <t xml:space="preserve">KLARI </t>
  </si>
  <si>
    <t xml:space="preserve">FATIMAH MAYAAIL </t>
  </si>
  <si>
    <t>0059412755</t>
  </si>
  <si>
    <t>3277038806050002</t>
  </si>
  <si>
    <t>28/06/2005</t>
  </si>
  <si>
    <t>3277030612060829</t>
  </si>
  <si>
    <t>3277030908800020</t>
  </si>
  <si>
    <t>JL.PESANTREN</t>
  </si>
  <si>
    <t>06/15</t>
  </si>
  <si>
    <t>3277034104790002</t>
  </si>
  <si>
    <t>3211036409090001</t>
  </si>
  <si>
    <t>24/09/2009</t>
  </si>
  <si>
    <t>VOKALIS</t>
  </si>
  <si>
    <t>3211032206170001</t>
  </si>
  <si>
    <t>3211030306830002</t>
  </si>
  <si>
    <t>02/04</t>
  </si>
  <si>
    <t>21/10/1987</t>
  </si>
  <si>
    <t>3211036110870002</t>
  </si>
  <si>
    <t>0089594186</t>
  </si>
  <si>
    <t>3217066705080004</t>
  </si>
  <si>
    <t>3217062405050553</t>
  </si>
  <si>
    <t>3217060303630011</t>
  </si>
  <si>
    <t>BUMI PAKUSARAKAN 2 B-1 NO. 14</t>
  </si>
  <si>
    <t>06/23</t>
  </si>
  <si>
    <t>TANIMULYA</t>
  </si>
  <si>
    <t>17/04/1965</t>
  </si>
  <si>
    <t>3217065704650009</t>
  </si>
  <si>
    <t>0088666278</t>
  </si>
  <si>
    <t>3204134604080008</t>
  </si>
  <si>
    <t>06/08/2008</t>
  </si>
  <si>
    <t>3204131305160018</t>
  </si>
  <si>
    <t>3204131911820006</t>
  </si>
  <si>
    <t>DAMAR MAS REGENCY CLUSTER MALABAR BARAT III 0.7</t>
  </si>
  <si>
    <t>05/12</t>
  </si>
  <si>
    <t>KEMASAN</t>
  </si>
  <si>
    <t>3204136010820009</t>
  </si>
  <si>
    <t xml:space="preserve">JAENUL QORIYAH </t>
  </si>
  <si>
    <t>0059558987</t>
  </si>
  <si>
    <t>3211174802050001</t>
  </si>
  <si>
    <t>08/02/2005</t>
  </si>
  <si>
    <t>DESIGNER SUKSES</t>
  </si>
  <si>
    <t>3211170412140001</t>
  </si>
  <si>
    <t>3211175708780007</t>
  </si>
  <si>
    <t xml:space="preserve">DUSUN BAGINDA </t>
  </si>
  <si>
    <t xml:space="preserve">BAGINDA </t>
  </si>
  <si>
    <t>3215266212080001</t>
  </si>
  <si>
    <t>22/12/2008</t>
  </si>
  <si>
    <t>3215263103100025</t>
  </si>
  <si>
    <t>31/07/1980</t>
  </si>
  <si>
    <t>3215263107800001</t>
  </si>
  <si>
    <t>PERUM MUTIARA NIRWANA C.1/8</t>
  </si>
  <si>
    <t>33/11</t>
  </si>
  <si>
    <t>KONDANGJAYA</t>
  </si>
  <si>
    <t>3215265208800009</t>
  </si>
  <si>
    <t>0087449217</t>
  </si>
  <si>
    <t>3273036512080001</t>
  </si>
  <si>
    <t>15/12/2008</t>
  </si>
  <si>
    <t>MAKE UP,JOGET</t>
  </si>
  <si>
    <t>DOSNATUR</t>
  </si>
  <si>
    <t>3273032310760001</t>
  </si>
  <si>
    <t>JL.CARINGIN GG. LUBUNG IV</t>
  </si>
  <si>
    <t>3273034901770001</t>
  </si>
  <si>
    <t>0099940153</t>
  </si>
  <si>
    <t>3273054602090004</t>
  </si>
  <si>
    <t>06/02/2009</t>
  </si>
  <si>
    <t>CRAZY RICH</t>
  </si>
  <si>
    <t>3273050808108656</t>
  </si>
  <si>
    <t>18/09/1973</t>
  </si>
  <si>
    <t>3273051809730001</t>
  </si>
  <si>
    <t>GG. TARUNA I</t>
  </si>
  <si>
    <t>15/06/1976</t>
  </si>
  <si>
    <t>3273055506760011</t>
  </si>
  <si>
    <t>3204446006090002</t>
  </si>
  <si>
    <t>29/06/2009</t>
  </si>
  <si>
    <t>3204440210060005</t>
  </si>
  <si>
    <t>3204440503780015</t>
  </si>
  <si>
    <t>28/10/1980</t>
  </si>
  <si>
    <t>3204446810800005</t>
  </si>
  <si>
    <t>0089143107</t>
  </si>
  <si>
    <t>3211186303080001</t>
  </si>
  <si>
    <t>23/03/2008</t>
  </si>
  <si>
    <t>3211181806070065</t>
  </si>
  <si>
    <t>22/09/1977</t>
  </si>
  <si>
    <t>3211182207770006</t>
  </si>
  <si>
    <t>LINGK.TALUN KIDUL</t>
  </si>
  <si>
    <t>28/10/1981</t>
  </si>
  <si>
    <t>3211186810810004</t>
  </si>
  <si>
    <t>MUTIARA SAGITA ALINDRI</t>
  </si>
  <si>
    <t>0073775453</t>
  </si>
  <si>
    <t>3203055008070001</t>
  </si>
  <si>
    <t>10/08/2007</t>
  </si>
  <si>
    <t>NENEK</t>
  </si>
  <si>
    <t>3203052202180005</t>
  </si>
  <si>
    <t>o</t>
  </si>
  <si>
    <t>16/11/1978</t>
  </si>
  <si>
    <t>3203055611780008</t>
  </si>
  <si>
    <t>Kp. Pasir Kawung</t>
  </si>
  <si>
    <t>0004/014</t>
  </si>
  <si>
    <t>Ciranjang</t>
  </si>
  <si>
    <t>Cianjur</t>
  </si>
  <si>
    <t>0091292236</t>
  </si>
  <si>
    <t>3204074803090001</t>
  </si>
  <si>
    <t>08/03/2009</t>
  </si>
  <si>
    <t>3204072604052503</t>
  </si>
  <si>
    <t>19/02/1982</t>
  </si>
  <si>
    <t>3204071902820001</t>
  </si>
  <si>
    <t xml:space="preserve">KP.PAMULIHAN </t>
  </si>
  <si>
    <t>CIPOREAT</t>
  </si>
  <si>
    <t>23/09/1982</t>
  </si>
  <si>
    <t>3204076309820001</t>
  </si>
  <si>
    <t>0091349890</t>
  </si>
  <si>
    <t>3204284605090003</t>
  </si>
  <si>
    <t>06/05/2009</t>
  </si>
  <si>
    <t>3211151408230002</t>
  </si>
  <si>
    <t>3204280912750009</t>
  </si>
  <si>
    <t>081323179395</t>
  </si>
  <si>
    <t>KP. TALUN</t>
  </si>
  <si>
    <t>JELEGONG</t>
  </si>
  <si>
    <t>15/2/1979</t>
  </si>
  <si>
    <t>3204285502790022</t>
  </si>
  <si>
    <t>0092607012</t>
  </si>
  <si>
    <t>3205092303090003</t>
  </si>
  <si>
    <t>23/03/2009</t>
  </si>
  <si>
    <t>WANITA SUKSES</t>
  </si>
  <si>
    <t>3205091211200016</t>
  </si>
  <si>
    <t>32055092703800006</t>
  </si>
  <si>
    <t>22/01/1980</t>
  </si>
  <si>
    <t>3205096201800003</t>
  </si>
  <si>
    <t>SALMA SITI PATIMAH</t>
  </si>
  <si>
    <t>0071811717</t>
  </si>
  <si>
    <t>3211144907070005</t>
  </si>
  <si>
    <t>09/07/2007</t>
  </si>
  <si>
    <t>3211141903060710</t>
  </si>
  <si>
    <t>3211141212720017</t>
  </si>
  <si>
    <t>DUSUN CIMANDE</t>
  </si>
  <si>
    <t>17/07/1977</t>
  </si>
  <si>
    <t>3211145707770007</t>
  </si>
  <si>
    <t>0084689823</t>
  </si>
  <si>
    <t>3211165606080001</t>
  </si>
  <si>
    <t>16/06/2008</t>
  </si>
  <si>
    <t>BEKERJA</t>
  </si>
  <si>
    <t>3211160601090008</t>
  </si>
  <si>
    <t>29/06/1976</t>
  </si>
  <si>
    <t>3211162906760001</t>
  </si>
  <si>
    <t>DUSUN RANCAKALONG</t>
  </si>
  <si>
    <t>04/08</t>
  </si>
  <si>
    <t>19/06/1987</t>
  </si>
  <si>
    <t>3211165906870007</t>
  </si>
  <si>
    <t>0088302083</t>
  </si>
  <si>
    <t>3211185811080002</t>
  </si>
  <si>
    <t>18/11/2008</t>
  </si>
  <si>
    <t>3211111906070020</t>
  </si>
  <si>
    <t>3211110602780014</t>
  </si>
  <si>
    <t>DSN. PANGKALAN</t>
  </si>
  <si>
    <t>MARGA JAYA</t>
  </si>
  <si>
    <t>3211184801920010</t>
  </si>
  <si>
    <t>0072848249</t>
  </si>
  <si>
    <t>3210056012070001</t>
  </si>
  <si>
    <t>20/12/2007</t>
  </si>
  <si>
    <t>3210051702060018</t>
  </si>
  <si>
    <t>15/08/1983</t>
  </si>
  <si>
    <t>3210051508830001</t>
  </si>
  <si>
    <t>BLOK PALASARI</t>
  </si>
  <si>
    <t>24/12</t>
  </si>
  <si>
    <t>SUKASARI KIDUL</t>
  </si>
  <si>
    <t>ARGAPURA</t>
  </si>
  <si>
    <t>3210054609860021</t>
  </si>
  <si>
    <t>0081450873</t>
  </si>
  <si>
    <t>3204461912080003</t>
  </si>
  <si>
    <t>19/12/2009</t>
  </si>
  <si>
    <t>3204460506060025</t>
  </si>
  <si>
    <t>20/05/1975</t>
  </si>
  <si>
    <t>3204462005750006</t>
  </si>
  <si>
    <t>KMP.CIHARUMAN</t>
  </si>
  <si>
    <t>18/08/1979</t>
  </si>
  <si>
    <t>3204465808790005</t>
  </si>
  <si>
    <t>0082474475</t>
  </si>
  <si>
    <t>3217016811080005</t>
  </si>
  <si>
    <t>28/11/2008</t>
  </si>
  <si>
    <t>WANITA KARIR</t>
  </si>
  <si>
    <t>3217010201060121</t>
  </si>
  <si>
    <t>3217010101740098</t>
  </si>
  <si>
    <t>08/01/1977</t>
  </si>
  <si>
    <t>3217014801770003</t>
  </si>
  <si>
    <t>3211184201110002</t>
  </si>
  <si>
    <t>02/01/2011</t>
  </si>
  <si>
    <t>SMPAI 4 SD</t>
  </si>
  <si>
    <t>3211181903090010</t>
  </si>
  <si>
    <t>3211180605810011</t>
  </si>
  <si>
    <t>CIPADUNG NO.10</t>
  </si>
  <si>
    <t>04/14</t>
  </si>
  <si>
    <t>SITI SYAWANAH ADAWIYAH</t>
  </si>
  <si>
    <t>3211134211070001</t>
  </si>
  <si>
    <t>02/11/2007</t>
  </si>
  <si>
    <t>WANITA KARIR DAN SUKSES</t>
  </si>
  <si>
    <t>3211132506100051</t>
  </si>
  <si>
    <t>23/02/1983</t>
  </si>
  <si>
    <t>3211132302830009</t>
  </si>
  <si>
    <t>DSN CIINJUK</t>
  </si>
  <si>
    <t>SUKAWANGI</t>
  </si>
  <si>
    <t>PAMULIHAN</t>
  </si>
  <si>
    <t>18/07/1988</t>
  </si>
  <si>
    <t>3211135807880004</t>
  </si>
  <si>
    <t>0099201252</t>
  </si>
  <si>
    <t>3211185906090001</t>
  </si>
  <si>
    <t>19/06/2009</t>
  </si>
  <si>
    <t>3211182203063247</t>
  </si>
  <si>
    <t>16/08/1971</t>
  </si>
  <si>
    <t>3211181508710005</t>
  </si>
  <si>
    <t>18/06/1980</t>
  </si>
  <si>
    <t>3211185606800006</t>
  </si>
  <si>
    <t>0097698260</t>
  </si>
  <si>
    <t>3204464305090001</t>
  </si>
  <si>
    <t>03/05/2009</t>
  </si>
  <si>
    <t>3204462806130013</t>
  </si>
  <si>
    <t>3204461003780001</t>
  </si>
  <si>
    <t>KP.ASEM</t>
  </si>
  <si>
    <t>3204464712860005</t>
  </si>
  <si>
    <t xml:space="preserve">SYIPA AMANATUNNISA </t>
  </si>
  <si>
    <t>0063145939</t>
  </si>
  <si>
    <t>3175076803061001</t>
  </si>
  <si>
    <t>28/03/2006</t>
  </si>
  <si>
    <t>TAFAKUR</t>
  </si>
  <si>
    <t>3175072803111052</t>
  </si>
  <si>
    <t>15/11/1976</t>
  </si>
  <si>
    <t>3175091511760006</t>
  </si>
  <si>
    <t>DUREN SAWIT</t>
  </si>
  <si>
    <t>12/11</t>
  </si>
  <si>
    <t>25/02/1978</t>
  </si>
  <si>
    <t>3211036502780004</t>
  </si>
  <si>
    <t>0082154149</t>
  </si>
  <si>
    <t>3203045308080002</t>
  </si>
  <si>
    <t>23/08/2008</t>
  </si>
  <si>
    <t>BERDZIKIR</t>
  </si>
  <si>
    <t>3203011012130008</t>
  </si>
  <si>
    <t>3203040102820001</t>
  </si>
  <si>
    <t>GRIYA JOGLO BLOK D/3</t>
  </si>
  <si>
    <t>SAWAHGEDE</t>
  </si>
  <si>
    <t>3203046106810003</t>
  </si>
  <si>
    <t>0098600964</t>
  </si>
  <si>
    <t>3217014101090012</t>
  </si>
  <si>
    <t>01/01/2009</t>
  </si>
  <si>
    <t>MENARI,MENYANYI</t>
  </si>
  <si>
    <t>3217010205050262</t>
  </si>
  <si>
    <t>3217010508830007</t>
  </si>
  <si>
    <t>KAMPUNG KARAMAT</t>
  </si>
  <si>
    <t>CIKAHURIPAN</t>
  </si>
  <si>
    <t>26/08/1986</t>
  </si>
  <si>
    <t>3217026608860009</t>
  </si>
  <si>
    <t>0086061454</t>
  </si>
  <si>
    <t>3204115602080001</t>
  </si>
  <si>
    <t>10/02/2008</t>
  </si>
  <si>
    <t>PEMBISNIS</t>
  </si>
  <si>
    <t>3204112312130015</t>
  </si>
  <si>
    <t>3204110102690002</t>
  </si>
  <si>
    <t>KP.MEKAR SARI</t>
  </si>
  <si>
    <t>GANDASARI</t>
  </si>
  <si>
    <t>3204115212720001</t>
  </si>
  <si>
    <t>KP. MEKARSARI</t>
  </si>
  <si>
    <t>0079446833</t>
  </si>
  <si>
    <t>3211176312070003</t>
  </si>
  <si>
    <t>23/12/2007</t>
  </si>
  <si>
    <t>3211170511090032</t>
  </si>
  <si>
    <t>3211170508810012</t>
  </si>
  <si>
    <t>+62 853-2430-6992</t>
  </si>
  <si>
    <t>DUSUN SARIRASA</t>
  </si>
  <si>
    <t>MARGA MEKAR</t>
  </si>
  <si>
    <t>24/04/1982</t>
  </si>
  <si>
    <t>3211176404820005</t>
  </si>
  <si>
    <t>ZAHRA PUTRI SYARIFAH</t>
  </si>
  <si>
    <t>0056401397</t>
  </si>
  <si>
    <t>3204105205050001</t>
  </si>
  <si>
    <t>12/05/2005</t>
  </si>
  <si>
    <t>3204101509120056</t>
  </si>
  <si>
    <t>31/12/1962</t>
  </si>
  <si>
    <t>3204103112620004</t>
  </si>
  <si>
    <t>JL.AKASIA V NO.36A</t>
  </si>
  <si>
    <t>LAGADAR</t>
  </si>
  <si>
    <t>0098108446</t>
  </si>
  <si>
    <t>3204284608170002</t>
  </si>
  <si>
    <t>12/04/2009</t>
  </si>
  <si>
    <t>KP.PALALANGON LEBAK</t>
  </si>
  <si>
    <t>5-A</t>
  </si>
  <si>
    <t>Ai Maryati</t>
  </si>
  <si>
    <t>3021006927</t>
  </si>
  <si>
    <t>3211184804020003</t>
  </si>
  <si>
    <t>08/04/2002</t>
  </si>
  <si>
    <t>3211182005110016</t>
  </si>
  <si>
    <t>Label</t>
  </si>
  <si>
    <t>08/06/1958</t>
  </si>
  <si>
    <t>3211184806580006</t>
  </si>
  <si>
    <t>DUSUN BOJONGLOA</t>
  </si>
  <si>
    <t>GIRIMUKTI</t>
  </si>
  <si>
    <t>Alifa Khoerunnisa</t>
  </si>
  <si>
    <t>0079476654</t>
  </si>
  <si>
    <t>3204295904070002</t>
  </si>
  <si>
    <t>19/04/2007</t>
  </si>
  <si>
    <t>A+</t>
  </si>
  <si>
    <t>3204291110120061</t>
  </si>
  <si>
    <t>01/02/1972</t>
  </si>
  <si>
    <t>3204290102720006</t>
  </si>
  <si>
    <t>KP.BABAKAN CIANJUR</t>
  </si>
  <si>
    <t>03/08</t>
  </si>
  <si>
    <t xml:space="preserve">SUMBERSARI </t>
  </si>
  <si>
    <t>03/11/1974</t>
  </si>
  <si>
    <t>3204294311740003</t>
  </si>
  <si>
    <t>Amila Kamilatul Umah</t>
  </si>
  <si>
    <t>0043699025/0043699020</t>
  </si>
  <si>
    <t>3211114406040004</t>
  </si>
  <si>
    <t>04/06/2004</t>
  </si>
  <si>
    <t>3211112003061148</t>
  </si>
  <si>
    <t>20/08/1975</t>
  </si>
  <si>
    <t>3211112008750006</t>
  </si>
  <si>
    <t>DUSUN MARIUK</t>
  </si>
  <si>
    <t>04/04/1978</t>
  </si>
  <si>
    <t>3211114404780009</t>
  </si>
  <si>
    <t>Amilia Ndari</t>
  </si>
  <si>
    <t>0056609819/0056609810</t>
  </si>
  <si>
    <t>3211155605050004</t>
  </si>
  <si>
    <t>16/05/2005</t>
  </si>
  <si>
    <t>3211150308100004</t>
  </si>
  <si>
    <t>07/03/1982</t>
  </si>
  <si>
    <t>3211150703820025</t>
  </si>
  <si>
    <t>DUSUN SIRNAGALIH</t>
  </si>
  <si>
    <t>MEKARGALIH</t>
  </si>
  <si>
    <t>19/11/1984</t>
  </si>
  <si>
    <t>3211155911840013</t>
  </si>
  <si>
    <t>Anantasya Siti Fatimah</t>
  </si>
  <si>
    <t>0062797907</t>
  </si>
  <si>
    <t>3204116005060001</t>
  </si>
  <si>
    <t>20/05/2006</t>
  </si>
  <si>
    <t>27/08/1971</t>
  </si>
  <si>
    <t>KOMP.SOREANG RESIDENCE F4 NO.12/13</t>
  </si>
  <si>
    <t>01/07/1976</t>
  </si>
  <si>
    <t>Anggun Rahma Putri Utari</t>
  </si>
  <si>
    <t>0073031153</t>
  </si>
  <si>
    <t>3204135105070003</t>
  </si>
  <si>
    <t>11/05/2007</t>
  </si>
  <si>
    <t>3204131509120042</t>
  </si>
  <si>
    <t>09/08/1983</t>
  </si>
  <si>
    <t>3204130908830010</t>
  </si>
  <si>
    <t>KP.BUGEL GIRANG</t>
  </si>
  <si>
    <t>NEGLASARI</t>
  </si>
  <si>
    <t>13/06/1986</t>
  </si>
  <si>
    <t>3204135306860008</t>
  </si>
  <si>
    <t>Anisa Nurjanah</t>
  </si>
  <si>
    <t>0071552230</t>
  </si>
  <si>
    <t>3211165400070001</t>
  </si>
  <si>
    <t>14/08/2007</t>
  </si>
  <si>
    <t>PENYAIR</t>
  </si>
  <si>
    <t>3211162003067174</t>
  </si>
  <si>
    <t>18/08/1972</t>
  </si>
  <si>
    <t>3211161508720004</t>
  </si>
  <si>
    <t>DSN.CIKESIK</t>
  </si>
  <si>
    <t>20/05</t>
  </si>
  <si>
    <t>16/08/1978</t>
  </si>
  <si>
    <t>3211165306780001</t>
  </si>
  <si>
    <t>Asma Sayyidatun Nisa</t>
  </si>
  <si>
    <t>0078550325</t>
  </si>
  <si>
    <t>3273245002070003</t>
  </si>
  <si>
    <t>10/02/2007</t>
  </si>
  <si>
    <t>MILIADER</t>
  </si>
  <si>
    <t>3273240510108055</t>
  </si>
  <si>
    <t>10/10/1979</t>
  </si>
  <si>
    <t>3273241010790003</t>
  </si>
  <si>
    <t>JL.A.H.NASUTION BLK.NO.88</t>
  </si>
  <si>
    <t>18/09/1983</t>
  </si>
  <si>
    <t>3273245809830002</t>
  </si>
  <si>
    <t>Eka Fitri Nur Sholeha</t>
  </si>
  <si>
    <t>0011185670</t>
  </si>
  <si>
    <t>3204174401010007</t>
  </si>
  <si>
    <t>04/01/2001</t>
  </si>
  <si>
    <t>MENGAJI</t>
  </si>
  <si>
    <t>3204170911170015</t>
  </si>
  <si>
    <t>18/03/1977</t>
  </si>
  <si>
    <t>3204175803770002</t>
  </si>
  <si>
    <t>KP.SUKALAKSANA</t>
  </si>
  <si>
    <t>Fadhilah</t>
  </si>
  <si>
    <t>0046656828</t>
  </si>
  <si>
    <t>3273135912040012</t>
  </si>
  <si>
    <t>19/12/2004</t>
  </si>
  <si>
    <t>BAHAGIA</t>
  </si>
  <si>
    <t>3273130305110536</t>
  </si>
  <si>
    <t>04/04/1977</t>
  </si>
  <si>
    <t>3273130404770012</t>
  </si>
  <si>
    <t>JL.CIJAGRA I GG.IV NO.99</t>
  </si>
  <si>
    <t>16/04/1979</t>
  </si>
  <si>
    <t xml:space="preserve"> 3273135604790011</t>
  </si>
  <si>
    <t>Falisha Shamim Nibras</t>
  </si>
  <si>
    <t>3082892951</t>
  </si>
  <si>
    <t>3273260406080009</t>
  </si>
  <si>
    <t>04/06/2008</t>
  </si>
  <si>
    <t>3273140409107226</t>
  </si>
  <si>
    <t>15/10/1981</t>
  </si>
  <si>
    <t>3273261510810006</t>
  </si>
  <si>
    <t>AKADEMI I/DIPLOMA III/S.MUDA</t>
  </si>
  <si>
    <t>JL.JEND.A.YANI NO.859</t>
  </si>
  <si>
    <t>01/01</t>
  </si>
  <si>
    <t xml:space="preserve">PADASUKA </t>
  </si>
  <si>
    <t>CIBEUNYING KIDUL</t>
  </si>
  <si>
    <t>23/04/1982</t>
  </si>
  <si>
    <t>3273146304820011</t>
  </si>
  <si>
    <t xml:space="preserve">Fatimah Nururrohmah </t>
  </si>
  <si>
    <t>0074362449</t>
  </si>
  <si>
    <t>3204374805070004</t>
  </si>
  <si>
    <t>08/05/2007</t>
  </si>
  <si>
    <t>04/05/1967</t>
  </si>
  <si>
    <t>JL.RAYA SOREANG NO.28</t>
  </si>
  <si>
    <t>26/06/1973</t>
  </si>
  <si>
    <t xml:space="preserve">FITRI YANI AULIA </t>
  </si>
  <si>
    <t>0039946408</t>
  </si>
  <si>
    <t>3206366306040002</t>
  </si>
  <si>
    <t>23/06/2004</t>
  </si>
  <si>
    <t xml:space="preserve">MENULIS </t>
  </si>
  <si>
    <t>3206362302083719</t>
  </si>
  <si>
    <t>3206360202800001</t>
  </si>
  <si>
    <t>KP. BUNISARI</t>
  </si>
  <si>
    <t>CIAWI</t>
  </si>
  <si>
    <t>3206366711830001</t>
  </si>
  <si>
    <t>Jahra Ramadhani</t>
  </si>
  <si>
    <t>0062220557/0064891491</t>
  </si>
  <si>
    <t>3205105410060001</t>
  </si>
  <si>
    <t>14/10/2006</t>
  </si>
  <si>
    <t>PEGUSAHA</t>
  </si>
  <si>
    <t>3205102111070664</t>
  </si>
  <si>
    <t>01/11/1981</t>
  </si>
  <si>
    <t>3205100111810001</t>
  </si>
  <si>
    <t>KP.NEGLASARI</t>
  </si>
  <si>
    <t>17/07/1982</t>
  </si>
  <si>
    <t>3205105707820003</t>
  </si>
  <si>
    <t>Jalviani Salsabila</t>
  </si>
  <si>
    <t>0076723108</t>
  </si>
  <si>
    <t>3211156007070004</t>
  </si>
  <si>
    <t>20/07/2007</t>
  </si>
  <si>
    <t>3211152208110007</t>
  </si>
  <si>
    <t>CERAI HDUP</t>
  </si>
  <si>
    <t>08/03/1979</t>
  </si>
  <si>
    <t>3204280803790024</t>
  </si>
  <si>
    <t>DUSUN MUNGGANG</t>
  </si>
  <si>
    <t>Sri Rahayu</t>
  </si>
  <si>
    <t>02/09/1990</t>
  </si>
  <si>
    <t>3217044209900002</t>
  </si>
  <si>
    <t>KP.CIDITA</t>
  </si>
  <si>
    <t>CISOMANGBARAT</t>
  </si>
  <si>
    <t>CIKALONG WETAN</t>
  </si>
  <si>
    <t xml:space="preserve">Minatul Maula </t>
  </si>
  <si>
    <t>0067910099</t>
  </si>
  <si>
    <t>3204465305060001</t>
  </si>
  <si>
    <t>13/05/2006</t>
  </si>
  <si>
    <t>3204462808060009</t>
  </si>
  <si>
    <t>01/01/1977</t>
  </si>
  <si>
    <t>3204460101770013</t>
  </si>
  <si>
    <t>40951</t>
  </si>
  <si>
    <t>14/03/1978</t>
  </si>
  <si>
    <t>3204465403780001</t>
  </si>
  <si>
    <t>Nabila Arij Lestari</t>
  </si>
  <si>
    <t>0044953987</t>
  </si>
  <si>
    <t>3204445011040003</t>
  </si>
  <si>
    <t>10/11/2004</t>
  </si>
  <si>
    <t>05/03/1978</t>
  </si>
  <si>
    <t>Nadia Aulia Safitri</t>
  </si>
  <si>
    <t>0069445436</t>
  </si>
  <si>
    <t>3273044312060002</t>
  </si>
  <si>
    <t>03/12/2006</t>
  </si>
  <si>
    <t>3273040308104903</t>
  </si>
  <si>
    <t>05/05/1982</t>
  </si>
  <si>
    <t>3273040505820003</t>
  </si>
  <si>
    <t>JL.BBK CIPARAY GG.PA ABID</t>
  </si>
  <si>
    <t>29/04/1987</t>
  </si>
  <si>
    <t>3273046904870002</t>
  </si>
  <si>
    <t>Nayshila Arzita Kandiaz</t>
  </si>
  <si>
    <t>0075717209</t>
  </si>
  <si>
    <t>3273125208070001</t>
  </si>
  <si>
    <t>12/08/2007</t>
  </si>
  <si>
    <t xml:space="preserve">MEMBACA   </t>
  </si>
  <si>
    <t>3273122908107744</t>
  </si>
  <si>
    <t>28/02/1982</t>
  </si>
  <si>
    <t>3273122802820007</t>
  </si>
  <si>
    <t>JL.CIBANGKONG NO.96/120 B</t>
  </si>
  <si>
    <t>07/08</t>
  </si>
  <si>
    <t>CIBANGKONG</t>
  </si>
  <si>
    <t>26/08/1982</t>
  </si>
  <si>
    <t>3273126608820001</t>
  </si>
  <si>
    <t>Neng Sela Rismawati</t>
  </si>
  <si>
    <t>0073083594</t>
  </si>
  <si>
    <t>3210056805070001</t>
  </si>
  <si>
    <t>28 /05/2007</t>
  </si>
  <si>
    <t>3210050901060003</t>
  </si>
  <si>
    <t>16/04/1973</t>
  </si>
  <si>
    <t>3210051604730001</t>
  </si>
  <si>
    <t>BLOK CIBULUH</t>
  </si>
  <si>
    <t>12/04</t>
  </si>
  <si>
    <t>TEJAMULYA</t>
  </si>
  <si>
    <t>3210054107800061</t>
  </si>
  <si>
    <t>Nurjanah</t>
  </si>
  <si>
    <t>0042254516</t>
  </si>
  <si>
    <t>3211187005050001</t>
  </si>
  <si>
    <t>30/04/2004</t>
  </si>
  <si>
    <t>MENGHAFAL</t>
  </si>
  <si>
    <t>PENGAJAR</t>
  </si>
  <si>
    <t>3211182103063251</t>
  </si>
  <si>
    <t>3211180106670002</t>
  </si>
  <si>
    <t>DUSUN SUKARAJA</t>
  </si>
  <si>
    <t>3211184410690003</t>
  </si>
  <si>
    <t>Putri Ismaya Koswara</t>
  </si>
  <si>
    <t>0066480724</t>
  </si>
  <si>
    <t>3211135811060002</t>
  </si>
  <si>
    <t>18/11/2006</t>
  </si>
  <si>
    <t>3211132003061662</t>
  </si>
  <si>
    <t>17/03/1978</t>
  </si>
  <si>
    <t>3211131703780004</t>
  </si>
  <si>
    <t>DUSUN CIAYUNAN</t>
  </si>
  <si>
    <t>CIPTASARI</t>
  </si>
  <si>
    <t>06/06/1981</t>
  </si>
  <si>
    <t>3211134606810006</t>
  </si>
  <si>
    <t>R.Salsabila Nur Sabila Solehah</t>
  </si>
  <si>
    <t>0134087091</t>
  </si>
  <si>
    <t>3204094904080001</t>
  </si>
  <si>
    <t>09/04/2007</t>
  </si>
  <si>
    <t>3204091406051578</t>
  </si>
  <si>
    <t>06/08/1960</t>
  </si>
  <si>
    <t>3204090608600007</t>
  </si>
  <si>
    <t>MARGAHAYU KENCANA BLOK C NO.10</t>
  </si>
  <si>
    <t>11/14</t>
  </si>
  <si>
    <t>MARGAHAYU SELATAN</t>
  </si>
  <si>
    <t>27/11/1969</t>
  </si>
  <si>
    <t>3204096711690005</t>
  </si>
  <si>
    <t>Raegitha Brilian Novia Hadiawan</t>
  </si>
  <si>
    <t>0068030071</t>
  </si>
  <si>
    <t>3217016911060003</t>
  </si>
  <si>
    <t>29/11/2006</t>
  </si>
  <si>
    <t>HEALING</t>
  </si>
  <si>
    <t>OWNER</t>
  </si>
  <si>
    <t>3217011703070005</t>
  </si>
  <si>
    <t>22/05/1982</t>
  </si>
  <si>
    <t>3217012205820006</t>
  </si>
  <si>
    <t>KP.PAMEUCELAN</t>
  </si>
  <si>
    <t>07/07/1984</t>
  </si>
  <si>
    <t>3217014707840016</t>
  </si>
  <si>
    <t>Ridha Sulistiani Falah</t>
  </si>
  <si>
    <t>0071765183</t>
  </si>
  <si>
    <t>3204346011070001</t>
  </si>
  <si>
    <t>MELUKIS</t>
  </si>
  <si>
    <t>11/07/1984</t>
  </si>
  <si>
    <t>KP.BONCEL</t>
  </si>
  <si>
    <t>BOJONGCEMAS</t>
  </si>
  <si>
    <t>SOLOKANJERUK</t>
  </si>
  <si>
    <t>17/03/1984</t>
  </si>
  <si>
    <t>Riha Fauziah</t>
  </si>
  <si>
    <t>0071099218</t>
  </si>
  <si>
    <t>3211075512070001</t>
  </si>
  <si>
    <t>15/12/2007</t>
  </si>
  <si>
    <t>PENERUS MA'HAD</t>
  </si>
  <si>
    <t>3211072403067434</t>
  </si>
  <si>
    <t>11/08/1966</t>
  </si>
  <si>
    <t>3211071108660005</t>
  </si>
  <si>
    <t>NARIMBANG</t>
  </si>
  <si>
    <t>27/04</t>
  </si>
  <si>
    <t>CONGGEANG</t>
  </si>
  <si>
    <t>01/01/1978</t>
  </si>
  <si>
    <t>3211074101780006</t>
  </si>
  <si>
    <t>Rohmah Nurul Muna</t>
  </si>
  <si>
    <t>0043124478/2036979722</t>
  </si>
  <si>
    <t>3211184912030001</t>
  </si>
  <si>
    <t>09/12/2003</t>
  </si>
  <si>
    <t>3211182506070047</t>
  </si>
  <si>
    <t>22/04/1973</t>
  </si>
  <si>
    <t>3211182204730005</t>
  </si>
  <si>
    <t>16/10/1976</t>
  </si>
  <si>
    <t>3211185510780011</t>
  </si>
  <si>
    <t>DIPLOMA III/SARJANA</t>
  </si>
  <si>
    <t>Rossa Aulyana</t>
  </si>
  <si>
    <t>0076106879</t>
  </si>
  <si>
    <t>3204145601070004</t>
  </si>
  <si>
    <t>16/01/2007</t>
  </si>
  <si>
    <t>3204140703060007</t>
  </si>
  <si>
    <t>3204141707820010</t>
  </si>
  <si>
    <t>KP.BOJONGKONENG</t>
  </si>
  <si>
    <t>BOJONGMANGGU</t>
  </si>
  <si>
    <t>PAMEUNGPEUK</t>
  </si>
  <si>
    <t>20/07/1984</t>
  </si>
  <si>
    <t>3204146007840003</t>
  </si>
  <si>
    <t>Salma Rana Raihana</t>
  </si>
  <si>
    <t>0074733677</t>
  </si>
  <si>
    <t>3204056202070001</t>
  </si>
  <si>
    <t>22/02/2007</t>
  </si>
  <si>
    <t>3273261903150009</t>
  </si>
  <si>
    <t>14/08/1978</t>
  </si>
  <si>
    <t>3204051408780001</t>
  </si>
  <si>
    <t>ANDIR TENGAH</t>
  </si>
  <si>
    <t>PASANGGRAHAN</t>
  </si>
  <si>
    <t>17/04/1972</t>
  </si>
  <si>
    <t>3204055704720001</t>
  </si>
  <si>
    <t>Sani Siti Fitriani</t>
  </si>
  <si>
    <t>0037373505</t>
  </si>
  <si>
    <t>3211116611030004</t>
  </si>
  <si>
    <t>26/11/2003</t>
  </si>
  <si>
    <t>BERKREASI</t>
  </si>
  <si>
    <t>3211111006070039</t>
  </si>
  <si>
    <t>3211111608800005</t>
  </si>
  <si>
    <t>DUSUN LANJUNG</t>
  </si>
  <si>
    <t>TANJUNG SARI</t>
  </si>
  <si>
    <t>3211115011810013</t>
  </si>
  <si>
    <t>Siti Aisyah</t>
  </si>
  <si>
    <t>0075214037</t>
  </si>
  <si>
    <t>3210066601070061</t>
  </si>
  <si>
    <t>26/01/2007</t>
  </si>
  <si>
    <t>3210062811110024</t>
  </si>
  <si>
    <t>3210060512740041</t>
  </si>
  <si>
    <t xml:space="preserve">BLOK SABTU </t>
  </si>
  <si>
    <t>KERTABASUKI</t>
  </si>
  <si>
    <t>MAJA</t>
  </si>
  <si>
    <t>17/03/1974</t>
  </si>
  <si>
    <t>3210065703740001</t>
  </si>
  <si>
    <t>BLOK SABTU</t>
  </si>
  <si>
    <t>Siti Halimatul Azka Ghranita</t>
  </si>
  <si>
    <t>0053526368</t>
  </si>
  <si>
    <t>3211195805050001</t>
  </si>
  <si>
    <t>18/05/2005</t>
  </si>
  <si>
    <t>BERSIH BERSIH</t>
  </si>
  <si>
    <t>3211192203063353</t>
  </si>
  <si>
    <t>16/10/1974</t>
  </si>
  <si>
    <t>3211195610740002</t>
  </si>
  <si>
    <t>TAMAT SD/SEDRAJAT</t>
  </si>
  <si>
    <t>DUSUN GANEAS</t>
  </si>
  <si>
    <t>GANEAS</t>
  </si>
  <si>
    <t>Siti Hanifah Alawiyah</t>
  </si>
  <si>
    <t>0072705656</t>
  </si>
  <si>
    <t>3211174603070003</t>
  </si>
  <si>
    <t>06/03/2007</t>
  </si>
  <si>
    <t>3211170408080016</t>
  </si>
  <si>
    <t>3211171011820011</t>
  </si>
  <si>
    <t>JL.DEWI SARTIKA GG.POS</t>
  </si>
  <si>
    <t>REGOL WETAN</t>
  </si>
  <si>
    <t>3211175805860001</t>
  </si>
  <si>
    <t>Siti Khodijah</t>
  </si>
  <si>
    <t>0047172665/3043689116</t>
  </si>
  <si>
    <t>3204135409040001</t>
  </si>
  <si>
    <t>14/09/2004</t>
  </si>
  <si>
    <t>3211181009180009</t>
  </si>
  <si>
    <t>14/10/1974</t>
  </si>
  <si>
    <t>3204131410740002</t>
  </si>
  <si>
    <t>KP KAMASAN</t>
  </si>
  <si>
    <t>22/08/1980</t>
  </si>
  <si>
    <t>3204136208800004</t>
  </si>
  <si>
    <t>Siti Khodijah Sa'diyah Sakinah</t>
  </si>
  <si>
    <t>0062667985</t>
  </si>
  <si>
    <t>3273065410060006</t>
  </si>
  <si>
    <t>3273062102120002</t>
  </si>
  <si>
    <t>3273060601820005</t>
  </si>
  <si>
    <t>JL.KOMUD SUPADIO NO.64</t>
  </si>
  <si>
    <t>13/02/1964</t>
  </si>
  <si>
    <t>3273065302840001</t>
  </si>
  <si>
    <t>Siti Patimah Jahra</t>
  </si>
  <si>
    <t>0076280032</t>
  </si>
  <si>
    <t>3204135301070003</t>
  </si>
  <si>
    <t>13/01/2007</t>
  </si>
  <si>
    <t>3204130704055507</t>
  </si>
  <si>
    <t>KP PASUNDAN</t>
  </si>
  <si>
    <t>17/10/1982</t>
  </si>
  <si>
    <t>3204135710820002</t>
  </si>
  <si>
    <t>Siti Salwa Nur Fatimah</t>
  </si>
  <si>
    <t>0071439009</t>
  </si>
  <si>
    <t>3204105704070005</t>
  </si>
  <si>
    <t>17/04/2007</t>
  </si>
  <si>
    <t>3217102007170022</t>
  </si>
  <si>
    <t>3204100707760021</t>
  </si>
  <si>
    <t>KP. GUNUNG DUKUH</t>
  </si>
  <si>
    <t>DESA CIPATIK</t>
  </si>
  <si>
    <t>3217104604860029</t>
  </si>
  <si>
    <t>SLTP SEDERAJAT</t>
  </si>
  <si>
    <t>KP.GUNUNG DUKUH</t>
  </si>
  <si>
    <t>CIPATIK</t>
  </si>
  <si>
    <t>Siti Sarah Nurbaety</t>
  </si>
  <si>
    <t>0044254817/0045405754</t>
  </si>
  <si>
    <t>3273066303040001</t>
  </si>
  <si>
    <t>23/03/2004</t>
  </si>
  <si>
    <t>IBADAH</t>
  </si>
  <si>
    <t>PENDIRI MAJLIS</t>
  </si>
  <si>
    <t>3273061108105939</t>
  </si>
  <si>
    <t>3273060608640001</t>
  </si>
  <si>
    <t>JL.JATAYU II NO.15/72</t>
  </si>
  <si>
    <t>31/05/1971</t>
  </si>
  <si>
    <t>3273067105710006</t>
  </si>
  <si>
    <t>Siti Shofiyatunnisaai</t>
  </si>
  <si>
    <t>0074466012</t>
  </si>
  <si>
    <t>3211174706070006</t>
  </si>
  <si>
    <t>07/06/2007</t>
  </si>
  <si>
    <t>3211172801110012</t>
  </si>
  <si>
    <t>3211170308720005</t>
  </si>
  <si>
    <t>SAGARAMANIK</t>
  </si>
  <si>
    <t>CIPANCAR</t>
  </si>
  <si>
    <t>23/01/1975</t>
  </si>
  <si>
    <t>3211176301750005</t>
  </si>
  <si>
    <t>Siti Zaenab</t>
  </si>
  <si>
    <t>0031024987</t>
  </si>
  <si>
    <t>3211175702040003</t>
  </si>
  <si>
    <t>17/02/2004</t>
  </si>
  <si>
    <t>INFLUCERE</t>
  </si>
  <si>
    <t>3211172203060708</t>
  </si>
  <si>
    <t>3211171203600005</t>
  </si>
  <si>
    <t>LINGK KEBON CAU</t>
  </si>
  <si>
    <t>19/06/1959</t>
  </si>
  <si>
    <t>3211175506590004</t>
  </si>
  <si>
    <t>Sri Wardhany</t>
  </si>
  <si>
    <t>0042967389</t>
  </si>
  <si>
    <t>3204144512040001</t>
  </si>
  <si>
    <t>05/12/2004</t>
  </si>
  <si>
    <t>O+</t>
  </si>
  <si>
    <t>TOUR GUIDE</t>
  </si>
  <si>
    <t>3204140406051908</t>
  </si>
  <si>
    <t>3204140205810005</t>
  </si>
  <si>
    <t>KP BABAKAN MEKAR</t>
  </si>
  <si>
    <t>17/03/1981</t>
  </si>
  <si>
    <t>3204145703810001</t>
  </si>
  <si>
    <t>Tasya Putri Nur Alisya</t>
  </si>
  <si>
    <t>0065783680</t>
  </si>
  <si>
    <t>3211155311060005</t>
  </si>
  <si>
    <t>13/11/2006</t>
  </si>
  <si>
    <t>TRANSLATOR</t>
  </si>
  <si>
    <t>3211151703062637</t>
  </si>
  <si>
    <t>3211150701630002</t>
  </si>
  <si>
    <t>DSN.MUNGGANG</t>
  </si>
  <si>
    <t>3211154609720009</t>
  </si>
  <si>
    <t>Yulia Ramadhan</t>
  </si>
  <si>
    <t>3026061010</t>
  </si>
  <si>
    <t>3211154807020005</t>
  </si>
  <si>
    <t>18/07/2002</t>
  </si>
  <si>
    <t>WIRIDAN</t>
  </si>
  <si>
    <t>3211151703066143</t>
  </si>
  <si>
    <t>3211150508720008</t>
  </si>
  <si>
    <t>CISEMPUR</t>
  </si>
  <si>
    <t>17/12/1972</t>
  </si>
  <si>
    <t>3211155712720011</t>
  </si>
  <si>
    <t>Zahra Nahda Rizqiyah</t>
  </si>
  <si>
    <t>0075819941</t>
  </si>
  <si>
    <t>3273264607070001</t>
  </si>
  <si>
    <t>06/07/2007</t>
  </si>
  <si>
    <t>3273261010106240</t>
  </si>
  <si>
    <t>3273260902710004</t>
  </si>
  <si>
    <t>JL.VIJAYA KUSUMA II A.29/7</t>
  </si>
  <si>
    <t>PASIR ENDAH</t>
  </si>
  <si>
    <t>24/05/1975</t>
  </si>
  <si>
    <t>3273266405750001</t>
  </si>
  <si>
    <t>40619</t>
  </si>
  <si>
    <t>5-B</t>
  </si>
  <si>
    <t>AJENG WULANDARI MAULANA</t>
  </si>
  <si>
    <t>0075287609</t>
  </si>
  <si>
    <t>3204067103070003</t>
  </si>
  <si>
    <t>31/03/2007</t>
  </si>
  <si>
    <t>3204061202080023</t>
  </si>
  <si>
    <t>3204061408720007</t>
  </si>
  <si>
    <t>KP.BUNTIS</t>
  </si>
  <si>
    <t>02/14</t>
  </si>
  <si>
    <t>40197</t>
  </si>
  <si>
    <t>3204065407790005</t>
  </si>
  <si>
    <t>0076215995</t>
  </si>
  <si>
    <t>3204156711070004</t>
  </si>
  <si>
    <t>27/11/2007</t>
  </si>
  <si>
    <t>3204151403052636</t>
  </si>
  <si>
    <t>3204150604720024</t>
  </si>
  <si>
    <t>KP.MEKARBAKTI</t>
  </si>
  <si>
    <t>40378</t>
  </si>
  <si>
    <t>3204156105740001</t>
  </si>
  <si>
    <t>SLTP/SEDRAJAT</t>
  </si>
  <si>
    <t xml:space="preserve">AMELIA MAYLINDA </t>
  </si>
  <si>
    <t>0032963472</t>
  </si>
  <si>
    <t>3217145809020006</t>
  </si>
  <si>
    <t>18/09/2003</t>
  </si>
  <si>
    <t>3217142809150002</t>
  </si>
  <si>
    <t>CICANGKANGGIRANG</t>
  </si>
  <si>
    <t>SINDANG KERTA</t>
  </si>
  <si>
    <t>40563</t>
  </si>
  <si>
    <t>3217145203820020</t>
  </si>
  <si>
    <t>CICAANGKANGGIRANG</t>
  </si>
  <si>
    <t>AMELIA SALSABILA RAMADHANI</t>
  </si>
  <si>
    <t>0076568013</t>
  </si>
  <si>
    <t>3204166609070004</t>
  </si>
  <si>
    <t>26/09/2007</t>
  </si>
  <si>
    <t>B+</t>
  </si>
  <si>
    <t>PERAWAT/DOKTER</t>
  </si>
  <si>
    <t>3204161105110034</t>
  </si>
  <si>
    <t>3204160501850015</t>
  </si>
  <si>
    <t>KP.MEKARSARI</t>
  </si>
  <si>
    <t>MANGUNJAYA</t>
  </si>
  <si>
    <t>40379</t>
  </si>
  <si>
    <t>3204165707860010</t>
  </si>
  <si>
    <t>ANNISA SITI MARIAM</t>
  </si>
  <si>
    <t>0045362639</t>
  </si>
  <si>
    <t>3273035610040002</t>
  </si>
  <si>
    <t>16/10/2004</t>
  </si>
  <si>
    <t>3273030208104133</t>
  </si>
  <si>
    <t>3273030304690007</t>
  </si>
  <si>
    <t>KP.PASIRKOJA</t>
  </si>
  <si>
    <t>06/05</t>
  </si>
  <si>
    <t>SUKAHAJI</t>
  </si>
  <si>
    <t>40221</t>
  </si>
  <si>
    <t>3273035207720004</t>
  </si>
  <si>
    <t>ARINI HAQI SOFYANI</t>
  </si>
  <si>
    <t>0078803405</t>
  </si>
  <si>
    <t>3603124507070007</t>
  </si>
  <si>
    <t>05/07/2007</t>
  </si>
  <si>
    <t>3273202106180002</t>
  </si>
  <si>
    <t>3603120707800017</t>
  </si>
  <si>
    <t>JL.SINDANGSARI III NO.9</t>
  </si>
  <si>
    <t>07/09</t>
  </si>
  <si>
    <t>40291</t>
  </si>
  <si>
    <t>3603125505850013</t>
  </si>
  <si>
    <t xml:space="preserve">AULIYA NURHIKAM </t>
  </si>
  <si>
    <t>0043715881</t>
  </si>
  <si>
    <t>3205046001040002</t>
  </si>
  <si>
    <t>20/01/2004</t>
  </si>
  <si>
    <t>PERUM BUMI MALAYU ASRI BLOK G.23</t>
  </si>
  <si>
    <t>44151</t>
  </si>
  <si>
    <t xml:space="preserve">BUNGA NIRMALA RAMDHANI </t>
  </si>
  <si>
    <t>0065108591</t>
  </si>
  <si>
    <t>3211184810060001</t>
  </si>
  <si>
    <t>08/10/2006</t>
  </si>
  <si>
    <t>3211182306070059</t>
  </si>
  <si>
    <t>3211180508720013</t>
  </si>
  <si>
    <t>DUSUN SUKAMULYA</t>
  </si>
  <si>
    <t>45352</t>
  </si>
  <si>
    <t>3211184412780006</t>
  </si>
  <si>
    <t>0084377849</t>
  </si>
  <si>
    <t>3211195103080001</t>
  </si>
  <si>
    <t>10/03/2008</t>
  </si>
  <si>
    <t>BU NYAI</t>
  </si>
  <si>
    <t>3211191601090001</t>
  </si>
  <si>
    <t>3211190210760007</t>
  </si>
  <si>
    <t>DUSUN TAGOG</t>
  </si>
  <si>
    <t>SUKALUYU</t>
  </si>
  <si>
    <t>45356</t>
  </si>
  <si>
    <t>3211196111830002</t>
  </si>
  <si>
    <t>DEVI FITRIYANTI</t>
  </si>
  <si>
    <t>0038754979</t>
  </si>
  <si>
    <t>3204466611030001</t>
  </si>
  <si>
    <t>3204460406080016</t>
  </si>
  <si>
    <t>3204462609790002</t>
  </si>
  <si>
    <t>KP MEKARJAYA</t>
  </si>
  <si>
    <t>3204466303830001</t>
  </si>
  <si>
    <t>DILA ELINA ASYIFA</t>
  </si>
  <si>
    <t>0052677591</t>
  </si>
  <si>
    <t>3211026202050002</t>
  </si>
  <si>
    <t>22/02/2005</t>
  </si>
  <si>
    <t>3211020906070004</t>
  </si>
  <si>
    <t>3211020602760001</t>
  </si>
  <si>
    <t>TAMATSD/SEDERAJAT</t>
  </si>
  <si>
    <t>KAMPUNG PANGKALAN</t>
  </si>
  <si>
    <t>45373</t>
  </si>
  <si>
    <t>3211027007830004</t>
  </si>
  <si>
    <t xml:space="preserve">FRIYA AISYA PUTRI </t>
  </si>
  <si>
    <t>0057300535</t>
  </si>
  <si>
    <t>3273135201050003</t>
  </si>
  <si>
    <t>12/01/2005</t>
  </si>
  <si>
    <t>PSYKOLOGI</t>
  </si>
  <si>
    <t>3273130309109563</t>
  </si>
  <si>
    <t>3273130611750002</t>
  </si>
  <si>
    <t>JL.LENGKONG TENGAH II NO.78/17D</t>
  </si>
  <si>
    <t>CIKAWAO</t>
  </si>
  <si>
    <t>40261</t>
  </si>
  <si>
    <t>3273135006790010</t>
  </si>
  <si>
    <t>IDA PARIDA</t>
  </si>
  <si>
    <t>0036674163</t>
  </si>
  <si>
    <t>3208204312030001</t>
  </si>
  <si>
    <t>KUNINGAN</t>
  </si>
  <si>
    <t>03/12/2003</t>
  </si>
  <si>
    <t>3208200212080005</t>
  </si>
  <si>
    <t>3208201212640001</t>
  </si>
  <si>
    <t>DUSUN PUHUN</t>
  </si>
  <si>
    <t>11/03</t>
  </si>
  <si>
    <t>CIKADU</t>
  </si>
  <si>
    <t>NUSAHERANG</t>
  </si>
  <si>
    <t>45563</t>
  </si>
  <si>
    <t>3208205102700001</t>
  </si>
  <si>
    <t>INDRI YULISTIAWATI</t>
  </si>
  <si>
    <t>0000062994</t>
  </si>
  <si>
    <t>3211146209000005</t>
  </si>
  <si>
    <t>22/09/2000</t>
  </si>
  <si>
    <t>3211142003060878</t>
  </si>
  <si>
    <t>3211140210760004</t>
  </si>
  <si>
    <t>DUSUN PASIR MUNCANG</t>
  </si>
  <si>
    <t>01/18</t>
  </si>
  <si>
    <t>45364</t>
  </si>
  <si>
    <t>3211145107790002</t>
  </si>
  <si>
    <t>KEYSHA AZZAHRA SUDIANA</t>
  </si>
  <si>
    <t>0077985707</t>
  </si>
  <si>
    <t>3273266411070001</t>
  </si>
  <si>
    <t>24/11/2007</t>
  </si>
  <si>
    <t>SENIMAN</t>
  </si>
  <si>
    <t>3273261110109675</t>
  </si>
  <si>
    <t>3273262708820001</t>
  </si>
  <si>
    <t>JL.PASAR KALER</t>
  </si>
  <si>
    <t>KHOLISA NURPADILAH</t>
  </si>
  <si>
    <t>0073978465</t>
  </si>
  <si>
    <t>3204156704070002</t>
  </si>
  <si>
    <t>27/04/2007</t>
  </si>
  <si>
    <t>PEMBALAP</t>
  </si>
  <si>
    <t>3204150305070034</t>
  </si>
  <si>
    <t>3204150210740002</t>
  </si>
  <si>
    <t>KP.LAMAJAN</t>
  </si>
  <si>
    <t>3204154505750043</t>
  </si>
  <si>
    <t>0136925880</t>
  </si>
  <si>
    <t>3211176812070001</t>
  </si>
  <si>
    <t>28/12/2007</t>
  </si>
  <si>
    <t>MOMOTORAN</t>
  </si>
  <si>
    <t>3211171204120002</t>
  </si>
  <si>
    <t>3211172707810013</t>
  </si>
  <si>
    <t>JL.PAGER BETIS N0 134</t>
  </si>
  <si>
    <t>SUKAGALIH</t>
  </si>
  <si>
    <t>45351</t>
  </si>
  <si>
    <t>3211177103840001</t>
  </si>
  <si>
    <t>DIPLOMA VI/STRATA I</t>
  </si>
  <si>
    <t xml:space="preserve">MILA ROSA </t>
  </si>
  <si>
    <t>0043937379</t>
  </si>
  <si>
    <t>3205104501040001</t>
  </si>
  <si>
    <t>05/01/2004</t>
  </si>
  <si>
    <t>ORANG YANG BERGUNA</t>
  </si>
  <si>
    <t>3273171506170002</t>
  </si>
  <si>
    <t>3205100101730021</t>
  </si>
  <si>
    <t>JL. LEUWIPANJANG GG. KEBON LEGA II</t>
  </si>
  <si>
    <t>KEBON LEGA</t>
  </si>
  <si>
    <t>BOJONGLOA KIDUL</t>
  </si>
  <si>
    <t>MIRA LATIFATUL QOLBY</t>
  </si>
  <si>
    <t>0071169907/0071169007</t>
  </si>
  <si>
    <t>3204135103070001</t>
  </si>
  <si>
    <t>11/03/2007</t>
  </si>
  <si>
    <t>3204133110060047</t>
  </si>
  <si>
    <t>3204132104760005</t>
  </si>
  <si>
    <t>40377</t>
  </si>
  <si>
    <t>3204134701830011</t>
  </si>
  <si>
    <t>MOZA JULYANTI</t>
  </si>
  <si>
    <t>0078646807</t>
  </si>
  <si>
    <t>3204110705070030</t>
  </si>
  <si>
    <t>15/07/2007</t>
  </si>
  <si>
    <t>3204111509740001</t>
  </si>
  <si>
    <t>KP.BOJONG</t>
  </si>
  <si>
    <t>SUKAMUKTI</t>
  </si>
  <si>
    <t>3204116704780002</t>
  </si>
  <si>
    <t>NABILA AZAHRA NURAZIZAH</t>
  </si>
  <si>
    <t>0063152594</t>
  </si>
  <si>
    <t>3204136708060001</t>
  </si>
  <si>
    <t>27/08/2006</t>
  </si>
  <si>
    <t>AKTOR</t>
  </si>
  <si>
    <t>3204132401070010</t>
  </si>
  <si>
    <t>0088986318</t>
  </si>
  <si>
    <t>3211144308080002</t>
  </si>
  <si>
    <t>3211142006160003</t>
  </si>
  <si>
    <t>3271052904780004</t>
  </si>
  <si>
    <t>DSN.MANABAYA</t>
  </si>
  <si>
    <t>05/06</t>
  </si>
  <si>
    <t>07/071984</t>
  </si>
  <si>
    <t>3211144707840013</t>
  </si>
  <si>
    <t>NABILA PUTRI AZZAHRA</t>
  </si>
  <si>
    <t>0079435880</t>
  </si>
  <si>
    <t>3277034811070004</t>
  </si>
  <si>
    <t>08/11/2007</t>
  </si>
  <si>
    <t>MODEL</t>
  </si>
  <si>
    <t>3204151703200010</t>
  </si>
  <si>
    <t>3514170405850005</t>
  </si>
  <si>
    <t>KP.LOSKULALET</t>
  </si>
  <si>
    <t>3277034510830021</t>
  </si>
  <si>
    <t>NISRINA NAZMA ASHOBAR</t>
  </si>
  <si>
    <t>0061205118</t>
  </si>
  <si>
    <t>3211236203060001</t>
  </si>
  <si>
    <t>22/03/2006</t>
  </si>
  <si>
    <t>DANCE</t>
  </si>
  <si>
    <t>3211232503064555</t>
  </si>
  <si>
    <t>3211231307770003</t>
  </si>
  <si>
    <t>DSN AWILUAR</t>
  </si>
  <si>
    <t>CIUYAH</t>
  </si>
  <si>
    <t>45357</t>
  </si>
  <si>
    <t>3211235208750002</t>
  </si>
  <si>
    <t>PUTRI NURHAYATI</t>
  </si>
  <si>
    <t>0031006764</t>
  </si>
  <si>
    <t>3204055708030001</t>
  </si>
  <si>
    <t>17/08/2003</t>
  </si>
  <si>
    <t>BACA,MENONTON</t>
  </si>
  <si>
    <t>3204050408120007</t>
  </si>
  <si>
    <t>3204051111600003</t>
  </si>
  <si>
    <t>KP.CILEUNYI</t>
  </si>
  <si>
    <t>CILEUNYI WETAN</t>
  </si>
  <si>
    <t>40622</t>
  </si>
  <si>
    <t>3204054804730004</t>
  </si>
  <si>
    <t xml:space="preserve">RAISHA AMELIA </t>
  </si>
  <si>
    <t>0075478341</t>
  </si>
  <si>
    <t>3204446603070002</t>
  </si>
  <si>
    <t>26/03/2007</t>
  </si>
  <si>
    <t>BACA,NONTON</t>
  </si>
  <si>
    <t>3204440604057476</t>
  </si>
  <si>
    <t>3204440506750012</t>
  </si>
  <si>
    <t>KP.SUKAMANAH</t>
  </si>
  <si>
    <t>40238</t>
  </si>
  <si>
    <t>3204446107750001</t>
  </si>
  <si>
    <t>RIANI NUR FAUZIAH</t>
  </si>
  <si>
    <t>0075108528</t>
  </si>
  <si>
    <t>3217085304070010</t>
  </si>
  <si>
    <t>13/04/2007</t>
  </si>
  <si>
    <t>3217081501070022</t>
  </si>
  <si>
    <t>3217081002740009</t>
  </si>
  <si>
    <t>40553</t>
  </si>
  <si>
    <t>3217084911790015</t>
  </si>
  <si>
    <t>SALMA NUR KARIMAH SOLIHIN</t>
  </si>
  <si>
    <t>0048435374</t>
  </si>
  <si>
    <t>3273134412040001</t>
  </si>
  <si>
    <t>04/12/2004</t>
  </si>
  <si>
    <t>3273130109101749</t>
  </si>
  <si>
    <t>3273130107820006</t>
  </si>
  <si>
    <t>JL.CIJAGRA I GG.III NO.86/206B</t>
  </si>
  <si>
    <t>40265</t>
  </si>
  <si>
    <t>3273136102810002</t>
  </si>
  <si>
    <t>SALWA JAMIATUL HASANAH</t>
  </si>
  <si>
    <t>0057643365</t>
  </si>
  <si>
    <t>3211185407050005</t>
  </si>
  <si>
    <t>14/07/2005</t>
  </si>
  <si>
    <t>DESIGNER</t>
  </si>
  <si>
    <t>3211180407070003</t>
  </si>
  <si>
    <t>3211180605710010</t>
  </si>
  <si>
    <t>CISERO</t>
  </si>
  <si>
    <t>RANCAMULYA</t>
  </si>
  <si>
    <t>3211186312770004</t>
  </si>
  <si>
    <t>0081894682</t>
  </si>
  <si>
    <t>3204464309080001</t>
  </si>
  <si>
    <t>3204461605110057</t>
  </si>
  <si>
    <t>3204461602830002</t>
  </si>
  <si>
    <t>KP.PUNCAK MULYA</t>
  </si>
  <si>
    <t>3204464407890001</t>
  </si>
  <si>
    <t xml:space="preserve">SITI  SRINURYANI </t>
  </si>
  <si>
    <t>0072783062</t>
  </si>
  <si>
    <t>3204086411070002</t>
  </si>
  <si>
    <t>OLAHRAGA,BACA</t>
  </si>
  <si>
    <t>3204083004120008</t>
  </si>
  <si>
    <t>3204081005750003</t>
  </si>
  <si>
    <t>40287</t>
  </si>
  <si>
    <t>3204085605820001</t>
  </si>
  <si>
    <t xml:space="preserve">SITI A'ISYAH </t>
  </si>
  <si>
    <t>0053285029/0066680664</t>
  </si>
  <si>
    <t>3204134912060001</t>
  </si>
  <si>
    <t>09/12/2006</t>
  </si>
  <si>
    <t>NONTON,MAIN</t>
  </si>
  <si>
    <t>3204131507120006</t>
  </si>
  <si>
    <t>3204130208770002</t>
  </si>
  <si>
    <t>KP.SUKAAME</t>
  </si>
  <si>
    <t>3204134506760004</t>
  </si>
  <si>
    <t xml:space="preserve">SITI KHODIJAH </t>
  </si>
  <si>
    <t>0068541997</t>
  </si>
  <si>
    <t>3211185511060001</t>
  </si>
  <si>
    <t>15/11/2006</t>
  </si>
  <si>
    <t>3211180905190001</t>
  </si>
  <si>
    <t>3211182008770009</t>
  </si>
  <si>
    <t>DUSUN CIBIRU</t>
  </si>
  <si>
    <t>SITI KHOIRIYATUN NAJAH</t>
  </si>
  <si>
    <t>0066283711</t>
  </si>
  <si>
    <t>3273135711060006</t>
  </si>
  <si>
    <t>17/11/2006</t>
  </si>
  <si>
    <t>3273130209108131</t>
  </si>
  <si>
    <t>3273132807640004</t>
  </si>
  <si>
    <t>JL.KARAPITAN III 107/36A</t>
  </si>
  <si>
    <t>3273137105740001</t>
  </si>
  <si>
    <t xml:space="preserve">SITI KHOTIMAH LAILASARI </t>
  </si>
  <si>
    <t>0078274458</t>
  </si>
  <si>
    <t>3277034208070003</t>
  </si>
  <si>
    <t>02/08/2007</t>
  </si>
  <si>
    <t>3277032910080015</t>
  </si>
  <si>
    <t>3277030601700008</t>
  </si>
  <si>
    <t>JL.PESANTREN VI</t>
  </si>
  <si>
    <t>3277035001790016</t>
  </si>
  <si>
    <t>SITI RAHMA PADILAH</t>
  </si>
  <si>
    <t>0078912054</t>
  </si>
  <si>
    <t>3204447101070002</t>
  </si>
  <si>
    <t>31/01/2007</t>
  </si>
  <si>
    <t>3204440708070002</t>
  </si>
  <si>
    <t>3204441203770015</t>
  </si>
  <si>
    <t>3204445109840003</t>
  </si>
  <si>
    <t>SITI UMMU KULTSUM</t>
  </si>
  <si>
    <t>0078320916</t>
  </si>
  <si>
    <t>3204054605070008</t>
  </si>
  <si>
    <t>06/08/2007</t>
  </si>
  <si>
    <t>3211131201160001</t>
  </si>
  <si>
    <t>3204050710770009</t>
  </si>
  <si>
    <t>KP/LEBAK JAWA</t>
  </si>
  <si>
    <t>CILEMBU</t>
  </si>
  <si>
    <t>3204055110780012</t>
  </si>
  <si>
    <t xml:space="preserve">SITI ZAHRA AULIA </t>
  </si>
  <si>
    <t>0072108597</t>
  </si>
  <si>
    <t>3211164605070001</t>
  </si>
  <si>
    <t>06/05/2007</t>
  </si>
  <si>
    <t>MEMBACA,MENULIS</t>
  </si>
  <si>
    <t>3211162905070035</t>
  </si>
  <si>
    <t>18/11/1978</t>
  </si>
  <si>
    <t>3211161811780006</t>
  </si>
  <si>
    <t>3211165902820004</t>
  </si>
  <si>
    <t>SIVA NUR AHWATI</t>
  </si>
  <si>
    <t>0071522500</t>
  </si>
  <si>
    <t>3204114702070003</t>
  </si>
  <si>
    <t>07/02/2007</t>
  </si>
  <si>
    <t>3204112007170007</t>
  </si>
  <si>
    <t>14/04/1975</t>
  </si>
  <si>
    <t>3204111404750008</t>
  </si>
  <si>
    <t>24/04/1980</t>
  </si>
  <si>
    <t>3204116404800005</t>
  </si>
  <si>
    <t>SYIFA NURJAIMAH</t>
  </si>
  <si>
    <t>0065944046</t>
  </si>
  <si>
    <t>3273305711060001</t>
  </si>
  <si>
    <t>MANAJER</t>
  </si>
  <si>
    <t>3273301410104051</t>
  </si>
  <si>
    <t>16/04/1976</t>
  </si>
  <si>
    <t>3273301604760004</t>
  </si>
  <si>
    <t>JL.JATIHANDAP GG.IV NO.186</t>
  </si>
  <si>
    <t>08/06</t>
  </si>
  <si>
    <t>JATIHANDAP</t>
  </si>
  <si>
    <t>MANDALAJATI</t>
  </si>
  <si>
    <t>16/06/1983</t>
  </si>
  <si>
    <t>3273305304850002</t>
  </si>
  <si>
    <t>TITA HERLIANTI</t>
  </si>
  <si>
    <t>0064837654</t>
  </si>
  <si>
    <t>3211165801060001</t>
  </si>
  <si>
    <t>18/01/2006</t>
  </si>
  <si>
    <t>MAIN</t>
  </si>
  <si>
    <t>ATLIT VOLI</t>
  </si>
  <si>
    <t>3211162003061989</t>
  </si>
  <si>
    <t>3211160102730005</t>
  </si>
  <si>
    <t>DUSUN CIBUNGUR</t>
  </si>
  <si>
    <t>CIBUNGUR</t>
  </si>
  <si>
    <t>3211164610720003</t>
  </si>
  <si>
    <t>WAFA FAIKOTIDINA</t>
  </si>
  <si>
    <t>0073365723</t>
  </si>
  <si>
    <t>3204465008070001</t>
  </si>
  <si>
    <t>3204460509070054</t>
  </si>
  <si>
    <t>3204460308800008</t>
  </si>
  <si>
    <t>KP.BOJONGNANGKA</t>
  </si>
  <si>
    <t>19/02/1981</t>
  </si>
  <si>
    <t>3204465902810004</t>
  </si>
  <si>
    <t>0073257972</t>
  </si>
  <si>
    <t>3211185010070004</t>
  </si>
  <si>
    <t>10/10/2007</t>
  </si>
  <si>
    <t>3211182103063680</t>
  </si>
  <si>
    <t>25/07/1974</t>
  </si>
  <si>
    <t>3211182507740002</t>
  </si>
  <si>
    <t>DUSUN BOJONG TOTOR</t>
  </si>
  <si>
    <t>3211184707750008</t>
  </si>
  <si>
    <t>0087998466/0087998460</t>
  </si>
  <si>
    <t>3204096203080002</t>
  </si>
  <si>
    <t>22/03/2008</t>
  </si>
  <si>
    <t>TK</t>
  </si>
  <si>
    <t>3204092711120043</t>
  </si>
  <si>
    <t>3204090110740003</t>
  </si>
  <si>
    <t>KOMP. PERMATA KOPO BLOK B NO 7A</t>
  </si>
  <si>
    <t>07/11</t>
  </si>
  <si>
    <t>SAYATI</t>
  </si>
  <si>
    <t>3204096905730004</t>
  </si>
  <si>
    <t>BABAKAN MUNCANG</t>
  </si>
  <si>
    <t>KARSAMENAK</t>
  </si>
  <si>
    <t>KAWALU</t>
  </si>
  <si>
    <t>KOTA TASIKMALAYA</t>
  </si>
  <si>
    <t>6-A</t>
  </si>
  <si>
    <t>ALIFFIA ZAHRA</t>
  </si>
  <si>
    <t>0042409453</t>
  </si>
  <si>
    <t>3204085602040005</t>
  </si>
  <si>
    <t>16/02/2004</t>
  </si>
  <si>
    <t>DRUMMER, BOS MUDA</t>
  </si>
  <si>
    <t>JL.BOJONGSARI</t>
  </si>
  <si>
    <t>081214664479</t>
  </si>
  <si>
    <t>AMINAH SANIAH</t>
  </si>
  <si>
    <t>0037074783</t>
  </si>
  <si>
    <t>3277014505030002</t>
  </si>
  <si>
    <t>05/05/2003</t>
  </si>
  <si>
    <t>PENERJEMAH</t>
  </si>
  <si>
    <t>3277011805090160</t>
  </si>
  <si>
    <t>3277010107630590</t>
  </si>
  <si>
    <t>JL.MAHAR MARTANEGARA GG.MELATI NO.31</t>
  </si>
  <si>
    <t>3277014107730752</t>
  </si>
  <si>
    <t>0881023610973</t>
  </si>
  <si>
    <t>ANANDA DELIANA PUTRI</t>
  </si>
  <si>
    <t>0030247010</t>
  </si>
  <si>
    <t>3204164112030008</t>
  </si>
  <si>
    <t>01/12/2003</t>
  </si>
  <si>
    <t>3204160907080194</t>
  </si>
  <si>
    <t>3204160603740010</t>
  </si>
  <si>
    <t>KP.BANGSOREANG</t>
  </si>
  <si>
    <t>3204165501770009</t>
  </si>
  <si>
    <t>082317625094</t>
  </si>
  <si>
    <t>AZKA NUR AFIFAH SITI FAUZIYYAH</t>
  </si>
  <si>
    <t>0056904488</t>
  </si>
  <si>
    <t>3273204404840003</t>
  </si>
  <si>
    <t>26/11/2005</t>
  </si>
  <si>
    <t>3273202509106855</t>
  </si>
  <si>
    <t>3273201604790003</t>
  </si>
  <si>
    <t>083822372238</t>
  </si>
  <si>
    <t>JL.SINDANGSARI III NO.25</t>
  </si>
  <si>
    <t>DALYA NUR FAUZIAH</t>
  </si>
  <si>
    <t>0067339133</t>
  </si>
  <si>
    <t>3204136101060001</t>
  </si>
  <si>
    <t>21/01/2006</t>
  </si>
  <si>
    <t>HOKAGE, PSIKOLOG</t>
  </si>
  <si>
    <t>3204130604058351</t>
  </si>
  <si>
    <t>3204131605680001</t>
  </si>
  <si>
    <t>085353481792</t>
  </si>
  <si>
    <t>KP.BABAKAN STASION</t>
  </si>
  <si>
    <t>3204135401720001</t>
  </si>
  <si>
    <t>DYLLAN SITI AZIZAH</t>
  </si>
  <si>
    <t>0055651251</t>
  </si>
  <si>
    <t>3204136101060003</t>
  </si>
  <si>
    <t>HAKIM, DESAINER</t>
  </si>
  <si>
    <t>3204131202140026</t>
  </si>
  <si>
    <t>KP.PASAR BARAT</t>
  </si>
  <si>
    <t>3204135112650015</t>
  </si>
  <si>
    <t>085221177696</t>
  </si>
  <si>
    <t>KP,PASAR BARAT</t>
  </si>
  <si>
    <t>KINGKIN PUTRI AYUDITA</t>
  </si>
  <si>
    <t>0047503662</t>
  </si>
  <si>
    <t>3273024509040001</t>
  </si>
  <si>
    <t>KEBUMEN</t>
  </si>
  <si>
    <t>05/09/2004</t>
  </si>
  <si>
    <t>3273022205110063</t>
  </si>
  <si>
    <t>3273020305790017</t>
  </si>
  <si>
    <t>085871119140</t>
  </si>
  <si>
    <t>JL.CIHAMPELAS NO.73/35-B</t>
  </si>
  <si>
    <t>CIPAGANTI</t>
  </si>
  <si>
    <t>3273025907820006</t>
  </si>
  <si>
    <t>085386888846</t>
  </si>
  <si>
    <t>LEVI ARIANTI</t>
  </si>
  <si>
    <t>0046443199</t>
  </si>
  <si>
    <t>3211154912040003</t>
  </si>
  <si>
    <t>09/12/2004</t>
  </si>
  <si>
    <t>3211151603062853</t>
  </si>
  <si>
    <t>3211150102760010</t>
  </si>
  <si>
    <t>TAMAT SD /SEDERAJAT</t>
  </si>
  <si>
    <t>02/15</t>
  </si>
  <si>
    <t>CIPACING</t>
  </si>
  <si>
    <t>JATI NANGOR</t>
  </si>
  <si>
    <t>3211155906810021</t>
  </si>
  <si>
    <t>NAILA MULKIAH SULTAN WAHAB</t>
  </si>
  <si>
    <t>0049517237</t>
  </si>
  <si>
    <t>3273264301040009</t>
  </si>
  <si>
    <t>03/01/2004</t>
  </si>
  <si>
    <t>3273261110107809</t>
  </si>
  <si>
    <t>01-02-1975</t>
  </si>
  <si>
    <t>3273260102750004</t>
  </si>
  <si>
    <t>085280280440</t>
  </si>
  <si>
    <t>3273266008820002</t>
  </si>
  <si>
    <t>089601292749</t>
  </si>
  <si>
    <t>NAJWA QURAESIN AL ZAHRO</t>
  </si>
  <si>
    <t>0062466450</t>
  </si>
  <si>
    <t>3203056803060001</t>
  </si>
  <si>
    <t>MUBALLIGOH</t>
  </si>
  <si>
    <t>3203051907100022</t>
  </si>
  <si>
    <t>cianjur</t>
  </si>
  <si>
    <t>02/09/1982</t>
  </si>
  <si>
    <t>3203050209820002</t>
  </si>
  <si>
    <t>sltp/sederajat</t>
  </si>
  <si>
    <t>kp.pasirgede</t>
  </si>
  <si>
    <t>mekargalih</t>
  </si>
  <si>
    <t>ciranjang</t>
  </si>
  <si>
    <t>menikah</t>
  </si>
  <si>
    <t>3203056011850001</t>
  </si>
  <si>
    <t>089605218999</t>
  </si>
  <si>
    <t>KP.PASIRGEDE</t>
  </si>
  <si>
    <t>CIRANJANG</t>
  </si>
  <si>
    <t>NENDEN SITI NUR AMANAH</t>
  </si>
  <si>
    <t>0051934983</t>
  </si>
  <si>
    <t>3211187101050003</t>
  </si>
  <si>
    <t>31/01/2005</t>
  </si>
  <si>
    <t>3211182203062388</t>
  </si>
  <si>
    <t>11-05-1959</t>
  </si>
  <si>
    <t>3211181105590005</t>
  </si>
  <si>
    <t>DUSUN SUKASARI</t>
  </si>
  <si>
    <t>3211186906650006</t>
  </si>
  <si>
    <t>TAMAT SD</t>
  </si>
  <si>
    <t>087827963203</t>
  </si>
  <si>
    <t>NENENG SAMROTUSSAADAH</t>
  </si>
  <si>
    <t>0068275619</t>
  </si>
  <si>
    <t>3277036808060001</t>
  </si>
  <si>
    <t>28/08/2006</t>
  </si>
  <si>
    <t>3277031501070059</t>
  </si>
  <si>
    <t>18-08-1978</t>
  </si>
  <si>
    <t>3277031808780026</t>
  </si>
  <si>
    <t>BELUM TAMAT SD</t>
  </si>
  <si>
    <t>3277036204880009</t>
  </si>
  <si>
    <t>085759062153</t>
  </si>
  <si>
    <t>NIZA FISALLIA</t>
  </si>
  <si>
    <t>0063608528</t>
  </si>
  <si>
    <t>3204284101060019</t>
  </si>
  <si>
    <t>01/01/2006</t>
  </si>
  <si>
    <t>12-08-1982</t>
  </si>
  <si>
    <t>KP.RANCAEKEK KULON</t>
  </si>
  <si>
    <t>RANCAEKEK KULON</t>
  </si>
  <si>
    <t>NUR HOLIS</t>
  </si>
  <si>
    <t>0045778173</t>
  </si>
  <si>
    <t>3217106002040010</t>
  </si>
  <si>
    <t>20/02/2004</t>
  </si>
  <si>
    <t>3217101204056418</t>
  </si>
  <si>
    <t>05-03-1960</t>
  </si>
  <si>
    <t>3217100503600017</t>
  </si>
  <si>
    <t xml:space="preserve">KP.GUNUNG DUKUH </t>
  </si>
  <si>
    <t>3217106909640002</t>
  </si>
  <si>
    <t>085723028017</t>
  </si>
  <si>
    <t>PUTRI SALWA KHOERUNISSA</t>
  </si>
  <si>
    <t>0066902711</t>
  </si>
  <si>
    <t>3211176407060003</t>
  </si>
  <si>
    <t>24/07/2006</t>
  </si>
  <si>
    <t>15-12-1979</t>
  </si>
  <si>
    <t>3211171512790004</t>
  </si>
  <si>
    <t>LINGKUNGAN LIO</t>
  </si>
  <si>
    <t>CIPAMEUNGPEUK</t>
  </si>
  <si>
    <t>02/   /1982</t>
  </si>
  <si>
    <t>3211174201820020</t>
  </si>
  <si>
    <t>089646512799</t>
  </si>
  <si>
    <t>RANI SEPTIANI</t>
  </si>
  <si>
    <t>0044687621</t>
  </si>
  <si>
    <t>3204104609040002</t>
  </si>
  <si>
    <t>06/09/2004</t>
  </si>
  <si>
    <t>KAKAK</t>
  </si>
  <si>
    <t>3204101907190009</t>
  </si>
  <si>
    <t>−</t>
  </si>
  <si>
    <t>081322598639</t>
  </si>
  <si>
    <t>3204105311650001</t>
  </si>
  <si>
    <t>089656947147</t>
  </si>
  <si>
    <t>JL.AKASIA IV NO.49. A KOMP.TAMAN BUKIT LAGADAR</t>
  </si>
  <si>
    <t>04/18</t>
  </si>
  <si>
    <t>RESTU PAUZIA LESTARI</t>
  </si>
  <si>
    <t>0039843983/0039843983</t>
  </si>
  <si>
    <t>3203194104030006</t>
  </si>
  <si>
    <t>01/04/2003</t>
  </si>
  <si>
    <t>MUA</t>
  </si>
  <si>
    <t>3203190811055932</t>
  </si>
  <si>
    <t>3203190408630004</t>
  </si>
  <si>
    <t>KP.CIRUMPUT</t>
  </si>
  <si>
    <t>TANGGEUNG</t>
  </si>
  <si>
    <t>3203195507670012</t>
  </si>
  <si>
    <t>082321095950</t>
  </si>
  <si>
    <t>RIFA NURUL SHIFA</t>
  </si>
  <si>
    <t>0056231268</t>
  </si>
  <si>
    <t>3211114610050001</t>
  </si>
  <si>
    <t>06/10/2005</t>
  </si>
  <si>
    <t>3211111903060648</t>
  </si>
  <si>
    <t>3211114612740004</t>
  </si>
  <si>
    <t>085656095193</t>
  </si>
  <si>
    <t>PAGADEN</t>
  </si>
  <si>
    <t>RIKA LISTIA AMANDA</t>
  </si>
  <si>
    <t>0057348548</t>
  </si>
  <si>
    <t>3211105202050004</t>
  </si>
  <si>
    <t>12/02/2005</t>
  </si>
  <si>
    <t>PSIKOLOG, TAHFIDZ</t>
  </si>
  <si>
    <t>3215102909140008</t>
  </si>
  <si>
    <t>3216192105740006</t>
  </si>
  <si>
    <t>KP LEUWEUNG MALANG</t>
  </si>
  <si>
    <t>3215105004790007</t>
  </si>
  <si>
    <t>085722366081</t>
  </si>
  <si>
    <t>DUSUN LANGSEB I</t>
  </si>
  <si>
    <t>KERTARAHARJA</t>
  </si>
  <si>
    <t>PEDES</t>
  </si>
  <si>
    <t>SALMA NUR AULIA ALMAULIDIYYAH</t>
  </si>
  <si>
    <t>3211114205050006</t>
  </si>
  <si>
    <t>02/05/2005</t>
  </si>
  <si>
    <t>3211110601110069</t>
  </si>
  <si>
    <t>10-10-1969</t>
  </si>
  <si>
    <t>3211111010690017</t>
  </si>
  <si>
    <t>PERUM CITRAMAS</t>
  </si>
  <si>
    <t>GUNUNG MANIK</t>
  </si>
  <si>
    <t>27-10-1973</t>
  </si>
  <si>
    <t>3211116710730008</t>
  </si>
  <si>
    <t>081395876305</t>
  </si>
  <si>
    <t>SITI APIPAH</t>
  </si>
  <si>
    <t>0038034566</t>
  </si>
  <si>
    <t>3204461604030002</t>
  </si>
  <si>
    <t>16/04/2003</t>
  </si>
  <si>
    <t>3204461104054096</t>
  </si>
  <si>
    <t>01-01-1956</t>
  </si>
  <si>
    <t>3204460101560029</t>
  </si>
  <si>
    <t>081394534547</t>
  </si>
  <si>
    <t>KP.BUNISARI</t>
  </si>
  <si>
    <t>PAMEUNTASAN</t>
  </si>
  <si>
    <t>01-01-1958</t>
  </si>
  <si>
    <t>3204464101580038</t>
  </si>
  <si>
    <t>SITI FATIMAH MISKA AYUNI</t>
  </si>
  <si>
    <t>0071963319</t>
  </si>
  <si>
    <t>3204164407870003</t>
  </si>
  <si>
    <t>04/07/2007</t>
  </si>
  <si>
    <t>3204160304058011</t>
  </si>
  <si>
    <t>05/06/1960</t>
  </si>
  <si>
    <t>3204160506600002</t>
  </si>
  <si>
    <t>KP. CI JENGKOL</t>
  </si>
  <si>
    <t>24/06/1962</t>
  </si>
  <si>
    <t>3204166406620001</t>
  </si>
  <si>
    <t>SLTP/SD</t>
  </si>
  <si>
    <t>087720486255</t>
  </si>
  <si>
    <t xml:space="preserve">SITI HAMIDAH </t>
  </si>
  <si>
    <t>0053876330</t>
  </si>
  <si>
    <t>3211185605050003</t>
  </si>
  <si>
    <t>DOKTER, PSIKOLOG</t>
  </si>
  <si>
    <t>3211181904100007</t>
  </si>
  <si>
    <t>02-11-1966</t>
  </si>
  <si>
    <t>3211180211660006</t>
  </si>
  <si>
    <t>082317119064</t>
  </si>
  <si>
    <t>DUSUN CISERO</t>
  </si>
  <si>
    <t>10-07-1974</t>
  </si>
  <si>
    <t>3211185007740007</t>
  </si>
  <si>
    <t>082316368991</t>
  </si>
  <si>
    <t>3211184909050001</t>
  </si>
  <si>
    <t>09/09/2005</t>
  </si>
  <si>
    <t>3211182602140002</t>
  </si>
  <si>
    <t>28-09-1981</t>
  </si>
  <si>
    <t>3211102809810006</t>
  </si>
  <si>
    <t>DUSUN SUKAMAJU</t>
  </si>
  <si>
    <t>TRUNAMANGGALA</t>
  </si>
  <si>
    <t>01/08/1981</t>
  </si>
  <si>
    <t>3211184108810008</t>
  </si>
  <si>
    <t>085939418777</t>
  </si>
  <si>
    <t>DUSUN SAWAH LEGA</t>
  </si>
  <si>
    <t>JATI MULYA</t>
  </si>
  <si>
    <t>0033528150</t>
  </si>
  <si>
    <t>3204466807030005</t>
  </si>
  <si>
    <t>21/07/2003</t>
  </si>
  <si>
    <t>3211171205170003</t>
  </si>
  <si>
    <t>04-03-1980</t>
  </si>
  <si>
    <t>3211110403800002</t>
  </si>
  <si>
    <t>085353945551</t>
  </si>
  <si>
    <t>LINK.GENTENG</t>
  </si>
  <si>
    <t>12-01-1980</t>
  </si>
  <si>
    <t>3211115201800002</t>
  </si>
  <si>
    <t>SITI NURSHABRINNA SUBAGJA</t>
  </si>
  <si>
    <t>0057798288</t>
  </si>
  <si>
    <t>3211176610050002</t>
  </si>
  <si>
    <t>26/10/2005</t>
  </si>
  <si>
    <t>3211172605090006</t>
  </si>
  <si>
    <t>03-11-1982</t>
  </si>
  <si>
    <t>3211170311820006</t>
  </si>
  <si>
    <t>DUSUN CIHUNI</t>
  </si>
  <si>
    <t>03-07-1982</t>
  </si>
  <si>
    <t>3211177107820003</t>
  </si>
  <si>
    <t>082216667661</t>
  </si>
  <si>
    <t>SITI SHAFA NURROHMAH</t>
  </si>
  <si>
    <t>0042486137</t>
  </si>
  <si>
    <t>3273135603040003</t>
  </si>
  <si>
    <t>16/03/2004</t>
  </si>
  <si>
    <t>28-07-1964</t>
  </si>
  <si>
    <t>0895383290631</t>
  </si>
  <si>
    <t>JL.KARAPITAN III 107-36A</t>
  </si>
  <si>
    <t>31/05/1974</t>
  </si>
  <si>
    <t>0895336660305</t>
  </si>
  <si>
    <t>UMI SAADAH FIDDAROINI</t>
  </si>
  <si>
    <t>0051393873</t>
  </si>
  <si>
    <t>3204136210050003</t>
  </si>
  <si>
    <t>22/10/2005</t>
  </si>
  <si>
    <t>PENGUSAHA,PSIKOLOG</t>
  </si>
  <si>
    <t>ABUYA</t>
  </si>
  <si>
    <t>3204130309120023</t>
  </si>
  <si>
    <t>15/11/1967</t>
  </si>
  <si>
    <t>3204135511670006</t>
  </si>
  <si>
    <t>081282301125</t>
  </si>
  <si>
    <t>KP.CITEUREUP</t>
  </si>
  <si>
    <t>6-B</t>
  </si>
  <si>
    <t>AGHNI NUR AZKIA</t>
  </si>
  <si>
    <t>0055383197</t>
  </si>
  <si>
    <t>3204105212050003</t>
  </si>
  <si>
    <t>12/12/2005</t>
  </si>
  <si>
    <t>MEMBACA, MENONTON</t>
  </si>
  <si>
    <t>DOKTER, CRAZY RICH</t>
  </si>
  <si>
    <t>3204092804160001</t>
  </si>
  <si>
    <t>3204104604810011</t>
  </si>
  <si>
    <t>085295429253</t>
  </si>
  <si>
    <t>JL.SADANG NO.122</t>
  </si>
  <si>
    <t>AULIA SYIFA RAHMAWATI</t>
  </si>
  <si>
    <t>3211110011040004</t>
  </si>
  <si>
    <t>29/11/2004</t>
  </si>
  <si>
    <t>3211111306120011</t>
  </si>
  <si>
    <t>3211112204700002</t>
  </si>
  <si>
    <t>PERUM CITRA MAS</t>
  </si>
  <si>
    <t>GUNUNGMANIK</t>
  </si>
  <si>
    <t>3211115809720005</t>
  </si>
  <si>
    <t>081224044500</t>
  </si>
  <si>
    <t>AZ ZAHRA AUDINA</t>
  </si>
  <si>
    <t>0042309931</t>
  </si>
  <si>
    <t>3204135201040003</t>
  </si>
  <si>
    <t>12/01/2004</t>
  </si>
  <si>
    <t>3204132009120046</t>
  </si>
  <si>
    <t>3204131211780002</t>
  </si>
  <si>
    <t>3204134407800003</t>
  </si>
  <si>
    <t>0895356523709</t>
  </si>
  <si>
    <t>DINA NUR AGHNIA</t>
  </si>
  <si>
    <t>0064199424</t>
  </si>
  <si>
    <t>3275054206060004</t>
  </si>
  <si>
    <t>02/06/2006</t>
  </si>
  <si>
    <t>PROFESOR</t>
  </si>
  <si>
    <t>3275050808110107</t>
  </si>
  <si>
    <t>3275051810800017</t>
  </si>
  <si>
    <t>BOJONG RAWALUMBU</t>
  </si>
  <si>
    <t>RAWALUMBU</t>
  </si>
  <si>
    <t>3275055404860014</t>
  </si>
  <si>
    <t>081287577989</t>
  </si>
  <si>
    <t>FAHIRA NUR RAHMI</t>
  </si>
  <si>
    <t>3211184611050001</t>
  </si>
  <si>
    <t>06/11/2005</t>
  </si>
  <si>
    <t>3211182103060488</t>
  </si>
  <si>
    <t>3211183107640002</t>
  </si>
  <si>
    <t>LINK.CIPEUTEUY</t>
  </si>
  <si>
    <t>3211184904690005</t>
  </si>
  <si>
    <t>085221999489</t>
  </si>
  <si>
    <t>KANIA PUTRI NABILA</t>
  </si>
  <si>
    <t>0051779477</t>
  </si>
  <si>
    <t>3204164912050001</t>
  </si>
  <si>
    <t>09/12/2005</t>
  </si>
  <si>
    <t>MENONTON, MAIN GAME</t>
  </si>
  <si>
    <t>3204160709120011</t>
  </si>
  <si>
    <t>3204162709740001</t>
  </si>
  <si>
    <t>PERUM LEBAKWANGI ASRI BLOK.D1 NO.38</t>
  </si>
  <si>
    <t>LEBAKWANGI</t>
  </si>
  <si>
    <t>25-12-1977</t>
  </si>
  <si>
    <t>3204166512770004</t>
  </si>
  <si>
    <t>083829565100</t>
  </si>
  <si>
    <t>LEA KANIA SARI</t>
  </si>
  <si>
    <t>0051374064</t>
  </si>
  <si>
    <t>3211114208050003</t>
  </si>
  <si>
    <t>02/08/2005</t>
  </si>
  <si>
    <t>3211111401100006</t>
  </si>
  <si>
    <t>3211111210530004</t>
  </si>
  <si>
    <t>DSN MARIUK</t>
  </si>
  <si>
    <t>MARGALUMU</t>
  </si>
  <si>
    <t>10-04-1981</t>
  </si>
  <si>
    <t>3211115004810004</t>
  </si>
  <si>
    <t>08996917793</t>
  </si>
  <si>
    <t>MARSHA NUR SAFITRI</t>
  </si>
  <si>
    <t>0066546081</t>
  </si>
  <si>
    <t>3211157003060003</t>
  </si>
  <si>
    <t>30/03/2006</t>
  </si>
  <si>
    <t>22-08-1976</t>
  </si>
  <si>
    <t>09-02-1980</t>
  </si>
  <si>
    <t>0895707276800</t>
  </si>
  <si>
    <t>0075742253</t>
  </si>
  <si>
    <t>3203015512070002</t>
  </si>
  <si>
    <t>MENULIS, MEMBACA</t>
  </si>
  <si>
    <t>PSIKOLOG</t>
  </si>
  <si>
    <t>3273151007140008</t>
  </si>
  <si>
    <t>24-09-1979</t>
  </si>
  <si>
    <t>3203012409780005</t>
  </si>
  <si>
    <t>PERUM CIJERAH II BLOK 19 GG.RUKUN ASIH</t>
  </si>
  <si>
    <t>02-09-1982</t>
  </si>
  <si>
    <t>3203014209820002</t>
  </si>
  <si>
    <t>082121006603</t>
  </si>
  <si>
    <t>NAZWA FAUZIAH AMALI</t>
  </si>
  <si>
    <t>0037221257</t>
  </si>
  <si>
    <t>321705607030014</t>
  </si>
  <si>
    <t>16/07/2003</t>
  </si>
  <si>
    <t>MENBACA</t>
  </si>
  <si>
    <t>3217100612070026</t>
  </si>
  <si>
    <t>21-01-1981</t>
  </si>
  <si>
    <t>3217102101810023</t>
  </si>
  <si>
    <t>SLTA-SEDERAJAT</t>
  </si>
  <si>
    <t>KP.CEMPAKA</t>
  </si>
  <si>
    <t>PATARUMAN</t>
  </si>
  <si>
    <t>15-06-1981</t>
  </si>
  <si>
    <t>3217105506810013</t>
  </si>
  <si>
    <t>085282230606</t>
  </si>
  <si>
    <t>NENENG JULAEHA</t>
  </si>
  <si>
    <t>0059197458</t>
  </si>
  <si>
    <t>3273174306040001</t>
  </si>
  <si>
    <t>03/06/2004</t>
  </si>
  <si>
    <t>BERMAIN BULU TANGKIS</t>
  </si>
  <si>
    <t>3273171909109938</t>
  </si>
  <si>
    <t>21-08-1967</t>
  </si>
  <si>
    <t>3273172108670002</t>
  </si>
  <si>
    <t>08907359581</t>
  </si>
  <si>
    <t>GG.BLOK PASANTREN</t>
  </si>
  <si>
    <t>CIBADUYUT</t>
  </si>
  <si>
    <t>13-09-1970</t>
  </si>
  <si>
    <t>3273175309750004</t>
  </si>
  <si>
    <t>NURHALIMAH</t>
  </si>
  <si>
    <t>3217015002050019</t>
  </si>
  <si>
    <t>10/02/2005</t>
  </si>
  <si>
    <t>3217012411070720</t>
  </si>
  <si>
    <t>17-09-1971</t>
  </si>
  <si>
    <t>3217011709710010</t>
  </si>
  <si>
    <t>KP PAMECELAN</t>
  </si>
  <si>
    <t>SUJAJAYA</t>
  </si>
  <si>
    <t>05-08-1975</t>
  </si>
  <si>
    <t>3217014508750032</t>
  </si>
  <si>
    <t>082116016147</t>
  </si>
  <si>
    <t>NURSALSABILA</t>
  </si>
  <si>
    <t>0029895498</t>
  </si>
  <si>
    <t>3273036612020001</t>
  </si>
  <si>
    <t>26/12/2002</t>
  </si>
  <si>
    <t>MENGHIAS WAJAH</t>
  </si>
  <si>
    <t>3273033107104227</t>
  </si>
  <si>
    <t>01-10-1965</t>
  </si>
  <si>
    <t>3273030110650001</t>
  </si>
  <si>
    <t>GG.H.HASAN II</t>
  </si>
  <si>
    <t>10-05-1973</t>
  </si>
  <si>
    <t>3273035005730006</t>
  </si>
  <si>
    <t>089541275768</t>
  </si>
  <si>
    <t>PUTRI MUTIA HANIFAH</t>
  </si>
  <si>
    <t>0020778801</t>
  </si>
  <si>
    <t>3211156711020007</t>
  </si>
  <si>
    <t>07/11/2002</t>
  </si>
  <si>
    <t>PENGUSAHA,DONATUR</t>
  </si>
  <si>
    <t>3211151703060168</t>
  </si>
  <si>
    <t>20-10-1979</t>
  </si>
  <si>
    <t>3211152010790006</t>
  </si>
  <si>
    <t>08990015046</t>
  </si>
  <si>
    <t>DUSUN TARAJU</t>
  </si>
  <si>
    <t>23-03-1982</t>
  </si>
  <si>
    <t>3211156303820012</t>
  </si>
  <si>
    <t>089515405760</t>
  </si>
  <si>
    <t>SABRINA ALAWIYYAH</t>
  </si>
  <si>
    <t>0007244172</t>
  </si>
  <si>
    <t>3273036709000001</t>
  </si>
  <si>
    <t>27/09/2000</t>
  </si>
  <si>
    <t>3273033107100361</t>
  </si>
  <si>
    <t>16-04-1970</t>
  </si>
  <si>
    <t>3273031604700001</t>
  </si>
  <si>
    <t>GG.HASAN II</t>
  </si>
  <si>
    <t>25-12-1970</t>
  </si>
  <si>
    <t>3273036612700001</t>
  </si>
  <si>
    <t>089656963780</t>
  </si>
  <si>
    <t>SALMA PUTRI ARISKA</t>
  </si>
  <si>
    <t>0061166159</t>
  </si>
  <si>
    <t>3204136712060001</t>
  </si>
  <si>
    <t>27/12/2006</t>
  </si>
  <si>
    <t>3204131105110413</t>
  </si>
  <si>
    <t>08-04-1982</t>
  </si>
  <si>
    <t>3204130804820009</t>
  </si>
  <si>
    <t>KP.SINDANGSARI</t>
  </si>
  <si>
    <t>03-07-1983</t>
  </si>
  <si>
    <t>3204134307830007</t>
  </si>
  <si>
    <t>0895358208643</t>
  </si>
  <si>
    <t>SALMA RAZWA SALSABILLAH</t>
  </si>
  <si>
    <t>0044999304</t>
  </si>
  <si>
    <t>3204136012040006</t>
  </si>
  <si>
    <t>20/12/2004</t>
  </si>
  <si>
    <t>3204132305110231</t>
  </si>
  <si>
    <t>28-09-1975</t>
  </si>
  <si>
    <t>3204132809750004</t>
  </si>
  <si>
    <t>KP.MUARA</t>
  </si>
  <si>
    <t>BANJARAN WETAN</t>
  </si>
  <si>
    <t>09-07-1981</t>
  </si>
  <si>
    <t>3204134907810012</t>
  </si>
  <si>
    <t>082320739073</t>
  </si>
  <si>
    <t>SALMA SALSABILA</t>
  </si>
  <si>
    <t>0057031183</t>
  </si>
  <si>
    <t>3273266608050001</t>
  </si>
  <si>
    <t>26/08/2005</t>
  </si>
  <si>
    <t>MENGGAMBAR, MENONTON</t>
  </si>
  <si>
    <t>DESAINER, KOWAD</t>
  </si>
  <si>
    <t>3273262704110002</t>
  </si>
  <si>
    <t>3273260207700006</t>
  </si>
  <si>
    <t>SLTA SEDERAJAT</t>
  </si>
  <si>
    <t>PREANGER REGENCY BLOK C NO.1</t>
  </si>
  <si>
    <t>3273266509750004</t>
  </si>
  <si>
    <t>DIPLOMA IV /STRATA I</t>
  </si>
  <si>
    <t>085221340862</t>
  </si>
  <si>
    <t>SALSABILA APRILLA PUTRI</t>
  </si>
  <si>
    <t>0034509069</t>
  </si>
  <si>
    <t>3273125704030013</t>
  </si>
  <si>
    <t>17/04/2003</t>
  </si>
  <si>
    <t>MOTIVATOR</t>
  </si>
  <si>
    <t>3273122412120043</t>
  </si>
  <si>
    <t>3273121506760020</t>
  </si>
  <si>
    <t>082121466190</t>
  </si>
  <si>
    <t>JL.BABAKAN JATI NO.41</t>
  </si>
  <si>
    <t>BATU NUNGGAL</t>
  </si>
  <si>
    <t>3273125703820015</t>
  </si>
  <si>
    <t>601172805978</t>
  </si>
  <si>
    <t>SITI FATIMAH NUUR FADLIILAH</t>
  </si>
  <si>
    <t>0056524132</t>
  </si>
  <si>
    <t>3211157112040001</t>
  </si>
  <si>
    <t>30/12/2004</t>
  </si>
  <si>
    <t>3211151007080021</t>
  </si>
  <si>
    <t>3211150808730016</t>
  </si>
  <si>
    <t>DUSUN DANGDEUR KULON</t>
  </si>
  <si>
    <t>3211154904830014</t>
  </si>
  <si>
    <t>082115046511</t>
  </si>
  <si>
    <t>SITI HAPSOH</t>
  </si>
  <si>
    <t>0068192410</t>
  </si>
  <si>
    <t>3211166312060001</t>
  </si>
  <si>
    <t>23/12/2006</t>
  </si>
  <si>
    <t>BERCERITA</t>
  </si>
  <si>
    <t>3211182203062402</t>
  </si>
  <si>
    <t>3211182008650004</t>
  </si>
  <si>
    <t>DUSUN SUKA ASIH</t>
  </si>
  <si>
    <t xml:space="preserve">MENIKAH </t>
  </si>
  <si>
    <t>3211185812660004</t>
  </si>
  <si>
    <t>085294892616</t>
  </si>
  <si>
    <t>SITI NAZIAH SHOLIHAH</t>
  </si>
  <si>
    <t>0071825720</t>
  </si>
  <si>
    <t>3211185606070003</t>
  </si>
  <si>
    <t>16/06/2007</t>
  </si>
  <si>
    <t>3211182103063211</t>
  </si>
  <si>
    <t>3211230112570006</t>
  </si>
  <si>
    <t>DUSUN CIWARU</t>
  </si>
  <si>
    <t>3211184812680005</t>
  </si>
  <si>
    <t>085320657977</t>
  </si>
  <si>
    <t>DUSUN SINDANGJAYA</t>
  </si>
  <si>
    <t>SITI NURAINI</t>
  </si>
  <si>
    <t>0069685883</t>
  </si>
  <si>
    <t>3204164510060001</t>
  </si>
  <si>
    <t>05/10/2006</t>
  </si>
  <si>
    <t>3204160404057234</t>
  </si>
  <si>
    <t>3204160808700002</t>
  </si>
  <si>
    <t>KP PASIRJATI</t>
  </si>
  <si>
    <t>3204164106750002</t>
  </si>
  <si>
    <t>08523972804</t>
  </si>
  <si>
    <t>SITI RAHMAH MAIMUNAH</t>
  </si>
  <si>
    <t>0054907368</t>
  </si>
  <si>
    <t>3211155309050006</t>
  </si>
  <si>
    <t>13/09/2005</t>
  </si>
  <si>
    <t>3211151906070185</t>
  </si>
  <si>
    <t>3211152502740006</t>
  </si>
  <si>
    <t>AKADEMI DIPLOMA III / SARJANA MUDA</t>
  </si>
  <si>
    <t>3211156402830014</t>
  </si>
  <si>
    <t>082216178281</t>
  </si>
  <si>
    <t>0068489195</t>
  </si>
  <si>
    <t>3204154204060001</t>
  </si>
  <si>
    <t>02/04/2006</t>
  </si>
  <si>
    <t>CHEFF</t>
  </si>
  <si>
    <t>3204150407120007</t>
  </si>
  <si>
    <t>3204151004810002</t>
  </si>
  <si>
    <t>SLTP-SEDERAJAT</t>
  </si>
  <si>
    <t>KP.RANCAMANYAR</t>
  </si>
  <si>
    <t>04/10</t>
  </si>
  <si>
    <t>MARGAMUKTI</t>
  </si>
  <si>
    <t>10-01-1982</t>
  </si>
  <si>
    <t>3204155001820003</t>
  </si>
  <si>
    <t>TAMAT SD-SEDERAJAT</t>
  </si>
  <si>
    <t>081222142157</t>
  </si>
  <si>
    <t>SITI SAKINAH</t>
  </si>
  <si>
    <t>0065876192</t>
  </si>
  <si>
    <t>3211185201060002</t>
  </si>
  <si>
    <t>12/07/2006</t>
  </si>
  <si>
    <t>GURU AGAMA</t>
  </si>
  <si>
    <t>3211180501100008</t>
  </si>
  <si>
    <t>3211181506690006</t>
  </si>
  <si>
    <t>LINGK.CIPADUNG</t>
  </si>
  <si>
    <t>3211186404700006</t>
  </si>
  <si>
    <t>087899418331</t>
  </si>
  <si>
    <t>SITI SANIAH NURHASANAH S</t>
  </si>
  <si>
    <t>0067027058</t>
  </si>
  <si>
    <t>3211165301060002</t>
  </si>
  <si>
    <t>13/01/2006</t>
  </si>
  <si>
    <t>3211162003067021</t>
  </si>
  <si>
    <t>3211160911780001</t>
  </si>
  <si>
    <t>DUSUN CIBULAKAN</t>
  </si>
  <si>
    <t>02/10</t>
  </si>
  <si>
    <t>PASIR BIRU</t>
  </si>
  <si>
    <t>3211164803840003</t>
  </si>
  <si>
    <t>SD-SEDERAJAT</t>
  </si>
  <si>
    <t>085295682893</t>
  </si>
  <si>
    <t>WARDATTUN NISA</t>
  </si>
  <si>
    <t>0037559983</t>
  </si>
  <si>
    <t>3206366607030001</t>
  </si>
  <si>
    <t>26/07/2003</t>
  </si>
  <si>
    <t>3206361304120021</t>
  </si>
  <si>
    <t>3206360710720001</t>
  </si>
  <si>
    <t>3206366202840001</t>
  </si>
  <si>
    <t>085216564365</t>
  </si>
  <si>
    <t>ZAHRA NAZILATUR ROHMAH</t>
  </si>
  <si>
    <t>0072529982</t>
  </si>
  <si>
    <t>3213295407070002</t>
  </si>
  <si>
    <t>14/06/2007</t>
  </si>
  <si>
    <t>3213290510120036</t>
  </si>
  <si>
    <t>12-12-1982</t>
  </si>
  <si>
    <t>3213291212820001</t>
  </si>
  <si>
    <t>KP.CIWIRANGGA</t>
  </si>
  <si>
    <t>11/04</t>
  </si>
  <si>
    <t>SANCA</t>
  </si>
  <si>
    <t>CIATER</t>
  </si>
  <si>
    <t>25-06-2015</t>
  </si>
  <si>
    <t>3213296506840002</t>
  </si>
  <si>
    <t>083195983458</t>
  </si>
  <si>
    <t>Tamhidi</t>
  </si>
  <si>
    <t>0116792323</t>
  </si>
  <si>
    <t>3204106903110004</t>
  </si>
  <si>
    <t>Kuli Pabrik</t>
  </si>
  <si>
    <t>KP.PASIR KELAPA</t>
  </si>
  <si>
    <t>001/010</t>
  </si>
  <si>
    <t>Iis Sumarni</t>
  </si>
  <si>
    <t>tidak diketahui</t>
  </si>
  <si>
    <t>FIFIN FAHQUL JANNAH</t>
  </si>
  <si>
    <t>WONOGIRI</t>
  </si>
  <si>
    <t>331284607980001</t>
  </si>
  <si>
    <t>0121167139</t>
  </si>
  <si>
    <t>3204255510110004</t>
  </si>
  <si>
    <t>Seniman/Artis</t>
  </si>
  <si>
    <t>3204250905110083</t>
  </si>
  <si>
    <t>Muchtar</t>
  </si>
  <si>
    <t>3204252609730011</t>
  </si>
  <si>
    <t>Buruh harian lepas</t>
  </si>
  <si>
    <t>Kp. Babakan Stasion Cicalengka</t>
  </si>
  <si>
    <t>Panenjoan</t>
  </si>
  <si>
    <t>Cicalengka</t>
  </si>
  <si>
    <t>Lilis Suniawati</t>
  </si>
  <si>
    <t>3204254406750016</t>
  </si>
  <si>
    <t>0123367158</t>
  </si>
  <si>
    <t>3204164506120004</t>
  </si>
  <si>
    <t>3204160404051631</t>
  </si>
  <si>
    <t>3204162706810003</t>
  </si>
  <si>
    <t>083824148044</t>
  </si>
  <si>
    <t>Kp. Dangdeur</t>
  </si>
  <si>
    <t>Rancakole</t>
  </si>
  <si>
    <t>Arjasari</t>
  </si>
  <si>
    <t>3204164306820020</t>
  </si>
  <si>
    <t>Pengabdian</t>
  </si>
  <si>
    <t xml:space="preserve">ASTI NUR ASYIFA </t>
  </si>
  <si>
    <t>3211115203040004</t>
  </si>
  <si>
    <t>12/03/2004</t>
  </si>
  <si>
    <t>TRAVELING, MENONTON</t>
  </si>
  <si>
    <t xml:space="preserve">ORANG TUA </t>
  </si>
  <si>
    <t>085213925962</t>
  </si>
  <si>
    <t>2,5 JUTA-3 JUTA</t>
  </si>
  <si>
    <t>082123440859</t>
  </si>
  <si>
    <t>DAVINNA ASTRID CHANDRA</t>
  </si>
  <si>
    <t>0056663997</t>
  </si>
  <si>
    <t>3273066406060003</t>
  </si>
  <si>
    <t>24/06/2005</t>
  </si>
  <si>
    <t>MASUK SYURGA</t>
  </si>
  <si>
    <t>3273061506120007</t>
  </si>
  <si>
    <t>3273062502670006</t>
  </si>
  <si>
    <t>085247643227</t>
  </si>
  <si>
    <t>JL.RD.GANDA II NO.49</t>
  </si>
  <si>
    <t>3273066706870006</t>
  </si>
  <si>
    <t>081321204007</t>
  </si>
  <si>
    <t>FITRI AULIA RAMDANI</t>
  </si>
  <si>
    <t>0043109590</t>
  </si>
  <si>
    <t>3204285610040005</t>
  </si>
  <si>
    <t>3204280407140006</t>
  </si>
  <si>
    <t>3204280111790004</t>
  </si>
  <si>
    <t>089652318409</t>
  </si>
  <si>
    <t xml:space="preserve">KP CIPARANJE </t>
  </si>
  <si>
    <t>3204285404820005</t>
  </si>
  <si>
    <t>089662007416</t>
  </si>
  <si>
    <t>KP CIPARANJE</t>
  </si>
  <si>
    <t>HASNA HALIMATU SA'DIAH</t>
  </si>
  <si>
    <t>0049941403</t>
  </si>
  <si>
    <t>3211154800040001</t>
  </si>
  <si>
    <t>08/06/2004</t>
  </si>
  <si>
    <t>REBAHAN</t>
  </si>
  <si>
    <t>3211151603064444</t>
  </si>
  <si>
    <t>3211151110700002</t>
  </si>
  <si>
    <t>089697600937</t>
  </si>
  <si>
    <t>JL KOLONEL AHMAD SYAM</t>
  </si>
  <si>
    <t>3211155408700008</t>
  </si>
  <si>
    <t xml:space="preserve">JAWA BARAT  </t>
  </si>
  <si>
    <t>LAILAH NURAZIZAH</t>
  </si>
  <si>
    <t>0047878222</t>
  </si>
  <si>
    <t>3211116611040003</t>
  </si>
  <si>
    <t>26/11/2004</t>
  </si>
  <si>
    <t>3211110106070193</t>
  </si>
  <si>
    <t>3211111909790012</t>
  </si>
  <si>
    <t>DSN PAGADEN</t>
  </si>
  <si>
    <t>3211114605820010</t>
  </si>
  <si>
    <t>SD SEDERAJAT</t>
  </si>
  <si>
    <t>085860756582</t>
  </si>
  <si>
    <t>LINADA ROUDHOTUL MARIFAH</t>
  </si>
  <si>
    <t>0039108474</t>
  </si>
  <si>
    <t>3205035804030001</t>
  </si>
  <si>
    <t>18/04/2004</t>
  </si>
  <si>
    <t>BERDZIKIR PAGI SIANG MALAM</t>
  </si>
  <si>
    <t>3205031611070724</t>
  </si>
  <si>
    <t>3205031909730001</t>
  </si>
  <si>
    <t>KP.PANGKALAN</t>
  </si>
  <si>
    <t>SINDANGRATU</t>
  </si>
  <si>
    <t>WANARAJA</t>
  </si>
  <si>
    <t>3205035407810001</t>
  </si>
  <si>
    <t>082121008522</t>
  </si>
  <si>
    <t>KP PANGKALAN</t>
  </si>
  <si>
    <t>LITA ZAHRA AULIA</t>
  </si>
  <si>
    <t>3211174508050003</t>
  </si>
  <si>
    <t>05/08/2005</t>
  </si>
  <si>
    <t>3211172103060146</t>
  </si>
  <si>
    <t>3211172604600002</t>
  </si>
  <si>
    <t>DUSUN MARGACINTA</t>
  </si>
  <si>
    <t>3211174909630007</t>
  </si>
  <si>
    <t>085314003900</t>
  </si>
  <si>
    <t>MELANI NUR HALIMAH TUSADYAH</t>
  </si>
  <si>
    <t>0049830300</t>
  </si>
  <si>
    <t>3211135709040001</t>
  </si>
  <si>
    <t>17/09/2004</t>
  </si>
  <si>
    <t>3211131606070006</t>
  </si>
  <si>
    <t>3211132905840002</t>
  </si>
  <si>
    <t>DSN BOMA</t>
  </si>
  <si>
    <t>3211137008850004</t>
  </si>
  <si>
    <t>085759174418</t>
  </si>
  <si>
    <t>NAZWA ALIZA SOPANDI</t>
  </si>
  <si>
    <t>0043686375</t>
  </si>
  <si>
    <t>3217064912040007</t>
  </si>
  <si>
    <t>OLAHRAGA, TRAVELING</t>
  </si>
  <si>
    <t>3217063008051039</t>
  </si>
  <si>
    <t>3217061412760005</t>
  </si>
  <si>
    <t>082112219905</t>
  </si>
  <si>
    <t>PERUM JATIHURIP BLOK 7</t>
  </si>
  <si>
    <t>3217066205800012</t>
  </si>
  <si>
    <t>082298099406</t>
  </si>
  <si>
    <t>NUR ULYA SHOPARIYYAH</t>
  </si>
  <si>
    <t>0001174085</t>
  </si>
  <si>
    <t>3204385705000004</t>
  </si>
  <si>
    <t>17/05/2000</t>
  </si>
  <si>
    <t>PELANCONG</t>
  </si>
  <si>
    <t>3204381203052641</t>
  </si>
  <si>
    <t>3204381202670001</t>
  </si>
  <si>
    <t>DIPLOMA IV/STRATA 1</t>
  </si>
  <si>
    <t>08975007187</t>
  </si>
  <si>
    <t>KP NAGRAK</t>
  </si>
  <si>
    <t>MARGAMULYA</t>
  </si>
  <si>
    <t>3204386710760003</t>
  </si>
  <si>
    <t>SLTA/SEDRAJAT</t>
  </si>
  <si>
    <t>KP.CUKUKULU</t>
  </si>
  <si>
    <t>CISANDE</t>
  </si>
  <si>
    <t>CICANTAYAN</t>
  </si>
  <si>
    <t>RAHMATIA ASRI SHOLEHAH</t>
  </si>
  <si>
    <t>0058877067</t>
  </si>
  <si>
    <t>3211157101050001</t>
  </si>
  <si>
    <t>3211110702120007</t>
  </si>
  <si>
    <t>3211150202790021</t>
  </si>
  <si>
    <t>085223914773</t>
  </si>
  <si>
    <t>DUSUN CIKANDANG</t>
  </si>
  <si>
    <t>CINANJUNG</t>
  </si>
  <si>
    <t>3211156302840014</t>
  </si>
  <si>
    <t>089603378474</t>
  </si>
  <si>
    <t>RESA KOMALA</t>
  </si>
  <si>
    <t>0020718238</t>
  </si>
  <si>
    <t>3211144606020006</t>
  </si>
  <si>
    <t>06/06/2002</t>
  </si>
  <si>
    <t>3211142003060838</t>
  </si>
  <si>
    <t>3211140502700002</t>
  </si>
  <si>
    <t>3211144308830008</t>
  </si>
  <si>
    <t>082127475270</t>
  </si>
  <si>
    <t>SITI MUTMAINAH</t>
  </si>
  <si>
    <t>0036062897</t>
  </si>
  <si>
    <t>3210016208040001</t>
  </si>
  <si>
    <t>29/08/2004</t>
  </si>
  <si>
    <t>3210011007070028</t>
  </si>
  <si>
    <t>3210010906780001</t>
  </si>
  <si>
    <t>082318233230</t>
  </si>
  <si>
    <t>SUKAPULANG</t>
  </si>
  <si>
    <t>KEPUH</t>
  </si>
  <si>
    <t>LEMAHSUGIH</t>
  </si>
  <si>
    <t>3210014710850001</t>
  </si>
  <si>
    <t>082318233203</t>
  </si>
  <si>
    <t xml:space="preserve">SITI NUR KHODIJAH </t>
  </si>
  <si>
    <t>0054284152</t>
  </si>
  <si>
    <t>3277015301050002</t>
  </si>
  <si>
    <t>13/01/2005</t>
  </si>
  <si>
    <t>ILMUWAN</t>
  </si>
  <si>
    <t>3277013110061547</t>
  </si>
  <si>
    <t>3277012809620001</t>
  </si>
  <si>
    <t>085222534590</t>
  </si>
  <si>
    <t>JLN FOKER 3 06</t>
  </si>
  <si>
    <t>03/23</t>
  </si>
  <si>
    <t>MELONG</t>
  </si>
  <si>
    <t xml:space="preserve"> CIMAHI</t>
  </si>
  <si>
    <t>3277016112690001</t>
  </si>
  <si>
    <t>085624389612</t>
  </si>
  <si>
    <t>SYIFA KHOIRUNISA</t>
  </si>
  <si>
    <t>0043985598</t>
  </si>
  <si>
    <t>3211174309080001</t>
  </si>
  <si>
    <t>29/12/2004</t>
  </si>
  <si>
    <t>MENULIS, MENARI</t>
  </si>
  <si>
    <t>3211171009080018</t>
  </si>
  <si>
    <t>3211170605750011</t>
  </si>
  <si>
    <t>3 JUTA</t>
  </si>
  <si>
    <t>LINGKUNGAN BURUJUL</t>
  </si>
  <si>
    <t>03/16</t>
  </si>
  <si>
    <t>3211174802820018</t>
  </si>
  <si>
    <t>085220088266</t>
  </si>
  <si>
    <t>TAZKIA RAHMANIA MAULIDI</t>
  </si>
  <si>
    <t>0063398189</t>
  </si>
  <si>
    <t>3204122606760015</t>
  </si>
  <si>
    <t>10/04/2006</t>
  </si>
  <si>
    <t>MEMBACA, MENULIS, MENGGAMBAR</t>
  </si>
  <si>
    <t>3204121610060019</t>
  </si>
  <si>
    <t>AKADEMI/DIPLOMA III SARJANA MUDA</t>
  </si>
  <si>
    <t>CI GURIANG HILIR</t>
  </si>
  <si>
    <t>CANGKUANG WETAN</t>
  </si>
  <si>
    <t>DAYEUHKOLOT</t>
  </si>
  <si>
    <t>3204124210780005</t>
  </si>
  <si>
    <t>08972051821</t>
  </si>
  <si>
    <t>DAYEUH KOLOT</t>
  </si>
  <si>
    <t>ZAHRA NURULQOLBI</t>
  </si>
  <si>
    <t>0055478147</t>
  </si>
  <si>
    <t>3204135411050004</t>
  </si>
  <si>
    <t>14/11/2005</t>
  </si>
  <si>
    <t xml:space="preserve">MEMBACA,MENULIS </t>
  </si>
  <si>
    <t>KAKEK</t>
  </si>
  <si>
    <t>3204130912120015</t>
  </si>
  <si>
    <t>Purwanto</t>
  </si>
  <si>
    <t>Bantul</t>
  </si>
  <si>
    <t>340207240180000</t>
  </si>
  <si>
    <t>SMK</t>
  </si>
  <si>
    <t>085740216061</t>
  </si>
  <si>
    <t>MANGIR TENGAH RT 03 SENDANGSARI PAJANGAN BANTUL DIY 55751</t>
  </si>
  <si>
    <t>03/</t>
  </si>
  <si>
    <t>MANGGIR TENGAH</t>
  </si>
  <si>
    <t>SENDANGSARI</t>
  </si>
  <si>
    <t xml:space="preserve">PAJANGKALAN BANTUL </t>
  </si>
  <si>
    <t>YOGYAKARTA</t>
  </si>
  <si>
    <t>Sudah Meninggal</t>
  </si>
  <si>
    <t>Waqof</t>
  </si>
  <si>
    <t>0109964464</t>
  </si>
  <si>
    <t>3211186712100002</t>
  </si>
  <si>
    <t>27/12/2010</t>
  </si>
  <si>
    <t>3211182103063463</t>
  </si>
  <si>
    <t>3211180606790006</t>
  </si>
  <si>
    <t>0811220151</t>
  </si>
  <si>
    <t>LING KERTARAHARJA NO 04</t>
  </si>
  <si>
    <t>3211185605790003</t>
  </si>
  <si>
    <t/>
  </si>
  <si>
    <t>3273045306070002</t>
  </si>
  <si>
    <t>23/06/2007</t>
  </si>
  <si>
    <t>3273040308109489</t>
  </si>
  <si>
    <t>3273040506730010</t>
  </si>
  <si>
    <t>SLTP /SEDERAJAT</t>
  </si>
  <si>
    <t>JL.KOPO CITARIK BARAT</t>
  </si>
  <si>
    <t>15/05/1979</t>
  </si>
  <si>
    <t>3273045505790002</t>
  </si>
  <si>
    <t>0093600402</t>
  </si>
  <si>
    <t>3217026504090001</t>
  </si>
  <si>
    <t>25/04/2009</t>
  </si>
  <si>
    <t>MAIN MUSIK</t>
  </si>
  <si>
    <t>3217021703080011</t>
  </si>
  <si>
    <t>3217021707740005</t>
  </si>
  <si>
    <t>083153930760</t>
  </si>
  <si>
    <t>KP.PANGSOR</t>
  </si>
  <si>
    <t>CIGUGUR GIRANG</t>
  </si>
  <si>
    <t>3217025310840004</t>
  </si>
  <si>
    <t>083153930706</t>
  </si>
  <si>
    <t>0094785960</t>
  </si>
  <si>
    <t>3204165704090003</t>
  </si>
  <si>
    <t>3204162209060001</t>
  </si>
  <si>
    <t>3204161210570007</t>
  </si>
  <si>
    <t>085723470520</t>
  </si>
  <si>
    <t xml:space="preserve">KP KADUMANIS </t>
  </si>
  <si>
    <t>BAROS</t>
  </si>
  <si>
    <t>3204165007640007</t>
  </si>
  <si>
    <t>3204057011060006</t>
  </si>
  <si>
    <t>30/11/2006</t>
  </si>
  <si>
    <t>3204281402190024</t>
  </si>
  <si>
    <t>27-10-1980</t>
  </si>
  <si>
    <t>3204052710800001</t>
  </si>
  <si>
    <t>RANCABANGO</t>
  </si>
  <si>
    <t>TEGAL SUMEDANG</t>
  </si>
  <si>
    <t>3204054105850001</t>
  </si>
  <si>
    <t>0046150914</t>
  </si>
  <si>
    <t>3211175205040002</t>
  </si>
  <si>
    <t>12/05/2004</t>
  </si>
  <si>
    <t>3211170207070068</t>
  </si>
  <si>
    <t>3211170909760001</t>
  </si>
  <si>
    <t>BABAKAN REGOL</t>
  </si>
  <si>
    <t>SUKA JAYA</t>
  </si>
  <si>
    <t>20/O7/1984</t>
  </si>
  <si>
    <t>3211176007840012</t>
  </si>
  <si>
    <t>081222626283</t>
  </si>
  <si>
    <t>0119403439</t>
  </si>
  <si>
    <t>3204144803110003</t>
  </si>
  <si>
    <t>08/03/2011</t>
  </si>
  <si>
    <t>3204142103110008</t>
  </si>
  <si>
    <t>3204140903890001</t>
  </si>
  <si>
    <t>14-10-1989</t>
  </si>
  <si>
    <t>3204145410890008</t>
  </si>
  <si>
    <t>SYARIFATUSHOFIAH YUMNA MURODAH</t>
  </si>
  <si>
    <t>0052002745</t>
  </si>
  <si>
    <t>3211185601050004</t>
  </si>
  <si>
    <t>16/01/2005</t>
  </si>
  <si>
    <t>3211181410100003</t>
  </si>
  <si>
    <t>3211180311790004</t>
  </si>
  <si>
    <t>LINGK.MARGAJAYA</t>
  </si>
  <si>
    <t>3211184904830014</t>
  </si>
  <si>
    <t>082128548452</t>
  </si>
  <si>
    <t>0088731694</t>
  </si>
  <si>
    <t>3217086403080001</t>
  </si>
  <si>
    <t>24/03/2008</t>
  </si>
  <si>
    <t>3217080708120062</t>
  </si>
  <si>
    <t>3217080105800032</t>
  </si>
  <si>
    <t>3217084601820029</t>
  </si>
  <si>
    <t>0115401560</t>
  </si>
  <si>
    <t>3204344602120002</t>
  </si>
  <si>
    <t>3204342410120021</t>
  </si>
  <si>
    <t>Aman yogi rahman</t>
  </si>
  <si>
    <t>3204341009790002</t>
  </si>
  <si>
    <t>081220344545</t>
  </si>
  <si>
    <t>Kp paneureusan</t>
  </si>
  <si>
    <t>Langensari</t>
  </si>
  <si>
    <t>3204345912850002</t>
  </si>
  <si>
    <t>085659497816</t>
  </si>
  <si>
    <t>Paneureusan</t>
  </si>
  <si>
    <t>AMELIA SITI AWALIAH</t>
  </si>
  <si>
    <t>0078301429</t>
  </si>
  <si>
    <t>3211146907070003</t>
  </si>
  <si>
    <t>29/07/2007</t>
  </si>
  <si>
    <t>3211142607070009</t>
  </si>
  <si>
    <t>3211142505800006</t>
  </si>
  <si>
    <t>DUSUN BANGKIR</t>
  </si>
  <si>
    <t>3211145505860007</t>
  </si>
  <si>
    <t>SLTP/SEDERAT</t>
  </si>
  <si>
    <t xml:space="preserve">Andina Nurfadillah </t>
  </si>
  <si>
    <t>0047569192</t>
  </si>
  <si>
    <t>3211185408040001</t>
  </si>
  <si>
    <t>14/08/2004</t>
  </si>
  <si>
    <t>3211181606070021</t>
  </si>
  <si>
    <t>05/01/1973</t>
  </si>
  <si>
    <t>3211180501730014</t>
  </si>
  <si>
    <t>DUSUN KADUPUGUR</t>
  </si>
  <si>
    <t>17/04/1982</t>
  </si>
  <si>
    <t>3211185704820014</t>
  </si>
  <si>
    <t>0096751232</t>
  </si>
  <si>
    <t>3210195203090021</t>
  </si>
  <si>
    <t>3210192404120017</t>
  </si>
  <si>
    <t>Iing Ohing Fitrohim</t>
  </si>
  <si>
    <t>3210190112690101</t>
  </si>
  <si>
    <t>082348505033</t>
  </si>
  <si>
    <t>Blok Linggawangi</t>
  </si>
  <si>
    <t>waringin</t>
  </si>
  <si>
    <t>palasah</t>
  </si>
  <si>
    <t>majalengka</t>
  </si>
  <si>
    <t>Uki Rukilah</t>
  </si>
  <si>
    <t>3210195405780001</t>
  </si>
  <si>
    <t>0093838874</t>
  </si>
  <si>
    <t>3273165611090004</t>
  </si>
  <si>
    <t>16/11/2009</t>
  </si>
  <si>
    <t>EYANG DAN PAMAN</t>
  </si>
  <si>
    <t>3273160210140013</t>
  </si>
  <si>
    <t>3273164505850015</t>
  </si>
  <si>
    <t>GG KARAMAT</t>
  </si>
  <si>
    <t>CICAHEUM</t>
  </si>
  <si>
    <t>PAMAN</t>
  </si>
  <si>
    <t>DENI SETIAWAN</t>
  </si>
  <si>
    <t>29/06/1981</t>
  </si>
  <si>
    <t>3273162906810003</t>
  </si>
  <si>
    <t>GG.KERAMAT</t>
  </si>
  <si>
    <t>AZIZAH HAFIZATUL AEN</t>
  </si>
  <si>
    <t>0047533407</t>
  </si>
  <si>
    <t>3216194312040001</t>
  </si>
  <si>
    <t>03/12/2004</t>
  </si>
  <si>
    <t>3216190404074102</t>
  </si>
  <si>
    <t>3216190210690002</t>
  </si>
  <si>
    <t>SUKA RESMI</t>
  </si>
  <si>
    <t>17530</t>
  </si>
  <si>
    <t>3216196112740001</t>
  </si>
  <si>
    <t>AZKA SALSABILA</t>
  </si>
  <si>
    <t>0009170754</t>
  </si>
  <si>
    <t>3204057108040001</t>
  </si>
  <si>
    <t>31/08/2004</t>
  </si>
  <si>
    <t>ORANG NYA BELUM KE PONDOK LAGI</t>
  </si>
  <si>
    <t>3204052007120030</t>
  </si>
  <si>
    <t>3204050705730002</t>
  </si>
  <si>
    <t>KP.CIJAMBE</t>
  </si>
  <si>
    <t>3204055510730002</t>
  </si>
  <si>
    <t>081286252552</t>
  </si>
  <si>
    <t>0109453163</t>
  </si>
  <si>
    <t>1208025306100001</t>
  </si>
  <si>
    <t>SAHKUDA BAYU</t>
  </si>
  <si>
    <t>13/06/2010</t>
  </si>
  <si>
    <t>1208021407100011</t>
  </si>
  <si>
    <t>1208020405660002</t>
  </si>
  <si>
    <t>HUTA III SAHKUDA BAYU</t>
  </si>
  <si>
    <t>GUNUNG MALELA</t>
  </si>
  <si>
    <t>SIMALUNGUN</t>
  </si>
  <si>
    <t>SUMATERA UTARA</t>
  </si>
  <si>
    <t>1208027011750002</t>
  </si>
  <si>
    <t>DEVI RINDIANI</t>
  </si>
  <si>
    <t>3273235804010001</t>
  </si>
  <si>
    <t>18/04/2001</t>
  </si>
  <si>
    <t>3273230210102299</t>
  </si>
  <si>
    <t>3273231611730003</t>
  </si>
  <si>
    <t>RANCALOA</t>
  </si>
  <si>
    <t>082127468504</t>
  </si>
  <si>
    <t>0091913594</t>
  </si>
  <si>
    <t>3273304508090001</t>
  </si>
  <si>
    <t>05/08/2009</t>
  </si>
  <si>
    <t>3273301510107953</t>
  </si>
  <si>
    <t>3273301511690002</t>
  </si>
  <si>
    <t>JL. AH. NASUTION SUKAWANGI 2/171</t>
  </si>
  <si>
    <t>PASIR IMPUN</t>
  </si>
  <si>
    <t>3273304201720004</t>
  </si>
  <si>
    <t xml:space="preserve">FITRIA SUPRIATIN </t>
  </si>
  <si>
    <t>3204174610060002</t>
  </si>
  <si>
    <t>06/10/2006</t>
  </si>
  <si>
    <t>3204171806140012</t>
  </si>
  <si>
    <t>3204177004670003</t>
  </si>
  <si>
    <t>KP.CAMPAKA</t>
  </si>
  <si>
    <t>CAMPAKMULYA</t>
  </si>
  <si>
    <t>0045999672</t>
  </si>
  <si>
    <t>3205044504040004</t>
  </si>
  <si>
    <t>08/04/2004</t>
  </si>
  <si>
    <t>3205042311070348</t>
  </si>
  <si>
    <t>3205041506700002</t>
  </si>
  <si>
    <t>KP.CIKENDI</t>
  </si>
  <si>
    <t xml:space="preserve">TAROGONG KALER </t>
  </si>
  <si>
    <t>3205044905740003</t>
  </si>
  <si>
    <t xml:space="preserve">Ismi Putri Nur Azizah </t>
  </si>
  <si>
    <t>0088180854</t>
  </si>
  <si>
    <t>3277014501080005</t>
  </si>
  <si>
    <t>05/01/2008</t>
  </si>
  <si>
    <t>3277010905120012</t>
  </si>
  <si>
    <t>FIRMAN SUHERLI</t>
  </si>
  <si>
    <t>GG H ARSAD</t>
  </si>
  <si>
    <t>04/24</t>
  </si>
  <si>
    <t>12/06/1980</t>
  </si>
  <si>
    <t>3277015206800042</t>
  </si>
  <si>
    <t>03/03/1984</t>
  </si>
  <si>
    <t>3277010303840013</t>
  </si>
  <si>
    <t>3217014506110004</t>
  </si>
  <si>
    <t>3217012812120024</t>
  </si>
  <si>
    <t>Hendi suryana</t>
  </si>
  <si>
    <t>Hendi Suryana</t>
  </si>
  <si>
    <t>3217010102880016</t>
  </si>
  <si>
    <t>Kp pasirwangi</t>
  </si>
  <si>
    <t>RT 04 RW 11</t>
  </si>
  <si>
    <t>Gudang Kahuripan</t>
  </si>
  <si>
    <t>Lembang</t>
  </si>
  <si>
    <t>Tita Sari</t>
  </si>
  <si>
    <t>3217016610920006</t>
  </si>
  <si>
    <t>3204460904070004</t>
  </si>
  <si>
    <t>13/04/2009</t>
  </si>
  <si>
    <t>3204455304090004</t>
  </si>
  <si>
    <t>17/05/1976</t>
  </si>
  <si>
    <t>3204451705760003</t>
  </si>
  <si>
    <t>KMP CIHARUMAN</t>
  </si>
  <si>
    <t>17/05/1983</t>
  </si>
  <si>
    <t>3204455705830001</t>
  </si>
  <si>
    <t>0122048820</t>
  </si>
  <si>
    <t>3204344503120002</t>
  </si>
  <si>
    <t>3204341104140009</t>
  </si>
  <si>
    <t>Dedi Hariwijaya</t>
  </si>
  <si>
    <t>Dedi hariwijaya</t>
  </si>
  <si>
    <t>3273120109660004</t>
  </si>
  <si>
    <t>Perdagangan</t>
  </si>
  <si>
    <t>0895340077500</t>
  </si>
  <si>
    <t>04/011</t>
  </si>
  <si>
    <t>3204346104860010</t>
  </si>
  <si>
    <t>089515604373</t>
  </si>
  <si>
    <t>0013859410</t>
  </si>
  <si>
    <t>3211184505010007</t>
  </si>
  <si>
    <t>05/05/2001</t>
  </si>
  <si>
    <t>PENGUSAHA,GURU</t>
  </si>
  <si>
    <t>KAKA,BAPA</t>
  </si>
  <si>
    <t>3211182103066768</t>
  </si>
  <si>
    <t>3211180201580003</t>
  </si>
  <si>
    <t>089609906112</t>
  </si>
  <si>
    <t>SUKAHURIP</t>
  </si>
  <si>
    <t>3211184606630007</t>
  </si>
  <si>
    <t>NAJWA RAHMATUL INTAN</t>
  </si>
  <si>
    <t>0075791827</t>
  </si>
  <si>
    <t>3273225209070002</t>
  </si>
  <si>
    <t>12/09/2007</t>
  </si>
  <si>
    <t>3273230504190009</t>
  </si>
  <si>
    <t>15-03-1965</t>
  </si>
  <si>
    <t>3273221503650003</t>
  </si>
  <si>
    <t>JL.SWADAYA</t>
  </si>
  <si>
    <t>3273224706810003</t>
  </si>
  <si>
    <t>Nawaal Alfi Syahrani</t>
  </si>
  <si>
    <t>0054825505</t>
  </si>
  <si>
    <t>3211187107050002</t>
  </si>
  <si>
    <t>31/07/2005</t>
  </si>
  <si>
    <t>3211181212110009</t>
  </si>
  <si>
    <t>19/09/1950</t>
  </si>
  <si>
    <t>32111851095000005</t>
  </si>
  <si>
    <t>PERUM SINDANG TAMAN</t>
  </si>
  <si>
    <t>08/05</t>
  </si>
  <si>
    <t>Fian Eva Fahrianti</t>
  </si>
  <si>
    <t>MImin Mintarsih Entjang K</t>
  </si>
  <si>
    <t>11-09-50</t>
  </si>
  <si>
    <t>3211185109500005</t>
  </si>
  <si>
    <t>Pensiunan</t>
  </si>
  <si>
    <t>Nessya Aqillah Riswandi</t>
  </si>
  <si>
    <t>0078772018</t>
  </si>
  <si>
    <t>3211116208070001</t>
  </si>
  <si>
    <t>22/08/2007</t>
  </si>
  <si>
    <t>3211112203120004</t>
  </si>
  <si>
    <t>02/05/1977</t>
  </si>
  <si>
    <t>3211110205770007</t>
  </si>
  <si>
    <t>DUSUN PAMAGERSARI</t>
  </si>
  <si>
    <t>25/11/1984</t>
  </si>
  <si>
    <t>3211116511840012</t>
  </si>
  <si>
    <t>0078747906</t>
  </si>
  <si>
    <t>21/11/2007</t>
  </si>
  <si>
    <t>3211171512080002</t>
  </si>
  <si>
    <t>3211172105750002</t>
  </si>
  <si>
    <t>DUSUN CIJONJE</t>
  </si>
  <si>
    <t>3211177007800008</t>
  </si>
  <si>
    <t>DUSUN CIHONJE</t>
  </si>
  <si>
    <t>NUNI RUDILAH</t>
  </si>
  <si>
    <t>0004165411</t>
  </si>
  <si>
    <t>3203165907000001</t>
  </si>
  <si>
    <t>05/01/2000</t>
  </si>
  <si>
    <t>3203160911052727</t>
  </si>
  <si>
    <t>3203161607610002</t>
  </si>
  <si>
    <t>KP.CIPARAY HILIR</t>
  </si>
  <si>
    <t>BUNGBANGSARI</t>
  </si>
  <si>
    <t>TAKOKAK</t>
  </si>
  <si>
    <t>43265</t>
  </si>
  <si>
    <t>3203164712630002</t>
  </si>
  <si>
    <t>0095533028</t>
  </si>
  <si>
    <t>3211246006090001</t>
  </si>
  <si>
    <t>20/06/2009</t>
  </si>
  <si>
    <t>3211242607100007</t>
  </si>
  <si>
    <t>12/12/1982</t>
  </si>
  <si>
    <t>3211241212820001</t>
  </si>
  <si>
    <t>085378095146</t>
  </si>
  <si>
    <t>DUSUN DARMAWANGI</t>
  </si>
  <si>
    <t>10/04</t>
  </si>
  <si>
    <t>DARMAWANGI</t>
  </si>
  <si>
    <t>TOMO</t>
  </si>
  <si>
    <t>45382</t>
  </si>
  <si>
    <t>3211244712900001</t>
  </si>
  <si>
    <t xml:space="preserve">RAIRA ENJELA </t>
  </si>
  <si>
    <t>3204126206060004</t>
  </si>
  <si>
    <t>22/06/2005</t>
  </si>
  <si>
    <t>3204122405110094</t>
  </si>
  <si>
    <t>25/10/1982</t>
  </si>
  <si>
    <t>3204122510820014</t>
  </si>
  <si>
    <t>KP. CIGURIANG HILIR</t>
  </si>
  <si>
    <t>24/04/1987</t>
  </si>
  <si>
    <t>3204126404870002</t>
  </si>
  <si>
    <t>3204464604050011</t>
  </si>
  <si>
    <t>06/04/2005</t>
  </si>
  <si>
    <t>3204372005220009</t>
  </si>
  <si>
    <t>ALM</t>
  </si>
  <si>
    <t>3204464208860003</t>
  </si>
  <si>
    <t xml:space="preserve">JL.BOJONG CIHAUR </t>
  </si>
  <si>
    <t xml:space="preserve">RIKA RISNAWATI </t>
  </si>
  <si>
    <t>32111756070004</t>
  </si>
  <si>
    <t>16/07/2007</t>
  </si>
  <si>
    <t>3211172103064828</t>
  </si>
  <si>
    <t>3211170606710005</t>
  </si>
  <si>
    <t>DSN.CIJOLANG</t>
  </si>
  <si>
    <t>CITENGAH</t>
  </si>
  <si>
    <t>3211175808840004</t>
  </si>
  <si>
    <t>TAMAT SEDERAJAT</t>
  </si>
  <si>
    <t>SALSA NURUL HUDA</t>
  </si>
  <si>
    <t>0042542274</t>
  </si>
  <si>
    <t>3211115711040003</t>
  </si>
  <si>
    <t>17/11/2004</t>
  </si>
  <si>
    <t>3211112809110007</t>
  </si>
  <si>
    <t>03-11-1980</t>
  </si>
  <si>
    <t>3211140311800008</t>
  </si>
  <si>
    <t>30-03-1979</t>
  </si>
  <si>
    <t>3211117003790010</t>
  </si>
  <si>
    <t>089656974363</t>
  </si>
  <si>
    <t>3273075212070002</t>
  </si>
  <si>
    <t>12/12/2007</t>
  </si>
  <si>
    <t>3273071508109448</t>
  </si>
  <si>
    <t>20/12/1975</t>
  </si>
  <si>
    <t>3273070212750004</t>
  </si>
  <si>
    <t xml:space="preserve">GG. PAK ELAS </t>
  </si>
  <si>
    <t>CIPEDES</t>
  </si>
  <si>
    <t>3273075608790010</t>
  </si>
  <si>
    <t>0099205868</t>
  </si>
  <si>
    <t>3211186701090002</t>
  </si>
  <si>
    <t>27/01/2009</t>
  </si>
  <si>
    <t>SDN</t>
  </si>
  <si>
    <t>3211181004080021</t>
  </si>
  <si>
    <t>28/07/1978</t>
  </si>
  <si>
    <t>3211182803780009</t>
  </si>
  <si>
    <t>DSN.SUKKASIH</t>
  </si>
  <si>
    <t>3211184903900008</t>
  </si>
  <si>
    <t>0121260158</t>
  </si>
  <si>
    <t>3204065606120003</t>
  </si>
  <si>
    <t>Guru ngaji</t>
  </si>
  <si>
    <t>3204062904051212</t>
  </si>
  <si>
    <t>Asep Rohmana</t>
  </si>
  <si>
    <t>Asep rohmana</t>
  </si>
  <si>
    <t>3204061301790002</t>
  </si>
  <si>
    <t>Petani</t>
  </si>
  <si>
    <t>Kp ciharegem</t>
  </si>
  <si>
    <t>02 / 10</t>
  </si>
  <si>
    <t>Ciburial</t>
  </si>
  <si>
    <t>Cimenyan</t>
  </si>
  <si>
    <t>Yulianti</t>
  </si>
  <si>
    <t>3204064607860005</t>
  </si>
  <si>
    <t>Siti Robi'ah Al Adawiyah</t>
  </si>
  <si>
    <t>0072108914</t>
  </si>
  <si>
    <t>3273065403070002</t>
  </si>
  <si>
    <t>14/03/2007</t>
  </si>
  <si>
    <t>3273061108100238</t>
  </si>
  <si>
    <t>3273061111740006</t>
  </si>
  <si>
    <t>JL.PAJAJARAN DLM NO.115/72</t>
  </si>
  <si>
    <t xml:space="preserve"> HUSEN SASTRANEGARA</t>
  </si>
  <si>
    <t>26/09/1976</t>
  </si>
  <si>
    <t>3273066609760001</t>
  </si>
  <si>
    <t>SITI RUBAIAH ADAWIYYAH</t>
  </si>
  <si>
    <t>3204135902050000</t>
  </si>
  <si>
    <t>19/02/2005</t>
  </si>
  <si>
    <t>3204132701070220</t>
  </si>
  <si>
    <t>3204130602690007</t>
  </si>
  <si>
    <t>KP BOJONG</t>
  </si>
  <si>
    <t>17/03/1964</t>
  </si>
  <si>
    <t>3204135703660000</t>
  </si>
  <si>
    <t>0051549265</t>
  </si>
  <si>
    <t>3211145408050001</t>
  </si>
  <si>
    <t>14/08/2005</t>
  </si>
  <si>
    <t>IBU,KAKAK</t>
  </si>
  <si>
    <t>3211141406070051</t>
  </si>
  <si>
    <t>06-09-1959</t>
  </si>
  <si>
    <t>3211140609590002</t>
  </si>
  <si>
    <t>DUSUN CINANGKA</t>
  </si>
  <si>
    <t>06/09/1966</t>
  </si>
  <si>
    <t>3211144609660005</t>
  </si>
  <si>
    <t>089516075704</t>
  </si>
  <si>
    <t>0077034952</t>
  </si>
  <si>
    <t>3204324806090006</t>
  </si>
  <si>
    <t>3204321912130031</t>
  </si>
  <si>
    <t>Jajat jatnika</t>
  </si>
  <si>
    <t>3204322810860011</t>
  </si>
  <si>
    <t>Wira usaha</t>
  </si>
  <si>
    <t>08132369278</t>
  </si>
  <si>
    <t>Kpn sukajadi/ citunggul</t>
  </si>
  <si>
    <t>02/013</t>
  </si>
  <si>
    <t>Jelekong</t>
  </si>
  <si>
    <t>Baleendah</t>
  </si>
  <si>
    <t>Yuli Yantini</t>
  </si>
  <si>
    <t>3204326107880006</t>
  </si>
  <si>
    <t>085314600994</t>
  </si>
  <si>
    <t>Kp sukajadi/ citunggul</t>
  </si>
  <si>
    <t>28/10/0086</t>
  </si>
  <si>
    <t>Kp sukajadi</t>
  </si>
  <si>
    <t xml:space="preserve">ZAHRA AZZAHIDAH </t>
  </si>
  <si>
    <t>0065781886</t>
  </si>
  <si>
    <t>3603184906060004</t>
  </si>
  <si>
    <t>09/06/2006</t>
  </si>
  <si>
    <t>3603182811080048</t>
  </si>
  <si>
    <t>24/8/1980</t>
  </si>
  <si>
    <t>3603182408800003</t>
  </si>
  <si>
    <t>DIPLOMA IV/STRATAI</t>
  </si>
  <si>
    <t>+62 821-1179-8000</t>
  </si>
  <si>
    <t xml:space="preserve">KP.BUNUT </t>
  </si>
  <si>
    <t>PASIR JAYA</t>
  </si>
  <si>
    <t>CIKUPA</t>
  </si>
  <si>
    <t>26/3/1984</t>
  </si>
  <si>
    <t>3603186603840004</t>
  </si>
  <si>
    <t>3204095110070003</t>
  </si>
  <si>
    <t>11/10/2007</t>
  </si>
  <si>
    <t>3204090304080002</t>
  </si>
  <si>
    <t>21/06/1978</t>
  </si>
  <si>
    <t>3204092106780008</t>
  </si>
  <si>
    <t>DIPLOMAIV/STRATA</t>
  </si>
  <si>
    <t>KP.CILISUNG GG.SUKAMANAH IV NO.12</t>
  </si>
  <si>
    <t>01/16</t>
  </si>
  <si>
    <t>SUKAMENAK</t>
  </si>
  <si>
    <t>MAEGAHAYU</t>
  </si>
  <si>
    <t>25/02/1982</t>
  </si>
  <si>
    <t>3204096502820008</t>
  </si>
  <si>
    <t>Nama</t>
  </si>
  <si>
    <t>NISN</t>
  </si>
  <si>
    <t>Status NISN</t>
  </si>
  <si>
    <t>Status Dukcapil</t>
  </si>
  <si>
    <t>Ijazah</t>
  </si>
  <si>
    <t>KK</t>
  </si>
  <si>
    <t>23240044</t>
  </si>
  <si>
    <t>23240082</t>
  </si>
  <si>
    <t>23240028</t>
  </si>
  <si>
    <t>23240108</t>
  </si>
  <si>
    <t>23240025</t>
  </si>
  <si>
    <t>23240136</t>
  </si>
  <si>
    <t>22230194</t>
  </si>
  <si>
    <t>22230148</t>
  </si>
  <si>
    <t>20210191</t>
  </si>
  <si>
    <t>21220121</t>
  </si>
  <si>
    <t>22230018</t>
  </si>
  <si>
    <t>22230003</t>
  </si>
  <si>
    <t>22230076</t>
  </si>
  <si>
    <t>22230170</t>
  </si>
  <si>
    <t>22230144</t>
  </si>
  <si>
    <t>22230136</t>
  </si>
  <si>
    <t>22230057</t>
  </si>
  <si>
    <t>22230045</t>
  </si>
  <si>
    <t>22230125</t>
  </si>
  <si>
    <t>22230120</t>
  </si>
  <si>
    <t>22230117</t>
  </si>
  <si>
    <t>22230077</t>
  </si>
  <si>
    <t>22230088</t>
  </si>
  <si>
    <t>22230085</t>
  </si>
  <si>
    <t>22230083</t>
  </si>
  <si>
    <t>21220050</t>
  </si>
  <si>
    <t>23240125</t>
  </si>
  <si>
    <t>22230070</t>
  </si>
  <si>
    <t>22230171</t>
  </si>
  <si>
    <t>20210157</t>
  </si>
  <si>
    <t>22230161</t>
  </si>
  <si>
    <t>22230095</t>
  </si>
  <si>
    <t>22230158</t>
  </si>
  <si>
    <t>22230126</t>
  </si>
  <si>
    <t>22230123</t>
  </si>
  <si>
    <t>22230179</t>
  </si>
  <si>
    <t>22230058</t>
  </si>
  <si>
    <t>22230166</t>
  </si>
  <si>
    <t>21220035</t>
  </si>
  <si>
    <t>22230075</t>
  </si>
  <si>
    <t>22230053</t>
  </si>
  <si>
    <t>22230061</t>
  </si>
  <si>
    <t>22230023</t>
  </si>
  <si>
    <t>22230041</t>
  </si>
  <si>
    <t>22230157</t>
  </si>
  <si>
    <t>23240151</t>
  </si>
  <si>
    <t>22230006</t>
  </si>
  <si>
    <t>22230005</t>
  </si>
  <si>
    <t>22230135</t>
  </si>
  <si>
    <t>22230147</t>
  </si>
  <si>
    <t>23240178</t>
  </si>
  <si>
    <t>21220162</t>
  </si>
  <si>
    <t>22230025</t>
  </si>
  <si>
    <t>21220182</t>
  </si>
  <si>
    <t>22230010</t>
  </si>
  <si>
    <t>22230017</t>
  </si>
  <si>
    <t>22230004</t>
  </si>
  <si>
    <t>22230159</t>
  </si>
  <si>
    <t>22230121</t>
  </si>
  <si>
    <t>21220148</t>
  </si>
  <si>
    <t>20210172</t>
  </si>
  <si>
    <t>22230108</t>
  </si>
  <si>
    <t>22230137</t>
  </si>
  <si>
    <t>22230153</t>
  </si>
  <si>
    <t>22230016</t>
  </si>
  <si>
    <t>20210159</t>
  </si>
  <si>
    <t>22230066</t>
  </si>
  <si>
    <t>22230089</t>
  </si>
  <si>
    <t>22230069</t>
  </si>
  <si>
    <t>22230102</t>
  </si>
  <si>
    <t>22230172</t>
  </si>
  <si>
    <t>22230140</t>
  </si>
  <si>
    <t>20210130</t>
  </si>
  <si>
    <t>20210212</t>
  </si>
  <si>
    <t>20210134</t>
  </si>
  <si>
    <t>20210161</t>
  </si>
  <si>
    <t>21220027</t>
  </si>
  <si>
    <t>20210195</t>
  </si>
  <si>
    <t>20210204</t>
  </si>
  <si>
    <t>20210149</t>
  </si>
  <si>
    <t>21220136</t>
  </si>
  <si>
    <t>20210187</t>
  </si>
  <si>
    <t>20210227</t>
  </si>
  <si>
    <t>20210234</t>
  </si>
  <si>
    <t>21220155</t>
  </si>
  <si>
    <t>23240095</t>
  </si>
  <si>
    <t>21220040</t>
  </si>
  <si>
    <t>20210180</t>
  </si>
  <si>
    <t>21220028</t>
  </si>
  <si>
    <t>20210213</t>
  </si>
  <si>
    <t>20210238</t>
  </si>
  <si>
    <t>20210127</t>
  </si>
  <si>
    <t>21220037</t>
  </si>
  <si>
    <t>21220041</t>
  </si>
  <si>
    <t>20210175</t>
  </si>
  <si>
    <t>21220074</t>
  </si>
  <si>
    <t>20210209</t>
  </si>
  <si>
    <t>21220026</t>
  </si>
  <si>
    <t>20210140</t>
  </si>
  <si>
    <t>21220157</t>
  </si>
  <si>
    <t>21220143</t>
  </si>
  <si>
    <t>21220046</t>
  </si>
  <si>
    <t>20210185</t>
  </si>
  <si>
    <t>21220042</t>
  </si>
  <si>
    <t>21220145</t>
  </si>
  <si>
    <t>21220055</t>
  </si>
  <si>
    <t>20210156</t>
  </si>
  <si>
    <t>20210138</t>
  </si>
  <si>
    <t>21220073</t>
  </si>
  <si>
    <t>21220034</t>
  </si>
  <si>
    <t>20210123</t>
  </si>
  <si>
    <t>21220076</t>
  </si>
  <si>
    <t>21220159</t>
  </si>
  <si>
    <t>21220080</t>
  </si>
  <si>
    <t>21220057</t>
  </si>
  <si>
    <t>21220077</t>
  </si>
  <si>
    <t>21220152</t>
  </si>
  <si>
    <t>20210131</t>
  </si>
  <si>
    <t>21220160</t>
  </si>
  <si>
    <t>21220025</t>
  </si>
  <si>
    <t>21220060</t>
  </si>
  <si>
    <t>20210188</t>
  </si>
  <si>
    <t>20210235</t>
  </si>
  <si>
    <t>21220156</t>
  </si>
  <si>
    <t>21220149</t>
  </si>
  <si>
    <t>21220166</t>
  </si>
  <si>
    <t>20210158</t>
  </si>
  <si>
    <t>21220070</t>
  </si>
  <si>
    <t>20210141</t>
  </si>
  <si>
    <t>21220048</t>
  </si>
  <si>
    <t>21220071</t>
  </si>
  <si>
    <t>21220036</t>
  </si>
  <si>
    <t>20210201</t>
  </si>
  <si>
    <t>21220181</t>
  </si>
  <si>
    <t>20210193</t>
  </si>
  <si>
    <t>20210192</t>
  </si>
  <si>
    <t>21220168</t>
  </si>
  <si>
    <t>20210219</t>
  </si>
  <si>
    <t>19200185</t>
  </si>
  <si>
    <t>19200190</t>
  </si>
  <si>
    <t>20210241</t>
  </si>
  <si>
    <t>19200192</t>
  </si>
  <si>
    <t>20210196</t>
  </si>
  <si>
    <t>19200195</t>
  </si>
  <si>
    <t>19200198</t>
  </si>
  <si>
    <t>17180108</t>
  </si>
  <si>
    <t>20210152</t>
  </si>
  <si>
    <t>20210210</t>
  </si>
  <si>
    <t>20210154</t>
  </si>
  <si>
    <t>19200229</t>
  </si>
  <si>
    <t>19200230</t>
  </si>
  <si>
    <t>18190195</t>
  </si>
  <si>
    <t>19200242</t>
  </si>
  <si>
    <t>19200247</t>
  </si>
  <si>
    <t>19200251</t>
  </si>
  <si>
    <t>19200255</t>
  </si>
  <si>
    <t>19200259</t>
  </si>
  <si>
    <t>19200265</t>
  </si>
  <si>
    <t>19200267</t>
  </si>
  <si>
    <t>19200290</t>
  </si>
  <si>
    <t>19200271</t>
  </si>
  <si>
    <t>20210181</t>
  </si>
  <si>
    <t>20210236</t>
  </si>
  <si>
    <t>19200284</t>
  </si>
  <si>
    <t>19200285</t>
  </si>
  <si>
    <t>19200289</t>
  </si>
  <si>
    <t>19200292</t>
  </si>
  <si>
    <t>18190232</t>
  </si>
  <si>
    <t>20210170</t>
  </si>
  <si>
    <t>19200305</t>
  </si>
  <si>
    <t>21220078</t>
  </si>
  <si>
    <t>19200309</t>
  </si>
  <si>
    <t>20210252</t>
  </si>
  <si>
    <t>19200316</t>
  </si>
  <si>
    <t>18190217</t>
  </si>
  <si>
    <t>19200317</t>
  </si>
  <si>
    <t>19200320</t>
  </si>
  <si>
    <t>20210176</t>
  </si>
  <si>
    <t>19200330</t>
  </si>
  <si>
    <t>20210150</t>
  </si>
  <si>
    <t>19200344</t>
  </si>
  <si>
    <t>19200370</t>
  </si>
  <si>
    <t>19200373</t>
  </si>
  <si>
    <t>19200189</t>
  </si>
  <si>
    <t>20210245</t>
  </si>
  <si>
    <t>20210244</t>
  </si>
  <si>
    <t>19200196</t>
  </si>
  <si>
    <t>19200200</t>
  </si>
  <si>
    <t>19200204</t>
  </si>
  <si>
    <t>20210240</t>
  </si>
  <si>
    <t>19200209</t>
  </si>
  <si>
    <t>20210173</t>
  </si>
  <si>
    <t>20210153</t>
  </si>
  <si>
    <t>20210211</t>
  </si>
  <si>
    <t>19200223</t>
  </si>
  <si>
    <t>19200227</t>
  </si>
  <si>
    <t>20210189</t>
  </si>
  <si>
    <t>19200232</t>
  </si>
  <si>
    <t>19200234</t>
  </si>
  <si>
    <t>20210203</t>
  </si>
  <si>
    <t>19200243</t>
  </si>
  <si>
    <t>19200244</t>
  </si>
  <si>
    <t>19200249</t>
  </si>
  <si>
    <t>20210163</t>
  </si>
  <si>
    <t>20210165</t>
  </si>
  <si>
    <t>19200262</t>
  </si>
  <si>
    <t>19200269</t>
  </si>
  <si>
    <t>19200273</t>
  </si>
  <si>
    <t>19200277</t>
  </si>
  <si>
    <t>20210182</t>
  </si>
  <si>
    <t>19200291</t>
  </si>
  <si>
    <t>20210199</t>
  </si>
  <si>
    <t>19200318</t>
  </si>
  <si>
    <t>19200300</t>
  </si>
  <si>
    <t>19200308</t>
  </si>
  <si>
    <t>19200310</t>
  </si>
  <si>
    <t>20210144</t>
  </si>
  <si>
    <t>19200314</t>
  </si>
  <si>
    <t>19200319</t>
  </si>
  <si>
    <t>19200321</t>
  </si>
  <si>
    <t>19200322</t>
  </si>
  <si>
    <t>19200329</t>
  </si>
  <si>
    <t>19200333</t>
  </si>
  <si>
    <t>19200337</t>
  </si>
  <si>
    <t>20210215</t>
  </si>
  <si>
    <t>19200343</t>
  </si>
  <si>
    <t>19200186</t>
  </si>
  <si>
    <t>19200191</t>
  </si>
  <si>
    <t>18190145</t>
  </si>
  <si>
    <t>18190148</t>
  </si>
  <si>
    <t>18190152</t>
  </si>
  <si>
    <t>18190156</t>
  </si>
  <si>
    <t>17180116</t>
  </si>
  <si>
    <t>19200238</t>
  </si>
  <si>
    <t>19200253</t>
  </si>
  <si>
    <t>18190180</t>
  </si>
  <si>
    <t>17180128</t>
  </si>
  <si>
    <t>18190183</t>
  </si>
  <si>
    <t>18190185</t>
  </si>
  <si>
    <t>19200264</t>
  </si>
  <si>
    <t>18190192</t>
  </si>
  <si>
    <t>19200274</t>
  </si>
  <si>
    <t>18190196</t>
  </si>
  <si>
    <t>17180137</t>
  </si>
  <si>
    <t>17180142</t>
  </si>
  <si>
    <t>18190205</t>
  </si>
  <si>
    <t>18190238</t>
  </si>
  <si>
    <t>18190207</t>
  </si>
  <si>
    <t>16170124</t>
  </si>
  <si>
    <t>18190208</t>
  </si>
  <si>
    <t>18190212</t>
  </si>
  <si>
    <t>17180152</t>
  </si>
  <si>
    <t>18190225</t>
  </si>
  <si>
    <t>18190139</t>
  </si>
  <si>
    <t>17180104</t>
  </si>
  <si>
    <t>19200201</t>
  </si>
  <si>
    <t>18190154</t>
  </si>
  <si>
    <t>18190158</t>
  </si>
  <si>
    <t>18190171</t>
  </si>
  <si>
    <t>18190173</t>
  </si>
  <si>
    <t>18190176</t>
  </si>
  <si>
    <t>19200245</t>
  </si>
  <si>
    <t>18190181</t>
  </si>
  <si>
    <t>18190184</t>
  </si>
  <si>
    <t>18190187</t>
  </si>
  <si>
    <t>18190190</t>
  </si>
  <si>
    <t>17180134</t>
  </si>
  <si>
    <t>17180141</t>
  </si>
  <si>
    <t>19200288</t>
  </si>
  <si>
    <t>17180143</t>
  </si>
  <si>
    <t>18190236</t>
  </si>
  <si>
    <t>18190202</t>
  </si>
  <si>
    <t>17180149</t>
  </si>
  <si>
    <t>18190206</t>
  </si>
  <si>
    <t>18190209</t>
  </si>
  <si>
    <t>19200312</t>
  </si>
  <si>
    <t>18190213</t>
  </si>
  <si>
    <t>18190214</t>
  </si>
  <si>
    <t>18190215</t>
  </si>
  <si>
    <t>18190216</t>
  </si>
  <si>
    <t>18190240</t>
  </si>
  <si>
    <t>19200345</t>
  </si>
  <si>
    <t>24250049</t>
  </si>
  <si>
    <t>24250047</t>
  </si>
  <si>
    <t>19200280</t>
  </si>
  <si>
    <t>NO.</t>
  </si>
  <si>
    <t>STATUS</t>
  </si>
  <si>
    <t>JK</t>
  </si>
  <si>
    <t>BULAN MASUK</t>
  </si>
  <si>
    <t>BULAN KELUAR</t>
  </si>
  <si>
    <t>ADM</t>
  </si>
  <si>
    <t>KELAS</t>
  </si>
  <si>
    <t>KELAS DETAIL</t>
  </si>
  <si>
    <t>NAMA LENGKAP</t>
  </si>
  <si>
    <t>Banat</t>
  </si>
  <si>
    <t>April 2025</t>
  </si>
  <si>
    <t>Aliyyah</t>
  </si>
  <si>
    <t>Asti Nur Asyifa</t>
  </si>
  <si>
    <t>Davinna Astrid Chandra</t>
  </si>
  <si>
    <t>Fitri Aulia Ramdani</t>
  </si>
  <si>
    <t>Hasna Halimatu Sa'diah</t>
  </si>
  <si>
    <t>Laila Nurazizah</t>
  </si>
  <si>
    <t>Linada Roudhotul Ma'rifah</t>
  </si>
  <si>
    <t>Lita Zahra Aulia</t>
  </si>
  <si>
    <t>Melani Nur Halima Tusadyah</t>
  </si>
  <si>
    <t>Nazwa Aliza Sopandi</t>
  </si>
  <si>
    <t>Nur Ulya Shopariyyah</t>
  </si>
  <si>
    <t>Rahmatia Asri Sholehah</t>
  </si>
  <si>
    <t>Resa Komala</t>
  </si>
  <si>
    <t>Siti Mutmainah</t>
  </si>
  <si>
    <t>Siti Nur Khodijah</t>
  </si>
  <si>
    <t>Syifa Khoirunisa</t>
  </si>
  <si>
    <t>Tazkia Rahmania Maulidi</t>
  </si>
  <si>
    <t>Zahra Nurul Qolbi</t>
  </si>
  <si>
    <t>Reguler</t>
  </si>
  <si>
    <t>Adinda Siti Shofiyyah</t>
  </si>
  <si>
    <t>Ainaya Salma Hashinah</t>
  </si>
  <si>
    <t>Ainun Najmi Ahmad Puri</t>
  </si>
  <si>
    <t>Alika Latifah Halimatul S.</t>
  </si>
  <si>
    <t>Azra Mursyidah Qasimah</t>
  </si>
  <si>
    <t>Bella Julia Khoirunnisa</t>
  </si>
  <si>
    <t>Citra Kaila Putri</t>
  </si>
  <si>
    <t>Dina Nidausalimah</t>
  </si>
  <si>
    <t>Habibah Murshiddah</t>
  </si>
  <si>
    <t>Haura Putri Nadif</t>
  </si>
  <si>
    <t>Husna Khoerunnisa Sumenda</t>
  </si>
  <si>
    <t>Khansa Yumna Nazhifa</t>
  </si>
  <si>
    <t>Mega Nanda</t>
  </si>
  <si>
    <t>Mikayla Ramadhani Falah</t>
  </si>
  <si>
    <t>Naura Kirani Ramadan</t>
  </si>
  <si>
    <t>Niken Afrini Utari</t>
  </si>
  <si>
    <t>Nuri Rosdiana</t>
  </si>
  <si>
    <t>Qirenia Salsabila</t>
  </si>
  <si>
    <t>Rasikha Zara Khalishah</t>
  </si>
  <si>
    <t>Reshie Aulia Septiani</t>
  </si>
  <si>
    <t>Sahma Khoerunisa</t>
  </si>
  <si>
    <t>Salma Aliah</t>
  </si>
  <si>
    <t>Shefira Alya Rasya</t>
  </si>
  <si>
    <t>Siti Hindun Nurfitriani</t>
  </si>
  <si>
    <t>Ibn Khidmah</t>
  </si>
  <si>
    <t>Siti Ummu Salamah</t>
  </si>
  <si>
    <t>Sri Chintia Dewi</t>
  </si>
  <si>
    <t>Syifa Nurhasanah</t>
  </si>
  <si>
    <t>Wulan Fitriani</t>
  </si>
  <si>
    <t>Zelda Safitri Muhtaf</t>
  </si>
  <si>
    <t>Al Zena Faridah</t>
  </si>
  <si>
    <t>Aleesya Faiha Azhar</t>
  </si>
  <si>
    <t>Alula Maritza Inas</t>
  </si>
  <si>
    <t>Anisa Nurul Husna</t>
  </si>
  <si>
    <t>Azalea Rashmika Husna</t>
  </si>
  <si>
    <t>Azkya Ulfatun Nisa</t>
  </si>
  <si>
    <t>Dieska Fitri Aisyah Solahudin</t>
  </si>
  <si>
    <t>Hasna Sabiya</t>
  </si>
  <si>
    <t>Humairo Siti Salsabila</t>
  </si>
  <si>
    <t>Jelita Dini Lifriyani</t>
  </si>
  <si>
    <t>Lia Apriliani</t>
  </si>
  <si>
    <t>Maulidiah Husna Ai'nurofik</t>
  </si>
  <si>
    <t>Meysha Hana Nafeeza</t>
  </si>
  <si>
    <t>Najwa Alkubraa</t>
  </si>
  <si>
    <t>Neng Sri Rahayu Padilah</t>
  </si>
  <si>
    <t>Nur Amanah</t>
  </si>
  <si>
    <t>Nur Lelah</t>
  </si>
  <si>
    <t>Putri Fitria Purnama</t>
  </si>
  <si>
    <t>Raden Nurul Husna Az-Zahra</t>
  </si>
  <si>
    <t>Revina Syifa Nurfadhilah</t>
  </si>
  <si>
    <t>Sayyidah Khodijah Nazla Salamah</t>
  </si>
  <si>
    <t>Siti Fahira Azzalia</t>
  </si>
  <si>
    <t xml:space="preserve">Siti Khodijah </t>
  </si>
  <si>
    <t>Siti Salma Afifah</t>
  </si>
  <si>
    <t>Syalwa Khayla Sifa Naureta</t>
  </si>
  <si>
    <t>Syarifa Zulfa Azzahra</t>
  </si>
  <si>
    <t>Velidya Azzahra</t>
  </si>
  <si>
    <t>Yeni Rukoyah</t>
  </si>
  <si>
    <t>Yunita Rahmah Nurazizah</t>
  </si>
  <si>
    <t>Zihan Nursipa</t>
  </si>
  <si>
    <t>Zila Nur Dzilhijilah</t>
  </si>
  <si>
    <t>Alika Salsabila Ramadani</t>
  </si>
  <si>
    <t>Aqiela Hafiyyah Zahida</t>
  </si>
  <si>
    <t>Ayu Anjani</t>
  </si>
  <si>
    <t>Azzahra Almadenamarwan</t>
  </si>
  <si>
    <t>Desma Aulia</t>
  </si>
  <si>
    <t>Fauziah Khairunnisa</t>
  </si>
  <si>
    <t>Ghaida Fatin</t>
  </si>
  <si>
    <t>Isma Nurhusniyah</t>
  </si>
  <si>
    <t>Khairunnisa</t>
  </si>
  <si>
    <t>Lutfiah Mutmainnah</t>
  </si>
  <si>
    <t>Nabila Oktaviani</t>
  </si>
  <si>
    <t>Nadifa Aqila Khairani</t>
  </si>
  <si>
    <t>Khusus</t>
  </si>
  <si>
    <t>Na'ila Elysia Priyatama</t>
  </si>
  <si>
    <t>Nayyla Ramadhani</t>
  </si>
  <si>
    <t>Nazwa Nurazizah</t>
  </si>
  <si>
    <t>Rabbani Putri Parahyangan</t>
  </si>
  <si>
    <t>Rajni Fatma Aulia</t>
  </si>
  <si>
    <t>Rany Asiyatun</t>
  </si>
  <si>
    <t>Raysa Cahyani</t>
  </si>
  <si>
    <t>Renisya Arliani</t>
  </si>
  <si>
    <t>Rika Risnawati</t>
  </si>
  <si>
    <t>Sa'Adah Nazlatul Karimah</t>
  </si>
  <si>
    <t>Safira Rahmawati</t>
  </si>
  <si>
    <t>Salsabila Firdausiah</t>
  </si>
  <si>
    <t>Sarah Desviani</t>
  </si>
  <si>
    <t>Shalsabila Aulia Syifaa</t>
  </si>
  <si>
    <t>Silfa Fitri Nur Rahma</t>
  </si>
  <si>
    <t>Silviana Widari</t>
  </si>
  <si>
    <t>Sinta Aulia</t>
  </si>
  <si>
    <t>Siti Durratun Nasiihah</t>
  </si>
  <si>
    <t>Siti Hafshoh</t>
  </si>
  <si>
    <t>Siti Maghdathul Khoirunisa</t>
  </si>
  <si>
    <t>Siti Nopi Alipah</t>
  </si>
  <si>
    <t>Siti Ranum Mutmainah</t>
  </si>
  <si>
    <t>Sofia Nur Sayyidat</t>
  </si>
  <si>
    <t>Syovi Awalliah</t>
  </si>
  <si>
    <t>Tatia Siti Fatimah</t>
  </si>
  <si>
    <t>Wahdatul Mujizah</t>
  </si>
  <si>
    <t>Zahra Ghania Ummu Habibah</t>
  </si>
  <si>
    <t>Zahra Siti Rohimah</t>
  </si>
  <si>
    <t>Zulfa Dzakira Qodariyah</t>
  </si>
  <si>
    <t>Alfiyyah Nur Azizah</t>
  </si>
  <si>
    <t>Alya Nurasipa</t>
  </si>
  <si>
    <t>Anggi Hafiful Utami</t>
  </si>
  <si>
    <t>Audira Syauqina</t>
  </si>
  <si>
    <t>Azzahra Adinda Azizah</t>
  </si>
  <si>
    <t>Intan Permatasari</t>
  </si>
  <si>
    <t>Izma Rizqi Yani Darmawan</t>
  </si>
  <si>
    <t>Keisya Ayu Safira</t>
  </si>
  <si>
    <t>Kharidah Zahra</t>
  </si>
  <si>
    <t>Lailatul Fajriah</t>
  </si>
  <si>
    <t>Lulu'i Tsania Putri</t>
  </si>
  <si>
    <t>Meisya Lidya Humaira</t>
  </si>
  <si>
    <t>Melisa Aidha Saputri</t>
  </si>
  <si>
    <t>Nabila Meysun</t>
  </si>
  <si>
    <t>Nadiyya Rizski Kamilah</t>
  </si>
  <si>
    <t>Naila Alfiaturrahmah</t>
  </si>
  <si>
    <t>Najla Aqila Mardhiyyah</t>
  </si>
  <si>
    <t>Nazwa Aisyah Arridha</t>
  </si>
  <si>
    <t>Qaisara Zaina Apta</t>
  </si>
  <si>
    <t>Qurotul Aeni</t>
  </si>
  <si>
    <t>Raisha Aqilah Hardiansah</t>
  </si>
  <si>
    <t>Rayra Enjella Kellynatasya</t>
  </si>
  <si>
    <t>Regina Aulia Putri</t>
  </si>
  <si>
    <t>Riva Nurjannah</t>
  </si>
  <si>
    <t>Salsabila Nur Alifa</t>
  </si>
  <si>
    <t>Salsabila Nurul Zannah</t>
  </si>
  <si>
    <t>Sania Ramadhani Putri</t>
  </si>
  <si>
    <t>Saroh Mutmainnah</t>
  </si>
  <si>
    <t>Shabrina Novelani Gunawan</t>
  </si>
  <si>
    <t>Siti Amira Humaira</t>
  </si>
  <si>
    <t>Siti Shofiyah Rahadatul Aisy</t>
  </si>
  <si>
    <t>Siti Zahir Narayagung</t>
  </si>
  <si>
    <t>Siti Zahra Robiah Adawiyyah</t>
  </si>
  <si>
    <t>Siti Zulfa Ramadhani</t>
  </si>
  <si>
    <t>Vicka Apriliani Putri</t>
  </si>
  <si>
    <t>Zainah Mursyidah</t>
  </si>
  <si>
    <t>Zulaikha Arrojabi Azhar</t>
  </si>
  <si>
    <t>Aidah</t>
  </si>
  <si>
    <t>Aisyah Neysa Sugiarto</t>
  </si>
  <si>
    <t>Alifa Zahwa Rabbiatul Addawiyah</t>
  </si>
  <si>
    <t>Aliya Putri Angreani</t>
  </si>
  <si>
    <t>Asyifa Dzikra Putri Hadian</t>
  </si>
  <si>
    <t>Azkia Nur Salsabila</t>
  </si>
  <si>
    <t>Cahya Putri Ramadhani</t>
  </si>
  <si>
    <t>Dian Khanza Haerani</t>
  </si>
  <si>
    <t>Dinda Nur Khodijah Assegaf</t>
  </si>
  <si>
    <t>Hasna Zakiatus Sa'adah</t>
  </si>
  <si>
    <t>Jasmine Rahmania Az-Zahra</t>
  </si>
  <si>
    <t xml:space="preserve">Joane Del Agnia </t>
  </si>
  <si>
    <t>Kalyca Fittra Nur Aini</t>
  </si>
  <si>
    <t>Khansa Zahirah Gunawan</t>
  </si>
  <si>
    <t>Nanda Rachel Amanda</t>
  </si>
  <si>
    <t>Nayla Nurvita Rachman</t>
  </si>
  <si>
    <t>Nayra Regina Febrianty</t>
  </si>
  <si>
    <t>Niken Aulia Nurasifa</t>
  </si>
  <si>
    <t>Raesha Azkia Qolbi</t>
  </si>
  <si>
    <t>Risa Nurmalia Sumenda</t>
  </si>
  <si>
    <t>Salwa Siti Hapsoh Alawiyah</t>
  </si>
  <si>
    <t>Silvia Khodijah Falilah</t>
  </si>
  <si>
    <t>Siti Aisyah Jamilah</t>
  </si>
  <si>
    <t>Siti Fatimah Zahra</t>
  </si>
  <si>
    <t>Siti Hindun</t>
  </si>
  <si>
    <t>Siti Jubaedah</t>
  </si>
  <si>
    <t>Siti Nor Hasanah</t>
  </si>
  <si>
    <t>Siti Nurlaela Ulfa</t>
  </si>
  <si>
    <t>Syifa Yuliani</t>
  </si>
  <si>
    <t>Zahra Azzahidah</t>
  </si>
  <si>
    <t>Alika Intan Sarisha</t>
  </si>
  <si>
    <t>Asti Puspita Nurul Furqon</t>
  </si>
  <si>
    <t xml:space="preserve">Auliya Apriyani </t>
  </si>
  <si>
    <t>Azelia Rusyadi</t>
  </si>
  <si>
    <t>Bilqis Gifri Habibillah</t>
  </si>
  <si>
    <t>Chacha Hasna Nur Syafanah</t>
  </si>
  <si>
    <t>Ghia Azkiya Syifaurrahmah</t>
  </si>
  <si>
    <t>Giani Aulia Utami</t>
  </si>
  <si>
    <t>Humaira Azzzahra</t>
  </si>
  <si>
    <t>Intan Nur Alfiah</t>
  </si>
  <si>
    <t>Jihan Chalisa Fikratuha</t>
  </si>
  <si>
    <t>Kaila Apriliani</t>
  </si>
  <si>
    <t>Kartika Rahma Nuur Hamidah</t>
  </si>
  <si>
    <t>Keyla Nur Rohmah</t>
  </si>
  <si>
    <t>Latisya Ghaida Najwa</t>
  </si>
  <si>
    <t>Maitsa Thurfah Allamah</t>
  </si>
  <si>
    <t>Marsya Anjulia Eka Putri</t>
  </si>
  <si>
    <t>Najla Qatrunnada Kartawinata</t>
  </si>
  <si>
    <t>Naylatul Syawalia Nurul Izza</t>
  </si>
  <si>
    <t>Nida Sohwatul Islam</t>
  </si>
  <si>
    <t>Nindia Aira Nurhasani</t>
  </si>
  <si>
    <t>Putriana Rahma Syifa Agustina</t>
  </si>
  <si>
    <t>Raihana Nurul Syafiyah</t>
  </si>
  <si>
    <t>Risa Maulida</t>
  </si>
  <si>
    <t>Salsabila Syifa Mutmainah Al Adawiyah</t>
  </si>
  <si>
    <t>Siti Ainunnida Nurhalimah</t>
  </si>
  <si>
    <t>Siti Aisyah Nurfadila Aulia</t>
  </si>
  <si>
    <t>Siti Romlah</t>
  </si>
  <si>
    <t>Sovy Salha Adawiyah</t>
  </si>
  <si>
    <t>Syifaa' Siti Khadijah</t>
  </si>
  <si>
    <t>Tiana Putri</t>
  </si>
  <si>
    <t>Widi Rahma Maulida</t>
  </si>
  <si>
    <t>Zahrotusita</t>
  </si>
  <si>
    <t>Agni Suci Nur'adjkia</t>
  </si>
  <si>
    <t>Alisha Aghniya Syakir</t>
  </si>
  <si>
    <t>Alya Ramadhani</t>
  </si>
  <si>
    <t>Anggia Arisanti P.</t>
  </si>
  <si>
    <t>Aulia Nur Hidayah</t>
  </si>
  <si>
    <t>Azkhiatul Qolbiah</t>
  </si>
  <si>
    <t>Dava Putri Rafael Nur Andika</t>
  </si>
  <si>
    <t>Dea Nur Sintiani</t>
  </si>
  <si>
    <t>Dewi Hasna Sofiyyah</t>
  </si>
  <si>
    <t>Dhea Nafisa Rahadja</t>
  </si>
  <si>
    <t>Fahrani</t>
  </si>
  <si>
    <t>Hilmiya Hazimah</t>
  </si>
  <si>
    <t>Kalisha Nadya Zahrani</t>
  </si>
  <si>
    <t>Kesya Sulistiana</t>
  </si>
  <si>
    <t>Kezya asyifa chesa</t>
  </si>
  <si>
    <t>Lyvia Syakirah Aurelya</t>
  </si>
  <si>
    <t>Maharani Anisa Alfajr</t>
  </si>
  <si>
    <t>Mirfah Suciawati</t>
  </si>
  <si>
    <t>Naila Salsabila</t>
  </si>
  <si>
    <t>Neng Dewi Rosmawati</t>
  </si>
  <si>
    <t>Nesa Nur Fadilah</t>
  </si>
  <si>
    <t>Nisrina Afifah</t>
  </si>
  <si>
    <t>Nur Rohmawati</t>
  </si>
  <si>
    <t>Raia Jingga Ananda</t>
  </si>
  <si>
    <t>Restu Salsabila</t>
  </si>
  <si>
    <t>Rizkia Sifany Salsabila</t>
  </si>
  <si>
    <t>Roudya Assyifa</t>
  </si>
  <si>
    <t>Salsabila Nabila Mustiani</t>
  </si>
  <si>
    <t>Salwa Siti Auliya</t>
  </si>
  <si>
    <t>Sazkya Octaviana</t>
  </si>
  <si>
    <t>Shyfa Qoidatul Marwah</t>
  </si>
  <si>
    <t>Siti Fatimah Az Zahra</t>
  </si>
  <si>
    <t>Syifa Azzahra</t>
  </si>
  <si>
    <t>Syifa Nur Janah</t>
  </si>
  <si>
    <t>Tasya Kania Putri</t>
  </si>
  <si>
    <t>Tiara Azka Sanapna</t>
  </si>
  <si>
    <t>Tiara Nur Azizah</t>
  </si>
  <si>
    <t>Viqta Ramadhani</t>
  </si>
  <si>
    <t>Wulan Siti Marwah</t>
  </si>
  <si>
    <t>Zahra Sabrina Asyifa</t>
  </si>
  <si>
    <t>Alawiyah Muthoharoh</t>
  </si>
  <si>
    <t>Alif Lutfi Windiana</t>
  </si>
  <si>
    <t>Alifa Putri Rahayu</t>
  </si>
  <si>
    <t>Alifia Rahma Putri</t>
  </si>
  <si>
    <t>Alisya Safitri</t>
  </si>
  <si>
    <t>Andini Julianisa</t>
  </si>
  <si>
    <t>Azkiya Muti Arumaisa</t>
  </si>
  <si>
    <t>Denis Fitriani</t>
  </si>
  <si>
    <t>Disti Nur Afiyah</t>
  </si>
  <si>
    <t>Diva Apriliani</t>
  </si>
  <si>
    <t>Fatimah Aulia Azzahra</t>
  </si>
  <si>
    <t>Fatimah Mayaail</t>
  </si>
  <si>
    <t>Gina Siti Saniyyah</t>
  </si>
  <si>
    <t>Husna Nuraini</t>
  </si>
  <si>
    <t>Indah Ruswandi</t>
  </si>
  <si>
    <t>Jaenul Qoriyah</t>
  </si>
  <si>
    <t>Khansa Athifa sholikhah</t>
  </si>
  <si>
    <t>Khansa Farras Khairan</t>
  </si>
  <si>
    <t>Mega Cipta  Sukmawati</t>
  </si>
  <si>
    <t>Moza Aulia Maranata</t>
  </si>
  <si>
    <t>Mutiara Dwi Nursyifa</t>
  </si>
  <si>
    <t>Mutiara Sagita Alindri</t>
  </si>
  <si>
    <t>Nazwa Maulida</t>
  </si>
  <si>
    <t>Rahma Siti patimah</t>
  </si>
  <si>
    <t>Reza Mukrimah Purnama Sari</t>
  </si>
  <si>
    <t xml:space="preserve">Salma Siti Patimah </t>
  </si>
  <si>
    <t>Salwa Khairunnisa</t>
  </si>
  <si>
    <t>Shifa Masyrofah</t>
  </si>
  <si>
    <t>Sintia Bela</t>
  </si>
  <si>
    <t>Siti Nailah Ahnaf Sabilah</t>
  </si>
  <si>
    <t>Siti Rahmawati</t>
  </si>
  <si>
    <t>Siti Salma Khodijah</t>
  </si>
  <si>
    <t>Siti Syawanah Adawiyah</t>
  </si>
  <si>
    <t>Siti Ummu Kultsum</t>
  </si>
  <si>
    <t>Siti Zaenah Salsabila</t>
  </si>
  <si>
    <t>Syipa Amanatunnisa</t>
  </si>
  <si>
    <t>Talita Nabila M.R</t>
  </si>
  <si>
    <t>Tarisa Putri Farizah</t>
  </si>
  <si>
    <t>Wini Widiana</t>
  </si>
  <si>
    <t>Zahra Aulia</t>
  </si>
  <si>
    <t>Zahra Putri Syarifah</t>
  </si>
  <si>
    <t>Zulfa Siti Khodijah</t>
  </si>
  <si>
    <t xml:space="preserve">Fadhilah </t>
  </si>
  <si>
    <t>Fatimah Nururrohmah</t>
  </si>
  <si>
    <t>Fitri Yani Aulia</t>
  </si>
  <si>
    <t>Minatul Maula Risva</t>
  </si>
  <si>
    <t>R. Salsabila Nur Sabila Solehah</t>
  </si>
  <si>
    <t>Riha Fauziyyah</t>
  </si>
  <si>
    <t>Khidmah Unggulan</t>
  </si>
  <si>
    <t xml:space="preserve">Siti Aisyah </t>
  </si>
  <si>
    <t>Siti Halimatul Azka Gharnitia</t>
  </si>
  <si>
    <t>Siti Khodijah S'adiyyah Sakinah</t>
  </si>
  <si>
    <t>Siti Shofiyathunnisaai</t>
  </si>
  <si>
    <t>Ajeng Wulandari Maulana</t>
  </si>
  <si>
    <t>Alya Nadila Noviani</t>
  </si>
  <si>
    <t>Amelia Maylinda</t>
  </si>
  <si>
    <t>Amelia Salsabila</t>
  </si>
  <si>
    <t>Annisa Siti Mariam</t>
  </si>
  <si>
    <t>Arini Haqi Sofyani</t>
  </si>
  <si>
    <t>Bunga Nirmala Ramadhani</t>
  </si>
  <si>
    <t>Dais Nurur Rosyidah</t>
  </si>
  <si>
    <t>Devi Fitriyanti</t>
  </si>
  <si>
    <t>Dila Elina Asyifa</t>
  </si>
  <si>
    <t>Friya Aisya Putri</t>
  </si>
  <si>
    <t>Ida Parida</t>
  </si>
  <si>
    <t>Indri Yulistiawati</t>
  </si>
  <si>
    <t>Keysha Azzahra Sudiana</t>
  </si>
  <si>
    <t>Kholisa Nurfadilah</t>
  </si>
  <si>
    <t>Kirani Aulia Putri Heryana</t>
  </si>
  <si>
    <t>Mila Rosa</t>
  </si>
  <si>
    <t>Mira Latifatul Qolby</t>
  </si>
  <si>
    <t>Moza Julyanti</t>
  </si>
  <si>
    <t>Nabila Azahra Nurazizah</t>
  </si>
  <si>
    <t>Nabila Hilmi</t>
  </si>
  <si>
    <t>Nabila Putri Azzahra</t>
  </si>
  <si>
    <t>Nisrina Nazma Ashobar</t>
  </si>
  <si>
    <t>Putri Nurhayati</t>
  </si>
  <si>
    <t>Raisha Amelia</t>
  </si>
  <si>
    <t>Riani Nur Fauziah</t>
  </si>
  <si>
    <t>Salma Nur Karimah Solihin</t>
  </si>
  <si>
    <t>Salwa Jamiatul Hasanah</t>
  </si>
  <si>
    <t>Siska Mustika</t>
  </si>
  <si>
    <t>Siti Khoiriyatun Najah</t>
  </si>
  <si>
    <t>Siti Khotimah Lailasari</t>
  </si>
  <si>
    <t>Siti Rahma Padilah</t>
  </si>
  <si>
    <t>Siti Srinuryani</t>
  </si>
  <si>
    <t>Siti Zahra Aulia</t>
  </si>
  <si>
    <t>Siva Nur Ahwati</t>
  </si>
  <si>
    <t>Syifa Nurjaimah</t>
  </si>
  <si>
    <t>Tita Herlianti</t>
  </si>
  <si>
    <t>Wafa Faikotidina</t>
  </si>
  <si>
    <t>Yasmine Afifah</t>
  </si>
  <si>
    <t>Aliffia Zahra</t>
  </si>
  <si>
    <t>Aminah Saniah</t>
  </si>
  <si>
    <t>Ananda Deliana Putri</t>
  </si>
  <si>
    <t>Azka Nur Afifah Siti Fauziyyah</t>
  </si>
  <si>
    <t>Dalya Nur Fauziah</t>
  </si>
  <si>
    <t>Dyllan Siti Azizah</t>
  </si>
  <si>
    <t>Kingkin Putri Ayudita</t>
  </si>
  <si>
    <t>Levi Arianti</t>
  </si>
  <si>
    <t>Naila Mulkiah Sultan Wahab</t>
  </si>
  <si>
    <t>Najwa Quraesin Al Zahro</t>
  </si>
  <si>
    <t>Nenden Siti</t>
  </si>
  <si>
    <t>Neneng Samrotussaadah</t>
  </si>
  <si>
    <t>Niza Fisallia</t>
  </si>
  <si>
    <t>Nur Holis</t>
  </si>
  <si>
    <t>Putri Salwa Khoerunissa</t>
  </si>
  <si>
    <t>Rani Septiani</t>
  </si>
  <si>
    <t>Restu Pauzia Lestari</t>
  </si>
  <si>
    <t>Rifa Nurul Shifa</t>
  </si>
  <si>
    <t>Rika Listia Amanda</t>
  </si>
  <si>
    <t>Salma Nur Aulia Almaulidiyyah</t>
  </si>
  <si>
    <t>Siti Apipah</t>
  </si>
  <si>
    <t>Siti Fatimah Miska Ayuni</t>
  </si>
  <si>
    <t>Siti Hamidah</t>
  </si>
  <si>
    <t>Siti Nurshabrinna Subagja</t>
  </si>
  <si>
    <t>Siti Shafa Nurrohmah</t>
  </si>
  <si>
    <t>Umi Sa'adah Fiddaroini</t>
  </si>
  <si>
    <t>Aghni Nur Azkia</t>
  </si>
  <si>
    <t>Aulia Syifa Rahmawati</t>
  </si>
  <si>
    <t>Az Zahra Audina</t>
  </si>
  <si>
    <t>Dina Nur Aghnia</t>
  </si>
  <si>
    <t>Fahira Nur Rahmi</t>
  </si>
  <si>
    <t>Kania Putri Nabila</t>
  </si>
  <si>
    <t>Lea Kania Sari</t>
  </si>
  <si>
    <t>Marsha Nur Safitri</t>
  </si>
  <si>
    <t>Mozart Lutfa Labiba</t>
  </si>
  <si>
    <t>Nazwa Fauziah Amali</t>
  </si>
  <si>
    <t>Neneng Julaeha</t>
  </si>
  <si>
    <t>Nurhalimah</t>
  </si>
  <si>
    <t>Nursalsabila</t>
  </si>
  <si>
    <t>Putri Mutia Hanifah</t>
  </si>
  <si>
    <t>Sabrina Alawiyyah</t>
  </si>
  <si>
    <t>Salma Putri Ariska</t>
  </si>
  <si>
    <t>Salma Razwa Salsabillah</t>
  </si>
  <si>
    <t>Salma Salsabila</t>
  </si>
  <si>
    <t>Salsabila Aprilla Putri</t>
  </si>
  <si>
    <t>Siti Fatimah N.</t>
  </si>
  <si>
    <t>Siti Naziah Solihah</t>
  </si>
  <si>
    <t>Siti Nuraini</t>
  </si>
  <si>
    <t>Siti Rahmah Maimunah</t>
  </si>
  <si>
    <t>Siti Rohmah</t>
  </si>
  <si>
    <t>Siti Sakinah</t>
  </si>
  <si>
    <t>Siti Saniah Nurhasanah S</t>
  </si>
  <si>
    <t>Wardattun Nisa</t>
  </si>
  <si>
    <t>Zahra Nazilatur Rohmah</t>
  </si>
  <si>
    <t>Ghania Rahmani Muchtar</t>
  </si>
  <si>
    <t>Silpana Anggraeni</t>
  </si>
  <si>
    <t>Siti Sarah Maulida</t>
  </si>
  <si>
    <t>Juni 2025</t>
  </si>
  <si>
    <t>Jihan Putri Aulia</t>
  </si>
  <si>
    <t>Zakiyyah Robi'atul Awwaliyyah</t>
  </si>
  <si>
    <t>Mei 2025</t>
  </si>
  <si>
    <t>Auliya Nurhikam</t>
  </si>
  <si>
    <t>Kabupaten/Kota</t>
  </si>
  <si>
    <t>Provinsi</t>
  </si>
  <si>
    <t>Umur</t>
  </si>
  <si>
    <t>16 Tahun 11 Bulan 0 Hari</t>
  </si>
  <si>
    <t>16 Tahun 11 Bulan 12 Hari</t>
  </si>
  <si>
    <t>16 Tahun 11 Bulan 18 Hari</t>
  </si>
  <si>
    <t>16 Tahun 11 Bulan 2 Hari</t>
  </si>
  <si>
    <t>ROUDYA  ASSYIFA</t>
  </si>
  <si>
    <t>16 Tahun 11 Bulan 22 Hari</t>
  </si>
  <si>
    <t>16 Tahun 11 Bulan 23 Hari</t>
  </si>
  <si>
    <t>16 Tahun 11 Bulan 24 Hari</t>
  </si>
  <si>
    <t>16 Tahun 11 Bulan 6 Hari</t>
  </si>
  <si>
    <t>16 Tahun 11 Bulan 7 Hari</t>
  </si>
  <si>
    <t>17 Tahun 0 Bulan 0 Hari</t>
  </si>
  <si>
    <t>17 Tahun 0 Bulan 12 Hari</t>
  </si>
  <si>
    <t>17 Tahun 0 Bulan 16 Hari</t>
  </si>
  <si>
    <t>17 Tahun 0 Bulan 2 Hari</t>
  </si>
  <si>
    <t>17 Tahun 0 Bulan 20 Hari</t>
  </si>
  <si>
    <t>17 Tahun 1 Bulan 0 Hari</t>
  </si>
  <si>
    <t>17 Tahun 1 Bulan 14 Hari</t>
  </si>
  <si>
    <t>17 Tahun 1 Bulan 15 Hari</t>
  </si>
  <si>
    <t>17 Tahun 1 Bulan 27 Hari</t>
  </si>
  <si>
    <t>17 Tahun 10 Bulan 17 Hari</t>
  </si>
  <si>
    <t>17 Tahun 10 Bulan 23 Hari</t>
  </si>
  <si>
    <t>17 Tahun 10 Bulan 27 Hari</t>
  </si>
  <si>
    <t>17 Tahun 10 Bulan 3 Hari</t>
  </si>
  <si>
    <t>17 Tahun 10 Bulan 5 Hari</t>
  </si>
  <si>
    <t>17 Tahun 11 Bulan 10 Hari</t>
  </si>
  <si>
    <t>17 Tahun 11 Bulan 11 Hari</t>
  </si>
  <si>
    <t>17 Tahun 11 Bulan 13 Hari</t>
  </si>
  <si>
    <t>17 Tahun 11 Bulan 8 Hari</t>
  </si>
  <si>
    <t>17 Tahun 11 Bulan 9 Hari</t>
  </si>
  <si>
    <t>17 Tahun 2 Bulan 12 Hari</t>
  </si>
  <si>
    <t>17 Tahun 2 Bulan 14 Hari</t>
  </si>
  <si>
    <t>17 Tahun 2 Bulan 16 Hari</t>
  </si>
  <si>
    <t>17 Tahun 2 Bulan 20 Hari</t>
  </si>
  <si>
    <t>17 Tahun 2 Bulan 24 Hari</t>
  </si>
  <si>
    <t>17 Tahun 2 Bulan 27 Hari</t>
  </si>
  <si>
    <t>17 Tahun 2 Bulan 4 Hari</t>
  </si>
  <si>
    <t>25/07/2007</t>
  </si>
  <si>
    <t>17 Tahun 3 Bulan 1 Hari</t>
  </si>
  <si>
    <t>17 Tahun 3 Bulan 10 Hari</t>
  </si>
  <si>
    <t>17 Tahun 3 Bulan 11 Hari</t>
  </si>
  <si>
    <t>17 Tahun 3 Bulan 14 Hari</t>
  </si>
  <si>
    <t>17 Tahun 3 Bulan 17 Hari</t>
  </si>
  <si>
    <t>17 Tahun 3 Bulan 20 Hari</t>
  </si>
  <si>
    <t>17 Tahun 3 Bulan 21 Hari</t>
  </si>
  <si>
    <t>17 Tahun 3 Bulan 22 Hari</t>
  </si>
  <si>
    <t xml:space="preserve">Jalviani Salsabila </t>
  </si>
  <si>
    <t>3152006207071254</t>
  </si>
  <si>
    <t>17 Tahun 3 Bulan 6 Hari</t>
  </si>
  <si>
    <t>17 Tahun 4 Bulan 10 Hari</t>
  </si>
  <si>
    <t>17 Tahun 4 Bulan 12 Hari</t>
  </si>
  <si>
    <t>17 Tahun 4 Bulan 19 Hari</t>
  </si>
  <si>
    <t>17 Tahun 4 Bulan 28 Hari</t>
  </si>
  <si>
    <t>17 Tahun 5 Bulan 15 Hari</t>
  </si>
  <si>
    <t>17 Tahun 5 Bulan 18 Hari</t>
  </si>
  <si>
    <t>17 Tahun 5 Bulan 2 Hari</t>
  </si>
  <si>
    <t>17 Tahun 5 Bulan 20 Hari</t>
  </si>
  <si>
    <t>17 Tahun 5 Bulan 21 Hari</t>
  </si>
  <si>
    <t>17 Tahun 5 Bulan 29 Hari</t>
  </si>
  <si>
    <t>17 Tahun 6 Bulan 0 Hari</t>
  </si>
  <si>
    <t>17 Tahun 6 Bulan 13 Hari</t>
  </si>
  <si>
    <t>17 Tahun 6 Bulan 17 Hari</t>
  </si>
  <si>
    <t>17 Tahun 6 Bulan 21 Hari</t>
  </si>
  <si>
    <t>17 Tahun 6 Bulan 25 Hari</t>
  </si>
  <si>
    <t>17 Tahun 6 Bulan 4 Hari</t>
  </si>
  <si>
    <t>17 Tahun 6 Bulan 7 Hari</t>
  </si>
  <si>
    <t>17 Tahun 6 Bulan 9 Hari</t>
  </si>
  <si>
    <t>17 Tahun 7 Bulan 0 Hari</t>
  </si>
  <si>
    <t>17 Tahun 7 Bulan 12 Hari</t>
  </si>
  <si>
    <t>17 Tahun 7 Bulan 15 Hari</t>
  </si>
  <si>
    <t xml:space="preserve">Siti Hanifah Alawiyah </t>
  </si>
  <si>
    <t>17 Tahun 7 Bulan 20 Hari</t>
  </si>
  <si>
    <t>17 Tahun 7 Bulan 4 Hari</t>
  </si>
  <si>
    <t>17 Tahun 8 Bulan 16 Hari</t>
  </si>
  <si>
    <t>17 Tahun 8 Bulan 19 Hari</t>
  </si>
  <si>
    <t>17 Tahun 8 Bulan 25 Hari</t>
  </si>
  <si>
    <t>17 Tahun 8 Bulan 4 Hari</t>
  </si>
  <si>
    <t>17 Tahun 9 Bulan 0 Hari</t>
  </si>
  <si>
    <t>17 Tahun 9 Bulan 10 Hari</t>
  </si>
  <si>
    <t>17 Tahun 9 Bulan 13 Hari</t>
  </si>
  <si>
    <t>17 Tahun 9 Bulan 29 Hari</t>
  </si>
  <si>
    <t>18 Tahun 0 Bulan 12 Hari</t>
  </si>
  <si>
    <t>18 Tahun 0 Bulan 18 Hari</t>
  </si>
  <si>
    <t>18 Tahun 0 Bulan 20 Hari</t>
  </si>
  <si>
    <t>18 Tahun 0 Bulan 21 Hari</t>
  </si>
  <si>
    <t>18 Tahun 1 Bulan 16 Hari</t>
  </si>
  <si>
    <t>18 Tahun 1 Bulan 28 Hari</t>
  </si>
  <si>
    <t>18 Tahun 1 Bulan 29 Hari</t>
  </si>
  <si>
    <t>18 Tahun 10 Bulan 14 Hari</t>
  </si>
  <si>
    <t>18 Tahun 10 Bulan 17 Hari</t>
  </si>
  <si>
    <t>18 Tahun 11 Bulan 0 Hari</t>
  </si>
  <si>
    <t>18 Tahun 11 Bulan 1 Hari</t>
  </si>
  <si>
    <t>18 Tahun 11 Bulan 12 Hari</t>
  </si>
  <si>
    <t>18 Tahun 11 Bulan 20 Hari</t>
  </si>
  <si>
    <t>18 Tahun 11 Bulan 8 Hari</t>
  </si>
  <si>
    <t>18 Tahun 3 Bulan 14 Hari</t>
  </si>
  <si>
    <t>18 Tahun 3 Bulan 2 Hari</t>
  </si>
  <si>
    <t>18 Tahun 3 Bulan 4 Hari</t>
  </si>
  <si>
    <t>18 Tahun 4 Bulan 17 Hari</t>
  </si>
  <si>
    <t>18 Tahun 4 Bulan 24 Hari</t>
  </si>
  <si>
    <t>18 Tahun 5 Bulan 13 Hari</t>
  </si>
  <si>
    <t>18 Tahun 5 Bulan 6 Hari</t>
  </si>
  <si>
    <t>18 Tahun 6 Bulan 16 Hari</t>
  </si>
  <si>
    <t>18 Tahun 6 Bulan 24 Hari</t>
  </si>
  <si>
    <t>18 Tahun 6 Bulan 26 Hari</t>
  </si>
  <si>
    <t>3175076603061001</t>
  </si>
  <si>
    <t>18 Tahun 6 Bulan 28 Hari</t>
  </si>
  <si>
    <t>18 Tahun 7 Bulan 4 Hari</t>
  </si>
  <si>
    <t>18 Tahun 9 Bulan 13 Hari</t>
  </si>
  <si>
    <t>18 Tahun 9 Bulan 25 Hari</t>
  </si>
  <si>
    <t>18 Tahun 9 Bulan 5 Hari</t>
  </si>
  <si>
    <t>18 Tahun 9 Bulan 8 Hari</t>
  </si>
  <si>
    <t>19 Tahun 0 Bulan 0 Hari</t>
  </si>
  <si>
    <t>19 Tahun 0 Bulan 15 Hari</t>
  </si>
  <si>
    <t>19 Tahun 0 Bulan 20 Hari</t>
  </si>
  <si>
    <t>19 Tahun 0 Bulan 4 Hari</t>
  </si>
  <si>
    <t>19 Tahun 1 Bulan 13 Hari</t>
  </si>
  <si>
    <t>19 Tahun 1 Bulan 17 Hari</t>
  </si>
  <si>
    <t>19 Tahun 10 Bulan 17 Hari</t>
  </si>
  <si>
    <t>19 Tahun 10 Bulan 21 Hari</t>
  </si>
  <si>
    <t>19 Tahun 10 Bulan 22 Hari</t>
  </si>
  <si>
    <t>19 Tahun 10 Bulan 23 Hari</t>
  </si>
  <si>
    <t>19 Tahun 10 Bulan 27 Hari</t>
  </si>
  <si>
    <t>19 Tahun 10 Bulan 6 Hari</t>
  </si>
  <si>
    <t>19 Tahun 10 Bulan 7 Hari</t>
  </si>
  <si>
    <t>19 Tahun 11 Bulan 0 Hari</t>
  </si>
  <si>
    <t>19 Tahun 11 Bulan 16 Hari</t>
  </si>
  <si>
    <t>19 Tahun 11 Bulan 9 Hari</t>
  </si>
  <si>
    <t>19 Tahun 2 Bulan 0 Hari</t>
  </si>
  <si>
    <t>19 Tahun 2 Bulan 21 Hari</t>
  </si>
  <si>
    <t>19 Tahun 2 Bulan 24 Hari</t>
  </si>
  <si>
    <t>19 Tahun 2 Bulan 7 Hari</t>
  </si>
  <si>
    <t>19 Tahun 3 Bulan 12 Hari</t>
  </si>
  <si>
    <t>ANGGIA ARISANTI</t>
  </si>
  <si>
    <t>19 Tahun 3 Bulan 15 Hari</t>
  </si>
  <si>
    <t>19 Tahun 3 Bulan 28 Hari</t>
  </si>
  <si>
    <t>19 Tahun 3 Bulan 3 Hari</t>
  </si>
  <si>
    <t>19 Tahun 4 Bulan 2 Hari</t>
  </si>
  <si>
    <t>19 Tahun 4 Bulan 4 Hari</t>
  </si>
  <si>
    <t>19 Tahun 5 Bulan 10 Hari</t>
  </si>
  <si>
    <t>19 Tahun 5 Bulan 14 Hari</t>
  </si>
  <si>
    <t>19 Tahun 5 Bulan 24 Hari</t>
  </si>
  <si>
    <t>19 Tahun 5 Bulan 8 Hari</t>
  </si>
  <si>
    <t>26/02/2005</t>
  </si>
  <si>
    <t>19 Tahun 8 Bulan 0 Hari</t>
  </si>
  <si>
    <t>321105202050004</t>
  </si>
  <si>
    <t>19 Tahun 8 Bulan 14 Hari</t>
  </si>
  <si>
    <t>19 Tahun 8 Bulan 16 Hari</t>
  </si>
  <si>
    <t>19 Tahun 8 Bulan 18 Hari</t>
  </si>
  <si>
    <t>19 Tahun 8 Bulan 25 Hari</t>
  </si>
  <si>
    <t>19 Tahun 8 Bulan 4 Hari</t>
  </si>
  <si>
    <t>19 Tahun 8 Bulan 7 Hari</t>
  </si>
  <si>
    <t>19 Tahun 9 Bulan 10 Hari</t>
  </si>
  <si>
    <t>19 Tahun 9 Bulan 13 Hari</t>
  </si>
  <si>
    <t>19 Tahun 9 Bulan 14 Hari</t>
  </si>
  <si>
    <t>19 Tahun 9 Bulan 26 Hari</t>
  </si>
  <si>
    <t>19 Tahun 9 Bulan 27 Hari</t>
  </si>
  <si>
    <t>20 Tahun 0 Bulan 10 Hari</t>
  </si>
  <si>
    <t>18/10/2004</t>
  </si>
  <si>
    <t>20 Tahun 0 Bulan 8 Hari</t>
  </si>
  <si>
    <t>20 Tahun 1 Bulan 12 Hari</t>
  </si>
  <si>
    <t>Kota Cimahi</t>
  </si>
  <si>
    <t>20 Tahun 1 Bulan 20 Hari</t>
  </si>
  <si>
    <t>20 Tahun 1 Bulan 21 Hari</t>
  </si>
  <si>
    <t>20 Tahun 1 Bulan 25 Hari</t>
  </si>
  <si>
    <t>20 Tahun 1 Bulan 27 Hari</t>
  </si>
  <si>
    <t>20 Tahun 1 Bulan 9 Hari</t>
  </si>
  <si>
    <t>20 Tahun 10 Bulan 17 Hari</t>
  </si>
  <si>
    <t>20 Tahun 10 Bulan 23 Hari</t>
  </si>
  <si>
    <t>20 Tahun 10 Bulan 25 Hari</t>
  </si>
  <si>
    <t>20 Tahun 11 Bulan 0 Hari</t>
  </si>
  <si>
    <t>20 Tahun 3 Bulan 11 Hari</t>
  </si>
  <si>
    <t>20 Tahun 4 Bulan 18 Hari</t>
  </si>
  <si>
    <t>20 Tahun 4 Bulan 22 Hari</t>
  </si>
  <si>
    <t>20 Tahun 4 Bulan 23 Hari</t>
  </si>
  <si>
    <t>3206366308040002</t>
  </si>
  <si>
    <t>20 Tahun 4 Bulan 3 Hari</t>
  </si>
  <si>
    <t>20 Tahun 5 Bulan 26 Hari</t>
  </si>
  <si>
    <t>20 Tahun 6 Bulan 8 Hari</t>
  </si>
  <si>
    <t>20 Tahun 7 Bulan 10 Hari</t>
  </si>
  <si>
    <t>20 Tahun 7 Bulan 14 Hari</t>
  </si>
  <si>
    <t>20 Tahun 7 Bulan 3 Hari</t>
  </si>
  <si>
    <t>20 Tahun 8 Bulan 10 Hari</t>
  </si>
  <si>
    <t>20 Tahun 8 Bulan 6 Hari</t>
  </si>
  <si>
    <t>20 Tahun 8 Bulan 9 Hari</t>
  </si>
  <si>
    <t>20 Tahun 9 Bulan 14 Hari</t>
  </si>
  <si>
    <t>20 Tahun 9 Bulan 21 Hari</t>
  </si>
  <si>
    <t>20 Tahun 9 Bulan 23 Hari</t>
  </si>
  <si>
    <t>20 Tahun 9 Bulan 6 Hari</t>
  </si>
  <si>
    <t>21 Tahun 1 Bulan 8 Hari</t>
  </si>
  <si>
    <t>21 Tahun 10 Bulan 0 Hari</t>
  </si>
  <si>
    <t>21 Tahun 11 Bulan 19 Hari</t>
  </si>
  <si>
    <t>21 Tahun 2 Bulan 9 Hari</t>
  </si>
  <si>
    <t>21 Tahun 3 Bulan 0 Hari</t>
  </si>
  <si>
    <t>21 Tahun 3 Bulan 10 Hari</t>
  </si>
  <si>
    <t>21 Tahun 3 Bulan 5 Hari</t>
  </si>
  <si>
    <t>21 Tahun 5 Bulan 21 Hari</t>
  </si>
  <si>
    <t>21 Tahun 6 Bulan 10 Hari</t>
  </si>
  <si>
    <t>21 Tahun 6 Bulan 25 Hari</t>
  </si>
  <si>
    <t>21 Tahun 6 Bulan 9 Hari</t>
  </si>
  <si>
    <t>22 Tahun 3 Bulan 8 Hari</t>
  </si>
  <si>
    <t>22 Tahun 4 Bulan 20 Hari</t>
  </si>
  <si>
    <t>22 Tahun 6 Bulan 18 Hari</t>
  </si>
  <si>
    <t>23 Tahun 10 Bulan 18 Hari</t>
  </si>
  <si>
    <t>23 Tahun 11 Bulan 10 Hari</t>
  </si>
  <si>
    <t>23 Tahun 6 Bulan 8 Hari</t>
  </si>
  <si>
    <t>23 Tahun 9 Bulan 22 Hari</t>
  </si>
  <si>
    <t>24 Tahun 0 Bulan 29 Hari</t>
  </si>
  <si>
    <t>24 Tahun 1 Bulan 4 Hari</t>
  </si>
  <si>
    <t>24 Tahun 5 Bulan 9 Hari</t>
  </si>
  <si>
    <t>24 Tahun 9 Bulan 21 Hari</t>
  </si>
  <si>
    <t>NAMA LENGKAP SESUAI DOKUMEN</t>
  </si>
  <si>
    <t>NAMA AYAH</t>
  </si>
  <si>
    <t>IJAZAH</t>
  </si>
  <si>
    <t>NIK</t>
  </si>
  <si>
    <t>NO. REG. IJAZAH</t>
  </si>
  <si>
    <t>KH. Ahmad</t>
  </si>
  <si>
    <t>Dedi Sunardi</t>
  </si>
  <si>
    <t>Nana Suryana</t>
  </si>
  <si>
    <t>Nipan Susanto GP</t>
  </si>
  <si>
    <t>Asep Ajat Sudrajat</t>
  </si>
  <si>
    <t>Nanang Suryadi</t>
  </si>
  <si>
    <t>Totoy Hartoyo</t>
  </si>
  <si>
    <t>Rocky Hadiawan</t>
  </si>
  <si>
    <t>Hadian</t>
  </si>
  <si>
    <t>Suparman</t>
  </si>
  <si>
    <t>Erik Taufik</t>
  </si>
  <si>
    <t>Iyan Maulana</t>
  </si>
  <si>
    <t>Tatang Sonjaya</t>
  </si>
  <si>
    <t>M. Nur Dhuha</t>
  </si>
  <si>
    <t>Elan Sunarlan</t>
  </si>
  <si>
    <t xml:space="preserve">Aditiya Kusanadi </t>
  </si>
  <si>
    <t>Iwan Kartiwan</t>
  </si>
  <si>
    <t>25-26</t>
  </si>
  <si>
    <t>Salwa Puji Rahma</t>
  </si>
  <si>
    <t>0107479038</t>
  </si>
  <si>
    <t>3215175405100003</t>
  </si>
  <si>
    <t>Belum diTest</t>
  </si>
  <si>
    <t>Makan dan jajan</t>
  </si>
  <si>
    <t>Wanita Sholehah dan pintar</t>
  </si>
  <si>
    <t>SLTP/Sederajat</t>
  </si>
  <si>
    <t>Kesulitan Belajar</t>
  </si>
  <si>
    <t>3215172503100003</t>
  </si>
  <si>
    <t>3215171204780003</t>
  </si>
  <si>
    <t>081282211297</t>
  </si>
  <si>
    <t>Perumahan citra Gardenia blok mawar no2 dusun pasir panjang</t>
  </si>
  <si>
    <t>12/02</t>
  </si>
  <si>
    <t>Cibalong sari</t>
  </si>
  <si>
    <t>Klari</t>
  </si>
  <si>
    <t>3215174312850005</t>
  </si>
  <si>
    <t>081384075672</t>
  </si>
  <si>
    <t>Sama Dengan Ayah Kandung</t>
  </si>
  <si>
    <t>Sarah Fatimah Az Zahro</t>
  </si>
  <si>
    <t>3204374509120003</t>
  </si>
  <si>
    <t>SD/Sederajat</t>
  </si>
  <si>
    <t>3204372703190022</t>
  </si>
  <si>
    <t>Siti Mariyatul Q</t>
  </si>
  <si>
    <t>Ahmad Safari</t>
  </si>
  <si>
    <t>3204375507880016</t>
  </si>
  <si>
    <t>085320350878</t>
  </si>
  <si>
    <t>Beda Dengan Ayah Kandung</t>
  </si>
  <si>
    <t>M.Ridwan Nurdin</t>
  </si>
  <si>
    <t>3204371306800006</t>
  </si>
  <si>
    <t>081294949370</t>
  </si>
  <si>
    <t>Bumi parahyangan kencana Blok G 18 no 17</t>
  </si>
  <si>
    <t>Pananjung</t>
  </si>
  <si>
    <t>Cangkuang</t>
  </si>
  <si>
    <t>3124799746</t>
  </si>
  <si>
    <t>3211157012120004</t>
  </si>
  <si>
    <t>Membaca, menggambar, berkreasi</t>
  </si>
  <si>
    <t>JL KOLONEL AHMAD SYAM NO 229</t>
  </si>
  <si>
    <t>DDESA SAYANG</t>
  </si>
  <si>
    <t>082121445553</t>
  </si>
  <si>
    <t>Asifa Alistia Airinnita</t>
  </si>
  <si>
    <t>3210027012120001</t>
  </si>
  <si>
    <t>Majalengka</t>
  </si>
  <si>
    <t>Belajar</t>
  </si>
  <si>
    <t>3217090301060168</t>
  </si>
  <si>
    <t>Sukabumi</t>
  </si>
  <si>
    <t>321709110873</t>
  </si>
  <si>
    <t>O85853541657</t>
  </si>
  <si>
    <t>Kp gunung dukuh</t>
  </si>
  <si>
    <t>Cipatik</t>
  </si>
  <si>
    <t>Cihampelas</t>
  </si>
  <si>
    <t>Bandung barat</t>
  </si>
  <si>
    <t>Majelengka</t>
  </si>
  <si>
    <t>3210024804900001</t>
  </si>
  <si>
    <t>0882001375094</t>
  </si>
  <si>
    <t>Nadhira Aisyah</t>
  </si>
  <si>
    <t>3139215048</t>
  </si>
  <si>
    <t>3211176904130001</t>
  </si>
  <si>
    <t>Maman Sulaeman</t>
  </si>
  <si>
    <t>085324306992</t>
  </si>
  <si>
    <t>Dusun sari rasa</t>
  </si>
  <si>
    <t>Margamekar</t>
  </si>
  <si>
    <t>Sumedang selatan</t>
  </si>
  <si>
    <t>Julaeha</t>
  </si>
  <si>
    <t>Kolaka</t>
  </si>
  <si>
    <t>083890406325</t>
  </si>
  <si>
    <t>Tasmira Muhana Yusuf Dzahabiyyah</t>
  </si>
  <si>
    <t>3126795952</t>
  </si>
  <si>
    <t>3273044410120001</t>
  </si>
  <si>
    <t>Memasak</t>
  </si>
  <si>
    <t>3273042912110026</t>
  </si>
  <si>
    <t>Muhammad Yusuf</t>
  </si>
  <si>
    <t>3211173107830004</t>
  </si>
  <si>
    <t>085872381955</t>
  </si>
  <si>
    <t>Jl terusan pasirkoja Gg abadi 1</t>
  </si>
  <si>
    <t>12/06</t>
  </si>
  <si>
    <t>Babakan tarogong</t>
  </si>
  <si>
    <t>Bojongloa kaler</t>
  </si>
  <si>
    <t>3273045309840008</t>
  </si>
  <si>
    <t>087732661673</t>
  </si>
  <si>
    <t>Aindha Alifia Hendrayana</t>
  </si>
  <si>
    <t>3138988943</t>
  </si>
  <si>
    <t>3213126502130001</t>
  </si>
  <si>
    <t>3213122310082602</t>
  </si>
  <si>
    <t>Ide Hendrayana</t>
  </si>
  <si>
    <t>3213120512800008</t>
  </si>
  <si>
    <t>083822249993</t>
  </si>
  <si>
    <t>Tambakan</t>
  </si>
  <si>
    <t>10/03</t>
  </si>
  <si>
    <t>Jalancagak</t>
  </si>
  <si>
    <t>Wiwin Wintayani</t>
  </si>
  <si>
    <t>Umu Salamah</t>
  </si>
  <si>
    <t>3122219934</t>
  </si>
  <si>
    <t>3277016509120004</t>
  </si>
  <si>
    <t>083876508841</t>
  </si>
  <si>
    <t>JL.KERKOF NO 198</t>
  </si>
  <si>
    <t>Rahmawati</t>
  </si>
  <si>
    <t>0133210366</t>
  </si>
  <si>
    <t>3211146206130001</t>
  </si>
  <si>
    <t>3211141803063258</t>
  </si>
  <si>
    <t>3211145411710005</t>
  </si>
  <si>
    <t>082118683716</t>
  </si>
  <si>
    <t>Beda Alamat (Beda KK)</t>
  </si>
  <si>
    <t>Cihanjuang</t>
  </si>
  <si>
    <t>Putri Seirra</t>
  </si>
  <si>
    <t>3273026908120002</t>
  </si>
  <si>
    <t>Jadi Ulama Alloh</t>
  </si>
  <si>
    <t>3273251007170007</t>
  </si>
  <si>
    <t>Cecep Setiawan</t>
  </si>
  <si>
    <t>3273020210860012</t>
  </si>
  <si>
    <t>08170790019</t>
  </si>
  <si>
    <t>Cigagak No. 42</t>
  </si>
  <si>
    <t>Vera Susanti</t>
  </si>
  <si>
    <t>3273025909860001</t>
  </si>
  <si>
    <t>085315001231</t>
  </si>
  <si>
    <t>Murni Hadipraja Putri</t>
  </si>
  <si>
    <t>3273156609120005</t>
  </si>
  <si>
    <t>Ustadzah / pelukis</t>
  </si>
  <si>
    <t>3,27315E+15</t>
  </si>
  <si>
    <t>Yudi Hadipraja</t>
  </si>
  <si>
    <t>3273150501780005</t>
  </si>
  <si>
    <t>Wiraswasta / Berdagang</t>
  </si>
  <si>
    <t>817386349</t>
  </si>
  <si>
    <t>Jl. Bojong Raya Gg. H. Sanusi No. 14</t>
  </si>
  <si>
    <t>09/01</t>
  </si>
  <si>
    <t>Caringin</t>
  </si>
  <si>
    <t>Rini Andriani</t>
  </si>
  <si>
    <t>3273154409820014</t>
  </si>
  <si>
    <t>0817212546</t>
  </si>
  <si>
    <t>Alika Nur Hafizhah</t>
  </si>
  <si>
    <t>3123312944</t>
  </si>
  <si>
    <t>3214016512120003</t>
  </si>
  <si>
    <t>Purwakarta</t>
  </si>
  <si>
    <t>kaligrafi</t>
  </si>
  <si>
    <t>menjadi pengusaha yang sholehah</t>
  </si>
  <si>
    <t>3,21401E+15</t>
  </si>
  <si>
    <t>Bogor</t>
  </si>
  <si>
    <t>0895337845384</t>
  </si>
  <si>
    <t>kp citalang</t>
  </si>
  <si>
    <t>citalang</t>
  </si>
  <si>
    <t>purwakarta</t>
  </si>
  <si>
    <t>088214914456</t>
  </si>
  <si>
    <t>Khansa Asyila Romadhona</t>
  </si>
  <si>
    <t>3122181015</t>
  </si>
  <si>
    <t>3273155306020002</t>
  </si>
  <si>
    <t>2 (DUA)</t>
  </si>
  <si>
    <t>3273151109104704</t>
  </si>
  <si>
    <t>Asep Yusuf</t>
  </si>
  <si>
    <t>3273151708860003</t>
  </si>
  <si>
    <t>089513990855</t>
  </si>
  <si>
    <t>Jln.Bojong Raya Gg.H.sanusi</t>
  </si>
  <si>
    <t>Kelurahan Caringin</t>
  </si>
  <si>
    <t>Kecamatan Bandung Kulon</t>
  </si>
  <si>
    <t>40212</t>
  </si>
  <si>
    <t>Dian</t>
  </si>
  <si>
    <t>3273154111830003</t>
  </si>
  <si>
    <t>089646815758</t>
  </si>
  <si>
    <t>Khanza Aqila Khairunnisa</t>
  </si>
  <si>
    <t>3129397213</t>
  </si>
  <si>
    <t>3204166308120001</t>
  </si>
  <si>
    <t>nyanyi</t>
  </si>
  <si>
    <t>dokter</t>
  </si>
  <si>
    <t>3204163107230002</t>
  </si>
  <si>
    <t>Nanda Trianjaya</t>
  </si>
  <si>
    <t>3273132101850001</t>
  </si>
  <si>
    <t>089609889428</t>
  </si>
  <si>
    <t>kampung kebon kalapa RT.3 rw.3 desa batukarut kecamatan arjasari</t>
  </si>
  <si>
    <t>3/3</t>
  </si>
  <si>
    <t>batukarut</t>
  </si>
  <si>
    <t>arjasari</t>
  </si>
  <si>
    <t>Bandung selatan</t>
  </si>
  <si>
    <t>3204164211850004</t>
  </si>
  <si>
    <t>08961682815</t>
  </si>
  <si>
    <t>Putri Syakira Maulida</t>
  </si>
  <si>
    <t>3124241593</t>
  </si>
  <si>
    <t>3213264803120001</t>
  </si>
  <si>
    <t>Dani Nurdiana</t>
  </si>
  <si>
    <t>3217061301840001</t>
  </si>
  <si>
    <t>089530346231</t>
  </si>
  <si>
    <t>Padasuka Indah II Blok C No.8</t>
  </si>
  <si>
    <t>Gado Bangkong</t>
  </si>
  <si>
    <t>Ngamprah</t>
  </si>
  <si>
    <t>40552</t>
  </si>
  <si>
    <t>Santi Susilawati</t>
  </si>
  <si>
    <t>3213266309860002</t>
  </si>
  <si>
    <t>Guru Madrasah Ibtidaiyah</t>
  </si>
  <si>
    <t>085353234626</t>
  </si>
  <si>
    <t>41281</t>
  </si>
  <si>
    <t>Tsalitsa Zulfa Aulia</t>
  </si>
  <si>
    <t>3211196503130001</t>
  </si>
  <si>
    <t>Da'iyah</t>
  </si>
  <si>
    <t>Entis Sutisna</t>
  </si>
  <si>
    <t>3211190507770001</t>
  </si>
  <si>
    <t>Dusun Nagrak</t>
  </si>
  <si>
    <t>Cikoneng Kulon</t>
  </si>
  <si>
    <t>Ganeas</t>
  </si>
  <si>
    <t>Sri Hartini</t>
  </si>
  <si>
    <t>3211194104800006</t>
  </si>
  <si>
    <t>Agisna Nuril Jinan</t>
  </si>
  <si>
    <t>3204374111120003</t>
  </si>
  <si>
    <t>main voli</t>
  </si>
  <si>
    <t>guru</t>
  </si>
  <si>
    <t>Iyan Sopyan</t>
  </si>
  <si>
    <t>3205043108840001</t>
  </si>
  <si>
    <t>Parahyangan kencana blok B2 no 25</t>
  </si>
  <si>
    <t>Nagrak</t>
  </si>
  <si>
    <t>Dedah Fuasawiah</t>
  </si>
  <si>
    <t>3273125505870002</t>
  </si>
  <si>
    <t>Nazwa Yakutatun Napisah</t>
  </si>
  <si>
    <t>3204255805130001</t>
  </si>
  <si>
    <t>Kurniawan Kobul</t>
  </si>
  <si>
    <t>Kampung Beor</t>
  </si>
  <si>
    <t>Babakan Peuteuy</t>
  </si>
  <si>
    <t>Titin Kartini</t>
  </si>
  <si>
    <t>Yumna Allecia Kwanza</t>
  </si>
  <si>
    <t>3204124210120002</t>
  </si>
  <si>
    <t>Ahmad Muhamad</t>
  </si>
  <si>
    <t>3204120404840004</t>
  </si>
  <si>
    <t>Jl Terusan Cibaduyut No104 kp.citamiang Kaler</t>
  </si>
  <si>
    <t>Cangkuang kulon</t>
  </si>
  <si>
    <t>Dayeuhkolot</t>
  </si>
  <si>
    <t>Kab bandung</t>
  </si>
  <si>
    <t>Nurhaeni</t>
  </si>
  <si>
    <t>3204126605850002</t>
  </si>
  <si>
    <t>Nayla Azzahra</t>
  </si>
  <si>
    <t>3273024305130002</t>
  </si>
  <si>
    <t>Pembisnis</t>
  </si>
  <si>
    <t>Salahuddin</t>
  </si>
  <si>
    <t>Bambi</t>
  </si>
  <si>
    <t>3273020405740005</t>
  </si>
  <si>
    <t>Jl.sekeloa no.107</t>
  </si>
  <si>
    <t>Sekeloa</t>
  </si>
  <si>
    <t>Coblong</t>
  </si>
  <si>
    <t>Mardiyanti</t>
  </si>
  <si>
    <t>3273026903820018</t>
  </si>
  <si>
    <t>Hasna Nur Fauziyyah Herdiana</t>
  </si>
  <si>
    <t>3273065912120002</t>
  </si>
  <si>
    <t>Atlet</t>
  </si>
  <si>
    <t>Didin Herdiana</t>
  </si>
  <si>
    <t>3273061705840001</t>
  </si>
  <si>
    <t>Jl Rancaloa</t>
  </si>
  <si>
    <t>Cipamokolan</t>
  </si>
  <si>
    <t>Rancasari</t>
  </si>
  <si>
    <t>Dinar Mustika Dewi</t>
  </si>
  <si>
    <t>3273065612880001</t>
  </si>
  <si>
    <t>Astri Afifa Nurhalimah</t>
  </si>
  <si>
    <t>3215037008120001</t>
  </si>
  <si>
    <t>Voly, main hadroh</t>
  </si>
  <si>
    <t>Jadi Istadzah..insya Allah</t>
  </si>
  <si>
    <t>3215032401740001</t>
  </si>
  <si>
    <t>Gempol Tengah</t>
  </si>
  <si>
    <t>Purwadana</t>
  </si>
  <si>
    <t>Telukjambe Timur</t>
  </si>
  <si>
    <t>3215035010790003</t>
  </si>
  <si>
    <t>Najla Azzahra</t>
  </si>
  <si>
    <t>3211144105130001</t>
  </si>
  <si>
    <t>BERSEPEDA</t>
  </si>
  <si>
    <t>HAFIZ QUR'AN</t>
  </si>
  <si>
    <t>DSN. MANABAYA</t>
  </si>
  <si>
    <t>DS. SINDANGPAKUON</t>
  </si>
  <si>
    <t>KEC. CIMANGGUNG</t>
  </si>
  <si>
    <t>KAB. SUMEDANG</t>
  </si>
  <si>
    <t>085222202502 / 081322817772</t>
  </si>
  <si>
    <t>Keyla Latief Mustikajati</t>
  </si>
  <si>
    <t>3277016411120005</t>
  </si>
  <si>
    <t>Bermain</t>
  </si>
  <si>
    <t>Mulyana</t>
  </si>
  <si>
    <t>3277012111870004</t>
  </si>
  <si>
    <t>Gg. Bumi sari II blok cisegel</t>
  </si>
  <si>
    <t>Melong</t>
  </si>
  <si>
    <t>Cimahi selatan</t>
  </si>
  <si>
    <t>3273046006900004</t>
  </si>
  <si>
    <t>Zihan Nur Alifah</t>
  </si>
  <si>
    <t>3211148808120001</t>
  </si>
  <si>
    <t>Dudung Hidayat</t>
  </si>
  <si>
    <t>3211140902790002</t>
  </si>
  <si>
    <t>0821-1538-3275</t>
  </si>
  <si>
    <t>Dusun Pasir Muncang</t>
  </si>
  <si>
    <t>Nia Kurniasih</t>
  </si>
  <si>
    <t>0821-2747-5270</t>
  </si>
  <si>
    <t>Alifah Maulida Rahayu</t>
  </si>
  <si>
    <t>3204135809120005</t>
  </si>
  <si>
    <t>Olah raga</t>
  </si>
  <si>
    <t>3204130505770014</t>
  </si>
  <si>
    <t>Ciapus</t>
  </si>
  <si>
    <t>Elin Rosdiana</t>
  </si>
  <si>
    <t>3204136707790003</t>
  </si>
  <si>
    <t>Putri Syakilla Nur Ilmi</t>
  </si>
  <si>
    <t>3204136302130002</t>
  </si>
  <si>
    <t>olahraga</t>
  </si>
  <si>
    <t>3204131410830004</t>
  </si>
  <si>
    <t>kp,sukasari</t>
  </si>
  <si>
    <t>ciapus</t>
  </si>
  <si>
    <t>banjaran</t>
  </si>
  <si>
    <t>kabupaten bandung</t>
  </si>
  <si>
    <t>3204326207890015</t>
  </si>
  <si>
    <t>0881-0235-37678</t>
  </si>
  <si>
    <t>bojong malaka indah</t>
  </si>
  <si>
    <t>bojong malaka</t>
  </si>
  <si>
    <t>Nazwa Aulia Pitri</t>
  </si>
  <si>
    <t>3211144209120002</t>
  </si>
  <si>
    <t>Sutiana</t>
  </si>
  <si>
    <t>Karyawan</t>
  </si>
  <si>
    <t>Dusun. Pasirmuncang</t>
  </si>
  <si>
    <t>Caswati</t>
  </si>
  <si>
    <t>Nabila Nur Azizah</t>
  </si>
  <si>
    <t>3275106208100004</t>
  </si>
  <si>
    <t>Renang</t>
  </si>
  <si>
    <t>3275101811830002</t>
  </si>
  <si>
    <t>Marbot Masjid</t>
  </si>
  <si>
    <t>Jl sawo raya</t>
  </si>
  <si>
    <t>Jatisampurna</t>
  </si>
  <si>
    <t>Kota bekasi</t>
  </si>
  <si>
    <t>3275106406860012</t>
  </si>
  <si>
    <t>Kota Bekasi</t>
  </si>
  <si>
    <t>Fathonatin Nadzira Azzahra</t>
  </si>
  <si>
    <t>3205045004130003</t>
  </si>
  <si>
    <t>3205041706810002</t>
  </si>
  <si>
    <t>Kp cibolerang</t>
  </si>
  <si>
    <t>Tarogong kaler</t>
  </si>
  <si>
    <t>3205042706810002</t>
  </si>
  <si>
    <t>Siti Az-Zahra</t>
  </si>
  <si>
    <t>3205046107080001</t>
  </si>
  <si>
    <t>3205042504790002</t>
  </si>
  <si>
    <t>Perum bumi malayu asri blok f 19</t>
  </si>
  <si>
    <t>Sirnajaya</t>
  </si>
  <si>
    <t>3205045209870004</t>
  </si>
  <si>
    <t>0091613134</t>
  </si>
  <si>
    <t>3211184307090001</t>
  </si>
  <si>
    <t>Mengaji</t>
  </si>
  <si>
    <t>Rancamulya</t>
  </si>
  <si>
    <t>Sumedang utara</t>
  </si>
  <si>
    <t>Alda The Liana Nasahi</t>
  </si>
  <si>
    <t>3204286102120011</t>
  </si>
  <si>
    <t>Mengarang cerita/membaca</t>
  </si>
  <si>
    <t>Ikut beasiswa anak yatim</t>
  </si>
  <si>
    <t>Memperdalam ilmu agama</t>
  </si>
  <si>
    <t>3204280601220005</t>
  </si>
  <si>
    <t>3,20428E+15</t>
  </si>
  <si>
    <t>082218072881</t>
  </si>
  <si>
    <t>ayah kandung telah meninggal alm</t>
  </si>
  <si>
    <t>nina Marlina</t>
  </si>
  <si>
    <t>sumedang</t>
  </si>
  <si>
    <t>KP. Pesantren</t>
  </si>
  <si>
    <t>Bojongloa</t>
  </si>
  <si>
    <t>jawa Barat</t>
  </si>
  <si>
    <t>Zdahira Rizqi Auliya</t>
  </si>
  <si>
    <t>3121645030</t>
  </si>
  <si>
    <t>3211156710120001</t>
  </si>
  <si>
    <t>Ustdzah</t>
  </si>
  <si>
    <t>3211192604130001</t>
  </si>
  <si>
    <t>3211152808840018</t>
  </si>
  <si>
    <t>085322799038</t>
  </si>
  <si>
    <t>Dusun cikondang</t>
  </si>
  <si>
    <t>Cikondang</t>
  </si>
  <si>
    <t>3211157112880005</t>
  </si>
  <si>
    <t>085759904622</t>
  </si>
  <si>
    <t>Nadhifa Salsabila</t>
  </si>
  <si>
    <t>3120238783</t>
  </si>
  <si>
    <t>3204134909120003</t>
  </si>
  <si>
    <t>Masak</t>
  </si>
  <si>
    <t>Jadi orang yang bermanfaat bagi seluruh makhluk</t>
  </si>
  <si>
    <t>3211181009200011</t>
  </si>
  <si>
    <t>3204130908720007</t>
  </si>
  <si>
    <t>087730600566</t>
  </si>
  <si>
    <t>Kp.neglasari desa Ciapus kec.banjaran kab.bandung</t>
  </si>
  <si>
    <t>07/03</t>
  </si>
  <si>
    <t>Strata 2</t>
  </si>
  <si>
    <t>Maspupah</t>
  </si>
  <si>
    <t>3204366412120001</t>
  </si>
  <si>
    <t>berenang</t>
  </si>
  <si>
    <t>3204362707690001</t>
  </si>
  <si>
    <t>kp.patrol</t>
  </si>
  <si>
    <t>ibun</t>
  </si>
  <si>
    <t>3204365808770001</t>
  </si>
  <si>
    <t>Nadhira Salsabila</t>
  </si>
  <si>
    <t>3277035304100006</t>
  </si>
  <si>
    <t>Perawat</t>
  </si>
  <si>
    <t>Yuyun Oma Komara</t>
  </si>
  <si>
    <t>3277032104760002</t>
  </si>
  <si>
    <t>Jl. Babakan loa no 35</t>
  </si>
  <si>
    <t>Pasirkaliki</t>
  </si>
  <si>
    <t>Cimahi Utara</t>
  </si>
  <si>
    <t>Elis Julaeha</t>
  </si>
  <si>
    <t>3277035308770002</t>
  </si>
  <si>
    <t>3214034507130001</t>
  </si>
  <si>
    <t>Ingin menjadi anak yang soleha</t>
  </si>
  <si>
    <t>Yusup Abdulah</t>
  </si>
  <si>
    <t>3214030204880003</t>
  </si>
  <si>
    <t>Kp.Tegalnangklak</t>
  </si>
  <si>
    <t>Bunder</t>
  </si>
  <si>
    <t>Jatiluhur</t>
  </si>
  <si>
    <t>3214034409930003</t>
  </si>
  <si>
    <t>Putri Tresnawati</t>
  </si>
  <si>
    <t>3273266603130001</t>
  </si>
  <si>
    <t>Hafidz Qur'an</t>
  </si>
  <si>
    <t>Ateng</t>
  </si>
  <si>
    <t>3273261608720003</t>
  </si>
  <si>
    <t>Tanjakan panjang</t>
  </si>
  <si>
    <t>Pasirwangi</t>
  </si>
  <si>
    <t>Ujungberung</t>
  </si>
  <si>
    <t>Sumiati</t>
  </si>
  <si>
    <t>3273264307730005</t>
  </si>
  <si>
    <t>Zainah Zulaikho Hamdani</t>
  </si>
  <si>
    <t>3204095406090001</t>
  </si>
  <si>
    <t>Melukis</t>
  </si>
  <si>
    <t>Ustadzah, Seniman</t>
  </si>
  <si>
    <t>Melanjutkan dari pesantren Daar Maliky Bogor</t>
  </si>
  <si>
    <t>Muhammad Yusuf Hamdani</t>
  </si>
  <si>
    <t>Cirebon</t>
  </si>
  <si>
    <t>Kp. Ciborerang No.47</t>
  </si>
  <si>
    <t>Sangkanhurip</t>
  </si>
  <si>
    <t>Ervina</t>
  </si>
  <si>
    <t>3204096006820013</t>
  </si>
  <si>
    <t>3277034102100006</t>
  </si>
  <si>
    <t>Hafidzah</t>
  </si>
  <si>
    <t>Bekasi</t>
  </si>
  <si>
    <t>3277032904820006</t>
  </si>
  <si>
    <t>Gg alpakah</t>
  </si>
  <si>
    <t>CITEUREUP</t>
  </si>
  <si>
    <t>3277034101870019</t>
  </si>
  <si>
    <t>Ismi Sayyidati Hamidah Ramadhani</t>
  </si>
  <si>
    <t>3277015109090006</t>
  </si>
  <si>
    <t>Jadi Ustadzah sebagai penceramah</t>
  </si>
  <si>
    <t>Aep Achmad Sobari</t>
  </si>
  <si>
    <t>3277012607760026</t>
  </si>
  <si>
    <t>P085294300070</t>
  </si>
  <si>
    <t>Jl. Kerkof No. 93</t>
  </si>
  <si>
    <t>Leuwigakah</t>
  </si>
  <si>
    <t>Cimahi Selatan</t>
  </si>
  <si>
    <t>Neneng Sri Ati</t>
  </si>
  <si>
    <t>3277015208800041</t>
  </si>
  <si>
    <t>Ilova Kirani Susilo</t>
  </si>
  <si>
    <t>3273224105120003</t>
  </si>
  <si>
    <t>3273162212890004</t>
  </si>
  <si>
    <t>Jln bunisari no.35a</t>
  </si>
  <si>
    <t>Desa gadobangkong</t>
  </si>
  <si>
    <t>3217065608890009</t>
  </si>
  <si>
    <t>3134764113/3137465210</t>
  </si>
  <si>
    <t>3211176805130005</t>
  </si>
  <si>
    <t>3211170501830006</t>
  </si>
  <si>
    <t>085321813332/082321019715</t>
  </si>
  <si>
    <t>3211184408880002</t>
  </si>
  <si>
    <t>3211185902130001</t>
  </si>
  <si>
    <t>4 bersaudara</t>
  </si>
  <si>
    <t>Edi</t>
  </si>
  <si>
    <t>Dusun CIBITUNG</t>
  </si>
  <si>
    <t>3213126309090002</t>
  </si>
  <si>
    <t>OLAH RAGA</t>
  </si>
  <si>
    <t>3213121106710246</t>
  </si>
  <si>
    <t>Jln lapang sepak bola no 99</t>
  </si>
  <si>
    <t>3213125503790004</t>
  </si>
  <si>
    <t>Hazna Siti Maimunah</t>
  </si>
  <si>
    <t>3211186001130003</t>
  </si>
  <si>
    <t>Hikmah Jamal Soleh</t>
  </si>
  <si>
    <t>Dagang</t>
  </si>
  <si>
    <t>Lingk. Pasar Inpres</t>
  </si>
  <si>
    <t>Kel. Kotakaler</t>
  </si>
  <si>
    <t>Neneng Sukaesih</t>
  </si>
  <si>
    <t>3211185308810004</t>
  </si>
  <si>
    <t>3130886423</t>
  </si>
  <si>
    <t>3204325301130007</t>
  </si>
  <si>
    <t>Makan</t>
  </si>
  <si>
    <t>Jadi santri yg baik</t>
  </si>
  <si>
    <t>3204322712900006</t>
  </si>
  <si>
    <t>081224629177</t>
  </si>
  <si>
    <t>Kp muara</t>
  </si>
  <si>
    <t>5/7</t>
  </si>
  <si>
    <t>Andir</t>
  </si>
  <si>
    <t>Tidak ada kabar</t>
  </si>
  <si>
    <t>0101141653</t>
  </si>
  <si>
    <t>3204284201100007</t>
  </si>
  <si>
    <t>3211140107210003</t>
  </si>
  <si>
    <t>Dadan setiawan</t>
  </si>
  <si>
    <t>3204280402870014</t>
  </si>
  <si>
    <t>089690422460</t>
  </si>
  <si>
    <t>Dusun babakan limus</t>
  </si>
  <si>
    <t>CIHANJUANG</t>
  </si>
  <si>
    <t>3204284809900005</t>
  </si>
  <si>
    <t>089504962545</t>
  </si>
  <si>
    <t>Ayah Sambung (Ayah Tiri)</t>
  </si>
  <si>
    <t>Maisya Salsabila Nadhifa</t>
  </si>
  <si>
    <t>3211184704130001</t>
  </si>
  <si>
    <t>Abdul Manan</t>
  </si>
  <si>
    <t>3211181611840008</t>
  </si>
  <si>
    <t>3211186511850005</t>
  </si>
  <si>
    <t>Asqia Latifah</t>
  </si>
  <si>
    <t>3204327005130007</t>
  </si>
  <si>
    <t>3 bersaudara</t>
  </si>
  <si>
    <t>renang</t>
  </si>
  <si>
    <t>ustadzah</t>
  </si>
  <si>
    <t>3204321011770008</t>
  </si>
  <si>
    <t>kp. cilebak</t>
  </si>
  <si>
    <t>rancamanyar</t>
  </si>
  <si>
    <t>baleendah</t>
  </si>
  <si>
    <t>Hoeriah</t>
  </si>
  <si>
    <t>3204326509790006</t>
  </si>
  <si>
    <t>Neysa Aulia Mustopa</t>
  </si>
  <si>
    <t>3217084706130003</t>
  </si>
  <si>
    <t>Menggambar dan membaca</t>
  </si>
  <si>
    <t>Wanita sholehah</t>
  </si>
  <si>
    <t>Cecep Zaenal Mustopa</t>
  </si>
  <si>
    <t>3204110906850001</t>
  </si>
  <si>
    <t>Komplek Gading Tutuka 2</t>
  </si>
  <si>
    <t>Ciluncat</t>
  </si>
  <si>
    <t>Kabupaten Bandung</t>
  </si>
  <si>
    <t>Nirna Widiarti</t>
  </si>
  <si>
    <t>3217085010850026</t>
  </si>
  <si>
    <t>Siti Ummu.Salamah</t>
  </si>
  <si>
    <t>3211176410120001</t>
  </si>
  <si>
    <t>Empat</t>
  </si>
  <si>
    <t>Endang Suryana</t>
  </si>
  <si>
    <t>3211172207680002</t>
  </si>
  <si>
    <t>Lingkungan kaum</t>
  </si>
  <si>
    <t>Regol wetan</t>
  </si>
  <si>
    <t>Sumedang Selatan</t>
  </si>
  <si>
    <t>3211174207720005</t>
  </si>
  <si>
    <t>3211115411120005</t>
  </si>
  <si>
    <t>membaca</t>
  </si>
  <si>
    <t>Tasub Mulyadi</t>
  </si>
  <si>
    <t>3213122602860001</t>
  </si>
  <si>
    <t>dusun pagaden</t>
  </si>
  <si>
    <t>margajaya</t>
  </si>
  <si>
    <t>tanjungsari</t>
  </si>
  <si>
    <t>3211114107810068</t>
  </si>
  <si>
    <t>0093472835</t>
  </si>
  <si>
    <t>3204465706090005</t>
  </si>
  <si>
    <t>3</t>
  </si>
  <si>
    <t>3204462910240004</t>
  </si>
  <si>
    <t>Muhammad Sahlan Agustian</t>
  </si>
  <si>
    <t>Andriansyah</t>
  </si>
  <si>
    <t>Ati Rohayati</t>
  </si>
  <si>
    <t>Saudara kandungnya</t>
  </si>
  <si>
    <t>3204461708000003</t>
  </si>
  <si>
    <t>08987993599</t>
  </si>
  <si>
    <t>Kp. Saneke RT 03/10, Pameuntasan Kutawaringin</t>
  </si>
  <si>
    <t>Pameuntasan</t>
  </si>
  <si>
    <t>Kutawaringin</t>
  </si>
  <si>
    <t>Syakira Alkhansa Nur Hafsah</t>
  </si>
  <si>
    <t>0124206421</t>
  </si>
  <si>
    <t>3273115811120003</t>
  </si>
  <si>
    <t>hafiz quran dan ustadzah</t>
  </si>
  <si>
    <t>3273110512140008</t>
  </si>
  <si>
    <t>Sigit Arnanto</t>
  </si>
  <si>
    <t>Risa Meilawati</t>
  </si>
  <si>
    <t>3273117105890003</t>
  </si>
  <si>
    <t>082121515223</t>
  </si>
  <si>
    <t>Jl Babakan Priangan II</t>
  </si>
  <si>
    <t>Ciseureuh</t>
  </si>
  <si>
    <t>Andriana</t>
  </si>
  <si>
    <t>3273030802800004</t>
  </si>
  <si>
    <t>081322025363</t>
  </si>
  <si>
    <t>KP Babakan</t>
  </si>
  <si>
    <t>Babakan</t>
  </si>
  <si>
    <t>Babakan Ciparay</t>
  </si>
  <si>
    <t>Kelas Khusus</t>
  </si>
  <si>
    <t>Tamhidi A</t>
  </si>
  <si>
    <t>Tamhidi B</t>
  </si>
  <si>
    <t>Siti Badriah</t>
  </si>
  <si>
    <t>3273175203080005</t>
  </si>
  <si>
    <t>3273173007130003</t>
  </si>
  <si>
    <t>Rahadian Zarkasih</t>
  </si>
  <si>
    <t>3273171703850001</t>
  </si>
  <si>
    <t>Jl. Cibaduyut Blok Pesantren</t>
  </si>
  <si>
    <t>Cibaduyut</t>
  </si>
  <si>
    <t>Bojongloa Kaler</t>
  </si>
  <si>
    <t>Siti Sarah</t>
  </si>
  <si>
    <t>3204464902880008</t>
  </si>
  <si>
    <t>Rubiah Adawiyah</t>
  </si>
  <si>
    <t>0096920881</t>
  </si>
  <si>
    <t>3204464104090003</t>
  </si>
  <si>
    <t>01/04/2009</t>
  </si>
  <si>
    <t>3204461205050138</t>
  </si>
  <si>
    <t>Aan Karmanah</t>
  </si>
  <si>
    <t>3204465010680007</t>
  </si>
  <si>
    <t>Kp. Badaraksa</t>
  </si>
  <si>
    <t>003/014</t>
  </si>
  <si>
    <t>Jelegong</t>
  </si>
  <si>
    <t>0094212319</t>
  </si>
  <si>
    <t>Sukajaya</t>
  </si>
  <si>
    <t>Kadungora</t>
  </si>
  <si>
    <t>Cimacan</t>
  </si>
  <si>
    <t>Cipana</t>
  </si>
  <si>
    <t>Situ</t>
  </si>
  <si>
    <t>Selacau</t>
  </si>
  <si>
    <t>Sulawesi Tenggara</t>
  </si>
  <si>
    <t>Jakarta Timur</t>
  </si>
  <si>
    <t>Dki Jakarta</t>
  </si>
  <si>
    <t>Bojong Soang</t>
  </si>
  <si>
    <t>Cigadung</t>
  </si>
  <si>
    <t>Keban Agung 2</t>
  </si>
  <si>
    <t>Karawang Wetan</t>
  </si>
  <si>
    <t>Sukawsna</t>
  </si>
  <si>
    <t>Kertajati</t>
  </si>
  <si>
    <t>Citeureup</t>
  </si>
  <si>
    <t>Talagasari</t>
  </si>
  <si>
    <t>Cibalongsari</t>
  </si>
  <si>
    <t>Kelari</t>
  </si>
  <si>
    <t>Tarogong Kaler</t>
  </si>
  <si>
    <t>Pasirhuni</t>
  </si>
  <si>
    <t>Cimaung</t>
  </si>
  <si>
    <t xml:space="preserve">Arcamanik </t>
  </si>
  <si>
    <t>Lagoa</t>
  </si>
  <si>
    <t>Koja</t>
  </si>
  <si>
    <t>Jakarta Utara</t>
  </si>
  <si>
    <t>Banjaran Kulon</t>
  </si>
  <si>
    <t>Bojong Kunci</t>
  </si>
  <si>
    <t>Cinanjung</t>
  </si>
  <si>
    <t xml:space="preserve">Tanjungsari </t>
  </si>
  <si>
    <t>Soreang</t>
  </si>
  <si>
    <t>Sukamerang</t>
  </si>
  <si>
    <t>Margahayu Tengah</t>
  </si>
  <si>
    <t>Margahayu</t>
  </si>
  <si>
    <t>Babakan Taronggong</t>
  </si>
  <si>
    <t>Sukamulya</t>
  </si>
  <si>
    <t>Cibeuyir Kaler</t>
  </si>
  <si>
    <t>Ciroyom</t>
  </si>
  <si>
    <t>Bojongsoang</t>
  </si>
  <si>
    <t>Gunasari</t>
  </si>
  <si>
    <t>Cibiru Hilir</t>
  </si>
  <si>
    <t>Cileunyi</t>
  </si>
  <si>
    <t>Pamekaran</t>
  </si>
  <si>
    <t xml:space="preserve">Soreang </t>
  </si>
  <si>
    <t>Cigugur Tengah</t>
  </si>
  <si>
    <t>Bojongsari</t>
  </si>
  <si>
    <t>Talang Kemuning</t>
  </si>
  <si>
    <t>Bukitkerman</t>
  </si>
  <si>
    <t>Kerinci</t>
  </si>
  <si>
    <t>Jambi</t>
  </si>
  <si>
    <t>Cikole</t>
  </si>
  <si>
    <t>Cingcin</t>
  </si>
  <si>
    <t>Sirnagalih</t>
  </si>
  <si>
    <t>Cipeundeuy</t>
  </si>
  <si>
    <t>Padaasih</t>
  </si>
  <si>
    <t>Cisarua</t>
  </si>
  <si>
    <t>Kota Kulon</t>
  </si>
  <si>
    <t>Mukomuko</t>
  </si>
  <si>
    <t>Kotakaler</t>
  </si>
  <si>
    <t>Paledang</t>
  </si>
  <si>
    <t>Lengkong</t>
  </si>
  <si>
    <t xml:space="preserve">Bandung   </t>
  </si>
  <si>
    <t xml:space="preserve">Situ </t>
  </si>
  <si>
    <t>Sukasejati</t>
  </si>
  <si>
    <t>Cikarang Selatan</t>
  </si>
  <si>
    <t>Cianting Utara</t>
  </si>
  <si>
    <t>Sukatani</t>
  </si>
  <si>
    <t>Sindangpanon</t>
  </si>
  <si>
    <t>Rancaekek Kulon</t>
  </si>
  <si>
    <t>Rancasalak</t>
  </si>
  <si>
    <t>Dukuh</t>
  </si>
  <si>
    <t>Kramat Jati</t>
  </si>
  <si>
    <t>Jatisari</t>
  </si>
  <si>
    <t>Buahbatu</t>
  </si>
  <si>
    <t>Rancamanyar</t>
  </si>
  <si>
    <t>Sukaratu</t>
  </si>
  <si>
    <t>Gekbrong</t>
  </si>
  <si>
    <t>Batukarut</t>
  </si>
  <si>
    <t>Majasari</t>
  </si>
  <si>
    <t>Cibiuk</t>
  </si>
  <si>
    <t>Kiangroke</t>
  </si>
  <si>
    <t>Citalang</t>
  </si>
  <si>
    <t>Bojonghaleuang</t>
  </si>
  <si>
    <t>Saguling</t>
  </si>
  <si>
    <t>Ujung Jaya</t>
  </si>
  <si>
    <t>Cikaramas</t>
  </si>
  <si>
    <t>Tanjungmedar</t>
  </si>
  <si>
    <t>Cijagra</t>
  </si>
  <si>
    <t>Sindangpakuon</t>
  </si>
  <si>
    <t>Citapen</t>
  </si>
  <si>
    <t>Cugenang</t>
  </si>
  <si>
    <t>Cinunuk</t>
  </si>
  <si>
    <t>Purwasari</t>
  </si>
  <si>
    <t>Gempolsari</t>
  </si>
  <si>
    <t>Talun</t>
  </si>
  <si>
    <t>Cisaranten Bina Harapan</t>
  </si>
  <si>
    <t>Arcamanik</t>
  </si>
  <si>
    <t>Sukakarya</t>
  </si>
  <si>
    <t>Tarogong Kidul</t>
  </si>
  <si>
    <t>Maleber</t>
  </si>
  <si>
    <t>Jatihurip</t>
  </si>
  <si>
    <t>Kirisik</t>
  </si>
  <si>
    <t>Jatinunggal</t>
  </si>
  <si>
    <t>Mulyajaya</t>
  </si>
  <si>
    <t>Banjarwangi</t>
  </si>
  <si>
    <t>Kotakulon</t>
  </si>
  <si>
    <t>Dago</t>
  </si>
  <si>
    <t>Cikadut</t>
  </si>
  <si>
    <t>Kranji</t>
  </si>
  <si>
    <t>Bekasi Barat</t>
  </si>
  <si>
    <t>Babakan Tarogong</t>
  </si>
  <si>
    <t>Cijerah</t>
  </si>
  <si>
    <t>Pangauban</t>
  </si>
  <si>
    <t>Antapani Wetan</t>
  </si>
  <si>
    <t>Antapani</t>
  </si>
  <si>
    <t>Sukabungah</t>
  </si>
  <si>
    <t>Sukajadi</t>
  </si>
  <si>
    <t xml:space="preserve">Jawa Barat </t>
  </si>
  <si>
    <t>Sukarapih</t>
  </si>
  <si>
    <t>Sukasari</t>
  </si>
  <si>
    <t xml:space="preserve">Bandung </t>
  </si>
  <si>
    <t>Cihideung</t>
  </si>
  <si>
    <t>Parongpong</t>
  </si>
  <si>
    <t>Kamasan</t>
  </si>
  <si>
    <t xml:space="preserve">Bandung  </t>
  </si>
  <si>
    <t>Kopo</t>
  </si>
  <si>
    <t>Nyalindung</t>
  </si>
  <si>
    <t>Cipatat</t>
  </si>
  <si>
    <t>Sukapura</t>
  </si>
  <si>
    <t>Kiaracondong</t>
  </si>
  <si>
    <t>Pangadegan</t>
  </si>
  <si>
    <t>Rancakalong</t>
  </si>
  <si>
    <t>Leuwigajah</t>
  </si>
  <si>
    <t xml:space="preserve">Cimahi Selatan </t>
  </si>
  <si>
    <t xml:space="preserve">Sumedang Utara </t>
  </si>
  <si>
    <t xml:space="preserve">Sumedang </t>
  </si>
  <si>
    <t>Cibeureum</t>
  </si>
  <si>
    <t>Sukawali</t>
  </si>
  <si>
    <t>Pakuhaji</t>
  </si>
  <si>
    <t>Tangerang</t>
  </si>
  <si>
    <t>Banten</t>
  </si>
  <si>
    <t xml:space="preserve">Sumedang Selatan </t>
  </si>
  <si>
    <t>Pasirjati</t>
  </si>
  <si>
    <t>Melatiwangi</t>
  </si>
  <si>
    <t>Cilengkrang</t>
  </si>
  <si>
    <t>Maleer</t>
  </si>
  <si>
    <t>Batununggal</t>
  </si>
  <si>
    <t>Cienteung</t>
  </si>
  <si>
    <t>Darmaraja</t>
  </si>
  <si>
    <t>Palumbonsari</t>
  </si>
  <si>
    <t>Mekar Mulya</t>
  </si>
  <si>
    <t>Panyileukan</t>
  </si>
  <si>
    <t>Margaluyu</t>
  </si>
  <si>
    <t>Tarajusari</t>
  </si>
  <si>
    <t>Wargaluyu</t>
  </si>
  <si>
    <t>Cibuntu</t>
  </si>
  <si>
    <t>Ujungjaya</t>
  </si>
  <si>
    <t>Pasar Bhayangkara</t>
  </si>
  <si>
    <t>Talang Ubi</t>
  </si>
  <si>
    <t>Penukal Abab Lematang Ilir</t>
  </si>
  <si>
    <t>Sumatera Selatan</t>
  </si>
  <si>
    <t>Palasari</t>
  </si>
  <si>
    <t>Gadobangkong</t>
  </si>
  <si>
    <t>Babakan Asih</t>
  </si>
  <si>
    <t xml:space="preserve">Pasanggrahan </t>
  </si>
  <si>
    <t>Pasanggrahan Baru</t>
  </si>
  <si>
    <t>Sukamaju</t>
  </si>
  <si>
    <t>Cieunteung</t>
  </si>
  <si>
    <t>Sangiang</t>
  </si>
  <si>
    <t>Kalibaru</t>
  </si>
  <si>
    <t>Cilincing</t>
  </si>
  <si>
    <t>Padalarang</t>
  </si>
  <si>
    <t>Utama</t>
  </si>
  <si>
    <t>Cibabat</t>
  </si>
  <si>
    <t>Sukawarna</t>
  </si>
  <si>
    <t>Cipameumpeuk</t>
  </si>
  <si>
    <t>Tamansari</t>
  </si>
  <si>
    <t>Bandung Wetan</t>
  </si>
  <si>
    <t>Wonoharjo</t>
  </si>
  <si>
    <t>Pangandaran</t>
  </si>
  <si>
    <t>Rahayu</t>
  </si>
  <si>
    <t>Margaasih</t>
  </si>
  <si>
    <t>Jangkurang</t>
  </si>
  <si>
    <t>Leles</t>
  </si>
  <si>
    <t>Cibeureum Wetan</t>
  </si>
  <si>
    <t>Sirnamulya</t>
  </si>
  <si>
    <t>Jagabaya</t>
  </si>
  <si>
    <t>Langonsari</t>
  </si>
  <si>
    <t>Pameumpeuk</t>
  </si>
  <si>
    <t>Cimuning</t>
  </si>
  <si>
    <t>Mustika Jaya</t>
  </si>
  <si>
    <t>Antapani Kulon</t>
  </si>
  <si>
    <t>Margasuka</t>
  </si>
  <si>
    <t>Sayang</t>
  </si>
  <si>
    <t>Jatimulya</t>
  </si>
  <si>
    <t>Bumiwangi</t>
  </si>
  <si>
    <t>Cikeusi</t>
  </si>
  <si>
    <t>Sagala Herang Kaler</t>
  </si>
  <si>
    <t>Sagalaherang</t>
  </si>
  <si>
    <t>Megugede</t>
  </si>
  <si>
    <t>Weru</t>
  </si>
  <si>
    <t>Sukaresmi</t>
  </si>
  <si>
    <t>Pangalengan</t>
  </si>
  <si>
    <t>Tribaktimulya</t>
  </si>
  <si>
    <t xml:space="preserve">Pangalengan </t>
  </si>
  <si>
    <t>Pasir Jambu</t>
  </si>
  <si>
    <t>Tanimulya</t>
  </si>
  <si>
    <t xml:space="preserve">Baginda </t>
  </si>
  <si>
    <t>Kondangjaya</t>
  </si>
  <si>
    <t>Ciporeat</t>
  </si>
  <si>
    <t>Marga Jaya</t>
  </si>
  <si>
    <t>Sukasari Kidul</t>
  </si>
  <si>
    <t>Argapura</t>
  </si>
  <si>
    <t>Sukawangi</t>
  </si>
  <si>
    <t>Duren Sawit</t>
  </si>
  <si>
    <t>Sawahgede</t>
  </si>
  <si>
    <t>Cikahuripan</t>
  </si>
  <si>
    <t>Gandasari</t>
  </si>
  <si>
    <t>Marga Mekar</t>
  </si>
  <si>
    <t>Lagadar</t>
  </si>
  <si>
    <t>Girimukti</t>
  </si>
  <si>
    <t xml:space="preserve">Sumbersari </t>
  </si>
  <si>
    <t xml:space="preserve">Padasuka </t>
  </si>
  <si>
    <t>Cibeunying Kidul</t>
  </si>
  <si>
    <t>Ciawi</t>
  </si>
  <si>
    <t>Cibangkong</t>
  </si>
  <si>
    <t>Tejamulya</t>
  </si>
  <si>
    <t>Ciptasari</t>
  </si>
  <si>
    <t>Margahayu Selatan</t>
  </si>
  <si>
    <t>Bojongcemas</t>
  </si>
  <si>
    <t>Narimbang</t>
  </si>
  <si>
    <t>Conggeang</t>
  </si>
  <si>
    <t>Bojongmanggu</t>
  </si>
  <si>
    <t>Pasanggrahan</t>
  </si>
  <si>
    <t>Tanjung Sari</t>
  </si>
  <si>
    <t>Kertabasuki</t>
  </si>
  <si>
    <t>Maja</t>
  </si>
  <si>
    <t>Regol Wetan</t>
  </si>
  <si>
    <t>Husen Sastranegara</t>
  </si>
  <si>
    <t>Cicendo</t>
  </si>
  <si>
    <t>Desa Cipatik</t>
  </si>
  <si>
    <t>Cipancar</t>
  </si>
  <si>
    <t>Pasir Endah</t>
  </si>
  <si>
    <t>Cicangkanggirang</t>
  </si>
  <si>
    <t>Sindang Kerta</t>
  </si>
  <si>
    <t>Mangunjaya</t>
  </si>
  <si>
    <t>Sukahaji</t>
  </si>
  <si>
    <t>Sukaluyu</t>
  </si>
  <si>
    <t>Cikawao</t>
  </si>
  <si>
    <t>Cikadu</t>
  </si>
  <si>
    <t>Nusaherang</t>
  </si>
  <si>
    <t>Kuningan</t>
  </si>
  <si>
    <t>Sukagalih</t>
  </si>
  <si>
    <t>Kebon Lega</t>
  </si>
  <si>
    <t>Bojongloa Kidul</t>
  </si>
  <si>
    <t>Sukamukti</t>
  </si>
  <si>
    <t>Ciuyah</t>
  </si>
  <si>
    <t>Cileunyi Wetan</t>
  </si>
  <si>
    <t>Cilembu</t>
  </si>
  <si>
    <t>Cibungur</t>
  </si>
  <si>
    <t>Sayati</t>
  </si>
  <si>
    <t>Cipaganti</t>
  </si>
  <si>
    <t>Cipacing</t>
  </si>
  <si>
    <t>Jati Nangor</t>
  </si>
  <si>
    <t>Cipameungpeuk</t>
  </si>
  <si>
    <t>Tanggeung</t>
  </si>
  <si>
    <t>Gunung Manik</t>
  </si>
  <si>
    <t>Gunungmanik</t>
  </si>
  <si>
    <t>Bojong Rawalumbu</t>
  </si>
  <si>
    <t>Rawalumbu</t>
  </si>
  <si>
    <t>Lebakwangi</t>
  </si>
  <si>
    <t>Margalumu</t>
  </si>
  <si>
    <t>Pataruman</t>
  </si>
  <si>
    <t>Sujajaya</t>
  </si>
  <si>
    <t>Banjaran Wetan</t>
  </si>
  <si>
    <t>Gumuruh</t>
  </si>
  <si>
    <t>Batu Nunggal</t>
  </si>
  <si>
    <t>Margamukti</t>
  </si>
  <si>
    <t>Pasir Biru</t>
  </si>
  <si>
    <t>Sanca</t>
  </si>
  <si>
    <t>Ciater</t>
  </si>
  <si>
    <t>Cangkuang Kulon</t>
  </si>
  <si>
    <t>Ibun</t>
  </si>
  <si>
    <t>Ds. Sindangpakuon</t>
  </si>
  <si>
    <t>Kec. Cimanggung</t>
  </si>
  <si>
    <t>Sukaraja</t>
  </si>
  <si>
    <t>Sindangratu</t>
  </si>
  <si>
    <t>Wanaraja</t>
  </si>
  <si>
    <t>Margamulya</t>
  </si>
  <si>
    <t>Kepuh</t>
  </si>
  <si>
    <t>Lemahsugih</t>
  </si>
  <si>
    <t xml:space="preserve"> Cimahi</t>
  </si>
  <si>
    <t>Cangkuang Wetan</t>
  </si>
  <si>
    <t>Manggir Tengah</t>
  </si>
  <si>
    <t>Sendangsari</t>
  </si>
  <si>
    <t xml:space="preserve">Pajangkalan Bantul </t>
  </si>
  <si>
    <t>Yogyakarta</t>
  </si>
  <si>
    <t>Majakerta</t>
  </si>
  <si>
    <t>Majalaya</t>
  </si>
  <si>
    <t>Sekejati</t>
  </si>
  <si>
    <t>Cicurug</t>
  </si>
  <si>
    <t>Warung Muncang</t>
  </si>
  <si>
    <t>Manggahang</t>
  </si>
  <si>
    <t>Sindanggalih</t>
  </si>
  <si>
    <t>Kemasan</t>
  </si>
  <si>
    <t>Cigugur Girang</t>
  </si>
  <si>
    <t>Waringin</t>
  </si>
  <si>
    <t>Palasah</t>
  </si>
  <si>
    <t>Cicaheum</t>
  </si>
  <si>
    <t>Suka Resmi</t>
  </si>
  <si>
    <t>Sahkuda Bayu</t>
  </si>
  <si>
    <t>Gunung Malela</t>
  </si>
  <si>
    <t>Simalungun</t>
  </si>
  <si>
    <t>Sumatera Utara</t>
  </si>
  <si>
    <t>Campakmulya</t>
  </si>
  <si>
    <t xml:space="preserve">Tarogong Kaler </t>
  </si>
  <si>
    <t>Bungbangsari</t>
  </si>
  <si>
    <t>Takokak</t>
  </si>
  <si>
    <t>Baros</t>
  </si>
  <si>
    <t>Darmawangi</t>
  </si>
  <si>
    <t>Tomo</t>
  </si>
  <si>
    <t>Tegal Sumedang</t>
  </si>
  <si>
    <t>Citengah</t>
  </si>
  <si>
    <t>Cipedes</t>
  </si>
  <si>
    <t xml:space="preserve"> Husen Sastranegara</t>
  </si>
  <si>
    <t>Suka Jaya</t>
  </si>
  <si>
    <t>Pasir Jaya</t>
  </si>
  <si>
    <t>Cikupa</t>
  </si>
  <si>
    <t>Sukamenak</t>
  </si>
  <si>
    <t>Maegahayu</t>
  </si>
  <si>
    <t>Komp. Soreang Resindece F4 No 12-13</t>
  </si>
  <si>
    <t>Kp Barunagri</t>
  </si>
  <si>
    <t>Jl. Babakan No 2</t>
  </si>
  <si>
    <t>Kp. Sekepeuntas</t>
  </si>
  <si>
    <t xml:space="preserve">Buntis </t>
  </si>
  <si>
    <t>Dusun Ii Air Hitam</t>
  </si>
  <si>
    <t xml:space="preserve">Kp. Cipari </t>
  </si>
  <si>
    <t>Jl.Caringin Gg Lumbung Iv</t>
  </si>
  <si>
    <t>Kp. Kubang</t>
  </si>
  <si>
    <t>Jl.Anyelir Iv No.64 Blok 14</t>
  </si>
  <si>
    <t>Kp. Sukatani</t>
  </si>
  <si>
    <t>Ling Kertaraharja No 04</t>
  </si>
  <si>
    <t>Kp Boncel</t>
  </si>
  <si>
    <t>Kp. Jalantir</t>
  </si>
  <si>
    <t>Jl.Poncol Gg.Nusaindah</t>
  </si>
  <si>
    <t>Komplek Mutiara Bandung Selatan Blok D 96</t>
  </si>
  <si>
    <t>Blok Cilaja</t>
  </si>
  <si>
    <t>Dudun Cikeruh</t>
  </si>
  <si>
    <t>Dusun Babakan Limus</t>
  </si>
  <si>
    <t>Kp.Citeureup</t>
  </si>
  <si>
    <t xml:space="preserve">Jl Arcamanik Gg Cempaka </t>
  </si>
  <si>
    <t>Blok Kidul</t>
  </si>
  <si>
    <t>Jl.Pojok Utara Ii</t>
  </si>
  <si>
    <t>Gg Alpakah</t>
  </si>
  <si>
    <t>Kp.Lunjuk Hilir</t>
  </si>
  <si>
    <t>Prum De Griya Blok J 7 / 27</t>
  </si>
  <si>
    <t>Kmp. Cigonewah Kaler</t>
  </si>
  <si>
    <t>Garut Perumahan Bumi Malayu Asri Blok G23</t>
  </si>
  <si>
    <t>Kp.Ciawitali</t>
  </si>
  <si>
    <t>Jl.Mangga Blok A Gg.Iv/13</t>
  </si>
  <si>
    <t xml:space="preserve"> Melur V No 17 Blok 15 Rancaekek Kencana</t>
  </si>
  <si>
    <t>Kp.Sirnapikir</t>
  </si>
  <si>
    <t>Perum Tanjungsari Permai Blok Ea No 3</t>
  </si>
  <si>
    <t>Kp Tambakan</t>
  </si>
  <si>
    <t>Gang Mesjid</t>
  </si>
  <si>
    <t>Kp. Ciburial Barat</t>
  </si>
  <si>
    <t>Kp.Cipeujeuh</t>
  </si>
  <si>
    <t xml:space="preserve">Kp Sadang </t>
  </si>
  <si>
    <t>Gg Indik No 86/88</t>
  </si>
  <si>
    <t xml:space="preserve">Kmp Dukuh </t>
  </si>
  <si>
    <t xml:space="preserve">Cigadung Wetan </t>
  </si>
  <si>
    <t xml:space="preserve">Jl Arjuna Simpang Iii </t>
  </si>
  <si>
    <t>Kp.Kaum</t>
  </si>
  <si>
    <t>Kp.Cikoneng</t>
  </si>
  <si>
    <t xml:space="preserve">Kp Lunjuk Hilir </t>
  </si>
  <si>
    <t>Dsn.Cihonje</t>
  </si>
  <si>
    <t>Kav. Mekar Biru No.149 A</t>
  </si>
  <si>
    <t xml:space="preserve">Kmp Lembur Tegal </t>
  </si>
  <si>
    <t>Cicayur</t>
  </si>
  <si>
    <t>Kp Jalur</t>
  </si>
  <si>
    <t xml:space="preserve">Kp. Sukasenang </t>
  </si>
  <si>
    <t>Cijeruk</t>
  </si>
  <si>
    <t>Dusun Cibunut</t>
  </si>
  <si>
    <t xml:space="preserve">Gading Tutuka I Blok K30.05 </t>
  </si>
  <si>
    <t>Jln.Ratya Soreang No.28</t>
  </si>
  <si>
    <t xml:space="preserve">Kp Tugu </t>
  </si>
  <si>
    <t xml:space="preserve">Kp Cikawaron </t>
  </si>
  <si>
    <t>Kp Bongkok</t>
  </si>
  <si>
    <t xml:space="preserve">Lingkungan Darangdan Kebon </t>
  </si>
  <si>
    <t xml:space="preserve">Rancaloa </t>
  </si>
  <si>
    <t xml:space="preserve">Desa Air Hitam Dusun Air Hitam </t>
  </si>
  <si>
    <t>Desa Air Hitam</t>
  </si>
  <si>
    <t xml:space="preserve">Lingkungan Cipadung </t>
  </si>
  <si>
    <t xml:space="preserve">Jl.Karapitan Iii No.107/36A </t>
  </si>
  <si>
    <t>Jl.Ciluncat No.64</t>
  </si>
  <si>
    <t>Kp.Beor</t>
  </si>
  <si>
    <t>Jl.Panyingkiran No 75</t>
  </si>
  <si>
    <t>Kp Ciapus</t>
  </si>
  <si>
    <t>Villa Mutiara Ckr 2 Blok D.4 No.20</t>
  </si>
  <si>
    <t>Kp.Cilalawi</t>
  </si>
  <si>
    <t>Kp.Sukarame</t>
  </si>
  <si>
    <t>Kp.Sukamerang</t>
  </si>
  <si>
    <t>Kp.Rancaekek Kulon</t>
  </si>
  <si>
    <t>Kp.Babakan Galumpit</t>
  </si>
  <si>
    <t>Cipicung No.27</t>
  </si>
  <si>
    <t>Jl.Dukuh V</t>
  </si>
  <si>
    <t>Jl.Sanggar Kencana Vii No.42</t>
  </si>
  <si>
    <t>Kp Bojong Kukun</t>
  </si>
  <si>
    <t>Kp.Cibeleng</t>
  </si>
  <si>
    <t>Kp.Kebon Kelapa</t>
  </si>
  <si>
    <t>Kp.Cibacang</t>
  </si>
  <si>
    <t>Kp.Dangdeur</t>
  </si>
  <si>
    <t xml:space="preserve">Kp Citalang </t>
  </si>
  <si>
    <t>Kp.Bijinghaleuang</t>
  </si>
  <si>
    <t xml:space="preserve">Kp.Babakan </t>
  </si>
  <si>
    <t>Kampung Pawenang</t>
  </si>
  <si>
    <t>Cijagra I Gg.Iii N0.104/206 B</t>
  </si>
  <si>
    <t>Dusun Parakanmuncang</t>
  </si>
  <si>
    <t>Perum Alam Sanggar Indah No 28</t>
  </si>
  <si>
    <t>Kp.Puncak Manis</t>
  </si>
  <si>
    <t>Komp.Permata Biru Blk F-2 N0.2</t>
  </si>
  <si>
    <t>Ciparingga</t>
  </si>
  <si>
    <t>Dusun Karajan</t>
  </si>
  <si>
    <t>Lingk. Talun Kidul</t>
  </si>
  <si>
    <t>Pasar Sindanglaya</t>
  </si>
  <si>
    <t>Kp Dirgahayu</t>
  </si>
  <si>
    <t>Jl Budhi No.23</t>
  </si>
  <si>
    <t>Jl.Jend.Sudirman Gg.Abah Muhamad</t>
  </si>
  <si>
    <t>Dusun Sukaasih</t>
  </si>
  <si>
    <t>Kp.Babakan Pasuketan</t>
  </si>
  <si>
    <t>Lingkungan Darangdan Kebon</t>
  </si>
  <si>
    <t>Jl.Sandang</t>
  </si>
  <si>
    <t>Kp.Cigentur</t>
  </si>
  <si>
    <t>Jl.Bukit Dago Utara Ii No.16</t>
  </si>
  <si>
    <t>Dusun Ujungjaya</t>
  </si>
  <si>
    <t>Kp.Pasir Kiara</t>
  </si>
  <si>
    <t>Jl.Banteng No.2</t>
  </si>
  <si>
    <t>Gg.Manunggal Iic</t>
  </si>
  <si>
    <t>Komp. Gbi K.5 No 31</t>
  </si>
  <si>
    <t>Kp.Pangauban</t>
  </si>
  <si>
    <t>Jl.Sindang Sari 1 Gg.Mekarsari 5 No.4</t>
  </si>
  <si>
    <t>Gg.H Yasin Viii</t>
  </si>
  <si>
    <t>Dusun Sukabakti</t>
  </si>
  <si>
    <t>Kp.Cikande</t>
  </si>
  <si>
    <t>Kmp.Legok Keong</t>
  </si>
  <si>
    <t>Lingkungan Talun Kidul</t>
  </si>
  <si>
    <t>Kp.Pasir Sereh</t>
  </si>
  <si>
    <t>Kp.Kamasan</t>
  </si>
  <si>
    <t>Jl.Cilengkrang I No.13</t>
  </si>
  <si>
    <t>Kp.Pasir Kalapa</t>
  </si>
  <si>
    <t>Kmp.Bojong Nangka</t>
  </si>
  <si>
    <t>Kp.Tonjong</t>
  </si>
  <si>
    <t>Cidurian Tengah</t>
  </si>
  <si>
    <t xml:space="preserve">Dusun Ciloa </t>
  </si>
  <si>
    <t>Dusun Cipicung</t>
  </si>
  <si>
    <t>Jl.Kerkop No.198</t>
  </si>
  <si>
    <t>Lingkungan Barak</t>
  </si>
  <si>
    <t>Ranca Bentang</t>
  </si>
  <si>
    <t>Dusun Bojong</t>
  </si>
  <si>
    <t>Kp.Kramat</t>
  </si>
  <si>
    <t>Lingk Darangdan</t>
  </si>
  <si>
    <t>Pasir Kunci</t>
  </si>
  <si>
    <t>Kp.Paratag</t>
  </si>
  <si>
    <t>Jl.Kebon Gedang Iii</t>
  </si>
  <si>
    <t>Dusun Nagrong</t>
  </si>
  <si>
    <t>Perum Buana Asri A.3/1</t>
  </si>
  <si>
    <t>Jl.Teratai Mekar Vii No.11</t>
  </si>
  <si>
    <t>Kp.Sasak Lemah</t>
  </si>
  <si>
    <t>Dusun Pasir Angin</t>
  </si>
  <si>
    <t>Kp.Cipaku</t>
  </si>
  <si>
    <t>Dusun Cijolang</t>
  </si>
  <si>
    <t>Kp.Caringin</t>
  </si>
  <si>
    <t>Kp.Pasirdanta</t>
  </si>
  <si>
    <t>Jl.Cijerah Gg.Al Ihsan</t>
  </si>
  <si>
    <t>Jl.Babakan Irigasi</t>
  </si>
  <si>
    <t>Kampung Rambutan</t>
  </si>
  <si>
    <t>Jl.Cilengkrang Ii</t>
  </si>
  <si>
    <t>Kp.Cicau</t>
  </si>
  <si>
    <t>Ghara Citalang Permai</t>
  </si>
  <si>
    <t>Dusun Mekarasih</t>
  </si>
  <si>
    <t>Jl.Parakansaat Ii</t>
  </si>
  <si>
    <t>Jl.Kopo Bbk Asih</t>
  </si>
  <si>
    <t>Kmp.Cigondewah Kaler</t>
  </si>
  <si>
    <t>Andir Wetan</t>
  </si>
  <si>
    <t>Lingkungan Lebak Huni</t>
  </si>
  <si>
    <t>Dusun Neglasari</t>
  </si>
  <si>
    <t>Dusun Pabuaran</t>
  </si>
  <si>
    <t>Kp.Ciparanje</t>
  </si>
  <si>
    <t>Jl.Kalibaru Barat Iv</t>
  </si>
  <si>
    <t>Kp.Cipeundeuy</t>
  </si>
  <si>
    <t>Jl. Kamboja No 27</t>
  </si>
  <si>
    <t>Kp.Tenjolaya</t>
  </si>
  <si>
    <t>Kamp Hujung Kulon</t>
  </si>
  <si>
    <t>Jl.Cihanjuang Blok B No 188</t>
  </si>
  <si>
    <t>Jl.Cibogo Atas</t>
  </si>
  <si>
    <t>Lingka Kebon Cau</t>
  </si>
  <si>
    <t>Dusub Cibogo</t>
  </si>
  <si>
    <t>Jl.Limggawastu No.14/25</t>
  </si>
  <si>
    <t>Kp.Cijeruk</t>
  </si>
  <si>
    <t>Dusun Wonoharjo</t>
  </si>
  <si>
    <t>Kp.Culamega</t>
  </si>
  <si>
    <t>Kp. Bojong Haur</t>
  </si>
  <si>
    <t>Jl Pasantren No.109</t>
  </si>
  <si>
    <t>Kp.Kebon Kalapa</t>
  </si>
  <si>
    <t>Kp.Babakan Suama</t>
  </si>
  <si>
    <t>Jl.Lingga Wastu No.14</t>
  </si>
  <si>
    <t xml:space="preserve">Dsn.Sirnamurni </t>
  </si>
  <si>
    <t>Dusun Cibitung</t>
  </si>
  <si>
    <t>Perum Bukit Jagabaya Asri</t>
  </si>
  <si>
    <t>Kp.Babakan Mekar</t>
  </si>
  <si>
    <t>Bekasi Timur Regensi Blok H 8/12</t>
  </si>
  <si>
    <t>Kmp.Cigembreng</t>
  </si>
  <si>
    <t>Kmp.Cihaur</t>
  </si>
  <si>
    <t>Jl. Sukanegla</t>
  </si>
  <si>
    <t>Jl.Cibolerang No.23</t>
  </si>
  <si>
    <t>Dusun Sayang</t>
  </si>
  <si>
    <t>Dusubn Cibiru</t>
  </si>
  <si>
    <t>Dusun Rancamulud</t>
  </si>
  <si>
    <t>Jl.Caringin Gg Lumbung Iv No.28</t>
  </si>
  <si>
    <t>Kp.Landbau</t>
  </si>
  <si>
    <t>Dusun Andir</t>
  </si>
  <si>
    <t>Kp. Suniaraja No 29</t>
  </si>
  <si>
    <t>Blok Masjid Keramat</t>
  </si>
  <si>
    <t>Jl. Veteran</t>
  </si>
  <si>
    <t>Cibuntu Barat</t>
  </si>
  <si>
    <t xml:space="preserve">Kp. Lw. Malang </t>
  </si>
  <si>
    <t>Jl. Jatinangor I.Blok C. 12 No.22</t>
  </si>
  <si>
    <t>Kp.Babakan Mulyana</t>
  </si>
  <si>
    <t>Kp. Mekar Bakti</t>
  </si>
  <si>
    <t xml:space="preserve"> Jl.Cibogo Sarijadi Blok.24</t>
  </si>
  <si>
    <t>Puri Impian Sentosa Blok B No 2 Dsn Cireng Ii</t>
  </si>
  <si>
    <t>Jl.Pesantren</t>
  </si>
  <si>
    <t>Bumi Pakusarakan 2 B-1 No. 14</t>
  </si>
  <si>
    <t xml:space="preserve">Dusun Baginda </t>
  </si>
  <si>
    <t>Perum Mutiara Nirwana C.1/8</t>
  </si>
  <si>
    <t>Jl.Caringin Gg. Lubung Iv</t>
  </si>
  <si>
    <t>Gg. Taruna I</t>
  </si>
  <si>
    <t>Lingk.Talun Kidul</t>
  </si>
  <si>
    <t xml:space="preserve">Kp.Pamulihan </t>
  </si>
  <si>
    <t>Kp. Talun</t>
  </si>
  <si>
    <t>Dusun Cimande</t>
  </si>
  <si>
    <t>Dusun Rancakalong</t>
  </si>
  <si>
    <t>Dsn. Pangkalan</t>
  </si>
  <si>
    <t>Blok Palasari</t>
  </si>
  <si>
    <t>Kmp.Ciharuman</t>
  </si>
  <si>
    <t>Kp.Pamecelan</t>
  </si>
  <si>
    <t>Cipadung No.10</t>
  </si>
  <si>
    <t>Dsn Ciinjuk</t>
  </si>
  <si>
    <t>Kp.Asem</t>
  </si>
  <si>
    <t>Griya Joglo Blok D/3</t>
  </si>
  <si>
    <t>Kampung Karamat</t>
  </si>
  <si>
    <t>Kp.Mekar Sari</t>
  </si>
  <si>
    <t>Dusun Sarirasa</t>
  </si>
  <si>
    <t>Jl.Akasia V No.36A</t>
  </si>
  <si>
    <t>Kp.Palalangon Lebak</t>
  </si>
  <si>
    <t>Dusun Bojongloa</t>
  </si>
  <si>
    <t>Dusun Mariuk</t>
  </si>
  <si>
    <t>Komp.Soreang Residence F4 No.12/13</t>
  </si>
  <si>
    <t>Kp.Bugel Girang</t>
  </si>
  <si>
    <t>Dsn.Cikesik</t>
  </si>
  <si>
    <t>Jl.A.H.Nasution Blk.No.88</t>
  </si>
  <si>
    <t>Kp.Sukalaksana</t>
  </si>
  <si>
    <t>Jl.Cijagra I Gg.Iv No.99</t>
  </si>
  <si>
    <t>Jl.Jend.A.Yani No.859</t>
  </si>
  <si>
    <t>Jl.Raya Soreang No.28</t>
  </si>
  <si>
    <t>Kp. Bunisari</t>
  </si>
  <si>
    <t>Dusun Munggang</t>
  </si>
  <si>
    <t>Jl.Bbk Ciparay Gg.Pa Abid</t>
  </si>
  <si>
    <t>Jl.Cibangkong No.96/120 B</t>
  </si>
  <si>
    <t>Blok Cibuluh</t>
  </si>
  <si>
    <t>Dusun Sukaraja</t>
  </si>
  <si>
    <t>Dusun Ciayunan</t>
  </si>
  <si>
    <t>Margahayu Kencana Blok C No.10</t>
  </si>
  <si>
    <t>Kp.Pameucelan</t>
  </si>
  <si>
    <t>Kp.Boncel</t>
  </si>
  <si>
    <t>Kp.Bojongkoneng</t>
  </si>
  <si>
    <t>Andir Tengah</t>
  </si>
  <si>
    <t>Dusun Lanjung</t>
  </si>
  <si>
    <t xml:space="preserve">Blok Sabtu </t>
  </si>
  <si>
    <t>Dusun Ganeas</t>
  </si>
  <si>
    <t>Jl.Dewi Sartika Gg.Pos</t>
  </si>
  <si>
    <t>Kp Kamasan</t>
  </si>
  <si>
    <t>Jl.Komud Supadio No.64</t>
  </si>
  <si>
    <t>Kp Pasundan</t>
  </si>
  <si>
    <t>Kp. Gunung Dukuh</t>
  </si>
  <si>
    <t>Jl.Jatayu Ii No.15/72</t>
  </si>
  <si>
    <t>Sagaramanik</t>
  </si>
  <si>
    <t>Lingk Kebon Cau</t>
  </si>
  <si>
    <t>Kp Babakan Mekar</t>
  </si>
  <si>
    <t>Dsn.Munggang</t>
  </si>
  <si>
    <t>Jl.Vijaya Kusuma Ii A.29/7</t>
  </si>
  <si>
    <t>Kp.Buntis</t>
  </si>
  <si>
    <t>Kp.Neglasari</t>
  </si>
  <si>
    <t>Kp.Mekarsari</t>
  </si>
  <si>
    <t>Kp.Pasirkoja</t>
  </si>
  <si>
    <t>Jl.Sindangsari Iii No.9</t>
  </si>
  <si>
    <t>Dusun Sukamulya</t>
  </si>
  <si>
    <t>Dusun Tagog</t>
  </si>
  <si>
    <t>Kp Mekarjaya</t>
  </si>
  <si>
    <t>Kampung Pangkalan</t>
  </si>
  <si>
    <t>Jl.Lengkong Tengah Ii No.78/17D</t>
  </si>
  <si>
    <t>Dusun Puhun</t>
  </si>
  <si>
    <t>Jl.Pasar Kaler</t>
  </si>
  <si>
    <t>Kp.Lamajan</t>
  </si>
  <si>
    <t>Jl.Pager Betis N0 134</t>
  </si>
  <si>
    <t>Jl. Leuwipanjang Gg. Kebon Lega Ii</t>
  </si>
  <si>
    <t>Kp.Bojong</t>
  </si>
  <si>
    <t>Dsn.Manabaya</t>
  </si>
  <si>
    <t>Kp.Loskulalet</t>
  </si>
  <si>
    <t>Dsn Awiluar</t>
  </si>
  <si>
    <t>Kp.Cileunyi</t>
  </si>
  <si>
    <t>Kp.Sukamanah</t>
  </si>
  <si>
    <t>Jl.Cijagra I Gg.Iii No.86/206B</t>
  </si>
  <si>
    <t>Cisero</t>
  </si>
  <si>
    <t>Kp.Puncak Mulya</t>
  </si>
  <si>
    <t>Kp.Sukaame</t>
  </si>
  <si>
    <t>Dusun Cibiru</t>
  </si>
  <si>
    <t>Jl.Karapitan Iii 107/36A</t>
  </si>
  <si>
    <t>Jl.Pesantren Vi</t>
  </si>
  <si>
    <t>Kp/Lebak Jawa</t>
  </si>
  <si>
    <t>Jl.Jatihandap Gg.Iv No.186</t>
  </si>
  <si>
    <t>Dusun Cibungur</t>
  </si>
  <si>
    <t>Kp.Bojongnangka</t>
  </si>
  <si>
    <t>Dusun Bojong Totor</t>
  </si>
  <si>
    <t>Komp. Permata Kopo Blok B No 7A</t>
  </si>
  <si>
    <t>Jl.Bojongsari</t>
  </si>
  <si>
    <t>Jl.Mahar Martanegara Gg.Melati No.31</t>
  </si>
  <si>
    <t>Kp.Bangsoreang</t>
  </si>
  <si>
    <t>Jl.Sindangsari Iii No.25</t>
  </si>
  <si>
    <t>Kp.Babakan Stasion</t>
  </si>
  <si>
    <t>Kp.Pasar Barat</t>
  </si>
  <si>
    <t>Jl.Cihampelas No.73/35-B</t>
  </si>
  <si>
    <t>Kp.Pasirgede</t>
  </si>
  <si>
    <t>Dusun Sukasari</t>
  </si>
  <si>
    <t xml:space="preserve">Kp.Gunung Dukuh </t>
  </si>
  <si>
    <t>Lingkungan Lio</t>
  </si>
  <si>
    <t>Jl.Akasia Iv No.49. A Komp.Taman Bukit Lagadar</t>
  </si>
  <si>
    <t>Kp.Cirumput</t>
  </si>
  <si>
    <t>Pagaden</t>
  </si>
  <si>
    <t>Kp Leuweung Malang</t>
  </si>
  <si>
    <t>Perum Citramas</t>
  </si>
  <si>
    <t>Kp.Bunisari</t>
  </si>
  <si>
    <t>Kp. Ci Jengkol</t>
  </si>
  <si>
    <t>Dusun Sukamaju</t>
  </si>
  <si>
    <t>Link.Genteng</t>
  </si>
  <si>
    <t>Dusun Cihuni</t>
  </si>
  <si>
    <t>Jl.Karapitan Iii 107-36A</t>
  </si>
  <si>
    <t>Jl.Sadang No.122</t>
  </si>
  <si>
    <t>Perum Citra Mas</t>
  </si>
  <si>
    <t>Link.Cipeuteuy</t>
  </si>
  <si>
    <t>Perum Lebakwangi Asri Blok.D1 No.38</t>
  </si>
  <si>
    <t>Dsn Mariuk</t>
  </si>
  <si>
    <t>Perum Cijerah Ii Blok 19 Gg.Rukun Asih</t>
  </si>
  <si>
    <t>Kp.Cempaka</t>
  </si>
  <si>
    <t>Gg.Blok Pasantren</t>
  </si>
  <si>
    <t>Kp Pamecelan</t>
  </si>
  <si>
    <t>Gg.H.Hasan Ii</t>
  </si>
  <si>
    <t>Dusun Taraju</t>
  </si>
  <si>
    <t>Gg.Hasan Ii</t>
  </si>
  <si>
    <t>Kp.Sindangsari</t>
  </si>
  <si>
    <t>Kp.Muara</t>
  </si>
  <si>
    <t>Preanger Regency Blok C No.1</t>
  </si>
  <si>
    <t>Jl.Babakan Jati No.41</t>
  </si>
  <si>
    <t>Dusun Dangdeur Kulon</t>
  </si>
  <si>
    <t>Dusun Suka Asih</t>
  </si>
  <si>
    <t>Dusun Ciwaru</t>
  </si>
  <si>
    <t>Kp Pasirjati</t>
  </si>
  <si>
    <t>Kp.Rancamanyar</t>
  </si>
  <si>
    <t>Lingk.Cipadung</t>
  </si>
  <si>
    <t>Dusun Cibulakan</t>
  </si>
  <si>
    <t>Kp.Ciwirangga</t>
  </si>
  <si>
    <t>Kp. Cilebak</t>
  </si>
  <si>
    <t>Dusun Sari Rasa</t>
  </si>
  <si>
    <t>Bumi Parahyangan Kencana Blok G 18 No 17</t>
  </si>
  <si>
    <t>Kp.Pasir Kelapa</t>
  </si>
  <si>
    <t>Parahyangan Kencana Blok B2 No 25</t>
  </si>
  <si>
    <t>Kp. Pesantren</t>
  </si>
  <si>
    <t>Kp Citalang</t>
  </si>
  <si>
    <t>Kp Gunung Dukuh</t>
  </si>
  <si>
    <t>Kp Cibolerang</t>
  </si>
  <si>
    <t>Jl.Sekeloa No.107</t>
  </si>
  <si>
    <t>Dusun Cikondang</t>
  </si>
  <si>
    <t>Jln.Bojong Raya Gg.H.Sanusi</t>
  </si>
  <si>
    <t>Kp.Patrol</t>
  </si>
  <si>
    <t>Jl Sawo Raya</t>
  </si>
  <si>
    <t>Jl. Babakan Loa No 35</t>
  </si>
  <si>
    <t>Dsn. Manabaya</t>
  </si>
  <si>
    <t>Tanjakan Panjang</t>
  </si>
  <si>
    <t>Dusun Pagaden</t>
  </si>
  <si>
    <t>Lingkungan Kaum</t>
  </si>
  <si>
    <t>Jl.Rd.Ganda Ii No.49</t>
  </si>
  <si>
    <t xml:space="preserve">Kp Ciparanje </t>
  </si>
  <si>
    <t>Jl Kolonel Ahmad Syam</t>
  </si>
  <si>
    <t>Dsn Pagaden</t>
  </si>
  <si>
    <t>Kp.Pangkalan</t>
  </si>
  <si>
    <t>Dusun Margacinta</t>
  </si>
  <si>
    <t>Dsn Boma</t>
  </si>
  <si>
    <t>Perum Jatihurip Blok 7</t>
  </si>
  <si>
    <t>Kp Nagrak</t>
  </si>
  <si>
    <t>Dusun Cikandang</t>
  </si>
  <si>
    <t>Sukapulang</t>
  </si>
  <si>
    <t>Jln Foker 3 06</t>
  </si>
  <si>
    <t>Lingkungan Burujul</t>
  </si>
  <si>
    <t>Ci Guriang Hilir</t>
  </si>
  <si>
    <t>Jl.Rancabolang No .79</t>
  </si>
  <si>
    <t>Kp.Situ Aksan</t>
  </si>
  <si>
    <t>Jalan Parakan Muncang Perumahan Villa Bumi Asri Blok F3 No.142</t>
  </si>
  <si>
    <t>Lingk.Margaluyu</t>
  </si>
  <si>
    <t>Jl.Cibuntu Sayuran</t>
  </si>
  <si>
    <t>Cicukang Ii/72</t>
  </si>
  <si>
    <t>Kmp.Puncak Mulya</t>
  </si>
  <si>
    <t>Komp.Bumi Sari Indah Ii. Blok.W-42</t>
  </si>
  <si>
    <t>Dusun Cicabe</t>
  </si>
  <si>
    <t>Jl.Cijagra I Gg.I No.50</t>
  </si>
  <si>
    <t>Damar Mas Regency Cluster Malabar Barat Iii 0.7</t>
  </si>
  <si>
    <t>Kp.Mekarbakti</t>
  </si>
  <si>
    <t>Perum Bumi Malayu Asri Blok G.23</t>
  </si>
  <si>
    <t>Dusun Cisero</t>
  </si>
  <si>
    <t>Kp.Pangsor</t>
  </si>
  <si>
    <t>Kp Paneureusan</t>
  </si>
  <si>
    <t>Dusun Bangkir</t>
  </si>
  <si>
    <t>Dusun Kadupugur</t>
  </si>
  <si>
    <t>Gg Karamat</t>
  </si>
  <si>
    <t>Kp.Cijambe</t>
  </si>
  <si>
    <t>Huta Iii Sahkuda Bayu</t>
  </si>
  <si>
    <t>Rancaloa</t>
  </si>
  <si>
    <t>Jl. Ah. Nasution Sukawangi 2/171</t>
  </si>
  <si>
    <t>Kp.Campaka</t>
  </si>
  <si>
    <t>Kp.Cikendi</t>
  </si>
  <si>
    <t>Gg H Arsad</t>
  </si>
  <si>
    <t>Kp Pasirwangi</t>
  </si>
  <si>
    <t>Kmp Ciharuman</t>
  </si>
  <si>
    <t>Sukahurip</t>
  </si>
  <si>
    <t>Jl.Swadaya</t>
  </si>
  <si>
    <t>Perum Sindang Taman</t>
  </si>
  <si>
    <t>Dusun Pamagersari</t>
  </si>
  <si>
    <t>Dusun Cijonje</t>
  </si>
  <si>
    <t>Kp.Ciparay Hilir</t>
  </si>
  <si>
    <t xml:space="preserve">Kp Kadumanis </t>
  </si>
  <si>
    <t>Dusun Darmawangi</t>
  </si>
  <si>
    <t>Rancabango</t>
  </si>
  <si>
    <t>Kp. Ciguriang Hilir</t>
  </si>
  <si>
    <t xml:space="preserve">Jl.Bojong Cihaur </t>
  </si>
  <si>
    <t>Dsn.Cijolang</t>
  </si>
  <si>
    <t xml:space="preserve">Gg. Pak Elas </t>
  </si>
  <si>
    <t>Dsn.Sukkasih</t>
  </si>
  <si>
    <t>Jl.Kopo Citarik Barat</t>
  </si>
  <si>
    <t>Kp Ciharegem</t>
  </si>
  <si>
    <t>Jl.Pajajaran Dlm No.115/72</t>
  </si>
  <si>
    <t>Kp Bojong</t>
  </si>
  <si>
    <t>Babakan Regol</t>
  </si>
  <si>
    <t>Dusun Cinangka</t>
  </si>
  <si>
    <t>Lingk.Margajaya</t>
  </si>
  <si>
    <t>Kpn Sukajadi/ Citunggul</t>
  </si>
  <si>
    <t xml:space="preserve">Kp.Bunut </t>
  </si>
  <si>
    <t>Kp.Cilisung Gg.Sukamanah Iv No.12</t>
  </si>
  <si>
    <t>Asn P3K</t>
  </si>
  <si>
    <t>Guru Honor Tk</t>
  </si>
  <si>
    <t>Ibu Rt</t>
  </si>
  <si>
    <t>Guru Ra</t>
  </si>
  <si>
    <t>Irt, Pedagang</t>
  </si>
  <si>
    <t xml:space="preserve">Irt </t>
  </si>
  <si>
    <t>Karyawan Sederajat</t>
  </si>
  <si>
    <t xml:space="preserve">Pegawai Negeri Sipil ( Pns ) </t>
  </si>
  <si>
    <t>Karyawan Honorer</t>
  </si>
  <si>
    <t>Pns</t>
  </si>
  <si>
    <t>Pegawai Negeri Sipil (Pns)</t>
  </si>
  <si>
    <t>I Rt</t>
  </si>
  <si>
    <t>Guru (Pns)</t>
  </si>
  <si>
    <t>Tidak Bekerja</t>
  </si>
  <si>
    <t>Iburumahtangga</t>
  </si>
  <si>
    <t>Ibu Rumah Tangga (Irt)</t>
  </si>
  <si>
    <t>Ibu Rumah Tangga(Irt)</t>
  </si>
  <si>
    <t>Asn</t>
  </si>
  <si>
    <t>Ibu Rumahtangga</t>
  </si>
  <si>
    <t>Lambodi Jaya</t>
  </si>
  <si>
    <t>Pandeglang</t>
  </si>
  <si>
    <t>Banyumas</t>
  </si>
  <si>
    <t>Sampang</t>
  </si>
  <si>
    <t>Sijunjung</t>
  </si>
  <si>
    <t>Ngawi</t>
  </si>
  <si>
    <t>Purwokerto</t>
  </si>
  <si>
    <t>Lumajang</t>
  </si>
  <si>
    <t>Sarko</t>
  </si>
  <si>
    <t>Jatiwangi</t>
  </si>
  <si>
    <t>Mojo Agung</t>
  </si>
  <si>
    <t>Jepara</t>
  </si>
  <si>
    <t>Telagasari</t>
  </si>
  <si>
    <t>Cikalong</t>
  </si>
  <si>
    <t>Palembang</t>
  </si>
  <si>
    <t>Banjarnegara</t>
  </si>
  <si>
    <t>Tanggerang</t>
  </si>
  <si>
    <t>Tasikamalaya</t>
  </si>
  <si>
    <t>Cilacap</t>
  </si>
  <si>
    <t>Kebumen</t>
  </si>
  <si>
    <t>Tegal</t>
  </si>
  <si>
    <t>Aek Pamienke</t>
  </si>
  <si>
    <t>Kulonprogo</t>
  </si>
  <si>
    <t>Ka</t>
  </si>
  <si>
    <t>Boyolali</t>
  </si>
  <si>
    <t>Eni Nur'Aeni</t>
  </si>
  <si>
    <t>Ela Ratnimarpuri</t>
  </si>
  <si>
    <t>Nia Kurnia</t>
  </si>
  <si>
    <t>Rani Rahmawati</t>
  </si>
  <si>
    <t>Yunita Nurmalina</t>
  </si>
  <si>
    <t>Novi Wildani</t>
  </si>
  <si>
    <t>Ida</t>
  </si>
  <si>
    <t>Meilani</t>
  </si>
  <si>
    <t>Ena Marlina</t>
  </si>
  <si>
    <t>Heni Taryani</t>
  </si>
  <si>
    <t>Musarofah</t>
  </si>
  <si>
    <t>Cucu Solihati</t>
  </si>
  <si>
    <t>Santi Ramadani</t>
  </si>
  <si>
    <t>Marjanaini</t>
  </si>
  <si>
    <t>Miraya Nuryani</t>
  </si>
  <si>
    <t>Fika Purnama</t>
  </si>
  <si>
    <t>Engkan Maskanah</t>
  </si>
  <si>
    <t>Yuyun Kurnia</t>
  </si>
  <si>
    <t>Riska Purnamasari</t>
  </si>
  <si>
    <t>Erna Marlina</t>
  </si>
  <si>
    <t>Kokom</t>
  </si>
  <si>
    <t>Nining</t>
  </si>
  <si>
    <t>Nia</t>
  </si>
  <si>
    <t>Lina Hernawati</t>
  </si>
  <si>
    <t>Rini Maryani</t>
  </si>
  <si>
    <t>Kinkin Purwanti</t>
  </si>
  <si>
    <t>Dewi Wulandari</t>
  </si>
  <si>
    <t>Lia Fatmawati</t>
  </si>
  <si>
    <t>Dewi Sri Rahayu Rahmawati</t>
  </si>
  <si>
    <t>Neni Suhanah</t>
  </si>
  <si>
    <t>Yanti Yulianti</t>
  </si>
  <si>
    <t>Uum Wahdatul'Umah</t>
  </si>
  <si>
    <t>Siti Parida</t>
  </si>
  <si>
    <t>Dewi Rosita</t>
  </si>
  <si>
    <t>Ai Rosita</t>
  </si>
  <si>
    <t>Hani Handayani</t>
  </si>
  <si>
    <t>Herawati</t>
  </si>
  <si>
    <t>Mulyati</t>
  </si>
  <si>
    <t>Ela Nurlaela</t>
  </si>
  <si>
    <t>Yuyun Yuningsih</t>
  </si>
  <si>
    <t>Rina Agustina</t>
  </si>
  <si>
    <t>Ilis Sutina</t>
  </si>
  <si>
    <t>Leny Githa Nuraeny</t>
  </si>
  <si>
    <t>Wida Sari</t>
  </si>
  <si>
    <t>Nani Rohaeni</t>
  </si>
  <si>
    <t>Fitri Susanti</t>
  </si>
  <si>
    <t>Neni Maryani</t>
  </si>
  <si>
    <t xml:space="preserve">Warni </t>
  </si>
  <si>
    <t>Neneng Ariayani</t>
  </si>
  <si>
    <t xml:space="preserve">Ai Wanti </t>
  </si>
  <si>
    <t>Neng Julaeha</t>
  </si>
  <si>
    <t>Evi Kustiani</t>
  </si>
  <si>
    <t>Dewi Lestari</t>
  </si>
  <si>
    <t>Neni Supriatin</t>
  </si>
  <si>
    <t>Widaryanti</t>
  </si>
  <si>
    <t>Lia Dahlia</t>
  </si>
  <si>
    <t>Iin Hindun</t>
  </si>
  <si>
    <t>Dinah Mardinah</t>
  </si>
  <si>
    <t>Ai Suryani</t>
  </si>
  <si>
    <t>Dina Nur Hidayah</t>
  </si>
  <si>
    <t>Tanti Rosmiati</t>
  </si>
  <si>
    <t xml:space="preserve"> Siti Mariyati Agustina</t>
  </si>
  <si>
    <t>Ai Asmararini</t>
  </si>
  <si>
    <t>Hanifah</t>
  </si>
  <si>
    <t>Jubaedah</t>
  </si>
  <si>
    <t>Neng Novi Sopyan</t>
  </si>
  <si>
    <t>Marni Maryani</t>
  </si>
  <si>
    <t>Ai Maspupah</t>
  </si>
  <si>
    <t>Erni Haryani</t>
  </si>
  <si>
    <t>Alipah</t>
  </si>
  <si>
    <t>Nunung Hasanah</t>
  </si>
  <si>
    <t>Widari</t>
  </si>
  <si>
    <t>Susi Susanti</t>
  </si>
  <si>
    <t>Yunengsih</t>
  </si>
  <si>
    <t>Ayu Hana Pertiwi</t>
  </si>
  <si>
    <t>Indri Irnawati</t>
  </si>
  <si>
    <t>Yani Mulyani</t>
  </si>
  <si>
    <t>Eni Nuraeni</t>
  </si>
  <si>
    <t>Yeni Novianti</t>
  </si>
  <si>
    <t>Hj.Dewi Mega Mustika</t>
  </si>
  <si>
    <t>Devi Yanti</t>
  </si>
  <si>
    <t>Euis Masitah</t>
  </si>
  <si>
    <t>Teti Herawati</t>
  </si>
  <si>
    <t>Erni Kustiani</t>
  </si>
  <si>
    <t>Dede Ratnasih</t>
  </si>
  <si>
    <t>Yani Suryani</t>
  </si>
  <si>
    <t>Lisna Patmawati</t>
  </si>
  <si>
    <t>Hesti Bertiapati Dwi Ari Yanti</t>
  </si>
  <si>
    <t>Anita Sri Lestari</t>
  </si>
  <si>
    <t>Dewi Irmayanti</t>
  </si>
  <si>
    <t>Pipit Badriyah</t>
  </si>
  <si>
    <t>Wati</t>
  </si>
  <si>
    <t>Irmayanti</t>
  </si>
  <si>
    <t>Sa'Adah</t>
  </si>
  <si>
    <t>Ely Sumiati</t>
  </si>
  <si>
    <t>Dewiyana Soleha</t>
  </si>
  <si>
    <t>Nani Yuningsih</t>
  </si>
  <si>
    <t>Roslina Alhajar</t>
  </si>
  <si>
    <t>Cucu Yanti</t>
  </si>
  <si>
    <t>Astri Zubaidah</t>
  </si>
  <si>
    <t>Aan Nurhasanah</t>
  </si>
  <si>
    <t>Yuliyanti</t>
  </si>
  <si>
    <t>Cucu Herawati</t>
  </si>
  <si>
    <t>Yanti Damayanti</t>
  </si>
  <si>
    <t>Siti Maesa Handayani</t>
  </si>
  <si>
    <t xml:space="preserve">Hj Apong Sopiah </t>
  </si>
  <si>
    <t>Siti Rohaeti</t>
  </si>
  <si>
    <t>Ana Wibawa</t>
  </si>
  <si>
    <t>Suratni</t>
  </si>
  <si>
    <t>Uuy Nurlela</t>
  </si>
  <si>
    <t xml:space="preserve">Imas Wulan Kurnia </t>
  </si>
  <si>
    <t>Euis Kartini</t>
  </si>
  <si>
    <t>Entin Murniatin</t>
  </si>
  <si>
    <t xml:space="preserve">Iis Sumarni </t>
  </si>
  <si>
    <t>Dewi Komalasari</t>
  </si>
  <si>
    <t>Nurul Siti Nurjamilah</t>
  </si>
  <si>
    <t>Iyen Mulyani</t>
  </si>
  <si>
    <t>Retno Yulia Pariyanti</t>
  </si>
  <si>
    <t>Dinasari</t>
  </si>
  <si>
    <t>Evi Meylia St Nurjanah</t>
  </si>
  <si>
    <t>Sri Mulyati</t>
  </si>
  <si>
    <t>Suliana</t>
  </si>
  <si>
    <t>Yanti Nurhayanti</t>
  </si>
  <si>
    <t>Eunong Hasanah</t>
  </si>
  <si>
    <t>Syarifah Fatmah Alhabsyi</t>
  </si>
  <si>
    <t>Nina Nur Haeni</t>
  </si>
  <si>
    <t>Diah</t>
  </si>
  <si>
    <t>Nur Santi</t>
  </si>
  <si>
    <t>Ida Hernawati</t>
  </si>
  <si>
    <t>Cucu Yulianti</t>
  </si>
  <si>
    <t>Nurhayaty</t>
  </si>
  <si>
    <t>Yanti Romayanti</t>
  </si>
  <si>
    <t>Ina Daniah</t>
  </si>
  <si>
    <t>Eli Pustikawati</t>
  </si>
  <si>
    <t>Meri Marini</t>
  </si>
  <si>
    <t>Noneng Ida</t>
  </si>
  <si>
    <t>Sumi Pujawati</t>
  </si>
  <si>
    <t>Karti Silawati</t>
  </si>
  <si>
    <t>Neng Ika</t>
  </si>
  <si>
    <t>Hernawati</t>
  </si>
  <si>
    <t>Hestri Haryani</t>
  </si>
  <si>
    <t>Imik Suharsih</t>
  </si>
  <si>
    <t>Imas Rahmawati</t>
  </si>
  <si>
    <t>Depriyanti</t>
  </si>
  <si>
    <t>Ai Nuraini</t>
  </si>
  <si>
    <t>Anna Meriyana</t>
  </si>
  <si>
    <t>Ijah Hadijah</t>
  </si>
  <si>
    <t>Teti Roheti</t>
  </si>
  <si>
    <t>Nurul Utami</t>
  </si>
  <si>
    <t>Erna Fujiastuti</t>
  </si>
  <si>
    <t>Ai Koyimah</t>
  </si>
  <si>
    <t>Lina</t>
  </si>
  <si>
    <t>Pipit Pitriah</t>
  </si>
  <si>
    <t>Dini Kuraesin</t>
  </si>
  <si>
    <t>Tita Agustini</t>
  </si>
  <si>
    <t>Ai Sumarni</t>
  </si>
  <si>
    <t>Uan Rahayu</t>
  </si>
  <si>
    <t>Binti Sholekha</t>
  </si>
  <si>
    <t>Ai Julaeha</t>
  </si>
  <si>
    <t>Arny Trisniaty</t>
  </si>
  <si>
    <t>Santi Rochaeti</t>
  </si>
  <si>
    <t>Iim Sri Suratmini</t>
  </si>
  <si>
    <t>Siti Masitoh</t>
  </si>
  <si>
    <t>Elli Setiawati</t>
  </si>
  <si>
    <t>Nurhidayah</t>
  </si>
  <si>
    <t>Lina Herlina</t>
  </si>
  <si>
    <t>Hj.Enay Yulia</t>
  </si>
  <si>
    <t>Nengsih</t>
  </si>
  <si>
    <t>Sukmawati</t>
  </si>
  <si>
    <t>Rosmiati, S.Kom</t>
  </si>
  <si>
    <t>Iis Rahmawati</t>
  </si>
  <si>
    <t>Lilis Erni Tresnawati</t>
  </si>
  <si>
    <t>Shellfira Almeisan K</t>
  </si>
  <si>
    <t>Imat Fatmawati</t>
  </si>
  <si>
    <t>Reni Sugiarti</t>
  </si>
  <si>
    <t>Yeni Karlina</t>
  </si>
  <si>
    <t>Misnati</t>
  </si>
  <si>
    <t>Ria Nurjanah</t>
  </si>
  <si>
    <t>Masri</t>
  </si>
  <si>
    <t>Eneng Suryati</t>
  </si>
  <si>
    <t>Impala Dewi</t>
  </si>
  <si>
    <t>Ernawati</t>
  </si>
  <si>
    <t>Erna Susi Marliyana</t>
  </si>
  <si>
    <t>Ira Faridah</t>
  </si>
  <si>
    <t>Yani Setyaningsih</t>
  </si>
  <si>
    <t>Yani Kuswanti</t>
  </si>
  <si>
    <t>Wulan Yuningsih</t>
  </si>
  <si>
    <t>Sitisyaidah</t>
  </si>
  <si>
    <t>Imas Ningrum Hayati</t>
  </si>
  <si>
    <t>Dini Aprianti</t>
  </si>
  <si>
    <t>Susan Susanti</t>
  </si>
  <si>
    <t>Ikeu Apriani</t>
  </si>
  <si>
    <t>Eneng Rina Karwati</t>
  </si>
  <si>
    <t>Yaya Alviyah</t>
  </si>
  <si>
    <t>Wiwin Winingsih</t>
  </si>
  <si>
    <t>Dwi Mulyani</t>
  </si>
  <si>
    <t>Sri Wahyuni</t>
  </si>
  <si>
    <t>Neni Sugihartini</t>
  </si>
  <si>
    <t>Iis Maesaroh</t>
  </si>
  <si>
    <t>Cucu Julaeha</t>
  </si>
  <si>
    <t>Atin Rostini</t>
  </si>
  <si>
    <t>Ii Sulastri</t>
  </si>
  <si>
    <t>Heni Zubaidah</t>
  </si>
  <si>
    <t>Rani Wiliani</t>
  </si>
  <si>
    <t>Erfina</t>
  </si>
  <si>
    <t>Iyah Juhaeriah</t>
  </si>
  <si>
    <t>Tety Fitriany</t>
  </si>
  <si>
    <t>Sunarsih</t>
  </si>
  <si>
    <t>Eneng Kodariah</t>
  </si>
  <si>
    <t>Rika Lestari</t>
  </si>
  <si>
    <t>Arti Lestari</t>
  </si>
  <si>
    <t>Mumun Munawaroh</t>
  </si>
  <si>
    <t>Mila Karmila</t>
  </si>
  <si>
    <t>Sri Maryati</t>
  </si>
  <si>
    <t>Neng Siti Julaeha</t>
  </si>
  <si>
    <t>Widiarti</t>
  </si>
  <si>
    <t>Iis Asnawati</t>
  </si>
  <si>
    <t>Dede Dewi Fatimah</t>
  </si>
  <si>
    <t>Imas Enin</t>
  </si>
  <si>
    <t>Engkoy</t>
  </si>
  <si>
    <t>Siti Shofiyyah</t>
  </si>
  <si>
    <t>Neni Yulia</t>
  </si>
  <si>
    <t>Tintin Hartini</t>
  </si>
  <si>
    <t>Siti Yani Mulyani</t>
  </si>
  <si>
    <t>Karwini</t>
  </si>
  <si>
    <t>Kartini Dwi Lestari, Sh</t>
  </si>
  <si>
    <t>Siti Rohaeni</t>
  </si>
  <si>
    <t>Nining Amalia</t>
  </si>
  <si>
    <t>Ririn Risnati</t>
  </si>
  <si>
    <t>Noneng Nurhayati</t>
  </si>
  <si>
    <t>Sa'Diah</t>
  </si>
  <si>
    <t>Siti Aminah</t>
  </si>
  <si>
    <t>Yani Heryani</t>
  </si>
  <si>
    <t>Sriwidari</t>
  </si>
  <si>
    <t>Nunung</t>
  </si>
  <si>
    <t>Siti Rizqiah</t>
  </si>
  <si>
    <t>Dewi Nurhaida</t>
  </si>
  <si>
    <t>Emiliya</t>
  </si>
  <si>
    <t>Rita Syarniwati</t>
  </si>
  <si>
    <t>Entik Patimah</t>
  </si>
  <si>
    <t>Cucum Cuminar</t>
  </si>
  <si>
    <t>Ami Rosmiati</t>
  </si>
  <si>
    <t>Nita Puspita</t>
  </si>
  <si>
    <t>Ani</t>
  </si>
  <si>
    <t>Yeni Rusmiati</t>
  </si>
  <si>
    <t>Euis Nur Komalasari</t>
  </si>
  <si>
    <t>Enok Rostiawati</t>
  </si>
  <si>
    <t>Tita Rosita</t>
  </si>
  <si>
    <t>Emas Muslimah</t>
  </si>
  <si>
    <t>Heruna</t>
  </si>
  <si>
    <t>Rani Nurhayati</t>
  </si>
  <si>
    <t>Fatma Laela Sari</t>
  </si>
  <si>
    <t>Herlin Nurmala</t>
  </si>
  <si>
    <t>Metty Hikmayati</t>
  </si>
  <si>
    <t>Lilis Nurlisnawati</t>
  </si>
  <si>
    <t>Maysaroh Eka Rodiah</t>
  </si>
  <si>
    <t>Siti Deti Setiawati</t>
  </si>
  <si>
    <t>Imas Nurus Sa'Adah</t>
  </si>
  <si>
    <t>Yati Satariyah</t>
  </si>
  <si>
    <t>Aam Amelia</t>
  </si>
  <si>
    <t>Teti Mulyati</t>
  </si>
  <si>
    <t>Kurniasih</t>
  </si>
  <si>
    <t>Een Suhaenah</t>
  </si>
  <si>
    <t>Ika Kartika</t>
  </si>
  <si>
    <t>Dede Sariningsih</t>
  </si>
  <si>
    <t>Yuyum Zusnia</t>
  </si>
  <si>
    <t>Narti Sugiartisih</t>
  </si>
  <si>
    <t>Lilis Rohimah</t>
  </si>
  <si>
    <t>Winda Wati</t>
  </si>
  <si>
    <t>Wangsih</t>
  </si>
  <si>
    <t>Tika Surtikanti</t>
  </si>
  <si>
    <t>Reni Maryani</t>
  </si>
  <si>
    <t>Juhaya</t>
  </si>
  <si>
    <t>Lina Marlina</t>
  </si>
  <si>
    <t>Eva Rosmawati</t>
  </si>
  <si>
    <t>Nani Suarni</t>
  </si>
  <si>
    <t>Novi Hartini</t>
  </si>
  <si>
    <t>Hj.Nurhayatin</t>
  </si>
  <si>
    <t>Herra Pusfita Dinawasasri</t>
  </si>
  <si>
    <t>Susi</t>
  </si>
  <si>
    <t>Ela Julaeha</t>
  </si>
  <si>
    <t>Hani Halimah</t>
  </si>
  <si>
    <t>Ratna Erlina</t>
  </si>
  <si>
    <t>Sri Narti</t>
  </si>
  <si>
    <t>Enung Siti Maimanah</t>
  </si>
  <si>
    <t>Engkas Eryawati</t>
  </si>
  <si>
    <t>Rokayah</t>
  </si>
  <si>
    <t>Lia Yulianti</t>
  </si>
  <si>
    <t>Feny Rosaliya</t>
  </si>
  <si>
    <t>Dedeh Kurnia</t>
  </si>
  <si>
    <t>Ai Liya</t>
  </si>
  <si>
    <t>Siti Kamilah</t>
  </si>
  <si>
    <t>Iah Juariah</t>
  </si>
  <si>
    <t>Farida Hidayati</t>
  </si>
  <si>
    <t>Dewi Nengsih</t>
  </si>
  <si>
    <t>Ani Suryani</t>
  </si>
  <si>
    <t>Sri Haryani</t>
  </si>
  <si>
    <t>Rini Susanti</t>
  </si>
  <si>
    <t>Cucun Suhaela</t>
  </si>
  <si>
    <t>Siti Rukoyah Nurlatifah</t>
  </si>
  <si>
    <t>Tati</t>
  </si>
  <si>
    <t>Yeni Suherni</t>
  </si>
  <si>
    <t>Titin Sumartini</t>
  </si>
  <si>
    <t xml:space="preserve">Hj. Ninik Windarti </t>
  </si>
  <si>
    <t>Rosmiati</t>
  </si>
  <si>
    <t>Hafsah Wahbiyah</t>
  </si>
  <si>
    <t>Nurbaeni</t>
  </si>
  <si>
    <t>Siti Munawaroh</t>
  </si>
  <si>
    <t>Nina Sumiati</t>
  </si>
  <si>
    <t>Hj.Aisyah Nirwana</t>
  </si>
  <si>
    <t>Purwanti</t>
  </si>
  <si>
    <t>Dian Yuliani</t>
  </si>
  <si>
    <t>Deti Purnama Sari</t>
  </si>
  <si>
    <t>Siti Nuryani</t>
  </si>
  <si>
    <t>Nani Nurlaela</t>
  </si>
  <si>
    <t>Siti Nurhanifah</t>
  </si>
  <si>
    <t>Cucu Sumiat</t>
  </si>
  <si>
    <t>Yati Mulyati</t>
  </si>
  <si>
    <t>D Sutarsih</t>
  </si>
  <si>
    <t>Amanah</t>
  </si>
  <si>
    <t>Siti Maskiah</t>
  </si>
  <si>
    <t>Eka Syafitri</t>
  </si>
  <si>
    <t>Ejah</t>
  </si>
  <si>
    <t>Sulyana</t>
  </si>
  <si>
    <t>Ina Siti Khodijah</t>
  </si>
  <si>
    <t>Wini Warnini</t>
  </si>
  <si>
    <t>Siti Kholishoh</t>
  </si>
  <si>
    <t>Nurlaela</t>
  </si>
  <si>
    <t>Mema Hermawati</t>
  </si>
  <si>
    <t>Yuli Detianingsih</t>
  </si>
  <si>
    <t>Nurlela</t>
  </si>
  <si>
    <t>Nurmayasari</t>
  </si>
  <si>
    <t>Lenin Apriyani</t>
  </si>
  <si>
    <t>Yuny Seftiani</t>
  </si>
  <si>
    <t>Nia Robiah</t>
  </si>
  <si>
    <t>Rodiah</t>
  </si>
  <si>
    <t>Yuli Marlina</t>
  </si>
  <si>
    <t>Dewi Maharani</t>
  </si>
  <si>
    <t>Tuti Dwiyanti</t>
  </si>
  <si>
    <t>Tini Rohania</t>
  </si>
  <si>
    <t>Tini Kartini</t>
  </si>
  <si>
    <t>Yuliawati.Se.</t>
  </si>
  <si>
    <t>Mira Nursanti</t>
  </si>
  <si>
    <t>Yusi Apriyanti</t>
  </si>
  <si>
    <t xml:space="preserve">Dede Ukanah </t>
  </si>
  <si>
    <t>Rosita</t>
  </si>
  <si>
    <t>Eros Rosanah</t>
  </si>
  <si>
    <t>Fatimah</t>
  </si>
  <si>
    <t>Fetty Fatimah</t>
  </si>
  <si>
    <t>Siti Marpuah</t>
  </si>
  <si>
    <t>Een Tarlina</t>
  </si>
  <si>
    <t xml:space="preserve"> Elis Nurpitriani</t>
  </si>
  <si>
    <t>Nina Marlina</t>
  </si>
  <si>
    <t>Susi Susilawati</t>
  </si>
  <si>
    <t>Maria Ulfa</t>
  </si>
  <si>
    <t>Herny Herdiawaty</t>
  </si>
  <si>
    <t>Tatat Ruchayati</t>
  </si>
  <si>
    <t>Dewi Septiriani</t>
  </si>
  <si>
    <t>Tini Sulastri</t>
  </si>
  <si>
    <t>Evi Meilia Siti Nurjanah</t>
  </si>
  <si>
    <t>Winda Fitriyani</t>
  </si>
  <si>
    <t>Ani Dwi Yanti</t>
  </si>
  <si>
    <t>Tika Kartika</t>
  </si>
  <si>
    <t>Risa Novianti</t>
  </si>
  <si>
    <t>Sri Sumarni</t>
  </si>
  <si>
    <t>Rani Maryani</t>
  </si>
  <si>
    <t>Nia Mia Hernawati</t>
  </si>
  <si>
    <t>Ayi Yulinda</t>
  </si>
  <si>
    <t>Desri Hartati</t>
  </si>
  <si>
    <t>Leni Sulaeman</t>
  </si>
  <si>
    <t>Isah</t>
  </si>
  <si>
    <t>Ahdiati Mustaniroh</t>
  </si>
  <si>
    <t>Citra Putri Pratiwi</t>
  </si>
  <si>
    <t>Yulis</t>
  </si>
  <si>
    <t>Cucu Nurhayati</t>
  </si>
  <si>
    <t>Wawang Hasanah</t>
  </si>
  <si>
    <t>Tati Mulyati</t>
  </si>
  <si>
    <t>Mely Gustini</t>
  </si>
  <si>
    <t>Yeni Rachmawati</t>
  </si>
  <si>
    <t>Tini Haryanti</t>
  </si>
  <si>
    <t xml:space="preserve">Irah </t>
  </si>
  <si>
    <t>Sri Susilawati</t>
  </si>
  <si>
    <t>Siti Fatimah</t>
  </si>
  <si>
    <t>Evi Savitri</t>
  </si>
  <si>
    <t>Imas Kurnia</t>
  </si>
  <si>
    <t>Sri Yuli Wiyanti</t>
  </si>
  <si>
    <t>Imas Masliah</t>
  </si>
  <si>
    <t>Herni Rohimah</t>
  </si>
  <si>
    <t>Ety Sumiati</t>
  </si>
  <si>
    <t>Santi</t>
  </si>
  <si>
    <t>Rika</t>
  </si>
  <si>
    <t>Euis Imas Rohaeni</t>
  </si>
  <si>
    <t>Nita Mulyati</t>
  </si>
  <si>
    <t>Ratih Susanti</t>
  </si>
  <si>
    <t>Eneng Nita Hamzah</t>
  </si>
  <si>
    <t>Eneng Rosdiana</t>
  </si>
  <si>
    <t>Hj Erna Marina.S.Ip</t>
  </si>
  <si>
    <t>Yuli Yulianti</t>
  </si>
  <si>
    <t>Nunung Wartika</t>
  </si>
  <si>
    <t>Rita</t>
  </si>
  <si>
    <t>Dessy Widia Lestari</t>
  </si>
  <si>
    <t>Epa Nurlela</t>
  </si>
  <si>
    <t>Indri Cahyati</t>
  </si>
  <si>
    <t>Dewi Nurhayati</t>
  </si>
  <si>
    <t>Euis Hermawati</t>
  </si>
  <si>
    <t>Iis Siti Saebah</t>
  </si>
  <si>
    <t>Marsiem</t>
  </si>
  <si>
    <t>Dede Yani</t>
  </si>
  <si>
    <t>Winna Rachmiati</t>
  </si>
  <si>
    <t>Titi</t>
  </si>
  <si>
    <t>Wachadiyah</t>
  </si>
  <si>
    <t>Irma Yanti</t>
  </si>
  <si>
    <t>Hani Hanipah</t>
  </si>
  <si>
    <t>Aah Rohimah</t>
  </si>
  <si>
    <t>Ai Hayati</t>
  </si>
  <si>
    <t>Uum Sitiumroh</t>
  </si>
  <si>
    <t>Yani Fitri Badriah</t>
  </si>
  <si>
    <t>Aam Sadiah</t>
  </si>
  <si>
    <t>Nana Ratna Komala</t>
  </si>
  <si>
    <t>Linda</t>
  </si>
  <si>
    <t>Yani Nurbaeni</t>
  </si>
  <si>
    <t>Wiwin Wianti</t>
  </si>
  <si>
    <t>Santi Wida Susanti</t>
  </si>
  <si>
    <t>Dati</t>
  </si>
  <si>
    <t>Neng Dewi</t>
  </si>
  <si>
    <t>Nyarmi</t>
  </si>
  <si>
    <t>Entay Suarsih</t>
  </si>
  <si>
    <t>Dewi Nuraeni</t>
  </si>
  <si>
    <t>Yuningsih</t>
  </si>
  <si>
    <t>Siti Aisah</t>
  </si>
  <si>
    <t>Leli Laelasari N</t>
  </si>
  <si>
    <t>Pupu Puspita</t>
  </si>
  <si>
    <t>Nining Mulyani</t>
  </si>
  <si>
    <t>Lilih Sholihah</t>
  </si>
  <si>
    <t>Hj.Usnaeni</t>
  </si>
  <si>
    <t>Rina Herawati</t>
  </si>
  <si>
    <t>Perdagang</t>
  </si>
  <si>
    <t>Therafis Bekam</t>
  </si>
  <si>
    <t>Buruh Lepas</t>
  </si>
  <si>
    <t>Wisaswasta</t>
  </si>
  <si>
    <t>Polri</t>
  </si>
  <si>
    <t>Tukang Jahit</t>
  </si>
  <si>
    <t>Karyawan Bumn</t>
  </si>
  <si>
    <t>Pegawai Negri Sipil(Pns)</t>
  </si>
  <si>
    <t>Belum/Tidak Bekerja</t>
  </si>
  <si>
    <t>Kepolisian Ri (Polri)</t>
  </si>
  <si>
    <t xml:space="preserve">Wiraswasta </t>
  </si>
  <si>
    <t>Buruh Hareian Lepas</t>
  </si>
  <si>
    <t>Petani Pekebun</t>
  </si>
  <si>
    <t>Pegawai Negeri Sipil</t>
  </si>
  <si>
    <t>Kariyawan Swasta</t>
  </si>
  <si>
    <t xml:space="preserve">Karyawan Swasta </t>
  </si>
  <si>
    <t>Wirasuwasta</t>
  </si>
  <si>
    <t>Ustadz/Mubaligh</t>
  </si>
  <si>
    <t>Transportasi</t>
  </si>
  <si>
    <t>Buruh Pabrik</t>
  </si>
  <si>
    <t>Pns Guru</t>
  </si>
  <si>
    <t>Pekerja Bumn</t>
  </si>
  <si>
    <t>Wirasuasta</t>
  </si>
  <si>
    <t>Karwayan Swasta</t>
  </si>
  <si>
    <t>Pegawai Negeri Sipil ( Pns )</t>
  </si>
  <si>
    <t>Sopir</t>
  </si>
  <si>
    <t>Wira Usaha</t>
  </si>
  <si>
    <t>Badung</t>
  </si>
  <si>
    <t>Keban Agung Ii</t>
  </si>
  <si>
    <t>Majslengka</t>
  </si>
  <si>
    <t>Purworejo</t>
  </si>
  <si>
    <t>Magelang</t>
  </si>
  <si>
    <t>Solo</t>
  </si>
  <si>
    <t>Cireb0N</t>
  </si>
  <si>
    <t>Purbalingga</t>
  </si>
  <si>
    <t>Prabumulih</t>
  </si>
  <si>
    <t>Betung</t>
  </si>
  <si>
    <t>Malang</t>
  </si>
  <si>
    <t>Madura</t>
  </si>
  <si>
    <t>Bukit Tinggi</t>
  </si>
  <si>
    <t>Gorontalo</t>
  </si>
  <si>
    <t>Belitung</t>
  </si>
  <si>
    <t xml:space="preserve">Majalengka </t>
  </si>
  <si>
    <t>Laras</t>
  </si>
  <si>
    <t>Payakumbuh</t>
  </si>
  <si>
    <t>Jajang</t>
  </si>
  <si>
    <t>Yusuf Suparman</t>
  </si>
  <si>
    <t>Joko Sumenda</t>
  </si>
  <si>
    <t>Repa</t>
  </si>
  <si>
    <t>Eeng Heryanto</t>
  </si>
  <si>
    <t>Taupik Ramadhan</t>
  </si>
  <si>
    <t>Tututario,Se,S.Kom</t>
  </si>
  <si>
    <t>Agus Dahlan</t>
  </si>
  <si>
    <t>Teten Zaenal Muttaqin St</t>
  </si>
  <si>
    <t>Susanto</t>
  </si>
  <si>
    <t>Mahmud Yunus</t>
  </si>
  <si>
    <t>Endang Spd</t>
  </si>
  <si>
    <t>Muhamad Madani</t>
  </si>
  <si>
    <t>Sastryon</t>
  </si>
  <si>
    <t>Ralion Effendi</t>
  </si>
  <si>
    <t>Budhi Purwadhi Mukti</t>
  </si>
  <si>
    <t>Dadan Setiawan</t>
  </si>
  <si>
    <t>Ade Rifki Kristiana</t>
  </si>
  <si>
    <t>Makmun Nawawi</t>
  </si>
  <si>
    <t>Diding Solahudin</t>
  </si>
  <si>
    <t>Saepul Anwar</t>
  </si>
  <si>
    <t>Suryadi</t>
  </si>
  <si>
    <t>Helmi Zaenudin</t>
  </si>
  <si>
    <t>Muhamad Dede Ali Daud</t>
  </si>
  <si>
    <t>Apep Kuswara</t>
  </si>
  <si>
    <t>Dadan Saputra</t>
  </si>
  <si>
    <t>Ici Kusdinar</t>
  </si>
  <si>
    <t>Dedi Iskandar</t>
  </si>
  <si>
    <t>Ma'Mun</t>
  </si>
  <si>
    <t>Eko Sukmara</t>
  </si>
  <si>
    <t>Aso Permana</t>
  </si>
  <si>
    <t>Ari Purnamarwan</t>
  </si>
  <si>
    <t>Yayat</t>
  </si>
  <si>
    <t>Jajang Darusallam</t>
  </si>
  <si>
    <t>H.Alo Koswara.Alm</t>
  </si>
  <si>
    <t>Oni</t>
  </si>
  <si>
    <t>Anwar Hidayat</t>
  </si>
  <si>
    <t>Aceng Nasihin</t>
  </si>
  <si>
    <t>Asep Tosya Rostiawan</t>
  </si>
  <si>
    <t>Asep Suryana Saepulloh</t>
  </si>
  <si>
    <t xml:space="preserve">Arif Saripudin </t>
  </si>
  <si>
    <t>Komarudin</t>
  </si>
  <si>
    <t>Deni Rukmana</t>
  </si>
  <si>
    <t>Abdul Kudus</t>
  </si>
  <si>
    <t xml:space="preserve">Nanang </t>
  </si>
  <si>
    <t>Nanang</t>
  </si>
  <si>
    <t>Aton Santoso</t>
  </si>
  <si>
    <t xml:space="preserve">Dede Sutawan </t>
  </si>
  <si>
    <t>Dede Rohman</t>
  </si>
  <si>
    <t>Nendar Mulyana</t>
  </si>
  <si>
    <t>Rachmat Nurcahyadi</t>
  </si>
  <si>
    <t>Hadi Iskandar</t>
  </si>
  <si>
    <t>Muhammad Umar Abdillah</t>
  </si>
  <si>
    <t>Asep Tosin</t>
  </si>
  <si>
    <t>Dadang Suherman</t>
  </si>
  <si>
    <t>Hasyim</t>
  </si>
  <si>
    <t>Syarifudin</t>
  </si>
  <si>
    <t>Apan Sopandi</t>
  </si>
  <si>
    <t>Ahyar Maryadi</t>
  </si>
  <si>
    <t>Cucun Suhendar</t>
  </si>
  <si>
    <t>Mukhamad Taufik</t>
  </si>
  <si>
    <t>Apin Muksin</t>
  </si>
  <si>
    <t>Oman Suherman</t>
  </si>
  <si>
    <t>Deden Yonan</t>
  </si>
  <si>
    <t>Iim Rusmana</t>
  </si>
  <si>
    <t>Apin Hambali</t>
  </si>
  <si>
    <t>Hikmattuloh</t>
  </si>
  <si>
    <t>Durja</t>
  </si>
  <si>
    <t>Dudung Suhendar</t>
  </si>
  <si>
    <t>Ahmad Fauzi</t>
  </si>
  <si>
    <t>Wawan Darmawan</t>
  </si>
  <si>
    <t>Sugeng Yayat Budiyono</t>
  </si>
  <si>
    <t>Okta Vondani Asgar</t>
  </si>
  <si>
    <t>Abdul Jamil</t>
  </si>
  <si>
    <t>Asep Hari Kurnia</t>
  </si>
  <si>
    <t>Dedi Awapi</t>
  </si>
  <si>
    <t>Dudung</t>
  </si>
  <si>
    <t>Supriyadi</t>
  </si>
  <si>
    <t>Atang Mustari</t>
  </si>
  <si>
    <t>Saifudin</t>
  </si>
  <si>
    <t>Taryana</t>
  </si>
  <si>
    <t>Tarayana</t>
  </si>
  <si>
    <t>H.Toni Herianto</t>
  </si>
  <si>
    <t>Komara Hendarsyah</t>
  </si>
  <si>
    <t>Enjang Saepudin</t>
  </si>
  <si>
    <t>Roni Hardiansah</t>
  </si>
  <si>
    <t>Agus Wijaya</t>
  </si>
  <si>
    <t>Aman</t>
  </si>
  <si>
    <t>Ratno</t>
  </si>
  <si>
    <t>Heriyana</t>
  </si>
  <si>
    <t>Dede Dedi</t>
  </si>
  <si>
    <t>Agus Eryan Kusmana</t>
  </si>
  <si>
    <t>Igun Gunawan</t>
  </si>
  <si>
    <t>Jajat Sudrajat</t>
  </si>
  <si>
    <t>Wahyudin</t>
  </si>
  <si>
    <t>Idrus</t>
  </si>
  <si>
    <t>Yana Suryana</t>
  </si>
  <si>
    <t>Ijang Oi</t>
  </si>
  <si>
    <t>Asep Sodikin</t>
  </si>
  <si>
    <t>Amanah Subrianto</t>
  </si>
  <si>
    <t>Dadang Hidayat</t>
  </si>
  <si>
    <t>Cadi Mulyadi</t>
  </si>
  <si>
    <t>Enyang</t>
  </si>
  <si>
    <t>Ade Sugiarto</t>
  </si>
  <si>
    <t>Tata Sudarta</t>
  </si>
  <si>
    <t>Abidin</t>
  </si>
  <si>
    <t>Hendi Hadian</t>
  </si>
  <si>
    <t xml:space="preserve">Hendi Hadian </t>
  </si>
  <si>
    <t>Dadang Setiawan</t>
  </si>
  <si>
    <t>Imam Fahrizal</t>
  </si>
  <si>
    <t>Andri Ario</t>
  </si>
  <si>
    <t>H.Hamidi</t>
  </si>
  <si>
    <t>Kurnia</t>
  </si>
  <si>
    <t>Gungun Wiguna</t>
  </si>
  <si>
    <t>Rudi Ruswandi</t>
  </si>
  <si>
    <t xml:space="preserve">Wawan Gunawan </t>
  </si>
  <si>
    <t>Wawan Gunawan</t>
  </si>
  <si>
    <t>Amar Caryat</t>
  </si>
  <si>
    <t>Noer Rachman</t>
  </si>
  <si>
    <t>Turiman</t>
  </si>
  <si>
    <t>Ahmad Alazhar</t>
  </si>
  <si>
    <t>Aa Sutisna</t>
  </si>
  <si>
    <t>Riyad Setiawan</t>
  </si>
  <si>
    <t>Endang Suyanto</t>
  </si>
  <si>
    <t xml:space="preserve"> Asep Sahrul Alamsyah</t>
  </si>
  <si>
    <t>Asep Sahrul Alamsyah</t>
  </si>
  <si>
    <t>Aam Sonjaya</t>
  </si>
  <si>
    <t>Ahmad Mustopa Hamdani</t>
  </si>
  <si>
    <t>Jajang Sutisna</t>
  </si>
  <si>
    <t xml:space="preserve">Jajang Sutisna </t>
  </si>
  <si>
    <t>Paidi</t>
  </si>
  <si>
    <t>Agus Tatang Sutarman</t>
  </si>
  <si>
    <t>Ali Abdu Rahman</t>
  </si>
  <si>
    <t>Habib Muhammad Assegaff</t>
  </si>
  <si>
    <t>Ujang Yana</t>
  </si>
  <si>
    <t>Tisna Suntara</t>
  </si>
  <si>
    <t>Asep Sugondo</t>
  </si>
  <si>
    <t>Yayat Rusyadi</t>
  </si>
  <si>
    <t>Edward Faisal Supriatna</t>
  </si>
  <si>
    <t>Ade Rohana</t>
  </si>
  <si>
    <t>Uu Usman</t>
  </si>
  <si>
    <t>Dedi Supriadi</t>
  </si>
  <si>
    <t>Ajang Hendi Jaenudin</t>
  </si>
  <si>
    <t>Lili Irawan</t>
  </si>
  <si>
    <t>Dedi Sutiwa</t>
  </si>
  <si>
    <t>Wandi Kusumah</t>
  </si>
  <si>
    <t>Asep Gunawan</t>
  </si>
  <si>
    <t>Rohman</t>
  </si>
  <si>
    <t>Rahmat Saepuloh</t>
  </si>
  <si>
    <t>Cutarya, S.Pd</t>
  </si>
  <si>
    <t>Cutarya, S,Pd</t>
  </si>
  <si>
    <t>Edi Junaedi</t>
  </si>
  <si>
    <t>Komar</t>
  </si>
  <si>
    <t>Wawa Nasrun</t>
  </si>
  <si>
    <t>Nanang Kartawinata</t>
  </si>
  <si>
    <t>Amin Siswoyo</t>
  </si>
  <si>
    <t>Ni Matullah</t>
  </si>
  <si>
    <t>Hasan Sanudin</t>
  </si>
  <si>
    <t>Agus Sopyan</t>
  </si>
  <si>
    <t>H.Asep Misbah</t>
  </si>
  <si>
    <t xml:space="preserve">Dadang Rohiman </t>
  </si>
  <si>
    <t>Iwan Budi Raharja</t>
  </si>
  <si>
    <t>Gustry Azwadi</t>
  </si>
  <si>
    <t>Uman</t>
  </si>
  <si>
    <t>Encang</t>
  </si>
  <si>
    <t>Kuswandi</t>
  </si>
  <si>
    <t>Juheri</t>
  </si>
  <si>
    <t>H. Gani Nugraha</t>
  </si>
  <si>
    <t>H.Gani Nugraha</t>
  </si>
  <si>
    <t>Prani Hidayat. Sh</t>
  </si>
  <si>
    <t>Alm. Yaya</t>
  </si>
  <si>
    <t>Wari Taryono</t>
  </si>
  <si>
    <t>Asep Cecep Hidayatuloh</t>
  </si>
  <si>
    <t>R.Dadang Hasanudin</t>
  </si>
  <si>
    <t>Andik Suprianto</t>
  </si>
  <si>
    <t>Wawan Setiawan</t>
  </si>
  <si>
    <t>H.Dedeng</t>
  </si>
  <si>
    <t>Denny Rahardja</t>
  </si>
  <si>
    <t>Ach Fahri</t>
  </si>
  <si>
    <t>Gaos Maryadi</t>
  </si>
  <si>
    <t>Rofi Hadiansyah</t>
  </si>
  <si>
    <t>Sumarno</t>
  </si>
  <si>
    <t>Imam Gunadi</t>
  </si>
  <si>
    <t>Harris Jonathan</t>
  </si>
  <si>
    <t>Asep Supriatna</t>
  </si>
  <si>
    <t>Atep Wahyu</t>
  </si>
  <si>
    <t>Rohidi</t>
  </si>
  <si>
    <t>Agan Mahmud</t>
  </si>
  <si>
    <t>Yayat Taryat</t>
  </si>
  <si>
    <t>Wawan Karnawan</t>
  </si>
  <si>
    <t>Asep Anwar Setiawan</t>
  </si>
  <si>
    <t>Moh.Nashrudin Muntaqo</t>
  </si>
  <si>
    <t>Awan Setiawan</t>
  </si>
  <si>
    <t>Erik Taufiq</t>
  </si>
  <si>
    <t>Dena Sukarna</t>
  </si>
  <si>
    <t>Ivan Safrizal</t>
  </si>
  <si>
    <t>Cucu Suhendar</t>
  </si>
  <si>
    <t>Rukman</t>
  </si>
  <si>
    <t>Didin Samsudin</t>
  </si>
  <si>
    <t>Ifan Kusmana</t>
  </si>
  <si>
    <t>Haerul Sopian</t>
  </si>
  <si>
    <t>Asep Lukmanul Hakim</t>
  </si>
  <si>
    <t>Asep Likmanul Hakim</t>
  </si>
  <si>
    <t>Ade Muhamad Mahpudin</t>
  </si>
  <si>
    <t>Khaedar Achmad Hasan</t>
  </si>
  <si>
    <t>Andri Sapari</t>
  </si>
  <si>
    <t>Adi Suparman</t>
  </si>
  <si>
    <t>Jajang Zaenudin</t>
  </si>
  <si>
    <t>Jajang Jaenudin</t>
  </si>
  <si>
    <t>Ayi Rohman</t>
  </si>
  <si>
    <t>Yaya Prasangka Nugraha</t>
  </si>
  <si>
    <t>Edi Ali Rohman</t>
  </si>
  <si>
    <t>Agam Maret</t>
  </si>
  <si>
    <t>Raswo</t>
  </si>
  <si>
    <t>Ahmad Zakariya Ramdani</t>
  </si>
  <si>
    <t>Aji Abdulah</t>
  </si>
  <si>
    <t>Bambang Setyono</t>
  </si>
  <si>
    <t>Dian Mardiana</t>
  </si>
  <si>
    <t>Nurul Anwar</t>
  </si>
  <si>
    <t>Gungun Sopian</t>
  </si>
  <si>
    <t>Nono Soripno</t>
  </si>
  <si>
    <t>Tatang Sodikin</t>
  </si>
  <si>
    <t>Dudi Junaedi Anggara</t>
  </si>
  <si>
    <t>Hermawan</t>
  </si>
  <si>
    <t>Tedi Hermawan</t>
  </si>
  <si>
    <t>Herry Mulyana</t>
  </si>
  <si>
    <t>Mulus Purnomo</t>
  </si>
  <si>
    <t>Mohamad Yusup</t>
  </si>
  <si>
    <t>Cahya</t>
  </si>
  <si>
    <t>Ayi Sambas</t>
  </si>
  <si>
    <t>Nendi Haryono</t>
  </si>
  <si>
    <t>Ayu Paturahman</t>
  </si>
  <si>
    <t>Asep Jejen</t>
  </si>
  <si>
    <t>Muhamad Nurduha</t>
  </si>
  <si>
    <t>Didin Tahyudin</t>
  </si>
  <si>
    <t>Ade Warma</t>
  </si>
  <si>
    <t>Muhamad Anis Fuad</t>
  </si>
  <si>
    <t>Suratno</t>
  </si>
  <si>
    <t>Mohammad Irfan Fansyuri.Amd</t>
  </si>
  <si>
    <t>Ajang Rosid</t>
  </si>
  <si>
    <t>Dudu Durahman</t>
  </si>
  <si>
    <t>Syarief Hidayat</t>
  </si>
  <si>
    <t>Cacah</t>
  </si>
  <si>
    <t>Amat</t>
  </si>
  <si>
    <t>Saepudin</t>
  </si>
  <si>
    <t>Dadang Mulyana</t>
  </si>
  <si>
    <t>Abdullah</t>
  </si>
  <si>
    <t>Agus Hidayat ,Sh</t>
  </si>
  <si>
    <t>Rustandi</t>
  </si>
  <si>
    <t>Adung Sumana</t>
  </si>
  <si>
    <t>Ana Abdul Jabbar</t>
  </si>
  <si>
    <t>Andi Sholeh</t>
  </si>
  <si>
    <t>Untung Subandono</t>
  </si>
  <si>
    <t>Syafnel</t>
  </si>
  <si>
    <t>Farid Assegaf</t>
  </si>
  <si>
    <t>Dede Sutawan</t>
  </si>
  <si>
    <t>Abdul Rojak</t>
  </si>
  <si>
    <t>Nipan Susanto</t>
  </si>
  <si>
    <t xml:space="preserve">Ikin </t>
  </si>
  <si>
    <t>Rizki Achiril Sandi</t>
  </si>
  <si>
    <t>Memet</t>
  </si>
  <si>
    <t>Ade Odang</t>
  </si>
  <si>
    <t>Engkos Koswara</t>
  </si>
  <si>
    <t>Raden Hidayat</t>
  </si>
  <si>
    <t>Sanusi</t>
  </si>
  <si>
    <t>Gumilar</t>
  </si>
  <si>
    <t>Agus Junaedi</t>
  </si>
  <si>
    <t>Agus Muslih</t>
  </si>
  <si>
    <t>Didin Solehudin</t>
  </si>
  <si>
    <t>Lili Syaefudin Al Fauzi</t>
  </si>
  <si>
    <t>Budi Santosa</t>
  </si>
  <si>
    <t>Mochamad Iwan Lesmana</t>
  </si>
  <si>
    <t>Ari Pardiansyah</t>
  </si>
  <si>
    <t>Deni Sukmana</t>
  </si>
  <si>
    <t>Saepulloh</t>
  </si>
  <si>
    <t>Uus Sunaria</t>
  </si>
  <si>
    <t>Ase</t>
  </si>
  <si>
    <t>Omo Sunarma</t>
  </si>
  <si>
    <t>Jemi Ismail Herdian S</t>
  </si>
  <si>
    <t>Yayan Suryana</t>
  </si>
  <si>
    <t>R.Bambang Agung Rahmanto</t>
  </si>
  <si>
    <t>Engkus Mulyana</t>
  </si>
  <si>
    <t>Babay Mulyadi</t>
  </si>
  <si>
    <t>Ridwan Saleh</t>
  </si>
  <si>
    <t>Andi Handi</t>
  </si>
  <si>
    <t>Ifan Sofyan Munawar</t>
  </si>
  <si>
    <t>Agun Gunawan</t>
  </si>
  <si>
    <t>Muhammad Rosyiidin</t>
  </si>
  <si>
    <t>Toto Suprianto</t>
  </si>
  <si>
    <t>Eli Inayatulloh</t>
  </si>
  <si>
    <t>Novredi</t>
  </si>
  <si>
    <t>Husen</t>
  </si>
  <si>
    <t>Sandy Sudiana Sobana</t>
  </si>
  <si>
    <t>H.Juju</t>
  </si>
  <si>
    <t>Heri Heryana</t>
  </si>
  <si>
    <t>Encu</t>
  </si>
  <si>
    <t>Zezen Zainul Alam</t>
  </si>
  <si>
    <t>Asep Adis</t>
  </si>
  <si>
    <t>Didik Prianto</t>
  </si>
  <si>
    <t>Shobaruddin</t>
  </si>
  <si>
    <t>Endang Suherman</t>
  </si>
  <si>
    <t>Unang Mulyana</t>
  </si>
  <si>
    <t>Suradi,Amd</t>
  </si>
  <si>
    <t>Nuron Solihin</t>
  </si>
  <si>
    <t>Totoh Suryana</t>
  </si>
  <si>
    <t>Encep Udan</t>
  </si>
  <si>
    <t>Uus Usman Nul Hakim</t>
  </si>
  <si>
    <t>Misbah Hudhulam</t>
  </si>
  <si>
    <t>Soleh Mulyana</t>
  </si>
  <si>
    <t>Surahman</t>
  </si>
  <si>
    <t>Amir Saripudin</t>
  </si>
  <si>
    <t>Aa Cahyudin</t>
  </si>
  <si>
    <t>Iwan Suwarman</t>
  </si>
  <si>
    <t>Anta</t>
  </si>
  <si>
    <t xml:space="preserve">Kusmara </t>
  </si>
  <si>
    <t>Kusmara</t>
  </si>
  <si>
    <t>Karyana</t>
  </si>
  <si>
    <t xml:space="preserve">H. Ibrahim Al Bakkar </t>
  </si>
  <si>
    <t>Muhamad Jamaludin</t>
  </si>
  <si>
    <t>Maman</t>
  </si>
  <si>
    <t>Agus Setiawan Suhaeri</t>
  </si>
  <si>
    <t>Deden Nuryadin</t>
  </si>
  <si>
    <t xml:space="preserve">H.Iwan Setiawan </t>
  </si>
  <si>
    <t>Wahyudi</t>
  </si>
  <si>
    <t>Aria Sugandi</t>
  </si>
  <si>
    <t>Dedi Wawan Abdul Wahab</t>
  </si>
  <si>
    <t>Saepuloh Alamsyah</t>
  </si>
  <si>
    <t>Dayat Mulyana</t>
  </si>
  <si>
    <t>Mochammad Romdon</t>
  </si>
  <si>
    <t>Tito</t>
  </si>
  <si>
    <t>Edi Rosadi</t>
  </si>
  <si>
    <t>Mamay Komara</t>
  </si>
  <si>
    <t>Ian Sopiandi</t>
  </si>
  <si>
    <t>Amas Setiawan</t>
  </si>
  <si>
    <t>Hendra Gunawan</t>
  </si>
  <si>
    <t>Bini</t>
  </si>
  <si>
    <t>Robana Robiana</t>
  </si>
  <si>
    <t>Robana Robuana</t>
  </si>
  <si>
    <t>H.Warya Sriwijaya</t>
  </si>
  <si>
    <t>Unang Rukmana</t>
  </si>
  <si>
    <t>Muhamad Yahya</t>
  </si>
  <si>
    <t>Novayadi Subagja</t>
  </si>
  <si>
    <t>Mismah Hudhulam</t>
  </si>
  <si>
    <t>Misah Hudhulam</t>
  </si>
  <si>
    <t>Eko Wardiyono</t>
  </si>
  <si>
    <t>Memed</t>
  </si>
  <si>
    <t>Usman</t>
  </si>
  <si>
    <t>Hendar Rusmaya</t>
  </si>
  <si>
    <t>Hikmat Tatang Hidayat</t>
  </si>
  <si>
    <t>Didin Saepudin</t>
  </si>
  <si>
    <t>Jakaria</t>
  </si>
  <si>
    <t>Ade Mahmud</t>
  </si>
  <si>
    <t>Sutrisno</t>
  </si>
  <si>
    <t>Depit Paturahman</t>
  </si>
  <si>
    <t xml:space="preserve">Ahmad Hermawan </t>
  </si>
  <si>
    <t>Ilham R</t>
  </si>
  <si>
    <t>Dudung Imamudin</t>
  </si>
  <si>
    <t>Abdul Hamzah</t>
  </si>
  <si>
    <t>Aang Kurniawan</t>
  </si>
  <si>
    <t>Wawan Kartiwa</t>
  </si>
  <si>
    <t>Asep Mustofa</t>
  </si>
  <si>
    <t>Aming Kamiludin</t>
  </si>
  <si>
    <t>Dani Darmawan</t>
  </si>
  <si>
    <t>Muhammad Zaenudin</t>
  </si>
  <si>
    <t>Amad</t>
  </si>
  <si>
    <t>Yati Sumiyati</t>
  </si>
  <si>
    <t>H.Abdurrosyid</t>
  </si>
  <si>
    <t>Abu Samsudin A</t>
  </si>
  <si>
    <t>Doni Safari</t>
  </si>
  <si>
    <t>Asep Komarudin</t>
  </si>
  <si>
    <t>Ahmad Mustopa</t>
  </si>
  <si>
    <t>Yayat Supandi</t>
  </si>
  <si>
    <t>Kusnadi</t>
  </si>
  <si>
    <t>Acu Wahyudin</t>
  </si>
  <si>
    <t>Atip Mahrojan</t>
  </si>
  <si>
    <t>Dedi</t>
  </si>
  <si>
    <t>Alm. Asep Aldiron</t>
  </si>
  <si>
    <t>Agus Purwanto</t>
  </si>
  <si>
    <t>A. Endang Suryana</t>
  </si>
  <si>
    <t>Asep Saripudin</t>
  </si>
  <si>
    <t>Asep Saripidin</t>
  </si>
  <si>
    <t>Aan Nursaban</t>
  </si>
  <si>
    <t>Agus Tata Sumarna</t>
  </si>
  <si>
    <t>Dikdik Mulyadi</t>
  </si>
  <si>
    <t>Elin Sabili</t>
  </si>
  <si>
    <t>Encep Solehudin</t>
  </si>
  <si>
    <t>Lili Somantri</t>
  </si>
  <si>
    <t>Asep Saefulloh</t>
  </si>
  <si>
    <t>Erik Purnama</t>
  </si>
  <si>
    <t>Darman Suherman</t>
  </si>
  <si>
    <t>Cecep Maulana Jarkasih</t>
  </si>
  <si>
    <t>Asep Mujib Alimin</t>
  </si>
  <si>
    <t>Dadan Ramdani</t>
  </si>
  <si>
    <t>Wahsul Falah</t>
  </si>
  <si>
    <t>Ringga Wilis</t>
  </si>
  <si>
    <t>Falah Yahyudin</t>
  </si>
  <si>
    <t>Asep Kardian</t>
  </si>
  <si>
    <t>Saepuloh</t>
  </si>
  <si>
    <t>Ai Sudrajat</t>
  </si>
  <si>
    <t>Sopandi Hardi</t>
  </si>
  <si>
    <t>Dadang Supristiawan Spd</t>
  </si>
  <si>
    <t>Enar Kusnandar</t>
  </si>
  <si>
    <t>Rahmat Salam</t>
  </si>
  <si>
    <t>Muhamad Saefudin</t>
  </si>
  <si>
    <t>Yayo Junaedi</t>
  </si>
  <si>
    <t>Achmad Muttaqin</t>
  </si>
  <si>
    <t xml:space="preserve">Muhamad Hartono </t>
  </si>
  <si>
    <t>Acun Saepuloh</t>
  </si>
  <si>
    <t>Yandi Zayadi Oktosa</t>
  </si>
  <si>
    <t>Momon Sudarman</t>
  </si>
  <si>
    <t>Akhmad Yudi Maulana</t>
  </si>
  <si>
    <t>Dedi Sunjana</t>
  </si>
  <si>
    <t>Rahmat</t>
  </si>
  <si>
    <t>Aditya Kusnadi</t>
  </si>
  <si>
    <t>H.Samsudin</t>
  </si>
  <si>
    <t>Pepen Rahayu</t>
  </si>
  <si>
    <t>Husni Ali</t>
  </si>
  <si>
    <t>Jajang Priatna</t>
  </si>
  <si>
    <t>Darsono</t>
  </si>
  <si>
    <t>Endang,S.Pd</t>
  </si>
  <si>
    <t>Ahim Ibrahim</t>
  </si>
  <si>
    <t>Aman Yogi Rahman</t>
  </si>
  <si>
    <t>Ia Dian Mustofa</t>
  </si>
  <si>
    <t>Iwan Gunawan</t>
  </si>
  <si>
    <t>Slamet Mulyono</t>
  </si>
  <si>
    <t>Ibrahim Aji</t>
  </si>
  <si>
    <t>Ngadino</t>
  </si>
  <si>
    <t>Daud Junaedi</t>
  </si>
  <si>
    <t>Dindin Syushantoro</t>
  </si>
  <si>
    <t>Ade Carya</t>
  </si>
  <si>
    <t>Nana Rusdiana</t>
  </si>
  <si>
    <t>Firman Suherli</t>
  </si>
  <si>
    <t>Tata Sunandar</t>
  </si>
  <si>
    <t>Amas</t>
  </si>
  <si>
    <t>Uus Usman</t>
  </si>
  <si>
    <t>Mimin Mintarsih Entjang K</t>
  </si>
  <si>
    <t>Deni Riswandi</t>
  </si>
  <si>
    <t>Uju</t>
  </si>
  <si>
    <t>Edi Bustomi</t>
  </si>
  <si>
    <t>Juju Sutarjan</t>
  </si>
  <si>
    <t>Dedy</t>
  </si>
  <si>
    <t>Muhamad Abdul Karim</t>
  </si>
  <si>
    <t>Ebit Putra</t>
  </si>
  <si>
    <t>Sulaeman</t>
  </si>
  <si>
    <t>Dadan Hermawan</t>
  </si>
  <si>
    <t>Mirun</t>
  </si>
  <si>
    <t>Muhammad Syafi'I</t>
  </si>
  <si>
    <t>Rohmat</t>
  </si>
  <si>
    <t>Slamet Rukmanda</t>
  </si>
  <si>
    <t>Suryana Ahmad P</t>
  </si>
  <si>
    <t>Ahmad Dliauddin</t>
  </si>
  <si>
    <t>Andika Dwi Putra</t>
  </si>
  <si>
    <t>Maman Sutarman</t>
  </si>
  <si>
    <t>Zulfiqar Yaman</t>
  </si>
  <si>
    <t>Jajat Jatnika</t>
  </si>
  <si>
    <t>Badruzaman</t>
  </si>
  <si>
    <t>Dusun Babakan Limus Rt/Rw: 002/011 Desa.Cihanjuang Kec.Cimanggung</t>
  </si>
  <si>
    <t>Pendopo</t>
  </si>
  <si>
    <t>Meisa Dewi Asiah</t>
  </si>
  <si>
    <t>Andini Wulandari</t>
  </si>
  <si>
    <t>Irdina Khoirunnisa</t>
  </si>
  <si>
    <t>Maulidiah Husna Ai'Nurofik</t>
  </si>
  <si>
    <t xml:space="preserve">Nur Lelah </t>
  </si>
  <si>
    <t>Raden Nurul Husna Azzahra</t>
  </si>
  <si>
    <t>Siti Khodijah Budi Putri</t>
  </si>
  <si>
    <t>Syarifa Zulfa Az Zahra</t>
  </si>
  <si>
    <t>Lutfiah Mutmainah</t>
  </si>
  <si>
    <t>Najwa Nur  Ajizah</t>
  </si>
  <si>
    <t>Renisa Arliani</t>
  </si>
  <si>
    <t>Saa'Adah Nazlatil Karimah</t>
  </si>
  <si>
    <t>Shalsabila  Aulia Syifaa</t>
  </si>
  <si>
    <t xml:space="preserve">Sinta Aulia </t>
  </si>
  <si>
    <t>Siti Durratun Nashiihah</t>
  </si>
  <si>
    <t xml:space="preserve">Alfiyyah Nur Azizah </t>
  </si>
  <si>
    <t>Azzahra Adinda Adinda</t>
  </si>
  <si>
    <t>Lulu'I Tsania Putri</t>
  </si>
  <si>
    <t>Riva Nurjanah</t>
  </si>
  <si>
    <t xml:space="preserve">Sania Ramadhani Putri </t>
  </si>
  <si>
    <t>Saroh Mutmainah</t>
  </si>
  <si>
    <t xml:space="preserve">Siti Zulfa Ramadhani </t>
  </si>
  <si>
    <t>Sri Sinta Dewi</t>
  </si>
  <si>
    <t xml:space="preserve">Aidah </t>
  </si>
  <si>
    <t>Alifa Zahwa Robbiatul A</t>
  </si>
  <si>
    <t>Aliya Putri Anggraeni</t>
  </si>
  <si>
    <t xml:space="preserve">Asyifa Dzikra Putri Hadian </t>
  </si>
  <si>
    <t>Dian Khansa Haerani</t>
  </si>
  <si>
    <t>Hasna Zakiatus Sa'Adah</t>
  </si>
  <si>
    <t xml:space="preserve">Kalyca Fittra Nur Aini </t>
  </si>
  <si>
    <t xml:space="preserve">Nayla Nurvita Rachman </t>
  </si>
  <si>
    <t>Salwa Siti Habsoh Alawiyah</t>
  </si>
  <si>
    <t xml:space="preserve">Siti Hindun </t>
  </si>
  <si>
    <t xml:space="preserve">Sovi Salha Adawiyah </t>
  </si>
  <si>
    <t>Syarifah Dinda Nurhadijah Assegaff</t>
  </si>
  <si>
    <t>Auliya Apriyani</t>
  </si>
  <si>
    <t xml:space="preserve">Azelia Rusyadi </t>
  </si>
  <si>
    <t>Cha Cha Hasna  Nur Syafa'Nah</t>
  </si>
  <si>
    <t>Ghia Azkia Syifaurrahmah</t>
  </si>
  <si>
    <t xml:space="preserve">Humaira Azzahra </t>
  </si>
  <si>
    <t xml:space="preserve">Kaila Apriliani </t>
  </si>
  <si>
    <t xml:space="preserve">Keyla Nur  Rohmah </t>
  </si>
  <si>
    <t xml:space="preserve">Khairunnisa </t>
  </si>
  <si>
    <t xml:space="preserve">Khoirunnisa </t>
  </si>
  <si>
    <t xml:space="preserve">Latisya Ghaida Najwa </t>
  </si>
  <si>
    <t>Najla Qotrunnada Kartawinata</t>
  </si>
  <si>
    <t xml:space="preserve">Nida Shohwatulislam </t>
  </si>
  <si>
    <t xml:space="preserve">Risa Maulida </t>
  </si>
  <si>
    <t>Salsabila Syifa Mutmainah Aladawiyah</t>
  </si>
  <si>
    <t xml:space="preserve">Syifaa Siti Khadijah </t>
  </si>
  <si>
    <t>Agni Suci Nur Adjkia</t>
  </si>
  <si>
    <t xml:space="preserve">Alisha Aghniya Syakir </t>
  </si>
  <si>
    <t xml:space="preserve">Alya Ramadhani </t>
  </si>
  <si>
    <t xml:space="preserve">Anggia Arisanti Pratiwi </t>
  </si>
  <si>
    <t xml:space="preserve">Aulia Nur Hidayah </t>
  </si>
  <si>
    <t xml:space="preserve">Dea Nur Sintiani </t>
  </si>
  <si>
    <t xml:space="preserve">Dewi Hasna Sofiyah </t>
  </si>
  <si>
    <t xml:space="preserve">Dhea  Nafisa Rahardja </t>
  </si>
  <si>
    <t xml:space="preserve">Fahrani </t>
  </si>
  <si>
    <t xml:space="preserve">Hilmiya Hazimah </t>
  </si>
  <si>
    <t xml:space="preserve">Kesya Sulistiana </t>
  </si>
  <si>
    <t>Kezya Asyifa Chesa</t>
  </si>
  <si>
    <t xml:space="preserve">Maharani Annisa Al Fajr </t>
  </si>
  <si>
    <t xml:space="preserve">Mirfah Suciawati </t>
  </si>
  <si>
    <t xml:space="preserve">Naila Salsabila </t>
  </si>
  <si>
    <t xml:space="preserve">Nesa Nur Fadilah </t>
  </si>
  <si>
    <t xml:space="preserve">Nisrina Afifah </t>
  </si>
  <si>
    <t xml:space="preserve">Restu Salsabila </t>
  </si>
  <si>
    <t>Salsabila Nabila  Mustiani</t>
  </si>
  <si>
    <t xml:space="preserve">Sazkya Octaviana </t>
  </si>
  <si>
    <t xml:space="preserve">Siti Fatimah Az Zahra </t>
  </si>
  <si>
    <t xml:space="preserve">Siti Fatimah Zahra </t>
  </si>
  <si>
    <t xml:space="preserve">Syifa Azzahra </t>
  </si>
  <si>
    <t xml:space="preserve">Syifa Nur Janah </t>
  </si>
  <si>
    <t xml:space="preserve">Tasya Kania Putri </t>
  </si>
  <si>
    <t xml:space="preserve">Viqta Ramadhani </t>
  </si>
  <si>
    <t xml:space="preserve">Zahra Sabrina </t>
  </si>
  <si>
    <t xml:space="preserve">Alawiyah Muthoharoh </t>
  </si>
  <si>
    <t xml:space="preserve">Alisya Safitri </t>
  </si>
  <si>
    <t>Denis Fitria</t>
  </si>
  <si>
    <t xml:space="preserve">Diva Apriliani </t>
  </si>
  <si>
    <t xml:space="preserve">Fatimah Mayaail </t>
  </si>
  <si>
    <t xml:space="preserve">Husna Nuraini </t>
  </si>
  <si>
    <t xml:space="preserve">Jaenul Qoriyah </t>
  </si>
  <si>
    <t>Khansa Athifa Sholikhah</t>
  </si>
  <si>
    <t xml:space="preserve">Mega Cipta </t>
  </si>
  <si>
    <t xml:space="preserve">Nazwa Maulida </t>
  </si>
  <si>
    <t xml:space="preserve">Rahma Siti Patimah </t>
  </si>
  <si>
    <t>Salma Siti Patimah</t>
  </si>
  <si>
    <t xml:space="preserve">Salwa Khairunnisa </t>
  </si>
  <si>
    <t xml:space="preserve">Sintia Bela </t>
  </si>
  <si>
    <t xml:space="preserve">Siti Rahmawati </t>
  </si>
  <si>
    <t xml:space="preserve">Siti Ummu Kultsum </t>
  </si>
  <si>
    <t>Siti Zaenah Salsabillah</t>
  </si>
  <si>
    <t xml:space="preserve">Syipa Amanatunnisa </t>
  </si>
  <si>
    <t>Talita Nabila Manda Ramania</t>
  </si>
  <si>
    <t xml:space="preserve">Wini Widiana </t>
  </si>
  <si>
    <t xml:space="preserve">Zahra Aulia </t>
  </si>
  <si>
    <t xml:space="preserve">Zulfa Siti Khodijah </t>
  </si>
  <si>
    <t xml:space="preserve">Fitri Yani Aulia </t>
  </si>
  <si>
    <t>Siti Khodijah Sa'Diyah Sakinah</t>
  </si>
  <si>
    <t xml:space="preserve">Amelia Maylinda </t>
  </si>
  <si>
    <t>Amelia Salsabila Ramadhani</t>
  </si>
  <si>
    <t xml:space="preserve">Bunga Nirmala Ramdhani </t>
  </si>
  <si>
    <t xml:space="preserve">Dais Nurur Rosyidah </t>
  </si>
  <si>
    <t xml:space="preserve">Friya Aisya Putri </t>
  </si>
  <si>
    <t>Kholisa Nurpadilah</t>
  </si>
  <si>
    <t xml:space="preserve">Mila Rosa </t>
  </si>
  <si>
    <t xml:space="preserve">Nabila Hilmi </t>
  </si>
  <si>
    <t xml:space="preserve">Raisha Amelia </t>
  </si>
  <si>
    <t xml:space="preserve">Siti A'Isyah </t>
  </si>
  <si>
    <t xml:space="preserve">Siti Khotimah Lailasari </t>
  </si>
  <si>
    <t xml:space="preserve">Siti Srinuryani </t>
  </si>
  <si>
    <t xml:space="preserve">Siti Zahra Aulia </t>
  </si>
  <si>
    <t>Yasmin Afifah Mas'Ad Albakkar</t>
  </si>
  <si>
    <t>Nenden Siti Nur Amanah</t>
  </si>
  <si>
    <t>Umi Saadah Fiddaroini</t>
  </si>
  <si>
    <t>Siti Fatimah Nuur Fadliilah</t>
  </si>
  <si>
    <t>Siti Hapsoh</t>
  </si>
  <si>
    <t>Siti Naziah Sholihah</t>
  </si>
  <si>
    <t>Alesya Faiha Azhar</t>
  </si>
  <si>
    <t>Diska Dalvina Juniar</t>
  </si>
  <si>
    <t>Nurrela</t>
  </si>
  <si>
    <t>Dea Ananda</t>
  </si>
  <si>
    <t>Salwa Nabila Aronip</t>
  </si>
  <si>
    <t>Siti Khadijah</t>
  </si>
  <si>
    <t>Talita Hasna Salsabila</t>
  </si>
  <si>
    <t xml:space="preserve">Asti Nur Asyifa </t>
  </si>
  <si>
    <t>Hasna Halimatu Sa'Diah</t>
  </si>
  <si>
    <t>Lailah Nurazizah</t>
  </si>
  <si>
    <t>Linada Roudhotul Marifah</t>
  </si>
  <si>
    <t>Melani Nur Halimah Tusadyah</t>
  </si>
  <si>
    <t xml:space="preserve">Siti Nur Khodijah </t>
  </si>
  <si>
    <t>Zahra Nurulqolbi</t>
  </si>
  <si>
    <t xml:space="preserve">Nabila Oktavia </t>
  </si>
  <si>
    <t>Zakiyyah Robi`Atul Awwaliyyah</t>
  </si>
  <si>
    <t xml:space="preserve">Siti Romlah </t>
  </si>
  <si>
    <t xml:space="preserve">Tiana Putri </t>
  </si>
  <si>
    <t xml:space="preserve">Neng Dewi </t>
  </si>
  <si>
    <t xml:space="preserve">Tiara Nur Azizah </t>
  </si>
  <si>
    <t xml:space="preserve">Wulan Siti Marwah </t>
  </si>
  <si>
    <t xml:space="preserve">Indah Ruswandi </t>
  </si>
  <si>
    <t xml:space="preserve">Alya Nadila Noviani </t>
  </si>
  <si>
    <t xml:space="preserve">Auliya Nurhikam </t>
  </si>
  <si>
    <t xml:space="preserve">Siti Hamidah </t>
  </si>
  <si>
    <t>Alika Latipa Halimatul Syipa</t>
  </si>
  <si>
    <t>Amanda Widia Rahman</t>
  </si>
  <si>
    <t>Amelia Siti Awaliah</t>
  </si>
  <si>
    <t>Anggun Fitria Mauliddina</t>
  </si>
  <si>
    <t>Annisa Shiva Lutfiana</t>
  </si>
  <si>
    <t>Azizah Hafizatul Aen</t>
  </si>
  <si>
    <t>Azka Salsabila</t>
  </si>
  <si>
    <t>Choirunnisa Istiqomah</t>
  </si>
  <si>
    <t>Devi Rindiani</t>
  </si>
  <si>
    <t>Fattazizah Arrumaisha</t>
  </si>
  <si>
    <t xml:space="preserve">Fitria Supriatin </t>
  </si>
  <si>
    <t>Hani Apriliyani</t>
  </si>
  <si>
    <t>Lakeisha Luthfiana</t>
  </si>
  <si>
    <t>Mega Puspita</t>
  </si>
  <si>
    <t xml:space="preserve">Mutiara Salsabila </t>
  </si>
  <si>
    <t>Nabilla Putri Hariwijaya</t>
  </si>
  <si>
    <t>Nabylla Nurfauziyyah</t>
  </si>
  <si>
    <t>Najwa Rahmatul Intan</t>
  </si>
  <si>
    <t>Nasywah Rahadatul Aisy</t>
  </si>
  <si>
    <t>Novi Cahya Iqlima</t>
  </si>
  <si>
    <t>Nuni Rudilah</t>
  </si>
  <si>
    <t>Nur Azahra</t>
  </si>
  <si>
    <t>Putri Dinda Sri Rahayu</t>
  </si>
  <si>
    <t xml:space="preserve">Putri Jihan </t>
  </si>
  <si>
    <t xml:space="preserve">Putri Nurul H </t>
  </si>
  <si>
    <t>Rahma Nur Adibah</t>
  </si>
  <si>
    <t xml:space="preserve">Raira Enjela </t>
  </si>
  <si>
    <t>Rifa Faujiah</t>
  </si>
  <si>
    <t xml:space="preserve">Rika Risnawati </t>
  </si>
  <si>
    <t>Salsa Nurul Huda</t>
  </si>
  <si>
    <t xml:space="preserve">Siti Maghdatul </t>
  </si>
  <si>
    <t xml:space="preserve">Siti Nafisah </t>
  </si>
  <si>
    <t>Siti Nur Rismaya</t>
  </si>
  <si>
    <t>Siti Nurjani Rojizah Alawiah</t>
  </si>
  <si>
    <t>Siti Robi'Ah Al Adawiyah</t>
  </si>
  <si>
    <t>Siti Rubaiah Adawiyyah</t>
  </si>
  <si>
    <t xml:space="preserve">Siti Sarah Maulida </t>
  </si>
  <si>
    <t>Syafiina Apkha Nurbuah</t>
  </si>
  <si>
    <t>Syaqfathul Mardiah</t>
  </si>
  <si>
    <t>Syarifatushofiah Yumna Murodah</t>
  </si>
  <si>
    <t>Tia Nur Faizah</t>
  </si>
  <si>
    <t xml:space="preserve">Zahra Azzahidah </t>
  </si>
  <si>
    <t xml:space="preserve">Zahra Mumtazah </t>
  </si>
  <si>
    <t>TB</t>
  </si>
  <si>
    <t>411232110298 - TPQ AL-HIKMAH</t>
  </si>
  <si>
    <t>510332030001 - MIFTAHULHUDA AL-MUSRI</t>
  </si>
  <si>
    <t>411232110228 - TPQ AL-IHSAN</t>
  </si>
  <si>
    <t>0135514773</t>
  </si>
  <si>
    <t>311232110856 - MDTA ATH-THORIIQ</t>
  </si>
  <si>
    <t>0122391603</t>
  </si>
  <si>
    <t>510032140307 - PAGELARAN PURWAKARTA</t>
  </si>
  <si>
    <t>3139531783</t>
  </si>
  <si>
    <t>0081250207</t>
  </si>
  <si>
    <t>0134175208</t>
  </si>
  <si>
    <t>221232170092 - PDF WUSTHA DAARUL HALIM</t>
  </si>
  <si>
    <t>0123459280</t>
  </si>
  <si>
    <t>MDTA AL MUNAWAROTUL BANAT</t>
  </si>
  <si>
    <t>311232040487 - BABUL HUDA</t>
  </si>
  <si>
    <t>Eror</t>
  </si>
  <si>
    <t>0107552832</t>
  </si>
  <si>
    <t>510032090039 - AL BAHJAH</t>
  </si>
  <si>
    <t>510032040258 - PONDOK PESANTREN AL BASYARIYAH</t>
  </si>
  <si>
    <t>0133166054</t>
  </si>
  <si>
    <t>311232732038 - AL-IKHLAS</t>
  </si>
  <si>
    <t>411232110224 - TPQ AL-AMIN</t>
  </si>
  <si>
    <t>510032110058 - TARBIYATUL WILDAN NIHAYATUL AMAL HUBBUL QUR`AN</t>
  </si>
  <si>
    <t>Santri saat ini terdaftar AKTIF MDT DARUL ULUM</t>
  </si>
  <si>
    <t>0087480943/0874809472</t>
  </si>
  <si>
    <t>0074253011/3075643054</t>
  </si>
  <si>
    <t>3082572570/3085842251</t>
  </si>
  <si>
    <t>0117753746</t>
  </si>
  <si>
    <t>0117052675</t>
  </si>
  <si>
    <t>3106714415</t>
  </si>
  <si>
    <t>0085097494</t>
  </si>
  <si>
    <t>0103218204</t>
  </si>
  <si>
    <t>0102103390</t>
  </si>
  <si>
    <t>0102803310</t>
  </si>
  <si>
    <t>0077486590</t>
  </si>
  <si>
    <t>0085254750</t>
  </si>
  <si>
    <t>0086587226</t>
  </si>
  <si>
    <t>0115884926</t>
  </si>
  <si>
    <t>0109585116</t>
  </si>
  <si>
    <t>0119521399/0115829215</t>
  </si>
  <si>
    <t>0071207822</t>
  </si>
  <si>
    <t>0073797738</t>
  </si>
  <si>
    <t>0082919129</t>
  </si>
  <si>
    <t>0065820640/3063156427</t>
  </si>
  <si>
    <t>0096031199/3094449458</t>
  </si>
  <si>
    <t>510032110244 - NUURU IBAADIRROHMAAN</t>
  </si>
  <si>
    <t>Musyawaroh</t>
  </si>
  <si>
    <t>3116481356</t>
  </si>
  <si>
    <t>3123250114</t>
  </si>
  <si>
    <t>3090296268/0094992129</t>
  </si>
  <si>
    <t>Ghoib</t>
  </si>
  <si>
    <t>0056747871</t>
  </si>
  <si>
    <t>0044211606/0041949534</t>
  </si>
  <si>
    <t>0054484827/0053148777</t>
  </si>
  <si>
    <t>0057384448/0049764210</t>
  </si>
  <si>
    <t>Validasi</t>
  </si>
  <si>
    <t>Ket. Pencetakan Ijazah</t>
  </si>
  <si>
    <t>Kelulusan</t>
  </si>
  <si>
    <t>DATABASE</t>
  </si>
  <si>
    <t>SANTRI UNGGULAN</t>
  </si>
  <si>
    <t xml:space="preserve">PONDOK PESANTREN ISLAM INTERNASIONAL TERPADU </t>
  </si>
  <si>
    <t>ASY - SYIFAA WAL MAHMUUDIYYAH</t>
  </si>
  <si>
    <t>SUMEDANG - JAWA BARAT</t>
  </si>
  <si>
    <t>Alamat Lengkap</t>
  </si>
  <si>
    <t>Kp. Saneke</t>
  </si>
  <si>
    <t>Kampung Kebon Kalapa</t>
  </si>
  <si>
    <t>Mangir Tengah</t>
  </si>
  <si>
    <t>0129911987</t>
  </si>
  <si>
    <t>3204092307080006</t>
  </si>
  <si>
    <t>3204090109820020</t>
  </si>
  <si>
    <t>02/19</t>
  </si>
  <si>
    <t>3204284306790020</t>
  </si>
  <si>
    <t>3204320610120030</t>
  </si>
  <si>
    <t>Kp. Muara</t>
  </si>
  <si>
    <t>005/007</t>
  </si>
  <si>
    <t>3204130604056890</t>
  </si>
  <si>
    <t>Kp. Neglasari</t>
  </si>
  <si>
    <t>008/003</t>
  </si>
  <si>
    <t>3204321010120132</t>
  </si>
  <si>
    <t>0121915110</t>
  </si>
  <si>
    <t>3215031711070230</t>
  </si>
  <si>
    <t>Dusun Gempol Tengah</t>
  </si>
  <si>
    <t>012/006</t>
  </si>
  <si>
    <t>3205041402130006</t>
  </si>
  <si>
    <t>3273232103180001</t>
  </si>
  <si>
    <t>005/003</t>
  </si>
  <si>
    <t>Jl. Rancaloa</t>
  </si>
  <si>
    <t>3204134412720006</t>
  </si>
  <si>
    <t>007/003</t>
  </si>
  <si>
    <t>3273022907102171</t>
  </si>
  <si>
    <t>003/011</t>
  </si>
  <si>
    <t>3204442012230001</t>
  </si>
  <si>
    <t>3204130404130009</t>
  </si>
  <si>
    <t>Dina Kresyuliana</t>
  </si>
  <si>
    <t>Kp. Sukasari</t>
  </si>
  <si>
    <t>010/003</t>
  </si>
  <si>
    <t>Perum SBG Blok C2 No. 43</t>
  </si>
  <si>
    <t>002/015</t>
  </si>
  <si>
    <t>3205040302090001</t>
  </si>
  <si>
    <t>001/013</t>
  </si>
  <si>
    <t>Perum Bumi Malayu Selaras Blok E No. 16</t>
  </si>
  <si>
    <t>Jl. Terusan Pasirkoja Gg Abadi I</t>
  </si>
  <si>
    <t>3211191006070009</t>
  </si>
  <si>
    <t>Jl. Kerkof No 198</t>
  </si>
  <si>
    <t>3204120611140013</t>
  </si>
  <si>
    <t>Citamiang Kaler</t>
  </si>
  <si>
    <t>004/006</t>
  </si>
  <si>
    <t>3211182306090003</t>
  </si>
  <si>
    <t>3211180801830005</t>
  </si>
  <si>
    <t>3217060111190016</t>
  </si>
  <si>
    <t>001/004</t>
  </si>
  <si>
    <t>Jln. Bunisari No.35A</t>
  </si>
  <si>
    <t>3277010810120017</t>
  </si>
  <si>
    <t>Yuni Wahyuningsih</t>
  </si>
  <si>
    <t>Gg. Bumi Sari II Blok Cisegel</t>
  </si>
  <si>
    <t>3204361803054511</t>
  </si>
  <si>
    <t>002/007</t>
  </si>
  <si>
    <t>005/006</t>
  </si>
  <si>
    <t>001/018</t>
  </si>
  <si>
    <t>3213012607220001</t>
  </si>
  <si>
    <t>008/001</t>
  </si>
  <si>
    <t>Dusun Pacogreg</t>
  </si>
  <si>
    <t>015/005</t>
  </si>
  <si>
    <t>Cilewo</t>
  </si>
  <si>
    <t>3211113010170010</t>
  </si>
  <si>
    <t>6285211145943</t>
  </si>
  <si>
    <t>Mega syara Balqiyah</t>
  </si>
  <si>
    <t>Naila Shafira Qonita</t>
  </si>
  <si>
    <t>Siti Dea Nurfadilah</t>
  </si>
  <si>
    <t>Eva Nurafivah</t>
  </si>
  <si>
    <t>Irma Rachmawati</t>
  </si>
  <si>
    <t>Nadya Bastari</t>
  </si>
  <si>
    <t>Nda Ayu Ainul Fitry</t>
  </si>
  <si>
    <t>Nur'aeni Puspa Rini</t>
  </si>
  <si>
    <t>Nurfadilah Rahman</t>
  </si>
  <si>
    <t>Siti Hasna Latifah</t>
  </si>
  <si>
    <t>Siti Romlah Habibah</t>
  </si>
  <si>
    <t>ZAKIYYAH RABIAH ADAWIYAH AZZAH</t>
  </si>
  <si>
    <t>Annisa Apriliani</t>
  </si>
  <si>
    <t>Indah Nur Aisyah</t>
  </si>
  <si>
    <t>Intan Melani</t>
  </si>
  <si>
    <t>Jelita ayu sukmana</t>
  </si>
  <si>
    <t>Mida Hamidah</t>
  </si>
  <si>
    <t>Rina Mulyani</t>
  </si>
  <si>
    <t>Rina Oktavia</t>
  </si>
  <si>
    <t>Rini Wahyuni</t>
  </si>
  <si>
    <t>Rizkia Dinda A</t>
  </si>
  <si>
    <t>Rofi Fakhriyyah</t>
  </si>
  <si>
    <t>Siti Hakimah</t>
  </si>
  <si>
    <t>Sri Wulan Sari</t>
  </si>
  <si>
    <t>Suci Ramadhan</t>
  </si>
  <si>
    <t>Witriani Sholihah</t>
  </si>
  <si>
    <t>Rida Syarifatul Mudaimah</t>
  </si>
  <si>
    <t>Alma Nur Rahmayani</t>
  </si>
  <si>
    <t>Anisa Hamidah</t>
  </si>
  <si>
    <t>Indah Mestika Fitriani</t>
  </si>
  <si>
    <t>Kartika Rahayu</t>
  </si>
  <si>
    <t>Nur Fahmi Fauziah</t>
  </si>
  <si>
    <t>Nur Fitri Meliani</t>
  </si>
  <si>
    <t>Rizkia Nurafiani</t>
  </si>
  <si>
    <t>Siti Mariam</t>
  </si>
  <si>
    <t>Siti Nur Ilmi</t>
  </si>
  <si>
    <t>Syifa Fauziah Azzahra</t>
  </si>
  <si>
    <t>Ulfa Mushoffah</t>
  </si>
  <si>
    <t>Yulianawati Nuraini</t>
  </si>
  <si>
    <t>Anisa Nurrohmah</t>
  </si>
  <si>
    <t>Fitria Mustafidah</t>
  </si>
  <si>
    <t>Gita Dwi Pratiwi</t>
  </si>
  <si>
    <t>Hanifa Nurul Laali</t>
  </si>
  <si>
    <t>Ika Anah Dayanti</t>
  </si>
  <si>
    <t>Intan Siti Oktaviani</t>
  </si>
  <si>
    <t>Mutiara Nun Rabbani</t>
  </si>
  <si>
    <t>Nasywa Rahmani Kamilla</t>
  </si>
  <si>
    <t xml:space="preserve">Nur Hasanah </t>
  </si>
  <si>
    <t>Raden Fitri Lailatul Khazanah</t>
  </si>
  <si>
    <t>Rahma Zahrotunnisa</t>
  </si>
  <si>
    <t>Resti Damayanti</t>
  </si>
  <si>
    <t>Rhofiqoh Nur Wiyati</t>
  </si>
  <si>
    <t>Salma Alfiyyah Salsabila</t>
  </si>
  <si>
    <t>Salwa Nafsah Zaqiyah</t>
  </si>
  <si>
    <t>Sari</t>
  </si>
  <si>
    <t>Sekar Rosma Aflakha</t>
  </si>
  <si>
    <t>Shefira  Ashilah</t>
  </si>
  <si>
    <t>Siti Fatimah Azzahro</t>
  </si>
  <si>
    <t>Siti Fatimah Rosyidah</t>
  </si>
  <si>
    <t>Siti Nur Nafisyah</t>
  </si>
  <si>
    <t>Siti Salwa Madinatul Hasanah</t>
  </si>
  <si>
    <t>Syifa Maulidina Khodijah</t>
  </si>
  <si>
    <t>Syifa Salma Ramadhanti</t>
  </si>
  <si>
    <t>Tina Widelia Putri</t>
  </si>
  <si>
    <t>Tsalsa Bila Tartisa</t>
  </si>
  <si>
    <t>Nopi Yustiyani</t>
  </si>
  <si>
    <t>Aisya Talibah Muttaqiin</t>
  </si>
  <si>
    <t>Aisyah Nurul Latifah</t>
  </si>
  <si>
    <t>Anma Auliyatunnajah Arrifa'i</t>
  </si>
  <si>
    <t>April Intan Lestari</t>
  </si>
  <si>
    <t>Dais Rahayu</t>
  </si>
  <si>
    <t>Diana Nur Latifah</t>
  </si>
  <si>
    <t>Diani Aditin Hasanah</t>
  </si>
  <si>
    <t>Imas Ghayatri Safitri</t>
  </si>
  <si>
    <t>Irma Nurhasanah</t>
  </si>
  <si>
    <t>Jelita Nur Rahayu</t>
  </si>
  <si>
    <t>Jihan Fatimah</t>
  </si>
  <si>
    <t>Luthfiah Rizkia Salsabila</t>
  </si>
  <si>
    <t>Meita Tiara Sani</t>
  </si>
  <si>
    <t>Nabila Siti Fatimah</t>
  </si>
  <si>
    <t>Nia Kurniawati</t>
  </si>
  <si>
    <t>Nisrina Nurul Azhar</t>
  </si>
  <si>
    <t>Putri Raisya Rofa</t>
  </si>
  <si>
    <t>Rifa Asy-Syifa Nurjannah</t>
  </si>
  <si>
    <t>Rifani Rizandani</t>
  </si>
  <si>
    <t>Rofa Arofah</t>
  </si>
  <si>
    <t>Shaila F Robiatul A</t>
  </si>
  <si>
    <t>Sipa Dwi Kartika</t>
  </si>
  <si>
    <t>Siti Nuroh Labilatul Aulia</t>
  </si>
  <si>
    <t>Siti Sulma Mudawiyah</t>
  </si>
  <si>
    <t>Sifa Nurfitriah</t>
  </si>
  <si>
    <t>Tasya Salsabila</t>
  </si>
  <si>
    <t>Teti Nurmala</t>
  </si>
  <si>
    <t>Aliyyah Sohibul Lutfiyah</t>
  </si>
  <si>
    <t>Ariel Yuniar Nugraha</t>
  </si>
  <si>
    <t>Dinda Aurelia Septiani</t>
  </si>
  <si>
    <t>Eva Siti Aryanti</t>
  </si>
  <si>
    <t>Fazila Lutf Faturrahman</t>
  </si>
  <si>
    <t>Kania Atami</t>
  </si>
  <si>
    <t>Najmi Azkiya</t>
  </si>
  <si>
    <t>Nabila Fauziah (Nala)</t>
  </si>
  <si>
    <t>Nurul Siti Saadah</t>
  </si>
  <si>
    <t>Sifa Nuraini</t>
  </si>
  <si>
    <t>Siti Hapsah Rahmatika</t>
  </si>
  <si>
    <t>Syahla Nur Kharimah</t>
  </si>
  <si>
    <t>Tiara Amanda Putri</t>
  </si>
  <si>
    <t xml:space="preserve">Sunmedang </t>
  </si>
  <si>
    <t>Tasikmalaya,</t>
  </si>
  <si>
    <t>Sumedang,</t>
  </si>
  <si>
    <t>Jakarta,</t>
  </si>
  <si>
    <t>Bandung,</t>
  </si>
  <si>
    <t>Majalengka,</t>
  </si>
  <si>
    <t>Garut,</t>
  </si>
  <si>
    <t>Tegal,</t>
  </si>
  <si>
    <t xml:space="preserve">Bandung, </t>
  </si>
  <si>
    <t>Cimahi,</t>
  </si>
  <si>
    <t>Cianjur,</t>
  </si>
  <si>
    <t>Ciamis,</t>
  </si>
  <si>
    <t>Bekasi,</t>
  </si>
  <si>
    <t xml:space="preserve">Sumedang, </t>
  </si>
  <si>
    <t>Kp Cijengkol Rt 01/01</t>
  </si>
  <si>
    <t xml:space="preserve">Jl mengger girang </t>
  </si>
  <si>
    <t>Pasir Luyu</t>
  </si>
  <si>
    <t>Jln parigi lama Link Kertaraharja</t>
  </si>
  <si>
    <t>Sukabakti</t>
  </si>
  <si>
    <t>Kp Tinggarjaya</t>
  </si>
  <si>
    <t>Cedok</t>
  </si>
  <si>
    <t>Ling Darangdan Kebon Rt 02/15</t>
  </si>
  <si>
    <t xml:space="preserve">Kota Kulon </t>
  </si>
  <si>
    <t>kp Cimomplo Rt01/08</t>
  </si>
  <si>
    <t xml:space="preserve">Kp Cigembreng </t>
  </si>
  <si>
    <t>Lingk Cipadung</t>
  </si>
  <si>
    <t xml:space="preserve">kamasan </t>
  </si>
  <si>
    <t>Jl Kol Achmad Syam</t>
  </si>
  <si>
    <t>Kampung Pesantren</t>
  </si>
  <si>
    <t>Mekar Rahayu</t>
  </si>
  <si>
    <t>Nambo</t>
  </si>
  <si>
    <t>Geusan Ulun</t>
  </si>
  <si>
    <t>Sukamanah</t>
  </si>
  <si>
    <t>Puncak Mulya</t>
  </si>
  <si>
    <t>Suka Mulya</t>
  </si>
  <si>
    <t>Jl Kebon kopi</t>
  </si>
  <si>
    <t>Parakansaat</t>
  </si>
  <si>
    <t>Cisaranten endah</t>
  </si>
  <si>
    <t>Jl Kopo</t>
  </si>
  <si>
    <t>Linkg Kaum No 11</t>
  </si>
  <si>
    <t>DS Sayang Rt 02/07</t>
  </si>
  <si>
    <t>Sayanng</t>
  </si>
  <si>
    <t>Dsn Pangkalan</t>
  </si>
  <si>
    <t>Zainul Arifin</t>
  </si>
  <si>
    <t>Kidul Dalem</t>
  </si>
  <si>
    <t>Klojen</t>
  </si>
  <si>
    <t>Jawa Timur</t>
  </si>
  <si>
    <t>Sekeleo</t>
  </si>
  <si>
    <t>Cimayang</t>
  </si>
  <si>
    <t>Pamijahan</t>
  </si>
  <si>
    <t>Babakan Jati Mulya</t>
  </si>
  <si>
    <t>Kp. Ciapus</t>
  </si>
  <si>
    <t>kp. Saradan Rt/Rw 004/003</t>
  </si>
  <si>
    <t>Leuwi Gajah</t>
  </si>
  <si>
    <t>Jln. Cibunut Rt/Rw 08/07</t>
  </si>
  <si>
    <t>Kebon Pisang</t>
  </si>
  <si>
    <t>Sumur Bandung</t>
  </si>
  <si>
    <t>Pasir Angin</t>
  </si>
  <si>
    <t>Jln. Situgunting Timur I</t>
  </si>
  <si>
    <t>Situ Gunting</t>
  </si>
  <si>
    <t>Kamp. Giri Sedayu Blok A 107</t>
  </si>
  <si>
    <t>Lebak Wangi</t>
  </si>
  <si>
    <t>Link Pangaduan Heubel</t>
  </si>
  <si>
    <t>Pangaduan Heubeul</t>
  </si>
  <si>
    <t>Kp. Nambo</t>
  </si>
  <si>
    <t>Batu Karut</t>
  </si>
  <si>
    <t>Kirapandak</t>
  </si>
  <si>
    <t>Panyingkiran</t>
  </si>
  <si>
    <t>Sasak Gantung</t>
  </si>
  <si>
    <t>Balonggede</t>
  </si>
  <si>
    <t xml:space="preserve">Regol  </t>
  </si>
  <si>
    <t>Pasir Kawung Endah</t>
  </si>
  <si>
    <t>Cimekar</t>
  </si>
  <si>
    <t>Citepus</t>
  </si>
  <si>
    <t>Pajajaran</t>
  </si>
  <si>
    <t>Jln. Pajajaran dlm no 115/72</t>
  </si>
  <si>
    <t>Husen Sastra Negara</t>
  </si>
  <si>
    <t>Cigembreng</t>
  </si>
  <si>
    <t>Cibunut</t>
  </si>
  <si>
    <t>Karangmulya</t>
  </si>
  <si>
    <t>Karang Pawitan</t>
  </si>
  <si>
    <t>Kp. Pangkalan</t>
  </si>
  <si>
    <t>Pangikalan</t>
  </si>
  <si>
    <t>Malangbong</t>
  </si>
  <si>
    <t>Komp. Cijambe Indah No.20</t>
  </si>
  <si>
    <t>Cikukang 11/72</t>
  </si>
  <si>
    <t>Margacinta Dalam</t>
  </si>
  <si>
    <t>Cijawura</t>
  </si>
  <si>
    <t>Buah Batu</t>
  </si>
  <si>
    <t>Retib Gang Babakan Anyar</t>
  </si>
  <si>
    <t>Ketib</t>
  </si>
  <si>
    <t>Link Kaum</t>
  </si>
  <si>
    <t>Prabu Geusan Ulun</t>
  </si>
  <si>
    <t>Jl. Karapitan III No 107/ 364</t>
  </si>
  <si>
    <t>Nangkod</t>
  </si>
  <si>
    <t>Jln. Baladewa Utara No.21</t>
  </si>
  <si>
    <t>Cibogo Atas</t>
  </si>
  <si>
    <t>Jln. Kopo No 195</t>
  </si>
  <si>
    <t>Situsaeur</t>
  </si>
  <si>
    <t>GG Letnan Adun</t>
  </si>
  <si>
    <t>Jln. Cicalengka</t>
  </si>
  <si>
    <t>Jl. Kopo</t>
  </si>
  <si>
    <t>Bojong Loa kaler</t>
  </si>
  <si>
    <t>Dusun Parugpug kaler</t>
  </si>
  <si>
    <t>Cijambe</t>
  </si>
  <si>
    <t>Bojong</t>
  </si>
  <si>
    <t>Bojongmanggi</t>
  </si>
  <si>
    <t>Kp. Sagatan</t>
  </si>
  <si>
    <t>Ramasari</t>
  </si>
  <si>
    <t>Haurwangi</t>
  </si>
  <si>
    <t>Dusun Cileuweung</t>
  </si>
  <si>
    <t>Sukawening</t>
  </si>
  <si>
    <t>Babakan Situ</t>
  </si>
  <si>
    <t>Melong Asih Blok 10 NO 62</t>
  </si>
  <si>
    <t>linka Darangdan</t>
  </si>
  <si>
    <t>Cicukang</t>
  </si>
  <si>
    <t>Husen sastranegara</t>
  </si>
  <si>
    <t>Parakanmuncang</t>
  </si>
  <si>
    <t>kp Sindang Sari</t>
  </si>
  <si>
    <t>Sindang Panon</t>
  </si>
  <si>
    <t>Boma</t>
  </si>
  <si>
    <t>Dusun Boma</t>
  </si>
  <si>
    <t>Bojong Waru</t>
  </si>
  <si>
    <t>Blok Kenanga</t>
  </si>
  <si>
    <t>Jln. Sukamenak</t>
  </si>
  <si>
    <t xml:space="preserve">Jl. Letnan Adun </t>
  </si>
  <si>
    <t>Kp. Pangakalan</t>
  </si>
  <si>
    <t>Dusun Pasir Agin</t>
  </si>
  <si>
    <t>Perum The Residence</t>
  </si>
  <si>
    <t>Tambun Utara</t>
  </si>
  <si>
    <t>Babakan Anjun</t>
  </si>
  <si>
    <t>Ciparanje</t>
  </si>
  <si>
    <t>Babakan Desa</t>
  </si>
  <si>
    <t>Pangkalan</t>
  </si>
  <si>
    <t>Margacinta</t>
  </si>
  <si>
    <t>Caringin, Babakan</t>
  </si>
  <si>
    <t>Graha Bukit Raya</t>
  </si>
  <si>
    <t>Cilame</t>
  </si>
  <si>
    <t>Ciharuman</t>
  </si>
  <si>
    <t>Bnadung</t>
  </si>
  <si>
    <t>Cikandang</t>
  </si>
  <si>
    <t>Pasir Muncang</t>
  </si>
  <si>
    <t>Bojong Ciakar</t>
  </si>
  <si>
    <t>Dusun Melong</t>
  </si>
  <si>
    <t>Dusun Babakan Regol</t>
  </si>
  <si>
    <t>Kp. Ganasabrang</t>
  </si>
  <si>
    <t>Tenjolaya</t>
  </si>
  <si>
    <t>Ciguriang hilir</t>
  </si>
  <si>
    <t xml:space="preserve"> SD TA</t>
  </si>
  <si>
    <t>MTs</t>
  </si>
  <si>
    <t>SD TA</t>
  </si>
  <si>
    <t>SD+</t>
  </si>
  <si>
    <t>Kelas 3 SD</t>
  </si>
  <si>
    <t xml:space="preserve">SD </t>
  </si>
  <si>
    <t>MDTA</t>
  </si>
  <si>
    <t>3204160304058010</t>
  </si>
  <si>
    <t>3273112808104950</t>
  </si>
  <si>
    <t>3211182103067990</t>
  </si>
  <si>
    <t>3211122003063221</t>
  </si>
  <si>
    <t>3204171805060018</t>
  </si>
  <si>
    <t>3204111605050146</t>
  </si>
  <si>
    <t>3211170407070037</t>
  </si>
  <si>
    <t>3204160304053277</t>
  </si>
  <si>
    <t>3204370711190009</t>
  </si>
  <si>
    <t>10170210010400357</t>
  </si>
  <si>
    <t>3204130504050445</t>
  </si>
  <si>
    <t>3211151603062441</t>
  </si>
  <si>
    <t>3204160404050683</t>
  </si>
  <si>
    <t>3211172306070152</t>
  </si>
  <si>
    <t>3204462006070023</t>
  </si>
  <si>
    <t>3204461004052705</t>
  </si>
  <si>
    <t>3277010211090050</t>
  </si>
  <si>
    <t>3273242104110173</t>
  </si>
  <si>
    <t>1050130830940</t>
  </si>
  <si>
    <t>3211172203064367</t>
  </si>
  <si>
    <t>3211151603063798</t>
  </si>
  <si>
    <t>3211112003061142</t>
  </si>
  <si>
    <t>3211022403060927</t>
  </si>
  <si>
    <t>3573022305066922</t>
  </si>
  <si>
    <t>3211111903060650</t>
  </si>
  <si>
    <t>3204090311120013</t>
  </si>
  <si>
    <t>3273122808106323</t>
  </si>
  <si>
    <t>3277011802130009</t>
  </si>
  <si>
    <t>3273192409107629</t>
  </si>
  <si>
    <t>3211111903060638</t>
  </si>
  <si>
    <t>3273040608108131</t>
  </si>
  <si>
    <t>3204160404054703</t>
  </si>
  <si>
    <t>3211022403060876</t>
  </si>
  <si>
    <t>3211182103067111</t>
  </si>
  <si>
    <t>3204160701060055</t>
  </si>
  <si>
    <t>3210181109080004</t>
  </si>
  <si>
    <t>3273112608104953</t>
  </si>
  <si>
    <t>3204052805110020</t>
  </si>
  <si>
    <t>3273061308100651</t>
  </si>
  <si>
    <t>3273061108104318</t>
  </si>
  <si>
    <t>3204372505110031</t>
  </si>
  <si>
    <t>3205021508070229</t>
  </si>
  <si>
    <t>3204160304050501</t>
  </si>
  <si>
    <t>3205140104210018</t>
  </si>
  <si>
    <t>3273261010109517</t>
  </si>
  <si>
    <t>3211160206070014</t>
  </si>
  <si>
    <t>3273061108100685</t>
  </si>
  <si>
    <t>3273220307120001</t>
  </si>
  <si>
    <t>3211180403150019</t>
  </si>
  <si>
    <t>3211151603063077</t>
  </si>
  <si>
    <t>3211172203064351</t>
  </si>
  <si>
    <t>3273130209106479</t>
  </si>
  <si>
    <t>3204461707080020</t>
  </si>
  <si>
    <t>3211172203061545</t>
  </si>
  <si>
    <t>327306120810</t>
  </si>
  <si>
    <t>3273071801120009</t>
  </si>
  <si>
    <t>3273171709106849</t>
  </si>
  <si>
    <t>3204280910121270</t>
  </si>
  <si>
    <t>3273202709101634</t>
  </si>
  <si>
    <t>3273040606102519</t>
  </si>
  <si>
    <t>3211082305100003</t>
  </si>
  <si>
    <t>3211162003064130</t>
  </si>
  <si>
    <t>3273051102120001</t>
  </si>
  <si>
    <t>3204140704051990</t>
  </si>
  <si>
    <t>3203061811059605</t>
  </si>
  <si>
    <t>3211192303060643</t>
  </si>
  <si>
    <t>320413145130055</t>
  </si>
  <si>
    <t>3211111903068738</t>
  </si>
  <si>
    <t>3211171202180009</t>
  </si>
  <si>
    <t>3277010511061826</t>
  </si>
  <si>
    <t>3273061108103822</t>
  </si>
  <si>
    <t>3211141703063510</t>
  </si>
  <si>
    <t>3273030409120027</t>
  </si>
  <si>
    <t>3204130406050424</t>
  </si>
  <si>
    <t>3211132003069100</t>
  </si>
  <si>
    <t>3204142601060012</t>
  </si>
  <si>
    <t>3211110106070163</t>
  </si>
  <si>
    <t>3210182410160003</t>
  </si>
  <si>
    <t>3204090305070008</t>
  </si>
  <si>
    <t>3210050603060001</t>
  </si>
  <si>
    <t>3204282010120038</t>
  </si>
  <si>
    <t>3204130804051684</t>
  </si>
  <si>
    <t>3216052805150019</t>
  </si>
  <si>
    <t>3211130108080008</t>
  </si>
  <si>
    <t>3273172502150001</t>
  </si>
  <si>
    <t>3204370606077759</t>
  </si>
  <si>
    <t>3217060405053959</t>
  </si>
  <si>
    <t>3211110806070288</t>
  </si>
  <si>
    <t>3204461104052352</t>
  </si>
  <si>
    <t>3211180806090004</t>
  </si>
  <si>
    <t>3273130109101587</t>
  </si>
  <si>
    <t>3204380603140002</t>
  </si>
  <si>
    <t>3273130109105310</t>
  </si>
  <si>
    <t>3204166401990008</t>
  </si>
  <si>
    <t>3273115907980003</t>
  </si>
  <si>
    <t>3211184304980008</t>
  </si>
  <si>
    <t>3211124802990002</t>
  </si>
  <si>
    <t>3204175111940003</t>
  </si>
  <si>
    <t>3204117010980008</t>
  </si>
  <si>
    <t>320410605090004</t>
  </si>
  <si>
    <t>3204374103960003</t>
  </si>
  <si>
    <t>1017023107000004</t>
  </si>
  <si>
    <t>3204134108990007</t>
  </si>
  <si>
    <t>3211156304960004</t>
  </si>
  <si>
    <t>3204105811000010</t>
  </si>
  <si>
    <t>3204166708000004</t>
  </si>
  <si>
    <t>3211176507990008</t>
  </si>
  <si>
    <t>3204466503020004</t>
  </si>
  <si>
    <t>3204445501990001</t>
  </si>
  <si>
    <t>3204464810010007</t>
  </si>
  <si>
    <t>3277016408990018</t>
  </si>
  <si>
    <t>3273246212010002</t>
  </si>
  <si>
    <t>1050135012025001</t>
  </si>
  <si>
    <t>3211176805020004</t>
  </si>
  <si>
    <t>3211155906990005</t>
  </si>
  <si>
    <t>3211114801990012</t>
  </si>
  <si>
    <t>3211117108020002</t>
  </si>
  <si>
    <t>3211024202020008</t>
  </si>
  <si>
    <t>3573024107970018</t>
  </si>
  <si>
    <t>3211114209000003</t>
  </si>
  <si>
    <t>3204055901990001</t>
  </si>
  <si>
    <t>3273126602000007</t>
  </si>
  <si>
    <t>3204136612990005</t>
  </si>
  <si>
    <t>3277015203000032</t>
  </si>
  <si>
    <t>3273197011970001</t>
  </si>
  <si>
    <t>3211115206020004</t>
  </si>
  <si>
    <t>3211115606000006</t>
  </si>
  <si>
    <t>3273046906020004</t>
  </si>
  <si>
    <t>3204166105990004</t>
  </si>
  <si>
    <t>3211026804000005</t>
  </si>
  <si>
    <t>3211184412020008</t>
  </si>
  <si>
    <t>3204165606020008</t>
  </si>
  <si>
    <t>3210185708060021</t>
  </si>
  <si>
    <t>3211165301030003</t>
  </si>
  <si>
    <t>3273114210010002</t>
  </si>
  <si>
    <t>3204056711030017</t>
  </si>
  <si>
    <t>3273065503030003</t>
  </si>
  <si>
    <t>3273067012020005</t>
  </si>
  <si>
    <t>3204372603050010</t>
  </si>
  <si>
    <t>3208025301010008</t>
  </si>
  <si>
    <t>3204166003040002</t>
  </si>
  <si>
    <t>3205145309000004</t>
  </si>
  <si>
    <t>3273265910000006</t>
  </si>
  <si>
    <t>3211166712020006</t>
  </si>
  <si>
    <t>3273066612980001</t>
  </si>
  <si>
    <t>3273222807140002</t>
  </si>
  <si>
    <t>3211185406030004</t>
  </si>
  <si>
    <t>3211157005020004</t>
  </si>
  <si>
    <t>3211196709020001</t>
  </si>
  <si>
    <t>3211176711020005</t>
  </si>
  <si>
    <t>3273136005030001</t>
  </si>
  <si>
    <t>3204466503990007</t>
  </si>
  <si>
    <t>3211156406030002</t>
  </si>
  <si>
    <t>3211174111030003</t>
  </si>
  <si>
    <t>3273066307030002</t>
  </si>
  <si>
    <t>3273075612000010</t>
  </si>
  <si>
    <t>3273176001000003</t>
  </si>
  <si>
    <t>3204286606040007</t>
  </si>
  <si>
    <t>3273204101040002</t>
  </si>
  <si>
    <t>3273045807040010</t>
  </si>
  <si>
    <t>3211084404010005</t>
  </si>
  <si>
    <t>3211166001010004</t>
  </si>
  <si>
    <t>3273055103050001</t>
  </si>
  <si>
    <t>3204144208960002</t>
  </si>
  <si>
    <t>3203316009940002</t>
  </si>
  <si>
    <t>321119480900002</t>
  </si>
  <si>
    <t>3204135812030006</t>
  </si>
  <si>
    <t>3211114602040003</t>
  </si>
  <si>
    <t>1017014308040001</t>
  </si>
  <si>
    <t>3277014205030006</t>
  </si>
  <si>
    <t>3211175912030002</t>
  </si>
  <si>
    <t>3273066406010001</t>
  </si>
  <si>
    <t>3211146305010008</t>
  </si>
  <si>
    <t>3273035101050007</t>
  </si>
  <si>
    <t>3204134409980005</t>
  </si>
  <si>
    <t>1050136707045001</t>
  </si>
  <si>
    <t>3211136808030003</t>
  </si>
  <si>
    <t>3204145708030004</t>
  </si>
  <si>
    <t>3211115904050001</t>
  </si>
  <si>
    <t>3211185610010001</t>
  </si>
  <si>
    <t>3210186311030001</t>
  </si>
  <si>
    <t>3204095301040005</t>
  </si>
  <si>
    <t>3210056410010001</t>
  </si>
  <si>
    <t>3204285501050005</t>
  </si>
  <si>
    <t>3204132001020005</t>
  </si>
  <si>
    <t>3275036910030008</t>
  </si>
  <si>
    <t>3211136707010008</t>
  </si>
  <si>
    <t>3273171112040002</t>
  </si>
  <si>
    <t>3211154800001</t>
  </si>
  <si>
    <t>3204374810030013</t>
  </si>
  <si>
    <t>3217064203050017</t>
  </si>
  <si>
    <t>3211115702040001</t>
  </si>
  <si>
    <t>3204464202050008</t>
  </si>
  <si>
    <t>3211185112040002</t>
  </si>
  <si>
    <t>3273135504020002</t>
  </si>
  <si>
    <t>3204406109010001</t>
  </si>
  <si>
    <t>3211176812040003</t>
  </si>
  <si>
    <t>3204125004060004</t>
  </si>
  <si>
    <t>3273136607990001</t>
  </si>
  <si>
    <t>Dani Setiawan</t>
  </si>
  <si>
    <t>Warya Sriwijaya</t>
  </si>
  <si>
    <t>Nana Tatang</t>
  </si>
  <si>
    <t>Hamid Arsyad</t>
  </si>
  <si>
    <t>Tisna Setiawan</t>
  </si>
  <si>
    <t>Lukman Nurhakim</t>
  </si>
  <si>
    <t>Atang Hamim hamjah</t>
  </si>
  <si>
    <t>Mamat rahmat</t>
  </si>
  <si>
    <t>Moch Iwan Lesmana</t>
  </si>
  <si>
    <t>Sumarjadi</t>
  </si>
  <si>
    <t>Dadang Suparman</t>
  </si>
  <si>
    <t>Mumuy Muhidin</t>
  </si>
  <si>
    <t>Tono Sukmana</t>
  </si>
  <si>
    <t>Ade Tisna</t>
  </si>
  <si>
    <t>Deden Rohmat</t>
  </si>
  <si>
    <t>Aksin</t>
  </si>
  <si>
    <t>Agus Mastur</t>
  </si>
  <si>
    <t>Jaja</t>
  </si>
  <si>
    <t>Ir Endang Suryana</t>
  </si>
  <si>
    <t>Nur 'Aripin</t>
  </si>
  <si>
    <t>Ade Solihin</t>
  </si>
  <si>
    <t>Yayan Mulyana</t>
  </si>
  <si>
    <t>Maman Abd Rahman</t>
  </si>
  <si>
    <t>H.Didin Wahyudin</t>
  </si>
  <si>
    <t>Eka Yudhi Ana</t>
  </si>
  <si>
    <t>Enjang Apandi ALM</t>
  </si>
  <si>
    <t>Asep Ooy</t>
  </si>
  <si>
    <t>Yoyo Wasmin</t>
  </si>
  <si>
    <t>Edi Djunaedi</t>
  </si>
  <si>
    <t>Angga Nugraha</t>
  </si>
  <si>
    <t>Ahmad Wardi</t>
  </si>
  <si>
    <t>Dedi Hudaya</t>
  </si>
  <si>
    <t>Misnain Sayyid Arga</t>
  </si>
  <si>
    <t>Asep Zaeni Subki</t>
  </si>
  <si>
    <t>Asep Wahyudin</t>
  </si>
  <si>
    <t>Dede Nugraha Saputra</t>
  </si>
  <si>
    <t>Saepu Rahman</t>
  </si>
  <si>
    <t>Eppy Abdul Rofikin</t>
  </si>
  <si>
    <t>Soleh</t>
  </si>
  <si>
    <t>Asep Cucu Supriadin</t>
  </si>
  <si>
    <t>E. Kusniaga</t>
  </si>
  <si>
    <t>Yoyo Sudrajat</t>
  </si>
  <si>
    <t>Jajang Sajidin</t>
  </si>
  <si>
    <t>Cece</t>
  </si>
  <si>
    <t>Muhamad Amani</t>
  </si>
  <si>
    <t>Angga Erlangga</t>
  </si>
  <si>
    <t>Herman</t>
  </si>
  <si>
    <t>Muhammad Rosyidin</t>
  </si>
  <si>
    <t>Sugandi</t>
  </si>
  <si>
    <t>H. Syarifudin</t>
  </si>
  <si>
    <t>Jaenudin</t>
  </si>
  <si>
    <t>Dudun Suprihat</t>
  </si>
  <si>
    <t>Cucu Setiadi</t>
  </si>
  <si>
    <t>Sumarna</t>
  </si>
  <si>
    <t>Akhmad Royana (alm)</t>
  </si>
  <si>
    <t>Rahman Fadilah</t>
  </si>
  <si>
    <t>Musa Ali Mustofa</t>
  </si>
  <si>
    <t>Nanang Suryana</t>
  </si>
  <si>
    <t>Ade Salim</t>
  </si>
  <si>
    <t>Sarna</t>
  </si>
  <si>
    <t>Busiri</t>
  </si>
  <si>
    <t>Ateng Sunandar</t>
  </si>
  <si>
    <t>Zaenudin</t>
  </si>
  <si>
    <t>Wawan Hermawan</t>
  </si>
  <si>
    <t>Edwar Hardiana</t>
  </si>
  <si>
    <t>Dedi Cahyadi</t>
  </si>
  <si>
    <t>Drs. H. Asep Suhendar</t>
  </si>
  <si>
    <t>Budi Riyanto</t>
  </si>
  <si>
    <t>Iim Rohimat</t>
  </si>
  <si>
    <t>Ahmad Yusuf Nurzaman</t>
  </si>
  <si>
    <t>Papar Suparman</t>
  </si>
  <si>
    <t>Asep Badruzaman</t>
  </si>
  <si>
    <t>Agus Rodiansah</t>
  </si>
  <si>
    <t>Dadang Suhara</t>
  </si>
  <si>
    <t>Atim Faturohman</t>
  </si>
  <si>
    <t>Totoh suryona</t>
  </si>
  <si>
    <t>Ruswana</t>
  </si>
  <si>
    <t>H Enceng soleh</t>
  </si>
  <si>
    <t>M agus Suhenda</t>
  </si>
  <si>
    <t>Sayyidina Ali</t>
  </si>
  <si>
    <t>Heri Nugraha</t>
  </si>
  <si>
    <t>Ringgawilis</t>
  </si>
  <si>
    <t>Khali muda lubis</t>
  </si>
  <si>
    <t>Uun Supriatna</t>
  </si>
  <si>
    <t>Kelly Wahyu Ramadaniar</t>
  </si>
  <si>
    <t>Ayyi Sudrajat</t>
  </si>
  <si>
    <t>Hj. Deden Hudri Drs</t>
  </si>
  <si>
    <t>Ating</t>
  </si>
  <si>
    <t>Dadang Supristiawan spd</t>
  </si>
  <si>
    <t>Muhammad Syafii</t>
  </si>
  <si>
    <t>Nuruddin</t>
  </si>
  <si>
    <t>Wawan Sofiyandi</t>
  </si>
  <si>
    <t>Ahmad Dliyauddin</t>
  </si>
  <si>
    <t>Iskandar</t>
  </si>
  <si>
    <t>Yoyo Junaedi</t>
  </si>
  <si>
    <t>Jajang Mulyadi</t>
  </si>
  <si>
    <t>Muhammad Hartono</t>
  </si>
  <si>
    <t>Sulyanah</t>
  </si>
  <si>
    <t>Betty</t>
  </si>
  <si>
    <t>Heni Rohaeni ALM</t>
  </si>
  <si>
    <t>Puspa Sari</t>
  </si>
  <si>
    <t>Lilis Kurniasih SH</t>
  </si>
  <si>
    <t>Eneng Komariah</t>
  </si>
  <si>
    <t>Ai Rosmawati</t>
  </si>
  <si>
    <t>Eutik surtini</t>
  </si>
  <si>
    <t>Aan Syamsiah</t>
  </si>
  <si>
    <t>Nani Warnilah</t>
  </si>
  <si>
    <t>Neneng Tutu Sutianah</t>
  </si>
  <si>
    <t>Yani Sutianah</t>
  </si>
  <si>
    <t>Yayang Euis Chodijah</t>
  </si>
  <si>
    <t>Enung Siti Nurjanah</t>
  </si>
  <si>
    <t>Wiwi Utari</t>
  </si>
  <si>
    <t>Khoriah</t>
  </si>
  <si>
    <t>Ani Lestiani</t>
  </si>
  <si>
    <t>Dewi Sri Mulyati</t>
  </si>
  <si>
    <t>Ahdiyati Mustaniroh SPI</t>
  </si>
  <si>
    <t>Eti Atikah</t>
  </si>
  <si>
    <t>Eti Suryati</t>
  </si>
  <si>
    <t>Yeni Lidiawati</t>
  </si>
  <si>
    <t>Alis Sri Aryani</t>
  </si>
  <si>
    <t>Sukaeish Nurzakiyah</t>
  </si>
  <si>
    <t>Dewi Shinta</t>
  </si>
  <si>
    <t>Ani Maryani</t>
  </si>
  <si>
    <t>Mimin Rukmini</t>
  </si>
  <si>
    <t>Senny Tutty</t>
  </si>
  <si>
    <t>Wariah</t>
  </si>
  <si>
    <t>Laswati</t>
  </si>
  <si>
    <t>Nana Sonianingsih</t>
  </si>
  <si>
    <t>Melly</t>
  </si>
  <si>
    <t>Ai Aah</t>
  </si>
  <si>
    <t>Nita Siti Aisyah</t>
  </si>
  <si>
    <t>Tat</t>
  </si>
  <si>
    <t>Siti Rosidah</t>
  </si>
  <si>
    <t>Weli Siti Halimah</t>
  </si>
  <si>
    <t>Yuli Setiawati</t>
  </si>
  <si>
    <t>Enok</t>
  </si>
  <si>
    <t>Lulut Bawani Giri Santi</t>
  </si>
  <si>
    <t>Marnita</t>
  </si>
  <si>
    <t xml:space="preserve">Teti </t>
  </si>
  <si>
    <t>Ika Helawati</t>
  </si>
  <si>
    <t>Elis Wulan Yuliati</t>
  </si>
  <si>
    <t>Maryani</t>
  </si>
  <si>
    <t>Eni Yuliani</t>
  </si>
  <si>
    <t>Pipin Nurohmah</t>
  </si>
  <si>
    <t>Umi Haryat</t>
  </si>
  <si>
    <t>Juliayani</t>
  </si>
  <si>
    <t>Hj.Cucu</t>
  </si>
  <si>
    <t>Junaenah</t>
  </si>
  <si>
    <t>Yayah Rokayah</t>
  </si>
  <si>
    <t>Ana Ruwanti</t>
  </si>
  <si>
    <t>Engkar Karliah</t>
  </si>
  <si>
    <t>Tati Tarwati</t>
  </si>
  <si>
    <t>Celvi Octavia</t>
  </si>
  <si>
    <t>Suhartini</t>
  </si>
  <si>
    <t>Tini Fitria</t>
  </si>
  <si>
    <t>Ai Kurniasih</t>
  </si>
  <si>
    <t>Emah Hujaemah</t>
  </si>
  <si>
    <t>Habibah</t>
  </si>
  <si>
    <t>Ai Nur Fatimah</t>
  </si>
  <si>
    <t>Dede Rokayah</t>
  </si>
  <si>
    <t>Atmah</t>
  </si>
  <si>
    <t>Neni Trisnawati</t>
  </si>
  <si>
    <t>Siti Syarifah</t>
  </si>
  <si>
    <t>R. Siti Nurjanah</t>
  </si>
  <si>
    <t>Siti Nurjanah</t>
  </si>
  <si>
    <t>Sa'adah</t>
  </si>
  <si>
    <t>Omah</t>
  </si>
  <si>
    <t>Tuti Patimah</t>
  </si>
  <si>
    <t>Anita Melani</t>
  </si>
  <si>
    <t>Enda lizdiana</t>
  </si>
  <si>
    <t>Dewi sri Mulyati</t>
  </si>
  <si>
    <t>Tati Maryati</t>
  </si>
  <si>
    <t>Ikah</t>
  </si>
  <si>
    <t>Rani Purnamasari</t>
  </si>
  <si>
    <t>Imas Masri'ah</t>
  </si>
  <si>
    <t>Rini setiati</t>
  </si>
  <si>
    <t>acah</t>
  </si>
  <si>
    <t>Mira Taniawati</t>
  </si>
  <si>
    <t>Ratna Yuniarti</t>
  </si>
  <si>
    <t>Musliyati</t>
  </si>
  <si>
    <t>Ayih Aisah</t>
  </si>
  <si>
    <t>Leni Hendrayani</t>
  </si>
  <si>
    <t>Tika Marini</t>
  </si>
  <si>
    <t>Hj Nyimas Uwit Nurmawati</t>
  </si>
  <si>
    <t>Lilis Sholihah</t>
  </si>
  <si>
    <t>Iyyanah Nurjannah</t>
  </si>
  <si>
    <t>Ibah</t>
  </si>
  <si>
    <t>Maryati</t>
  </si>
  <si>
    <t>Efi Safitri</t>
  </si>
  <si>
    <t>Nonon Saribanon</t>
  </si>
  <si>
    <t>De'ah Sudardji</t>
  </si>
  <si>
    <t>Pensiun</t>
  </si>
  <si>
    <t>Buruh Catering</t>
  </si>
  <si>
    <t>Peadagang</t>
  </si>
  <si>
    <t>buruh Harian Lepas</t>
  </si>
  <si>
    <t>karyawan swasta</t>
  </si>
  <si>
    <t>Mubaligh</t>
  </si>
  <si>
    <t>Karywan Swasta</t>
  </si>
  <si>
    <t>Wirswasta</t>
  </si>
  <si>
    <t>Ustadz</t>
  </si>
  <si>
    <t>POLRI</t>
  </si>
  <si>
    <t>Krayawan Swasta</t>
  </si>
  <si>
    <t>3273112112700005</t>
  </si>
  <si>
    <t>3211182410700006</t>
  </si>
  <si>
    <t>3211120704580001</t>
  </si>
  <si>
    <t>3204171612520003</t>
  </si>
  <si>
    <t>3204112501700005</t>
  </si>
  <si>
    <t>3211171606780006</t>
  </si>
  <si>
    <t>3204161310750003</t>
  </si>
  <si>
    <t>3204371111730004</t>
  </si>
  <si>
    <t>1017021506690004</t>
  </si>
  <si>
    <t>3211150601670012</t>
  </si>
  <si>
    <t>3204100705630009</t>
  </si>
  <si>
    <t>3211172406690001</t>
  </si>
  <si>
    <t>3204466609780003</t>
  </si>
  <si>
    <t>3204462708760002</t>
  </si>
  <si>
    <t>3277011901670006</t>
  </si>
  <si>
    <t>3273242108680003</t>
  </si>
  <si>
    <t>3211150105740003</t>
  </si>
  <si>
    <t>3211110100690017</t>
  </si>
  <si>
    <t>3211111011600005</t>
  </si>
  <si>
    <t>3211020401730004</t>
  </si>
  <si>
    <t>3573022012780001</t>
  </si>
  <si>
    <t>3211110303760003</t>
  </si>
  <si>
    <t>3204091204780002</t>
  </si>
  <si>
    <t>3277012009680016</t>
  </si>
  <si>
    <t>3273190405620002</t>
  </si>
  <si>
    <t>3211110903620005</t>
  </si>
  <si>
    <t>321111 231176 0003</t>
  </si>
  <si>
    <t>3273040102800002</t>
  </si>
  <si>
    <t>3204162206680002</t>
  </si>
  <si>
    <t>3211181407720003</t>
  </si>
  <si>
    <t>3204161111700002</t>
  </si>
  <si>
    <t>321018 091174 0001</t>
  </si>
  <si>
    <t>327311 181177 0001</t>
  </si>
  <si>
    <t>320405 160775 0019</t>
  </si>
  <si>
    <t>327306 290478 0002</t>
  </si>
  <si>
    <t>3273063005700004</t>
  </si>
  <si>
    <t>320437 010563 0004</t>
  </si>
  <si>
    <t>320502 100268 0004</t>
  </si>
  <si>
    <t>320416 141080 0002</t>
  </si>
  <si>
    <t>meninggal</t>
  </si>
  <si>
    <t>327326 220864 0001</t>
  </si>
  <si>
    <t>321116 060775 0006</t>
  </si>
  <si>
    <t>3273061505590001</t>
  </si>
  <si>
    <t>327322 231074 0011</t>
  </si>
  <si>
    <t>3211123270876002</t>
  </si>
  <si>
    <t>321115 030972 0004</t>
  </si>
  <si>
    <t>3211170207560002</t>
  </si>
  <si>
    <t>327313 040870 0001</t>
  </si>
  <si>
    <t>3204462010690001</t>
  </si>
  <si>
    <t>321115 200773 0006</t>
  </si>
  <si>
    <t>3211117 251265 0002</t>
  </si>
  <si>
    <t>3273061811690003</t>
  </si>
  <si>
    <t>327307 060771 0013</t>
  </si>
  <si>
    <t>3273171602640001</t>
  </si>
  <si>
    <t>3204282608780015</t>
  </si>
  <si>
    <t>3273202304690002</t>
  </si>
  <si>
    <t>3273042809750001</t>
  </si>
  <si>
    <t>3211081504690001</t>
  </si>
  <si>
    <t>3211161403680003</t>
  </si>
  <si>
    <t>3273090102780001</t>
  </si>
  <si>
    <t>3204141710740001</t>
  </si>
  <si>
    <t>3203311001690001</t>
  </si>
  <si>
    <t>3211190207690002</t>
  </si>
  <si>
    <t>Cerai</t>
  </si>
  <si>
    <t>321111 2400871 0003</t>
  </si>
  <si>
    <t>10-17012402710001</t>
  </si>
  <si>
    <t>3277011603730002</t>
  </si>
  <si>
    <t>3273060203720009</t>
  </si>
  <si>
    <t>321114 100172 0006</t>
  </si>
  <si>
    <t>327303 171179 0014</t>
  </si>
  <si>
    <t>3204130206690005</t>
  </si>
  <si>
    <t>321113 080882 0005</t>
  </si>
  <si>
    <t>320414801770007</t>
  </si>
  <si>
    <t>32111100802740004</t>
  </si>
  <si>
    <t>3204090804720010</t>
  </si>
  <si>
    <t>3210050302780001</t>
  </si>
  <si>
    <t>3204282812720001</t>
  </si>
  <si>
    <t>3204132106710004</t>
  </si>
  <si>
    <t>3273062502870006</t>
  </si>
  <si>
    <t>3275031005570029</t>
  </si>
  <si>
    <t>3211132505650008</t>
  </si>
  <si>
    <t>3273172108770003</t>
  </si>
  <si>
    <t>3211161110700002</t>
  </si>
  <si>
    <t>3204370701780005</t>
  </si>
  <si>
    <t>3217063001600001</t>
  </si>
  <si>
    <t>3211111105760008</t>
  </si>
  <si>
    <t>3204460101740009</t>
  </si>
  <si>
    <t>3211180101730021</t>
  </si>
  <si>
    <t>3273132811690003</t>
  </si>
  <si>
    <t>3204402803590001</t>
  </si>
  <si>
    <t>3273132801660002</t>
  </si>
  <si>
    <t>3204131708560001</t>
  </si>
  <si>
    <t>3273115304710001</t>
  </si>
  <si>
    <t>3211124308680002</t>
  </si>
  <si>
    <t>3204175712520004</t>
  </si>
  <si>
    <t>3204115301770007</t>
  </si>
  <si>
    <t>3211174111750006</t>
  </si>
  <si>
    <t>3204166003750005</t>
  </si>
  <si>
    <t>3204374607760002</t>
  </si>
  <si>
    <t>1017025404700004</t>
  </si>
  <si>
    <t>3211155708680006</t>
  </si>
  <si>
    <t>3204106308670002</t>
  </si>
  <si>
    <t>3204164412640001</t>
  </si>
  <si>
    <t>3211186012900006</t>
  </si>
  <si>
    <t>3204465204800003</t>
  </si>
  <si>
    <t>3204464604780001</t>
  </si>
  <si>
    <t>3277016402740012</t>
  </si>
  <si>
    <t>3273245308720007</t>
  </si>
  <si>
    <t>1050135410793005</t>
  </si>
  <si>
    <t>3211154707770019</t>
  </si>
  <si>
    <t>3211115108670004</t>
  </si>
  <si>
    <t>321102480880000</t>
  </si>
  <si>
    <t>3573026910780002</t>
  </si>
  <si>
    <t>3211114608800003</t>
  </si>
  <si>
    <t>3204094107900002</t>
  </si>
  <si>
    <t>3273124309750002</t>
  </si>
  <si>
    <t>3277015307680012</t>
  </si>
  <si>
    <t>3273195612630001</t>
  </si>
  <si>
    <t>3211114205650006</t>
  </si>
  <si>
    <t>321111 500879 0015</t>
  </si>
  <si>
    <t>3273045910850002</t>
  </si>
  <si>
    <t>3204166805660002</t>
  </si>
  <si>
    <t>3211188701820003</t>
  </si>
  <si>
    <t>3204164107700166</t>
  </si>
  <si>
    <t>321018 410985 0021</t>
  </si>
  <si>
    <t>327311 541178 0005</t>
  </si>
  <si>
    <t>320405 620882 0001</t>
  </si>
  <si>
    <t>327306 420779 0002</t>
  </si>
  <si>
    <t>3273065203720004</t>
  </si>
  <si>
    <t>320437 560672 0023</t>
  </si>
  <si>
    <t>320502 451074 0003</t>
  </si>
  <si>
    <t>320416 430881 0002</t>
  </si>
  <si>
    <t>3205146506610001</t>
  </si>
  <si>
    <t>327326 590269 0002</t>
  </si>
  <si>
    <t>321116 710783 0004</t>
  </si>
  <si>
    <t>3273065506650003</t>
  </si>
  <si>
    <t>327322 570773 0010</t>
  </si>
  <si>
    <t>3211185810760006</t>
  </si>
  <si>
    <t>321115 540975 0005</t>
  </si>
  <si>
    <t>3211196111830001</t>
  </si>
  <si>
    <t>327313 490580 0003</t>
  </si>
  <si>
    <t>3204466802730004</t>
  </si>
  <si>
    <t>321115 660681 0020</t>
  </si>
  <si>
    <t>3211117 540570 0002</t>
  </si>
  <si>
    <t>3273066210770008</t>
  </si>
  <si>
    <t>327307 600675 0012</t>
  </si>
  <si>
    <t>3273174706690001</t>
  </si>
  <si>
    <t>3204284410800019</t>
  </si>
  <si>
    <t>3273205805760002</t>
  </si>
  <si>
    <t>3273044507830001</t>
  </si>
  <si>
    <t>3211085804730002</t>
  </si>
  <si>
    <t>3211165300366002</t>
  </si>
  <si>
    <t>3273095506820010</t>
  </si>
  <si>
    <t>3204145205750003</t>
  </si>
  <si>
    <t>3203314706670004</t>
  </si>
  <si>
    <t>3211196403680003</t>
  </si>
  <si>
    <t>3204136808810003</t>
  </si>
  <si>
    <t>321111 590679 0004</t>
  </si>
  <si>
    <t>1017014501700003</t>
  </si>
  <si>
    <t>3277014202630004</t>
  </si>
  <si>
    <t>3273064108780001</t>
  </si>
  <si>
    <t>321114 600877 0006</t>
  </si>
  <si>
    <t>327303 410481 0006</t>
  </si>
  <si>
    <t>3204134111670005</t>
  </si>
  <si>
    <t>321113 490981 0005</t>
  </si>
  <si>
    <t>3204145004770006</t>
  </si>
  <si>
    <t>3211116906860004</t>
  </si>
  <si>
    <t>3210184902750001</t>
  </si>
  <si>
    <t>3204096206780008</t>
  </si>
  <si>
    <t>3210054107800081</t>
  </si>
  <si>
    <t>3204285102810007</t>
  </si>
  <si>
    <t>3204134305800007</t>
  </si>
  <si>
    <t>3275036211740018</t>
  </si>
  <si>
    <t>3211134403700012</t>
  </si>
  <si>
    <t>3273174403820004</t>
  </si>
  <si>
    <t>3211154508708008</t>
  </si>
  <si>
    <t>3204376501840013</t>
  </si>
  <si>
    <t>321114605820010</t>
  </si>
  <si>
    <t>3217064704690002</t>
  </si>
  <si>
    <t>3211115109800005</t>
  </si>
  <si>
    <t>3204384309740002</t>
  </si>
  <si>
    <t>3204464410760004</t>
  </si>
  <si>
    <t>3211185207790011</t>
  </si>
  <si>
    <t>3273136611870006</t>
  </si>
  <si>
    <t>3204404206630002</t>
  </si>
  <si>
    <t>3211174604802820018</t>
  </si>
  <si>
    <t>3273135502750002</t>
  </si>
  <si>
    <t>3204135606610003</t>
  </si>
  <si>
    <t>Tendik</t>
  </si>
  <si>
    <t>Alumni</t>
  </si>
  <si>
    <t>0043697611/3040619948</t>
  </si>
  <si>
    <t>0012504757</t>
  </si>
  <si>
    <t>0038423929</t>
  </si>
  <si>
    <t>0014855379</t>
  </si>
  <si>
    <t>0012030428</t>
  </si>
  <si>
    <t>3211175901990004</t>
  </si>
  <si>
    <t>0020962388</t>
  </si>
  <si>
    <t>0006568674</t>
  </si>
  <si>
    <t>0049597900</t>
  </si>
  <si>
    <t>0042257740</t>
  </si>
  <si>
    <t>Antapani Kidul</t>
  </si>
  <si>
    <t>Masalah</t>
  </si>
  <si>
    <t>0057605065/2027628375</t>
  </si>
  <si>
    <t>004/018</t>
  </si>
  <si>
    <t>0104596940</t>
  </si>
  <si>
    <t>3090147977</t>
  </si>
  <si>
    <t>0097976662</t>
  </si>
  <si>
    <t>3100786288/0105006809</t>
  </si>
  <si>
    <t>3139037106/0139037106</t>
  </si>
  <si>
    <t>0754210212/3123854910</t>
  </si>
  <si>
    <t>0133270853/3132156005</t>
  </si>
  <si>
    <t>3128843112/3128843111</t>
  </si>
  <si>
    <t>E</t>
  </si>
  <si>
    <t>0085804948</t>
  </si>
  <si>
    <t>3211176111070005</t>
  </si>
  <si>
    <t>3094709434</t>
  </si>
  <si>
    <t>3123753122</t>
  </si>
  <si>
    <t>Tati Herawati</t>
  </si>
  <si>
    <t>3124262287</t>
  </si>
  <si>
    <t>Siti Mariyatul Qibtiyah</t>
  </si>
  <si>
    <t>0109909709</t>
  </si>
  <si>
    <t>3111763689</t>
  </si>
  <si>
    <t>0101325365</t>
  </si>
  <si>
    <t>0105640822</t>
  </si>
  <si>
    <t>0119588563</t>
  </si>
  <si>
    <t>Anggi Hafifull Utami</t>
  </si>
  <si>
    <t>0117151045</t>
  </si>
  <si>
    <t>0097317914</t>
  </si>
  <si>
    <t>Mutasi</t>
  </si>
  <si>
    <t>311232131077 - MDT Ula AT TAUFIQ</t>
  </si>
  <si>
    <t>510032040239 - PONPES AL-GHUROBA</t>
  </si>
  <si>
    <t>510032030192 - AL USWAH</t>
  </si>
  <si>
    <t>311232731559 - MDT AL-GHOFUR</t>
  </si>
  <si>
    <t>510032140117 - BAETURROHIM</t>
  </si>
  <si>
    <t>311232044029 - DARUL MUTTAQIN AL INSANI</t>
  </si>
  <si>
    <t>311232044393 - ASSIROOJUL MUNIIR</t>
  </si>
  <si>
    <t>311232042989 - MDT AL-MUSRI</t>
  </si>
  <si>
    <t>510032110143 - AL-HIKAMUSSALAFIYYAH</t>
  </si>
  <si>
    <t>510232040523 - Nahdlatul Ulum</t>
  </si>
  <si>
    <t>Rumus</t>
  </si>
  <si>
    <t>Data sudah Masuk</t>
  </si>
  <si>
    <t>Data sudah dimasukkan dengan paksa karena sebelumnya terdaftar dilembaga lain</t>
  </si>
  <si>
    <t>Data sudah masuk Emis PP tapi datanya belum dilengkapi</t>
  </si>
  <si>
    <t>"Sudah terdaftar ditahun ajaran ini."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</si>
</sst>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dd/mm/yyyy;@"/>
  </numFmts>
  <fonts count="16">
    <font>
      <sz val="11"/>
      <name val="Calibri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  <charset val="1"/>
      <scheme val="minor"/>
    </font>
    <font>
      <sz val="11"/>
      <color rgb="FF000000"/>
      <name val="Calibri"/>
      <family val="2"/>
    </font>
    <font>
      <b/>
      <sz val="11"/>
      <name val="Mons"/>
    </font>
    <font>
      <b/>
      <sz val="12"/>
      <name val="Mons"/>
    </font>
    <font>
      <b/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Protection="0"/>
  </cellStyleXfs>
  <cellXfs count="170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49" fontId="6" fillId="0" borderId="2" xfId="1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6" fillId="0" borderId="2" xfId="1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left" vertical="center"/>
    </xf>
    <xf numFmtId="49" fontId="9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/>
    </xf>
    <xf numFmtId="49" fontId="8" fillId="2" borderId="2" xfId="1" applyNumberFormat="1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/>
    </xf>
    <xf numFmtId="49" fontId="9" fillId="0" borderId="7" xfId="0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2" borderId="2" xfId="1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49" fontId="9" fillId="0" borderId="2" xfId="0" applyNumberFormat="1" applyFont="1" applyBorder="1" applyAlignment="1">
      <alignment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8" fillId="0" borderId="2" xfId="1" applyFont="1" applyFill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center" vertical="center"/>
    </xf>
    <xf numFmtId="49" fontId="9" fillId="0" borderId="2" xfId="0" applyNumberFormat="1" applyFont="1" applyBorder="1">
      <alignment vertical="center"/>
    </xf>
    <xf numFmtId="0" fontId="8" fillId="0" borderId="2" xfId="1" applyFont="1" applyFill="1" applyBorder="1" applyAlignment="1">
      <alignment horizontal="left" vertical="center"/>
    </xf>
    <xf numFmtId="14" fontId="9" fillId="0" borderId="2" xfId="0" applyNumberFormat="1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49" fontId="9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49" fontId="8" fillId="0" borderId="2" xfId="0" applyNumberFormat="1" applyFont="1" applyBorder="1">
      <alignment vertical="center"/>
    </xf>
    <xf numFmtId="14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right" vertical="center" wrapText="1"/>
    </xf>
    <xf numFmtId="49" fontId="8" fillId="0" borderId="2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/>
    <xf numFmtId="0" fontId="9" fillId="3" borderId="2" xfId="0" applyFont="1" applyFill="1" applyBorder="1">
      <alignment vertical="center"/>
    </xf>
    <xf numFmtId="0" fontId="9" fillId="4" borderId="2" xfId="0" applyFont="1" applyFill="1" applyBorder="1">
      <alignment vertical="center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9" fillId="0" borderId="2" xfId="0" quotePrefix="1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>
      <alignment vertical="center"/>
    </xf>
    <xf numFmtId="49" fontId="12" fillId="0" borderId="2" xfId="0" applyNumberFormat="1" applyFont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right" vertical="center" wrapText="1"/>
    </xf>
    <xf numFmtId="14" fontId="12" fillId="0" borderId="2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164" fontId="13" fillId="7" borderId="2" xfId="0" applyNumberFormat="1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9" fillId="0" borderId="4" xfId="0" applyFont="1" applyBorder="1">
      <alignment vertical="center"/>
    </xf>
    <xf numFmtId="0" fontId="13" fillId="0" borderId="4" xfId="0" applyFont="1" applyBorder="1" applyAlignment="1">
      <alignment horizontal="center" vertical="center" wrapText="1"/>
    </xf>
    <xf numFmtId="165" fontId="2" fillId="0" borderId="0" xfId="0" applyNumberFormat="1" applyFont="1">
      <alignment vertical="center"/>
    </xf>
    <xf numFmtId="165" fontId="13" fillId="9" borderId="2" xfId="0" applyNumberFormat="1" applyFont="1" applyFill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vertical="center" wrapText="1"/>
    </xf>
    <xf numFmtId="165" fontId="9" fillId="0" borderId="7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14" fontId="8" fillId="0" borderId="2" xfId="1" applyNumberFormat="1" applyFont="1" applyFill="1" applyBorder="1" applyAlignment="1">
      <alignment horizontal="center" vertical="center"/>
    </xf>
    <xf numFmtId="14" fontId="6" fillId="0" borderId="2" xfId="1" applyNumberFormat="1" applyFont="1" applyFill="1" applyBorder="1" applyAlignment="1">
      <alignment horizontal="center" vertical="center"/>
    </xf>
    <xf numFmtId="14" fontId="9" fillId="0" borderId="2" xfId="0" applyNumberFormat="1" applyFont="1" applyBorder="1">
      <alignment vertical="center"/>
    </xf>
    <xf numFmtId="14" fontId="12" fillId="0" borderId="2" xfId="0" applyNumberFormat="1" applyFont="1" applyBorder="1">
      <alignment vertical="center"/>
    </xf>
    <xf numFmtId="14" fontId="9" fillId="0" borderId="2" xfId="0" applyNumberFormat="1" applyFont="1" applyBorder="1" applyAlignment="1">
      <alignment horizontal="right" vertical="center" wrapText="1"/>
    </xf>
    <xf numFmtId="14" fontId="9" fillId="0" borderId="7" xfId="0" applyNumberFormat="1" applyFont="1" applyBorder="1" applyAlignment="1">
      <alignment vertical="center" wrapText="1"/>
    </xf>
    <xf numFmtId="49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left" vertical="center"/>
    </xf>
    <xf numFmtId="14" fontId="12" fillId="0" borderId="2" xfId="0" applyNumberFormat="1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14" fontId="12" fillId="0" borderId="7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>
      <alignment vertical="center"/>
    </xf>
    <xf numFmtId="49" fontId="12" fillId="0" borderId="7" xfId="0" applyNumberFormat="1" applyFont="1" applyBorder="1">
      <alignment vertical="center"/>
    </xf>
    <xf numFmtId="165" fontId="12" fillId="0" borderId="7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left" vertical="center"/>
    </xf>
    <xf numFmtId="49" fontId="9" fillId="0" borderId="7" xfId="0" applyNumberFormat="1" applyFont="1" applyBorder="1">
      <alignment vertical="center"/>
    </xf>
    <xf numFmtId="0" fontId="9" fillId="0" borderId="7" xfId="0" applyFont="1" applyBorder="1">
      <alignment vertical="center"/>
    </xf>
    <xf numFmtId="14" fontId="12" fillId="0" borderId="7" xfId="0" applyNumberFormat="1" applyFont="1" applyBorder="1">
      <alignment vertical="center"/>
    </xf>
    <xf numFmtId="49" fontId="9" fillId="0" borderId="14" xfId="0" applyNumberFormat="1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4" fontId="9" fillId="0" borderId="7" xfId="0" applyNumberFormat="1" applyFont="1" applyBorder="1">
      <alignment vertical="center"/>
    </xf>
    <xf numFmtId="49" fontId="0" fillId="0" borderId="2" xfId="0" applyNumberFormat="1" applyBorder="1" applyAlignment="1">
      <alignment horizontal="center" vertical="center"/>
    </xf>
    <xf numFmtId="49" fontId="9" fillId="0" borderId="2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12" fillId="0" borderId="7" xfId="0" applyNumberFormat="1" applyFont="1" applyBorder="1" applyAlignment="1">
      <alignment vertical="center"/>
    </xf>
    <xf numFmtId="0" fontId="8" fillId="0" borderId="0" xfId="0" applyFont="1">
      <alignment vertical="center"/>
    </xf>
  </cellXfs>
  <cellStyles count="2">
    <cellStyle name="Normal" xfId="0" builtinId="0"/>
    <cellStyle name="Normal 5" xfId="1" xr:uid="{686926FF-F853-4D41-A36D-1DAB6CFC12E4}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  <numFmt numFmtId="30" formatCode="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0" formatCode="General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19" formatCode="dd/mm/yyyy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165" formatCode="dd/mm/yyyy;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numFmt numFmtId="0" formatCode="General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Mo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25CC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7:CM687" headerRowDxfId="157" dataDxfId="155" totalsRowDxfId="153" headerRowBorderDxfId="156" tableBorderDxfId="154" totalsRowBorderDxfId="152">
  <autoFilter ref="A7:CM687" xr:uid="{00000000-000C-0000-FFFF-FFFF00000000}">
    <filterColumn colId="1">
      <filters>
        <filter val="Aktif"/>
      </filters>
    </filterColumn>
  </autoFilter>
  <sortState xmlns:xlrd2="http://schemas.microsoft.com/office/spreadsheetml/2017/richdata2" ref="A8:CM687">
    <sortCondition ref="B7:B687"/>
  </sortState>
  <tableColumns count="91">
    <tableColumn id="1" xr3:uid="{00000000-0010-0000-0000-000001000000}" name="No" dataDxfId="151">
      <calculatedColumnFormula>SUBTOTAL(3,N$8:Table2[[#This Row],[Nama lengkap]])</calculatedColumnFormula>
    </tableColumn>
    <tableColumn id="72" xr3:uid="{00000000-0010-0000-0000-000048000000}" name="Status" dataDxfId="150"/>
    <tableColumn id="74" xr3:uid="{00000000-0010-0000-0000-00004A000000}" name="Tahun Masuk" dataDxfId="149"/>
    <tableColumn id="73" xr3:uid="{00000000-0010-0000-0000-000049000000}" name="Tahun Keluar" dataDxfId="148"/>
    <tableColumn id="76" xr3:uid="{00000000-0010-0000-0000-00004C000000}" name="Kelas" dataDxfId="147"/>
    <tableColumn id="75" xr3:uid="{00000000-0010-0000-0000-00004B000000}" name="Kelas Detail" dataDxfId="146"/>
    <tableColumn id="79" xr3:uid="{35222591-CBCC-4DDB-AA4C-8E8A1028B302}" name="Emis" dataDxfId="145"/>
    <tableColumn id="81" xr3:uid="{FBB75FE0-A06E-4EA0-A3B7-B93000E5F00F}" name="Ulya/Wustho" dataDxfId="144"/>
    <tableColumn id="78" xr3:uid="{BA9EDEBF-74A5-4903-85B3-277206CE363E}" name="Rombel" dataDxfId="143"/>
    <tableColumn id="82" xr3:uid="{2A891A38-815B-49AA-B22E-F3C84F594602}" name="Validasi" dataDxfId="142"/>
    <tableColumn id="91" xr3:uid="{4D2DFE8E-DCCB-4426-AAA1-12ACC6997965}" name="Ket. Pencetakan Ijazah" dataDxfId="141"/>
    <tableColumn id="90" xr3:uid="{58011E24-A588-4659-AB62-76D9B9E1FEE1}" name="Kelulusan" dataDxfId="140"/>
    <tableColumn id="77" xr3:uid="{00000000-0010-0000-0000-00004D000000}" name="NIS" dataDxfId="139"/>
    <tableColumn id="2" xr3:uid="{00000000-0010-0000-0000-000002000000}" name="Nama lengkap" dataDxfId="138"/>
    <tableColumn id="92" xr3:uid="{76187C5D-C4BC-4598-9174-3CFDCC0205C6}" name="Nama" dataDxfId="137"/>
    <tableColumn id="3" xr3:uid="{00000000-0010-0000-0000-000003000000}" name="Nomer Induk Siswa Nasional" dataDxfId="136"/>
    <tableColumn id="4" xr3:uid="{00000000-0010-0000-0000-000004000000}" name="Nomer Induk Kependudukan (NIK)" dataDxfId="135"/>
    <tableColumn id="5" xr3:uid="{00000000-0010-0000-0000-000005000000}" name="Tempat lahir" dataDxfId="134"/>
    <tableColumn id="6" xr3:uid="{00000000-0010-0000-0000-000006000000}" name="Tanggal Lahir" dataDxfId="133"/>
    <tableColumn id="7" xr3:uid="{00000000-0010-0000-0000-000007000000}" name="Jenis Kelamin" dataDxfId="132"/>
    <tableColumn id="8" xr3:uid="{00000000-0010-0000-0000-000008000000}" name="Anak ke-" dataDxfId="131"/>
    <tableColumn id="9" xr3:uid="{00000000-0010-0000-0000-000009000000}" name="Jumlah Saudara" dataDxfId="130"/>
    <tableColumn id="10" xr3:uid="{00000000-0010-0000-0000-00000A000000}" name="Kebangsaan" dataDxfId="129"/>
    <tableColumn id="11" xr3:uid="{00000000-0010-0000-0000-00000B000000}" name="Golongan Darah" dataDxfId="128"/>
    <tableColumn id="12" xr3:uid="{00000000-0010-0000-0000-00000C000000}" name="Hobi" dataDxfId="127"/>
    <tableColumn id="13" xr3:uid="{00000000-0010-0000-0000-00000D000000}" name="Cita-Cita" dataDxfId="126"/>
    <tableColumn id="14" xr3:uid="{00000000-0010-0000-0000-00000E000000}" name="Pedidikan Terakhir" dataDxfId="125"/>
    <tableColumn id="15" xr3:uid="{00000000-0010-0000-0000-00000F000000}" name="Yang Membiayai Pesantren" dataDxfId="124"/>
    <tableColumn id="16" xr3:uid="{00000000-0010-0000-0000-000010000000}" name="Kebutuhan Khusus" dataDxfId="123"/>
    <tableColumn id="17" xr3:uid="{00000000-0010-0000-0000-000011000000}" name="Kebutuhan Disabilitas" dataDxfId="122"/>
    <tableColumn id="18" xr3:uid="{00000000-0010-0000-0000-000012000000}" name="Nomer Kartu Keluarga" dataDxfId="121"/>
    <tableColumn id="19" xr3:uid="{00000000-0010-0000-0000-000013000000}" name="Nama Kepala Keluarga" dataDxfId="120"/>
    <tableColumn id="20" xr3:uid="{00000000-0010-0000-0000-000014000000}" name="Nama Ayah Kandung" dataDxfId="119"/>
    <tableColumn id="21" xr3:uid="{00000000-0010-0000-0000-000015000000}" name="Status Ayah kandung" dataDxfId="118"/>
    <tableColumn id="22" xr3:uid="{00000000-0010-0000-0000-000016000000}" name="Tempat Lahir Ayah kandung" dataDxfId="117"/>
    <tableColumn id="23" xr3:uid="{00000000-0010-0000-0000-000017000000}" name="Tanggal Kelahiran Ayah Kandung" dataDxfId="116"/>
    <tableColumn id="24" xr3:uid="{00000000-0010-0000-0000-000018000000}" name="NIK Ayah Kandung" dataDxfId="115"/>
    <tableColumn id="25" xr3:uid="{00000000-0010-0000-0000-000019000000}" name="Pekerjaan Ayah" dataDxfId="114"/>
    <tableColumn id="26" xr3:uid="{00000000-0010-0000-0000-00001A000000}" name="Pendidikan Ayah" dataDxfId="113"/>
    <tableColumn id="27" xr3:uid="{00000000-0010-0000-0000-00001B000000}" name="Nomer Telepon Ayah" dataDxfId="112"/>
    <tableColumn id="28" xr3:uid="{00000000-0010-0000-0000-00001C000000}" name="Penghasilan Ayah" dataDxfId="111"/>
    <tableColumn id="29" xr3:uid="{00000000-0010-0000-0000-00001D000000}" name="Alamat Ayah" dataDxfId="110"/>
    <tableColumn id="30" xr3:uid="{00000000-0010-0000-0000-00001E000000}" name="RT/RW Ayah" dataDxfId="109"/>
    <tableColumn id="31" xr3:uid="{00000000-0010-0000-0000-00001F000000}" name="Desa/Kelurahan Ayah" dataDxfId="108"/>
    <tableColumn id="32" xr3:uid="{00000000-0010-0000-0000-000020000000}" name="Kecamatan Ayah" dataDxfId="107"/>
    <tableColumn id="33" xr3:uid="{00000000-0010-0000-0000-000021000000}" name="Kabupaten/Kota Ayah" dataDxfId="106"/>
    <tableColumn id="34" xr3:uid="{00000000-0010-0000-0000-000022000000}" name="Provinsi Ayah" dataDxfId="105"/>
    <tableColumn id="35" xr3:uid="{00000000-0010-0000-0000-000023000000}" name="Kode POS Ayah" dataDxfId="104"/>
    <tableColumn id="36" xr3:uid="{00000000-0010-0000-0000-000024000000}" name="Nama Ibu Kandung" dataDxfId="103"/>
    <tableColumn id="37" xr3:uid="{00000000-0010-0000-0000-000025000000}" name="Status Ibu Kandung" dataDxfId="102"/>
    <tableColumn id="38" xr3:uid="{00000000-0010-0000-0000-000026000000}" name="Tempat Lahir Ibu Kandung" dataDxfId="101"/>
    <tableColumn id="39" xr3:uid="{00000000-0010-0000-0000-000027000000}" name="Tanggal Kelahiran Ibu kandung" dataDxfId="100"/>
    <tableColumn id="40" xr3:uid="{00000000-0010-0000-0000-000028000000}" name="NIK Ibu" dataDxfId="99"/>
    <tableColumn id="41" xr3:uid="{00000000-0010-0000-0000-000029000000}" name="Pekerjaan Ibu" dataDxfId="98"/>
    <tableColumn id="42" xr3:uid="{00000000-0010-0000-0000-00002A000000}" name="Pendidikan Ibu" dataDxfId="97"/>
    <tableColumn id="43" xr3:uid="{00000000-0010-0000-0000-00002B000000}" name="Nomor Telepon Ibu" dataDxfId="96"/>
    <tableColumn id="44" xr3:uid="{00000000-0010-0000-0000-00002C000000}" name="Penghasilan Ibu" dataDxfId="95"/>
    <tableColumn id="84" xr3:uid="{58BDFEC1-7FEA-4FDE-AE49-83CB32D7FDD4}" name="Alamat Ibu" dataDxfId="94"/>
    <tableColumn id="45" xr3:uid="{00000000-0010-0000-0000-00002D000000}" name="Alamat Ibu Kandung" dataDxfId="93"/>
    <tableColumn id="46" xr3:uid="{00000000-0010-0000-0000-00002E000000}" name="RT/R Ibu" dataDxfId="92"/>
    <tableColumn id="47" xr3:uid="{00000000-0010-0000-0000-00002F000000}" name="Desa/Kelurahan Ibu" dataDxfId="91"/>
    <tableColumn id="48" xr3:uid="{00000000-0010-0000-0000-000030000000}" name="Kecamatan Ibu" dataDxfId="90"/>
    <tableColumn id="49" xr3:uid="{00000000-0010-0000-0000-000031000000}" name="Kabupaten/Kota Ibu" dataDxfId="89"/>
    <tableColumn id="50" xr3:uid="{00000000-0010-0000-0000-000032000000}" name="Provinsi Ibu" dataDxfId="88"/>
    <tableColumn id="51" xr3:uid="{00000000-0010-0000-0000-000033000000}" name="Kode POS Ibu" dataDxfId="87"/>
    <tableColumn id="85" xr3:uid="{00C10A12-2948-47D9-8C3E-85FD2459F956}" name="Status Wali Santri" dataDxfId="86"/>
    <tableColumn id="52" xr3:uid="{00000000-0010-0000-0000-000034000000}" name="Nama Wali" dataDxfId="85"/>
    <tableColumn id="53" xr3:uid="{00000000-0010-0000-0000-000035000000}" name="Tempat Lahir Wali" dataDxfId="84"/>
    <tableColumn id="54" xr3:uid="{00000000-0010-0000-0000-000036000000}" name="Tanggal Kelahiran Wali" dataDxfId="83"/>
    <tableColumn id="55" xr3:uid="{00000000-0010-0000-0000-000037000000}" name="NIK Wali" dataDxfId="82"/>
    <tableColumn id="56" xr3:uid="{00000000-0010-0000-0000-000038000000}" name="Pekerjaan Wali" dataDxfId="81"/>
    <tableColumn id="57" xr3:uid="{00000000-0010-0000-0000-000039000000}" name="Pendidikan Wali" dataDxfId="80"/>
    <tableColumn id="58" xr3:uid="{00000000-0010-0000-0000-00003A000000}" name="Nomor Telepon Wali" dataDxfId="79"/>
    <tableColumn id="59" xr3:uid="{00000000-0010-0000-0000-00003B000000}" name="Penghasilan Wali" dataDxfId="78"/>
    <tableColumn id="60" xr3:uid="{00000000-0010-0000-0000-00003C000000}" name="Alamat Wali" dataDxfId="77"/>
    <tableColumn id="61" xr3:uid="{00000000-0010-0000-0000-00003D000000}" name="RT/RW Wali" dataDxfId="76"/>
    <tableColumn id="62" xr3:uid="{00000000-0010-0000-0000-00003E000000}" name="Desa/Kelurahan Wali" dataDxfId="75"/>
    <tableColumn id="63" xr3:uid="{00000000-0010-0000-0000-00003F000000}" name="Kecamatan Wali" dataDxfId="74"/>
    <tableColumn id="64" xr3:uid="{00000000-0010-0000-0000-000040000000}" name="Kabupaten/Kota Wali" dataDxfId="73"/>
    <tableColumn id="65" xr3:uid="{00000000-0010-0000-0000-000041000000}" name="Provinsi Wali" dataDxfId="72"/>
    <tableColumn id="66" xr3:uid="{00000000-0010-0000-0000-000042000000}" name="Kode POS Wali" dataDxfId="71"/>
    <tableColumn id="67" xr3:uid="{00000000-0010-0000-0000-000043000000}" name="Status Rumah" dataDxfId="70"/>
    <tableColumn id="88" xr3:uid="{576A1F8B-20CF-46A9-86DC-6279B9677CFF}" name="Alamat Santri" dataDxfId="69"/>
    <tableColumn id="87" xr3:uid="{073E7273-9AD8-453C-B959-CCEF0A40ADB7}" name="RT/RW Santri" dataDxfId="68"/>
    <tableColumn id="86" xr3:uid="{B33DA0DA-55E6-4D8A-951C-6579A5C86D69}" name="Desa/Kelurahan Santri" dataDxfId="67"/>
    <tableColumn id="68" xr3:uid="{00000000-0010-0000-0000-000044000000}" name="Kecamatan Santri" dataDxfId="66"/>
    <tableColumn id="69" xr3:uid="{00000000-0010-0000-0000-000045000000}" name="Kabupaten/Kota Santri" dataDxfId="65"/>
    <tableColumn id="70" xr3:uid="{00000000-0010-0000-0000-000046000000}" name="Provinsi Santri" dataDxfId="64"/>
    <tableColumn id="71" xr3:uid="{00000000-0010-0000-0000-000047000000}" name="Kode POS Santri" dataDxfId="63"/>
    <tableColumn id="80" xr3:uid="{D1AE9591-C3F2-49B3-8168-6FE03AADB33C}" name="Usia Santri" dataDxfId="62" totalsRowDxfId="61">
      <calculatedColumnFormula>DATEDIF(S8,NOW(),"Y")&amp;" Tahun " &amp;DATEDIF(S8,NOW(),"YM")&amp;" Bulan " &amp;DATEDIF(S8,NOW(),"MD")&amp;" Hari"</calculatedColumnFormula>
    </tableColumn>
    <tableColumn id="83" xr3:uid="{9BC868B0-AA16-47BB-9EE3-9817DBA79F87}" name="Alamat Lengkap" dataDxfId="60" totalsRowDxfId="59">
      <calculatedColumnFormula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F94227-2284-4641-89CD-0BC8974D0E73}" name="Table6" displayName="Table6" ref="A2:P450" totalsRowShown="0" headerRowDxfId="58" dataDxfId="57">
  <autoFilter ref="A2:P450" xr:uid="{98F94227-2284-4641-89CD-0BC8974D0E73}"/>
  <tableColumns count="16">
    <tableColumn id="1" xr3:uid="{26E38766-50D6-4221-AEF3-7956AEC4B65D}" name="No" dataDxfId="56">
      <calculatedColumnFormula>SUBTOTAL(3,B$3:B3)</calculatedColumnFormula>
    </tableColumn>
    <tableColumn id="2" xr3:uid="{6EEDE993-2962-44CA-BF4D-BA2276B24754}" name="NIS" dataDxfId="55"/>
    <tableColumn id="3" xr3:uid="{507B9CC8-11C7-4456-AA36-36647346DC77}" name="Nama" dataDxfId="54">
      <calculatedColumnFormula>_xlfn.XLOOKUP(Table6[[#This Row],[NIS]],Table2[NIS],Table2[Nama lengkap],"Not Found",0)</calculatedColumnFormula>
    </tableColumn>
    <tableColumn id="16" xr3:uid="{DDB90231-5F7B-4E8E-BDD9-FB9BF49EC28E}" name="NISN" dataDxfId="53">
      <calculatedColumnFormula>_xlfn.XLOOKUP(Table6[[#This Row],[NIS]],Table2[NIS],Table2[Nomer Induk Siswa Nasional],"Not Found",0)</calculatedColumnFormula>
    </tableColumn>
    <tableColumn id="4" xr3:uid="{F8C8AE3A-4039-41B6-BD88-D9BB5A8135A3}" name="Status" dataDxfId="52">
      <calculatedColumnFormula>_xlfn.XLOOKUP(Table6[[#This Row],[NIS]],Table2[NIS],Table2[Status],"Not Found",0)</calculatedColumnFormula>
    </tableColumn>
    <tableColumn id="5" xr3:uid="{B21309AC-3B61-453C-88A5-0F59DCEA7AE4}" name="Tahun Masuk" dataDxfId="51">
      <calculatedColumnFormula>_xlfn.XLOOKUP(Table6[[#This Row],[NIS]],Table2[NIS],Table2[Tahun Masuk],"Not Found",0)</calculatedColumnFormula>
    </tableColumn>
    <tableColumn id="6" xr3:uid="{965C8DA3-B375-4CF4-A48E-9EB6459BE517}" name="Tahun Keluar" dataDxfId="50">
      <calculatedColumnFormula>_xlfn.XLOOKUP(Table6[[#This Row],[NIS]],Table2[NIS],Table2[Tahun Keluar],"Not Found",0)</calculatedColumnFormula>
    </tableColumn>
    <tableColumn id="7" xr3:uid="{5D9F336D-15DA-4765-B2DE-5244670AEB98}" name="Kelas" dataDxfId="49">
      <calculatedColumnFormula>_xlfn.XLOOKUP(Table6[[#This Row],[NIS]],Table2[NIS],Table2[Kelas],"Not Found",0)</calculatedColumnFormula>
    </tableColumn>
    <tableColumn id="8" xr3:uid="{8FD06ABF-EAFA-4280-B7FA-E90E7CEFE8EC}" name="Kelas Detail" dataDxfId="48">
      <calculatedColumnFormula>_xlfn.XLOOKUP(Table6[[#This Row],[NIS]],Table2[NIS],Table2[Kelas Detail],"Not Found",0)</calculatedColumnFormula>
    </tableColumn>
    <tableColumn id="9" xr3:uid="{7D8B0B63-5E63-4F78-8CE2-387152DB7904}" name="Emis" dataDxfId="47"/>
    <tableColumn id="10" xr3:uid="{C81DD1D4-072D-428D-B38B-24377A874882}" name="Ulya/Wustho" dataDxfId="46"/>
    <tableColumn id="11" xr3:uid="{4EB40ABD-426A-43BB-B00C-12F009419CCF}" name="Rombel" dataDxfId="45"/>
    <tableColumn id="12" xr3:uid="{4260EB4D-2061-4C27-90BC-2164CF392252}" name="Status NISN" dataDxfId="44"/>
    <tableColumn id="13" xr3:uid="{08613361-5E94-422E-AAFE-A37F6431AE0A}" name="Status Dukcapil" dataDxfId="43"/>
    <tableColumn id="14" xr3:uid="{F082DD5E-3CA6-45B9-9C83-F3D4DD7250C0}" name="Ijazah" dataDxfId="42"/>
    <tableColumn id="15" xr3:uid="{79BBFC07-070E-4A05-AB36-5550C8A47190}" name="KK" dataDxfId="41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6E3B2C-1CD1-4C36-9EEC-7C494A00DA49}" name="Table7" displayName="Table7" ref="A2:J457" totalsRowShown="0">
  <autoFilter ref="A2:J457" xr:uid="{D86E3B2C-1CD1-4C36-9EEC-7C494A00DA49}"/>
  <sortState xmlns:xlrd2="http://schemas.microsoft.com/office/spreadsheetml/2017/richdata2" ref="A3:J457">
    <sortCondition ref="B2:B457"/>
  </sortState>
  <tableColumns count="10">
    <tableColumn id="1" xr3:uid="{11D2C4D8-5357-4018-A765-FDCE9FBA4E83}" name="NO." dataDxfId="40">
      <calculatedColumnFormula>SUBTOTAL(3,J$3:J3)</calculatedColumnFormula>
    </tableColumn>
    <tableColumn id="2" xr3:uid="{2F3CC17E-BE35-4C15-BE8C-879680B3E4E3}" name="STATUS" dataDxfId="39"/>
    <tableColumn id="3" xr3:uid="{A860B856-9970-4032-8E0D-D8F03964C8D9}" name="JK"/>
    <tableColumn id="4" xr3:uid="{A9B66713-4CBF-462D-B3AB-A8212A2AFBAD}" name="BULAN MASUK"/>
    <tableColumn id="5" xr3:uid="{F8C5D370-CE53-47C7-8DE5-61C27BB46589}" name="BULAN KELUAR"/>
    <tableColumn id="6" xr3:uid="{53EAD8E2-D283-4F1F-B114-05F926B453C3}" name="ADM"/>
    <tableColumn id="7" xr3:uid="{8B041EC0-B36F-4471-9005-5DBC1416CC5D}" name="KELAS"/>
    <tableColumn id="8" xr3:uid="{B748856F-3A54-4DE9-892F-FA7A2F5387D1}" name="KELAS DETAIL" dataDxfId="38"/>
    <tableColumn id="9" xr3:uid="{E4C7961F-16E2-4AD0-97B7-CF5F6B3F52AE}" name="NIS"/>
    <tableColumn id="10" xr3:uid="{FD74F085-1473-4A0B-8B83-6B04436C5123}" name="NAMA LENGKAP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A214B-2FED-4A8A-96AB-000000A9BD67}" name="Table4" displayName="Table4" ref="A2:I212" totalsRowShown="0" headerRowDxfId="37" dataDxfId="35" headerRowBorderDxfId="36" tableBorderDxfId="34" totalsRowBorderDxfId="33">
  <autoFilter ref="A2:I212" xr:uid="{86CA214B-2FED-4A8A-96AB-000000A9BD67}">
    <filterColumn colId="7">
      <filters>
        <filter val="Jawa Barat"/>
      </filters>
    </filterColumn>
  </autoFilter>
  <tableColumns count="9">
    <tableColumn id="1" xr3:uid="{10392E3D-6921-498B-8276-3378ECC3F7AB}" name="No" dataDxfId="32">
      <calculatedColumnFormula>SUBTOTAL(3,B$3:B3)</calculatedColumnFormula>
    </tableColumn>
    <tableColumn id="10" xr3:uid="{4C0892D4-3E87-4103-9C50-C14577A76CFE}" name="Nama lengkap" dataDxfId="31"/>
    <tableColumn id="12" xr3:uid="{B327CACF-7CD1-4574-A1F6-BEAF981B0854}" name="Nomer Induk Kependudukan (NIK)" dataDxfId="30"/>
    <tableColumn id="13" xr3:uid="{0583E978-FDD2-4519-B0AC-3B0A20D86A8C}" name="Tempat lahir" dataDxfId="29"/>
    <tableColumn id="14" xr3:uid="{098E6861-C1DB-4B56-8136-2DB035744E45}" name="Tanggal Lahir" dataDxfId="28"/>
    <tableColumn id="26" xr3:uid="{95F6D878-FF0C-4E18-B6DD-974CA68BB000}" name="Nomer Kartu Keluarga" dataDxfId="27"/>
    <tableColumn id="41" xr3:uid="{9C6298CD-BBC0-46E1-BCD3-8594B82D06A4}" name="Kabupaten/Kota" dataDxfId="26"/>
    <tableColumn id="42" xr3:uid="{DC169B1F-6AE8-4FC4-962B-E2ED944833F8}" name="Provinsi" dataDxfId="25"/>
    <tableColumn id="80" xr3:uid="{4FF493B2-0DBD-45B4-944E-CC1B202985F7}" name="Umur" dataDxfId="24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4EC786-C90F-40F2-AA64-7C7EFEDFEA40}" name="Table5" displayName="Table5" ref="A1:J20" totalsRowShown="0" headerRowDxfId="23" dataDxfId="21" headerRowBorderDxfId="22">
  <autoFilter ref="A1:J20" xr:uid="{594EC786-C90F-40F2-AA64-7C7EFEDFEA40}"/>
  <tableColumns count="10">
    <tableColumn id="1" xr3:uid="{DEAE9E25-A6A1-4DE5-AF68-081094DA8805}" name="NO." dataDxfId="20"/>
    <tableColumn id="2" xr3:uid="{D7424609-CBC2-45FE-A2F7-488F0D44D02E}" name="NIS" dataDxfId="19"/>
    <tableColumn id="3" xr3:uid="{CC5ADD8A-B6C7-440A-8CBF-0E11A72894FB}" name="JK" dataDxfId="18"/>
    <tableColumn id="4" xr3:uid="{55795B79-3464-420A-9593-DC8BF283D22A}" name="KELAS" dataDxfId="17"/>
    <tableColumn id="5" xr3:uid="{D9B08150-2408-44F4-A03B-3342A4CE27BD}" name="NAMA LENGKAP SESUAI DOKUMEN" dataDxfId="16"/>
    <tableColumn id="6" xr3:uid="{113CA072-1A61-4EFD-9328-079FF310078F}" name="NAMA AYAH" dataDxfId="15"/>
    <tableColumn id="7" xr3:uid="{DB6CCF74-C288-4EC8-B999-CD3C27AD4DD2}" name="IJAZAH" dataDxfId="14"/>
    <tableColumn id="8" xr3:uid="{E82EBF68-0A48-4DB6-9171-5A8B7751A594}" name="NISN" dataDxfId="13">
      <calculatedColumnFormula>_xlfn.XLOOKUP(Table5[[#This Row],[NIS]],Table2[NIS],Table2[Nomer Induk Siswa Nasional],"Not found",0)</calculatedColumnFormula>
    </tableColumn>
    <tableColumn id="9" xr3:uid="{0B78CAA7-F85A-428A-B21E-BECBE951A047}" name="NIK" dataDxfId="12">
      <calculatedColumnFormula>_xlfn.XLOOKUP(Table5[[#This Row],[NIS]],Table2[NIS],Table2[Nomer Induk Kependudukan (NIK)],"Not found",0)</calculatedColumnFormula>
    </tableColumn>
    <tableColumn id="10" xr3:uid="{CE78A04A-0466-4372-A5C0-6A1A81C2001E}" name="NO. REG. IJAZAH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C80"/>
  </sheetPr>
  <dimension ref="A1:CN1212"/>
  <sheetViews>
    <sheetView tabSelected="1" topLeftCell="A7" zoomScale="90" zoomScaleNormal="90" workbookViewId="0">
      <selection activeCell="H10" sqref="H10"/>
    </sheetView>
  </sheetViews>
  <sheetFormatPr defaultColWidth="13.140625" defaultRowHeight="24.95" customHeight="1"/>
  <cols>
    <col min="1" max="1" width="8.42578125" style="4" bestFit="1" customWidth="1"/>
    <col min="2" max="2" width="13.140625" style="4" customWidth="1"/>
    <col min="3" max="3" width="10.28515625" style="4" customWidth="1"/>
    <col min="4" max="4" width="3.7109375" style="4" customWidth="1"/>
    <col min="5" max="5" width="8.85546875" style="4" customWidth="1"/>
    <col min="6" max="6" width="12.7109375" style="4" bestFit="1" customWidth="1"/>
    <col min="7" max="7" width="12.140625" style="4" customWidth="1"/>
    <col min="8" max="8" width="15.5703125" style="4" customWidth="1"/>
    <col min="9" max="10" width="14" style="5" customWidth="1"/>
    <col min="11" max="11" width="4.5703125" style="5" customWidth="1"/>
    <col min="12" max="12" width="3.7109375" style="5" customWidth="1"/>
    <col min="13" max="13" width="10" style="6" bestFit="1" customWidth="1"/>
    <col min="14" max="14" width="41" style="12" bestFit="1" customWidth="1"/>
    <col min="15" max="15" width="41" style="12" hidden="1" customWidth="1"/>
    <col min="16" max="16" width="34.85546875" style="5" bestFit="1" customWidth="1"/>
    <col min="17" max="17" width="21.140625" style="7" bestFit="1" customWidth="1"/>
    <col min="18" max="18" width="19" style="5" bestFit="1" customWidth="1"/>
    <col min="19" max="19" width="19.5703125" style="8" bestFit="1" customWidth="1"/>
    <col min="20" max="20" width="19.5703125" style="5" customWidth="1"/>
    <col min="21" max="21" width="13.7109375" style="4" bestFit="1" customWidth="1"/>
    <col min="22" max="22" width="14.140625" style="4" bestFit="1" customWidth="1"/>
    <col min="23" max="23" width="21.85546875" style="6" bestFit="1" customWidth="1"/>
    <col min="24" max="24" width="28.7109375" style="6" bestFit="1" customWidth="1"/>
    <col min="25" max="25" width="22.28515625" style="6" bestFit="1" customWidth="1"/>
    <col min="26" max="26" width="34.28515625" style="6" bestFit="1" customWidth="1"/>
    <col min="27" max="27" width="26" style="6" bestFit="1" customWidth="1"/>
    <col min="28" max="28" width="34.28515625" style="6" bestFit="1" customWidth="1"/>
    <col min="29" max="29" width="33.42578125" style="6" bestFit="1" customWidth="1"/>
    <col min="30" max="30" width="29.7109375" style="6" bestFit="1" customWidth="1"/>
    <col min="31" max="31" width="28.140625" style="6" bestFit="1" customWidth="1"/>
    <col min="32" max="32" width="28.5703125" style="7" bestFit="1" customWidth="1"/>
    <col min="33" max="33" width="34.7109375" style="6" bestFit="1" customWidth="1"/>
    <col min="34" max="34" width="34.7109375" style="6" customWidth="1"/>
    <col min="35" max="35" width="34.7109375" style="6" bestFit="1" customWidth="1"/>
    <col min="36" max="36" width="27" style="6" bestFit="1" customWidth="1"/>
    <col min="37" max="37" width="25.85546875" style="106" bestFit="1" customWidth="1"/>
    <col min="38" max="38" width="24.28515625" style="7" bestFit="1" customWidth="1"/>
    <col min="39" max="39" width="18.28515625" style="7" bestFit="1" customWidth="1"/>
    <col min="40" max="40" width="38.28515625" style="6" bestFit="1" customWidth="1"/>
    <col min="41" max="41" width="36.85546875" style="6" bestFit="1" customWidth="1"/>
    <col min="42" max="42" width="27" style="7" bestFit="1" customWidth="1"/>
    <col min="43" max="43" width="26" style="6" bestFit="1" customWidth="1"/>
    <col min="44" max="44" width="62.42578125" style="4" bestFit="1" customWidth="1"/>
    <col min="45" max="45" width="12.5703125" style="7" bestFit="1" customWidth="1"/>
    <col min="46" max="46" width="27" style="6" bestFit="1" customWidth="1"/>
    <col min="47" max="47" width="20.28515625" style="6" bestFit="1" customWidth="1"/>
    <col min="48" max="48" width="28.7109375" style="6" bestFit="1" customWidth="1"/>
    <col min="49" max="49" width="19.28515625" style="6" bestFit="1" customWidth="1"/>
    <col min="50" max="50" width="18.7109375" style="6" bestFit="1" customWidth="1"/>
    <col min="51" max="51" width="16.140625" style="6" customWidth="1"/>
    <col min="52" max="52" width="30.42578125" style="123" bestFit="1" customWidth="1"/>
    <col min="53" max="53" width="25.7109375" style="6" bestFit="1" customWidth="1"/>
    <col min="54" max="54" width="20.140625" style="8" bestFit="1" customWidth="1"/>
    <col min="55" max="55" width="25.42578125" style="7" bestFit="1" customWidth="1"/>
    <col min="56" max="56" width="18.28515625" style="7" bestFit="1" customWidth="1"/>
    <col min="57" max="57" width="27.7109375" style="6" bestFit="1" customWidth="1"/>
    <col min="58" max="58" width="36.42578125" style="6" bestFit="1" customWidth="1"/>
    <col min="59" max="59" width="25.28515625" style="7" bestFit="1" customWidth="1"/>
    <col min="60" max="60" width="26" style="6" bestFit="1" customWidth="1"/>
    <col min="61" max="61" width="26" style="6" customWidth="1"/>
    <col min="62" max="62" width="59" style="6" bestFit="1" customWidth="1"/>
    <col min="63" max="63" width="13.7109375" style="7" bestFit="1" customWidth="1"/>
    <col min="64" max="64" width="27" style="12" bestFit="1" customWidth="1"/>
    <col min="65" max="65" width="20.28515625" style="6" bestFit="1" customWidth="1"/>
    <col min="66" max="66" width="28.7109375" style="6" bestFit="1" customWidth="1"/>
    <col min="67" max="67" width="19.28515625" style="6" bestFit="1" customWidth="1"/>
    <col min="68" max="68" width="18.5703125" style="6" bestFit="1" customWidth="1"/>
    <col min="69" max="69" width="18.5703125" style="6" customWidth="1"/>
    <col min="70" max="70" width="34.7109375" style="6" customWidth="1"/>
    <col min="71" max="71" width="21.28515625" style="6" customWidth="1"/>
    <col min="72" max="72" width="17.7109375" style="7" customWidth="1"/>
    <col min="73" max="73" width="17.28515625" style="7" customWidth="1"/>
    <col min="74" max="74" width="31.85546875" style="6" customWidth="1"/>
    <col min="75" max="75" width="36.42578125" style="6" customWidth="1"/>
    <col min="76" max="76" width="21.42578125" style="7" customWidth="1"/>
    <col min="77" max="77" width="26" style="6" customWidth="1"/>
    <col min="78" max="78" width="71.28515625" style="6" customWidth="1"/>
    <col min="79" max="79" width="14.85546875" style="7" customWidth="1"/>
    <col min="80" max="80" width="24.28515625" style="6" customWidth="1"/>
    <col min="81" max="81" width="19.140625" style="6" customWidth="1"/>
    <col min="82" max="82" width="23.28515625" style="6" customWidth="1"/>
    <col min="83" max="83" width="61.28515625" style="6" bestFit="1" customWidth="1"/>
    <col min="84" max="84" width="18.5703125" style="6" customWidth="1"/>
    <col min="85" max="85" width="19.7109375" style="6" customWidth="1"/>
    <col min="86" max="86" width="62.42578125" style="6" bestFit="1" customWidth="1"/>
    <col min="87" max="87" width="14.28515625" style="6" customWidth="1"/>
    <col min="88" max="88" width="28" style="6" bestFit="1" customWidth="1"/>
    <col min="89" max="89" width="20.85546875" style="6" bestFit="1" customWidth="1"/>
    <col min="90" max="90" width="28.7109375" style="6" bestFit="1" customWidth="1"/>
    <col min="91" max="91" width="148.7109375" style="4" bestFit="1" customWidth="1"/>
    <col min="92" max="92" width="24.85546875" style="6" bestFit="1" customWidth="1"/>
    <col min="93" max="93" width="23.5703125" style="6" bestFit="1" customWidth="1"/>
    <col min="94" max="16384" width="13.140625" style="6"/>
  </cols>
  <sheetData>
    <row r="1" spans="1:91" ht="24.95" customHeight="1">
      <c r="A1" s="109" t="s">
        <v>8994</v>
      </c>
    </row>
    <row r="2" spans="1:91" ht="24.95" customHeight="1">
      <c r="A2" s="109" t="s">
        <v>8995</v>
      </c>
    </row>
    <row r="3" spans="1:91" ht="24.95" customHeight="1">
      <c r="A3" s="109" t="s">
        <v>8996</v>
      </c>
    </row>
    <row r="4" spans="1:91" ht="24.95" customHeight="1">
      <c r="A4" s="109" t="s">
        <v>8997</v>
      </c>
    </row>
    <row r="5" spans="1:91" ht="24.95" customHeight="1">
      <c r="A5" s="109" t="s">
        <v>8998</v>
      </c>
    </row>
    <row r="6" spans="1:91" ht="24.95" customHeight="1">
      <c r="N6" s="4"/>
      <c r="O6" s="4"/>
    </row>
    <row r="7" spans="1:91" s="113" customFormat="1" ht="120">
      <c r="A7" s="110" t="s">
        <v>75</v>
      </c>
      <c r="B7" s="110" t="s">
        <v>76</v>
      </c>
      <c r="C7" s="110" t="s">
        <v>77</v>
      </c>
      <c r="D7" s="110" t="s">
        <v>78</v>
      </c>
      <c r="E7" s="110" t="s">
        <v>79</v>
      </c>
      <c r="F7" s="110" t="s">
        <v>80</v>
      </c>
      <c r="G7" s="110" t="s">
        <v>81</v>
      </c>
      <c r="H7" s="110" t="s">
        <v>82</v>
      </c>
      <c r="I7" s="110" t="s">
        <v>83</v>
      </c>
      <c r="J7" s="110" t="s">
        <v>8991</v>
      </c>
      <c r="K7" s="110" t="s">
        <v>8992</v>
      </c>
      <c r="L7" s="110" t="s">
        <v>8993</v>
      </c>
      <c r="M7" s="110" t="s">
        <v>84</v>
      </c>
      <c r="N7" s="111" t="s">
        <v>85</v>
      </c>
      <c r="O7" s="111" t="s">
        <v>5477</v>
      </c>
      <c r="P7" s="110" t="s">
        <v>0</v>
      </c>
      <c r="Q7" s="111" t="s">
        <v>1</v>
      </c>
      <c r="R7" s="110" t="s">
        <v>2</v>
      </c>
      <c r="S7" s="112" t="s">
        <v>3</v>
      </c>
      <c r="T7" s="110" t="s">
        <v>4</v>
      </c>
      <c r="U7" s="111" t="s">
        <v>5</v>
      </c>
      <c r="V7" s="110" t="s">
        <v>6</v>
      </c>
      <c r="W7" s="111" t="s">
        <v>7</v>
      </c>
      <c r="X7" s="110" t="s">
        <v>8</v>
      </c>
      <c r="Y7" s="111" t="s">
        <v>9</v>
      </c>
      <c r="Z7" s="110" t="s">
        <v>10</v>
      </c>
      <c r="AA7" s="111" t="s">
        <v>11</v>
      </c>
      <c r="AB7" s="110" t="s">
        <v>12</v>
      </c>
      <c r="AC7" s="111" t="s">
        <v>13</v>
      </c>
      <c r="AD7" s="110" t="s">
        <v>14</v>
      </c>
      <c r="AE7" s="111" t="s">
        <v>15</v>
      </c>
      <c r="AF7" s="110" t="s">
        <v>16</v>
      </c>
      <c r="AG7" s="114" t="s">
        <v>17</v>
      </c>
      <c r="AH7" s="115" t="s">
        <v>18</v>
      </c>
      <c r="AI7" s="114" t="s">
        <v>19</v>
      </c>
      <c r="AJ7" s="116" t="s">
        <v>20</v>
      </c>
      <c r="AK7" s="114" t="s">
        <v>21</v>
      </c>
      <c r="AL7" s="115" t="s">
        <v>22</v>
      </c>
      <c r="AM7" s="114" t="s">
        <v>23</v>
      </c>
      <c r="AN7" s="115" t="s">
        <v>24</v>
      </c>
      <c r="AO7" s="114" t="s">
        <v>25</v>
      </c>
      <c r="AP7" s="115" t="s">
        <v>26</v>
      </c>
      <c r="AQ7" s="114" t="s">
        <v>27</v>
      </c>
      <c r="AR7" s="115" t="s">
        <v>28</v>
      </c>
      <c r="AS7" s="114" t="s">
        <v>29</v>
      </c>
      <c r="AT7" s="115" t="s">
        <v>30</v>
      </c>
      <c r="AU7" s="114" t="s">
        <v>31</v>
      </c>
      <c r="AV7" s="115" t="s">
        <v>32</v>
      </c>
      <c r="AW7" s="119" t="s">
        <v>33</v>
      </c>
      <c r="AX7" s="120" t="s">
        <v>34</v>
      </c>
      <c r="AY7" s="119" t="s">
        <v>35</v>
      </c>
      <c r="AZ7" s="124" t="s">
        <v>36</v>
      </c>
      <c r="BA7" s="119" t="s">
        <v>37</v>
      </c>
      <c r="BB7" s="120" t="s">
        <v>38</v>
      </c>
      <c r="BC7" s="119" t="s">
        <v>39</v>
      </c>
      <c r="BD7" s="120" t="s">
        <v>40</v>
      </c>
      <c r="BE7" s="119" t="s">
        <v>41</v>
      </c>
      <c r="BF7" s="120" t="s">
        <v>42</v>
      </c>
      <c r="BG7" s="119" t="s">
        <v>43</v>
      </c>
      <c r="BH7" s="120" t="s">
        <v>44</v>
      </c>
      <c r="BI7" s="119" t="s">
        <v>45</v>
      </c>
      <c r="BJ7" s="120" t="s">
        <v>46</v>
      </c>
      <c r="BK7" s="119" t="s">
        <v>47</v>
      </c>
      <c r="BL7" s="120" t="s">
        <v>48</v>
      </c>
      <c r="BM7" s="119" t="s">
        <v>49</v>
      </c>
      <c r="BN7" s="118" t="s">
        <v>50</v>
      </c>
      <c r="BO7" s="117" t="s">
        <v>51</v>
      </c>
      <c r="BP7" s="118" t="s">
        <v>52</v>
      </c>
      <c r="BQ7" s="117" t="s">
        <v>53</v>
      </c>
      <c r="BR7" s="118" t="s">
        <v>54</v>
      </c>
      <c r="BS7" s="117" t="s">
        <v>55</v>
      </c>
      <c r="BT7" s="118" t="s">
        <v>56</v>
      </c>
      <c r="BU7" s="117" t="s">
        <v>57</v>
      </c>
      <c r="BV7" s="118" t="s">
        <v>58</v>
      </c>
      <c r="BW7" s="117" t="s">
        <v>59</v>
      </c>
      <c r="BX7" s="118" t="s">
        <v>60</v>
      </c>
      <c r="BY7" s="117" t="s">
        <v>61</v>
      </c>
      <c r="BZ7" s="118" t="s">
        <v>62</v>
      </c>
      <c r="CA7" s="117" t="s">
        <v>63</v>
      </c>
      <c r="CB7" s="118" t="s">
        <v>64</v>
      </c>
      <c r="CC7" s="117" t="s">
        <v>65</v>
      </c>
      <c r="CD7" s="118" t="s">
        <v>66</v>
      </c>
      <c r="CE7" s="111" t="s">
        <v>67</v>
      </c>
      <c r="CF7" s="110" t="s">
        <v>68</v>
      </c>
      <c r="CG7" s="111" t="s">
        <v>69</v>
      </c>
      <c r="CH7" s="111" t="s">
        <v>70</v>
      </c>
      <c r="CI7" s="111" t="s">
        <v>71</v>
      </c>
      <c r="CJ7" s="111" t="s">
        <v>72</v>
      </c>
      <c r="CK7" s="111" t="s">
        <v>73</v>
      </c>
      <c r="CL7" s="111" t="s">
        <v>74</v>
      </c>
      <c r="CM7" s="122" t="s">
        <v>8999</v>
      </c>
    </row>
    <row r="8" spans="1:91" ht="24.95" customHeight="1">
      <c r="A8" s="58">
        <f>SUBTOTAL(3,N$8:Table2[[#This Row],[Nama lengkap]])</f>
        <v>1</v>
      </c>
      <c r="B8" s="58" t="s">
        <v>86</v>
      </c>
      <c r="C8" s="58">
        <v>2024</v>
      </c>
      <c r="D8" s="58"/>
      <c r="E8" s="58">
        <v>1</v>
      </c>
      <c r="F8" s="58" t="s">
        <v>87</v>
      </c>
      <c r="G8" s="32" t="s">
        <v>2513</v>
      </c>
      <c r="H8" s="32" t="s">
        <v>2513</v>
      </c>
      <c r="I8" s="32" t="s">
        <v>2513</v>
      </c>
      <c r="J8" s="32"/>
      <c r="K8" s="32"/>
      <c r="L8" s="32"/>
      <c r="M8" s="58">
        <v>24250137</v>
      </c>
      <c r="N8" s="31" t="s">
        <v>5798</v>
      </c>
      <c r="O8" s="31"/>
      <c r="P8" s="32" t="s">
        <v>88</v>
      </c>
      <c r="Q8" s="32" t="s">
        <v>89</v>
      </c>
      <c r="R8" s="64" t="s">
        <v>90</v>
      </c>
      <c r="S8" s="69" t="s">
        <v>91</v>
      </c>
      <c r="T8" s="47" t="s">
        <v>92</v>
      </c>
      <c r="U8" s="58">
        <v>2</v>
      </c>
      <c r="V8" s="58">
        <v>2</v>
      </c>
      <c r="W8" s="47" t="s">
        <v>207</v>
      </c>
      <c r="X8" s="64" t="s">
        <v>93</v>
      </c>
      <c r="Y8" s="64" t="s">
        <v>94</v>
      </c>
      <c r="Z8" s="64" t="s">
        <v>95</v>
      </c>
      <c r="AA8" s="64" t="s">
        <v>96</v>
      </c>
      <c r="AB8" s="64" t="s">
        <v>97</v>
      </c>
      <c r="AC8" s="64" t="s">
        <v>98</v>
      </c>
      <c r="AD8" s="64" t="s">
        <v>98</v>
      </c>
      <c r="AE8" s="67" t="s">
        <v>99</v>
      </c>
      <c r="AF8" s="67" t="s">
        <v>100</v>
      </c>
      <c r="AG8" s="67" t="s">
        <v>100</v>
      </c>
      <c r="AH8" s="64" t="s">
        <v>101</v>
      </c>
      <c r="AI8" s="64" t="s">
        <v>90</v>
      </c>
      <c r="AJ8" s="69">
        <v>26172</v>
      </c>
      <c r="AK8" s="67" t="s">
        <v>102</v>
      </c>
      <c r="AL8" s="64" t="s">
        <v>7774</v>
      </c>
      <c r="AM8" s="67" t="s">
        <v>104</v>
      </c>
      <c r="AN8" s="67" t="s">
        <v>105</v>
      </c>
      <c r="AO8" s="64" t="s">
        <v>106</v>
      </c>
      <c r="AP8" s="64" t="s">
        <v>107</v>
      </c>
      <c r="AQ8" s="32" t="s">
        <v>108</v>
      </c>
      <c r="AR8" s="64" t="s">
        <v>109</v>
      </c>
      <c r="AS8" s="64" t="s">
        <v>110</v>
      </c>
      <c r="AT8" s="64" t="s">
        <v>90</v>
      </c>
      <c r="AU8" s="64" t="s">
        <v>111</v>
      </c>
      <c r="AV8" s="67">
        <v>40971</v>
      </c>
      <c r="AW8" s="67" t="s">
        <v>112</v>
      </c>
      <c r="AX8" s="64" t="s">
        <v>101</v>
      </c>
      <c r="AY8" s="64" t="s">
        <v>90</v>
      </c>
      <c r="AZ8" s="125">
        <v>27942</v>
      </c>
      <c r="BA8" s="67" t="s">
        <v>113</v>
      </c>
      <c r="BB8" s="64" t="s">
        <v>114</v>
      </c>
      <c r="BC8" s="67" t="s">
        <v>115</v>
      </c>
      <c r="BD8" s="67" t="s">
        <v>116</v>
      </c>
      <c r="BE8" s="64" t="s">
        <v>117</v>
      </c>
      <c r="BF8" s="64"/>
      <c r="BG8" s="64" t="s">
        <v>107</v>
      </c>
      <c r="BH8" s="67" t="s">
        <v>108</v>
      </c>
      <c r="BI8" s="64" t="s">
        <v>109</v>
      </c>
      <c r="BJ8" s="40" t="s">
        <v>110</v>
      </c>
      <c r="BK8" s="64" t="s">
        <v>90</v>
      </c>
      <c r="BL8" s="67" t="s">
        <v>111</v>
      </c>
      <c r="BM8" s="67" t="s">
        <v>118</v>
      </c>
      <c r="BN8" s="67"/>
      <c r="BO8" s="64" t="s">
        <v>119</v>
      </c>
      <c r="BP8" s="64"/>
      <c r="BQ8" s="135"/>
      <c r="BR8" s="67"/>
      <c r="BS8" s="64"/>
      <c r="BT8" s="67"/>
      <c r="BU8" s="67">
        <v>8122113459</v>
      </c>
      <c r="BV8" s="64"/>
      <c r="BW8" s="64"/>
      <c r="BX8" s="67"/>
      <c r="BY8" s="64"/>
      <c r="BZ8" s="64"/>
      <c r="CA8" s="64"/>
      <c r="CB8" s="64"/>
      <c r="CC8" s="64"/>
      <c r="CD8" s="64"/>
      <c r="CE8" s="64" t="s">
        <v>7339</v>
      </c>
      <c r="CF8" s="67" t="s">
        <v>108</v>
      </c>
      <c r="CG8" s="64" t="s">
        <v>109</v>
      </c>
      <c r="CH8" s="64" t="s">
        <v>110</v>
      </c>
      <c r="CI8" s="64" t="s">
        <v>90</v>
      </c>
      <c r="CJ8" s="64" t="s">
        <v>111</v>
      </c>
      <c r="CK8" s="58">
        <v>40971</v>
      </c>
      <c r="CL8" s="64" t="str">
        <f t="shared" ref="CL8:CL71" ca="1" si="0">DATEDIF(S8,NOW(),"Y")&amp;" Tahun " &amp;DATEDIF(S8,NOW(),"YM")&amp;" Bulan " &amp;DATEDIF(S8,NOW(),"MD")&amp;" Hari"</f>
        <v>13 Tahun 6 Bulan 30 Hari</v>
      </c>
      <c r="CM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Komp. Soreang Resindece F4 No 12-13 RT/RW 004/017 Desa/Kelurahan Ganda Sari Kecamatan Katapang Bandung Jawa Barat 40971</v>
      </c>
    </row>
    <row r="9" spans="1:91" ht="24.95" customHeight="1">
      <c r="A9" s="58">
        <f>SUBTOTAL(3,N$8:Table2[[#This Row],[Nama lengkap]])</f>
        <v>2</v>
      </c>
      <c r="B9" s="58" t="s">
        <v>86</v>
      </c>
      <c r="C9" s="58">
        <v>2024</v>
      </c>
      <c r="D9" s="58"/>
      <c r="E9" s="58">
        <v>1</v>
      </c>
      <c r="F9" s="58" t="s">
        <v>87</v>
      </c>
      <c r="G9" s="32" t="s">
        <v>2513</v>
      </c>
      <c r="H9" s="32" t="s">
        <v>2513</v>
      </c>
      <c r="I9" s="32" t="s">
        <v>2513</v>
      </c>
      <c r="J9" s="32"/>
      <c r="K9" s="32"/>
      <c r="L9" s="32"/>
      <c r="M9" s="58">
        <v>24250061</v>
      </c>
      <c r="N9" s="31" t="s">
        <v>5799</v>
      </c>
      <c r="O9" s="31"/>
      <c r="P9" s="32" t="s">
        <v>120</v>
      </c>
      <c r="Q9" s="32" t="s">
        <v>121</v>
      </c>
      <c r="R9" s="64" t="s">
        <v>122</v>
      </c>
      <c r="S9" s="69">
        <v>40805</v>
      </c>
      <c r="T9" s="47" t="s">
        <v>92</v>
      </c>
      <c r="U9" s="58">
        <v>2</v>
      </c>
      <c r="V9" s="58">
        <v>2</v>
      </c>
      <c r="W9" s="47" t="s">
        <v>207</v>
      </c>
      <c r="X9" s="64" t="s">
        <v>123</v>
      </c>
      <c r="Y9" s="64" t="s">
        <v>124</v>
      </c>
      <c r="Z9" s="64" t="s">
        <v>103</v>
      </c>
      <c r="AA9" s="64" t="s">
        <v>96</v>
      </c>
      <c r="AB9" s="64" t="s">
        <v>97</v>
      </c>
      <c r="AC9" s="64" t="s">
        <v>98</v>
      </c>
      <c r="AD9" s="64" t="s">
        <v>98</v>
      </c>
      <c r="AE9" s="67" t="s">
        <v>125</v>
      </c>
      <c r="AF9" s="67" t="s">
        <v>126</v>
      </c>
      <c r="AG9" s="67" t="s">
        <v>126</v>
      </c>
      <c r="AH9" s="64" t="s">
        <v>101</v>
      </c>
      <c r="AI9" s="64" t="s">
        <v>122</v>
      </c>
      <c r="AJ9" s="69">
        <v>29288</v>
      </c>
      <c r="AK9" s="67" t="s">
        <v>127</v>
      </c>
      <c r="AL9" s="64" t="s">
        <v>7773</v>
      </c>
      <c r="AM9" s="67" t="s">
        <v>128</v>
      </c>
      <c r="AN9" s="67" t="s">
        <v>129</v>
      </c>
      <c r="AO9" s="64" t="s">
        <v>130</v>
      </c>
      <c r="AP9" s="64" t="s">
        <v>131</v>
      </c>
      <c r="AQ9" s="32" t="s">
        <v>132</v>
      </c>
      <c r="AR9" s="64" t="s">
        <v>133</v>
      </c>
      <c r="AS9" s="64" t="s">
        <v>134</v>
      </c>
      <c r="AT9" s="64" t="s">
        <v>122</v>
      </c>
      <c r="AU9" s="64" t="s">
        <v>111</v>
      </c>
      <c r="AV9" s="67">
        <v>45321</v>
      </c>
      <c r="AW9" s="67" t="s">
        <v>7809</v>
      </c>
      <c r="AX9" s="64" t="s">
        <v>101</v>
      </c>
      <c r="AY9" s="64" t="s">
        <v>135</v>
      </c>
      <c r="AZ9" s="125">
        <v>29342</v>
      </c>
      <c r="BA9" s="67" t="s">
        <v>136</v>
      </c>
      <c r="BB9" s="64" t="s">
        <v>7765</v>
      </c>
      <c r="BC9" s="67" t="s">
        <v>128</v>
      </c>
      <c r="BD9" s="67" t="s">
        <v>137</v>
      </c>
      <c r="BE9" s="64" t="s">
        <v>117</v>
      </c>
      <c r="BF9" s="64"/>
      <c r="BG9" s="64" t="s">
        <v>131</v>
      </c>
      <c r="BH9" s="67" t="s">
        <v>132</v>
      </c>
      <c r="BI9" s="64" t="s">
        <v>133</v>
      </c>
      <c r="BJ9" s="40" t="s">
        <v>134</v>
      </c>
      <c r="BK9" s="64" t="s">
        <v>122</v>
      </c>
      <c r="BL9" s="67" t="s">
        <v>111</v>
      </c>
      <c r="BM9" s="67">
        <v>45321</v>
      </c>
      <c r="BN9" s="67"/>
      <c r="BO9" s="64" t="s">
        <v>138</v>
      </c>
      <c r="BP9" s="64"/>
      <c r="BQ9" s="135"/>
      <c r="BR9" s="67"/>
      <c r="BS9" s="64"/>
      <c r="BT9" s="67"/>
      <c r="BU9" s="67" t="s">
        <v>138</v>
      </c>
      <c r="BV9" s="64"/>
      <c r="BW9" s="64"/>
      <c r="BX9" s="67"/>
      <c r="BY9" s="64"/>
      <c r="BZ9" s="64"/>
      <c r="CA9" s="64"/>
      <c r="CB9" s="64"/>
      <c r="CC9" s="64"/>
      <c r="CD9" s="64"/>
      <c r="CE9" s="64" t="s">
        <v>131</v>
      </c>
      <c r="CF9" s="67" t="s">
        <v>132</v>
      </c>
      <c r="CG9" s="64" t="s">
        <v>133</v>
      </c>
      <c r="CH9" s="64" t="s">
        <v>134</v>
      </c>
      <c r="CI9" s="64" t="s">
        <v>122</v>
      </c>
      <c r="CJ9" s="64" t="s">
        <v>111</v>
      </c>
      <c r="CK9" s="58">
        <v>45321</v>
      </c>
      <c r="CL9" s="64" t="str">
        <f t="shared" ca="1" si="0"/>
        <v>14 Tahun 4 Bulan 4 Hari</v>
      </c>
      <c r="CM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Perumahan Vill Garden Mekarsari B. 30 RT/RW 01/10 Desa/Kelurahan Mekarjaya Kecamatan Sumedang Utara Sumedang Jawa Barat 45321</v>
      </c>
    </row>
    <row r="10" spans="1:91" ht="24.95" customHeight="1">
      <c r="A10" s="58">
        <f>SUBTOTAL(3,N$8:Table2[[#This Row],[Nama lengkap]])</f>
        <v>3</v>
      </c>
      <c r="B10" s="58" t="s">
        <v>86</v>
      </c>
      <c r="C10" s="58">
        <v>2024</v>
      </c>
      <c r="D10" s="58"/>
      <c r="E10" s="58">
        <v>1</v>
      </c>
      <c r="F10" s="58" t="s">
        <v>87</v>
      </c>
      <c r="G10" s="32" t="s">
        <v>2513</v>
      </c>
      <c r="H10" s="32" t="s">
        <v>2513</v>
      </c>
      <c r="I10" s="32" t="s">
        <v>2513</v>
      </c>
      <c r="J10" s="32"/>
      <c r="K10" s="32"/>
      <c r="L10" s="32"/>
      <c r="M10" s="58">
        <v>24250005</v>
      </c>
      <c r="N10" s="31" t="s">
        <v>5800</v>
      </c>
      <c r="O10" s="31"/>
      <c r="P10" s="32" t="s">
        <v>139</v>
      </c>
      <c r="Q10" s="32" t="s">
        <v>140</v>
      </c>
      <c r="R10" s="64" t="s">
        <v>90</v>
      </c>
      <c r="S10" s="69">
        <v>40867</v>
      </c>
      <c r="T10" s="47" t="s">
        <v>92</v>
      </c>
      <c r="U10" s="58">
        <v>1</v>
      </c>
      <c r="V10" s="58">
        <v>3</v>
      </c>
      <c r="W10" s="47" t="s">
        <v>207</v>
      </c>
      <c r="X10" s="64" t="s">
        <v>142</v>
      </c>
      <c r="Y10" s="64" t="s">
        <v>143</v>
      </c>
      <c r="Z10" s="64" t="s">
        <v>95</v>
      </c>
      <c r="AA10" s="64" t="s">
        <v>96</v>
      </c>
      <c r="AB10" s="64" t="s">
        <v>97</v>
      </c>
      <c r="AC10" s="64" t="s">
        <v>98</v>
      </c>
      <c r="AD10" s="64" t="s">
        <v>98</v>
      </c>
      <c r="AE10" s="67" t="s">
        <v>144</v>
      </c>
      <c r="AF10" s="67" t="s">
        <v>145</v>
      </c>
      <c r="AG10" s="67" t="s">
        <v>145</v>
      </c>
      <c r="AH10" s="64" t="s">
        <v>101</v>
      </c>
      <c r="AI10" s="64" t="s">
        <v>90</v>
      </c>
      <c r="AJ10" s="69">
        <v>32934</v>
      </c>
      <c r="AK10" s="67" t="s">
        <v>147</v>
      </c>
      <c r="AL10" s="64" t="s">
        <v>602</v>
      </c>
      <c r="AM10" s="67" t="s">
        <v>149</v>
      </c>
      <c r="AN10" s="67" t="s">
        <v>150</v>
      </c>
      <c r="AO10" s="64" t="s">
        <v>106</v>
      </c>
      <c r="AP10" s="64" t="s">
        <v>151</v>
      </c>
      <c r="AQ10" s="32" t="s">
        <v>152</v>
      </c>
      <c r="AR10" s="64" t="s">
        <v>153</v>
      </c>
      <c r="AS10" s="64" t="s">
        <v>154</v>
      </c>
      <c r="AT10" s="64" t="s">
        <v>155</v>
      </c>
      <c r="AU10" s="64" t="s">
        <v>156</v>
      </c>
      <c r="AV10" s="67">
        <v>40391</v>
      </c>
      <c r="AW10" s="67" t="s">
        <v>7810</v>
      </c>
      <c r="AX10" s="64" t="s">
        <v>101</v>
      </c>
      <c r="AY10" s="64" t="s">
        <v>90</v>
      </c>
      <c r="AZ10" s="125">
        <v>32942</v>
      </c>
      <c r="BA10" s="67" t="s">
        <v>157</v>
      </c>
      <c r="BB10" s="64" t="s">
        <v>428</v>
      </c>
      <c r="BC10" s="67" t="s">
        <v>159</v>
      </c>
      <c r="BD10" s="67" t="s">
        <v>160</v>
      </c>
      <c r="BE10" s="64" t="s">
        <v>98</v>
      </c>
      <c r="BF10" s="64"/>
      <c r="BG10" s="64" t="s">
        <v>151</v>
      </c>
      <c r="BH10" s="67" t="s">
        <v>152</v>
      </c>
      <c r="BI10" s="64" t="s">
        <v>153</v>
      </c>
      <c r="BJ10" s="40" t="s">
        <v>154</v>
      </c>
      <c r="BK10" s="64" t="s">
        <v>155</v>
      </c>
      <c r="BL10" s="67" t="s">
        <v>156</v>
      </c>
      <c r="BM10" s="67">
        <v>40391</v>
      </c>
      <c r="BN10" s="67" t="s">
        <v>161</v>
      </c>
      <c r="BO10" s="64" t="s">
        <v>146</v>
      </c>
      <c r="BP10" s="64" t="s">
        <v>141</v>
      </c>
      <c r="BQ10" s="135">
        <v>32934</v>
      </c>
      <c r="BR10" s="67">
        <v>3217010203900020</v>
      </c>
      <c r="BS10" s="64" t="s">
        <v>148</v>
      </c>
      <c r="BT10" s="67" t="s">
        <v>149</v>
      </c>
      <c r="BU10" s="67">
        <v>87825300376</v>
      </c>
      <c r="BV10" s="64" t="s">
        <v>106</v>
      </c>
      <c r="BW10" s="64" t="s">
        <v>162</v>
      </c>
      <c r="BX10" s="67">
        <v>45353</v>
      </c>
      <c r="BY10" s="64" t="s">
        <v>153</v>
      </c>
      <c r="BZ10" s="64" t="s">
        <v>154</v>
      </c>
      <c r="CA10" s="64" t="s">
        <v>163</v>
      </c>
      <c r="CB10" s="64" t="s">
        <v>156</v>
      </c>
      <c r="CC10" s="64">
        <v>40391</v>
      </c>
      <c r="CD10" s="64" t="s">
        <v>164</v>
      </c>
      <c r="CE10" s="64" t="s">
        <v>7340</v>
      </c>
      <c r="CF10" s="67" t="s">
        <v>152</v>
      </c>
      <c r="CG10" s="64" t="s">
        <v>7009</v>
      </c>
      <c r="CH10" s="64" t="s">
        <v>5244</v>
      </c>
      <c r="CI10" s="64" t="s">
        <v>155</v>
      </c>
      <c r="CJ10" s="64" t="s">
        <v>111</v>
      </c>
      <c r="CK10" s="58">
        <v>40391</v>
      </c>
      <c r="CL10" s="64" t="str">
        <f t="shared" ca="1" si="0"/>
        <v>14 Tahun 2 Bulan 3 Hari</v>
      </c>
      <c r="CM1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Barunagri RT/RW 02/03 Desa/Kelurahan Sukajaya Kecamatan Lembang Bandung Barat Jawa Barat 40391</v>
      </c>
    </row>
    <row r="11" spans="1:91" ht="24.95" customHeight="1">
      <c r="A11" s="58">
        <f>SUBTOTAL(3,N$8:Table2[[#This Row],[Nama lengkap]])</f>
        <v>4</v>
      </c>
      <c r="B11" s="58" t="s">
        <v>86</v>
      </c>
      <c r="C11" s="58">
        <v>2024</v>
      </c>
      <c r="D11" s="58"/>
      <c r="E11" s="58">
        <v>1</v>
      </c>
      <c r="F11" s="58" t="s">
        <v>87</v>
      </c>
      <c r="G11" s="32" t="s">
        <v>2513</v>
      </c>
      <c r="H11" s="32" t="s">
        <v>2513</v>
      </c>
      <c r="I11" s="32" t="s">
        <v>2513</v>
      </c>
      <c r="J11" s="32"/>
      <c r="K11" s="32"/>
      <c r="L11" s="32"/>
      <c r="M11" s="58">
        <v>24250112</v>
      </c>
      <c r="N11" s="31" t="s">
        <v>5802</v>
      </c>
      <c r="O11" s="31"/>
      <c r="P11" s="32" t="s">
        <v>165</v>
      </c>
      <c r="Q11" s="32" t="s">
        <v>166</v>
      </c>
      <c r="R11" s="64" t="s">
        <v>90</v>
      </c>
      <c r="S11" s="69">
        <v>40799</v>
      </c>
      <c r="T11" s="47" t="s">
        <v>92</v>
      </c>
      <c r="U11" s="58">
        <v>1</v>
      </c>
      <c r="V11" s="58">
        <v>3</v>
      </c>
      <c r="W11" s="47" t="s">
        <v>207</v>
      </c>
      <c r="X11" s="64" t="s">
        <v>142</v>
      </c>
      <c r="Y11" s="64" t="s">
        <v>167</v>
      </c>
      <c r="Z11" s="64" t="s">
        <v>95</v>
      </c>
      <c r="AA11" s="64" t="s">
        <v>96</v>
      </c>
      <c r="AB11" s="64" t="s">
        <v>97</v>
      </c>
      <c r="AC11" s="64" t="s">
        <v>98</v>
      </c>
      <c r="AD11" s="64" t="s">
        <v>98</v>
      </c>
      <c r="AE11" s="67" t="s">
        <v>168</v>
      </c>
      <c r="AF11" s="67" t="s">
        <v>169</v>
      </c>
      <c r="AG11" s="67" t="s">
        <v>169</v>
      </c>
      <c r="AH11" s="64" t="s">
        <v>101</v>
      </c>
      <c r="AI11" s="64" t="s">
        <v>90</v>
      </c>
      <c r="AJ11" s="69">
        <v>29503</v>
      </c>
      <c r="AK11" s="67" t="s">
        <v>170</v>
      </c>
      <c r="AL11" s="64" t="s">
        <v>114</v>
      </c>
      <c r="AM11" s="67" t="s">
        <v>171</v>
      </c>
      <c r="AN11" s="67" t="s">
        <v>172</v>
      </c>
      <c r="AO11" s="64" t="s">
        <v>130</v>
      </c>
      <c r="AP11" s="64" t="s">
        <v>173</v>
      </c>
      <c r="AQ11" s="32" t="s">
        <v>174</v>
      </c>
      <c r="AR11" s="64" t="s">
        <v>175</v>
      </c>
      <c r="AS11" s="64" t="s">
        <v>176</v>
      </c>
      <c r="AT11" s="64" t="s">
        <v>177</v>
      </c>
      <c r="AU11" s="64" t="s">
        <v>111</v>
      </c>
      <c r="AV11" s="67">
        <v>40381</v>
      </c>
      <c r="AW11" s="67" t="s">
        <v>178</v>
      </c>
      <c r="AX11" s="64" t="s">
        <v>101</v>
      </c>
      <c r="AY11" s="64" t="s">
        <v>90</v>
      </c>
      <c r="AZ11" s="125">
        <v>14941</v>
      </c>
      <c r="BA11" s="67" t="s">
        <v>179</v>
      </c>
      <c r="BB11" s="64" t="s">
        <v>180</v>
      </c>
      <c r="BC11" s="67" t="s">
        <v>159</v>
      </c>
      <c r="BD11" s="67" t="s">
        <v>181</v>
      </c>
      <c r="BE11" s="64" t="s">
        <v>98</v>
      </c>
      <c r="BF11" s="64"/>
      <c r="BG11" s="64" t="s">
        <v>182</v>
      </c>
      <c r="BH11" s="67" t="s">
        <v>174</v>
      </c>
      <c r="BI11" s="64" t="s">
        <v>175</v>
      </c>
      <c r="BJ11" s="40" t="s">
        <v>176</v>
      </c>
      <c r="BK11" s="64" t="s">
        <v>183</v>
      </c>
      <c r="BL11" s="67" t="s">
        <v>111</v>
      </c>
      <c r="BM11" s="67">
        <v>40381</v>
      </c>
      <c r="BN11" s="67" t="s">
        <v>161</v>
      </c>
      <c r="BO11" s="64" t="s">
        <v>169</v>
      </c>
      <c r="BP11" s="64" t="s">
        <v>90</v>
      </c>
      <c r="BQ11" s="135">
        <v>29503</v>
      </c>
      <c r="BR11" s="67">
        <v>3204290910800000</v>
      </c>
      <c r="BS11" s="64" t="s">
        <v>114</v>
      </c>
      <c r="BT11" s="67" t="s">
        <v>171</v>
      </c>
      <c r="BU11" s="67">
        <v>85716795065</v>
      </c>
      <c r="BV11" s="64" t="s">
        <v>130</v>
      </c>
      <c r="BW11" s="64" t="s">
        <v>184</v>
      </c>
      <c r="BX11" s="67">
        <v>45323</v>
      </c>
      <c r="BY11" s="64" t="s">
        <v>175</v>
      </c>
      <c r="BZ11" s="64" t="s">
        <v>176</v>
      </c>
      <c r="CA11" s="64" t="s">
        <v>183</v>
      </c>
      <c r="CB11" s="64" t="s">
        <v>111</v>
      </c>
      <c r="CC11" s="64">
        <v>40381</v>
      </c>
      <c r="CD11" s="64" t="s">
        <v>185</v>
      </c>
      <c r="CE11" s="64" t="s">
        <v>7341</v>
      </c>
      <c r="CF11" s="67" t="s">
        <v>174</v>
      </c>
      <c r="CG11" s="64" t="s">
        <v>175</v>
      </c>
      <c r="CH11" s="64" t="s">
        <v>176</v>
      </c>
      <c r="CI11" s="64" t="s">
        <v>177</v>
      </c>
      <c r="CJ11" s="64" t="s">
        <v>111</v>
      </c>
      <c r="CK11" s="58">
        <v>40381</v>
      </c>
      <c r="CL11" s="64" t="str">
        <f t="shared" ca="1" si="0"/>
        <v>14 Tahun 4 Bulan 10 Hari</v>
      </c>
      <c r="CM1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Babakan No 2 RT/RW 001/002 Desa/Kelurahan Desa Babakan Kecamatan Ciparay Kab.Bandung Jawa Barat 40381</v>
      </c>
    </row>
    <row r="12" spans="1:91" ht="24.95" customHeight="1">
      <c r="A12" s="58">
        <f>SUBTOTAL(3,N$8:Table2[[#This Row],[Nama lengkap]])</f>
        <v>5</v>
      </c>
      <c r="B12" s="58" t="s">
        <v>86</v>
      </c>
      <c r="C12" s="58">
        <v>2024</v>
      </c>
      <c r="D12" s="58"/>
      <c r="E12" s="58">
        <v>1</v>
      </c>
      <c r="F12" s="58" t="s">
        <v>87</v>
      </c>
      <c r="G12" s="32" t="s">
        <v>2513</v>
      </c>
      <c r="H12" s="32" t="s">
        <v>2513</v>
      </c>
      <c r="I12" s="32" t="s">
        <v>2513</v>
      </c>
      <c r="J12" s="32"/>
      <c r="K12" s="32"/>
      <c r="L12" s="32"/>
      <c r="M12" s="58">
        <v>24250071</v>
      </c>
      <c r="N12" s="31" t="s">
        <v>5803</v>
      </c>
      <c r="O12" s="31"/>
      <c r="P12" s="32" t="s">
        <v>186</v>
      </c>
      <c r="Q12" s="32" t="s">
        <v>187</v>
      </c>
      <c r="R12" s="64" t="s">
        <v>90</v>
      </c>
      <c r="S12" s="69">
        <v>41110</v>
      </c>
      <c r="T12" s="47" t="s">
        <v>92</v>
      </c>
      <c r="U12" s="58">
        <v>1</v>
      </c>
      <c r="V12" s="58">
        <v>1</v>
      </c>
      <c r="W12" s="47" t="s">
        <v>207</v>
      </c>
      <c r="X12" s="64" t="s">
        <v>188</v>
      </c>
      <c r="Y12" s="64" t="s">
        <v>189</v>
      </c>
      <c r="Z12" s="64" t="s">
        <v>190</v>
      </c>
      <c r="AA12" s="64" t="s">
        <v>191</v>
      </c>
      <c r="AB12" s="64" t="s">
        <v>97</v>
      </c>
      <c r="AC12" s="64" t="s">
        <v>98</v>
      </c>
      <c r="AD12" s="64" t="s">
        <v>98</v>
      </c>
      <c r="AE12" s="67" t="s">
        <v>192</v>
      </c>
      <c r="AF12" s="67" t="s">
        <v>193</v>
      </c>
      <c r="AG12" s="67" t="s">
        <v>193</v>
      </c>
      <c r="AH12" s="64" t="s">
        <v>101</v>
      </c>
      <c r="AI12" s="64" t="s">
        <v>90</v>
      </c>
      <c r="AJ12" s="69" t="s">
        <v>194</v>
      </c>
      <c r="AK12" s="67" t="s">
        <v>195</v>
      </c>
      <c r="AL12" s="64" t="s">
        <v>602</v>
      </c>
      <c r="AM12" s="67" t="s">
        <v>196</v>
      </c>
      <c r="AN12" s="67"/>
      <c r="AO12" s="64"/>
      <c r="AP12" s="64" t="s">
        <v>197</v>
      </c>
      <c r="AQ12" s="32" t="s">
        <v>198</v>
      </c>
      <c r="AR12" s="64" t="s">
        <v>199</v>
      </c>
      <c r="AS12" s="64" t="s">
        <v>199</v>
      </c>
      <c r="AT12" s="64" t="s">
        <v>200</v>
      </c>
      <c r="AU12" s="64" t="s">
        <v>111</v>
      </c>
      <c r="AV12" s="67"/>
      <c r="AW12" s="67" t="s">
        <v>201</v>
      </c>
      <c r="AX12" s="64" t="s">
        <v>101</v>
      </c>
      <c r="AY12" s="64" t="s">
        <v>90</v>
      </c>
      <c r="AZ12" s="125">
        <v>32292</v>
      </c>
      <c r="BA12" s="67" t="s">
        <v>202</v>
      </c>
      <c r="BB12" s="64" t="s">
        <v>602</v>
      </c>
      <c r="BC12" s="67" t="s">
        <v>203</v>
      </c>
      <c r="BD12" s="67"/>
      <c r="BE12" s="64"/>
      <c r="BF12" s="64"/>
      <c r="BG12" s="64" t="s">
        <v>197</v>
      </c>
      <c r="BH12" s="67" t="s">
        <v>198</v>
      </c>
      <c r="BI12" s="64" t="s">
        <v>199</v>
      </c>
      <c r="BJ12" s="40" t="s">
        <v>199</v>
      </c>
      <c r="BK12" s="64" t="s">
        <v>200</v>
      </c>
      <c r="BL12" s="67" t="s">
        <v>111</v>
      </c>
      <c r="BM12" s="67"/>
      <c r="BN12" s="67"/>
      <c r="BO12" s="64"/>
      <c r="BP12" s="64"/>
      <c r="BQ12" s="135"/>
      <c r="BR12" s="67"/>
      <c r="BS12" s="64"/>
      <c r="BT12" s="67"/>
      <c r="BU12" s="67"/>
      <c r="BV12" s="64"/>
      <c r="BW12" s="64"/>
      <c r="BX12" s="67"/>
      <c r="BY12" s="64"/>
      <c r="BZ12" s="64"/>
      <c r="CA12" s="64"/>
      <c r="CB12" s="64"/>
      <c r="CC12" s="64"/>
      <c r="CD12" s="64"/>
      <c r="CE12" s="64" t="s">
        <v>7342</v>
      </c>
      <c r="CF12" s="67" t="s">
        <v>198</v>
      </c>
      <c r="CG12" s="64" t="s">
        <v>329</v>
      </c>
      <c r="CH12" s="64" t="s">
        <v>329</v>
      </c>
      <c r="CI12" s="64" t="s">
        <v>90</v>
      </c>
      <c r="CJ12" s="64" t="s">
        <v>111</v>
      </c>
      <c r="CK12" s="58"/>
      <c r="CL12" s="64" t="str">
        <f t="shared" ca="1" si="0"/>
        <v>13 Tahun 6 Bulan 3 Hari</v>
      </c>
      <c r="CM1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Sekepeuntas RT/RW 02/13 Desa/Kelurahan Solokanjeruk Kecamatan Solokanjeruk Bandung Jawa Barat </v>
      </c>
    </row>
    <row r="13" spans="1:91" ht="24.95" customHeight="1">
      <c r="A13" s="58">
        <f>SUBTOTAL(3,N$8:Table2[[#This Row],[Nama lengkap]])</f>
        <v>6</v>
      </c>
      <c r="B13" s="58" t="s">
        <v>86</v>
      </c>
      <c r="C13" s="58">
        <v>2023</v>
      </c>
      <c r="D13" s="58"/>
      <c r="E13" s="58">
        <v>1</v>
      </c>
      <c r="F13" s="58" t="s">
        <v>87</v>
      </c>
      <c r="G13" s="32" t="s">
        <v>2513</v>
      </c>
      <c r="H13" s="32" t="s">
        <v>2513</v>
      </c>
      <c r="I13" s="32" t="s">
        <v>2513</v>
      </c>
      <c r="J13" s="32"/>
      <c r="K13" s="32"/>
      <c r="L13" s="32"/>
      <c r="M13" s="58">
        <v>23240118</v>
      </c>
      <c r="N13" s="24" t="s">
        <v>5804</v>
      </c>
      <c r="O13" s="24"/>
      <c r="P13" s="25" t="s">
        <v>204</v>
      </c>
      <c r="Q13" s="25" t="s">
        <v>205</v>
      </c>
      <c r="R13" s="60" t="s">
        <v>90</v>
      </c>
      <c r="S13" s="61" t="s">
        <v>206</v>
      </c>
      <c r="T13" s="47" t="s">
        <v>92</v>
      </c>
      <c r="U13" s="47">
        <v>3</v>
      </c>
      <c r="V13" s="47">
        <v>3</v>
      </c>
      <c r="W13" s="47" t="s">
        <v>207</v>
      </c>
      <c r="X13" s="59"/>
      <c r="Y13" s="59"/>
      <c r="Z13" s="59"/>
      <c r="AA13" s="59" t="s">
        <v>96</v>
      </c>
      <c r="AB13" s="59"/>
      <c r="AC13" s="59" t="s">
        <v>208</v>
      </c>
      <c r="AD13" s="59" t="s">
        <v>208</v>
      </c>
      <c r="AE13" s="60" t="s">
        <v>209</v>
      </c>
      <c r="AF13" s="60" t="s">
        <v>8290</v>
      </c>
      <c r="AG13" s="59" t="s">
        <v>8290</v>
      </c>
      <c r="AH13" s="59"/>
      <c r="AI13" s="59" t="s">
        <v>90</v>
      </c>
      <c r="AJ13" s="61">
        <v>26180</v>
      </c>
      <c r="AK13" s="60" t="s">
        <v>210</v>
      </c>
      <c r="AL13" s="60" t="s">
        <v>289</v>
      </c>
      <c r="AM13" s="59" t="s">
        <v>96</v>
      </c>
      <c r="AN13" s="60"/>
      <c r="AO13" s="60"/>
      <c r="AP13" s="59" t="s">
        <v>212</v>
      </c>
      <c r="AQ13" s="25" t="s">
        <v>213</v>
      </c>
      <c r="AR13" s="60" t="s">
        <v>214</v>
      </c>
      <c r="AS13" s="59" t="s">
        <v>214</v>
      </c>
      <c r="AT13" s="59" t="s">
        <v>141</v>
      </c>
      <c r="AU13" s="59" t="s">
        <v>111</v>
      </c>
      <c r="AV13" s="62">
        <v>40197</v>
      </c>
      <c r="AW13" s="59" t="s">
        <v>7811</v>
      </c>
      <c r="AX13" s="59" t="s">
        <v>101</v>
      </c>
      <c r="AY13" s="59" t="s">
        <v>90</v>
      </c>
      <c r="AZ13" s="126">
        <v>28313</v>
      </c>
      <c r="BA13" s="60" t="s">
        <v>215</v>
      </c>
      <c r="BB13" s="60" t="s">
        <v>845</v>
      </c>
      <c r="BC13" s="59" t="s">
        <v>96</v>
      </c>
      <c r="BD13" s="60"/>
      <c r="BE13" s="60"/>
      <c r="BF13" s="60"/>
      <c r="BG13" s="59" t="s">
        <v>212</v>
      </c>
      <c r="BH13" s="60" t="s">
        <v>213</v>
      </c>
      <c r="BI13" s="60" t="s">
        <v>214</v>
      </c>
      <c r="BJ13" s="24" t="s">
        <v>214</v>
      </c>
      <c r="BK13" s="59" t="s">
        <v>141</v>
      </c>
      <c r="BL13" s="59" t="s">
        <v>156</v>
      </c>
      <c r="BM13" s="62">
        <v>40197</v>
      </c>
      <c r="BN13" s="62"/>
      <c r="BO13" s="59"/>
      <c r="BP13" s="59"/>
      <c r="BQ13" s="77"/>
      <c r="BR13" s="60"/>
      <c r="BS13" s="60"/>
      <c r="BT13" s="59"/>
      <c r="BU13" s="60"/>
      <c r="BV13" s="60"/>
      <c r="BW13" s="59"/>
      <c r="BX13" s="60"/>
      <c r="BY13" s="60"/>
      <c r="BZ13" s="59"/>
      <c r="CA13" s="59"/>
      <c r="CB13" s="59"/>
      <c r="CC13" s="59"/>
      <c r="CD13" s="59"/>
      <c r="CE13" s="59" t="s">
        <v>7343</v>
      </c>
      <c r="CF13" s="60" t="s">
        <v>213</v>
      </c>
      <c r="CG13" s="59" t="s">
        <v>5402</v>
      </c>
      <c r="CH13" s="59" t="s">
        <v>5402</v>
      </c>
      <c r="CI13" s="59" t="s">
        <v>90</v>
      </c>
      <c r="CJ13" s="59" t="s">
        <v>111</v>
      </c>
      <c r="CK13" s="47">
        <v>40197</v>
      </c>
      <c r="CL13" s="64" t="str">
        <f t="shared" ca="1" si="0"/>
        <v>15 Tahun 8 Bulan 12 Hari</v>
      </c>
      <c r="CM1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Buntis  RT/RW 01/14 Desa/Kelurahan Cimenyan Kecamatan Cimenyan Bandung Jawa Barat 40197</v>
      </c>
    </row>
    <row r="14" spans="1:91" ht="24.95" customHeight="1">
      <c r="A14" s="58">
        <f>SUBTOTAL(3,N$8:Table2[[#This Row],[Nama lengkap]])</f>
        <v>7</v>
      </c>
      <c r="B14" s="58" t="s">
        <v>86</v>
      </c>
      <c r="C14" s="58">
        <v>2024</v>
      </c>
      <c r="D14" s="58"/>
      <c r="E14" s="58">
        <v>1</v>
      </c>
      <c r="F14" s="58" t="s">
        <v>87</v>
      </c>
      <c r="G14" s="32" t="s">
        <v>2513</v>
      </c>
      <c r="H14" s="32" t="s">
        <v>2513</v>
      </c>
      <c r="I14" s="32" t="s">
        <v>2513</v>
      </c>
      <c r="J14" s="32"/>
      <c r="K14" s="32"/>
      <c r="L14" s="32"/>
      <c r="M14" s="58">
        <v>24250168</v>
      </c>
      <c r="N14" s="31" t="s">
        <v>5805</v>
      </c>
      <c r="O14" s="31"/>
      <c r="P14" s="32" t="s">
        <v>217</v>
      </c>
      <c r="Q14" s="32" t="s">
        <v>218</v>
      </c>
      <c r="R14" s="64" t="s">
        <v>219</v>
      </c>
      <c r="S14" s="69">
        <v>41134</v>
      </c>
      <c r="T14" s="47" t="s">
        <v>92</v>
      </c>
      <c r="U14" s="58">
        <v>2</v>
      </c>
      <c r="V14" s="58">
        <v>4</v>
      </c>
      <c r="W14" s="47" t="s">
        <v>207</v>
      </c>
      <c r="X14" s="64" t="s">
        <v>142</v>
      </c>
      <c r="Y14" s="64" t="s">
        <v>94</v>
      </c>
      <c r="Z14" s="64" t="s">
        <v>95</v>
      </c>
      <c r="AA14" s="64" t="s">
        <v>96</v>
      </c>
      <c r="AB14" s="64" t="s">
        <v>97</v>
      </c>
      <c r="AC14" s="64" t="s">
        <v>98</v>
      </c>
      <c r="AD14" s="64" t="s">
        <v>98</v>
      </c>
      <c r="AE14" s="67" t="s">
        <v>220</v>
      </c>
      <c r="AF14" s="67" t="s">
        <v>221</v>
      </c>
      <c r="AG14" s="67" t="s">
        <v>221</v>
      </c>
      <c r="AH14" s="64" t="s">
        <v>101</v>
      </c>
      <c r="AI14" s="64" t="s">
        <v>222</v>
      </c>
      <c r="AJ14" s="69">
        <v>30087</v>
      </c>
      <c r="AK14" s="67" t="s">
        <v>223</v>
      </c>
      <c r="AL14" s="64" t="s">
        <v>224</v>
      </c>
      <c r="AM14" s="67" t="s">
        <v>159</v>
      </c>
      <c r="AN14" s="67" t="s">
        <v>225</v>
      </c>
      <c r="AO14" s="64" t="s">
        <v>117</v>
      </c>
      <c r="AP14" s="64" t="s">
        <v>226</v>
      </c>
      <c r="AQ14" s="32" t="s">
        <v>227</v>
      </c>
      <c r="AR14" s="64" t="s">
        <v>219</v>
      </c>
      <c r="AS14" s="64" t="s">
        <v>228</v>
      </c>
      <c r="AT14" s="64" t="s">
        <v>229</v>
      </c>
      <c r="AU14" s="64" t="s">
        <v>230</v>
      </c>
      <c r="AV14" s="67">
        <v>38366</v>
      </c>
      <c r="AW14" s="67" t="s">
        <v>231</v>
      </c>
      <c r="AX14" s="64" t="s">
        <v>101</v>
      </c>
      <c r="AY14" s="64" t="s">
        <v>219</v>
      </c>
      <c r="AZ14" s="125">
        <v>32340</v>
      </c>
      <c r="BA14" s="67" t="s">
        <v>232</v>
      </c>
      <c r="BB14" s="64" t="s">
        <v>845</v>
      </c>
      <c r="BC14" s="67" t="s">
        <v>159</v>
      </c>
      <c r="BD14" s="67" t="s">
        <v>225</v>
      </c>
      <c r="BE14" s="64" t="s">
        <v>98</v>
      </c>
      <c r="BF14" s="64"/>
      <c r="BG14" s="64" t="s">
        <v>226</v>
      </c>
      <c r="BH14" s="67">
        <v>45328</v>
      </c>
      <c r="BI14" s="64" t="s">
        <v>219</v>
      </c>
      <c r="BJ14" s="40" t="s">
        <v>228</v>
      </c>
      <c r="BK14" s="64" t="s">
        <v>229</v>
      </c>
      <c r="BL14" s="67" t="s">
        <v>230</v>
      </c>
      <c r="BM14" s="67">
        <v>38366</v>
      </c>
      <c r="BN14" s="67" t="s">
        <v>161</v>
      </c>
      <c r="BO14" s="64" t="s">
        <v>233</v>
      </c>
      <c r="BP14" s="64"/>
      <c r="BQ14" s="135"/>
      <c r="BR14" s="67"/>
      <c r="BS14" s="64"/>
      <c r="BT14" s="67"/>
      <c r="BU14" s="67">
        <v>85273454566</v>
      </c>
      <c r="BV14" s="64"/>
      <c r="BW14" s="64"/>
      <c r="BX14" s="67"/>
      <c r="BY14" s="64"/>
      <c r="BZ14" s="64"/>
      <c r="CA14" s="64"/>
      <c r="CB14" s="64"/>
      <c r="CC14" s="64"/>
      <c r="CD14" s="64"/>
      <c r="CE14" s="64" t="s">
        <v>7344</v>
      </c>
      <c r="CF14" s="67" t="s">
        <v>227</v>
      </c>
      <c r="CG14" s="64" t="s">
        <v>219</v>
      </c>
      <c r="CH14" s="64" t="s">
        <v>228</v>
      </c>
      <c r="CI14" s="64" t="s">
        <v>229</v>
      </c>
      <c r="CJ14" s="64" t="s">
        <v>230</v>
      </c>
      <c r="CK14" s="58">
        <v>38366</v>
      </c>
      <c r="CL14" s="64" t="str">
        <f t="shared" ca="1" si="0"/>
        <v>13 Tahun 5 Bulan 10 Hari</v>
      </c>
      <c r="CM1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Ii Air Hitam RT/RW 06/02 Desa/Kelurahan Air Hitam Kecamatan Pondok Suguh Muko Muko Bengkulu 38366</v>
      </c>
    </row>
    <row r="15" spans="1:91" ht="24.95" customHeight="1">
      <c r="A15" s="58">
        <f>SUBTOTAL(3,N$8:Table2[[#This Row],[Nama lengkap]])</f>
        <v>8</v>
      </c>
      <c r="B15" s="58" t="s">
        <v>86</v>
      </c>
      <c r="C15" s="58">
        <v>2024</v>
      </c>
      <c r="D15" s="58"/>
      <c r="E15" s="58">
        <v>1</v>
      </c>
      <c r="F15" s="58" t="s">
        <v>87</v>
      </c>
      <c r="G15" s="32" t="s">
        <v>2513</v>
      </c>
      <c r="H15" s="32" t="s">
        <v>2513</v>
      </c>
      <c r="I15" s="32" t="s">
        <v>2513</v>
      </c>
      <c r="J15" s="32"/>
      <c r="K15" s="32"/>
      <c r="L15" s="32"/>
      <c r="M15" s="58">
        <v>24250150</v>
      </c>
      <c r="N15" s="31" t="s">
        <v>5806</v>
      </c>
      <c r="O15" s="31"/>
      <c r="P15" s="32" t="s">
        <v>234</v>
      </c>
      <c r="Q15" s="32" t="s">
        <v>235</v>
      </c>
      <c r="R15" s="64" t="s">
        <v>236</v>
      </c>
      <c r="S15" s="69">
        <v>40927</v>
      </c>
      <c r="T15" s="47" t="s">
        <v>92</v>
      </c>
      <c r="U15" s="58">
        <v>2</v>
      </c>
      <c r="V15" s="58">
        <v>3</v>
      </c>
      <c r="W15" s="47" t="s">
        <v>207</v>
      </c>
      <c r="X15" s="64" t="s">
        <v>142</v>
      </c>
      <c r="Y15" s="64" t="s">
        <v>143</v>
      </c>
      <c r="Z15" s="64" t="s">
        <v>95</v>
      </c>
      <c r="AA15" s="64" t="s">
        <v>96</v>
      </c>
      <c r="AB15" s="64" t="s">
        <v>97</v>
      </c>
      <c r="AC15" s="64" t="s">
        <v>98</v>
      </c>
      <c r="AD15" s="64" t="s">
        <v>98</v>
      </c>
      <c r="AE15" s="67" t="s">
        <v>237</v>
      </c>
      <c r="AF15" s="67" t="s">
        <v>238</v>
      </c>
      <c r="AG15" s="67" t="s">
        <v>238</v>
      </c>
      <c r="AH15" s="64" t="s">
        <v>101</v>
      </c>
      <c r="AI15" s="64" t="s">
        <v>236</v>
      </c>
      <c r="AJ15" s="69">
        <v>28032</v>
      </c>
      <c r="AK15" s="67" t="s">
        <v>239</v>
      </c>
      <c r="AL15" s="64" t="s">
        <v>8245</v>
      </c>
      <c r="AM15" s="67" t="s">
        <v>159</v>
      </c>
      <c r="AN15" s="67" t="s">
        <v>240</v>
      </c>
      <c r="AO15" s="64" t="s">
        <v>130</v>
      </c>
      <c r="AP15" s="64" t="s">
        <v>241</v>
      </c>
      <c r="AQ15" s="32" t="s">
        <v>242</v>
      </c>
      <c r="AR15" s="64" t="s">
        <v>243</v>
      </c>
      <c r="AS15" s="64" t="s">
        <v>244</v>
      </c>
      <c r="AT15" s="64" t="s">
        <v>236</v>
      </c>
      <c r="AU15" s="64" t="s">
        <v>245</v>
      </c>
      <c r="AV15" s="67">
        <v>44153</v>
      </c>
      <c r="AW15" s="67" t="s">
        <v>7812</v>
      </c>
      <c r="AX15" s="64" t="s">
        <v>101</v>
      </c>
      <c r="AY15" s="64" t="s">
        <v>236</v>
      </c>
      <c r="AZ15" s="125">
        <v>31984</v>
      </c>
      <c r="BA15" s="67" t="s">
        <v>246</v>
      </c>
      <c r="BB15" s="64" t="s">
        <v>428</v>
      </c>
      <c r="BC15" s="67" t="s">
        <v>159</v>
      </c>
      <c r="BD15" s="67" t="s">
        <v>247</v>
      </c>
      <c r="BE15" s="64" t="s">
        <v>98</v>
      </c>
      <c r="BF15" s="64"/>
      <c r="BG15" s="64" t="s">
        <v>241</v>
      </c>
      <c r="BH15" s="67" t="s">
        <v>242</v>
      </c>
      <c r="BI15" s="64" t="s">
        <v>243</v>
      </c>
      <c r="BJ15" s="40" t="s">
        <v>244</v>
      </c>
      <c r="BK15" s="64" t="s">
        <v>236</v>
      </c>
      <c r="BL15" s="67" t="s">
        <v>245</v>
      </c>
      <c r="BM15" s="67">
        <v>44153</v>
      </c>
      <c r="BN15" s="67" t="s">
        <v>161</v>
      </c>
      <c r="BO15" s="64" t="s">
        <v>248</v>
      </c>
      <c r="BP15" s="64" t="s">
        <v>249</v>
      </c>
      <c r="BQ15" s="135">
        <v>28032</v>
      </c>
      <c r="BR15" s="67">
        <v>3205100107700240</v>
      </c>
      <c r="BS15" s="64" t="s">
        <v>250</v>
      </c>
      <c r="BT15" s="67" t="s">
        <v>159</v>
      </c>
      <c r="BU15" s="67">
        <v>81312769192</v>
      </c>
      <c r="BV15" s="64" t="s">
        <v>130</v>
      </c>
      <c r="BW15" s="64" t="s">
        <v>251</v>
      </c>
      <c r="BX15" s="67">
        <v>41306</v>
      </c>
      <c r="BY15" s="64" t="s">
        <v>252</v>
      </c>
      <c r="BZ15" s="64" t="s">
        <v>244</v>
      </c>
      <c r="CA15" s="64" t="s">
        <v>249</v>
      </c>
      <c r="CB15" s="64" t="s">
        <v>245</v>
      </c>
      <c r="CC15" s="64">
        <v>44153</v>
      </c>
      <c r="CD15" s="64" t="s">
        <v>164</v>
      </c>
      <c r="CE15" s="64" t="s">
        <v>7345</v>
      </c>
      <c r="CF15" s="67" t="s">
        <v>242</v>
      </c>
      <c r="CG15" s="64" t="s">
        <v>243</v>
      </c>
      <c r="CH15" s="64" t="s">
        <v>7010</v>
      </c>
      <c r="CI15" s="64" t="s">
        <v>236</v>
      </c>
      <c r="CJ15" s="64" t="s">
        <v>313</v>
      </c>
      <c r="CK15" s="58">
        <v>44153</v>
      </c>
      <c r="CL15" s="64" t="str">
        <f t="shared" ca="1" si="0"/>
        <v>14 Tahun 0 Bulan 4 Hari</v>
      </c>
      <c r="CM1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Cipari  RT/RW 06/04 Desa/Kelurahan Gandamekar Kecamatan Kadungora Garut Jawabarat 44153</v>
      </c>
    </row>
    <row r="16" spans="1:91" ht="24.95" customHeight="1">
      <c r="A16" s="58">
        <f>SUBTOTAL(3,N$8:Table2[[#This Row],[Nama lengkap]])</f>
        <v>9</v>
      </c>
      <c r="B16" s="58" t="s">
        <v>86</v>
      </c>
      <c r="C16" s="58">
        <v>2024</v>
      </c>
      <c r="D16" s="58"/>
      <c r="E16" s="58">
        <v>1</v>
      </c>
      <c r="F16" s="58" t="s">
        <v>87</v>
      </c>
      <c r="G16" s="32" t="s">
        <v>2513</v>
      </c>
      <c r="H16" s="32" t="s">
        <v>2513</v>
      </c>
      <c r="I16" s="32" t="s">
        <v>2513</v>
      </c>
      <c r="J16" s="32"/>
      <c r="K16" s="32"/>
      <c r="L16" s="32"/>
      <c r="M16" s="58">
        <v>24250085</v>
      </c>
      <c r="N16" s="31" t="s">
        <v>5807</v>
      </c>
      <c r="O16" s="31"/>
      <c r="P16" s="32" t="s">
        <v>253</v>
      </c>
      <c r="Q16" s="32" t="s">
        <v>254</v>
      </c>
      <c r="R16" s="64" t="s">
        <v>90</v>
      </c>
      <c r="S16" s="69">
        <v>40797</v>
      </c>
      <c r="T16" s="47" t="s">
        <v>92</v>
      </c>
      <c r="U16" s="58">
        <v>1</v>
      </c>
      <c r="V16" s="58">
        <v>2</v>
      </c>
      <c r="W16" s="47" t="s">
        <v>207</v>
      </c>
      <c r="X16" s="64" t="s">
        <v>123</v>
      </c>
      <c r="Y16" s="64" t="s">
        <v>143</v>
      </c>
      <c r="Z16" s="64" t="s">
        <v>255</v>
      </c>
      <c r="AA16" s="64" t="s">
        <v>96</v>
      </c>
      <c r="AB16" s="64" t="s">
        <v>97</v>
      </c>
      <c r="AC16" s="64" t="s">
        <v>98</v>
      </c>
      <c r="AD16" s="64" t="s">
        <v>98</v>
      </c>
      <c r="AE16" s="67" t="s">
        <v>256</v>
      </c>
      <c r="AF16" s="67" t="s">
        <v>257</v>
      </c>
      <c r="AG16" s="67" t="s">
        <v>8291</v>
      </c>
      <c r="AH16" s="64" t="s">
        <v>101</v>
      </c>
      <c r="AI16" s="64" t="s">
        <v>90</v>
      </c>
      <c r="AJ16" s="69">
        <v>32976</v>
      </c>
      <c r="AK16" s="67" t="s">
        <v>259</v>
      </c>
      <c r="AL16" s="64" t="s">
        <v>8246</v>
      </c>
      <c r="AM16" s="67" t="s">
        <v>149</v>
      </c>
      <c r="AN16" s="67" t="s">
        <v>260</v>
      </c>
      <c r="AO16" s="64" t="s">
        <v>130</v>
      </c>
      <c r="AP16" s="64" t="s">
        <v>261</v>
      </c>
      <c r="AQ16" s="32" t="s">
        <v>262</v>
      </c>
      <c r="AR16" s="64" t="s">
        <v>263</v>
      </c>
      <c r="AS16" s="64" t="s">
        <v>263</v>
      </c>
      <c r="AT16" s="64" t="s">
        <v>90</v>
      </c>
      <c r="AU16" s="64" t="s">
        <v>156</v>
      </c>
      <c r="AV16" s="67">
        <v>40223</v>
      </c>
      <c r="AW16" s="67" t="s">
        <v>7813</v>
      </c>
      <c r="AX16" s="64" t="s">
        <v>101</v>
      </c>
      <c r="AY16" s="64" t="s">
        <v>90</v>
      </c>
      <c r="AZ16" s="125">
        <v>32812</v>
      </c>
      <c r="BA16" s="67" t="s">
        <v>264</v>
      </c>
      <c r="BB16" s="64" t="s">
        <v>7766</v>
      </c>
      <c r="BC16" s="67" t="s">
        <v>171</v>
      </c>
      <c r="BD16" s="67" t="s">
        <v>265</v>
      </c>
      <c r="BE16" s="64" t="s">
        <v>266</v>
      </c>
      <c r="BF16" s="64"/>
      <c r="BG16" s="64" t="s">
        <v>261</v>
      </c>
      <c r="BH16" s="67" t="s">
        <v>262</v>
      </c>
      <c r="BI16" s="64" t="s">
        <v>263</v>
      </c>
      <c r="BJ16" s="40" t="s">
        <v>263</v>
      </c>
      <c r="BK16" s="64" t="s">
        <v>90</v>
      </c>
      <c r="BL16" s="67" t="s">
        <v>156</v>
      </c>
      <c r="BM16" s="67">
        <v>40223</v>
      </c>
      <c r="BN16" s="67" t="s">
        <v>161</v>
      </c>
      <c r="BO16" s="64" t="s">
        <v>258</v>
      </c>
      <c r="BP16" s="64"/>
      <c r="BQ16" s="135"/>
      <c r="BR16" s="67"/>
      <c r="BS16" s="64"/>
      <c r="BT16" s="67"/>
      <c r="BU16" s="67">
        <v>82111702022</v>
      </c>
      <c r="BV16" s="64"/>
      <c r="BW16" s="64"/>
      <c r="BX16" s="67"/>
      <c r="BY16" s="64"/>
      <c r="BZ16" s="64"/>
      <c r="CA16" s="64"/>
      <c r="CB16" s="64"/>
      <c r="CC16" s="64"/>
      <c r="CD16" s="64"/>
      <c r="CE16" s="64" t="s">
        <v>7346</v>
      </c>
      <c r="CF16" s="67" t="s">
        <v>262</v>
      </c>
      <c r="CG16" s="64" t="s">
        <v>6984</v>
      </c>
      <c r="CH16" s="64" t="s">
        <v>6984</v>
      </c>
      <c r="CI16" s="64" t="s">
        <v>90</v>
      </c>
      <c r="CJ16" s="64" t="s">
        <v>111</v>
      </c>
      <c r="CK16" s="58">
        <v>40223</v>
      </c>
      <c r="CL16" s="64" t="str">
        <f t="shared" ca="1" si="0"/>
        <v>14 Tahun 4 Bulan 12 Hari</v>
      </c>
      <c r="CM1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Jl.Caringin Gg Lumbung Iv RT/RW 03/05 Desa/Kelurahan Babakan Ciparay Kecamatan Babakan Ciparay Bandung Jawa Barat 40223</v>
      </c>
    </row>
    <row r="17" spans="1:91" ht="24.95" customHeight="1">
      <c r="A17" s="58">
        <f>SUBTOTAL(3,N$8:Table2[[#This Row],[Nama lengkap]])</f>
        <v>10</v>
      </c>
      <c r="B17" s="58" t="s">
        <v>86</v>
      </c>
      <c r="C17" s="58">
        <v>2024</v>
      </c>
      <c r="D17" s="58"/>
      <c r="E17" s="58">
        <v>1</v>
      </c>
      <c r="F17" s="58" t="s">
        <v>87</v>
      </c>
      <c r="G17" s="165" t="s">
        <v>93</v>
      </c>
      <c r="H17" s="32"/>
      <c r="I17" s="32"/>
      <c r="J17" s="32"/>
      <c r="K17" s="32"/>
      <c r="L17" s="32"/>
      <c r="M17" s="58">
        <v>24250072</v>
      </c>
      <c r="N17" s="31" t="s">
        <v>5808</v>
      </c>
      <c r="O17" s="31"/>
      <c r="P17" s="32" t="s">
        <v>267</v>
      </c>
      <c r="Q17" s="32" t="s">
        <v>268</v>
      </c>
      <c r="R17" s="64" t="s">
        <v>6566</v>
      </c>
      <c r="S17" s="69">
        <v>40352</v>
      </c>
      <c r="T17" s="47" t="s">
        <v>92</v>
      </c>
      <c r="U17" s="58" t="s">
        <v>269</v>
      </c>
      <c r="V17" s="58">
        <v>4</v>
      </c>
      <c r="W17" s="47" t="s">
        <v>207</v>
      </c>
      <c r="X17" s="64" t="s">
        <v>142</v>
      </c>
      <c r="Y17" s="64" t="s">
        <v>124</v>
      </c>
      <c r="Z17" s="64" t="s">
        <v>270</v>
      </c>
      <c r="AA17" s="64" t="s">
        <v>96</v>
      </c>
      <c r="AB17" s="64" t="s">
        <v>97</v>
      </c>
      <c r="AC17" s="64" t="s">
        <v>98</v>
      </c>
      <c r="AD17" s="64" t="s">
        <v>98</v>
      </c>
      <c r="AE17" s="67" t="s">
        <v>271</v>
      </c>
      <c r="AF17" s="67" t="s">
        <v>8292</v>
      </c>
      <c r="AG17" s="67" t="s">
        <v>8292</v>
      </c>
      <c r="AH17" s="64" t="s">
        <v>101</v>
      </c>
      <c r="AI17" s="64" t="s">
        <v>3137</v>
      </c>
      <c r="AJ17" s="69">
        <v>29365</v>
      </c>
      <c r="AK17" s="67" t="s">
        <v>274</v>
      </c>
      <c r="AL17" s="64" t="s">
        <v>602</v>
      </c>
      <c r="AM17" s="67" t="s">
        <v>149</v>
      </c>
      <c r="AN17" s="67" t="s">
        <v>275</v>
      </c>
      <c r="AO17" s="64" t="s">
        <v>106</v>
      </c>
      <c r="AP17" s="64" t="s">
        <v>276</v>
      </c>
      <c r="AQ17" s="32">
        <v>45539</v>
      </c>
      <c r="AR17" s="64" t="s">
        <v>277</v>
      </c>
      <c r="AS17" s="64" t="s">
        <v>278</v>
      </c>
      <c r="AT17" s="64" t="s">
        <v>273</v>
      </c>
      <c r="AU17" s="64" t="s">
        <v>156</v>
      </c>
      <c r="AV17" s="67">
        <v>43255</v>
      </c>
      <c r="AW17" s="67" t="s">
        <v>7814</v>
      </c>
      <c r="AX17" s="64" t="s">
        <v>101</v>
      </c>
      <c r="AY17" s="64" t="s">
        <v>90</v>
      </c>
      <c r="AZ17" s="125">
        <v>31920</v>
      </c>
      <c r="BA17" s="67" t="s">
        <v>279</v>
      </c>
      <c r="BB17" s="64" t="s">
        <v>428</v>
      </c>
      <c r="BC17" s="67" t="s">
        <v>149</v>
      </c>
      <c r="BD17" s="67" t="s">
        <v>280</v>
      </c>
      <c r="BE17" s="64" t="s">
        <v>98</v>
      </c>
      <c r="BF17" s="64"/>
      <c r="BG17" s="64" t="s">
        <v>276</v>
      </c>
      <c r="BH17" s="67">
        <v>45539</v>
      </c>
      <c r="BI17" s="64" t="s">
        <v>277</v>
      </c>
      <c r="BJ17" s="40" t="s">
        <v>281</v>
      </c>
      <c r="BK17" s="64" t="s">
        <v>273</v>
      </c>
      <c r="BL17" s="67" t="s">
        <v>156</v>
      </c>
      <c r="BM17" s="67">
        <v>43255</v>
      </c>
      <c r="BN17" s="67" t="s">
        <v>161</v>
      </c>
      <c r="BO17" s="64" t="s">
        <v>272</v>
      </c>
      <c r="BP17" s="64"/>
      <c r="BQ17" s="135"/>
      <c r="BR17" s="67"/>
      <c r="BS17" s="64"/>
      <c r="BT17" s="67"/>
      <c r="BU17" s="67">
        <v>82123619361</v>
      </c>
      <c r="BV17" s="64"/>
      <c r="BW17" s="64"/>
      <c r="BX17" s="67"/>
      <c r="BY17" s="64"/>
      <c r="BZ17" s="64"/>
      <c r="CA17" s="64"/>
      <c r="CB17" s="64"/>
      <c r="CC17" s="64"/>
      <c r="CD17" s="64"/>
      <c r="CE17" s="64" t="s">
        <v>7347</v>
      </c>
      <c r="CF17" s="67">
        <v>45539</v>
      </c>
      <c r="CG17" s="64" t="s">
        <v>7011</v>
      </c>
      <c r="CH17" s="64" t="s">
        <v>7012</v>
      </c>
      <c r="CI17" s="64" t="s">
        <v>3137</v>
      </c>
      <c r="CJ17" s="64" t="s">
        <v>111</v>
      </c>
      <c r="CK17" s="58">
        <v>43255</v>
      </c>
      <c r="CL17" s="64" t="str">
        <f t="shared" ca="1" si="0"/>
        <v>15 Tahun 7 Bulan 0 Hari</v>
      </c>
      <c r="CM1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Kubang RT/RW 45539 Desa/Kelurahan Cimacan Kecamatan Cipana Cianjur Jawa Barat 43255</v>
      </c>
    </row>
    <row r="18" spans="1:91" ht="24.95" customHeight="1">
      <c r="A18" s="58">
        <f>SUBTOTAL(3,N$8:Table2[[#This Row],[Nama lengkap]])</f>
        <v>11</v>
      </c>
      <c r="B18" s="58" t="s">
        <v>86</v>
      </c>
      <c r="C18" s="58">
        <v>2024</v>
      </c>
      <c r="D18" s="58"/>
      <c r="E18" s="58">
        <v>1</v>
      </c>
      <c r="F18" s="58" t="s">
        <v>87</v>
      </c>
      <c r="G18" s="32" t="s">
        <v>2513</v>
      </c>
      <c r="H18" s="32" t="s">
        <v>2513</v>
      </c>
      <c r="I18" s="32" t="s">
        <v>2513</v>
      </c>
      <c r="J18" s="32"/>
      <c r="K18" s="32"/>
      <c r="L18" s="32"/>
      <c r="M18" s="58">
        <v>24250081</v>
      </c>
      <c r="N18" s="31" t="s">
        <v>5809</v>
      </c>
      <c r="O18" s="31"/>
      <c r="P18" s="32" t="s">
        <v>282</v>
      </c>
      <c r="Q18" s="32" t="s">
        <v>283</v>
      </c>
      <c r="R18" s="64" t="s">
        <v>90</v>
      </c>
      <c r="S18" s="69">
        <v>41113</v>
      </c>
      <c r="T18" s="47" t="s">
        <v>92</v>
      </c>
      <c r="U18" s="58">
        <v>2</v>
      </c>
      <c r="V18" s="58">
        <v>1</v>
      </c>
      <c r="W18" s="47" t="s">
        <v>207</v>
      </c>
      <c r="X18" s="64" t="s">
        <v>284</v>
      </c>
      <c r="Y18" s="64" t="s">
        <v>285</v>
      </c>
      <c r="Z18" s="64" t="s">
        <v>255</v>
      </c>
      <c r="AA18" s="64" t="s">
        <v>96</v>
      </c>
      <c r="AB18" s="64" t="s">
        <v>97</v>
      </c>
      <c r="AC18" s="64" t="s">
        <v>98</v>
      </c>
      <c r="AD18" s="64" t="s">
        <v>98</v>
      </c>
      <c r="AE18" s="67" t="s">
        <v>286</v>
      </c>
      <c r="AF18" s="67" t="s">
        <v>287</v>
      </c>
      <c r="AG18" s="67" t="s">
        <v>287</v>
      </c>
      <c r="AH18" s="64" t="s">
        <v>101</v>
      </c>
      <c r="AI18" s="64" t="s">
        <v>90</v>
      </c>
      <c r="AJ18" s="69">
        <v>27564</v>
      </c>
      <c r="AK18" s="67" t="s">
        <v>288</v>
      </c>
      <c r="AL18" s="64" t="s">
        <v>289</v>
      </c>
      <c r="AM18" s="67" t="s">
        <v>290</v>
      </c>
      <c r="AN18" s="67" t="s">
        <v>291</v>
      </c>
      <c r="AO18" s="64" t="s">
        <v>106</v>
      </c>
      <c r="AP18" s="64" t="s">
        <v>292</v>
      </c>
      <c r="AQ18" s="32" t="s">
        <v>293</v>
      </c>
      <c r="AR18" s="64" t="s">
        <v>294</v>
      </c>
      <c r="AS18" s="64" t="s">
        <v>295</v>
      </c>
      <c r="AT18" s="64" t="s">
        <v>90</v>
      </c>
      <c r="AU18" s="64" t="s">
        <v>111</v>
      </c>
      <c r="AV18" s="67">
        <v>40394</v>
      </c>
      <c r="AW18" s="67" t="s">
        <v>296</v>
      </c>
      <c r="AX18" s="64" t="s">
        <v>101</v>
      </c>
      <c r="AY18" s="64" t="s">
        <v>90</v>
      </c>
      <c r="AZ18" s="125">
        <v>30690</v>
      </c>
      <c r="BA18" s="67" t="s">
        <v>297</v>
      </c>
      <c r="BB18" s="64" t="s">
        <v>180</v>
      </c>
      <c r="BC18" s="67" t="s">
        <v>149</v>
      </c>
      <c r="BD18" s="67" t="s">
        <v>299</v>
      </c>
      <c r="BE18" s="64" t="s">
        <v>98</v>
      </c>
      <c r="BF18" s="64"/>
      <c r="BG18" s="64" t="s">
        <v>300</v>
      </c>
      <c r="BH18" s="67" t="s">
        <v>293</v>
      </c>
      <c r="BI18" s="64" t="s">
        <v>294</v>
      </c>
      <c r="BJ18" s="40" t="s">
        <v>295</v>
      </c>
      <c r="BK18" s="64" t="s">
        <v>90</v>
      </c>
      <c r="BL18" s="67" t="s">
        <v>111</v>
      </c>
      <c r="BM18" s="67">
        <v>40394</v>
      </c>
      <c r="BN18" s="67"/>
      <c r="BO18" s="64" t="s">
        <v>296</v>
      </c>
      <c r="BP18" s="64"/>
      <c r="BQ18" s="135"/>
      <c r="BR18" s="67"/>
      <c r="BS18" s="64"/>
      <c r="BT18" s="67"/>
      <c r="BU18" s="67">
        <v>81321447662</v>
      </c>
      <c r="BV18" s="64"/>
      <c r="BW18" s="64"/>
      <c r="BX18" s="67"/>
      <c r="BY18" s="64"/>
      <c r="BZ18" s="64"/>
      <c r="CA18" s="64"/>
      <c r="CB18" s="64"/>
      <c r="CC18" s="64"/>
      <c r="CD18" s="64"/>
      <c r="CE18" s="64" t="s">
        <v>7348</v>
      </c>
      <c r="CF18" s="67" t="s">
        <v>293</v>
      </c>
      <c r="CG18" s="64" t="s">
        <v>294</v>
      </c>
      <c r="CH18" s="64" t="s">
        <v>295</v>
      </c>
      <c r="CI18" s="64" t="s">
        <v>90</v>
      </c>
      <c r="CJ18" s="64" t="s">
        <v>111</v>
      </c>
      <c r="CK18" s="58">
        <v>40394</v>
      </c>
      <c r="CL18" s="64" t="str">
        <f t="shared" ca="1" si="0"/>
        <v>13 Tahun 6 Bulan 0 Hari</v>
      </c>
      <c r="CM1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Jl.Anyelir Iv No.64 Blok 14 RT/RW 007/014 Desa/Kelurahan Rancaekek Kencana Kecamatan Rancaekek Bandung Jawa Barat 40394</v>
      </c>
    </row>
    <row r="19" spans="1:91" ht="24.95" customHeight="1">
      <c r="A19" s="58">
        <f>SUBTOTAL(3,N$8:Table2[[#This Row],[Nama lengkap]])</f>
        <v>12</v>
      </c>
      <c r="B19" s="58" t="s">
        <v>86</v>
      </c>
      <c r="C19" s="58">
        <v>2024</v>
      </c>
      <c r="D19" s="58"/>
      <c r="E19" s="58">
        <v>1</v>
      </c>
      <c r="F19" s="58" t="s">
        <v>87</v>
      </c>
      <c r="G19" s="32" t="s">
        <v>2513</v>
      </c>
      <c r="H19" s="32" t="s">
        <v>2513</v>
      </c>
      <c r="I19" s="32" t="s">
        <v>2513</v>
      </c>
      <c r="J19" s="32"/>
      <c r="K19" s="32"/>
      <c r="L19" s="32"/>
      <c r="M19" s="58">
        <v>24250105</v>
      </c>
      <c r="N19" s="31" t="s">
        <v>5810</v>
      </c>
      <c r="O19" s="31"/>
      <c r="P19" s="32" t="s">
        <v>301</v>
      </c>
      <c r="Q19" s="32" t="s">
        <v>302</v>
      </c>
      <c r="R19" s="64" t="s">
        <v>90</v>
      </c>
      <c r="S19" s="69">
        <v>39937</v>
      </c>
      <c r="T19" s="47" t="s">
        <v>92</v>
      </c>
      <c r="U19" s="58">
        <v>1</v>
      </c>
      <c r="V19" s="58">
        <v>3</v>
      </c>
      <c r="W19" s="47" t="s">
        <v>207</v>
      </c>
      <c r="X19" s="64" t="s">
        <v>303</v>
      </c>
      <c r="Y19" s="64" t="s">
        <v>94</v>
      </c>
      <c r="Z19" s="64" t="s">
        <v>95</v>
      </c>
      <c r="AA19" s="64" t="s">
        <v>159</v>
      </c>
      <c r="AB19" s="64" t="s">
        <v>97</v>
      </c>
      <c r="AC19" s="64" t="s">
        <v>98</v>
      </c>
      <c r="AD19" s="64" t="s">
        <v>98</v>
      </c>
      <c r="AE19" s="67" t="s">
        <v>304</v>
      </c>
      <c r="AF19" s="67" t="s">
        <v>8293</v>
      </c>
      <c r="AG19" s="67" t="s">
        <v>8293</v>
      </c>
      <c r="AH19" s="64" t="s">
        <v>101</v>
      </c>
      <c r="AI19" s="64" t="s">
        <v>90</v>
      </c>
      <c r="AJ19" s="69">
        <v>31871</v>
      </c>
      <c r="AK19" s="67" t="s">
        <v>306</v>
      </c>
      <c r="AL19" s="64" t="s">
        <v>114</v>
      </c>
      <c r="AM19" s="67" t="s">
        <v>96</v>
      </c>
      <c r="AN19" s="67" t="s">
        <v>308</v>
      </c>
      <c r="AO19" s="64" t="s">
        <v>117</v>
      </c>
      <c r="AP19" s="64" t="s">
        <v>309</v>
      </c>
      <c r="AQ19" s="32" t="s">
        <v>310</v>
      </c>
      <c r="AR19" s="64" t="s">
        <v>311</v>
      </c>
      <c r="AS19" s="64" t="s">
        <v>312</v>
      </c>
      <c r="AT19" s="64" t="s">
        <v>90</v>
      </c>
      <c r="AU19" s="64" t="s">
        <v>313</v>
      </c>
      <c r="AV19" s="67">
        <v>40972</v>
      </c>
      <c r="AW19" s="67" t="s">
        <v>7815</v>
      </c>
      <c r="AX19" s="64" t="s">
        <v>101</v>
      </c>
      <c r="AY19" s="64" t="s">
        <v>90</v>
      </c>
      <c r="AZ19" s="125">
        <v>32394</v>
      </c>
      <c r="BA19" s="67" t="s">
        <v>314</v>
      </c>
      <c r="BB19" s="64" t="s">
        <v>428</v>
      </c>
      <c r="BC19" s="67" t="s">
        <v>96</v>
      </c>
      <c r="BD19" s="67" t="s">
        <v>308</v>
      </c>
      <c r="BE19" s="64" t="s">
        <v>315</v>
      </c>
      <c r="BF19" s="64"/>
      <c r="BG19" s="64" t="s">
        <v>309</v>
      </c>
      <c r="BH19" s="67" t="s">
        <v>310</v>
      </c>
      <c r="BI19" s="64" t="s">
        <v>311</v>
      </c>
      <c r="BJ19" s="40" t="s">
        <v>312</v>
      </c>
      <c r="BK19" s="64" t="s">
        <v>90</v>
      </c>
      <c r="BL19" s="67" t="s">
        <v>313</v>
      </c>
      <c r="BM19" s="67">
        <v>40972</v>
      </c>
      <c r="BN19" s="67" t="s">
        <v>161</v>
      </c>
      <c r="BO19" s="64" t="s">
        <v>305</v>
      </c>
      <c r="BP19" s="64" t="s">
        <v>141</v>
      </c>
      <c r="BQ19" s="135">
        <v>31871</v>
      </c>
      <c r="BR19" s="67">
        <v>3204380404870000</v>
      </c>
      <c r="BS19" s="64" t="s">
        <v>307</v>
      </c>
      <c r="BT19" s="67" t="s">
        <v>96</v>
      </c>
      <c r="BU19" s="67">
        <v>85647127411</v>
      </c>
      <c r="BV19" s="64" t="s">
        <v>117</v>
      </c>
      <c r="BW19" s="64" t="s">
        <v>316</v>
      </c>
      <c r="BX19" s="67" t="s">
        <v>317</v>
      </c>
      <c r="BY19" s="64" t="s">
        <v>311</v>
      </c>
      <c r="BZ19" s="64" t="s">
        <v>312</v>
      </c>
      <c r="CA19" s="64" t="s">
        <v>90</v>
      </c>
      <c r="CB19" s="64" t="s">
        <v>318</v>
      </c>
      <c r="CC19" s="64">
        <v>40972</v>
      </c>
      <c r="CD19" s="64" t="s">
        <v>164</v>
      </c>
      <c r="CE19" s="64" t="s">
        <v>7349</v>
      </c>
      <c r="CF19" s="67" t="s">
        <v>310</v>
      </c>
      <c r="CG19" s="64" t="s">
        <v>311</v>
      </c>
      <c r="CH19" s="64" t="s">
        <v>312</v>
      </c>
      <c r="CI19" s="64" t="s">
        <v>90</v>
      </c>
      <c r="CJ19" s="64" t="s">
        <v>313</v>
      </c>
      <c r="CK19" s="58">
        <v>40972</v>
      </c>
      <c r="CL19" s="64" t="str">
        <f t="shared" ca="1" si="0"/>
        <v>16 Tahun 8 Bulan 19 Hari</v>
      </c>
      <c r="CM1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Sukatani RT/RW  03 / 11 Desa/Kelurahan Cikoneng Kecamatan Pasirjambu Bandung Jawabarat 40972</v>
      </c>
    </row>
    <row r="20" spans="1:91" ht="24.95" customHeight="1">
      <c r="A20" s="58">
        <f>SUBTOTAL(3,N$8:Table2[[#This Row],[Nama lengkap]])</f>
        <v>13</v>
      </c>
      <c r="B20" s="32" t="s">
        <v>86</v>
      </c>
      <c r="C20" s="58">
        <v>2023</v>
      </c>
      <c r="D20" s="58"/>
      <c r="E20" s="58">
        <v>1</v>
      </c>
      <c r="F20" s="58" t="s">
        <v>87</v>
      </c>
      <c r="G20" s="165" t="s">
        <v>93</v>
      </c>
      <c r="H20" s="32"/>
      <c r="I20" s="32"/>
      <c r="J20" s="32"/>
      <c r="K20" s="32"/>
      <c r="L20" s="32"/>
      <c r="M20" s="58">
        <v>23240139</v>
      </c>
      <c r="N20" s="24" t="s">
        <v>8748</v>
      </c>
      <c r="O20" s="24"/>
      <c r="P20" s="25" t="s">
        <v>5033</v>
      </c>
      <c r="Q20" s="25" t="s">
        <v>5034</v>
      </c>
      <c r="R20" s="60" t="s">
        <v>122</v>
      </c>
      <c r="S20" s="61" t="s">
        <v>5035</v>
      </c>
      <c r="T20" s="47" t="s">
        <v>92</v>
      </c>
      <c r="U20" s="47">
        <v>5</v>
      </c>
      <c r="V20" s="47">
        <v>4</v>
      </c>
      <c r="W20" s="47" t="s">
        <v>207</v>
      </c>
      <c r="X20" s="59" t="s">
        <v>984</v>
      </c>
      <c r="Y20" s="59" t="s">
        <v>984</v>
      </c>
      <c r="Z20" s="59" t="s">
        <v>984</v>
      </c>
      <c r="AA20" s="59" t="s">
        <v>96</v>
      </c>
      <c r="AB20" s="59" t="s">
        <v>689</v>
      </c>
      <c r="AC20" s="59" t="s">
        <v>208</v>
      </c>
      <c r="AD20" s="59" t="s">
        <v>208</v>
      </c>
      <c r="AE20" s="60" t="s">
        <v>5036</v>
      </c>
      <c r="AF20" s="60" t="s">
        <v>8294</v>
      </c>
      <c r="AG20" s="59" t="s">
        <v>8294</v>
      </c>
      <c r="AH20" s="59" t="s">
        <v>691</v>
      </c>
      <c r="AI20" s="59" t="s">
        <v>122</v>
      </c>
      <c r="AJ20" s="61">
        <v>29012</v>
      </c>
      <c r="AK20" s="60" t="s">
        <v>5037</v>
      </c>
      <c r="AL20" s="60" t="s">
        <v>114</v>
      </c>
      <c r="AM20" s="59" t="s">
        <v>149</v>
      </c>
      <c r="AN20" s="60" t="s">
        <v>5038</v>
      </c>
      <c r="AO20" s="60"/>
      <c r="AP20" s="59" t="s">
        <v>5039</v>
      </c>
      <c r="AQ20" s="25" t="s">
        <v>2159</v>
      </c>
      <c r="AR20" s="60" t="s">
        <v>2134</v>
      </c>
      <c r="AS20" s="59" t="s">
        <v>1324</v>
      </c>
      <c r="AT20" s="59" t="s">
        <v>1090</v>
      </c>
      <c r="AU20" s="59" t="s">
        <v>156</v>
      </c>
      <c r="AV20" s="62">
        <v>45323</v>
      </c>
      <c r="AW20" s="59" t="s">
        <v>7816</v>
      </c>
      <c r="AX20" s="59" t="s">
        <v>691</v>
      </c>
      <c r="AY20" s="59" t="s">
        <v>122</v>
      </c>
      <c r="AZ20" s="126">
        <v>28991</v>
      </c>
      <c r="BA20" s="60" t="s">
        <v>5040</v>
      </c>
      <c r="BB20" s="60" t="s">
        <v>845</v>
      </c>
      <c r="BC20" s="59" t="s">
        <v>1126</v>
      </c>
      <c r="BD20" s="60" t="s">
        <v>5038</v>
      </c>
      <c r="BE20" s="60"/>
      <c r="BF20" s="60"/>
      <c r="BG20" s="59" t="s">
        <v>5039</v>
      </c>
      <c r="BH20" s="60" t="s">
        <v>2159</v>
      </c>
      <c r="BI20" s="60" t="s">
        <v>2134</v>
      </c>
      <c r="BJ20" s="24" t="s">
        <v>1324</v>
      </c>
      <c r="BK20" s="59" t="s">
        <v>1090</v>
      </c>
      <c r="BL20" s="59" t="s">
        <v>156</v>
      </c>
      <c r="BM20" s="24">
        <v>45323</v>
      </c>
      <c r="BN20" s="24"/>
      <c r="BO20" s="59"/>
      <c r="BP20" s="59"/>
      <c r="BQ20" s="77"/>
      <c r="BR20" s="60"/>
      <c r="BS20" s="60"/>
      <c r="BT20" s="59"/>
      <c r="BU20" s="60"/>
      <c r="BV20" s="60"/>
      <c r="BW20" s="59"/>
      <c r="BX20" s="60"/>
      <c r="BY20" s="60"/>
      <c r="BZ20" s="59"/>
      <c r="CA20" s="59"/>
      <c r="CB20" s="59"/>
      <c r="CC20" s="59"/>
      <c r="CD20" s="59"/>
      <c r="CE20" s="59" t="s">
        <v>7350</v>
      </c>
      <c r="CF20" s="60" t="s">
        <v>2159</v>
      </c>
      <c r="CG20" s="59" t="s">
        <v>7013</v>
      </c>
      <c r="CH20" s="59" t="s">
        <v>134</v>
      </c>
      <c r="CI20" s="59" t="s">
        <v>122</v>
      </c>
      <c r="CJ20" s="59" t="s">
        <v>111</v>
      </c>
      <c r="CK20" s="47">
        <v>45323</v>
      </c>
      <c r="CL20" s="64" t="str">
        <f t="shared" ca="1" si="0"/>
        <v>15 Tahun 0 Bulan 27 Hari</v>
      </c>
      <c r="CM2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 Kertaraharja No 04 RT/RW 05/07 Desa/Kelurahan Situ Kecamatan Sumedang Utara Sumedang Jawa Barat 45323</v>
      </c>
    </row>
    <row r="21" spans="1:91" ht="24.95" customHeight="1">
      <c r="A21" s="58">
        <f>SUBTOTAL(3,N$8:Table2[[#This Row],[Nama lengkap]])</f>
        <v>14</v>
      </c>
      <c r="B21" s="58" t="s">
        <v>86</v>
      </c>
      <c r="C21" s="58">
        <v>2024</v>
      </c>
      <c r="D21" s="58"/>
      <c r="E21" s="58">
        <v>1</v>
      </c>
      <c r="F21" s="58" t="s">
        <v>87</v>
      </c>
      <c r="G21" s="32" t="s">
        <v>2513</v>
      </c>
      <c r="H21" s="32" t="s">
        <v>2513</v>
      </c>
      <c r="I21" s="32" t="s">
        <v>2513</v>
      </c>
      <c r="J21" s="32"/>
      <c r="K21" s="32"/>
      <c r="L21" s="32"/>
      <c r="M21" s="58">
        <v>24250117</v>
      </c>
      <c r="N21" s="31" t="s">
        <v>5811</v>
      </c>
      <c r="O21" s="31"/>
      <c r="P21" s="32" t="s">
        <v>319</v>
      </c>
      <c r="Q21" s="32" t="s">
        <v>320</v>
      </c>
      <c r="R21" s="64" t="s">
        <v>90</v>
      </c>
      <c r="S21" s="69">
        <v>41139</v>
      </c>
      <c r="T21" s="47" t="s">
        <v>92</v>
      </c>
      <c r="U21" s="58">
        <v>2</v>
      </c>
      <c r="V21" s="58">
        <v>4</v>
      </c>
      <c r="W21" s="47" t="s">
        <v>207</v>
      </c>
      <c r="X21" s="64"/>
      <c r="Y21" s="64" t="s">
        <v>124</v>
      </c>
      <c r="Z21" s="64" t="s">
        <v>321</v>
      </c>
      <c r="AA21" s="64" t="s">
        <v>96</v>
      </c>
      <c r="AB21" s="64" t="s">
        <v>97</v>
      </c>
      <c r="AC21" s="64" t="s">
        <v>98</v>
      </c>
      <c r="AD21" s="64" t="s">
        <v>98</v>
      </c>
      <c r="AE21" s="67" t="s">
        <v>322</v>
      </c>
      <c r="AF21" s="67" t="s">
        <v>323</v>
      </c>
      <c r="AG21" s="67" t="s">
        <v>323</v>
      </c>
      <c r="AH21" s="64" t="s">
        <v>101</v>
      </c>
      <c r="AI21" s="64" t="s">
        <v>236</v>
      </c>
      <c r="AJ21" s="69">
        <v>30874</v>
      </c>
      <c r="AK21" s="67" t="s">
        <v>324</v>
      </c>
      <c r="AL21" s="64" t="s">
        <v>114</v>
      </c>
      <c r="AM21" s="67" t="s">
        <v>149</v>
      </c>
      <c r="AN21" s="67" t="s">
        <v>325</v>
      </c>
      <c r="AO21" s="64" t="s">
        <v>106</v>
      </c>
      <c r="AP21" s="64" t="s">
        <v>326</v>
      </c>
      <c r="AQ21" s="32" t="s">
        <v>327</v>
      </c>
      <c r="AR21" s="64" t="s">
        <v>328</v>
      </c>
      <c r="AS21" s="64" t="s">
        <v>329</v>
      </c>
      <c r="AT21" s="64" t="s">
        <v>90</v>
      </c>
      <c r="AU21" s="64" t="s">
        <v>318</v>
      </c>
      <c r="AV21" s="67">
        <v>40376</v>
      </c>
      <c r="AW21" s="67" t="s">
        <v>330</v>
      </c>
      <c r="AX21" s="64" t="s">
        <v>101</v>
      </c>
      <c r="AY21" s="64" t="s">
        <v>90</v>
      </c>
      <c r="AZ21" s="125">
        <v>30758</v>
      </c>
      <c r="BA21" s="67" t="s">
        <v>331</v>
      </c>
      <c r="BB21" s="64" t="s">
        <v>845</v>
      </c>
      <c r="BC21" s="67" t="s">
        <v>332</v>
      </c>
      <c r="BD21" s="67" t="s">
        <v>333</v>
      </c>
      <c r="BE21" s="64" t="s">
        <v>98</v>
      </c>
      <c r="BF21" s="64"/>
      <c r="BG21" s="64" t="s">
        <v>326</v>
      </c>
      <c r="BH21" s="67" t="s">
        <v>327</v>
      </c>
      <c r="BI21" s="64" t="s">
        <v>328</v>
      </c>
      <c r="BJ21" s="40" t="s">
        <v>329</v>
      </c>
      <c r="BK21" s="64" t="s">
        <v>90</v>
      </c>
      <c r="BL21" s="67" t="s">
        <v>318</v>
      </c>
      <c r="BM21" s="67">
        <v>40376</v>
      </c>
      <c r="BN21" s="67"/>
      <c r="BO21" s="64" t="s">
        <v>334</v>
      </c>
      <c r="BP21" s="64"/>
      <c r="BQ21" s="135"/>
      <c r="BR21" s="67"/>
      <c r="BS21" s="64"/>
      <c r="BT21" s="67"/>
      <c r="BU21" s="67" t="s">
        <v>334</v>
      </c>
      <c r="BV21" s="64"/>
      <c r="BW21" s="64"/>
      <c r="BX21" s="67"/>
      <c r="BY21" s="64"/>
      <c r="BZ21" s="64"/>
      <c r="CA21" s="64"/>
      <c r="CB21" s="64"/>
      <c r="CC21" s="64"/>
      <c r="CD21" s="64"/>
      <c r="CE21" s="64" t="s">
        <v>7351</v>
      </c>
      <c r="CF21" s="67" t="s">
        <v>327</v>
      </c>
      <c r="CG21" s="64" t="s">
        <v>328</v>
      </c>
      <c r="CH21" s="64" t="s">
        <v>329</v>
      </c>
      <c r="CI21" s="64" t="s">
        <v>90</v>
      </c>
      <c r="CJ21" s="64" t="s">
        <v>111</v>
      </c>
      <c r="CK21" s="58">
        <v>40376</v>
      </c>
      <c r="CL21" s="64" t="str">
        <f t="shared" ca="1" si="0"/>
        <v>13 Tahun 5 Bulan 5 Hari</v>
      </c>
      <c r="CM2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Boncel RT/RW 001/011 Desa/Kelurahan Bojongemas Kecamatan Solokanjeruk Bandung Jawa Barat 40376</v>
      </c>
    </row>
    <row r="22" spans="1:91" ht="24.95" customHeight="1">
      <c r="A22" s="58">
        <f>SUBTOTAL(3,N$8:Table2[[#This Row],[Nama lengkap]])</f>
        <v>15</v>
      </c>
      <c r="B22" s="58" t="s">
        <v>86</v>
      </c>
      <c r="C22" s="58">
        <v>2024</v>
      </c>
      <c r="D22" s="58"/>
      <c r="E22" s="58">
        <v>1</v>
      </c>
      <c r="F22" s="58" t="s">
        <v>87</v>
      </c>
      <c r="G22" s="32" t="s">
        <v>2513</v>
      </c>
      <c r="H22" s="32" t="s">
        <v>2513</v>
      </c>
      <c r="I22" s="32" t="s">
        <v>2513</v>
      </c>
      <c r="J22" s="32"/>
      <c r="K22" s="32"/>
      <c r="L22" s="32"/>
      <c r="M22" s="58">
        <v>24250151</v>
      </c>
      <c r="N22" s="31" t="s">
        <v>5812</v>
      </c>
      <c r="O22" s="31"/>
      <c r="P22" s="32" t="s">
        <v>335</v>
      </c>
      <c r="Q22" s="32" t="s">
        <v>336</v>
      </c>
      <c r="R22" s="64" t="s">
        <v>90</v>
      </c>
      <c r="S22" s="69">
        <v>40884</v>
      </c>
      <c r="T22" s="47" t="s">
        <v>92</v>
      </c>
      <c r="U22" s="58" t="s">
        <v>337</v>
      </c>
      <c r="V22" s="58" t="s">
        <v>338</v>
      </c>
      <c r="W22" s="47" t="s">
        <v>207</v>
      </c>
      <c r="X22" s="64" t="s">
        <v>142</v>
      </c>
      <c r="Y22" s="64" t="s">
        <v>339</v>
      </c>
      <c r="Z22" s="64" t="s">
        <v>95</v>
      </c>
      <c r="AA22" s="64" t="s">
        <v>96</v>
      </c>
      <c r="AB22" s="64" t="s">
        <v>97</v>
      </c>
      <c r="AC22" s="64" t="s">
        <v>98</v>
      </c>
      <c r="AD22" s="64" t="s">
        <v>98</v>
      </c>
      <c r="AE22" s="67" t="s">
        <v>340</v>
      </c>
      <c r="AF22" s="67" t="s">
        <v>8295</v>
      </c>
      <c r="AG22" s="67" t="s">
        <v>8295</v>
      </c>
      <c r="AH22" s="64" t="s">
        <v>101</v>
      </c>
      <c r="AI22" s="64" t="s">
        <v>90</v>
      </c>
      <c r="AJ22" s="69">
        <v>32629</v>
      </c>
      <c r="AK22" s="67" t="s">
        <v>342</v>
      </c>
      <c r="AL22" s="64" t="s">
        <v>343</v>
      </c>
      <c r="AM22" s="67" t="s">
        <v>149</v>
      </c>
      <c r="AN22" s="67" t="s">
        <v>344</v>
      </c>
      <c r="AO22" s="64" t="s">
        <v>106</v>
      </c>
      <c r="AP22" s="64" t="s">
        <v>345</v>
      </c>
      <c r="AQ22" s="32" t="s">
        <v>198</v>
      </c>
      <c r="AR22" s="64" t="s">
        <v>346</v>
      </c>
      <c r="AS22" s="64" t="s">
        <v>347</v>
      </c>
      <c r="AT22" s="64" t="s">
        <v>90</v>
      </c>
      <c r="AU22" s="64" t="s">
        <v>318</v>
      </c>
      <c r="AV22" s="67">
        <v>40561</v>
      </c>
      <c r="AW22" s="67" t="s">
        <v>7817</v>
      </c>
      <c r="AX22" s="64" t="s">
        <v>101</v>
      </c>
      <c r="AY22" s="64" t="s">
        <v>90</v>
      </c>
      <c r="AZ22" s="125">
        <v>32906</v>
      </c>
      <c r="BA22" s="67" t="s">
        <v>348</v>
      </c>
      <c r="BB22" s="64" t="s">
        <v>428</v>
      </c>
      <c r="BC22" s="67" t="s">
        <v>159</v>
      </c>
      <c r="BD22" s="67" t="s">
        <v>349</v>
      </c>
      <c r="BE22" s="64" t="s">
        <v>98</v>
      </c>
      <c r="BF22" s="64"/>
      <c r="BG22" s="64" t="s">
        <v>345</v>
      </c>
      <c r="BH22" s="67" t="s">
        <v>198</v>
      </c>
      <c r="BI22" s="64" t="s">
        <v>346</v>
      </c>
      <c r="BJ22" s="40" t="s">
        <v>347</v>
      </c>
      <c r="BK22" s="64" t="s">
        <v>90</v>
      </c>
      <c r="BL22" s="67" t="s">
        <v>318</v>
      </c>
      <c r="BM22" s="67">
        <v>40561</v>
      </c>
      <c r="BN22" s="67" t="s">
        <v>161</v>
      </c>
      <c r="BO22" s="64" t="s">
        <v>341</v>
      </c>
      <c r="BP22" s="64" t="s">
        <v>90</v>
      </c>
      <c r="BQ22" s="135">
        <v>32629</v>
      </c>
      <c r="BR22" s="67">
        <v>3217090105890010</v>
      </c>
      <c r="BS22" s="64" t="s">
        <v>343</v>
      </c>
      <c r="BT22" s="67" t="s">
        <v>149</v>
      </c>
      <c r="BU22" s="67">
        <v>89630998085</v>
      </c>
      <c r="BV22" s="64" t="s">
        <v>106</v>
      </c>
      <c r="BW22" s="64" t="s">
        <v>350</v>
      </c>
      <c r="BX22" s="67">
        <v>45385</v>
      </c>
      <c r="BY22" s="64" t="s">
        <v>351</v>
      </c>
      <c r="BZ22" s="64" t="s">
        <v>352</v>
      </c>
      <c r="CA22" s="64" t="s">
        <v>90</v>
      </c>
      <c r="CB22" s="64" t="s">
        <v>313</v>
      </c>
      <c r="CC22" s="64">
        <v>40396</v>
      </c>
      <c r="CD22" s="64" t="s">
        <v>164</v>
      </c>
      <c r="CE22" s="64" t="s">
        <v>7352</v>
      </c>
      <c r="CF22" s="67" t="s">
        <v>198</v>
      </c>
      <c r="CG22" s="64" t="s">
        <v>7014</v>
      </c>
      <c r="CH22" s="64" t="s">
        <v>347</v>
      </c>
      <c r="CI22" s="64" t="s">
        <v>90</v>
      </c>
      <c r="CJ22" s="64" t="s">
        <v>111</v>
      </c>
      <c r="CK22" s="58">
        <v>40561</v>
      </c>
      <c r="CL22" s="64" t="str">
        <f t="shared" ca="1" si="0"/>
        <v>14 Tahun 1 Bulan 16 Hari</v>
      </c>
      <c r="CM2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Jalantir RT/RW 02/13 Desa/Kelurahan Selacau Kecamatan Batujajar Bandung Jawa Barat 40561</v>
      </c>
    </row>
    <row r="23" spans="1:91" ht="24.95" customHeight="1">
      <c r="A23" s="58">
        <f>SUBTOTAL(3,N$8:Table2[[#This Row],[Nama lengkap]])</f>
        <v>16</v>
      </c>
      <c r="B23" s="58" t="s">
        <v>86</v>
      </c>
      <c r="C23" s="58">
        <v>2024</v>
      </c>
      <c r="D23" s="58"/>
      <c r="E23" s="58">
        <v>1</v>
      </c>
      <c r="F23" s="58" t="s">
        <v>87</v>
      </c>
      <c r="G23" s="32" t="s">
        <v>2513</v>
      </c>
      <c r="H23" s="32" t="s">
        <v>2513</v>
      </c>
      <c r="I23" s="32" t="s">
        <v>2513</v>
      </c>
      <c r="J23" s="32"/>
      <c r="K23" s="32"/>
      <c r="L23" s="32"/>
      <c r="M23" s="58">
        <v>24250076</v>
      </c>
      <c r="N23" s="40" t="s">
        <v>5813</v>
      </c>
      <c r="O23" s="40"/>
      <c r="P23" s="32" t="s">
        <v>353</v>
      </c>
      <c r="Q23" s="32" t="s">
        <v>354</v>
      </c>
      <c r="R23" s="67" t="s">
        <v>355</v>
      </c>
      <c r="S23" s="69">
        <v>41002</v>
      </c>
      <c r="T23" s="47" t="s">
        <v>92</v>
      </c>
      <c r="U23" s="58">
        <v>2</v>
      </c>
      <c r="V23" s="58">
        <v>4</v>
      </c>
      <c r="W23" s="47" t="s">
        <v>207</v>
      </c>
      <c r="X23" s="64" t="s">
        <v>142</v>
      </c>
      <c r="Y23" s="64" t="s">
        <v>167</v>
      </c>
      <c r="Z23" s="64" t="s">
        <v>356</v>
      </c>
      <c r="AA23" s="64" t="s">
        <v>96</v>
      </c>
      <c r="AB23" s="64" t="s">
        <v>97</v>
      </c>
      <c r="AC23" s="64" t="s">
        <v>98</v>
      </c>
      <c r="AD23" s="64" t="s">
        <v>98</v>
      </c>
      <c r="AE23" s="67" t="s">
        <v>357</v>
      </c>
      <c r="AF23" s="64" t="s">
        <v>8296</v>
      </c>
      <c r="AG23" s="64" t="s">
        <v>8296</v>
      </c>
      <c r="AH23" s="64" t="s">
        <v>101</v>
      </c>
      <c r="AI23" s="64" t="s">
        <v>358</v>
      </c>
      <c r="AJ23" s="69">
        <v>27373</v>
      </c>
      <c r="AK23" s="67" t="s">
        <v>359</v>
      </c>
      <c r="AL23" s="67" t="s">
        <v>7782</v>
      </c>
      <c r="AM23" s="64" t="s">
        <v>171</v>
      </c>
      <c r="AN23" s="67" t="s">
        <v>361</v>
      </c>
      <c r="AO23" s="67" t="s">
        <v>117</v>
      </c>
      <c r="AP23" s="64" t="s">
        <v>362</v>
      </c>
      <c r="AQ23" s="32" t="s">
        <v>363</v>
      </c>
      <c r="AR23" s="67" t="s">
        <v>364</v>
      </c>
      <c r="AS23" s="64" t="s">
        <v>364</v>
      </c>
      <c r="AT23" s="64" t="s">
        <v>365</v>
      </c>
      <c r="AU23" s="64" t="s">
        <v>366</v>
      </c>
      <c r="AV23" s="64">
        <v>93114</v>
      </c>
      <c r="AW23" s="64" t="s">
        <v>367</v>
      </c>
      <c r="AX23" s="64" t="s">
        <v>101</v>
      </c>
      <c r="AY23" s="64" t="s">
        <v>7784</v>
      </c>
      <c r="AZ23" s="125">
        <v>30534</v>
      </c>
      <c r="BA23" s="67" t="s">
        <v>368</v>
      </c>
      <c r="BB23" s="67" t="s">
        <v>845</v>
      </c>
      <c r="BC23" s="64" t="s">
        <v>369</v>
      </c>
      <c r="BD23" s="67" t="s">
        <v>370</v>
      </c>
      <c r="BE23" s="67" t="s">
        <v>98</v>
      </c>
      <c r="BF23" s="67"/>
      <c r="BG23" s="64" t="s">
        <v>371</v>
      </c>
      <c r="BH23" s="67" t="s">
        <v>363</v>
      </c>
      <c r="BI23" s="67" t="s">
        <v>364</v>
      </c>
      <c r="BJ23" s="40" t="s">
        <v>364</v>
      </c>
      <c r="BK23" s="64" t="s">
        <v>365</v>
      </c>
      <c r="BL23" s="64" t="s">
        <v>366</v>
      </c>
      <c r="BM23" s="64">
        <v>93114</v>
      </c>
      <c r="BN23" s="64" t="s">
        <v>161</v>
      </c>
      <c r="BO23" s="64" t="s">
        <v>372</v>
      </c>
      <c r="BP23" s="64" t="s">
        <v>358</v>
      </c>
      <c r="BQ23" s="135">
        <v>27373</v>
      </c>
      <c r="BR23" s="67">
        <v>7471071012740000</v>
      </c>
      <c r="BS23" s="67" t="s">
        <v>360</v>
      </c>
      <c r="BT23" s="64" t="s">
        <v>171</v>
      </c>
      <c r="BU23" s="67">
        <v>81525829634</v>
      </c>
      <c r="BV23" s="67" t="s">
        <v>117</v>
      </c>
      <c r="BW23" s="64" t="s">
        <v>371</v>
      </c>
      <c r="BX23" s="67" t="s">
        <v>363</v>
      </c>
      <c r="BY23" s="67" t="s">
        <v>364</v>
      </c>
      <c r="BZ23" s="64" t="s">
        <v>364</v>
      </c>
      <c r="CA23" s="64" t="s">
        <v>365</v>
      </c>
      <c r="CB23" s="64" t="s">
        <v>366</v>
      </c>
      <c r="CC23" s="64">
        <v>93114</v>
      </c>
      <c r="CD23" s="64" t="s">
        <v>164</v>
      </c>
      <c r="CE23" s="64" t="s">
        <v>362</v>
      </c>
      <c r="CF23" s="67" t="s">
        <v>363</v>
      </c>
      <c r="CG23" s="64" t="s">
        <v>364</v>
      </c>
      <c r="CH23" s="64" t="s">
        <v>364</v>
      </c>
      <c r="CI23" s="64" t="s">
        <v>365</v>
      </c>
      <c r="CJ23" s="64" t="s">
        <v>7015</v>
      </c>
      <c r="CK23" s="58">
        <v>93114</v>
      </c>
      <c r="CL23" s="64" t="str">
        <f t="shared" ca="1" si="0"/>
        <v>13 Tahun 9 Bulan 20 Hari</v>
      </c>
      <c r="CM2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Jl.Chairil Anwar RT/RW 024/008 Desa/Kelurahan Puuwatu Kecamatan Puuwatu Kota Kendari Sulawesi Tenggara 93114</v>
      </c>
    </row>
    <row r="24" spans="1:91" ht="24.95" customHeight="1">
      <c r="A24" s="58">
        <f>SUBTOTAL(3,N$8:Table2[[#This Row],[Nama lengkap]])</f>
        <v>17</v>
      </c>
      <c r="B24" s="58" t="s">
        <v>86</v>
      </c>
      <c r="C24" s="58">
        <v>2024</v>
      </c>
      <c r="D24" s="58"/>
      <c r="E24" s="58">
        <v>1</v>
      </c>
      <c r="F24" s="58" t="s">
        <v>87</v>
      </c>
      <c r="G24" s="32" t="s">
        <v>2513</v>
      </c>
      <c r="H24" s="32" t="s">
        <v>2513</v>
      </c>
      <c r="I24" s="32" t="s">
        <v>2513</v>
      </c>
      <c r="J24" s="32"/>
      <c r="K24" s="32"/>
      <c r="L24" s="32"/>
      <c r="M24" s="58">
        <v>24250170</v>
      </c>
      <c r="N24" s="40" t="s">
        <v>5815</v>
      </c>
      <c r="O24" s="40"/>
      <c r="P24" s="32" t="s">
        <v>386</v>
      </c>
      <c r="Q24" s="32" t="s">
        <v>387</v>
      </c>
      <c r="R24" s="67" t="s">
        <v>388</v>
      </c>
      <c r="S24" s="69">
        <v>39799</v>
      </c>
      <c r="T24" s="47" t="s">
        <v>92</v>
      </c>
      <c r="U24" s="58">
        <v>1</v>
      </c>
      <c r="V24" s="58">
        <v>3</v>
      </c>
      <c r="W24" s="47" t="s">
        <v>207</v>
      </c>
      <c r="X24" s="64" t="s">
        <v>142</v>
      </c>
      <c r="Y24" s="64" t="s">
        <v>94</v>
      </c>
      <c r="Z24" s="64" t="s">
        <v>255</v>
      </c>
      <c r="AA24" s="64" t="s">
        <v>159</v>
      </c>
      <c r="AB24" s="64" t="s">
        <v>97</v>
      </c>
      <c r="AC24" s="64" t="s">
        <v>98</v>
      </c>
      <c r="AD24" s="64" t="s">
        <v>98</v>
      </c>
      <c r="AE24" s="67" t="s">
        <v>389</v>
      </c>
      <c r="AF24" s="64" t="s">
        <v>8297</v>
      </c>
      <c r="AG24" s="64" t="s">
        <v>8297</v>
      </c>
      <c r="AH24" s="64" t="s">
        <v>101</v>
      </c>
      <c r="AI24" s="64" t="s">
        <v>122</v>
      </c>
      <c r="AJ24" s="69">
        <v>30108</v>
      </c>
      <c r="AK24" s="67" t="s">
        <v>391</v>
      </c>
      <c r="AL24" s="67" t="s">
        <v>114</v>
      </c>
      <c r="AM24" s="64" t="s">
        <v>159</v>
      </c>
      <c r="AN24" s="67" t="s">
        <v>392</v>
      </c>
      <c r="AO24" s="67" t="s">
        <v>315</v>
      </c>
      <c r="AP24" s="64" t="s">
        <v>393</v>
      </c>
      <c r="AQ24" s="32" t="s">
        <v>394</v>
      </c>
      <c r="AR24" s="67" t="s">
        <v>395</v>
      </c>
      <c r="AS24" s="64" t="s">
        <v>395</v>
      </c>
      <c r="AT24" s="64" t="s">
        <v>396</v>
      </c>
      <c r="AU24" s="64" t="s">
        <v>397</v>
      </c>
      <c r="AV24" s="64">
        <v>13740</v>
      </c>
      <c r="AW24" s="64" t="s">
        <v>398</v>
      </c>
      <c r="AX24" s="64" t="s">
        <v>101</v>
      </c>
      <c r="AY24" s="64" t="s">
        <v>122</v>
      </c>
      <c r="AZ24" s="125">
        <v>32509</v>
      </c>
      <c r="BA24" s="67" t="s">
        <v>399</v>
      </c>
      <c r="BB24" s="67" t="s">
        <v>428</v>
      </c>
      <c r="BC24" s="64" t="s">
        <v>159</v>
      </c>
      <c r="BD24" s="67" t="s">
        <v>400</v>
      </c>
      <c r="BE24" s="67" t="s">
        <v>98</v>
      </c>
      <c r="BF24" s="67"/>
      <c r="BG24" s="64" t="s">
        <v>401</v>
      </c>
      <c r="BH24" s="67" t="s">
        <v>394</v>
      </c>
      <c r="BI24" s="67" t="s">
        <v>395</v>
      </c>
      <c r="BJ24" s="40" t="s">
        <v>395</v>
      </c>
      <c r="BK24" s="64" t="s">
        <v>396</v>
      </c>
      <c r="BL24" s="64" t="s">
        <v>397</v>
      </c>
      <c r="BM24" s="64">
        <v>13740</v>
      </c>
      <c r="BN24" s="64" t="s">
        <v>161</v>
      </c>
      <c r="BO24" s="64" t="s">
        <v>390</v>
      </c>
      <c r="BP24" s="64" t="s">
        <v>122</v>
      </c>
      <c r="BQ24" s="135">
        <v>30108</v>
      </c>
      <c r="BR24" s="67">
        <v>3211150606820000</v>
      </c>
      <c r="BS24" s="67" t="s">
        <v>114</v>
      </c>
      <c r="BT24" s="64" t="s">
        <v>159</v>
      </c>
      <c r="BU24" s="67">
        <v>82211000382</v>
      </c>
      <c r="BV24" s="67" t="s">
        <v>315</v>
      </c>
      <c r="BW24" s="64" t="s">
        <v>393</v>
      </c>
      <c r="BX24" s="67" t="s">
        <v>394</v>
      </c>
      <c r="BY24" s="67" t="s">
        <v>395</v>
      </c>
      <c r="BZ24" s="64" t="s">
        <v>395</v>
      </c>
      <c r="CA24" s="64" t="s">
        <v>396</v>
      </c>
      <c r="CB24" s="64" t="s">
        <v>397</v>
      </c>
      <c r="CC24" s="64">
        <v>13740</v>
      </c>
      <c r="CD24" s="64" t="s">
        <v>402</v>
      </c>
      <c r="CE24" s="64" t="s">
        <v>7353</v>
      </c>
      <c r="CF24" s="67" t="s">
        <v>394</v>
      </c>
      <c r="CG24" s="64" t="s">
        <v>395</v>
      </c>
      <c r="CH24" s="64" t="s">
        <v>395</v>
      </c>
      <c r="CI24" s="64" t="s">
        <v>7016</v>
      </c>
      <c r="CJ24" s="64" t="s">
        <v>7017</v>
      </c>
      <c r="CK24" s="58">
        <v>13740</v>
      </c>
      <c r="CL24" s="64" t="str">
        <f t="shared" ca="1" si="0"/>
        <v>17 Tahun 1 Bulan 6 Hari</v>
      </c>
      <c r="CM2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Jl.Poncol Gg.Nusaindah RT/RW 001/007 Desa/Kelurahan Ciracas Kecamatan Ciracas Jakarta Timur Dki Jakarta 13740</v>
      </c>
    </row>
    <row r="25" spans="1:91" ht="24.95" customHeight="1">
      <c r="A25" s="58">
        <f>SUBTOTAL(3,N$8:Table2[[#This Row],[Nama lengkap]])</f>
        <v>18</v>
      </c>
      <c r="B25" s="58" t="s">
        <v>86</v>
      </c>
      <c r="C25" s="58">
        <v>2024</v>
      </c>
      <c r="D25" s="58"/>
      <c r="E25" s="58">
        <v>1</v>
      </c>
      <c r="F25" s="58" t="s">
        <v>87</v>
      </c>
      <c r="G25" s="165" t="s">
        <v>9962</v>
      </c>
      <c r="H25" s="32"/>
      <c r="I25" s="32"/>
      <c r="J25" s="32"/>
      <c r="K25" s="32"/>
      <c r="L25" s="32"/>
      <c r="M25" s="58">
        <v>24250090</v>
      </c>
      <c r="N25" s="40" t="s">
        <v>5816</v>
      </c>
      <c r="O25" s="40"/>
      <c r="P25" s="32" t="s">
        <v>403</v>
      </c>
      <c r="Q25" s="32" t="s">
        <v>404</v>
      </c>
      <c r="R25" s="67" t="s">
        <v>90</v>
      </c>
      <c r="S25" s="69">
        <v>40747</v>
      </c>
      <c r="T25" s="47" t="s">
        <v>92</v>
      </c>
      <c r="U25" s="58">
        <v>2</v>
      </c>
      <c r="V25" s="58">
        <v>2</v>
      </c>
      <c r="W25" s="47" t="s">
        <v>207</v>
      </c>
      <c r="X25" s="64" t="s">
        <v>123</v>
      </c>
      <c r="Y25" s="64" t="s">
        <v>143</v>
      </c>
      <c r="Z25" s="64" t="s">
        <v>114</v>
      </c>
      <c r="AA25" s="64" t="s">
        <v>96</v>
      </c>
      <c r="AB25" s="64" t="s">
        <v>97</v>
      </c>
      <c r="AC25" s="64" t="s">
        <v>98</v>
      </c>
      <c r="AD25" s="64" t="s">
        <v>98</v>
      </c>
      <c r="AE25" s="67" t="s">
        <v>405</v>
      </c>
      <c r="AF25" s="64" t="s">
        <v>8298</v>
      </c>
      <c r="AG25" s="64" t="s">
        <v>8298</v>
      </c>
      <c r="AH25" s="64" t="s">
        <v>101</v>
      </c>
      <c r="AI25" s="64" t="s">
        <v>236</v>
      </c>
      <c r="AJ25" s="69">
        <v>30510</v>
      </c>
      <c r="AK25" s="67" t="s">
        <v>406</v>
      </c>
      <c r="AL25" s="67" t="s">
        <v>114</v>
      </c>
      <c r="AM25" s="64" t="s">
        <v>171</v>
      </c>
      <c r="AN25" s="67" t="s">
        <v>407</v>
      </c>
      <c r="AO25" s="67" t="s">
        <v>106</v>
      </c>
      <c r="AP25" s="64" t="s">
        <v>408</v>
      </c>
      <c r="AQ25" s="32" t="s">
        <v>152</v>
      </c>
      <c r="AR25" s="67" t="s">
        <v>409</v>
      </c>
      <c r="AS25" s="64" t="s">
        <v>410</v>
      </c>
      <c r="AT25" s="64" t="s">
        <v>90</v>
      </c>
      <c r="AU25" s="64" t="s">
        <v>111</v>
      </c>
      <c r="AV25" s="64">
        <v>40383</v>
      </c>
      <c r="AW25" s="64" t="s">
        <v>411</v>
      </c>
      <c r="AX25" s="64" t="s">
        <v>101</v>
      </c>
      <c r="AY25" s="64" t="s">
        <v>90</v>
      </c>
      <c r="AZ25" s="125">
        <v>31950</v>
      </c>
      <c r="BA25" s="67" t="s">
        <v>412</v>
      </c>
      <c r="BB25" s="67" t="s">
        <v>7767</v>
      </c>
      <c r="BC25" s="64" t="s">
        <v>413</v>
      </c>
      <c r="BD25" s="67" t="s">
        <v>414</v>
      </c>
      <c r="BE25" s="67" t="s">
        <v>98</v>
      </c>
      <c r="BF25" s="67"/>
      <c r="BG25" s="64" t="s">
        <v>408</v>
      </c>
      <c r="BH25" s="67" t="s">
        <v>152</v>
      </c>
      <c r="BI25" s="67" t="s">
        <v>409</v>
      </c>
      <c r="BJ25" s="40" t="s">
        <v>410</v>
      </c>
      <c r="BK25" s="64" t="s">
        <v>90</v>
      </c>
      <c r="BL25" s="64" t="s">
        <v>111</v>
      </c>
      <c r="BM25" s="64">
        <v>40383</v>
      </c>
      <c r="BN25" s="64" t="s">
        <v>138</v>
      </c>
      <c r="BO25" s="64" t="s">
        <v>138</v>
      </c>
      <c r="BP25" s="64"/>
      <c r="BQ25" s="135"/>
      <c r="BR25" s="67"/>
      <c r="BS25" s="67"/>
      <c r="BT25" s="64"/>
      <c r="BU25" s="67" t="s">
        <v>138</v>
      </c>
      <c r="BV25" s="67"/>
      <c r="BW25" s="64"/>
      <c r="BX25" s="67"/>
      <c r="BY25" s="67"/>
      <c r="BZ25" s="64"/>
      <c r="CA25" s="64"/>
      <c r="CB25" s="64"/>
      <c r="CC25" s="64"/>
      <c r="CD25" s="64"/>
      <c r="CE25" s="64" t="s">
        <v>408</v>
      </c>
      <c r="CF25" s="67" t="s">
        <v>152</v>
      </c>
      <c r="CG25" s="64" t="s">
        <v>409</v>
      </c>
      <c r="CH25" s="64" t="s">
        <v>410</v>
      </c>
      <c r="CI25" s="64" t="s">
        <v>90</v>
      </c>
      <c r="CJ25" s="64" t="s">
        <v>111</v>
      </c>
      <c r="CK25" s="58">
        <v>40383</v>
      </c>
      <c r="CL25" s="64" t="str">
        <f t="shared" ca="1" si="0"/>
        <v>14 Tahun 6 Bulan 0 Hari</v>
      </c>
      <c r="CM2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Babakan Jati RT/RW 02/03 Desa/Kelurahan Cipaku Kecamatan Paseh Bandung Jawa Barat 40383</v>
      </c>
    </row>
    <row r="26" spans="1:91" ht="24.95" customHeight="1">
      <c r="A26" s="58">
        <f>SUBTOTAL(3,N$8:Table2[[#This Row],[Nama lengkap]])</f>
        <v>19</v>
      </c>
      <c r="B26" s="58" t="s">
        <v>86</v>
      </c>
      <c r="C26" s="58">
        <v>2024</v>
      </c>
      <c r="D26" s="58"/>
      <c r="E26" s="58">
        <v>1</v>
      </c>
      <c r="F26" s="58" t="s">
        <v>87</v>
      </c>
      <c r="G26" s="32" t="s">
        <v>2513</v>
      </c>
      <c r="H26" s="32" t="s">
        <v>2513</v>
      </c>
      <c r="I26" s="32" t="s">
        <v>2513</v>
      </c>
      <c r="J26" s="32"/>
      <c r="K26" s="32"/>
      <c r="L26" s="32"/>
      <c r="M26" s="58">
        <v>24250140</v>
      </c>
      <c r="N26" s="40" t="s">
        <v>5817</v>
      </c>
      <c r="O26" s="40"/>
      <c r="P26" s="32" t="s">
        <v>415</v>
      </c>
      <c r="Q26" s="32" t="s">
        <v>416</v>
      </c>
      <c r="R26" s="67" t="s">
        <v>90</v>
      </c>
      <c r="S26" s="69">
        <v>40808</v>
      </c>
      <c r="T26" s="47" t="s">
        <v>92</v>
      </c>
      <c r="U26" s="58">
        <v>1</v>
      </c>
      <c r="V26" s="58">
        <v>2</v>
      </c>
      <c r="W26" s="47" t="s">
        <v>207</v>
      </c>
      <c r="X26" s="64" t="s">
        <v>123</v>
      </c>
      <c r="Y26" s="64" t="s">
        <v>94</v>
      </c>
      <c r="Z26" s="64" t="s">
        <v>95</v>
      </c>
      <c r="AA26" s="64" t="s">
        <v>96</v>
      </c>
      <c r="AB26" s="64" t="s">
        <v>97</v>
      </c>
      <c r="AC26" s="64" t="s">
        <v>417</v>
      </c>
      <c r="AD26" s="64" t="s">
        <v>98</v>
      </c>
      <c r="AE26" s="67" t="s">
        <v>418</v>
      </c>
      <c r="AF26" s="64" t="s">
        <v>419</v>
      </c>
      <c r="AG26" s="64" t="s">
        <v>419</v>
      </c>
      <c r="AH26" s="64" t="s">
        <v>101</v>
      </c>
      <c r="AI26" s="64" t="s">
        <v>90</v>
      </c>
      <c r="AJ26" s="69">
        <v>31438</v>
      </c>
      <c r="AK26" s="67" t="s">
        <v>420</v>
      </c>
      <c r="AL26" s="67" t="s">
        <v>343</v>
      </c>
      <c r="AM26" s="64" t="s">
        <v>149</v>
      </c>
      <c r="AN26" s="67" t="s">
        <v>421</v>
      </c>
      <c r="AO26" s="67" t="s">
        <v>130</v>
      </c>
      <c r="AP26" s="64" t="s">
        <v>422</v>
      </c>
      <c r="AQ26" s="32" t="s">
        <v>423</v>
      </c>
      <c r="AR26" s="67" t="s">
        <v>424</v>
      </c>
      <c r="AS26" s="64" t="s">
        <v>176</v>
      </c>
      <c r="AT26" s="64" t="s">
        <v>90</v>
      </c>
      <c r="AU26" s="64" t="s">
        <v>111</v>
      </c>
      <c r="AV26" s="64">
        <v>40381</v>
      </c>
      <c r="AW26" s="64" t="s">
        <v>425</v>
      </c>
      <c r="AX26" s="64" t="s">
        <v>101</v>
      </c>
      <c r="AY26" s="64" t="s">
        <v>426</v>
      </c>
      <c r="AZ26" s="125">
        <v>31869</v>
      </c>
      <c r="BA26" s="67" t="s">
        <v>427</v>
      </c>
      <c r="BB26" s="67" t="s">
        <v>428</v>
      </c>
      <c r="BC26" s="64" t="s">
        <v>149</v>
      </c>
      <c r="BD26" s="67" t="s">
        <v>429</v>
      </c>
      <c r="BE26" s="67" t="s">
        <v>98</v>
      </c>
      <c r="BF26" s="67"/>
      <c r="BG26" s="64" t="s">
        <v>422</v>
      </c>
      <c r="BH26" s="67" t="s">
        <v>423</v>
      </c>
      <c r="BI26" s="67" t="s">
        <v>424</v>
      </c>
      <c r="BJ26" s="40" t="s">
        <v>176</v>
      </c>
      <c r="BK26" s="64" t="s">
        <v>90</v>
      </c>
      <c r="BL26" s="64" t="s">
        <v>111</v>
      </c>
      <c r="BM26" s="64">
        <v>40381</v>
      </c>
      <c r="BN26" s="64" t="s">
        <v>161</v>
      </c>
      <c r="BO26" s="64" t="s">
        <v>419</v>
      </c>
      <c r="BP26" s="64"/>
      <c r="BQ26" s="135"/>
      <c r="BR26" s="67"/>
      <c r="BS26" s="67"/>
      <c r="BT26" s="64"/>
      <c r="BU26" s="67">
        <v>85320667850</v>
      </c>
      <c r="BV26" s="67" t="s">
        <v>130</v>
      </c>
      <c r="BW26" s="64"/>
      <c r="BX26" s="67"/>
      <c r="BY26" s="67"/>
      <c r="BZ26" s="64"/>
      <c r="CA26" s="64"/>
      <c r="CB26" s="64"/>
      <c r="CC26" s="64"/>
      <c r="CD26" s="64"/>
      <c r="CE26" s="64" t="s">
        <v>422</v>
      </c>
      <c r="CF26" s="67" t="s">
        <v>423</v>
      </c>
      <c r="CG26" s="64" t="s">
        <v>424</v>
      </c>
      <c r="CH26" s="64" t="s">
        <v>176</v>
      </c>
      <c r="CI26" s="64" t="s">
        <v>90</v>
      </c>
      <c r="CJ26" s="64" t="s">
        <v>111</v>
      </c>
      <c r="CK26" s="58">
        <v>40381</v>
      </c>
      <c r="CL26" s="64" t="str">
        <f t="shared" ca="1" si="0"/>
        <v>14 Tahun 4 Bulan 1 Hari</v>
      </c>
      <c r="CM2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Kp.Babakan Cianjur RT/RW 001/008 Desa/Kelurahan Sumbersari Kecamatan Ciparay Bandung Jawa Barat 40381</v>
      </c>
    </row>
    <row r="27" spans="1:91" ht="24.95" customHeight="1">
      <c r="A27" s="58">
        <f>SUBTOTAL(3,N$8:Table2[[#This Row],[Nama lengkap]])</f>
        <v>20</v>
      </c>
      <c r="B27" s="58" t="s">
        <v>86</v>
      </c>
      <c r="C27" s="58">
        <v>2024</v>
      </c>
      <c r="D27" s="58"/>
      <c r="E27" s="58">
        <v>1</v>
      </c>
      <c r="F27" s="58" t="s">
        <v>87</v>
      </c>
      <c r="G27" s="32" t="s">
        <v>2513</v>
      </c>
      <c r="H27" s="32" t="s">
        <v>2513</v>
      </c>
      <c r="I27" s="32" t="s">
        <v>2513</v>
      </c>
      <c r="J27" s="32"/>
      <c r="K27" s="32"/>
      <c r="L27" s="32"/>
      <c r="M27" s="58">
        <v>24250133</v>
      </c>
      <c r="N27" s="40" t="s">
        <v>5818</v>
      </c>
      <c r="O27" s="40"/>
      <c r="P27" s="32" t="s">
        <v>430</v>
      </c>
      <c r="Q27" s="32" t="s">
        <v>431</v>
      </c>
      <c r="R27" s="67" t="s">
        <v>90</v>
      </c>
      <c r="S27" s="69">
        <v>40666</v>
      </c>
      <c r="T27" s="47" t="s">
        <v>92</v>
      </c>
      <c r="U27" s="58">
        <v>1</v>
      </c>
      <c r="V27" s="58" t="s">
        <v>138</v>
      </c>
      <c r="W27" s="47" t="s">
        <v>207</v>
      </c>
      <c r="X27" s="64" t="s">
        <v>432</v>
      </c>
      <c r="Y27" s="64" t="s">
        <v>285</v>
      </c>
      <c r="Z27" s="64" t="s">
        <v>255</v>
      </c>
      <c r="AA27" s="64" t="s">
        <v>96</v>
      </c>
      <c r="AB27" s="64" t="s">
        <v>97</v>
      </c>
      <c r="AC27" s="64" t="s">
        <v>98</v>
      </c>
      <c r="AD27" s="64" t="s">
        <v>98</v>
      </c>
      <c r="AE27" s="67" t="s">
        <v>433</v>
      </c>
      <c r="AF27" s="67" t="s">
        <v>7818</v>
      </c>
      <c r="AG27" s="64" t="s">
        <v>8299</v>
      </c>
      <c r="AH27" s="64" t="s">
        <v>101</v>
      </c>
      <c r="AI27" s="64" t="s">
        <v>435</v>
      </c>
      <c r="AJ27" s="69">
        <v>25914</v>
      </c>
      <c r="AK27" s="67" t="s">
        <v>436</v>
      </c>
      <c r="AL27" s="67" t="s">
        <v>437</v>
      </c>
      <c r="AM27" s="64" t="s">
        <v>159</v>
      </c>
      <c r="AN27" s="67" t="s">
        <v>138</v>
      </c>
      <c r="AO27" s="67" t="s">
        <v>117</v>
      </c>
      <c r="AP27" s="64" t="s">
        <v>438</v>
      </c>
      <c r="AQ27" s="32" t="s">
        <v>439</v>
      </c>
      <c r="AR27" s="67" t="s">
        <v>138</v>
      </c>
      <c r="AS27" s="64" t="s">
        <v>138</v>
      </c>
      <c r="AT27" s="64" t="s">
        <v>438</v>
      </c>
      <c r="AU27" s="64" t="s">
        <v>111</v>
      </c>
      <c r="AV27" s="64">
        <v>0</v>
      </c>
      <c r="AW27" s="64" t="s">
        <v>7818</v>
      </c>
      <c r="AX27" s="64" t="s">
        <v>101</v>
      </c>
      <c r="AY27" s="64" t="s">
        <v>90</v>
      </c>
      <c r="AZ27" s="125">
        <v>33884</v>
      </c>
      <c r="BA27" s="67" t="s">
        <v>440</v>
      </c>
      <c r="BB27" s="67" t="s">
        <v>441</v>
      </c>
      <c r="BC27" s="64" t="s">
        <v>149</v>
      </c>
      <c r="BD27" s="67" t="s">
        <v>442</v>
      </c>
      <c r="BE27" s="67" t="s">
        <v>130</v>
      </c>
      <c r="BF27" s="67"/>
      <c r="BG27" s="64" t="s">
        <v>443</v>
      </c>
      <c r="BH27" s="67" t="s">
        <v>444</v>
      </c>
      <c r="BI27" s="67" t="s">
        <v>445</v>
      </c>
      <c r="BJ27" s="40" t="s">
        <v>446</v>
      </c>
      <c r="BK27" s="64" t="s">
        <v>90</v>
      </c>
      <c r="BL27" s="64" t="s">
        <v>111</v>
      </c>
      <c r="BM27" s="64" t="s">
        <v>447</v>
      </c>
      <c r="BN27" s="64" t="s">
        <v>448</v>
      </c>
      <c r="BO27" s="64" t="s">
        <v>434</v>
      </c>
      <c r="BP27" s="64" t="s">
        <v>90</v>
      </c>
      <c r="BQ27" s="135">
        <v>33884</v>
      </c>
      <c r="BR27" s="67">
        <v>3273304710920000</v>
      </c>
      <c r="BS27" s="67" t="s">
        <v>441</v>
      </c>
      <c r="BT27" s="64" t="s">
        <v>149</v>
      </c>
      <c r="BU27" s="67">
        <v>87733704001</v>
      </c>
      <c r="BV27" s="67" t="s">
        <v>130</v>
      </c>
      <c r="BW27" s="64" t="s">
        <v>449</v>
      </c>
      <c r="BX27" s="67">
        <v>45476</v>
      </c>
      <c r="BY27" s="67" t="s">
        <v>445</v>
      </c>
      <c r="BZ27" s="64" t="s">
        <v>446</v>
      </c>
      <c r="CA27" s="64" t="s">
        <v>90</v>
      </c>
      <c r="CB27" s="64" t="s">
        <v>111</v>
      </c>
      <c r="CC27" s="64">
        <v>40195</v>
      </c>
      <c r="CD27" s="64" t="s">
        <v>185</v>
      </c>
      <c r="CE27" s="64" t="s">
        <v>438</v>
      </c>
      <c r="CF27" s="67" t="s">
        <v>439</v>
      </c>
      <c r="CG27" s="64"/>
      <c r="CH27" s="64"/>
      <c r="CI27" s="64" t="s">
        <v>438</v>
      </c>
      <c r="CJ27" s="64" t="s">
        <v>111</v>
      </c>
      <c r="CK27" s="58">
        <v>0</v>
      </c>
      <c r="CL27" s="64" t="str">
        <f t="shared" ca="1" si="0"/>
        <v>14 Tahun 8 Bulan 20 Hari</v>
      </c>
      <c r="CM2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Cikarang RT/RW 00/00 Desa/Kelurahan  Kecamatan  Cikarang Jawa Barat 0</v>
      </c>
    </row>
    <row r="28" spans="1:91" ht="24.95" customHeight="1">
      <c r="A28" s="58">
        <f>SUBTOTAL(3,N$8:Table2[[#This Row],[Nama lengkap]])</f>
        <v>21</v>
      </c>
      <c r="B28" s="58" t="s">
        <v>86</v>
      </c>
      <c r="C28" s="58">
        <v>2024</v>
      </c>
      <c r="D28" s="58"/>
      <c r="E28" s="58">
        <v>1</v>
      </c>
      <c r="F28" s="58" t="s">
        <v>87</v>
      </c>
      <c r="G28" s="32" t="s">
        <v>2513</v>
      </c>
      <c r="H28" s="32" t="s">
        <v>2513</v>
      </c>
      <c r="I28" s="32" t="s">
        <v>2513</v>
      </c>
      <c r="J28" s="32"/>
      <c r="K28" s="32"/>
      <c r="L28" s="32"/>
      <c r="M28" s="58">
        <v>24250086</v>
      </c>
      <c r="N28" s="40" t="s">
        <v>5819</v>
      </c>
      <c r="O28" s="40"/>
      <c r="P28" s="32" t="s">
        <v>450</v>
      </c>
      <c r="Q28" s="32" t="s">
        <v>451</v>
      </c>
      <c r="R28" s="67" t="s">
        <v>219</v>
      </c>
      <c r="S28" s="69">
        <v>41097</v>
      </c>
      <c r="T28" s="47" t="s">
        <v>92</v>
      </c>
      <c r="U28" s="58">
        <v>1</v>
      </c>
      <c r="V28" s="58">
        <v>2</v>
      </c>
      <c r="W28" s="47" t="s">
        <v>207</v>
      </c>
      <c r="X28" s="64" t="s">
        <v>142</v>
      </c>
      <c r="Y28" s="64" t="s">
        <v>453</v>
      </c>
      <c r="Z28" s="64" t="s">
        <v>95</v>
      </c>
      <c r="AA28" s="64" t="s">
        <v>96</v>
      </c>
      <c r="AB28" s="64" t="s">
        <v>97</v>
      </c>
      <c r="AC28" s="64" t="s">
        <v>98</v>
      </c>
      <c r="AD28" s="64" t="s">
        <v>98</v>
      </c>
      <c r="AE28" s="67" t="s">
        <v>454</v>
      </c>
      <c r="AF28" s="67" t="s">
        <v>8300</v>
      </c>
      <c r="AG28" s="64" t="s">
        <v>8300</v>
      </c>
      <c r="AH28" s="64" t="s">
        <v>101</v>
      </c>
      <c r="AI28" s="64" t="s">
        <v>456</v>
      </c>
      <c r="AJ28" s="69">
        <v>28233</v>
      </c>
      <c r="AK28" s="67" t="s">
        <v>457</v>
      </c>
      <c r="AL28" s="67" t="s">
        <v>343</v>
      </c>
      <c r="AM28" s="64" t="s">
        <v>96</v>
      </c>
      <c r="AN28" s="67" t="s">
        <v>458</v>
      </c>
      <c r="AO28" s="67" t="s">
        <v>315</v>
      </c>
      <c r="AP28" s="64" t="s">
        <v>452</v>
      </c>
      <c r="AQ28" s="32" t="s">
        <v>459</v>
      </c>
      <c r="AR28" s="67" t="s">
        <v>452</v>
      </c>
      <c r="AS28" s="64" t="s">
        <v>460</v>
      </c>
      <c r="AT28" s="64" t="s">
        <v>461</v>
      </c>
      <c r="AU28" s="64" t="s">
        <v>230</v>
      </c>
      <c r="AV28" s="64">
        <v>38366</v>
      </c>
      <c r="AW28" s="64" t="s">
        <v>7819</v>
      </c>
      <c r="AX28" s="64" t="s">
        <v>101</v>
      </c>
      <c r="AY28" s="64" t="s">
        <v>219</v>
      </c>
      <c r="AZ28" s="125">
        <v>32536</v>
      </c>
      <c r="BA28" s="67" t="s">
        <v>462</v>
      </c>
      <c r="BB28" s="67" t="s">
        <v>428</v>
      </c>
      <c r="BC28" s="64" t="s">
        <v>159</v>
      </c>
      <c r="BD28" s="67" t="s">
        <v>463</v>
      </c>
      <c r="BE28" s="67" t="s">
        <v>98</v>
      </c>
      <c r="BF28" s="67"/>
      <c r="BG28" s="64" t="s">
        <v>452</v>
      </c>
      <c r="BH28" s="67" t="s">
        <v>459</v>
      </c>
      <c r="BI28" s="67" t="s">
        <v>452</v>
      </c>
      <c r="BJ28" s="40" t="s">
        <v>460</v>
      </c>
      <c r="BK28" s="64" t="s">
        <v>464</v>
      </c>
      <c r="BL28" s="64" t="s">
        <v>230</v>
      </c>
      <c r="BM28" s="64">
        <v>38366</v>
      </c>
      <c r="BN28" s="64" t="s">
        <v>161</v>
      </c>
      <c r="BO28" s="64" t="s">
        <v>455</v>
      </c>
      <c r="BP28" s="64" t="s">
        <v>456</v>
      </c>
      <c r="BQ28" s="135">
        <v>28233</v>
      </c>
      <c r="BR28" s="67">
        <v>1706041804770000</v>
      </c>
      <c r="BS28" s="67" t="s">
        <v>343</v>
      </c>
      <c r="BT28" s="64" t="s">
        <v>96</v>
      </c>
      <c r="BU28" s="67">
        <v>83171285817</v>
      </c>
      <c r="BV28" s="67" t="s">
        <v>315</v>
      </c>
      <c r="BW28" s="64" t="s">
        <v>452</v>
      </c>
      <c r="BX28" s="67" t="s">
        <v>459</v>
      </c>
      <c r="BY28" s="67" t="s">
        <v>452</v>
      </c>
      <c r="BZ28" s="64" t="s">
        <v>460</v>
      </c>
      <c r="CA28" s="64" t="s">
        <v>461</v>
      </c>
      <c r="CB28" s="64" t="s">
        <v>230</v>
      </c>
      <c r="CC28" s="64">
        <v>38366</v>
      </c>
      <c r="CD28" s="64" t="s">
        <v>164</v>
      </c>
      <c r="CE28" s="64" t="s">
        <v>219</v>
      </c>
      <c r="CF28" s="67" t="s">
        <v>459</v>
      </c>
      <c r="CG28" s="64" t="s">
        <v>219</v>
      </c>
      <c r="CH28" s="64" t="s">
        <v>228</v>
      </c>
      <c r="CI28" s="64" t="s">
        <v>229</v>
      </c>
      <c r="CJ28" s="64" t="s">
        <v>230</v>
      </c>
      <c r="CK28" s="58">
        <v>38366</v>
      </c>
      <c r="CL28" s="64" t="str">
        <f t="shared" ca="1" si="0"/>
        <v>13 Tahun 6 Bulan 16 Hari</v>
      </c>
      <c r="CM2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Air Hitam RT/RW 006/002 Desa/Kelurahan Air Hitam Kecamatan Pondok Suguh Muko Muko Bengkulu 38366</v>
      </c>
    </row>
    <row r="29" spans="1:91" ht="24.95" customHeight="1">
      <c r="A29" s="58">
        <f>SUBTOTAL(3,N$8:Table2[[#This Row],[Nama lengkap]])</f>
        <v>22</v>
      </c>
      <c r="B29" s="58" t="s">
        <v>86</v>
      </c>
      <c r="C29" s="58">
        <v>2024</v>
      </c>
      <c r="D29" s="58"/>
      <c r="E29" s="58">
        <v>1</v>
      </c>
      <c r="F29" s="58" t="s">
        <v>87</v>
      </c>
      <c r="G29" s="165" t="s">
        <v>93</v>
      </c>
      <c r="H29" s="32"/>
      <c r="I29" s="32"/>
      <c r="J29" s="32"/>
      <c r="K29" s="32"/>
      <c r="L29" s="32"/>
      <c r="M29" s="58">
        <v>24250065</v>
      </c>
      <c r="N29" s="40" t="s">
        <v>5820</v>
      </c>
      <c r="O29" s="40"/>
      <c r="P29" s="32" t="s">
        <v>465</v>
      </c>
      <c r="Q29" s="32" t="s">
        <v>466</v>
      </c>
      <c r="R29" s="67" t="s">
        <v>90</v>
      </c>
      <c r="S29" s="69">
        <v>40911</v>
      </c>
      <c r="T29" s="47" t="s">
        <v>92</v>
      </c>
      <c r="U29" s="58">
        <v>3</v>
      </c>
      <c r="V29" s="58">
        <v>3</v>
      </c>
      <c r="W29" s="47" t="s">
        <v>207</v>
      </c>
      <c r="X29" s="64" t="s">
        <v>142</v>
      </c>
      <c r="Y29" s="64" t="s">
        <v>124</v>
      </c>
      <c r="Z29" s="64" t="s">
        <v>95</v>
      </c>
      <c r="AA29" s="64" t="s">
        <v>96</v>
      </c>
      <c r="AB29" s="64" t="s">
        <v>97</v>
      </c>
      <c r="AC29" s="64" t="s">
        <v>98</v>
      </c>
      <c r="AD29" s="64" t="s">
        <v>98</v>
      </c>
      <c r="AE29" s="67" t="s">
        <v>467</v>
      </c>
      <c r="AF29" s="67" t="s">
        <v>468</v>
      </c>
      <c r="AG29" s="64" t="s">
        <v>468</v>
      </c>
      <c r="AH29" s="64" t="s">
        <v>101</v>
      </c>
      <c r="AI29" s="64" t="s">
        <v>90</v>
      </c>
      <c r="AJ29" s="69">
        <v>27052</v>
      </c>
      <c r="AK29" s="67" t="s">
        <v>469</v>
      </c>
      <c r="AL29" s="67" t="s">
        <v>470</v>
      </c>
      <c r="AM29" s="64" t="s">
        <v>149</v>
      </c>
      <c r="AN29" s="67" t="s">
        <v>471</v>
      </c>
      <c r="AO29" s="67" t="s">
        <v>117</v>
      </c>
      <c r="AP29" s="64" t="s">
        <v>472</v>
      </c>
      <c r="AQ29" s="32" t="s">
        <v>473</v>
      </c>
      <c r="AR29" s="67" t="s">
        <v>474</v>
      </c>
      <c r="AS29" s="64" t="s">
        <v>474</v>
      </c>
      <c r="AT29" s="64" t="s">
        <v>90</v>
      </c>
      <c r="AU29" s="64" t="s">
        <v>111</v>
      </c>
      <c r="AV29" s="64">
        <v>40288</v>
      </c>
      <c r="AW29" s="64" t="s">
        <v>475</v>
      </c>
      <c r="AX29" s="64" t="s">
        <v>101</v>
      </c>
      <c r="AY29" s="64" t="s">
        <v>122</v>
      </c>
      <c r="AZ29" s="125">
        <v>30276</v>
      </c>
      <c r="BA29" s="67" t="s">
        <v>476</v>
      </c>
      <c r="BB29" s="67" t="s">
        <v>428</v>
      </c>
      <c r="BC29" s="64" t="s">
        <v>159</v>
      </c>
      <c r="BD29" s="67" t="s">
        <v>477</v>
      </c>
      <c r="BE29" s="67" t="s">
        <v>98</v>
      </c>
      <c r="BF29" s="67"/>
      <c r="BG29" s="64" t="s">
        <v>472</v>
      </c>
      <c r="BH29" s="67" t="s">
        <v>473</v>
      </c>
      <c r="BI29" s="67" t="s">
        <v>474</v>
      </c>
      <c r="BJ29" s="40" t="s">
        <v>474</v>
      </c>
      <c r="BK29" s="64" t="s">
        <v>90</v>
      </c>
      <c r="BL29" s="64" t="s">
        <v>111</v>
      </c>
      <c r="BM29" s="64">
        <v>40288</v>
      </c>
      <c r="BN29" s="64" t="s">
        <v>161</v>
      </c>
      <c r="BO29" s="64" t="s">
        <v>478</v>
      </c>
      <c r="BP29" s="64" t="s">
        <v>90</v>
      </c>
      <c r="BQ29" s="135">
        <v>27052</v>
      </c>
      <c r="BR29" s="67">
        <v>3204082301740000</v>
      </c>
      <c r="BS29" s="67" t="s">
        <v>441</v>
      </c>
      <c r="BT29" s="64" t="s">
        <v>149</v>
      </c>
      <c r="BU29" s="67">
        <v>89602491890</v>
      </c>
      <c r="BV29" s="67" t="s">
        <v>117</v>
      </c>
      <c r="BW29" s="64" t="s">
        <v>479</v>
      </c>
      <c r="BX29" s="67">
        <v>45541</v>
      </c>
      <c r="BY29" s="67" t="s">
        <v>474</v>
      </c>
      <c r="BZ29" s="64" t="s">
        <v>474</v>
      </c>
      <c r="CA29" s="64" t="s">
        <v>90</v>
      </c>
      <c r="CB29" s="64" t="s">
        <v>111</v>
      </c>
      <c r="CC29" s="64" t="s">
        <v>480</v>
      </c>
      <c r="CD29" s="64" t="s">
        <v>164</v>
      </c>
      <c r="CE29" s="64" t="s">
        <v>7354</v>
      </c>
      <c r="CF29" s="67" t="s">
        <v>473</v>
      </c>
      <c r="CG29" s="64" t="s">
        <v>7018</v>
      </c>
      <c r="CH29" s="64" t="s">
        <v>7018</v>
      </c>
      <c r="CI29" s="64" t="s">
        <v>90</v>
      </c>
      <c r="CJ29" s="64" t="s">
        <v>111</v>
      </c>
      <c r="CK29" s="58">
        <v>40288</v>
      </c>
      <c r="CL29" s="64" t="str">
        <f t="shared" ca="1" si="0"/>
        <v>14 Tahun 0 Bulan 20 Hari</v>
      </c>
      <c r="CM2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Komplek Mutiara Bandung Selatan Blok D 96 RT/RW 06/09 Desa/Kelurahan Bojong Soang Kecamatan Bojong Soang Bandung Jawa Barat 40288</v>
      </c>
    </row>
    <row r="30" spans="1:91" ht="24.95" customHeight="1">
      <c r="A30" s="58">
        <f>SUBTOTAL(3,N$8:Table2[[#This Row],[Nama lengkap]])</f>
        <v>23</v>
      </c>
      <c r="B30" s="58" t="s">
        <v>86</v>
      </c>
      <c r="C30" s="58">
        <v>2024</v>
      </c>
      <c r="D30" s="58"/>
      <c r="E30" s="58">
        <v>1</v>
      </c>
      <c r="F30" s="58" t="s">
        <v>87</v>
      </c>
      <c r="G30" s="32" t="s">
        <v>2513</v>
      </c>
      <c r="H30" s="32" t="s">
        <v>2513</v>
      </c>
      <c r="I30" s="32" t="s">
        <v>2513</v>
      </c>
      <c r="J30" s="32"/>
      <c r="K30" s="32"/>
      <c r="L30" s="32"/>
      <c r="M30" s="58">
        <v>24250155</v>
      </c>
      <c r="N30" s="40" t="s">
        <v>3641</v>
      </c>
      <c r="O30" s="40"/>
      <c r="P30" s="32" t="s">
        <v>481</v>
      </c>
      <c r="Q30" s="32" t="s">
        <v>482</v>
      </c>
      <c r="R30" s="67" t="s">
        <v>90</v>
      </c>
      <c r="S30" s="69">
        <v>40843</v>
      </c>
      <c r="T30" s="47" t="s">
        <v>92</v>
      </c>
      <c r="U30" s="58">
        <v>2</v>
      </c>
      <c r="V30" s="58">
        <v>6</v>
      </c>
      <c r="W30" s="47" t="s">
        <v>207</v>
      </c>
      <c r="X30" s="64" t="s">
        <v>93</v>
      </c>
      <c r="Y30" s="64" t="s">
        <v>94</v>
      </c>
      <c r="Z30" s="64" t="s">
        <v>95</v>
      </c>
      <c r="AA30" s="64" t="s">
        <v>96</v>
      </c>
      <c r="AB30" s="64" t="s">
        <v>97</v>
      </c>
      <c r="AC30" s="64" t="s">
        <v>98</v>
      </c>
      <c r="AD30" s="64" t="s">
        <v>98</v>
      </c>
      <c r="AE30" s="67" t="s">
        <v>483</v>
      </c>
      <c r="AF30" s="67" t="s">
        <v>484</v>
      </c>
      <c r="AG30" s="64" t="s">
        <v>484</v>
      </c>
      <c r="AH30" s="64" t="s">
        <v>101</v>
      </c>
      <c r="AI30" s="64" t="s">
        <v>90</v>
      </c>
      <c r="AJ30" s="69">
        <v>30335</v>
      </c>
      <c r="AK30" s="67" t="s">
        <v>485</v>
      </c>
      <c r="AL30" s="67" t="s">
        <v>114</v>
      </c>
      <c r="AM30" s="64" t="s">
        <v>413</v>
      </c>
      <c r="AN30" s="67" t="s">
        <v>486</v>
      </c>
      <c r="AO30" s="67" t="s">
        <v>106</v>
      </c>
      <c r="AP30" s="64" t="s">
        <v>487</v>
      </c>
      <c r="AQ30" s="32" t="s">
        <v>488</v>
      </c>
      <c r="AR30" s="67" t="s">
        <v>489</v>
      </c>
      <c r="AS30" s="64" t="s">
        <v>490</v>
      </c>
      <c r="AT30" s="64" t="s">
        <v>490</v>
      </c>
      <c r="AU30" s="64" t="s">
        <v>111</v>
      </c>
      <c r="AV30" s="64">
        <v>45353</v>
      </c>
      <c r="AW30" s="64" t="s">
        <v>491</v>
      </c>
      <c r="AX30" s="64" t="s">
        <v>101</v>
      </c>
      <c r="AY30" s="64" t="s">
        <v>492</v>
      </c>
      <c r="AZ30" s="125">
        <v>30904</v>
      </c>
      <c r="BA30" s="67" t="s">
        <v>493</v>
      </c>
      <c r="BB30" s="67" t="s">
        <v>428</v>
      </c>
      <c r="BC30" s="64" t="s">
        <v>159</v>
      </c>
      <c r="BD30" s="67" t="s">
        <v>494</v>
      </c>
      <c r="BE30" s="67" t="s">
        <v>106</v>
      </c>
      <c r="BF30" s="67"/>
      <c r="BG30" s="64" t="s">
        <v>487</v>
      </c>
      <c r="BH30" s="67" t="s">
        <v>488</v>
      </c>
      <c r="BI30" s="67" t="s">
        <v>489</v>
      </c>
      <c r="BJ30" s="40" t="s">
        <v>490</v>
      </c>
      <c r="BK30" s="64" t="s">
        <v>490</v>
      </c>
      <c r="BL30" s="64" t="s">
        <v>111</v>
      </c>
      <c r="BM30" s="64">
        <v>45353</v>
      </c>
      <c r="BN30" s="64" t="s">
        <v>161</v>
      </c>
      <c r="BO30" s="64" t="s">
        <v>484</v>
      </c>
      <c r="BP30" s="64" t="s">
        <v>90</v>
      </c>
      <c r="BQ30" s="135">
        <v>30335</v>
      </c>
      <c r="BR30" s="67">
        <v>3213031901830000</v>
      </c>
      <c r="BS30" s="67" t="s">
        <v>114</v>
      </c>
      <c r="BT30" s="64"/>
      <c r="BU30" s="67">
        <v>81224266694</v>
      </c>
      <c r="BV30" s="67" t="s">
        <v>106</v>
      </c>
      <c r="BW30" s="64" t="s">
        <v>495</v>
      </c>
      <c r="BX30" s="67">
        <v>45445</v>
      </c>
      <c r="BY30" s="67" t="s">
        <v>496</v>
      </c>
      <c r="BZ30" s="64" t="s">
        <v>497</v>
      </c>
      <c r="CA30" s="64" t="s">
        <v>122</v>
      </c>
      <c r="CB30" s="64" t="s">
        <v>111</v>
      </c>
      <c r="CC30" s="64">
        <v>45353</v>
      </c>
      <c r="CD30" s="64" t="s">
        <v>164</v>
      </c>
      <c r="CE30" s="64" t="s">
        <v>7355</v>
      </c>
      <c r="CF30" s="67" t="s">
        <v>488</v>
      </c>
      <c r="CG30" s="64" t="s">
        <v>7019</v>
      </c>
      <c r="CH30" s="64" t="s">
        <v>942</v>
      </c>
      <c r="CI30" s="64" t="s">
        <v>942</v>
      </c>
      <c r="CJ30" s="64" t="s">
        <v>111</v>
      </c>
      <c r="CK30" s="58">
        <v>45353</v>
      </c>
      <c r="CL30" s="64" t="str">
        <f t="shared" ca="1" si="0"/>
        <v>14 Tahun 2 Bulan 27 Hari</v>
      </c>
      <c r="CM3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Blok Cilaja RT/RW 66/22 Desa/Kelurahan Cigadung Kecamatan Subang Subang Jawa Barat 45353</v>
      </c>
    </row>
    <row r="31" spans="1:91" ht="24.95" customHeight="1">
      <c r="A31" s="58">
        <f>SUBTOTAL(3,N$8:Table2[[#This Row],[Nama lengkap]])</f>
        <v>24</v>
      </c>
      <c r="B31" s="58" t="s">
        <v>86</v>
      </c>
      <c r="C31" s="58">
        <v>2024</v>
      </c>
      <c r="D31" s="58"/>
      <c r="E31" s="58">
        <v>1</v>
      </c>
      <c r="F31" s="58" t="s">
        <v>87</v>
      </c>
      <c r="G31" s="32" t="s">
        <v>2513</v>
      </c>
      <c r="H31" s="32" t="s">
        <v>2513</v>
      </c>
      <c r="I31" s="32" t="s">
        <v>2513</v>
      </c>
      <c r="J31" s="32"/>
      <c r="K31" s="32"/>
      <c r="L31" s="32"/>
      <c r="M31" s="58">
        <v>24250134</v>
      </c>
      <c r="N31" s="40" t="s">
        <v>5821</v>
      </c>
      <c r="O31" s="40"/>
      <c r="P31" s="32" t="s">
        <v>498</v>
      </c>
      <c r="Q31" s="32" t="s">
        <v>499</v>
      </c>
      <c r="R31" s="67" t="s">
        <v>90</v>
      </c>
      <c r="S31" s="69">
        <v>40847</v>
      </c>
      <c r="T31" s="47" t="s">
        <v>92</v>
      </c>
      <c r="U31" s="58">
        <v>3</v>
      </c>
      <c r="V31" s="58">
        <v>3</v>
      </c>
      <c r="W31" s="47" t="s">
        <v>207</v>
      </c>
      <c r="X31" s="64" t="s">
        <v>123</v>
      </c>
      <c r="Y31" s="64" t="s">
        <v>94</v>
      </c>
      <c r="Z31" s="64" t="s">
        <v>270</v>
      </c>
      <c r="AA31" s="64" t="s">
        <v>96</v>
      </c>
      <c r="AB31" s="64" t="s">
        <v>97</v>
      </c>
      <c r="AC31" s="64" t="s">
        <v>98</v>
      </c>
      <c r="AD31" s="64" t="s">
        <v>98</v>
      </c>
      <c r="AE31" s="67" t="s">
        <v>500</v>
      </c>
      <c r="AF31" s="67" t="s">
        <v>501</v>
      </c>
      <c r="AG31" s="64" t="s">
        <v>501</v>
      </c>
      <c r="AH31" s="64" t="s">
        <v>101</v>
      </c>
      <c r="AI31" s="64" t="s">
        <v>90</v>
      </c>
      <c r="AJ31" s="69">
        <v>25264</v>
      </c>
      <c r="AK31" s="67" t="s">
        <v>502</v>
      </c>
      <c r="AL31" s="67" t="s">
        <v>343</v>
      </c>
      <c r="AM31" s="64" t="s">
        <v>149</v>
      </c>
      <c r="AN31" s="67" t="s">
        <v>503</v>
      </c>
      <c r="AO31" s="67" t="s">
        <v>315</v>
      </c>
      <c r="AP31" s="64" t="s">
        <v>504</v>
      </c>
      <c r="AQ31" s="32" t="s">
        <v>505</v>
      </c>
      <c r="AR31" s="67" t="s">
        <v>506</v>
      </c>
      <c r="AS31" s="64" t="s">
        <v>507</v>
      </c>
      <c r="AT31" s="64" t="s">
        <v>90</v>
      </c>
      <c r="AU31" s="64" t="s">
        <v>111</v>
      </c>
      <c r="AV31" s="64">
        <v>40377</v>
      </c>
      <c r="AW31" s="64" t="s">
        <v>508</v>
      </c>
      <c r="AX31" s="64" t="s">
        <v>101</v>
      </c>
      <c r="AY31" s="64" t="s">
        <v>90</v>
      </c>
      <c r="AZ31" s="125">
        <v>27118</v>
      </c>
      <c r="BA31" s="67" t="s">
        <v>509</v>
      </c>
      <c r="BB31" s="67" t="s">
        <v>180</v>
      </c>
      <c r="BC31" s="64" t="s">
        <v>149</v>
      </c>
      <c r="BD31" s="67"/>
      <c r="BE31" s="67" t="s">
        <v>130</v>
      </c>
      <c r="BF31" s="67"/>
      <c r="BG31" s="64" t="s">
        <v>504</v>
      </c>
      <c r="BH31" s="67" t="s">
        <v>505</v>
      </c>
      <c r="BI31" s="67" t="s">
        <v>506</v>
      </c>
      <c r="BJ31" s="40" t="s">
        <v>507</v>
      </c>
      <c r="BK31" s="64" t="s">
        <v>90</v>
      </c>
      <c r="BL31" s="64" t="s">
        <v>111</v>
      </c>
      <c r="BM31" s="64">
        <v>40377</v>
      </c>
      <c r="BN31" s="64"/>
      <c r="BO31" s="64" t="s">
        <v>501</v>
      </c>
      <c r="BP31" s="64"/>
      <c r="BQ31" s="135"/>
      <c r="BR31" s="67"/>
      <c r="BS31" s="67"/>
      <c r="BT31" s="64"/>
      <c r="BU31" s="67" t="s">
        <v>503</v>
      </c>
      <c r="BV31" s="67"/>
      <c r="BW31" s="64"/>
      <c r="BX31" s="67"/>
      <c r="BY31" s="67"/>
      <c r="BZ31" s="64"/>
      <c r="CA31" s="64"/>
      <c r="CB31" s="64"/>
      <c r="CC31" s="64"/>
      <c r="CD31" s="64"/>
      <c r="CE31" s="64" t="s">
        <v>504</v>
      </c>
      <c r="CF31" s="67" t="s">
        <v>505</v>
      </c>
      <c r="CG31" s="64" t="s">
        <v>506</v>
      </c>
      <c r="CH31" s="64" t="s">
        <v>507</v>
      </c>
      <c r="CI31" s="64" t="s">
        <v>90</v>
      </c>
      <c r="CJ31" s="64" t="s">
        <v>111</v>
      </c>
      <c r="CK31" s="58">
        <v>40377</v>
      </c>
      <c r="CL31" s="64" t="str">
        <f t="shared" ca="1" si="0"/>
        <v>14 Tahun 2 Bulan 23 Hari</v>
      </c>
      <c r="CM3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Kp.Tarigu RT/RW 003 / 001 Desa/Kelurahan Margahurip Kecamatan Banjaran Bandung Jawa Barat 40377</v>
      </c>
    </row>
    <row r="32" spans="1:91" ht="24.95" customHeight="1">
      <c r="A32" s="58">
        <f>SUBTOTAL(3,N$8:Table2[[#This Row],[Nama lengkap]])</f>
        <v>25</v>
      </c>
      <c r="B32" s="89" t="s">
        <v>86</v>
      </c>
      <c r="C32" s="89">
        <v>2025</v>
      </c>
      <c r="D32" s="89"/>
      <c r="E32" s="89" t="s">
        <v>337</v>
      </c>
      <c r="F32" s="89" t="s">
        <v>87</v>
      </c>
      <c r="G32" s="32" t="s">
        <v>2513</v>
      </c>
      <c r="H32" s="32" t="s">
        <v>2513</v>
      </c>
      <c r="I32" s="32" t="s">
        <v>2513</v>
      </c>
      <c r="J32" s="32"/>
      <c r="K32" s="32"/>
      <c r="L32" s="32"/>
      <c r="M32" s="89">
        <v>25260007</v>
      </c>
      <c r="N32" s="91" t="s">
        <v>3673</v>
      </c>
      <c r="O32" s="91"/>
      <c r="P32" s="90" t="s">
        <v>6757</v>
      </c>
      <c r="Q32" s="90" t="s">
        <v>6758</v>
      </c>
      <c r="R32" s="90" t="s">
        <v>122</v>
      </c>
      <c r="S32" s="101">
        <v>39997</v>
      </c>
      <c r="T32" s="47" t="s">
        <v>92</v>
      </c>
      <c r="U32" s="89">
        <v>9</v>
      </c>
      <c r="V32" s="89">
        <v>6</v>
      </c>
      <c r="W32" s="47" t="s">
        <v>207</v>
      </c>
      <c r="X32" s="92" t="s">
        <v>93</v>
      </c>
      <c r="Y32" s="92" t="s">
        <v>6759</v>
      </c>
      <c r="Z32" s="92" t="s">
        <v>810</v>
      </c>
      <c r="AA32" s="92" t="s">
        <v>6451</v>
      </c>
      <c r="AB32" s="92" t="s">
        <v>97</v>
      </c>
      <c r="AC32" s="92" t="s">
        <v>98</v>
      </c>
      <c r="AD32" s="92" t="s">
        <v>98</v>
      </c>
      <c r="AE32" s="93" t="s">
        <v>4428</v>
      </c>
      <c r="AF32" s="93" t="s">
        <v>8301</v>
      </c>
      <c r="AG32" s="92" t="s">
        <v>8301</v>
      </c>
      <c r="AH32" s="92" t="s">
        <v>101</v>
      </c>
      <c r="AI32" s="92" t="s">
        <v>122</v>
      </c>
      <c r="AJ32" s="101">
        <v>24413</v>
      </c>
      <c r="AK32" s="93" t="s">
        <v>4430</v>
      </c>
      <c r="AL32" s="93" t="s">
        <v>819</v>
      </c>
      <c r="AM32" s="92" t="s">
        <v>128</v>
      </c>
      <c r="AN32" s="93" t="s">
        <v>4431</v>
      </c>
      <c r="AO32" s="93" t="s">
        <v>117</v>
      </c>
      <c r="AP32" s="92" t="s">
        <v>122</v>
      </c>
      <c r="AQ32" s="90" t="s">
        <v>783</v>
      </c>
      <c r="AR32" s="93" t="s">
        <v>6760</v>
      </c>
      <c r="AS32" s="92" t="s">
        <v>6761</v>
      </c>
      <c r="AT32" s="92" t="s">
        <v>122</v>
      </c>
      <c r="AU32" s="92" t="s">
        <v>313</v>
      </c>
      <c r="AV32" s="92">
        <v>45352</v>
      </c>
      <c r="AW32" s="92" t="s">
        <v>7820</v>
      </c>
      <c r="AX32" s="92" t="s">
        <v>101</v>
      </c>
      <c r="AY32" s="92" t="s">
        <v>122</v>
      </c>
      <c r="AZ32" s="127">
        <v>27220</v>
      </c>
      <c r="BA32" s="93" t="s">
        <v>4434</v>
      </c>
      <c r="BB32" s="93" t="s">
        <v>845</v>
      </c>
      <c r="BC32" s="92" t="s">
        <v>149</v>
      </c>
      <c r="BD32" s="93"/>
      <c r="BE32" s="93" t="s">
        <v>98</v>
      </c>
      <c r="BF32" s="67" t="s">
        <v>6448</v>
      </c>
      <c r="BG32" s="92"/>
      <c r="BH32" s="93"/>
      <c r="BI32" s="93"/>
      <c r="BJ32" s="91"/>
      <c r="BK32" s="92"/>
      <c r="BL32" s="92"/>
      <c r="BM32" s="92"/>
      <c r="BN32" s="64" t="s">
        <v>161</v>
      </c>
      <c r="BO32" s="92"/>
      <c r="BP32" s="92"/>
      <c r="BQ32" s="136"/>
      <c r="BR32" s="93"/>
      <c r="BS32" s="93"/>
      <c r="BT32" s="92"/>
      <c r="BU32" s="93"/>
      <c r="BV32" s="93"/>
      <c r="BW32" s="92"/>
      <c r="BX32" s="93"/>
      <c r="BY32" s="93"/>
      <c r="BZ32" s="92"/>
      <c r="CA32" s="92"/>
      <c r="CB32" s="92"/>
      <c r="CC32" s="92"/>
      <c r="CD32" s="92"/>
      <c r="CE32" s="64" t="s">
        <v>122</v>
      </c>
      <c r="CF32" s="67" t="s">
        <v>783</v>
      </c>
      <c r="CG32" s="64" t="s">
        <v>6760</v>
      </c>
      <c r="CH32" s="92" t="s">
        <v>134</v>
      </c>
      <c r="CI32" s="92" t="s">
        <v>122</v>
      </c>
      <c r="CJ32" s="92" t="s">
        <v>111</v>
      </c>
      <c r="CK32" s="89">
        <v>45352</v>
      </c>
      <c r="CL32" s="64" t="str">
        <f t="shared" ca="1" si="0"/>
        <v>16 Tahun 6 Bulan 20 Hari</v>
      </c>
      <c r="CM3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Sumedang RT/RW 04/06 Desa/Kelurahan Rancamulya Kecamatan Sumedang Utara Sumedang Jawa Barat 45352</v>
      </c>
    </row>
    <row r="33" spans="1:91" ht="24.95" customHeight="1">
      <c r="A33" s="58">
        <f>SUBTOTAL(3,N$8:Table2[[#This Row],[Nama lengkap]])</f>
        <v>26</v>
      </c>
      <c r="B33" s="58" t="s">
        <v>86</v>
      </c>
      <c r="C33" s="58">
        <v>2024</v>
      </c>
      <c r="D33" s="58"/>
      <c r="E33" s="58">
        <v>1</v>
      </c>
      <c r="F33" s="58" t="s">
        <v>87</v>
      </c>
      <c r="G33" s="32" t="s">
        <v>2513</v>
      </c>
      <c r="H33" s="32" t="s">
        <v>2513</v>
      </c>
      <c r="I33" s="32" t="s">
        <v>2513</v>
      </c>
      <c r="J33" s="32"/>
      <c r="K33" s="32"/>
      <c r="L33" s="32"/>
      <c r="M33" s="58">
        <v>24250174</v>
      </c>
      <c r="N33" s="40" t="s">
        <v>5823</v>
      </c>
      <c r="O33" s="40"/>
      <c r="P33" s="32" t="s">
        <v>510</v>
      </c>
      <c r="Q33" s="32" t="s">
        <v>511</v>
      </c>
      <c r="R33" s="67" t="s">
        <v>236</v>
      </c>
      <c r="S33" s="69" t="s">
        <v>513</v>
      </c>
      <c r="T33" s="47" t="s">
        <v>92</v>
      </c>
      <c r="U33" s="58">
        <v>2</v>
      </c>
      <c r="V33" s="58">
        <v>5</v>
      </c>
      <c r="W33" s="47" t="s">
        <v>207</v>
      </c>
      <c r="X33" s="64" t="s">
        <v>432</v>
      </c>
      <c r="Y33" s="64" t="s">
        <v>453</v>
      </c>
      <c r="Z33" s="64" t="s">
        <v>270</v>
      </c>
      <c r="AA33" s="64" t="s">
        <v>96</v>
      </c>
      <c r="AB33" s="64" t="s">
        <v>97</v>
      </c>
      <c r="AC33" s="64" t="s">
        <v>98</v>
      </c>
      <c r="AD33" s="64" t="s">
        <v>98</v>
      </c>
      <c r="AE33" s="67" t="s">
        <v>514</v>
      </c>
      <c r="AF33" s="67" t="s">
        <v>8302</v>
      </c>
      <c r="AG33" s="64" t="s">
        <v>8302</v>
      </c>
      <c r="AH33" s="64" t="s">
        <v>101</v>
      </c>
      <c r="AI33" s="64" t="s">
        <v>8272</v>
      </c>
      <c r="AJ33" s="69">
        <v>30380</v>
      </c>
      <c r="AK33" s="67" t="s">
        <v>517</v>
      </c>
      <c r="AL33" s="67" t="s">
        <v>343</v>
      </c>
      <c r="AM33" s="64" t="s">
        <v>159</v>
      </c>
      <c r="AN33" s="67" t="s">
        <v>519</v>
      </c>
      <c r="AO33" s="67" t="s">
        <v>130</v>
      </c>
      <c r="AP33" s="64" t="s">
        <v>520</v>
      </c>
      <c r="AQ33" s="32" t="s">
        <v>521</v>
      </c>
      <c r="AR33" s="67" t="s">
        <v>522</v>
      </c>
      <c r="AS33" s="64" t="s">
        <v>522</v>
      </c>
      <c r="AT33" s="64" t="s">
        <v>512</v>
      </c>
      <c r="AU33" s="64" t="s">
        <v>111</v>
      </c>
      <c r="AV33" s="64">
        <v>44163</v>
      </c>
      <c r="AW33" s="64" t="s">
        <v>7821</v>
      </c>
      <c r="AX33" s="64" t="s">
        <v>101</v>
      </c>
      <c r="AY33" s="64" t="s">
        <v>236</v>
      </c>
      <c r="AZ33" s="125">
        <v>31909</v>
      </c>
      <c r="BA33" s="67" t="s">
        <v>523</v>
      </c>
      <c r="BB33" s="67" t="s">
        <v>428</v>
      </c>
      <c r="BC33" s="64" t="s">
        <v>149</v>
      </c>
      <c r="BD33" s="67" t="s">
        <v>524</v>
      </c>
      <c r="BE33" s="67" t="s">
        <v>98</v>
      </c>
      <c r="BF33" s="67"/>
      <c r="BG33" s="64" t="s">
        <v>525</v>
      </c>
      <c r="BH33" s="67" t="s">
        <v>521</v>
      </c>
      <c r="BI33" s="67" t="s">
        <v>522</v>
      </c>
      <c r="BJ33" s="40" t="s">
        <v>522</v>
      </c>
      <c r="BK33" s="64" t="s">
        <v>236</v>
      </c>
      <c r="BL33" s="64" t="s">
        <v>111</v>
      </c>
      <c r="BM33" s="64">
        <v>44163</v>
      </c>
      <c r="BN33" s="64" t="s">
        <v>161</v>
      </c>
      <c r="BO33" s="64" t="s">
        <v>515</v>
      </c>
      <c r="BP33" s="64" t="s">
        <v>516</v>
      </c>
      <c r="BQ33" s="135">
        <v>31841</v>
      </c>
      <c r="BR33" s="67" t="s">
        <v>517</v>
      </c>
      <c r="BS33" s="67" t="s">
        <v>518</v>
      </c>
      <c r="BT33" s="64" t="s">
        <v>159</v>
      </c>
      <c r="BU33" s="67">
        <v>81222663719</v>
      </c>
      <c r="BV33" s="67" t="s">
        <v>130</v>
      </c>
      <c r="BW33" s="64" t="s">
        <v>520</v>
      </c>
      <c r="BX33" s="67">
        <v>45415</v>
      </c>
      <c r="BY33" s="67" t="s">
        <v>522</v>
      </c>
      <c r="BZ33" s="64" t="s">
        <v>522</v>
      </c>
      <c r="CA33" s="64" t="s">
        <v>236</v>
      </c>
      <c r="CB33" s="64" t="s">
        <v>318</v>
      </c>
      <c r="CC33" s="64">
        <v>44163</v>
      </c>
      <c r="CD33" s="64" t="s">
        <v>164</v>
      </c>
      <c r="CE33" s="64" t="s">
        <v>525</v>
      </c>
      <c r="CF33" s="67" t="s">
        <v>521</v>
      </c>
      <c r="CG33" s="64" t="s">
        <v>522</v>
      </c>
      <c r="CH33" s="64" t="s">
        <v>522</v>
      </c>
      <c r="CI33" s="64" t="s">
        <v>236</v>
      </c>
      <c r="CJ33" s="64" t="s">
        <v>111</v>
      </c>
      <c r="CK33" s="58">
        <v>44163</v>
      </c>
      <c r="CL33" s="64" t="e">
        <f t="shared" ca="1" si="0"/>
        <v>#VALUE!</v>
      </c>
      <c r="CM3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Palalangon Lebak RT/RW 02/05 Desa/Kelurahan Cisurupan Kecamatan Cisurupan Garut Jawa Barat 44163</v>
      </c>
    </row>
    <row r="34" spans="1:91" ht="24.95" customHeight="1">
      <c r="A34" s="58">
        <f>SUBTOTAL(3,N$8:Table2[[#This Row],[Nama lengkap]])</f>
        <v>27</v>
      </c>
      <c r="B34" s="58" t="s">
        <v>86</v>
      </c>
      <c r="C34" s="58">
        <v>2024</v>
      </c>
      <c r="D34" s="58"/>
      <c r="E34" s="58">
        <v>1</v>
      </c>
      <c r="F34" s="58" t="s">
        <v>87</v>
      </c>
      <c r="G34" s="32" t="s">
        <v>2513</v>
      </c>
      <c r="H34" s="32" t="s">
        <v>2513</v>
      </c>
      <c r="I34" s="32" t="s">
        <v>2513</v>
      </c>
      <c r="J34" s="32"/>
      <c r="K34" s="32"/>
      <c r="L34" s="32"/>
      <c r="M34" s="58">
        <v>24250107</v>
      </c>
      <c r="N34" s="40" t="s">
        <v>5825</v>
      </c>
      <c r="O34" s="40"/>
      <c r="P34" s="32" t="s">
        <v>526</v>
      </c>
      <c r="Q34" s="32" t="s">
        <v>527</v>
      </c>
      <c r="R34" s="67" t="s">
        <v>544</v>
      </c>
      <c r="S34" s="69">
        <v>40496</v>
      </c>
      <c r="T34" s="47" t="s">
        <v>92</v>
      </c>
      <c r="U34" s="58">
        <v>3</v>
      </c>
      <c r="V34" s="58">
        <v>3</v>
      </c>
      <c r="W34" s="47" t="s">
        <v>207</v>
      </c>
      <c r="X34" s="64" t="s">
        <v>142</v>
      </c>
      <c r="Y34" s="64" t="s">
        <v>167</v>
      </c>
      <c r="Z34" s="64" t="s">
        <v>255</v>
      </c>
      <c r="AA34" s="64" t="s">
        <v>96</v>
      </c>
      <c r="AB34" s="64" t="s">
        <v>529</v>
      </c>
      <c r="AC34" s="64" t="s">
        <v>98</v>
      </c>
      <c r="AD34" s="64" t="s">
        <v>98</v>
      </c>
      <c r="AE34" s="67" t="s">
        <v>530</v>
      </c>
      <c r="AF34" s="67" t="s">
        <v>8303</v>
      </c>
      <c r="AG34" s="64" t="s">
        <v>8304</v>
      </c>
      <c r="AH34" s="64" t="s">
        <v>532</v>
      </c>
      <c r="AI34" s="64" t="s">
        <v>8273</v>
      </c>
      <c r="AJ34" s="69">
        <v>26115</v>
      </c>
      <c r="AK34" s="67" t="s">
        <v>533</v>
      </c>
      <c r="AL34" s="67" t="s">
        <v>8247</v>
      </c>
      <c r="AM34" s="64" t="s">
        <v>96</v>
      </c>
      <c r="AN34" s="67" t="s">
        <v>534</v>
      </c>
      <c r="AO34" s="67" t="s">
        <v>98</v>
      </c>
      <c r="AP34" s="64" t="s">
        <v>535</v>
      </c>
      <c r="AQ34" s="32" t="s">
        <v>536</v>
      </c>
      <c r="AR34" s="67" t="s">
        <v>537</v>
      </c>
      <c r="AS34" s="64" t="s">
        <v>538</v>
      </c>
      <c r="AT34" s="64" t="s">
        <v>528</v>
      </c>
      <c r="AU34" s="64" t="s">
        <v>539</v>
      </c>
      <c r="AV34" s="64">
        <v>38553</v>
      </c>
      <c r="AW34" s="64" t="s">
        <v>7822</v>
      </c>
      <c r="AX34" s="64" t="s">
        <v>532</v>
      </c>
      <c r="AY34" s="64" t="s">
        <v>540</v>
      </c>
      <c r="AZ34" s="125">
        <v>26846</v>
      </c>
      <c r="BA34" s="67" t="s">
        <v>541</v>
      </c>
      <c r="BB34" s="67" t="s">
        <v>428</v>
      </c>
      <c r="BC34" s="64" t="s">
        <v>96</v>
      </c>
      <c r="BD34" s="67"/>
      <c r="BE34" s="67" t="s">
        <v>98</v>
      </c>
      <c r="BF34" s="67"/>
      <c r="BG34" s="64" t="s">
        <v>542</v>
      </c>
      <c r="BH34" s="67" t="s">
        <v>536</v>
      </c>
      <c r="BI34" s="67" t="s">
        <v>537</v>
      </c>
      <c r="BJ34" s="40" t="s">
        <v>543</v>
      </c>
      <c r="BK34" s="64" t="s">
        <v>544</v>
      </c>
      <c r="BL34" s="64" t="s">
        <v>539</v>
      </c>
      <c r="BM34" s="64">
        <v>38553</v>
      </c>
      <c r="BN34" s="64" t="s">
        <v>545</v>
      </c>
      <c r="BO34" s="64" t="s">
        <v>531</v>
      </c>
      <c r="BP34" s="64" t="s">
        <v>546</v>
      </c>
      <c r="BQ34" s="135">
        <v>34680</v>
      </c>
      <c r="BR34" s="67" t="s">
        <v>547</v>
      </c>
      <c r="BS34" s="67" t="s">
        <v>289</v>
      </c>
      <c r="BT34" s="64" t="s">
        <v>149</v>
      </c>
      <c r="BU34" s="67">
        <v>82175823213</v>
      </c>
      <c r="BV34" s="67" t="s">
        <v>548</v>
      </c>
      <c r="BW34" s="64" t="s">
        <v>549</v>
      </c>
      <c r="BX34" s="67" t="s">
        <v>536</v>
      </c>
      <c r="BY34" s="67" t="s">
        <v>536</v>
      </c>
      <c r="BZ34" s="64" t="s">
        <v>543</v>
      </c>
      <c r="CA34" s="64" t="s">
        <v>550</v>
      </c>
      <c r="CB34" s="64" t="s">
        <v>230</v>
      </c>
      <c r="CC34" s="64">
        <v>38553</v>
      </c>
      <c r="CD34" s="64" t="s">
        <v>185</v>
      </c>
      <c r="CE34" s="64" t="s">
        <v>535</v>
      </c>
      <c r="CF34" s="67" t="s">
        <v>536</v>
      </c>
      <c r="CG34" s="64" t="s">
        <v>7020</v>
      </c>
      <c r="CH34" s="64" t="s">
        <v>543</v>
      </c>
      <c r="CI34" s="64" t="s">
        <v>544</v>
      </c>
      <c r="CJ34" s="64" t="s">
        <v>230</v>
      </c>
      <c r="CK34" s="58">
        <v>38553</v>
      </c>
      <c r="CL34" s="64" t="str">
        <f t="shared" ca="1" si="0"/>
        <v>15 Tahun 2 Bulan 9 Hari</v>
      </c>
      <c r="CM3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Desa Keban Agung 2  RT/RW Desa Desa/Kelurahan Keban Agung 2 Kecamatan Kedurang Bengkulu Selatan Bengkulu 38553</v>
      </c>
    </row>
    <row r="35" spans="1:91" ht="24.95" customHeight="1">
      <c r="A35" s="58">
        <f>SUBTOTAL(3,N$8:Table2[[#This Row],[Nama lengkap]])</f>
        <v>28</v>
      </c>
      <c r="B35" s="58" t="s">
        <v>86</v>
      </c>
      <c r="C35" s="58">
        <v>2024</v>
      </c>
      <c r="D35" s="58"/>
      <c r="E35" s="58">
        <v>1</v>
      </c>
      <c r="F35" s="58" t="s">
        <v>87</v>
      </c>
      <c r="G35" s="32" t="s">
        <v>2513</v>
      </c>
      <c r="H35" s="32" t="s">
        <v>2513</v>
      </c>
      <c r="I35" s="32" t="s">
        <v>2513</v>
      </c>
      <c r="J35" s="32"/>
      <c r="K35" s="32"/>
      <c r="L35" s="32"/>
      <c r="M35" s="58">
        <v>24250131</v>
      </c>
      <c r="N35" s="40" t="s">
        <v>5826</v>
      </c>
      <c r="O35" s="40"/>
      <c r="P35" s="32" t="s">
        <v>552</v>
      </c>
      <c r="Q35" s="32" t="s">
        <v>553</v>
      </c>
      <c r="R35" s="67" t="s">
        <v>90</v>
      </c>
      <c r="S35" s="69">
        <v>40775</v>
      </c>
      <c r="T35" s="47" t="s">
        <v>92</v>
      </c>
      <c r="U35" s="58">
        <v>3</v>
      </c>
      <c r="V35" s="58">
        <v>3</v>
      </c>
      <c r="W35" s="47" t="s">
        <v>207</v>
      </c>
      <c r="X35" s="64" t="s">
        <v>123</v>
      </c>
      <c r="Y35" s="64" t="s">
        <v>143</v>
      </c>
      <c r="Z35" s="64" t="s">
        <v>321</v>
      </c>
      <c r="AA35" s="64" t="s">
        <v>96</v>
      </c>
      <c r="AB35" s="64" t="s">
        <v>97</v>
      </c>
      <c r="AC35" s="64" t="s">
        <v>98</v>
      </c>
      <c r="AD35" s="64" t="s">
        <v>98</v>
      </c>
      <c r="AE35" s="67" t="s">
        <v>554</v>
      </c>
      <c r="AF35" s="67" t="s">
        <v>8305</v>
      </c>
      <c r="AG35" s="64" t="s">
        <v>8305</v>
      </c>
      <c r="AH35" s="64" t="s">
        <v>101</v>
      </c>
      <c r="AI35" s="64" t="s">
        <v>90</v>
      </c>
      <c r="AJ35" s="69">
        <v>27937</v>
      </c>
      <c r="AK35" s="67" t="s">
        <v>556</v>
      </c>
      <c r="AL35" s="67" t="s">
        <v>602</v>
      </c>
      <c r="AM35" s="64" t="s">
        <v>149</v>
      </c>
      <c r="AN35" s="67" t="s">
        <v>557</v>
      </c>
      <c r="AO35" s="67" t="s">
        <v>130</v>
      </c>
      <c r="AP35" s="64" t="s">
        <v>558</v>
      </c>
      <c r="AQ35" s="32" t="s">
        <v>559</v>
      </c>
      <c r="AR35" s="67" t="s">
        <v>560</v>
      </c>
      <c r="AS35" s="64" t="s">
        <v>561</v>
      </c>
      <c r="AT35" s="64" t="s">
        <v>122</v>
      </c>
      <c r="AU35" s="64" t="s">
        <v>111</v>
      </c>
      <c r="AV35" s="64">
        <v>45363</v>
      </c>
      <c r="AW35" s="64" t="s">
        <v>562</v>
      </c>
      <c r="AX35" s="64" t="s">
        <v>101</v>
      </c>
      <c r="AY35" s="64" t="s">
        <v>122</v>
      </c>
      <c r="AZ35" s="125">
        <v>28350</v>
      </c>
      <c r="BA35" s="67" t="s">
        <v>563</v>
      </c>
      <c r="BB35" s="67" t="s">
        <v>428</v>
      </c>
      <c r="BC35" s="64" t="s">
        <v>149</v>
      </c>
      <c r="BD35" s="67" t="s">
        <v>564</v>
      </c>
      <c r="BE35" s="67" t="s">
        <v>98</v>
      </c>
      <c r="BF35" s="67"/>
      <c r="BG35" s="64" t="s">
        <v>565</v>
      </c>
      <c r="BH35" s="67" t="s">
        <v>566</v>
      </c>
      <c r="BI35" s="67" t="s">
        <v>560</v>
      </c>
      <c r="BJ35" s="40" t="s">
        <v>561</v>
      </c>
      <c r="BK35" s="64" t="s">
        <v>122</v>
      </c>
      <c r="BL35" s="64" t="s">
        <v>318</v>
      </c>
      <c r="BM35" s="64">
        <v>45363</v>
      </c>
      <c r="BN35" s="64" t="s">
        <v>161</v>
      </c>
      <c r="BO35" s="64" t="s">
        <v>555</v>
      </c>
      <c r="BP35" s="64" t="s">
        <v>90</v>
      </c>
      <c r="BQ35" s="135">
        <v>27937</v>
      </c>
      <c r="BR35" s="67">
        <v>3273252606760000</v>
      </c>
      <c r="BS35" s="67" t="s">
        <v>567</v>
      </c>
      <c r="BT35" s="64" t="s">
        <v>149</v>
      </c>
      <c r="BU35" s="67">
        <v>81395121199</v>
      </c>
      <c r="BV35" s="67" t="s">
        <v>130</v>
      </c>
      <c r="BW35" s="64" t="s">
        <v>568</v>
      </c>
      <c r="BX35" s="67" t="s">
        <v>566</v>
      </c>
      <c r="BY35" s="67" t="s">
        <v>560</v>
      </c>
      <c r="BZ35" s="64" t="s">
        <v>561</v>
      </c>
      <c r="CA35" s="64" t="s">
        <v>122</v>
      </c>
      <c r="CB35" s="64" t="s">
        <v>111</v>
      </c>
      <c r="CC35" s="64">
        <v>45363</v>
      </c>
      <c r="CD35" s="64" t="s">
        <v>164</v>
      </c>
      <c r="CE35" s="64" t="s">
        <v>7356</v>
      </c>
      <c r="CF35" s="67" t="s">
        <v>559</v>
      </c>
      <c r="CG35" s="64" t="s">
        <v>560</v>
      </c>
      <c r="CH35" s="64" t="s">
        <v>561</v>
      </c>
      <c r="CI35" s="64" t="s">
        <v>122</v>
      </c>
      <c r="CJ35" s="64" t="s">
        <v>111</v>
      </c>
      <c r="CK35" s="58">
        <v>45363</v>
      </c>
      <c r="CL35" s="64" t="str">
        <f t="shared" ca="1" si="0"/>
        <v>14 Tahun 5 Bulan 3 Hari</v>
      </c>
      <c r="CM3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Dudun Cikeruh RT/RW RT 05/RW 09 Desa/Kelurahan Cikeruh Kecamatan Jatinangor Sumedang Jawa Barat 45363</v>
      </c>
    </row>
    <row r="36" spans="1:91" ht="24.95" customHeight="1">
      <c r="A36" s="58">
        <f>SUBTOTAL(3,N$8:Table2[[#This Row],[Nama lengkap]])</f>
        <v>29</v>
      </c>
      <c r="B36" s="58" t="s">
        <v>86</v>
      </c>
      <c r="C36" s="58">
        <v>2024</v>
      </c>
      <c r="D36" s="58"/>
      <c r="E36" s="58">
        <v>1</v>
      </c>
      <c r="F36" s="58" t="s">
        <v>87</v>
      </c>
      <c r="G36" s="32" t="s">
        <v>2513</v>
      </c>
      <c r="H36" s="32" t="s">
        <v>2513</v>
      </c>
      <c r="I36" s="32" t="s">
        <v>2513</v>
      </c>
      <c r="J36" s="32"/>
      <c r="K36" s="32"/>
      <c r="L36" s="32"/>
      <c r="M36" s="58">
        <v>24250078</v>
      </c>
      <c r="N36" s="40" t="s">
        <v>5827</v>
      </c>
      <c r="O36" s="40"/>
      <c r="P36" s="32" t="s">
        <v>569</v>
      </c>
      <c r="Q36" s="32" t="s">
        <v>570</v>
      </c>
      <c r="R36" s="67" t="s">
        <v>90</v>
      </c>
      <c r="S36" s="69">
        <v>40792</v>
      </c>
      <c r="T36" s="47" t="s">
        <v>92</v>
      </c>
      <c r="U36" s="58">
        <v>1</v>
      </c>
      <c r="V36" s="58">
        <v>1</v>
      </c>
      <c r="W36" s="47" t="s">
        <v>207</v>
      </c>
      <c r="X36" s="64" t="s">
        <v>93</v>
      </c>
      <c r="Y36" s="64" t="s">
        <v>94</v>
      </c>
      <c r="Z36" s="64" t="s">
        <v>270</v>
      </c>
      <c r="AA36" s="64" t="s">
        <v>96</v>
      </c>
      <c r="AB36" s="64" t="s">
        <v>97</v>
      </c>
      <c r="AC36" s="64" t="s">
        <v>98</v>
      </c>
      <c r="AD36" s="64" t="s">
        <v>98</v>
      </c>
      <c r="AE36" s="67" t="s">
        <v>571</v>
      </c>
      <c r="AF36" s="67" t="s">
        <v>572</v>
      </c>
      <c r="AG36" s="64" t="s">
        <v>572</v>
      </c>
      <c r="AH36" s="64" t="s">
        <v>101</v>
      </c>
      <c r="AI36" s="64" t="s">
        <v>90</v>
      </c>
      <c r="AJ36" s="69">
        <v>32180</v>
      </c>
      <c r="AK36" s="67" t="s">
        <v>573</v>
      </c>
      <c r="AL36" s="67" t="s">
        <v>602</v>
      </c>
      <c r="AM36" s="64" t="s">
        <v>159</v>
      </c>
      <c r="AN36" s="67" t="s">
        <v>575</v>
      </c>
      <c r="AO36" s="67" t="s">
        <v>117</v>
      </c>
      <c r="AP36" s="64" t="s">
        <v>576</v>
      </c>
      <c r="AQ36" s="32" t="s">
        <v>577</v>
      </c>
      <c r="AR36" s="67" t="s">
        <v>578</v>
      </c>
      <c r="AS36" s="64" t="s">
        <v>110</v>
      </c>
      <c r="AT36" s="64" t="s">
        <v>90</v>
      </c>
      <c r="AU36" s="64" t="s">
        <v>111</v>
      </c>
      <c r="AV36" s="64">
        <v>40971</v>
      </c>
      <c r="AW36" s="64" t="s">
        <v>7823</v>
      </c>
      <c r="AX36" s="64" t="s">
        <v>101</v>
      </c>
      <c r="AY36" s="64" t="s">
        <v>90</v>
      </c>
      <c r="AZ36" s="125">
        <v>32474</v>
      </c>
      <c r="BA36" s="67" t="s">
        <v>579</v>
      </c>
      <c r="BB36" s="67" t="s">
        <v>428</v>
      </c>
      <c r="BC36" s="64" t="s">
        <v>149</v>
      </c>
      <c r="BD36" s="67" t="s">
        <v>580</v>
      </c>
      <c r="BE36" s="67" t="s">
        <v>98</v>
      </c>
      <c r="BF36" s="67"/>
      <c r="BG36" s="64" t="s">
        <v>576</v>
      </c>
      <c r="BH36" s="67" t="s">
        <v>577</v>
      </c>
      <c r="BI36" s="67" t="s">
        <v>578</v>
      </c>
      <c r="BJ36" s="40" t="s">
        <v>110</v>
      </c>
      <c r="BK36" s="64" t="s">
        <v>90</v>
      </c>
      <c r="BL36" s="64" t="s">
        <v>111</v>
      </c>
      <c r="BM36" s="64">
        <v>40971</v>
      </c>
      <c r="BN36" s="64" t="s">
        <v>161</v>
      </c>
      <c r="BO36" s="64" t="s">
        <v>572</v>
      </c>
      <c r="BP36" s="64" t="s">
        <v>90</v>
      </c>
      <c r="BQ36" s="135">
        <v>32180</v>
      </c>
      <c r="BR36" s="67">
        <v>3204110702880010</v>
      </c>
      <c r="BS36" s="67" t="s">
        <v>574</v>
      </c>
      <c r="BT36" s="64" t="s">
        <v>159</v>
      </c>
      <c r="BU36" s="67">
        <v>88218897585</v>
      </c>
      <c r="BV36" s="67" t="s">
        <v>117</v>
      </c>
      <c r="BW36" s="64" t="s">
        <v>581</v>
      </c>
      <c r="BX36" s="67" t="s">
        <v>577</v>
      </c>
      <c r="BY36" s="67" t="s">
        <v>578</v>
      </c>
      <c r="BZ36" s="64" t="s">
        <v>110</v>
      </c>
      <c r="CA36" s="64" t="s">
        <v>90</v>
      </c>
      <c r="CB36" s="64" t="s">
        <v>111</v>
      </c>
      <c r="CC36" s="64">
        <v>40921</v>
      </c>
      <c r="CD36" s="64" t="s">
        <v>164</v>
      </c>
      <c r="CE36" s="64" t="s">
        <v>576</v>
      </c>
      <c r="CF36" s="67" t="s">
        <v>577</v>
      </c>
      <c r="CG36" s="64" t="s">
        <v>578</v>
      </c>
      <c r="CH36" s="64" t="s">
        <v>110</v>
      </c>
      <c r="CI36" s="64" t="s">
        <v>90</v>
      </c>
      <c r="CJ36" s="64" t="s">
        <v>111</v>
      </c>
      <c r="CK36" s="58">
        <v>40971</v>
      </c>
      <c r="CL36" s="64" t="str">
        <f t="shared" ca="1" si="0"/>
        <v>14 Tahun 4 Bulan 17 Hari</v>
      </c>
      <c r="CM3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Muara Ciwidey RT/RW 003/002 Desa/Kelurahan Cilampeni Kecamatan Katapang Bandung Jawa Barat 40971</v>
      </c>
    </row>
    <row r="37" spans="1:91" ht="24.95" customHeight="1">
      <c r="A37" s="58">
        <f>SUBTOTAL(3,N$8:Table2[[#This Row],[Nama lengkap]])</f>
        <v>30</v>
      </c>
      <c r="B37" s="58" t="s">
        <v>86</v>
      </c>
      <c r="C37" s="58">
        <v>2024</v>
      </c>
      <c r="D37" s="58"/>
      <c r="E37" s="58">
        <v>1</v>
      </c>
      <c r="F37" s="58" t="s">
        <v>582</v>
      </c>
      <c r="G37" s="32" t="s">
        <v>2513</v>
      </c>
      <c r="H37" s="32" t="s">
        <v>2513</v>
      </c>
      <c r="I37" s="32" t="s">
        <v>2513</v>
      </c>
      <c r="J37" s="32"/>
      <c r="K37" s="32"/>
      <c r="L37" s="32"/>
      <c r="M37" s="58">
        <v>24250135</v>
      </c>
      <c r="N37" s="40" t="s">
        <v>5828</v>
      </c>
      <c r="O37" s="40"/>
      <c r="P37" s="32" t="s">
        <v>583</v>
      </c>
      <c r="Q37" s="32" t="s">
        <v>584</v>
      </c>
      <c r="R37" s="67" t="s">
        <v>122</v>
      </c>
      <c r="S37" s="69">
        <v>40849</v>
      </c>
      <c r="T37" s="47" t="s">
        <v>92</v>
      </c>
      <c r="U37" s="58">
        <v>1</v>
      </c>
      <c r="V37" s="58" t="s">
        <v>98</v>
      </c>
      <c r="W37" s="47" t="s">
        <v>207</v>
      </c>
      <c r="X37" s="64" t="s">
        <v>303</v>
      </c>
      <c r="Y37" s="64" t="s">
        <v>585</v>
      </c>
      <c r="Z37" s="64" t="s">
        <v>270</v>
      </c>
      <c r="AA37" s="64" t="s">
        <v>96</v>
      </c>
      <c r="AB37" s="64" t="s">
        <v>97</v>
      </c>
      <c r="AC37" s="64" t="s">
        <v>98</v>
      </c>
      <c r="AD37" s="64" t="s">
        <v>98</v>
      </c>
      <c r="AE37" s="67" t="s">
        <v>586</v>
      </c>
      <c r="AF37" s="67" t="s">
        <v>587</v>
      </c>
      <c r="AG37" s="64" t="s">
        <v>587</v>
      </c>
      <c r="AH37" s="64" t="s">
        <v>101</v>
      </c>
      <c r="AI37" s="64" t="s">
        <v>122</v>
      </c>
      <c r="AJ37" s="69">
        <v>32374</v>
      </c>
      <c r="AK37" s="67" t="s">
        <v>588</v>
      </c>
      <c r="AL37" s="67" t="s">
        <v>589</v>
      </c>
      <c r="AM37" s="64" t="s">
        <v>149</v>
      </c>
      <c r="AN37" s="67">
        <v>85871902602</v>
      </c>
      <c r="AO37" s="67" t="s">
        <v>266</v>
      </c>
      <c r="AP37" s="64" t="s">
        <v>590</v>
      </c>
      <c r="AQ37" s="32" t="s">
        <v>591</v>
      </c>
      <c r="AR37" s="67" t="s">
        <v>592</v>
      </c>
      <c r="AS37" s="64" t="s">
        <v>593</v>
      </c>
      <c r="AT37" s="64" t="s">
        <v>122</v>
      </c>
      <c r="AU37" s="64" t="s">
        <v>111</v>
      </c>
      <c r="AV37" s="64">
        <v>45362</v>
      </c>
      <c r="AW37" s="64" t="s">
        <v>594</v>
      </c>
      <c r="AX37" s="64" t="s">
        <v>101</v>
      </c>
      <c r="AY37" s="64" t="s">
        <v>122</v>
      </c>
      <c r="AZ37" s="125">
        <v>33378</v>
      </c>
      <c r="BA37" s="67" t="s">
        <v>595</v>
      </c>
      <c r="BB37" s="67" t="s">
        <v>180</v>
      </c>
      <c r="BC37" s="64" t="s">
        <v>149</v>
      </c>
      <c r="BD37" s="67">
        <v>8112340201</v>
      </c>
      <c r="BE37" s="67" t="s">
        <v>98</v>
      </c>
      <c r="BF37" s="67"/>
      <c r="BG37" s="64" t="s">
        <v>590</v>
      </c>
      <c r="BH37" s="67" t="s">
        <v>591</v>
      </c>
      <c r="BI37" s="67" t="s">
        <v>592</v>
      </c>
      <c r="BJ37" s="40" t="s">
        <v>593</v>
      </c>
      <c r="BK37" s="64" t="s">
        <v>122</v>
      </c>
      <c r="BL37" s="64" t="s">
        <v>111</v>
      </c>
      <c r="BM37" s="64">
        <v>45362</v>
      </c>
      <c r="BN37" s="64" t="s">
        <v>161</v>
      </c>
      <c r="BO37" s="64" t="s">
        <v>138</v>
      </c>
      <c r="BP37" s="64" t="s">
        <v>138</v>
      </c>
      <c r="BQ37" s="135"/>
      <c r="BR37" s="67" t="s">
        <v>138</v>
      </c>
      <c r="BS37" s="67" t="s">
        <v>138</v>
      </c>
      <c r="BT37" s="64"/>
      <c r="BU37" s="67" t="s">
        <v>138</v>
      </c>
      <c r="BV37" s="67"/>
      <c r="BW37" s="64" t="s">
        <v>138</v>
      </c>
      <c r="BX37" s="67">
        <v>45599</v>
      </c>
      <c r="BY37" s="67" t="s">
        <v>138</v>
      </c>
      <c r="BZ37" s="64" t="s">
        <v>138</v>
      </c>
      <c r="CA37" s="64"/>
      <c r="CB37" s="64"/>
      <c r="CC37" s="64"/>
      <c r="CD37" s="64"/>
      <c r="CE37" s="64" t="s">
        <v>590</v>
      </c>
      <c r="CF37" s="67" t="s">
        <v>591</v>
      </c>
      <c r="CG37" s="64" t="s">
        <v>592</v>
      </c>
      <c r="CH37" s="64" t="s">
        <v>593</v>
      </c>
      <c r="CI37" s="64" t="s">
        <v>122</v>
      </c>
      <c r="CJ37" s="64" t="s">
        <v>111</v>
      </c>
      <c r="CK37" s="58">
        <v>45362</v>
      </c>
      <c r="CL37" s="64" t="str">
        <f t="shared" ca="1" si="0"/>
        <v>14 Tahun 2 Bulan 21 Hari</v>
      </c>
      <c r="CM3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Pangkalan RT/RW 03/011 Desa/Kelurahan Margajaya Kecamatan Tanjungsari Sumedang Jawa Barat 45362</v>
      </c>
    </row>
    <row r="38" spans="1:91" ht="24.95" customHeight="1">
      <c r="A38" s="58">
        <f>SUBTOTAL(3,N$8:Table2[[#This Row],[Nama lengkap]])</f>
        <v>31</v>
      </c>
      <c r="B38" s="58" t="s">
        <v>86</v>
      </c>
      <c r="C38" s="58">
        <v>2024</v>
      </c>
      <c r="D38" s="58"/>
      <c r="E38" s="58">
        <v>1</v>
      </c>
      <c r="F38" s="58" t="s">
        <v>582</v>
      </c>
      <c r="G38" s="165" t="s">
        <v>9967</v>
      </c>
      <c r="H38" s="32"/>
      <c r="I38" s="32"/>
      <c r="J38" s="32"/>
      <c r="K38" s="32"/>
      <c r="L38" s="32"/>
      <c r="M38" s="58">
        <v>24250019</v>
      </c>
      <c r="N38" s="40" t="s">
        <v>5830</v>
      </c>
      <c r="O38" s="40"/>
      <c r="P38" s="32" t="s">
        <v>596</v>
      </c>
      <c r="Q38" s="32" t="s">
        <v>597</v>
      </c>
      <c r="R38" s="67" t="s">
        <v>236</v>
      </c>
      <c r="S38" s="69">
        <v>40993</v>
      </c>
      <c r="T38" s="47" t="s">
        <v>92</v>
      </c>
      <c r="U38" s="58">
        <v>1</v>
      </c>
      <c r="V38" s="58">
        <v>1</v>
      </c>
      <c r="W38" s="47" t="s">
        <v>207</v>
      </c>
      <c r="X38" s="64" t="s">
        <v>142</v>
      </c>
      <c r="Y38" s="64" t="s">
        <v>598</v>
      </c>
      <c r="Z38" s="64" t="s">
        <v>270</v>
      </c>
      <c r="AA38" s="64" t="s">
        <v>96</v>
      </c>
      <c r="AB38" s="64" t="s">
        <v>97</v>
      </c>
      <c r="AC38" s="64" t="s">
        <v>98</v>
      </c>
      <c r="AD38" s="64" t="s">
        <v>98</v>
      </c>
      <c r="AE38" s="67" t="s">
        <v>599</v>
      </c>
      <c r="AF38" s="67" t="s">
        <v>600</v>
      </c>
      <c r="AG38" s="64" t="s">
        <v>600</v>
      </c>
      <c r="AH38" s="64" t="s">
        <v>101</v>
      </c>
      <c r="AI38" s="64" t="s">
        <v>122</v>
      </c>
      <c r="AJ38" s="69">
        <v>27380</v>
      </c>
      <c r="AK38" s="67" t="s">
        <v>601</v>
      </c>
      <c r="AL38" s="67" t="s">
        <v>602</v>
      </c>
      <c r="AM38" s="64" t="s">
        <v>149</v>
      </c>
      <c r="AN38" s="67">
        <v>89504833513</v>
      </c>
      <c r="AO38" s="67" t="s">
        <v>130</v>
      </c>
      <c r="AP38" s="64" t="s">
        <v>603</v>
      </c>
      <c r="AQ38" s="32" t="s">
        <v>604</v>
      </c>
      <c r="AR38" s="67" t="s">
        <v>605</v>
      </c>
      <c r="AS38" s="64" t="s">
        <v>606</v>
      </c>
      <c r="AT38" s="64" t="s">
        <v>236</v>
      </c>
      <c r="AU38" s="64" t="s">
        <v>111</v>
      </c>
      <c r="AV38" s="64">
        <v>44185</v>
      </c>
      <c r="AW38" s="64" t="s">
        <v>607</v>
      </c>
      <c r="AX38" s="64" t="s">
        <v>101</v>
      </c>
      <c r="AY38" s="64" t="s">
        <v>236</v>
      </c>
      <c r="AZ38" s="125">
        <v>29752</v>
      </c>
      <c r="BA38" s="67" t="s">
        <v>608</v>
      </c>
      <c r="BB38" s="67" t="s">
        <v>428</v>
      </c>
      <c r="BC38" s="64" t="s">
        <v>149</v>
      </c>
      <c r="BD38" s="67">
        <v>89699427338</v>
      </c>
      <c r="BE38" s="67" t="s">
        <v>98</v>
      </c>
      <c r="BF38" s="67"/>
      <c r="BG38" s="64" t="s">
        <v>603</v>
      </c>
      <c r="BH38" s="67" t="s">
        <v>604</v>
      </c>
      <c r="BI38" s="67" t="s">
        <v>605</v>
      </c>
      <c r="BJ38" s="40" t="s">
        <v>606</v>
      </c>
      <c r="BK38" s="64" t="s">
        <v>236</v>
      </c>
      <c r="BL38" s="64" t="s">
        <v>111</v>
      </c>
      <c r="BM38" s="64">
        <v>44185</v>
      </c>
      <c r="BN38" s="64" t="s">
        <v>161</v>
      </c>
      <c r="BO38" s="64" t="s">
        <v>600</v>
      </c>
      <c r="BP38" s="64"/>
      <c r="BQ38" s="135"/>
      <c r="BR38" s="67"/>
      <c r="BS38" s="67"/>
      <c r="BT38" s="64"/>
      <c r="BU38" s="67">
        <v>89504833513</v>
      </c>
      <c r="BV38" s="67" t="s">
        <v>130</v>
      </c>
      <c r="BW38" s="64"/>
      <c r="BX38" s="67"/>
      <c r="BY38" s="67"/>
      <c r="BZ38" s="64"/>
      <c r="CA38" s="64"/>
      <c r="CB38" s="64"/>
      <c r="CC38" s="64"/>
      <c r="CD38" s="64"/>
      <c r="CE38" s="64" t="s">
        <v>603</v>
      </c>
      <c r="CF38" s="67" t="s">
        <v>604</v>
      </c>
      <c r="CG38" s="64" t="s">
        <v>605</v>
      </c>
      <c r="CH38" s="64" t="s">
        <v>606</v>
      </c>
      <c r="CI38" s="64" t="s">
        <v>236</v>
      </c>
      <c r="CJ38" s="64" t="s">
        <v>111</v>
      </c>
      <c r="CK38" s="58">
        <v>44185</v>
      </c>
      <c r="CL38" s="64" t="str">
        <f t="shared" ca="1" si="0"/>
        <v>13 Tahun 9 Bulan 29 Hari</v>
      </c>
      <c r="CM3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Kp.Kubang RT/RW 03/04 Desa/Kelurahan Nanjung Jaya Kecamatan Kersamanah Garut Jawa Barat 44185</v>
      </c>
    </row>
    <row r="39" spans="1:91" ht="24.95" customHeight="1">
      <c r="A39" s="58">
        <f>SUBTOTAL(3,N$8:Table2[[#This Row],[Nama lengkap]])</f>
        <v>32</v>
      </c>
      <c r="B39" s="89" t="s">
        <v>86</v>
      </c>
      <c r="C39" s="89">
        <v>2025</v>
      </c>
      <c r="D39" s="89"/>
      <c r="E39" s="89">
        <v>1</v>
      </c>
      <c r="F39" s="89" t="s">
        <v>582</v>
      </c>
      <c r="G39" s="166" t="s">
        <v>8937</v>
      </c>
      <c r="H39" s="32"/>
      <c r="I39" s="32"/>
      <c r="J39" s="32"/>
      <c r="K39" s="32"/>
      <c r="L39" s="32"/>
      <c r="M39" s="89">
        <v>25260089</v>
      </c>
      <c r="N39" s="91" t="s">
        <v>8749</v>
      </c>
      <c r="O39" s="91"/>
      <c r="P39" s="90" t="s">
        <v>6900</v>
      </c>
      <c r="Q39" s="90" t="s">
        <v>6901</v>
      </c>
      <c r="R39" s="90" t="s">
        <v>8746</v>
      </c>
      <c r="S39" s="101">
        <v>40180</v>
      </c>
      <c r="T39" s="47" t="s">
        <v>92</v>
      </c>
      <c r="U39" s="89">
        <v>1</v>
      </c>
      <c r="V39" s="89">
        <v>1</v>
      </c>
      <c r="W39" s="47" t="s">
        <v>207</v>
      </c>
      <c r="X39" s="92" t="s">
        <v>6434</v>
      </c>
      <c r="Y39" s="92" t="s">
        <v>94</v>
      </c>
      <c r="Z39" s="92" t="s">
        <v>819</v>
      </c>
      <c r="AA39" s="92" t="s">
        <v>6437</v>
      </c>
      <c r="AB39" s="92" t="s">
        <v>97</v>
      </c>
      <c r="AC39" s="92" t="s">
        <v>534</v>
      </c>
      <c r="AD39" s="92" t="s">
        <v>534</v>
      </c>
      <c r="AE39" s="93" t="s">
        <v>6902</v>
      </c>
      <c r="AF39" s="93" t="s">
        <v>8306</v>
      </c>
      <c r="AG39" s="92" t="s">
        <v>8306</v>
      </c>
      <c r="AH39" s="92" t="s">
        <v>101</v>
      </c>
      <c r="AI39" s="92" t="s">
        <v>90</v>
      </c>
      <c r="AJ39" s="101">
        <v>31812</v>
      </c>
      <c r="AK39" s="93" t="s">
        <v>6904</v>
      </c>
      <c r="AL39" s="93" t="s">
        <v>114</v>
      </c>
      <c r="AM39" s="92" t="s">
        <v>149</v>
      </c>
      <c r="AN39" s="93" t="s">
        <v>6905</v>
      </c>
      <c r="AO39" s="93" t="s">
        <v>117</v>
      </c>
      <c r="AP39" s="92" t="s">
        <v>6906</v>
      </c>
      <c r="AQ39" s="90" t="s">
        <v>1493</v>
      </c>
      <c r="AR39" s="93" t="s">
        <v>6907</v>
      </c>
      <c r="AS39" s="92" t="s">
        <v>1518</v>
      </c>
      <c r="AT39" s="92" t="s">
        <v>122</v>
      </c>
      <c r="AU39" s="92" t="s">
        <v>318</v>
      </c>
      <c r="AV39" s="92">
        <v>45364</v>
      </c>
      <c r="AW39" s="92" t="s">
        <v>7824</v>
      </c>
      <c r="AX39" s="92" t="s">
        <v>101</v>
      </c>
      <c r="AY39" s="92" t="s">
        <v>122</v>
      </c>
      <c r="AZ39" s="127">
        <v>33124</v>
      </c>
      <c r="BA39" s="93" t="s">
        <v>6908</v>
      </c>
      <c r="BB39" s="93" t="s">
        <v>602</v>
      </c>
      <c r="BC39" s="92" t="s">
        <v>149</v>
      </c>
      <c r="BD39" s="93" t="s">
        <v>6909</v>
      </c>
      <c r="BE39" s="93" t="s">
        <v>117</v>
      </c>
      <c r="BF39" s="67" t="s">
        <v>6448</v>
      </c>
      <c r="BG39" s="92"/>
      <c r="BH39" s="93"/>
      <c r="BI39" s="93"/>
      <c r="BJ39" s="91"/>
      <c r="BK39" s="92"/>
      <c r="BL39" s="92"/>
      <c r="BM39" s="92"/>
      <c r="BN39" s="64" t="s">
        <v>6910</v>
      </c>
      <c r="BO39" s="92" t="s">
        <v>6903</v>
      </c>
      <c r="BP39" s="92" t="s">
        <v>90</v>
      </c>
      <c r="BQ39" s="136">
        <v>31812</v>
      </c>
      <c r="BR39" s="93" t="s">
        <v>6904</v>
      </c>
      <c r="BS39" s="93" t="s">
        <v>114</v>
      </c>
      <c r="BT39" s="92" t="s">
        <v>149</v>
      </c>
      <c r="BU39" s="93" t="s">
        <v>6905</v>
      </c>
      <c r="BV39" s="93" t="s">
        <v>117</v>
      </c>
      <c r="BW39" s="92" t="s">
        <v>6906</v>
      </c>
      <c r="BX39" s="93" t="s">
        <v>1493</v>
      </c>
      <c r="BY39" s="93" t="s">
        <v>6907</v>
      </c>
      <c r="BZ39" s="92" t="s">
        <v>1518</v>
      </c>
      <c r="CA39" s="92" t="s">
        <v>122</v>
      </c>
      <c r="CB39" s="92" t="s">
        <v>318</v>
      </c>
      <c r="CC39" s="92">
        <v>45364</v>
      </c>
      <c r="CD39" s="92"/>
      <c r="CE39" s="64" t="s">
        <v>7357</v>
      </c>
      <c r="CF39" s="67" t="s">
        <v>1493</v>
      </c>
      <c r="CG39" s="64" t="s">
        <v>6533</v>
      </c>
      <c r="CH39" s="92" t="s">
        <v>1518</v>
      </c>
      <c r="CI39" s="92" t="s">
        <v>122</v>
      </c>
      <c r="CJ39" s="92" t="s">
        <v>111</v>
      </c>
      <c r="CK39" s="89">
        <v>45364</v>
      </c>
      <c r="CL39" s="64" t="str">
        <f t="shared" ca="1" si="0"/>
        <v>16 Tahun 0 Bulan 21 Hari</v>
      </c>
      <c r="CM3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Babakan Limus RT/RW 02/11 Desa/Kelurahan Cihanjuang Kecamatan Cimanggung Sumedang Jawa Barat 45364</v>
      </c>
    </row>
    <row r="40" spans="1:91" ht="24.95" customHeight="1">
      <c r="A40" s="58">
        <f>SUBTOTAL(3,N$8:Table2[[#This Row],[Nama lengkap]])</f>
        <v>33</v>
      </c>
      <c r="B40" s="58" t="s">
        <v>86</v>
      </c>
      <c r="C40" s="58">
        <v>2024</v>
      </c>
      <c r="D40" s="58"/>
      <c r="E40" s="58">
        <v>1</v>
      </c>
      <c r="F40" s="58" t="s">
        <v>582</v>
      </c>
      <c r="G40" s="32" t="s">
        <v>2513</v>
      </c>
      <c r="H40" s="32" t="s">
        <v>2513</v>
      </c>
      <c r="I40" s="32" t="s">
        <v>2513</v>
      </c>
      <c r="J40" s="32"/>
      <c r="K40" s="32"/>
      <c r="L40" s="32"/>
      <c r="M40" s="58">
        <v>24250042</v>
      </c>
      <c r="N40" s="40" t="s">
        <v>5831</v>
      </c>
      <c r="O40" s="40"/>
      <c r="P40" s="32" t="s">
        <v>609</v>
      </c>
      <c r="Q40" s="32" t="s">
        <v>610</v>
      </c>
      <c r="R40" s="67" t="s">
        <v>611</v>
      </c>
      <c r="S40" s="69">
        <v>40775</v>
      </c>
      <c r="T40" s="47" t="s">
        <v>92</v>
      </c>
      <c r="U40" s="58">
        <v>2</v>
      </c>
      <c r="V40" s="58">
        <v>3</v>
      </c>
      <c r="W40" s="47" t="s">
        <v>207</v>
      </c>
      <c r="X40" s="64" t="s">
        <v>142</v>
      </c>
      <c r="Y40" s="64" t="s">
        <v>285</v>
      </c>
      <c r="Z40" s="64" t="s">
        <v>270</v>
      </c>
      <c r="AA40" s="64" t="s">
        <v>96</v>
      </c>
      <c r="AB40" s="64" t="s">
        <v>97</v>
      </c>
      <c r="AC40" s="64" t="s">
        <v>98</v>
      </c>
      <c r="AD40" s="64" t="s">
        <v>98</v>
      </c>
      <c r="AE40" s="67" t="s">
        <v>612</v>
      </c>
      <c r="AF40" s="67" t="s">
        <v>8307</v>
      </c>
      <c r="AG40" s="64" t="s">
        <v>8307</v>
      </c>
      <c r="AH40" s="64" t="s">
        <v>101</v>
      </c>
      <c r="AI40" s="64" t="s">
        <v>90</v>
      </c>
      <c r="AJ40" s="69">
        <v>30406</v>
      </c>
      <c r="AK40" s="67" t="s">
        <v>614</v>
      </c>
      <c r="AL40" s="67" t="s">
        <v>114</v>
      </c>
      <c r="AM40" s="64" t="s">
        <v>149</v>
      </c>
      <c r="AN40" s="67">
        <v>85320582901</v>
      </c>
      <c r="AO40" s="67" t="s">
        <v>117</v>
      </c>
      <c r="AP40" s="64" t="s">
        <v>615</v>
      </c>
      <c r="AQ40" s="32" t="s">
        <v>616</v>
      </c>
      <c r="AR40" s="67" t="s">
        <v>617</v>
      </c>
      <c r="AS40" s="64" t="s">
        <v>618</v>
      </c>
      <c r="AT40" s="64" t="s">
        <v>141</v>
      </c>
      <c r="AU40" s="64" t="s">
        <v>156</v>
      </c>
      <c r="AV40" s="64">
        <v>40377</v>
      </c>
      <c r="AW40" s="64" t="s">
        <v>619</v>
      </c>
      <c r="AX40" s="64" t="s">
        <v>101</v>
      </c>
      <c r="AY40" s="64" t="s">
        <v>90</v>
      </c>
      <c r="AZ40" s="125">
        <v>30814</v>
      </c>
      <c r="BA40" s="67" t="s">
        <v>620</v>
      </c>
      <c r="BB40" s="67" t="s">
        <v>845</v>
      </c>
      <c r="BC40" s="64" t="s">
        <v>149</v>
      </c>
      <c r="BD40" s="67">
        <v>85320582902</v>
      </c>
      <c r="BE40" s="67" t="s">
        <v>98</v>
      </c>
      <c r="BF40" s="67"/>
      <c r="BG40" s="64" t="s">
        <v>615</v>
      </c>
      <c r="BH40" s="67" t="s">
        <v>616</v>
      </c>
      <c r="BI40" s="67" t="s">
        <v>617</v>
      </c>
      <c r="BJ40" s="40" t="s">
        <v>618</v>
      </c>
      <c r="BK40" s="64" t="s">
        <v>141</v>
      </c>
      <c r="BL40" s="64" t="s">
        <v>156</v>
      </c>
      <c r="BM40" s="64">
        <v>40377</v>
      </c>
      <c r="BN40" s="64" t="s">
        <v>161</v>
      </c>
      <c r="BO40" s="64" t="s">
        <v>613</v>
      </c>
      <c r="BP40" s="64"/>
      <c r="BQ40" s="135"/>
      <c r="BR40" s="67"/>
      <c r="BS40" s="67"/>
      <c r="BT40" s="64"/>
      <c r="BU40" s="67">
        <v>85320582901</v>
      </c>
      <c r="BV40" s="67"/>
      <c r="BW40" s="64"/>
      <c r="BX40" s="67"/>
      <c r="BY40" s="67"/>
      <c r="BZ40" s="64"/>
      <c r="CA40" s="64"/>
      <c r="CB40" s="64"/>
      <c r="CC40" s="64"/>
      <c r="CD40" s="64"/>
      <c r="CE40" s="64" t="s">
        <v>7358</v>
      </c>
      <c r="CF40" s="67" t="s">
        <v>616</v>
      </c>
      <c r="CG40" s="64" t="s">
        <v>617</v>
      </c>
      <c r="CH40" s="64" t="s">
        <v>507</v>
      </c>
      <c r="CI40" s="64" t="s">
        <v>90</v>
      </c>
      <c r="CJ40" s="64" t="s">
        <v>111</v>
      </c>
      <c r="CK40" s="58">
        <v>40377</v>
      </c>
      <c r="CL40" s="64" t="str">
        <f t="shared" ca="1" si="0"/>
        <v>14 Tahun 5 Bulan 3 Hari</v>
      </c>
      <c r="CM4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Kp.Citeureup RT/RW 04/014 Desa/Kelurahan Neglasari Kecamatan Banjaran Bandung Jawa Barat 40377</v>
      </c>
    </row>
    <row r="41" spans="1:91" ht="24.95" customHeight="1">
      <c r="A41" s="58">
        <f>SUBTOTAL(3,N$8:Table2[[#This Row],[Nama lengkap]])</f>
        <v>34</v>
      </c>
      <c r="B41" s="58" t="s">
        <v>86</v>
      </c>
      <c r="C41" s="58">
        <v>2024</v>
      </c>
      <c r="D41" s="58"/>
      <c r="E41" s="58">
        <v>1</v>
      </c>
      <c r="F41" s="58" t="s">
        <v>582</v>
      </c>
      <c r="G41" s="32" t="s">
        <v>2513</v>
      </c>
      <c r="H41" s="32" t="s">
        <v>2513</v>
      </c>
      <c r="I41" s="32" t="s">
        <v>2513</v>
      </c>
      <c r="J41" s="32"/>
      <c r="K41" s="32"/>
      <c r="L41" s="32"/>
      <c r="M41" s="58">
        <v>24250103</v>
      </c>
      <c r="N41" s="40" t="s">
        <v>5832</v>
      </c>
      <c r="O41" s="40"/>
      <c r="P41" s="32">
        <v>129296300</v>
      </c>
      <c r="Q41" s="32" t="s">
        <v>621</v>
      </c>
      <c r="R41" s="67" t="s">
        <v>492</v>
      </c>
      <c r="S41" s="69">
        <v>40930</v>
      </c>
      <c r="T41" s="47" t="s">
        <v>92</v>
      </c>
      <c r="U41" s="58">
        <v>4</v>
      </c>
      <c r="V41" s="58">
        <v>3</v>
      </c>
      <c r="W41" s="47" t="s">
        <v>207</v>
      </c>
      <c r="X41" s="64" t="s">
        <v>123</v>
      </c>
      <c r="Y41" s="64" t="s">
        <v>143</v>
      </c>
      <c r="Z41" s="64" t="s">
        <v>255</v>
      </c>
      <c r="AA41" s="64" t="s">
        <v>96</v>
      </c>
      <c r="AB41" s="64" t="s">
        <v>97</v>
      </c>
      <c r="AC41" s="64" t="s">
        <v>98</v>
      </c>
      <c r="AD41" s="64" t="s">
        <v>98</v>
      </c>
      <c r="AE41" s="67" t="s">
        <v>622</v>
      </c>
      <c r="AF41" s="67" t="s">
        <v>8308</v>
      </c>
      <c r="AG41" s="64" t="s">
        <v>8308</v>
      </c>
      <c r="AH41" s="64" t="s">
        <v>101</v>
      </c>
      <c r="AI41" s="64" t="s">
        <v>623</v>
      </c>
      <c r="AJ41" s="69">
        <v>26336</v>
      </c>
      <c r="AK41" s="67" t="s">
        <v>624</v>
      </c>
      <c r="AL41" s="67" t="s">
        <v>114</v>
      </c>
      <c r="AM41" s="64" t="s">
        <v>149</v>
      </c>
      <c r="AN41" s="67" t="s">
        <v>625</v>
      </c>
      <c r="AO41" s="67" t="s">
        <v>266</v>
      </c>
      <c r="AP41" s="64" t="s">
        <v>626</v>
      </c>
      <c r="AQ41" s="32" t="s">
        <v>627</v>
      </c>
      <c r="AR41" s="67" t="s">
        <v>628</v>
      </c>
      <c r="AS41" s="64" t="s">
        <v>629</v>
      </c>
      <c r="AT41" s="64" t="s">
        <v>492</v>
      </c>
      <c r="AU41" s="64" t="s">
        <v>630</v>
      </c>
      <c r="AV41" s="64">
        <v>41314</v>
      </c>
      <c r="AW41" s="64" t="s">
        <v>631</v>
      </c>
      <c r="AX41" s="64" t="s">
        <v>101</v>
      </c>
      <c r="AY41" s="64" t="s">
        <v>492</v>
      </c>
      <c r="AZ41" s="125">
        <v>28259</v>
      </c>
      <c r="BA41" s="67" t="s">
        <v>632</v>
      </c>
      <c r="BB41" s="67" t="s">
        <v>428</v>
      </c>
      <c r="BC41" s="64" t="s">
        <v>96</v>
      </c>
      <c r="BD41" s="67">
        <v>85775012050</v>
      </c>
      <c r="BE41" s="67" t="s">
        <v>266</v>
      </c>
      <c r="BF41" s="67"/>
      <c r="BG41" s="64" t="s">
        <v>626</v>
      </c>
      <c r="BH41" s="67" t="s">
        <v>627</v>
      </c>
      <c r="BI41" s="67" t="s">
        <v>628</v>
      </c>
      <c r="BJ41" s="40" t="s">
        <v>629</v>
      </c>
      <c r="BK41" s="64" t="s">
        <v>492</v>
      </c>
      <c r="BL41" s="64" t="s">
        <v>630</v>
      </c>
      <c r="BM41" s="64">
        <v>41314</v>
      </c>
      <c r="BN41" s="64" t="s">
        <v>633</v>
      </c>
      <c r="BO41" s="64" t="s">
        <v>634</v>
      </c>
      <c r="BP41" s="64" t="s">
        <v>492</v>
      </c>
      <c r="BQ41" s="135">
        <v>37355</v>
      </c>
      <c r="BR41" s="67">
        <v>3215260904020000</v>
      </c>
      <c r="BS41" s="67" t="s">
        <v>635</v>
      </c>
      <c r="BT41" s="64" t="s">
        <v>149</v>
      </c>
      <c r="BU41" s="67">
        <v>83808318576</v>
      </c>
      <c r="BV41" s="67" t="s">
        <v>548</v>
      </c>
      <c r="BW41" s="64" t="s">
        <v>626</v>
      </c>
      <c r="BX41" s="67" t="s">
        <v>627</v>
      </c>
      <c r="BY41" s="67" t="s">
        <v>628</v>
      </c>
      <c r="BZ41" s="64" t="s">
        <v>629</v>
      </c>
      <c r="CA41" s="64" t="s">
        <v>492</v>
      </c>
      <c r="CB41" s="64" t="s">
        <v>111</v>
      </c>
      <c r="CC41" s="64">
        <v>41314</v>
      </c>
      <c r="CD41" s="64" t="s">
        <v>185</v>
      </c>
      <c r="CE41" s="64" t="s">
        <v>626</v>
      </c>
      <c r="CF41" s="67" t="s">
        <v>627</v>
      </c>
      <c r="CG41" s="64" t="s">
        <v>7021</v>
      </c>
      <c r="CH41" s="64" t="s">
        <v>629</v>
      </c>
      <c r="CI41" s="64" t="s">
        <v>492</v>
      </c>
      <c r="CJ41" s="64" t="s">
        <v>111</v>
      </c>
      <c r="CK41" s="58">
        <v>41314</v>
      </c>
      <c r="CL41" s="64" t="str">
        <f t="shared" ca="1" si="0"/>
        <v>14 Tahun 0 Bulan 1 Hari</v>
      </c>
      <c r="CM4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Johar Barat RT/RW 005/017 Desa/Kelurahan Karawang Wetan Kecamatan Karawang Timur Karawang Jawa Barat 41314</v>
      </c>
    </row>
    <row r="42" spans="1:91" ht="24.95" customHeight="1">
      <c r="A42" s="58">
        <f>SUBTOTAL(3,N$8:Table2[[#This Row],[Nama lengkap]])</f>
        <v>35</v>
      </c>
      <c r="B42" s="58" t="s">
        <v>86</v>
      </c>
      <c r="C42" s="58">
        <v>2024</v>
      </c>
      <c r="D42" s="58"/>
      <c r="E42" s="58">
        <v>1</v>
      </c>
      <c r="F42" s="58" t="s">
        <v>582</v>
      </c>
      <c r="G42" s="32" t="s">
        <v>2513</v>
      </c>
      <c r="H42" s="32" t="s">
        <v>2513</v>
      </c>
      <c r="I42" s="32" t="s">
        <v>2513</v>
      </c>
      <c r="J42" s="32"/>
      <c r="K42" s="32"/>
      <c r="L42" s="32"/>
      <c r="M42" s="58">
        <v>24250099</v>
      </c>
      <c r="N42" s="40" t="s">
        <v>5833</v>
      </c>
      <c r="O42" s="40"/>
      <c r="P42" s="32">
        <v>3117527917</v>
      </c>
      <c r="Q42" s="32" t="s">
        <v>636</v>
      </c>
      <c r="R42" s="67" t="s">
        <v>90</v>
      </c>
      <c r="S42" s="69">
        <v>41132</v>
      </c>
      <c r="T42" s="47" t="s">
        <v>92</v>
      </c>
      <c r="U42" s="58">
        <v>3</v>
      </c>
      <c r="V42" s="58">
        <v>4</v>
      </c>
      <c r="W42" s="47" t="s">
        <v>207</v>
      </c>
      <c r="X42" s="64" t="s">
        <v>142</v>
      </c>
      <c r="Y42" s="64" t="s">
        <v>124</v>
      </c>
      <c r="Z42" s="64" t="s">
        <v>637</v>
      </c>
      <c r="AA42" s="64" t="s">
        <v>96</v>
      </c>
      <c r="AB42" s="64" t="s">
        <v>97</v>
      </c>
      <c r="AC42" s="64" t="s">
        <v>98</v>
      </c>
      <c r="AD42" s="64" t="s">
        <v>98</v>
      </c>
      <c r="AE42" s="67" t="s">
        <v>638</v>
      </c>
      <c r="AF42" s="67" t="s">
        <v>639</v>
      </c>
      <c r="AG42" s="64" t="s">
        <v>639</v>
      </c>
      <c r="AH42" s="64" t="s">
        <v>101</v>
      </c>
      <c r="AI42" s="64" t="s">
        <v>90</v>
      </c>
      <c r="AJ42" s="69">
        <v>27824</v>
      </c>
      <c r="AK42" s="67" t="s">
        <v>640</v>
      </c>
      <c r="AL42" s="67" t="s">
        <v>602</v>
      </c>
      <c r="AM42" s="64" t="s">
        <v>413</v>
      </c>
      <c r="AN42" s="67">
        <v>81220144033</v>
      </c>
      <c r="AO42" s="67" t="s">
        <v>117</v>
      </c>
      <c r="AP42" s="64" t="s">
        <v>641</v>
      </c>
      <c r="AQ42" s="32" t="s">
        <v>642</v>
      </c>
      <c r="AR42" s="67" t="s">
        <v>643</v>
      </c>
      <c r="AS42" s="64" t="s">
        <v>446</v>
      </c>
      <c r="AT42" s="64" t="s">
        <v>644</v>
      </c>
      <c r="AU42" s="64" t="s">
        <v>645</v>
      </c>
      <c r="AV42" s="64">
        <v>40195</v>
      </c>
      <c r="AW42" s="64" t="s">
        <v>646</v>
      </c>
      <c r="AX42" s="64" t="s">
        <v>101</v>
      </c>
      <c r="AY42" s="64" t="s">
        <v>90</v>
      </c>
      <c r="AZ42" s="125">
        <v>28514</v>
      </c>
      <c r="BA42" s="67" t="s">
        <v>647</v>
      </c>
      <c r="BB42" s="67" t="s">
        <v>7768</v>
      </c>
      <c r="BC42" s="64" t="s">
        <v>171</v>
      </c>
      <c r="BD42" s="67">
        <v>82121079996</v>
      </c>
      <c r="BE42" s="67" t="s">
        <v>130</v>
      </c>
      <c r="BF42" s="67"/>
      <c r="BG42" s="64" t="s">
        <v>641</v>
      </c>
      <c r="BH42" s="67" t="s">
        <v>642</v>
      </c>
      <c r="BI42" s="67" t="s">
        <v>643</v>
      </c>
      <c r="BJ42" s="40" t="s">
        <v>446</v>
      </c>
      <c r="BK42" s="64" t="s">
        <v>644</v>
      </c>
      <c r="BL42" s="64" t="s">
        <v>645</v>
      </c>
      <c r="BM42" s="64">
        <v>40195</v>
      </c>
      <c r="BN42" s="64" t="s">
        <v>161</v>
      </c>
      <c r="BO42" s="64" t="s">
        <v>639</v>
      </c>
      <c r="BP42" s="64" t="s">
        <v>90</v>
      </c>
      <c r="BQ42" s="135">
        <v>27824</v>
      </c>
      <c r="BR42" s="67">
        <v>3273300503760000</v>
      </c>
      <c r="BS42" s="67" t="s">
        <v>574</v>
      </c>
      <c r="BT42" s="64" t="s">
        <v>149</v>
      </c>
      <c r="BU42" s="67">
        <v>81220144033</v>
      </c>
      <c r="BV42" s="67" t="s">
        <v>117</v>
      </c>
      <c r="BW42" s="64" t="s">
        <v>648</v>
      </c>
      <c r="BX42" s="67">
        <v>45539</v>
      </c>
      <c r="BY42" s="67" t="s">
        <v>643</v>
      </c>
      <c r="BZ42" s="64" t="s">
        <v>446</v>
      </c>
      <c r="CA42" s="64" t="s">
        <v>649</v>
      </c>
      <c r="CB42" s="64" t="s">
        <v>111</v>
      </c>
      <c r="CC42" s="64">
        <v>40195</v>
      </c>
      <c r="CD42" s="64" t="s">
        <v>164</v>
      </c>
      <c r="CE42" s="64" t="s">
        <v>7359</v>
      </c>
      <c r="CF42" s="67" t="s">
        <v>642</v>
      </c>
      <c r="CG42" s="64" t="s">
        <v>643</v>
      </c>
      <c r="CH42" s="64" t="s">
        <v>446</v>
      </c>
      <c r="CI42" s="64" t="s">
        <v>644</v>
      </c>
      <c r="CJ42" s="64" t="s">
        <v>645</v>
      </c>
      <c r="CK42" s="58">
        <v>40195</v>
      </c>
      <c r="CL42" s="64" t="str">
        <f t="shared" ca="1" si="0"/>
        <v>13 Tahun 5 Bulan 12 Hari</v>
      </c>
      <c r="CM4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 Arcamanik Gg Cempaka  RT/RW 04/09 Desa/Kelurahan Pasir Impun Kecamatan Mandalajati Kota Bandung Jawab Barat 40195</v>
      </c>
    </row>
    <row r="43" spans="1:91" ht="24.95" customHeight="1">
      <c r="A43" s="58">
        <f>SUBTOTAL(3,N$8:Table2[[#This Row],[Nama lengkap]])</f>
        <v>36</v>
      </c>
      <c r="B43" s="58" t="s">
        <v>86</v>
      </c>
      <c r="C43" s="58">
        <v>2024</v>
      </c>
      <c r="D43" s="58"/>
      <c r="E43" s="58">
        <v>1</v>
      </c>
      <c r="F43" s="58" t="s">
        <v>582</v>
      </c>
      <c r="G43" s="32" t="s">
        <v>2513</v>
      </c>
      <c r="H43" s="32" t="s">
        <v>2513</v>
      </c>
      <c r="I43" s="32" t="s">
        <v>2513</v>
      </c>
      <c r="J43" s="32"/>
      <c r="K43" s="32"/>
      <c r="L43" s="32"/>
      <c r="M43" s="58">
        <v>24250073</v>
      </c>
      <c r="N43" s="40" t="s">
        <v>5834</v>
      </c>
      <c r="O43" s="40"/>
      <c r="P43" s="32">
        <v>3113321539</v>
      </c>
      <c r="Q43" s="32" t="s">
        <v>650</v>
      </c>
      <c r="R43" s="67" t="s">
        <v>6472</v>
      </c>
      <c r="S43" s="69">
        <v>40874</v>
      </c>
      <c r="T43" s="47" t="s">
        <v>92</v>
      </c>
      <c r="U43" s="58">
        <v>2</v>
      </c>
      <c r="V43" s="58">
        <v>2</v>
      </c>
      <c r="W43" s="47" t="s">
        <v>207</v>
      </c>
      <c r="X43" s="64" t="s">
        <v>142</v>
      </c>
      <c r="Y43" s="64" t="s">
        <v>167</v>
      </c>
      <c r="Z43" s="64" t="s">
        <v>114</v>
      </c>
      <c r="AA43" s="64" t="s">
        <v>96</v>
      </c>
      <c r="AB43" s="64" t="s">
        <v>97</v>
      </c>
      <c r="AC43" s="64" t="s">
        <v>98</v>
      </c>
      <c r="AD43" s="64" t="s">
        <v>98</v>
      </c>
      <c r="AE43" s="67" t="s">
        <v>652</v>
      </c>
      <c r="AF43" s="67" t="s">
        <v>8309</v>
      </c>
      <c r="AG43" s="64" t="s">
        <v>8309</v>
      </c>
      <c r="AH43" s="64" t="s">
        <v>101</v>
      </c>
      <c r="AI43" s="64" t="s">
        <v>8274</v>
      </c>
      <c r="AJ43" s="69">
        <v>26120</v>
      </c>
      <c r="AK43" s="67" t="s">
        <v>654</v>
      </c>
      <c r="AL43" s="67" t="s">
        <v>114</v>
      </c>
      <c r="AM43" s="64" t="s">
        <v>149</v>
      </c>
      <c r="AN43" s="67">
        <v>81913847389</v>
      </c>
      <c r="AO43" s="67" t="s">
        <v>130</v>
      </c>
      <c r="AP43" s="64" t="s">
        <v>655</v>
      </c>
      <c r="AQ43" s="32" t="s">
        <v>656</v>
      </c>
      <c r="AR43" s="67" t="s">
        <v>657</v>
      </c>
      <c r="AS43" s="64" t="s">
        <v>658</v>
      </c>
      <c r="AT43" s="64" t="s">
        <v>651</v>
      </c>
      <c r="AU43" s="64" t="s">
        <v>156</v>
      </c>
      <c r="AV43" s="64">
        <v>45457</v>
      </c>
      <c r="AW43" s="64" t="s">
        <v>7825</v>
      </c>
      <c r="AX43" s="64" t="s">
        <v>101</v>
      </c>
      <c r="AY43" s="64" t="s">
        <v>6472</v>
      </c>
      <c r="AZ43" s="125">
        <v>29671</v>
      </c>
      <c r="BA43" s="67" t="s">
        <v>659</v>
      </c>
      <c r="BB43" s="67" t="s">
        <v>914</v>
      </c>
      <c r="BC43" s="64" t="s">
        <v>413</v>
      </c>
      <c r="BD43" s="67">
        <v>83167701539</v>
      </c>
      <c r="BE43" s="67" t="s">
        <v>266</v>
      </c>
      <c r="BF43" s="67"/>
      <c r="BG43" s="64" t="s">
        <v>655</v>
      </c>
      <c r="BH43" s="67" t="s">
        <v>656</v>
      </c>
      <c r="BI43" s="67" t="s">
        <v>660</v>
      </c>
      <c r="BJ43" s="40" t="s">
        <v>658</v>
      </c>
      <c r="BK43" s="64" t="s">
        <v>651</v>
      </c>
      <c r="BL43" s="64" t="s">
        <v>156</v>
      </c>
      <c r="BM43" s="64">
        <v>45457</v>
      </c>
      <c r="BN43" s="64" t="s">
        <v>161</v>
      </c>
      <c r="BO43" s="64" t="s">
        <v>653</v>
      </c>
      <c r="BP43" s="64"/>
      <c r="BQ43" s="135"/>
      <c r="BR43" s="67"/>
      <c r="BS43" s="67"/>
      <c r="BT43" s="64"/>
      <c r="BU43" s="67">
        <v>81913847389</v>
      </c>
      <c r="BV43" s="67"/>
      <c r="BW43" s="64"/>
      <c r="BX43" s="67"/>
      <c r="BY43" s="67"/>
      <c r="BZ43" s="64"/>
      <c r="CA43" s="64"/>
      <c r="CB43" s="64"/>
      <c r="CC43" s="64"/>
      <c r="CD43" s="64"/>
      <c r="CE43" s="64" t="s">
        <v>7360</v>
      </c>
      <c r="CF43" s="67" t="s">
        <v>656</v>
      </c>
      <c r="CG43" s="64" t="s">
        <v>7022</v>
      </c>
      <c r="CH43" s="64" t="s">
        <v>7023</v>
      </c>
      <c r="CI43" s="64" t="s">
        <v>6472</v>
      </c>
      <c r="CJ43" s="64" t="s">
        <v>111</v>
      </c>
      <c r="CK43" s="58">
        <v>45457</v>
      </c>
      <c r="CL43" s="64" t="str">
        <f t="shared" ca="1" si="0"/>
        <v>14 Tahun 1 Bulan 27 Hari</v>
      </c>
      <c r="CM4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Blok Kidul RT/RW 004/002 Desa/Kelurahan Sukawsna Kecamatan Kertajati Majalengka Jawa Barat 45457</v>
      </c>
    </row>
    <row r="44" spans="1:91" ht="24.95" customHeight="1">
      <c r="A44" s="58">
        <f>SUBTOTAL(3,N$8:Table2[[#This Row],[Nama lengkap]])</f>
        <v>37</v>
      </c>
      <c r="B44" s="58" t="s">
        <v>86</v>
      </c>
      <c r="C44" s="58">
        <v>2024</v>
      </c>
      <c r="D44" s="58"/>
      <c r="E44" s="58">
        <v>1</v>
      </c>
      <c r="F44" s="58" t="s">
        <v>582</v>
      </c>
      <c r="G44" s="32" t="s">
        <v>2513</v>
      </c>
      <c r="H44" s="32" t="s">
        <v>2513</v>
      </c>
      <c r="I44" s="32" t="s">
        <v>2513</v>
      </c>
      <c r="J44" s="32"/>
      <c r="K44" s="32"/>
      <c r="L44" s="32"/>
      <c r="M44" s="58">
        <v>24250037</v>
      </c>
      <c r="N44" s="40" t="s">
        <v>5835</v>
      </c>
      <c r="O44" s="40"/>
      <c r="P44" s="32" t="s">
        <v>661</v>
      </c>
      <c r="Q44" s="32" t="s">
        <v>662</v>
      </c>
      <c r="R44" s="67" t="s">
        <v>456</v>
      </c>
      <c r="S44" s="69">
        <v>40708</v>
      </c>
      <c r="T44" s="47" t="s">
        <v>92</v>
      </c>
      <c r="U44" s="58">
        <v>1</v>
      </c>
      <c r="V44" s="58">
        <v>3</v>
      </c>
      <c r="W44" s="47" t="s">
        <v>207</v>
      </c>
      <c r="X44" s="64" t="s">
        <v>93</v>
      </c>
      <c r="Y44" s="64" t="s">
        <v>124</v>
      </c>
      <c r="Z44" s="64" t="s">
        <v>255</v>
      </c>
      <c r="AA44" s="64" t="s">
        <v>96</v>
      </c>
      <c r="AB44" s="64" t="s">
        <v>97</v>
      </c>
      <c r="AC44" s="64" t="s">
        <v>98</v>
      </c>
      <c r="AD44" s="64" t="s">
        <v>98</v>
      </c>
      <c r="AE44" s="67" t="s">
        <v>663</v>
      </c>
      <c r="AF44" s="67" t="s">
        <v>664</v>
      </c>
      <c r="AG44" s="64" t="s">
        <v>664</v>
      </c>
      <c r="AH44" s="64" t="s">
        <v>101</v>
      </c>
      <c r="AI44" s="64" t="s">
        <v>623</v>
      </c>
      <c r="AJ44" s="69">
        <v>30132</v>
      </c>
      <c r="AK44" s="67" t="s">
        <v>665</v>
      </c>
      <c r="AL44" s="67" t="s">
        <v>602</v>
      </c>
      <c r="AM44" s="64" t="s">
        <v>149</v>
      </c>
      <c r="AN44" s="67">
        <v>81323562286</v>
      </c>
      <c r="AO44" s="67" t="s">
        <v>106</v>
      </c>
      <c r="AP44" s="64" t="s">
        <v>666</v>
      </c>
      <c r="AQ44" s="32" t="s">
        <v>667</v>
      </c>
      <c r="AR44" s="67" t="s">
        <v>668</v>
      </c>
      <c r="AS44" s="64" t="s">
        <v>669</v>
      </c>
      <c r="AT44" s="64" t="s">
        <v>456</v>
      </c>
      <c r="AU44" s="64" t="s">
        <v>111</v>
      </c>
      <c r="AV44" s="64">
        <v>40524</v>
      </c>
      <c r="AW44" s="64" t="s">
        <v>670</v>
      </c>
      <c r="AX44" s="64" t="s">
        <v>101</v>
      </c>
      <c r="AY44" s="64" t="s">
        <v>90</v>
      </c>
      <c r="AZ44" s="125">
        <v>32485</v>
      </c>
      <c r="BA44" s="67" t="s">
        <v>671</v>
      </c>
      <c r="BB44" s="67" t="s">
        <v>845</v>
      </c>
      <c r="BC44" s="64" t="s">
        <v>672</v>
      </c>
      <c r="BD44" s="67">
        <v>85220326123</v>
      </c>
      <c r="BE44" s="67" t="s">
        <v>98</v>
      </c>
      <c r="BF44" s="67"/>
      <c r="BG44" s="64" t="s">
        <v>666</v>
      </c>
      <c r="BH44" s="67" t="s">
        <v>667</v>
      </c>
      <c r="BI44" s="67" t="s">
        <v>668</v>
      </c>
      <c r="BJ44" s="40" t="s">
        <v>669</v>
      </c>
      <c r="BK44" s="64" t="s">
        <v>456</v>
      </c>
      <c r="BL44" s="64" t="s">
        <v>111</v>
      </c>
      <c r="BM44" s="64">
        <v>40524</v>
      </c>
      <c r="BN44" s="64"/>
      <c r="BO44" s="64" t="s">
        <v>664</v>
      </c>
      <c r="BP44" s="64"/>
      <c r="BQ44" s="135"/>
      <c r="BR44" s="67"/>
      <c r="BS44" s="67"/>
      <c r="BT44" s="64"/>
      <c r="BU44" s="67">
        <v>81323562286</v>
      </c>
      <c r="BV44" s="67"/>
      <c r="BW44" s="64"/>
      <c r="BX44" s="67"/>
      <c r="BY44" s="67"/>
      <c r="BZ44" s="64"/>
      <c r="CA44" s="64"/>
      <c r="CB44" s="64"/>
      <c r="CC44" s="64"/>
      <c r="CD44" s="64"/>
      <c r="CE44" s="64" t="s">
        <v>7361</v>
      </c>
      <c r="CF44" s="67" t="s">
        <v>667</v>
      </c>
      <c r="CG44" s="64" t="s">
        <v>668</v>
      </c>
      <c r="CH44" s="64" t="s">
        <v>669</v>
      </c>
      <c r="CI44" s="64" t="s">
        <v>456</v>
      </c>
      <c r="CJ44" s="64" t="s">
        <v>111</v>
      </c>
      <c r="CK44" s="58">
        <v>40524</v>
      </c>
      <c r="CL44" s="64" t="str">
        <f t="shared" ca="1" si="0"/>
        <v>14 Tahun 7 Bulan 9 Hari</v>
      </c>
      <c r="CM4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Jl.Pojok Utara Ii RT/RW 04/05 Desa/Kelurahan Setiamanah Kecamatan Cimahi Tengah Cimahi Jawa Barat 40524</v>
      </c>
    </row>
    <row r="45" spans="1:91" ht="24.95" customHeight="1">
      <c r="A45" s="58">
        <f>SUBTOTAL(3,N$8:Table2[[#This Row],[Nama lengkap]])</f>
        <v>38</v>
      </c>
      <c r="B45" s="58" t="s">
        <v>86</v>
      </c>
      <c r="C45" s="58">
        <v>2024</v>
      </c>
      <c r="D45" s="58"/>
      <c r="E45" s="58">
        <v>1</v>
      </c>
      <c r="F45" s="58" t="s">
        <v>582</v>
      </c>
      <c r="G45" s="32" t="s">
        <v>2513</v>
      </c>
      <c r="H45" s="32" t="s">
        <v>2513</v>
      </c>
      <c r="I45" s="32" t="s">
        <v>2513</v>
      </c>
      <c r="J45" s="32"/>
      <c r="K45" s="32"/>
      <c r="L45" s="32"/>
      <c r="M45" s="58">
        <v>24250141</v>
      </c>
      <c r="N45" s="40" t="s">
        <v>5836</v>
      </c>
      <c r="O45" s="40"/>
      <c r="P45" s="32" t="s">
        <v>673</v>
      </c>
      <c r="Q45" s="32" t="s">
        <v>674</v>
      </c>
      <c r="R45" s="67" t="s">
        <v>122</v>
      </c>
      <c r="S45" s="69">
        <v>41082</v>
      </c>
      <c r="T45" s="47" t="s">
        <v>92</v>
      </c>
      <c r="U45" s="58">
        <v>1</v>
      </c>
      <c r="V45" s="58">
        <v>1</v>
      </c>
      <c r="W45" s="47" t="s">
        <v>207</v>
      </c>
      <c r="X45" s="64" t="s">
        <v>93</v>
      </c>
      <c r="Y45" s="64" t="s">
        <v>124</v>
      </c>
      <c r="Z45" s="64" t="s">
        <v>255</v>
      </c>
      <c r="AA45" s="64" t="s">
        <v>675</v>
      </c>
      <c r="AB45" s="64" t="s">
        <v>97</v>
      </c>
      <c r="AC45" s="64" t="s">
        <v>98</v>
      </c>
      <c r="AD45" s="64" t="s">
        <v>98</v>
      </c>
      <c r="AE45" s="67" t="s">
        <v>676</v>
      </c>
      <c r="AF45" s="67" t="s">
        <v>677</v>
      </c>
      <c r="AG45" s="64" t="s">
        <v>677</v>
      </c>
      <c r="AH45" s="64" t="s">
        <v>101</v>
      </c>
      <c r="AI45" s="64" t="s">
        <v>122</v>
      </c>
      <c r="AJ45" s="69">
        <v>31181</v>
      </c>
      <c r="AK45" s="67" t="s">
        <v>678</v>
      </c>
      <c r="AL45" s="67" t="s">
        <v>602</v>
      </c>
      <c r="AM45" s="64" t="s">
        <v>149</v>
      </c>
      <c r="AN45" s="67">
        <v>82117280433</v>
      </c>
      <c r="AO45" s="67" t="s">
        <v>130</v>
      </c>
      <c r="AP45" s="64" t="s">
        <v>679</v>
      </c>
      <c r="AQ45" s="32" t="s">
        <v>680</v>
      </c>
      <c r="AR45" s="67" t="s">
        <v>681</v>
      </c>
      <c r="AS45" s="64" t="s">
        <v>561</v>
      </c>
      <c r="AT45" s="64" t="s">
        <v>122</v>
      </c>
      <c r="AU45" s="64" t="s">
        <v>111</v>
      </c>
      <c r="AV45" s="64">
        <v>45363</v>
      </c>
      <c r="AW45" s="64" t="s">
        <v>682</v>
      </c>
      <c r="AX45" s="64" t="s">
        <v>101</v>
      </c>
      <c r="AY45" s="64" t="s">
        <v>90</v>
      </c>
      <c r="AZ45" s="125">
        <v>32283</v>
      </c>
      <c r="BA45" s="67" t="s">
        <v>683</v>
      </c>
      <c r="BB45" s="67" t="s">
        <v>684</v>
      </c>
      <c r="BC45" s="64" t="s">
        <v>149</v>
      </c>
      <c r="BD45" s="67">
        <v>82121105300</v>
      </c>
      <c r="BE45" s="67" t="s">
        <v>98</v>
      </c>
      <c r="BF45" s="67"/>
      <c r="BG45" s="64" t="s">
        <v>679</v>
      </c>
      <c r="BH45" s="67" t="s">
        <v>680</v>
      </c>
      <c r="BI45" s="67" t="s">
        <v>681</v>
      </c>
      <c r="BJ45" s="40" t="s">
        <v>561</v>
      </c>
      <c r="BK45" s="64" t="s">
        <v>122</v>
      </c>
      <c r="BL45" s="64" t="s">
        <v>111</v>
      </c>
      <c r="BM45" s="64">
        <v>45363</v>
      </c>
      <c r="BN45" s="64" t="s">
        <v>161</v>
      </c>
      <c r="BO45" s="64" t="s">
        <v>677</v>
      </c>
      <c r="BP45" s="64"/>
      <c r="BQ45" s="135"/>
      <c r="BR45" s="67"/>
      <c r="BS45" s="67"/>
      <c r="BT45" s="64"/>
      <c r="BU45" s="67">
        <v>82117280433</v>
      </c>
      <c r="BV45" s="67"/>
      <c r="BW45" s="64"/>
      <c r="BX45" s="67"/>
      <c r="BY45" s="67"/>
      <c r="BZ45" s="64"/>
      <c r="CA45" s="64"/>
      <c r="CB45" s="64"/>
      <c r="CC45" s="64"/>
      <c r="CD45" s="64"/>
      <c r="CE45" s="64" t="s">
        <v>679</v>
      </c>
      <c r="CF45" s="67" t="s">
        <v>680</v>
      </c>
      <c r="CG45" s="64" t="s">
        <v>681</v>
      </c>
      <c r="CH45" s="64" t="s">
        <v>561</v>
      </c>
      <c r="CI45" s="64" t="s">
        <v>122</v>
      </c>
      <c r="CJ45" s="64" t="s">
        <v>111</v>
      </c>
      <c r="CK45" s="58">
        <v>45363</v>
      </c>
      <c r="CL45" s="64" t="str">
        <f t="shared" ca="1" si="0"/>
        <v>13 Tahun 7 Bulan 1 Hari</v>
      </c>
      <c r="CM4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Citeureup RT/RW 002/009 Desa/Kelurahan Cilayung Kecamatan Jatinangor Sumedang Jawa Barat 45363</v>
      </c>
    </row>
    <row r="46" spans="1:91" ht="24.95" customHeight="1">
      <c r="A46" s="58">
        <f>SUBTOTAL(3,N$8:Table2[[#This Row],[Nama lengkap]])</f>
        <v>39</v>
      </c>
      <c r="B46" s="89" t="s">
        <v>86</v>
      </c>
      <c r="C46" s="89">
        <v>2025</v>
      </c>
      <c r="D46" s="89"/>
      <c r="E46" s="89" t="s">
        <v>337</v>
      </c>
      <c r="F46" s="89" t="s">
        <v>582</v>
      </c>
      <c r="G46" s="32" t="s">
        <v>2513</v>
      </c>
      <c r="H46" s="32" t="s">
        <v>2513</v>
      </c>
      <c r="I46" s="32" t="s">
        <v>2513</v>
      </c>
      <c r="J46" s="32"/>
      <c r="K46" s="32"/>
      <c r="L46" s="32"/>
      <c r="M46" s="89">
        <v>25260077</v>
      </c>
      <c r="N46" s="91" t="s">
        <v>8750</v>
      </c>
      <c r="O46" s="91"/>
      <c r="P46" s="90">
        <v>103662075</v>
      </c>
      <c r="Q46" s="90" t="s">
        <v>6844</v>
      </c>
      <c r="R46" s="90" t="s">
        <v>90</v>
      </c>
      <c r="S46" s="101">
        <v>40210</v>
      </c>
      <c r="T46" s="47" t="s">
        <v>92</v>
      </c>
      <c r="U46" s="89">
        <v>3</v>
      </c>
      <c r="V46" s="89">
        <v>1</v>
      </c>
      <c r="W46" s="47" t="s">
        <v>207</v>
      </c>
      <c r="X46" s="92" t="s">
        <v>123</v>
      </c>
      <c r="Y46" s="92" t="s">
        <v>6499</v>
      </c>
      <c r="Z46" s="92" t="s">
        <v>6845</v>
      </c>
      <c r="AA46" s="92" t="s">
        <v>6437</v>
      </c>
      <c r="AB46" s="92" t="s">
        <v>97</v>
      </c>
      <c r="AC46" s="92" t="s">
        <v>98</v>
      </c>
      <c r="AD46" s="92" t="s">
        <v>98</v>
      </c>
      <c r="AE46" s="93">
        <v>3277032501110010</v>
      </c>
      <c r="AF46" s="93" t="s">
        <v>8310</v>
      </c>
      <c r="AG46" s="92" t="s">
        <v>8310</v>
      </c>
      <c r="AH46" s="92" t="s">
        <v>101</v>
      </c>
      <c r="AI46" s="92" t="s">
        <v>6846</v>
      </c>
      <c r="AJ46" s="101">
        <v>30070</v>
      </c>
      <c r="AK46" s="93" t="s">
        <v>6847</v>
      </c>
      <c r="AL46" s="93" t="s">
        <v>343</v>
      </c>
      <c r="AM46" s="92" t="s">
        <v>149</v>
      </c>
      <c r="AN46" s="93">
        <v>8997721220</v>
      </c>
      <c r="AO46" s="93" t="s">
        <v>117</v>
      </c>
      <c r="AP46" s="92" t="s">
        <v>6848</v>
      </c>
      <c r="AQ46" s="90">
        <v>45719</v>
      </c>
      <c r="AR46" s="93" t="s">
        <v>6849</v>
      </c>
      <c r="AS46" s="92" t="s">
        <v>1731</v>
      </c>
      <c r="AT46" s="92" t="s">
        <v>1165</v>
      </c>
      <c r="AU46" s="92" t="s">
        <v>156</v>
      </c>
      <c r="AV46" s="92">
        <v>40512</v>
      </c>
      <c r="AW46" s="92" t="s">
        <v>7826</v>
      </c>
      <c r="AX46" s="92" t="s">
        <v>101</v>
      </c>
      <c r="AY46" s="92" t="s">
        <v>456</v>
      </c>
      <c r="AZ46" s="127">
        <v>31778</v>
      </c>
      <c r="BA46" s="93" t="s">
        <v>6850</v>
      </c>
      <c r="BB46" s="93" t="s">
        <v>428</v>
      </c>
      <c r="BC46" s="92" t="s">
        <v>149</v>
      </c>
      <c r="BD46" s="93">
        <v>89512123835</v>
      </c>
      <c r="BE46" s="93" t="s">
        <v>98</v>
      </c>
      <c r="BF46" s="67" t="s">
        <v>6448</v>
      </c>
      <c r="BG46" s="92"/>
      <c r="BH46" s="93"/>
      <c r="BI46" s="93"/>
      <c r="BJ46" s="91"/>
      <c r="BK46" s="92"/>
      <c r="BL46" s="92"/>
      <c r="BM46" s="92"/>
      <c r="BN46" s="64" t="s">
        <v>161</v>
      </c>
      <c r="BO46" s="92"/>
      <c r="BP46" s="92"/>
      <c r="BQ46" s="136"/>
      <c r="BR46" s="93"/>
      <c r="BS46" s="93"/>
      <c r="BT46" s="92"/>
      <c r="BU46" s="93"/>
      <c r="BV46" s="93"/>
      <c r="BW46" s="92"/>
      <c r="BX46" s="93"/>
      <c r="BY46" s="93"/>
      <c r="BZ46" s="92"/>
      <c r="CA46" s="92"/>
      <c r="CB46" s="92"/>
      <c r="CC46" s="92"/>
      <c r="CD46" s="92"/>
      <c r="CE46" s="64" t="s">
        <v>7362</v>
      </c>
      <c r="CF46" s="67">
        <v>45719</v>
      </c>
      <c r="CG46" s="64" t="s">
        <v>7024</v>
      </c>
      <c r="CH46" s="92" t="s">
        <v>6812</v>
      </c>
      <c r="CI46" s="92" t="s">
        <v>456</v>
      </c>
      <c r="CJ46" s="92" t="s">
        <v>111</v>
      </c>
      <c r="CK46" s="89">
        <v>40512</v>
      </c>
      <c r="CL46" s="64" t="str">
        <f t="shared" ca="1" si="0"/>
        <v>15 Tahun 11 Bulan 22 Hari</v>
      </c>
      <c r="CM4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Gg Alpakah RT/RW 45719 Desa/Kelurahan Citeureup Kecamatan Cimahi Utara Cimahi Jawa Barat 40512</v>
      </c>
    </row>
    <row r="47" spans="1:91" ht="24.95" customHeight="1">
      <c r="A47" s="58">
        <f>SUBTOTAL(3,N$8:Table2[[#This Row],[Nama lengkap]])</f>
        <v>40</v>
      </c>
      <c r="B47" s="58" t="s">
        <v>86</v>
      </c>
      <c r="C47" s="58">
        <v>2023</v>
      </c>
      <c r="D47" s="58"/>
      <c r="E47" s="58">
        <v>1</v>
      </c>
      <c r="F47" s="58" t="s">
        <v>582</v>
      </c>
      <c r="G47" s="32" t="s">
        <v>2513</v>
      </c>
      <c r="H47" s="32" t="s">
        <v>2513</v>
      </c>
      <c r="I47" s="32" t="s">
        <v>2513</v>
      </c>
      <c r="J47" s="32"/>
      <c r="K47" s="32"/>
      <c r="L47" s="32"/>
      <c r="M47" s="58">
        <v>23240068</v>
      </c>
      <c r="N47" s="24" t="s">
        <v>5837</v>
      </c>
      <c r="O47" s="24"/>
      <c r="P47" s="25" t="s">
        <v>8975</v>
      </c>
      <c r="Q47" s="25" t="s">
        <v>685</v>
      </c>
      <c r="R47" s="60" t="s">
        <v>236</v>
      </c>
      <c r="S47" s="61" t="s">
        <v>686</v>
      </c>
      <c r="T47" s="47" t="s">
        <v>92</v>
      </c>
      <c r="U47" s="47">
        <v>1</v>
      </c>
      <c r="V47" s="47">
        <v>0</v>
      </c>
      <c r="W47" s="47" t="s">
        <v>207</v>
      </c>
      <c r="X47" s="59" t="s">
        <v>93</v>
      </c>
      <c r="Y47" s="59" t="s">
        <v>687</v>
      </c>
      <c r="Z47" s="59" t="s">
        <v>688</v>
      </c>
      <c r="AA47" s="59" t="s">
        <v>96</v>
      </c>
      <c r="AB47" s="59" t="s">
        <v>689</v>
      </c>
      <c r="AC47" s="59" t="s">
        <v>208</v>
      </c>
      <c r="AD47" s="59" t="s">
        <v>208</v>
      </c>
      <c r="AE47" s="60" t="s">
        <v>690</v>
      </c>
      <c r="AF47" s="60" t="s">
        <v>8311</v>
      </c>
      <c r="AG47" s="59" t="s">
        <v>8311</v>
      </c>
      <c r="AH47" s="59" t="s">
        <v>691</v>
      </c>
      <c r="AI47" s="59" t="s">
        <v>236</v>
      </c>
      <c r="AJ47" s="61">
        <v>32325</v>
      </c>
      <c r="AK47" s="60" t="s">
        <v>692</v>
      </c>
      <c r="AL47" s="60" t="s">
        <v>289</v>
      </c>
      <c r="AM47" s="59" t="s">
        <v>693</v>
      </c>
      <c r="AN47" s="60"/>
      <c r="AO47" s="60"/>
      <c r="AP47" s="59" t="s">
        <v>694</v>
      </c>
      <c r="AQ47" s="25" t="s">
        <v>695</v>
      </c>
      <c r="AR47" s="60" t="s">
        <v>696</v>
      </c>
      <c r="AS47" s="59" t="s">
        <v>697</v>
      </c>
      <c r="AT47" s="59" t="s">
        <v>512</v>
      </c>
      <c r="AU47" s="59" t="s">
        <v>111</v>
      </c>
      <c r="AV47" s="62">
        <v>44153</v>
      </c>
      <c r="AW47" s="59" t="s">
        <v>7827</v>
      </c>
      <c r="AX47" s="59" t="s">
        <v>691</v>
      </c>
      <c r="AY47" s="59" t="s">
        <v>236</v>
      </c>
      <c r="AZ47" s="126" t="s">
        <v>698</v>
      </c>
      <c r="BA47" s="60" t="s">
        <v>699</v>
      </c>
      <c r="BB47" s="60" t="s">
        <v>845</v>
      </c>
      <c r="BC47" s="59" t="s">
        <v>700</v>
      </c>
      <c r="BD47" s="60"/>
      <c r="BE47" s="60"/>
      <c r="BF47" s="60"/>
      <c r="BG47" s="59" t="s">
        <v>694</v>
      </c>
      <c r="BH47" s="60" t="s">
        <v>695</v>
      </c>
      <c r="BI47" s="60" t="s">
        <v>696</v>
      </c>
      <c r="BJ47" s="24" t="s">
        <v>697</v>
      </c>
      <c r="BK47" s="59" t="s">
        <v>512</v>
      </c>
      <c r="BL47" s="59" t="s">
        <v>156</v>
      </c>
      <c r="BM47" s="24">
        <v>44153</v>
      </c>
      <c r="BN47" s="24"/>
      <c r="BO47" s="59" t="s">
        <v>701</v>
      </c>
      <c r="BP47" s="59"/>
      <c r="BQ47" s="77"/>
      <c r="BR47" s="60"/>
      <c r="BS47" s="60"/>
      <c r="BT47" s="59"/>
      <c r="BU47" s="60"/>
      <c r="BV47" s="60"/>
      <c r="BW47" s="59"/>
      <c r="BX47" s="60"/>
      <c r="BY47" s="60"/>
      <c r="BZ47" s="59"/>
      <c r="CA47" s="59"/>
      <c r="CB47" s="59"/>
      <c r="CC47" s="59"/>
      <c r="CD47" s="59"/>
      <c r="CE47" s="59" t="s">
        <v>7363</v>
      </c>
      <c r="CF47" s="60" t="s">
        <v>695</v>
      </c>
      <c r="CG47" s="59" t="s">
        <v>7025</v>
      </c>
      <c r="CH47" s="59" t="s">
        <v>7010</v>
      </c>
      <c r="CI47" s="59" t="s">
        <v>236</v>
      </c>
      <c r="CJ47" s="59" t="s">
        <v>111</v>
      </c>
      <c r="CK47" s="47">
        <v>44153</v>
      </c>
      <c r="CL47" s="64" t="str">
        <f t="shared" ca="1" si="0"/>
        <v>14 Tahun 11 Bulan 21 Hari</v>
      </c>
      <c r="CM4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Kp.Lunjuk Hilir RT/RW 04/13 Desa/Kelurahan Talagasari Kecamatan Kadungora Garut Jawa Barat 44153</v>
      </c>
    </row>
    <row r="48" spans="1:91" ht="24.95" customHeight="1">
      <c r="A48" s="58">
        <f>SUBTOTAL(3,N$8:Table2[[#This Row],[Nama lengkap]])</f>
        <v>41</v>
      </c>
      <c r="B48" s="58" t="s">
        <v>86</v>
      </c>
      <c r="C48" s="58">
        <v>2024</v>
      </c>
      <c r="D48" s="58"/>
      <c r="E48" s="58">
        <v>1</v>
      </c>
      <c r="F48" s="58" t="s">
        <v>582</v>
      </c>
      <c r="G48" s="32" t="s">
        <v>2513</v>
      </c>
      <c r="H48" s="32" t="s">
        <v>2513</v>
      </c>
      <c r="I48" s="32" t="s">
        <v>2513</v>
      </c>
      <c r="J48" s="32"/>
      <c r="K48" s="32"/>
      <c r="L48" s="32"/>
      <c r="M48" s="58">
        <v>24250144</v>
      </c>
      <c r="N48" s="40" t="s">
        <v>8751</v>
      </c>
      <c r="O48" s="40"/>
      <c r="P48" s="32" t="s">
        <v>720</v>
      </c>
      <c r="Q48" s="32" t="s">
        <v>721</v>
      </c>
      <c r="R48" s="67" t="s">
        <v>388</v>
      </c>
      <c r="S48" s="69">
        <v>40592</v>
      </c>
      <c r="T48" s="47" t="s">
        <v>92</v>
      </c>
      <c r="U48" s="58">
        <v>2</v>
      </c>
      <c r="V48" s="58">
        <v>3</v>
      </c>
      <c r="W48" s="47" t="s">
        <v>207</v>
      </c>
      <c r="X48" s="64" t="s">
        <v>123</v>
      </c>
      <c r="Y48" s="64" t="s">
        <v>722</v>
      </c>
      <c r="Z48" s="64" t="s">
        <v>270</v>
      </c>
      <c r="AA48" s="64" t="s">
        <v>96</v>
      </c>
      <c r="AB48" s="64" t="s">
        <v>97</v>
      </c>
      <c r="AC48" s="64" t="s">
        <v>98</v>
      </c>
      <c r="AD48" s="64" t="s">
        <v>98</v>
      </c>
      <c r="AE48" s="67" t="s">
        <v>723</v>
      </c>
      <c r="AF48" s="67" t="s">
        <v>724</v>
      </c>
      <c r="AG48" s="64" t="s">
        <v>724</v>
      </c>
      <c r="AH48" s="64" t="s">
        <v>101</v>
      </c>
      <c r="AI48" s="64" t="s">
        <v>725</v>
      </c>
      <c r="AJ48" s="69">
        <v>30229</v>
      </c>
      <c r="AK48" s="67" t="s">
        <v>726</v>
      </c>
      <c r="AL48" s="67" t="s">
        <v>914</v>
      </c>
      <c r="AM48" s="64" t="s">
        <v>149</v>
      </c>
      <c r="AN48" s="67">
        <v>89502518757</v>
      </c>
      <c r="AO48" s="67" t="s">
        <v>117</v>
      </c>
      <c r="AP48" s="64" t="s">
        <v>727</v>
      </c>
      <c r="AQ48" s="32" t="s">
        <v>728</v>
      </c>
      <c r="AR48" s="67" t="s">
        <v>729</v>
      </c>
      <c r="AS48" s="64" t="s">
        <v>730</v>
      </c>
      <c r="AT48" s="64" t="s">
        <v>492</v>
      </c>
      <c r="AU48" s="64" t="s">
        <v>111</v>
      </c>
      <c r="AV48" s="64">
        <v>41371</v>
      </c>
      <c r="AW48" s="64" t="s">
        <v>731</v>
      </c>
      <c r="AX48" s="64" t="s">
        <v>101</v>
      </c>
      <c r="AY48" s="64" t="s">
        <v>122</v>
      </c>
      <c r="AZ48" s="125">
        <v>31722</v>
      </c>
      <c r="BA48" s="67" t="s">
        <v>732</v>
      </c>
      <c r="BB48" s="67" t="s">
        <v>428</v>
      </c>
      <c r="BC48" s="64" t="s">
        <v>149</v>
      </c>
      <c r="BD48" s="67">
        <v>89502518757</v>
      </c>
      <c r="BE48" s="67" t="s">
        <v>98</v>
      </c>
      <c r="BF48" s="67"/>
      <c r="BG48" s="64" t="s">
        <v>727</v>
      </c>
      <c r="BH48" s="67" t="s">
        <v>728</v>
      </c>
      <c r="BI48" s="67" t="s">
        <v>729</v>
      </c>
      <c r="BJ48" s="40" t="s">
        <v>730</v>
      </c>
      <c r="BK48" s="64" t="s">
        <v>492</v>
      </c>
      <c r="BL48" s="64" t="s">
        <v>111</v>
      </c>
      <c r="BM48" s="64">
        <v>41371</v>
      </c>
      <c r="BN48" s="64" t="s">
        <v>161</v>
      </c>
      <c r="BO48" s="64" t="s">
        <v>724</v>
      </c>
      <c r="BP48" s="64" t="s">
        <v>725</v>
      </c>
      <c r="BQ48" s="135">
        <v>30229</v>
      </c>
      <c r="BR48" s="67">
        <v>3215050000000000</v>
      </c>
      <c r="BS48" s="67" t="s">
        <v>250</v>
      </c>
      <c r="BT48" s="64" t="s">
        <v>733</v>
      </c>
      <c r="BU48" s="67">
        <v>89502518757</v>
      </c>
      <c r="BV48" s="67"/>
      <c r="BW48" s="64"/>
      <c r="BX48" s="67"/>
      <c r="BY48" s="67"/>
      <c r="BZ48" s="64"/>
      <c r="CA48" s="64"/>
      <c r="CB48" s="64"/>
      <c r="CC48" s="64"/>
      <c r="CD48" s="64"/>
      <c r="CE48" s="64" t="s">
        <v>7364</v>
      </c>
      <c r="CF48" s="67" t="s">
        <v>728</v>
      </c>
      <c r="CG48" s="64" t="s">
        <v>7026</v>
      </c>
      <c r="CH48" s="64" t="s">
        <v>7027</v>
      </c>
      <c r="CI48" s="64" t="s">
        <v>492</v>
      </c>
      <c r="CJ48" s="64" t="s">
        <v>111</v>
      </c>
      <c r="CK48" s="58">
        <v>41371</v>
      </c>
      <c r="CL48" s="64" t="str">
        <f t="shared" ca="1" si="0"/>
        <v>14 Tahun 11 Bulan 5 Hari</v>
      </c>
      <c r="CM4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Prum De Griya Blok J 7 / 27 RT/RW 18/13 Desa/Kelurahan Cibalongsari Kecamatan Kelari Karawang Jawa Barat 41371</v>
      </c>
    </row>
    <row r="49" spans="1:91" ht="24.95" customHeight="1">
      <c r="A49" s="58">
        <f>SUBTOTAL(3,N$8:Table2[[#This Row],[Nama lengkap]])</f>
        <v>42</v>
      </c>
      <c r="B49" s="58" t="s">
        <v>86</v>
      </c>
      <c r="C49" s="58">
        <v>2024</v>
      </c>
      <c r="D49" s="58"/>
      <c r="E49" s="58">
        <v>1</v>
      </c>
      <c r="F49" s="58" t="s">
        <v>582</v>
      </c>
      <c r="G49" s="32" t="s">
        <v>2513</v>
      </c>
      <c r="H49" s="32" t="s">
        <v>2513</v>
      </c>
      <c r="I49" s="32" t="s">
        <v>2513</v>
      </c>
      <c r="J49" s="32"/>
      <c r="K49" s="32"/>
      <c r="L49" s="32"/>
      <c r="M49" s="58">
        <v>24250146</v>
      </c>
      <c r="N49" s="40" t="s">
        <v>5840</v>
      </c>
      <c r="O49" s="40"/>
      <c r="P49" s="32" t="s">
        <v>734</v>
      </c>
      <c r="Q49" s="32" t="s">
        <v>735</v>
      </c>
      <c r="R49" s="67" t="s">
        <v>90</v>
      </c>
      <c r="S49" s="69" t="s">
        <v>736</v>
      </c>
      <c r="T49" s="47" t="s">
        <v>92</v>
      </c>
      <c r="U49" s="58" t="s">
        <v>737</v>
      </c>
      <c r="V49" s="58" t="s">
        <v>738</v>
      </c>
      <c r="W49" s="47" t="s">
        <v>207</v>
      </c>
      <c r="X49" s="64" t="s">
        <v>93</v>
      </c>
      <c r="Y49" s="64" t="s">
        <v>124</v>
      </c>
      <c r="Z49" s="64" t="s">
        <v>95</v>
      </c>
      <c r="AA49" s="64" t="s">
        <v>96</v>
      </c>
      <c r="AB49" s="64" t="s">
        <v>97</v>
      </c>
      <c r="AC49" s="64" t="s">
        <v>98</v>
      </c>
      <c r="AD49" s="64" t="s">
        <v>98</v>
      </c>
      <c r="AE49" s="67" t="s">
        <v>739</v>
      </c>
      <c r="AF49" s="67" t="s">
        <v>740</v>
      </c>
      <c r="AG49" s="64" t="s">
        <v>740</v>
      </c>
      <c r="AH49" s="64" t="s">
        <v>101</v>
      </c>
      <c r="AI49" s="64" t="s">
        <v>90</v>
      </c>
      <c r="AJ49" s="69">
        <v>32078</v>
      </c>
      <c r="AK49" s="67" t="s">
        <v>741</v>
      </c>
      <c r="AL49" s="67" t="s">
        <v>747</v>
      </c>
      <c r="AM49" s="64" t="s">
        <v>159</v>
      </c>
      <c r="AN49" s="67">
        <v>81278830411</v>
      </c>
      <c r="AO49" s="67" t="s">
        <v>117</v>
      </c>
      <c r="AP49" s="64" t="s">
        <v>742</v>
      </c>
      <c r="AQ49" s="32" t="s">
        <v>604</v>
      </c>
      <c r="AR49" s="67" t="s">
        <v>743</v>
      </c>
      <c r="AS49" s="64" t="s">
        <v>744</v>
      </c>
      <c r="AT49" s="64" t="s">
        <v>90</v>
      </c>
      <c r="AU49" s="64" t="s">
        <v>111</v>
      </c>
      <c r="AV49" s="64">
        <v>40214</v>
      </c>
      <c r="AW49" s="64" t="s">
        <v>745</v>
      </c>
      <c r="AX49" s="64" t="s">
        <v>101</v>
      </c>
      <c r="AY49" s="64" t="s">
        <v>90</v>
      </c>
      <c r="AZ49" s="125">
        <v>32078</v>
      </c>
      <c r="BA49" s="67" t="s">
        <v>746</v>
      </c>
      <c r="BB49" s="67" t="s">
        <v>428</v>
      </c>
      <c r="BC49" s="64" t="s">
        <v>159</v>
      </c>
      <c r="BD49" s="67">
        <v>88224872312</v>
      </c>
      <c r="BE49" s="67" t="s">
        <v>98</v>
      </c>
      <c r="BF49" s="67"/>
      <c r="BG49" s="64" t="s">
        <v>742</v>
      </c>
      <c r="BH49" s="67" t="s">
        <v>604</v>
      </c>
      <c r="BI49" s="67" t="s">
        <v>743</v>
      </c>
      <c r="BJ49" s="40" t="s">
        <v>744</v>
      </c>
      <c r="BK49" s="64" t="s">
        <v>90</v>
      </c>
      <c r="BL49" s="64" t="s">
        <v>111</v>
      </c>
      <c r="BM49" s="64">
        <v>40214</v>
      </c>
      <c r="BN49" s="64" t="s">
        <v>161</v>
      </c>
      <c r="BO49" s="64" t="s">
        <v>740</v>
      </c>
      <c r="BP49" s="64" t="s">
        <v>90</v>
      </c>
      <c r="BQ49" s="135">
        <v>32078</v>
      </c>
      <c r="BR49" s="67">
        <v>3204462810870000</v>
      </c>
      <c r="BS49" s="67" t="s">
        <v>747</v>
      </c>
      <c r="BT49" s="64" t="s">
        <v>159</v>
      </c>
      <c r="BU49" s="67">
        <v>81278830411</v>
      </c>
      <c r="BV49" s="67" t="s">
        <v>117</v>
      </c>
      <c r="BW49" s="64" t="s">
        <v>743</v>
      </c>
      <c r="BX49" s="67">
        <v>45385</v>
      </c>
      <c r="BY49" s="67" t="s">
        <v>743</v>
      </c>
      <c r="BZ49" s="64" t="s">
        <v>744</v>
      </c>
      <c r="CA49" s="64" t="s">
        <v>90</v>
      </c>
      <c r="CB49" s="64" t="s">
        <v>111</v>
      </c>
      <c r="CC49" s="64">
        <v>40214</v>
      </c>
      <c r="CD49" s="64" t="s">
        <v>164</v>
      </c>
      <c r="CE49" s="64" t="s">
        <v>7365</v>
      </c>
      <c r="CF49" s="67" t="s">
        <v>604</v>
      </c>
      <c r="CG49" s="64" t="s">
        <v>743</v>
      </c>
      <c r="CH49" s="64" t="s">
        <v>744</v>
      </c>
      <c r="CI49" s="64" t="s">
        <v>90</v>
      </c>
      <c r="CJ49" s="64" t="s">
        <v>111</v>
      </c>
      <c r="CK49" s="58">
        <v>40214</v>
      </c>
      <c r="CL49" s="64" t="str">
        <f t="shared" ca="1" si="0"/>
        <v>14 Tahun 0 Bulan 22 Hari</v>
      </c>
      <c r="CM4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Kmp. Cigonewah Kaler RT/RW 03/04 Desa/Kelurahan Cigondewah Kaler Kecamatan Bandung Kulon Bandung Jawa Barat 40214</v>
      </c>
    </row>
    <row r="50" spans="1:91" ht="24.95" customHeight="1">
      <c r="A50" s="58">
        <f>SUBTOTAL(3,N$8:Table2[[#This Row],[Nama lengkap]])</f>
        <v>43</v>
      </c>
      <c r="B50" s="58" t="s">
        <v>86</v>
      </c>
      <c r="C50" s="58">
        <v>2024</v>
      </c>
      <c r="D50" s="58"/>
      <c r="E50" s="58">
        <v>1</v>
      </c>
      <c r="F50" s="58" t="s">
        <v>582</v>
      </c>
      <c r="G50" s="32" t="s">
        <v>2513</v>
      </c>
      <c r="H50" s="32" t="s">
        <v>2513</v>
      </c>
      <c r="I50" s="32" t="s">
        <v>2513</v>
      </c>
      <c r="J50" s="32"/>
      <c r="K50" s="32"/>
      <c r="L50" s="32"/>
      <c r="M50" s="58">
        <v>24250160</v>
      </c>
      <c r="N50" s="40" t="s">
        <v>5841</v>
      </c>
      <c r="O50" s="40"/>
      <c r="P50" s="32" t="s">
        <v>748</v>
      </c>
      <c r="Q50" s="32" t="s">
        <v>749</v>
      </c>
      <c r="R50" s="67" t="s">
        <v>236</v>
      </c>
      <c r="S50" s="69">
        <v>41017</v>
      </c>
      <c r="T50" s="47" t="s">
        <v>92</v>
      </c>
      <c r="U50" s="58">
        <v>3</v>
      </c>
      <c r="V50" s="58">
        <v>3</v>
      </c>
      <c r="W50" s="47" t="s">
        <v>207</v>
      </c>
      <c r="X50" s="64" t="s">
        <v>142</v>
      </c>
      <c r="Y50" s="64" t="s">
        <v>124</v>
      </c>
      <c r="Z50" s="64" t="s">
        <v>270</v>
      </c>
      <c r="AA50" s="64" t="s">
        <v>96</v>
      </c>
      <c r="AB50" s="64" t="s">
        <v>97</v>
      </c>
      <c r="AC50" s="64" t="s">
        <v>98</v>
      </c>
      <c r="AD50" s="64" t="s">
        <v>98</v>
      </c>
      <c r="AE50" s="67" t="s">
        <v>750</v>
      </c>
      <c r="AF50" s="67" t="s">
        <v>751</v>
      </c>
      <c r="AG50" s="64" t="s">
        <v>751</v>
      </c>
      <c r="AH50" s="64" t="s">
        <v>101</v>
      </c>
      <c r="AI50" s="64" t="s">
        <v>236</v>
      </c>
      <c r="AJ50" s="69">
        <v>25661</v>
      </c>
      <c r="AK50" s="67" t="s">
        <v>752</v>
      </c>
      <c r="AL50" s="67" t="s">
        <v>8248</v>
      </c>
      <c r="AM50" s="64" t="s">
        <v>753</v>
      </c>
      <c r="AN50" s="67" t="s">
        <v>754</v>
      </c>
      <c r="AO50" s="67" t="s">
        <v>315</v>
      </c>
      <c r="AP50" s="64" t="s">
        <v>755</v>
      </c>
      <c r="AQ50" s="32" t="s">
        <v>756</v>
      </c>
      <c r="AR50" s="67" t="s">
        <v>757</v>
      </c>
      <c r="AS50" s="64" t="s">
        <v>758</v>
      </c>
      <c r="AT50" s="64" t="s">
        <v>512</v>
      </c>
      <c r="AU50" s="64" t="s">
        <v>156</v>
      </c>
      <c r="AV50" s="64">
        <v>44151</v>
      </c>
      <c r="AW50" s="64" t="s">
        <v>7828</v>
      </c>
      <c r="AX50" s="64" t="s">
        <v>101</v>
      </c>
      <c r="AY50" s="64" t="s">
        <v>236</v>
      </c>
      <c r="AZ50" s="125">
        <v>26893</v>
      </c>
      <c r="BA50" s="67" t="s">
        <v>759</v>
      </c>
      <c r="BB50" s="67" t="s">
        <v>428</v>
      </c>
      <c r="BC50" s="64" t="s">
        <v>753</v>
      </c>
      <c r="BD50" s="67">
        <v>82218131616</v>
      </c>
      <c r="BE50" s="67" t="s">
        <v>98</v>
      </c>
      <c r="BF50" s="67"/>
      <c r="BG50" s="64" t="s">
        <v>755</v>
      </c>
      <c r="BH50" s="67" t="s">
        <v>756</v>
      </c>
      <c r="BI50" s="67" t="s">
        <v>757</v>
      </c>
      <c r="BJ50" s="40" t="s">
        <v>758</v>
      </c>
      <c r="BK50" s="64" t="s">
        <v>512</v>
      </c>
      <c r="BL50" s="64" t="s">
        <v>156</v>
      </c>
      <c r="BM50" s="64">
        <v>44151</v>
      </c>
      <c r="BN50" s="64" t="s">
        <v>161</v>
      </c>
      <c r="BO50" s="64" t="s">
        <v>760</v>
      </c>
      <c r="BP50" s="64" t="s">
        <v>760</v>
      </c>
      <c r="BQ50" s="135" t="s">
        <v>761</v>
      </c>
      <c r="BR50" s="67" t="s">
        <v>760</v>
      </c>
      <c r="BS50" s="67" t="s">
        <v>760</v>
      </c>
      <c r="BT50" s="64" t="s">
        <v>96</v>
      </c>
      <c r="BU50" s="67" t="s">
        <v>760</v>
      </c>
      <c r="BV50" s="67"/>
      <c r="BW50" s="64"/>
      <c r="BX50" s="67"/>
      <c r="BY50" s="67"/>
      <c r="BZ50" s="64"/>
      <c r="CA50" s="64"/>
      <c r="CB50" s="64"/>
      <c r="CC50" s="64"/>
      <c r="CD50" s="64"/>
      <c r="CE50" s="64" t="s">
        <v>7366</v>
      </c>
      <c r="CF50" s="67" t="s">
        <v>756</v>
      </c>
      <c r="CG50" s="64" t="s">
        <v>6755</v>
      </c>
      <c r="CH50" s="64" t="s">
        <v>7028</v>
      </c>
      <c r="CI50" s="64" t="s">
        <v>236</v>
      </c>
      <c r="CJ50" s="64" t="s">
        <v>111</v>
      </c>
      <c r="CK50" s="58">
        <v>44151</v>
      </c>
      <c r="CL50" s="64" t="str">
        <f t="shared" ca="1" si="0"/>
        <v>13 Tahun 9 Bulan 5 Hari</v>
      </c>
      <c r="CM5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Garut Perumahan Bumi Malayu Asri Blok G23 RT/RW 02/09 Desa/Kelurahan Sirnajaya Kecamatan Tarogong Kaler Garut Jawa Barat 44151</v>
      </c>
    </row>
    <row r="51" spans="1:91" ht="24.95" customHeight="1">
      <c r="A51" s="58">
        <f>SUBTOTAL(3,N$8:Table2[[#This Row],[Nama lengkap]])</f>
        <v>44</v>
      </c>
      <c r="B51" s="58" t="s">
        <v>86</v>
      </c>
      <c r="C51" s="58">
        <v>2024</v>
      </c>
      <c r="D51" s="58"/>
      <c r="E51" s="58">
        <v>1</v>
      </c>
      <c r="F51" s="58" t="s">
        <v>582</v>
      </c>
      <c r="G51" s="32" t="s">
        <v>2513</v>
      </c>
      <c r="H51" s="32" t="s">
        <v>2513</v>
      </c>
      <c r="I51" s="32" t="s">
        <v>2513</v>
      </c>
      <c r="J51" s="32"/>
      <c r="K51" s="32"/>
      <c r="L51" s="32"/>
      <c r="M51" s="58">
        <v>24250154</v>
      </c>
      <c r="N51" s="40" t="s">
        <v>5842</v>
      </c>
      <c r="O51" s="40"/>
      <c r="P51" s="32" t="s">
        <v>762</v>
      </c>
      <c r="Q51" s="32" t="s">
        <v>763</v>
      </c>
      <c r="R51" s="67" t="s">
        <v>90</v>
      </c>
      <c r="S51" s="69">
        <v>40855</v>
      </c>
      <c r="T51" s="47" t="s">
        <v>92</v>
      </c>
      <c r="U51" s="58">
        <v>1</v>
      </c>
      <c r="V51" s="58">
        <v>0</v>
      </c>
      <c r="W51" s="47" t="s">
        <v>207</v>
      </c>
      <c r="X51" s="64" t="s">
        <v>142</v>
      </c>
      <c r="Y51" s="64" t="s">
        <v>94</v>
      </c>
      <c r="Z51" s="64" t="s">
        <v>270</v>
      </c>
      <c r="AA51" s="64" t="s">
        <v>96</v>
      </c>
      <c r="AB51" s="64" t="s">
        <v>97</v>
      </c>
      <c r="AC51" s="64" t="s">
        <v>98</v>
      </c>
      <c r="AD51" s="64" t="s">
        <v>98</v>
      </c>
      <c r="AE51" s="67" t="s">
        <v>764</v>
      </c>
      <c r="AF51" s="67" t="s">
        <v>765</v>
      </c>
      <c r="AG51" s="64" t="s">
        <v>765</v>
      </c>
      <c r="AH51" s="64" t="s">
        <v>101</v>
      </c>
      <c r="AI51" s="64" t="s">
        <v>90</v>
      </c>
      <c r="AJ51" s="69">
        <v>23960</v>
      </c>
      <c r="AK51" s="67" t="s">
        <v>767</v>
      </c>
      <c r="AL51" s="67" t="s">
        <v>114</v>
      </c>
      <c r="AM51" s="64" t="s">
        <v>149</v>
      </c>
      <c r="AN51" s="67">
        <v>81223004343</v>
      </c>
      <c r="AO51" s="67" t="s">
        <v>315</v>
      </c>
      <c r="AP51" s="64" t="s">
        <v>768</v>
      </c>
      <c r="AQ51" s="32" t="s">
        <v>769</v>
      </c>
      <c r="AR51" s="67" t="s">
        <v>770</v>
      </c>
      <c r="AS51" s="64" t="s">
        <v>771</v>
      </c>
      <c r="AT51" s="64" t="s">
        <v>90</v>
      </c>
      <c r="AU51" s="64" t="s">
        <v>156</v>
      </c>
      <c r="AV51" s="64">
        <v>40374</v>
      </c>
      <c r="AW51" s="64" t="s">
        <v>7829</v>
      </c>
      <c r="AX51" s="64" t="s">
        <v>101</v>
      </c>
      <c r="AY51" s="64" t="s">
        <v>90</v>
      </c>
      <c r="AZ51" s="125">
        <v>27534</v>
      </c>
      <c r="BA51" s="67" t="s">
        <v>772</v>
      </c>
      <c r="BB51" s="67" t="s">
        <v>845</v>
      </c>
      <c r="BC51" s="64" t="s">
        <v>159</v>
      </c>
      <c r="BD51" s="67">
        <v>882002729827</v>
      </c>
      <c r="BE51" s="67" t="s">
        <v>548</v>
      </c>
      <c r="BF51" s="67"/>
      <c r="BG51" s="64" t="s">
        <v>768</v>
      </c>
      <c r="BH51" s="67" t="s">
        <v>769</v>
      </c>
      <c r="BI51" s="67" t="s">
        <v>770</v>
      </c>
      <c r="BJ51" s="40" t="s">
        <v>771</v>
      </c>
      <c r="BK51" s="64" t="s">
        <v>90</v>
      </c>
      <c r="BL51" s="64" t="s">
        <v>156</v>
      </c>
      <c r="BM51" s="64">
        <v>40374</v>
      </c>
      <c r="BN51" s="64" t="s">
        <v>161</v>
      </c>
      <c r="BO51" s="64" t="s">
        <v>766</v>
      </c>
      <c r="BP51" s="64"/>
      <c r="BQ51" s="135"/>
      <c r="BR51" s="67"/>
      <c r="BS51" s="67"/>
      <c r="BT51" s="64"/>
      <c r="BU51" s="67">
        <v>81223004343</v>
      </c>
      <c r="BV51" s="67"/>
      <c r="BW51" s="64"/>
      <c r="BX51" s="67"/>
      <c r="BY51" s="67"/>
      <c r="BZ51" s="64"/>
      <c r="CA51" s="64"/>
      <c r="CB51" s="64"/>
      <c r="CC51" s="64"/>
      <c r="CD51" s="64"/>
      <c r="CE51" s="64" t="s">
        <v>7367</v>
      </c>
      <c r="CF51" s="67" t="s">
        <v>769</v>
      </c>
      <c r="CG51" s="64" t="s">
        <v>7029</v>
      </c>
      <c r="CH51" s="64" t="s">
        <v>7030</v>
      </c>
      <c r="CI51" s="64" t="s">
        <v>90</v>
      </c>
      <c r="CJ51" s="64" t="s">
        <v>111</v>
      </c>
      <c r="CK51" s="58">
        <v>40374</v>
      </c>
      <c r="CL51" s="64" t="str">
        <f t="shared" ca="1" si="0"/>
        <v>14 Tahun 2 Bulan 15 Hari</v>
      </c>
      <c r="CM5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Kp.Ciawitali RT/RW 04/07 Desa/Kelurahan Pasirhuni Kecamatan Cimaung Bandung Jawa Barat 40374</v>
      </c>
    </row>
    <row r="52" spans="1:91" ht="24.95" customHeight="1">
      <c r="A52" s="58">
        <f>SUBTOTAL(3,N$8:Table2[[#This Row],[Nama lengkap]])</f>
        <v>45</v>
      </c>
      <c r="B52" s="58" t="s">
        <v>86</v>
      </c>
      <c r="C52" s="58">
        <v>2024</v>
      </c>
      <c r="D52" s="58"/>
      <c r="E52" s="58">
        <v>1</v>
      </c>
      <c r="F52" s="58" t="s">
        <v>582</v>
      </c>
      <c r="G52" s="165" t="s">
        <v>93</v>
      </c>
      <c r="H52" s="32"/>
      <c r="I52" s="32"/>
      <c r="J52" s="32"/>
      <c r="K52" s="32"/>
      <c r="L52" s="32"/>
      <c r="M52" s="58">
        <v>24250031</v>
      </c>
      <c r="N52" s="40" t="s">
        <v>5843</v>
      </c>
      <c r="O52" s="40"/>
      <c r="P52" s="32" t="s">
        <v>773</v>
      </c>
      <c r="Q52" s="32" t="s">
        <v>774</v>
      </c>
      <c r="R52" s="67" t="s">
        <v>90</v>
      </c>
      <c r="S52" s="69">
        <v>40762</v>
      </c>
      <c r="T52" s="47" t="s">
        <v>92</v>
      </c>
      <c r="U52" s="58">
        <v>3</v>
      </c>
      <c r="V52" s="58">
        <v>2</v>
      </c>
      <c r="W52" s="47" t="s">
        <v>207</v>
      </c>
      <c r="X52" s="64" t="s">
        <v>432</v>
      </c>
      <c r="Y52" s="64" t="s">
        <v>775</v>
      </c>
      <c r="Z52" s="64" t="s">
        <v>270</v>
      </c>
      <c r="AA52" s="64" t="s">
        <v>96</v>
      </c>
      <c r="AB52" s="64" t="s">
        <v>97</v>
      </c>
      <c r="AC52" s="64" t="s">
        <v>98</v>
      </c>
      <c r="AD52" s="64" t="s">
        <v>98</v>
      </c>
      <c r="AE52" s="67" t="s">
        <v>776</v>
      </c>
      <c r="AF52" s="67" t="s">
        <v>777</v>
      </c>
      <c r="AG52" s="64" t="s">
        <v>777</v>
      </c>
      <c r="AH52" s="64" t="s">
        <v>778</v>
      </c>
      <c r="AI52" s="64"/>
      <c r="AJ52" s="69" t="s">
        <v>779</v>
      </c>
      <c r="AK52" s="67" t="s">
        <v>780</v>
      </c>
      <c r="AL52" s="67"/>
      <c r="AM52" s="64"/>
      <c r="AN52" s="67">
        <v>0</v>
      </c>
      <c r="AO52" s="67" t="s">
        <v>98</v>
      </c>
      <c r="AP52" s="64">
        <v>0</v>
      </c>
      <c r="AQ52" s="32">
        <v>0</v>
      </c>
      <c r="AR52" s="67">
        <v>0</v>
      </c>
      <c r="AS52" s="64">
        <v>0</v>
      </c>
      <c r="AT52" s="64">
        <v>0</v>
      </c>
      <c r="AU52" s="64">
        <v>0</v>
      </c>
      <c r="AV52" s="64">
        <v>0</v>
      </c>
      <c r="AW52" s="64" t="s">
        <v>7830</v>
      </c>
      <c r="AX52" s="64" t="s">
        <v>101</v>
      </c>
      <c r="AY52" s="64" t="s">
        <v>90</v>
      </c>
      <c r="AZ52" s="125">
        <v>28189</v>
      </c>
      <c r="BA52" s="67" t="s">
        <v>781</v>
      </c>
      <c r="BB52" s="67" t="s">
        <v>7769</v>
      </c>
      <c r="BC52" s="64" t="s">
        <v>96</v>
      </c>
      <c r="BD52" s="67">
        <v>81223689377</v>
      </c>
      <c r="BE52" s="67" t="s">
        <v>266</v>
      </c>
      <c r="BF52" s="67"/>
      <c r="BG52" s="64" t="s">
        <v>782</v>
      </c>
      <c r="BH52" s="67" t="s">
        <v>783</v>
      </c>
      <c r="BI52" s="67" t="s">
        <v>784</v>
      </c>
      <c r="BJ52" s="40" t="s">
        <v>785</v>
      </c>
      <c r="BK52" s="64" t="s">
        <v>644</v>
      </c>
      <c r="BL52" s="64" t="s">
        <v>156</v>
      </c>
      <c r="BM52" s="64">
        <v>40295</v>
      </c>
      <c r="BN52" s="64" t="s">
        <v>786</v>
      </c>
      <c r="BO52" s="64" t="s">
        <v>787</v>
      </c>
      <c r="BP52" s="64" t="s">
        <v>141</v>
      </c>
      <c r="BQ52" s="135">
        <v>35101</v>
      </c>
      <c r="BR52" s="67" t="s">
        <v>788</v>
      </c>
      <c r="BS52" s="67" t="s">
        <v>789</v>
      </c>
      <c r="BT52" s="64" t="s">
        <v>149</v>
      </c>
      <c r="BU52" s="67">
        <v>82163492502</v>
      </c>
      <c r="BV52" s="67" t="s">
        <v>266</v>
      </c>
      <c r="BW52" s="64" t="s">
        <v>782</v>
      </c>
      <c r="BX52" s="67" t="s">
        <v>783</v>
      </c>
      <c r="BY52" s="67" t="s">
        <v>784</v>
      </c>
      <c r="BZ52" s="64" t="s">
        <v>785</v>
      </c>
      <c r="CA52" s="64" t="s">
        <v>644</v>
      </c>
      <c r="CB52" s="64" t="s">
        <v>156</v>
      </c>
      <c r="CC52" s="64">
        <v>40295</v>
      </c>
      <c r="CD52" s="64" t="s">
        <v>164</v>
      </c>
      <c r="CE52" s="64" t="s">
        <v>782</v>
      </c>
      <c r="CF52" s="67" t="s">
        <v>783</v>
      </c>
      <c r="CG52" s="67" t="s">
        <v>784</v>
      </c>
      <c r="CH52" s="40" t="s">
        <v>7031</v>
      </c>
      <c r="CI52" s="64" t="s">
        <v>644</v>
      </c>
      <c r="CJ52" s="64" t="s">
        <v>111</v>
      </c>
      <c r="CK52" s="58">
        <v>40295</v>
      </c>
      <c r="CL52" s="64" t="str">
        <f t="shared" ca="1" si="0"/>
        <v>14 Tahun 5 Bulan 16 Hari</v>
      </c>
      <c r="CM5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Parakan Saat RT/RW 04/06 Desa/Kelurahan Cisaranten Endah Kecamatan Arcamanik  Kota Bandung Jawa Barat 40295</v>
      </c>
    </row>
    <row r="53" spans="1:91" ht="24.95" customHeight="1">
      <c r="A53" s="58">
        <f>SUBTOTAL(3,N$8:Table2[[#This Row],[Nama lengkap]])</f>
        <v>46</v>
      </c>
      <c r="B53" s="58" t="s">
        <v>86</v>
      </c>
      <c r="C53" s="58">
        <v>2022</v>
      </c>
      <c r="D53" s="58" t="s">
        <v>8936</v>
      </c>
      <c r="E53" s="58">
        <v>1</v>
      </c>
      <c r="F53" s="58" t="s">
        <v>582</v>
      </c>
      <c r="G53" s="32" t="s">
        <v>2513</v>
      </c>
      <c r="H53" s="32" t="s">
        <v>2513</v>
      </c>
      <c r="I53" s="32" t="s">
        <v>2513</v>
      </c>
      <c r="J53" s="32"/>
      <c r="K53" s="32"/>
      <c r="L53" s="32"/>
      <c r="M53" s="58">
        <v>22230141</v>
      </c>
      <c r="N53" s="24" t="s">
        <v>8752</v>
      </c>
      <c r="O53" s="24"/>
      <c r="P53" s="25" t="s">
        <v>790</v>
      </c>
      <c r="Q53" s="25" t="s">
        <v>791</v>
      </c>
      <c r="R53" s="60" t="s">
        <v>7785</v>
      </c>
      <c r="S53" s="61" t="s">
        <v>792</v>
      </c>
      <c r="T53" s="47" t="s">
        <v>92</v>
      </c>
      <c r="U53" s="47">
        <v>2</v>
      </c>
      <c r="V53" s="47">
        <v>4</v>
      </c>
      <c r="W53" s="47" t="s">
        <v>207</v>
      </c>
      <c r="X53" s="59" t="s">
        <v>123</v>
      </c>
      <c r="Y53" s="59" t="s">
        <v>793</v>
      </c>
      <c r="Z53" s="59" t="s">
        <v>794</v>
      </c>
      <c r="AA53" s="59" t="s">
        <v>795</v>
      </c>
      <c r="AB53" s="59" t="s">
        <v>689</v>
      </c>
      <c r="AC53" s="59" t="s">
        <v>208</v>
      </c>
      <c r="AD53" s="59" t="s">
        <v>208</v>
      </c>
      <c r="AE53" s="60" t="s">
        <v>796</v>
      </c>
      <c r="AF53" s="60" t="s">
        <v>8312</v>
      </c>
      <c r="AG53" s="59" t="s">
        <v>8312</v>
      </c>
      <c r="AH53" s="59" t="s">
        <v>691</v>
      </c>
      <c r="AI53" s="59" t="s">
        <v>388</v>
      </c>
      <c r="AJ53" s="61" t="s">
        <v>798</v>
      </c>
      <c r="AK53" s="60" t="s">
        <v>799</v>
      </c>
      <c r="AL53" s="60" t="s">
        <v>602</v>
      </c>
      <c r="AM53" s="59" t="s">
        <v>800</v>
      </c>
      <c r="AN53" s="60"/>
      <c r="AO53" s="60"/>
      <c r="AP53" s="59" t="s">
        <v>801</v>
      </c>
      <c r="AQ53" s="25" t="s">
        <v>802</v>
      </c>
      <c r="AR53" s="60" t="s">
        <v>803</v>
      </c>
      <c r="AS53" s="59" t="s">
        <v>804</v>
      </c>
      <c r="AT53" s="59" t="s">
        <v>805</v>
      </c>
      <c r="AU53" s="59" t="s">
        <v>806</v>
      </c>
      <c r="AV53" s="62"/>
      <c r="AW53" s="59" t="s">
        <v>7831</v>
      </c>
      <c r="AX53" s="59" t="s">
        <v>691</v>
      </c>
      <c r="AY53" s="59" t="s">
        <v>7785</v>
      </c>
      <c r="AZ53" s="126" t="s">
        <v>807</v>
      </c>
      <c r="BA53" s="60" t="s">
        <v>808</v>
      </c>
      <c r="BB53" s="60" t="s">
        <v>845</v>
      </c>
      <c r="BC53" s="59" t="s">
        <v>800</v>
      </c>
      <c r="BD53" s="60"/>
      <c r="BE53" s="60"/>
      <c r="BF53" s="60"/>
      <c r="BG53" s="59" t="s">
        <v>801</v>
      </c>
      <c r="BH53" s="60" t="s">
        <v>802</v>
      </c>
      <c r="BI53" s="60" t="s">
        <v>803</v>
      </c>
      <c r="BJ53" s="24" t="s">
        <v>804</v>
      </c>
      <c r="BK53" s="59" t="s">
        <v>805</v>
      </c>
      <c r="BL53" s="59" t="s">
        <v>806</v>
      </c>
      <c r="BM53" s="62"/>
      <c r="BN53" s="62"/>
      <c r="BO53" s="59" t="s">
        <v>719</v>
      </c>
      <c r="BP53" s="59"/>
      <c r="BQ53" s="77"/>
      <c r="BR53" s="60"/>
      <c r="BS53" s="60"/>
      <c r="BT53" s="59"/>
      <c r="BU53" s="60"/>
      <c r="BV53" s="60"/>
      <c r="BW53" s="59"/>
      <c r="BX53" s="60"/>
      <c r="BY53" s="60"/>
      <c r="BZ53" s="59"/>
      <c r="CA53" s="59"/>
      <c r="CB53" s="59"/>
      <c r="CC53" s="59"/>
      <c r="CD53" s="59"/>
      <c r="CE53" s="59" t="s">
        <v>7368</v>
      </c>
      <c r="CF53" s="60" t="s">
        <v>802</v>
      </c>
      <c r="CG53" s="59" t="s">
        <v>7032</v>
      </c>
      <c r="CH53" s="59" t="s">
        <v>7033</v>
      </c>
      <c r="CI53" s="59" t="s">
        <v>7034</v>
      </c>
      <c r="CJ53" s="59" t="s">
        <v>7017</v>
      </c>
      <c r="CK53" s="47"/>
      <c r="CL53" s="64" t="str">
        <f t="shared" ca="1" si="0"/>
        <v>15 Tahun 10 Bulan 16 Hari</v>
      </c>
      <c r="CM5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Jl.Mangga Blok A Gg.Iv/13 RT/RW 08/09 Desa/Kelurahan Lagoa Kecamatan Koja Jakarta Utara Dki Jakarta </v>
      </c>
    </row>
    <row r="54" spans="1:91" ht="24.95" customHeight="1">
      <c r="A54" s="58">
        <f>SUBTOTAL(3,N$8:Table2[[#This Row],[Nama lengkap]])</f>
        <v>47</v>
      </c>
      <c r="B54" s="58" t="s">
        <v>86</v>
      </c>
      <c r="C54" s="58">
        <v>2024</v>
      </c>
      <c r="D54" s="58"/>
      <c r="E54" s="58">
        <v>1</v>
      </c>
      <c r="F54" s="58" t="s">
        <v>582</v>
      </c>
      <c r="G54" s="32" t="s">
        <v>2513</v>
      </c>
      <c r="H54" s="32" t="s">
        <v>2513</v>
      </c>
      <c r="I54" s="32" t="s">
        <v>2513</v>
      </c>
      <c r="J54" s="32"/>
      <c r="K54" s="32"/>
      <c r="L54" s="32"/>
      <c r="M54" s="58">
        <v>24250020</v>
      </c>
      <c r="N54" s="40" t="s">
        <v>5845</v>
      </c>
      <c r="O54" s="40"/>
      <c r="P54" s="32">
        <v>3118659397</v>
      </c>
      <c r="Q54" s="32" t="s">
        <v>809</v>
      </c>
      <c r="R54" s="67" t="s">
        <v>122</v>
      </c>
      <c r="S54" s="69">
        <v>40789</v>
      </c>
      <c r="T54" s="47" t="s">
        <v>92</v>
      </c>
      <c r="U54" s="58">
        <v>2</v>
      </c>
      <c r="V54" s="58">
        <v>2</v>
      </c>
      <c r="W54" s="47" t="s">
        <v>207</v>
      </c>
      <c r="X54" s="64" t="s">
        <v>432</v>
      </c>
      <c r="Y54" s="64" t="s">
        <v>143</v>
      </c>
      <c r="Z54" s="64" t="s">
        <v>810</v>
      </c>
      <c r="AA54" s="64" t="s">
        <v>96</v>
      </c>
      <c r="AB54" s="64" t="s">
        <v>97</v>
      </c>
      <c r="AC54" s="64" t="s">
        <v>98</v>
      </c>
      <c r="AD54" s="64" t="s">
        <v>98</v>
      </c>
      <c r="AE54" s="67" t="s">
        <v>811</v>
      </c>
      <c r="AF54" s="67" t="s">
        <v>812</v>
      </c>
      <c r="AG54" s="64" t="s">
        <v>812</v>
      </c>
      <c r="AH54" s="64" t="s">
        <v>101</v>
      </c>
      <c r="AI54" s="64" t="s">
        <v>122</v>
      </c>
      <c r="AJ54" s="69">
        <v>32303</v>
      </c>
      <c r="AK54" s="67" t="s">
        <v>813</v>
      </c>
      <c r="AL54" s="67" t="s">
        <v>114</v>
      </c>
      <c r="AM54" s="64" t="s">
        <v>149</v>
      </c>
      <c r="AN54" s="67">
        <v>85320755204</v>
      </c>
      <c r="AO54" s="67" t="s">
        <v>266</v>
      </c>
      <c r="AP54" s="64" t="s">
        <v>814</v>
      </c>
      <c r="AQ54" s="32" t="s">
        <v>815</v>
      </c>
      <c r="AR54" s="67" t="s">
        <v>816</v>
      </c>
      <c r="AS54" s="64" t="s">
        <v>497</v>
      </c>
      <c r="AT54" s="64" t="s">
        <v>122</v>
      </c>
      <c r="AU54" s="64" t="s">
        <v>111</v>
      </c>
      <c r="AV54" s="64">
        <v>45353</v>
      </c>
      <c r="AW54" s="64" t="s">
        <v>817</v>
      </c>
      <c r="AX54" s="64" t="s">
        <v>101</v>
      </c>
      <c r="AY54" s="64" t="s">
        <v>122</v>
      </c>
      <c r="AZ54" s="125">
        <v>33128</v>
      </c>
      <c r="BA54" s="67" t="s">
        <v>818</v>
      </c>
      <c r="BB54" s="67" t="s">
        <v>819</v>
      </c>
      <c r="BC54" s="64" t="s">
        <v>171</v>
      </c>
      <c r="BD54" s="67">
        <v>81321991768</v>
      </c>
      <c r="BE54" s="67" t="s">
        <v>266</v>
      </c>
      <c r="BF54" s="67"/>
      <c r="BG54" s="64" t="s">
        <v>814</v>
      </c>
      <c r="BH54" s="67" t="s">
        <v>815</v>
      </c>
      <c r="BI54" s="67" t="s">
        <v>816</v>
      </c>
      <c r="BJ54" s="40" t="s">
        <v>497</v>
      </c>
      <c r="BK54" s="64" t="s">
        <v>122</v>
      </c>
      <c r="BL54" s="64" t="s">
        <v>111</v>
      </c>
      <c r="BM54" s="64">
        <v>45353</v>
      </c>
      <c r="BN54" s="64" t="s">
        <v>161</v>
      </c>
      <c r="BO54" s="64" t="s">
        <v>812</v>
      </c>
      <c r="BP54" s="64" t="s">
        <v>122</v>
      </c>
      <c r="BQ54" s="135">
        <v>32303</v>
      </c>
      <c r="BR54" s="67">
        <v>3211220406880000</v>
      </c>
      <c r="BS54" s="67" t="s">
        <v>114</v>
      </c>
      <c r="BT54" s="64" t="s">
        <v>149</v>
      </c>
      <c r="BU54" s="67">
        <v>85320755204</v>
      </c>
      <c r="BV54" s="67" t="s">
        <v>266</v>
      </c>
      <c r="BW54" s="64" t="s">
        <v>814</v>
      </c>
      <c r="BX54" s="67">
        <v>45352</v>
      </c>
      <c r="BY54" s="67" t="s">
        <v>816</v>
      </c>
      <c r="BZ54" s="64" t="s">
        <v>497</v>
      </c>
      <c r="CA54" s="64" t="s">
        <v>122</v>
      </c>
      <c r="CB54" s="64" t="s">
        <v>111</v>
      </c>
      <c r="CC54" s="64">
        <v>45353</v>
      </c>
      <c r="CD54" s="64" t="s">
        <v>164</v>
      </c>
      <c r="CE54" s="64" t="s">
        <v>814</v>
      </c>
      <c r="CF54" s="67" t="s">
        <v>815</v>
      </c>
      <c r="CG54" s="64" t="s">
        <v>816</v>
      </c>
      <c r="CH54" s="64" t="s">
        <v>497</v>
      </c>
      <c r="CI54" s="64" t="s">
        <v>122</v>
      </c>
      <c r="CJ54" s="64" t="s">
        <v>111</v>
      </c>
      <c r="CK54" s="58">
        <v>45353</v>
      </c>
      <c r="CL54" s="64" t="str">
        <f t="shared" ca="1" si="0"/>
        <v>14 Tahun 4 Bulan 20 Hari</v>
      </c>
      <c r="CM5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Dsn. Pamekarsari RT/RW 01/03 Desa/Kelurahan Trunamanggala Kecamatan Cimalaka Sumedang Jawa Barat 45353</v>
      </c>
    </row>
    <row r="55" spans="1:91" ht="24.95" customHeight="1">
      <c r="A55" s="58">
        <f>SUBTOTAL(3,N$8:Table2[[#This Row],[Nama lengkap]])</f>
        <v>48</v>
      </c>
      <c r="B55" s="58" t="s">
        <v>86</v>
      </c>
      <c r="C55" s="58">
        <v>2024</v>
      </c>
      <c r="D55" s="58"/>
      <c r="E55" s="58">
        <v>1</v>
      </c>
      <c r="F55" s="58" t="s">
        <v>582</v>
      </c>
      <c r="G55" s="32" t="s">
        <v>2513</v>
      </c>
      <c r="H55" s="32" t="s">
        <v>2513</v>
      </c>
      <c r="I55" s="32" t="s">
        <v>2513</v>
      </c>
      <c r="J55" s="32"/>
      <c r="K55" s="32"/>
      <c r="L55" s="32"/>
      <c r="M55" s="58">
        <v>24250068</v>
      </c>
      <c r="N55" s="40" t="s">
        <v>8753</v>
      </c>
      <c r="O55" s="40"/>
      <c r="P55" s="32" t="s">
        <v>820</v>
      </c>
      <c r="Q55" s="32" t="s">
        <v>821</v>
      </c>
      <c r="R55" s="67" t="s">
        <v>90</v>
      </c>
      <c r="S55" s="69">
        <v>41073</v>
      </c>
      <c r="T55" s="47" t="s">
        <v>92</v>
      </c>
      <c r="U55" s="58">
        <v>1</v>
      </c>
      <c r="V55" s="58">
        <v>3</v>
      </c>
      <c r="W55" s="47" t="s">
        <v>207</v>
      </c>
      <c r="X55" s="64" t="s">
        <v>123</v>
      </c>
      <c r="Y55" s="64" t="s">
        <v>453</v>
      </c>
      <c r="Z55" s="64" t="s">
        <v>822</v>
      </c>
      <c r="AA55" s="64" t="s">
        <v>96</v>
      </c>
      <c r="AB55" s="64" t="s">
        <v>97</v>
      </c>
      <c r="AC55" s="64" t="s">
        <v>98</v>
      </c>
      <c r="AD55" s="64" t="s">
        <v>98</v>
      </c>
      <c r="AE55" s="67" t="s">
        <v>823</v>
      </c>
      <c r="AF55" s="67" t="s">
        <v>824</v>
      </c>
      <c r="AG55" s="64" t="s">
        <v>824</v>
      </c>
      <c r="AH55" s="64" t="s">
        <v>101</v>
      </c>
      <c r="AI55" s="64" t="s">
        <v>90</v>
      </c>
      <c r="AJ55" s="69">
        <v>29962</v>
      </c>
      <c r="AK55" s="67" t="s">
        <v>825</v>
      </c>
      <c r="AL55" s="67" t="s">
        <v>826</v>
      </c>
      <c r="AM55" s="64" t="s">
        <v>171</v>
      </c>
      <c r="AN55" s="67">
        <v>81312848165</v>
      </c>
      <c r="AO55" s="67" t="s">
        <v>266</v>
      </c>
      <c r="AP55" s="64" t="s">
        <v>827</v>
      </c>
      <c r="AQ55" s="32" t="s">
        <v>828</v>
      </c>
      <c r="AR55" s="67" t="s">
        <v>829</v>
      </c>
      <c r="AS55" s="64" t="s">
        <v>829</v>
      </c>
      <c r="AT55" s="64" t="s">
        <v>644</v>
      </c>
      <c r="AU55" s="64" t="s">
        <v>111</v>
      </c>
      <c r="AV55" s="64">
        <v>40254</v>
      </c>
      <c r="AW55" s="64" t="s">
        <v>830</v>
      </c>
      <c r="AX55" s="64" t="s">
        <v>101</v>
      </c>
      <c r="AY55" s="64" t="s">
        <v>831</v>
      </c>
      <c r="AZ55" s="125">
        <v>30691</v>
      </c>
      <c r="BA55" s="67" t="s">
        <v>832</v>
      </c>
      <c r="BB55" s="67" t="s">
        <v>602</v>
      </c>
      <c r="BC55" s="64" t="s">
        <v>171</v>
      </c>
      <c r="BD55" s="67">
        <v>82115115654</v>
      </c>
      <c r="BE55" s="67" t="s">
        <v>106</v>
      </c>
      <c r="BF55" s="67"/>
      <c r="BG55" s="64" t="s">
        <v>827</v>
      </c>
      <c r="BH55" s="67" t="s">
        <v>828</v>
      </c>
      <c r="BI55" s="67" t="s">
        <v>829</v>
      </c>
      <c r="BJ55" s="40" t="s">
        <v>833</v>
      </c>
      <c r="BK55" s="64" t="s">
        <v>644</v>
      </c>
      <c r="BL55" s="64" t="s">
        <v>111</v>
      </c>
      <c r="BM55" s="64">
        <v>40254</v>
      </c>
      <c r="BN55" s="64" t="s">
        <v>161</v>
      </c>
      <c r="BO55" s="64" t="s">
        <v>824</v>
      </c>
      <c r="BP55" s="64"/>
      <c r="BQ55" s="135"/>
      <c r="BR55" s="67"/>
      <c r="BS55" s="67"/>
      <c r="BT55" s="64"/>
      <c r="BU55" s="67">
        <v>81312848165</v>
      </c>
      <c r="BV55" s="67"/>
      <c r="BW55" s="64"/>
      <c r="BX55" s="67"/>
      <c r="BY55" s="67"/>
      <c r="BZ55" s="64"/>
      <c r="CA55" s="64"/>
      <c r="CB55" s="64"/>
      <c r="CC55" s="64"/>
      <c r="CD55" s="64"/>
      <c r="CE55" s="64" t="s">
        <v>827</v>
      </c>
      <c r="CF55" s="67" t="s">
        <v>828</v>
      </c>
      <c r="CG55" s="64" t="s">
        <v>829</v>
      </c>
      <c r="CH55" s="64" t="s">
        <v>829</v>
      </c>
      <c r="CI55" s="64" t="s">
        <v>644</v>
      </c>
      <c r="CJ55" s="64" t="s">
        <v>111</v>
      </c>
      <c r="CK55" s="58">
        <v>40254</v>
      </c>
      <c r="CL55" s="64" t="str">
        <f t="shared" ca="1" si="0"/>
        <v>13 Tahun 7 Bulan 10 Hari</v>
      </c>
      <c r="CM5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Pasirluyu No.121 RT/RW 003/005 Desa/Kelurahan Pasirluyu Kecamatan Pasirluyu Kota Bandung Jawa Barat 40254</v>
      </c>
    </row>
    <row r="56" spans="1:91" ht="24.95" customHeight="1">
      <c r="A56" s="58">
        <f>SUBTOTAL(3,N$8:Table2[[#This Row],[Nama lengkap]])</f>
        <v>49</v>
      </c>
      <c r="B56" s="58" t="s">
        <v>86</v>
      </c>
      <c r="C56" s="58">
        <v>2024</v>
      </c>
      <c r="D56" s="58"/>
      <c r="E56" s="58">
        <v>1</v>
      </c>
      <c r="F56" s="58" t="s">
        <v>582</v>
      </c>
      <c r="G56" s="32" t="s">
        <v>2513</v>
      </c>
      <c r="H56" s="32" t="s">
        <v>2513</v>
      </c>
      <c r="I56" s="32" t="s">
        <v>2513</v>
      </c>
      <c r="J56" s="32"/>
      <c r="K56" s="32"/>
      <c r="L56" s="32"/>
      <c r="M56" s="58">
        <v>24250079</v>
      </c>
      <c r="N56" s="40" t="s">
        <v>5847</v>
      </c>
      <c r="O56" s="40"/>
      <c r="P56" s="32" t="s">
        <v>834</v>
      </c>
      <c r="Q56" s="32" t="s">
        <v>835</v>
      </c>
      <c r="R56" s="67" t="s">
        <v>90</v>
      </c>
      <c r="S56" s="69">
        <v>40971</v>
      </c>
      <c r="T56" s="47" t="s">
        <v>92</v>
      </c>
      <c r="U56" s="58">
        <v>3</v>
      </c>
      <c r="V56" s="58">
        <v>2</v>
      </c>
      <c r="W56" s="47" t="s">
        <v>207</v>
      </c>
      <c r="X56" s="64" t="s">
        <v>93</v>
      </c>
      <c r="Y56" s="64" t="s">
        <v>143</v>
      </c>
      <c r="Z56" s="64" t="s">
        <v>836</v>
      </c>
      <c r="AA56" s="64" t="s">
        <v>96</v>
      </c>
      <c r="AB56" s="64" t="s">
        <v>97</v>
      </c>
      <c r="AC56" s="64" t="s">
        <v>98</v>
      </c>
      <c r="AD56" s="64" t="s">
        <v>98</v>
      </c>
      <c r="AE56" s="67" t="s">
        <v>837</v>
      </c>
      <c r="AF56" s="67" t="s">
        <v>838</v>
      </c>
      <c r="AG56" s="64" t="s">
        <v>838</v>
      </c>
      <c r="AH56" s="64" t="s">
        <v>101</v>
      </c>
      <c r="AI56" s="64" t="s">
        <v>295</v>
      </c>
      <c r="AJ56" s="69">
        <v>26345</v>
      </c>
      <c r="AK56" s="67" t="s">
        <v>839</v>
      </c>
      <c r="AL56" s="67" t="s">
        <v>840</v>
      </c>
      <c r="AM56" s="64" t="s">
        <v>149</v>
      </c>
      <c r="AN56" s="67">
        <v>85323336623</v>
      </c>
      <c r="AO56" s="67" t="s">
        <v>130</v>
      </c>
      <c r="AP56" s="64" t="s">
        <v>841</v>
      </c>
      <c r="AQ56" s="32" t="s">
        <v>842</v>
      </c>
      <c r="AR56" s="67" t="s">
        <v>843</v>
      </c>
      <c r="AS56" s="64" t="s">
        <v>295</v>
      </c>
      <c r="AT56" s="64" t="s">
        <v>90</v>
      </c>
      <c r="AU56" s="64" t="s">
        <v>318</v>
      </c>
      <c r="AV56" s="64">
        <v>40394</v>
      </c>
      <c r="AW56" s="64" t="s">
        <v>7832</v>
      </c>
      <c r="AX56" s="64" t="s">
        <v>101</v>
      </c>
      <c r="AY56" s="64" t="s">
        <v>90</v>
      </c>
      <c r="AZ56" s="125">
        <v>29171</v>
      </c>
      <c r="BA56" s="67" t="s">
        <v>844</v>
      </c>
      <c r="BB56" s="67" t="s">
        <v>845</v>
      </c>
      <c r="BC56" s="64" t="s">
        <v>149</v>
      </c>
      <c r="BD56" s="67">
        <v>85352666302</v>
      </c>
      <c r="BE56" s="67" t="s">
        <v>98</v>
      </c>
      <c r="BF56" s="67"/>
      <c r="BG56" s="64" t="s">
        <v>841</v>
      </c>
      <c r="BH56" s="67" t="s">
        <v>842</v>
      </c>
      <c r="BI56" s="67" t="s">
        <v>843</v>
      </c>
      <c r="BJ56" s="40" t="s">
        <v>295</v>
      </c>
      <c r="BK56" s="64" t="s">
        <v>90</v>
      </c>
      <c r="BL56" s="64" t="s">
        <v>318</v>
      </c>
      <c r="BM56" s="64">
        <v>40394</v>
      </c>
      <c r="BN56" s="64"/>
      <c r="BO56" s="64" t="s">
        <v>838</v>
      </c>
      <c r="BP56" s="64"/>
      <c r="BQ56" s="135"/>
      <c r="BR56" s="67"/>
      <c r="BS56" s="67"/>
      <c r="BT56" s="64"/>
      <c r="BU56" s="67">
        <v>85323336622</v>
      </c>
      <c r="BV56" s="67"/>
      <c r="BW56" s="64"/>
      <c r="BX56" s="67"/>
      <c r="BY56" s="67"/>
      <c r="BZ56" s="64"/>
      <c r="CA56" s="64"/>
      <c r="CB56" s="64"/>
      <c r="CC56" s="64"/>
      <c r="CD56" s="64"/>
      <c r="CE56" s="64" t="s">
        <v>7369</v>
      </c>
      <c r="CF56" s="67" t="s">
        <v>842</v>
      </c>
      <c r="CG56" s="64" t="s">
        <v>294</v>
      </c>
      <c r="CH56" s="64" t="s">
        <v>295</v>
      </c>
      <c r="CI56" s="64" t="s">
        <v>90</v>
      </c>
      <c r="CJ56" s="64" t="s">
        <v>111</v>
      </c>
      <c r="CK56" s="58">
        <v>40394</v>
      </c>
      <c r="CL56" s="64" t="str">
        <f t="shared" ca="1" si="0"/>
        <v>13 Tahun 10 Bulan 20 Hari</v>
      </c>
      <c r="CM5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Melur V No 17 Blok 15 Rancaekek Kencana RT/RW 04/15 Desa/Kelurahan Rancaekek Kencana Kecamatan Rancaekek Bandung Jawa Barat 40394</v>
      </c>
    </row>
    <row r="57" spans="1:91" ht="24.95" customHeight="1">
      <c r="A57" s="58">
        <f>SUBTOTAL(3,N$8:Table2[[#This Row],[Nama lengkap]])</f>
        <v>50</v>
      </c>
      <c r="B57" s="58" t="s">
        <v>86</v>
      </c>
      <c r="C57" s="58">
        <v>2024</v>
      </c>
      <c r="D57" s="58"/>
      <c r="E57" s="58">
        <v>1</v>
      </c>
      <c r="F57" s="58" t="s">
        <v>582</v>
      </c>
      <c r="G57" s="32" t="s">
        <v>2513</v>
      </c>
      <c r="H57" s="32" t="s">
        <v>2513</v>
      </c>
      <c r="I57" s="32" t="s">
        <v>2513</v>
      </c>
      <c r="J57" s="32"/>
      <c r="K57" s="32"/>
      <c r="L57" s="32"/>
      <c r="M57" s="58">
        <v>24250109</v>
      </c>
      <c r="N57" s="40" t="s">
        <v>5848</v>
      </c>
      <c r="O57" s="40"/>
      <c r="P57" s="32">
        <v>3117625928</v>
      </c>
      <c r="Q57" s="32" t="s">
        <v>846</v>
      </c>
      <c r="R57" s="67" t="s">
        <v>90</v>
      </c>
      <c r="S57" s="69">
        <v>40902</v>
      </c>
      <c r="T57" s="47" t="s">
        <v>92</v>
      </c>
      <c r="U57" s="58">
        <v>1</v>
      </c>
      <c r="V57" s="58">
        <v>1</v>
      </c>
      <c r="W57" s="47" t="s">
        <v>207</v>
      </c>
      <c r="X57" s="64" t="s">
        <v>142</v>
      </c>
      <c r="Y57" s="64" t="s">
        <v>722</v>
      </c>
      <c r="Z57" s="64" t="s">
        <v>270</v>
      </c>
      <c r="AA57" s="64" t="s">
        <v>96</v>
      </c>
      <c r="AB57" s="64" t="s">
        <v>97</v>
      </c>
      <c r="AC57" s="64" t="s">
        <v>98</v>
      </c>
      <c r="AD57" s="64" t="s">
        <v>98</v>
      </c>
      <c r="AE57" s="67" t="s">
        <v>847</v>
      </c>
      <c r="AF57" s="67" t="s">
        <v>848</v>
      </c>
      <c r="AG57" s="64" t="s">
        <v>848</v>
      </c>
      <c r="AH57" s="64" t="s">
        <v>101</v>
      </c>
      <c r="AI57" s="64" t="s">
        <v>90</v>
      </c>
      <c r="AJ57" s="69">
        <v>30562</v>
      </c>
      <c r="AK57" s="67" t="s">
        <v>850</v>
      </c>
      <c r="AL57" s="67" t="s">
        <v>114</v>
      </c>
      <c r="AM57" s="64" t="s">
        <v>149</v>
      </c>
      <c r="AN57" s="67">
        <v>85624007890</v>
      </c>
      <c r="AO57" s="67" t="s">
        <v>130</v>
      </c>
      <c r="AP57" s="64" t="s">
        <v>851</v>
      </c>
      <c r="AQ57" s="32" t="s">
        <v>852</v>
      </c>
      <c r="AR57" s="67" t="s">
        <v>853</v>
      </c>
      <c r="AS57" s="64" t="s">
        <v>618</v>
      </c>
      <c r="AT57" s="64" t="s">
        <v>90</v>
      </c>
      <c r="AU57" s="64" t="s">
        <v>156</v>
      </c>
      <c r="AV57" s="64">
        <v>40377</v>
      </c>
      <c r="AW57" s="64" t="s">
        <v>7833</v>
      </c>
      <c r="AX57" s="64" t="s">
        <v>101</v>
      </c>
      <c r="AY57" s="64" t="s">
        <v>90</v>
      </c>
      <c r="AZ57" s="125">
        <v>32561</v>
      </c>
      <c r="BA57" s="67" t="s">
        <v>854</v>
      </c>
      <c r="BB57" s="67" t="s">
        <v>180</v>
      </c>
      <c r="BC57" s="64" t="s">
        <v>855</v>
      </c>
      <c r="BD57" s="67">
        <v>85722248616</v>
      </c>
      <c r="BE57" s="67" t="s">
        <v>98</v>
      </c>
      <c r="BF57" s="67"/>
      <c r="BG57" s="64" t="s">
        <v>851</v>
      </c>
      <c r="BH57" s="67" t="s">
        <v>852</v>
      </c>
      <c r="BI57" s="67" t="s">
        <v>853</v>
      </c>
      <c r="BJ57" s="40" t="s">
        <v>618</v>
      </c>
      <c r="BK57" s="64" t="s">
        <v>90</v>
      </c>
      <c r="BL57" s="64" t="s">
        <v>156</v>
      </c>
      <c r="BM57" s="64">
        <v>40377</v>
      </c>
      <c r="BN57" s="64" t="s">
        <v>161</v>
      </c>
      <c r="BO57" s="64" t="s">
        <v>849</v>
      </c>
      <c r="BP57" s="64"/>
      <c r="BQ57" s="135"/>
      <c r="BR57" s="67"/>
      <c r="BS57" s="67"/>
      <c r="BT57" s="64"/>
      <c r="BU57" s="67">
        <v>85624007890</v>
      </c>
      <c r="BV57" s="67"/>
      <c r="BW57" s="64"/>
      <c r="BX57" s="67"/>
      <c r="BY57" s="67"/>
      <c r="BZ57" s="64"/>
      <c r="CA57" s="64"/>
      <c r="CB57" s="64"/>
      <c r="CC57" s="64"/>
      <c r="CD57" s="64"/>
      <c r="CE57" s="64" t="s">
        <v>7370</v>
      </c>
      <c r="CF57" s="67" t="s">
        <v>852</v>
      </c>
      <c r="CG57" s="64" t="s">
        <v>7035</v>
      </c>
      <c r="CH57" s="64" t="s">
        <v>507</v>
      </c>
      <c r="CI57" s="64" t="s">
        <v>90</v>
      </c>
      <c r="CJ57" s="64" t="s">
        <v>111</v>
      </c>
      <c r="CK57" s="58">
        <v>40377</v>
      </c>
      <c r="CL57" s="64" t="str">
        <f t="shared" ca="1" si="0"/>
        <v>14 Tahun 0 Bulan 29 Hari</v>
      </c>
      <c r="CM5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Kp.Sirnapikir RT/RW 002/002 Desa/Kelurahan Banjaran Kulon Kecamatan Banjaran Bandung Jawa Barat 40377</v>
      </c>
    </row>
    <row r="58" spans="1:91" ht="24.95" customHeight="1">
      <c r="A58" s="58">
        <f>SUBTOTAL(3,N$8:Table2[[#This Row],[Nama lengkap]])</f>
        <v>51</v>
      </c>
      <c r="B58" s="58" t="s">
        <v>86</v>
      </c>
      <c r="C58" s="58">
        <v>2024</v>
      </c>
      <c r="D58" s="58"/>
      <c r="E58" s="58">
        <v>1</v>
      </c>
      <c r="F58" s="58" t="s">
        <v>582</v>
      </c>
      <c r="G58" s="32" t="s">
        <v>2513</v>
      </c>
      <c r="H58" s="32" t="s">
        <v>2513</v>
      </c>
      <c r="I58" s="32" t="s">
        <v>2513</v>
      </c>
      <c r="J58" s="32"/>
      <c r="K58" s="32"/>
      <c r="L58" s="32"/>
      <c r="M58" s="58">
        <v>24250094</v>
      </c>
      <c r="N58" s="40" t="s">
        <v>5849</v>
      </c>
      <c r="O58" s="40"/>
      <c r="P58" s="32" t="s">
        <v>856</v>
      </c>
      <c r="Q58" s="32" t="s">
        <v>857</v>
      </c>
      <c r="R58" s="67" t="s">
        <v>90</v>
      </c>
      <c r="S58" s="69">
        <v>40793</v>
      </c>
      <c r="T58" s="47" t="s">
        <v>92</v>
      </c>
      <c r="U58" s="58" t="s">
        <v>858</v>
      </c>
      <c r="V58" s="58" t="s">
        <v>859</v>
      </c>
      <c r="W58" s="47" t="s">
        <v>207</v>
      </c>
      <c r="X58" s="64"/>
      <c r="Y58" s="64" t="s">
        <v>124</v>
      </c>
      <c r="Z58" s="64" t="s">
        <v>270</v>
      </c>
      <c r="AA58" s="64" t="s">
        <v>96</v>
      </c>
      <c r="AB58" s="64" t="s">
        <v>97</v>
      </c>
      <c r="AC58" s="64" t="s">
        <v>98</v>
      </c>
      <c r="AD58" s="64" t="s">
        <v>98</v>
      </c>
      <c r="AE58" s="67" t="s">
        <v>860</v>
      </c>
      <c r="AF58" s="67" t="s">
        <v>861</v>
      </c>
      <c r="AG58" s="64" t="s">
        <v>861</v>
      </c>
      <c r="AH58" s="64" t="s">
        <v>101</v>
      </c>
      <c r="AI58" s="64" t="s">
        <v>90</v>
      </c>
      <c r="AJ58" s="69">
        <v>31463</v>
      </c>
      <c r="AK58" s="67" t="s">
        <v>862</v>
      </c>
      <c r="AL58" s="67" t="s">
        <v>602</v>
      </c>
      <c r="AM58" s="64" t="s">
        <v>149</v>
      </c>
      <c r="AN58" s="67">
        <v>81224738338</v>
      </c>
      <c r="AO58" s="67" t="s">
        <v>106</v>
      </c>
      <c r="AP58" s="64" t="s">
        <v>863</v>
      </c>
      <c r="AQ58" s="32" t="s">
        <v>864</v>
      </c>
      <c r="AR58" s="67" t="s">
        <v>865</v>
      </c>
      <c r="AS58" s="64" t="s">
        <v>593</v>
      </c>
      <c r="AT58" s="64" t="s">
        <v>122</v>
      </c>
      <c r="AU58" s="64" t="s">
        <v>111</v>
      </c>
      <c r="AV58" s="64">
        <v>45362</v>
      </c>
      <c r="AW58" s="64" t="s">
        <v>866</v>
      </c>
      <c r="AX58" s="64" t="s">
        <v>101</v>
      </c>
      <c r="AY58" s="64" t="s">
        <v>90</v>
      </c>
      <c r="AZ58" s="125">
        <v>32349</v>
      </c>
      <c r="BA58" s="67" t="s">
        <v>867</v>
      </c>
      <c r="BB58" s="67" t="s">
        <v>428</v>
      </c>
      <c r="BC58" s="64" t="s">
        <v>115</v>
      </c>
      <c r="BD58" s="67">
        <v>8999640146</v>
      </c>
      <c r="BE58" s="67" t="s">
        <v>98</v>
      </c>
      <c r="BF58" s="67"/>
      <c r="BG58" s="64" t="s">
        <v>863</v>
      </c>
      <c r="BH58" s="67" t="s">
        <v>864</v>
      </c>
      <c r="BI58" s="67" t="s">
        <v>865</v>
      </c>
      <c r="BJ58" s="40" t="s">
        <v>593</v>
      </c>
      <c r="BK58" s="64" t="s">
        <v>122</v>
      </c>
      <c r="BL58" s="64" t="s">
        <v>111</v>
      </c>
      <c r="BM58" s="64">
        <v>45362</v>
      </c>
      <c r="BN58" s="64"/>
      <c r="BO58" s="64" t="s">
        <v>861</v>
      </c>
      <c r="BP58" s="64"/>
      <c r="BQ58" s="135"/>
      <c r="BR58" s="67"/>
      <c r="BS58" s="67"/>
      <c r="BT58" s="64"/>
      <c r="BU58" s="67">
        <v>81224738338</v>
      </c>
      <c r="BV58" s="67"/>
      <c r="BW58" s="64"/>
      <c r="BX58" s="67"/>
      <c r="BY58" s="67"/>
      <c r="BZ58" s="64"/>
      <c r="CA58" s="64"/>
      <c r="CB58" s="64"/>
      <c r="CC58" s="64"/>
      <c r="CD58" s="64"/>
      <c r="CE58" s="64" t="s">
        <v>7371</v>
      </c>
      <c r="CF58" s="67" t="s">
        <v>864</v>
      </c>
      <c r="CG58" s="64" t="s">
        <v>865</v>
      </c>
      <c r="CH58" s="64" t="s">
        <v>593</v>
      </c>
      <c r="CI58" s="64" t="s">
        <v>122</v>
      </c>
      <c r="CJ58" s="64" t="s">
        <v>111</v>
      </c>
      <c r="CK58" s="58">
        <v>45362</v>
      </c>
      <c r="CL58" s="64" t="str">
        <f t="shared" ca="1" si="0"/>
        <v>14 Tahun 4 Bulan 16 Hari</v>
      </c>
      <c r="CM5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Perum Tanjungsari Permai Blok Ea No 3 RT/RW 03/10 Desa/Kelurahan Raharja Kecamatan Tanjungsari Sumedang Jawa Barat 45362</v>
      </c>
    </row>
    <row r="59" spans="1:91" ht="24.95" customHeight="1">
      <c r="A59" s="58">
        <f>SUBTOTAL(3,N$8:Table2[[#This Row],[Nama lengkap]])</f>
        <v>52</v>
      </c>
      <c r="B59" s="58" t="s">
        <v>86</v>
      </c>
      <c r="C59" s="58">
        <v>2024</v>
      </c>
      <c r="D59" s="58"/>
      <c r="E59" s="58">
        <v>1</v>
      </c>
      <c r="F59" s="58" t="s">
        <v>582</v>
      </c>
      <c r="G59" s="32" t="s">
        <v>2513</v>
      </c>
      <c r="H59" s="32" t="s">
        <v>2513</v>
      </c>
      <c r="I59" s="32" t="s">
        <v>2513</v>
      </c>
      <c r="J59" s="32"/>
      <c r="K59" s="32"/>
      <c r="L59" s="32"/>
      <c r="M59" s="58">
        <v>24250024</v>
      </c>
      <c r="N59" s="40" t="s">
        <v>8754</v>
      </c>
      <c r="O59" s="40"/>
      <c r="P59" s="32" t="s">
        <v>868</v>
      </c>
      <c r="Q59" s="32" t="s">
        <v>869</v>
      </c>
      <c r="R59" s="67" t="s">
        <v>122</v>
      </c>
      <c r="S59" s="69">
        <v>40780</v>
      </c>
      <c r="T59" s="47" t="s">
        <v>92</v>
      </c>
      <c r="U59" s="58">
        <v>3</v>
      </c>
      <c r="V59" s="58">
        <v>3</v>
      </c>
      <c r="W59" s="47" t="s">
        <v>207</v>
      </c>
      <c r="X59" s="64" t="s">
        <v>93</v>
      </c>
      <c r="Y59" s="64" t="s">
        <v>94</v>
      </c>
      <c r="Z59" s="64" t="s">
        <v>270</v>
      </c>
      <c r="AA59" s="64" t="s">
        <v>96</v>
      </c>
      <c r="AB59" s="64" t="s">
        <v>870</v>
      </c>
      <c r="AC59" s="64" t="s">
        <v>98</v>
      </c>
      <c r="AD59" s="64" t="s">
        <v>98</v>
      </c>
      <c r="AE59" s="67" t="s">
        <v>871</v>
      </c>
      <c r="AF59" s="67" t="s">
        <v>872</v>
      </c>
      <c r="AG59" s="64" t="s">
        <v>873</v>
      </c>
      <c r="AH59" s="64" t="s">
        <v>532</v>
      </c>
      <c r="AI59" s="64" t="s">
        <v>122</v>
      </c>
      <c r="AJ59" s="69">
        <v>24837</v>
      </c>
      <c r="AK59" s="67" t="s">
        <v>874</v>
      </c>
      <c r="AL59" s="67"/>
      <c r="AM59" s="64" t="s">
        <v>171</v>
      </c>
      <c r="AN59" s="67">
        <v>0</v>
      </c>
      <c r="AO59" s="67" t="s">
        <v>98</v>
      </c>
      <c r="AP59" s="64" t="s">
        <v>875</v>
      </c>
      <c r="AQ59" s="32" t="s">
        <v>439</v>
      </c>
      <c r="AR59" s="67" t="s">
        <v>875</v>
      </c>
      <c r="AS59" s="64" t="s">
        <v>875</v>
      </c>
      <c r="AT59" s="64" t="s">
        <v>875</v>
      </c>
      <c r="AU59" s="64" t="s">
        <v>875</v>
      </c>
      <c r="AV59" s="64" t="s">
        <v>876</v>
      </c>
      <c r="AW59" s="64" t="s">
        <v>877</v>
      </c>
      <c r="AX59" s="64" t="s">
        <v>101</v>
      </c>
      <c r="AY59" s="64" t="s">
        <v>122</v>
      </c>
      <c r="AZ59" s="125">
        <v>30565</v>
      </c>
      <c r="BA59" s="67" t="s">
        <v>878</v>
      </c>
      <c r="BB59" s="67" t="s">
        <v>180</v>
      </c>
      <c r="BC59" s="64" t="s">
        <v>149</v>
      </c>
      <c r="BD59" s="67" t="s">
        <v>308</v>
      </c>
      <c r="BE59" s="67" t="s">
        <v>548</v>
      </c>
      <c r="BF59" s="67"/>
      <c r="BG59" s="64" t="s">
        <v>879</v>
      </c>
      <c r="BH59" s="67" t="s">
        <v>880</v>
      </c>
      <c r="BI59" s="67" t="s">
        <v>881</v>
      </c>
      <c r="BJ59" s="40" t="s">
        <v>882</v>
      </c>
      <c r="BK59" s="64" t="s">
        <v>122</v>
      </c>
      <c r="BL59" s="64" t="s">
        <v>111</v>
      </c>
      <c r="BM59" s="64">
        <v>45362</v>
      </c>
      <c r="BN59" s="64" t="s">
        <v>883</v>
      </c>
      <c r="BO59" s="64" t="s">
        <v>872</v>
      </c>
      <c r="BP59" s="64" t="s">
        <v>122</v>
      </c>
      <c r="BQ59" s="135">
        <v>27685</v>
      </c>
      <c r="BR59" s="67" t="s">
        <v>884</v>
      </c>
      <c r="BS59" s="67" t="s">
        <v>574</v>
      </c>
      <c r="BT59" s="64" t="s">
        <v>196</v>
      </c>
      <c r="BU59" s="67">
        <v>81284278288</v>
      </c>
      <c r="BV59" s="67"/>
      <c r="BW59" s="64" t="s">
        <v>879</v>
      </c>
      <c r="BX59" s="67" t="s">
        <v>880</v>
      </c>
      <c r="BY59" s="67" t="s">
        <v>881</v>
      </c>
      <c r="BZ59" s="64" t="s">
        <v>882</v>
      </c>
      <c r="CA59" s="64" t="s">
        <v>122</v>
      </c>
      <c r="CB59" s="64" t="s">
        <v>111</v>
      </c>
      <c r="CC59" s="64">
        <v>45362</v>
      </c>
      <c r="CD59" s="64"/>
      <c r="CE59" s="64" t="s">
        <v>879</v>
      </c>
      <c r="CF59" s="67" t="s">
        <v>880</v>
      </c>
      <c r="CG59" s="67" t="s">
        <v>881</v>
      </c>
      <c r="CH59" s="40" t="s">
        <v>882</v>
      </c>
      <c r="CI59" s="64" t="s">
        <v>122</v>
      </c>
      <c r="CJ59" s="64" t="s">
        <v>111</v>
      </c>
      <c r="CK59" s="58">
        <v>45362</v>
      </c>
      <c r="CL59" s="64" t="str">
        <f t="shared" ca="1" si="0"/>
        <v>14 Tahun 4 Bulan 29 Hari</v>
      </c>
      <c r="CM5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Dsn. Rengganis RT/RW 01/02 Desa/Kelurahan Haurngombong Kecamatan Pamulihan Sumedang Jawa Barat 45362</v>
      </c>
    </row>
    <row r="60" spans="1:91" ht="24.95" customHeight="1">
      <c r="A60" s="58">
        <f>SUBTOTAL(3,N$8:Table2[[#This Row],[Nama lengkap]])</f>
        <v>53</v>
      </c>
      <c r="B60" s="58" t="s">
        <v>86</v>
      </c>
      <c r="C60" s="58">
        <v>2024</v>
      </c>
      <c r="D60" s="58"/>
      <c r="E60" s="58">
        <v>1</v>
      </c>
      <c r="F60" s="58" t="s">
        <v>582</v>
      </c>
      <c r="G60" s="32" t="s">
        <v>2513</v>
      </c>
      <c r="H60" s="32" t="s">
        <v>2513</v>
      </c>
      <c r="I60" s="32" t="s">
        <v>2513</v>
      </c>
      <c r="J60" s="32"/>
      <c r="K60" s="32"/>
      <c r="L60" s="32"/>
      <c r="M60" s="58">
        <v>24250122</v>
      </c>
      <c r="N60" s="40" t="s">
        <v>5851</v>
      </c>
      <c r="O60" s="40"/>
      <c r="P60" s="32">
        <v>3115303453</v>
      </c>
      <c r="Q60" s="32" t="s">
        <v>885</v>
      </c>
      <c r="R60" s="67" t="s">
        <v>90</v>
      </c>
      <c r="S60" s="69">
        <v>40797</v>
      </c>
      <c r="T60" s="47" t="s">
        <v>92</v>
      </c>
      <c r="U60" s="58">
        <v>2</v>
      </c>
      <c r="V60" s="58">
        <v>3</v>
      </c>
      <c r="W60" s="47" t="s">
        <v>207</v>
      </c>
      <c r="X60" s="64" t="s">
        <v>142</v>
      </c>
      <c r="Y60" s="64" t="s">
        <v>143</v>
      </c>
      <c r="Z60" s="64" t="s">
        <v>321</v>
      </c>
      <c r="AA60" s="64" t="s">
        <v>96</v>
      </c>
      <c r="AB60" s="64" t="s">
        <v>97</v>
      </c>
      <c r="AC60" s="64" t="s">
        <v>98</v>
      </c>
      <c r="AD60" s="64" t="s">
        <v>98</v>
      </c>
      <c r="AE60" s="67" t="s">
        <v>886</v>
      </c>
      <c r="AF60" s="67" t="s">
        <v>8313</v>
      </c>
      <c r="AG60" s="64" t="s">
        <v>8313</v>
      </c>
      <c r="AH60" s="64" t="s">
        <v>101</v>
      </c>
      <c r="AI60" s="64" t="s">
        <v>236</v>
      </c>
      <c r="AJ60" s="69">
        <v>30469</v>
      </c>
      <c r="AK60" s="67" t="s">
        <v>888</v>
      </c>
      <c r="AL60" s="67" t="s">
        <v>114</v>
      </c>
      <c r="AM60" s="64" t="s">
        <v>149</v>
      </c>
      <c r="AN60" s="67">
        <v>81903332584</v>
      </c>
      <c r="AO60" s="67" t="s">
        <v>130</v>
      </c>
      <c r="AP60" s="64" t="s">
        <v>889</v>
      </c>
      <c r="AQ60" s="32" t="s">
        <v>890</v>
      </c>
      <c r="AR60" s="67" t="s">
        <v>891</v>
      </c>
      <c r="AS60" s="64" t="s">
        <v>892</v>
      </c>
      <c r="AT60" s="64" t="s">
        <v>90</v>
      </c>
      <c r="AU60" s="64" t="s">
        <v>318</v>
      </c>
      <c r="AV60" s="64">
        <v>40376</v>
      </c>
      <c r="AW60" s="64" t="s">
        <v>7834</v>
      </c>
      <c r="AX60" s="64" t="s">
        <v>101</v>
      </c>
      <c r="AY60" s="64" t="s">
        <v>90</v>
      </c>
      <c r="AZ60" s="125">
        <v>33275</v>
      </c>
      <c r="BA60" s="67" t="s">
        <v>893</v>
      </c>
      <c r="BB60" s="67" t="s">
        <v>428</v>
      </c>
      <c r="BC60" s="64" t="s">
        <v>159</v>
      </c>
      <c r="BD60" s="67" t="s">
        <v>894</v>
      </c>
      <c r="BE60" s="67" t="s">
        <v>315</v>
      </c>
      <c r="BF60" s="67"/>
      <c r="BG60" s="64" t="s">
        <v>889</v>
      </c>
      <c r="BH60" s="67" t="s">
        <v>890</v>
      </c>
      <c r="BI60" s="67" t="s">
        <v>891</v>
      </c>
      <c r="BJ60" s="40" t="s">
        <v>892</v>
      </c>
      <c r="BK60" s="64" t="s">
        <v>90</v>
      </c>
      <c r="BL60" s="64" t="s">
        <v>318</v>
      </c>
      <c r="BM60" s="64">
        <v>40376</v>
      </c>
      <c r="BN60" s="64" t="s">
        <v>161</v>
      </c>
      <c r="BO60" s="64" t="s">
        <v>887</v>
      </c>
      <c r="BP60" s="64" t="s">
        <v>90</v>
      </c>
      <c r="BQ60" s="135">
        <v>30469</v>
      </c>
      <c r="BR60" s="67">
        <v>3204140206830000</v>
      </c>
      <c r="BS60" s="67" t="s">
        <v>114</v>
      </c>
      <c r="BT60" s="64" t="s">
        <v>149</v>
      </c>
      <c r="BU60" s="67">
        <v>81903332584</v>
      </c>
      <c r="BV60" s="67" t="s">
        <v>130</v>
      </c>
      <c r="BW60" s="64" t="s">
        <v>889</v>
      </c>
      <c r="BX60" s="67">
        <v>45292</v>
      </c>
      <c r="BY60" s="67" t="s">
        <v>891</v>
      </c>
      <c r="BZ60" s="64" t="s">
        <v>892</v>
      </c>
      <c r="CA60" s="64" t="s">
        <v>90</v>
      </c>
      <c r="CB60" s="64" t="s">
        <v>318</v>
      </c>
      <c r="CC60" s="64">
        <v>40376</v>
      </c>
      <c r="CD60" s="64" t="s">
        <v>164</v>
      </c>
      <c r="CE60" s="64" t="s">
        <v>7372</v>
      </c>
      <c r="CF60" s="67" t="s">
        <v>890</v>
      </c>
      <c r="CG60" s="64" t="s">
        <v>7036</v>
      </c>
      <c r="CH60" s="64" t="s">
        <v>892</v>
      </c>
      <c r="CI60" s="64" t="s">
        <v>90</v>
      </c>
      <c r="CJ60" s="64" t="s">
        <v>111</v>
      </c>
      <c r="CK60" s="58">
        <v>40376</v>
      </c>
      <c r="CL60" s="64" t="str">
        <f t="shared" ca="1" si="0"/>
        <v>14 Tahun 4 Bulan 12 Hari</v>
      </c>
      <c r="CM6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Tambakan RT/RW 002/001 Desa/Kelurahan Bojong Kunci Kecamatan Pameungpeuk Bandung Jawa Barat 40376</v>
      </c>
    </row>
    <row r="61" spans="1:91" ht="24.95" customHeight="1">
      <c r="A61" s="58">
        <f>SUBTOTAL(3,N$8:Table2[[#This Row],[Nama lengkap]])</f>
        <v>54</v>
      </c>
      <c r="B61" s="58" t="s">
        <v>86</v>
      </c>
      <c r="C61" s="58">
        <v>2024</v>
      </c>
      <c r="D61" s="58"/>
      <c r="E61" s="58">
        <v>1</v>
      </c>
      <c r="F61" s="58" t="s">
        <v>582</v>
      </c>
      <c r="G61" s="32" t="s">
        <v>2513</v>
      </c>
      <c r="H61" s="32" t="s">
        <v>2513</v>
      </c>
      <c r="I61" s="32" t="s">
        <v>2513</v>
      </c>
      <c r="J61" s="32"/>
      <c r="K61" s="32"/>
      <c r="L61" s="32"/>
      <c r="M61" s="58">
        <v>24250156</v>
      </c>
      <c r="N61" s="40" t="s">
        <v>5852</v>
      </c>
      <c r="O61" s="40"/>
      <c r="P61" s="32" t="s">
        <v>895</v>
      </c>
      <c r="Q61" s="32" t="s">
        <v>896</v>
      </c>
      <c r="R61" s="67" t="s">
        <v>90</v>
      </c>
      <c r="S61" s="69" t="s">
        <v>897</v>
      </c>
      <c r="T61" s="47" t="s">
        <v>92</v>
      </c>
      <c r="U61" s="58">
        <v>2</v>
      </c>
      <c r="V61" s="58">
        <v>3</v>
      </c>
      <c r="W61" s="47" t="s">
        <v>207</v>
      </c>
      <c r="X61" s="64" t="s">
        <v>123</v>
      </c>
      <c r="Y61" s="64" t="s">
        <v>94</v>
      </c>
      <c r="Z61" s="64" t="s">
        <v>95</v>
      </c>
      <c r="AA61" s="64" t="s">
        <v>96</v>
      </c>
      <c r="AB61" s="64" t="s">
        <v>97</v>
      </c>
      <c r="AC61" s="64" t="s">
        <v>98</v>
      </c>
      <c r="AD61" s="64" t="s">
        <v>98</v>
      </c>
      <c r="AE61" s="67" t="s">
        <v>898</v>
      </c>
      <c r="AF61" s="67" t="s">
        <v>8314</v>
      </c>
      <c r="AG61" s="64" t="s">
        <v>8314</v>
      </c>
      <c r="AH61" s="64" t="s">
        <v>101</v>
      </c>
      <c r="AI61" s="64" t="s">
        <v>90</v>
      </c>
      <c r="AJ61" s="69">
        <v>28090</v>
      </c>
      <c r="AK61" s="67" t="s">
        <v>900</v>
      </c>
      <c r="AL61" s="67" t="s">
        <v>114</v>
      </c>
      <c r="AM61" s="64" t="s">
        <v>149</v>
      </c>
      <c r="AN61" s="67">
        <v>85795265515</v>
      </c>
      <c r="AO61" s="67" t="s">
        <v>130</v>
      </c>
      <c r="AP61" s="64" t="s">
        <v>901</v>
      </c>
      <c r="AQ61" s="32" t="s">
        <v>152</v>
      </c>
      <c r="AR61" s="67" t="s">
        <v>522</v>
      </c>
      <c r="AS61" s="64" t="s">
        <v>902</v>
      </c>
      <c r="AT61" s="64" t="s">
        <v>90</v>
      </c>
      <c r="AU61" s="64" t="s">
        <v>111</v>
      </c>
      <c r="AV61" s="64">
        <v>40615</v>
      </c>
      <c r="AW61" s="64" t="s">
        <v>7835</v>
      </c>
      <c r="AX61" s="64" t="s">
        <v>101</v>
      </c>
      <c r="AY61" s="64" t="s">
        <v>90</v>
      </c>
      <c r="AZ61" s="125">
        <v>31393</v>
      </c>
      <c r="BA61" s="67" t="s">
        <v>903</v>
      </c>
      <c r="BB61" s="67" t="s">
        <v>684</v>
      </c>
      <c r="BC61" s="64" t="s">
        <v>149</v>
      </c>
      <c r="BD61" s="67">
        <v>85795265515</v>
      </c>
      <c r="BE61" s="67" t="s">
        <v>98</v>
      </c>
      <c r="BF61" s="67"/>
      <c r="BG61" s="64" t="s">
        <v>901</v>
      </c>
      <c r="BH61" s="67" t="s">
        <v>152</v>
      </c>
      <c r="BI61" s="67" t="s">
        <v>522</v>
      </c>
      <c r="BJ61" s="40" t="s">
        <v>902</v>
      </c>
      <c r="BK61" s="64" t="s">
        <v>90</v>
      </c>
      <c r="BL61" s="64" t="s">
        <v>111</v>
      </c>
      <c r="BM61" s="64">
        <v>40615</v>
      </c>
      <c r="BN61" s="64" t="s">
        <v>161</v>
      </c>
      <c r="BO61" s="64" t="s">
        <v>899</v>
      </c>
      <c r="BP61" s="64" t="s">
        <v>90</v>
      </c>
      <c r="BQ61" s="135">
        <v>28090</v>
      </c>
      <c r="BR61" s="67">
        <v>3273252611760000</v>
      </c>
      <c r="BS61" s="67" t="s">
        <v>307</v>
      </c>
      <c r="BT61" s="64" t="s">
        <v>149</v>
      </c>
      <c r="BU61" s="67">
        <v>85795265515</v>
      </c>
      <c r="BV61" s="67" t="s">
        <v>130</v>
      </c>
      <c r="BW61" s="64" t="s">
        <v>904</v>
      </c>
      <c r="BX61" s="67">
        <v>45353</v>
      </c>
      <c r="BY61" s="67" t="s">
        <v>522</v>
      </c>
      <c r="BZ61" s="64" t="s">
        <v>902</v>
      </c>
      <c r="CA61" s="64" t="s">
        <v>90</v>
      </c>
      <c r="CB61" s="64" t="s">
        <v>111</v>
      </c>
      <c r="CC61" s="64">
        <v>40615</v>
      </c>
      <c r="CD61" s="64" t="s">
        <v>185</v>
      </c>
      <c r="CE61" s="64" t="s">
        <v>901</v>
      </c>
      <c r="CF61" s="67" t="s">
        <v>152</v>
      </c>
      <c r="CG61" s="64" t="s">
        <v>522</v>
      </c>
      <c r="CH61" s="64" t="s">
        <v>902</v>
      </c>
      <c r="CI61" s="64" t="s">
        <v>90</v>
      </c>
      <c r="CJ61" s="64" t="s">
        <v>111</v>
      </c>
      <c r="CK61" s="58">
        <v>40615</v>
      </c>
      <c r="CL61" s="64" t="str">
        <f t="shared" ca="1" si="0"/>
        <v>14 Tahun 3 Bulan 14 Hari</v>
      </c>
      <c r="CM6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Jln. Cilenkrang 1, No.13 RT/RW 02/03 Desa/Kelurahan Cisurupan Kecamatan Cibiru Bandung Jawa Barat 40615</v>
      </c>
    </row>
    <row r="62" spans="1:91" ht="24.95" customHeight="1">
      <c r="A62" s="58">
        <f>SUBTOTAL(3,N$8:Table2[[#This Row],[Nama lengkap]])</f>
        <v>55</v>
      </c>
      <c r="B62" s="58" t="s">
        <v>86</v>
      </c>
      <c r="C62" s="58">
        <v>2024</v>
      </c>
      <c r="D62" s="58"/>
      <c r="E62" s="58">
        <v>1</v>
      </c>
      <c r="F62" s="58" t="s">
        <v>582</v>
      </c>
      <c r="G62" s="165" t="s">
        <v>9961</v>
      </c>
      <c r="H62" s="32"/>
      <c r="I62" s="32"/>
      <c r="J62" s="32"/>
      <c r="K62" s="32"/>
      <c r="L62" s="32"/>
      <c r="M62" s="58">
        <v>24250008</v>
      </c>
      <c r="N62" s="40" t="s">
        <v>8755</v>
      </c>
      <c r="O62" s="40"/>
      <c r="P62" s="32" t="s">
        <v>905</v>
      </c>
      <c r="Q62" s="32" t="s">
        <v>906</v>
      </c>
      <c r="R62" s="67" t="s">
        <v>122</v>
      </c>
      <c r="S62" s="69">
        <v>39948</v>
      </c>
      <c r="T62" s="47" t="s">
        <v>92</v>
      </c>
      <c r="U62" s="58">
        <v>1</v>
      </c>
      <c r="V62" s="58">
        <v>1</v>
      </c>
      <c r="W62" s="47" t="s">
        <v>207</v>
      </c>
      <c r="X62" s="64" t="s">
        <v>432</v>
      </c>
      <c r="Y62" s="64" t="s">
        <v>124</v>
      </c>
      <c r="Z62" s="64" t="s">
        <v>270</v>
      </c>
      <c r="AA62" s="64" t="s">
        <v>96</v>
      </c>
      <c r="AB62" s="64" t="s">
        <v>870</v>
      </c>
      <c r="AC62" s="64" t="s">
        <v>98</v>
      </c>
      <c r="AD62" s="64" t="s">
        <v>98</v>
      </c>
      <c r="AE62" s="67" t="s">
        <v>907</v>
      </c>
      <c r="AF62" s="67" t="s">
        <v>908</v>
      </c>
      <c r="AG62" s="64" t="s">
        <v>909</v>
      </c>
      <c r="AH62" s="64" t="s">
        <v>532</v>
      </c>
      <c r="AI62" s="64" t="s">
        <v>122</v>
      </c>
      <c r="AJ62" s="69">
        <v>28417</v>
      </c>
      <c r="AK62" s="67" t="s">
        <v>874</v>
      </c>
      <c r="AL62" s="67"/>
      <c r="AM62" s="64" t="s">
        <v>149</v>
      </c>
      <c r="AN62" s="67">
        <v>0</v>
      </c>
      <c r="AO62" s="67" t="s">
        <v>98</v>
      </c>
      <c r="AP62" s="64" t="s">
        <v>910</v>
      </c>
      <c r="AQ62" s="32" t="s">
        <v>911</v>
      </c>
      <c r="AR62" s="67" t="s">
        <v>910</v>
      </c>
      <c r="AS62" s="64" t="s">
        <v>910</v>
      </c>
      <c r="AT62" s="64" t="s">
        <v>910</v>
      </c>
      <c r="AU62" s="64" t="s">
        <v>910</v>
      </c>
      <c r="AV62" s="64" t="s">
        <v>912</v>
      </c>
      <c r="AW62" s="64" t="s">
        <v>908</v>
      </c>
      <c r="AX62" s="64" t="s">
        <v>101</v>
      </c>
      <c r="AY62" s="64" t="s">
        <v>122</v>
      </c>
      <c r="AZ62" s="125">
        <v>31033</v>
      </c>
      <c r="BA62" s="67" t="s">
        <v>913</v>
      </c>
      <c r="BB62" s="67" t="s">
        <v>914</v>
      </c>
      <c r="BC62" s="64" t="s">
        <v>149</v>
      </c>
      <c r="BD62" s="67">
        <v>81312466013</v>
      </c>
      <c r="BE62" s="67" t="s">
        <v>315</v>
      </c>
      <c r="BF62" s="67"/>
      <c r="BG62" s="64" t="s">
        <v>915</v>
      </c>
      <c r="BH62" s="67" t="s">
        <v>916</v>
      </c>
      <c r="BI62" s="67" t="s">
        <v>917</v>
      </c>
      <c r="BJ62" s="40" t="s">
        <v>134</v>
      </c>
      <c r="BK62" s="64" t="s">
        <v>122</v>
      </c>
      <c r="BL62" s="64" t="s">
        <v>111</v>
      </c>
      <c r="BM62" s="64">
        <v>45322</v>
      </c>
      <c r="BN62" s="64" t="s">
        <v>448</v>
      </c>
      <c r="BO62" s="64" t="s">
        <v>908</v>
      </c>
      <c r="BP62" s="64"/>
      <c r="BQ62" s="135"/>
      <c r="BR62" s="67"/>
      <c r="BS62" s="67"/>
      <c r="BT62" s="64"/>
      <c r="BU62" s="67">
        <v>81312466013</v>
      </c>
      <c r="BV62" s="67"/>
      <c r="BW62" s="64"/>
      <c r="BX62" s="67"/>
      <c r="BY62" s="67"/>
      <c r="BZ62" s="64"/>
      <c r="CA62" s="64"/>
      <c r="CB62" s="64"/>
      <c r="CC62" s="64"/>
      <c r="CD62" s="64"/>
      <c r="CE62" s="64" t="s">
        <v>7373</v>
      </c>
      <c r="CF62" s="67" t="s">
        <v>916</v>
      </c>
      <c r="CG62" s="67" t="s">
        <v>917</v>
      </c>
      <c r="CH62" s="40" t="s">
        <v>134</v>
      </c>
      <c r="CI62" s="64" t="s">
        <v>122</v>
      </c>
      <c r="CJ62" s="64" t="s">
        <v>111</v>
      </c>
      <c r="CK62" s="58">
        <v>45322</v>
      </c>
      <c r="CL62" s="64" t="str">
        <f t="shared" ca="1" si="0"/>
        <v>16 Tahun 8 Bulan 8 Hari</v>
      </c>
      <c r="CM6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Gang Mesjid RT/RW 02/07 Desa/Kelurahan Kota Kaler Kecamatan Sumedang Utara Sumedang Jawa Barat 45322</v>
      </c>
    </row>
    <row r="63" spans="1:91" ht="24.95" customHeight="1">
      <c r="A63" s="58">
        <f>SUBTOTAL(3,N$8:Table2[[#This Row],[Nama lengkap]])</f>
        <v>56</v>
      </c>
      <c r="B63" s="58" t="s">
        <v>86</v>
      </c>
      <c r="C63" s="58">
        <v>2024</v>
      </c>
      <c r="D63" s="58"/>
      <c r="E63" s="58">
        <v>1</v>
      </c>
      <c r="F63" s="58" t="s">
        <v>582</v>
      </c>
      <c r="G63" s="32" t="s">
        <v>2513</v>
      </c>
      <c r="H63" s="32" t="s">
        <v>2513</v>
      </c>
      <c r="I63" s="32" t="s">
        <v>2513</v>
      </c>
      <c r="J63" s="32"/>
      <c r="K63" s="32"/>
      <c r="L63" s="32"/>
      <c r="M63" s="58">
        <v>24250123</v>
      </c>
      <c r="N63" s="40" t="s">
        <v>5854</v>
      </c>
      <c r="O63" s="40"/>
      <c r="P63" s="32" t="s">
        <v>918</v>
      </c>
      <c r="Q63" s="32" t="s">
        <v>919</v>
      </c>
      <c r="R63" s="67" t="s">
        <v>122</v>
      </c>
      <c r="S63" s="69">
        <v>40966</v>
      </c>
      <c r="T63" s="47" t="s">
        <v>92</v>
      </c>
      <c r="U63" s="58">
        <v>1</v>
      </c>
      <c r="V63" s="58">
        <v>1</v>
      </c>
      <c r="W63" s="47" t="s">
        <v>207</v>
      </c>
      <c r="X63" s="64" t="s">
        <v>303</v>
      </c>
      <c r="Y63" s="64" t="s">
        <v>94</v>
      </c>
      <c r="Z63" s="64" t="s">
        <v>920</v>
      </c>
      <c r="AA63" s="64" t="s">
        <v>96</v>
      </c>
      <c r="AB63" s="64" t="s">
        <v>97</v>
      </c>
      <c r="AC63" s="64" t="s">
        <v>98</v>
      </c>
      <c r="AD63" s="64" t="s">
        <v>98</v>
      </c>
      <c r="AE63" s="67" t="s">
        <v>921</v>
      </c>
      <c r="AF63" s="67" t="s">
        <v>8315</v>
      </c>
      <c r="AG63" s="64" t="s">
        <v>8315</v>
      </c>
      <c r="AH63" s="64" t="s">
        <v>101</v>
      </c>
      <c r="AI63" s="64" t="s">
        <v>122</v>
      </c>
      <c r="AJ63" s="69">
        <v>31598</v>
      </c>
      <c r="AK63" s="67" t="s">
        <v>923</v>
      </c>
      <c r="AL63" s="67" t="s">
        <v>914</v>
      </c>
      <c r="AM63" s="64" t="s">
        <v>149</v>
      </c>
      <c r="AN63" s="67">
        <v>81220505958</v>
      </c>
      <c r="AO63" s="67" t="s">
        <v>266</v>
      </c>
      <c r="AP63" s="64" t="s">
        <v>924</v>
      </c>
      <c r="AQ63" s="32" t="s">
        <v>925</v>
      </c>
      <c r="AR63" s="67" t="s">
        <v>926</v>
      </c>
      <c r="AS63" s="64" t="s">
        <v>927</v>
      </c>
      <c r="AT63" s="64" t="s">
        <v>122</v>
      </c>
      <c r="AU63" s="64" t="s">
        <v>318</v>
      </c>
      <c r="AV63" s="64">
        <v>45363</v>
      </c>
      <c r="AW63" s="64" t="s">
        <v>928</v>
      </c>
      <c r="AX63" s="64" t="s">
        <v>101</v>
      </c>
      <c r="AY63" s="64" t="s">
        <v>122</v>
      </c>
      <c r="AZ63" s="125">
        <v>32646</v>
      </c>
      <c r="BA63" s="67" t="s">
        <v>929</v>
      </c>
      <c r="BB63" s="67" t="s">
        <v>428</v>
      </c>
      <c r="BC63" s="64" t="s">
        <v>149</v>
      </c>
      <c r="BD63" s="67">
        <v>895327861112</v>
      </c>
      <c r="BE63" s="67" t="s">
        <v>98</v>
      </c>
      <c r="BF63" s="67"/>
      <c r="BG63" s="64" t="s">
        <v>924</v>
      </c>
      <c r="BH63" s="67" t="s">
        <v>925</v>
      </c>
      <c r="BI63" s="67" t="s">
        <v>926</v>
      </c>
      <c r="BJ63" s="40" t="s">
        <v>927</v>
      </c>
      <c r="BK63" s="64" t="s">
        <v>122</v>
      </c>
      <c r="BL63" s="64" t="s">
        <v>318</v>
      </c>
      <c r="BM63" s="64">
        <v>45363</v>
      </c>
      <c r="BN63" s="64" t="s">
        <v>161</v>
      </c>
      <c r="BO63" s="64" t="s">
        <v>922</v>
      </c>
      <c r="BP63" s="64" t="s">
        <v>122</v>
      </c>
      <c r="BQ63" s="135">
        <v>31598</v>
      </c>
      <c r="BR63" s="67">
        <v>3211111904110000</v>
      </c>
      <c r="BS63" s="67" t="s">
        <v>914</v>
      </c>
      <c r="BT63" s="64" t="s">
        <v>149</v>
      </c>
      <c r="BU63" s="67">
        <v>81220505958</v>
      </c>
      <c r="BV63" s="67" t="s">
        <v>266</v>
      </c>
      <c r="BW63" s="64" t="s">
        <v>930</v>
      </c>
      <c r="BX63" s="67">
        <v>45567</v>
      </c>
      <c r="BY63" s="67" t="s">
        <v>931</v>
      </c>
      <c r="BZ63" s="64" t="s">
        <v>561</v>
      </c>
      <c r="CA63" s="64" t="s">
        <v>122</v>
      </c>
      <c r="CB63" s="64" t="s">
        <v>318</v>
      </c>
      <c r="CC63" s="64">
        <v>45363</v>
      </c>
      <c r="CD63" s="64" t="s">
        <v>185</v>
      </c>
      <c r="CE63" s="64" t="s">
        <v>924</v>
      </c>
      <c r="CF63" s="67" t="s">
        <v>925</v>
      </c>
      <c r="CG63" s="64" t="s">
        <v>7037</v>
      </c>
      <c r="CH63" s="64" t="s">
        <v>7038</v>
      </c>
      <c r="CI63" s="64" t="s">
        <v>122</v>
      </c>
      <c r="CJ63" s="64" t="s">
        <v>111</v>
      </c>
      <c r="CK63" s="58">
        <v>45363</v>
      </c>
      <c r="CL63" s="64" t="str">
        <f t="shared" ca="1" si="0"/>
        <v>13 Tahun 10 Bulan 27 Hari</v>
      </c>
      <c r="CM6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Dsn. Cijanggel RT/RW 03/01 Desa/Kelurahan Cinanjung Kecamatan Tanjungsari  Sumedang Jawa Barat 45363</v>
      </c>
    </row>
    <row r="64" spans="1:91" ht="24.95" customHeight="1">
      <c r="A64" s="58">
        <f>SUBTOTAL(3,N$8:Table2[[#This Row],[Nama lengkap]])</f>
        <v>57</v>
      </c>
      <c r="B64" s="58" t="s">
        <v>86</v>
      </c>
      <c r="C64" s="58">
        <v>2024</v>
      </c>
      <c r="D64" s="58"/>
      <c r="E64" s="58">
        <v>1</v>
      </c>
      <c r="F64" s="58" t="s">
        <v>582</v>
      </c>
      <c r="G64" s="32" t="s">
        <v>2513</v>
      </c>
      <c r="H64" s="32" t="s">
        <v>2513</v>
      </c>
      <c r="I64" s="32" t="s">
        <v>2513</v>
      </c>
      <c r="J64" s="32"/>
      <c r="K64" s="32"/>
      <c r="L64" s="32"/>
      <c r="M64" s="58">
        <v>24250106</v>
      </c>
      <c r="N64" s="40" t="s">
        <v>5855</v>
      </c>
      <c r="O64" s="40"/>
      <c r="P64" s="32" t="s">
        <v>932</v>
      </c>
      <c r="Q64" s="32" t="s">
        <v>933</v>
      </c>
      <c r="R64" s="67" t="s">
        <v>942</v>
      </c>
      <c r="S64" s="69">
        <v>41010</v>
      </c>
      <c r="T64" s="47" t="s">
        <v>92</v>
      </c>
      <c r="U64" s="58">
        <v>2</v>
      </c>
      <c r="V64" s="58">
        <v>1</v>
      </c>
      <c r="W64" s="47" t="s">
        <v>207</v>
      </c>
      <c r="X64" s="64" t="s">
        <v>432</v>
      </c>
      <c r="Y64" s="64" t="s">
        <v>94</v>
      </c>
      <c r="Z64" s="64" t="s">
        <v>270</v>
      </c>
      <c r="AA64" s="64" t="s">
        <v>96</v>
      </c>
      <c r="AB64" s="64" t="s">
        <v>97</v>
      </c>
      <c r="AC64" s="64" t="s">
        <v>98</v>
      </c>
      <c r="AD64" s="64" t="s">
        <v>98</v>
      </c>
      <c r="AE64" s="67" t="s">
        <v>935</v>
      </c>
      <c r="AF64" s="67" t="s">
        <v>8316</v>
      </c>
      <c r="AG64" s="64" t="s">
        <v>8316</v>
      </c>
      <c r="AH64" s="64" t="s">
        <v>101</v>
      </c>
      <c r="AI64" s="64" t="s">
        <v>236</v>
      </c>
      <c r="AJ64" s="69">
        <v>30051</v>
      </c>
      <c r="AK64" s="67" t="s">
        <v>937</v>
      </c>
      <c r="AL64" s="67" t="s">
        <v>914</v>
      </c>
      <c r="AM64" s="64" t="s">
        <v>96</v>
      </c>
      <c r="AN64" s="67">
        <v>8979583729</v>
      </c>
      <c r="AO64" s="67" t="s">
        <v>130</v>
      </c>
      <c r="AP64" s="64" t="s">
        <v>938</v>
      </c>
      <c r="AQ64" s="32" t="s">
        <v>939</v>
      </c>
      <c r="AR64" s="67" t="s">
        <v>940</v>
      </c>
      <c r="AS64" s="64" t="s">
        <v>941</v>
      </c>
      <c r="AT64" s="64" t="s">
        <v>942</v>
      </c>
      <c r="AU64" s="64" t="s">
        <v>318</v>
      </c>
      <c r="AV64" s="64">
        <v>41373</v>
      </c>
      <c r="AW64" s="64" t="s">
        <v>7836</v>
      </c>
      <c r="AX64" s="64" t="s">
        <v>101</v>
      </c>
      <c r="AY64" s="64" t="s">
        <v>236</v>
      </c>
      <c r="AZ64" s="125">
        <v>30678</v>
      </c>
      <c r="BA64" s="67" t="s">
        <v>943</v>
      </c>
      <c r="BB64" s="67" t="s">
        <v>428</v>
      </c>
      <c r="BC64" s="64" t="s">
        <v>96</v>
      </c>
      <c r="BD64" s="67"/>
      <c r="BE64" s="67" t="s">
        <v>266</v>
      </c>
      <c r="BF64" s="67"/>
      <c r="BG64" s="64" t="s">
        <v>938</v>
      </c>
      <c r="BH64" s="67" t="s">
        <v>939</v>
      </c>
      <c r="BI64" s="67" t="s">
        <v>940</v>
      </c>
      <c r="BJ64" s="40" t="s">
        <v>941</v>
      </c>
      <c r="BK64" s="64" t="s">
        <v>942</v>
      </c>
      <c r="BL64" s="64" t="s">
        <v>318</v>
      </c>
      <c r="BM64" s="64">
        <v>41373</v>
      </c>
      <c r="BN64" s="64" t="s">
        <v>944</v>
      </c>
      <c r="BO64" s="64" t="s">
        <v>936</v>
      </c>
      <c r="BP64" s="64" t="s">
        <v>512</v>
      </c>
      <c r="BQ64" s="135">
        <v>30051</v>
      </c>
      <c r="BR64" s="67">
        <v>3213041004820070</v>
      </c>
      <c r="BS64" s="67" t="s">
        <v>945</v>
      </c>
      <c r="BT64" s="64" t="s">
        <v>96</v>
      </c>
      <c r="BU64" s="67">
        <v>8979583729</v>
      </c>
      <c r="BV64" s="67" t="s">
        <v>130</v>
      </c>
      <c r="BW64" s="64" t="s">
        <v>946</v>
      </c>
      <c r="BX64" s="67">
        <v>45383</v>
      </c>
      <c r="BY64" s="67" t="s">
        <v>947</v>
      </c>
      <c r="BZ64" s="64" t="s">
        <v>948</v>
      </c>
      <c r="CA64" s="64" t="s">
        <v>492</v>
      </c>
      <c r="CB64" s="64" t="s">
        <v>318</v>
      </c>
      <c r="CC64" s="64">
        <v>41373</v>
      </c>
      <c r="CD64" s="64" t="s">
        <v>402</v>
      </c>
      <c r="CE64" s="64" t="s">
        <v>938</v>
      </c>
      <c r="CF64" s="67" t="s">
        <v>939</v>
      </c>
      <c r="CG64" s="64" t="s">
        <v>940</v>
      </c>
      <c r="CH64" s="64" t="s">
        <v>941</v>
      </c>
      <c r="CI64" s="64" t="s">
        <v>942</v>
      </c>
      <c r="CJ64" s="64" t="s">
        <v>111</v>
      </c>
      <c r="CK64" s="58">
        <v>41373</v>
      </c>
      <c r="CL64" s="64" t="str">
        <f t="shared" ca="1" si="0"/>
        <v>13 Tahun 9 Bulan 12 Hari</v>
      </c>
      <c r="CM6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Blok Kaum RT/RW 19/06 Desa/Kelurahan Kalijati Barat Kecamatan Kalijati Subang Jawa Barat 41373</v>
      </c>
    </row>
    <row r="65" spans="1:91" ht="24.95" customHeight="1">
      <c r="A65" s="58">
        <f>SUBTOTAL(3,N$8:Table2[[#This Row],[Nama lengkap]])</f>
        <v>58</v>
      </c>
      <c r="B65" s="58" t="s">
        <v>86</v>
      </c>
      <c r="C65" s="58">
        <v>2024</v>
      </c>
      <c r="D65" s="58"/>
      <c r="E65" s="58">
        <v>1</v>
      </c>
      <c r="F65" s="58" t="s">
        <v>582</v>
      </c>
      <c r="G65" s="32" t="s">
        <v>2513</v>
      </c>
      <c r="H65" s="32" t="s">
        <v>2513</v>
      </c>
      <c r="I65" s="32" t="s">
        <v>2513</v>
      </c>
      <c r="J65" s="32"/>
      <c r="K65" s="32"/>
      <c r="L65" s="32"/>
      <c r="M65" s="58">
        <v>24250115</v>
      </c>
      <c r="N65" s="40" t="s">
        <v>5856</v>
      </c>
      <c r="O65" s="40"/>
      <c r="P65" s="32" t="s">
        <v>949</v>
      </c>
      <c r="Q65" s="32" t="s">
        <v>950</v>
      </c>
      <c r="R65" s="67" t="s">
        <v>90</v>
      </c>
      <c r="S65" s="69">
        <v>39608</v>
      </c>
      <c r="T65" s="47" t="s">
        <v>92</v>
      </c>
      <c r="U65" s="58">
        <v>1</v>
      </c>
      <c r="V65" s="58">
        <v>2</v>
      </c>
      <c r="W65" s="47" t="s">
        <v>207</v>
      </c>
      <c r="X65" s="64" t="s">
        <v>93</v>
      </c>
      <c r="Y65" s="64" t="s">
        <v>94</v>
      </c>
      <c r="Z65" s="64" t="s">
        <v>321</v>
      </c>
      <c r="AA65" s="64" t="s">
        <v>159</v>
      </c>
      <c r="AB65" s="64" t="s">
        <v>97</v>
      </c>
      <c r="AC65" s="64" t="s">
        <v>98</v>
      </c>
      <c r="AD65" s="64" t="s">
        <v>98</v>
      </c>
      <c r="AE65" s="67" t="s">
        <v>951</v>
      </c>
      <c r="AF65" s="67" t="s">
        <v>8317</v>
      </c>
      <c r="AG65" s="64" t="s">
        <v>8317</v>
      </c>
      <c r="AH65" s="64" t="s">
        <v>101</v>
      </c>
      <c r="AI65" s="64" t="s">
        <v>90</v>
      </c>
      <c r="AJ65" s="69">
        <v>30626</v>
      </c>
      <c r="AK65" s="67" t="s">
        <v>953</v>
      </c>
      <c r="AL65" s="67" t="s">
        <v>8249</v>
      </c>
      <c r="AM65" s="64" t="s">
        <v>149</v>
      </c>
      <c r="AN65" s="67">
        <v>82183110594</v>
      </c>
      <c r="AO65" s="67" t="s">
        <v>117</v>
      </c>
      <c r="AP65" s="64" t="s">
        <v>954</v>
      </c>
      <c r="AQ65" s="32" t="s">
        <v>667</v>
      </c>
      <c r="AR65" s="67" t="s">
        <v>955</v>
      </c>
      <c r="AS65" s="64" t="s">
        <v>955</v>
      </c>
      <c r="AT65" s="64" t="s">
        <v>141</v>
      </c>
      <c r="AU65" s="64" t="s">
        <v>156</v>
      </c>
      <c r="AV65" s="64">
        <v>40911</v>
      </c>
      <c r="AW65" s="64" t="s">
        <v>7837</v>
      </c>
      <c r="AX65" s="64" t="s">
        <v>101</v>
      </c>
      <c r="AY65" s="64" t="s">
        <v>236</v>
      </c>
      <c r="AZ65" s="125">
        <v>30176</v>
      </c>
      <c r="BA65" s="67" t="s">
        <v>956</v>
      </c>
      <c r="BB65" s="67" t="s">
        <v>180</v>
      </c>
      <c r="BC65" s="64" t="s">
        <v>149</v>
      </c>
      <c r="BD65" s="67">
        <v>82211145168</v>
      </c>
      <c r="BE65" s="67" t="s">
        <v>98</v>
      </c>
      <c r="BF65" s="67"/>
      <c r="BG65" s="64" t="s">
        <v>954</v>
      </c>
      <c r="BH65" s="67" t="s">
        <v>667</v>
      </c>
      <c r="BI65" s="67" t="s">
        <v>955</v>
      </c>
      <c r="BJ65" s="40" t="s">
        <v>955</v>
      </c>
      <c r="BK65" s="64" t="s">
        <v>141</v>
      </c>
      <c r="BL65" s="64" t="s">
        <v>156</v>
      </c>
      <c r="BM65" s="64">
        <v>40911</v>
      </c>
      <c r="BN65" s="64" t="s">
        <v>161</v>
      </c>
      <c r="BO65" s="64" t="s">
        <v>952</v>
      </c>
      <c r="BP65" s="64"/>
      <c r="BQ65" s="135"/>
      <c r="BR65" s="67"/>
      <c r="BS65" s="67"/>
      <c r="BT65" s="64"/>
      <c r="BU65" s="67">
        <v>82183110594</v>
      </c>
      <c r="BV65" s="67"/>
      <c r="BW65" s="64"/>
      <c r="BX65" s="67"/>
      <c r="BY65" s="67"/>
      <c r="BZ65" s="64"/>
      <c r="CA65" s="64"/>
      <c r="CB65" s="64"/>
      <c r="CC65" s="64"/>
      <c r="CD65" s="64"/>
      <c r="CE65" s="64" t="s">
        <v>7374</v>
      </c>
      <c r="CF65" s="67" t="s">
        <v>667</v>
      </c>
      <c r="CG65" s="64" t="s">
        <v>7039</v>
      </c>
      <c r="CH65" s="64" t="s">
        <v>7039</v>
      </c>
      <c r="CI65" s="64" t="s">
        <v>90</v>
      </c>
      <c r="CJ65" s="64" t="s">
        <v>111</v>
      </c>
      <c r="CK65" s="58">
        <v>40911</v>
      </c>
      <c r="CL65" s="64" t="str">
        <f t="shared" ca="1" si="0"/>
        <v>17 Tahun 7 Bulan 14 Hari</v>
      </c>
      <c r="CM6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Ciburial Barat RT/RW 04/05 Desa/Kelurahan Soreang Kecamatan Soreang Bandung Jawa Barat 40911</v>
      </c>
    </row>
    <row r="66" spans="1:91" ht="24.95" customHeight="1">
      <c r="A66" s="58">
        <f>SUBTOTAL(3,N$8:Table2[[#This Row],[Nama lengkap]])</f>
        <v>59</v>
      </c>
      <c r="B66" s="58" t="s">
        <v>86</v>
      </c>
      <c r="C66" s="58">
        <v>2024</v>
      </c>
      <c r="D66" s="58"/>
      <c r="E66" s="58">
        <v>1</v>
      </c>
      <c r="F66" s="58" t="s">
        <v>582</v>
      </c>
      <c r="G66" s="165" t="s">
        <v>9967</v>
      </c>
      <c r="H66" s="32"/>
      <c r="I66" s="32"/>
      <c r="J66" s="32"/>
      <c r="K66" s="32"/>
      <c r="L66" s="32"/>
      <c r="M66" s="58">
        <v>24250069</v>
      </c>
      <c r="N66" s="40" t="s">
        <v>5857</v>
      </c>
      <c r="O66" s="40"/>
      <c r="P66" s="32" t="s">
        <v>957</v>
      </c>
      <c r="Q66" s="32" t="s">
        <v>958</v>
      </c>
      <c r="R66" s="67" t="s">
        <v>236</v>
      </c>
      <c r="S66" s="69">
        <v>40673</v>
      </c>
      <c r="T66" s="47" t="s">
        <v>92</v>
      </c>
      <c r="U66" s="58">
        <v>3</v>
      </c>
      <c r="V66" s="58">
        <v>2</v>
      </c>
      <c r="W66" s="47" t="s">
        <v>207</v>
      </c>
      <c r="X66" s="64" t="s">
        <v>142</v>
      </c>
      <c r="Y66" s="64" t="s">
        <v>959</v>
      </c>
      <c r="Z66" s="64" t="s">
        <v>270</v>
      </c>
      <c r="AA66" s="64" t="s">
        <v>96</v>
      </c>
      <c r="AB66" s="64" t="s">
        <v>97</v>
      </c>
      <c r="AC66" s="64" t="s">
        <v>98</v>
      </c>
      <c r="AD66" s="64" t="s">
        <v>98</v>
      </c>
      <c r="AE66" s="67" t="s">
        <v>960</v>
      </c>
      <c r="AF66" s="67" t="s">
        <v>961</v>
      </c>
      <c r="AG66" s="64" t="s">
        <v>961</v>
      </c>
      <c r="AH66" s="64" t="s">
        <v>101</v>
      </c>
      <c r="AI66" s="64" t="s">
        <v>236</v>
      </c>
      <c r="AJ66" s="69">
        <v>29258</v>
      </c>
      <c r="AK66" s="67" t="s">
        <v>963</v>
      </c>
      <c r="AL66" s="67" t="s">
        <v>114</v>
      </c>
      <c r="AM66" s="64" t="s">
        <v>159</v>
      </c>
      <c r="AN66" s="67">
        <v>82115282890</v>
      </c>
      <c r="AO66" s="67" t="s">
        <v>117</v>
      </c>
      <c r="AP66" s="64" t="s">
        <v>964</v>
      </c>
      <c r="AQ66" s="32" t="s">
        <v>783</v>
      </c>
      <c r="AR66" s="67" t="s">
        <v>965</v>
      </c>
      <c r="AS66" s="64" t="s">
        <v>966</v>
      </c>
      <c r="AT66" s="64" t="s">
        <v>236</v>
      </c>
      <c r="AU66" s="64" t="s">
        <v>156</v>
      </c>
      <c r="AV66" s="64">
        <v>44185</v>
      </c>
      <c r="AW66" s="64" t="s">
        <v>7838</v>
      </c>
      <c r="AX66" s="64" t="s">
        <v>101</v>
      </c>
      <c r="AY66" s="64" t="s">
        <v>236</v>
      </c>
      <c r="AZ66" s="125">
        <v>31601</v>
      </c>
      <c r="BA66" s="67" t="s">
        <v>967</v>
      </c>
      <c r="BB66" s="67" t="s">
        <v>845</v>
      </c>
      <c r="BC66" s="64" t="s">
        <v>96</v>
      </c>
      <c r="BD66" s="67">
        <v>82115282890</v>
      </c>
      <c r="BE66" s="67" t="s">
        <v>130</v>
      </c>
      <c r="BF66" s="67"/>
      <c r="BG66" s="64" t="s">
        <v>964</v>
      </c>
      <c r="BH66" s="67" t="s">
        <v>783</v>
      </c>
      <c r="BI66" s="67" t="s">
        <v>965</v>
      </c>
      <c r="BJ66" s="40" t="s">
        <v>966</v>
      </c>
      <c r="BK66" s="64" t="s">
        <v>236</v>
      </c>
      <c r="BL66" s="64" t="s">
        <v>156</v>
      </c>
      <c r="BM66" s="64">
        <v>44185</v>
      </c>
      <c r="BN66" s="64" t="s">
        <v>161</v>
      </c>
      <c r="BO66" s="64" t="s">
        <v>962</v>
      </c>
      <c r="BP66" s="64"/>
      <c r="BQ66" s="135"/>
      <c r="BR66" s="67"/>
      <c r="BS66" s="67"/>
      <c r="BT66" s="64"/>
      <c r="BU66" s="67">
        <v>82115282890</v>
      </c>
      <c r="BV66" s="67"/>
      <c r="BW66" s="64"/>
      <c r="BX66" s="67"/>
      <c r="BY66" s="67"/>
      <c r="BZ66" s="64"/>
      <c r="CA66" s="64"/>
      <c r="CB66" s="64"/>
      <c r="CC66" s="64"/>
      <c r="CD66" s="64"/>
      <c r="CE66" s="64" t="s">
        <v>7375</v>
      </c>
      <c r="CF66" s="67" t="s">
        <v>783</v>
      </c>
      <c r="CG66" s="64" t="s">
        <v>7040</v>
      </c>
      <c r="CH66" s="64" t="s">
        <v>606</v>
      </c>
      <c r="CI66" s="64" t="s">
        <v>236</v>
      </c>
      <c r="CJ66" s="64" t="s">
        <v>111</v>
      </c>
      <c r="CK66" s="58">
        <v>44185</v>
      </c>
      <c r="CL66" s="64" t="str">
        <f t="shared" ca="1" si="0"/>
        <v>14 Tahun 8 Bulan 13 Hari</v>
      </c>
      <c r="CM6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Kp.Cipeujeuh RT/RW 04/06 Desa/Kelurahan Sukamerang Kecamatan Kersamanah Garut Jawa Barat 44185</v>
      </c>
    </row>
    <row r="67" spans="1:91" ht="24.95" customHeight="1">
      <c r="A67" s="58">
        <f>SUBTOTAL(3,N$8:Table2[[#This Row],[Nama lengkap]])</f>
        <v>60</v>
      </c>
      <c r="B67" s="58" t="s">
        <v>86</v>
      </c>
      <c r="C67" s="58">
        <v>2024</v>
      </c>
      <c r="D67" s="58"/>
      <c r="E67" s="58">
        <v>1</v>
      </c>
      <c r="F67" s="58" t="s">
        <v>582</v>
      </c>
      <c r="G67" s="32" t="s">
        <v>2513</v>
      </c>
      <c r="H67" s="32" t="s">
        <v>2513</v>
      </c>
      <c r="I67" s="32" t="s">
        <v>2513</v>
      </c>
      <c r="J67" s="32"/>
      <c r="K67" s="32"/>
      <c r="L67" s="32"/>
      <c r="M67" s="58">
        <v>24250147</v>
      </c>
      <c r="N67" s="40" t="s">
        <v>5858</v>
      </c>
      <c r="O67" s="40"/>
      <c r="P67" s="32" t="s">
        <v>968</v>
      </c>
      <c r="Q67" s="32" t="s">
        <v>969</v>
      </c>
      <c r="R67" s="67" t="s">
        <v>122</v>
      </c>
      <c r="S67" s="69">
        <v>40858</v>
      </c>
      <c r="T67" s="47" t="s">
        <v>92</v>
      </c>
      <c r="U67" s="58">
        <v>4</v>
      </c>
      <c r="V67" s="58">
        <v>3</v>
      </c>
      <c r="W67" s="47" t="s">
        <v>207</v>
      </c>
      <c r="X67" s="64" t="s">
        <v>142</v>
      </c>
      <c r="Y67" s="64" t="s">
        <v>970</v>
      </c>
      <c r="Z67" s="64" t="s">
        <v>270</v>
      </c>
      <c r="AA67" s="64" t="s">
        <v>96</v>
      </c>
      <c r="AB67" s="64" t="s">
        <v>97</v>
      </c>
      <c r="AC67" s="64" t="s">
        <v>98</v>
      </c>
      <c r="AD67" s="64" t="s">
        <v>98</v>
      </c>
      <c r="AE67" s="67" t="s">
        <v>971</v>
      </c>
      <c r="AF67" s="67" t="s">
        <v>972</v>
      </c>
      <c r="AG67" s="64" t="s">
        <v>972</v>
      </c>
      <c r="AH67" s="64" t="s">
        <v>101</v>
      </c>
      <c r="AI67" s="64" t="s">
        <v>122</v>
      </c>
      <c r="AJ67" s="69">
        <v>27994</v>
      </c>
      <c r="AK67" s="67" t="s">
        <v>973</v>
      </c>
      <c r="AL67" s="67" t="s">
        <v>114</v>
      </c>
      <c r="AM67" s="64" t="s">
        <v>149</v>
      </c>
      <c r="AN67" s="67">
        <v>895707276800</v>
      </c>
      <c r="AO67" s="67" t="s">
        <v>130</v>
      </c>
      <c r="AP67" s="64" t="s">
        <v>974</v>
      </c>
      <c r="AQ67" s="32" t="s">
        <v>198</v>
      </c>
      <c r="AR67" s="67" t="s">
        <v>975</v>
      </c>
      <c r="AS67" s="64" t="s">
        <v>561</v>
      </c>
      <c r="AT67" s="64" t="s">
        <v>122</v>
      </c>
      <c r="AU67" s="64" t="s">
        <v>111</v>
      </c>
      <c r="AV67" s="64">
        <v>45363</v>
      </c>
      <c r="AW67" s="64" t="s">
        <v>976</v>
      </c>
      <c r="AX67" s="64" t="s">
        <v>101</v>
      </c>
      <c r="AY67" s="64" t="s">
        <v>977</v>
      </c>
      <c r="AZ67" s="125">
        <v>29260</v>
      </c>
      <c r="BA67" s="67" t="s">
        <v>978</v>
      </c>
      <c r="BB67" s="67" t="s">
        <v>428</v>
      </c>
      <c r="BC67" s="64" t="s">
        <v>159</v>
      </c>
      <c r="BD67" s="67">
        <v>895707276800</v>
      </c>
      <c r="BE67" s="67" t="s">
        <v>98</v>
      </c>
      <c r="BF67" s="67"/>
      <c r="BG67" s="64" t="s">
        <v>974</v>
      </c>
      <c r="BH67" s="67" t="s">
        <v>198</v>
      </c>
      <c r="BI67" s="67" t="s">
        <v>975</v>
      </c>
      <c r="BJ67" s="40" t="s">
        <v>561</v>
      </c>
      <c r="BK67" s="64" t="s">
        <v>122</v>
      </c>
      <c r="BL67" s="64" t="s">
        <v>111</v>
      </c>
      <c r="BM67" s="64">
        <v>45363</v>
      </c>
      <c r="BN67" s="64" t="s">
        <v>161</v>
      </c>
      <c r="BO67" s="64" t="s">
        <v>972</v>
      </c>
      <c r="BP67" s="64"/>
      <c r="BQ67" s="135"/>
      <c r="BR67" s="67"/>
      <c r="BS67" s="67"/>
      <c r="BT67" s="64"/>
      <c r="BU67" s="67">
        <v>895707276800</v>
      </c>
      <c r="BV67" s="67"/>
      <c r="BW67" s="64"/>
      <c r="BX67" s="67"/>
      <c r="BY67" s="67"/>
      <c r="BZ67" s="64"/>
      <c r="CA67" s="64"/>
      <c r="CB67" s="64"/>
      <c r="CC67" s="64"/>
      <c r="CD67" s="64"/>
      <c r="CE67" s="64" t="s">
        <v>974</v>
      </c>
      <c r="CF67" s="67" t="s">
        <v>198</v>
      </c>
      <c r="CG67" s="64" t="s">
        <v>975</v>
      </c>
      <c r="CH67" s="64" t="s">
        <v>561</v>
      </c>
      <c r="CI67" s="64" t="s">
        <v>122</v>
      </c>
      <c r="CJ67" s="64" t="s">
        <v>111</v>
      </c>
      <c r="CK67" s="58">
        <v>45363</v>
      </c>
      <c r="CL67" s="64" t="str">
        <f t="shared" ca="1" si="0"/>
        <v>14 Tahun 2 Bulan 12 Hari</v>
      </c>
      <c r="CM6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Sirnagalih RT/RW 02/13 Desa/Kelurahan Mekargalih Kecamatan Jatinangor Sumedang Jawa Barat 45363</v>
      </c>
    </row>
    <row r="68" spans="1:91" ht="24.95" customHeight="1">
      <c r="A68" s="58">
        <f>SUBTOTAL(3,N$8:Table2[[#This Row],[Nama lengkap]])</f>
        <v>61</v>
      </c>
      <c r="B68" s="58" t="s">
        <v>86</v>
      </c>
      <c r="C68" s="58">
        <v>2023</v>
      </c>
      <c r="D68" s="58"/>
      <c r="E68" s="58">
        <v>2</v>
      </c>
      <c r="F68" s="58" t="s">
        <v>979</v>
      </c>
      <c r="G68" s="165" t="s">
        <v>9960</v>
      </c>
      <c r="H68" s="32"/>
      <c r="I68" s="32"/>
      <c r="J68" s="32"/>
      <c r="K68" s="32"/>
      <c r="L68" s="32"/>
      <c r="M68" s="58">
        <v>23240010</v>
      </c>
      <c r="N68" s="24" t="s">
        <v>5859</v>
      </c>
      <c r="O68" s="24"/>
      <c r="P68" s="25" t="s">
        <v>980</v>
      </c>
      <c r="Q68" s="25" t="s">
        <v>981</v>
      </c>
      <c r="R68" s="60" t="s">
        <v>7129</v>
      </c>
      <c r="S68" s="61" t="s">
        <v>983</v>
      </c>
      <c r="T68" s="47" t="s">
        <v>92</v>
      </c>
      <c r="U68" s="47">
        <v>2</v>
      </c>
      <c r="V68" s="47">
        <v>1</v>
      </c>
      <c r="W68" s="47" t="s">
        <v>207</v>
      </c>
      <c r="X68" s="59" t="s">
        <v>984</v>
      </c>
      <c r="Y68" s="59" t="s">
        <v>985</v>
      </c>
      <c r="Z68" s="59" t="s">
        <v>986</v>
      </c>
      <c r="AA68" s="59" t="s">
        <v>96</v>
      </c>
      <c r="AB68" s="59" t="s">
        <v>689</v>
      </c>
      <c r="AC68" s="59" t="s">
        <v>208</v>
      </c>
      <c r="AD68" s="59" t="s">
        <v>208</v>
      </c>
      <c r="AE68" s="60" t="s">
        <v>987</v>
      </c>
      <c r="AF68" s="60" t="s">
        <v>8318</v>
      </c>
      <c r="AG68" s="59" t="s">
        <v>8318</v>
      </c>
      <c r="AH68" s="59" t="s">
        <v>691</v>
      </c>
      <c r="AI68" s="59" t="s">
        <v>90</v>
      </c>
      <c r="AJ68" s="61" t="s">
        <v>988</v>
      </c>
      <c r="AK68" s="60" t="s">
        <v>989</v>
      </c>
      <c r="AL68" s="60" t="s">
        <v>289</v>
      </c>
      <c r="AM68" s="59" t="s">
        <v>96</v>
      </c>
      <c r="AN68" s="60" t="s">
        <v>990</v>
      </c>
      <c r="AO68" s="60"/>
      <c r="AP68" s="59" t="s">
        <v>991</v>
      </c>
      <c r="AQ68" s="25" t="s">
        <v>992</v>
      </c>
      <c r="AR68" s="60" t="s">
        <v>993</v>
      </c>
      <c r="AS68" s="59" t="s">
        <v>994</v>
      </c>
      <c r="AT68" s="59" t="s">
        <v>141</v>
      </c>
      <c r="AU68" s="59" t="s">
        <v>111</v>
      </c>
      <c r="AV68" s="62">
        <v>40225</v>
      </c>
      <c r="AW68" s="59" t="s">
        <v>7839</v>
      </c>
      <c r="AX68" s="59" t="s">
        <v>691</v>
      </c>
      <c r="AY68" s="59" t="s">
        <v>90</v>
      </c>
      <c r="AZ68" s="126">
        <v>30472</v>
      </c>
      <c r="BA68" s="60" t="s">
        <v>995</v>
      </c>
      <c r="BB68" s="60" t="s">
        <v>845</v>
      </c>
      <c r="BC68" s="59" t="s">
        <v>96</v>
      </c>
      <c r="BD68" s="60" t="s">
        <v>990</v>
      </c>
      <c r="BE68" s="60"/>
      <c r="BF68" s="60"/>
      <c r="BG68" s="59" t="s">
        <v>991</v>
      </c>
      <c r="BH68" s="60" t="s">
        <v>992</v>
      </c>
      <c r="BI68" s="60" t="s">
        <v>993</v>
      </c>
      <c r="BJ68" s="24" t="s">
        <v>994</v>
      </c>
      <c r="BK68" s="59" t="s">
        <v>141</v>
      </c>
      <c r="BL68" s="59" t="s">
        <v>156</v>
      </c>
      <c r="BM68" s="24">
        <v>40225</v>
      </c>
      <c r="BN68" s="24"/>
      <c r="BO68" s="59"/>
      <c r="BP68" s="59"/>
      <c r="BQ68" s="77"/>
      <c r="BR68" s="60"/>
      <c r="BS68" s="60"/>
      <c r="BT68" s="59"/>
      <c r="BU68" s="60"/>
      <c r="BV68" s="60"/>
      <c r="BW68" s="59"/>
      <c r="BX68" s="60"/>
      <c r="BY68" s="60"/>
      <c r="BZ68" s="59"/>
      <c r="CA68" s="59"/>
      <c r="CB68" s="59"/>
      <c r="CC68" s="59"/>
      <c r="CD68" s="59"/>
      <c r="CE68" s="59" t="s">
        <v>7376</v>
      </c>
      <c r="CF68" s="60" t="s">
        <v>992</v>
      </c>
      <c r="CG68" s="59" t="s">
        <v>7041</v>
      </c>
      <c r="CH68" s="59" t="s">
        <v>7042</v>
      </c>
      <c r="CI68" s="59" t="s">
        <v>90</v>
      </c>
      <c r="CJ68" s="59" t="s">
        <v>111</v>
      </c>
      <c r="CK68" s="47">
        <v>40225</v>
      </c>
      <c r="CL68" s="64" t="str">
        <f t="shared" ca="1" si="0"/>
        <v>14 Tahun 5 Bulan 6 Hari</v>
      </c>
      <c r="CM6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Sadang  RT/RW 05/08 Desa/Kelurahan Margahayu Tengah Kecamatan Margahayu Bandung Jawa Barat 40225</v>
      </c>
    </row>
    <row r="69" spans="1:91" ht="24.95" customHeight="1">
      <c r="A69" s="58">
        <f>SUBTOTAL(3,N$8:Table2[[#This Row],[Nama lengkap]])</f>
        <v>62</v>
      </c>
      <c r="B69" s="58" t="s">
        <v>86</v>
      </c>
      <c r="C69" s="58">
        <v>2023</v>
      </c>
      <c r="D69" s="58"/>
      <c r="E69" s="58">
        <v>2</v>
      </c>
      <c r="F69" s="58" t="s">
        <v>979</v>
      </c>
      <c r="G69" s="32" t="s">
        <v>2513</v>
      </c>
      <c r="H69" s="32" t="s">
        <v>2513</v>
      </c>
      <c r="I69" s="32" t="s">
        <v>2513</v>
      </c>
      <c r="J69" s="32"/>
      <c r="K69" s="32"/>
      <c r="L69" s="32"/>
      <c r="M69" s="58">
        <v>23240098</v>
      </c>
      <c r="N69" s="24" t="s">
        <v>5860</v>
      </c>
      <c r="O69" s="24"/>
      <c r="P69" s="25" t="s">
        <v>996</v>
      </c>
      <c r="Q69" s="25" t="s">
        <v>997</v>
      </c>
      <c r="R69" s="60" t="s">
        <v>90</v>
      </c>
      <c r="S69" s="61" t="s">
        <v>998</v>
      </c>
      <c r="T69" s="47" t="s">
        <v>92</v>
      </c>
      <c r="U69" s="47">
        <v>1</v>
      </c>
      <c r="V69" s="47">
        <v>2</v>
      </c>
      <c r="W69" s="47" t="s">
        <v>207</v>
      </c>
      <c r="X69" s="59" t="s">
        <v>303</v>
      </c>
      <c r="Y69" s="59" t="s">
        <v>999</v>
      </c>
      <c r="Z69" s="59" t="s">
        <v>986</v>
      </c>
      <c r="AA69" s="59" t="s">
        <v>96</v>
      </c>
      <c r="AB69" s="59" t="s">
        <v>689</v>
      </c>
      <c r="AC69" s="59" t="s">
        <v>208</v>
      </c>
      <c r="AD69" s="59" t="s">
        <v>208</v>
      </c>
      <c r="AE69" s="60" t="s">
        <v>1000</v>
      </c>
      <c r="AF69" s="60" t="s">
        <v>8319</v>
      </c>
      <c r="AG69" s="59" t="s">
        <v>8319</v>
      </c>
      <c r="AH69" s="59" t="s">
        <v>691</v>
      </c>
      <c r="AI69" s="59" t="s">
        <v>90</v>
      </c>
      <c r="AJ69" s="61" t="s">
        <v>1001</v>
      </c>
      <c r="AK69" s="60" t="s">
        <v>1002</v>
      </c>
      <c r="AL69" s="60" t="s">
        <v>602</v>
      </c>
      <c r="AM69" s="59" t="s">
        <v>149</v>
      </c>
      <c r="AN69" s="60" t="s">
        <v>1003</v>
      </c>
      <c r="AO69" s="60"/>
      <c r="AP69" s="59" t="s">
        <v>1004</v>
      </c>
      <c r="AQ69" s="25" t="s">
        <v>925</v>
      </c>
      <c r="AR69" s="60" t="s">
        <v>1005</v>
      </c>
      <c r="AS69" s="59" t="s">
        <v>1006</v>
      </c>
      <c r="AT69" s="59" t="s">
        <v>141</v>
      </c>
      <c r="AU69" s="59" t="s">
        <v>111</v>
      </c>
      <c r="AV69" s="62">
        <v>40232</v>
      </c>
      <c r="AW69" s="59" t="s">
        <v>7840</v>
      </c>
      <c r="AX69" s="59" t="s">
        <v>691</v>
      </c>
      <c r="AY69" s="59" t="s">
        <v>90</v>
      </c>
      <c r="AZ69" s="126" t="s">
        <v>1007</v>
      </c>
      <c r="BA69" s="60" t="s">
        <v>1008</v>
      </c>
      <c r="BB69" s="60" t="s">
        <v>845</v>
      </c>
      <c r="BC69" s="59" t="s">
        <v>149</v>
      </c>
      <c r="BD69" s="60" t="s">
        <v>1003</v>
      </c>
      <c r="BE69" s="60"/>
      <c r="BF69" s="60"/>
      <c r="BG69" s="59" t="s">
        <v>1004</v>
      </c>
      <c r="BH69" s="60" t="s">
        <v>1009</v>
      </c>
      <c r="BI69" s="60" t="s">
        <v>1005</v>
      </c>
      <c r="BJ69" s="24" t="s">
        <v>1006</v>
      </c>
      <c r="BK69" s="59" t="s">
        <v>141</v>
      </c>
      <c r="BL69" s="59" t="s">
        <v>156</v>
      </c>
      <c r="BM69" s="24">
        <v>40232</v>
      </c>
      <c r="BN69" s="24"/>
      <c r="BO69" s="59"/>
      <c r="BP69" s="59"/>
      <c r="BQ69" s="77"/>
      <c r="BR69" s="60"/>
      <c r="BS69" s="60"/>
      <c r="BT69" s="59"/>
      <c r="BU69" s="60"/>
      <c r="BV69" s="60"/>
      <c r="BW69" s="59"/>
      <c r="BX69" s="60"/>
      <c r="BY69" s="60"/>
      <c r="BZ69" s="59"/>
      <c r="CA69" s="59"/>
      <c r="CB69" s="59"/>
      <c r="CC69" s="59"/>
      <c r="CD69" s="59"/>
      <c r="CE69" s="59" t="s">
        <v>7377</v>
      </c>
      <c r="CF69" s="60" t="s">
        <v>925</v>
      </c>
      <c r="CG69" s="59" t="s">
        <v>7043</v>
      </c>
      <c r="CH69" s="59" t="s">
        <v>6995</v>
      </c>
      <c r="CI69" s="59" t="s">
        <v>90</v>
      </c>
      <c r="CJ69" s="59" t="s">
        <v>111</v>
      </c>
      <c r="CK69" s="47">
        <v>40232</v>
      </c>
      <c r="CL69" s="64" t="str">
        <f t="shared" ca="1" si="0"/>
        <v>15 Tahun 9 Bulan 5 Hari</v>
      </c>
      <c r="CM6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Gg Indik No 86/88 RT/RW 03/01 Desa/Kelurahan Babakan Taronggong Kecamatan Bojongloa Kaler Bandung Jawa Barat 40232</v>
      </c>
    </row>
    <row r="70" spans="1:91" ht="24.95" customHeight="1">
      <c r="A70" s="58">
        <f>SUBTOTAL(3,N$8:Table2[[#This Row],[Nama lengkap]])</f>
        <v>63</v>
      </c>
      <c r="B70" s="58" t="s">
        <v>86</v>
      </c>
      <c r="C70" s="58">
        <v>2023</v>
      </c>
      <c r="D70" s="58"/>
      <c r="E70" s="58">
        <v>2</v>
      </c>
      <c r="F70" s="58" t="s">
        <v>979</v>
      </c>
      <c r="G70" s="165" t="s">
        <v>9959</v>
      </c>
      <c r="H70" s="32"/>
      <c r="I70" s="32"/>
      <c r="J70" s="32"/>
      <c r="K70" s="32"/>
      <c r="L70" s="32"/>
      <c r="M70" s="58">
        <v>23240135</v>
      </c>
      <c r="N70" s="24" t="s">
        <v>5861</v>
      </c>
      <c r="O70" s="24"/>
      <c r="P70" s="25" t="s">
        <v>9948</v>
      </c>
      <c r="Q70" s="25" t="s">
        <v>1010</v>
      </c>
      <c r="R70" s="60" t="s">
        <v>90</v>
      </c>
      <c r="S70" s="61" t="s">
        <v>1011</v>
      </c>
      <c r="T70" s="47" t="s">
        <v>92</v>
      </c>
      <c r="U70" s="47">
        <v>1</v>
      </c>
      <c r="V70" s="47">
        <v>1</v>
      </c>
      <c r="W70" s="47" t="s">
        <v>207</v>
      </c>
      <c r="X70" s="59"/>
      <c r="Y70" s="59" t="s">
        <v>1012</v>
      </c>
      <c r="Z70" s="59" t="s">
        <v>986</v>
      </c>
      <c r="AA70" s="59" t="s">
        <v>96</v>
      </c>
      <c r="AB70" s="59" t="s">
        <v>689</v>
      </c>
      <c r="AC70" s="59" t="s">
        <v>208</v>
      </c>
      <c r="AD70" s="59" t="s">
        <v>208</v>
      </c>
      <c r="AE70" s="60" t="s">
        <v>1013</v>
      </c>
      <c r="AF70" s="60" t="s">
        <v>8320</v>
      </c>
      <c r="AG70" s="59" t="s">
        <v>8320</v>
      </c>
      <c r="AH70" s="59" t="s">
        <v>691</v>
      </c>
      <c r="AI70" s="59" t="s">
        <v>90</v>
      </c>
      <c r="AJ70" s="61">
        <v>32457</v>
      </c>
      <c r="AK70" s="60" t="s">
        <v>1014</v>
      </c>
      <c r="AL70" s="60" t="s">
        <v>289</v>
      </c>
      <c r="AM70" s="59" t="s">
        <v>96</v>
      </c>
      <c r="AN70" s="60" t="s">
        <v>1015</v>
      </c>
      <c r="AO70" s="60"/>
      <c r="AP70" s="59" t="s">
        <v>1016</v>
      </c>
      <c r="AQ70" s="25" t="s">
        <v>1017</v>
      </c>
      <c r="AR70" s="60" t="s">
        <v>1018</v>
      </c>
      <c r="AS70" s="59" t="s">
        <v>1019</v>
      </c>
      <c r="AT70" s="59" t="s">
        <v>141</v>
      </c>
      <c r="AU70" s="59" t="s">
        <v>111</v>
      </c>
      <c r="AV70" s="62">
        <v>40951</v>
      </c>
      <c r="AW70" s="59" t="s">
        <v>7841</v>
      </c>
      <c r="AX70" s="59" t="s">
        <v>691</v>
      </c>
      <c r="AY70" s="59" t="s">
        <v>90</v>
      </c>
      <c r="AZ70" s="126" t="s">
        <v>1020</v>
      </c>
      <c r="BA70" s="60" t="s">
        <v>1021</v>
      </c>
      <c r="BB70" s="60" t="s">
        <v>845</v>
      </c>
      <c r="BC70" s="59" t="s">
        <v>96</v>
      </c>
      <c r="BD70" s="60" t="s">
        <v>1015</v>
      </c>
      <c r="BE70" s="60"/>
      <c r="BF70" s="60"/>
      <c r="BG70" s="59" t="s">
        <v>1016</v>
      </c>
      <c r="BH70" s="60" t="s">
        <v>1017</v>
      </c>
      <c r="BI70" s="60" t="s">
        <v>1018</v>
      </c>
      <c r="BJ70" s="24" t="s">
        <v>1019</v>
      </c>
      <c r="BK70" s="59" t="s">
        <v>141</v>
      </c>
      <c r="BL70" s="59" t="s">
        <v>156</v>
      </c>
      <c r="BM70" s="24">
        <v>40951</v>
      </c>
      <c r="BN70" s="24"/>
      <c r="BO70" s="59"/>
      <c r="BP70" s="59"/>
      <c r="BQ70" s="77"/>
      <c r="BR70" s="60"/>
      <c r="BS70" s="60"/>
      <c r="BT70" s="59"/>
      <c r="BU70" s="60"/>
      <c r="BV70" s="60"/>
      <c r="BW70" s="59"/>
      <c r="BX70" s="60"/>
      <c r="BY70" s="60"/>
      <c r="BZ70" s="59"/>
      <c r="CA70" s="59"/>
      <c r="CB70" s="59"/>
      <c r="CC70" s="59"/>
      <c r="CD70" s="59"/>
      <c r="CE70" s="59" t="s">
        <v>7378</v>
      </c>
      <c r="CF70" s="60" t="s">
        <v>1017</v>
      </c>
      <c r="CG70" s="59" t="s">
        <v>7044</v>
      </c>
      <c r="CH70" s="59" t="s">
        <v>6967</v>
      </c>
      <c r="CI70" s="59" t="s">
        <v>90</v>
      </c>
      <c r="CJ70" s="59" t="s">
        <v>111</v>
      </c>
      <c r="CK70" s="47">
        <v>40951</v>
      </c>
      <c r="CL70" s="64" t="str">
        <f t="shared" ca="1" si="0"/>
        <v>14 Tahun 7 Bulan 22 Hari</v>
      </c>
      <c r="CM7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 Dukuh  RT/RW 01/04 Desa/Kelurahan Sukamulya Kecamatan Kutawaringin Bandung Jawa Barat 40951</v>
      </c>
    </row>
    <row r="71" spans="1:91" ht="24.95" customHeight="1">
      <c r="A71" s="58">
        <f>SUBTOTAL(3,N$8:Table2[[#This Row],[Nama lengkap]])</f>
        <v>64</v>
      </c>
      <c r="B71" s="58" t="s">
        <v>86</v>
      </c>
      <c r="C71" s="58">
        <v>2023</v>
      </c>
      <c r="D71" s="58"/>
      <c r="E71" s="58">
        <v>2</v>
      </c>
      <c r="F71" s="58" t="s">
        <v>979</v>
      </c>
      <c r="G71" s="32" t="s">
        <v>2513</v>
      </c>
      <c r="H71" s="32" t="s">
        <v>2513</v>
      </c>
      <c r="I71" s="32" t="s">
        <v>2513</v>
      </c>
      <c r="J71" s="32"/>
      <c r="K71" s="32"/>
      <c r="L71" s="32"/>
      <c r="M71" s="58">
        <v>23240035</v>
      </c>
      <c r="N71" s="24" t="s">
        <v>5862</v>
      </c>
      <c r="O71" s="24"/>
      <c r="P71" s="25" t="s">
        <v>1023</v>
      </c>
      <c r="Q71" s="25" t="s">
        <v>1024</v>
      </c>
      <c r="R71" s="60" t="s">
        <v>90</v>
      </c>
      <c r="S71" s="61" t="s">
        <v>1025</v>
      </c>
      <c r="T71" s="47" t="s">
        <v>92</v>
      </c>
      <c r="U71" s="47">
        <v>1</v>
      </c>
      <c r="V71" s="47">
        <v>2</v>
      </c>
      <c r="W71" s="47" t="s">
        <v>207</v>
      </c>
      <c r="X71" s="59" t="s">
        <v>93</v>
      </c>
      <c r="Y71" s="59" t="s">
        <v>1026</v>
      </c>
      <c r="Z71" s="59" t="s">
        <v>1027</v>
      </c>
      <c r="AA71" s="59" t="s">
        <v>1028</v>
      </c>
      <c r="AB71" s="59" t="s">
        <v>689</v>
      </c>
      <c r="AC71" s="59" t="s">
        <v>208</v>
      </c>
      <c r="AD71" s="59" t="s">
        <v>208</v>
      </c>
      <c r="AE71" s="60" t="s">
        <v>1029</v>
      </c>
      <c r="AF71" s="59" t="s">
        <v>8321</v>
      </c>
      <c r="AG71" s="59" t="s">
        <v>8321</v>
      </c>
      <c r="AH71" s="59" t="s">
        <v>691</v>
      </c>
      <c r="AI71" s="59" t="s">
        <v>8275</v>
      </c>
      <c r="AJ71" s="61" t="s">
        <v>1030</v>
      </c>
      <c r="AK71" s="60" t="s">
        <v>1031</v>
      </c>
      <c r="AL71" s="60" t="s">
        <v>602</v>
      </c>
      <c r="AM71" s="59" t="s">
        <v>159</v>
      </c>
      <c r="AN71" s="60" t="s">
        <v>1032</v>
      </c>
      <c r="AO71" s="60"/>
      <c r="AP71" s="59" t="s">
        <v>1033</v>
      </c>
      <c r="AQ71" s="25" t="s">
        <v>1034</v>
      </c>
      <c r="AR71" s="60" t="s">
        <v>1035</v>
      </c>
      <c r="AS71" s="59" t="s">
        <v>1036</v>
      </c>
      <c r="AT71" s="59" t="s">
        <v>141</v>
      </c>
      <c r="AU71" s="59" t="s">
        <v>111</v>
      </c>
      <c r="AV71" s="62">
        <v>40191</v>
      </c>
      <c r="AW71" s="59" t="s">
        <v>7842</v>
      </c>
      <c r="AX71" s="59" t="s">
        <v>691</v>
      </c>
      <c r="AY71" s="59" t="s">
        <v>90</v>
      </c>
      <c r="AZ71" s="126">
        <v>30293</v>
      </c>
      <c r="BA71" s="60" t="s">
        <v>1037</v>
      </c>
      <c r="BB71" s="60" t="s">
        <v>845</v>
      </c>
      <c r="BC71" s="59" t="s">
        <v>149</v>
      </c>
      <c r="BD71" s="60" t="s">
        <v>1032</v>
      </c>
      <c r="BE71" s="60"/>
      <c r="BF71" s="60"/>
      <c r="BG71" s="59" t="s">
        <v>1033</v>
      </c>
      <c r="BH71" s="60" t="s">
        <v>1034</v>
      </c>
      <c r="BI71" s="60" t="s">
        <v>1035</v>
      </c>
      <c r="BJ71" s="24" t="s">
        <v>1036</v>
      </c>
      <c r="BK71" s="59" t="s">
        <v>141</v>
      </c>
      <c r="BL71" s="59" t="s">
        <v>156</v>
      </c>
      <c r="BM71" s="24">
        <v>40191</v>
      </c>
      <c r="BN71" s="24"/>
      <c r="BO71" s="59"/>
      <c r="BP71" s="59"/>
      <c r="BQ71" s="77"/>
      <c r="BR71" s="60"/>
      <c r="BS71" s="60"/>
      <c r="BT71" s="59"/>
      <c r="BU71" s="60"/>
      <c r="BV71" s="60"/>
      <c r="BW71" s="59"/>
      <c r="BX71" s="60"/>
      <c r="BY71" s="60"/>
      <c r="BZ71" s="59"/>
      <c r="CA71" s="59"/>
      <c r="CB71" s="59"/>
      <c r="CC71" s="59"/>
      <c r="CD71" s="59"/>
      <c r="CE71" s="59" t="s">
        <v>7379</v>
      </c>
      <c r="CF71" s="60" t="s">
        <v>1034</v>
      </c>
      <c r="CG71" s="59" t="s">
        <v>7019</v>
      </c>
      <c r="CH71" s="59" t="s">
        <v>7045</v>
      </c>
      <c r="CI71" s="59" t="s">
        <v>90</v>
      </c>
      <c r="CJ71" s="59" t="s">
        <v>111</v>
      </c>
      <c r="CK71" s="47">
        <v>40191</v>
      </c>
      <c r="CL71" s="64" t="str">
        <f t="shared" ca="1" si="0"/>
        <v>18 Tahun 3 Bulan 17 Hari</v>
      </c>
      <c r="CM7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Cigadung Wetan  RT/RW 05/05 Desa/Kelurahan Cigadung Kecamatan Cibeuyir Kaler Bandung Jawa Barat 40191</v>
      </c>
    </row>
    <row r="72" spans="1:91" ht="24.95" customHeight="1">
      <c r="A72" s="58">
        <f>SUBTOTAL(3,N$8:Table2[[#This Row],[Nama lengkap]])</f>
        <v>65</v>
      </c>
      <c r="B72" s="58" t="s">
        <v>86</v>
      </c>
      <c r="C72" s="58">
        <v>2023</v>
      </c>
      <c r="D72" s="58" t="s">
        <v>8936</v>
      </c>
      <c r="E72" s="58">
        <v>2</v>
      </c>
      <c r="F72" s="58" t="s">
        <v>979</v>
      </c>
      <c r="G72" s="32" t="s">
        <v>2513</v>
      </c>
      <c r="H72" s="32" t="s">
        <v>2513</v>
      </c>
      <c r="I72" s="32" t="s">
        <v>2513</v>
      </c>
      <c r="J72" s="32"/>
      <c r="K72" s="32"/>
      <c r="L72" s="32"/>
      <c r="M72" s="58">
        <v>23240042</v>
      </c>
      <c r="N72" s="24" t="s">
        <v>5863</v>
      </c>
      <c r="O72" s="24"/>
      <c r="P72" s="25" t="s">
        <v>1038</v>
      </c>
      <c r="Q72" s="25" t="s">
        <v>1039</v>
      </c>
      <c r="R72" s="60" t="s">
        <v>90</v>
      </c>
      <c r="S72" s="61" t="s">
        <v>1040</v>
      </c>
      <c r="T72" s="47" t="s">
        <v>92</v>
      </c>
      <c r="U72" s="47">
        <v>2</v>
      </c>
      <c r="V72" s="47">
        <v>2</v>
      </c>
      <c r="W72" s="47" t="s">
        <v>207</v>
      </c>
      <c r="X72" s="59" t="s">
        <v>432</v>
      </c>
      <c r="Y72" s="59" t="s">
        <v>1041</v>
      </c>
      <c r="Z72" s="59" t="s">
        <v>1042</v>
      </c>
      <c r="AA72" s="59" t="s">
        <v>96</v>
      </c>
      <c r="AB72" s="59" t="s">
        <v>689</v>
      </c>
      <c r="AC72" s="59" t="s">
        <v>208</v>
      </c>
      <c r="AD72" s="59" t="s">
        <v>208</v>
      </c>
      <c r="AE72" s="60" t="s">
        <v>1043</v>
      </c>
      <c r="AF72" s="60" t="s">
        <v>8322</v>
      </c>
      <c r="AG72" s="59" t="s">
        <v>8322</v>
      </c>
      <c r="AH72" s="59" t="s">
        <v>691</v>
      </c>
      <c r="AI72" s="59" t="s">
        <v>236</v>
      </c>
      <c r="AJ72" s="61" t="s">
        <v>1044</v>
      </c>
      <c r="AK72" s="60" t="s">
        <v>1045</v>
      </c>
      <c r="AL72" s="60" t="s">
        <v>114</v>
      </c>
      <c r="AM72" s="59" t="s">
        <v>96</v>
      </c>
      <c r="AN72" s="60" t="s">
        <v>1046</v>
      </c>
      <c r="AO72" s="60"/>
      <c r="AP72" s="59" t="s">
        <v>1047</v>
      </c>
      <c r="AQ72" s="25" t="s">
        <v>1048</v>
      </c>
      <c r="AR72" s="60" t="s">
        <v>1049</v>
      </c>
      <c r="AS72" s="59" t="s">
        <v>1050</v>
      </c>
      <c r="AT72" s="59" t="s">
        <v>141</v>
      </c>
      <c r="AU72" s="59" t="s">
        <v>111</v>
      </c>
      <c r="AV72" s="62">
        <v>40182</v>
      </c>
      <c r="AW72" s="59" t="s">
        <v>7843</v>
      </c>
      <c r="AX72" s="59" t="s">
        <v>691</v>
      </c>
      <c r="AY72" s="59" t="s">
        <v>236</v>
      </c>
      <c r="AZ72" s="126">
        <v>29897</v>
      </c>
      <c r="BA72" s="60" t="s">
        <v>1051</v>
      </c>
      <c r="BB72" s="60" t="s">
        <v>845</v>
      </c>
      <c r="BC72" s="59" t="s">
        <v>149</v>
      </c>
      <c r="BD72" s="60" t="s">
        <v>1046</v>
      </c>
      <c r="BE72" s="60"/>
      <c r="BF72" s="60"/>
      <c r="BG72" s="59" t="s">
        <v>1047</v>
      </c>
      <c r="BH72" s="60" t="s">
        <v>1052</v>
      </c>
      <c r="BI72" s="60" t="s">
        <v>1049</v>
      </c>
      <c r="BJ72" s="24" t="s">
        <v>1050</v>
      </c>
      <c r="BK72" s="59" t="s">
        <v>141</v>
      </c>
      <c r="BL72" s="59" t="s">
        <v>156</v>
      </c>
      <c r="BM72" s="24">
        <v>40182</v>
      </c>
      <c r="BN72" s="24"/>
      <c r="BO72" s="59"/>
      <c r="BP72" s="59"/>
      <c r="BQ72" s="77"/>
      <c r="BR72" s="60"/>
      <c r="BS72" s="60"/>
      <c r="BT72" s="59"/>
      <c r="BU72" s="60"/>
      <c r="BV72" s="60"/>
      <c r="BW72" s="59"/>
      <c r="BX72" s="60"/>
      <c r="BY72" s="60"/>
      <c r="BZ72" s="59"/>
      <c r="CA72" s="59"/>
      <c r="CB72" s="59"/>
      <c r="CC72" s="59"/>
      <c r="CD72" s="59"/>
      <c r="CE72" s="59" t="s">
        <v>7380</v>
      </c>
      <c r="CF72" s="60" t="s">
        <v>1048</v>
      </c>
      <c r="CG72" s="59" t="s">
        <v>7046</v>
      </c>
      <c r="CH72" s="59" t="s">
        <v>6898</v>
      </c>
      <c r="CI72" s="59" t="s">
        <v>90</v>
      </c>
      <c r="CJ72" s="59" t="s">
        <v>111</v>
      </c>
      <c r="CK72" s="47">
        <v>40182</v>
      </c>
      <c r="CL72" s="64" t="str">
        <f t="shared" ref="CL72:CL135" ca="1" si="1">DATEDIF(S72,NOW(),"Y")&amp;" Tahun " &amp;DATEDIF(S72,NOW(),"YM")&amp;" Bulan " &amp;DATEDIF(S72,NOW(),"MD")&amp;" Hari"</f>
        <v>15 Tahun 1 Bulan 21 Hari</v>
      </c>
      <c r="CM7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 Arjuna Simpang Iii  RT/RW 04/01 Desa/Kelurahan Ciroyom Kecamatan Andir Bandung Jawa Barat 40182</v>
      </c>
    </row>
    <row r="73" spans="1:91" ht="24.95" customHeight="1">
      <c r="A73" s="58">
        <f>SUBTOTAL(3,N$8:Table2[[#This Row],[Nama lengkap]])</f>
        <v>66</v>
      </c>
      <c r="B73" s="58" t="s">
        <v>86</v>
      </c>
      <c r="C73" s="58">
        <v>2022</v>
      </c>
      <c r="D73" s="58"/>
      <c r="E73" s="58">
        <v>2</v>
      </c>
      <c r="F73" s="58" t="s">
        <v>979</v>
      </c>
      <c r="G73" s="32" t="s">
        <v>2513</v>
      </c>
      <c r="H73" s="32" t="s">
        <v>2513</v>
      </c>
      <c r="I73" s="32" t="s">
        <v>2513</v>
      </c>
      <c r="J73" s="32"/>
      <c r="K73" s="32"/>
      <c r="L73" s="32"/>
      <c r="M73" s="58">
        <v>22230034</v>
      </c>
      <c r="N73" s="24" t="s">
        <v>5864</v>
      </c>
      <c r="O73" s="24"/>
      <c r="P73" s="25" t="s">
        <v>1053</v>
      </c>
      <c r="Q73" s="25" t="s">
        <v>1054</v>
      </c>
      <c r="R73" s="60" t="s">
        <v>90</v>
      </c>
      <c r="S73" s="61" t="s">
        <v>1055</v>
      </c>
      <c r="T73" s="47" t="s">
        <v>92</v>
      </c>
      <c r="U73" s="47">
        <v>1</v>
      </c>
      <c r="V73" s="47">
        <v>1</v>
      </c>
      <c r="W73" s="47" t="s">
        <v>207</v>
      </c>
      <c r="X73" s="59" t="s">
        <v>984</v>
      </c>
      <c r="Y73" s="59" t="s">
        <v>1056</v>
      </c>
      <c r="Z73" s="59" t="s">
        <v>986</v>
      </c>
      <c r="AA73" s="59" t="s">
        <v>96</v>
      </c>
      <c r="AB73" s="59" t="s">
        <v>689</v>
      </c>
      <c r="AC73" s="59" t="s">
        <v>208</v>
      </c>
      <c r="AD73" s="59" t="s">
        <v>208</v>
      </c>
      <c r="AE73" s="60" t="s">
        <v>1057</v>
      </c>
      <c r="AF73" s="59" t="s">
        <v>8323</v>
      </c>
      <c r="AG73" s="59" t="s">
        <v>8323</v>
      </c>
      <c r="AH73" s="59" t="s">
        <v>691</v>
      </c>
      <c r="AI73" s="59" t="s">
        <v>623</v>
      </c>
      <c r="AJ73" s="61">
        <v>29975</v>
      </c>
      <c r="AK73" s="60" t="s">
        <v>1059</v>
      </c>
      <c r="AL73" s="60" t="s">
        <v>289</v>
      </c>
      <c r="AM73" s="59" t="s">
        <v>700</v>
      </c>
      <c r="AN73" s="60" t="s">
        <v>1060</v>
      </c>
      <c r="AO73" s="60"/>
      <c r="AP73" s="59" t="s">
        <v>1061</v>
      </c>
      <c r="AQ73" s="25" t="s">
        <v>521</v>
      </c>
      <c r="AR73" s="60" t="s">
        <v>1062</v>
      </c>
      <c r="AS73" s="59" t="s">
        <v>1063</v>
      </c>
      <c r="AT73" s="59" t="s">
        <v>141</v>
      </c>
      <c r="AU73" s="59" t="s">
        <v>111</v>
      </c>
      <c r="AV73" s="62">
        <v>40394</v>
      </c>
      <c r="AW73" s="59" t="s">
        <v>7844</v>
      </c>
      <c r="AX73" s="59" t="s">
        <v>691</v>
      </c>
      <c r="AY73" s="59" t="s">
        <v>90</v>
      </c>
      <c r="AZ73" s="126">
        <v>30728</v>
      </c>
      <c r="BA73" s="60" t="s">
        <v>1064</v>
      </c>
      <c r="BB73" s="60" t="s">
        <v>845</v>
      </c>
      <c r="BC73" s="59" t="s">
        <v>700</v>
      </c>
      <c r="BD73" s="60" t="s">
        <v>1060</v>
      </c>
      <c r="BE73" s="60"/>
      <c r="BF73" s="60"/>
      <c r="BG73" s="59" t="s">
        <v>1061</v>
      </c>
      <c r="BH73" s="60" t="s">
        <v>521</v>
      </c>
      <c r="BI73" s="60" t="s">
        <v>1062</v>
      </c>
      <c r="BJ73" s="24" t="s">
        <v>1063</v>
      </c>
      <c r="BK73" s="59" t="s">
        <v>141</v>
      </c>
      <c r="BL73" s="59" t="s">
        <v>156</v>
      </c>
      <c r="BM73" s="24">
        <v>40394</v>
      </c>
      <c r="BN73" s="24"/>
      <c r="BO73" s="59"/>
      <c r="BP73" s="59"/>
      <c r="BQ73" s="77"/>
      <c r="BR73" s="60"/>
      <c r="BS73" s="60"/>
      <c r="BT73" s="59"/>
      <c r="BU73" s="60"/>
      <c r="BV73" s="60"/>
      <c r="BW73" s="59"/>
      <c r="BX73" s="60"/>
      <c r="BY73" s="60"/>
      <c r="BZ73" s="59"/>
      <c r="CA73" s="59"/>
      <c r="CB73" s="59"/>
      <c r="CC73" s="59"/>
      <c r="CD73" s="59"/>
      <c r="CE73" s="59" t="s">
        <v>7381</v>
      </c>
      <c r="CF73" s="60" t="s">
        <v>521</v>
      </c>
      <c r="CG73" s="59" t="s">
        <v>6774</v>
      </c>
      <c r="CH73" s="59" t="s">
        <v>295</v>
      </c>
      <c r="CI73" s="59" t="s">
        <v>90</v>
      </c>
      <c r="CJ73" s="59" t="s">
        <v>111</v>
      </c>
      <c r="CK73" s="47">
        <v>40394</v>
      </c>
      <c r="CL73" s="64" t="str">
        <f t="shared" ca="1" si="1"/>
        <v>16 Tahun 2 Bulan 20 Hari</v>
      </c>
      <c r="CM7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Kp.Kaum RT/RW 02/05 Desa/Kelurahan Bojongloa Kecamatan Rancaekek Bandung Jawa Barat 40394</v>
      </c>
    </row>
    <row r="74" spans="1:91" ht="24.95" customHeight="1">
      <c r="A74" s="58">
        <f>SUBTOTAL(3,N$8:Table2[[#This Row],[Nama lengkap]])</f>
        <v>67</v>
      </c>
      <c r="B74" s="58" t="s">
        <v>86</v>
      </c>
      <c r="C74" s="58">
        <v>2022</v>
      </c>
      <c r="D74" s="58"/>
      <c r="E74" s="58">
        <v>2</v>
      </c>
      <c r="F74" s="58" t="s">
        <v>979</v>
      </c>
      <c r="G74" s="165" t="s">
        <v>93</v>
      </c>
      <c r="H74" s="32"/>
      <c r="I74" s="32"/>
      <c r="J74" s="32"/>
      <c r="K74" s="32"/>
      <c r="L74" s="32"/>
      <c r="M74" s="58">
        <v>22230116</v>
      </c>
      <c r="N74" s="24" t="s">
        <v>5865</v>
      </c>
      <c r="O74" s="24"/>
      <c r="P74" s="25" t="s">
        <v>1065</v>
      </c>
      <c r="Q74" s="25" t="s">
        <v>1066</v>
      </c>
      <c r="R74" s="60" t="s">
        <v>90</v>
      </c>
      <c r="S74" s="61" t="s">
        <v>1067</v>
      </c>
      <c r="T74" s="47" t="s">
        <v>92</v>
      </c>
      <c r="U74" s="47">
        <v>2</v>
      </c>
      <c r="V74" s="47">
        <v>1</v>
      </c>
      <c r="W74" s="47" t="s">
        <v>207</v>
      </c>
      <c r="X74" s="59" t="s">
        <v>984</v>
      </c>
      <c r="Y74" s="59" t="s">
        <v>1068</v>
      </c>
      <c r="Z74" s="59" t="s">
        <v>1069</v>
      </c>
      <c r="AA74" s="59" t="s">
        <v>96</v>
      </c>
      <c r="AB74" s="59" t="s">
        <v>689</v>
      </c>
      <c r="AC74" s="59" t="s">
        <v>208</v>
      </c>
      <c r="AD74" s="59" t="s">
        <v>208</v>
      </c>
      <c r="AE74" s="60" t="s">
        <v>1070</v>
      </c>
      <c r="AF74" s="60" t="s">
        <v>7845</v>
      </c>
      <c r="AG74" s="59" t="s">
        <v>8324</v>
      </c>
      <c r="AH74" s="59" t="s">
        <v>1071</v>
      </c>
      <c r="AI74" s="59"/>
      <c r="AJ74" s="61"/>
      <c r="AK74" s="60"/>
      <c r="AL74" s="60"/>
      <c r="AM74" s="59"/>
      <c r="AN74" s="60"/>
      <c r="AO74" s="60"/>
      <c r="AP74" s="59"/>
      <c r="AQ74" s="25"/>
      <c r="AR74" s="60"/>
      <c r="AS74" s="59"/>
      <c r="AT74" s="59"/>
      <c r="AU74" s="59" t="s">
        <v>111</v>
      </c>
      <c r="AV74" s="62"/>
      <c r="AW74" s="59" t="s">
        <v>7845</v>
      </c>
      <c r="AX74" s="59" t="s">
        <v>691</v>
      </c>
      <c r="AY74" s="59" t="s">
        <v>90</v>
      </c>
      <c r="AZ74" s="126" t="s">
        <v>1072</v>
      </c>
      <c r="BA74" s="60" t="s">
        <v>1073</v>
      </c>
      <c r="BB74" s="60" t="s">
        <v>845</v>
      </c>
      <c r="BC74" s="59" t="s">
        <v>800</v>
      </c>
      <c r="BD74" s="60" t="s">
        <v>1074</v>
      </c>
      <c r="BE74" s="60"/>
      <c r="BF74" s="60"/>
      <c r="BG74" s="59" t="s">
        <v>1075</v>
      </c>
      <c r="BH74" s="60" t="s">
        <v>1076</v>
      </c>
      <c r="BI74" s="60" t="s">
        <v>1077</v>
      </c>
      <c r="BJ74" s="24" t="s">
        <v>1077</v>
      </c>
      <c r="BK74" s="59" t="s">
        <v>141</v>
      </c>
      <c r="BL74" s="59" t="s">
        <v>156</v>
      </c>
      <c r="BM74" s="24">
        <v>40288</v>
      </c>
      <c r="BN74" s="24"/>
      <c r="BO74" s="59"/>
      <c r="BP74" s="59"/>
      <c r="BQ74" s="77"/>
      <c r="BR74" s="60"/>
      <c r="BS74" s="60"/>
      <c r="BT74" s="59"/>
      <c r="BU74" s="60"/>
      <c r="BV74" s="60"/>
      <c r="BW74" s="59"/>
      <c r="BX74" s="60"/>
      <c r="BY74" s="60"/>
      <c r="BZ74" s="59"/>
      <c r="CA74" s="59"/>
      <c r="CB74" s="59"/>
      <c r="CC74" s="59"/>
      <c r="CD74" s="59"/>
      <c r="CE74" s="59" t="s">
        <v>7382</v>
      </c>
      <c r="CF74" s="60" t="s">
        <v>1076</v>
      </c>
      <c r="CG74" s="59" t="s">
        <v>7047</v>
      </c>
      <c r="CH74" s="59" t="s">
        <v>7047</v>
      </c>
      <c r="CI74" s="59" t="s">
        <v>90</v>
      </c>
      <c r="CJ74" s="59" t="s">
        <v>111</v>
      </c>
      <c r="CK74" s="47">
        <v>40288</v>
      </c>
      <c r="CL74" s="64" t="str">
        <f t="shared" ca="1" si="1"/>
        <v>16 Tahun 0 Bulan 13 Hari</v>
      </c>
      <c r="CM7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Kp.Cikoneng RT/RW 03/06 Desa/Kelurahan Bojongsoang Kecamatan Bojongsoang Bandung Jawa Barat 40288</v>
      </c>
    </row>
    <row r="75" spans="1:91" ht="24.95" customHeight="1">
      <c r="A75" s="58">
        <f>SUBTOTAL(3,N$8:Table2[[#This Row],[Nama lengkap]])</f>
        <v>68</v>
      </c>
      <c r="B75" s="58" t="s">
        <v>86</v>
      </c>
      <c r="C75" s="58">
        <v>2023</v>
      </c>
      <c r="D75" s="58"/>
      <c r="E75" s="58">
        <v>2</v>
      </c>
      <c r="F75" s="58" t="s">
        <v>979</v>
      </c>
      <c r="G75" s="32" t="s">
        <v>2513</v>
      </c>
      <c r="H75" s="32" t="s">
        <v>2513</v>
      </c>
      <c r="I75" s="32" t="s">
        <v>2513</v>
      </c>
      <c r="J75" s="32"/>
      <c r="K75" s="32"/>
      <c r="L75" s="32"/>
      <c r="M75" s="58">
        <v>23240129</v>
      </c>
      <c r="N75" s="24" t="s">
        <v>5866</v>
      </c>
      <c r="O75" s="24"/>
      <c r="P75" s="25" t="s">
        <v>1078</v>
      </c>
      <c r="Q75" s="25" t="s">
        <v>1079</v>
      </c>
      <c r="R75" s="60" t="s">
        <v>236</v>
      </c>
      <c r="S75" s="61" t="s">
        <v>1080</v>
      </c>
      <c r="T75" s="47" t="s">
        <v>92</v>
      </c>
      <c r="U75" s="47">
        <v>2</v>
      </c>
      <c r="V75" s="47">
        <v>1</v>
      </c>
      <c r="W75" s="47" t="s">
        <v>207</v>
      </c>
      <c r="X75" s="59" t="s">
        <v>984</v>
      </c>
      <c r="Y75" s="59" t="s">
        <v>1068</v>
      </c>
      <c r="Z75" s="59" t="s">
        <v>1081</v>
      </c>
      <c r="AA75" s="59" t="s">
        <v>795</v>
      </c>
      <c r="AB75" s="59" t="s">
        <v>689</v>
      </c>
      <c r="AC75" s="59" t="s">
        <v>208</v>
      </c>
      <c r="AD75" s="59" t="s">
        <v>208</v>
      </c>
      <c r="AE75" s="60" t="s">
        <v>1082</v>
      </c>
      <c r="AF75" s="60" t="s">
        <v>8325</v>
      </c>
      <c r="AG75" s="59" t="s">
        <v>8325</v>
      </c>
      <c r="AH75" s="59" t="s">
        <v>691</v>
      </c>
      <c r="AI75" s="59" t="s">
        <v>236</v>
      </c>
      <c r="AJ75" s="61" t="s">
        <v>1083</v>
      </c>
      <c r="AK75" s="60" t="s">
        <v>1084</v>
      </c>
      <c r="AL75" s="60" t="s">
        <v>914</v>
      </c>
      <c r="AM75" s="59" t="s">
        <v>149</v>
      </c>
      <c r="AN75" s="60" t="s">
        <v>1085</v>
      </c>
      <c r="AO75" s="60"/>
      <c r="AP75" s="59" t="s">
        <v>1086</v>
      </c>
      <c r="AQ75" s="25" t="s">
        <v>1087</v>
      </c>
      <c r="AR75" s="60" t="s">
        <v>696</v>
      </c>
      <c r="AS75" s="59" t="s">
        <v>697</v>
      </c>
      <c r="AT75" s="59" t="s">
        <v>512</v>
      </c>
      <c r="AU75" s="59" t="s">
        <v>111</v>
      </c>
      <c r="AV75" s="62">
        <v>44153</v>
      </c>
      <c r="AW75" s="59" t="s">
        <v>7846</v>
      </c>
      <c r="AX75" s="59" t="s">
        <v>691</v>
      </c>
      <c r="AY75" s="59" t="s">
        <v>236</v>
      </c>
      <c r="AZ75" s="126">
        <v>30834</v>
      </c>
      <c r="BA75" s="60" t="s">
        <v>1088</v>
      </c>
      <c r="BB75" s="60" t="s">
        <v>845</v>
      </c>
      <c r="BC75" s="59" t="s">
        <v>149</v>
      </c>
      <c r="BD75" s="60" t="s">
        <v>1085</v>
      </c>
      <c r="BE75" s="60"/>
      <c r="BF75" s="60"/>
      <c r="BG75" s="59" t="s">
        <v>1086</v>
      </c>
      <c r="BH75" s="60" t="s">
        <v>1087</v>
      </c>
      <c r="BI75" s="60" t="s">
        <v>696</v>
      </c>
      <c r="BJ75" s="24" t="s">
        <v>697</v>
      </c>
      <c r="BK75" s="59" t="s">
        <v>512</v>
      </c>
      <c r="BL75" s="59" t="s">
        <v>156</v>
      </c>
      <c r="BM75" s="24">
        <v>44153</v>
      </c>
      <c r="BN75" s="24"/>
      <c r="BO75" s="59"/>
      <c r="BP75" s="59"/>
      <c r="BQ75" s="77"/>
      <c r="BR75" s="60"/>
      <c r="BS75" s="60"/>
      <c r="BT75" s="59"/>
      <c r="BU75" s="60"/>
      <c r="BV75" s="60"/>
      <c r="BW75" s="59"/>
      <c r="BX75" s="60"/>
      <c r="BY75" s="60"/>
      <c r="BZ75" s="59"/>
      <c r="CA75" s="59"/>
      <c r="CB75" s="59"/>
      <c r="CC75" s="59"/>
      <c r="CD75" s="59"/>
      <c r="CE75" s="59" t="s">
        <v>7383</v>
      </c>
      <c r="CF75" s="60" t="s">
        <v>1087</v>
      </c>
      <c r="CG75" s="59" t="s">
        <v>7025</v>
      </c>
      <c r="CH75" s="59" t="s">
        <v>7010</v>
      </c>
      <c r="CI75" s="59" t="s">
        <v>236</v>
      </c>
      <c r="CJ75" s="59" t="s">
        <v>111</v>
      </c>
      <c r="CK75" s="47">
        <v>44153</v>
      </c>
      <c r="CL75" s="64" t="str">
        <f t="shared" ca="1" si="1"/>
        <v>14 Tahun 8 Bulan 29 Hari</v>
      </c>
      <c r="CM7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Lunjuk Hilir  RT/RW 05/13 Desa/Kelurahan Talagasari Kecamatan Kadungora Garut Jawa Barat 44153</v>
      </c>
    </row>
    <row r="76" spans="1:91" ht="24.95" customHeight="1">
      <c r="A76" s="58">
        <f>SUBTOTAL(3,N$8:Table2[[#This Row],[Nama lengkap]])</f>
        <v>69</v>
      </c>
      <c r="B76" s="58" t="s">
        <v>86</v>
      </c>
      <c r="C76" s="58">
        <v>2023</v>
      </c>
      <c r="D76" s="58"/>
      <c r="E76" s="58">
        <v>2</v>
      </c>
      <c r="F76" s="58" t="s">
        <v>979</v>
      </c>
      <c r="G76" s="32" t="s">
        <v>2513</v>
      </c>
      <c r="H76" s="32" t="s">
        <v>2513</v>
      </c>
      <c r="I76" s="32" t="s">
        <v>2513</v>
      </c>
      <c r="J76" s="32"/>
      <c r="K76" s="32"/>
      <c r="L76" s="32"/>
      <c r="M76" s="58">
        <v>23240072</v>
      </c>
      <c r="N76" s="24" t="s">
        <v>8756</v>
      </c>
      <c r="O76" s="24"/>
      <c r="P76" s="25" t="s">
        <v>8971</v>
      </c>
      <c r="Q76" s="25" t="s">
        <v>1089</v>
      </c>
      <c r="R76" s="60" t="s">
        <v>122</v>
      </c>
      <c r="S76" s="61" t="s">
        <v>1091</v>
      </c>
      <c r="T76" s="47" t="s">
        <v>92</v>
      </c>
      <c r="U76" s="47">
        <v>1</v>
      </c>
      <c r="V76" s="47">
        <v>1</v>
      </c>
      <c r="W76" s="47" t="s">
        <v>207</v>
      </c>
      <c r="X76" s="59" t="s">
        <v>123</v>
      </c>
      <c r="Y76" s="59" t="s">
        <v>1092</v>
      </c>
      <c r="Z76" s="59" t="s">
        <v>1093</v>
      </c>
      <c r="AA76" s="59" t="s">
        <v>1028</v>
      </c>
      <c r="AB76" s="59" t="s">
        <v>689</v>
      </c>
      <c r="AC76" s="59" t="s">
        <v>208</v>
      </c>
      <c r="AD76" s="59" t="s">
        <v>208</v>
      </c>
      <c r="AE76" s="60" t="s">
        <v>1094</v>
      </c>
      <c r="AF76" s="60" t="s">
        <v>8326</v>
      </c>
      <c r="AG76" s="59" t="s">
        <v>8326</v>
      </c>
      <c r="AH76" s="59" t="s">
        <v>691</v>
      </c>
      <c r="AI76" s="59" t="s">
        <v>122</v>
      </c>
      <c r="AJ76" s="61" t="s">
        <v>1095</v>
      </c>
      <c r="AK76" s="60" t="s">
        <v>1096</v>
      </c>
      <c r="AL76" s="60" t="s">
        <v>114</v>
      </c>
      <c r="AM76" s="59" t="s">
        <v>700</v>
      </c>
      <c r="AN76" s="60" t="s">
        <v>1097</v>
      </c>
      <c r="AO76" s="60"/>
      <c r="AP76" s="59" t="s">
        <v>1098</v>
      </c>
      <c r="AQ76" s="25" t="s">
        <v>1099</v>
      </c>
      <c r="AR76" s="60" t="s">
        <v>1100</v>
      </c>
      <c r="AS76" s="59" t="s">
        <v>1101</v>
      </c>
      <c r="AT76" s="59" t="s">
        <v>1090</v>
      </c>
      <c r="AU76" s="59" t="s">
        <v>111</v>
      </c>
      <c r="AV76" s="62">
        <v>45351</v>
      </c>
      <c r="AW76" s="59" t="s">
        <v>7847</v>
      </c>
      <c r="AX76" s="59" t="s">
        <v>691</v>
      </c>
      <c r="AY76" s="59" t="s">
        <v>122</v>
      </c>
      <c r="AZ76" s="126" t="s">
        <v>1102</v>
      </c>
      <c r="BA76" s="60" t="s">
        <v>1103</v>
      </c>
      <c r="BB76" s="60" t="s">
        <v>7770</v>
      </c>
      <c r="BC76" s="59" t="s">
        <v>700</v>
      </c>
      <c r="BD76" s="60" t="s">
        <v>1097</v>
      </c>
      <c r="BE76" s="60"/>
      <c r="BF76" s="60"/>
      <c r="BG76" s="59" t="s">
        <v>1098</v>
      </c>
      <c r="BH76" s="60" t="s">
        <v>1099</v>
      </c>
      <c r="BI76" s="60" t="s">
        <v>1100</v>
      </c>
      <c r="BJ76" s="24" t="s">
        <v>1101</v>
      </c>
      <c r="BK76" s="59" t="s">
        <v>1090</v>
      </c>
      <c r="BL76" s="59" t="s">
        <v>156</v>
      </c>
      <c r="BM76" s="24">
        <v>45351</v>
      </c>
      <c r="BN76" s="24"/>
      <c r="BO76" s="59"/>
      <c r="BP76" s="59"/>
      <c r="BQ76" s="77"/>
      <c r="BR76" s="60"/>
      <c r="BS76" s="60"/>
      <c r="BT76" s="59"/>
      <c r="BU76" s="60"/>
      <c r="BV76" s="60"/>
      <c r="BW76" s="59"/>
      <c r="BX76" s="60"/>
      <c r="BY76" s="60"/>
      <c r="BZ76" s="59"/>
      <c r="CA76" s="59"/>
      <c r="CB76" s="59"/>
      <c r="CC76" s="59"/>
      <c r="CD76" s="59"/>
      <c r="CE76" s="59" t="s">
        <v>7384</v>
      </c>
      <c r="CF76" s="60" t="s">
        <v>1099</v>
      </c>
      <c r="CG76" s="59" t="s">
        <v>7048</v>
      </c>
      <c r="CH76" s="59" t="s">
        <v>6945</v>
      </c>
      <c r="CI76" s="59" t="s">
        <v>122</v>
      </c>
      <c r="CJ76" s="59" t="s">
        <v>111</v>
      </c>
      <c r="CK76" s="47">
        <v>45351</v>
      </c>
      <c r="CL76" s="64" t="str">
        <f t="shared" ca="1" si="1"/>
        <v>17 Tahun 10 Bulan 10 Hari</v>
      </c>
      <c r="CM7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Dsn.Cihonje RT/RW 01/08 Desa/Kelurahan Gunasari Kecamatan Sumedang Selatan Sumedang Jawa Barat 45351</v>
      </c>
    </row>
    <row r="77" spans="1:91" ht="24.95" customHeight="1">
      <c r="A77" s="58">
        <f>SUBTOTAL(3,N$8:Table2[[#This Row],[Nama lengkap]])</f>
        <v>70</v>
      </c>
      <c r="B77" s="58" t="s">
        <v>86</v>
      </c>
      <c r="C77" s="58">
        <v>2023</v>
      </c>
      <c r="D77" s="58"/>
      <c r="E77" s="58">
        <v>2</v>
      </c>
      <c r="F77" s="58" t="s">
        <v>979</v>
      </c>
      <c r="G77" s="32" t="s">
        <v>2513</v>
      </c>
      <c r="H77" s="32" t="s">
        <v>2513</v>
      </c>
      <c r="I77" s="32" t="s">
        <v>2513</v>
      </c>
      <c r="J77" s="32"/>
      <c r="K77" s="32"/>
      <c r="L77" s="32"/>
      <c r="M77" s="58">
        <v>23240080</v>
      </c>
      <c r="N77" s="24" t="s">
        <v>5870</v>
      </c>
      <c r="O77" s="24"/>
      <c r="P77" s="25" t="s">
        <v>1115</v>
      </c>
      <c r="Q77" s="25" t="s">
        <v>1116</v>
      </c>
      <c r="R77" s="60" t="s">
        <v>90</v>
      </c>
      <c r="S77" s="61" t="s">
        <v>1117</v>
      </c>
      <c r="T77" s="47" t="s">
        <v>92</v>
      </c>
      <c r="U77" s="47">
        <v>2</v>
      </c>
      <c r="V77" s="47">
        <v>2</v>
      </c>
      <c r="W77" s="47" t="s">
        <v>207</v>
      </c>
      <c r="X77" s="59" t="s">
        <v>93</v>
      </c>
      <c r="Y77" s="59" t="s">
        <v>999</v>
      </c>
      <c r="Z77" s="59" t="s">
        <v>1069</v>
      </c>
      <c r="AA77" s="59" t="s">
        <v>795</v>
      </c>
      <c r="AB77" s="59" t="s">
        <v>689</v>
      </c>
      <c r="AC77" s="59" t="s">
        <v>208</v>
      </c>
      <c r="AD77" s="59" t="s">
        <v>208</v>
      </c>
      <c r="AE77" s="60" t="s">
        <v>1118</v>
      </c>
      <c r="AF77" s="60" t="s">
        <v>8327</v>
      </c>
      <c r="AG77" s="59" t="s">
        <v>8327</v>
      </c>
      <c r="AH77" s="59" t="s">
        <v>691</v>
      </c>
      <c r="AI77" s="59" t="s">
        <v>135</v>
      </c>
      <c r="AJ77" s="61">
        <v>29013</v>
      </c>
      <c r="AK77" s="60" t="s">
        <v>1119</v>
      </c>
      <c r="AL77" s="60" t="s">
        <v>114</v>
      </c>
      <c r="AM77" s="59" t="s">
        <v>159</v>
      </c>
      <c r="AN77" s="60" t="s">
        <v>1120</v>
      </c>
      <c r="AO77" s="60"/>
      <c r="AP77" s="59" t="s">
        <v>1121</v>
      </c>
      <c r="AQ77" s="25" t="s">
        <v>1122</v>
      </c>
      <c r="AR77" s="60" t="s">
        <v>1123</v>
      </c>
      <c r="AS77" s="59" t="s">
        <v>1124</v>
      </c>
      <c r="AT77" s="59" t="s">
        <v>141</v>
      </c>
      <c r="AU77" s="59" t="s">
        <v>111</v>
      </c>
      <c r="AV77" s="62">
        <v>40626</v>
      </c>
      <c r="AW77" s="59" t="s">
        <v>7848</v>
      </c>
      <c r="AX77" s="59" t="s">
        <v>691</v>
      </c>
      <c r="AY77" s="59" t="s">
        <v>135</v>
      </c>
      <c r="AZ77" s="126">
        <v>30717</v>
      </c>
      <c r="BA77" s="60" t="s">
        <v>1125</v>
      </c>
      <c r="BB77" s="60" t="s">
        <v>845</v>
      </c>
      <c r="BC77" s="59" t="s">
        <v>1126</v>
      </c>
      <c r="BD77" s="60" t="s">
        <v>1120</v>
      </c>
      <c r="BE77" s="60"/>
      <c r="BF77" s="60"/>
      <c r="BG77" s="59" t="s">
        <v>1121</v>
      </c>
      <c r="BH77" s="60" t="s">
        <v>1122</v>
      </c>
      <c r="BI77" s="60" t="s">
        <v>1123</v>
      </c>
      <c r="BJ77" s="24" t="s">
        <v>1124</v>
      </c>
      <c r="BK77" s="59" t="s">
        <v>141</v>
      </c>
      <c r="BL77" s="59" t="s">
        <v>156</v>
      </c>
      <c r="BM77" s="24">
        <v>40626</v>
      </c>
      <c r="BN77" s="24"/>
      <c r="BO77" s="59"/>
      <c r="BP77" s="59"/>
      <c r="BQ77" s="77"/>
      <c r="BR77" s="60"/>
      <c r="BS77" s="60"/>
      <c r="BT77" s="59"/>
      <c r="BU77" s="60"/>
      <c r="BV77" s="60"/>
      <c r="BW77" s="59"/>
      <c r="BX77" s="60"/>
      <c r="BY77" s="60"/>
      <c r="BZ77" s="59"/>
      <c r="CA77" s="59"/>
      <c r="CB77" s="59"/>
      <c r="CC77" s="59"/>
      <c r="CD77" s="59"/>
      <c r="CE77" s="59" t="s">
        <v>7385</v>
      </c>
      <c r="CF77" s="60" t="s">
        <v>1122</v>
      </c>
      <c r="CG77" s="59" t="s">
        <v>7049</v>
      </c>
      <c r="CH77" s="59" t="s">
        <v>7050</v>
      </c>
      <c r="CI77" s="59" t="s">
        <v>90</v>
      </c>
      <c r="CJ77" s="59" t="s">
        <v>111</v>
      </c>
      <c r="CK77" s="47">
        <v>40626</v>
      </c>
      <c r="CL77" s="64" t="str">
        <f t="shared" ca="1" si="1"/>
        <v>15 Tahun 1 Bulan 1 Hari</v>
      </c>
      <c r="CM7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Kav. Mekar Biru No.149 A RT/RW 03/07 Desa/Kelurahan Cibiru Hilir Kecamatan Cileunyi Bandung Jawa Barat 40626</v>
      </c>
    </row>
    <row r="78" spans="1:91" ht="24.95" customHeight="1">
      <c r="A78" s="58">
        <f>SUBTOTAL(3,N$8:Table2[[#This Row],[Nama lengkap]])</f>
        <v>71</v>
      </c>
      <c r="B78" s="58" t="s">
        <v>86</v>
      </c>
      <c r="C78" s="58">
        <v>2023</v>
      </c>
      <c r="D78" s="58"/>
      <c r="E78" s="58">
        <v>2</v>
      </c>
      <c r="F78" s="58" t="s">
        <v>979</v>
      </c>
      <c r="G78" s="165" t="s">
        <v>93</v>
      </c>
      <c r="H78" s="32"/>
      <c r="I78" s="32"/>
      <c r="J78" s="32"/>
      <c r="K78" s="32"/>
      <c r="L78" s="32"/>
      <c r="M78" s="58">
        <v>23240153</v>
      </c>
      <c r="N78" s="24" t="s">
        <v>5872</v>
      </c>
      <c r="O78" s="24"/>
      <c r="P78" s="25">
        <v>3103158561</v>
      </c>
      <c r="Q78" s="25" t="s">
        <v>1127</v>
      </c>
      <c r="R78" s="60" t="s">
        <v>90</v>
      </c>
      <c r="S78" s="61" t="s">
        <v>1128</v>
      </c>
      <c r="T78" s="47" t="s">
        <v>92</v>
      </c>
      <c r="U78" s="47">
        <v>1</v>
      </c>
      <c r="V78" s="47">
        <v>1</v>
      </c>
      <c r="W78" s="47" t="s">
        <v>207</v>
      </c>
      <c r="X78" s="59" t="s">
        <v>984</v>
      </c>
      <c r="Y78" s="59" t="s">
        <v>999</v>
      </c>
      <c r="Z78" s="59" t="s">
        <v>1069</v>
      </c>
      <c r="AA78" s="59" t="s">
        <v>795</v>
      </c>
      <c r="AB78" s="59" t="s">
        <v>689</v>
      </c>
      <c r="AC78" s="59" t="s">
        <v>208</v>
      </c>
      <c r="AD78" s="59" t="s">
        <v>208</v>
      </c>
      <c r="AE78" s="60" t="s">
        <v>1129</v>
      </c>
      <c r="AF78" s="60" t="s">
        <v>8328</v>
      </c>
      <c r="AG78" s="59" t="s">
        <v>8328</v>
      </c>
      <c r="AH78" s="59" t="s">
        <v>1071</v>
      </c>
      <c r="AI78" s="59"/>
      <c r="AJ78" s="61"/>
      <c r="AK78" s="60"/>
      <c r="AL78" s="60"/>
      <c r="AM78" s="59"/>
      <c r="AN78" s="60"/>
      <c r="AO78" s="60"/>
      <c r="AP78" s="59" t="s">
        <v>1130</v>
      </c>
      <c r="AQ78" s="25" t="s">
        <v>712</v>
      </c>
      <c r="AR78" s="60" t="s">
        <v>1131</v>
      </c>
      <c r="AS78" s="59" t="s">
        <v>955</v>
      </c>
      <c r="AT78" s="59" t="s">
        <v>141</v>
      </c>
      <c r="AU78" s="59" t="s">
        <v>111</v>
      </c>
      <c r="AV78" s="62">
        <v>40912</v>
      </c>
      <c r="AW78" s="59" t="s">
        <v>7849</v>
      </c>
      <c r="AX78" s="59" t="s">
        <v>691</v>
      </c>
      <c r="AY78" s="59" t="s">
        <v>90</v>
      </c>
      <c r="AZ78" s="126" t="s">
        <v>1132</v>
      </c>
      <c r="BA78" s="60" t="s">
        <v>1133</v>
      </c>
      <c r="BB78" s="60" t="s">
        <v>602</v>
      </c>
      <c r="BC78" s="59" t="s">
        <v>1134</v>
      </c>
      <c r="BD78" s="60"/>
      <c r="BE78" s="60"/>
      <c r="BF78" s="60"/>
      <c r="BG78" s="59" t="s">
        <v>1130</v>
      </c>
      <c r="BH78" s="60" t="s">
        <v>712</v>
      </c>
      <c r="BI78" s="60" t="s">
        <v>1131</v>
      </c>
      <c r="BJ78" s="24" t="s">
        <v>955</v>
      </c>
      <c r="BK78" s="59" t="s">
        <v>141</v>
      </c>
      <c r="BL78" s="59" t="s">
        <v>156</v>
      </c>
      <c r="BM78" s="24">
        <v>40912</v>
      </c>
      <c r="BN78" s="24"/>
      <c r="BO78" s="59"/>
      <c r="BP78" s="59"/>
      <c r="BQ78" s="77"/>
      <c r="BR78" s="60"/>
      <c r="BS78" s="60"/>
      <c r="BT78" s="59"/>
      <c r="BU78" s="60"/>
      <c r="BV78" s="60"/>
      <c r="BW78" s="59"/>
      <c r="BX78" s="60"/>
      <c r="BY78" s="60"/>
      <c r="BZ78" s="59"/>
      <c r="CA78" s="59"/>
      <c r="CB78" s="59"/>
      <c r="CC78" s="59"/>
      <c r="CD78" s="59"/>
      <c r="CE78" s="59" t="s">
        <v>7386</v>
      </c>
      <c r="CF78" s="60" t="s">
        <v>712</v>
      </c>
      <c r="CG78" s="59" t="s">
        <v>7051</v>
      </c>
      <c r="CH78" s="59" t="s">
        <v>7039</v>
      </c>
      <c r="CI78" s="59" t="s">
        <v>90</v>
      </c>
      <c r="CJ78" s="59" t="s">
        <v>111</v>
      </c>
      <c r="CK78" s="47">
        <v>40912</v>
      </c>
      <c r="CL78" s="64" t="str">
        <f t="shared" ca="1" si="1"/>
        <v>15 Tahun 7 Bulan 22 Hari</v>
      </c>
      <c r="CM7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 Lembur Tegal  RT/RW 04/04 Desa/Kelurahan Pamekaran Kecamatan Soreang Bandung Jawa Barat 40912</v>
      </c>
    </row>
    <row r="79" spans="1:91" ht="24.95" customHeight="1">
      <c r="A79" s="58">
        <f>SUBTOTAL(3,N$8:Table2[[#This Row],[Nama lengkap]])</f>
        <v>72</v>
      </c>
      <c r="B79" s="58" t="s">
        <v>86</v>
      </c>
      <c r="C79" s="58">
        <v>2021</v>
      </c>
      <c r="D79" s="58"/>
      <c r="E79" s="58">
        <v>2</v>
      </c>
      <c r="F79" s="58" t="s">
        <v>979</v>
      </c>
      <c r="G79" s="32" t="s">
        <v>2513</v>
      </c>
      <c r="H79" s="32" t="s">
        <v>2513</v>
      </c>
      <c r="I79" s="32" t="s">
        <v>2513</v>
      </c>
      <c r="J79" s="32"/>
      <c r="K79" s="32"/>
      <c r="L79" s="32"/>
      <c r="M79" s="58">
        <v>21220182</v>
      </c>
      <c r="N79" s="24" t="s">
        <v>8757</v>
      </c>
      <c r="O79" s="24"/>
      <c r="P79" s="25" t="s">
        <v>1136</v>
      </c>
      <c r="Q79" s="25" t="s">
        <v>1137</v>
      </c>
      <c r="R79" s="60" t="s">
        <v>90</v>
      </c>
      <c r="S79" s="61" t="s">
        <v>1138</v>
      </c>
      <c r="T79" s="47" t="s">
        <v>92</v>
      </c>
      <c r="U79" s="47">
        <v>1</v>
      </c>
      <c r="V79" s="47">
        <v>2</v>
      </c>
      <c r="W79" s="47" t="s">
        <v>207</v>
      </c>
      <c r="X79" s="59"/>
      <c r="Y79" s="63" t="s">
        <v>1139</v>
      </c>
      <c r="Z79" s="59" t="s">
        <v>1140</v>
      </c>
      <c r="AA79" s="63" t="s">
        <v>1141</v>
      </c>
      <c r="AB79" s="65" t="s">
        <v>689</v>
      </c>
      <c r="AC79" s="65" t="s">
        <v>208</v>
      </c>
      <c r="AD79" s="65" t="s">
        <v>208</v>
      </c>
      <c r="AE79" s="10" t="s">
        <v>1142</v>
      </c>
      <c r="AF79" s="11" t="s">
        <v>8329</v>
      </c>
      <c r="AG79" s="11" t="s">
        <v>8329</v>
      </c>
      <c r="AH79" s="65" t="s">
        <v>691</v>
      </c>
      <c r="AI79" s="11" t="s">
        <v>90</v>
      </c>
      <c r="AJ79" s="132">
        <v>30687</v>
      </c>
      <c r="AK79" s="10" t="s">
        <v>1143</v>
      </c>
      <c r="AL79" s="11" t="s">
        <v>224</v>
      </c>
      <c r="AM79" s="11" t="s">
        <v>700</v>
      </c>
      <c r="AN79" s="60"/>
      <c r="AO79" s="60"/>
      <c r="AP79" s="59" t="s">
        <v>1144</v>
      </c>
      <c r="AQ79" s="25" t="s">
        <v>1145</v>
      </c>
      <c r="AR79" s="11" t="s">
        <v>214</v>
      </c>
      <c r="AS79" s="11" t="s">
        <v>214</v>
      </c>
      <c r="AT79" s="11" t="s">
        <v>141</v>
      </c>
      <c r="AU79" s="59" t="s">
        <v>111</v>
      </c>
      <c r="AV79" s="62">
        <v>40197</v>
      </c>
      <c r="AW79" s="59" t="s">
        <v>7850</v>
      </c>
      <c r="AX79" s="59" t="s">
        <v>691</v>
      </c>
      <c r="AY79" s="59" t="s">
        <v>90</v>
      </c>
      <c r="AZ79" s="126" t="s">
        <v>1146</v>
      </c>
      <c r="BA79" s="60" t="s">
        <v>1147</v>
      </c>
      <c r="BB79" s="67" t="s">
        <v>845</v>
      </c>
      <c r="BC79" s="60" t="s">
        <v>700</v>
      </c>
      <c r="BD79" s="60"/>
      <c r="BE79" s="60"/>
      <c r="BF79" s="60"/>
      <c r="BG79" s="59" t="s">
        <v>1144</v>
      </c>
      <c r="BH79" s="25" t="s">
        <v>1145</v>
      </c>
      <c r="BI79" s="11" t="s">
        <v>214</v>
      </c>
      <c r="BJ79" s="14" t="s">
        <v>214</v>
      </c>
      <c r="BK79" s="11" t="s">
        <v>141</v>
      </c>
      <c r="BL79" s="11" t="s">
        <v>156</v>
      </c>
      <c r="BM79" s="24">
        <v>40197</v>
      </c>
      <c r="BN79" s="24"/>
      <c r="BO79" s="59" t="s">
        <v>719</v>
      </c>
      <c r="BP79" s="59"/>
      <c r="BQ79" s="77"/>
      <c r="BR79" s="60"/>
      <c r="BS79" s="60"/>
      <c r="BT79" s="59"/>
      <c r="BU79" s="60"/>
      <c r="BV79" s="60"/>
      <c r="BW79" s="59"/>
      <c r="BX79" s="60"/>
      <c r="BY79" s="60"/>
      <c r="BZ79" s="59"/>
      <c r="CA79" s="59"/>
      <c r="CB79" s="59"/>
      <c r="CC79" s="59"/>
      <c r="CD79" s="59"/>
      <c r="CE79" s="59" t="s">
        <v>7387</v>
      </c>
      <c r="CF79" s="60" t="s">
        <v>1145</v>
      </c>
      <c r="CG79" s="59" t="s">
        <v>5402</v>
      </c>
      <c r="CH79" s="59" t="s">
        <v>5402</v>
      </c>
      <c r="CI79" s="59" t="s">
        <v>90</v>
      </c>
      <c r="CJ79" s="59" t="s">
        <v>111</v>
      </c>
      <c r="CK79" s="47">
        <v>40197</v>
      </c>
      <c r="CL79" s="64" t="str">
        <f t="shared" ca="1" si="1"/>
        <v>19 Tahun 6 Bulan 1 Hari</v>
      </c>
      <c r="CM7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Cicayur RT/RW 01/12 Desa/Kelurahan Cimenyan Kecamatan Cimenyan Bandung Jawa Barat 40197</v>
      </c>
    </row>
    <row r="80" spans="1:91" ht="24.95" customHeight="1">
      <c r="A80" s="58">
        <f>SUBTOTAL(3,N$8:Table2[[#This Row],[Nama lengkap]])</f>
        <v>73</v>
      </c>
      <c r="B80" s="58" t="s">
        <v>86</v>
      </c>
      <c r="C80" s="58">
        <v>2023</v>
      </c>
      <c r="D80" s="58"/>
      <c r="E80" s="58">
        <v>2</v>
      </c>
      <c r="F80" s="58" t="s">
        <v>979</v>
      </c>
      <c r="G80" s="165" t="s">
        <v>93</v>
      </c>
      <c r="H80" s="32"/>
      <c r="I80" s="32"/>
      <c r="J80" s="32"/>
      <c r="K80" s="32"/>
      <c r="L80" s="32"/>
      <c r="M80" s="58">
        <v>23240058</v>
      </c>
      <c r="N80" s="24" t="s">
        <v>5873</v>
      </c>
      <c r="O80" s="24"/>
      <c r="P80" s="25" t="s">
        <v>9947</v>
      </c>
      <c r="Q80" s="25" t="s">
        <v>1148</v>
      </c>
      <c r="R80" s="60" t="s">
        <v>90</v>
      </c>
      <c r="S80" s="61" t="s">
        <v>1149</v>
      </c>
      <c r="T80" s="47" t="s">
        <v>92</v>
      </c>
      <c r="U80" s="47">
        <v>2</v>
      </c>
      <c r="V80" s="47">
        <v>1</v>
      </c>
      <c r="W80" s="47" t="s">
        <v>207</v>
      </c>
      <c r="X80" s="59" t="s">
        <v>123</v>
      </c>
      <c r="Y80" s="59" t="s">
        <v>1012</v>
      </c>
      <c r="Z80" s="59" t="s">
        <v>1150</v>
      </c>
      <c r="AA80" s="59" t="s">
        <v>96</v>
      </c>
      <c r="AB80" s="59" t="s">
        <v>1151</v>
      </c>
      <c r="AC80" s="59" t="s">
        <v>208</v>
      </c>
      <c r="AD80" s="59" t="s">
        <v>208</v>
      </c>
      <c r="AE80" s="60" t="s">
        <v>1152</v>
      </c>
      <c r="AF80" s="60" t="s">
        <v>7851</v>
      </c>
      <c r="AG80" s="60" t="s">
        <v>8330</v>
      </c>
      <c r="AH80" s="59" t="s">
        <v>1153</v>
      </c>
      <c r="AI80" s="59" t="s">
        <v>623</v>
      </c>
      <c r="AJ80" s="61">
        <v>29624</v>
      </c>
      <c r="AK80" s="60" t="s">
        <v>1154</v>
      </c>
      <c r="AL80" s="60" t="s">
        <v>602</v>
      </c>
      <c r="AM80" s="59"/>
      <c r="AN80" s="60"/>
      <c r="AO80" s="60"/>
      <c r="AP80" s="59" t="s">
        <v>1155</v>
      </c>
      <c r="AQ80" s="25" t="s">
        <v>1156</v>
      </c>
      <c r="AR80" s="60" t="s">
        <v>955</v>
      </c>
      <c r="AS80" s="59" t="s">
        <v>1157</v>
      </c>
      <c r="AT80" s="59" t="s">
        <v>141</v>
      </c>
      <c r="AU80" s="59" t="s">
        <v>111</v>
      </c>
      <c r="AV80" s="62"/>
      <c r="AW80" s="59" t="s">
        <v>7851</v>
      </c>
      <c r="AX80" s="59" t="s">
        <v>1153</v>
      </c>
      <c r="AY80" s="59" t="s">
        <v>90</v>
      </c>
      <c r="AZ80" s="126">
        <v>30836</v>
      </c>
      <c r="BA80" s="60" t="s">
        <v>1158</v>
      </c>
      <c r="BB80" s="60" t="s">
        <v>114</v>
      </c>
      <c r="BC80" s="59" t="s">
        <v>149</v>
      </c>
      <c r="BD80" s="60" t="s">
        <v>1159</v>
      </c>
      <c r="BE80" s="60"/>
      <c r="BF80" s="60"/>
      <c r="BG80" s="59" t="s">
        <v>1160</v>
      </c>
      <c r="BH80" s="60" t="s">
        <v>1161</v>
      </c>
      <c r="BI80" s="60" t="s">
        <v>1162</v>
      </c>
      <c r="BJ80" s="24" t="s">
        <v>1019</v>
      </c>
      <c r="BK80" s="59" t="s">
        <v>141</v>
      </c>
      <c r="BL80" s="59" t="s">
        <v>156</v>
      </c>
      <c r="BM80" s="62"/>
      <c r="BN80" s="62"/>
      <c r="BO80" s="59"/>
      <c r="BP80" s="59"/>
      <c r="BQ80" s="77"/>
      <c r="BR80" s="60"/>
      <c r="BS80" s="60"/>
      <c r="BT80" s="59"/>
      <c r="BU80" s="60"/>
      <c r="BV80" s="60"/>
      <c r="BW80" s="59"/>
      <c r="BX80" s="60"/>
      <c r="BY80" s="60"/>
      <c r="BZ80" s="59"/>
      <c r="CA80" s="59"/>
      <c r="CB80" s="59"/>
      <c r="CC80" s="59"/>
      <c r="CD80" s="59"/>
      <c r="CE80" s="59" t="s">
        <v>7388</v>
      </c>
      <c r="CF80" s="60" t="s">
        <v>1156</v>
      </c>
      <c r="CG80" s="59" t="s">
        <v>7039</v>
      </c>
      <c r="CH80" s="59" t="s">
        <v>7052</v>
      </c>
      <c r="CI80" s="59" t="s">
        <v>90</v>
      </c>
      <c r="CJ80" s="59" t="s">
        <v>111</v>
      </c>
      <c r="CK80" s="47"/>
      <c r="CL80" s="64" t="str">
        <f t="shared" ca="1" si="1"/>
        <v>15 Tahun 4 Bulan 20 Hari</v>
      </c>
      <c r="CM8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Jalur RT/RW 01/023 Desa/Kelurahan Soreang Kecamatan Soreang  Bandung Jawa Barat </v>
      </c>
    </row>
    <row r="81" spans="1:91" ht="24.95" customHeight="1">
      <c r="A81" s="58">
        <f>SUBTOTAL(3,N$8:Table2[[#This Row],[Nama lengkap]])</f>
        <v>74</v>
      </c>
      <c r="B81" s="58" t="s">
        <v>86</v>
      </c>
      <c r="C81" s="58">
        <v>2023</v>
      </c>
      <c r="D81" s="58"/>
      <c r="E81" s="58">
        <v>2</v>
      </c>
      <c r="F81" s="58" t="s">
        <v>979</v>
      </c>
      <c r="G81" s="32" t="s">
        <v>2513</v>
      </c>
      <c r="H81" s="32" t="s">
        <v>2513</v>
      </c>
      <c r="I81" s="32" t="s">
        <v>2513</v>
      </c>
      <c r="J81" s="32"/>
      <c r="K81" s="32"/>
      <c r="L81" s="32"/>
      <c r="M81" s="58">
        <v>23240085</v>
      </c>
      <c r="N81" s="24" t="s">
        <v>5875</v>
      </c>
      <c r="O81" s="24"/>
      <c r="P81" s="25" t="s">
        <v>1163</v>
      </c>
      <c r="Q81" s="25" t="s">
        <v>1164</v>
      </c>
      <c r="R81" s="60" t="s">
        <v>456</v>
      </c>
      <c r="S81" s="61" t="s">
        <v>1166</v>
      </c>
      <c r="T81" s="47" t="s">
        <v>92</v>
      </c>
      <c r="U81" s="47">
        <v>1</v>
      </c>
      <c r="V81" s="47">
        <v>3</v>
      </c>
      <c r="W81" s="47" t="s">
        <v>207</v>
      </c>
      <c r="X81" s="59"/>
      <c r="Y81" s="59" t="s">
        <v>1167</v>
      </c>
      <c r="Z81" s="59" t="s">
        <v>1168</v>
      </c>
      <c r="AA81" s="59" t="s">
        <v>1169</v>
      </c>
      <c r="AB81" s="59" t="s">
        <v>689</v>
      </c>
      <c r="AC81" s="59" t="s">
        <v>208</v>
      </c>
      <c r="AD81" s="59" t="s">
        <v>208</v>
      </c>
      <c r="AE81" s="60" t="s">
        <v>1170</v>
      </c>
      <c r="AF81" s="60" t="s">
        <v>8331</v>
      </c>
      <c r="AG81" s="59" t="s">
        <v>8331</v>
      </c>
      <c r="AH81" s="59" t="s">
        <v>691</v>
      </c>
      <c r="AI81" s="59" t="s">
        <v>7797</v>
      </c>
      <c r="AJ81" s="61">
        <v>31113</v>
      </c>
      <c r="AK81" s="60" t="s">
        <v>1171</v>
      </c>
      <c r="AL81" s="60" t="s">
        <v>114</v>
      </c>
      <c r="AM81" s="59" t="s">
        <v>149</v>
      </c>
      <c r="AN81" s="60" t="s">
        <v>1172</v>
      </c>
      <c r="AO81" s="60"/>
      <c r="AP81" s="59" t="s">
        <v>1173</v>
      </c>
      <c r="AQ81" s="25" t="s">
        <v>1174</v>
      </c>
      <c r="AR81" s="60" t="s">
        <v>1175</v>
      </c>
      <c r="AS81" s="59" t="s">
        <v>1176</v>
      </c>
      <c r="AT81" s="59" t="s">
        <v>1177</v>
      </c>
      <c r="AU81" s="59" t="s">
        <v>111</v>
      </c>
      <c r="AV81" s="62">
        <v>40522</v>
      </c>
      <c r="AW81" s="59" t="s">
        <v>7852</v>
      </c>
      <c r="AX81" s="59" t="s">
        <v>691</v>
      </c>
      <c r="AY81" s="59" t="s">
        <v>90</v>
      </c>
      <c r="AZ81" s="126" t="s">
        <v>1178</v>
      </c>
      <c r="BA81" s="60" t="s">
        <v>1179</v>
      </c>
      <c r="BB81" s="60" t="s">
        <v>845</v>
      </c>
      <c r="BC81" s="59" t="s">
        <v>149</v>
      </c>
      <c r="BD81" s="60" t="s">
        <v>1172</v>
      </c>
      <c r="BE81" s="60"/>
      <c r="BF81" s="60"/>
      <c r="BG81" s="59" t="s">
        <v>1173</v>
      </c>
      <c r="BH81" s="60" t="s">
        <v>1174</v>
      </c>
      <c r="BI81" s="60" t="s">
        <v>1175</v>
      </c>
      <c r="BJ81" s="24" t="s">
        <v>1176</v>
      </c>
      <c r="BK81" s="59" t="s">
        <v>1177</v>
      </c>
      <c r="BL81" s="59" t="s">
        <v>156</v>
      </c>
      <c r="BM81" s="24">
        <v>40522</v>
      </c>
      <c r="BN81" s="24"/>
      <c r="BO81" s="59"/>
      <c r="BP81" s="59"/>
      <c r="BQ81" s="77"/>
      <c r="BR81" s="60"/>
      <c r="BS81" s="60"/>
      <c r="BT81" s="59"/>
      <c r="BU81" s="60"/>
      <c r="BV81" s="60"/>
      <c r="BW81" s="59"/>
      <c r="BX81" s="60"/>
      <c r="BY81" s="60"/>
      <c r="BZ81" s="59"/>
      <c r="CA81" s="59"/>
      <c r="CB81" s="59"/>
      <c r="CC81" s="59"/>
      <c r="CD81" s="59"/>
      <c r="CE81" s="59" t="s">
        <v>7389</v>
      </c>
      <c r="CF81" s="60" t="s">
        <v>1174</v>
      </c>
      <c r="CG81" s="59" t="s">
        <v>7053</v>
      </c>
      <c r="CH81" s="59" t="s">
        <v>669</v>
      </c>
      <c r="CI81" s="59" t="s">
        <v>6358</v>
      </c>
      <c r="CJ81" s="59" t="s">
        <v>111</v>
      </c>
      <c r="CK81" s="47">
        <v>40522</v>
      </c>
      <c r="CL81" s="64" t="str">
        <f t="shared" ca="1" si="1"/>
        <v>15 Tahun 0 Bulan 4 Hari</v>
      </c>
      <c r="CM8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Sukasenang  RT/RW 01/09 Desa/Kelurahan Cigugur Tengah Kecamatan Cimahi Tengah Kota Cimahi Jawa Barat 40522</v>
      </c>
    </row>
    <row r="82" spans="1:91" ht="24.95" customHeight="1">
      <c r="A82" s="58">
        <f>SUBTOTAL(3,N$8:Table2[[#This Row],[Nama lengkap]])</f>
        <v>75</v>
      </c>
      <c r="B82" s="58" t="s">
        <v>86</v>
      </c>
      <c r="C82" s="58">
        <v>2023</v>
      </c>
      <c r="D82" s="58"/>
      <c r="E82" s="58">
        <v>2</v>
      </c>
      <c r="F82" s="58" t="s">
        <v>979</v>
      </c>
      <c r="G82" s="165" t="s">
        <v>9958</v>
      </c>
      <c r="H82" s="32"/>
      <c r="I82" s="32"/>
      <c r="J82" s="32"/>
      <c r="K82" s="32"/>
      <c r="L82" s="32"/>
      <c r="M82" s="58">
        <v>23240052</v>
      </c>
      <c r="N82" s="24" t="s">
        <v>5876</v>
      </c>
      <c r="O82" s="24"/>
      <c r="P82" s="25" t="s">
        <v>1180</v>
      </c>
      <c r="Q82" s="25" t="s">
        <v>1181</v>
      </c>
      <c r="R82" s="60" t="s">
        <v>90</v>
      </c>
      <c r="S82" s="61" t="s">
        <v>1182</v>
      </c>
      <c r="T82" s="47" t="s">
        <v>92</v>
      </c>
      <c r="U82" s="47">
        <v>1</v>
      </c>
      <c r="V82" s="47">
        <v>2</v>
      </c>
      <c r="W82" s="47" t="s">
        <v>207</v>
      </c>
      <c r="X82" s="59" t="s">
        <v>984</v>
      </c>
      <c r="Y82" s="59" t="s">
        <v>1012</v>
      </c>
      <c r="Z82" s="59" t="s">
        <v>1183</v>
      </c>
      <c r="AA82" s="59" t="s">
        <v>96</v>
      </c>
      <c r="AB82" s="59" t="s">
        <v>689</v>
      </c>
      <c r="AC82" s="59" t="s">
        <v>208</v>
      </c>
      <c r="AD82" s="59" t="s">
        <v>208</v>
      </c>
      <c r="AE82" s="60" t="s">
        <v>1184</v>
      </c>
      <c r="AF82" s="60" t="s">
        <v>8332</v>
      </c>
      <c r="AG82" s="59" t="s">
        <v>8332</v>
      </c>
      <c r="AH82" s="59" t="s">
        <v>691</v>
      </c>
      <c r="AI82" s="59" t="s">
        <v>90</v>
      </c>
      <c r="AJ82" s="61">
        <v>33121</v>
      </c>
      <c r="AK82" s="60" t="s">
        <v>1185</v>
      </c>
      <c r="AL82" s="60" t="s">
        <v>602</v>
      </c>
      <c r="AM82" s="59" t="s">
        <v>149</v>
      </c>
      <c r="AN82" s="60" t="s">
        <v>1186</v>
      </c>
      <c r="AO82" s="60"/>
      <c r="AP82" s="59" t="s">
        <v>1187</v>
      </c>
      <c r="AQ82" s="25" t="s">
        <v>1188</v>
      </c>
      <c r="AR82" s="60" t="s">
        <v>1189</v>
      </c>
      <c r="AS82" s="59" t="s">
        <v>1077</v>
      </c>
      <c r="AT82" s="59" t="s">
        <v>141</v>
      </c>
      <c r="AU82" s="59" t="s">
        <v>111</v>
      </c>
      <c r="AV82" s="62">
        <v>40288</v>
      </c>
      <c r="AW82" s="59" t="s">
        <v>7853</v>
      </c>
      <c r="AX82" s="59" t="s">
        <v>691</v>
      </c>
      <c r="AY82" s="59" t="s">
        <v>90</v>
      </c>
      <c r="AZ82" s="126">
        <v>33341</v>
      </c>
      <c r="BA82" s="60" t="s">
        <v>1190</v>
      </c>
      <c r="BB82" s="60" t="s">
        <v>602</v>
      </c>
      <c r="BC82" s="59" t="s">
        <v>149</v>
      </c>
      <c r="BD82" s="60" t="s">
        <v>1186</v>
      </c>
      <c r="BE82" s="60"/>
      <c r="BF82" s="60"/>
      <c r="BG82" s="59" t="s">
        <v>1187</v>
      </c>
      <c r="BH82" s="60" t="s">
        <v>1188</v>
      </c>
      <c r="BI82" s="60" t="s">
        <v>1189</v>
      </c>
      <c r="BJ82" s="24" t="s">
        <v>1077</v>
      </c>
      <c r="BK82" s="59" t="s">
        <v>141</v>
      </c>
      <c r="BL82" s="59" t="s">
        <v>156</v>
      </c>
      <c r="BM82" s="24">
        <v>40288</v>
      </c>
      <c r="BN82" s="24"/>
      <c r="BO82" s="59"/>
      <c r="BP82" s="59"/>
      <c r="BQ82" s="77"/>
      <c r="BR82" s="60"/>
      <c r="BS82" s="60"/>
      <c r="BT82" s="59"/>
      <c r="BU82" s="60"/>
      <c r="BV82" s="60"/>
      <c r="BW82" s="59"/>
      <c r="BX82" s="60"/>
      <c r="BY82" s="60"/>
      <c r="BZ82" s="59"/>
      <c r="CA82" s="59"/>
      <c r="CB82" s="59"/>
      <c r="CC82" s="59"/>
      <c r="CD82" s="59"/>
      <c r="CE82" s="59" t="s">
        <v>7390</v>
      </c>
      <c r="CF82" s="60" t="s">
        <v>1188</v>
      </c>
      <c r="CG82" s="59" t="s">
        <v>7054</v>
      </c>
      <c r="CH82" s="59" t="s">
        <v>7047</v>
      </c>
      <c r="CI82" s="59" t="s">
        <v>90</v>
      </c>
      <c r="CJ82" s="59" t="s">
        <v>111</v>
      </c>
      <c r="CK82" s="47">
        <v>40288</v>
      </c>
      <c r="CL82" s="64" t="str">
        <f t="shared" ca="1" si="1"/>
        <v>14 Tahun 7 Bulan 13 Hari</v>
      </c>
      <c r="CM8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Cijeruk RT/RW 04/19 Desa/Kelurahan Bojongsari Kecamatan Bojongsoang Bandung Jawa Barat 40288</v>
      </c>
    </row>
    <row r="83" spans="1:91" ht="24.95" customHeight="1">
      <c r="A83" s="58">
        <f>SUBTOTAL(3,N$8:Table2[[#This Row],[Nama lengkap]])</f>
        <v>76</v>
      </c>
      <c r="B83" s="58" t="s">
        <v>86</v>
      </c>
      <c r="C83" s="58">
        <v>2023</v>
      </c>
      <c r="D83" s="58"/>
      <c r="E83" s="58">
        <v>2</v>
      </c>
      <c r="F83" s="58" t="s">
        <v>979</v>
      </c>
      <c r="G83" s="32" t="s">
        <v>2513</v>
      </c>
      <c r="H83" s="32" t="s">
        <v>2513</v>
      </c>
      <c r="I83" s="32" t="s">
        <v>2513</v>
      </c>
      <c r="J83" s="32"/>
      <c r="K83" s="32"/>
      <c r="L83" s="32"/>
      <c r="M83" s="58">
        <v>23240049</v>
      </c>
      <c r="N83" s="24" t="s">
        <v>5877</v>
      </c>
      <c r="O83" s="24"/>
      <c r="P83" s="25">
        <v>3124400925</v>
      </c>
      <c r="Q83" s="25" t="s">
        <v>1191</v>
      </c>
      <c r="R83" s="60" t="s">
        <v>7055</v>
      </c>
      <c r="S83" s="61" t="s">
        <v>1193</v>
      </c>
      <c r="T83" s="47" t="s">
        <v>92</v>
      </c>
      <c r="U83" s="47">
        <v>1</v>
      </c>
      <c r="V83" s="47">
        <v>0</v>
      </c>
      <c r="W83" s="47" t="s">
        <v>207</v>
      </c>
      <c r="X83" s="59" t="s">
        <v>123</v>
      </c>
      <c r="Y83" s="59" t="s">
        <v>706</v>
      </c>
      <c r="Z83" s="59" t="s">
        <v>986</v>
      </c>
      <c r="AA83" s="59" t="s">
        <v>1169</v>
      </c>
      <c r="AB83" s="59" t="s">
        <v>689</v>
      </c>
      <c r="AC83" s="59" t="s">
        <v>208</v>
      </c>
      <c r="AD83" s="59" t="s">
        <v>208</v>
      </c>
      <c r="AE83" s="60" t="s">
        <v>1194</v>
      </c>
      <c r="AF83" s="60" t="s">
        <v>8333</v>
      </c>
      <c r="AG83" s="59" t="s">
        <v>8333</v>
      </c>
      <c r="AH83" s="59" t="s">
        <v>691</v>
      </c>
      <c r="AI83" s="59" t="s">
        <v>122</v>
      </c>
      <c r="AJ83" s="61">
        <v>27395</v>
      </c>
      <c r="AK83" s="60" t="s">
        <v>1195</v>
      </c>
      <c r="AL83" s="60" t="s">
        <v>5398</v>
      </c>
      <c r="AM83" s="59" t="s">
        <v>96</v>
      </c>
      <c r="AN83" s="60" t="s">
        <v>1196</v>
      </c>
      <c r="AO83" s="60"/>
      <c r="AP83" s="59" t="s">
        <v>1192</v>
      </c>
      <c r="AQ83" s="25"/>
      <c r="AR83" s="60" t="s">
        <v>1192</v>
      </c>
      <c r="AS83" s="59" t="s">
        <v>1197</v>
      </c>
      <c r="AT83" s="59" t="s">
        <v>1198</v>
      </c>
      <c r="AU83" s="59" t="s">
        <v>1199</v>
      </c>
      <c r="AV83" s="62">
        <v>37174</v>
      </c>
      <c r="AW83" s="59" t="s">
        <v>7854</v>
      </c>
      <c r="AX83" s="59" t="s">
        <v>691</v>
      </c>
      <c r="AY83" s="59" t="s">
        <v>7055</v>
      </c>
      <c r="AZ83" s="126">
        <v>27612</v>
      </c>
      <c r="BA83" s="60" t="s">
        <v>1200</v>
      </c>
      <c r="BB83" s="60" t="s">
        <v>845</v>
      </c>
      <c r="BC83" s="59" t="s">
        <v>149</v>
      </c>
      <c r="BD83" s="60" t="s">
        <v>1196</v>
      </c>
      <c r="BE83" s="60"/>
      <c r="BF83" s="60"/>
      <c r="BG83" s="59" t="s">
        <v>1192</v>
      </c>
      <c r="BH83" s="60"/>
      <c r="BI83" s="60" t="s">
        <v>1192</v>
      </c>
      <c r="BJ83" s="24" t="s">
        <v>1197</v>
      </c>
      <c r="BK83" s="59" t="s">
        <v>1198</v>
      </c>
      <c r="BL83" s="59" t="s">
        <v>1199</v>
      </c>
      <c r="BM83" s="24">
        <v>37174</v>
      </c>
      <c r="BN83" s="24"/>
      <c r="BO83" s="59"/>
      <c r="BP83" s="59"/>
      <c r="BQ83" s="77"/>
      <c r="BR83" s="60"/>
      <c r="BS83" s="60"/>
      <c r="BT83" s="59"/>
      <c r="BU83" s="60"/>
      <c r="BV83" s="60"/>
      <c r="BW83" s="59"/>
      <c r="BX83" s="60"/>
      <c r="BY83" s="60"/>
      <c r="BZ83" s="59"/>
      <c r="CA83" s="59"/>
      <c r="CB83" s="59"/>
      <c r="CC83" s="59"/>
      <c r="CD83" s="59"/>
      <c r="CE83" s="59" t="s">
        <v>7055</v>
      </c>
      <c r="CF83" s="60"/>
      <c r="CG83" s="59" t="s">
        <v>7055</v>
      </c>
      <c r="CH83" s="59" t="s">
        <v>7056</v>
      </c>
      <c r="CI83" s="59" t="s">
        <v>7057</v>
      </c>
      <c r="CJ83" s="59" t="s">
        <v>7058</v>
      </c>
      <c r="CK83" s="47">
        <v>37174</v>
      </c>
      <c r="CL83" s="64" t="str">
        <f t="shared" ca="1" si="1"/>
        <v>13 Tahun 11 Bulan 9 Hari</v>
      </c>
      <c r="CM8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Talang Kemuning RT/RW  Desa/Kelurahan Talang Kemuning Kecamatan Bukitkerman Kerinci Jambi 37174</v>
      </c>
    </row>
    <row r="84" spans="1:91" ht="24.95" customHeight="1">
      <c r="A84" s="58">
        <f>SUBTOTAL(3,N$8:Table2[[#This Row],[Nama lengkap]])</f>
        <v>77</v>
      </c>
      <c r="B84" s="58" t="s">
        <v>86</v>
      </c>
      <c r="C84" s="58">
        <v>2022</v>
      </c>
      <c r="D84" s="58"/>
      <c r="E84" s="58">
        <v>2</v>
      </c>
      <c r="F84" s="58" t="s">
        <v>979</v>
      </c>
      <c r="G84" s="32" t="s">
        <v>2513</v>
      </c>
      <c r="H84" s="32" t="s">
        <v>2513</v>
      </c>
      <c r="I84" s="32" t="s">
        <v>2513</v>
      </c>
      <c r="J84" s="32"/>
      <c r="K84" s="32"/>
      <c r="L84" s="32"/>
      <c r="M84" s="58">
        <v>22230068</v>
      </c>
      <c r="N84" s="24" t="s">
        <v>5878</v>
      </c>
      <c r="O84" s="24"/>
      <c r="P84" s="25" t="s">
        <v>1201</v>
      </c>
      <c r="Q84" s="25" t="s">
        <v>1202</v>
      </c>
      <c r="R84" s="60" t="s">
        <v>122</v>
      </c>
      <c r="S84" s="61" t="s">
        <v>1203</v>
      </c>
      <c r="T84" s="47" t="s">
        <v>92</v>
      </c>
      <c r="U84" s="47">
        <v>2</v>
      </c>
      <c r="V84" s="47">
        <v>1</v>
      </c>
      <c r="W84" s="47" t="s">
        <v>207</v>
      </c>
      <c r="X84" s="59" t="s">
        <v>984</v>
      </c>
      <c r="Y84" s="59" t="s">
        <v>1204</v>
      </c>
      <c r="Z84" s="59" t="s">
        <v>1205</v>
      </c>
      <c r="AA84" s="59" t="s">
        <v>96</v>
      </c>
      <c r="AB84" s="59" t="s">
        <v>689</v>
      </c>
      <c r="AC84" s="59" t="s">
        <v>208</v>
      </c>
      <c r="AD84" s="59" t="s">
        <v>1206</v>
      </c>
      <c r="AE84" s="60" t="s">
        <v>1207</v>
      </c>
      <c r="AF84" s="60" t="s">
        <v>8334</v>
      </c>
      <c r="AG84" s="59" t="s">
        <v>8335</v>
      </c>
      <c r="AH84" s="59" t="s">
        <v>691</v>
      </c>
      <c r="AI84" s="59" t="s">
        <v>3137</v>
      </c>
      <c r="AJ84" s="61">
        <v>29983</v>
      </c>
      <c r="AK84" s="60" t="s">
        <v>1208</v>
      </c>
      <c r="AL84" s="60" t="s">
        <v>114</v>
      </c>
      <c r="AM84" s="59" t="s">
        <v>700</v>
      </c>
      <c r="AN84" s="60" t="s">
        <v>1209</v>
      </c>
      <c r="AO84" s="60"/>
      <c r="AP84" s="59" t="s">
        <v>1210</v>
      </c>
      <c r="AQ84" s="25" t="s">
        <v>1017</v>
      </c>
      <c r="AR84" s="60" t="s">
        <v>1211</v>
      </c>
      <c r="AS84" s="59" t="s">
        <v>1212</v>
      </c>
      <c r="AT84" s="59" t="s">
        <v>1090</v>
      </c>
      <c r="AU84" s="59" t="s">
        <v>111</v>
      </c>
      <c r="AV84" s="62">
        <v>45353</v>
      </c>
      <c r="AW84" s="59" t="s">
        <v>7855</v>
      </c>
      <c r="AX84" s="59" t="s">
        <v>691</v>
      </c>
      <c r="AY84" s="59" t="s">
        <v>122</v>
      </c>
      <c r="AZ84" s="126">
        <v>30914</v>
      </c>
      <c r="BA84" s="60" t="s">
        <v>1213</v>
      </c>
      <c r="BB84" s="60" t="s">
        <v>845</v>
      </c>
      <c r="BC84" s="59" t="s">
        <v>700</v>
      </c>
      <c r="BD84" s="60" t="s">
        <v>1209</v>
      </c>
      <c r="BE84" s="60"/>
      <c r="BF84" s="60"/>
      <c r="BG84" s="59" t="s">
        <v>1210</v>
      </c>
      <c r="BH84" s="60" t="s">
        <v>1017</v>
      </c>
      <c r="BI84" s="60" t="s">
        <v>1211</v>
      </c>
      <c r="BJ84" s="24" t="s">
        <v>1212</v>
      </c>
      <c r="BK84" s="59" t="s">
        <v>1090</v>
      </c>
      <c r="BL84" s="59" t="s">
        <v>1214</v>
      </c>
      <c r="BM84" s="24">
        <v>45353</v>
      </c>
      <c r="BN84" s="24"/>
      <c r="BO84" s="59"/>
      <c r="BP84" s="59"/>
      <c r="BQ84" s="77"/>
      <c r="BR84" s="60"/>
      <c r="BS84" s="60"/>
      <c r="BT84" s="59"/>
      <c r="BU84" s="60"/>
      <c r="BV84" s="60"/>
      <c r="BW84" s="59"/>
      <c r="BX84" s="60"/>
      <c r="BY84" s="60"/>
      <c r="BZ84" s="59"/>
      <c r="CA84" s="59"/>
      <c r="CB84" s="59"/>
      <c r="CC84" s="59"/>
      <c r="CD84" s="59"/>
      <c r="CE84" s="59" t="s">
        <v>7391</v>
      </c>
      <c r="CF84" s="60" t="s">
        <v>1017</v>
      </c>
      <c r="CG84" s="59" t="s">
        <v>7059</v>
      </c>
      <c r="CH84" s="59" t="s">
        <v>497</v>
      </c>
      <c r="CI84" s="59" t="s">
        <v>122</v>
      </c>
      <c r="CJ84" s="59" t="s">
        <v>111</v>
      </c>
      <c r="CK84" s="47">
        <v>45353</v>
      </c>
      <c r="CL84" s="64" t="str">
        <f t="shared" ca="1" si="1"/>
        <v>15 Tahun 8 Bulan 26 Hari</v>
      </c>
      <c r="CM8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Cibunut RT/RW 01/04 Desa/Kelurahan Cikole Kecamatan Cimalaka Sumedang Jawa Barat 45353</v>
      </c>
    </row>
    <row r="85" spans="1:91" ht="24.95" customHeight="1">
      <c r="A85" s="58">
        <f>SUBTOTAL(3,N$8:Table2[[#This Row],[Nama lengkap]])</f>
        <v>78</v>
      </c>
      <c r="B85" s="58" t="s">
        <v>86</v>
      </c>
      <c r="C85" s="58">
        <v>2023</v>
      </c>
      <c r="D85" s="58"/>
      <c r="E85" s="58">
        <v>2</v>
      </c>
      <c r="F85" s="58" t="s">
        <v>979</v>
      </c>
      <c r="G85" s="32" t="s">
        <v>2513</v>
      </c>
      <c r="H85" s="32" t="s">
        <v>2513</v>
      </c>
      <c r="I85" s="32" t="s">
        <v>2513</v>
      </c>
      <c r="J85" s="32"/>
      <c r="K85" s="32"/>
      <c r="L85" s="32"/>
      <c r="M85" s="58">
        <v>23240115</v>
      </c>
      <c r="N85" s="24" t="s">
        <v>8758</v>
      </c>
      <c r="O85" s="24"/>
      <c r="P85" s="25" t="s">
        <v>8972</v>
      </c>
      <c r="Q85" s="25" t="s">
        <v>1215</v>
      </c>
      <c r="R85" s="60" t="s">
        <v>90</v>
      </c>
      <c r="S85" s="61" t="s">
        <v>1216</v>
      </c>
      <c r="T85" s="47" t="s">
        <v>92</v>
      </c>
      <c r="U85" s="47">
        <v>4</v>
      </c>
      <c r="V85" s="47">
        <v>3</v>
      </c>
      <c r="W85" s="47" t="s">
        <v>207</v>
      </c>
      <c r="X85" s="59"/>
      <c r="Y85" s="59" t="s">
        <v>1041</v>
      </c>
      <c r="Z85" s="59" t="s">
        <v>986</v>
      </c>
      <c r="AA85" s="59" t="s">
        <v>1141</v>
      </c>
      <c r="AB85" s="59" t="s">
        <v>689</v>
      </c>
      <c r="AC85" s="59" t="s">
        <v>208</v>
      </c>
      <c r="AD85" s="59" t="s">
        <v>208</v>
      </c>
      <c r="AE85" s="60" t="s">
        <v>1217</v>
      </c>
      <c r="AF85" s="60" t="s">
        <v>8336</v>
      </c>
      <c r="AG85" s="59" t="s">
        <v>8336</v>
      </c>
      <c r="AH85" s="59" t="s">
        <v>691</v>
      </c>
      <c r="AI85" s="59" t="s">
        <v>90</v>
      </c>
      <c r="AJ85" s="61">
        <v>27249</v>
      </c>
      <c r="AK85" s="60" t="s">
        <v>1218</v>
      </c>
      <c r="AL85" s="60" t="s">
        <v>289</v>
      </c>
      <c r="AM85" s="59" t="s">
        <v>159</v>
      </c>
      <c r="AN85" s="60" t="s">
        <v>1219</v>
      </c>
      <c r="AO85" s="60"/>
      <c r="AP85" s="59" t="s">
        <v>1220</v>
      </c>
      <c r="AQ85" s="25" t="s">
        <v>1087</v>
      </c>
      <c r="AR85" s="60" t="s">
        <v>1221</v>
      </c>
      <c r="AS85" s="59" t="s">
        <v>1157</v>
      </c>
      <c r="AT85" s="59" t="s">
        <v>141</v>
      </c>
      <c r="AU85" s="59" t="s">
        <v>111</v>
      </c>
      <c r="AV85" s="62">
        <v>40921</v>
      </c>
      <c r="AW85" s="59" t="s">
        <v>7856</v>
      </c>
      <c r="AX85" s="59" t="s">
        <v>691</v>
      </c>
      <c r="AY85" s="59" t="s">
        <v>3137</v>
      </c>
      <c r="AZ85" s="126">
        <v>27344</v>
      </c>
      <c r="BA85" s="60" t="s">
        <v>1222</v>
      </c>
      <c r="BB85" s="60" t="s">
        <v>845</v>
      </c>
      <c r="BC85" s="59" t="s">
        <v>159</v>
      </c>
      <c r="BD85" s="60" t="s">
        <v>1219</v>
      </c>
      <c r="BE85" s="60"/>
      <c r="BF85" s="60"/>
      <c r="BG85" s="59" t="s">
        <v>1220</v>
      </c>
      <c r="BH85" s="60" t="s">
        <v>1087</v>
      </c>
      <c r="BI85" s="60" t="s">
        <v>1221</v>
      </c>
      <c r="BJ85" s="24" t="s">
        <v>1157</v>
      </c>
      <c r="BK85" s="59" t="s">
        <v>141</v>
      </c>
      <c r="BL85" s="59" t="s">
        <v>156</v>
      </c>
      <c r="BM85" s="24">
        <v>40921</v>
      </c>
      <c r="BN85" s="24"/>
      <c r="BO85" s="59"/>
      <c r="BP85" s="59"/>
      <c r="BQ85" s="77"/>
      <c r="BR85" s="60"/>
      <c r="BS85" s="60"/>
      <c r="BT85" s="59"/>
      <c r="BU85" s="60"/>
      <c r="BV85" s="60"/>
      <c r="BW85" s="59"/>
      <c r="BX85" s="60"/>
      <c r="BY85" s="60"/>
      <c r="BZ85" s="59"/>
      <c r="CA85" s="59"/>
      <c r="CB85" s="59"/>
      <c r="CC85" s="59"/>
      <c r="CD85" s="59"/>
      <c r="CE85" s="59" t="s">
        <v>7392</v>
      </c>
      <c r="CF85" s="60" t="s">
        <v>1087</v>
      </c>
      <c r="CG85" s="59" t="s">
        <v>7060</v>
      </c>
      <c r="CH85" s="59" t="s">
        <v>7052</v>
      </c>
      <c r="CI85" s="59" t="s">
        <v>90</v>
      </c>
      <c r="CJ85" s="59" t="s">
        <v>111</v>
      </c>
      <c r="CK85" s="47">
        <v>40921</v>
      </c>
      <c r="CL85" s="64" t="str">
        <f t="shared" ca="1" si="1"/>
        <v>17 Tahun 6 Bulan 1 Hari</v>
      </c>
      <c r="CM8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Gading Tutuka I Blok K30.05  RT/RW 05/13 Desa/Kelurahan Cingcin Kecamatan Soreang  Bandung Jawa Barat 40921</v>
      </c>
    </row>
    <row r="86" spans="1:91" ht="24.95" customHeight="1">
      <c r="A86" s="58">
        <f>SUBTOTAL(3,N$8:Table2[[#This Row],[Nama lengkap]])</f>
        <v>79</v>
      </c>
      <c r="B86" s="58" t="s">
        <v>86</v>
      </c>
      <c r="C86" s="58">
        <v>2022</v>
      </c>
      <c r="D86" s="58"/>
      <c r="E86" s="58">
        <v>2</v>
      </c>
      <c r="F86" s="58" t="s">
        <v>979</v>
      </c>
      <c r="G86" s="32" t="s">
        <v>2513</v>
      </c>
      <c r="H86" s="32" t="s">
        <v>2513</v>
      </c>
      <c r="I86" s="32" t="s">
        <v>2513</v>
      </c>
      <c r="J86" s="32"/>
      <c r="K86" s="32"/>
      <c r="L86" s="32"/>
      <c r="M86" s="58">
        <v>22230188</v>
      </c>
      <c r="N86" s="24" t="s">
        <v>8759</v>
      </c>
      <c r="O86" s="24"/>
      <c r="P86" s="25" t="s">
        <v>1223</v>
      </c>
      <c r="Q86" s="25" t="s">
        <v>1224</v>
      </c>
      <c r="R86" s="60" t="s">
        <v>90</v>
      </c>
      <c r="S86" s="61" t="s">
        <v>1225</v>
      </c>
      <c r="T86" s="47" t="s">
        <v>92</v>
      </c>
      <c r="U86" s="47">
        <v>6</v>
      </c>
      <c r="V86" s="47">
        <v>5</v>
      </c>
      <c r="W86" s="47" t="s">
        <v>207</v>
      </c>
      <c r="X86" s="59" t="s">
        <v>984</v>
      </c>
      <c r="Y86" s="59" t="s">
        <v>1226</v>
      </c>
      <c r="Z86" s="59" t="s">
        <v>688</v>
      </c>
      <c r="AA86" s="59" t="s">
        <v>96</v>
      </c>
      <c r="AB86" s="59" t="s">
        <v>689</v>
      </c>
      <c r="AC86" s="59" t="s">
        <v>208</v>
      </c>
      <c r="AD86" s="59" t="s">
        <v>208</v>
      </c>
      <c r="AE86" s="60" t="s">
        <v>1227</v>
      </c>
      <c r="AF86" s="60" t="s">
        <v>8337</v>
      </c>
      <c r="AG86" s="59" t="s">
        <v>8337</v>
      </c>
      <c r="AH86" s="59" t="s">
        <v>691</v>
      </c>
      <c r="AI86" s="59" t="s">
        <v>90</v>
      </c>
      <c r="AJ86" s="61">
        <v>24596</v>
      </c>
      <c r="AK86" s="60" t="s">
        <v>1228</v>
      </c>
      <c r="AL86" s="60" t="s">
        <v>114</v>
      </c>
      <c r="AM86" s="59" t="s">
        <v>1229</v>
      </c>
      <c r="AN86" s="60" t="s">
        <v>1230</v>
      </c>
      <c r="AO86" s="60"/>
      <c r="AP86" s="59" t="s">
        <v>1231</v>
      </c>
      <c r="AQ86" s="25" t="s">
        <v>213</v>
      </c>
      <c r="AR86" s="60" t="s">
        <v>1131</v>
      </c>
      <c r="AS86" s="59" t="s">
        <v>955</v>
      </c>
      <c r="AT86" s="59" t="s">
        <v>141</v>
      </c>
      <c r="AU86" s="59" t="s">
        <v>111</v>
      </c>
      <c r="AV86" s="62">
        <v>40912</v>
      </c>
      <c r="AW86" s="59" t="s">
        <v>7857</v>
      </c>
      <c r="AX86" s="59" t="s">
        <v>691</v>
      </c>
      <c r="AY86" s="59" t="s">
        <v>90</v>
      </c>
      <c r="AZ86" s="126">
        <v>26841</v>
      </c>
      <c r="BA86" s="60" t="s">
        <v>1232</v>
      </c>
      <c r="BB86" s="60" t="s">
        <v>845</v>
      </c>
      <c r="BC86" s="59" t="s">
        <v>800</v>
      </c>
      <c r="BD86" s="60" t="s">
        <v>1230</v>
      </c>
      <c r="BE86" s="60"/>
      <c r="BF86" s="60"/>
      <c r="BG86" s="59" t="s">
        <v>1233</v>
      </c>
      <c r="BH86" s="60" t="s">
        <v>213</v>
      </c>
      <c r="BI86" s="60" t="s">
        <v>1131</v>
      </c>
      <c r="BJ86" s="24" t="s">
        <v>955</v>
      </c>
      <c r="BK86" s="59" t="s">
        <v>141</v>
      </c>
      <c r="BL86" s="59" t="s">
        <v>1214</v>
      </c>
      <c r="BM86" s="24">
        <v>40912</v>
      </c>
      <c r="BN86" s="24"/>
      <c r="BO86" s="59"/>
      <c r="BP86" s="59"/>
      <c r="BQ86" s="77"/>
      <c r="BR86" s="60"/>
      <c r="BS86" s="60"/>
      <c r="BT86" s="59"/>
      <c r="BU86" s="60"/>
      <c r="BV86" s="60"/>
      <c r="BW86" s="59"/>
      <c r="BX86" s="60"/>
      <c r="BY86" s="60"/>
      <c r="BZ86" s="59"/>
      <c r="CA86" s="59"/>
      <c r="CB86" s="59"/>
      <c r="CC86" s="59"/>
      <c r="CD86" s="59"/>
      <c r="CE86" s="59" t="s">
        <v>7393</v>
      </c>
      <c r="CF86" s="60" t="s">
        <v>213</v>
      </c>
      <c r="CG86" s="59" t="s">
        <v>7051</v>
      </c>
      <c r="CH86" s="59" t="s">
        <v>7039</v>
      </c>
      <c r="CI86" s="59" t="s">
        <v>90</v>
      </c>
      <c r="CJ86" s="59" t="s">
        <v>111</v>
      </c>
      <c r="CK86" s="47">
        <v>40912</v>
      </c>
      <c r="CL86" s="64" t="str">
        <f t="shared" ca="1" si="1"/>
        <v>16 Tahun 4 Bulan 25 Hari</v>
      </c>
      <c r="CM8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Jln.Ratya Soreang No.28 RT/RW 01/14 Desa/Kelurahan Pamekaran Kecamatan Soreang Bandung Jawa Barat 40912</v>
      </c>
    </row>
    <row r="87" spans="1:91" ht="24.95" customHeight="1">
      <c r="A87" s="58">
        <f>SUBTOTAL(3,N$8:Table2[[#This Row],[Nama lengkap]])</f>
        <v>80</v>
      </c>
      <c r="B87" s="58" t="s">
        <v>86</v>
      </c>
      <c r="C87" s="58">
        <v>2023</v>
      </c>
      <c r="D87" s="58"/>
      <c r="E87" s="58">
        <v>2</v>
      </c>
      <c r="F87" s="58" t="s">
        <v>979</v>
      </c>
      <c r="G87" s="32" t="s">
        <v>2513</v>
      </c>
      <c r="H87" s="32" t="s">
        <v>2513</v>
      </c>
      <c r="I87" s="32" t="s">
        <v>2513</v>
      </c>
      <c r="J87" s="32"/>
      <c r="K87" s="32"/>
      <c r="L87" s="32"/>
      <c r="M87" s="58">
        <v>23240119</v>
      </c>
      <c r="N87" s="24" t="s">
        <v>5882</v>
      </c>
      <c r="O87" s="24"/>
      <c r="P87" s="25" t="s">
        <v>1234</v>
      </c>
      <c r="Q87" s="25" t="s">
        <v>1235</v>
      </c>
      <c r="R87" s="60" t="s">
        <v>90</v>
      </c>
      <c r="S87" s="61" t="s">
        <v>1236</v>
      </c>
      <c r="T87" s="47" t="s">
        <v>92</v>
      </c>
      <c r="U87" s="47">
        <v>2</v>
      </c>
      <c r="V87" s="47">
        <v>1</v>
      </c>
      <c r="W87" s="47" t="s">
        <v>207</v>
      </c>
      <c r="X87" s="59" t="s">
        <v>984</v>
      </c>
      <c r="Y87" s="59" t="s">
        <v>1056</v>
      </c>
      <c r="Z87" s="59" t="s">
        <v>1042</v>
      </c>
      <c r="AA87" s="59" t="s">
        <v>96</v>
      </c>
      <c r="AB87" s="59" t="s">
        <v>689</v>
      </c>
      <c r="AC87" s="59" t="s">
        <v>208</v>
      </c>
      <c r="AD87" s="59" t="s">
        <v>208</v>
      </c>
      <c r="AE87" s="60" t="s">
        <v>1237</v>
      </c>
      <c r="AF87" s="60" t="s">
        <v>8338</v>
      </c>
      <c r="AG87" s="59" t="s">
        <v>8338</v>
      </c>
      <c r="AH87" s="59" t="s">
        <v>691</v>
      </c>
      <c r="AI87" s="59" t="s">
        <v>90</v>
      </c>
      <c r="AJ87" s="61">
        <v>27034</v>
      </c>
      <c r="AK87" s="60" t="s">
        <v>1238</v>
      </c>
      <c r="AL87" s="60" t="s">
        <v>5398</v>
      </c>
      <c r="AM87" s="59" t="s">
        <v>96</v>
      </c>
      <c r="AN87" s="60" t="s">
        <v>1239</v>
      </c>
      <c r="AO87" s="60"/>
      <c r="AP87" s="59" t="s">
        <v>1240</v>
      </c>
      <c r="AQ87" s="25" t="s">
        <v>1241</v>
      </c>
      <c r="AR87" s="60" t="s">
        <v>214</v>
      </c>
      <c r="AS87" s="59" t="s">
        <v>214</v>
      </c>
      <c r="AT87" s="59" t="s">
        <v>141</v>
      </c>
      <c r="AU87" s="59" t="s">
        <v>111</v>
      </c>
      <c r="AV87" s="62">
        <v>40197</v>
      </c>
      <c r="AW87" s="59" t="s">
        <v>7858</v>
      </c>
      <c r="AX87" s="59" t="s">
        <v>691</v>
      </c>
      <c r="AY87" s="59" t="s">
        <v>90</v>
      </c>
      <c r="AZ87" s="126" t="s">
        <v>1242</v>
      </c>
      <c r="BA87" s="60" t="s">
        <v>1243</v>
      </c>
      <c r="BB87" s="60" t="s">
        <v>845</v>
      </c>
      <c r="BC87" s="59" t="s">
        <v>96</v>
      </c>
      <c r="BD87" s="60" t="s">
        <v>1239</v>
      </c>
      <c r="BE87" s="60"/>
      <c r="BF87" s="60"/>
      <c r="BG87" s="59" t="s">
        <v>1240</v>
      </c>
      <c r="BH87" s="60" t="s">
        <v>1241</v>
      </c>
      <c r="BI87" s="60" t="s">
        <v>214</v>
      </c>
      <c r="BJ87" s="24" t="s">
        <v>214</v>
      </c>
      <c r="BK87" s="59" t="s">
        <v>141</v>
      </c>
      <c r="BL87" s="59" t="s">
        <v>156</v>
      </c>
      <c r="BM87" s="24">
        <v>40197</v>
      </c>
      <c r="BN87" s="24"/>
      <c r="BO87" s="59"/>
      <c r="BP87" s="59"/>
      <c r="BQ87" s="77"/>
      <c r="BR87" s="60"/>
      <c r="BS87" s="60"/>
      <c r="BT87" s="59"/>
      <c r="BU87" s="60"/>
      <c r="BV87" s="60"/>
      <c r="BW87" s="59"/>
      <c r="BX87" s="60"/>
      <c r="BY87" s="60"/>
      <c r="BZ87" s="59"/>
      <c r="CA87" s="59"/>
      <c r="CB87" s="59"/>
      <c r="CC87" s="59"/>
      <c r="CD87" s="59"/>
      <c r="CE87" s="59" t="s">
        <v>7394</v>
      </c>
      <c r="CF87" s="60" t="s">
        <v>1241</v>
      </c>
      <c r="CG87" s="59" t="s">
        <v>5402</v>
      </c>
      <c r="CH87" s="59" t="s">
        <v>5402</v>
      </c>
      <c r="CI87" s="59" t="s">
        <v>90</v>
      </c>
      <c r="CJ87" s="59" t="s">
        <v>111</v>
      </c>
      <c r="CK87" s="47">
        <v>40197</v>
      </c>
      <c r="CL87" s="64" t="str">
        <f t="shared" ca="1" si="1"/>
        <v>14 Tahun 11 Bulan 23 Hari</v>
      </c>
      <c r="CM8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Tugu  RT/RW 02/18 Desa/Kelurahan Cimenyan Kecamatan Cimenyan Bandung Jawa Barat 40197</v>
      </c>
    </row>
    <row r="88" spans="1:91" ht="24.95" customHeight="1">
      <c r="A88" s="58">
        <f>SUBTOTAL(3,N$8:Table2[[#This Row],[Nama lengkap]])</f>
        <v>81</v>
      </c>
      <c r="B88" s="58" t="s">
        <v>86</v>
      </c>
      <c r="C88" s="58">
        <v>2023</v>
      </c>
      <c r="D88" s="58"/>
      <c r="E88" s="58">
        <v>2</v>
      </c>
      <c r="F88" s="58" t="s">
        <v>979</v>
      </c>
      <c r="G88" s="32" t="s">
        <v>2513</v>
      </c>
      <c r="H88" s="32" t="s">
        <v>2513</v>
      </c>
      <c r="I88" s="32" t="s">
        <v>2513</v>
      </c>
      <c r="J88" s="32"/>
      <c r="K88" s="32"/>
      <c r="L88" s="32"/>
      <c r="M88" s="58">
        <v>23240015</v>
      </c>
      <c r="N88" s="24" t="s">
        <v>5883</v>
      </c>
      <c r="O88" s="24"/>
      <c r="P88" s="25" t="s">
        <v>1244</v>
      </c>
      <c r="Q88" s="25" t="s">
        <v>1245</v>
      </c>
      <c r="R88" s="60" t="s">
        <v>90</v>
      </c>
      <c r="S88" s="61" t="s">
        <v>1246</v>
      </c>
      <c r="T88" s="47" t="s">
        <v>92</v>
      </c>
      <c r="U88" s="47">
        <v>1</v>
      </c>
      <c r="V88" s="47">
        <v>2</v>
      </c>
      <c r="W88" s="47" t="s">
        <v>207</v>
      </c>
      <c r="X88" s="59" t="s">
        <v>432</v>
      </c>
      <c r="Y88" s="59" t="s">
        <v>1247</v>
      </c>
      <c r="Z88" s="59" t="s">
        <v>986</v>
      </c>
      <c r="AA88" s="59" t="s">
        <v>1169</v>
      </c>
      <c r="AB88" s="59" t="s">
        <v>689</v>
      </c>
      <c r="AC88" s="59" t="s">
        <v>208</v>
      </c>
      <c r="AD88" s="59" t="s">
        <v>208</v>
      </c>
      <c r="AE88" s="60" t="s">
        <v>1248</v>
      </c>
      <c r="AF88" s="60" t="s">
        <v>8339</v>
      </c>
      <c r="AG88" s="59" t="s">
        <v>8339</v>
      </c>
      <c r="AH88" s="59" t="s">
        <v>691</v>
      </c>
      <c r="AI88" s="59" t="s">
        <v>6562</v>
      </c>
      <c r="AJ88" s="61">
        <v>29255</v>
      </c>
      <c r="AK88" s="60" t="s">
        <v>1250</v>
      </c>
      <c r="AL88" s="60" t="s">
        <v>7774</v>
      </c>
      <c r="AM88" s="59" t="s">
        <v>1251</v>
      </c>
      <c r="AN88" s="60" t="s">
        <v>1252</v>
      </c>
      <c r="AO88" s="60"/>
      <c r="AP88" s="59" t="s">
        <v>1253</v>
      </c>
      <c r="AQ88" s="25" t="s">
        <v>1254</v>
      </c>
      <c r="AR88" s="60" t="s">
        <v>1255</v>
      </c>
      <c r="AS88" s="59" t="s">
        <v>1256</v>
      </c>
      <c r="AT88" s="59" t="s">
        <v>163</v>
      </c>
      <c r="AU88" s="59" t="s">
        <v>111</v>
      </c>
      <c r="AV88" s="62">
        <v>40558</v>
      </c>
      <c r="AW88" s="59" t="s">
        <v>7859</v>
      </c>
      <c r="AX88" s="59" t="s">
        <v>691</v>
      </c>
      <c r="AY88" s="59" t="s">
        <v>90</v>
      </c>
      <c r="AZ88" s="126">
        <v>32057</v>
      </c>
      <c r="BA88" s="60" t="s">
        <v>1257</v>
      </c>
      <c r="BB88" s="60" t="s">
        <v>845</v>
      </c>
      <c r="BC88" s="59" t="s">
        <v>149</v>
      </c>
      <c r="BD88" s="60" t="s">
        <v>1252</v>
      </c>
      <c r="BE88" s="60"/>
      <c r="BF88" s="60"/>
      <c r="BG88" s="59" t="s">
        <v>1253</v>
      </c>
      <c r="BH88" s="60" t="s">
        <v>1254</v>
      </c>
      <c r="BI88" s="60" t="s">
        <v>1255</v>
      </c>
      <c r="BJ88" s="24" t="s">
        <v>1256</v>
      </c>
      <c r="BK88" s="59" t="s">
        <v>163</v>
      </c>
      <c r="BL88" s="59" t="s">
        <v>156</v>
      </c>
      <c r="BM88" s="24">
        <v>40558</v>
      </c>
      <c r="BN88" s="24"/>
      <c r="BO88" s="59"/>
      <c r="BP88" s="59"/>
      <c r="BQ88" s="77"/>
      <c r="BR88" s="60"/>
      <c r="BS88" s="60"/>
      <c r="BT88" s="59"/>
      <c r="BU88" s="60"/>
      <c r="BV88" s="60"/>
      <c r="BW88" s="59"/>
      <c r="BX88" s="60"/>
      <c r="BY88" s="60"/>
      <c r="BZ88" s="59"/>
      <c r="CA88" s="59"/>
      <c r="CB88" s="59"/>
      <c r="CC88" s="59"/>
      <c r="CD88" s="59"/>
      <c r="CE88" s="59" t="s">
        <v>7395</v>
      </c>
      <c r="CF88" s="60" t="s">
        <v>1254</v>
      </c>
      <c r="CG88" s="59" t="s">
        <v>7061</v>
      </c>
      <c r="CH88" s="59" t="s">
        <v>7062</v>
      </c>
      <c r="CI88" s="59" t="s">
        <v>155</v>
      </c>
      <c r="CJ88" s="59" t="s">
        <v>111</v>
      </c>
      <c r="CK88" s="47">
        <v>40558</v>
      </c>
      <c r="CL88" s="64" t="str">
        <f t="shared" ca="1" si="1"/>
        <v>14 Tahun 10 Bulan 3 Hari</v>
      </c>
      <c r="CM8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Cikawaron  RT/RW 01/13 Desa/Kelurahan Sirnagalih Kecamatan Cipeundeuy Bandung Barat Jawa Barat 40558</v>
      </c>
    </row>
    <row r="89" spans="1:91" ht="24.95" customHeight="1">
      <c r="A89" s="58">
        <f>SUBTOTAL(3,N$8:Table2[[#This Row],[Nama lengkap]])</f>
        <v>82</v>
      </c>
      <c r="B89" s="58" t="s">
        <v>86</v>
      </c>
      <c r="C89" s="58">
        <v>2023</v>
      </c>
      <c r="D89" s="58"/>
      <c r="E89" s="58">
        <v>2</v>
      </c>
      <c r="F89" s="58" t="s">
        <v>979</v>
      </c>
      <c r="G89" s="32" t="s">
        <v>2513</v>
      </c>
      <c r="H89" s="32" t="s">
        <v>2513</v>
      </c>
      <c r="I89" s="32" t="s">
        <v>2513</v>
      </c>
      <c r="J89" s="32"/>
      <c r="K89" s="32"/>
      <c r="L89" s="32"/>
      <c r="M89" s="58">
        <v>23240020</v>
      </c>
      <c r="N89" s="24" t="s">
        <v>5884</v>
      </c>
      <c r="O89" s="24"/>
      <c r="P89" s="25" t="s">
        <v>1258</v>
      </c>
      <c r="Q89" s="25" t="s">
        <v>1259</v>
      </c>
      <c r="R89" s="60" t="s">
        <v>456</v>
      </c>
      <c r="S89" s="61" t="s">
        <v>1260</v>
      </c>
      <c r="T89" s="47" t="s">
        <v>92</v>
      </c>
      <c r="U89" s="47">
        <v>1</v>
      </c>
      <c r="V89" s="47">
        <v>1</v>
      </c>
      <c r="W89" s="47" t="s">
        <v>207</v>
      </c>
      <c r="X89" s="59" t="s">
        <v>432</v>
      </c>
      <c r="Y89" s="59" t="s">
        <v>999</v>
      </c>
      <c r="Z89" s="59" t="s">
        <v>986</v>
      </c>
      <c r="AA89" s="59" t="s">
        <v>96</v>
      </c>
      <c r="AB89" s="59" t="s">
        <v>689</v>
      </c>
      <c r="AC89" s="59" t="s">
        <v>208</v>
      </c>
      <c r="AD89" s="59" t="s">
        <v>208</v>
      </c>
      <c r="AE89" s="60" t="s">
        <v>1261</v>
      </c>
      <c r="AF89" s="60" t="s">
        <v>8340</v>
      </c>
      <c r="AG89" s="59" t="s">
        <v>8340</v>
      </c>
      <c r="AH89" s="59" t="s">
        <v>691</v>
      </c>
      <c r="AI89" s="59" t="s">
        <v>90</v>
      </c>
      <c r="AJ89" s="61" t="s">
        <v>1262</v>
      </c>
      <c r="AK89" s="60" t="s">
        <v>1263</v>
      </c>
      <c r="AL89" s="60" t="s">
        <v>114</v>
      </c>
      <c r="AM89" s="59" t="s">
        <v>149</v>
      </c>
      <c r="AN89" s="60" t="s">
        <v>1264</v>
      </c>
      <c r="AO89" s="60"/>
      <c r="AP89" s="59" t="s">
        <v>1265</v>
      </c>
      <c r="AQ89" s="25" t="s">
        <v>1122</v>
      </c>
      <c r="AR89" s="60" t="s">
        <v>1266</v>
      </c>
      <c r="AS89" s="59" t="s">
        <v>1267</v>
      </c>
      <c r="AT89" s="59" t="s">
        <v>163</v>
      </c>
      <c r="AU89" s="59" t="s">
        <v>111</v>
      </c>
      <c r="AV89" s="62">
        <v>40551</v>
      </c>
      <c r="AW89" s="59" t="s">
        <v>7860</v>
      </c>
      <c r="AX89" s="59" t="s">
        <v>691</v>
      </c>
      <c r="AY89" s="59" t="s">
        <v>623</v>
      </c>
      <c r="AZ89" s="126">
        <v>30567</v>
      </c>
      <c r="BA89" s="60" t="s">
        <v>1268</v>
      </c>
      <c r="BB89" s="60" t="s">
        <v>845</v>
      </c>
      <c r="BC89" s="59" t="s">
        <v>149</v>
      </c>
      <c r="BD89" s="60" t="s">
        <v>1264</v>
      </c>
      <c r="BE89" s="60"/>
      <c r="BF89" s="60"/>
      <c r="BG89" s="59" t="s">
        <v>1265</v>
      </c>
      <c r="BH89" s="60" t="s">
        <v>1122</v>
      </c>
      <c r="BI89" s="60" t="s">
        <v>1266</v>
      </c>
      <c r="BJ89" s="24" t="s">
        <v>1267</v>
      </c>
      <c r="BK89" s="59" t="s">
        <v>163</v>
      </c>
      <c r="BL89" s="59" t="s">
        <v>156</v>
      </c>
      <c r="BM89" s="24">
        <v>40551</v>
      </c>
      <c r="BN89" s="24"/>
      <c r="BO89" s="59"/>
      <c r="BP89" s="59"/>
      <c r="BQ89" s="77"/>
      <c r="BR89" s="60"/>
      <c r="BS89" s="60"/>
      <c r="BT89" s="59"/>
      <c r="BU89" s="60"/>
      <c r="BV89" s="60"/>
      <c r="BW89" s="59"/>
      <c r="BX89" s="60"/>
      <c r="BY89" s="60"/>
      <c r="BZ89" s="59"/>
      <c r="CA89" s="59"/>
      <c r="CB89" s="59"/>
      <c r="CC89" s="59"/>
      <c r="CD89" s="59"/>
      <c r="CE89" s="59" t="s">
        <v>7396</v>
      </c>
      <c r="CF89" s="60" t="s">
        <v>1122</v>
      </c>
      <c r="CG89" s="59" t="s">
        <v>7063</v>
      </c>
      <c r="CH89" s="59" t="s">
        <v>7064</v>
      </c>
      <c r="CI89" s="59" t="s">
        <v>155</v>
      </c>
      <c r="CJ89" s="59" t="s">
        <v>111</v>
      </c>
      <c r="CK89" s="47">
        <v>40551</v>
      </c>
      <c r="CL89" s="64" t="str">
        <f t="shared" ca="1" si="1"/>
        <v>14 Tahun 10 Bulan 26 Hari</v>
      </c>
      <c r="CM8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Bongkok RT/RW 03/07 Desa/Kelurahan Padaasih Kecamatan Cisarua Bandung Barat Jawa Barat 40551</v>
      </c>
    </row>
    <row r="90" spans="1:91" ht="24.95" customHeight="1">
      <c r="A90" s="58">
        <f>SUBTOTAL(3,N$8:Table2[[#This Row],[Nama lengkap]])</f>
        <v>83</v>
      </c>
      <c r="B90" s="58" t="s">
        <v>86</v>
      </c>
      <c r="C90" s="58">
        <v>2023</v>
      </c>
      <c r="D90" s="58"/>
      <c r="E90" s="58">
        <v>2</v>
      </c>
      <c r="F90" s="58" t="s">
        <v>979</v>
      </c>
      <c r="G90" s="32" t="s">
        <v>2513</v>
      </c>
      <c r="H90" s="32" t="s">
        <v>2513</v>
      </c>
      <c r="I90" s="32" t="s">
        <v>2513</v>
      </c>
      <c r="J90" s="32"/>
      <c r="K90" s="32"/>
      <c r="L90" s="32"/>
      <c r="M90" s="58">
        <v>23240012</v>
      </c>
      <c r="N90" s="24" t="s">
        <v>8760</v>
      </c>
      <c r="O90" s="24"/>
      <c r="P90" s="25" t="s">
        <v>1269</v>
      </c>
      <c r="Q90" s="25" t="s">
        <v>1270</v>
      </c>
      <c r="R90" s="60" t="s">
        <v>122</v>
      </c>
      <c r="S90" s="61" t="s">
        <v>1271</v>
      </c>
      <c r="T90" s="47" t="s">
        <v>92</v>
      </c>
      <c r="U90" s="47">
        <v>1</v>
      </c>
      <c r="V90" s="47">
        <v>2</v>
      </c>
      <c r="W90" s="47" t="s">
        <v>207</v>
      </c>
      <c r="X90" s="59" t="s">
        <v>93</v>
      </c>
      <c r="Y90" s="59" t="s">
        <v>1068</v>
      </c>
      <c r="Z90" s="59" t="s">
        <v>1272</v>
      </c>
      <c r="AA90" s="59" t="s">
        <v>96</v>
      </c>
      <c r="AB90" s="59" t="s">
        <v>689</v>
      </c>
      <c r="AC90" s="59" t="s">
        <v>208</v>
      </c>
      <c r="AD90" s="59" t="s">
        <v>208</v>
      </c>
      <c r="AE90" s="60" t="s">
        <v>1273</v>
      </c>
      <c r="AF90" s="60" t="s">
        <v>8341</v>
      </c>
      <c r="AG90" s="59" t="s">
        <v>8341</v>
      </c>
      <c r="AH90" s="59" t="s">
        <v>691</v>
      </c>
      <c r="AI90" s="59" t="s">
        <v>122</v>
      </c>
      <c r="AJ90" s="61">
        <v>30996</v>
      </c>
      <c r="AK90" s="60" t="s">
        <v>1274</v>
      </c>
      <c r="AL90" s="60" t="s">
        <v>289</v>
      </c>
      <c r="AM90" s="59" t="s">
        <v>149</v>
      </c>
      <c r="AN90" s="60" t="s">
        <v>1275</v>
      </c>
      <c r="AO90" s="60"/>
      <c r="AP90" s="59" t="s">
        <v>1276</v>
      </c>
      <c r="AQ90" s="25" t="s">
        <v>1277</v>
      </c>
      <c r="AR90" s="60" t="s">
        <v>1278</v>
      </c>
      <c r="AS90" s="59" t="s">
        <v>1101</v>
      </c>
      <c r="AT90" s="59" t="s">
        <v>1090</v>
      </c>
      <c r="AU90" s="59" t="s">
        <v>111</v>
      </c>
      <c r="AV90" s="62">
        <v>45312</v>
      </c>
      <c r="AW90" s="59" t="s">
        <v>7861</v>
      </c>
      <c r="AX90" s="59" t="s">
        <v>691</v>
      </c>
      <c r="AY90" s="59" t="s">
        <v>122</v>
      </c>
      <c r="AZ90" s="126" t="s">
        <v>1279</v>
      </c>
      <c r="BA90" s="60" t="s">
        <v>1280</v>
      </c>
      <c r="BB90" s="60" t="s">
        <v>7770</v>
      </c>
      <c r="BC90" s="59" t="s">
        <v>159</v>
      </c>
      <c r="BD90" s="60" t="s">
        <v>1275</v>
      </c>
      <c r="BE90" s="60"/>
      <c r="BF90" s="60"/>
      <c r="BG90" s="59" t="s">
        <v>1276</v>
      </c>
      <c r="BH90" s="60" t="s">
        <v>1277</v>
      </c>
      <c r="BI90" s="60" t="s">
        <v>1278</v>
      </c>
      <c r="BJ90" s="24" t="s">
        <v>1101</v>
      </c>
      <c r="BK90" s="59" t="s">
        <v>1090</v>
      </c>
      <c r="BL90" s="59" t="s">
        <v>156</v>
      </c>
      <c r="BM90" s="24">
        <v>45312</v>
      </c>
      <c r="BN90" s="24"/>
      <c r="BO90" s="59"/>
      <c r="BP90" s="59"/>
      <c r="BQ90" s="77"/>
      <c r="BR90" s="60"/>
      <c r="BS90" s="60"/>
      <c r="BT90" s="59"/>
      <c r="BU90" s="60"/>
      <c r="BV90" s="60"/>
      <c r="BW90" s="59"/>
      <c r="BX90" s="60"/>
      <c r="BY90" s="60"/>
      <c r="BZ90" s="59"/>
      <c r="CA90" s="59"/>
      <c r="CB90" s="59"/>
      <c r="CC90" s="59"/>
      <c r="CD90" s="59"/>
      <c r="CE90" s="59" t="s">
        <v>7397</v>
      </c>
      <c r="CF90" s="60" t="s">
        <v>1277</v>
      </c>
      <c r="CG90" s="59" t="s">
        <v>7065</v>
      </c>
      <c r="CH90" s="59" t="s">
        <v>6945</v>
      </c>
      <c r="CI90" s="59" t="s">
        <v>122</v>
      </c>
      <c r="CJ90" s="59" t="s">
        <v>111</v>
      </c>
      <c r="CK90" s="47">
        <v>45312</v>
      </c>
      <c r="CL90" s="64" t="str">
        <f t="shared" ca="1" si="1"/>
        <v>14 Tahun 11 Bulan 3 Hari</v>
      </c>
      <c r="CM9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Lingkungan Darangdan Kebon  RT/RW 01/15 Desa/Kelurahan Kota Kulon Kecamatan Sumedang Selatan Sumedang Jawa Barat 45312</v>
      </c>
    </row>
    <row r="91" spans="1:91" ht="24.95" customHeight="1">
      <c r="A91" s="58">
        <f>SUBTOTAL(3,N$8:Table2[[#This Row],[Nama lengkap]])</f>
        <v>84</v>
      </c>
      <c r="B91" s="58" t="s">
        <v>86</v>
      </c>
      <c r="C91" s="58">
        <v>2023</v>
      </c>
      <c r="D91" s="58"/>
      <c r="E91" s="58">
        <v>2</v>
      </c>
      <c r="F91" s="58" t="s">
        <v>979</v>
      </c>
      <c r="G91" s="32" t="s">
        <v>2513</v>
      </c>
      <c r="H91" s="32" t="s">
        <v>2513</v>
      </c>
      <c r="I91" s="32" t="s">
        <v>2513</v>
      </c>
      <c r="J91" s="32"/>
      <c r="K91" s="32"/>
      <c r="L91" s="32"/>
      <c r="M91" s="58">
        <v>23240013</v>
      </c>
      <c r="N91" s="24" t="s">
        <v>5886</v>
      </c>
      <c r="O91" s="24"/>
      <c r="P91" s="25" t="s">
        <v>1281</v>
      </c>
      <c r="Q91" s="25" t="s">
        <v>1282</v>
      </c>
      <c r="R91" s="60" t="s">
        <v>90</v>
      </c>
      <c r="S91" s="61" t="s">
        <v>1283</v>
      </c>
      <c r="T91" s="47" t="s">
        <v>92</v>
      </c>
      <c r="U91" s="47">
        <v>2</v>
      </c>
      <c r="V91" s="47">
        <v>1</v>
      </c>
      <c r="W91" s="47" t="s">
        <v>207</v>
      </c>
      <c r="X91" s="59" t="s">
        <v>93</v>
      </c>
      <c r="Y91" s="59" t="s">
        <v>1247</v>
      </c>
      <c r="Z91" s="59" t="s">
        <v>1284</v>
      </c>
      <c r="AA91" s="59" t="s">
        <v>96</v>
      </c>
      <c r="AB91" s="59" t="s">
        <v>689</v>
      </c>
      <c r="AC91" s="59" t="s">
        <v>208</v>
      </c>
      <c r="AD91" s="59" t="s">
        <v>208</v>
      </c>
      <c r="AE91" s="60" t="s">
        <v>1285</v>
      </c>
      <c r="AF91" s="60" t="s">
        <v>8342</v>
      </c>
      <c r="AG91" s="59" t="s">
        <v>8343</v>
      </c>
      <c r="AH91" s="59" t="s">
        <v>1153</v>
      </c>
      <c r="AI91" s="59"/>
      <c r="AJ91" s="61"/>
      <c r="AK91" s="60"/>
      <c r="AL91" s="60"/>
      <c r="AM91" s="59"/>
      <c r="AN91" s="60"/>
      <c r="AO91" s="60"/>
      <c r="AP91" s="59"/>
      <c r="AQ91" s="25"/>
      <c r="AR91" s="60"/>
      <c r="AS91" s="59"/>
      <c r="AT91" s="59"/>
      <c r="AU91" s="59" t="s">
        <v>111</v>
      </c>
      <c r="AV91" s="62"/>
      <c r="AW91" s="59" t="s">
        <v>7862</v>
      </c>
      <c r="AX91" s="59" t="s">
        <v>1153</v>
      </c>
      <c r="AY91" s="59" t="s">
        <v>90</v>
      </c>
      <c r="AZ91" s="126" t="s">
        <v>1286</v>
      </c>
      <c r="BA91" s="60" t="s">
        <v>1287</v>
      </c>
      <c r="BB91" s="60" t="s">
        <v>602</v>
      </c>
      <c r="BC91" s="59" t="s">
        <v>149</v>
      </c>
      <c r="BD91" s="60" t="s">
        <v>1288</v>
      </c>
      <c r="BE91" s="60"/>
      <c r="BF91" s="60"/>
      <c r="BG91" s="59" t="s">
        <v>1289</v>
      </c>
      <c r="BH91" s="60" t="s">
        <v>1290</v>
      </c>
      <c r="BI91" s="60" t="s">
        <v>1291</v>
      </c>
      <c r="BJ91" s="24" t="s">
        <v>1292</v>
      </c>
      <c r="BK91" s="59" t="s">
        <v>141</v>
      </c>
      <c r="BL91" s="59" t="s">
        <v>156</v>
      </c>
      <c r="BM91" s="24">
        <v>40292</v>
      </c>
      <c r="BN91" s="24"/>
      <c r="BO91" s="59"/>
      <c r="BP91" s="59"/>
      <c r="BQ91" s="77"/>
      <c r="BR91" s="60"/>
      <c r="BS91" s="60"/>
      <c r="BT91" s="59"/>
      <c r="BU91" s="60"/>
      <c r="BV91" s="60"/>
      <c r="BW91" s="59"/>
      <c r="BX91" s="60"/>
      <c r="BY91" s="60"/>
      <c r="BZ91" s="59"/>
      <c r="CA91" s="59"/>
      <c r="CB91" s="59"/>
      <c r="CC91" s="59"/>
      <c r="CD91" s="59"/>
      <c r="CE91" s="59" t="s">
        <v>7398</v>
      </c>
      <c r="CF91" s="60" t="s">
        <v>1290</v>
      </c>
      <c r="CG91" s="59" t="s">
        <v>6671</v>
      </c>
      <c r="CH91" s="59" t="s">
        <v>6672</v>
      </c>
      <c r="CI91" s="59" t="s">
        <v>90</v>
      </c>
      <c r="CJ91" s="59" t="s">
        <v>111</v>
      </c>
      <c r="CK91" s="47">
        <v>40292</v>
      </c>
      <c r="CL91" s="64" t="str">
        <f t="shared" ca="1" si="1"/>
        <v>15 Tahun 4 Bulan 12 Hari</v>
      </c>
      <c r="CM9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Rancaloa  RT/RW 03/03 Desa/Kelurahan Cipamokolan Kecamatan Rancasari Bandung Jawa Barat 40292</v>
      </c>
    </row>
    <row r="92" spans="1:91" ht="24.95" customHeight="1">
      <c r="A92" s="58">
        <f>SUBTOTAL(3,N$8:Table2[[#This Row],[Nama lengkap]])</f>
        <v>85</v>
      </c>
      <c r="B92" s="58" t="s">
        <v>86</v>
      </c>
      <c r="C92" s="58">
        <v>2023</v>
      </c>
      <c r="D92" s="58"/>
      <c r="E92" s="58">
        <v>2</v>
      </c>
      <c r="F92" s="58" t="s">
        <v>979</v>
      </c>
      <c r="G92" s="32" t="s">
        <v>2513</v>
      </c>
      <c r="H92" s="32" t="s">
        <v>2513</v>
      </c>
      <c r="I92" s="32" t="s">
        <v>2513</v>
      </c>
      <c r="J92" s="32"/>
      <c r="K92" s="32"/>
      <c r="L92" s="32"/>
      <c r="M92" s="58">
        <v>23240158</v>
      </c>
      <c r="N92" s="24" t="s">
        <v>5887</v>
      </c>
      <c r="O92" s="24"/>
      <c r="P92" s="25" t="s">
        <v>1293</v>
      </c>
      <c r="Q92" s="25" t="s">
        <v>1294</v>
      </c>
      <c r="R92" s="60" t="s">
        <v>219</v>
      </c>
      <c r="S92" s="61" t="s">
        <v>1296</v>
      </c>
      <c r="T92" s="47" t="s">
        <v>92</v>
      </c>
      <c r="U92" s="47">
        <v>3</v>
      </c>
      <c r="V92" s="47">
        <v>4</v>
      </c>
      <c r="W92" s="47" t="s">
        <v>207</v>
      </c>
      <c r="X92" s="59" t="s">
        <v>984</v>
      </c>
      <c r="Y92" s="59" t="s">
        <v>1056</v>
      </c>
      <c r="Z92" s="59" t="s">
        <v>1168</v>
      </c>
      <c r="AA92" s="59" t="s">
        <v>96</v>
      </c>
      <c r="AB92" s="59" t="s">
        <v>689</v>
      </c>
      <c r="AC92" s="59" t="s">
        <v>208</v>
      </c>
      <c r="AD92" s="59" t="s">
        <v>208</v>
      </c>
      <c r="AE92" s="60" t="s">
        <v>1297</v>
      </c>
      <c r="AF92" s="60" t="s">
        <v>824</v>
      </c>
      <c r="AG92" s="59" t="s">
        <v>824</v>
      </c>
      <c r="AH92" s="59" t="s">
        <v>691</v>
      </c>
      <c r="AI92" s="59" t="s">
        <v>90</v>
      </c>
      <c r="AJ92" s="61" t="s">
        <v>1298</v>
      </c>
      <c r="AK92" s="60" t="s">
        <v>1299</v>
      </c>
      <c r="AL92" s="60" t="s">
        <v>5398</v>
      </c>
      <c r="AM92" s="59" t="s">
        <v>96</v>
      </c>
      <c r="AN92" s="60"/>
      <c r="AO92" s="60"/>
      <c r="AP92" s="59" t="s">
        <v>1300</v>
      </c>
      <c r="AQ92" s="25"/>
      <c r="AR92" s="60" t="s">
        <v>1295</v>
      </c>
      <c r="AS92" s="59" t="s">
        <v>1301</v>
      </c>
      <c r="AT92" s="59" t="s">
        <v>1302</v>
      </c>
      <c r="AU92" s="59" t="s">
        <v>539</v>
      </c>
      <c r="AV92" s="62">
        <v>38366</v>
      </c>
      <c r="AW92" s="59" t="s">
        <v>7863</v>
      </c>
      <c r="AX92" s="59" t="s">
        <v>691</v>
      </c>
      <c r="AY92" s="59" t="s">
        <v>90</v>
      </c>
      <c r="AZ92" s="126" t="s">
        <v>1303</v>
      </c>
      <c r="BA92" s="60" t="s">
        <v>1304</v>
      </c>
      <c r="BB92" s="60" t="s">
        <v>845</v>
      </c>
      <c r="BC92" s="59" t="s">
        <v>159</v>
      </c>
      <c r="BD92" s="60"/>
      <c r="BE92" s="60"/>
      <c r="BF92" s="60"/>
      <c r="BG92" s="59" t="s">
        <v>1300</v>
      </c>
      <c r="BH92" s="60"/>
      <c r="BI92" s="60" t="s">
        <v>1295</v>
      </c>
      <c r="BJ92" s="24" t="s">
        <v>1301</v>
      </c>
      <c r="BK92" s="59" t="s">
        <v>1302</v>
      </c>
      <c r="BL92" s="59" t="s">
        <v>539</v>
      </c>
      <c r="BM92" s="24">
        <v>38366</v>
      </c>
      <c r="BN92" s="24"/>
      <c r="BO92" s="59"/>
      <c r="BP92" s="59"/>
      <c r="BQ92" s="77"/>
      <c r="BR92" s="60"/>
      <c r="BS92" s="60"/>
      <c r="BT92" s="59"/>
      <c r="BU92" s="60"/>
      <c r="BV92" s="60"/>
      <c r="BW92" s="59"/>
      <c r="BX92" s="60"/>
      <c r="BY92" s="60"/>
      <c r="BZ92" s="59"/>
      <c r="CA92" s="59"/>
      <c r="CB92" s="59"/>
      <c r="CC92" s="59"/>
      <c r="CD92" s="59"/>
      <c r="CE92" s="59" t="s">
        <v>7399</v>
      </c>
      <c r="CF92" s="60"/>
      <c r="CG92" s="59" t="s">
        <v>219</v>
      </c>
      <c r="CH92" s="59" t="s">
        <v>228</v>
      </c>
      <c r="CI92" s="59" t="s">
        <v>229</v>
      </c>
      <c r="CJ92" s="59" t="s">
        <v>230</v>
      </c>
      <c r="CK92" s="47">
        <v>38366</v>
      </c>
      <c r="CL92" s="64" t="str">
        <f t="shared" ca="1" si="1"/>
        <v>15 Tahun 4 Bulan 5 Hari</v>
      </c>
      <c r="CM9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Desa Air Hitam Dusun Air Hitam  RT/RW  Desa/Kelurahan Air Hitam Kecamatan Pondok Suguh Muko Muko Bengkulu 38366</v>
      </c>
    </row>
    <row r="93" spans="1:91" ht="24.95" customHeight="1">
      <c r="A93" s="58">
        <f>SUBTOTAL(3,N$8:Table2[[#This Row],[Nama lengkap]])</f>
        <v>86</v>
      </c>
      <c r="B93" s="58" t="s">
        <v>86</v>
      </c>
      <c r="C93" s="58">
        <v>2023</v>
      </c>
      <c r="D93" s="58" t="s">
        <v>8936</v>
      </c>
      <c r="E93" s="58">
        <v>2</v>
      </c>
      <c r="F93" s="58" t="s">
        <v>979</v>
      </c>
      <c r="G93" s="32" t="s">
        <v>2513</v>
      </c>
      <c r="H93" s="32" t="s">
        <v>2513</v>
      </c>
      <c r="I93" s="32" t="s">
        <v>2513</v>
      </c>
      <c r="J93" s="32"/>
      <c r="K93" s="32"/>
      <c r="L93" s="32"/>
      <c r="M93" s="58">
        <v>23240147</v>
      </c>
      <c r="N93" s="24" t="s">
        <v>8761</v>
      </c>
      <c r="O93" s="24"/>
      <c r="P93" s="25" t="s">
        <v>1305</v>
      </c>
      <c r="Q93" s="25" t="s">
        <v>1306</v>
      </c>
      <c r="R93" s="60" t="s">
        <v>219</v>
      </c>
      <c r="S93" s="61" t="s">
        <v>1149</v>
      </c>
      <c r="T93" s="47" t="s">
        <v>92</v>
      </c>
      <c r="U93" s="47">
        <v>1</v>
      </c>
      <c r="V93" s="47">
        <v>2</v>
      </c>
      <c r="W93" s="47" t="s">
        <v>207</v>
      </c>
      <c r="X93" s="59" t="s">
        <v>984</v>
      </c>
      <c r="Y93" s="59" t="s">
        <v>687</v>
      </c>
      <c r="Z93" s="59" t="s">
        <v>1307</v>
      </c>
      <c r="AA93" s="59" t="s">
        <v>96</v>
      </c>
      <c r="AB93" s="59" t="s">
        <v>689</v>
      </c>
      <c r="AC93" s="59" t="s">
        <v>208</v>
      </c>
      <c r="AD93" s="59" t="s">
        <v>208</v>
      </c>
      <c r="AE93" s="60" t="s">
        <v>1308</v>
      </c>
      <c r="AF93" s="60" t="s">
        <v>8344</v>
      </c>
      <c r="AG93" s="59" t="s">
        <v>8344</v>
      </c>
      <c r="AH93" s="59" t="s">
        <v>691</v>
      </c>
      <c r="AI93" s="59" t="s">
        <v>219</v>
      </c>
      <c r="AJ93" s="61" t="s">
        <v>1309</v>
      </c>
      <c r="AK93" s="60" t="s">
        <v>1310</v>
      </c>
      <c r="AL93" s="60" t="s">
        <v>224</v>
      </c>
      <c r="AM93" s="59" t="s">
        <v>800</v>
      </c>
      <c r="AN93" s="60" t="s">
        <v>1311</v>
      </c>
      <c r="AO93" s="60"/>
      <c r="AP93" s="59" t="s">
        <v>1312</v>
      </c>
      <c r="AQ93" s="25" t="s">
        <v>1313</v>
      </c>
      <c r="AR93" s="60" t="s">
        <v>1295</v>
      </c>
      <c r="AS93" s="59" t="s">
        <v>1301</v>
      </c>
      <c r="AT93" s="59" t="s">
        <v>1314</v>
      </c>
      <c r="AU93" s="59" t="s">
        <v>539</v>
      </c>
      <c r="AV93" s="62">
        <v>38366</v>
      </c>
      <c r="AW93" s="59" t="s">
        <v>7864</v>
      </c>
      <c r="AX93" s="59" t="s">
        <v>691</v>
      </c>
      <c r="AY93" s="59" t="s">
        <v>90</v>
      </c>
      <c r="AZ93" s="126">
        <v>34004</v>
      </c>
      <c r="BA93" s="60" t="s">
        <v>1315</v>
      </c>
      <c r="BB93" s="60" t="s">
        <v>7770</v>
      </c>
      <c r="BC93" s="59" t="s">
        <v>700</v>
      </c>
      <c r="BD93" s="60" t="s">
        <v>1311</v>
      </c>
      <c r="BE93" s="60"/>
      <c r="BF93" s="60"/>
      <c r="BG93" s="59" t="s">
        <v>1312</v>
      </c>
      <c r="BH93" s="60" t="s">
        <v>1313</v>
      </c>
      <c r="BI93" s="60" t="s">
        <v>1295</v>
      </c>
      <c r="BJ93" s="24" t="s">
        <v>1301</v>
      </c>
      <c r="BK93" s="59" t="s">
        <v>1314</v>
      </c>
      <c r="BL93" s="59" t="s">
        <v>539</v>
      </c>
      <c r="BM93" s="24">
        <v>38366</v>
      </c>
      <c r="BN93" s="24"/>
      <c r="BO93" s="59"/>
      <c r="BP93" s="59"/>
      <c r="BQ93" s="77"/>
      <c r="BR93" s="60"/>
      <c r="BS93" s="60"/>
      <c r="BT93" s="59"/>
      <c r="BU93" s="60"/>
      <c r="BV93" s="60"/>
      <c r="BW93" s="59"/>
      <c r="BX93" s="60"/>
      <c r="BY93" s="60"/>
      <c r="BZ93" s="59"/>
      <c r="CA93" s="59"/>
      <c r="CB93" s="59"/>
      <c r="CC93" s="59"/>
      <c r="CD93" s="59"/>
      <c r="CE93" s="59" t="s">
        <v>7400</v>
      </c>
      <c r="CF93" s="60" t="s">
        <v>1313</v>
      </c>
      <c r="CG93" s="59" t="s">
        <v>219</v>
      </c>
      <c r="CH93" s="59" t="s">
        <v>228</v>
      </c>
      <c r="CI93" s="59" t="s">
        <v>7066</v>
      </c>
      <c r="CJ93" s="59" t="s">
        <v>230</v>
      </c>
      <c r="CK93" s="47">
        <v>38366</v>
      </c>
      <c r="CL93" s="64" t="str">
        <f t="shared" ca="1" si="1"/>
        <v>15 Tahun 4 Bulan 20 Hari</v>
      </c>
      <c r="CM9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Desa Air Hitam RT/RW 05/02 Desa/Kelurahan Air Hitam Kecamatan Pondok Suguh Mukomuko Bengkulu 38366</v>
      </c>
    </row>
    <row r="94" spans="1:91" ht="24.95" customHeight="1">
      <c r="A94" s="58">
        <f>SUBTOTAL(3,N$8:Table2[[#This Row],[Nama lengkap]])</f>
        <v>87</v>
      </c>
      <c r="B94" s="58" t="s">
        <v>86</v>
      </c>
      <c r="C94" s="58">
        <v>2023</v>
      </c>
      <c r="D94" s="58"/>
      <c r="E94" s="58">
        <v>2</v>
      </c>
      <c r="F94" s="58" t="s">
        <v>979</v>
      </c>
      <c r="G94" s="32" t="s">
        <v>2513</v>
      </c>
      <c r="H94" s="32" t="s">
        <v>2513</v>
      </c>
      <c r="I94" s="32" t="s">
        <v>2513</v>
      </c>
      <c r="J94" s="32"/>
      <c r="K94" s="32"/>
      <c r="L94" s="32"/>
      <c r="M94" s="58">
        <v>23240063</v>
      </c>
      <c r="N94" s="24" t="s">
        <v>8762</v>
      </c>
      <c r="O94" s="24"/>
      <c r="P94" s="25">
        <v>3108762558</v>
      </c>
      <c r="Q94" s="25" t="s">
        <v>1316</v>
      </c>
      <c r="R94" s="60" t="s">
        <v>122</v>
      </c>
      <c r="S94" s="61" t="s">
        <v>1317</v>
      </c>
      <c r="T94" s="47" t="s">
        <v>92</v>
      </c>
      <c r="U94" s="47">
        <v>3</v>
      </c>
      <c r="V94" s="47">
        <v>4</v>
      </c>
      <c r="W94" s="47" t="s">
        <v>207</v>
      </c>
      <c r="X94" s="59" t="s">
        <v>303</v>
      </c>
      <c r="Y94" s="59" t="s">
        <v>999</v>
      </c>
      <c r="Z94" s="59" t="s">
        <v>1093</v>
      </c>
      <c r="AA94" s="59" t="s">
        <v>96</v>
      </c>
      <c r="AB94" s="59" t="s">
        <v>689</v>
      </c>
      <c r="AC94" s="59" t="s">
        <v>208</v>
      </c>
      <c r="AD94" s="59" t="s">
        <v>208</v>
      </c>
      <c r="AE94" s="60" t="s">
        <v>1318</v>
      </c>
      <c r="AF94" s="60" t="s">
        <v>8345</v>
      </c>
      <c r="AG94" s="59" t="s">
        <v>8345</v>
      </c>
      <c r="AH94" s="59" t="s">
        <v>691</v>
      </c>
      <c r="AI94" s="59" t="s">
        <v>6839</v>
      </c>
      <c r="AJ94" s="61">
        <v>25755</v>
      </c>
      <c r="AK94" s="60" t="s">
        <v>1320</v>
      </c>
      <c r="AL94" s="60" t="s">
        <v>914</v>
      </c>
      <c r="AM94" s="59" t="s">
        <v>96</v>
      </c>
      <c r="AN94" s="60" t="s">
        <v>1321</v>
      </c>
      <c r="AO94" s="60"/>
      <c r="AP94" s="59" t="s">
        <v>1322</v>
      </c>
      <c r="AQ94" s="25" t="s">
        <v>783</v>
      </c>
      <c r="AR94" s="60" t="s">
        <v>1323</v>
      </c>
      <c r="AS94" s="59" t="s">
        <v>1324</v>
      </c>
      <c r="AT94" s="59" t="s">
        <v>1090</v>
      </c>
      <c r="AU94" s="59" t="s">
        <v>111</v>
      </c>
      <c r="AV94" s="62">
        <v>45322</v>
      </c>
      <c r="AW94" s="59" t="s">
        <v>7865</v>
      </c>
      <c r="AX94" s="59" t="s">
        <v>691</v>
      </c>
      <c r="AY94" s="59" t="s">
        <v>6472</v>
      </c>
      <c r="AZ94" s="126" t="s">
        <v>1325</v>
      </c>
      <c r="BA94" s="60" t="s">
        <v>1326</v>
      </c>
      <c r="BB94" s="60" t="s">
        <v>845</v>
      </c>
      <c r="BC94" s="59" t="s">
        <v>96</v>
      </c>
      <c r="BD94" s="60" t="s">
        <v>1321</v>
      </c>
      <c r="BE94" s="60"/>
      <c r="BF94" s="60"/>
      <c r="BG94" s="59" t="s">
        <v>1322</v>
      </c>
      <c r="BH94" s="60" t="s">
        <v>783</v>
      </c>
      <c r="BI94" s="60" t="s">
        <v>1323</v>
      </c>
      <c r="BJ94" s="24" t="s">
        <v>1324</v>
      </c>
      <c r="BK94" s="59" t="s">
        <v>1090</v>
      </c>
      <c r="BL94" s="59" t="s">
        <v>156</v>
      </c>
      <c r="BM94" s="24">
        <v>45322</v>
      </c>
      <c r="BN94" s="24"/>
      <c r="BO94" s="59"/>
      <c r="BP94" s="59"/>
      <c r="BQ94" s="77"/>
      <c r="BR94" s="60"/>
      <c r="BS94" s="60"/>
      <c r="BT94" s="59"/>
      <c r="BU94" s="60"/>
      <c r="BV94" s="60"/>
      <c r="BW94" s="59"/>
      <c r="BX94" s="60"/>
      <c r="BY94" s="60"/>
      <c r="BZ94" s="59"/>
      <c r="CA94" s="59"/>
      <c r="CB94" s="59"/>
      <c r="CC94" s="59"/>
      <c r="CD94" s="59"/>
      <c r="CE94" s="59" t="s">
        <v>7401</v>
      </c>
      <c r="CF94" s="60" t="s">
        <v>783</v>
      </c>
      <c r="CG94" s="59" t="s">
        <v>7067</v>
      </c>
      <c r="CH94" s="59" t="s">
        <v>134</v>
      </c>
      <c r="CI94" s="59" t="s">
        <v>122</v>
      </c>
      <c r="CJ94" s="59" t="s">
        <v>111</v>
      </c>
      <c r="CK94" s="47">
        <v>45322</v>
      </c>
      <c r="CL94" s="64" t="str">
        <f t="shared" ca="1" si="1"/>
        <v>15 Tahun 1 Bulan 20 Hari</v>
      </c>
      <c r="CM9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Lingkungan Cipadung  RT/RW 04/06 Desa/Kelurahan Kotakaler Kecamatan Sumedang Utara Sumedang Jawa Barat 45322</v>
      </c>
    </row>
    <row r="95" spans="1:91" ht="24.95" customHeight="1">
      <c r="A95" s="58">
        <f>SUBTOTAL(3,N$8:Table2[[#This Row],[Nama lengkap]])</f>
        <v>88</v>
      </c>
      <c r="B95" s="58" t="s">
        <v>86</v>
      </c>
      <c r="C95" s="58">
        <v>2023</v>
      </c>
      <c r="D95" s="58"/>
      <c r="E95" s="58">
        <v>2</v>
      </c>
      <c r="F95" s="58" t="s">
        <v>979</v>
      </c>
      <c r="G95" s="32" t="s">
        <v>2513</v>
      </c>
      <c r="H95" s="32" t="s">
        <v>2513</v>
      </c>
      <c r="I95" s="32" t="s">
        <v>2513</v>
      </c>
      <c r="J95" s="32"/>
      <c r="K95" s="32"/>
      <c r="L95" s="32"/>
      <c r="M95" s="58">
        <v>23240078</v>
      </c>
      <c r="N95" s="24" t="s">
        <v>5890</v>
      </c>
      <c r="O95" s="24"/>
      <c r="P95" s="25" t="s">
        <v>8973</v>
      </c>
      <c r="Q95" s="25" t="s">
        <v>1327</v>
      </c>
      <c r="R95" s="60" t="s">
        <v>90</v>
      </c>
      <c r="S95" s="61" t="s">
        <v>1328</v>
      </c>
      <c r="T95" s="47" t="s">
        <v>92</v>
      </c>
      <c r="U95" s="47">
        <v>3</v>
      </c>
      <c r="V95" s="47">
        <v>2</v>
      </c>
      <c r="W95" s="47" t="s">
        <v>207</v>
      </c>
      <c r="X95" s="59" t="s">
        <v>123</v>
      </c>
      <c r="Y95" s="59" t="s">
        <v>1329</v>
      </c>
      <c r="Z95" s="59" t="s">
        <v>688</v>
      </c>
      <c r="AA95" s="59" t="s">
        <v>96</v>
      </c>
      <c r="AB95" s="59" t="s">
        <v>689</v>
      </c>
      <c r="AC95" s="59" t="s">
        <v>208</v>
      </c>
      <c r="AD95" s="59" t="s">
        <v>208</v>
      </c>
      <c r="AE95" s="60" t="s">
        <v>1330</v>
      </c>
      <c r="AF95" s="60" t="s">
        <v>8346</v>
      </c>
      <c r="AG95" s="59" t="s">
        <v>8346</v>
      </c>
      <c r="AH95" s="59" t="s">
        <v>691</v>
      </c>
      <c r="AI95" s="59" t="s">
        <v>90</v>
      </c>
      <c r="AJ95" s="61">
        <v>25784</v>
      </c>
      <c r="AK95" s="60" t="s">
        <v>1331</v>
      </c>
      <c r="AL95" s="60" t="s">
        <v>114</v>
      </c>
      <c r="AM95" s="59" t="s">
        <v>1251</v>
      </c>
      <c r="AN95" s="60" t="s">
        <v>1332</v>
      </c>
      <c r="AO95" s="60"/>
      <c r="AP95" s="59" t="s">
        <v>1333</v>
      </c>
      <c r="AQ95" s="25" t="s">
        <v>1334</v>
      </c>
      <c r="AR95" s="60" t="s">
        <v>1335</v>
      </c>
      <c r="AS95" s="59" t="s">
        <v>1336</v>
      </c>
      <c r="AT95" s="59" t="s">
        <v>141</v>
      </c>
      <c r="AU95" s="59" t="s">
        <v>111</v>
      </c>
      <c r="AV95" s="62">
        <v>40261</v>
      </c>
      <c r="AW95" s="59" t="s">
        <v>7866</v>
      </c>
      <c r="AX95" s="59" t="s">
        <v>691</v>
      </c>
      <c r="AY95" s="59" t="s">
        <v>623</v>
      </c>
      <c r="AZ95" s="126">
        <v>29350</v>
      </c>
      <c r="BA95" s="60" t="s">
        <v>1337</v>
      </c>
      <c r="BB95" s="60" t="s">
        <v>845</v>
      </c>
      <c r="BC95" s="59" t="s">
        <v>159</v>
      </c>
      <c r="BD95" s="60" t="s">
        <v>1332</v>
      </c>
      <c r="BE95" s="60"/>
      <c r="BF95" s="60"/>
      <c r="BG95" s="59" t="s">
        <v>1333</v>
      </c>
      <c r="BH95" s="60" t="s">
        <v>1334</v>
      </c>
      <c r="BI95" s="60" t="s">
        <v>1335</v>
      </c>
      <c r="BJ95" s="24" t="s">
        <v>1336</v>
      </c>
      <c r="BK95" s="59" t="s">
        <v>141</v>
      </c>
      <c r="BL95" s="59" t="s">
        <v>156</v>
      </c>
      <c r="BM95" s="24">
        <v>40261</v>
      </c>
      <c r="BN95" s="24"/>
      <c r="BO95" s="59"/>
      <c r="BP95" s="59"/>
      <c r="BQ95" s="77"/>
      <c r="BR95" s="60"/>
      <c r="BS95" s="60"/>
      <c r="BT95" s="59"/>
      <c r="BU95" s="60"/>
      <c r="BV95" s="60"/>
      <c r="BW95" s="59"/>
      <c r="BX95" s="60"/>
      <c r="BY95" s="60"/>
      <c r="BZ95" s="59"/>
      <c r="CA95" s="59"/>
      <c r="CB95" s="59"/>
      <c r="CC95" s="59"/>
      <c r="CD95" s="59"/>
      <c r="CE95" s="59" t="s">
        <v>7402</v>
      </c>
      <c r="CF95" s="60" t="s">
        <v>1334</v>
      </c>
      <c r="CG95" s="59" t="s">
        <v>7068</v>
      </c>
      <c r="CH95" s="59" t="s">
        <v>7069</v>
      </c>
      <c r="CI95" s="59" t="s">
        <v>90</v>
      </c>
      <c r="CJ95" s="59" t="s">
        <v>111</v>
      </c>
      <c r="CK95" s="47">
        <v>40261</v>
      </c>
      <c r="CL95" s="64" t="str">
        <f t="shared" ca="1" si="1"/>
        <v>14 Tahun 8 Bulan 10 Hari</v>
      </c>
      <c r="CM9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Jl.Karapitan Iii No.107/36A  RT/RW 02/06 Desa/Kelurahan Paledang Kecamatan Lengkong Bandung Jawa Barat 40261</v>
      </c>
    </row>
    <row r="96" spans="1:91" ht="24.95" customHeight="1">
      <c r="A96" s="58">
        <f>SUBTOTAL(3,N$8:Table2[[#This Row],[Nama lengkap]])</f>
        <v>89</v>
      </c>
      <c r="B96" s="58" t="s">
        <v>86</v>
      </c>
      <c r="C96" s="58">
        <v>2023</v>
      </c>
      <c r="D96" s="58"/>
      <c r="E96" s="58">
        <v>2</v>
      </c>
      <c r="F96" s="58" t="s">
        <v>979</v>
      </c>
      <c r="G96" s="32" t="s">
        <v>2513</v>
      </c>
      <c r="H96" s="32" t="s">
        <v>2513</v>
      </c>
      <c r="I96" s="32" t="s">
        <v>2513</v>
      </c>
      <c r="J96" s="32"/>
      <c r="K96" s="32"/>
      <c r="L96" s="32"/>
      <c r="M96" s="58">
        <v>23240104</v>
      </c>
      <c r="N96" s="24" t="s">
        <v>5892</v>
      </c>
      <c r="O96" s="24"/>
      <c r="P96" s="25" t="s">
        <v>1338</v>
      </c>
      <c r="Q96" s="25" t="s">
        <v>1339</v>
      </c>
      <c r="R96" s="60" t="s">
        <v>236</v>
      </c>
      <c r="S96" s="61" t="s">
        <v>1340</v>
      </c>
      <c r="T96" s="47" t="s">
        <v>92</v>
      </c>
      <c r="U96" s="47">
        <v>1</v>
      </c>
      <c r="V96" s="47">
        <v>2</v>
      </c>
      <c r="W96" s="47" t="s">
        <v>207</v>
      </c>
      <c r="X96" s="59" t="s">
        <v>432</v>
      </c>
      <c r="Y96" s="59" t="s">
        <v>1012</v>
      </c>
      <c r="Z96" s="59" t="s">
        <v>986</v>
      </c>
      <c r="AA96" s="59" t="s">
        <v>96</v>
      </c>
      <c r="AB96" s="59" t="s">
        <v>689</v>
      </c>
      <c r="AC96" s="59" t="s">
        <v>208</v>
      </c>
      <c r="AD96" s="59" t="s">
        <v>208</v>
      </c>
      <c r="AE96" s="60" t="s">
        <v>1341</v>
      </c>
      <c r="AF96" s="60" t="s">
        <v>8347</v>
      </c>
      <c r="AG96" s="59" t="s">
        <v>8347</v>
      </c>
      <c r="AH96" s="59" t="s">
        <v>691</v>
      </c>
      <c r="AI96" s="59" t="s">
        <v>236</v>
      </c>
      <c r="AJ96" s="61">
        <v>32023</v>
      </c>
      <c r="AK96" s="60" t="s">
        <v>1342</v>
      </c>
      <c r="AL96" s="60" t="s">
        <v>114</v>
      </c>
      <c r="AM96" s="59" t="s">
        <v>693</v>
      </c>
      <c r="AN96" s="60" t="s">
        <v>1343</v>
      </c>
      <c r="AO96" s="60"/>
      <c r="AP96" s="59" t="s">
        <v>1344</v>
      </c>
      <c r="AQ96" s="25" t="s">
        <v>1345</v>
      </c>
      <c r="AR96" s="60" t="s">
        <v>1346</v>
      </c>
      <c r="AS96" s="59" t="s">
        <v>1347</v>
      </c>
      <c r="AT96" s="59" t="s">
        <v>141</v>
      </c>
      <c r="AU96" s="59" t="s">
        <v>111</v>
      </c>
      <c r="AV96" s="62">
        <v>40377</v>
      </c>
      <c r="AW96" s="59" t="s">
        <v>7867</v>
      </c>
      <c r="AX96" s="59" t="s">
        <v>691</v>
      </c>
      <c r="AY96" s="59" t="s">
        <v>236</v>
      </c>
      <c r="AZ96" s="126">
        <v>33061</v>
      </c>
      <c r="BA96" s="60" t="s">
        <v>1348</v>
      </c>
      <c r="BB96" s="60" t="s">
        <v>7770</v>
      </c>
      <c r="BC96" s="59" t="s">
        <v>693</v>
      </c>
      <c r="BD96" s="60" t="s">
        <v>1343</v>
      </c>
      <c r="BE96" s="60"/>
      <c r="BF96" s="60"/>
      <c r="BG96" s="59" t="s">
        <v>1344</v>
      </c>
      <c r="BH96" s="60" t="s">
        <v>1345</v>
      </c>
      <c r="BI96" s="60" t="s">
        <v>1346</v>
      </c>
      <c r="BJ96" s="24" t="s">
        <v>1347</v>
      </c>
      <c r="BK96" s="59" t="s">
        <v>141</v>
      </c>
      <c r="BL96" s="59" t="s">
        <v>156</v>
      </c>
      <c r="BM96" s="24">
        <v>40377</v>
      </c>
      <c r="BN96" s="24"/>
      <c r="BO96" s="59"/>
      <c r="BP96" s="59"/>
      <c r="BQ96" s="77"/>
      <c r="BR96" s="60"/>
      <c r="BS96" s="60"/>
      <c r="BT96" s="59"/>
      <c r="BU96" s="60"/>
      <c r="BV96" s="60"/>
      <c r="BW96" s="59"/>
      <c r="BX96" s="60"/>
      <c r="BY96" s="60"/>
      <c r="BZ96" s="59"/>
      <c r="CA96" s="59"/>
      <c r="CB96" s="59"/>
      <c r="CC96" s="59"/>
      <c r="CD96" s="59"/>
      <c r="CE96" s="59" t="s">
        <v>7403</v>
      </c>
      <c r="CF96" s="60" t="s">
        <v>1345</v>
      </c>
      <c r="CG96" s="59" t="s">
        <v>6934</v>
      </c>
      <c r="CH96" s="59" t="s">
        <v>6463</v>
      </c>
      <c r="CI96" s="59" t="s">
        <v>90</v>
      </c>
      <c r="CJ96" s="59" t="s">
        <v>111</v>
      </c>
      <c r="CK96" s="47">
        <v>40377</v>
      </c>
      <c r="CL96" s="64" t="str">
        <f t="shared" ca="1" si="1"/>
        <v>15 Tahun 4 Bulan 11 Hari</v>
      </c>
      <c r="CM9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Jl.Ciluncat No.64 RT/RW 03/14 Desa/Kelurahan Ciluncat Kecamatan Cangkuang Bandung Jawa Barat 40377</v>
      </c>
    </row>
    <row r="97" spans="1:91" ht="24.95" customHeight="1">
      <c r="A97" s="58">
        <f>SUBTOTAL(3,N$8:Table2[[#This Row],[Nama lengkap]])</f>
        <v>90</v>
      </c>
      <c r="B97" s="58" t="s">
        <v>86</v>
      </c>
      <c r="C97" s="58">
        <v>2023</v>
      </c>
      <c r="D97" s="58"/>
      <c r="E97" s="58">
        <v>2</v>
      </c>
      <c r="F97" s="58" t="s">
        <v>979</v>
      </c>
      <c r="G97" s="32" t="s">
        <v>2513</v>
      </c>
      <c r="H97" s="32" t="s">
        <v>2513</v>
      </c>
      <c r="I97" s="32" t="s">
        <v>2513</v>
      </c>
      <c r="J97" s="32"/>
      <c r="K97" s="32"/>
      <c r="L97" s="32"/>
      <c r="M97" s="58">
        <v>23240021</v>
      </c>
      <c r="N97" s="24" t="s">
        <v>5893</v>
      </c>
      <c r="O97" s="24"/>
      <c r="P97" s="25" t="s">
        <v>8974</v>
      </c>
      <c r="Q97" s="25" t="s">
        <v>1349</v>
      </c>
      <c r="R97" s="60" t="s">
        <v>90</v>
      </c>
      <c r="S97" s="61" t="s">
        <v>1350</v>
      </c>
      <c r="T97" s="47" t="s">
        <v>92</v>
      </c>
      <c r="U97" s="47">
        <v>1</v>
      </c>
      <c r="V97" s="47">
        <v>5</v>
      </c>
      <c r="W97" s="47" t="s">
        <v>207</v>
      </c>
      <c r="X97" s="59"/>
      <c r="Y97" s="59" t="s">
        <v>1247</v>
      </c>
      <c r="Z97" s="59" t="s">
        <v>688</v>
      </c>
      <c r="AA97" s="59" t="s">
        <v>96</v>
      </c>
      <c r="AB97" s="59" t="s">
        <v>689</v>
      </c>
      <c r="AC97" s="59" t="s">
        <v>208</v>
      </c>
      <c r="AD97" s="59" t="s">
        <v>208</v>
      </c>
      <c r="AE97" s="60" t="s">
        <v>1351</v>
      </c>
      <c r="AF97" s="60" t="s">
        <v>6640</v>
      </c>
      <c r="AG97" s="59" t="s">
        <v>6640</v>
      </c>
      <c r="AH97" s="59" t="s">
        <v>691</v>
      </c>
      <c r="AI97" s="59" t="s">
        <v>90</v>
      </c>
      <c r="AJ97" s="61" t="s">
        <v>1352</v>
      </c>
      <c r="AK97" s="60" t="s">
        <v>1353</v>
      </c>
      <c r="AL97" s="60" t="s">
        <v>289</v>
      </c>
      <c r="AM97" s="59" t="s">
        <v>800</v>
      </c>
      <c r="AN97" s="60" t="s">
        <v>1354</v>
      </c>
      <c r="AO97" s="60"/>
      <c r="AP97" s="59" t="s">
        <v>1355</v>
      </c>
      <c r="AQ97" s="25" t="s">
        <v>1356</v>
      </c>
      <c r="AR97" s="60" t="s">
        <v>1357</v>
      </c>
      <c r="AS97" s="59" t="s">
        <v>1358</v>
      </c>
      <c r="AT97" s="59" t="s">
        <v>1359</v>
      </c>
      <c r="AU97" s="59" t="s">
        <v>111</v>
      </c>
      <c r="AV97" s="62">
        <v>40395</v>
      </c>
      <c r="AW97" s="59" t="s">
        <v>6643</v>
      </c>
      <c r="AX97" s="59" t="s">
        <v>691</v>
      </c>
      <c r="AY97" s="59" t="s">
        <v>90</v>
      </c>
      <c r="AZ97" s="126">
        <v>32509</v>
      </c>
      <c r="BA97" s="60" t="s">
        <v>1360</v>
      </c>
      <c r="BB97" s="60" t="s">
        <v>7770</v>
      </c>
      <c r="BC97" s="59" t="s">
        <v>693</v>
      </c>
      <c r="BD97" s="60" t="s">
        <v>1354</v>
      </c>
      <c r="BE97" s="60"/>
      <c r="BF97" s="60"/>
      <c r="BG97" s="59" t="s">
        <v>1355</v>
      </c>
      <c r="BH97" s="60" t="s">
        <v>1356</v>
      </c>
      <c r="BI97" s="60" t="s">
        <v>1357</v>
      </c>
      <c r="BJ97" s="24" t="s">
        <v>1358</v>
      </c>
      <c r="BK97" s="59" t="s">
        <v>1359</v>
      </c>
      <c r="BL97" s="59" t="s">
        <v>156</v>
      </c>
      <c r="BM97" s="24">
        <v>40395</v>
      </c>
      <c r="BN97" s="24"/>
      <c r="BO97" s="59"/>
      <c r="BP97" s="59"/>
      <c r="BQ97" s="77"/>
      <c r="BR97" s="60"/>
      <c r="BS97" s="60"/>
      <c r="BT97" s="59"/>
      <c r="BU97" s="60"/>
      <c r="BV97" s="60"/>
      <c r="BW97" s="59"/>
      <c r="BX97" s="60"/>
      <c r="BY97" s="60"/>
      <c r="BZ97" s="59"/>
      <c r="CA97" s="59"/>
      <c r="CB97" s="59"/>
      <c r="CC97" s="59"/>
      <c r="CD97" s="59"/>
      <c r="CE97" s="59" t="s">
        <v>7404</v>
      </c>
      <c r="CF97" s="60" t="s">
        <v>1356</v>
      </c>
      <c r="CG97" s="59" t="s">
        <v>6642</v>
      </c>
      <c r="CH97" s="59" t="s">
        <v>4825</v>
      </c>
      <c r="CI97" s="59" t="s">
        <v>7070</v>
      </c>
      <c r="CJ97" s="59" t="s">
        <v>111</v>
      </c>
      <c r="CK97" s="47">
        <v>40395</v>
      </c>
      <c r="CL97" s="64" t="str">
        <f t="shared" ca="1" si="1"/>
        <v>15 Tahun 1 Bulan 9 Hari</v>
      </c>
      <c r="CM9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Kp.Beor RT/RW 03/11 Desa/Kelurahan Babakan Peuteuy Kecamatan Cicalengka Bandung    Jawa Barat 40395</v>
      </c>
    </row>
    <row r="98" spans="1:91" ht="24.95" customHeight="1">
      <c r="A98" s="58">
        <f>SUBTOTAL(3,N$8:Table2[[#This Row],[Nama lengkap]])</f>
        <v>91</v>
      </c>
      <c r="B98" s="58" t="s">
        <v>86</v>
      </c>
      <c r="C98" s="58">
        <v>2023</v>
      </c>
      <c r="D98" s="58"/>
      <c r="E98" s="58">
        <v>2</v>
      </c>
      <c r="F98" s="58" t="s">
        <v>979</v>
      </c>
      <c r="G98" s="32" t="s">
        <v>2513</v>
      </c>
      <c r="H98" s="32" t="s">
        <v>2513</v>
      </c>
      <c r="I98" s="32" t="s">
        <v>2513</v>
      </c>
      <c r="J98" s="32"/>
      <c r="K98" s="32"/>
      <c r="L98" s="32"/>
      <c r="M98" s="58">
        <v>23240081</v>
      </c>
      <c r="N98" s="24" t="s">
        <v>5894</v>
      </c>
      <c r="O98" s="24"/>
      <c r="P98" s="25" t="s">
        <v>1361</v>
      </c>
      <c r="Q98" s="25" t="s">
        <v>1362</v>
      </c>
      <c r="R98" s="60" t="s">
        <v>122</v>
      </c>
      <c r="S98" s="61" t="s">
        <v>1363</v>
      </c>
      <c r="T98" s="47" t="s">
        <v>92</v>
      </c>
      <c r="U98" s="47">
        <v>2</v>
      </c>
      <c r="V98" s="47">
        <v>4</v>
      </c>
      <c r="W98" s="47" t="s">
        <v>207</v>
      </c>
      <c r="X98" s="59" t="s">
        <v>303</v>
      </c>
      <c r="Y98" s="59" t="s">
        <v>1012</v>
      </c>
      <c r="Z98" s="59" t="s">
        <v>986</v>
      </c>
      <c r="AA98" s="59" t="s">
        <v>96</v>
      </c>
      <c r="AB98" s="59" t="s">
        <v>689</v>
      </c>
      <c r="AC98" s="59" t="s">
        <v>208</v>
      </c>
      <c r="AD98" s="59" t="s">
        <v>208</v>
      </c>
      <c r="AE98" s="60" t="s">
        <v>1364</v>
      </c>
      <c r="AF98" s="60" t="s">
        <v>8348</v>
      </c>
      <c r="AG98" s="59" t="s">
        <v>8348</v>
      </c>
      <c r="AH98" s="59" t="s">
        <v>691</v>
      </c>
      <c r="AI98" s="59" t="s">
        <v>122</v>
      </c>
      <c r="AJ98" s="61" t="s">
        <v>1365</v>
      </c>
      <c r="AK98" s="60" t="s">
        <v>1366</v>
      </c>
      <c r="AL98" s="60" t="s">
        <v>114</v>
      </c>
      <c r="AM98" s="59" t="s">
        <v>800</v>
      </c>
      <c r="AN98" s="60" t="s">
        <v>1367</v>
      </c>
      <c r="AO98" s="60"/>
      <c r="AP98" s="59" t="s">
        <v>1368</v>
      </c>
      <c r="AQ98" s="25" t="s">
        <v>1369</v>
      </c>
      <c r="AR98" s="60" t="s">
        <v>1370</v>
      </c>
      <c r="AS98" s="59" t="s">
        <v>1324</v>
      </c>
      <c r="AT98" s="59" t="s">
        <v>1090</v>
      </c>
      <c r="AU98" s="59" t="s">
        <v>111</v>
      </c>
      <c r="AV98" s="62">
        <v>45323</v>
      </c>
      <c r="AW98" s="59" t="s">
        <v>7868</v>
      </c>
      <c r="AX98" s="59" t="s">
        <v>691</v>
      </c>
      <c r="AY98" s="59" t="s">
        <v>122</v>
      </c>
      <c r="AZ98" s="126">
        <v>30226</v>
      </c>
      <c r="BA98" s="60" t="s">
        <v>1371</v>
      </c>
      <c r="BB98" s="60" t="s">
        <v>7770</v>
      </c>
      <c r="BC98" s="59" t="s">
        <v>800</v>
      </c>
      <c r="BD98" s="60" t="s">
        <v>1367</v>
      </c>
      <c r="BE98" s="60"/>
      <c r="BF98" s="60"/>
      <c r="BG98" s="59" t="s">
        <v>1368</v>
      </c>
      <c r="BH98" s="60" t="s">
        <v>1369</v>
      </c>
      <c r="BI98" s="60" t="s">
        <v>1370</v>
      </c>
      <c r="BJ98" s="24" t="s">
        <v>1324</v>
      </c>
      <c r="BK98" s="59" t="s">
        <v>1090</v>
      </c>
      <c r="BL98" s="59" t="s">
        <v>156</v>
      </c>
      <c r="BM98" s="24">
        <v>45323</v>
      </c>
      <c r="BN98" s="24"/>
      <c r="BO98" s="59"/>
      <c r="BP98" s="59"/>
      <c r="BQ98" s="77"/>
      <c r="BR98" s="60"/>
      <c r="BS98" s="60"/>
      <c r="BT98" s="59"/>
      <c r="BU98" s="60"/>
      <c r="BV98" s="60"/>
      <c r="BW98" s="59"/>
      <c r="BX98" s="60"/>
      <c r="BY98" s="60"/>
      <c r="BZ98" s="59"/>
      <c r="CA98" s="59"/>
      <c r="CB98" s="59"/>
      <c r="CC98" s="59"/>
      <c r="CD98" s="59"/>
      <c r="CE98" s="59" t="s">
        <v>7405</v>
      </c>
      <c r="CF98" s="60" t="s">
        <v>1369</v>
      </c>
      <c r="CG98" s="59" t="s">
        <v>7071</v>
      </c>
      <c r="CH98" s="59" t="s">
        <v>134</v>
      </c>
      <c r="CI98" s="59" t="s">
        <v>122</v>
      </c>
      <c r="CJ98" s="59" t="s">
        <v>111</v>
      </c>
      <c r="CK98" s="47">
        <v>45323</v>
      </c>
      <c r="CL98" s="64" t="str">
        <f t="shared" ca="1" si="1"/>
        <v>17 Tahun 9 Bulan 10 Hari</v>
      </c>
      <c r="CM9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Jl.Panyingkiran No 75 RT/RW 02/02 Desa/Kelurahan Situ  Kecamatan Sumedang Utara Sumedang Jawa Barat 45323</v>
      </c>
    </row>
    <row r="99" spans="1:91" ht="24.95" customHeight="1">
      <c r="A99" s="58">
        <f>SUBTOTAL(3,N$8:Table2[[#This Row],[Nama lengkap]])</f>
        <v>92</v>
      </c>
      <c r="B99" s="58" t="s">
        <v>86</v>
      </c>
      <c r="C99" s="58">
        <v>2022</v>
      </c>
      <c r="D99" s="58"/>
      <c r="E99" s="58">
        <v>2</v>
      </c>
      <c r="F99" s="58" t="s">
        <v>979</v>
      </c>
      <c r="G99" s="32" t="s">
        <v>2513</v>
      </c>
      <c r="H99" s="32" t="s">
        <v>2513</v>
      </c>
      <c r="I99" s="32" t="s">
        <v>2513</v>
      </c>
      <c r="J99" s="32"/>
      <c r="K99" s="32"/>
      <c r="L99" s="32"/>
      <c r="M99" s="58">
        <v>22230080</v>
      </c>
      <c r="N99" s="24" t="s">
        <v>5895</v>
      </c>
      <c r="O99" s="24"/>
      <c r="P99" s="25" t="s">
        <v>1372</v>
      </c>
      <c r="Q99" s="25" t="s">
        <v>1373</v>
      </c>
      <c r="R99" s="60" t="s">
        <v>90</v>
      </c>
      <c r="S99" s="61" t="s">
        <v>1374</v>
      </c>
      <c r="T99" s="47" t="s">
        <v>92</v>
      </c>
      <c r="U99" s="47">
        <v>2</v>
      </c>
      <c r="V99" s="47">
        <v>1</v>
      </c>
      <c r="W99" s="47" t="s">
        <v>207</v>
      </c>
      <c r="X99" s="59" t="s">
        <v>432</v>
      </c>
      <c r="Y99" s="59" t="s">
        <v>1092</v>
      </c>
      <c r="Z99" s="59" t="s">
        <v>1375</v>
      </c>
      <c r="AA99" s="59" t="s">
        <v>96</v>
      </c>
      <c r="AB99" s="59" t="s">
        <v>689</v>
      </c>
      <c r="AC99" s="59" t="s">
        <v>208</v>
      </c>
      <c r="AD99" s="59" t="s">
        <v>208</v>
      </c>
      <c r="AE99" s="60" t="s">
        <v>1376</v>
      </c>
      <c r="AF99" s="60" t="s">
        <v>8349</v>
      </c>
      <c r="AG99" s="59" t="s">
        <v>8349</v>
      </c>
      <c r="AH99" s="59" t="s">
        <v>691</v>
      </c>
      <c r="AI99" s="59" t="s">
        <v>90</v>
      </c>
      <c r="AJ99" s="61">
        <v>27826</v>
      </c>
      <c r="AK99" s="60" t="s">
        <v>1377</v>
      </c>
      <c r="AL99" s="60" t="s">
        <v>602</v>
      </c>
      <c r="AM99" s="59" t="s">
        <v>700</v>
      </c>
      <c r="AN99" s="60" t="s">
        <v>1378</v>
      </c>
      <c r="AO99" s="60"/>
      <c r="AP99" s="59" t="s">
        <v>1379</v>
      </c>
      <c r="AQ99" s="25" t="s">
        <v>262</v>
      </c>
      <c r="AR99" s="60" t="s">
        <v>1380</v>
      </c>
      <c r="AS99" s="59" t="s">
        <v>618</v>
      </c>
      <c r="AT99" s="59" t="s">
        <v>141</v>
      </c>
      <c r="AU99" s="59" t="s">
        <v>111</v>
      </c>
      <c r="AV99" s="62">
        <v>40377</v>
      </c>
      <c r="AW99" s="59" t="s">
        <v>7869</v>
      </c>
      <c r="AX99" s="59" t="s">
        <v>691</v>
      </c>
      <c r="AY99" s="59" t="s">
        <v>90</v>
      </c>
      <c r="AZ99" s="126">
        <v>29381</v>
      </c>
      <c r="BA99" s="60" t="s">
        <v>1381</v>
      </c>
      <c r="BB99" s="60" t="s">
        <v>7771</v>
      </c>
      <c r="BC99" s="59" t="s">
        <v>700</v>
      </c>
      <c r="BD99" s="60" t="s">
        <v>1378</v>
      </c>
      <c r="BE99" s="60"/>
      <c r="BF99" s="60"/>
      <c r="BG99" s="59" t="s">
        <v>1379</v>
      </c>
      <c r="BH99" s="60" t="s">
        <v>262</v>
      </c>
      <c r="BI99" s="60" t="s">
        <v>1380</v>
      </c>
      <c r="BJ99" s="24" t="s">
        <v>618</v>
      </c>
      <c r="BK99" s="59" t="s">
        <v>141</v>
      </c>
      <c r="BL99" s="59" t="s">
        <v>1214</v>
      </c>
      <c r="BM99" s="24">
        <v>40377</v>
      </c>
      <c r="BN99" s="24"/>
      <c r="BO99" s="59"/>
      <c r="BP99" s="59"/>
      <c r="BQ99" s="77"/>
      <c r="BR99" s="60"/>
      <c r="BS99" s="60"/>
      <c r="BT99" s="59"/>
      <c r="BU99" s="60"/>
      <c r="BV99" s="60"/>
      <c r="BW99" s="59"/>
      <c r="BX99" s="60"/>
      <c r="BY99" s="60"/>
      <c r="BZ99" s="59"/>
      <c r="CA99" s="59"/>
      <c r="CB99" s="59"/>
      <c r="CC99" s="59"/>
      <c r="CD99" s="59"/>
      <c r="CE99" s="59" t="s">
        <v>7406</v>
      </c>
      <c r="CF99" s="60" t="s">
        <v>262</v>
      </c>
      <c r="CG99" s="59" t="s">
        <v>6714</v>
      </c>
      <c r="CH99" s="59" t="s">
        <v>507</v>
      </c>
      <c r="CI99" s="59" t="s">
        <v>90</v>
      </c>
      <c r="CJ99" s="59" t="s">
        <v>111</v>
      </c>
      <c r="CK99" s="47">
        <v>40377</v>
      </c>
      <c r="CL99" s="64" t="str">
        <f t="shared" ca="1" si="1"/>
        <v>15 Tahun 11 Bulan 30 Hari</v>
      </c>
      <c r="CM9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Ciapus RT/RW 03/05 Desa/Kelurahan Ciapus Kecamatan Banjaran Bandung Jawa Barat 40377</v>
      </c>
    </row>
    <row r="100" spans="1:91" ht="24.95" customHeight="1">
      <c r="A100" s="58">
        <f>SUBTOTAL(3,N$8:Table2[[#This Row],[Nama lengkap]])</f>
        <v>93</v>
      </c>
      <c r="B100" s="58" t="s">
        <v>86</v>
      </c>
      <c r="C100" s="58">
        <v>2023</v>
      </c>
      <c r="D100" s="58"/>
      <c r="E100" s="58">
        <v>2</v>
      </c>
      <c r="F100" s="58" t="s">
        <v>979</v>
      </c>
      <c r="G100" s="32" t="s">
        <v>2513</v>
      </c>
      <c r="H100" s="32" t="s">
        <v>2513</v>
      </c>
      <c r="I100" s="32" t="s">
        <v>2513</v>
      </c>
      <c r="J100" s="32"/>
      <c r="K100" s="32"/>
      <c r="L100" s="32"/>
      <c r="M100" s="58">
        <v>23240096</v>
      </c>
      <c r="N100" s="24" t="s">
        <v>5896</v>
      </c>
      <c r="O100" s="24"/>
      <c r="P100" s="25">
        <v>3104744303</v>
      </c>
      <c r="Q100" s="25" t="s">
        <v>1382</v>
      </c>
      <c r="R100" s="60" t="s">
        <v>6846</v>
      </c>
      <c r="S100" s="61" t="s">
        <v>1384</v>
      </c>
      <c r="T100" s="47" t="s">
        <v>92</v>
      </c>
      <c r="U100" s="47">
        <v>2</v>
      </c>
      <c r="V100" s="47">
        <v>4</v>
      </c>
      <c r="W100" s="47" t="s">
        <v>207</v>
      </c>
      <c r="X100" s="59" t="s">
        <v>984</v>
      </c>
      <c r="Y100" s="59" t="s">
        <v>1385</v>
      </c>
      <c r="Z100" s="59" t="s">
        <v>1168</v>
      </c>
      <c r="AA100" s="59" t="s">
        <v>1169</v>
      </c>
      <c r="AB100" s="59" t="s">
        <v>689</v>
      </c>
      <c r="AC100" s="59" t="s">
        <v>208</v>
      </c>
      <c r="AD100" s="59" t="s">
        <v>208</v>
      </c>
      <c r="AE100" s="60" t="s">
        <v>1386</v>
      </c>
      <c r="AF100" s="60" t="s">
        <v>8350</v>
      </c>
      <c r="AG100" s="59" t="s">
        <v>8350</v>
      </c>
      <c r="AH100" s="59" t="s">
        <v>691</v>
      </c>
      <c r="AI100" s="59" t="s">
        <v>90</v>
      </c>
      <c r="AJ100" s="61" t="s">
        <v>1387</v>
      </c>
      <c r="AK100" s="60" t="s">
        <v>1388</v>
      </c>
      <c r="AL100" s="60" t="s">
        <v>602</v>
      </c>
      <c r="AM100" s="59" t="s">
        <v>800</v>
      </c>
      <c r="AN100" s="60" t="s">
        <v>1389</v>
      </c>
      <c r="AO100" s="60"/>
      <c r="AP100" s="59" t="s">
        <v>1390</v>
      </c>
      <c r="AQ100" s="25" t="s">
        <v>1391</v>
      </c>
      <c r="AR100" s="60" t="s">
        <v>1392</v>
      </c>
      <c r="AS100" s="59" t="s">
        <v>1393</v>
      </c>
      <c r="AT100" s="59" t="s">
        <v>1383</v>
      </c>
      <c r="AU100" s="59" t="s">
        <v>111</v>
      </c>
      <c r="AV100" s="62">
        <v>17550</v>
      </c>
      <c r="AW100" s="59" t="s">
        <v>7870</v>
      </c>
      <c r="AX100" s="59" t="s">
        <v>691</v>
      </c>
      <c r="AY100" s="59" t="s">
        <v>122</v>
      </c>
      <c r="AZ100" s="126">
        <v>30171</v>
      </c>
      <c r="BA100" s="60" t="s">
        <v>1394</v>
      </c>
      <c r="BB100" s="60" t="s">
        <v>7770</v>
      </c>
      <c r="BC100" s="59" t="s">
        <v>800</v>
      </c>
      <c r="BD100" s="60" t="s">
        <v>1389</v>
      </c>
      <c r="BE100" s="60"/>
      <c r="BF100" s="60"/>
      <c r="BG100" s="59" t="s">
        <v>1390</v>
      </c>
      <c r="BH100" s="60" t="s">
        <v>1391</v>
      </c>
      <c r="BI100" s="60" t="s">
        <v>1392</v>
      </c>
      <c r="BJ100" s="24" t="s">
        <v>1393</v>
      </c>
      <c r="BK100" s="59" t="s">
        <v>1383</v>
      </c>
      <c r="BL100" s="59" t="s">
        <v>156</v>
      </c>
      <c r="BM100" s="24">
        <v>17550</v>
      </c>
      <c r="BN100" s="24"/>
      <c r="BO100" s="59"/>
      <c r="BP100" s="59"/>
      <c r="BQ100" s="77"/>
      <c r="BR100" s="60"/>
      <c r="BS100" s="60"/>
      <c r="BT100" s="59"/>
      <c r="BU100" s="60"/>
      <c r="BV100" s="60"/>
      <c r="BW100" s="59"/>
      <c r="BX100" s="60"/>
      <c r="BY100" s="60"/>
      <c r="BZ100" s="59"/>
      <c r="CA100" s="59"/>
      <c r="CB100" s="59"/>
      <c r="CC100" s="59"/>
      <c r="CD100" s="59"/>
      <c r="CE100" s="59" t="s">
        <v>7407</v>
      </c>
      <c r="CF100" s="60" t="s">
        <v>1391</v>
      </c>
      <c r="CG100" s="59" t="s">
        <v>7072</v>
      </c>
      <c r="CH100" s="59" t="s">
        <v>7073</v>
      </c>
      <c r="CI100" s="59" t="s">
        <v>6846</v>
      </c>
      <c r="CJ100" s="59" t="s">
        <v>111</v>
      </c>
      <c r="CK100" s="47">
        <v>17550</v>
      </c>
      <c r="CL100" s="64" t="str">
        <f t="shared" ca="1" si="1"/>
        <v>15 Tahun 8 Bulan 22 Hari</v>
      </c>
      <c r="CM10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Villa Mutiara Ckr 2 Blok D.4 No.20 RT/RW 17/08 Desa/Kelurahan Sukasejati Kecamatan Cikarang Selatan Bekasi Jawa Barat 17550</v>
      </c>
    </row>
    <row r="101" spans="1:91" ht="24.95" customHeight="1">
      <c r="A101" s="58">
        <f>SUBTOTAL(3,N$8:Table2[[#This Row],[Nama lengkap]])</f>
        <v>94</v>
      </c>
      <c r="B101" s="58" t="s">
        <v>86</v>
      </c>
      <c r="C101" s="58">
        <v>2023</v>
      </c>
      <c r="D101" s="58"/>
      <c r="E101" s="58">
        <v>2</v>
      </c>
      <c r="F101" s="58" t="s">
        <v>979</v>
      </c>
      <c r="G101" s="165" t="s">
        <v>9957</v>
      </c>
      <c r="H101" s="32"/>
      <c r="I101" s="32"/>
      <c r="J101" s="32"/>
      <c r="K101" s="32"/>
      <c r="L101" s="32"/>
      <c r="M101" s="58">
        <v>23240154</v>
      </c>
      <c r="N101" s="24" t="s">
        <v>5897</v>
      </c>
      <c r="O101" s="24"/>
      <c r="P101" s="25" t="s">
        <v>1395</v>
      </c>
      <c r="Q101" s="25" t="s">
        <v>1396</v>
      </c>
      <c r="R101" s="60" t="s">
        <v>6562</v>
      </c>
      <c r="S101" s="61" t="s">
        <v>1397</v>
      </c>
      <c r="T101" s="47" t="s">
        <v>92</v>
      </c>
      <c r="U101" s="47">
        <v>5</v>
      </c>
      <c r="V101" s="47">
        <v>7</v>
      </c>
      <c r="W101" s="47" t="s">
        <v>207</v>
      </c>
      <c r="X101" s="59" t="s">
        <v>984</v>
      </c>
      <c r="Y101" s="59" t="s">
        <v>1398</v>
      </c>
      <c r="Z101" s="59" t="s">
        <v>1205</v>
      </c>
      <c r="AA101" s="59" t="s">
        <v>96</v>
      </c>
      <c r="AB101" s="59" t="s">
        <v>689</v>
      </c>
      <c r="AC101" s="59" t="s">
        <v>208</v>
      </c>
      <c r="AD101" s="59" t="s">
        <v>208</v>
      </c>
      <c r="AE101" s="60" t="s">
        <v>1399</v>
      </c>
      <c r="AF101" s="60" t="s">
        <v>8351</v>
      </c>
      <c r="AG101" s="59" t="s">
        <v>8351</v>
      </c>
      <c r="AH101" s="59" t="s">
        <v>691</v>
      </c>
      <c r="AI101" s="59" t="s">
        <v>6562</v>
      </c>
      <c r="AJ101" s="61">
        <v>27100</v>
      </c>
      <c r="AK101" s="60" t="s">
        <v>1400</v>
      </c>
      <c r="AL101" s="60" t="s">
        <v>114</v>
      </c>
      <c r="AM101" s="59" t="s">
        <v>700</v>
      </c>
      <c r="AN101" s="60" t="s">
        <v>1401</v>
      </c>
      <c r="AO101" s="60"/>
      <c r="AP101" s="59" t="s">
        <v>1402</v>
      </c>
      <c r="AQ101" s="25" t="s">
        <v>925</v>
      </c>
      <c r="AR101" s="60" t="s">
        <v>1403</v>
      </c>
      <c r="AS101" s="59" t="s">
        <v>316</v>
      </c>
      <c r="AT101" s="59" t="s">
        <v>1249</v>
      </c>
      <c r="AU101" s="59" t="s">
        <v>111</v>
      </c>
      <c r="AV101" s="62">
        <v>41167</v>
      </c>
      <c r="AW101" s="59" t="s">
        <v>7871</v>
      </c>
      <c r="AX101" s="59" t="s">
        <v>691</v>
      </c>
      <c r="AY101" s="59" t="s">
        <v>6562</v>
      </c>
      <c r="AZ101" s="126" t="s">
        <v>1404</v>
      </c>
      <c r="BA101" s="60" t="s">
        <v>1405</v>
      </c>
      <c r="BB101" s="60" t="s">
        <v>7770</v>
      </c>
      <c r="BC101" s="59" t="s">
        <v>693</v>
      </c>
      <c r="BD101" s="60" t="s">
        <v>1401</v>
      </c>
      <c r="BE101" s="60"/>
      <c r="BF101" s="60"/>
      <c r="BG101" s="59" t="s">
        <v>1402</v>
      </c>
      <c r="BH101" s="60" t="s">
        <v>1009</v>
      </c>
      <c r="BI101" s="60" t="s">
        <v>1403</v>
      </c>
      <c r="BJ101" s="24" t="s">
        <v>316</v>
      </c>
      <c r="BK101" s="59" t="s">
        <v>1249</v>
      </c>
      <c r="BL101" s="59" t="s">
        <v>156</v>
      </c>
      <c r="BM101" s="24">
        <v>41167</v>
      </c>
      <c r="BN101" s="24"/>
      <c r="BO101" s="59"/>
      <c r="BP101" s="59"/>
      <c r="BQ101" s="77"/>
      <c r="BR101" s="60"/>
      <c r="BS101" s="60"/>
      <c r="BT101" s="59"/>
      <c r="BU101" s="60"/>
      <c r="BV101" s="60"/>
      <c r="BW101" s="59"/>
      <c r="BX101" s="60"/>
      <c r="BY101" s="60"/>
      <c r="BZ101" s="59"/>
      <c r="CA101" s="59"/>
      <c r="CB101" s="59"/>
      <c r="CC101" s="59"/>
      <c r="CD101" s="59"/>
      <c r="CE101" s="59" t="s">
        <v>7408</v>
      </c>
      <c r="CF101" s="60" t="s">
        <v>925</v>
      </c>
      <c r="CG101" s="59" t="s">
        <v>7074</v>
      </c>
      <c r="CH101" s="59" t="s">
        <v>7075</v>
      </c>
      <c r="CI101" s="59" t="s">
        <v>6562</v>
      </c>
      <c r="CJ101" s="59" t="s">
        <v>111</v>
      </c>
      <c r="CK101" s="47">
        <v>41167</v>
      </c>
      <c r="CL101" s="64" t="str">
        <f t="shared" ca="1" si="1"/>
        <v>14 Tahun 9 Bulan 19 Hari</v>
      </c>
      <c r="CM10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Kp.Cilalawi RT/RW 03/01 Desa/Kelurahan Cianting Utara Kecamatan Sukatani Purwakarta Jawa Barat 41167</v>
      </c>
    </row>
    <row r="102" spans="1:91" ht="24.95" customHeight="1">
      <c r="A102" s="58">
        <f>SUBTOTAL(3,N$8:Table2[[#This Row],[Nama lengkap]])</f>
        <v>95</v>
      </c>
      <c r="B102" s="58" t="s">
        <v>86</v>
      </c>
      <c r="C102" s="58">
        <v>2023</v>
      </c>
      <c r="D102" s="58"/>
      <c r="E102" s="58">
        <v>2</v>
      </c>
      <c r="F102" s="58" t="s">
        <v>979</v>
      </c>
      <c r="G102" s="32" t="s">
        <v>2513</v>
      </c>
      <c r="H102" s="32" t="s">
        <v>2513</v>
      </c>
      <c r="I102" s="32" t="s">
        <v>2513</v>
      </c>
      <c r="J102" s="32"/>
      <c r="K102" s="32"/>
      <c r="L102" s="32"/>
      <c r="M102" s="58">
        <v>23240183</v>
      </c>
      <c r="N102" s="24" t="s">
        <v>5899</v>
      </c>
      <c r="O102" s="24"/>
      <c r="P102" s="25" t="s">
        <v>1413</v>
      </c>
      <c r="Q102" s="25" t="s">
        <v>1414</v>
      </c>
      <c r="R102" s="60" t="s">
        <v>90</v>
      </c>
      <c r="S102" s="61" t="s">
        <v>1225</v>
      </c>
      <c r="T102" s="47" t="s">
        <v>92</v>
      </c>
      <c r="U102" s="47">
        <v>3</v>
      </c>
      <c r="V102" s="47">
        <v>2</v>
      </c>
      <c r="W102" s="47" t="s">
        <v>207</v>
      </c>
      <c r="X102" s="59" t="s">
        <v>432</v>
      </c>
      <c r="Y102" s="59" t="s">
        <v>1056</v>
      </c>
      <c r="Z102" s="59" t="s">
        <v>688</v>
      </c>
      <c r="AA102" s="59" t="s">
        <v>96</v>
      </c>
      <c r="AB102" s="59" t="s">
        <v>689</v>
      </c>
      <c r="AC102" s="59" t="s">
        <v>208</v>
      </c>
      <c r="AD102" s="59" t="s">
        <v>208</v>
      </c>
      <c r="AE102" s="60" t="s">
        <v>1415</v>
      </c>
      <c r="AF102" s="60" t="s">
        <v>8353</v>
      </c>
      <c r="AG102" s="59" t="s">
        <v>8353</v>
      </c>
      <c r="AH102" s="59" t="s">
        <v>691</v>
      </c>
      <c r="AI102" s="59" t="s">
        <v>90</v>
      </c>
      <c r="AJ102" s="61">
        <v>28339</v>
      </c>
      <c r="AK102" s="60" t="s">
        <v>1416</v>
      </c>
      <c r="AL102" s="60" t="s">
        <v>289</v>
      </c>
      <c r="AM102" s="59" t="s">
        <v>700</v>
      </c>
      <c r="AN102" s="60"/>
      <c r="AO102" s="60"/>
      <c r="AP102" s="59" t="s">
        <v>1417</v>
      </c>
      <c r="AQ102" s="25" t="s">
        <v>1418</v>
      </c>
      <c r="AR102" s="60" t="s">
        <v>1419</v>
      </c>
      <c r="AS102" s="59" t="s">
        <v>618</v>
      </c>
      <c r="AT102" s="59" t="s">
        <v>141</v>
      </c>
      <c r="AU102" s="59" t="s">
        <v>111</v>
      </c>
      <c r="AV102" s="62">
        <v>40377</v>
      </c>
      <c r="AW102" s="59" t="s">
        <v>7873</v>
      </c>
      <c r="AX102" s="59" t="s">
        <v>691</v>
      </c>
      <c r="AY102" s="59" t="s">
        <v>90</v>
      </c>
      <c r="AZ102" s="126">
        <v>27916</v>
      </c>
      <c r="BA102" s="60" t="s">
        <v>1420</v>
      </c>
      <c r="BB102" s="60" t="s">
        <v>845</v>
      </c>
      <c r="BC102" s="59" t="s">
        <v>700</v>
      </c>
      <c r="BD102" s="60"/>
      <c r="BE102" s="60"/>
      <c r="BF102" s="60"/>
      <c r="BG102" s="59" t="s">
        <v>1417</v>
      </c>
      <c r="BH102" s="60" t="s">
        <v>1418</v>
      </c>
      <c r="BI102" s="60" t="s">
        <v>1419</v>
      </c>
      <c r="BJ102" s="24" t="s">
        <v>618</v>
      </c>
      <c r="BK102" s="59" t="s">
        <v>141</v>
      </c>
      <c r="BL102" s="59" t="s">
        <v>1214</v>
      </c>
      <c r="BM102" s="24">
        <v>40377</v>
      </c>
      <c r="BN102" s="24"/>
      <c r="BO102" s="59"/>
      <c r="BP102" s="59"/>
      <c r="BQ102" s="77"/>
      <c r="BR102" s="60"/>
      <c r="BS102" s="60"/>
      <c r="BT102" s="59"/>
      <c r="BU102" s="60"/>
      <c r="BV102" s="60"/>
      <c r="BW102" s="59"/>
      <c r="BX102" s="60"/>
      <c r="BY102" s="60"/>
      <c r="BZ102" s="59"/>
      <c r="CA102" s="59"/>
      <c r="CB102" s="59"/>
      <c r="CC102" s="59"/>
      <c r="CD102" s="59"/>
      <c r="CE102" s="59" t="s">
        <v>7409</v>
      </c>
      <c r="CF102" s="60" t="s">
        <v>1418</v>
      </c>
      <c r="CG102" s="59" t="s">
        <v>7076</v>
      </c>
      <c r="CH102" s="59" t="s">
        <v>507</v>
      </c>
      <c r="CI102" s="59" t="s">
        <v>90</v>
      </c>
      <c r="CJ102" s="59" t="s">
        <v>111</v>
      </c>
      <c r="CK102" s="47">
        <v>40377</v>
      </c>
      <c r="CL102" s="64" t="str">
        <f t="shared" ca="1" si="1"/>
        <v>16 Tahun 4 Bulan 25 Hari</v>
      </c>
      <c r="CM10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Kp.Sukarame RT/RW 02/01 Desa/Kelurahan Sindangpanon Kecamatan Banjaran Bandung Jawa Barat 40377</v>
      </c>
    </row>
    <row r="103" spans="1:91" ht="24.95" customHeight="1">
      <c r="A103" s="58">
        <f>SUBTOTAL(3,N$8:Table2[[#This Row],[Nama lengkap]])</f>
        <v>96</v>
      </c>
      <c r="B103" s="58" t="s">
        <v>86</v>
      </c>
      <c r="C103" s="58">
        <v>2023</v>
      </c>
      <c r="D103" s="58"/>
      <c r="E103" s="58">
        <v>2</v>
      </c>
      <c r="F103" s="58" t="s">
        <v>979</v>
      </c>
      <c r="G103" s="32" t="s">
        <v>2513</v>
      </c>
      <c r="H103" s="32" t="s">
        <v>2513</v>
      </c>
      <c r="I103" s="32" t="s">
        <v>2513</v>
      </c>
      <c r="J103" s="32"/>
      <c r="K103" s="32"/>
      <c r="L103" s="32"/>
      <c r="M103" s="58">
        <v>23240088</v>
      </c>
      <c r="N103" s="24" t="s">
        <v>5900</v>
      </c>
      <c r="O103" s="24"/>
      <c r="P103" s="25" t="s">
        <v>1421</v>
      </c>
      <c r="Q103" s="25" t="s">
        <v>1422</v>
      </c>
      <c r="R103" s="60" t="s">
        <v>236</v>
      </c>
      <c r="S103" s="61" t="s">
        <v>1423</v>
      </c>
      <c r="T103" s="47" t="s">
        <v>92</v>
      </c>
      <c r="U103" s="47">
        <v>1</v>
      </c>
      <c r="V103" s="47">
        <v>1</v>
      </c>
      <c r="W103" s="47" t="s">
        <v>207</v>
      </c>
      <c r="X103" s="59" t="s">
        <v>984</v>
      </c>
      <c r="Y103" s="59" t="s">
        <v>1012</v>
      </c>
      <c r="Z103" s="59" t="s">
        <v>1424</v>
      </c>
      <c r="AA103" s="59" t="s">
        <v>96</v>
      </c>
      <c r="AB103" s="59" t="s">
        <v>689</v>
      </c>
      <c r="AC103" s="59" t="s">
        <v>208</v>
      </c>
      <c r="AD103" s="59" t="s">
        <v>208</v>
      </c>
      <c r="AE103" s="60" t="s">
        <v>1425</v>
      </c>
      <c r="AF103" s="60" t="s">
        <v>8354</v>
      </c>
      <c r="AG103" s="59" t="s">
        <v>8354</v>
      </c>
      <c r="AH103" s="59" t="s">
        <v>691</v>
      </c>
      <c r="AI103" s="59" t="s">
        <v>236</v>
      </c>
      <c r="AJ103" s="61" t="s">
        <v>1426</v>
      </c>
      <c r="AK103" s="60" t="s">
        <v>1427</v>
      </c>
      <c r="AL103" s="60" t="s">
        <v>114</v>
      </c>
      <c r="AM103" s="59" t="s">
        <v>800</v>
      </c>
      <c r="AN103" s="60" t="s">
        <v>1428</v>
      </c>
      <c r="AO103" s="60"/>
      <c r="AP103" s="59" t="s">
        <v>1429</v>
      </c>
      <c r="AQ103" s="25" t="s">
        <v>1430</v>
      </c>
      <c r="AR103" s="60" t="s">
        <v>965</v>
      </c>
      <c r="AS103" s="59" t="s">
        <v>966</v>
      </c>
      <c r="AT103" s="59" t="s">
        <v>512</v>
      </c>
      <c r="AU103" s="59" t="s">
        <v>111</v>
      </c>
      <c r="AV103" s="62">
        <v>44194</v>
      </c>
      <c r="AW103" s="59" t="s">
        <v>7874</v>
      </c>
      <c r="AX103" s="59" t="s">
        <v>691</v>
      </c>
      <c r="AY103" s="59" t="s">
        <v>236</v>
      </c>
      <c r="AZ103" s="126" t="s">
        <v>1431</v>
      </c>
      <c r="BA103" s="60" t="s">
        <v>1432</v>
      </c>
      <c r="BB103" s="60" t="s">
        <v>7770</v>
      </c>
      <c r="BC103" s="59" t="s">
        <v>800</v>
      </c>
      <c r="BD103" s="60" t="s">
        <v>1428</v>
      </c>
      <c r="BE103" s="60"/>
      <c r="BF103" s="60"/>
      <c r="BG103" s="59" t="s">
        <v>1429</v>
      </c>
      <c r="BH103" s="60" t="s">
        <v>1430</v>
      </c>
      <c r="BI103" s="60" t="s">
        <v>965</v>
      </c>
      <c r="BJ103" s="24" t="s">
        <v>966</v>
      </c>
      <c r="BK103" s="59" t="s">
        <v>512</v>
      </c>
      <c r="BL103" s="59" t="s">
        <v>156</v>
      </c>
      <c r="BM103" s="24">
        <v>44194</v>
      </c>
      <c r="BN103" s="24"/>
      <c r="BO103" s="59"/>
      <c r="BP103" s="59"/>
      <c r="BQ103" s="77"/>
      <c r="BR103" s="60"/>
      <c r="BS103" s="60"/>
      <c r="BT103" s="59"/>
      <c r="BU103" s="60"/>
      <c r="BV103" s="60"/>
      <c r="BW103" s="59"/>
      <c r="BX103" s="60"/>
      <c r="BY103" s="60"/>
      <c r="BZ103" s="59"/>
      <c r="CA103" s="59"/>
      <c r="CB103" s="59"/>
      <c r="CC103" s="59"/>
      <c r="CD103" s="59"/>
      <c r="CE103" s="59" t="s">
        <v>7410</v>
      </c>
      <c r="CF103" s="60" t="s">
        <v>1430</v>
      </c>
      <c r="CG103" s="59" t="s">
        <v>7040</v>
      </c>
      <c r="CH103" s="59" t="s">
        <v>606</v>
      </c>
      <c r="CI103" s="59" t="s">
        <v>236</v>
      </c>
      <c r="CJ103" s="59" t="s">
        <v>111</v>
      </c>
      <c r="CK103" s="47">
        <v>44194</v>
      </c>
      <c r="CL103" s="64" t="str">
        <f t="shared" ca="1" si="1"/>
        <v>15 Tahun 4 Bulan 18 Hari</v>
      </c>
      <c r="CM10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Kp.Sukamerang RT/RW 02/08 Desa/Kelurahan Sukamerang Kecamatan Kersamanah Garut Jawa Barat 44194</v>
      </c>
    </row>
    <row r="104" spans="1:91" ht="24.95" customHeight="1">
      <c r="A104" s="58">
        <f>SUBTOTAL(3,N$8:Table2[[#This Row],[Nama lengkap]])</f>
        <v>97</v>
      </c>
      <c r="B104" s="58" t="s">
        <v>86</v>
      </c>
      <c r="C104" s="58">
        <v>2024</v>
      </c>
      <c r="D104" s="58"/>
      <c r="E104" s="58">
        <v>2</v>
      </c>
      <c r="F104" s="58" t="s">
        <v>1433</v>
      </c>
      <c r="G104" s="165" t="s">
        <v>93</v>
      </c>
      <c r="H104" s="32"/>
      <c r="I104" s="32"/>
      <c r="J104" s="32"/>
      <c r="K104" s="32"/>
      <c r="L104" s="32"/>
      <c r="M104" s="58">
        <v>24250017</v>
      </c>
      <c r="N104" s="40" t="s">
        <v>8763</v>
      </c>
      <c r="O104" s="40"/>
      <c r="P104" s="32" t="s">
        <v>1434</v>
      </c>
      <c r="Q104" s="32" t="s">
        <v>1435</v>
      </c>
      <c r="R104" s="67" t="s">
        <v>90</v>
      </c>
      <c r="S104" s="69">
        <v>40121</v>
      </c>
      <c r="T104" s="47" t="s">
        <v>92</v>
      </c>
      <c r="U104" s="58">
        <v>2</v>
      </c>
      <c r="V104" s="58">
        <v>3</v>
      </c>
      <c r="W104" s="47" t="s">
        <v>207</v>
      </c>
      <c r="X104" s="64" t="s">
        <v>142</v>
      </c>
      <c r="Y104" s="64" t="s">
        <v>94</v>
      </c>
      <c r="Z104" s="64" t="s">
        <v>95</v>
      </c>
      <c r="AA104" s="64" t="s">
        <v>96</v>
      </c>
      <c r="AB104" s="64" t="s">
        <v>97</v>
      </c>
      <c r="AC104" s="64" t="s">
        <v>98</v>
      </c>
      <c r="AD104" s="64" t="s">
        <v>98</v>
      </c>
      <c r="AE104" s="67" t="s">
        <v>1436</v>
      </c>
      <c r="AF104" s="67" t="s">
        <v>1437</v>
      </c>
      <c r="AG104" s="64" t="s">
        <v>1437</v>
      </c>
      <c r="AH104" s="64" t="s">
        <v>101</v>
      </c>
      <c r="AI104" s="64" t="s">
        <v>122</v>
      </c>
      <c r="AJ104" s="69">
        <v>30175</v>
      </c>
      <c r="AK104" s="67" t="s">
        <v>1438</v>
      </c>
      <c r="AL104" s="67" t="s">
        <v>114</v>
      </c>
      <c r="AM104" s="64" t="s">
        <v>159</v>
      </c>
      <c r="AN104" s="67" t="s">
        <v>1439</v>
      </c>
      <c r="AO104" s="67" t="s">
        <v>106</v>
      </c>
      <c r="AP104" s="64" t="s">
        <v>1440</v>
      </c>
      <c r="AQ104" s="32" t="s">
        <v>1441</v>
      </c>
      <c r="AR104" s="67" t="s">
        <v>1442</v>
      </c>
      <c r="AS104" s="64" t="s">
        <v>295</v>
      </c>
      <c r="AT104" s="64" t="s">
        <v>90</v>
      </c>
      <c r="AU104" s="64" t="s">
        <v>318</v>
      </c>
      <c r="AV104" s="64">
        <v>40394</v>
      </c>
      <c r="AW104" s="64" t="s">
        <v>7875</v>
      </c>
      <c r="AX104" s="64" t="s">
        <v>101</v>
      </c>
      <c r="AY104" s="64" t="s">
        <v>90</v>
      </c>
      <c r="AZ104" s="125">
        <v>29778</v>
      </c>
      <c r="BA104" s="67" t="s">
        <v>1443</v>
      </c>
      <c r="BB104" s="67" t="s">
        <v>428</v>
      </c>
      <c r="BC104" s="64" t="s">
        <v>159</v>
      </c>
      <c r="BD104" s="67">
        <v>82121265212</v>
      </c>
      <c r="BE104" s="67" t="s">
        <v>98</v>
      </c>
      <c r="BF104" s="67"/>
      <c r="BG104" s="64" t="s">
        <v>1440</v>
      </c>
      <c r="BH104" s="67" t="s">
        <v>1441</v>
      </c>
      <c r="BI104" s="67" t="s">
        <v>1442</v>
      </c>
      <c r="BJ104" s="40" t="s">
        <v>295</v>
      </c>
      <c r="BK104" s="64" t="s">
        <v>90</v>
      </c>
      <c r="BL104" s="64" t="s">
        <v>318</v>
      </c>
      <c r="BM104" s="64">
        <v>40394</v>
      </c>
      <c r="BN104" s="64" t="s">
        <v>161</v>
      </c>
      <c r="BO104" s="64" t="s">
        <v>1437</v>
      </c>
      <c r="BP104" s="64" t="s">
        <v>122</v>
      </c>
      <c r="BQ104" s="135">
        <v>30175</v>
      </c>
      <c r="BR104" s="67" t="s">
        <v>1438</v>
      </c>
      <c r="BS104" s="67" t="s">
        <v>114</v>
      </c>
      <c r="BT104" s="64" t="s">
        <v>159</v>
      </c>
      <c r="BU104" s="67">
        <v>8977995107</v>
      </c>
      <c r="BV104" s="67" t="s">
        <v>106</v>
      </c>
      <c r="BW104" s="64" t="s">
        <v>1442</v>
      </c>
      <c r="BX104" s="67">
        <v>45444</v>
      </c>
      <c r="BY104" s="67" t="s">
        <v>1442</v>
      </c>
      <c r="BZ104" s="64" t="s">
        <v>295</v>
      </c>
      <c r="CA104" s="64" t="s">
        <v>90</v>
      </c>
      <c r="CB104" s="64" t="s">
        <v>318</v>
      </c>
      <c r="CC104" s="64">
        <v>40394</v>
      </c>
      <c r="CD104" s="64" t="s">
        <v>185</v>
      </c>
      <c r="CE104" s="64" t="s">
        <v>7411</v>
      </c>
      <c r="CF104" s="67" t="s">
        <v>1441</v>
      </c>
      <c r="CG104" s="64" t="s">
        <v>7077</v>
      </c>
      <c r="CH104" s="64" t="s">
        <v>295</v>
      </c>
      <c r="CI104" s="64" t="s">
        <v>90</v>
      </c>
      <c r="CJ104" s="64" t="s">
        <v>111</v>
      </c>
      <c r="CK104" s="58">
        <v>40394</v>
      </c>
      <c r="CL104" s="64" t="str">
        <f t="shared" ca="1" si="1"/>
        <v>16 Tahun 2 Bulan 19 Hari</v>
      </c>
      <c r="CM10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Kp.Rancaekek Kulon RT/RW 01/06 Desa/Kelurahan Rancaekek Kulon Kecamatan Rancaekek Bandung Jawa Barat 40394</v>
      </c>
    </row>
    <row r="105" spans="1:91" ht="24.95" customHeight="1">
      <c r="A105" s="58">
        <f>SUBTOTAL(3,N$8:Table2[[#This Row],[Nama lengkap]])</f>
        <v>98</v>
      </c>
      <c r="B105" s="58" t="s">
        <v>86</v>
      </c>
      <c r="C105" s="58">
        <v>2023</v>
      </c>
      <c r="D105" s="58"/>
      <c r="E105" s="58">
        <v>2</v>
      </c>
      <c r="F105" s="58" t="s">
        <v>1433</v>
      </c>
      <c r="G105" s="32" t="s">
        <v>2513</v>
      </c>
      <c r="H105" s="32" t="s">
        <v>2513</v>
      </c>
      <c r="I105" s="32" t="s">
        <v>2513</v>
      </c>
      <c r="J105" s="32"/>
      <c r="K105" s="32"/>
      <c r="L105" s="32"/>
      <c r="M105" s="58">
        <v>23240009</v>
      </c>
      <c r="N105" s="24" t="s">
        <v>5902</v>
      </c>
      <c r="O105" s="24"/>
      <c r="P105" s="25" t="s">
        <v>8963</v>
      </c>
      <c r="Q105" s="25" t="s">
        <v>1444</v>
      </c>
      <c r="R105" s="60" t="s">
        <v>236</v>
      </c>
      <c r="S105" s="61" t="s">
        <v>1445</v>
      </c>
      <c r="T105" s="47" t="s">
        <v>92</v>
      </c>
      <c r="U105" s="47">
        <v>1</v>
      </c>
      <c r="V105" s="47">
        <v>2</v>
      </c>
      <c r="W105" s="47" t="s">
        <v>207</v>
      </c>
      <c r="X105" s="59" t="s">
        <v>123</v>
      </c>
      <c r="Y105" s="59" t="s">
        <v>706</v>
      </c>
      <c r="Z105" s="59" t="s">
        <v>1168</v>
      </c>
      <c r="AA105" s="59" t="s">
        <v>96</v>
      </c>
      <c r="AB105" s="59" t="s">
        <v>689</v>
      </c>
      <c r="AC105" s="59" t="s">
        <v>208</v>
      </c>
      <c r="AD105" s="59" t="s">
        <v>208</v>
      </c>
      <c r="AE105" s="60" t="s">
        <v>1446</v>
      </c>
      <c r="AF105" s="60" t="s">
        <v>8355</v>
      </c>
      <c r="AG105" s="59" t="s">
        <v>8355</v>
      </c>
      <c r="AH105" s="59" t="s">
        <v>691</v>
      </c>
      <c r="AI105" s="59" t="s">
        <v>236</v>
      </c>
      <c r="AJ105" s="61" t="s">
        <v>1447</v>
      </c>
      <c r="AK105" s="60" t="s">
        <v>1448</v>
      </c>
      <c r="AL105" s="60" t="s">
        <v>289</v>
      </c>
      <c r="AM105" s="59" t="s">
        <v>693</v>
      </c>
      <c r="AN105" s="60"/>
      <c r="AO105" s="60"/>
      <c r="AP105" s="59" t="s">
        <v>1449</v>
      </c>
      <c r="AQ105" s="25" t="s">
        <v>1122</v>
      </c>
      <c r="AR105" s="60" t="s">
        <v>1450</v>
      </c>
      <c r="AS105" s="59" t="s">
        <v>697</v>
      </c>
      <c r="AT105" s="59" t="s">
        <v>512</v>
      </c>
      <c r="AU105" s="59" t="s">
        <v>111</v>
      </c>
      <c r="AV105" s="62">
        <v>44153</v>
      </c>
      <c r="AW105" s="59" t="s">
        <v>7876</v>
      </c>
      <c r="AX105" s="59" t="s">
        <v>691</v>
      </c>
      <c r="AY105" s="59" t="s">
        <v>236</v>
      </c>
      <c r="AZ105" s="126">
        <v>32661</v>
      </c>
      <c r="BA105" s="60" t="s">
        <v>1451</v>
      </c>
      <c r="BB105" s="60" t="s">
        <v>845</v>
      </c>
      <c r="BC105" s="59" t="s">
        <v>693</v>
      </c>
      <c r="BD105" s="60"/>
      <c r="BE105" s="60"/>
      <c r="BF105" s="60"/>
      <c r="BG105" s="59" t="s">
        <v>1449</v>
      </c>
      <c r="BH105" s="60" t="s">
        <v>1122</v>
      </c>
      <c r="BI105" s="60" t="s">
        <v>1450</v>
      </c>
      <c r="BJ105" s="24" t="s">
        <v>697</v>
      </c>
      <c r="BK105" s="59" t="s">
        <v>512</v>
      </c>
      <c r="BL105" s="59" t="s">
        <v>156</v>
      </c>
      <c r="BM105" s="24">
        <v>44153</v>
      </c>
      <c r="BN105" s="24"/>
      <c r="BO105" s="59" t="s">
        <v>719</v>
      </c>
      <c r="BP105" s="59"/>
      <c r="BQ105" s="77"/>
      <c r="BR105" s="60"/>
      <c r="BS105" s="60"/>
      <c r="BT105" s="59"/>
      <c r="BU105" s="60"/>
      <c r="BV105" s="60"/>
      <c r="BW105" s="59"/>
      <c r="BX105" s="60"/>
      <c r="BY105" s="60"/>
      <c r="BZ105" s="59"/>
      <c r="CA105" s="59"/>
      <c r="CB105" s="59"/>
      <c r="CC105" s="59"/>
      <c r="CD105" s="59"/>
      <c r="CE105" s="59" t="s">
        <v>7412</v>
      </c>
      <c r="CF105" s="60" t="s">
        <v>1122</v>
      </c>
      <c r="CG105" s="59" t="s">
        <v>7078</v>
      </c>
      <c r="CH105" s="59" t="s">
        <v>7010</v>
      </c>
      <c r="CI105" s="59" t="s">
        <v>236</v>
      </c>
      <c r="CJ105" s="59" t="s">
        <v>111</v>
      </c>
      <c r="CK105" s="47">
        <v>44153</v>
      </c>
      <c r="CL105" s="64" t="str">
        <f t="shared" ca="1" si="1"/>
        <v>14 Tahun 10 Bulan 17 Hari</v>
      </c>
      <c r="CM10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Kp.Babakan Galumpit RT/RW 03/07 Desa/Kelurahan Rancasalak Kecamatan Kadungora Garut Jawa Barat 44153</v>
      </c>
    </row>
    <row r="106" spans="1:91" ht="24.95" customHeight="1">
      <c r="A106" s="58">
        <f>SUBTOTAL(3,N$8:Table2[[#This Row],[Nama lengkap]])</f>
        <v>99</v>
      </c>
      <c r="B106" s="58" t="s">
        <v>86</v>
      </c>
      <c r="C106" s="58">
        <v>2023</v>
      </c>
      <c r="D106" s="58"/>
      <c r="E106" s="58">
        <v>2</v>
      </c>
      <c r="F106" s="58" t="s">
        <v>1433</v>
      </c>
      <c r="G106" s="165" t="s">
        <v>9956</v>
      </c>
      <c r="H106" s="32"/>
      <c r="I106" s="32"/>
      <c r="J106" s="32"/>
      <c r="K106" s="32"/>
      <c r="L106" s="32"/>
      <c r="M106" s="58">
        <v>23240050</v>
      </c>
      <c r="N106" s="24" t="s">
        <v>9949</v>
      </c>
      <c r="O106" s="24"/>
      <c r="P106" s="25" t="s">
        <v>9950</v>
      </c>
      <c r="Q106" s="25" t="s">
        <v>1452</v>
      </c>
      <c r="R106" s="60" t="s">
        <v>90</v>
      </c>
      <c r="S106" s="61" t="s">
        <v>1453</v>
      </c>
      <c r="T106" s="47" t="s">
        <v>92</v>
      </c>
      <c r="U106" s="47">
        <v>1</v>
      </c>
      <c r="V106" s="47">
        <v>1</v>
      </c>
      <c r="W106" s="47" t="s">
        <v>207</v>
      </c>
      <c r="X106" s="59" t="s">
        <v>123</v>
      </c>
      <c r="Y106" s="59" t="s">
        <v>1454</v>
      </c>
      <c r="Z106" s="59" t="s">
        <v>688</v>
      </c>
      <c r="AA106" s="59" t="s">
        <v>96</v>
      </c>
      <c r="AB106" s="59" t="s">
        <v>689</v>
      </c>
      <c r="AC106" s="59" t="s">
        <v>208</v>
      </c>
      <c r="AD106" s="59" t="s">
        <v>208</v>
      </c>
      <c r="AE106" s="60" t="s">
        <v>1455</v>
      </c>
      <c r="AF106" s="60" t="s">
        <v>8356</v>
      </c>
      <c r="AG106" s="59" t="s">
        <v>8356</v>
      </c>
      <c r="AH106" s="59" t="s">
        <v>691</v>
      </c>
      <c r="AI106" s="59" t="s">
        <v>90</v>
      </c>
      <c r="AJ106" s="61" t="s">
        <v>1456</v>
      </c>
      <c r="AK106" s="60" t="s">
        <v>1457</v>
      </c>
      <c r="AL106" s="60" t="s">
        <v>289</v>
      </c>
      <c r="AM106" s="59" t="s">
        <v>693</v>
      </c>
      <c r="AN106" s="60"/>
      <c r="AO106" s="60"/>
      <c r="AP106" s="59" t="s">
        <v>1458</v>
      </c>
      <c r="AQ106" s="25" t="s">
        <v>1459</v>
      </c>
      <c r="AR106" s="60" t="s">
        <v>1460</v>
      </c>
      <c r="AS106" s="59" t="s">
        <v>1461</v>
      </c>
      <c r="AT106" s="59" t="s">
        <v>141</v>
      </c>
      <c r="AU106" s="59" t="s">
        <v>111</v>
      </c>
      <c r="AV106" s="62">
        <v>40618</v>
      </c>
      <c r="AW106" s="59" t="s">
        <v>7877</v>
      </c>
      <c r="AX106" s="59" t="s">
        <v>691</v>
      </c>
      <c r="AY106" s="59" t="s">
        <v>90</v>
      </c>
      <c r="AZ106" s="126" t="s">
        <v>1462</v>
      </c>
      <c r="BA106" s="60" t="s">
        <v>1463</v>
      </c>
      <c r="BB106" s="60" t="s">
        <v>845</v>
      </c>
      <c r="BC106" s="59" t="s">
        <v>700</v>
      </c>
      <c r="BD106" s="60"/>
      <c r="BE106" s="60"/>
      <c r="BF106" s="60"/>
      <c r="BG106" s="59" t="s">
        <v>1458</v>
      </c>
      <c r="BH106" s="60" t="s">
        <v>1459</v>
      </c>
      <c r="BI106" s="60" t="s">
        <v>1460</v>
      </c>
      <c r="BJ106" s="24" t="s">
        <v>1461</v>
      </c>
      <c r="BK106" s="59" t="s">
        <v>141</v>
      </c>
      <c r="BL106" s="59" t="s">
        <v>156</v>
      </c>
      <c r="BM106" s="24">
        <v>40618</v>
      </c>
      <c r="BN106" s="24"/>
      <c r="BO106" s="59" t="s">
        <v>719</v>
      </c>
      <c r="BP106" s="59"/>
      <c r="BQ106" s="77"/>
      <c r="BR106" s="60"/>
      <c r="BS106" s="60"/>
      <c r="BT106" s="59"/>
      <c r="BU106" s="60"/>
      <c r="BV106" s="60"/>
      <c r="BW106" s="59"/>
      <c r="BX106" s="60"/>
      <c r="BY106" s="60"/>
      <c r="BZ106" s="59"/>
      <c r="CA106" s="59"/>
      <c r="CB106" s="59"/>
      <c r="CC106" s="59"/>
      <c r="CD106" s="59"/>
      <c r="CE106" s="59" t="s">
        <v>7413</v>
      </c>
      <c r="CF106" s="60" t="s">
        <v>1459</v>
      </c>
      <c r="CG106" s="59" t="s">
        <v>6829</v>
      </c>
      <c r="CH106" s="59" t="s">
        <v>6830</v>
      </c>
      <c r="CI106" s="59" t="s">
        <v>90</v>
      </c>
      <c r="CJ106" s="59" t="s">
        <v>111</v>
      </c>
      <c r="CK106" s="47">
        <v>40618</v>
      </c>
      <c r="CL106" s="64" t="str">
        <f t="shared" ca="1" si="1"/>
        <v>15 Tahun 0 Bulan 11 Hari</v>
      </c>
      <c r="CM10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Cipicung No.27 RT/RW 01/11 Desa/Kelurahan Pasirwangi Kecamatan Ujungberung Bandung Jawa Barat 40618</v>
      </c>
    </row>
    <row r="107" spans="1:91" ht="24.95" customHeight="1">
      <c r="A107" s="58">
        <f>SUBTOTAL(3,N$8:Table2[[#This Row],[Nama lengkap]])</f>
        <v>100</v>
      </c>
      <c r="B107" s="58" t="s">
        <v>86</v>
      </c>
      <c r="C107" s="58">
        <v>2023</v>
      </c>
      <c r="D107" s="58"/>
      <c r="E107" s="58">
        <v>2</v>
      </c>
      <c r="F107" s="58" t="s">
        <v>1433</v>
      </c>
      <c r="G107" s="165" t="s">
        <v>93</v>
      </c>
      <c r="H107" s="32"/>
      <c r="I107" s="32"/>
      <c r="J107" s="32"/>
      <c r="K107" s="32"/>
      <c r="L107" s="32"/>
      <c r="M107" s="58">
        <v>23240174</v>
      </c>
      <c r="N107" s="24" t="s">
        <v>5904</v>
      </c>
      <c r="O107" s="24"/>
      <c r="P107" s="25" t="s">
        <v>9946</v>
      </c>
      <c r="Q107" s="25" t="s">
        <v>1464</v>
      </c>
      <c r="R107" s="60" t="s">
        <v>6846</v>
      </c>
      <c r="S107" s="61" t="s">
        <v>1465</v>
      </c>
      <c r="T107" s="47" t="s">
        <v>92</v>
      </c>
      <c r="U107" s="47">
        <v>3</v>
      </c>
      <c r="V107" s="47">
        <v>2</v>
      </c>
      <c r="W107" s="47" t="s">
        <v>207</v>
      </c>
      <c r="X107" s="59"/>
      <c r="Y107" s="59" t="s">
        <v>1012</v>
      </c>
      <c r="Z107" s="59" t="s">
        <v>1466</v>
      </c>
      <c r="AA107" s="59" t="s">
        <v>795</v>
      </c>
      <c r="AB107" s="59" t="s">
        <v>1467</v>
      </c>
      <c r="AC107" s="59" t="s">
        <v>208</v>
      </c>
      <c r="AD107" s="59" t="s">
        <v>208</v>
      </c>
      <c r="AE107" s="60" t="s">
        <v>1468</v>
      </c>
      <c r="AF107" s="60" t="s">
        <v>7878</v>
      </c>
      <c r="AG107" s="59" t="s">
        <v>8357</v>
      </c>
      <c r="AH107" s="59" t="s">
        <v>1071</v>
      </c>
      <c r="AI107" s="59"/>
      <c r="AJ107" s="61"/>
      <c r="AK107" s="60"/>
      <c r="AL107" s="60"/>
      <c r="AM107" s="59"/>
      <c r="AN107" s="60"/>
      <c r="AO107" s="60"/>
      <c r="AP107" s="59"/>
      <c r="AQ107" s="25"/>
      <c r="AR107" s="60"/>
      <c r="AS107" s="59"/>
      <c r="AT107" s="59"/>
      <c r="AU107" s="59" t="s">
        <v>806</v>
      </c>
      <c r="AV107" s="62"/>
      <c r="AW107" s="59" t="s">
        <v>7878</v>
      </c>
      <c r="AX107" s="59" t="s">
        <v>691</v>
      </c>
      <c r="AY107" s="59" t="s">
        <v>7786</v>
      </c>
      <c r="AZ107" s="126">
        <v>26248</v>
      </c>
      <c r="BA107" s="60" t="s">
        <v>1469</v>
      </c>
      <c r="BB107" s="60" t="s">
        <v>845</v>
      </c>
      <c r="BC107" s="59" t="s">
        <v>800</v>
      </c>
      <c r="BD107" s="60"/>
      <c r="BE107" s="60"/>
      <c r="BF107" s="60"/>
      <c r="BG107" s="59" t="s">
        <v>1470</v>
      </c>
      <c r="BH107" s="60" t="s">
        <v>1471</v>
      </c>
      <c r="BI107" s="60" t="s">
        <v>1472</v>
      </c>
      <c r="BJ107" s="24" t="s">
        <v>1473</v>
      </c>
      <c r="BK107" s="59" t="s">
        <v>1474</v>
      </c>
      <c r="BL107" s="59" t="s">
        <v>806</v>
      </c>
      <c r="BM107" s="24" t="s">
        <v>1475</v>
      </c>
      <c r="BN107" s="24"/>
      <c r="BO107" s="59" t="s">
        <v>719</v>
      </c>
      <c r="BP107" s="59"/>
      <c r="BQ107" s="77"/>
      <c r="BR107" s="60"/>
      <c r="BS107" s="60"/>
      <c r="BT107" s="59"/>
      <c r="BU107" s="60"/>
      <c r="BV107" s="60"/>
      <c r="BW107" s="59"/>
      <c r="BX107" s="60"/>
      <c r="BY107" s="60"/>
      <c r="BZ107" s="59"/>
      <c r="CA107" s="59"/>
      <c r="CB107" s="59"/>
      <c r="CC107" s="59"/>
      <c r="CD107" s="59"/>
      <c r="CE107" s="59" t="s">
        <v>7414</v>
      </c>
      <c r="CF107" s="60" t="s">
        <v>1471</v>
      </c>
      <c r="CG107" s="59" t="s">
        <v>7079</v>
      </c>
      <c r="CH107" s="59" t="s">
        <v>7080</v>
      </c>
      <c r="CI107" s="59" t="s">
        <v>7016</v>
      </c>
      <c r="CJ107" s="59" t="s">
        <v>7017</v>
      </c>
      <c r="CK107" s="47" t="s">
        <v>1475</v>
      </c>
      <c r="CL107" s="64" t="str">
        <f t="shared" ca="1" si="1"/>
        <v>15 Tahun 3 Bulan 24 Hari</v>
      </c>
      <c r="CM10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Jl.Dukuh V RT/RW 07/04 Desa/Kelurahan Dukuh Kecamatan Kramat Jati Jakarta Timur Dki Jakarta  13550</v>
      </c>
    </row>
    <row r="108" spans="1:91" ht="24.95" customHeight="1">
      <c r="A108" s="58">
        <f>SUBTOTAL(3,N$8:Table2[[#This Row],[Nama lengkap]])</f>
        <v>101</v>
      </c>
      <c r="B108" s="58" t="s">
        <v>86</v>
      </c>
      <c r="C108" s="58">
        <v>2023</v>
      </c>
      <c r="D108" s="58"/>
      <c r="E108" s="58">
        <v>2</v>
      </c>
      <c r="F108" s="58" t="s">
        <v>1433</v>
      </c>
      <c r="G108" s="32" t="s">
        <v>2513</v>
      </c>
      <c r="H108" s="32" t="s">
        <v>2513</v>
      </c>
      <c r="I108" s="32" t="s">
        <v>2513</v>
      </c>
      <c r="J108" s="32"/>
      <c r="K108" s="32"/>
      <c r="L108" s="32"/>
      <c r="M108" s="58">
        <v>23240179</v>
      </c>
      <c r="N108" s="24" t="s">
        <v>8764</v>
      </c>
      <c r="O108" s="24"/>
      <c r="P108" s="25" t="s">
        <v>1476</v>
      </c>
      <c r="Q108" s="25" t="s">
        <v>1477</v>
      </c>
      <c r="R108" s="60" t="s">
        <v>90</v>
      </c>
      <c r="S108" s="61" t="s">
        <v>1149</v>
      </c>
      <c r="T108" s="47" t="s">
        <v>92</v>
      </c>
      <c r="U108" s="47">
        <v>6</v>
      </c>
      <c r="V108" s="47">
        <v>5</v>
      </c>
      <c r="W108" s="47" t="s">
        <v>207</v>
      </c>
      <c r="X108" s="59" t="s">
        <v>123</v>
      </c>
      <c r="Y108" s="59" t="s">
        <v>775</v>
      </c>
      <c r="Z108" s="59" t="s">
        <v>1478</v>
      </c>
      <c r="AA108" s="59" t="s">
        <v>96</v>
      </c>
      <c r="AB108" s="59" t="s">
        <v>689</v>
      </c>
      <c r="AC108" s="59" t="s">
        <v>208</v>
      </c>
      <c r="AD108" s="59" t="s">
        <v>208</v>
      </c>
      <c r="AE108" s="60" t="s">
        <v>1479</v>
      </c>
      <c r="AF108" s="60" t="s">
        <v>8358</v>
      </c>
      <c r="AG108" s="59" t="s">
        <v>8358</v>
      </c>
      <c r="AH108" s="59" t="s">
        <v>691</v>
      </c>
      <c r="AI108" s="59" t="s">
        <v>135</v>
      </c>
      <c r="AJ108" s="61">
        <v>23804</v>
      </c>
      <c r="AK108" s="60" t="s">
        <v>1480</v>
      </c>
      <c r="AL108" s="60" t="s">
        <v>114</v>
      </c>
      <c r="AM108" s="59" t="s">
        <v>800</v>
      </c>
      <c r="AN108" s="60"/>
      <c r="AO108" s="60"/>
      <c r="AP108" s="59" t="s">
        <v>1481</v>
      </c>
      <c r="AQ108" s="25" t="s">
        <v>815</v>
      </c>
      <c r="AR108" s="60" t="s">
        <v>1482</v>
      </c>
      <c r="AS108" s="59" t="s">
        <v>714</v>
      </c>
      <c r="AT108" s="59" t="s">
        <v>141</v>
      </c>
      <c r="AU108" s="59" t="s">
        <v>111</v>
      </c>
      <c r="AV108" s="62">
        <v>40286</v>
      </c>
      <c r="AW108" s="59" t="s">
        <v>6182</v>
      </c>
      <c r="AX108" s="59" t="s">
        <v>691</v>
      </c>
      <c r="AY108" s="59" t="s">
        <v>623</v>
      </c>
      <c r="AZ108" s="126">
        <v>24596</v>
      </c>
      <c r="BA108" s="60" t="s">
        <v>1484</v>
      </c>
      <c r="BB108" s="60" t="s">
        <v>914</v>
      </c>
      <c r="BC108" s="59" t="s">
        <v>800</v>
      </c>
      <c r="BD108" s="60"/>
      <c r="BE108" s="60"/>
      <c r="BF108" s="60"/>
      <c r="BG108" s="59" t="s">
        <v>1485</v>
      </c>
      <c r="BH108" s="60" t="s">
        <v>815</v>
      </c>
      <c r="BI108" s="60" t="s">
        <v>1482</v>
      </c>
      <c r="BJ108" s="24" t="s">
        <v>714</v>
      </c>
      <c r="BK108" s="59" t="s">
        <v>141</v>
      </c>
      <c r="BL108" s="59" t="s">
        <v>156</v>
      </c>
      <c r="BM108" s="24">
        <v>40286</v>
      </c>
      <c r="BN108" s="24"/>
      <c r="BO108" s="59" t="s">
        <v>719</v>
      </c>
      <c r="BP108" s="59"/>
      <c r="BQ108" s="77"/>
      <c r="BR108" s="60"/>
      <c r="BS108" s="60"/>
      <c r="BT108" s="59"/>
      <c r="BU108" s="60"/>
      <c r="BV108" s="60"/>
      <c r="BW108" s="59"/>
      <c r="BX108" s="60"/>
      <c r="BY108" s="60"/>
      <c r="BZ108" s="59"/>
      <c r="CA108" s="59"/>
      <c r="CB108" s="59"/>
      <c r="CC108" s="59"/>
      <c r="CD108" s="59"/>
      <c r="CE108" s="59" t="s">
        <v>7415</v>
      </c>
      <c r="CF108" s="60" t="s">
        <v>815</v>
      </c>
      <c r="CG108" s="59" t="s">
        <v>7081</v>
      </c>
      <c r="CH108" s="59" t="s">
        <v>7082</v>
      </c>
      <c r="CI108" s="59" t="s">
        <v>90</v>
      </c>
      <c r="CJ108" s="59" t="s">
        <v>111</v>
      </c>
      <c r="CK108" s="47">
        <v>40286</v>
      </c>
      <c r="CL108" s="64" t="str">
        <f t="shared" ca="1" si="1"/>
        <v>15 Tahun 4 Bulan 20 Hari</v>
      </c>
      <c r="CM10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Jl.Sanggar Kencana Vii No.42 RT/RW 01/03 Desa/Kelurahan Jatisari Kecamatan Buahbatu Bandung Jawa Barat 40286</v>
      </c>
    </row>
    <row r="109" spans="1:91" ht="24.95" customHeight="1">
      <c r="A109" s="58">
        <f>SUBTOTAL(3,N$8:Table2[[#This Row],[Nama lengkap]])</f>
        <v>102</v>
      </c>
      <c r="B109" s="58" t="s">
        <v>86</v>
      </c>
      <c r="C109" s="58">
        <v>2023</v>
      </c>
      <c r="D109" s="58"/>
      <c r="E109" s="58">
        <v>2</v>
      </c>
      <c r="F109" s="58" t="s">
        <v>1433</v>
      </c>
      <c r="G109" s="32" t="s">
        <v>2513</v>
      </c>
      <c r="H109" s="32" t="s">
        <v>2513</v>
      </c>
      <c r="I109" s="32" t="s">
        <v>2513</v>
      </c>
      <c r="J109" s="32"/>
      <c r="K109" s="32"/>
      <c r="L109" s="32"/>
      <c r="M109" s="58">
        <v>23240086</v>
      </c>
      <c r="N109" s="24" t="s">
        <v>5906</v>
      </c>
      <c r="O109" s="24"/>
      <c r="P109" s="25" t="s">
        <v>1486</v>
      </c>
      <c r="Q109" s="25" t="s">
        <v>1487</v>
      </c>
      <c r="R109" s="60" t="s">
        <v>7787</v>
      </c>
      <c r="S109" s="61" t="s">
        <v>1488</v>
      </c>
      <c r="T109" s="47" t="s">
        <v>92</v>
      </c>
      <c r="U109" s="47">
        <v>1</v>
      </c>
      <c r="V109" s="47">
        <v>2</v>
      </c>
      <c r="W109" s="47" t="s">
        <v>207</v>
      </c>
      <c r="X109" s="59" t="s">
        <v>432</v>
      </c>
      <c r="Y109" s="59" t="s">
        <v>1489</v>
      </c>
      <c r="Z109" s="59" t="s">
        <v>1168</v>
      </c>
      <c r="AA109" s="59" t="s">
        <v>1107</v>
      </c>
      <c r="AB109" s="59" t="s">
        <v>689</v>
      </c>
      <c r="AC109" s="59" t="s">
        <v>208</v>
      </c>
      <c r="AD109" s="59" t="s">
        <v>208</v>
      </c>
      <c r="AE109" s="60" t="s">
        <v>1490</v>
      </c>
      <c r="AF109" s="60" t="s">
        <v>8359</v>
      </c>
      <c r="AG109" s="59" t="s">
        <v>8359</v>
      </c>
      <c r="AH109" s="59" t="s">
        <v>691</v>
      </c>
      <c r="AI109" s="59" t="s">
        <v>7787</v>
      </c>
      <c r="AJ109" s="61">
        <v>31138</v>
      </c>
      <c r="AK109" s="60" t="s">
        <v>1491</v>
      </c>
      <c r="AL109" s="60" t="s">
        <v>114</v>
      </c>
      <c r="AM109" s="59" t="s">
        <v>693</v>
      </c>
      <c r="AN109" s="60"/>
      <c r="AO109" s="60"/>
      <c r="AP109" s="59" t="s">
        <v>1492</v>
      </c>
      <c r="AQ109" s="25" t="s">
        <v>1493</v>
      </c>
      <c r="AR109" s="60" t="s">
        <v>1494</v>
      </c>
      <c r="AS109" s="59" t="s">
        <v>1495</v>
      </c>
      <c r="AT109" s="59" t="s">
        <v>141</v>
      </c>
      <c r="AU109" s="59" t="s">
        <v>111</v>
      </c>
      <c r="AV109" s="62">
        <v>40375</v>
      </c>
      <c r="AW109" s="59" t="s">
        <v>6182</v>
      </c>
      <c r="AX109" s="59" t="s">
        <v>691</v>
      </c>
      <c r="AY109" s="59" t="s">
        <v>7787</v>
      </c>
      <c r="AZ109" s="126" t="s">
        <v>1496</v>
      </c>
      <c r="BA109" s="60" t="s">
        <v>1497</v>
      </c>
      <c r="BB109" s="60" t="s">
        <v>845</v>
      </c>
      <c r="BC109" s="59" t="s">
        <v>693</v>
      </c>
      <c r="BD109" s="60"/>
      <c r="BE109" s="60"/>
      <c r="BF109" s="60"/>
      <c r="BG109" s="59" t="s">
        <v>1492</v>
      </c>
      <c r="BH109" s="60" t="s">
        <v>1493</v>
      </c>
      <c r="BI109" s="60" t="s">
        <v>1494</v>
      </c>
      <c r="BJ109" s="24" t="s">
        <v>1495</v>
      </c>
      <c r="BK109" s="59" t="s">
        <v>141</v>
      </c>
      <c r="BL109" s="59" t="s">
        <v>156</v>
      </c>
      <c r="BM109" s="24">
        <v>40375</v>
      </c>
      <c r="BN109" s="24"/>
      <c r="BO109" s="59" t="s">
        <v>719</v>
      </c>
      <c r="BP109" s="59"/>
      <c r="BQ109" s="77"/>
      <c r="BR109" s="60"/>
      <c r="BS109" s="60"/>
      <c r="BT109" s="59"/>
      <c r="BU109" s="60"/>
      <c r="BV109" s="60"/>
      <c r="BW109" s="59"/>
      <c r="BX109" s="60"/>
      <c r="BY109" s="60"/>
      <c r="BZ109" s="59"/>
      <c r="CA109" s="59"/>
      <c r="CB109" s="59"/>
      <c r="CC109" s="59"/>
      <c r="CD109" s="59"/>
      <c r="CE109" s="59" t="s">
        <v>7416</v>
      </c>
      <c r="CF109" s="60" t="s">
        <v>1493</v>
      </c>
      <c r="CG109" s="59" t="s">
        <v>7083</v>
      </c>
      <c r="CH109" s="59" t="s">
        <v>5444</v>
      </c>
      <c r="CI109" s="59" t="s">
        <v>90</v>
      </c>
      <c r="CJ109" s="59" t="s">
        <v>111</v>
      </c>
      <c r="CK109" s="47">
        <v>40375</v>
      </c>
      <c r="CL109" s="64" t="str">
        <f t="shared" ca="1" si="1"/>
        <v>17 Tahun 6 Bulan 22 Hari</v>
      </c>
      <c r="CM10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Bojong Kukun RT/RW 02/11 Desa/Kelurahan Rancamanyar Kecamatan Baleendah Bandung Jawa Barat 40375</v>
      </c>
    </row>
    <row r="110" spans="1:91" ht="24.95" customHeight="1">
      <c r="A110" s="58">
        <f>SUBTOTAL(3,N$8:Table2[[#This Row],[Nama lengkap]])</f>
        <v>103</v>
      </c>
      <c r="B110" s="58" t="s">
        <v>86</v>
      </c>
      <c r="C110" s="58">
        <v>2023</v>
      </c>
      <c r="D110" s="58"/>
      <c r="E110" s="58">
        <v>2</v>
      </c>
      <c r="F110" s="58" t="s">
        <v>1433</v>
      </c>
      <c r="G110" s="165" t="s">
        <v>9955</v>
      </c>
      <c r="H110" s="32"/>
      <c r="I110" s="32"/>
      <c r="J110" s="32"/>
      <c r="K110" s="32"/>
      <c r="L110" s="32"/>
      <c r="M110" s="58">
        <v>23240162</v>
      </c>
      <c r="N110" s="24" t="s">
        <v>5907</v>
      </c>
      <c r="O110" s="24"/>
      <c r="P110" s="25" t="s">
        <v>1498</v>
      </c>
      <c r="Q110" s="25" t="s">
        <v>1499</v>
      </c>
      <c r="R110" s="60" t="s">
        <v>3137</v>
      </c>
      <c r="S110" s="61" t="s">
        <v>1500</v>
      </c>
      <c r="T110" s="47" t="s">
        <v>92</v>
      </c>
      <c r="U110" s="47">
        <v>1</v>
      </c>
      <c r="V110" s="47">
        <v>0</v>
      </c>
      <c r="W110" s="47" t="s">
        <v>207</v>
      </c>
      <c r="X110" s="59"/>
      <c r="Y110" s="59" t="s">
        <v>1012</v>
      </c>
      <c r="Z110" s="59" t="s">
        <v>1168</v>
      </c>
      <c r="AA110" s="59" t="s">
        <v>96</v>
      </c>
      <c r="AB110" s="59" t="s">
        <v>689</v>
      </c>
      <c r="AC110" s="59" t="s">
        <v>208</v>
      </c>
      <c r="AD110" s="59" t="s">
        <v>208</v>
      </c>
      <c r="AE110" s="60" t="s">
        <v>1501</v>
      </c>
      <c r="AF110" s="60" t="s">
        <v>8360</v>
      </c>
      <c r="AG110" s="59" t="s">
        <v>8360</v>
      </c>
      <c r="AH110" s="59" t="s">
        <v>691</v>
      </c>
      <c r="AI110" s="59" t="s">
        <v>3137</v>
      </c>
      <c r="AJ110" s="61">
        <v>30074</v>
      </c>
      <c r="AK110" s="60" t="s">
        <v>1502</v>
      </c>
      <c r="AL110" s="60" t="s">
        <v>289</v>
      </c>
      <c r="AM110" s="59" t="s">
        <v>800</v>
      </c>
      <c r="AN110" s="60"/>
      <c r="AO110" s="60"/>
      <c r="AP110" s="59" t="s">
        <v>1503</v>
      </c>
      <c r="AQ110" s="25" t="s">
        <v>1369</v>
      </c>
      <c r="AR110" s="60" t="s">
        <v>1504</v>
      </c>
      <c r="AS110" s="59" t="s">
        <v>1505</v>
      </c>
      <c r="AT110" s="59" t="s">
        <v>273</v>
      </c>
      <c r="AU110" s="59" t="s">
        <v>111</v>
      </c>
      <c r="AV110" s="62">
        <v>43256</v>
      </c>
      <c r="AW110" s="59" t="s">
        <v>7879</v>
      </c>
      <c r="AX110" s="59" t="s">
        <v>691</v>
      </c>
      <c r="AY110" s="59" t="s">
        <v>3137</v>
      </c>
      <c r="AZ110" s="126" t="s">
        <v>1506</v>
      </c>
      <c r="BA110" s="60" t="s">
        <v>1507</v>
      </c>
      <c r="BB110" s="60" t="s">
        <v>845</v>
      </c>
      <c r="BC110" s="59" t="s">
        <v>800</v>
      </c>
      <c r="BD110" s="60"/>
      <c r="BE110" s="60"/>
      <c r="BF110" s="60"/>
      <c r="BG110" s="59" t="s">
        <v>1503</v>
      </c>
      <c r="BH110" s="60" t="s">
        <v>1369</v>
      </c>
      <c r="BI110" s="60" t="s">
        <v>1504</v>
      </c>
      <c r="BJ110" s="24" t="s">
        <v>1505</v>
      </c>
      <c r="BK110" s="59" t="s">
        <v>273</v>
      </c>
      <c r="BL110" s="59" t="s">
        <v>156</v>
      </c>
      <c r="BM110" s="24">
        <v>43256</v>
      </c>
      <c r="BN110" s="24"/>
      <c r="BO110" s="59" t="s">
        <v>719</v>
      </c>
      <c r="BP110" s="59"/>
      <c r="BQ110" s="77"/>
      <c r="BR110" s="60"/>
      <c r="BS110" s="60"/>
      <c r="BT110" s="59"/>
      <c r="BU110" s="60"/>
      <c r="BV110" s="60"/>
      <c r="BW110" s="59"/>
      <c r="BX110" s="60"/>
      <c r="BY110" s="60"/>
      <c r="BZ110" s="59"/>
      <c r="CA110" s="59"/>
      <c r="CB110" s="59"/>
      <c r="CC110" s="59"/>
      <c r="CD110" s="59"/>
      <c r="CE110" s="59" t="s">
        <v>7417</v>
      </c>
      <c r="CF110" s="60" t="s">
        <v>1369</v>
      </c>
      <c r="CG110" s="59" t="s">
        <v>7084</v>
      </c>
      <c r="CH110" s="59" t="s">
        <v>7085</v>
      </c>
      <c r="CI110" s="59" t="s">
        <v>3137</v>
      </c>
      <c r="CJ110" s="59" t="s">
        <v>111</v>
      </c>
      <c r="CK110" s="47">
        <v>43256</v>
      </c>
      <c r="CL110" s="64" t="str">
        <f t="shared" ca="1" si="1"/>
        <v>15 Tahun 2 Bulan 22 Hari</v>
      </c>
      <c r="CM11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Kp.Cibeleng RT/RW 02/02 Desa/Kelurahan Sukaratu Kecamatan Gekbrong Cianjur Jawa Barat 43256</v>
      </c>
    </row>
    <row r="111" spans="1:91" ht="24.95" customHeight="1">
      <c r="A111" s="58">
        <f>SUBTOTAL(3,N$8:Table2[[#This Row],[Nama lengkap]])</f>
        <v>104</v>
      </c>
      <c r="B111" s="58" t="s">
        <v>86</v>
      </c>
      <c r="C111" s="58">
        <v>2023</v>
      </c>
      <c r="D111" s="58"/>
      <c r="E111" s="58">
        <v>2</v>
      </c>
      <c r="F111" s="58" t="s">
        <v>1433</v>
      </c>
      <c r="G111" s="32" t="s">
        <v>2513</v>
      </c>
      <c r="H111" s="32" t="s">
        <v>2513</v>
      </c>
      <c r="I111" s="32" t="s">
        <v>2513</v>
      </c>
      <c r="J111" s="32"/>
      <c r="K111" s="32"/>
      <c r="L111" s="32"/>
      <c r="M111" s="58">
        <v>23240090</v>
      </c>
      <c r="N111" s="24" t="s">
        <v>5908</v>
      </c>
      <c r="O111" s="24"/>
      <c r="P111" s="25" t="s">
        <v>1521</v>
      </c>
      <c r="Q111" s="25" t="s">
        <v>1522</v>
      </c>
      <c r="R111" s="60" t="s">
        <v>90</v>
      </c>
      <c r="S111" s="61" t="s">
        <v>1523</v>
      </c>
      <c r="T111" s="47" t="s">
        <v>92</v>
      </c>
      <c r="U111" s="47"/>
      <c r="V111" s="47"/>
      <c r="W111" s="47" t="s">
        <v>207</v>
      </c>
      <c r="X111" s="59"/>
      <c r="Y111" s="59" t="s">
        <v>1524</v>
      </c>
      <c r="Z111" s="59" t="s">
        <v>707</v>
      </c>
      <c r="AA111" s="59" t="s">
        <v>1107</v>
      </c>
      <c r="AB111" s="59" t="s">
        <v>689</v>
      </c>
      <c r="AC111" s="59" t="s">
        <v>208</v>
      </c>
      <c r="AD111" s="59" t="s">
        <v>208</v>
      </c>
      <c r="AE111" s="60" t="s">
        <v>1525</v>
      </c>
      <c r="AF111" s="60" t="s">
        <v>8361</v>
      </c>
      <c r="AG111" s="59" t="s">
        <v>8361</v>
      </c>
      <c r="AH111" s="59" t="s">
        <v>691</v>
      </c>
      <c r="AI111" s="59" t="s">
        <v>8276</v>
      </c>
      <c r="AJ111" s="61">
        <v>30136</v>
      </c>
      <c r="AK111" s="60" t="s">
        <v>1526</v>
      </c>
      <c r="AL111" s="60" t="s">
        <v>602</v>
      </c>
      <c r="AM111" s="59" t="s">
        <v>700</v>
      </c>
      <c r="AN111" s="60"/>
      <c r="AO111" s="60"/>
      <c r="AP111" s="59" t="s">
        <v>1527</v>
      </c>
      <c r="AQ111" s="25" t="s">
        <v>152</v>
      </c>
      <c r="AR111" s="60" t="s">
        <v>1528</v>
      </c>
      <c r="AS111" s="59" t="s">
        <v>1529</v>
      </c>
      <c r="AT111" s="59" t="s">
        <v>141</v>
      </c>
      <c r="AU111" s="59" t="s">
        <v>111</v>
      </c>
      <c r="AV111" s="62">
        <v>40379</v>
      </c>
      <c r="AW111" s="59" t="s">
        <v>7880</v>
      </c>
      <c r="AX111" s="59" t="s">
        <v>691</v>
      </c>
      <c r="AY111" s="59" t="s">
        <v>90</v>
      </c>
      <c r="AZ111" s="126" t="s">
        <v>1530</v>
      </c>
      <c r="BA111" s="60" t="s">
        <v>1531</v>
      </c>
      <c r="BB111" s="60" t="s">
        <v>845</v>
      </c>
      <c r="BC111" s="59" t="s">
        <v>800</v>
      </c>
      <c r="BD111" s="60"/>
      <c r="BE111" s="60"/>
      <c r="BF111" s="60"/>
      <c r="BG111" s="59" t="s">
        <v>1527</v>
      </c>
      <c r="BH111" s="60" t="s">
        <v>152</v>
      </c>
      <c r="BI111" s="60" t="s">
        <v>1528</v>
      </c>
      <c r="BJ111" s="24" t="s">
        <v>1529</v>
      </c>
      <c r="BK111" s="59" t="s">
        <v>141</v>
      </c>
      <c r="BL111" s="59" t="s">
        <v>156</v>
      </c>
      <c r="BM111" s="24">
        <v>40379</v>
      </c>
      <c r="BN111" s="24"/>
      <c r="BO111" s="59" t="s">
        <v>701</v>
      </c>
      <c r="BP111" s="59"/>
      <c r="BQ111" s="77"/>
      <c r="BR111" s="60"/>
      <c r="BS111" s="60"/>
      <c r="BT111" s="59"/>
      <c r="BU111" s="60"/>
      <c r="BV111" s="60"/>
      <c r="BW111" s="59"/>
      <c r="BX111" s="60"/>
      <c r="BY111" s="60"/>
      <c r="BZ111" s="59"/>
      <c r="CA111" s="59"/>
      <c r="CB111" s="59"/>
      <c r="CC111" s="59"/>
      <c r="CD111" s="59"/>
      <c r="CE111" s="59" t="s">
        <v>7418</v>
      </c>
      <c r="CF111" s="60" t="s">
        <v>152</v>
      </c>
      <c r="CG111" s="59" t="s">
        <v>7086</v>
      </c>
      <c r="CH111" s="59" t="s">
        <v>4835</v>
      </c>
      <c r="CI111" s="59" t="s">
        <v>90</v>
      </c>
      <c r="CJ111" s="59" t="s">
        <v>111</v>
      </c>
      <c r="CK111" s="47">
        <v>40379</v>
      </c>
      <c r="CL111" s="64" t="str">
        <f t="shared" ca="1" si="1"/>
        <v>17 Tahun 6 Bulan 8 Hari</v>
      </c>
      <c r="CM11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Kp.Kebon Kelapa RT/RW 02/03 Desa/Kelurahan Batukarut Kecamatan Arjasari Bandung Jawa Barat 40379</v>
      </c>
    </row>
    <row r="112" spans="1:91" ht="24.95" customHeight="1">
      <c r="A112" s="58">
        <f>SUBTOTAL(3,N$8:Table2[[#This Row],[Nama lengkap]])</f>
        <v>105</v>
      </c>
      <c r="B112" s="58" t="s">
        <v>86</v>
      </c>
      <c r="C112" s="58">
        <v>2023</v>
      </c>
      <c r="D112" s="58"/>
      <c r="E112" s="58">
        <v>2</v>
      </c>
      <c r="F112" s="58" t="s">
        <v>1433</v>
      </c>
      <c r="G112" s="32" t="s">
        <v>2513</v>
      </c>
      <c r="H112" s="32" t="s">
        <v>2513</v>
      </c>
      <c r="I112" s="32" t="s">
        <v>2513</v>
      </c>
      <c r="J112" s="32"/>
      <c r="K112" s="32"/>
      <c r="L112" s="32"/>
      <c r="M112" s="58">
        <v>23240011</v>
      </c>
      <c r="N112" s="24" t="s">
        <v>5909</v>
      </c>
      <c r="O112" s="24"/>
      <c r="P112" s="25" t="s">
        <v>1532</v>
      </c>
      <c r="Q112" s="25" t="s">
        <v>1533</v>
      </c>
      <c r="R112" s="60" t="s">
        <v>236</v>
      </c>
      <c r="S112" s="61" t="s">
        <v>1534</v>
      </c>
      <c r="T112" s="47" t="s">
        <v>92</v>
      </c>
      <c r="U112" s="47">
        <v>1</v>
      </c>
      <c r="V112" s="47">
        <v>1</v>
      </c>
      <c r="W112" s="47" t="s">
        <v>207</v>
      </c>
      <c r="X112" s="59"/>
      <c r="Y112" s="59" t="s">
        <v>1092</v>
      </c>
      <c r="Z112" s="59" t="s">
        <v>1168</v>
      </c>
      <c r="AA112" s="59" t="s">
        <v>795</v>
      </c>
      <c r="AB112" s="59" t="s">
        <v>689</v>
      </c>
      <c r="AC112" s="59" t="s">
        <v>208</v>
      </c>
      <c r="AD112" s="59" t="s">
        <v>208</v>
      </c>
      <c r="AE112" s="60" t="s">
        <v>1535</v>
      </c>
      <c r="AF112" s="60" t="s">
        <v>8362</v>
      </c>
      <c r="AG112" s="59" t="s">
        <v>8362</v>
      </c>
      <c r="AH112" s="59" t="s">
        <v>691</v>
      </c>
      <c r="AI112" s="59" t="s">
        <v>236</v>
      </c>
      <c r="AJ112" s="61" t="s">
        <v>1536</v>
      </c>
      <c r="AK112" s="60" t="s">
        <v>1537</v>
      </c>
      <c r="AL112" s="60" t="s">
        <v>114</v>
      </c>
      <c r="AM112" s="59" t="s">
        <v>800</v>
      </c>
      <c r="AN112" s="60"/>
      <c r="AO112" s="60"/>
      <c r="AP112" s="59" t="s">
        <v>1538</v>
      </c>
      <c r="AQ112" s="25" t="s">
        <v>1539</v>
      </c>
      <c r="AR112" s="60" t="s">
        <v>1540</v>
      </c>
      <c r="AS112" s="59" t="s">
        <v>1541</v>
      </c>
      <c r="AT112" s="59" t="s">
        <v>512</v>
      </c>
      <c r="AU112" s="59" t="s">
        <v>111</v>
      </c>
      <c r="AV112" s="62">
        <v>44193</v>
      </c>
      <c r="AW112" s="59" t="s">
        <v>7881</v>
      </c>
      <c r="AX112" s="59" t="s">
        <v>691</v>
      </c>
      <c r="AY112" s="59" t="s">
        <v>7788</v>
      </c>
      <c r="AZ112" s="126">
        <v>32185</v>
      </c>
      <c r="BA112" s="60" t="s">
        <v>1542</v>
      </c>
      <c r="BB112" s="60" t="s">
        <v>845</v>
      </c>
      <c r="BC112" s="59" t="s">
        <v>800</v>
      </c>
      <c r="BD112" s="60"/>
      <c r="BE112" s="60"/>
      <c r="BF112" s="60"/>
      <c r="BG112" s="59" t="s">
        <v>1538</v>
      </c>
      <c r="BH112" s="60" t="s">
        <v>1539</v>
      </c>
      <c r="BI112" s="60" t="s">
        <v>1540</v>
      </c>
      <c r="BJ112" s="24" t="s">
        <v>1541</v>
      </c>
      <c r="BK112" s="59" t="s">
        <v>512</v>
      </c>
      <c r="BL112" s="59" t="s">
        <v>156</v>
      </c>
      <c r="BM112" s="24" t="s">
        <v>1543</v>
      </c>
      <c r="BN112" s="24"/>
      <c r="BO112" s="59" t="s">
        <v>701</v>
      </c>
      <c r="BP112" s="59"/>
      <c r="BQ112" s="77"/>
      <c r="BR112" s="60"/>
      <c r="BS112" s="60"/>
      <c r="BT112" s="59"/>
      <c r="BU112" s="60"/>
      <c r="BV112" s="60"/>
      <c r="BW112" s="59"/>
      <c r="BX112" s="60"/>
      <c r="BY112" s="60"/>
      <c r="BZ112" s="59"/>
      <c r="CA112" s="59"/>
      <c r="CB112" s="59"/>
      <c r="CC112" s="59"/>
      <c r="CD112" s="59"/>
      <c r="CE112" s="59" t="s">
        <v>7419</v>
      </c>
      <c r="CF112" s="60" t="s">
        <v>1539</v>
      </c>
      <c r="CG112" s="59" t="s">
        <v>7087</v>
      </c>
      <c r="CH112" s="59" t="s">
        <v>7088</v>
      </c>
      <c r="CI112" s="59" t="s">
        <v>236</v>
      </c>
      <c r="CJ112" s="59" t="s">
        <v>111</v>
      </c>
      <c r="CK112" s="47">
        <v>44193</v>
      </c>
      <c r="CL112" s="64" t="str">
        <f t="shared" ca="1" si="1"/>
        <v>15 Tahun 0 Bulan 6 Hari</v>
      </c>
      <c r="CM11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Kp.Cibacang RT/RW 03/09 Desa/Kelurahan Majasari Kecamatan Cibiuk Garut Jawa Barat 44193</v>
      </c>
    </row>
    <row r="113" spans="1:91" ht="24.95" customHeight="1">
      <c r="A113" s="58">
        <f>SUBTOTAL(3,N$8:Table2[[#This Row],[Nama lengkap]])</f>
        <v>106</v>
      </c>
      <c r="B113" s="58" t="s">
        <v>86</v>
      </c>
      <c r="C113" s="58">
        <v>2023</v>
      </c>
      <c r="D113" s="58"/>
      <c r="E113" s="58">
        <v>2</v>
      </c>
      <c r="F113" s="58" t="s">
        <v>1433</v>
      </c>
      <c r="G113" s="32" t="s">
        <v>2513</v>
      </c>
      <c r="H113" s="32" t="s">
        <v>2513</v>
      </c>
      <c r="I113" s="32" t="s">
        <v>2513</v>
      </c>
      <c r="J113" s="32"/>
      <c r="K113" s="32"/>
      <c r="L113" s="32"/>
      <c r="M113" s="58">
        <v>23240038</v>
      </c>
      <c r="N113" s="24" t="s">
        <v>5910</v>
      </c>
      <c r="O113" s="24"/>
      <c r="P113" s="25" t="s">
        <v>8964</v>
      </c>
      <c r="Q113" s="25" t="s">
        <v>1544</v>
      </c>
      <c r="R113" s="60" t="s">
        <v>90</v>
      </c>
      <c r="S113" s="61" t="s">
        <v>1545</v>
      </c>
      <c r="T113" s="47" t="s">
        <v>92</v>
      </c>
      <c r="U113" s="47">
        <v>1</v>
      </c>
      <c r="V113" s="47">
        <v>1</v>
      </c>
      <c r="W113" s="47" t="s">
        <v>207</v>
      </c>
      <c r="X113" s="59"/>
      <c r="Y113" s="59" t="s">
        <v>706</v>
      </c>
      <c r="Z113" s="59" t="s">
        <v>986</v>
      </c>
      <c r="AA113" s="59" t="s">
        <v>795</v>
      </c>
      <c r="AB113" s="59" t="s">
        <v>689</v>
      </c>
      <c r="AC113" s="59" t="s">
        <v>208</v>
      </c>
      <c r="AD113" s="59" t="s">
        <v>208</v>
      </c>
      <c r="AE113" s="60" t="s">
        <v>1546</v>
      </c>
      <c r="AF113" s="60" t="s">
        <v>8363</v>
      </c>
      <c r="AG113" s="59" t="s">
        <v>8363</v>
      </c>
      <c r="AH113" s="59" t="s">
        <v>691</v>
      </c>
      <c r="AI113" s="59" t="s">
        <v>222</v>
      </c>
      <c r="AJ113" s="61" t="s">
        <v>1547</v>
      </c>
      <c r="AK113" s="60" t="s">
        <v>1548</v>
      </c>
      <c r="AL113" s="60" t="s">
        <v>602</v>
      </c>
      <c r="AM113" s="59" t="s">
        <v>700</v>
      </c>
      <c r="AN113" s="60"/>
      <c r="AO113" s="60"/>
      <c r="AP113" s="59" t="s">
        <v>1357</v>
      </c>
      <c r="AQ113" s="25" t="s">
        <v>1539</v>
      </c>
      <c r="AR113" s="60" t="s">
        <v>1346</v>
      </c>
      <c r="AS113" s="59" t="s">
        <v>1347</v>
      </c>
      <c r="AT113" s="59" t="s">
        <v>141</v>
      </c>
      <c r="AU113" s="59" t="s">
        <v>111</v>
      </c>
      <c r="AV113" s="62">
        <v>40377</v>
      </c>
      <c r="AW113" s="59" t="s">
        <v>7882</v>
      </c>
      <c r="AX113" s="59" t="s">
        <v>691</v>
      </c>
      <c r="AY113" s="59" t="s">
        <v>90</v>
      </c>
      <c r="AZ113" s="126">
        <v>31965</v>
      </c>
      <c r="BA113" s="60" t="s">
        <v>1549</v>
      </c>
      <c r="BB113" s="60" t="s">
        <v>602</v>
      </c>
      <c r="BC113" s="59" t="s">
        <v>700</v>
      </c>
      <c r="BD113" s="60"/>
      <c r="BE113" s="60"/>
      <c r="BF113" s="60"/>
      <c r="BG113" s="59" t="s">
        <v>1357</v>
      </c>
      <c r="BH113" s="60" t="s">
        <v>1539</v>
      </c>
      <c r="BI113" s="60" t="s">
        <v>1346</v>
      </c>
      <c r="BJ113" s="24" t="s">
        <v>1347</v>
      </c>
      <c r="BK113" s="59" t="s">
        <v>141</v>
      </c>
      <c r="BL113" s="59" t="s">
        <v>156</v>
      </c>
      <c r="BM113" s="24">
        <v>43077</v>
      </c>
      <c r="BN113" s="24"/>
      <c r="BO113" s="59" t="s">
        <v>719</v>
      </c>
      <c r="BP113" s="59"/>
      <c r="BQ113" s="77"/>
      <c r="BR113" s="60"/>
      <c r="BS113" s="60"/>
      <c r="BT113" s="59"/>
      <c r="BU113" s="60"/>
      <c r="BV113" s="60"/>
      <c r="BW113" s="59"/>
      <c r="BX113" s="60"/>
      <c r="BY113" s="60"/>
      <c r="BZ113" s="59"/>
      <c r="CA113" s="59"/>
      <c r="CB113" s="59"/>
      <c r="CC113" s="59"/>
      <c r="CD113" s="59"/>
      <c r="CE113" s="59" t="s">
        <v>6642</v>
      </c>
      <c r="CF113" s="60" t="s">
        <v>1539</v>
      </c>
      <c r="CG113" s="59" t="s">
        <v>6934</v>
      </c>
      <c r="CH113" s="59" t="s">
        <v>6463</v>
      </c>
      <c r="CI113" s="59" t="s">
        <v>90</v>
      </c>
      <c r="CJ113" s="59" t="s">
        <v>111</v>
      </c>
      <c r="CK113" s="47">
        <v>40377</v>
      </c>
      <c r="CL113" s="64" t="str">
        <f t="shared" ca="1" si="1"/>
        <v>14 Tahun 11 Bulan 26 Hari</v>
      </c>
      <c r="CM11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Babakan Peuteuy RT/RW 03/09 Desa/Kelurahan Ciluncat Kecamatan Cangkuang Bandung Jawa Barat 40377</v>
      </c>
    </row>
    <row r="114" spans="1:91" ht="24.95" customHeight="1">
      <c r="A114" s="58">
        <f>SUBTOTAL(3,N$8:Table2[[#This Row],[Nama lengkap]])</f>
        <v>107</v>
      </c>
      <c r="B114" s="58" t="s">
        <v>86</v>
      </c>
      <c r="C114" s="58">
        <v>2022</v>
      </c>
      <c r="D114" s="58"/>
      <c r="E114" s="58">
        <v>2</v>
      </c>
      <c r="F114" s="58" t="s">
        <v>1433</v>
      </c>
      <c r="G114" s="32" t="s">
        <v>2513</v>
      </c>
      <c r="H114" s="32" t="s">
        <v>2513</v>
      </c>
      <c r="I114" s="32" t="s">
        <v>2513</v>
      </c>
      <c r="J114" s="32"/>
      <c r="K114" s="32"/>
      <c r="L114" s="32"/>
      <c r="M114" s="84">
        <v>22230163</v>
      </c>
      <c r="N114" s="24" t="s">
        <v>8765</v>
      </c>
      <c r="O114" s="24"/>
      <c r="P114" s="25" t="s">
        <v>8965</v>
      </c>
      <c r="Q114" s="25" t="s">
        <v>1550</v>
      </c>
      <c r="R114" s="60" t="s">
        <v>90</v>
      </c>
      <c r="S114" s="61" t="s">
        <v>1551</v>
      </c>
      <c r="T114" s="47" t="s">
        <v>92</v>
      </c>
      <c r="U114" s="47">
        <v>1</v>
      </c>
      <c r="V114" s="47">
        <v>4</v>
      </c>
      <c r="W114" s="47" t="s">
        <v>207</v>
      </c>
      <c r="X114" s="59"/>
      <c r="Y114" s="59"/>
      <c r="Z114" s="59"/>
      <c r="AA114" s="59"/>
      <c r="AB114" s="59" t="s">
        <v>689</v>
      </c>
      <c r="AC114" s="59" t="s">
        <v>208</v>
      </c>
      <c r="AD114" s="59" t="s">
        <v>208</v>
      </c>
      <c r="AE114" s="60" t="s">
        <v>1552</v>
      </c>
      <c r="AF114" s="60" t="s">
        <v>8364</v>
      </c>
      <c r="AG114" s="59" t="s">
        <v>8364</v>
      </c>
      <c r="AH114" s="59" t="s">
        <v>691</v>
      </c>
      <c r="AI114" s="59" t="s">
        <v>90</v>
      </c>
      <c r="AJ114" s="61">
        <v>28655</v>
      </c>
      <c r="AK114" s="60" t="s">
        <v>1553</v>
      </c>
      <c r="AL114" s="60" t="s">
        <v>114</v>
      </c>
      <c r="AM114" s="59" t="s">
        <v>800</v>
      </c>
      <c r="AN114" s="60" t="s">
        <v>1554</v>
      </c>
      <c r="AO114" s="60"/>
      <c r="AP114" s="59" t="s">
        <v>1555</v>
      </c>
      <c r="AQ114" s="25" t="s">
        <v>1441</v>
      </c>
      <c r="AR114" s="60" t="s">
        <v>1556</v>
      </c>
      <c r="AS114" s="59" t="s">
        <v>618</v>
      </c>
      <c r="AT114" s="59" t="s">
        <v>141</v>
      </c>
      <c r="AU114" s="59" t="s">
        <v>111</v>
      </c>
      <c r="AV114" s="62">
        <v>40377</v>
      </c>
      <c r="AW114" s="59" t="s">
        <v>7883</v>
      </c>
      <c r="AX114" s="59" t="s">
        <v>691</v>
      </c>
      <c r="AY114" s="59" t="s">
        <v>90</v>
      </c>
      <c r="AZ114" s="126" t="s">
        <v>1557</v>
      </c>
      <c r="BA114" s="60" t="s">
        <v>1558</v>
      </c>
      <c r="BB114" s="60" t="s">
        <v>845</v>
      </c>
      <c r="BC114" s="59" t="s">
        <v>800</v>
      </c>
      <c r="BD114" s="60" t="s">
        <v>1554</v>
      </c>
      <c r="BE114" s="60"/>
      <c r="BF114" s="60"/>
      <c r="BG114" s="59" t="s">
        <v>1555</v>
      </c>
      <c r="BH114" s="60" t="s">
        <v>1441</v>
      </c>
      <c r="BI114" s="60" t="s">
        <v>1556</v>
      </c>
      <c r="BJ114" s="24" t="s">
        <v>618</v>
      </c>
      <c r="BK114" s="59" t="s">
        <v>141</v>
      </c>
      <c r="BL114" s="59" t="s">
        <v>156</v>
      </c>
      <c r="BM114" s="24">
        <v>40377</v>
      </c>
      <c r="BN114" s="24"/>
      <c r="BO114" s="59"/>
      <c r="BP114" s="59"/>
      <c r="BQ114" s="77"/>
      <c r="BR114" s="60"/>
      <c r="BS114" s="60"/>
      <c r="BT114" s="59"/>
      <c r="BU114" s="60"/>
      <c r="BV114" s="60"/>
      <c r="BW114" s="59"/>
      <c r="BX114" s="60"/>
      <c r="BY114" s="60"/>
      <c r="BZ114" s="59"/>
      <c r="CA114" s="59"/>
      <c r="CB114" s="59"/>
      <c r="CC114" s="59"/>
      <c r="CD114" s="59"/>
      <c r="CE114" s="59" t="s">
        <v>7420</v>
      </c>
      <c r="CF114" s="60" t="s">
        <v>1441</v>
      </c>
      <c r="CG114" s="59" t="s">
        <v>7089</v>
      </c>
      <c r="CH114" s="59" t="s">
        <v>507</v>
      </c>
      <c r="CI114" s="59" t="s">
        <v>90</v>
      </c>
      <c r="CJ114" s="59" t="s">
        <v>111</v>
      </c>
      <c r="CK114" s="47">
        <v>40377</v>
      </c>
      <c r="CL114" s="64" t="str">
        <f t="shared" ca="1" si="1"/>
        <v>15 Tahun 8 Bulan 4 Hari</v>
      </c>
      <c r="CM11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Kp.Dangdeur RT/RW 01/06 Desa/Kelurahan Kiangroke Kecamatan Banjaran Bandung Jawa Barat 40377</v>
      </c>
    </row>
    <row r="115" spans="1:91" ht="24.95" customHeight="1">
      <c r="A115" s="58">
        <f>SUBTOTAL(3,N$8:Table2[[#This Row],[Nama lengkap]])</f>
        <v>108</v>
      </c>
      <c r="B115" s="58" t="s">
        <v>86</v>
      </c>
      <c r="C115" s="58">
        <v>2023</v>
      </c>
      <c r="D115" s="58"/>
      <c r="E115" s="58">
        <v>2</v>
      </c>
      <c r="F115" s="58" t="s">
        <v>1433</v>
      </c>
      <c r="G115" s="165" t="s">
        <v>8943</v>
      </c>
      <c r="H115" s="32"/>
      <c r="I115" s="32"/>
      <c r="J115" s="32"/>
      <c r="K115" s="32"/>
      <c r="L115" s="32"/>
      <c r="M115" s="58">
        <v>23240032</v>
      </c>
      <c r="N115" s="24" t="s">
        <v>5912</v>
      </c>
      <c r="O115" s="24"/>
      <c r="P115" s="25" t="s">
        <v>9945</v>
      </c>
      <c r="Q115" s="25" t="s">
        <v>1559</v>
      </c>
      <c r="R115" s="60" t="s">
        <v>6562</v>
      </c>
      <c r="S115" s="61" t="s">
        <v>1560</v>
      </c>
      <c r="T115" s="47" t="s">
        <v>92</v>
      </c>
      <c r="U115" s="47">
        <v>1</v>
      </c>
      <c r="V115" s="47">
        <v>1</v>
      </c>
      <c r="W115" s="47" t="s">
        <v>207</v>
      </c>
      <c r="X115" s="59"/>
      <c r="Y115" s="59" t="s">
        <v>1561</v>
      </c>
      <c r="Z115" s="59" t="s">
        <v>986</v>
      </c>
      <c r="AA115" s="59" t="s">
        <v>795</v>
      </c>
      <c r="AB115" s="59" t="s">
        <v>689</v>
      </c>
      <c r="AC115" s="59" t="s">
        <v>208</v>
      </c>
      <c r="AD115" s="59" t="s">
        <v>208</v>
      </c>
      <c r="AE115" s="60" t="s">
        <v>1562</v>
      </c>
      <c r="AF115" s="60" t="s">
        <v>8365</v>
      </c>
      <c r="AG115" s="59" t="s">
        <v>8365</v>
      </c>
      <c r="AH115" s="59" t="s">
        <v>691</v>
      </c>
      <c r="AI115" s="59" t="s">
        <v>6566</v>
      </c>
      <c r="AJ115" s="61">
        <v>30350</v>
      </c>
      <c r="AK115" s="60" t="s">
        <v>1563</v>
      </c>
      <c r="AL115" s="60" t="s">
        <v>602</v>
      </c>
      <c r="AM115" s="59" t="s">
        <v>149</v>
      </c>
      <c r="AN115" s="60" t="s">
        <v>1564</v>
      </c>
      <c r="AO115" s="60"/>
      <c r="AP115" s="59" t="s">
        <v>1565</v>
      </c>
      <c r="AQ115" s="25" t="s">
        <v>1566</v>
      </c>
      <c r="AR115" s="60" t="s">
        <v>1567</v>
      </c>
      <c r="AS115" s="59" t="s">
        <v>1249</v>
      </c>
      <c r="AT115" s="59" t="s">
        <v>1249</v>
      </c>
      <c r="AU115" s="59" t="s">
        <v>111</v>
      </c>
      <c r="AV115" s="62">
        <v>41151</v>
      </c>
      <c r="AW115" s="59" t="s">
        <v>7884</v>
      </c>
      <c r="AX115" s="59" t="s">
        <v>691</v>
      </c>
      <c r="AY115" s="59" t="s">
        <v>6562</v>
      </c>
      <c r="AZ115" s="126">
        <v>32569</v>
      </c>
      <c r="BA115" s="60" t="s">
        <v>1568</v>
      </c>
      <c r="BB115" s="60" t="s">
        <v>845</v>
      </c>
      <c r="BC115" s="59" t="s">
        <v>149</v>
      </c>
      <c r="BD115" s="60" t="s">
        <v>1564</v>
      </c>
      <c r="BE115" s="60"/>
      <c r="BF115" s="60"/>
      <c r="BG115" s="59" t="s">
        <v>1565</v>
      </c>
      <c r="BH115" s="60" t="s">
        <v>1313</v>
      </c>
      <c r="BI115" s="60" t="s">
        <v>1567</v>
      </c>
      <c r="BJ115" s="24" t="s">
        <v>1249</v>
      </c>
      <c r="BK115" s="59" t="s">
        <v>1249</v>
      </c>
      <c r="BL115" s="59" t="s">
        <v>156</v>
      </c>
      <c r="BM115" s="24">
        <v>41151</v>
      </c>
      <c r="BN115" s="24"/>
      <c r="BO115" s="59"/>
      <c r="BP115" s="59"/>
      <c r="BQ115" s="77"/>
      <c r="BR115" s="60"/>
      <c r="BS115" s="60"/>
      <c r="BT115" s="59"/>
      <c r="BU115" s="60"/>
      <c r="BV115" s="60"/>
      <c r="BW115" s="59"/>
      <c r="BX115" s="60"/>
      <c r="BY115" s="60"/>
      <c r="BZ115" s="59"/>
      <c r="CA115" s="59"/>
      <c r="CB115" s="59"/>
      <c r="CC115" s="59"/>
      <c r="CD115" s="59"/>
      <c r="CE115" s="59" t="s">
        <v>7421</v>
      </c>
      <c r="CF115" s="60" t="s">
        <v>1566</v>
      </c>
      <c r="CG115" s="59" t="s">
        <v>7090</v>
      </c>
      <c r="CH115" s="59" t="s">
        <v>6562</v>
      </c>
      <c r="CI115" s="59" t="s">
        <v>6562</v>
      </c>
      <c r="CJ115" s="59" t="s">
        <v>111</v>
      </c>
      <c r="CK115" s="47">
        <v>41151</v>
      </c>
      <c r="CL115" s="64" t="str">
        <f t="shared" ca="1" si="1"/>
        <v>14 Tahun 8 Bulan 17 Hari</v>
      </c>
      <c r="CM11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Citalang  RT/RW 05/01 Desa/Kelurahan Citalang Kecamatan Purwakarta Purwakarta Jawa Barat 41151</v>
      </c>
    </row>
    <row r="116" spans="1:91" ht="24.95" customHeight="1">
      <c r="A116" s="58">
        <f>SUBTOTAL(3,N$8:Table2[[#This Row],[Nama lengkap]])</f>
        <v>109</v>
      </c>
      <c r="B116" s="58" t="s">
        <v>86</v>
      </c>
      <c r="C116" s="58">
        <v>2023</v>
      </c>
      <c r="D116" s="58"/>
      <c r="E116" s="58">
        <v>2</v>
      </c>
      <c r="F116" s="58" t="s">
        <v>1433</v>
      </c>
      <c r="G116" s="32" t="s">
        <v>2513</v>
      </c>
      <c r="H116" s="32" t="s">
        <v>2513</v>
      </c>
      <c r="I116" s="32" t="s">
        <v>2513</v>
      </c>
      <c r="J116" s="32"/>
      <c r="K116" s="32"/>
      <c r="L116" s="32"/>
      <c r="M116" s="58">
        <v>23240017</v>
      </c>
      <c r="N116" s="24" t="s">
        <v>5913</v>
      </c>
      <c r="O116" s="24"/>
      <c r="P116" s="25" t="s">
        <v>9928</v>
      </c>
      <c r="Q116" s="25" t="s">
        <v>1569</v>
      </c>
      <c r="R116" s="60" t="s">
        <v>155</v>
      </c>
      <c r="S116" s="61" t="s">
        <v>1570</v>
      </c>
      <c r="T116" s="47" t="s">
        <v>92</v>
      </c>
      <c r="U116" s="47">
        <v>2</v>
      </c>
      <c r="V116" s="47">
        <v>1</v>
      </c>
      <c r="W116" s="47" t="s">
        <v>207</v>
      </c>
      <c r="X116" s="59"/>
      <c r="Y116" s="59" t="s">
        <v>1012</v>
      </c>
      <c r="Z116" s="59" t="s">
        <v>1571</v>
      </c>
      <c r="AA116" s="59" t="s">
        <v>96</v>
      </c>
      <c r="AB116" s="59" t="s">
        <v>689</v>
      </c>
      <c r="AC116" s="59" t="s">
        <v>208</v>
      </c>
      <c r="AD116" s="59" t="s">
        <v>208</v>
      </c>
      <c r="AE116" s="60" t="s">
        <v>1572</v>
      </c>
      <c r="AF116" s="60" t="s">
        <v>8366</v>
      </c>
      <c r="AG116" s="59" t="s">
        <v>8366</v>
      </c>
      <c r="AH116" s="59" t="s">
        <v>691</v>
      </c>
      <c r="AI116" s="59" t="s">
        <v>90</v>
      </c>
      <c r="AJ116" s="61">
        <v>29529</v>
      </c>
      <c r="AK116" s="60" t="s">
        <v>1573</v>
      </c>
      <c r="AL116" s="60" t="s">
        <v>114</v>
      </c>
      <c r="AM116" s="59" t="s">
        <v>693</v>
      </c>
      <c r="AN116" s="60"/>
      <c r="AO116" s="60"/>
      <c r="AP116" s="59" t="s">
        <v>1574</v>
      </c>
      <c r="AQ116" s="25" t="s">
        <v>1099</v>
      </c>
      <c r="AR116" s="60" t="s">
        <v>1575</v>
      </c>
      <c r="AS116" s="59" t="s">
        <v>1576</v>
      </c>
      <c r="AT116" s="59" t="s">
        <v>163</v>
      </c>
      <c r="AU116" s="59" t="s">
        <v>111</v>
      </c>
      <c r="AV116" s="62">
        <v>40561</v>
      </c>
      <c r="AW116" s="59" t="s">
        <v>7885</v>
      </c>
      <c r="AX116" s="59" t="s">
        <v>691</v>
      </c>
      <c r="AY116" s="59" t="s">
        <v>90</v>
      </c>
      <c r="AZ116" s="126">
        <v>30781</v>
      </c>
      <c r="BA116" s="60" t="s">
        <v>1577</v>
      </c>
      <c r="BB116" s="60" t="s">
        <v>845</v>
      </c>
      <c r="BC116" s="59" t="s">
        <v>700</v>
      </c>
      <c r="BD116" s="60"/>
      <c r="BE116" s="60"/>
      <c r="BF116" s="60"/>
      <c r="BG116" s="59" t="s">
        <v>1578</v>
      </c>
      <c r="BH116" s="60" t="s">
        <v>1099</v>
      </c>
      <c r="BI116" s="60" t="s">
        <v>1575</v>
      </c>
      <c r="BJ116" s="24" t="s">
        <v>1576</v>
      </c>
      <c r="BK116" s="59" t="s">
        <v>163</v>
      </c>
      <c r="BL116" s="59" t="s">
        <v>156</v>
      </c>
      <c r="BM116" s="24">
        <v>40561</v>
      </c>
      <c r="BN116" s="24"/>
      <c r="BO116" s="59" t="s">
        <v>719</v>
      </c>
      <c r="BP116" s="59"/>
      <c r="BQ116" s="77"/>
      <c r="BR116" s="60"/>
      <c r="BS116" s="60"/>
      <c r="BT116" s="59"/>
      <c r="BU116" s="60"/>
      <c r="BV116" s="60"/>
      <c r="BW116" s="59"/>
      <c r="BX116" s="60"/>
      <c r="BY116" s="60"/>
      <c r="BZ116" s="59"/>
      <c r="CA116" s="59"/>
      <c r="CB116" s="59"/>
      <c r="CC116" s="59"/>
      <c r="CD116" s="59"/>
      <c r="CE116" s="59" t="s">
        <v>7422</v>
      </c>
      <c r="CF116" s="60" t="s">
        <v>1099</v>
      </c>
      <c r="CG116" s="59" t="s">
        <v>7091</v>
      </c>
      <c r="CH116" s="59" t="s">
        <v>7092</v>
      </c>
      <c r="CI116" s="59" t="s">
        <v>155</v>
      </c>
      <c r="CJ116" s="59" t="s">
        <v>111</v>
      </c>
      <c r="CK116" s="47">
        <v>40561</v>
      </c>
      <c r="CL116" s="64" t="str">
        <f t="shared" ca="1" si="1"/>
        <v>15 Tahun 2 Bulan 6 Hari</v>
      </c>
      <c r="CM11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Kp.Bijinghaleuang RT/RW 01/08 Desa/Kelurahan Bojonghaleuang Kecamatan Saguling Bandung Barat Jawa Barat 40561</v>
      </c>
    </row>
    <row r="117" spans="1:91" ht="24.95" customHeight="1">
      <c r="A117" s="58">
        <f>SUBTOTAL(3,N$8:Table2[[#This Row],[Nama lengkap]])</f>
        <v>110</v>
      </c>
      <c r="B117" s="58" t="s">
        <v>86</v>
      </c>
      <c r="C117" s="58">
        <v>2023</v>
      </c>
      <c r="D117" s="58"/>
      <c r="E117" s="58">
        <v>2</v>
      </c>
      <c r="F117" s="58" t="s">
        <v>1433</v>
      </c>
      <c r="G117" s="32" t="s">
        <v>2513</v>
      </c>
      <c r="H117" s="32" t="s">
        <v>2513</v>
      </c>
      <c r="I117" s="32" t="s">
        <v>2513</v>
      </c>
      <c r="J117" s="32"/>
      <c r="K117" s="32"/>
      <c r="L117" s="32"/>
      <c r="M117" s="58">
        <v>23240008</v>
      </c>
      <c r="N117" s="24" t="s">
        <v>5914</v>
      </c>
      <c r="O117" s="24"/>
      <c r="P117" s="25" t="s">
        <v>1580</v>
      </c>
      <c r="Q117" s="25" t="s">
        <v>1581</v>
      </c>
      <c r="R117" s="60" t="s">
        <v>90</v>
      </c>
      <c r="S117" s="61" t="s">
        <v>1582</v>
      </c>
      <c r="T117" s="47" t="s">
        <v>92</v>
      </c>
      <c r="U117" s="47">
        <v>1</v>
      </c>
      <c r="V117" s="47">
        <v>1</v>
      </c>
      <c r="W117" s="47" t="s">
        <v>207</v>
      </c>
      <c r="X117" s="59"/>
      <c r="Y117" s="59" t="s">
        <v>706</v>
      </c>
      <c r="Z117" s="59" t="s">
        <v>1042</v>
      </c>
      <c r="AA117" s="59" t="s">
        <v>1107</v>
      </c>
      <c r="AB117" s="59" t="s">
        <v>689</v>
      </c>
      <c r="AC117" s="59" t="s">
        <v>208</v>
      </c>
      <c r="AD117" s="59" t="s">
        <v>208</v>
      </c>
      <c r="AE117" s="60" t="s">
        <v>1583</v>
      </c>
      <c r="AF117" s="60" t="s">
        <v>8367</v>
      </c>
      <c r="AG117" s="59" t="s">
        <v>8367</v>
      </c>
      <c r="AH117" s="59" t="s">
        <v>691</v>
      </c>
      <c r="AI117" s="59" t="s">
        <v>90</v>
      </c>
      <c r="AJ117" s="61" t="s">
        <v>1584</v>
      </c>
      <c r="AK117" s="60" t="s">
        <v>1585</v>
      </c>
      <c r="AL117" s="60" t="s">
        <v>602</v>
      </c>
      <c r="AM117" s="59" t="s">
        <v>800</v>
      </c>
      <c r="AN117" s="60"/>
      <c r="AO117" s="60"/>
      <c r="AP117" s="59" t="s">
        <v>1586</v>
      </c>
      <c r="AQ117" s="25" t="s">
        <v>1174</v>
      </c>
      <c r="AR117" s="60" t="s">
        <v>1494</v>
      </c>
      <c r="AS117" s="59" t="s">
        <v>1495</v>
      </c>
      <c r="AT117" s="59" t="s">
        <v>141</v>
      </c>
      <c r="AU117" s="59" t="s">
        <v>111</v>
      </c>
      <c r="AV117" s="62">
        <v>40375</v>
      </c>
      <c r="AW117" s="59" t="s">
        <v>5403</v>
      </c>
      <c r="AX117" s="59" t="s">
        <v>691</v>
      </c>
      <c r="AY117" s="59" t="s">
        <v>7789</v>
      </c>
      <c r="AZ117" s="126" t="s">
        <v>1587</v>
      </c>
      <c r="BA117" s="60" t="s">
        <v>1588</v>
      </c>
      <c r="BB117" s="60" t="s">
        <v>845</v>
      </c>
      <c r="BC117" s="59" t="s">
        <v>800</v>
      </c>
      <c r="BD117" s="60"/>
      <c r="BE117" s="60"/>
      <c r="BF117" s="60"/>
      <c r="BG117" s="59" t="s">
        <v>1586</v>
      </c>
      <c r="BH117" s="60" t="s">
        <v>1174</v>
      </c>
      <c r="BI117" s="60" t="s">
        <v>1494</v>
      </c>
      <c r="BJ117" s="24" t="s">
        <v>1495</v>
      </c>
      <c r="BK117" s="59" t="s">
        <v>141</v>
      </c>
      <c r="BL117" s="59" t="s">
        <v>156</v>
      </c>
      <c r="BM117" s="24">
        <v>40375</v>
      </c>
      <c r="BN117" s="24"/>
      <c r="BO117" s="59" t="s">
        <v>701</v>
      </c>
      <c r="BP117" s="59"/>
      <c r="BQ117" s="77"/>
      <c r="BR117" s="60"/>
      <c r="BS117" s="60"/>
      <c r="BT117" s="59"/>
      <c r="BU117" s="60"/>
      <c r="BV117" s="60"/>
      <c r="BW117" s="59"/>
      <c r="BX117" s="60"/>
      <c r="BY117" s="60"/>
      <c r="BZ117" s="59"/>
      <c r="CA117" s="59"/>
      <c r="CB117" s="59"/>
      <c r="CC117" s="59"/>
      <c r="CD117" s="59"/>
      <c r="CE117" s="59" t="s">
        <v>7423</v>
      </c>
      <c r="CF117" s="60" t="s">
        <v>1174</v>
      </c>
      <c r="CG117" s="59" t="s">
        <v>7083</v>
      </c>
      <c r="CH117" s="59" t="s">
        <v>5444</v>
      </c>
      <c r="CI117" s="59" t="s">
        <v>90</v>
      </c>
      <c r="CJ117" s="59" t="s">
        <v>111</v>
      </c>
      <c r="CK117" s="47">
        <v>40375</v>
      </c>
      <c r="CL117" s="64" t="str">
        <f t="shared" ca="1" si="1"/>
        <v>19 Tahun 2 Bulan 7 Hari</v>
      </c>
      <c r="CM11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Kp.Babakan  RT/RW 01/09 Desa/Kelurahan Rancamanyar Kecamatan Baleendah Bandung Jawa Barat 40375</v>
      </c>
    </row>
    <row r="118" spans="1:91" ht="24.95" customHeight="1">
      <c r="A118" s="58">
        <f>SUBTOTAL(3,N$8:Table2[[#This Row],[Nama lengkap]])</f>
        <v>111</v>
      </c>
      <c r="B118" s="58" t="s">
        <v>86</v>
      </c>
      <c r="C118" s="58">
        <v>2023</v>
      </c>
      <c r="D118" s="58"/>
      <c r="E118" s="58">
        <v>2</v>
      </c>
      <c r="F118" s="58" t="s">
        <v>1433</v>
      </c>
      <c r="G118" s="165" t="s">
        <v>2513</v>
      </c>
      <c r="H118" s="32"/>
      <c r="I118" s="32"/>
      <c r="J118" s="32"/>
      <c r="K118" s="32"/>
      <c r="L118" s="32"/>
      <c r="M118" s="58">
        <v>23240163</v>
      </c>
      <c r="N118" s="24" t="s">
        <v>5915</v>
      </c>
      <c r="O118" s="24"/>
      <c r="P118" s="25">
        <v>3100352606</v>
      </c>
      <c r="Q118" s="25" t="s">
        <v>1589</v>
      </c>
      <c r="R118" s="60" t="s">
        <v>122</v>
      </c>
      <c r="S118" s="61" t="s">
        <v>1590</v>
      </c>
      <c r="T118" s="47" t="s">
        <v>92</v>
      </c>
      <c r="U118" s="47">
        <v>3</v>
      </c>
      <c r="V118" s="47">
        <v>3</v>
      </c>
      <c r="W118" s="47" t="s">
        <v>207</v>
      </c>
      <c r="X118" s="59" t="s">
        <v>93</v>
      </c>
      <c r="Y118" s="59" t="s">
        <v>1247</v>
      </c>
      <c r="Z118" s="59" t="s">
        <v>1591</v>
      </c>
      <c r="AA118" s="59" t="s">
        <v>96</v>
      </c>
      <c r="AB118" s="59" t="s">
        <v>689</v>
      </c>
      <c r="AC118" s="59" t="s">
        <v>208</v>
      </c>
      <c r="AD118" s="59" t="s">
        <v>208</v>
      </c>
      <c r="AE118" s="60" t="s">
        <v>1592</v>
      </c>
      <c r="AF118" s="60" t="s">
        <v>8368</v>
      </c>
      <c r="AG118" s="59" t="s">
        <v>8368</v>
      </c>
      <c r="AH118" s="59" t="s">
        <v>691</v>
      </c>
      <c r="AI118" s="59" t="s">
        <v>122</v>
      </c>
      <c r="AJ118" s="61">
        <v>26331</v>
      </c>
      <c r="AK118" s="60" t="s">
        <v>1593</v>
      </c>
      <c r="AL118" s="60" t="s">
        <v>914</v>
      </c>
      <c r="AM118" s="59" t="s">
        <v>800</v>
      </c>
      <c r="AN118" s="60" t="s">
        <v>1594</v>
      </c>
      <c r="AO118" s="60"/>
      <c r="AP118" s="59" t="s">
        <v>1595</v>
      </c>
      <c r="AQ118" s="25" t="s">
        <v>815</v>
      </c>
      <c r="AR118" s="60" t="s">
        <v>1596</v>
      </c>
      <c r="AS118" s="59" t="s">
        <v>1596</v>
      </c>
      <c r="AT118" s="59" t="s">
        <v>1090</v>
      </c>
      <c r="AU118" s="59" t="s">
        <v>111</v>
      </c>
      <c r="AV118" s="62">
        <v>45383</v>
      </c>
      <c r="AW118" s="59" t="s">
        <v>7886</v>
      </c>
      <c r="AX118" s="59" t="s">
        <v>691</v>
      </c>
      <c r="AY118" s="59" t="s">
        <v>122</v>
      </c>
      <c r="AZ118" s="126">
        <v>27550</v>
      </c>
      <c r="BA118" s="60" t="s">
        <v>1597</v>
      </c>
      <c r="BB118" s="60" t="s">
        <v>7770</v>
      </c>
      <c r="BC118" s="59" t="s">
        <v>800</v>
      </c>
      <c r="BD118" s="60" t="s">
        <v>1594</v>
      </c>
      <c r="BE118" s="60"/>
      <c r="BF118" s="60"/>
      <c r="BG118" s="59" t="s">
        <v>1595</v>
      </c>
      <c r="BH118" s="60" t="s">
        <v>815</v>
      </c>
      <c r="BI118" s="60" t="s">
        <v>1596</v>
      </c>
      <c r="BJ118" s="24" t="s">
        <v>1596</v>
      </c>
      <c r="BK118" s="59" t="s">
        <v>1090</v>
      </c>
      <c r="BL118" s="59" t="s">
        <v>156</v>
      </c>
      <c r="BM118" s="24">
        <v>45383</v>
      </c>
      <c r="BN118" s="24"/>
      <c r="BO118" s="59"/>
      <c r="BP118" s="59"/>
      <c r="BQ118" s="77"/>
      <c r="BR118" s="60"/>
      <c r="BS118" s="60"/>
      <c r="BT118" s="59"/>
      <c r="BU118" s="60"/>
      <c r="BV118" s="60"/>
      <c r="BW118" s="59"/>
      <c r="BX118" s="60"/>
      <c r="BY118" s="60"/>
      <c r="BZ118" s="59"/>
      <c r="CA118" s="59"/>
      <c r="CB118" s="59"/>
      <c r="CC118" s="59"/>
      <c r="CD118" s="59"/>
      <c r="CE118" s="59" t="s">
        <v>7443</v>
      </c>
      <c r="CF118" s="60" t="s">
        <v>815</v>
      </c>
      <c r="CG118" s="59" t="s">
        <v>7093</v>
      </c>
      <c r="CH118" s="59" t="s">
        <v>7093</v>
      </c>
      <c r="CI118" s="59" t="s">
        <v>122</v>
      </c>
      <c r="CJ118" s="59" t="s">
        <v>111</v>
      </c>
      <c r="CK118" s="47">
        <v>45383</v>
      </c>
      <c r="CL118" s="64" t="str">
        <f t="shared" ca="1" si="1"/>
        <v>15 Tahun 6 Bulan 14 Hari</v>
      </c>
      <c r="CM11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Ujungjaya RT/RW 01/03 Desa/Kelurahan Ujung Jaya Kecamatan Ujung Jaya Sumedang Jawa Barat 45383</v>
      </c>
    </row>
    <row r="119" spans="1:91" ht="24.95" customHeight="1">
      <c r="A119" s="58">
        <f>SUBTOTAL(3,N$8:Table2[[#This Row],[Nama lengkap]])</f>
        <v>112</v>
      </c>
      <c r="B119" s="58" t="s">
        <v>86</v>
      </c>
      <c r="C119" s="58">
        <v>2023</v>
      </c>
      <c r="D119" s="58"/>
      <c r="E119" s="58">
        <v>2</v>
      </c>
      <c r="F119" s="58" t="s">
        <v>1433</v>
      </c>
      <c r="G119" s="32" t="s">
        <v>2513</v>
      </c>
      <c r="H119" s="32" t="s">
        <v>2513</v>
      </c>
      <c r="I119" s="32" t="s">
        <v>2513</v>
      </c>
      <c r="J119" s="32"/>
      <c r="K119" s="32"/>
      <c r="L119" s="32"/>
      <c r="M119" s="58">
        <v>23240045</v>
      </c>
      <c r="N119" s="24" t="s">
        <v>5916</v>
      </c>
      <c r="O119" s="24"/>
      <c r="P119" s="25" t="s">
        <v>8966</v>
      </c>
      <c r="Q119" s="25" t="s">
        <v>1598</v>
      </c>
      <c r="R119" s="60" t="s">
        <v>122</v>
      </c>
      <c r="S119" s="61" t="s">
        <v>1599</v>
      </c>
      <c r="T119" s="47" t="s">
        <v>92</v>
      </c>
      <c r="U119" s="47">
        <v>1</v>
      </c>
      <c r="V119" s="47">
        <v>2</v>
      </c>
      <c r="W119" s="47" t="s">
        <v>207</v>
      </c>
      <c r="X119" s="59" t="s">
        <v>432</v>
      </c>
      <c r="Y119" s="59" t="s">
        <v>1600</v>
      </c>
      <c r="Z119" s="59" t="s">
        <v>1150</v>
      </c>
      <c r="AA119" s="59" t="s">
        <v>1028</v>
      </c>
      <c r="AB119" s="59" t="s">
        <v>689</v>
      </c>
      <c r="AC119" s="59" t="s">
        <v>208</v>
      </c>
      <c r="AD119" s="59" t="s">
        <v>208</v>
      </c>
      <c r="AE119" s="60" t="s">
        <v>1601</v>
      </c>
      <c r="AF119" s="60" t="s">
        <v>8369</v>
      </c>
      <c r="AG119" s="59" t="s">
        <v>8369</v>
      </c>
      <c r="AH119" s="59" t="s">
        <v>691</v>
      </c>
      <c r="AI119" s="59" t="s">
        <v>8277</v>
      </c>
      <c r="AJ119" s="61">
        <v>28805</v>
      </c>
      <c r="AK119" s="60" t="s">
        <v>1602</v>
      </c>
      <c r="AL119" s="60" t="s">
        <v>289</v>
      </c>
      <c r="AM119" s="59" t="s">
        <v>700</v>
      </c>
      <c r="AN119" s="60"/>
      <c r="AO119" s="60"/>
      <c r="AP119" s="59" t="s">
        <v>1603</v>
      </c>
      <c r="AQ119" s="25" t="s">
        <v>756</v>
      </c>
      <c r="AR119" s="60" t="s">
        <v>1604</v>
      </c>
      <c r="AS119" s="59" t="s">
        <v>1605</v>
      </c>
      <c r="AT119" s="59" t="s">
        <v>1090</v>
      </c>
      <c r="AU119" s="59" t="s">
        <v>111</v>
      </c>
      <c r="AV119" s="62">
        <v>45354</v>
      </c>
      <c r="AW119" s="59" t="s">
        <v>7885</v>
      </c>
      <c r="AX119" s="59" t="s">
        <v>691</v>
      </c>
      <c r="AY119" s="59" t="s">
        <v>122</v>
      </c>
      <c r="AZ119" s="126">
        <v>29622</v>
      </c>
      <c r="BA119" s="60" t="s">
        <v>1606</v>
      </c>
      <c r="BB119" s="60" t="s">
        <v>845</v>
      </c>
      <c r="BC119" s="59" t="s">
        <v>700</v>
      </c>
      <c r="BD119" s="60"/>
      <c r="BE119" s="60"/>
      <c r="BF119" s="60"/>
      <c r="BG119" s="59" t="s">
        <v>1603</v>
      </c>
      <c r="BH119" s="60" t="s">
        <v>756</v>
      </c>
      <c r="BI119" s="60" t="s">
        <v>1604</v>
      </c>
      <c r="BJ119" s="24" t="s">
        <v>1605</v>
      </c>
      <c r="BK119" s="59" t="s">
        <v>1090</v>
      </c>
      <c r="BL119" s="59" t="s">
        <v>156</v>
      </c>
      <c r="BM119" s="24">
        <v>45354</v>
      </c>
      <c r="BN119" s="24"/>
      <c r="BO119" s="59" t="s">
        <v>701</v>
      </c>
      <c r="BP119" s="59"/>
      <c r="BQ119" s="77"/>
      <c r="BR119" s="60"/>
      <c r="BS119" s="60"/>
      <c r="BT119" s="59"/>
      <c r="BU119" s="60"/>
      <c r="BV119" s="60"/>
      <c r="BW119" s="59"/>
      <c r="BX119" s="60"/>
      <c r="BY119" s="60"/>
      <c r="BZ119" s="59"/>
      <c r="CA119" s="59"/>
      <c r="CB119" s="59"/>
      <c r="CC119" s="59"/>
      <c r="CD119" s="59"/>
      <c r="CE119" s="59" t="s">
        <v>7424</v>
      </c>
      <c r="CF119" s="60" t="s">
        <v>756</v>
      </c>
      <c r="CG119" s="59" t="s">
        <v>7094</v>
      </c>
      <c r="CH119" s="59" t="s">
        <v>7095</v>
      </c>
      <c r="CI119" s="59" t="s">
        <v>122</v>
      </c>
      <c r="CJ119" s="59" t="s">
        <v>111</v>
      </c>
      <c r="CK119" s="47">
        <v>45354</v>
      </c>
      <c r="CL119" s="64" t="str">
        <f t="shared" ca="1" si="1"/>
        <v>17 Tahun 7 Bulan 27 Hari</v>
      </c>
      <c r="CM11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Kampung Pawenang RT/RW 02/09 Desa/Kelurahan Cikaramas Kecamatan Tanjungmedar Sumedang Jawa Barat 45354</v>
      </c>
    </row>
    <row r="120" spans="1:91" ht="24.95" customHeight="1">
      <c r="A120" s="58">
        <f>SUBTOTAL(3,N$8:Table2[[#This Row],[Nama lengkap]])</f>
        <v>113</v>
      </c>
      <c r="B120" s="58" t="s">
        <v>86</v>
      </c>
      <c r="C120" s="58">
        <v>2023</v>
      </c>
      <c r="D120" s="58"/>
      <c r="E120" s="58">
        <v>2</v>
      </c>
      <c r="F120" s="58" t="s">
        <v>1433</v>
      </c>
      <c r="G120" s="32" t="s">
        <v>2513</v>
      </c>
      <c r="H120" s="32" t="s">
        <v>2513</v>
      </c>
      <c r="I120" s="32" t="s">
        <v>2513</v>
      </c>
      <c r="J120" s="32"/>
      <c r="K120" s="32"/>
      <c r="L120" s="32"/>
      <c r="M120" s="58">
        <v>23240123</v>
      </c>
      <c r="N120" s="24" t="s">
        <v>5917</v>
      </c>
      <c r="O120" s="24"/>
      <c r="P120" s="25" t="s">
        <v>1607</v>
      </c>
      <c r="Q120" s="25" t="s">
        <v>1608</v>
      </c>
      <c r="R120" s="60" t="s">
        <v>90</v>
      </c>
      <c r="S120" s="61" t="s">
        <v>1609</v>
      </c>
      <c r="T120" s="47" t="s">
        <v>92</v>
      </c>
      <c r="U120" s="47">
        <v>3</v>
      </c>
      <c r="V120" s="47">
        <v>5</v>
      </c>
      <c r="W120" s="47" t="s">
        <v>207</v>
      </c>
      <c r="X120" s="59" t="s">
        <v>303</v>
      </c>
      <c r="Y120" s="59" t="s">
        <v>1610</v>
      </c>
      <c r="Z120" s="59" t="s">
        <v>1168</v>
      </c>
      <c r="AA120" s="59" t="s">
        <v>96</v>
      </c>
      <c r="AB120" s="59" t="s">
        <v>689</v>
      </c>
      <c r="AC120" s="59" t="s">
        <v>208</v>
      </c>
      <c r="AD120" s="59" t="s">
        <v>208</v>
      </c>
      <c r="AE120" s="60" t="s">
        <v>1611</v>
      </c>
      <c r="AF120" s="60" t="s">
        <v>8370</v>
      </c>
      <c r="AG120" s="59" t="s">
        <v>8371</v>
      </c>
      <c r="AH120" s="59" t="s">
        <v>691</v>
      </c>
      <c r="AI120" s="59" t="s">
        <v>90</v>
      </c>
      <c r="AJ120" s="61" t="s">
        <v>1612</v>
      </c>
      <c r="AK120" s="60" t="s">
        <v>1613</v>
      </c>
      <c r="AL120" s="60" t="s">
        <v>602</v>
      </c>
      <c r="AM120" s="59" t="s">
        <v>800</v>
      </c>
      <c r="AN120" s="60"/>
      <c r="AO120" s="60"/>
      <c r="AP120" s="59" t="s">
        <v>1614</v>
      </c>
      <c r="AQ120" s="25" t="s">
        <v>1615</v>
      </c>
      <c r="AR120" s="60" t="s">
        <v>1616</v>
      </c>
      <c r="AS120" s="59" t="s">
        <v>1336</v>
      </c>
      <c r="AT120" s="59" t="s">
        <v>141</v>
      </c>
      <c r="AU120" s="59" t="s">
        <v>111</v>
      </c>
      <c r="AV120" s="62">
        <v>40265</v>
      </c>
      <c r="AW120" s="59" t="s">
        <v>7887</v>
      </c>
      <c r="AX120" s="59" t="s">
        <v>691</v>
      </c>
      <c r="AY120" s="59" t="s">
        <v>90</v>
      </c>
      <c r="AZ120" s="126">
        <v>30956</v>
      </c>
      <c r="BA120" s="60" t="s">
        <v>1617</v>
      </c>
      <c r="BB120" s="60" t="s">
        <v>845</v>
      </c>
      <c r="BC120" s="59" t="s">
        <v>800</v>
      </c>
      <c r="BD120" s="60"/>
      <c r="BE120" s="60"/>
      <c r="BF120" s="60"/>
      <c r="BG120" s="59" t="s">
        <v>1614</v>
      </c>
      <c r="BH120" s="60" t="s">
        <v>1615</v>
      </c>
      <c r="BI120" s="60" t="s">
        <v>1616</v>
      </c>
      <c r="BJ120" s="24" t="s">
        <v>1336</v>
      </c>
      <c r="BK120" s="59" t="s">
        <v>141</v>
      </c>
      <c r="BL120" s="59" t="s">
        <v>156</v>
      </c>
      <c r="BM120" s="24">
        <v>40265</v>
      </c>
      <c r="BN120" s="24"/>
      <c r="BO120" s="59" t="s">
        <v>719</v>
      </c>
      <c r="BP120" s="59"/>
      <c r="BQ120" s="77"/>
      <c r="BR120" s="60"/>
      <c r="BS120" s="60"/>
      <c r="BT120" s="59"/>
      <c r="BU120" s="60"/>
      <c r="BV120" s="60"/>
      <c r="BW120" s="59"/>
      <c r="BX120" s="60"/>
      <c r="BY120" s="60"/>
      <c r="BZ120" s="59"/>
      <c r="CA120" s="59"/>
      <c r="CB120" s="59"/>
      <c r="CC120" s="59"/>
      <c r="CD120" s="59"/>
      <c r="CE120" s="59" t="s">
        <v>7425</v>
      </c>
      <c r="CF120" s="60" t="s">
        <v>1615</v>
      </c>
      <c r="CG120" s="59" t="s">
        <v>7096</v>
      </c>
      <c r="CH120" s="59" t="s">
        <v>7069</v>
      </c>
      <c r="CI120" s="59" t="s">
        <v>90</v>
      </c>
      <c r="CJ120" s="59" t="s">
        <v>111</v>
      </c>
      <c r="CK120" s="47">
        <v>40265</v>
      </c>
      <c r="CL120" s="64" t="str">
        <f t="shared" ca="1" si="1"/>
        <v>15 Tahun 5 Bulan 0 Hari</v>
      </c>
      <c r="CM12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Cijagra I Gg.Iii N0.104/206 B RT/RW 07/02 Desa/Kelurahan Cijagra Kecamatan Lengkong Bandung Jawa Barat 40265</v>
      </c>
    </row>
    <row r="121" spans="1:91" ht="24.95" customHeight="1">
      <c r="A121" s="58">
        <f>SUBTOTAL(3,N$8:Table2[[#This Row],[Nama lengkap]])</f>
        <v>114</v>
      </c>
      <c r="B121" s="58" t="s">
        <v>86</v>
      </c>
      <c r="C121" s="58">
        <v>2023</v>
      </c>
      <c r="D121" s="58"/>
      <c r="E121" s="58">
        <v>2</v>
      </c>
      <c r="F121" s="58" t="s">
        <v>1433</v>
      </c>
      <c r="G121" s="32" t="s">
        <v>2513</v>
      </c>
      <c r="H121" s="32" t="s">
        <v>2513</v>
      </c>
      <c r="I121" s="32" t="s">
        <v>2513</v>
      </c>
      <c r="J121" s="32"/>
      <c r="K121" s="32"/>
      <c r="L121" s="32"/>
      <c r="M121" s="58">
        <v>23240097</v>
      </c>
      <c r="N121" s="24" t="s">
        <v>5918</v>
      </c>
      <c r="O121" s="24"/>
      <c r="P121" s="25" t="s">
        <v>8967</v>
      </c>
      <c r="Q121" s="25" t="s">
        <v>1618</v>
      </c>
      <c r="R121" s="60" t="s">
        <v>122</v>
      </c>
      <c r="S121" s="61" t="s">
        <v>1619</v>
      </c>
      <c r="T121" s="47" t="s">
        <v>92</v>
      </c>
      <c r="U121" s="47">
        <v>3</v>
      </c>
      <c r="V121" s="47">
        <v>5</v>
      </c>
      <c r="W121" s="47" t="s">
        <v>207</v>
      </c>
      <c r="X121" s="59" t="s">
        <v>93</v>
      </c>
      <c r="Y121" s="59" t="s">
        <v>1620</v>
      </c>
      <c r="Z121" s="59" t="s">
        <v>1168</v>
      </c>
      <c r="AA121" s="59" t="s">
        <v>96</v>
      </c>
      <c r="AB121" s="59" t="s">
        <v>689</v>
      </c>
      <c r="AC121" s="59" t="s">
        <v>208</v>
      </c>
      <c r="AD121" s="59" t="s">
        <v>208</v>
      </c>
      <c r="AE121" s="60" t="s">
        <v>1621</v>
      </c>
      <c r="AF121" s="60" t="s">
        <v>8372</v>
      </c>
      <c r="AG121" s="59" t="s">
        <v>8372</v>
      </c>
      <c r="AH121" s="59" t="s">
        <v>691</v>
      </c>
      <c r="AI121" s="59" t="s">
        <v>122</v>
      </c>
      <c r="AJ121" s="61" t="s">
        <v>1622</v>
      </c>
      <c r="AK121" s="60" t="s">
        <v>1623</v>
      </c>
      <c r="AL121" s="60" t="s">
        <v>602</v>
      </c>
      <c r="AM121" s="59" t="s">
        <v>800</v>
      </c>
      <c r="AN121" s="60"/>
      <c r="AO121" s="60"/>
      <c r="AP121" s="59" t="s">
        <v>1624</v>
      </c>
      <c r="AQ121" s="25" t="s">
        <v>712</v>
      </c>
      <c r="AR121" s="60" t="s">
        <v>1625</v>
      </c>
      <c r="AS121" s="59" t="s">
        <v>1626</v>
      </c>
      <c r="AT121" s="59" t="s">
        <v>1090</v>
      </c>
      <c r="AU121" s="59" t="s">
        <v>111</v>
      </c>
      <c r="AV121" s="62">
        <v>45364</v>
      </c>
      <c r="AW121" s="59" t="s">
        <v>7888</v>
      </c>
      <c r="AX121" s="59" t="s">
        <v>691</v>
      </c>
      <c r="AY121" s="59" t="s">
        <v>122</v>
      </c>
      <c r="AZ121" s="126">
        <v>29533</v>
      </c>
      <c r="BA121" s="60" t="s">
        <v>1627</v>
      </c>
      <c r="BB121" s="60" t="s">
        <v>114</v>
      </c>
      <c r="BC121" s="59" t="s">
        <v>800</v>
      </c>
      <c r="BD121" s="60"/>
      <c r="BE121" s="60"/>
      <c r="BF121" s="60"/>
      <c r="BG121" s="59" t="s">
        <v>1624</v>
      </c>
      <c r="BH121" s="60" t="s">
        <v>712</v>
      </c>
      <c r="BI121" s="60" t="s">
        <v>1625</v>
      </c>
      <c r="BJ121" s="24" t="s">
        <v>1626</v>
      </c>
      <c r="BK121" s="59" t="s">
        <v>1090</v>
      </c>
      <c r="BL121" s="59" t="s">
        <v>156</v>
      </c>
      <c r="BM121" s="24">
        <v>45363</v>
      </c>
      <c r="BN121" s="24"/>
      <c r="BO121" s="59" t="s">
        <v>719</v>
      </c>
      <c r="BP121" s="59"/>
      <c r="BQ121" s="77"/>
      <c r="BR121" s="60"/>
      <c r="BS121" s="60"/>
      <c r="BT121" s="59"/>
      <c r="BU121" s="60"/>
      <c r="BV121" s="60"/>
      <c r="BW121" s="59"/>
      <c r="BX121" s="60"/>
      <c r="BY121" s="60"/>
      <c r="BZ121" s="59"/>
      <c r="CA121" s="59"/>
      <c r="CB121" s="59"/>
      <c r="CC121" s="59"/>
      <c r="CD121" s="59"/>
      <c r="CE121" s="59" t="s">
        <v>7426</v>
      </c>
      <c r="CF121" s="60" t="s">
        <v>712</v>
      </c>
      <c r="CG121" s="59" t="s">
        <v>7097</v>
      </c>
      <c r="CH121" s="59" t="s">
        <v>1518</v>
      </c>
      <c r="CI121" s="59" t="s">
        <v>122</v>
      </c>
      <c r="CJ121" s="59" t="s">
        <v>111</v>
      </c>
      <c r="CK121" s="47">
        <v>45364</v>
      </c>
      <c r="CL121" s="64" t="str">
        <f t="shared" ca="1" si="1"/>
        <v>15 Tahun 6 Bulan 17 Hari</v>
      </c>
      <c r="CM12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Parakanmuncang RT/RW 04/04 Desa/Kelurahan Sindangpakuon Kecamatan Cimanggung Sumedang Jawa Barat 45364</v>
      </c>
    </row>
    <row r="122" spans="1:91" ht="24.95" customHeight="1">
      <c r="A122" s="58">
        <f>SUBTOTAL(3,N$8:Table2[[#This Row],[Nama lengkap]])</f>
        <v>115</v>
      </c>
      <c r="B122" s="58" t="s">
        <v>86</v>
      </c>
      <c r="C122" s="58">
        <v>2023</v>
      </c>
      <c r="D122" s="58"/>
      <c r="E122" s="58">
        <v>2</v>
      </c>
      <c r="F122" s="58" t="s">
        <v>1433</v>
      </c>
      <c r="G122" s="32" t="s">
        <v>2513</v>
      </c>
      <c r="H122" s="32" t="s">
        <v>2513</v>
      </c>
      <c r="I122" s="32" t="s">
        <v>2513</v>
      </c>
      <c r="J122" s="32"/>
      <c r="K122" s="32"/>
      <c r="L122" s="32"/>
      <c r="M122" s="58">
        <v>23240026</v>
      </c>
      <c r="N122" s="24" t="s">
        <v>5919</v>
      </c>
      <c r="O122" s="24"/>
      <c r="P122" s="25" t="s">
        <v>1628</v>
      </c>
      <c r="Q122" s="25" t="s">
        <v>1629</v>
      </c>
      <c r="R122" s="60" t="s">
        <v>155</v>
      </c>
      <c r="S122" s="61" t="s">
        <v>1630</v>
      </c>
      <c r="T122" s="47" t="s">
        <v>92</v>
      </c>
      <c r="U122" s="47">
        <v>1</v>
      </c>
      <c r="V122" s="47">
        <v>1</v>
      </c>
      <c r="W122" s="47" t="s">
        <v>207</v>
      </c>
      <c r="X122" s="59" t="s">
        <v>93</v>
      </c>
      <c r="Y122" s="59" t="s">
        <v>1631</v>
      </c>
      <c r="Z122" s="59" t="s">
        <v>1632</v>
      </c>
      <c r="AA122" s="59" t="s">
        <v>96</v>
      </c>
      <c r="AB122" s="59" t="s">
        <v>689</v>
      </c>
      <c r="AC122" s="59" t="s">
        <v>208</v>
      </c>
      <c r="AD122" s="59" t="s">
        <v>208</v>
      </c>
      <c r="AE122" s="60" t="s">
        <v>1633</v>
      </c>
      <c r="AF122" s="60" t="s">
        <v>8373</v>
      </c>
      <c r="AG122" s="59" t="s">
        <v>8373</v>
      </c>
      <c r="AH122" s="59" t="s">
        <v>691</v>
      </c>
      <c r="AI122" s="59" t="s">
        <v>90</v>
      </c>
      <c r="AJ122" s="61" t="s">
        <v>1634</v>
      </c>
      <c r="AK122" s="60" t="s">
        <v>1635</v>
      </c>
      <c r="AL122" s="60" t="s">
        <v>602</v>
      </c>
      <c r="AM122" s="59" t="s">
        <v>800</v>
      </c>
      <c r="AN122" s="60"/>
      <c r="AO122" s="60"/>
      <c r="AP122" s="59" t="s">
        <v>1636</v>
      </c>
      <c r="AQ122" s="25" t="s">
        <v>380</v>
      </c>
      <c r="AR122" s="60" t="s">
        <v>1637</v>
      </c>
      <c r="AS122" s="59" t="s">
        <v>1638</v>
      </c>
      <c r="AT122" s="59" t="s">
        <v>163</v>
      </c>
      <c r="AU122" s="59" t="s">
        <v>111</v>
      </c>
      <c r="AV122" s="62">
        <v>40767</v>
      </c>
      <c r="AW122" s="59" t="s">
        <v>7889</v>
      </c>
      <c r="AX122" s="59" t="s">
        <v>691</v>
      </c>
      <c r="AY122" s="59" t="s">
        <v>623</v>
      </c>
      <c r="AZ122" s="126">
        <v>33097</v>
      </c>
      <c r="BA122" s="60" t="s">
        <v>1639</v>
      </c>
      <c r="BB122" s="60" t="s">
        <v>7770</v>
      </c>
      <c r="BC122" s="59" t="s">
        <v>800</v>
      </c>
      <c r="BD122" s="60"/>
      <c r="BE122" s="60"/>
      <c r="BF122" s="60"/>
      <c r="BG122" s="59" t="s">
        <v>1636</v>
      </c>
      <c r="BH122" s="60" t="s">
        <v>380</v>
      </c>
      <c r="BI122" s="60" t="s">
        <v>1637</v>
      </c>
      <c r="BJ122" s="24" t="s">
        <v>1638</v>
      </c>
      <c r="BK122" s="59" t="s">
        <v>163</v>
      </c>
      <c r="BL122" s="59" t="s">
        <v>156</v>
      </c>
      <c r="BM122" s="24">
        <v>40767</v>
      </c>
      <c r="BN122" s="24"/>
      <c r="BO122" s="59"/>
      <c r="BP122" s="59"/>
      <c r="BQ122" s="77"/>
      <c r="BR122" s="60"/>
      <c r="BS122" s="60"/>
      <c r="BT122" s="59"/>
      <c r="BU122" s="60"/>
      <c r="BV122" s="60"/>
      <c r="BW122" s="59"/>
      <c r="BX122" s="60"/>
      <c r="BY122" s="60"/>
      <c r="BZ122" s="59"/>
      <c r="CA122" s="59"/>
      <c r="CB122" s="59"/>
      <c r="CC122" s="59"/>
      <c r="CD122" s="59"/>
      <c r="CE122" s="59" t="s">
        <v>7427</v>
      </c>
      <c r="CF122" s="60" t="s">
        <v>380</v>
      </c>
      <c r="CG122" s="59" t="s">
        <v>7098</v>
      </c>
      <c r="CH122" s="59" t="s">
        <v>6480</v>
      </c>
      <c r="CI122" s="59" t="s">
        <v>155</v>
      </c>
      <c r="CJ122" s="59" t="s">
        <v>111</v>
      </c>
      <c r="CK122" s="47">
        <v>40767</v>
      </c>
      <c r="CL122" s="64" t="str">
        <f t="shared" ca="1" si="1"/>
        <v>15 Tahun 4 Bulan 10 Hari</v>
      </c>
      <c r="CM12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Perum Alam Sanggar Indah No 28 RT/RW 03/12 Desa/Kelurahan Citapen Kecamatan Cihampelas Bandung Barat Jawa Barat 40767</v>
      </c>
    </row>
    <row r="123" spans="1:91" ht="24.95" customHeight="1">
      <c r="A123" s="58">
        <f>SUBTOTAL(3,N$8:Table2[[#This Row],[Nama lengkap]])</f>
        <v>116</v>
      </c>
      <c r="B123" s="58" t="s">
        <v>86</v>
      </c>
      <c r="C123" s="58">
        <v>2023</v>
      </c>
      <c r="D123" s="58"/>
      <c r="E123" s="58">
        <v>2</v>
      </c>
      <c r="F123" s="58" t="s">
        <v>1433</v>
      </c>
      <c r="G123" s="32" t="s">
        <v>2513</v>
      </c>
      <c r="H123" s="32" t="s">
        <v>2513</v>
      </c>
      <c r="I123" s="32" t="s">
        <v>2513</v>
      </c>
      <c r="J123" s="32"/>
      <c r="K123" s="32"/>
      <c r="L123" s="32"/>
      <c r="M123" s="58">
        <v>23240110</v>
      </c>
      <c r="N123" s="24" t="s">
        <v>5920</v>
      </c>
      <c r="O123" s="24"/>
      <c r="P123" s="25">
        <v>3107534180</v>
      </c>
      <c r="Q123" s="25" t="s">
        <v>1640</v>
      </c>
      <c r="R123" s="60" t="s">
        <v>3137</v>
      </c>
      <c r="S123" s="61" t="s">
        <v>1641</v>
      </c>
      <c r="T123" s="47" t="s">
        <v>92</v>
      </c>
      <c r="U123" s="47">
        <v>4</v>
      </c>
      <c r="V123" s="47">
        <v>3</v>
      </c>
      <c r="W123" s="47" t="s">
        <v>207</v>
      </c>
      <c r="X123" s="59" t="s">
        <v>984</v>
      </c>
      <c r="Y123" s="59" t="s">
        <v>706</v>
      </c>
      <c r="Z123" s="59" t="s">
        <v>1042</v>
      </c>
      <c r="AA123" s="59" t="s">
        <v>795</v>
      </c>
      <c r="AB123" s="59" t="s">
        <v>689</v>
      </c>
      <c r="AC123" s="59" t="s">
        <v>208</v>
      </c>
      <c r="AD123" s="59" t="s">
        <v>208</v>
      </c>
      <c r="AE123" s="60" t="s">
        <v>1642</v>
      </c>
      <c r="AF123" s="60" t="s">
        <v>8374</v>
      </c>
      <c r="AG123" s="59" t="s">
        <v>8374</v>
      </c>
      <c r="AH123" s="59" t="s">
        <v>691</v>
      </c>
      <c r="AI123" s="59" t="s">
        <v>3137</v>
      </c>
      <c r="AJ123" s="61">
        <v>24960</v>
      </c>
      <c r="AK123" s="60" t="s">
        <v>1643</v>
      </c>
      <c r="AL123" s="60" t="s">
        <v>114</v>
      </c>
      <c r="AM123" s="59" t="s">
        <v>693</v>
      </c>
      <c r="AN123" s="60"/>
      <c r="AO123" s="60"/>
      <c r="AP123" s="59" t="s">
        <v>1644</v>
      </c>
      <c r="AQ123" s="25" t="s">
        <v>1174</v>
      </c>
      <c r="AR123" s="60" t="s">
        <v>153</v>
      </c>
      <c r="AS123" s="59" t="s">
        <v>1645</v>
      </c>
      <c r="AT123" s="59" t="s">
        <v>273</v>
      </c>
      <c r="AU123" s="59" t="s">
        <v>111</v>
      </c>
      <c r="AV123" s="62">
        <v>43252</v>
      </c>
      <c r="AW123" s="59" t="s">
        <v>7890</v>
      </c>
      <c r="AX123" s="59" t="s">
        <v>691</v>
      </c>
      <c r="AY123" s="59" t="s">
        <v>3137</v>
      </c>
      <c r="AZ123" s="126">
        <v>26729</v>
      </c>
      <c r="BA123" s="60" t="s">
        <v>1646</v>
      </c>
      <c r="BB123" s="60" t="s">
        <v>845</v>
      </c>
      <c r="BC123" s="59" t="s">
        <v>693</v>
      </c>
      <c r="BD123" s="60"/>
      <c r="BE123" s="60"/>
      <c r="BF123" s="60"/>
      <c r="BG123" s="59" t="s">
        <v>1644</v>
      </c>
      <c r="BH123" s="60" t="s">
        <v>1174</v>
      </c>
      <c r="BI123" s="60" t="s">
        <v>153</v>
      </c>
      <c r="BJ123" s="24" t="s">
        <v>1645</v>
      </c>
      <c r="BK123" s="59" t="s">
        <v>273</v>
      </c>
      <c r="BL123" s="59" t="s">
        <v>156</v>
      </c>
      <c r="BM123" s="24">
        <v>43252</v>
      </c>
      <c r="BN123" s="24"/>
      <c r="BO123" s="59" t="s">
        <v>719</v>
      </c>
      <c r="BP123" s="59"/>
      <c r="BQ123" s="77"/>
      <c r="BR123" s="60"/>
      <c r="BS123" s="60"/>
      <c r="BT123" s="59"/>
      <c r="BU123" s="60"/>
      <c r="BV123" s="60"/>
      <c r="BW123" s="59"/>
      <c r="BX123" s="60"/>
      <c r="BY123" s="60"/>
      <c r="BZ123" s="59"/>
      <c r="CA123" s="59"/>
      <c r="CB123" s="59"/>
      <c r="CC123" s="59"/>
      <c r="CD123" s="59"/>
      <c r="CE123" s="59" t="s">
        <v>7428</v>
      </c>
      <c r="CF123" s="60" t="s">
        <v>1174</v>
      </c>
      <c r="CG123" s="59" t="s">
        <v>7009</v>
      </c>
      <c r="CH123" s="59" t="s">
        <v>7099</v>
      </c>
      <c r="CI123" s="59" t="s">
        <v>3137</v>
      </c>
      <c r="CJ123" s="59" t="s">
        <v>111</v>
      </c>
      <c r="CK123" s="47">
        <v>43252</v>
      </c>
      <c r="CL123" s="64" t="str">
        <f t="shared" ca="1" si="1"/>
        <v>15 Tahun 4 Bulan 19 Hari</v>
      </c>
      <c r="CM12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Kp.Puncak Manis RT/RW 01/09 Desa/Kelurahan Sukajaya Kecamatan Cugenang Cianjur Jawa Barat 43252</v>
      </c>
    </row>
    <row r="124" spans="1:91" ht="24.95" customHeight="1">
      <c r="A124" s="58">
        <f>SUBTOTAL(3,N$8:Table2[[#This Row],[Nama lengkap]])</f>
        <v>117</v>
      </c>
      <c r="B124" s="58" t="s">
        <v>86</v>
      </c>
      <c r="C124" s="58">
        <v>2023</v>
      </c>
      <c r="D124" s="58"/>
      <c r="E124" s="58">
        <v>2</v>
      </c>
      <c r="F124" s="58" t="s">
        <v>1433</v>
      </c>
      <c r="G124" s="32" t="s">
        <v>2513</v>
      </c>
      <c r="H124" s="32" t="s">
        <v>2513</v>
      </c>
      <c r="I124" s="32" t="s">
        <v>2513</v>
      </c>
      <c r="J124" s="32"/>
      <c r="K124" s="32"/>
      <c r="L124" s="32"/>
      <c r="M124" s="58">
        <v>23240064</v>
      </c>
      <c r="N124" s="24" t="s">
        <v>5921</v>
      </c>
      <c r="O124" s="24"/>
      <c r="P124" s="25" t="s">
        <v>8968</v>
      </c>
      <c r="Q124" s="25" t="s">
        <v>1647</v>
      </c>
      <c r="R124" s="60" t="s">
        <v>90</v>
      </c>
      <c r="S124" s="61" t="s">
        <v>1648</v>
      </c>
      <c r="T124" s="47" t="s">
        <v>92</v>
      </c>
      <c r="U124" s="47"/>
      <c r="V124" s="47"/>
      <c r="W124" s="47" t="s">
        <v>207</v>
      </c>
      <c r="X124" s="59"/>
      <c r="Y124" s="59" t="s">
        <v>1649</v>
      </c>
      <c r="Z124" s="59" t="s">
        <v>986</v>
      </c>
      <c r="AA124" s="59" t="s">
        <v>96</v>
      </c>
      <c r="AB124" s="59" t="s">
        <v>689</v>
      </c>
      <c r="AC124" s="59" t="s">
        <v>208</v>
      </c>
      <c r="AD124" s="59" t="s">
        <v>208</v>
      </c>
      <c r="AE124" s="60" t="s">
        <v>1650</v>
      </c>
      <c r="AF124" s="60" t="s">
        <v>8375</v>
      </c>
      <c r="AG124" s="59" t="s">
        <v>8375</v>
      </c>
      <c r="AH124" s="59" t="s">
        <v>691</v>
      </c>
      <c r="AI124" s="59" t="s">
        <v>122</v>
      </c>
      <c r="AJ124" s="61" t="s">
        <v>1651</v>
      </c>
      <c r="AK124" s="60" t="s">
        <v>1652</v>
      </c>
      <c r="AL124" s="60" t="s">
        <v>8250</v>
      </c>
      <c r="AM124" s="59" t="s">
        <v>700</v>
      </c>
      <c r="AN124" s="60"/>
      <c r="AO124" s="60"/>
      <c r="AP124" s="59" t="s">
        <v>1653</v>
      </c>
      <c r="AQ124" s="25" t="s">
        <v>1654</v>
      </c>
      <c r="AR124" s="60" t="s">
        <v>1655</v>
      </c>
      <c r="AS124" s="59" t="s">
        <v>1124</v>
      </c>
      <c r="AT124" s="59" t="s">
        <v>141</v>
      </c>
      <c r="AU124" s="59" t="s">
        <v>111</v>
      </c>
      <c r="AV124" s="62">
        <v>40624</v>
      </c>
      <c r="AW124" s="59" t="s">
        <v>7891</v>
      </c>
      <c r="AX124" s="59" t="s">
        <v>691</v>
      </c>
      <c r="AY124" s="59" t="s">
        <v>623</v>
      </c>
      <c r="AZ124" s="126">
        <v>30962</v>
      </c>
      <c r="BA124" s="60" t="s">
        <v>1656</v>
      </c>
      <c r="BB124" s="60" t="s">
        <v>845</v>
      </c>
      <c r="BC124" s="59" t="s">
        <v>700</v>
      </c>
      <c r="BD124" s="60"/>
      <c r="BE124" s="60"/>
      <c r="BF124" s="60"/>
      <c r="BG124" s="59" t="s">
        <v>1653</v>
      </c>
      <c r="BH124" s="60" t="s">
        <v>1654</v>
      </c>
      <c r="BI124" s="60" t="s">
        <v>1655</v>
      </c>
      <c r="BJ124" s="24" t="s">
        <v>1124</v>
      </c>
      <c r="BK124" s="59" t="s">
        <v>141</v>
      </c>
      <c r="BL124" s="59" t="s">
        <v>156</v>
      </c>
      <c r="BM124" s="24">
        <v>40624</v>
      </c>
      <c r="BN124" s="24"/>
      <c r="BO124" s="59" t="s">
        <v>719</v>
      </c>
      <c r="BP124" s="59"/>
      <c r="BQ124" s="77"/>
      <c r="BR124" s="60"/>
      <c r="BS124" s="60"/>
      <c r="BT124" s="59"/>
      <c r="BU124" s="60"/>
      <c r="BV124" s="60"/>
      <c r="BW124" s="59"/>
      <c r="BX124" s="60"/>
      <c r="BY124" s="60"/>
      <c r="BZ124" s="59"/>
      <c r="CA124" s="59"/>
      <c r="CB124" s="59"/>
      <c r="CC124" s="59"/>
      <c r="CD124" s="59"/>
      <c r="CE124" s="59" t="s">
        <v>7429</v>
      </c>
      <c r="CF124" s="60" t="s">
        <v>1654</v>
      </c>
      <c r="CG124" s="59" t="s">
        <v>7100</v>
      </c>
      <c r="CH124" s="59" t="s">
        <v>7050</v>
      </c>
      <c r="CI124" s="59" t="s">
        <v>90</v>
      </c>
      <c r="CJ124" s="59" t="s">
        <v>111</v>
      </c>
      <c r="CK124" s="47">
        <v>40624</v>
      </c>
      <c r="CL124" s="64" t="str">
        <f t="shared" ca="1" si="1"/>
        <v>15 Tahun 5 Bulan 21 Hari</v>
      </c>
      <c r="CM12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Komp.Permata Biru Blk F-2 N0.2 RT/RW 05/27 Desa/Kelurahan Cinunuk Kecamatan Cileunyi Bandung Jawa Barat 40624</v>
      </c>
    </row>
    <row r="125" spans="1:91" ht="24.95" customHeight="1">
      <c r="A125" s="58">
        <f>SUBTOTAL(3,N$8:Table2[[#This Row],[Nama lengkap]])</f>
        <v>118</v>
      </c>
      <c r="B125" s="58" t="s">
        <v>86</v>
      </c>
      <c r="C125" s="58">
        <v>2023</v>
      </c>
      <c r="D125" s="58"/>
      <c r="E125" s="58">
        <v>2</v>
      </c>
      <c r="F125" s="58" t="s">
        <v>1433</v>
      </c>
      <c r="G125" s="165" t="s">
        <v>9954</v>
      </c>
      <c r="H125" s="32"/>
      <c r="I125" s="32"/>
      <c r="J125" s="32"/>
      <c r="K125" s="32"/>
      <c r="L125" s="32"/>
      <c r="M125" s="58">
        <v>23240126</v>
      </c>
      <c r="N125" s="24" t="s">
        <v>5923</v>
      </c>
      <c r="O125" s="24"/>
      <c r="P125" s="25" t="s">
        <v>1657</v>
      </c>
      <c r="Q125" s="25" t="s">
        <v>1658</v>
      </c>
      <c r="R125" s="60" t="s">
        <v>90</v>
      </c>
      <c r="S125" s="61" t="s">
        <v>1659</v>
      </c>
      <c r="T125" s="47" t="s">
        <v>92</v>
      </c>
      <c r="U125" s="47"/>
      <c r="V125" s="47"/>
      <c r="W125" s="47" t="s">
        <v>207</v>
      </c>
      <c r="X125" s="59"/>
      <c r="Y125" s="59" t="s">
        <v>706</v>
      </c>
      <c r="Z125" s="59" t="s">
        <v>707</v>
      </c>
      <c r="AA125" s="59" t="s">
        <v>96</v>
      </c>
      <c r="AB125" s="59" t="s">
        <v>689</v>
      </c>
      <c r="AC125" s="59" t="s">
        <v>208</v>
      </c>
      <c r="AD125" s="59" t="s">
        <v>208</v>
      </c>
      <c r="AE125" s="60" t="s">
        <v>1660</v>
      </c>
      <c r="AF125" s="60" t="s">
        <v>8376</v>
      </c>
      <c r="AG125" s="59" t="s">
        <v>8376</v>
      </c>
      <c r="AH125" s="59" t="s">
        <v>691</v>
      </c>
      <c r="AI125" s="59" t="s">
        <v>90</v>
      </c>
      <c r="AJ125" s="61" t="s">
        <v>1661</v>
      </c>
      <c r="AK125" s="60" t="s">
        <v>1662</v>
      </c>
      <c r="AL125" s="60" t="s">
        <v>5261</v>
      </c>
      <c r="AM125" s="59" t="s">
        <v>700</v>
      </c>
      <c r="AN125" s="60"/>
      <c r="AO125" s="60"/>
      <c r="AP125" s="59" t="s">
        <v>1663</v>
      </c>
      <c r="AQ125" s="25" t="s">
        <v>213</v>
      </c>
      <c r="AR125" s="60" t="s">
        <v>1419</v>
      </c>
      <c r="AS125" s="59" t="s">
        <v>618</v>
      </c>
      <c r="AT125" s="59" t="s">
        <v>141</v>
      </c>
      <c r="AU125" s="59" t="s">
        <v>111</v>
      </c>
      <c r="AV125" s="62"/>
      <c r="AW125" s="59" t="s">
        <v>7892</v>
      </c>
      <c r="AX125" s="59" t="s">
        <v>691</v>
      </c>
      <c r="AY125" s="59" t="s">
        <v>90</v>
      </c>
      <c r="AZ125" s="126">
        <v>33664</v>
      </c>
      <c r="BA125" s="60" t="s">
        <v>1658</v>
      </c>
      <c r="BB125" s="60" t="s">
        <v>845</v>
      </c>
      <c r="BC125" s="59" t="s">
        <v>800</v>
      </c>
      <c r="BD125" s="60"/>
      <c r="BE125" s="60"/>
      <c r="BF125" s="60"/>
      <c r="BG125" s="59" t="s">
        <v>1663</v>
      </c>
      <c r="BH125" s="60" t="s">
        <v>213</v>
      </c>
      <c r="BI125" s="60" t="s">
        <v>1419</v>
      </c>
      <c r="BJ125" s="24" t="s">
        <v>618</v>
      </c>
      <c r="BK125" s="59" t="s">
        <v>141</v>
      </c>
      <c r="BL125" s="59" t="s">
        <v>156</v>
      </c>
      <c r="BM125" s="24" t="s">
        <v>1664</v>
      </c>
      <c r="BN125" s="24"/>
      <c r="BO125" s="59" t="s">
        <v>719</v>
      </c>
      <c r="BP125" s="59"/>
      <c r="BQ125" s="77"/>
      <c r="BR125" s="60"/>
      <c r="BS125" s="60"/>
      <c r="BT125" s="59"/>
      <c r="BU125" s="60"/>
      <c r="BV125" s="60"/>
      <c r="BW125" s="59"/>
      <c r="BX125" s="60"/>
      <c r="BY125" s="60"/>
      <c r="BZ125" s="59"/>
      <c r="CA125" s="59"/>
      <c r="CB125" s="59"/>
      <c r="CC125" s="59"/>
      <c r="CD125" s="59"/>
      <c r="CE125" s="59" t="s">
        <v>7430</v>
      </c>
      <c r="CF125" s="60" t="s">
        <v>213</v>
      </c>
      <c r="CG125" s="59" t="s">
        <v>7076</v>
      </c>
      <c r="CH125" s="59" t="s">
        <v>507</v>
      </c>
      <c r="CI125" s="59" t="s">
        <v>90</v>
      </c>
      <c r="CJ125" s="59" t="s">
        <v>111</v>
      </c>
      <c r="CK125" s="47"/>
      <c r="CL125" s="64" t="str">
        <f t="shared" ca="1" si="1"/>
        <v>15 Tahun 0 Bulan 14 Hari</v>
      </c>
      <c r="CM12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Ciparingga RT/RW 01/14 Desa/Kelurahan Sindangpanon Kecamatan Banjaran Bandung Jawa Barat </v>
      </c>
    </row>
    <row r="126" spans="1:91" ht="24.95" customHeight="1">
      <c r="A126" s="58">
        <f>SUBTOTAL(3,N$8:Table2[[#This Row],[Nama lengkap]])</f>
        <v>119</v>
      </c>
      <c r="B126" s="58" t="s">
        <v>86</v>
      </c>
      <c r="C126" s="58">
        <v>2023</v>
      </c>
      <c r="D126" s="58"/>
      <c r="E126" s="58">
        <v>2</v>
      </c>
      <c r="F126" s="58" t="s">
        <v>1433</v>
      </c>
      <c r="G126" s="32" t="s">
        <v>2513</v>
      </c>
      <c r="H126" s="32" t="s">
        <v>2513</v>
      </c>
      <c r="I126" s="32" t="s">
        <v>2513</v>
      </c>
      <c r="J126" s="32"/>
      <c r="K126" s="32"/>
      <c r="L126" s="32"/>
      <c r="M126" s="58">
        <v>23240100</v>
      </c>
      <c r="N126" s="24" t="s">
        <v>8766</v>
      </c>
      <c r="O126" s="24"/>
      <c r="P126" s="25" t="s">
        <v>1665</v>
      </c>
      <c r="Q126" s="25" t="s">
        <v>1666</v>
      </c>
      <c r="R126" s="60" t="s">
        <v>236</v>
      </c>
      <c r="S126" s="61" t="s">
        <v>1667</v>
      </c>
      <c r="T126" s="47" t="s">
        <v>92</v>
      </c>
      <c r="U126" s="47">
        <v>3</v>
      </c>
      <c r="V126" s="47">
        <v>4</v>
      </c>
      <c r="W126" s="47" t="s">
        <v>207</v>
      </c>
      <c r="X126" s="59"/>
      <c r="Y126" s="59" t="s">
        <v>775</v>
      </c>
      <c r="Z126" s="59" t="s">
        <v>707</v>
      </c>
      <c r="AA126" s="59" t="s">
        <v>96</v>
      </c>
      <c r="AB126" s="59" t="s">
        <v>689</v>
      </c>
      <c r="AC126" s="59" t="s">
        <v>208</v>
      </c>
      <c r="AD126" s="59" t="s">
        <v>208</v>
      </c>
      <c r="AE126" s="60" t="s">
        <v>1668</v>
      </c>
      <c r="AF126" s="60" t="s">
        <v>8377</v>
      </c>
      <c r="AG126" s="59" t="s">
        <v>8377</v>
      </c>
      <c r="AH126" s="59" t="s">
        <v>691</v>
      </c>
      <c r="AI126" s="59" t="s">
        <v>236</v>
      </c>
      <c r="AJ126" s="61">
        <v>29037</v>
      </c>
      <c r="AK126" s="60" t="s">
        <v>1669</v>
      </c>
      <c r="AL126" s="60" t="s">
        <v>914</v>
      </c>
      <c r="AM126" s="59" t="s">
        <v>693</v>
      </c>
      <c r="AN126" s="60"/>
      <c r="AO126" s="60"/>
      <c r="AP126" s="59" t="s">
        <v>1670</v>
      </c>
      <c r="AQ126" s="25" t="s">
        <v>1052</v>
      </c>
      <c r="AR126" s="60" t="s">
        <v>1671</v>
      </c>
      <c r="AS126" s="59" t="s">
        <v>1672</v>
      </c>
      <c r="AT126" s="59" t="s">
        <v>1673</v>
      </c>
      <c r="AU126" s="59" t="s">
        <v>111</v>
      </c>
      <c r="AV126" s="62">
        <v>41373</v>
      </c>
      <c r="AW126" s="59" t="s">
        <v>7893</v>
      </c>
      <c r="AX126" s="59" t="s">
        <v>691</v>
      </c>
      <c r="AY126" s="59" t="s">
        <v>236</v>
      </c>
      <c r="AZ126" s="126">
        <v>31996</v>
      </c>
      <c r="BA126" s="60" t="s">
        <v>1674</v>
      </c>
      <c r="BB126" s="60" t="s">
        <v>845</v>
      </c>
      <c r="BC126" s="59" t="s">
        <v>693</v>
      </c>
      <c r="BD126" s="60"/>
      <c r="BE126" s="60"/>
      <c r="BF126" s="60"/>
      <c r="BG126" s="59" t="s">
        <v>1670</v>
      </c>
      <c r="BH126" s="60" t="s">
        <v>1052</v>
      </c>
      <c r="BI126" s="60" t="s">
        <v>1671</v>
      </c>
      <c r="BJ126" s="24" t="s">
        <v>1672</v>
      </c>
      <c r="BK126" s="59" t="s">
        <v>1673</v>
      </c>
      <c r="BL126" s="59" t="s">
        <v>156</v>
      </c>
      <c r="BM126" s="24">
        <v>41373</v>
      </c>
      <c r="BN126" s="24"/>
      <c r="BO126" s="59" t="s">
        <v>719</v>
      </c>
      <c r="BP126" s="59"/>
      <c r="BQ126" s="77"/>
      <c r="BR126" s="60"/>
      <c r="BS126" s="60"/>
      <c r="BT126" s="59"/>
      <c r="BU126" s="60"/>
      <c r="BV126" s="60"/>
      <c r="BW126" s="59"/>
      <c r="BX126" s="60"/>
      <c r="BY126" s="60"/>
      <c r="BZ126" s="59"/>
      <c r="CA126" s="59"/>
      <c r="CB126" s="59"/>
      <c r="CC126" s="59"/>
      <c r="CD126" s="59"/>
      <c r="CE126" s="59" t="s">
        <v>7431</v>
      </c>
      <c r="CF126" s="60" t="s">
        <v>1052</v>
      </c>
      <c r="CG126" s="59" t="s">
        <v>133</v>
      </c>
      <c r="CH126" s="59" t="s">
        <v>7101</v>
      </c>
      <c r="CI126" s="59" t="s">
        <v>492</v>
      </c>
      <c r="CJ126" s="59" t="s">
        <v>111</v>
      </c>
      <c r="CK126" s="47">
        <v>41373</v>
      </c>
      <c r="CL126" s="64" t="str">
        <f t="shared" ca="1" si="1"/>
        <v>15 Tahun 2 Bulan 11 Hari</v>
      </c>
      <c r="CM12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Karajan RT/RW 04/02 Desa/Kelurahan Mekarjaya Kecamatan Purwasari Karawang Jawa Barat 41373</v>
      </c>
    </row>
    <row r="127" spans="1:91" ht="24.95" customHeight="1">
      <c r="A127" s="58">
        <f>SUBTOTAL(3,N$8:Table2[[#This Row],[Nama lengkap]])</f>
        <v>120</v>
      </c>
      <c r="B127" s="58" t="s">
        <v>86</v>
      </c>
      <c r="C127" s="58">
        <v>2023</v>
      </c>
      <c r="D127" s="58"/>
      <c r="E127" s="58">
        <v>2</v>
      </c>
      <c r="F127" s="58" t="s">
        <v>1433</v>
      </c>
      <c r="G127" s="165" t="s">
        <v>2513</v>
      </c>
      <c r="H127" s="32"/>
      <c r="I127" s="32"/>
      <c r="J127" s="32" t="s">
        <v>2513</v>
      </c>
      <c r="K127" s="32"/>
      <c r="L127" s="32"/>
      <c r="M127" s="58">
        <v>23240044</v>
      </c>
      <c r="N127" s="24" t="s">
        <v>5925</v>
      </c>
      <c r="O127" s="24"/>
      <c r="P127" s="25" t="s">
        <v>9944</v>
      </c>
      <c r="Q127" s="25" t="s">
        <v>1675</v>
      </c>
      <c r="R127" s="60" t="s">
        <v>90</v>
      </c>
      <c r="S127" s="61" t="s">
        <v>1676</v>
      </c>
      <c r="T127" s="47" t="s">
        <v>92</v>
      </c>
      <c r="U127" s="47">
        <v>2</v>
      </c>
      <c r="V127" s="47">
        <v>2</v>
      </c>
      <c r="W127" s="47" t="s">
        <v>207</v>
      </c>
      <c r="X127" s="59"/>
      <c r="Y127" s="59" t="s">
        <v>1524</v>
      </c>
      <c r="Z127" s="59" t="s">
        <v>1168</v>
      </c>
      <c r="AA127" s="59" t="s">
        <v>96</v>
      </c>
      <c r="AB127" s="59" t="s">
        <v>689</v>
      </c>
      <c r="AC127" s="59" t="s">
        <v>208</v>
      </c>
      <c r="AD127" s="59" t="s">
        <v>208</v>
      </c>
      <c r="AE127" s="60" t="s">
        <v>1677</v>
      </c>
      <c r="AF127" s="60" t="s">
        <v>8378</v>
      </c>
      <c r="AG127" s="59" t="s">
        <v>8379</v>
      </c>
      <c r="AH127" s="59" t="s">
        <v>778</v>
      </c>
      <c r="AI127" s="59" t="s">
        <v>90</v>
      </c>
      <c r="AJ127" s="61">
        <v>30181</v>
      </c>
      <c r="AK127" s="60" t="s">
        <v>1678</v>
      </c>
      <c r="AL127" s="60" t="s">
        <v>602</v>
      </c>
      <c r="AM127" s="59" t="s">
        <v>700</v>
      </c>
      <c r="AN127" s="60"/>
      <c r="AO127" s="60"/>
      <c r="AP127" s="59" t="s">
        <v>1679</v>
      </c>
      <c r="AQ127" s="25" t="s">
        <v>1076</v>
      </c>
      <c r="AR127" s="60" t="s">
        <v>1680</v>
      </c>
      <c r="AS127" s="59" t="s">
        <v>1681</v>
      </c>
      <c r="AT127" s="59" t="s">
        <v>1682</v>
      </c>
      <c r="AU127" s="59" t="s">
        <v>111</v>
      </c>
      <c r="AV127" s="62"/>
      <c r="AW127" s="59" t="s">
        <v>7894</v>
      </c>
      <c r="AX127" s="59" t="s">
        <v>691</v>
      </c>
      <c r="AY127" s="59" t="s">
        <v>90</v>
      </c>
      <c r="AZ127" s="126">
        <v>30904</v>
      </c>
      <c r="BA127" s="60" t="s">
        <v>1683</v>
      </c>
      <c r="BB127" s="60" t="s">
        <v>845</v>
      </c>
      <c r="BC127" s="59" t="s">
        <v>800</v>
      </c>
      <c r="BD127" s="60"/>
      <c r="BE127" s="60"/>
      <c r="BF127" s="60"/>
      <c r="BG127" s="59" t="s">
        <v>1684</v>
      </c>
      <c r="BH127" s="60" t="s">
        <v>262</v>
      </c>
      <c r="BI127" s="60" t="s">
        <v>263</v>
      </c>
      <c r="BJ127" s="24" t="s">
        <v>263</v>
      </c>
      <c r="BK127" s="59" t="s">
        <v>141</v>
      </c>
      <c r="BL127" s="59" t="s">
        <v>156</v>
      </c>
      <c r="BM127" s="24">
        <v>40223</v>
      </c>
      <c r="BN127" s="24"/>
      <c r="BO127" s="59" t="s">
        <v>719</v>
      </c>
      <c r="BP127" s="59"/>
      <c r="BQ127" s="77"/>
      <c r="BR127" s="60"/>
      <c r="BS127" s="60"/>
      <c r="BT127" s="59"/>
      <c r="BU127" s="60"/>
      <c r="BV127" s="60"/>
      <c r="BW127" s="59"/>
      <c r="BX127" s="60"/>
      <c r="BY127" s="60"/>
      <c r="BZ127" s="59"/>
      <c r="CA127" s="59"/>
      <c r="CB127" s="59"/>
      <c r="CC127" s="59"/>
      <c r="CD127" s="59"/>
      <c r="CE127" s="59" t="s">
        <v>1684</v>
      </c>
      <c r="CF127" s="60" t="s">
        <v>262</v>
      </c>
      <c r="CG127" s="59" t="s">
        <v>263</v>
      </c>
      <c r="CH127" s="59" t="s">
        <v>263</v>
      </c>
      <c r="CI127" s="59" t="s">
        <v>644</v>
      </c>
      <c r="CJ127" s="59" t="s">
        <v>156</v>
      </c>
      <c r="CK127" s="47">
        <v>40223</v>
      </c>
      <c r="CL127" s="64" t="str">
        <f t="shared" ca="1" si="1"/>
        <v>15 Tahun 6 Bulan 8 Hari</v>
      </c>
      <c r="CM12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JL.CARINGIN GG.LUMBUNG IV RT/RW 03/05 Desa/Kelurahan BABAKAN CIPARAY Kecamatan BABAKAN CIPARAY Kota Bandung JAWA BARAT 40223</v>
      </c>
    </row>
    <row r="128" spans="1:91" ht="24.95" customHeight="1">
      <c r="A128" s="58">
        <f>SUBTOTAL(3,N$8:Table2[[#This Row],[Nama lengkap]])</f>
        <v>121</v>
      </c>
      <c r="B128" s="58" t="s">
        <v>86</v>
      </c>
      <c r="C128" s="58">
        <v>2022</v>
      </c>
      <c r="D128" s="58"/>
      <c r="E128" s="58">
        <v>2</v>
      </c>
      <c r="F128" s="58" t="s">
        <v>1433</v>
      </c>
      <c r="G128" s="32" t="s">
        <v>2513</v>
      </c>
      <c r="H128" s="32" t="s">
        <v>2513</v>
      </c>
      <c r="I128" s="32" t="s">
        <v>2513</v>
      </c>
      <c r="J128" s="32"/>
      <c r="K128" s="32"/>
      <c r="L128" s="32"/>
      <c r="M128" s="84">
        <v>22230149</v>
      </c>
      <c r="N128" s="24" t="s">
        <v>5926</v>
      </c>
      <c r="O128" s="24"/>
      <c r="P128" s="25" t="s">
        <v>9929</v>
      </c>
      <c r="Q128" s="25" t="s">
        <v>1685</v>
      </c>
      <c r="R128" s="60" t="s">
        <v>122</v>
      </c>
      <c r="S128" s="61" t="s">
        <v>1686</v>
      </c>
      <c r="T128" s="47" t="s">
        <v>92</v>
      </c>
      <c r="U128" s="47">
        <v>2</v>
      </c>
      <c r="V128" s="47">
        <v>3</v>
      </c>
      <c r="W128" s="47" t="s">
        <v>207</v>
      </c>
      <c r="X128" s="59" t="s">
        <v>93</v>
      </c>
      <c r="Y128" s="59" t="s">
        <v>1687</v>
      </c>
      <c r="Z128" s="59" t="s">
        <v>1688</v>
      </c>
      <c r="AA128" s="59" t="s">
        <v>96</v>
      </c>
      <c r="AB128" s="59" t="s">
        <v>689</v>
      </c>
      <c r="AC128" s="59" t="s">
        <v>208</v>
      </c>
      <c r="AD128" s="59" t="s">
        <v>208</v>
      </c>
      <c r="AE128" s="60" t="s">
        <v>1689</v>
      </c>
      <c r="AF128" s="60" t="s">
        <v>8380</v>
      </c>
      <c r="AG128" s="59" t="s">
        <v>8380</v>
      </c>
      <c r="AH128" s="59" t="s">
        <v>691</v>
      </c>
      <c r="AI128" s="59" t="s">
        <v>122</v>
      </c>
      <c r="AJ128" s="61">
        <v>27904</v>
      </c>
      <c r="AK128" s="60" t="s">
        <v>1690</v>
      </c>
      <c r="AL128" s="60" t="s">
        <v>114</v>
      </c>
      <c r="AM128" s="59" t="s">
        <v>800</v>
      </c>
      <c r="AN128" s="60"/>
      <c r="AO128" s="60"/>
      <c r="AP128" s="59" t="s">
        <v>1691</v>
      </c>
      <c r="AQ128" s="25" t="s">
        <v>521</v>
      </c>
      <c r="AR128" s="60" t="s">
        <v>1692</v>
      </c>
      <c r="AS128" s="59" t="s">
        <v>1324</v>
      </c>
      <c r="AT128" s="59" t="s">
        <v>1090</v>
      </c>
      <c r="AU128" s="59" t="s">
        <v>111</v>
      </c>
      <c r="AV128" s="62"/>
      <c r="AW128" s="59" t="s">
        <v>7895</v>
      </c>
      <c r="AX128" s="59" t="s">
        <v>691</v>
      </c>
      <c r="AY128" s="59" t="s">
        <v>6475</v>
      </c>
      <c r="AZ128" s="126" t="s">
        <v>1694</v>
      </c>
      <c r="BA128" s="60" t="s">
        <v>1695</v>
      </c>
      <c r="BB128" s="60" t="s">
        <v>845</v>
      </c>
      <c r="BC128" s="59" t="s">
        <v>700</v>
      </c>
      <c r="BD128" s="60" t="s">
        <v>1696</v>
      </c>
      <c r="BE128" s="60"/>
      <c r="BF128" s="60"/>
      <c r="BG128" s="59" t="s">
        <v>1691</v>
      </c>
      <c r="BH128" s="60" t="s">
        <v>521</v>
      </c>
      <c r="BI128" s="60" t="s">
        <v>1692</v>
      </c>
      <c r="BJ128" s="24" t="s">
        <v>1324</v>
      </c>
      <c r="BK128" s="59" t="s">
        <v>1090</v>
      </c>
      <c r="BL128" s="59" t="s">
        <v>156</v>
      </c>
      <c r="BM128" s="62"/>
      <c r="BN128" s="62"/>
      <c r="BO128" s="59" t="s">
        <v>719</v>
      </c>
      <c r="BP128" s="59"/>
      <c r="BQ128" s="77"/>
      <c r="BR128" s="60"/>
      <c r="BS128" s="60"/>
      <c r="BT128" s="59"/>
      <c r="BU128" s="60"/>
      <c r="BV128" s="60"/>
      <c r="BW128" s="59"/>
      <c r="BX128" s="60"/>
      <c r="BY128" s="60"/>
      <c r="BZ128" s="59"/>
      <c r="CA128" s="59"/>
      <c r="CB128" s="59"/>
      <c r="CC128" s="59"/>
      <c r="CD128" s="59"/>
      <c r="CE128" s="59" t="s">
        <v>7432</v>
      </c>
      <c r="CF128" s="60" t="s">
        <v>521</v>
      </c>
      <c r="CG128" s="59" t="s">
        <v>7103</v>
      </c>
      <c r="CH128" s="59" t="s">
        <v>134</v>
      </c>
      <c r="CI128" s="59" t="s">
        <v>122</v>
      </c>
      <c r="CJ128" s="59" t="s">
        <v>111</v>
      </c>
      <c r="CK128" s="47"/>
      <c r="CL128" s="64" t="str">
        <f t="shared" ca="1" si="1"/>
        <v>16 Tahun 1 Bulan 29 Hari</v>
      </c>
      <c r="CM12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Lingk. Talun Kidul RT/RW 02/05 Desa/Kelurahan Talun Kecamatan Sumedang Utara Sumedang Jawa Barat </v>
      </c>
    </row>
    <row r="129" spans="1:91" ht="24.95" customHeight="1">
      <c r="A129" s="58">
        <f>SUBTOTAL(3,N$8:Table2[[#This Row],[Nama lengkap]])</f>
        <v>122</v>
      </c>
      <c r="B129" s="58" t="s">
        <v>86</v>
      </c>
      <c r="C129" s="58">
        <v>2022</v>
      </c>
      <c r="D129" s="58"/>
      <c r="E129" s="58">
        <v>2</v>
      </c>
      <c r="F129" s="58" t="s">
        <v>1433</v>
      </c>
      <c r="G129" s="32" t="s">
        <v>2513</v>
      </c>
      <c r="H129" s="32" t="s">
        <v>2513</v>
      </c>
      <c r="I129" s="32" t="s">
        <v>2513</v>
      </c>
      <c r="J129" s="32"/>
      <c r="K129" s="32"/>
      <c r="L129" s="32"/>
      <c r="M129" s="58">
        <v>22230164</v>
      </c>
      <c r="N129" s="24" t="s">
        <v>8767</v>
      </c>
      <c r="O129" s="24"/>
      <c r="P129" s="25" t="s">
        <v>1697</v>
      </c>
      <c r="Q129" s="25" t="s">
        <v>1698</v>
      </c>
      <c r="R129" s="60" t="s">
        <v>90</v>
      </c>
      <c r="S129" s="61" t="s">
        <v>1699</v>
      </c>
      <c r="T129" s="47" t="s">
        <v>92</v>
      </c>
      <c r="U129" s="47">
        <v>4</v>
      </c>
      <c r="V129" s="47">
        <v>5</v>
      </c>
      <c r="W129" s="47" t="s">
        <v>207</v>
      </c>
      <c r="X129" s="59" t="s">
        <v>123</v>
      </c>
      <c r="Y129" s="59" t="s">
        <v>793</v>
      </c>
      <c r="Z129" s="59" t="s">
        <v>707</v>
      </c>
      <c r="AA129" s="59" t="s">
        <v>96</v>
      </c>
      <c r="AB129" s="59" t="s">
        <v>689</v>
      </c>
      <c r="AC129" s="59" t="s">
        <v>208</v>
      </c>
      <c r="AD129" s="59" t="s">
        <v>208</v>
      </c>
      <c r="AE129" s="60" t="s">
        <v>1700</v>
      </c>
      <c r="AF129" s="60" t="s">
        <v>8381</v>
      </c>
      <c r="AG129" s="59" t="s">
        <v>8381</v>
      </c>
      <c r="AH129" s="59" t="s">
        <v>1153</v>
      </c>
      <c r="AI129" s="59" t="s">
        <v>122</v>
      </c>
      <c r="AJ129" s="61">
        <v>28732</v>
      </c>
      <c r="AK129" s="60" t="s">
        <v>1701</v>
      </c>
      <c r="AL129" s="60" t="s">
        <v>114</v>
      </c>
      <c r="AM129" s="59" t="s">
        <v>1702</v>
      </c>
      <c r="AN129" s="60"/>
      <c r="AO129" s="60"/>
      <c r="AP129" s="59" t="s">
        <v>1703</v>
      </c>
      <c r="AQ129" s="25" t="s">
        <v>1418</v>
      </c>
      <c r="AR129" s="60" t="s">
        <v>1704</v>
      </c>
      <c r="AS129" s="59" t="s">
        <v>1705</v>
      </c>
      <c r="AT129" s="59" t="s">
        <v>1706</v>
      </c>
      <c r="AU129" s="59" t="s">
        <v>111</v>
      </c>
      <c r="AV129" s="62"/>
      <c r="AW129" s="59" t="s">
        <v>1707</v>
      </c>
      <c r="AX129" s="59" t="s">
        <v>1153</v>
      </c>
      <c r="AY129" s="59"/>
      <c r="AZ129" s="126"/>
      <c r="BA129" s="60"/>
      <c r="BB129" s="60"/>
      <c r="BC129" s="59"/>
      <c r="BD129" s="60"/>
      <c r="BE129" s="60"/>
      <c r="BF129" s="60"/>
      <c r="BG129" s="59"/>
      <c r="BH129" s="60"/>
      <c r="BI129" s="60"/>
      <c r="BJ129" s="24"/>
      <c r="BK129" s="59"/>
      <c r="BL129" s="59"/>
      <c r="BM129" s="62"/>
      <c r="BN129" s="62"/>
      <c r="BO129" s="59" t="s">
        <v>719</v>
      </c>
      <c r="BP129" s="59"/>
      <c r="BQ129" s="77"/>
      <c r="BR129" s="60"/>
      <c r="BS129" s="60"/>
      <c r="BT129" s="59"/>
      <c r="BU129" s="60"/>
      <c r="BV129" s="60"/>
      <c r="BW129" s="59"/>
      <c r="BX129" s="60"/>
      <c r="BY129" s="60"/>
      <c r="BZ129" s="59"/>
      <c r="CA129" s="59"/>
      <c r="CB129" s="59"/>
      <c r="CC129" s="59"/>
      <c r="CD129" s="59"/>
      <c r="CE129" s="59" t="s">
        <v>7433</v>
      </c>
      <c r="CF129" s="60" t="s">
        <v>1418</v>
      </c>
      <c r="CG129" s="59" t="s">
        <v>7104</v>
      </c>
      <c r="CH129" s="59" t="s">
        <v>7105</v>
      </c>
      <c r="CI129" s="59" t="s">
        <v>644</v>
      </c>
      <c r="CJ129" s="59" t="s">
        <v>111</v>
      </c>
      <c r="CK129" s="47"/>
      <c r="CL129" s="64" t="str">
        <f t="shared" ca="1" si="1"/>
        <v>16 Tahun 4 Bulan 8 Hari</v>
      </c>
      <c r="CM12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Pasar Sindanglaya RT/RW 02/01 Desa/Kelurahan Cisaranten Bina Harapan Kecamatan Arcamanik Kota Bandung Jawa Barat </v>
      </c>
    </row>
    <row r="130" spans="1:91" ht="24.95" customHeight="1">
      <c r="A130" s="58">
        <f>SUBTOTAL(3,N$8:Table2[[#This Row],[Nama lengkap]])</f>
        <v>123</v>
      </c>
      <c r="B130" s="58" t="s">
        <v>86</v>
      </c>
      <c r="C130" s="58">
        <v>2023</v>
      </c>
      <c r="D130" s="58"/>
      <c r="E130" s="58">
        <v>2</v>
      </c>
      <c r="F130" s="58" t="s">
        <v>1433</v>
      </c>
      <c r="G130" s="32" t="s">
        <v>2513</v>
      </c>
      <c r="H130" s="32" t="s">
        <v>2513</v>
      </c>
      <c r="I130" s="32" t="s">
        <v>2513</v>
      </c>
      <c r="J130" s="32"/>
      <c r="K130" s="32"/>
      <c r="L130" s="32"/>
      <c r="M130" s="58">
        <v>23240091</v>
      </c>
      <c r="N130" s="24" t="s">
        <v>8768</v>
      </c>
      <c r="O130" s="24"/>
      <c r="P130" s="25" t="s">
        <v>9930</v>
      </c>
      <c r="Q130" s="25" t="s">
        <v>1709</v>
      </c>
      <c r="R130" s="60" t="s">
        <v>236</v>
      </c>
      <c r="S130" s="61" t="s">
        <v>1710</v>
      </c>
      <c r="T130" s="47" t="s">
        <v>92</v>
      </c>
      <c r="U130" s="47">
        <v>3</v>
      </c>
      <c r="V130" s="47">
        <v>4</v>
      </c>
      <c r="W130" s="47" t="s">
        <v>207</v>
      </c>
      <c r="X130" s="59" t="s">
        <v>432</v>
      </c>
      <c r="Y130" s="59" t="s">
        <v>1711</v>
      </c>
      <c r="Z130" s="59" t="s">
        <v>1712</v>
      </c>
      <c r="AA130" s="59" t="s">
        <v>1028</v>
      </c>
      <c r="AB130" s="59" t="s">
        <v>1151</v>
      </c>
      <c r="AC130" s="59" t="s">
        <v>208</v>
      </c>
      <c r="AD130" s="59" t="s">
        <v>208</v>
      </c>
      <c r="AE130" s="60" t="s">
        <v>1713</v>
      </c>
      <c r="AF130" s="60" t="s">
        <v>193</v>
      </c>
      <c r="AG130" s="59" t="s">
        <v>193</v>
      </c>
      <c r="AH130" s="59" t="s">
        <v>1071</v>
      </c>
      <c r="AI130" s="59" t="s">
        <v>236</v>
      </c>
      <c r="AJ130" s="61" t="s">
        <v>1714</v>
      </c>
      <c r="AK130" s="60" t="s">
        <v>1715</v>
      </c>
      <c r="AL130" s="60" t="s">
        <v>114</v>
      </c>
      <c r="AM130" s="59" t="s">
        <v>800</v>
      </c>
      <c r="AN130" s="60"/>
      <c r="AO130" s="60"/>
      <c r="AP130" s="59" t="s">
        <v>1716</v>
      </c>
      <c r="AQ130" s="25" t="s">
        <v>1369</v>
      </c>
      <c r="AR130" s="60" t="s">
        <v>1717</v>
      </c>
      <c r="AS130" s="59" t="s">
        <v>1718</v>
      </c>
      <c r="AT130" s="59" t="s">
        <v>512</v>
      </c>
      <c r="AU130" s="59" t="s">
        <v>111</v>
      </c>
      <c r="AV130" s="62">
        <v>44151</v>
      </c>
      <c r="AW130" s="59" t="s">
        <v>7896</v>
      </c>
      <c r="AX130" s="59" t="s">
        <v>691</v>
      </c>
      <c r="AY130" s="59" t="s">
        <v>7790</v>
      </c>
      <c r="AZ130" s="126" t="s">
        <v>1719</v>
      </c>
      <c r="BA130" s="60" t="s">
        <v>1720</v>
      </c>
      <c r="BB130" s="60" t="s">
        <v>7772</v>
      </c>
      <c r="BC130" s="59" t="s">
        <v>1721</v>
      </c>
      <c r="BD130" s="60"/>
      <c r="BE130" s="60"/>
      <c r="BF130" s="60"/>
      <c r="BG130" s="59" t="s">
        <v>1716</v>
      </c>
      <c r="BH130" s="60" t="s">
        <v>1369</v>
      </c>
      <c r="BI130" s="60" t="s">
        <v>1717</v>
      </c>
      <c r="BJ130" s="24" t="s">
        <v>1718</v>
      </c>
      <c r="BK130" s="59" t="s">
        <v>512</v>
      </c>
      <c r="BL130" s="59" t="s">
        <v>156</v>
      </c>
      <c r="BM130" s="24">
        <v>44151</v>
      </c>
      <c r="BN130" s="24"/>
      <c r="BO130" s="59" t="s">
        <v>719</v>
      </c>
      <c r="BP130" s="59"/>
      <c r="BQ130" s="77"/>
      <c r="BR130" s="60"/>
      <c r="BS130" s="60"/>
      <c r="BT130" s="59"/>
      <c r="BU130" s="60"/>
      <c r="BV130" s="60"/>
      <c r="BW130" s="59"/>
      <c r="BX130" s="60"/>
      <c r="BY130" s="60"/>
      <c r="BZ130" s="59"/>
      <c r="CA130" s="59"/>
      <c r="CB130" s="59"/>
      <c r="CC130" s="59"/>
      <c r="CD130" s="59"/>
      <c r="CE130" s="59" t="s">
        <v>7434</v>
      </c>
      <c r="CF130" s="60" t="s">
        <v>1369</v>
      </c>
      <c r="CG130" s="59" t="s">
        <v>7106</v>
      </c>
      <c r="CH130" s="59" t="s">
        <v>7107</v>
      </c>
      <c r="CI130" s="59" t="s">
        <v>236</v>
      </c>
      <c r="CJ130" s="59" t="s">
        <v>111</v>
      </c>
      <c r="CK130" s="47">
        <v>44151</v>
      </c>
      <c r="CL130" s="64" t="str">
        <f t="shared" ca="1" si="1"/>
        <v>18 Tahun 2 Bulan 28 Hari</v>
      </c>
      <c r="CM13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Dirgahayu RT/RW 02/02 Desa/Kelurahan Sukakarya Kecamatan Tarogong Kidul Garut Jawa Barat 44151</v>
      </c>
    </row>
    <row r="131" spans="1:91" ht="24.95" customHeight="1">
      <c r="A131" s="58">
        <f>SUBTOTAL(3,N$8:Table2[[#This Row],[Nama lengkap]])</f>
        <v>124</v>
      </c>
      <c r="B131" s="58" t="s">
        <v>86</v>
      </c>
      <c r="C131" s="58">
        <v>2023</v>
      </c>
      <c r="D131" s="58"/>
      <c r="E131" s="58">
        <v>2</v>
      </c>
      <c r="F131" s="58" t="s">
        <v>1433</v>
      </c>
      <c r="G131" s="32" t="s">
        <v>2513</v>
      </c>
      <c r="H131" s="32" t="s">
        <v>2513</v>
      </c>
      <c r="I131" s="32" t="s">
        <v>2513</v>
      </c>
      <c r="J131" s="32"/>
      <c r="K131" s="32"/>
      <c r="L131" s="32"/>
      <c r="M131" s="58">
        <v>23240022</v>
      </c>
      <c r="N131" s="24" t="s">
        <v>5929</v>
      </c>
      <c r="O131" s="24"/>
      <c r="P131" s="25" t="s">
        <v>1722</v>
      </c>
      <c r="Q131" s="25" t="s">
        <v>1723</v>
      </c>
      <c r="R131" s="60" t="s">
        <v>456</v>
      </c>
      <c r="S131" s="61" t="s">
        <v>1724</v>
      </c>
      <c r="T131" s="47" t="s">
        <v>92</v>
      </c>
      <c r="U131" s="47">
        <v>1</v>
      </c>
      <c r="V131" s="47">
        <v>1</v>
      </c>
      <c r="W131" s="47" t="s">
        <v>207</v>
      </c>
      <c r="X131" s="59" t="s">
        <v>123</v>
      </c>
      <c r="Y131" s="59" t="s">
        <v>1012</v>
      </c>
      <c r="Z131" s="59" t="s">
        <v>1168</v>
      </c>
      <c r="AA131" s="59" t="s">
        <v>96</v>
      </c>
      <c r="AB131" s="59" t="s">
        <v>689</v>
      </c>
      <c r="AC131" s="59" t="s">
        <v>208</v>
      </c>
      <c r="AD131" s="59" t="s">
        <v>208</v>
      </c>
      <c r="AE131" s="60" t="s">
        <v>1725</v>
      </c>
      <c r="AF131" s="60" t="s">
        <v>8382</v>
      </c>
      <c r="AG131" s="59" t="s">
        <v>8382</v>
      </c>
      <c r="AH131" s="59" t="s">
        <v>691</v>
      </c>
      <c r="AI131" s="59" t="s">
        <v>90</v>
      </c>
      <c r="AJ131" s="61" t="s">
        <v>1726</v>
      </c>
      <c r="AK131" s="60" t="s">
        <v>1727</v>
      </c>
      <c r="AL131" s="60" t="s">
        <v>8251</v>
      </c>
      <c r="AM131" s="59" t="s">
        <v>1728</v>
      </c>
      <c r="AN131" s="60"/>
      <c r="AO131" s="60"/>
      <c r="AP131" s="59" t="s">
        <v>1729</v>
      </c>
      <c r="AQ131" s="25" t="s">
        <v>1254</v>
      </c>
      <c r="AR131" s="60" t="s">
        <v>1730</v>
      </c>
      <c r="AS131" s="59" t="s">
        <v>1731</v>
      </c>
      <c r="AT131" s="59" t="s">
        <v>1165</v>
      </c>
      <c r="AU131" s="59" t="s">
        <v>111</v>
      </c>
      <c r="AV131" s="62">
        <v>40514</v>
      </c>
      <c r="AW131" s="59" t="s">
        <v>7897</v>
      </c>
      <c r="AX131" s="59" t="s">
        <v>691</v>
      </c>
      <c r="AY131" s="59" t="s">
        <v>236</v>
      </c>
      <c r="AZ131" s="126" t="s">
        <v>1732</v>
      </c>
      <c r="BA131" s="60" t="s">
        <v>1733</v>
      </c>
      <c r="BB131" s="60" t="s">
        <v>602</v>
      </c>
      <c r="BC131" s="59" t="s">
        <v>700</v>
      </c>
      <c r="BD131" s="60"/>
      <c r="BE131" s="60"/>
      <c r="BF131" s="60"/>
      <c r="BG131" s="59" t="s">
        <v>1729</v>
      </c>
      <c r="BH131" s="60" t="s">
        <v>1254</v>
      </c>
      <c r="BI131" s="60" t="s">
        <v>1730</v>
      </c>
      <c r="BJ131" s="24" t="s">
        <v>1731</v>
      </c>
      <c r="BK131" s="59" t="s">
        <v>1165</v>
      </c>
      <c r="BL131" s="59" t="s">
        <v>156</v>
      </c>
      <c r="BM131" s="24">
        <v>40514</v>
      </c>
      <c r="BN131" s="24"/>
      <c r="BO131" s="59" t="s">
        <v>719</v>
      </c>
      <c r="BP131" s="59"/>
      <c r="BQ131" s="77"/>
      <c r="BR131" s="60"/>
      <c r="BS131" s="60"/>
      <c r="BT131" s="59"/>
      <c r="BU131" s="60"/>
      <c r="BV131" s="60"/>
      <c r="BW131" s="59"/>
      <c r="BX131" s="60"/>
      <c r="BY131" s="60"/>
      <c r="BZ131" s="59"/>
      <c r="CA131" s="59"/>
      <c r="CB131" s="59"/>
      <c r="CC131" s="59"/>
      <c r="CD131" s="59"/>
      <c r="CE131" s="59" t="s">
        <v>7435</v>
      </c>
      <c r="CF131" s="60" t="s">
        <v>1254</v>
      </c>
      <c r="CG131" s="59" t="s">
        <v>6811</v>
      </c>
      <c r="CH131" s="59" t="s">
        <v>6812</v>
      </c>
      <c r="CI131" s="59" t="s">
        <v>456</v>
      </c>
      <c r="CJ131" s="59" t="s">
        <v>111</v>
      </c>
      <c r="CK131" s="47">
        <v>40514</v>
      </c>
      <c r="CL131" s="64" t="str">
        <f t="shared" ca="1" si="1"/>
        <v>15 Tahun 1 Bulan 25 Hari</v>
      </c>
      <c r="CM13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 Budhi No.23 RT/RW 01/13 Desa/Kelurahan Pasirkaliki Kecamatan Cimahi Utara Cimahi Jawa Barat 40514</v>
      </c>
    </row>
    <row r="132" spans="1:91" ht="24.95" customHeight="1">
      <c r="A132" s="58">
        <f>SUBTOTAL(3,N$8:Table2[[#This Row],[Nama lengkap]])</f>
        <v>125</v>
      </c>
      <c r="B132" s="58" t="s">
        <v>86</v>
      </c>
      <c r="C132" s="58">
        <v>2023</v>
      </c>
      <c r="D132" s="58"/>
      <c r="E132" s="58">
        <v>2</v>
      </c>
      <c r="F132" s="58" t="s">
        <v>1433</v>
      </c>
      <c r="G132" s="32" t="s">
        <v>2513</v>
      </c>
      <c r="H132" s="32" t="s">
        <v>2513</v>
      </c>
      <c r="I132" s="32" t="s">
        <v>2513</v>
      </c>
      <c r="J132" s="32"/>
      <c r="K132" s="32"/>
      <c r="L132" s="32"/>
      <c r="M132" s="58">
        <v>23240016</v>
      </c>
      <c r="N132" s="24" t="s">
        <v>5930</v>
      </c>
      <c r="O132" s="24"/>
      <c r="P132" s="25" t="s">
        <v>8969</v>
      </c>
      <c r="Q132" s="25" t="s">
        <v>1734</v>
      </c>
      <c r="R132" s="60" t="s">
        <v>90</v>
      </c>
      <c r="S132" s="61" t="s">
        <v>1735</v>
      </c>
      <c r="T132" s="47" t="s">
        <v>92</v>
      </c>
      <c r="U132" s="47">
        <v>1</v>
      </c>
      <c r="V132" s="47">
        <v>1</v>
      </c>
      <c r="W132" s="47" t="s">
        <v>207</v>
      </c>
      <c r="X132" s="59" t="s">
        <v>432</v>
      </c>
      <c r="Y132" s="59" t="s">
        <v>687</v>
      </c>
      <c r="Z132" s="59" t="s">
        <v>1736</v>
      </c>
      <c r="AA132" s="59" t="s">
        <v>96</v>
      </c>
      <c r="AB132" s="59" t="s">
        <v>689</v>
      </c>
      <c r="AC132" s="59" t="s">
        <v>208</v>
      </c>
      <c r="AD132" s="59" t="s">
        <v>208</v>
      </c>
      <c r="AE132" s="60" t="s">
        <v>1737</v>
      </c>
      <c r="AF132" s="60" t="s">
        <v>8383</v>
      </c>
      <c r="AG132" s="59" t="s">
        <v>8383</v>
      </c>
      <c r="AH132" s="59" t="s">
        <v>691</v>
      </c>
      <c r="AI132" s="59" t="s">
        <v>90</v>
      </c>
      <c r="AJ132" s="61" t="s">
        <v>1738</v>
      </c>
      <c r="AK132" s="60" t="s">
        <v>1739</v>
      </c>
      <c r="AL132" s="60" t="s">
        <v>114</v>
      </c>
      <c r="AM132" s="59" t="s">
        <v>800</v>
      </c>
      <c r="AN132" s="60"/>
      <c r="AO132" s="60"/>
      <c r="AP132" s="59" t="s">
        <v>1740</v>
      </c>
      <c r="AQ132" s="25" t="s">
        <v>1459</v>
      </c>
      <c r="AR132" s="60" t="s">
        <v>1741</v>
      </c>
      <c r="AS132" s="59" t="s">
        <v>1050</v>
      </c>
      <c r="AT132" s="59" t="s">
        <v>141</v>
      </c>
      <c r="AU132" s="59" t="s">
        <v>111</v>
      </c>
      <c r="AV132" s="62">
        <v>40184</v>
      </c>
      <c r="AW132" s="59" t="s">
        <v>7898</v>
      </c>
      <c r="AX132" s="59" t="s">
        <v>691</v>
      </c>
      <c r="AY132" s="59" t="s">
        <v>90</v>
      </c>
      <c r="AZ132" s="126" t="s">
        <v>1742</v>
      </c>
      <c r="BA132" s="60" t="s">
        <v>1743</v>
      </c>
      <c r="BB132" s="60" t="s">
        <v>845</v>
      </c>
      <c r="BC132" s="59" t="s">
        <v>1721</v>
      </c>
      <c r="BD132" s="60"/>
      <c r="BE132" s="60"/>
      <c r="BF132" s="60"/>
      <c r="BG132" s="59" t="s">
        <v>1740</v>
      </c>
      <c r="BH132" s="60" t="s">
        <v>1459</v>
      </c>
      <c r="BI132" s="60" t="s">
        <v>1741</v>
      </c>
      <c r="BJ132" s="24" t="s">
        <v>1050</v>
      </c>
      <c r="BK132" s="59" t="s">
        <v>141</v>
      </c>
      <c r="BL132" s="59" t="s">
        <v>156</v>
      </c>
      <c r="BM132" s="24">
        <v>40184</v>
      </c>
      <c r="BN132" s="24"/>
      <c r="BO132" s="59" t="s">
        <v>719</v>
      </c>
      <c r="BP132" s="59"/>
      <c r="BQ132" s="77"/>
      <c r="BR132" s="60"/>
      <c r="BS132" s="60"/>
      <c r="BT132" s="59"/>
      <c r="BU132" s="60"/>
      <c r="BV132" s="60"/>
      <c r="BW132" s="59"/>
      <c r="BX132" s="60"/>
      <c r="BY132" s="60"/>
      <c r="BZ132" s="59"/>
      <c r="CA132" s="59"/>
      <c r="CB132" s="59"/>
      <c r="CC132" s="59"/>
      <c r="CD132" s="59"/>
      <c r="CE132" s="59" t="s">
        <v>7436</v>
      </c>
      <c r="CF132" s="60" t="s">
        <v>1459</v>
      </c>
      <c r="CG132" s="59" t="s">
        <v>7108</v>
      </c>
      <c r="CH132" s="59" t="s">
        <v>6898</v>
      </c>
      <c r="CI132" s="59" t="s">
        <v>90</v>
      </c>
      <c r="CJ132" s="59" t="s">
        <v>111</v>
      </c>
      <c r="CK132" s="47">
        <v>40184</v>
      </c>
      <c r="CL132" s="64" t="str">
        <f t="shared" ca="1" si="1"/>
        <v>15 Tahun 5 Bulan 24 Hari</v>
      </c>
      <c r="CM13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Jl.Jend.Sudirman Gg.Abah Muhamad RT/RW 01/11 Desa/Kelurahan Maleber Kecamatan Andir Bandung Jawa Barat 40184</v>
      </c>
    </row>
    <row r="133" spans="1:91" ht="24.95" customHeight="1">
      <c r="A133" s="58">
        <f>SUBTOTAL(3,N$8:Table2[[#This Row],[Nama lengkap]])</f>
        <v>126</v>
      </c>
      <c r="B133" s="58" t="s">
        <v>86</v>
      </c>
      <c r="C133" s="58">
        <v>2023</v>
      </c>
      <c r="D133" s="58"/>
      <c r="E133" s="58">
        <v>2</v>
      </c>
      <c r="F133" s="58" t="s">
        <v>1433</v>
      </c>
      <c r="G133" s="32" t="s">
        <v>2513</v>
      </c>
      <c r="H133" s="32" t="s">
        <v>2513</v>
      </c>
      <c r="I133" s="32" t="s">
        <v>2513</v>
      </c>
      <c r="J133" s="32"/>
      <c r="K133" s="32"/>
      <c r="L133" s="32"/>
      <c r="M133" s="58">
        <v>23240056</v>
      </c>
      <c r="N133" s="24" t="s">
        <v>3673</v>
      </c>
      <c r="O133" s="24"/>
      <c r="P133" s="25" t="s">
        <v>1745</v>
      </c>
      <c r="Q133" s="25" t="s">
        <v>1746</v>
      </c>
      <c r="R133" s="60" t="s">
        <v>122</v>
      </c>
      <c r="S133" s="61" t="s">
        <v>1747</v>
      </c>
      <c r="T133" s="47" t="s">
        <v>92</v>
      </c>
      <c r="U133" s="47">
        <v>1</v>
      </c>
      <c r="V133" s="47">
        <v>4</v>
      </c>
      <c r="W133" s="47" t="s">
        <v>207</v>
      </c>
      <c r="X133" s="59" t="s">
        <v>303</v>
      </c>
      <c r="Y133" s="59" t="s">
        <v>1092</v>
      </c>
      <c r="Z133" s="59" t="s">
        <v>1168</v>
      </c>
      <c r="AA133" s="59" t="s">
        <v>96</v>
      </c>
      <c r="AB133" s="59" t="s">
        <v>689</v>
      </c>
      <c r="AC133" s="59" t="s">
        <v>208</v>
      </c>
      <c r="AD133" s="59" t="s">
        <v>208</v>
      </c>
      <c r="AE133" s="60" t="s">
        <v>1748</v>
      </c>
      <c r="AF133" s="60" t="s">
        <v>8384</v>
      </c>
      <c r="AG133" s="59" t="s">
        <v>8384</v>
      </c>
      <c r="AH133" s="59" t="s">
        <v>691</v>
      </c>
      <c r="AI133" s="59" t="s">
        <v>122</v>
      </c>
      <c r="AJ133" s="61" t="s">
        <v>1749</v>
      </c>
      <c r="AK133" s="60" t="s">
        <v>1750</v>
      </c>
      <c r="AL133" s="60" t="s">
        <v>114</v>
      </c>
      <c r="AM133" s="59" t="s">
        <v>800</v>
      </c>
      <c r="AN133" s="60"/>
      <c r="AO133" s="60"/>
      <c r="AP133" s="59" t="s">
        <v>1751</v>
      </c>
      <c r="AQ133" s="25" t="s">
        <v>880</v>
      </c>
      <c r="AR133" s="60" t="s">
        <v>1752</v>
      </c>
      <c r="AS133" s="59" t="s">
        <v>1324</v>
      </c>
      <c r="AT133" s="59" t="s">
        <v>1090</v>
      </c>
      <c r="AU133" s="59" t="s">
        <v>111</v>
      </c>
      <c r="AV133" s="62">
        <v>45323</v>
      </c>
      <c r="AW133" s="59" t="s">
        <v>7899</v>
      </c>
      <c r="AX133" s="59" t="s">
        <v>691</v>
      </c>
      <c r="AY133" s="59" t="s">
        <v>122</v>
      </c>
      <c r="AZ133" s="126" t="s">
        <v>1753</v>
      </c>
      <c r="BA133" s="60" t="s">
        <v>1754</v>
      </c>
      <c r="BB133" s="60" t="s">
        <v>845</v>
      </c>
      <c r="BC133" s="59" t="s">
        <v>800</v>
      </c>
      <c r="BD133" s="60"/>
      <c r="BE133" s="60"/>
      <c r="BF133" s="60"/>
      <c r="BG133" s="59" t="s">
        <v>1751</v>
      </c>
      <c r="BH133" s="60" t="s">
        <v>880</v>
      </c>
      <c r="BI133" s="60" t="s">
        <v>1752</v>
      </c>
      <c r="BJ133" s="24" t="s">
        <v>1324</v>
      </c>
      <c r="BK133" s="59" t="s">
        <v>1090</v>
      </c>
      <c r="BL133" s="59" t="s">
        <v>156</v>
      </c>
      <c r="BM133" s="24">
        <v>45323</v>
      </c>
      <c r="BN133" s="24"/>
      <c r="BO133" s="59" t="s">
        <v>719</v>
      </c>
      <c r="BP133" s="59"/>
      <c r="BQ133" s="77"/>
      <c r="BR133" s="60"/>
      <c r="BS133" s="60"/>
      <c r="BT133" s="59"/>
      <c r="BU133" s="60"/>
      <c r="BV133" s="60"/>
      <c r="BW133" s="59"/>
      <c r="BX133" s="60"/>
      <c r="BY133" s="60"/>
      <c r="BZ133" s="59"/>
      <c r="CA133" s="59"/>
      <c r="CB133" s="59"/>
      <c r="CC133" s="59"/>
      <c r="CD133" s="59"/>
      <c r="CE133" s="59" t="s">
        <v>7437</v>
      </c>
      <c r="CF133" s="60" t="s">
        <v>880</v>
      </c>
      <c r="CG133" s="59" t="s">
        <v>7109</v>
      </c>
      <c r="CH133" s="59" t="s">
        <v>134</v>
      </c>
      <c r="CI133" s="59" t="s">
        <v>122</v>
      </c>
      <c r="CJ133" s="59" t="s">
        <v>111</v>
      </c>
      <c r="CK133" s="47">
        <v>45323</v>
      </c>
      <c r="CL133" s="64" t="str">
        <f t="shared" ca="1" si="1"/>
        <v>16 Tahun 1 Bulan 9 Hari</v>
      </c>
      <c r="CM13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Sukaasih RT/RW 01/02 Desa/Kelurahan Jatihurip Kecamatan Sumedang Utara Sumedang Jawa Barat 45323</v>
      </c>
    </row>
    <row r="134" spans="1:91" ht="24.95" customHeight="1">
      <c r="A134" s="58">
        <f>SUBTOTAL(3,N$8:Table2[[#This Row],[Nama lengkap]])</f>
        <v>127</v>
      </c>
      <c r="B134" s="58" t="s">
        <v>86</v>
      </c>
      <c r="C134" s="58">
        <v>2023</v>
      </c>
      <c r="D134" s="58"/>
      <c r="E134" s="58">
        <v>2</v>
      </c>
      <c r="F134" s="58" t="s">
        <v>1433</v>
      </c>
      <c r="G134" s="32" t="s">
        <v>2513</v>
      </c>
      <c r="H134" s="32" t="s">
        <v>2513</v>
      </c>
      <c r="I134" s="32" t="s">
        <v>2513</v>
      </c>
      <c r="J134" s="32"/>
      <c r="K134" s="32"/>
      <c r="L134" s="32"/>
      <c r="M134" s="58">
        <v>23240082</v>
      </c>
      <c r="N134" s="24" t="s">
        <v>5931</v>
      </c>
      <c r="O134" s="24"/>
      <c r="P134" s="25" t="s">
        <v>8970</v>
      </c>
      <c r="Q134" s="25" t="s">
        <v>1756</v>
      </c>
      <c r="R134" s="60" t="s">
        <v>122</v>
      </c>
      <c r="S134" s="61" t="s">
        <v>1757</v>
      </c>
      <c r="T134" s="47" t="s">
        <v>92</v>
      </c>
      <c r="U134" s="47">
        <v>6</v>
      </c>
      <c r="V134" s="47">
        <v>6</v>
      </c>
      <c r="W134" s="47" t="s">
        <v>207</v>
      </c>
      <c r="X134" s="59"/>
      <c r="Y134" s="59" t="s">
        <v>1524</v>
      </c>
      <c r="Z134" s="59" t="s">
        <v>1466</v>
      </c>
      <c r="AA134" s="59" t="s">
        <v>1028</v>
      </c>
      <c r="AB134" s="59" t="s">
        <v>689</v>
      </c>
      <c r="AC134" s="59" t="s">
        <v>208</v>
      </c>
      <c r="AD134" s="59" t="s">
        <v>208</v>
      </c>
      <c r="AE134" s="60" t="s">
        <v>1756</v>
      </c>
      <c r="AF134" s="60" t="s">
        <v>8385</v>
      </c>
      <c r="AG134" s="59" t="s">
        <v>8385</v>
      </c>
      <c r="AH134" s="59" t="s">
        <v>691</v>
      </c>
      <c r="AI134" s="59" t="s">
        <v>122</v>
      </c>
      <c r="AJ134" s="61" t="s">
        <v>1758</v>
      </c>
      <c r="AK134" s="60" t="s">
        <v>1759</v>
      </c>
      <c r="AL134" s="60" t="s">
        <v>114</v>
      </c>
      <c r="AM134" s="59" t="s">
        <v>693</v>
      </c>
      <c r="AN134" s="60"/>
      <c r="AO134" s="60"/>
      <c r="AP134" s="59" t="s">
        <v>1760</v>
      </c>
      <c r="AQ134" s="25" t="s">
        <v>815</v>
      </c>
      <c r="AR134" s="60" t="s">
        <v>1761</v>
      </c>
      <c r="AS134" s="59" t="s">
        <v>1762</v>
      </c>
      <c r="AT134" s="59" t="s">
        <v>1090</v>
      </c>
      <c r="AU134" s="59" t="s">
        <v>111</v>
      </c>
      <c r="AV134" s="62">
        <v>45373</v>
      </c>
      <c r="AW134" s="59" t="s">
        <v>7900</v>
      </c>
      <c r="AX134" s="59" t="s">
        <v>691</v>
      </c>
      <c r="AY134" s="59" t="s">
        <v>122</v>
      </c>
      <c r="AZ134" s="126">
        <v>24327</v>
      </c>
      <c r="BA134" s="60" t="s">
        <v>1763</v>
      </c>
      <c r="BB134" s="60" t="s">
        <v>845</v>
      </c>
      <c r="BC134" s="59" t="s">
        <v>693</v>
      </c>
      <c r="BD134" s="60"/>
      <c r="BE134" s="60"/>
      <c r="BF134" s="60"/>
      <c r="BG134" s="59" t="s">
        <v>1760</v>
      </c>
      <c r="BH134" s="60" t="s">
        <v>815</v>
      </c>
      <c r="BI134" s="60" t="s">
        <v>1761</v>
      </c>
      <c r="BJ134" s="24" t="s">
        <v>1762</v>
      </c>
      <c r="BK134" s="59" t="s">
        <v>1090</v>
      </c>
      <c r="BL134" s="59" t="s">
        <v>156</v>
      </c>
      <c r="BM134" s="24">
        <v>45373</v>
      </c>
      <c r="BN134" s="24"/>
      <c r="BO134" s="59" t="s">
        <v>719</v>
      </c>
      <c r="BP134" s="59"/>
      <c r="BQ134" s="77"/>
      <c r="BR134" s="60"/>
      <c r="BS134" s="60"/>
      <c r="BT134" s="59"/>
      <c r="BU134" s="60"/>
      <c r="BV134" s="60"/>
      <c r="BW134" s="59"/>
      <c r="BX134" s="60"/>
      <c r="BY134" s="60"/>
      <c r="BZ134" s="59"/>
      <c r="CA134" s="59"/>
      <c r="CB134" s="59"/>
      <c r="CC134" s="59"/>
      <c r="CD134" s="59"/>
      <c r="CE134" s="59" t="s">
        <v>590</v>
      </c>
      <c r="CF134" s="60" t="s">
        <v>815</v>
      </c>
      <c r="CG134" s="59" t="s">
        <v>7110</v>
      </c>
      <c r="CH134" s="59" t="s">
        <v>7111</v>
      </c>
      <c r="CI134" s="59" t="s">
        <v>122</v>
      </c>
      <c r="CJ134" s="59" t="s">
        <v>111</v>
      </c>
      <c r="CK134" s="47">
        <v>45373</v>
      </c>
      <c r="CL134" s="64" t="str">
        <f t="shared" ca="1" si="1"/>
        <v>18 Tahun 2 Bulan 3 Hari</v>
      </c>
      <c r="CM13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Pangkalan RT/RW 01/03 Desa/Kelurahan Kirisik Kecamatan Jatinunggal Sumedang Jawa Barat 45373</v>
      </c>
    </row>
    <row r="135" spans="1:91" ht="24.95" customHeight="1">
      <c r="A135" s="58">
        <f>SUBTOTAL(3,N$8:Table2[[#This Row],[Nama lengkap]])</f>
        <v>128</v>
      </c>
      <c r="B135" s="58" t="s">
        <v>86</v>
      </c>
      <c r="C135" s="58">
        <v>2023</v>
      </c>
      <c r="D135" s="58"/>
      <c r="E135" s="58">
        <v>2</v>
      </c>
      <c r="F135" s="58" t="s">
        <v>1433</v>
      </c>
      <c r="G135" s="32" t="s">
        <v>2513</v>
      </c>
      <c r="H135" s="32" t="s">
        <v>2513</v>
      </c>
      <c r="I135" s="32" t="s">
        <v>2513</v>
      </c>
      <c r="J135" s="32"/>
      <c r="K135" s="32"/>
      <c r="L135" s="32"/>
      <c r="M135" s="58">
        <v>23240007</v>
      </c>
      <c r="N135" s="24" t="s">
        <v>5932</v>
      </c>
      <c r="O135" s="24"/>
      <c r="P135" s="25" t="s">
        <v>1764</v>
      </c>
      <c r="Q135" s="25" t="s">
        <v>1765</v>
      </c>
      <c r="R135" s="60" t="s">
        <v>236</v>
      </c>
      <c r="S135" s="61" t="s">
        <v>1766</v>
      </c>
      <c r="T135" s="47" t="s">
        <v>92</v>
      </c>
      <c r="U135" s="47">
        <v>1</v>
      </c>
      <c r="V135" s="47">
        <v>2</v>
      </c>
      <c r="W135" s="47" t="s">
        <v>207</v>
      </c>
      <c r="X135" s="59"/>
      <c r="Y135" s="59" t="s">
        <v>1012</v>
      </c>
      <c r="Z135" s="59" t="s">
        <v>707</v>
      </c>
      <c r="AA135" s="59" t="s">
        <v>96</v>
      </c>
      <c r="AB135" s="59" t="s">
        <v>689</v>
      </c>
      <c r="AC135" s="59" t="s">
        <v>208</v>
      </c>
      <c r="AD135" s="59" t="s">
        <v>208</v>
      </c>
      <c r="AE135" s="60" t="s">
        <v>1765</v>
      </c>
      <c r="AF135" s="60" t="s">
        <v>8386</v>
      </c>
      <c r="AG135" s="59" t="s">
        <v>8386</v>
      </c>
      <c r="AH135" s="59" t="s">
        <v>691</v>
      </c>
      <c r="AI135" s="59" t="s">
        <v>90</v>
      </c>
      <c r="AJ135" s="61" t="s">
        <v>1767</v>
      </c>
      <c r="AK135" s="60" t="s">
        <v>1768</v>
      </c>
      <c r="AL135" s="60" t="s">
        <v>289</v>
      </c>
      <c r="AM135" s="59" t="s">
        <v>800</v>
      </c>
      <c r="AN135" s="60"/>
      <c r="AO135" s="60"/>
      <c r="AP135" s="59" t="s">
        <v>1769</v>
      </c>
      <c r="AQ135" s="25" t="s">
        <v>1099</v>
      </c>
      <c r="AR135" s="60" t="s">
        <v>1770</v>
      </c>
      <c r="AS135" s="59" t="s">
        <v>1771</v>
      </c>
      <c r="AT135" s="59" t="s">
        <v>512</v>
      </c>
      <c r="AU135" s="59" t="s">
        <v>111</v>
      </c>
      <c r="AV135" s="62">
        <v>44172</v>
      </c>
      <c r="AW135" s="59" t="s">
        <v>7901</v>
      </c>
      <c r="AX135" s="59" t="s">
        <v>691</v>
      </c>
      <c r="AY135" s="59" t="s">
        <v>236</v>
      </c>
      <c r="AZ135" s="126">
        <v>32453</v>
      </c>
      <c r="BA135" s="60" t="s">
        <v>1772</v>
      </c>
      <c r="BB135" s="60" t="s">
        <v>845</v>
      </c>
      <c r="BC135" s="59" t="s">
        <v>700</v>
      </c>
      <c r="BD135" s="60"/>
      <c r="BE135" s="60"/>
      <c r="BF135" s="60"/>
      <c r="BG135" s="59" t="s">
        <v>1769</v>
      </c>
      <c r="BH135" s="60" t="s">
        <v>1099</v>
      </c>
      <c r="BI135" s="60" t="s">
        <v>1770</v>
      </c>
      <c r="BJ135" s="24" t="s">
        <v>1771</v>
      </c>
      <c r="BK135" s="59" t="s">
        <v>512</v>
      </c>
      <c r="BL135" s="59" t="s">
        <v>156</v>
      </c>
      <c r="BM135" s="24">
        <v>44172</v>
      </c>
      <c r="BN135" s="24"/>
      <c r="BO135" s="59" t="s">
        <v>719</v>
      </c>
      <c r="BP135" s="59"/>
      <c r="BQ135" s="77"/>
      <c r="BR135" s="60"/>
      <c r="BS135" s="60"/>
      <c r="BT135" s="59"/>
      <c r="BU135" s="60"/>
      <c r="BV135" s="60"/>
      <c r="BW135" s="59"/>
      <c r="BX135" s="60"/>
      <c r="BY135" s="60"/>
      <c r="BZ135" s="59"/>
      <c r="CA135" s="59"/>
      <c r="CB135" s="59"/>
      <c r="CC135" s="59"/>
      <c r="CD135" s="59"/>
      <c r="CE135" s="59" t="s">
        <v>7438</v>
      </c>
      <c r="CF135" s="60" t="s">
        <v>1099</v>
      </c>
      <c r="CG135" s="59" t="s">
        <v>7112</v>
      </c>
      <c r="CH135" s="59" t="s">
        <v>7113</v>
      </c>
      <c r="CI135" s="59" t="s">
        <v>236</v>
      </c>
      <c r="CJ135" s="59" t="s">
        <v>111</v>
      </c>
      <c r="CK135" s="47">
        <v>44172</v>
      </c>
      <c r="CL135" s="64" t="str">
        <f t="shared" ca="1" si="1"/>
        <v>14 Tahun 2 Bulan 26 Hari</v>
      </c>
      <c r="CM13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Kp.Babakan Pasuketan RT/RW 01/08 Desa/Kelurahan Mulyajaya Kecamatan Banjarwangi Garut Jawa Barat 44172</v>
      </c>
    </row>
    <row r="136" spans="1:91" ht="24.95" customHeight="1">
      <c r="A136" s="58">
        <f>SUBTOTAL(3,N$8:Table2[[#This Row],[Nama lengkap]])</f>
        <v>129</v>
      </c>
      <c r="B136" s="58" t="s">
        <v>86</v>
      </c>
      <c r="C136" s="58">
        <v>2022</v>
      </c>
      <c r="D136" s="58"/>
      <c r="E136" s="58">
        <v>2</v>
      </c>
      <c r="F136" s="58" t="s">
        <v>1433</v>
      </c>
      <c r="G136" s="32" t="s">
        <v>2513</v>
      </c>
      <c r="H136" s="32" t="s">
        <v>2513</v>
      </c>
      <c r="I136" s="32" t="s">
        <v>2513</v>
      </c>
      <c r="J136" s="32"/>
      <c r="K136" s="32"/>
      <c r="L136" s="32"/>
      <c r="M136" s="58">
        <v>22230161</v>
      </c>
      <c r="N136" s="24" t="s">
        <v>5933</v>
      </c>
      <c r="O136" s="24"/>
      <c r="P136" s="25" t="s">
        <v>1773</v>
      </c>
      <c r="Q136" s="25" t="s">
        <v>1774</v>
      </c>
      <c r="R136" s="60" t="s">
        <v>122</v>
      </c>
      <c r="S136" s="61" t="s">
        <v>1775</v>
      </c>
      <c r="T136" s="47" t="s">
        <v>92</v>
      </c>
      <c r="U136" s="47">
        <v>2</v>
      </c>
      <c r="V136" s="47">
        <v>2</v>
      </c>
      <c r="W136" s="47" t="s">
        <v>207</v>
      </c>
      <c r="X136" s="59" t="s">
        <v>93</v>
      </c>
      <c r="Y136" s="59" t="s">
        <v>1524</v>
      </c>
      <c r="Z136" s="59" t="s">
        <v>1776</v>
      </c>
      <c r="AA136" s="59" t="s">
        <v>96</v>
      </c>
      <c r="AB136" s="59" t="s">
        <v>689</v>
      </c>
      <c r="AC136" s="59" t="s">
        <v>208</v>
      </c>
      <c r="AD136" s="59" t="s">
        <v>208</v>
      </c>
      <c r="AE136" s="60" t="s">
        <v>1777</v>
      </c>
      <c r="AF136" s="60" t="s">
        <v>8387</v>
      </c>
      <c r="AG136" s="59" t="s">
        <v>8387</v>
      </c>
      <c r="AH136" s="59" t="s">
        <v>691</v>
      </c>
      <c r="AI136" s="59" t="s">
        <v>122</v>
      </c>
      <c r="AJ136" s="61">
        <v>29354</v>
      </c>
      <c r="AK136" s="60" t="s">
        <v>1778</v>
      </c>
      <c r="AL136" s="60" t="s">
        <v>602</v>
      </c>
      <c r="AM136" s="59" t="s">
        <v>800</v>
      </c>
      <c r="AN136" s="60" t="s">
        <v>1779</v>
      </c>
      <c r="AO136" s="60"/>
      <c r="AP136" s="59" t="s">
        <v>1780</v>
      </c>
      <c r="AQ136" s="25" t="s">
        <v>1277</v>
      </c>
      <c r="AR136" s="60" t="s">
        <v>1781</v>
      </c>
      <c r="AS136" s="59" t="s">
        <v>1101</v>
      </c>
      <c r="AT136" s="59" t="s">
        <v>1090</v>
      </c>
      <c r="AU136" s="59" t="s">
        <v>111</v>
      </c>
      <c r="AV136" s="62"/>
      <c r="AW136" s="59" t="s">
        <v>7902</v>
      </c>
      <c r="AX136" s="59" t="s">
        <v>691</v>
      </c>
      <c r="AY136" s="59" t="s">
        <v>6839</v>
      </c>
      <c r="AZ136" s="126">
        <v>30564</v>
      </c>
      <c r="BA136" s="60" t="s">
        <v>1782</v>
      </c>
      <c r="BB136" s="60" t="s">
        <v>845</v>
      </c>
      <c r="BC136" s="59" t="s">
        <v>693</v>
      </c>
      <c r="BD136" s="60" t="s">
        <v>1783</v>
      </c>
      <c r="BE136" s="60"/>
      <c r="BF136" s="60"/>
      <c r="BG136" s="59" t="s">
        <v>1780</v>
      </c>
      <c r="BH136" s="60" t="s">
        <v>1277</v>
      </c>
      <c r="BI136" s="60" t="s">
        <v>1781</v>
      </c>
      <c r="BJ136" s="24" t="s">
        <v>1101</v>
      </c>
      <c r="BK136" s="59" t="s">
        <v>1090</v>
      </c>
      <c r="BL136" s="59" t="s">
        <v>1214</v>
      </c>
      <c r="BM136" s="62"/>
      <c r="BN136" s="62"/>
      <c r="BO136" s="59" t="s">
        <v>719</v>
      </c>
      <c r="BP136" s="59"/>
      <c r="BQ136" s="77"/>
      <c r="BR136" s="60"/>
      <c r="BS136" s="60"/>
      <c r="BT136" s="59"/>
      <c r="BU136" s="60"/>
      <c r="BV136" s="60"/>
      <c r="BW136" s="59"/>
      <c r="BX136" s="60"/>
      <c r="BY136" s="60"/>
      <c r="BZ136" s="59"/>
      <c r="CA136" s="59"/>
      <c r="CB136" s="59"/>
      <c r="CC136" s="59"/>
      <c r="CD136" s="59"/>
      <c r="CE136" s="59" t="s">
        <v>7439</v>
      </c>
      <c r="CF136" s="60" t="s">
        <v>1277</v>
      </c>
      <c r="CG136" s="59" t="s">
        <v>7114</v>
      </c>
      <c r="CH136" s="59" t="s">
        <v>6945</v>
      </c>
      <c r="CI136" s="59" t="s">
        <v>122</v>
      </c>
      <c r="CJ136" s="59" t="s">
        <v>111</v>
      </c>
      <c r="CK136" s="47"/>
      <c r="CL136" s="64" t="str">
        <f t="shared" ref="CL136:CL199" ca="1" si="2">DATEDIF(S136,NOW(),"Y")&amp;" Tahun " &amp;DATEDIF(S136,NOW(),"YM")&amp;" Bulan " &amp;DATEDIF(S136,NOW(),"MD")&amp;" Hari"</f>
        <v>16 Tahun 1 Bulan 19 Hari</v>
      </c>
      <c r="CM13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Lingkungan Darangdan Kebon RT/RW 01/15 Desa/Kelurahan Kotakulon Kecamatan Sumedang Selatan Sumedang Jawa Barat </v>
      </c>
    </row>
    <row r="137" spans="1:91" ht="24.95" customHeight="1">
      <c r="A137" s="58">
        <f>SUBTOTAL(3,N$8:Table2[[#This Row],[Nama lengkap]])</f>
        <v>130</v>
      </c>
      <c r="B137" s="58" t="s">
        <v>86</v>
      </c>
      <c r="C137" s="58">
        <v>2022</v>
      </c>
      <c r="D137" s="58"/>
      <c r="E137" s="58">
        <v>2</v>
      </c>
      <c r="F137" s="58" t="s">
        <v>1433</v>
      </c>
      <c r="G137" s="32" t="s">
        <v>2513</v>
      </c>
      <c r="H137" s="32" t="s">
        <v>2513</v>
      </c>
      <c r="I137" s="32" t="s">
        <v>2513</v>
      </c>
      <c r="J137" s="32"/>
      <c r="K137" s="32"/>
      <c r="L137" s="32"/>
      <c r="M137" s="58">
        <v>22230167</v>
      </c>
      <c r="N137" s="24" t="s">
        <v>8769</v>
      </c>
      <c r="O137" s="24"/>
      <c r="P137" s="25" t="s">
        <v>1784</v>
      </c>
      <c r="Q137" s="25" t="s">
        <v>1785</v>
      </c>
      <c r="R137" s="60" t="s">
        <v>90</v>
      </c>
      <c r="S137" s="61" t="s">
        <v>1786</v>
      </c>
      <c r="T137" s="47" t="s">
        <v>92</v>
      </c>
      <c r="U137" s="47">
        <v>1</v>
      </c>
      <c r="V137" s="47">
        <v>1</v>
      </c>
      <c r="W137" s="47" t="s">
        <v>207</v>
      </c>
      <c r="X137" s="59"/>
      <c r="Y137" s="59" t="s">
        <v>1787</v>
      </c>
      <c r="Z137" s="59" t="s">
        <v>707</v>
      </c>
      <c r="AA137" s="59" t="s">
        <v>96</v>
      </c>
      <c r="AB137" s="59" t="s">
        <v>689</v>
      </c>
      <c r="AC137" s="59" t="s">
        <v>208</v>
      </c>
      <c r="AD137" s="59" t="s">
        <v>208</v>
      </c>
      <c r="AE137" s="60" t="s">
        <v>1788</v>
      </c>
      <c r="AF137" s="60" t="s">
        <v>8388</v>
      </c>
      <c r="AG137" s="59" t="s">
        <v>8388</v>
      </c>
      <c r="AH137" s="59" t="s">
        <v>691</v>
      </c>
      <c r="AI137" s="59" t="s">
        <v>90</v>
      </c>
      <c r="AJ137" s="61">
        <v>30826</v>
      </c>
      <c r="AK137" s="60" t="s">
        <v>1789</v>
      </c>
      <c r="AL137" s="60" t="s">
        <v>114</v>
      </c>
      <c r="AM137" s="59" t="s">
        <v>800</v>
      </c>
      <c r="AN137" s="60"/>
      <c r="AO137" s="60"/>
      <c r="AP137" s="59" t="s">
        <v>1790</v>
      </c>
      <c r="AQ137" s="25" t="s">
        <v>1174</v>
      </c>
      <c r="AR137" s="60" t="s">
        <v>993</v>
      </c>
      <c r="AS137" s="59" t="s">
        <v>994</v>
      </c>
      <c r="AT137" s="59" t="s">
        <v>141</v>
      </c>
      <c r="AU137" s="59" t="s">
        <v>111</v>
      </c>
      <c r="AV137" s="62">
        <v>40225</v>
      </c>
      <c r="AW137" s="59" t="s">
        <v>7903</v>
      </c>
      <c r="AX137" s="59" t="s">
        <v>691</v>
      </c>
      <c r="AY137" s="59" t="s">
        <v>90</v>
      </c>
      <c r="AZ137" s="126">
        <v>31013</v>
      </c>
      <c r="BA137" s="60" t="s">
        <v>1791</v>
      </c>
      <c r="BB137" s="60" t="s">
        <v>602</v>
      </c>
      <c r="BC137" s="59" t="s">
        <v>700</v>
      </c>
      <c r="BD137" s="60"/>
      <c r="BE137" s="60"/>
      <c r="BF137" s="60"/>
      <c r="BG137" s="59" t="s">
        <v>1792</v>
      </c>
      <c r="BH137" s="60" t="s">
        <v>1174</v>
      </c>
      <c r="BI137" s="60" t="s">
        <v>993</v>
      </c>
      <c r="BJ137" s="24" t="s">
        <v>994</v>
      </c>
      <c r="BK137" s="59" t="s">
        <v>141</v>
      </c>
      <c r="BL137" s="59" t="s">
        <v>156</v>
      </c>
      <c r="BM137" s="24">
        <v>40225</v>
      </c>
      <c r="BN137" s="24"/>
      <c r="BO137" s="59" t="s">
        <v>719</v>
      </c>
      <c r="BP137" s="59"/>
      <c r="BQ137" s="77"/>
      <c r="BR137" s="60"/>
      <c r="BS137" s="60"/>
      <c r="BT137" s="59"/>
      <c r="BU137" s="60"/>
      <c r="BV137" s="60"/>
      <c r="BW137" s="59"/>
      <c r="BX137" s="60"/>
      <c r="BY137" s="60"/>
      <c r="BZ137" s="59"/>
      <c r="CA137" s="59"/>
      <c r="CB137" s="59"/>
      <c r="CC137" s="59"/>
      <c r="CD137" s="59"/>
      <c r="CE137" s="59" t="s">
        <v>7440</v>
      </c>
      <c r="CF137" s="60" t="s">
        <v>1174</v>
      </c>
      <c r="CG137" s="59" t="s">
        <v>7041</v>
      </c>
      <c r="CH137" s="59" t="s">
        <v>7042</v>
      </c>
      <c r="CI137" s="59" t="s">
        <v>90</v>
      </c>
      <c r="CJ137" s="59" t="s">
        <v>111</v>
      </c>
      <c r="CK137" s="47">
        <v>40225</v>
      </c>
      <c r="CL137" s="64" t="str">
        <f t="shared" ca="1" si="2"/>
        <v>16 Tahun 4 Bulan 23 Hari</v>
      </c>
      <c r="CM13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Jl.Sandang RT/RW 01/09 Desa/Kelurahan Margahayu Tengah Kecamatan Margahayu Bandung Jawa Barat 40225</v>
      </c>
    </row>
    <row r="138" spans="1:91" ht="24.95" customHeight="1">
      <c r="A138" s="58">
        <f>SUBTOTAL(3,N$8:Table2[[#This Row],[Nama lengkap]])</f>
        <v>131</v>
      </c>
      <c r="B138" s="58" t="s">
        <v>86</v>
      </c>
      <c r="C138" s="58">
        <v>2024</v>
      </c>
      <c r="D138" s="58"/>
      <c r="E138" s="58">
        <v>2</v>
      </c>
      <c r="F138" s="58" t="s">
        <v>1433</v>
      </c>
      <c r="G138" s="165"/>
      <c r="H138" s="32"/>
      <c r="I138" s="32"/>
      <c r="J138" s="32"/>
      <c r="K138" s="32"/>
      <c r="L138" s="32"/>
      <c r="M138" s="58">
        <v>24250049</v>
      </c>
      <c r="N138" s="40" t="s">
        <v>8770</v>
      </c>
      <c r="O138" s="40"/>
      <c r="P138" s="32" t="s">
        <v>1793</v>
      </c>
      <c r="Q138" s="32" t="s">
        <v>1794</v>
      </c>
      <c r="R138" s="67" t="s">
        <v>90</v>
      </c>
      <c r="S138" s="69">
        <v>39974</v>
      </c>
      <c r="T138" s="47" t="s">
        <v>92</v>
      </c>
      <c r="U138" s="58">
        <v>3</v>
      </c>
      <c r="V138" s="58">
        <v>2</v>
      </c>
      <c r="W138" s="47" t="s">
        <v>207</v>
      </c>
      <c r="X138" s="64" t="s">
        <v>142</v>
      </c>
      <c r="Y138" s="64" t="s">
        <v>453</v>
      </c>
      <c r="Z138" s="64" t="s">
        <v>95</v>
      </c>
      <c r="AA138" s="64" t="s">
        <v>159</v>
      </c>
      <c r="AB138" s="64" t="s">
        <v>97</v>
      </c>
      <c r="AC138" s="64" t="s">
        <v>98</v>
      </c>
      <c r="AD138" s="64" t="s">
        <v>98</v>
      </c>
      <c r="AE138" s="67" t="s">
        <v>1795</v>
      </c>
      <c r="AF138" s="67" t="s">
        <v>1796</v>
      </c>
      <c r="AG138" s="64" t="s">
        <v>1796</v>
      </c>
      <c r="AH138" s="64" t="s">
        <v>101</v>
      </c>
      <c r="AI138" s="64" t="s">
        <v>1797</v>
      </c>
      <c r="AJ138" s="69">
        <v>24934</v>
      </c>
      <c r="AK138" s="67" t="s">
        <v>1798</v>
      </c>
      <c r="AL138" s="67" t="s">
        <v>114</v>
      </c>
      <c r="AM138" s="64" t="s">
        <v>96</v>
      </c>
      <c r="AN138" s="67" t="s">
        <v>1799</v>
      </c>
      <c r="AO138" s="67" t="s">
        <v>98</v>
      </c>
      <c r="AP138" s="64" t="s">
        <v>1800</v>
      </c>
      <c r="AQ138" s="32" t="s">
        <v>1801</v>
      </c>
      <c r="AR138" s="67" t="s">
        <v>1671</v>
      </c>
      <c r="AS138" s="64" t="s">
        <v>618</v>
      </c>
      <c r="AT138" s="64" t="s">
        <v>141</v>
      </c>
      <c r="AU138" s="64" t="s">
        <v>156</v>
      </c>
      <c r="AV138" s="64">
        <v>40377</v>
      </c>
      <c r="AW138" s="64" t="s">
        <v>1802</v>
      </c>
      <c r="AX138" s="64" t="s">
        <v>101</v>
      </c>
      <c r="AY138" s="64" t="s">
        <v>90</v>
      </c>
      <c r="AZ138" s="125">
        <v>27504</v>
      </c>
      <c r="BA138" s="67" t="s">
        <v>1803</v>
      </c>
      <c r="BB138" s="67" t="s">
        <v>428</v>
      </c>
      <c r="BC138" s="64" t="s">
        <v>96</v>
      </c>
      <c r="BD138" s="67">
        <v>85223110492</v>
      </c>
      <c r="BE138" s="67" t="s">
        <v>98</v>
      </c>
      <c r="BF138" s="67"/>
      <c r="BG138" s="64" t="s">
        <v>1800</v>
      </c>
      <c r="BH138" s="67" t="s">
        <v>1801</v>
      </c>
      <c r="BI138" s="67" t="s">
        <v>1671</v>
      </c>
      <c r="BJ138" s="40" t="s">
        <v>618</v>
      </c>
      <c r="BK138" s="64" t="s">
        <v>141</v>
      </c>
      <c r="BL138" s="64" t="s">
        <v>156</v>
      </c>
      <c r="BM138" s="64">
        <v>40377</v>
      </c>
      <c r="BN138" s="64" t="s">
        <v>161</v>
      </c>
      <c r="BO138" s="64" t="s">
        <v>1796</v>
      </c>
      <c r="BP138" s="64"/>
      <c r="BQ138" s="135"/>
      <c r="BR138" s="67"/>
      <c r="BS138" s="67"/>
      <c r="BT138" s="64"/>
      <c r="BU138" s="67">
        <v>81223104416</v>
      </c>
      <c r="BV138" s="67"/>
      <c r="BW138" s="64"/>
      <c r="BX138" s="67"/>
      <c r="BY138" s="67"/>
      <c r="BZ138" s="64"/>
      <c r="CA138" s="64"/>
      <c r="CB138" s="64"/>
      <c r="CC138" s="64"/>
      <c r="CD138" s="64"/>
      <c r="CE138" s="64" t="s">
        <v>7441</v>
      </c>
      <c r="CF138" s="67" t="s">
        <v>1801</v>
      </c>
      <c r="CG138" s="64" t="s">
        <v>133</v>
      </c>
      <c r="CH138" s="64" t="s">
        <v>507</v>
      </c>
      <c r="CI138" s="64" t="s">
        <v>90</v>
      </c>
      <c r="CJ138" s="64" t="s">
        <v>111</v>
      </c>
      <c r="CK138" s="58">
        <v>40377</v>
      </c>
      <c r="CL138" s="64" t="str">
        <f t="shared" ca="1" si="2"/>
        <v>16 Tahun 7 Bulan 13 Hari</v>
      </c>
      <c r="CM13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Kp.Cigentur RT/RW 001/017 Desa/Kelurahan Mekarjaya Kecamatan Banjaran Bandung Jawa Barat 40377</v>
      </c>
    </row>
    <row r="139" spans="1:91" ht="24.95" customHeight="1">
      <c r="A139" s="58">
        <f>SUBTOTAL(3,N$8:Table2[[#This Row],[Nama lengkap]])</f>
        <v>132</v>
      </c>
      <c r="B139" s="58" t="s">
        <v>86</v>
      </c>
      <c r="C139" s="58">
        <v>2023</v>
      </c>
      <c r="D139" s="58"/>
      <c r="E139" s="58">
        <v>2</v>
      </c>
      <c r="F139" s="58" t="s">
        <v>1433</v>
      </c>
      <c r="G139" s="32" t="s">
        <v>2513</v>
      </c>
      <c r="H139" s="32" t="s">
        <v>2513</v>
      </c>
      <c r="I139" s="32" t="s">
        <v>2513</v>
      </c>
      <c r="J139" s="32"/>
      <c r="K139" s="32"/>
      <c r="L139" s="32"/>
      <c r="M139" s="58">
        <v>23240028</v>
      </c>
      <c r="N139" s="24" t="s">
        <v>5935</v>
      </c>
      <c r="O139" s="24"/>
      <c r="P139" s="25" t="s">
        <v>1804</v>
      </c>
      <c r="Q139" s="25" t="s">
        <v>1805</v>
      </c>
      <c r="R139" s="60" t="s">
        <v>6475</v>
      </c>
      <c r="S139" s="61" t="s">
        <v>1806</v>
      </c>
      <c r="T139" s="47" t="s">
        <v>92</v>
      </c>
      <c r="U139" s="47">
        <v>1</v>
      </c>
      <c r="V139" s="47">
        <v>1</v>
      </c>
      <c r="W139" s="47" t="s">
        <v>207</v>
      </c>
      <c r="X139" s="59" t="s">
        <v>432</v>
      </c>
      <c r="Y139" s="59" t="s">
        <v>1620</v>
      </c>
      <c r="Z139" s="59" t="s">
        <v>1466</v>
      </c>
      <c r="AA139" s="59" t="s">
        <v>96</v>
      </c>
      <c r="AB139" s="59" t="s">
        <v>689</v>
      </c>
      <c r="AC139" s="59" t="s">
        <v>208</v>
      </c>
      <c r="AD139" s="59" t="s">
        <v>208</v>
      </c>
      <c r="AE139" s="60" t="s">
        <v>1807</v>
      </c>
      <c r="AF139" s="60" t="s">
        <v>8389</v>
      </c>
      <c r="AG139" s="59" t="s">
        <v>8389</v>
      </c>
      <c r="AH139" s="59" t="s">
        <v>691</v>
      </c>
      <c r="AI139" s="59" t="s">
        <v>8278</v>
      </c>
      <c r="AJ139" s="61">
        <v>29314</v>
      </c>
      <c r="AK139" s="60" t="s">
        <v>1808</v>
      </c>
      <c r="AL139" s="60" t="s">
        <v>602</v>
      </c>
      <c r="AM139" s="59" t="s">
        <v>800</v>
      </c>
      <c r="AN139" s="60"/>
      <c r="AO139" s="60"/>
      <c r="AP139" s="59" t="s">
        <v>1809</v>
      </c>
      <c r="AQ139" s="25" t="s">
        <v>1810</v>
      </c>
      <c r="AR139" s="60" t="s">
        <v>1811</v>
      </c>
      <c r="AS139" s="59" t="s">
        <v>1812</v>
      </c>
      <c r="AT139" s="59" t="s">
        <v>141</v>
      </c>
      <c r="AU139" s="59" t="s">
        <v>111</v>
      </c>
      <c r="AV139" s="62">
        <v>40135</v>
      </c>
      <c r="AW139" s="59" t="s">
        <v>7904</v>
      </c>
      <c r="AX139" s="59" t="s">
        <v>691</v>
      </c>
      <c r="AY139" s="59" t="s">
        <v>388</v>
      </c>
      <c r="AZ139" s="126" t="s">
        <v>1813</v>
      </c>
      <c r="BA139" s="60" t="s">
        <v>1814</v>
      </c>
      <c r="BB139" s="60" t="s">
        <v>602</v>
      </c>
      <c r="BC139" s="59" t="s">
        <v>800</v>
      </c>
      <c r="BD139" s="60"/>
      <c r="BE139" s="60"/>
      <c r="BF139" s="60"/>
      <c r="BG139" s="59" t="s">
        <v>1809</v>
      </c>
      <c r="BH139" s="60" t="s">
        <v>1810</v>
      </c>
      <c r="BI139" s="60" t="s">
        <v>1811</v>
      </c>
      <c r="BJ139" s="24" t="s">
        <v>1812</v>
      </c>
      <c r="BK139" s="59" t="s">
        <v>141</v>
      </c>
      <c r="BL139" s="59" t="s">
        <v>156</v>
      </c>
      <c r="BM139" s="62"/>
      <c r="BN139" s="62"/>
      <c r="BO139" s="59" t="s">
        <v>719</v>
      </c>
      <c r="BP139" s="59"/>
      <c r="BQ139" s="77"/>
      <c r="BR139" s="60"/>
      <c r="BS139" s="60"/>
      <c r="BT139" s="59"/>
      <c r="BU139" s="60"/>
      <c r="BV139" s="60"/>
      <c r="BW139" s="59"/>
      <c r="BX139" s="60"/>
      <c r="BY139" s="60"/>
      <c r="BZ139" s="59"/>
      <c r="CA139" s="59"/>
      <c r="CB139" s="59"/>
      <c r="CC139" s="59"/>
      <c r="CD139" s="59"/>
      <c r="CE139" s="59" t="s">
        <v>7442</v>
      </c>
      <c r="CF139" s="60" t="s">
        <v>1810</v>
      </c>
      <c r="CG139" s="59" t="s">
        <v>7115</v>
      </c>
      <c r="CH139" s="59" t="s">
        <v>6662</v>
      </c>
      <c r="CI139" s="59" t="s">
        <v>90</v>
      </c>
      <c r="CJ139" s="59" t="s">
        <v>111</v>
      </c>
      <c r="CK139" s="47">
        <v>40135</v>
      </c>
      <c r="CL139" s="64" t="str">
        <f t="shared" ca="1" si="2"/>
        <v>14 Tahun 9 Bulan 15 Hari</v>
      </c>
      <c r="CM13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Jl.Bukit Dago Utara Ii No.16 RT/RW 05/03 Desa/Kelurahan Dago Kecamatan Coblong Bandung Jawa Barat 40135</v>
      </c>
    </row>
    <row r="140" spans="1:91" ht="24.95" customHeight="1">
      <c r="A140" s="58">
        <f>SUBTOTAL(3,N$8:Table2[[#This Row],[Nama lengkap]])</f>
        <v>133</v>
      </c>
      <c r="B140" s="58" t="s">
        <v>86</v>
      </c>
      <c r="C140" s="58">
        <v>2023</v>
      </c>
      <c r="D140" s="58"/>
      <c r="E140" s="58">
        <v>2</v>
      </c>
      <c r="F140" s="58" t="s">
        <v>1433</v>
      </c>
      <c r="G140" s="165" t="s">
        <v>2513</v>
      </c>
      <c r="H140" s="32" t="s">
        <v>2513</v>
      </c>
      <c r="I140" s="32"/>
      <c r="J140" s="32"/>
      <c r="K140" s="32"/>
      <c r="L140" s="32"/>
      <c r="M140" s="58">
        <v>23240108</v>
      </c>
      <c r="N140" s="24" t="s">
        <v>5936</v>
      </c>
      <c r="O140" s="24"/>
      <c r="P140" s="25">
        <v>3108096782</v>
      </c>
      <c r="Q140" s="25" t="s">
        <v>1815</v>
      </c>
      <c r="R140" s="60" t="s">
        <v>122</v>
      </c>
      <c r="S140" s="61" t="s">
        <v>1816</v>
      </c>
      <c r="T140" s="47" t="s">
        <v>92</v>
      </c>
      <c r="U140" s="47">
        <v>1</v>
      </c>
      <c r="V140" s="47">
        <v>2</v>
      </c>
      <c r="W140" s="47" t="s">
        <v>207</v>
      </c>
      <c r="X140" s="59" t="s">
        <v>432</v>
      </c>
      <c r="Y140" s="59" t="s">
        <v>1817</v>
      </c>
      <c r="Z140" s="59" t="s">
        <v>986</v>
      </c>
      <c r="AA140" s="59" t="s">
        <v>795</v>
      </c>
      <c r="AB140" s="59" t="s">
        <v>689</v>
      </c>
      <c r="AC140" s="59" t="s">
        <v>208</v>
      </c>
      <c r="AD140" s="59" t="s">
        <v>208</v>
      </c>
      <c r="AE140" s="60" t="s">
        <v>1818</v>
      </c>
      <c r="AF140" s="60" t="s">
        <v>8390</v>
      </c>
      <c r="AG140" s="59" t="s">
        <v>8390</v>
      </c>
      <c r="AH140" s="59" t="s">
        <v>691</v>
      </c>
      <c r="AI140" s="59" t="s">
        <v>122</v>
      </c>
      <c r="AJ140" s="61">
        <v>28559</v>
      </c>
      <c r="AK140" s="60" t="s">
        <v>1819</v>
      </c>
      <c r="AL140" s="60" t="s">
        <v>114</v>
      </c>
      <c r="AM140" s="59" t="s">
        <v>1820</v>
      </c>
      <c r="AN140" s="60"/>
      <c r="AO140" s="60"/>
      <c r="AP140" s="59" t="s">
        <v>1821</v>
      </c>
      <c r="AQ140" s="25" t="s">
        <v>132</v>
      </c>
      <c r="AR140" s="60" t="s">
        <v>1596</v>
      </c>
      <c r="AS140" s="59" t="s">
        <v>1596</v>
      </c>
      <c r="AT140" s="59" t="s">
        <v>1090</v>
      </c>
      <c r="AU140" s="59" t="s">
        <v>111</v>
      </c>
      <c r="AV140" s="62">
        <v>45385</v>
      </c>
      <c r="AW140" s="59" t="s">
        <v>7905</v>
      </c>
      <c r="AX140" s="59" t="s">
        <v>691</v>
      </c>
      <c r="AY140" s="59" t="s">
        <v>122</v>
      </c>
      <c r="AZ140" s="126" t="s">
        <v>1822</v>
      </c>
      <c r="BA140" s="60" t="s">
        <v>1823</v>
      </c>
      <c r="BB140" s="60" t="s">
        <v>845</v>
      </c>
      <c r="BC140" s="59" t="s">
        <v>1721</v>
      </c>
      <c r="BD140" s="60"/>
      <c r="BE140" s="60"/>
      <c r="BF140" s="60"/>
      <c r="BG140" s="59" t="s">
        <v>1821</v>
      </c>
      <c r="BH140" s="60" t="s">
        <v>132</v>
      </c>
      <c r="BI140" s="60" t="s">
        <v>1824</v>
      </c>
      <c r="BJ140" s="24" t="s">
        <v>1824</v>
      </c>
      <c r="BK140" s="59" t="s">
        <v>1090</v>
      </c>
      <c r="BL140" s="59" t="s">
        <v>156</v>
      </c>
      <c r="BM140" s="24">
        <v>45385</v>
      </c>
      <c r="BN140" s="24"/>
      <c r="BO140" s="59" t="s">
        <v>701</v>
      </c>
      <c r="BP140" s="59"/>
      <c r="BQ140" s="77"/>
      <c r="BR140" s="60"/>
      <c r="BS140" s="60"/>
      <c r="BT140" s="59"/>
      <c r="BU140" s="60"/>
      <c r="BV140" s="60"/>
      <c r="BW140" s="59"/>
      <c r="BX140" s="60"/>
      <c r="BY140" s="60"/>
      <c r="BZ140" s="59"/>
      <c r="CA140" s="59"/>
      <c r="CB140" s="59"/>
      <c r="CC140" s="59"/>
      <c r="CD140" s="59"/>
      <c r="CE140" s="59" t="s">
        <v>7443</v>
      </c>
      <c r="CF140" s="60" t="s">
        <v>132</v>
      </c>
      <c r="CG140" s="59" t="s">
        <v>7093</v>
      </c>
      <c r="CH140" s="59" t="s">
        <v>7093</v>
      </c>
      <c r="CI140" s="59" t="s">
        <v>122</v>
      </c>
      <c r="CJ140" s="59" t="s">
        <v>111</v>
      </c>
      <c r="CK140" s="47">
        <v>45385</v>
      </c>
      <c r="CL140" s="64" t="str">
        <f t="shared" ca="1" si="2"/>
        <v>15 Tahun 8 Bulan 13 Hari</v>
      </c>
      <c r="CM14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Ujungjaya RT/RW 01/10 Desa/Kelurahan Ujung Jaya Kecamatan Ujung Jaya Sumedang Jawa Barat 45385</v>
      </c>
    </row>
    <row r="141" spans="1:91" ht="24.95" customHeight="1">
      <c r="A141" s="58">
        <f>SUBTOTAL(3,N$8:Table2[[#This Row],[Nama lengkap]])</f>
        <v>134</v>
      </c>
      <c r="B141" s="58" t="s">
        <v>86</v>
      </c>
      <c r="C141" s="58">
        <v>2023</v>
      </c>
      <c r="D141" s="58"/>
      <c r="E141" s="58">
        <v>2</v>
      </c>
      <c r="F141" s="58" t="s">
        <v>1433</v>
      </c>
      <c r="G141" s="165" t="s">
        <v>9953</v>
      </c>
      <c r="H141" s="32"/>
      <c r="I141" s="32"/>
      <c r="J141" s="32"/>
      <c r="K141" s="32"/>
      <c r="L141" s="32"/>
      <c r="M141" s="58">
        <v>23240136</v>
      </c>
      <c r="N141" s="24" t="s">
        <v>5937</v>
      </c>
      <c r="O141" s="24"/>
      <c r="P141" s="25" t="s">
        <v>1835</v>
      </c>
      <c r="Q141" s="25" t="s">
        <v>1836</v>
      </c>
      <c r="R141" s="60" t="s">
        <v>942</v>
      </c>
      <c r="S141" s="61" t="s">
        <v>1837</v>
      </c>
      <c r="T141" s="47" t="s">
        <v>92</v>
      </c>
      <c r="U141" s="47">
        <v>2</v>
      </c>
      <c r="V141" s="47">
        <v>3</v>
      </c>
      <c r="W141" s="47" t="s">
        <v>207</v>
      </c>
      <c r="X141" s="59"/>
      <c r="Y141" s="59" t="s">
        <v>1012</v>
      </c>
      <c r="Z141" s="59" t="s">
        <v>1168</v>
      </c>
      <c r="AA141" s="59" t="s">
        <v>795</v>
      </c>
      <c r="AB141" s="59" t="s">
        <v>689</v>
      </c>
      <c r="AC141" s="59" t="s">
        <v>208</v>
      </c>
      <c r="AD141" s="59" t="s">
        <v>208</v>
      </c>
      <c r="AE141" s="60" t="s">
        <v>1838</v>
      </c>
      <c r="AF141" s="60" t="s">
        <v>8391</v>
      </c>
      <c r="AG141" s="59" t="s">
        <v>8391</v>
      </c>
      <c r="AH141" s="59" t="s">
        <v>691</v>
      </c>
      <c r="AI141" s="59" t="s">
        <v>942</v>
      </c>
      <c r="AJ141" s="61" t="s">
        <v>1839</v>
      </c>
      <c r="AK141" s="60" t="s">
        <v>1840</v>
      </c>
      <c r="AL141" s="60" t="s">
        <v>114</v>
      </c>
      <c r="AM141" s="59" t="s">
        <v>800</v>
      </c>
      <c r="AN141" s="60"/>
      <c r="AO141" s="60"/>
      <c r="AP141" s="59" t="s">
        <v>1841</v>
      </c>
      <c r="AQ141" s="25" t="s">
        <v>1842</v>
      </c>
      <c r="AR141" s="60" t="s">
        <v>1841</v>
      </c>
      <c r="AS141" s="59" t="s">
        <v>1843</v>
      </c>
      <c r="AT141" s="59" t="s">
        <v>934</v>
      </c>
      <c r="AU141" s="59" t="s">
        <v>111</v>
      </c>
      <c r="AV141" s="62">
        <v>41281</v>
      </c>
      <c r="AW141" s="59" t="s">
        <v>7906</v>
      </c>
      <c r="AX141" s="59" t="s">
        <v>691</v>
      </c>
      <c r="AY141" s="59" t="s">
        <v>942</v>
      </c>
      <c r="AZ141" s="126">
        <v>30904</v>
      </c>
      <c r="BA141" s="60" t="s">
        <v>1844</v>
      </c>
      <c r="BB141" s="60" t="s">
        <v>845</v>
      </c>
      <c r="BC141" s="59" t="s">
        <v>800</v>
      </c>
      <c r="BD141" s="60"/>
      <c r="BE141" s="60"/>
      <c r="BF141" s="60"/>
      <c r="BG141" s="59" t="s">
        <v>1841</v>
      </c>
      <c r="BH141" s="60" t="s">
        <v>1842</v>
      </c>
      <c r="BI141" s="60" t="s">
        <v>1841</v>
      </c>
      <c r="BJ141" s="24" t="s">
        <v>1843</v>
      </c>
      <c r="BK141" s="59" t="s">
        <v>934</v>
      </c>
      <c r="BL141" s="59" t="s">
        <v>156</v>
      </c>
      <c r="BM141" s="24">
        <v>41281</v>
      </c>
      <c r="BN141" s="24"/>
      <c r="BO141" s="59" t="s">
        <v>701</v>
      </c>
      <c r="BP141" s="59"/>
      <c r="BQ141" s="77"/>
      <c r="BR141" s="60"/>
      <c r="BS141" s="60"/>
      <c r="BT141" s="59"/>
      <c r="BU141" s="60"/>
      <c r="BV141" s="60"/>
      <c r="BW141" s="59"/>
      <c r="BX141" s="60"/>
      <c r="BY141" s="60"/>
      <c r="BZ141" s="59"/>
      <c r="CA141" s="59"/>
      <c r="CB141" s="59"/>
      <c r="CC141" s="59"/>
      <c r="CD141" s="59"/>
      <c r="CE141" s="59" t="s">
        <v>6517</v>
      </c>
      <c r="CF141" s="60" t="s">
        <v>1842</v>
      </c>
      <c r="CG141" s="59" t="s">
        <v>6517</v>
      </c>
      <c r="CH141" s="59" t="s">
        <v>6519</v>
      </c>
      <c r="CI141" s="59" t="s">
        <v>942</v>
      </c>
      <c r="CJ141" s="59" t="s">
        <v>111</v>
      </c>
      <c r="CK141" s="47">
        <v>41281</v>
      </c>
      <c r="CL141" s="64" t="str">
        <f t="shared" ca="1" si="2"/>
        <v>15 Tahun 6 Bulan 20 Hari</v>
      </c>
      <c r="CM14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Tambakan RT/RW 14/04 Desa/Kelurahan Tambakan Kecamatan Jalancagak Subang Jawa Barat 41281</v>
      </c>
    </row>
    <row r="142" spans="1:91" ht="24.95" customHeight="1">
      <c r="A142" s="58">
        <f>SUBTOTAL(3,N$8:Table2[[#This Row],[Nama lengkap]])</f>
        <v>135</v>
      </c>
      <c r="B142" s="58" t="s">
        <v>86</v>
      </c>
      <c r="C142" s="58">
        <v>2022</v>
      </c>
      <c r="D142" s="58"/>
      <c r="E142" s="58">
        <v>3</v>
      </c>
      <c r="F142" s="58" t="s">
        <v>1845</v>
      </c>
      <c r="G142" s="165" t="s">
        <v>9936</v>
      </c>
      <c r="H142" s="32" t="s">
        <v>2513</v>
      </c>
      <c r="I142" s="32" t="s">
        <v>2513</v>
      </c>
      <c r="J142" s="32"/>
      <c r="K142" s="32"/>
      <c r="L142" s="32"/>
      <c r="M142" s="58">
        <v>22230194</v>
      </c>
      <c r="N142" s="24" t="s">
        <v>8771</v>
      </c>
      <c r="O142" s="24"/>
      <c r="P142" s="25" t="s">
        <v>1846</v>
      </c>
      <c r="Q142" s="25" t="s">
        <v>1847</v>
      </c>
      <c r="R142" s="60" t="s">
        <v>90</v>
      </c>
      <c r="S142" s="61" t="s">
        <v>1848</v>
      </c>
      <c r="T142" s="47" t="s">
        <v>92</v>
      </c>
      <c r="U142" s="47">
        <v>4</v>
      </c>
      <c r="V142" s="47">
        <v>3</v>
      </c>
      <c r="W142" s="47" t="s">
        <v>207</v>
      </c>
      <c r="X142" s="59" t="s">
        <v>984</v>
      </c>
      <c r="Y142" s="59" t="s">
        <v>1849</v>
      </c>
      <c r="Z142" s="59" t="s">
        <v>1168</v>
      </c>
      <c r="AA142" s="59" t="s">
        <v>96</v>
      </c>
      <c r="AB142" s="59" t="s">
        <v>689</v>
      </c>
      <c r="AC142" s="59" t="s">
        <v>208</v>
      </c>
      <c r="AD142" s="59" t="s">
        <v>208</v>
      </c>
      <c r="AE142" s="60" t="s">
        <v>1850</v>
      </c>
      <c r="AF142" s="60" t="s">
        <v>8392</v>
      </c>
      <c r="AG142" s="59" t="s">
        <v>8392</v>
      </c>
      <c r="AH142" s="59" t="s">
        <v>691</v>
      </c>
      <c r="AI142" s="59" t="s">
        <v>90</v>
      </c>
      <c r="AJ142" s="61" t="s">
        <v>1851</v>
      </c>
      <c r="AK142" s="60" t="s">
        <v>1852</v>
      </c>
      <c r="AL142" s="60" t="s">
        <v>289</v>
      </c>
      <c r="AM142" s="59" t="s">
        <v>693</v>
      </c>
      <c r="AN142" s="60"/>
      <c r="AO142" s="60"/>
      <c r="AP142" s="59" t="s">
        <v>1853</v>
      </c>
      <c r="AQ142" s="25" t="s">
        <v>864</v>
      </c>
      <c r="AR142" s="60" t="s">
        <v>1854</v>
      </c>
      <c r="AS142" s="59" t="s">
        <v>214</v>
      </c>
      <c r="AT142" s="59" t="s">
        <v>141</v>
      </c>
      <c r="AU142" s="59" t="s">
        <v>111</v>
      </c>
      <c r="AV142" s="62"/>
      <c r="AW142" s="59" t="s">
        <v>7907</v>
      </c>
      <c r="AX142" s="59" t="s">
        <v>691</v>
      </c>
      <c r="AY142" s="59" t="s">
        <v>90</v>
      </c>
      <c r="AZ142" s="126">
        <v>29241</v>
      </c>
      <c r="BA142" s="60" t="s">
        <v>1855</v>
      </c>
      <c r="BB142" s="60" t="s">
        <v>845</v>
      </c>
      <c r="BC142" s="59" t="s">
        <v>693</v>
      </c>
      <c r="BD142" s="60" t="s">
        <v>1856</v>
      </c>
      <c r="BE142" s="60"/>
      <c r="BF142" s="60"/>
      <c r="BG142" s="59" t="s">
        <v>1853</v>
      </c>
      <c r="BH142" s="60" t="s">
        <v>864</v>
      </c>
      <c r="BI142" s="60" t="s">
        <v>1854</v>
      </c>
      <c r="BJ142" s="24" t="s">
        <v>214</v>
      </c>
      <c r="BK142" s="59" t="s">
        <v>141</v>
      </c>
      <c r="BL142" s="59" t="s">
        <v>156</v>
      </c>
      <c r="BM142" s="62"/>
      <c r="BN142" s="62"/>
      <c r="BO142" s="59" t="s">
        <v>701</v>
      </c>
      <c r="BP142" s="59"/>
      <c r="BQ142" s="77"/>
      <c r="BR142" s="60"/>
      <c r="BS142" s="60"/>
      <c r="BT142" s="59"/>
      <c r="BU142" s="60"/>
      <c r="BV142" s="60"/>
      <c r="BW142" s="59"/>
      <c r="BX142" s="60"/>
      <c r="BY142" s="60"/>
      <c r="BZ142" s="59"/>
      <c r="CA142" s="59"/>
      <c r="CB142" s="59"/>
      <c r="CC142" s="59"/>
      <c r="CD142" s="59"/>
      <c r="CE142" s="59" t="s">
        <v>7444</v>
      </c>
      <c r="CF142" s="60" t="s">
        <v>864</v>
      </c>
      <c r="CG142" s="59" t="s">
        <v>7116</v>
      </c>
      <c r="CH142" s="59" t="s">
        <v>5402</v>
      </c>
      <c r="CI142" s="59" t="s">
        <v>90</v>
      </c>
      <c r="CJ142" s="59" t="s">
        <v>111</v>
      </c>
      <c r="CK142" s="47"/>
      <c r="CL142" s="64" t="str">
        <f t="shared" ca="1" si="2"/>
        <v>15 Tahun 4 Bulan 9 Hari</v>
      </c>
      <c r="CM14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Kp.Pasir Kiara RT/RW 03/10 Desa/Kelurahan Cikadut Kecamatan Cimenyan Bandung Jawa Barat </v>
      </c>
    </row>
    <row r="143" spans="1:91" ht="24.95" customHeight="1">
      <c r="A143" s="58">
        <f>SUBTOTAL(3,N$8:Table2[[#This Row],[Nama lengkap]])</f>
        <v>136</v>
      </c>
      <c r="B143" s="58" t="s">
        <v>86</v>
      </c>
      <c r="C143" s="58">
        <v>2022</v>
      </c>
      <c r="D143" s="58"/>
      <c r="E143" s="58">
        <v>3</v>
      </c>
      <c r="F143" s="58" t="s">
        <v>1845</v>
      </c>
      <c r="G143" s="32" t="s">
        <v>2513</v>
      </c>
      <c r="H143" s="32" t="s">
        <v>2513</v>
      </c>
      <c r="I143" s="32" t="s">
        <v>2513</v>
      </c>
      <c r="J143" s="32"/>
      <c r="K143" s="32"/>
      <c r="L143" s="32"/>
      <c r="M143" s="58">
        <v>22230148</v>
      </c>
      <c r="N143" s="24" t="s">
        <v>5939</v>
      </c>
      <c r="O143" s="24"/>
      <c r="P143" s="25" t="s">
        <v>1857</v>
      </c>
      <c r="Q143" s="25" t="s">
        <v>1858</v>
      </c>
      <c r="R143" s="60" t="s">
        <v>6846</v>
      </c>
      <c r="S143" s="61" t="s">
        <v>1859</v>
      </c>
      <c r="T143" s="47" t="s">
        <v>92</v>
      </c>
      <c r="U143" s="47">
        <v>1</v>
      </c>
      <c r="V143" s="47">
        <v>2</v>
      </c>
      <c r="W143" s="47" t="s">
        <v>207</v>
      </c>
      <c r="X143" s="59" t="s">
        <v>432</v>
      </c>
      <c r="Y143" s="59" t="s">
        <v>1687</v>
      </c>
      <c r="Z143" s="59" t="s">
        <v>1860</v>
      </c>
      <c r="AA143" s="59" t="s">
        <v>96</v>
      </c>
      <c r="AB143" s="59" t="s">
        <v>689</v>
      </c>
      <c r="AC143" s="59" t="s">
        <v>208</v>
      </c>
      <c r="AD143" s="59" t="s">
        <v>208</v>
      </c>
      <c r="AE143" s="60" t="s">
        <v>1861</v>
      </c>
      <c r="AF143" s="60" t="s">
        <v>8393</v>
      </c>
      <c r="AG143" s="59" t="s">
        <v>8393</v>
      </c>
      <c r="AH143" s="59" t="s">
        <v>691</v>
      </c>
      <c r="AI143" s="59" t="s">
        <v>6839</v>
      </c>
      <c r="AJ143" s="61">
        <v>29769</v>
      </c>
      <c r="AK143" s="60" t="s">
        <v>1862</v>
      </c>
      <c r="AL143" s="60" t="s">
        <v>602</v>
      </c>
      <c r="AM143" s="59" t="s">
        <v>1820</v>
      </c>
      <c r="AN143" s="60" t="s">
        <v>1863</v>
      </c>
      <c r="AO143" s="60"/>
      <c r="AP143" s="59" t="s">
        <v>1864</v>
      </c>
      <c r="AQ143" s="25" t="s">
        <v>1865</v>
      </c>
      <c r="AR143" s="60" t="s">
        <v>1866</v>
      </c>
      <c r="AS143" s="59" t="s">
        <v>1867</v>
      </c>
      <c r="AT143" s="59" t="s">
        <v>1868</v>
      </c>
      <c r="AU143" s="59" t="s">
        <v>111</v>
      </c>
      <c r="AV143" s="62"/>
      <c r="AW143" s="59" t="s">
        <v>7908</v>
      </c>
      <c r="AX143" s="59" t="s">
        <v>691</v>
      </c>
      <c r="AY143" s="59" t="s">
        <v>6846</v>
      </c>
      <c r="AZ143" s="126">
        <v>30943</v>
      </c>
      <c r="BA143" s="60" t="s">
        <v>1869</v>
      </c>
      <c r="BB143" s="60" t="s">
        <v>845</v>
      </c>
      <c r="BC143" s="59" t="s">
        <v>1870</v>
      </c>
      <c r="BD143" s="60" t="s">
        <v>1871</v>
      </c>
      <c r="BE143" s="60"/>
      <c r="BF143" s="60"/>
      <c r="BG143" s="59" t="s">
        <v>1864</v>
      </c>
      <c r="BH143" s="60" t="s">
        <v>1865</v>
      </c>
      <c r="BI143" s="60" t="s">
        <v>1866</v>
      </c>
      <c r="BJ143" s="24" t="s">
        <v>1867</v>
      </c>
      <c r="BK143" s="59" t="s">
        <v>1868</v>
      </c>
      <c r="BL143" s="59" t="s">
        <v>1214</v>
      </c>
      <c r="BM143" s="62"/>
      <c r="BN143" s="62"/>
      <c r="BO143" s="59" t="s">
        <v>719</v>
      </c>
      <c r="BP143" s="59"/>
      <c r="BQ143" s="77"/>
      <c r="BR143" s="60"/>
      <c r="BS143" s="60"/>
      <c r="BT143" s="59"/>
      <c r="BU143" s="60"/>
      <c r="BV143" s="60"/>
      <c r="BW143" s="59"/>
      <c r="BX143" s="60"/>
      <c r="BY143" s="60"/>
      <c r="BZ143" s="59"/>
      <c r="CA143" s="59"/>
      <c r="CB143" s="59"/>
      <c r="CC143" s="59"/>
      <c r="CD143" s="59"/>
      <c r="CE143" s="59" t="s">
        <v>7445</v>
      </c>
      <c r="CF143" s="60" t="s">
        <v>1865</v>
      </c>
      <c r="CG143" s="59" t="s">
        <v>7117</v>
      </c>
      <c r="CH143" s="59" t="s">
        <v>7118</v>
      </c>
      <c r="CI143" s="59" t="s">
        <v>6744</v>
      </c>
      <c r="CJ143" s="59" t="s">
        <v>111</v>
      </c>
      <c r="CK143" s="47"/>
      <c r="CL143" s="64" t="str">
        <f t="shared" ca="1" si="2"/>
        <v>16 Tahun 4 Bulan 11 Hari</v>
      </c>
      <c r="CM14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Jl.Banteng No.2 RT/RW 02/12 Desa/Kelurahan Kranji Kecamatan Bekasi Barat Kota Bekasi Jawa Barat </v>
      </c>
    </row>
    <row r="144" spans="1:91" ht="24.95" customHeight="1">
      <c r="A144" s="58">
        <f>SUBTOTAL(3,N$8:Table2[[#This Row],[Nama lengkap]])</f>
        <v>137</v>
      </c>
      <c r="B144" s="58" t="s">
        <v>86</v>
      </c>
      <c r="C144" s="58">
        <v>2020</v>
      </c>
      <c r="D144" s="58"/>
      <c r="E144" s="58">
        <v>3</v>
      </c>
      <c r="F144" s="58" t="s">
        <v>1845</v>
      </c>
      <c r="G144" s="32" t="s">
        <v>2513</v>
      </c>
      <c r="H144" s="32" t="s">
        <v>2513</v>
      </c>
      <c r="I144" s="32" t="s">
        <v>2513</v>
      </c>
      <c r="J144" s="32"/>
      <c r="K144" s="32"/>
      <c r="L144" s="32"/>
      <c r="M144" s="58">
        <v>20210191</v>
      </c>
      <c r="N144" s="24" t="s">
        <v>8772</v>
      </c>
      <c r="O144" s="24"/>
      <c r="P144" s="25" t="s">
        <v>8978</v>
      </c>
      <c r="Q144" s="25" t="s">
        <v>1872</v>
      </c>
      <c r="R144" s="60" t="s">
        <v>90</v>
      </c>
      <c r="S144" s="61" t="s">
        <v>1873</v>
      </c>
      <c r="T144" s="47" t="s">
        <v>92</v>
      </c>
      <c r="U144" s="47">
        <v>3</v>
      </c>
      <c r="V144" s="47">
        <v>2</v>
      </c>
      <c r="W144" s="47" t="s">
        <v>207</v>
      </c>
      <c r="X144" s="59"/>
      <c r="Y144" s="59" t="s">
        <v>1012</v>
      </c>
      <c r="Z144" s="59" t="s">
        <v>1874</v>
      </c>
      <c r="AA144" s="59" t="s">
        <v>96</v>
      </c>
      <c r="AB144" s="59" t="s">
        <v>689</v>
      </c>
      <c r="AC144" s="59" t="s">
        <v>208</v>
      </c>
      <c r="AD144" s="59" t="s">
        <v>208</v>
      </c>
      <c r="AE144" s="60" t="s">
        <v>1875</v>
      </c>
      <c r="AF144" s="60" t="s">
        <v>7909</v>
      </c>
      <c r="AG144" s="59" t="s">
        <v>8394</v>
      </c>
      <c r="AH144" s="59" t="s">
        <v>1071</v>
      </c>
      <c r="AI144" s="59"/>
      <c r="AJ144" s="61"/>
      <c r="AK144" s="60"/>
      <c r="AL144" s="60"/>
      <c r="AM144" s="59"/>
      <c r="AN144" s="60"/>
      <c r="AO144" s="60"/>
      <c r="AP144" s="59"/>
      <c r="AQ144" s="25"/>
      <c r="AR144" s="60"/>
      <c r="AS144" s="59"/>
      <c r="AT144" s="59"/>
      <c r="AU144" s="59" t="s">
        <v>111</v>
      </c>
      <c r="AV144" s="62"/>
      <c r="AW144" s="59" t="s">
        <v>7909</v>
      </c>
      <c r="AX144" s="59" t="s">
        <v>691</v>
      </c>
      <c r="AY144" s="59" t="s">
        <v>90</v>
      </c>
      <c r="AZ144" s="126">
        <v>26670</v>
      </c>
      <c r="BA144" s="60" t="s">
        <v>1876</v>
      </c>
      <c r="BB144" s="60" t="s">
        <v>845</v>
      </c>
      <c r="BC144" s="59" t="s">
        <v>800</v>
      </c>
      <c r="BD144" s="60" t="s">
        <v>1877</v>
      </c>
      <c r="BE144" s="60"/>
      <c r="BF144" s="60"/>
      <c r="BG144" s="59"/>
      <c r="BH144" s="60" t="s">
        <v>1878</v>
      </c>
      <c r="BI144" s="60" t="s">
        <v>1879</v>
      </c>
      <c r="BJ144" s="24" t="s">
        <v>1006</v>
      </c>
      <c r="BK144" s="59" t="s">
        <v>1706</v>
      </c>
      <c r="BL144" s="59" t="s">
        <v>156</v>
      </c>
      <c r="BM144" s="62"/>
      <c r="BN144" s="62"/>
      <c r="BO144" s="59"/>
      <c r="BP144" s="59"/>
      <c r="BQ144" s="77"/>
      <c r="BR144" s="60"/>
      <c r="BS144" s="60"/>
      <c r="BT144" s="59"/>
      <c r="BU144" s="60"/>
      <c r="BV144" s="60"/>
      <c r="BW144" s="59"/>
      <c r="BX144" s="60"/>
      <c r="BY144" s="60"/>
      <c r="BZ144" s="59"/>
      <c r="CA144" s="59"/>
      <c r="CB144" s="59"/>
      <c r="CC144" s="59"/>
      <c r="CD144" s="59"/>
      <c r="CE144" s="59"/>
      <c r="CF144" s="60" t="s">
        <v>1878</v>
      </c>
      <c r="CG144" s="59" t="s">
        <v>7119</v>
      </c>
      <c r="CH144" s="59" t="s">
        <v>6995</v>
      </c>
      <c r="CI144" s="59" t="s">
        <v>644</v>
      </c>
      <c r="CJ144" s="59" t="s">
        <v>111</v>
      </c>
      <c r="CK144" s="47"/>
      <c r="CL144" s="64" t="str">
        <f t="shared" ca="1" si="2"/>
        <v>17 Tahun 10 Bulan 11 Hari</v>
      </c>
      <c r="CM14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RT/RW 07/05 Desa/Kelurahan Babakan Tarogong Kecamatan Bojongloa Kaler Kota Bandung Jawa Barat </v>
      </c>
    </row>
    <row r="145" spans="1:91" ht="24.95" customHeight="1">
      <c r="A145" s="58">
        <f>SUBTOTAL(3,N$8:Table2[[#This Row],[Nama lengkap]])</f>
        <v>138</v>
      </c>
      <c r="B145" s="58" t="s">
        <v>86</v>
      </c>
      <c r="C145" s="58">
        <v>2021</v>
      </c>
      <c r="D145" s="58"/>
      <c r="E145" s="58">
        <v>3</v>
      </c>
      <c r="F145" s="58" t="s">
        <v>1845</v>
      </c>
      <c r="G145" s="32" t="s">
        <v>2513</v>
      </c>
      <c r="H145" s="32" t="s">
        <v>2513</v>
      </c>
      <c r="I145" s="32" t="s">
        <v>2513</v>
      </c>
      <c r="J145" s="32"/>
      <c r="K145" s="32"/>
      <c r="L145" s="32"/>
      <c r="M145" s="58">
        <v>21220121</v>
      </c>
      <c r="N145" s="40" t="s">
        <v>8773</v>
      </c>
      <c r="O145" s="40"/>
      <c r="P145" s="25" t="s">
        <v>8960</v>
      </c>
      <c r="Q145" s="25" t="s">
        <v>1880</v>
      </c>
      <c r="R145" s="60" t="s">
        <v>90</v>
      </c>
      <c r="S145" s="61" t="s">
        <v>1881</v>
      </c>
      <c r="T145" s="47" t="s">
        <v>92</v>
      </c>
      <c r="U145" s="47">
        <v>3</v>
      </c>
      <c r="V145" s="47">
        <v>2</v>
      </c>
      <c r="W145" s="47" t="s">
        <v>207</v>
      </c>
      <c r="X145" s="59" t="s">
        <v>93</v>
      </c>
      <c r="Y145" s="59" t="s">
        <v>706</v>
      </c>
      <c r="Z145" s="59" t="s">
        <v>1882</v>
      </c>
      <c r="AA145" s="59" t="s">
        <v>96</v>
      </c>
      <c r="AB145" s="59" t="s">
        <v>689</v>
      </c>
      <c r="AC145" s="59" t="s">
        <v>208</v>
      </c>
      <c r="AD145" s="59" t="s">
        <v>208</v>
      </c>
      <c r="AE145" s="60" t="s">
        <v>1883</v>
      </c>
      <c r="AF145" s="60" t="s">
        <v>8395</v>
      </c>
      <c r="AG145" s="59" t="s">
        <v>8395</v>
      </c>
      <c r="AH145" s="59" t="s">
        <v>691</v>
      </c>
      <c r="AI145" s="59" t="s">
        <v>3137</v>
      </c>
      <c r="AJ145" s="61">
        <v>28551</v>
      </c>
      <c r="AK145" s="60" t="s">
        <v>1884</v>
      </c>
      <c r="AL145" s="60" t="s">
        <v>914</v>
      </c>
      <c r="AM145" s="59" t="s">
        <v>700</v>
      </c>
      <c r="AN145" s="60"/>
      <c r="AO145" s="60"/>
      <c r="AP145" s="59" t="s">
        <v>1885</v>
      </c>
      <c r="AQ145" s="25" t="s">
        <v>1886</v>
      </c>
      <c r="AR145" s="60" t="s">
        <v>1887</v>
      </c>
      <c r="AS145" s="59" t="s">
        <v>1888</v>
      </c>
      <c r="AT145" s="59" t="s">
        <v>1706</v>
      </c>
      <c r="AU145" s="59" t="s">
        <v>111</v>
      </c>
      <c r="AV145" s="62">
        <v>40213</v>
      </c>
      <c r="AW145" s="59" t="s">
        <v>7910</v>
      </c>
      <c r="AX145" s="59" t="s">
        <v>691</v>
      </c>
      <c r="AY145" s="59" t="s">
        <v>90</v>
      </c>
      <c r="AZ145" s="126">
        <v>29071</v>
      </c>
      <c r="BA145" s="60" t="s">
        <v>1889</v>
      </c>
      <c r="BB145" s="60" t="s">
        <v>602</v>
      </c>
      <c r="BC145" s="59" t="s">
        <v>700</v>
      </c>
      <c r="BD145" s="60"/>
      <c r="BE145" s="60"/>
      <c r="BF145" s="60"/>
      <c r="BG145" s="59" t="s">
        <v>1885</v>
      </c>
      <c r="BH145" s="60" t="s">
        <v>1886</v>
      </c>
      <c r="BI145" s="60" t="s">
        <v>1887</v>
      </c>
      <c r="BJ145" s="24" t="s">
        <v>1888</v>
      </c>
      <c r="BK145" s="59" t="s">
        <v>1706</v>
      </c>
      <c r="BL145" s="59" t="s">
        <v>156</v>
      </c>
      <c r="BM145" s="62" t="s">
        <v>1664</v>
      </c>
      <c r="BN145" s="62"/>
      <c r="BO145" s="59" t="s">
        <v>719</v>
      </c>
      <c r="BP145" s="59"/>
      <c r="BQ145" s="77"/>
      <c r="BR145" s="60"/>
      <c r="BS145" s="60"/>
      <c r="BT145" s="59"/>
      <c r="BU145" s="60"/>
      <c r="BV145" s="60"/>
      <c r="BW145" s="59"/>
      <c r="BX145" s="60"/>
      <c r="BY145" s="60"/>
      <c r="BZ145" s="59"/>
      <c r="CA145" s="59"/>
      <c r="CB145" s="59"/>
      <c r="CC145" s="59"/>
      <c r="CD145" s="59"/>
      <c r="CE145" s="59" t="s">
        <v>7446</v>
      </c>
      <c r="CF145" s="60" t="s">
        <v>1886</v>
      </c>
      <c r="CG145" s="59" t="s">
        <v>7120</v>
      </c>
      <c r="CH145" s="59" t="s">
        <v>744</v>
      </c>
      <c r="CI145" s="59" t="s">
        <v>644</v>
      </c>
      <c r="CJ145" s="59" t="s">
        <v>111</v>
      </c>
      <c r="CK145" s="47">
        <v>40213</v>
      </c>
      <c r="CL145" s="64" t="str">
        <f t="shared" ca="1" si="2"/>
        <v>17 Tahun 9 Bulan 25 Hari</v>
      </c>
      <c r="CM14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Gg.Manunggal Iic RT/RW 06/10 Desa/Kelurahan Cijerah Kecamatan Bandung Kulon Kota Bandung Jawa Barat 40213</v>
      </c>
    </row>
    <row r="146" spans="1:91" ht="24.95" customHeight="1">
      <c r="A146" s="58">
        <f>SUBTOTAL(3,N$8:Table2[[#This Row],[Nama lengkap]])</f>
        <v>139</v>
      </c>
      <c r="B146" s="58" t="s">
        <v>86</v>
      </c>
      <c r="C146" s="58">
        <v>2022</v>
      </c>
      <c r="D146" s="58"/>
      <c r="E146" s="58">
        <v>3</v>
      </c>
      <c r="F146" s="58" t="s">
        <v>1845</v>
      </c>
      <c r="G146" s="32" t="s">
        <v>2513</v>
      </c>
      <c r="H146" s="32" t="s">
        <v>2513</v>
      </c>
      <c r="I146" s="32" t="s">
        <v>2513</v>
      </c>
      <c r="J146" s="32"/>
      <c r="K146" s="32"/>
      <c r="L146" s="32"/>
      <c r="M146" s="58">
        <v>22230018</v>
      </c>
      <c r="N146" s="24" t="s">
        <v>8774</v>
      </c>
      <c r="O146" s="24"/>
      <c r="P146" s="25" t="s">
        <v>1891</v>
      </c>
      <c r="Q146" s="25" t="s">
        <v>1892</v>
      </c>
      <c r="R146" s="60" t="s">
        <v>90</v>
      </c>
      <c r="S146" s="61" t="s">
        <v>1893</v>
      </c>
      <c r="T146" s="47" t="s">
        <v>92</v>
      </c>
      <c r="U146" s="47">
        <v>1</v>
      </c>
      <c r="V146" s="47">
        <v>2</v>
      </c>
      <c r="W146" s="47" t="s">
        <v>207</v>
      </c>
      <c r="X146" s="59" t="s">
        <v>123</v>
      </c>
      <c r="Y146" s="59" t="s">
        <v>1894</v>
      </c>
      <c r="Z146" s="59" t="s">
        <v>1895</v>
      </c>
      <c r="AA146" s="59" t="s">
        <v>1141</v>
      </c>
      <c r="AB146" s="59" t="s">
        <v>689</v>
      </c>
      <c r="AC146" s="59" t="s">
        <v>208</v>
      </c>
      <c r="AD146" s="59" t="s">
        <v>208</v>
      </c>
      <c r="AE146" s="60" t="s">
        <v>1896</v>
      </c>
      <c r="AF146" s="60" t="s">
        <v>8396</v>
      </c>
      <c r="AG146" s="59" t="s">
        <v>8397</v>
      </c>
      <c r="AH146" s="59" t="s">
        <v>691</v>
      </c>
      <c r="AI146" s="59" t="s">
        <v>90</v>
      </c>
      <c r="AJ146" s="61">
        <v>29931</v>
      </c>
      <c r="AK146" s="60" t="s">
        <v>1897</v>
      </c>
      <c r="AL146" s="60" t="s">
        <v>114</v>
      </c>
      <c r="AM146" s="59" t="s">
        <v>1898</v>
      </c>
      <c r="AN146" s="60" t="s">
        <v>1899</v>
      </c>
      <c r="AO146" s="60"/>
      <c r="AP146" s="59" t="s">
        <v>1900</v>
      </c>
      <c r="AQ146" s="25" t="s">
        <v>1901</v>
      </c>
      <c r="AR146" s="60" t="s">
        <v>714</v>
      </c>
      <c r="AS146" s="59" t="s">
        <v>1077</v>
      </c>
      <c r="AT146" s="59" t="s">
        <v>141</v>
      </c>
      <c r="AU146" s="59" t="s">
        <v>111</v>
      </c>
      <c r="AV146" s="62"/>
      <c r="AW146" s="59" t="s">
        <v>7911</v>
      </c>
      <c r="AX146" s="59" t="s">
        <v>691</v>
      </c>
      <c r="AY146" s="59" t="s">
        <v>135</v>
      </c>
      <c r="AZ146" s="126">
        <v>30222</v>
      </c>
      <c r="BA146" s="60" t="s">
        <v>1902</v>
      </c>
      <c r="BB146" s="60" t="s">
        <v>845</v>
      </c>
      <c r="BC146" s="59" t="s">
        <v>1898</v>
      </c>
      <c r="BD146" s="60" t="s">
        <v>1903</v>
      </c>
      <c r="BE146" s="60"/>
      <c r="BF146" s="60"/>
      <c r="BG146" s="59" t="s">
        <v>1900</v>
      </c>
      <c r="BH146" s="60" t="s">
        <v>1901</v>
      </c>
      <c r="BI146" s="60" t="s">
        <v>714</v>
      </c>
      <c r="BJ146" s="24" t="s">
        <v>1077</v>
      </c>
      <c r="BK146" s="59" t="s">
        <v>141</v>
      </c>
      <c r="BL146" s="59" t="s">
        <v>156</v>
      </c>
      <c r="BM146" s="62"/>
      <c r="BN146" s="62"/>
      <c r="BO146" s="59"/>
      <c r="BP146" s="59"/>
      <c r="BQ146" s="77"/>
      <c r="BR146" s="60"/>
      <c r="BS146" s="60"/>
      <c r="BT146" s="59"/>
      <c r="BU146" s="60"/>
      <c r="BV146" s="60"/>
      <c r="BW146" s="59"/>
      <c r="BX146" s="60"/>
      <c r="BY146" s="60"/>
      <c r="BZ146" s="59"/>
      <c r="CA146" s="59"/>
      <c r="CB146" s="59"/>
      <c r="CC146" s="59"/>
      <c r="CD146" s="59"/>
      <c r="CE146" s="59" t="s">
        <v>7447</v>
      </c>
      <c r="CF146" s="60" t="s">
        <v>1901</v>
      </c>
      <c r="CG146" s="59" t="s">
        <v>7082</v>
      </c>
      <c r="CH146" s="59" t="s">
        <v>7047</v>
      </c>
      <c r="CI146" s="59" t="s">
        <v>90</v>
      </c>
      <c r="CJ146" s="59" t="s">
        <v>111</v>
      </c>
      <c r="CK146" s="47"/>
      <c r="CL146" s="64" t="str">
        <f t="shared" ca="1" si="2"/>
        <v>18 Tahun 10 Bulan 1 Hari</v>
      </c>
      <c r="CM14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Komp. Gbi K.5 No 31 RT/RW 10/11 Desa/Kelurahan Buahbatu Kecamatan Bojongsoang Bandung Jawa Barat </v>
      </c>
    </row>
    <row r="147" spans="1:91" ht="24.95" customHeight="1">
      <c r="A147" s="58">
        <f>SUBTOTAL(3,N$8:Table2[[#This Row],[Nama lengkap]])</f>
        <v>140</v>
      </c>
      <c r="B147" s="58" t="s">
        <v>86</v>
      </c>
      <c r="C147" s="58">
        <v>2022</v>
      </c>
      <c r="D147" s="58"/>
      <c r="E147" s="58">
        <v>3</v>
      </c>
      <c r="F147" s="58" t="s">
        <v>1845</v>
      </c>
      <c r="G147" s="32" t="s">
        <v>2513</v>
      </c>
      <c r="H147" s="32" t="s">
        <v>2513</v>
      </c>
      <c r="I147" s="32" t="s">
        <v>2513</v>
      </c>
      <c r="J147" s="32"/>
      <c r="K147" s="32"/>
      <c r="L147" s="32"/>
      <c r="M147" s="58">
        <v>22230003</v>
      </c>
      <c r="N147" s="24" t="s">
        <v>5943</v>
      </c>
      <c r="O147" s="24"/>
      <c r="P147" s="25" t="s">
        <v>1904</v>
      </c>
      <c r="Q147" s="25" t="s">
        <v>1905</v>
      </c>
      <c r="R147" s="60" t="s">
        <v>90</v>
      </c>
      <c r="S147" s="61" t="s">
        <v>1906</v>
      </c>
      <c r="T147" s="47" t="s">
        <v>92</v>
      </c>
      <c r="U147" s="47">
        <v>1</v>
      </c>
      <c r="V147" s="47">
        <v>1</v>
      </c>
      <c r="W147" s="47" t="s">
        <v>207</v>
      </c>
      <c r="X147" s="59" t="s">
        <v>303</v>
      </c>
      <c r="Y147" s="59" t="s">
        <v>1907</v>
      </c>
      <c r="Z147" s="59" t="s">
        <v>1168</v>
      </c>
      <c r="AA147" s="59" t="s">
        <v>96</v>
      </c>
      <c r="AB147" s="59" t="s">
        <v>689</v>
      </c>
      <c r="AC147" s="59" t="s">
        <v>208</v>
      </c>
      <c r="AD147" s="59" t="s">
        <v>208</v>
      </c>
      <c r="AE147" s="60" t="s">
        <v>1908</v>
      </c>
      <c r="AF147" s="60" t="s">
        <v>8398</v>
      </c>
      <c r="AG147" s="59" t="s">
        <v>8398</v>
      </c>
      <c r="AH147" s="59" t="s">
        <v>691</v>
      </c>
      <c r="AI147" s="59" t="s">
        <v>90</v>
      </c>
      <c r="AJ147" s="61">
        <v>31150</v>
      </c>
      <c r="AK147" s="60" t="s">
        <v>1909</v>
      </c>
      <c r="AL147" s="60" t="s">
        <v>602</v>
      </c>
      <c r="AM147" s="59" t="s">
        <v>800</v>
      </c>
      <c r="AN147" s="60" t="s">
        <v>1910</v>
      </c>
      <c r="AO147" s="60"/>
      <c r="AP147" s="59" t="s">
        <v>1911</v>
      </c>
      <c r="AQ147" s="25" t="s">
        <v>1493</v>
      </c>
      <c r="AR147" s="60" t="s">
        <v>1912</v>
      </c>
      <c r="AS147" s="59" t="s">
        <v>1913</v>
      </c>
      <c r="AT147" s="59" t="s">
        <v>141</v>
      </c>
      <c r="AU147" s="59" t="s">
        <v>111</v>
      </c>
      <c r="AV147" s="62">
        <v>40971</v>
      </c>
      <c r="AW147" s="59" t="s">
        <v>7912</v>
      </c>
      <c r="AX147" s="59" t="s">
        <v>691</v>
      </c>
      <c r="AY147" s="59" t="s">
        <v>90</v>
      </c>
      <c r="AZ147" s="126" t="s">
        <v>1914</v>
      </c>
      <c r="BA147" s="60" t="s">
        <v>1915</v>
      </c>
      <c r="BB147" s="60" t="s">
        <v>845</v>
      </c>
      <c r="BC147" s="59" t="s">
        <v>800</v>
      </c>
      <c r="BD147" s="60" t="s">
        <v>1916</v>
      </c>
      <c r="BE147" s="60"/>
      <c r="BF147" s="60"/>
      <c r="BG147" s="59" t="s">
        <v>1911</v>
      </c>
      <c r="BH147" s="60" t="s">
        <v>1493</v>
      </c>
      <c r="BI147" s="60" t="s">
        <v>1912</v>
      </c>
      <c r="BJ147" s="24" t="s">
        <v>1913</v>
      </c>
      <c r="BK147" s="59" t="s">
        <v>141</v>
      </c>
      <c r="BL147" s="59" t="s">
        <v>156</v>
      </c>
      <c r="BM147" s="62"/>
      <c r="BN147" s="62"/>
      <c r="BO147" s="59" t="s">
        <v>719</v>
      </c>
      <c r="BP147" s="59"/>
      <c r="BQ147" s="77"/>
      <c r="BR147" s="60"/>
      <c r="BS147" s="60"/>
      <c r="BT147" s="59"/>
      <c r="BU147" s="60"/>
      <c r="BV147" s="60"/>
      <c r="BW147" s="59"/>
      <c r="BX147" s="60"/>
      <c r="BY147" s="60"/>
      <c r="BZ147" s="59"/>
      <c r="CA147" s="59"/>
      <c r="CB147" s="59"/>
      <c r="CC147" s="59"/>
      <c r="CD147" s="59"/>
      <c r="CE147" s="59" t="s">
        <v>7448</v>
      </c>
      <c r="CF147" s="60" t="s">
        <v>1493</v>
      </c>
      <c r="CG147" s="59" t="s">
        <v>7121</v>
      </c>
      <c r="CH147" s="59" t="s">
        <v>110</v>
      </c>
      <c r="CI147" s="59" t="s">
        <v>90</v>
      </c>
      <c r="CJ147" s="59" t="s">
        <v>111</v>
      </c>
      <c r="CK147" s="47">
        <v>40971</v>
      </c>
      <c r="CL147" s="64" t="str">
        <f t="shared" ca="1" si="2"/>
        <v>16 Tahun 2 Bulan 30 Hari</v>
      </c>
      <c r="CM14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Kp.Pangauban RT/RW 02/11 Desa/Kelurahan Pangauban Kecamatan Katapang Bandung Jawa Barat 40971</v>
      </c>
    </row>
    <row r="148" spans="1:91" ht="24.95" customHeight="1">
      <c r="A148" s="58">
        <f>SUBTOTAL(3,N$8:Table2[[#This Row],[Nama lengkap]])</f>
        <v>141</v>
      </c>
      <c r="B148" s="58" t="s">
        <v>86</v>
      </c>
      <c r="C148" s="58">
        <v>2022</v>
      </c>
      <c r="D148" s="58"/>
      <c r="E148" s="58">
        <v>3</v>
      </c>
      <c r="F148" s="58" t="s">
        <v>1845</v>
      </c>
      <c r="G148" s="32" t="s">
        <v>2513</v>
      </c>
      <c r="H148" s="32" t="s">
        <v>2513</v>
      </c>
      <c r="I148" s="32" t="s">
        <v>2513</v>
      </c>
      <c r="J148" s="32"/>
      <c r="K148" s="32"/>
      <c r="L148" s="32"/>
      <c r="M148" s="58">
        <v>22230076</v>
      </c>
      <c r="N148" s="24" t="s">
        <v>5944</v>
      </c>
      <c r="O148" s="24"/>
      <c r="P148" s="25" t="s">
        <v>1917</v>
      </c>
      <c r="Q148" s="25" t="s">
        <v>1918</v>
      </c>
      <c r="R148" s="60" t="s">
        <v>90</v>
      </c>
      <c r="S148" s="61" t="s">
        <v>1225</v>
      </c>
      <c r="T148" s="47" t="s">
        <v>92</v>
      </c>
      <c r="U148" s="47">
        <v>1</v>
      </c>
      <c r="V148" s="47">
        <v>2</v>
      </c>
      <c r="W148" s="47" t="s">
        <v>207</v>
      </c>
      <c r="X148" s="59" t="s">
        <v>93</v>
      </c>
      <c r="Y148" s="59" t="s">
        <v>1711</v>
      </c>
      <c r="Z148" s="59" t="s">
        <v>1168</v>
      </c>
      <c r="AA148" s="59" t="s">
        <v>96</v>
      </c>
      <c r="AB148" s="59" t="s">
        <v>689</v>
      </c>
      <c r="AC148" s="59" t="s">
        <v>208</v>
      </c>
      <c r="AD148" s="59" t="s">
        <v>208</v>
      </c>
      <c r="AE148" s="60" t="s">
        <v>1919</v>
      </c>
      <c r="AF148" s="60" t="s">
        <v>8399</v>
      </c>
      <c r="AG148" s="59" t="s">
        <v>8399</v>
      </c>
      <c r="AH148" s="59" t="s">
        <v>691</v>
      </c>
      <c r="AI148" s="59" t="s">
        <v>90</v>
      </c>
      <c r="AJ148" s="61">
        <v>30087</v>
      </c>
      <c r="AK148" s="60" t="s">
        <v>1920</v>
      </c>
      <c r="AL148" s="60" t="s">
        <v>602</v>
      </c>
      <c r="AM148" s="59" t="s">
        <v>1728</v>
      </c>
      <c r="AN148" s="60" t="s">
        <v>1921</v>
      </c>
      <c r="AO148" s="60"/>
      <c r="AP148" s="59" t="s">
        <v>1922</v>
      </c>
      <c r="AQ148" s="25" t="s">
        <v>992</v>
      </c>
      <c r="AR148" s="60" t="s">
        <v>1923</v>
      </c>
      <c r="AS148" s="59" t="s">
        <v>1924</v>
      </c>
      <c r="AT148" s="59" t="s">
        <v>1706</v>
      </c>
      <c r="AU148" s="59" t="s">
        <v>111</v>
      </c>
      <c r="AV148" s="62">
        <v>40291</v>
      </c>
      <c r="AW148" s="59" t="s">
        <v>7913</v>
      </c>
      <c r="AX148" s="59" t="s">
        <v>691</v>
      </c>
      <c r="AY148" s="59" t="s">
        <v>90</v>
      </c>
      <c r="AZ148" s="126">
        <v>30938</v>
      </c>
      <c r="BA148" s="60" t="s">
        <v>1925</v>
      </c>
      <c r="BB148" s="60" t="s">
        <v>845</v>
      </c>
      <c r="BC148" s="59" t="s">
        <v>1820</v>
      </c>
      <c r="BD148" s="60" t="s">
        <v>1926</v>
      </c>
      <c r="BE148" s="60"/>
      <c r="BF148" s="60"/>
      <c r="BG148" s="59" t="s">
        <v>1922</v>
      </c>
      <c r="BH148" s="60" t="s">
        <v>992</v>
      </c>
      <c r="BI148" s="60" t="s">
        <v>1923</v>
      </c>
      <c r="BJ148" s="24" t="s">
        <v>1924</v>
      </c>
      <c r="BK148" s="59" t="s">
        <v>1706</v>
      </c>
      <c r="BL148" s="59" t="s">
        <v>156</v>
      </c>
      <c r="BM148" s="62"/>
      <c r="BN148" s="62"/>
      <c r="BO148" s="59" t="s">
        <v>701</v>
      </c>
      <c r="BP148" s="59"/>
      <c r="BQ148" s="77"/>
      <c r="BR148" s="60"/>
      <c r="BS148" s="60"/>
      <c r="BT148" s="59"/>
      <c r="BU148" s="60"/>
      <c r="BV148" s="60"/>
      <c r="BW148" s="59"/>
      <c r="BX148" s="60"/>
      <c r="BY148" s="60"/>
      <c r="BZ148" s="59"/>
      <c r="CA148" s="59"/>
      <c r="CB148" s="59"/>
      <c r="CC148" s="59"/>
      <c r="CD148" s="59"/>
      <c r="CE148" s="59" t="s">
        <v>7449</v>
      </c>
      <c r="CF148" s="60" t="s">
        <v>992</v>
      </c>
      <c r="CG148" s="59" t="s">
        <v>7122</v>
      </c>
      <c r="CH148" s="59" t="s">
        <v>7123</v>
      </c>
      <c r="CI148" s="59" t="s">
        <v>644</v>
      </c>
      <c r="CJ148" s="59" t="s">
        <v>111</v>
      </c>
      <c r="CK148" s="47">
        <v>40291</v>
      </c>
      <c r="CL148" s="64" t="str">
        <f t="shared" ca="1" si="2"/>
        <v>16 Tahun 4 Bulan 25 Hari</v>
      </c>
      <c r="CM14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Jl.Sindang Sari 1 Gg.Mekarsari 5 No.4 RT/RW 05/08 Desa/Kelurahan Antapani Wetan Kecamatan Antapani Kota Bandung Jawa Barat 40291</v>
      </c>
    </row>
    <row r="149" spans="1:91" ht="24.95" customHeight="1">
      <c r="A149" s="58">
        <f>SUBTOTAL(3,N$8:Table2[[#This Row],[Nama lengkap]])</f>
        <v>142</v>
      </c>
      <c r="B149" s="58" t="s">
        <v>86</v>
      </c>
      <c r="C149" s="58">
        <v>2022</v>
      </c>
      <c r="D149" s="58"/>
      <c r="E149" s="58">
        <v>3</v>
      </c>
      <c r="F149" s="58" t="s">
        <v>1845</v>
      </c>
      <c r="G149" s="32" t="s">
        <v>2513</v>
      </c>
      <c r="H149" s="32" t="s">
        <v>2513</v>
      </c>
      <c r="I149" s="32" t="s">
        <v>2513</v>
      </c>
      <c r="J149" s="32"/>
      <c r="K149" s="32"/>
      <c r="L149" s="32"/>
      <c r="M149" s="84">
        <v>22230030</v>
      </c>
      <c r="N149" s="24" t="s">
        <v>8775</v>
      </c>
      <c r="O149" s="24"/>
      <c r="P149" s="25" t="s">
        <v>1927</v>
      </c>
      <c r="Q149" s="25" t="s">
        <v>1928</v>
      </c>
      <c r="R149" s="60" t="s">
        <v>90</v>
      </c>
      <c r="S149" s="61" t="s">
        <v>1929</v>
      </c>
      <c r="T149" s="47" t="s">
        <v>92</v>
      </c>
      <c r="U149" s="47">
        <v>3</v>
      </c>
      <c r="V149" s="47">
        <v>3</v>
      </c>
      <c r="W149" s="47" t="s">
        <v>207</v>
      </c>
      <c r="X149" s="59" t="s">
        <v>984</v>
      </c>
      <c r="Y149" s="59" t="s">
        <v>706</v>
      </c>
      <c r="Z149" s="59" t="s">
        <v>986</v>
      </c>
      <c r="AA149" s="59" t="s">
        <v>96</v>
      </c>
      <c r="AB149" s="59" t="s">
        <v>689</v>
      </c>
      <c r="AC149" s="59" t="s">
        <v>208</v>
      </c>
      <c r="AD149" s="59" t="s">
        <v>208</v>
      </c>
      <c r="AE149" s="60" t="s">
        <v>1930</v>
      </c>
      <c r="AF149" s="60" t="s">
        <v>8400</v>
      </c>
      <c r="AG149" s="59" t="s">
        <v>8401</v>
      </c>
      <c r="AH149" s="59" t="s">
        <v>1153</v>
      </c>
      <c r="AI149" s="59"/>
      <c r="AJ149" s="61"/>
      <c r="AK149" s="60"/>
      <c r="AL149" s="60"/>
      <c r="AM149" s="59"/>
      <c r="AN149" s="60"/>
      <c r="AO149" s="60"/>
      <c r="AP149" s="59"/>
      <c r="AQ149" s="25"/>
      <c r="AR149" s="60"/>
      <c r="AS149" s="59"/>
      <c r="AT149" s="59"/>
      <c r="AU149" s="59" t="s">
        <v>111</v>
      </c>
      <c r="AV149" s="62"/>
      <c r="AW149" s="59" t="s">
        <v>7914</v>
      </c>
      <c r="AX149" s="59" t="s">
        <v>691</v>
      </c>
      <c r="AY149" s="59" t="s">
        <v>90</v>
      </c>
      <c r="AZ149" s="126">
        <v>25481</v>
      </c>
      <c r="BA149" s="60" t="s">
        <v>1932</v>
      </c>
      <c r="BB149" s="60" t="s">
        <v>845</v>
      </c>
      <c r="BC149" s="59" t="s">
        <v>800</v>
      </c>
      <c r="BD149" s="60" t="s">
        <v>1933</v>
      </c>
      <c r="BE149" s="60"/>
      <c r="BF149" s="60"/>
      <c r="BG149" s="59" t="s">
        <v>1934</v>
      </c>
      <c r="BH149" s="60" t="s">
        <v>1935</v>
      </c>
      <c r="BI149" s="60" t="s">
        <v>1936</v>
      </c>
      <c r="BJ149" s="24" t="s">
        <v>1937</v>
      </c>
      <c r="BK149" s="59" t="s">
        <v>141</v>
      </c>
      <c r="BL149" s="59" t="s">
        <v>1938</v>
      </c>
      <c r="BM149" s="62"/>
      <c r="BN149" s="62"/>
      <c r="BO149" s="59" t="s">
        <v>1931</v>
      </c>
      <c r="BP149" s="59" t="s">
        <v>1939</v>
      </c>
      <c r="BQ149" s="77" t="s">
        <v>1940</v>
      </c>
      <c r="BR149" s="60" t="s">
        <v>1941</v>
      </c>
      <c r="BS149" s="60" t="s">
        <v>307</v>
      </c>
      <c r="BT149" s="59" t="s">
        <v>800</v>
      </c>
      <c r="BU149" s="60"/>
      <c r="BV149" s="60"/>
      <c r="BW149" s="59" t="s">
        <v>1942</v>
      </c>
      <c r="BX149" s="60" t="s">
        <v>1935</v>
      </c>
      <c r="BY149" s="60" t="s">
        <v>1936</v>
      </c>
      <c r="BZ149" s="59" t="s">
        <v>1937</v>
      </c>
      <c r="CA149" s="59" t="s">
        <v>141</v>
      </c>
      <c r="CB149" s="59" t="s">
        <v>156</v>
      </c>
      <c r="CC149" s="59">
        <v>40162</v>
      </c>
      <c r="CD149" s="59"/>
      <c r="CE149" s="59" t="s">
        <v>7450</v>
      </c>
      <c r="CF149" s="60" t="s">
        <v>1935</v>
      </c>
      <c r="CG149" s="59" t="s">
        <v>7124</v>
      </c>
      <c r="CH149" s="59" t="s">
        <v>7125</v>
      </c>
      <c r="CI149" s="59" t="s">
        <v>90</v>
      </c>
      <c r="CJ149" s="59" t="s">
        <v>7126</v>
      </c>
      <c r="CK149" s="47"/>
      <c r="CL149" s="64" t="str">
        <f t="shared" ca="1" si="2"/>
        <v>15 Tahun 9 Bulan 14 Hari</v>
      </c>
      <c r="CM14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Gg.H Yasin Viii RT/RW 10/02 Desa/Kelurahan Sukabungah Kecamatan Sukajadi Bandung Jawa Barat  </v>
      </c>
    </row>
    <row r="150" spans="1:91" ht="24.95" customHeight="1">
      <c r="A150" s="58">
        <f>SUBTOTAL(3,N$8:Table2[[#This Row],[Nama lengkap]])</f>
        <v>143</v>
      </c>
      <c r="B150" s="58" t="s">
        <v>86</v>
      </c>
      <c r="C150" s="58">
        <v>2022</v>
      </c>
      <c r="D150" s="58"/>
      <c r="E150" s="58">
        <v>3</v>
      </c>
      <c r="F150" s="58" t="s">
        <v>1845</v>
      </c>
      <c r="G150" s="32" t="s">
        <v>2513</v>
      </c>
      <c r="H150" s="32" t="s">
        <v>2513</v>
      </c>
      <c r="I150" s="32" t="s">
        <v>2513</v>
      </c>
      <c r="J150" s="32"/>
      <c r="K150" s="32"/>
      <c r="L150" s="32"/>
      <c r="M150" s="58">
        <v>22230170</v>
      </c>
      <c r="N150" s="24" t="s">
        <v>8776</v>
      </c>
      <c r="O150" s="24"/>
      <c r="P150" s="25" t="s">
        <v>1943</v>
      </c>
      <c r="Q150" s="25" t="s">
        <v>1944</v>
      </c>
      <c r="R150" s="60" t="s">
        <v>122</v>
      </c>
      <c r="S150" s="61" t="s">
        <v>1945</v>
      </c>
      <c r="T150" s="47" t="s">
        <v>92</v>
      </c>
      <c r="U150" s="47">
        <v>1</v>
      </c>
      <c r="V150" s="47">
        <v>1</v>
      </c>
      <c r="W150" s="47" t="s">
        <v>207</v>
      </c>
      <c r="X150" s="59" t="s">
        <v>984</v>
      </c>
      <c r="Y150" s="59" t="s">
        <v>1524</v>
      </c>
      <c r="Z150" s="59" t="s">
        <v>986</v>
      </c>
      <c r="AA150" s="59" t="s">
        <v>96</v>
      </c>
      <c r="AB150" s="59" t="s">
        <v>689</v>
      </c>
      <c r="AC150" s="59" t="s">
        <v>208</v>
      </c>
      <c r="AD150" s="59" t="s">
        <v>208</v>
      </c>
      <c r="AE150" s="60" t="s">
        <v>1946</v>
      </c>
      <c r="AF150" s="60" t="s">
        <v>8402</v>
      </c>
      <c r="AG150" s="59" t="s">
        <v>8402</v>
      </c>
      <c r="AH150" s="59" t="s">
        <v>691</v>
      </c>
      <c r="AI150" s="59" t="s">
        <v>122</v>
      </c>
      <c r="AJ150" s="61" t="s">
        <v>1947</v>
      </c>
      <c r="AK150" s="60" t="s">
        <v>1948</v>
      </c>
      <c r="AL150" s="60" t="s">
        <v>114</v>
      </c>
      <c r="AM150" s="59" t="s">
        <v>700</v>
      </c>
      <c r="AN150" s="60"/>
      <c r="AO150" s="60"/>
      <c r="AP150" s="59" t="s">
        <v>1949</v>
      </c>
      <c r="AQ150" s="25" t="s">
        <v>1334</v>
      </c>
      <c r="AR150" s="60" t="s">
        <v>1950</v>
      </c>
      <c r="AS150" s="59" t="s">
        <v>1951</v>
      </c>
      <c r="AT150" s="59" t="s">
        <v>1090</v>
      </c>
      <c r="AU150" s="59" t="s">
        <v>111</v>
      </c>
      <c r="AV150" s="62"/>
      <c r="AW150" s="59" t="s">
        <v>7915</v>
      </c>
      <c r="AX150" s="59" t="s">
        <v>691</v>
      </c>
      <c r="AY150" s="59" t="s">
        <v>122</v>
      </c>
      <c r="AZ150" s="126">
        <v>33588</v>
      </c>
      <c r="BA150" s="60" t="s">
        <v>1952</v>
      </c>
      <c r="BB150" s="60" t="s">
        <v>845</v>
      </c>
      <c r="BC150" s="59" t="s">
        <v>700</v>
      </c>
      <c r="BD150" s="60" t="s">
        <v>1953</v>
      </c>
      <c r="BE150" s="60"/>
      <c r="BF150" s="60"/>
      <c r="BG150" s="59" t="s">
        <v>1949</v>
      </c>
      <c r="BH150" s="60" t="s">
        <v>1334</v>
      </c>
      <c r="BI150" s="60" t="s">
        <v>1950</v>
      </c>
      <c r="BJ150" s="24" t="s">
        <v>1951</v>
      </c>
      <c r="BK150" s="59" t="s">
        <v>1090</v>
      </c>
      <c r="BL150" s="59" t="s">
        <v>156</v>
      </c>
      <c r="BM150" s="62"/>
      <c r="BN150" s="62"/>
      <c r="BO150" s="59" t="s">
        <v>719</v>
      </c>
      <c r="BP150" s="59"/>
      <c r="BQ150" s="77"/>
      <c r="BR150" s="60"/>
      <c r="BS150" s="60"/>
      <c r="BT150" s="59"/>
      <c r="BU150" s="60"/>
      <c r="BV150" s="60"/>
      <c r="BW150" s="59"/>
      <c r="BX150" s="60"/>
      <c r="BY150" s="60"/>
      <c r="BZ150" s="59"/>
      <c r="CA150" s="59"/>
      <c r="CB150" s="59"/>
      <c r="CC150" s="59"/>
      <c r="CD150" s="59"/>
      <c r="CE150" s="59" t="s">
        <v>7451</v>
      </c>
      <c r="CF150" s="60" t="s">
        <v>1334</v>
      </c>
      <c r="CG150" s="59" t="s">
        <v>7127</v>
      </c>
      <c r="CH150" s="59" t="s">
        <v>7128</v>
      </c>
      <c r="CI150" s="59" t="s">
        <v>122</v>
      </c>
      <c r="CJ150" s="59" t="s">
        <v>111</v>
      </c>
      <c r="CK150" s="47"/>
      <c r="CL150" s="64" t="str">
        <f t="shared" ca="1" si="2"/>
        <v>16 Tahun 2 Bulan 12 Hari</v>
      </c>
      <c r="CM15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Sukabakti RT/RW 02/06 Desa/Kelurahan Sukarapih Kecamatan Sukasari Sumedang Jawa Barat </v>
      </c>
    </row>
    <row r="151" spans="1:91" ht="24.95" customHeight="1">
      <c r="A151" s="58">
        <f>SUBTOTAL(3,N$8:Table2[[#This Row],[Nama lengkap]])</f>
        <v>144</v>
      </c>
      <c r="B151" s="58" t="s">
        <v>86</v>
      </c>
      <c r="C151" s="58">
        <v>2022</v>
      </c>
      <c r="D151" s="58"/>
      <c r="E151" s="58">
        <v>3</v>
      </c>
      <c r="F151" s="58" t="s">
        <v>1845</v>
      </c>
      <c r="G151" s="32" t="s">
        <v>2513</v>
      </c>
      <c r="H151" s="32" t="s">
        <v>2513</v>
      </c>
      <c r="I151" s="32" t="s">
        <v>2513</v>
      </c>
      <c r="J151" s="32"/>
      <c r="K151" s="32"/>
      <c r="L151" s="32"/>
      <c r="M151" s="58">
        <v>22230136</v>
      </c>
      <c r="N151" s="24" t="s">
        <v>5949</v>
      </c>
      <c r="O151" s="24"/>
      <c r="P151" s="25" t="s">
        <v>1964</v>
      </c>
      <c r="Q151" s="25" t="s">
        <v>1965</v>
      </c>
      <c r="R151" s="60" t="s">
        <v>90</v>
      </c>
      <c r="S151" s="61" t="s">
        <v>1966</v>
      </c>
      <c r="T151" s="47" t="s">
        <v>92</v>
      </c>
      <c r="U151" s="47">
        <v>1</v>
      </c>
      <c r="V151" s="47">
        <v>2</v>
      </c>
      <c r="W151" s="47" t="s">
        <v>207</v>
      </c>
      <c r="X151" s="59" t="s">
        <v>432</v>
      </c>
      <c r="Y151" s="59" t="s">
        <v>1967</v>
      </c>
      <c r="Z151" s="59" t="s">
        <v>1042</v>
      </c>
      <c r="AA151" s="59" t="s">
        <v>96</v>
      </c>
      <c r="AB151" s="59" t="s">
        <v>689</v>
      </c>
      <c r="AC151" s="59" t="s">
        <v>208</v>
      </c>
      <c r="AD151" s="59" t="s">
        <v>208</v>
      </c>
      <c r="AE151" s="60" t="s">
        <v>1968</v>
      </c>
      <c r="AF151" s="60" t="s">
        <v>8403</v>
      </c>
      <c r="AG151" s="59" t="s">
        <v>8403</v>
      </c>
      <c r="AH151" s="59" t="s">
        <v>691</v>
      </c>
      <c r="AI151" s="59" t="s">
        <v>90</v>
      </c>
      <c r="AJ151" s="61">
        <v>31192</v>
      </c>
      <c r="AK151" s="60" t="s">
        <v>1969</v>
      </c>
      <c r="AL151" s="60" t="s">
        <v>602</v>
      </c>
      <c r="AM151" s="59" t="s">
        <v>800</v>
      </c>
      <c r="AN151" s="60"/>
      <c r="AO151" s="60"/>
      <c r="AP151" s="59" t="s">
        <v>1970</v>
      </c>
      <c r="AQ151" s="25" t="s">
        <v>1122</v>
      </c>
      <c r="AR151" s="60" t="s">
        <v>1575</v>
      </c>
      <c r="AS151" s="59" t="s">
        <v>1576</v>
      </c>
      <c r="AT151" s="59" t="s">
        <v>163</v>
      </c>
      <c r="AU151" s="59" t="s">
        <v>111</v>
      </c>
      <c r="AV151" s="62"/>
      <c r="AW151" s="59" t="s">
        <v>7916</v>
      </c>
      <c r="AX151" s="59" t="s">
        <v>691</v>
      </c>
      <c r="AY151" s="59" t="s">
        <v>90</v>
      </c>
      <c r="AZ151" s="126">
        <v>32297</v>
      </c>
      <c r="BA151" s="60" t="s">
        <v>1971</v>
      </c>
      <c r="BB151" s="60" t="s">
        <v>845</v>
      </c>
      <c r="BC151" s="59" t="s">
        <v>700</v>
      </c>
      <c r="BD151" s="60" t="s">
        <v>1972</v>
      </c>
      <c r="BE151" s="60"/>
      <c r="BF151" s="60"/>
      <c r="BG151" s="59" t="s">
        <v>1970</v>
      </c>
      <c r="BH151" s="60" t="s">
        <v>1122</v>
      </c>
      <c r="BI151" s="60" t="s">
        <v>1575</v>
      </c>
      <c r="BJ151" s="24" t="s">
        <v>1576</v>
      </c>
      <c r="BK151" s="59" t="s">
        <v>163</v>
      </c>
      <c r="BL151" s="59" t="s">
        <v>156</v>
      </c>
      <c r="BM151" s="62"/>
      <c r="BN151" s="62"/>
      <c r="BO151" s="59" t="s">
        <v>719</v>
      </c>
      <c r="BP151" s="59"/>
      <c r="BQ151" s="77"/>
      <c r="BR151" s="60"/>
      <c r="BS151" s="60"/>
      <c r="BT151" s="59"/>
      <c r="BU151" s="60"/>
      <c r="BV151" s="60"/>
      <c r="BW151" s="59"/>
      <c r="BX151" s="60"/>
      <c r="BY151" s="60"/>
      <c r="BZ151" s="59"/>
      <c r="CA151" s="59"/>
      <c r="CB151" s="59"/>
      <c r="CC151" s="59"/>
      <c r="CD151" s="59"/>
      <c r="CE151" s="59" t="s">
        <v>7452</v>
      </c>
      <c r="CF151" s="60" t="s">
        <v>1122</v>
      </c>
      <c r="CG151" s="59" t="s">
        <v>7091</v>
      </c>
      <c r="CH151" s="59" t="s">
        <v>7092</v>
      </c>
      <c r="CI151" s="59" t="s">
        <v>155</v>
      </c>
      <c r="CJ151" s="59" t="s">
        <v>111</v>
      </c>
      <c r="CK151" s="47"/>
      <c r="CL151" s="64" t="str">
        <f t="shared" ca="1" si="2"/>
        <v>16 Tahun 9 Bulan 6 Hari</v>
      </c>
      <c r="CM15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Kp.Cikande RT/RW 03/07 Desa/Kelurahan Bojonghaleuang Kecamatan Saguling Bandung Barat Jawa Barat </v>
      </c>
    </row>
    <row r="152" spans="1:91" ht="24.95" customHeight="1">
      <c r="A152" s="58">
        <f>SUBTOTAL(3,N$8:Table2[[#This Row],[Nama lengkap]])</f>
        <v>145</v>
      </c>
      <c r="B152" s="58" t="s">
        <v>86</v>
      </c>
      <c r="C152" s="58">
        <v>2022</v>
      </c>
      <c r="D152" s="58"/>
      <c r="E152" s="58">
        <v>3</v>
      </c>
      <c r="F152" s="58" t="s">
        <v>1845</v>
      </c>
      <c r="G152" s="32" t="s">
        <v>2513</v>
      </c>
      <c r="H152" s="32" t="s">
        <v>2513</v>
      </c>
      <c r="I152" s="32" t="s">
        <v>2513</v>
      </c>
      <c r="J152" s="32"/>
      <c r="K152" s="32"/>
      <c r="L152" s="32"/>
      <c r="M152" s="58">
        <v>22230057</v>
      </c>
      <c r="N152" s="24" t="s">
        <v>8777</v>
      </c>
      <c r="O152" s="24"/>
      <c r="P152" s="25" t="s">
        <v>1973</v>
      </c>
      <c r="Q152" s="25" t="s">
        <v>1974</v>
      </c>
      <c r="R152" s="60" t="s">
        <v>90</v>
      </c>
      <c r="S152" s="61" t="s">
        <v>1975</v>
      </c>
      <c r="T152" s="47" t="s">
        <v>92</v>
      </c>
      <c r="U152" s="47">
        <v>2</v>
      </c>
      <c r="V152" s="47">
        <v>1</v>
      </c>
      <c r="W152" s="47" t="s">
        <v>207</v>
      </c>
      <c r="X152" s="59" t="s">
        <v>984</v>
      </c>
      <c r="Y152" s="59" t="s">
        <v>1620</v>
      </c>
      <c r="Z152" s="59" t="s">
        <v>1168</v>
      </c>
      <c r="AA152" s="59" t="s">
        <v>96</v>
      </c>
      <c r="AB152" s="59" t="s">
        <v>689</v>
      </c>
      <c r="AC152" s="59" t="s">
        <v>208</v>
      </c>
      <c r="AD152" s="59" t="s">
        <v>208</v>
      </c>
      <c r="AE152" s="60" t="s">
        <v>1976</v>
      </c>
      <c r="AF152" s="60" t="s">
        <v>8404</v>
      </c>
      <c r="AG152" s="59" t="s">
        <v>8404</v>
      </c>
      <c r="AH152" s="59" t="s">
        <v>691</v>
      </c>
      <c r="AI152" s="59" t="s">
        <v>90</v>
      </c>
      <c r="AJ152" s="61">
        <v>32129</v>
      </c>
      <c r="AK152" s="60" t="s">
        <v>1977</v>
      </c>
      <c r="AL152" s="60" t="s">
        <v>289</v>
      </c>
      <c r="AM152" s="59" t="s">
        <v>700</v>
      </c>
      <c r="AN152" s="60" t="s">
        <v>1978</v>
      </c>
      <c r="AO152" s="60"/>
      <c r="AP152" s="59" t="s">
        <v>1979</v>
      </c>
      <c r="AQ152" s="25" t="s">
        <v>1254</v>
      </c>
      <c r="AR152" s="60" t="s">
        <v>1131</v>
      </c>
      <c r="AS152" s="59" t="s">
        <v>955</v>
      </c>
      <c r="AT152" s="59" t="s">
        <v>982</v>
      </c>
      <c r="AU152" s="59" t="s">
        <v>111</v>
      </c>
      <c r="AV152" s="62">
        <v>40912</v>
      </c>
      <c r="AW152" s="59" t="s">
        <v>7917</v>
      </c>
      <c r="AX152" s="59" t="s">
        <v>691</v>
      </c>
      <c r="AY152" s="59" t="s">
        <v>90</v>
      </c>
      <c r="AZ152" s="126" t="s">
        <v>1980</v>
      </c>
      <c r="BA152" s="60" t="s">
        <v>1981</v>
      </c>
      <c r="BB152" s="60" t="s">
        <v>845</v>
      </c>
      <c r="BC152" s="59" t="s">
        <v>800</v>
      </c>
      <c r="BD152" s="60"/>
      <c r="BE152" s="60"/>
      <c r="BF152" s="60"/>
      <c r="BG152" s="59" t="s">
        <v>1979</v>
      </c>
      <c r="BH152" s="60" t="s">
        <v>1254</v>
      </c>
      <c r="BI152" s="60" t="s">
        <v>1131</v>
      </c>
      <c r="BJ152" s="24" t="s">
        <v>955</v>
      </c>
      <c r="BK152" s="59" t="s">
        <v>141</v>
      </c>
      <c r="BL152" s="59" t="s">
        <v>156</v>
      </c>
      <c r="BM152" s="62"/>
      <c r="BN152" s="62"/>
      <c r="BO152" s="59" t="s">
        <v>701</v>
      </c>
      <c r="BP152" s="59"/>
      <c r="BQ152" s="77"/>
      <c r="BR152" s="60"/>
      <c r="BS152" s="60"/>
      <c r="BT152" s="59"/>
      <c r="BU152" s="60"/>
      <c r="BV152" s="60"/>
      <c r="BW152" s="59"/>
      <c r="BX152" s="60"/>
      <c r="BY152" s="60"/>
      <c r="BZ152" s="59"/>
      <c r="CA152" s="59"/>
      <c r="CB152" s="59"/>
      <c r="CC152" s="59"/>
      <c r="CD152" s="59"/>
      <c r="CE152" s="59" t="s">
        <v>7453</v>
      </c>
      <c r="CF152" s="60" t="s">
        <v>1254</v>
      </c>
      <c r="CG152" s="59" t="s">
        <v>7051</v>
      </c>
      <c r="CH152" s="59" t="s">
        <v>7039</v>
      </c>
      <c r="CI152" s="59" t="s">
        <v>7129</v>
      </c>
      <c r="CJ152" s="59" t="s">
        <v>111</v>
      </c>
      <c r="CK152" s="47">
        <v>40912</v>
      </c>
      <c r="CL152" s="64" t="str">
        <f t="shared" ca="1" si="2"/>
        <v>15 Tahun 4 Bulan 7 Hari</v>
      </c>
      <c r="CM15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Kmp.Legok Keong RT/RW 01/13 Desa/Kelurahan Pamekaran Kecamatan Soreang Bandung  Jawa Barat 40912</v>
      </c>
    </row>
    <row r="153" spans="1:91" ht="24.95" customHeight="1">
      <c r="A153" s="58">
        <f>SUBTOTAL(3,N$8:Table2[[#This Row],[Nama lengkap]])</f>
        <v>146</v>
      </c>
      <c r="B153" s="58" t="s">
        <v>86</v>
      </c>
      <c r="C153" s="58">
        <v>2022</v>
      </c>
      <c r="D153" s="58"/>
      <c r="E153" s="58">
        <v>3</v>
      </c>
      <c r="F153" s="58" t="s">
        <v>1845</v>
      </c>
      <c r="G153" s="165" t="s">
        <v>9936</v>
      </c>
      <c r="H153" s="32" t="s">
        <v>2513</v>
      </c>
      <c r="I153" s="32" t="s">
        <v>2513</v>
      </c>
      <c r="J153" s="32"/>
      <c r="K153" s="32"/>
      <c r="L153" s="32"/>
      <c r="M153" s="58">
        <v>22230045</v>
      </c>
      <c r="N153" s="24" t="s">
        <v>5951</v>
      </c>
      <c r="O153" s="24"/>
      <c r="P153" s="25" t="s">
        <v>1982</v>
      </c>
      <c r="Q153" s="25" t="s">
        <v>1983</v>
      </c>
      <c r="R153" s="60" t="s">
        <v>122</v>
      </c>
      <c r="S153" s="61" t="s">
        <v>1984</v>
      </c>
      <c r="T153" s="47" t="s">
        <v>92</v>
      </c>
      <c r="U153" s="47">
        <v>2</v>
      </c>
      <c r="V153" s="47">
        <v>2</v>
      </c>
      <c r="W153" s="47" t="s">
        <v>207</v>
      </c>
      <c r="X153" s="59" t="s">
        <v>432</v>
      </c>
      <c r="Y153" s="59" t="s">
        <v>1620</v>
      </c>
      <c r="Z153" s="59" t="s">
        <v>1985</v>
      </c>
      <c r="AA153" s="59" t="s">
        <v>96</v>
      </c>
      <c r="AB153" s="59" t="s">
        <v>689</v>
      </c>
      <c r="AC153" s="59" t="s">
        <v>208</v>
      </c>
      <c r="AD153" s="59" t="s">
        <v>208</v>
      </c>
      <c r="AE153" s="60" t="s">
        <v>1986</v>
      </c>
      <c r="AF153" s="60" t="s">
        <v>8405</v>
      </c>
      <c r="AG153" s="59" t="s">
        <v>8406</v>
      </c>
      <c r="AH153" s="59" t="s">
        <v>691</v>
      </c>
      <c r="AI153" s="59" t="s">
        <v>90</v>
      </c>
      <c r="AJ153" s="61">
        <v>29380</v>
      </c>
      <c r="AK153" s="60" t="s">
        <v>1987</v>
      </c>
      <c r="AL153" s="60" t="s">
        <v>289</v>
      </c>
      <c r="AM153" s="59" t="s">
        <v>700</v>
      </c>
      <c r="AN153" s="60"/>
      <c r="AO153" s="60"/>
      <c r="AP153" s="59" t="s">
        <v>1988</v>
      </c>
      <c r="AQ153" s="25" t="s">
        <v>262</v>
      </c>
      <c r="AR153" s="60" t="s">
        <v>1692</v>
      </c>
      <c r="AS153" s="59" t="s">
        <v>1324</v>
      </c>
      <c r="AT153" s="59" t="s">
        <v>1090</v>
      </c>
      <c r="AU153" s="59" t="s">
        <v>111</v>
      </c>
      <c r="AV153" s="62">
        <v>45321</v>
      </c>
      <c r="AW153" s="59" t="s">
        <v>7918</v>
      </c>
      <c r="AX153" s="59" t="s">
        <v>691</v>
      </c>
      <c r="AY153" s="59" t="s">
        <v>122</v>
      </c>
      <c r="AZ153" s="126">
        <v>32241</v>
      </c>
      <c r="BA153" s="60" t="s">
        <v>1989</v>
      </c>
      <c r="BB153" s="60" t="s">
        <v>845</v>
      </c>
      <c r="BC153" s="59" t="s">
        <v>1990</v>
      </c>
      <c r="BD153" s="60" t="s">
        <v>1991</v>
      </c>
      <c r="BE153" s="60"/>
      <c r="BF153" s="60"/>
      <c r="BG153" s="59" t="s">
        <v>1988</v>
      </c>
      <c r="BH153" s="60" t="s">
        <v>262</v>
      </c>
      <c r="BI153" s="60" t="s">
        <v>1692</v>
      </c>
      <c r="BJ153" s="24" t="s">
        <v>1324</v>
      </c>
      <c r="BK153" s="59" t="s">
        <v>1090</v>
      </c>
      <c r="BL153" s="59" t="s">
        <v>156</v>
      </c>
      <c r="BM153" s="62"/>
      <c r="BN153" s="62"/>
      <c r="BO153" s="59" t="s">
        <v>701</v>
      </c>
      <c r="BP153" s="59"/>
      <c r="BQ153" s="77"/>
      <c r="BR153" s="60"/>
      <c r="BS153" s="60"/>
      <c r="BT153" s="59"/>
      <c r="BU153" s="60"/>
      <c r="BV153" s="60"/>
      <c r="BW153" s="59"/>
      <c r="BX153" s="60"/>
      <c r="BY153" s="60"/>
      <c r="BZ153" s="59"/>
      <c r="CA153" s="59"/>
      <c r="CB153" s="59"/>
      <c r="CC153" s="59"/>
      <c r="CD153" s="59"/>
      <c r="CE153" s="59" t="s">
        <v>7454</v>
      </c>
      <c r="CF153" s="60" t="s">
        <v>262</v>
      </c>
      <c r="CG153" s="59" t="s">
        <v>7103</v>
      </c>
      <c r="CH153" s="59" t="s">
        <v>134</v>
      </c>
      <c r="CI153" s="59" t="s">
        <v>122</v>
      </c>
      <c r="CJ153" s="59" t="s">
        <v>111</v>
      </c>
      <c r="CK153" s="47">
        <v>45321</v>
      </c>
      <c r="CL153" s="64" t="str">
        <f t="shared" ca="1" si="2"/>
        <v>15 Tahun 5 Bulan 18 Hari</v>
      </c>
      <c r="CM15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Lingkungan Talun Kidul RT/RW 03/05 Desa/Kelurahan Talun Kecamatan Sumedang Utara Sumedang Jawa Barat 45321</v>
      </c>
    </row>
    <row r="154" spans="1:91" ht="24.95" customHeight="1">
      <c r="A154" s="58">
        <f>SUBTOTAL(3,N$8:Table2[[#This Row],[Nama lengkap]])</f>
        <v>147</v>
      </c>
      <c r="B154" s="58" t="s">
        <v>86</v>
      </c>
      <c r="C154" s="58">
        <v>2022</v>
      </c>
      <c r="D154" s="58" t="s">
        <v>8936</v>
      </c>
      <c r="E154" s="58">
        <v>3</v>
      </c>
      <c r="F154" s="58" t="s">
        <v>1845</v>
      </c>
      <c r="G154" s="32" t="s">
        <v>2513</v>
      </c>
      <c r="H154" s="32" t="s">
        <v>2513</v>
      </c>
      <c r="I154" s="32" t="s">
        <v>2513</v>
      </c>
      <c r="J154" s="32"/>
      <c r="K154" s="32"/>
      <c r="L154" s="32"/>
      <c r="M154" s="58">
        <v>22230125</v>
      </c>
      <c r="N154" s="24" t="s">
        <v>8791</v>
      </c>
      <c r="O154" s="24"/>
      <c r="P154" s="25" t="s">
        <v>8979</v>
      </c>
      <c r="Q154" s="25" t="s">
        <v>1993</v>
      </c>
      <c r="R154" s="60" t="s">
        <v>122</v>
      </c>
      <c r="S154" s="61" t="s">
        <v>1994</v>
      </c>
      <c r="T154" s="47" t="s">
        <v>92</v>
      </c>
      <c r="U154" s="47">
        <v>3</v>
      </c>
      <c r="V154" s="47">
        <v>3</v>
      </c>
      <c r="W154" s="47" t="s">
        <v>207</v>
      </c>
      <c r="X154" s="59" t="s">
        <v>984</v>
      </c>
      <c r="Y154" s="59" t="s">
        <v>1247</v>
      </c>
      <c r="Z154" s="59" t="s">
        <v>1591</v>
      </c>
      <c r="AA154" s="59" t="s">
        <v>1141</v>
      </c>
      <c r="AB154" s="59" t="s">
        <v>689</v>
      </c>
      <c r="AC154" s="59" t="s">
        <v>208</v>
      </c>
      <c r="AD154" s="59" t="s">
        <v>208</v>
      </c>
      <c r="AE154" s="60" t="s">
        <v>1995</v>
      </c>
      <c r="AF154" s="60" t="s">
        <v>8439</v>
      </c>
      <c r="AG154" s="59" t="s">
        <v>8440</v>
      </c>
      <c r="AH154" s="59" t="s">
        <v>691</v>
      </c>
      <c r="AI154" s="59" t="s">
        <v>122</v>
      </c>
      <c r="AJ154" s="61">
        <v>23326</v>
      </c>
      <c r="AK154" s="60" t="s">
        <v>1996</v>
      </c>
      <c r="AL154" s="60" t="s">
        <v>7775</v>
      </c>
      <c r="AM154" s="59" t="s">
        <v>1820</v>
      </c>
      <c r="AN154" s="60"/>
      <c r="AO154" s="60"/>
      <c r="AP154" s="59" t="s">
        <v>1821</v>
      </c>
      <c r="AQ154" s="25" t="s">
        <v>132</v>
      </c>
      <c r="AR154" s="60" t="s">
        <v>1824</v>
      </c>
      <c r="AS154" s="59" t="s">
        <v>1596</v>
      </c>
      <c r="AT154" s="59" t="s">
        <v>1090</v>
      </c>
      <c r="AU154" s="59" t="s">
        <v>111</v>
      </c>
      <c r="AV154" s="62">
        <v>45383</v>
      </c>
      <c r="AW154" s="59" t="s">
        <v>7950</v>
      </c>
      <c r="AX154" s="59" t="s">
        <v>691</v>
      </c>
      <c r="AY154" s="59" t="s">
        <v>122</v>
      </c>
      <c r="AZ154" s="126">
        <v>24949</v>
      </c>
      <c r="BA154" s="60" t="s">
        <v>1997</v>
      </c>
      <c r="BB154" s="60" t="s">
        <v>845</v>
      </c>
      <c r="BC154" s="59" t="s">
        <v>800</v>
      </c>
      <c r="BD154" s="60"/>
      <c r="BE154" s="60"/>
      <c r="BF154" s="60"/>
      <c r="BG154" s="59" t="s">
        <v>1821</v>
      </c>
      <c r="BH154" s="60" t="s">
        <v>132</v>
      </c>
      <c r="BI154" s="60" t="s">
        <v>1824</v>
      </c>
      <c r="BJ154" s="24" t="s">
        <v>1596</v>
      </c>
      <c r="BK154" s="59" t="s">
        <v>1090</v>
      </c>
      <c r="BL154" s="59" t="s">
        <v>156</v>
      </c>
      <c r="BM154" s="62"/>
      <c r="BN154" s="62"/>
      <c r="BO154" s="59" t="s">
        <v>701</v>
      </c>
      <c r="BP154" s="59"/>
      <c r="BQ154" s="77"/>
      <c r="BR154" s="60"/>
      <c r="BS154" s="60"/>
      <c r="BT154" s="59"/>
      <c r="BU154" s="60"/>
      <c r="BV154" s="60"/>
      <c r="BW154" s="59"/>
      <c r="BX154" s="60"/>
      <c r="BY154" s="60"/>
      <c r="BZ154" s="59"/>
      <c r="CA154" s="59"/>
      <c r="CB154" s="59"/>
      <c r="CC154" s="59"/>
      <c r="CD154" s="59"/>
      <c r="CE154" s="59" t="s">
        <v>7443</v>
      </c>
      <c r="CF154" s="60" t="s">
        <v>132</v>
      </c>
      <c r="CG154" s="59" t="s">
        <v>7165</v>
      </c>
      <c r="CH154" s="59" t="s">
        <v>7093</v>
      </c>
      <c r="CI154" s="59" t="s">
        <v>122</v>
      </c>
      <c r="CJ154" s="59" t="s">
        <v>111</v>
      </c>
      <c r="CK154" s="47">
        <v>45383</v>
      </c>
      <c r="CL154" s="64" t="str">
        <f t="shared" ca="1" si="2"/>
        <v>19 Tahun 1 Bulan 2 Hari</v>
      </c>
      <c r="CM15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Ujungjaya RT/RW 01/10 Desa/Kelurahan Ujungjaya Kecamatan Ujung Jaya Sumedang Jawa Barat 45383</v>
      </c>
    </row>
    <row r="155" spans="1:91" ht="24.95" customHeight="1">
      <c r="A155" s="58">
        <f>SUBTOTAL(3,N$8:Table2[[#This Row],[Nama lengkap]])</f>
        <v>148</v>
      </c>
      <c r="B155" s="58" t="s">
        <v>86</v>
      </c>
      <c r="C155" s="58">
        <v>2022</v>
      </c>
      <c r="D155" s="58"/>
      <c r="E155" s="58">
        <v>3</v>
      </c>
      <c r="F155" s="58" t="s">
        <v>1845</v>
      </c>
      <c r="G155" s="32" t="s">
        <v>2513</v>
      </c>
      <c r="H155" s="32" t="s">
        <v>2513</v>
      </c>
      <c r="I155" s="32" t="s">
        <v>2513</v>
      </c>
      <c r="J155" s="32"/>
      <c r="K155" s="32"/>
      <c r="L155" s="32"/>
      <c r="M155" s="58">
        <v>22230120</v>
      </c>
      <c r="N155" s="24" t="s">
        <v>5952</v>
      </c>
      <c r="O155" s="24"/>
      <c r="P155" s="25" t="s">
        <v>1998</v>
      </c>
      <c r="Q155" s="25" t="s">
        <v>1999</v>
      </c>
      <c r="R155" s="60" t="s">
        <v>90</v>
      </c>
      <c r="S155" s="61" t="s">
        <v>2000</v>
      </c>
      <c r="T155" s="47" t="s">
        <v>92</v>
      </c>
      <c r="U155" s="47">
        <v>1</v>
      </c>
      <c r="V155" s="47">
        <v>2</v>
      </c>
      <c r="W155" s="47" t="s">
        <v>207</v>
      </c>
      <c r="X155" s="59" t="s">
        <v>984</v>
      </c>
      <c r="Y155" s="59" t="s">
        <v>1068</v>
      </c>
      <c r="Z155" s="59" t="s">
        <v>2001</v>
      </c>
      <c r="AA155" s="59" t="s">
        <v>96</v>
      </c>
      <c r="AB155" s="59" t="s">
        <v>689</v>
      </c>
      <c r="AC155" s="59" t="s">
        <v>208</v>
      </c>
      <c r="AD155" s="59" t="s">
        <v>208</v>
      </c>
      <c r="AE155" s="60" t="s">
        <v>2002</v>
      </c>
      <c r="AF155" s="60" t="s">
        <v>8407</v>
      </c>
      <c r="AG155" s="59" t="s">
        <v>8407</v>
      </c>
      <c r="AH155" s="59" t="s">
        <v>691</v>
      </c>
      <c r="AI155" s="59" t="s">
        <v>90</v>
      </c>
      <c r="AJ155" s="61">
        <v>31048</v>
      </c>
      <c r="AK155" s="60" t="s">
        <v>2003</v>
      </c>
      <c r="AL155" s="60" t="s">
        <v>114</v>
      </c>
      <c r="AM155" s="59" t="s">
        <v>693</v>
      </c>
      <c r="AN155" s="60"/>
      <c r="AO155" s="60"/>
      <c r="AP155" s="59" t="s">
        <v>2004</v>
      </c>
      <c r="AQ155" s="25" t="s">
        <v>756</v>
      </c>
      <c r="AR155" s="60" t="s">
        <v>2005</v>
      </c>
      <c r="AS155" s="59" t="s">
        <v>2006</v>
      </c>
      <c r="AT155" s="59" t="s">
        <v>163</v>
      </c>
      <c r="AU155" s="59" t="s">
        <v>111</v>
      </c>
      <c r="AV155" s="62">
        <v>40559</v>
      </c>
      <c r="AW155" s="59" t="s">
        <v>7919</v>
      </c>
      <c r="AX155" s="59" t="s">
        <v>691</v>
      </c>
      <c r="AY155" s="59" t="s">
        <v>90</v>
      </c>
      <c r="AZ155" s="126" t="s">
        <v>2007</v>
      </c>
      <c r="BA155" s="60" t="s">
        <v>2008</v>
      </c>
      <c r="BB155" s="60" t="s">
        <v>845</v>
      </c>
      <c r="BC155" s="59" t="s">
        <v>700</v>
      </c>
      <c r="BD155" s="60"/>
      <c r="BE155" s="60"/>
      <c r="BF155" s="60"/>
      <c r="BG155" s="59" t="s">
        <v>2004</v>
      </c>
      <c r="BH155" s="60" t="s">
        <v>756</v>
      </c>
      <c r="BI155" s="60" t="s">
        <v>2005</v>
      </c>
      <c r="BJ155" s="24" t="s">
        <v>2006</v>
      </c>
      <c r="BK155" s="59" t="s">
        <v>163</v>
      </c>
      <c r="BL155" s="59" t="s">
        <v>156</v>
      </c>
      <c r="BM155" s="62"/>
      <c r="BN155" s="62"/>
      <c r="BO155" s="59" t="s">
        <v>701</v>
      </c>
      <c r="BP155" s="59"/>
      <c r="BQ155" s="77"/>
      <c r="BR155" s="60"/>
      <c r="BS155" s="60"/>
      <c r="BT155" s="59"/>
      <c r="BU155" s="60"/>
      <c r="BV155" s="60"/>
      <c r="BW155" s="59"/>
      <c r="BX155" s="60"/>
      <c r="BY155" s="60"/>
      <c r="BZ155" s="59"/>
      <c r="CA155" s="59"/>
      <c r="CB155" s="59"/>
      <c r="CC155" s="59"/>
      <c r="CD155" s="59"/>
      <c r="CE155" s="59" t="s">
        <v>7455</v>
      </c>
      <c r="CF155" s="60" t="s">
        <v>756</v>
      </c>
      <c r="CG155" s="59" t="s">
        <v>7130</v>
      </c>
      <c r="CH155" s="59" t="s">
        <v>7131</v>
      </c>
      <c r="CI155" s="59" t="s">
        <v>155</v>
      </c>
      <c r="CJ155" s="59" t="s">
        <v>111</v>
      </c>
      <c r="CK155" s="47">
        <v>40559</v>
      </c>
      <c r="CL155" s="64" t="str">
        <f t="shared" ca="1" si="2"/>
        <v>16 Tahun 3 Bulan 19 Hari</v>
      </c>
      <c r="CM15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Kp.Pasir Sereh RT/RW 02/09 Desa/Kelurahan Cihideung Kecamatan Parongpong Bandung Barat Jawa Barat 40559</v>
      </c>
    </row>
    <row r="156" spans="1:91" ht="24.95" customHeight="1">
      <c r="A156" s="58">
        <f>SUBTOTAL(3,N$8:Table2[[#This Row],[Nama lengkap]])</f>
        <v>149</v>
      </c>
      <c r="B156" s="58" t="s">
        <v>86</v>
      </c>
      <c r="C156" s="58">
        <v>2022</v>
      </c>
      <c r="D156" s="58"/>
      <c r="E156" s="58">
        <v>3</v>
      </c>
      <c r="F156" s="58" t="s">
        <v>1845</v>
      </c>
      <c r="G156" s="32" t="s">
        <v>2513</v>
      </c>
      <c r="H156" s="32" t="s">
        <v>2513</v>
      </c>
      <c r="I156" s="32" t="s">
        <v>2513</v>
      </c>
      <c r="J156" s="32"/>
      <c r="K156" s="32"/>
      <c r="L156" s="32"/>
      <c r="M156" s="58">
        <v>22230117</v>
      </c>
      <c r="N156" s="24" t="s">
        <v>8778</v>
      </c>
      <c r="O156" s="24"/>
      <c r="P156" s="25" t="s">
        <v>2009</v>
      </c>
      <c r="Q156" s="25" t="s">
        <v>2010</v>
      </c>
      <c r="R156" s="60" t="s">
        <v>90</v>
      </c>
      <c r="S156" s="61" t="s">
        <v>2011</v>
      </c>
      <c r="T156" s="47" t="s">
        <v>92</v>
      </c>
      <c r="U156" s="47">
        <v>2</v>
      </c>
      <c r="V156" s="47">
        <v>1</v>
      </c>
      <c r="W156" s="47" t="s">
        <v>207</v>
      </c>
      <c r="X156" s="59" t="s">
        <v>93</v>
      </c>
      <c r="Y156" s="59" t="s">
        <v>1687</v>
      </c>
      <c r="Z156" s="59" t="s">
        <v>1985</v>
      </c>
      <c r="AA156" s="59" t="s">
        <v>96</v>
      </c>
      <c r="AB156" s="59" t="s">
        <v>689</v>
      </c>
      <c r="AC156" s="59" t="s">
        <v>208</v>
      </c>
      <c r="AD156" s="59" t="s">
        <v>208</v>
      </c>
      <c r="AE156" s="60" t="s">
        <v>2012</v>
      </c>
      <c r="AF156" s="60" t="s">
        <v>8408</v>
      </c>
      <c r="AG156" s="59" t="s">
        <v>8408</v>
      </c>
      <c r="AH156" s="59" t="s">
        <v>691</v>
      </c>
      <c r="AI156" s="59" t="s">
        <v>388</v>
      </c>
      <c r="AJ156" s="61" t="s">
        <v>2013</v>
      </c>
      <c r="AK156" s="60" t="s">
        <v>2014</v>
      </c>
      <c r="AL156" s="60" t="s">
        <v>602</v>
      </c>
      <c r="AM156" s="59" t="s">
        <v>800</v>
      </c>
      <c r="AN156" s="60"/>
      <c r="AO156" s="60"/>
      <c r="AP156" s="59" t="s">
        <v>2015</v>
      </c>
      <c r="AQ156" s="25" t="s">
        <v>1334</v>
      </c>
      <c r="AR156" s="60" t="s">
        <v>2016</v>
      </c>
      <c r="AS156" s="59" t="s">
        <v>618</v>
      </c>
      <c r="AT156" s="59" t="s">
        <v>2017</v>
      </c>
      <c r="AU156" s="59" t="s">
        <v>111</v>
      </c>
      <c r="AV156" s="62">
        <v>40377</v>
      </c>
      <c r="AW156" s="59" t="s">
        <v>7920</v>
      </c>
      <c r="AX156" s="59" t="s">
        <v>691</v>
      </c>
      <c r="AY156" s="59" t="s">
        <v>90</v>
      </c>
      <c r="AZ156" s="126" t="s">
        <v>2018</v>
      </c>
      <c r="BA156" s="60" t="s">
        <v>2019</v>
      </c>
      <c r="BB156" s="60" t="s">
        <v>602</v>
      </c>
      <c r="BC156" s="59" t="s">
        <v>800</v>
      </c>
      <c r="BD156" s="60"/>
      <c r="BE156" s="60"/>
      <c r="BF156" s="60"/>
      <c r="BG156" s="59" t="s">
        <v>2015</v>
      </c>
      <c r="BH156" s="60" t="s">
        <v>1334</v>
      </c>
      <c r="BI156" s="60" t="s">
        <v>2016</v>
      </c>
      <c r="BJ156" s="24" t="s">
        <v>618</v>
      </c>
      <c r="BK156" s="59" t="s">
        <v>2017</v>
      </c>
      <c r="BL156" s="59" t="s">
        <v>156</v>
      </c>
      <c r="BM156" s="62"/>
      <c r="BN156" s="62"/>
      <c r="BO156" s="59" t="s">
        <v>701</v>
      </c>
      <c r="BP156" s="59"/>
      <c r="BQ156" s="77"/>
      <c r="BR156" s="60"/>
      <c r="BS156" s="60"/>
      <c r="BT156" s="59"/>
      <c r="BU156" s="60"/>
      <c r="BV156" s="60"/>
      <c r="BW156" s="59"/>
      <c r="BX156" s="60"/>
      <c r="BY156" s="60"/>
      <c r="BZ156" s="59"/>
      <c r="CA156" s="59"/>
      <c r="CB156" s="59"/>
      <c r="CC156" s="59"/>
      <c r="CD156" s="59"/>
      <c r="CE156" s="59" t="s">
        <v>7456</v>
      </c>
      <c r="CF156" s="60" t="s">
        <v>1334</v>
      </c>
      <c r="CG156" s="59" t="s">
        <v>7132</v>
      </c>
      <c r="CH156" s="59" t="s">
        <v>507</v>
      </c>
      <c r="CI156" s="59" t="s">
        <v>7133</v>
      </c>
      <c r="CJ156" s="59" t="s">
        <v>111</v>
      </c>
      <c r="CK156" s="47">
        <v>40377</v>
      </c>
      <c r="CL156" s="64" t="str">
        <f t="shared" ca="1" si="2"/>
        <v>15 Tahun 5 Bulan 2 Hari</v>
      </c>
      <c r="CM15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Kp.Kamasan RT/RW 02/06 Desa/Kelurahan Kamasan Kecamatan Banjaran Bandung   Jawa Barat 40377</v>
      </c>
    </row>
    <row r="157" spans="1:91" ht="24.95" customHeight="1">
      <c r="A157" s="58">
        <f>SUBTOTAL(3,N$8:Table2[[#This Row],[Nama lengkap]])</f>
        <v>150</v>
      </c>
      <c r="B157" s="58" t="s">
        <v>86</v>
      </c>
      <c r="C157" s="58">
        <v>2022</v>
      </c>
      <c r="D157" s="58"/>
      <c r="E157" s="58">
        <v>3</v>
      </c>
      <c r="F157" s="58" t="s">
        <v>1845</v>
      </c>
      <c r="G157" s="32" t="s">
        <v>2513</v>
      </c>
      <c r="H157" s="32" t="s">
        <v>2513</v>
      </c>
      <c r="I157" s="32" t="s">
        <v>2513</v>
      </c>
      <c r="J157" s="32"/>
      <c r="K157" s="32"/>
      <c r="L157" s="32"/>
      <c r="M157" s="58">
        <v>22230077</v>
      </c>
      <c r="N157" s="24" t="s">
        <v>5954</v>
      </c>
      <c r="O157" s="24"/>
      <c r="P157" s="25" t="s">
        <v>2020</v>
      </c>
      <c r="Q157" s="25" t="s">
        <v>2021</v>
      </c>
      <c r="R157" s="60" t="s">
        <v>90</v>
      </c>
      <c r="S157" s="61" t="s">
        <v>2022</v>
      </c>
      <c r="T157" s="47" t="s">
        <v>92</v>
      </c>
      <c r="U157" s="47">
        <v>1</v>
      </c>
      <c r="V157" s="47">
        <v>0</v>
      </c>
      <c r="W157" s="47" t="s">
        <v>207</v>
      </c>
      <c r="X157" s="59" t="s">
        <v>123</v>
      </c>
      <c r="Y157" s="59" t="s">
        <v>1687</v>
      </c>
      <c r="Z157" s="59" t="s">
        <v>2023</v>
      </c>
      <c r="AA157" s="59" t="s">
        <v>96</v>
      </c>
      <c r="AB157" s="59" t="s">
        <v>689</v>
      </c>
      <c r="AC157" s="59" t="s">
        <v>208</v>
      </c>
      <c r="AD157" s="59" t="s">
        <v>208</v>
      </c>
      <c r="AE157" s="60" t="s">
        <v>2024</v>
      </c>
      <c r="AF157" s="60" t="s">
        <v>8409</v>
      </c>
      <c r="AG157" s="59" t="s">
        <v>8409</v>
      </c>
      <c r="AH157" s="59" t="s">
        <v>691</v>
      </c>
      <c r="AI157" s="59" t="s">
        <v>8279</v>
      </c>
      <c r="AJ157" s="61" t="s">
        <v>2025</v>
      </c>
      <c r="AK157" s="60" t="s">
        <v>2026</v>
      </c>
      <c r="AL157" s="60" t="s">
        <v>8252</v>
      </c>
      <c r="AM157" s="59" t="s">
        <v>2027</v>
      </c>
      <c r="AN157" s="60" t="s">
        <v>2028</v>
      </c>
      <c r="AO157" s="60"/>
      <c r="AP157" s="59" t="s">
        <v>2029</v>
      </c>
      <c r="AQ157" s="25" t="s">
        <v>152</v>
      </c>
      <c r="AR157" s="60" t="s">
        <v>2030</v>
      </c>
      <c r="AS157" s="59" t="s">
        <v>2031</v>
      </c>
      <c r="AT157" s="59" t="s">
        <v>1706</v>
      </c>
      <c r="AU157" s="59" t="s">
        <v>111</v>
      </c>
      <c r="AV157" s="62">
        <v>40614</v>
      </c>
      <c r="AW157" s="59" t="s">
        <v>7921</v>
      </c>
      <c r="AX157" s="59" t="s">
        <v>691</v>
      </c>
      <c r="AY157" s="59" t="s">
        <v>90</v>
      </c>
      <c r="AZ157" s="126" t="s">
        <v>2032</v>
      </c>
      <c r="BA157" s="60" t="s">
        <v>2033</v>
      </c>
      <c r="BB157" s="60" t="s">
        <v>845</v>
      </c>
      <c r="BC157" s="59" t="s">
        <v>800</v>
      </c>
      <c r="BD157" s="60" t="s">
        <v>2034</v>
      </c>
      <c r="BE157" s="60"/>
      <c r="BF157" s="60"/>
      <c r="BG157" s="59" t="s">
        <v>2029</v>
      </c>
      <c r="BH157" s="60" t="s">
        <v>152</v>
      </c>
      <c r="BI157" s="60" t="s">
        <v>2030</v>
      </c>
      <c r="BJ157" s="24" t="s">
        <v>2031</v>
      </c>
      <c r="BK157" s="59" t="s">
        <v>1706</v>
      </c>
      <c r="BL157" s="59" t="s">
        <v>156</v>
      </c>
      <c r="BM157" s="62"/>
      <c r="BN157" s="62"/>
      <c r="BO157" s="59" t="s">
        <v>701</v>
      </c>
      <c r="BP157" s="59"/>
      <c r="BQ157" s="77"/>
      <c r="BR157" s="60"/>
      <c r="BS157" s="60"/>
      <c r="BT157" s="59"/>
      <c r="BU157" s="60"/>
      <c r="BV157" s="60"/>
      <c r="BW157" s="59"/>
      <c r="BX157" s="60"/>
      <c r="BY157" s="60"/>
      <c r="BZ157" s="59"/>
      <c r="CA157" s="59"/>
      <c r="CB157" s="59"/>
      <c r="CC157" s="59"/>
      <c r="CD157" s="59"/>
      <c r="CE157" s="59" t="s">
        <v>7457</v>
      </c>
      <c r="CF157" s="60" t="s">
        <v>152</v>
      </c>
      <c r="CG157" s="59" t="s">
        <v>522</v>
      </c>
      <c r="CH157" s="59" t="s">
        <v>902</v>
      </c>
      <c r="CI157" s="59" t="s">
        <v>644</v>
      </c>
      <c r="CJ157" s="59" t="s">
        <v>111</v>
      </c>
      <c r="CK157" s="47">
        <v>40614</v>
      </c>
      <c r="CL157" s="64" t="str">
        <f t="shared" ca="1" si="2"/>
        <v>15 Tahun 11 Bulan 20 Hari</v>
      </c>
      <c r="CM15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Jl.Cilengkrang I No.13 RT/RW 02/03 Desa/Kelurahan Cisurupan Kecamatan Cibiru Kota Bandung Jawa Barat 40614</v>
      </c>
    </row>
    <row r="158" spans="1:91" ht="24.95" customHeight="1">
      <c r="A158" s="58">
        <f>SUBTOTAL(3,N$8:Table2[[#This Row],[Nama lengkap]])</f>
        <v>151</v>
      </c>
      <c r="B158" s="58" t="s">
        <v>86</v>
      </c>
      <c r="C158" s="58">
        <v>2022</v>
      </c>
      <c r="D158" s="58"/>
      <c r="E158" s="58">
        <v>3</v>
      </c>
      <c r="F158" s="58" t="s">
        <v>1845</v>
      </c>
      <c r="G158" s="32" t="s">
        <v>2513</v>
      </c>
      <c r="H158" s="32" t="s">
        <v>2513</v>
      </c>
      <c r="I158" s="32" t="s">
        <v>2513</v>
      </c>
      <c r="J158" s="32"/>
      <c r="K158" s="32"/>
      <c r="L158" s="32"/>
      <c r="M158" s="64">
        <v>22230124</v>
      </c>
      <c r="N158" s="24" t="s">
        <v>5955</v>
      </c>
      <c r="O158" s="24"/>
      <c r="P158" s="25" t="s">
        <v>2036</v>
      </c>
      <c r="Q158" s="25" t="s">
        <v>2037</v>
      </c>
      <c r="R158" s="60" t="s">
        <v>90</v>
      </c>
      <c r="S158" s="61" t="s">
        <v>2038</v>
      </c>
      <c r="T158" s="47" t="s">
        <v>92</v>
      </c>
      <c r="U158" s="47">
        <v>1</v>
      </c>
      <c r="V158" s="47">
        <v>1</v>
      </c>
      <c r="W158" s="47" t="s">
        <v>207</v>
      </c>
      <c r="X158" s="59" t="s">
        <v>93</v>
      </c>
      <c r="Y158" s="59" t="s">
        <v>2039</v>
      </c>
      <c r="Z158" s="59" t="s">
        <v>2040</v>
      </c>
      <c r="AA158" s="59" t="s">
        <v>1141</v>
      </c>
      <c r="AB158" s="59" t="s">
        <v>689</v>
      </c>
      <c r="AC158" s="59" t="s">
        <v>208</v>
      </c>
      <c r="AD158" s="59" t="s">
        <v>208</v>
      </c>
      <c r="AE158" s="60" t="s">
        <v>2041</v>
      </c>
      <c r="AF158" s="60" t="s">
        <v>8410</v>
      </c>
      <c r="AG158" s="59" t="s">
        <v>8410</v>
      </c>
      <c r="AH158" s="59" t="s">
        <v>1153</v>
      </c>
      <c r="AI158" s="59" t="s">
        <v>90</v>
      </c>
      <c r="AJ158" s="61" t="s">
        <v>2042</v>
      </c>
      <c r="AK158" s="60" t="s">
        <v>2043</v>
      </c>
      <c r="AL158" s="60" t="s">
        <v>8253</v>
      </c>
      <c r="AM158" s="59" t="s">
        <v>2045</v>
      </c>
      <c r="AN158" s="60" t="s">
        <v>2046</v>
      </c>
      <c r="AO158" s="60"/>
      <c r="AP158" s="59" t="s">
        <v>2047</v>
      </c>
      <c r="AQ158" s="25" t="s">
        <v>132</v>
      </c>
      <c r="AR158" s="60" t="s">
        <v>1482</v>
      </c>
      <c r="AS158" s="59" t="s">
        <v>1019</v>
      </c>
      <c r="AT158" s="59" t="s">
        <v>141</v>
      </c>
      <c r="AU158" s="59" t="s">
        <v>111</v>
      </c>
      <c r="AV158" s="62"/>
      <c r="AW158" s="59" t="s">
        <v>7922</v>
      </c>
      <c r="AX158" s="59" t="s">
        <v>1153</v>
      </c>
      <c r="AY158" s="59"/>
      <c r="AZ158" s="126"/>
      <c r="BA158" s="60"/>
      <c r="BB158" s="60"/>
      <c r="BC158" s="59"/>
      <c r="BD158" s="60"/>
      <c r="BE158" s="60"/>
      <c r="BF158" s="60"/>
      <c r="BG158" s="59"/>
      <c r="BH158" s="60"/>
      <c r="BI158" s="60"/>
      <c r="BJ158" s="24"/>
      <c r="BK158" s="59"/>
      <c r="BL158" s="59"/>
      <c r="BM158" s="62"/>
      <c r="BN158" s="62"/>
      <c r="BO158" s="59" t="s">
        <v>2048</v>
      </c>
      <c r="BP158" s="59" t="s">
        <v>2049</v>
      </c>
      <c r="BQ158" s="77" t="s">
        <v>2050</v>
      </c>
      <c r="BR158" s="60" t="s">
        <v>2051</v>
      </c>
      <c r="BS158" s="60" t="s">
        <v>216</v>
      </c>
      <c r="BT158" s="59" t="s">
        <v>96</v>
      </c>
      <c r="BU158" s="60"/>
      <c r="BV158" s="60"/>
      <c r="BW158" s="59" t="s">
        <v>2047</v>
      </c>
      <c r="BX158" s="25" t="s">
        <v>132</v>
      </c>
      <c r="BY158" s="60" t="s">
        <v>1482</v>
      </c>
      <c r="BZ158" s="59" t="s">
        <v>1019</v>
      </c>
      <c r="CA158" s="59" t="s">
        <v>141</v>
      </c>
      <c r="CB158" s="59" t="s">
        <v>111</v>
      </c>
      <c r="CC158" s="62"/>
      <c r="CD158" s="59"/>
      <c r="CE158" s="59" t="s">
        <v>7458</v>
      </c>
      <c r="CF158" s="60" t="s">
        <v>132</v>
      </c>
      <c r="CG158" s="59" t="s">
        <v>7081</v>
      </c>
      <c r="CH158" s="59" t="s">
        <v>6967</v>
      </c>
      <c r="CI158" s="59" t="s">
        <v>90</v>
      </c>
      <c r="CJ158" s="59" t="s">
        <v>111</v>
      </c>
      <c r="CK158" s="47"/>
      <c r="CL158" s="64" t="str">
        <f t="shared" ca="1" si="2"/>
        <v>18 Tahun 10 Bulan 29 Hari</v>
      </c>
      <c r="CM15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Kp.Pasir Kalapa RT/RW 01/10 Desa/Kelurahan Jatisari Kecamatan Kutawaringin Bandung Jawa Barat </v>
      </c>
    </row>
    <row r="159" spans="1:91" ht="24.95" customHeight="1">
      <c r="A159" s="58">
        <f>SUBTOTAL(3,N$8:Table2[[#This Row],[Nama lengkap]])</f>
        <v>152</v>
      </c>
      <c r="B159" s="58" t="s">
        <v>86</v>
      </c>
      <c r="C159" s="58">
        <v>2022</v>
      </c>
      <c r="D159" s="58"/>
      <c r="E159" s="58">
        <v>3</v>
      </c>
      <c r="F159" s="58" t="s">
        <v>1845</v>
      </c>
      <c r="G159" s="32" t="s">
        <v>2513</v>
      </c>
      <c r="H159" s="32" t="s">
        <v>2513</v>
      </c>
      <c r="I159" s="32" t="s">
        <v>2513</v>
      </c>
      <c r="J159" s="32"/>
      <c r="K159" s="32"/>
      <c r="L159" s="32"/>
      <c r="M159" s="58">
        <v>22230088</v>
      </c>
      <c r="N159" s="24" t="s">
        <v>5956</v>
      </c>
      <c r="O159" s="24"/>
      <c r="P159" s="25" t="s">
        <v>2052</v>
      </c>
      <c r="Q159" s="25" t="s">
        <v>2053</v>
      </c>
      <c r="R159" s="60" t="s">
        <v>90</v>
      </c>
      <c r="S159" s="61" t="s">
        <v>2054</v>
      </c>
      <c r="T159" s="47" t="s">
        <v>92</v>
      </c>
      <c r="U159" s="47">
        <v>1</v>
      </c>
      <c r="V159" s="47">
        <v>3</v>
      </c>
      <c r="W159" s="47" t="s">
        <v>207</v>
      </c>
      <c r="X159" s="59" t="s">
        <v>984</v>
      </c>
      <c r="Y159" s="59" t="s">
        <v>2055</v>
      </c>
      <c r="Z159" s="59" t="s">
        <v>2056</v>
      </c>
      <c r="AA159" s="59" t="s">
        <v>96</v>
      </c>
      <c r="AB159" s="59" t="s">
        <v>689</v>
      </c>
      <c r="AC159" s="59" t="s">
        <v>208</v>
      </c>
      <c r="AD159" s="59" t="s">
        <v>208</v>
      </c>
      <c r="AE159" s="60" t="s">
        <v>2057</v>
      </c>
      <c r="AF159" s="60" t="s">
        <v>8411</v>
      </c>
      <c r="AG159" s="59" t="s">
        <v>8411</v>
      </c>
      <c r="AH159" s="59" t="s">
        <v>691</v>
      </c>
      <c r="AI159" s="59" t="s">
        <v>3137</v>
      </c>
      <c r="AJ159" s="61">
        <v>31112</v>
      </c>
      <c r="AK159" s="60" t="s">
        <v>2058</v>
      </c>
      <c r="AL159" s="60" t="s">
        <v>602</v>
      </c>
      <c r="AM159" s="59" t="s">
        <v>800</v>
      </c>
      <c r="AN159" s="60"/>
      <c r="AO159" s="60"/>
      <c r="AP159" s="59" t="s">
        <v>2059</v>
      </c>
      <c r="AQ159" s="25" t="s">
        <v>1145</v>
      </c>
      <c r="AR159" s="60" t="s">
        <v>2060</v>
      </c>
      <c r="AS159" s="59" t="s">
        <v>1019</v>
      </c>
      <c r="AT159" s="59" t="s">
        <v>141</v>
      </c>
      <c r="AU159" s="59" t="s">
        <v>111</v>
      </c>
      <c r="AV159" s="62"/>
      <c r="AW159" s="59" t="s">
        <v>7923</v>
      </c>
      <c r="AX159" s="59" t="s">
        <v>691</v>
      </c>
      <c r="AY159" s="59" t="s">
        <v>90</v>
      </c>
      <c r="AZ159" s="126">
        <v>31268</v>
      </c>
      <c r="BA159" s="60" t="s">
        <v>2061</v>
      </c>
      <c r="BB159" s="60" t="s">
        <v>845</v>
      </c>
      <c r="BC159" s="59" t="s">
        <v>800</v>
      </c>
      <c r="BD159" s="60"/>
      <c r="BE159" s="60"/>
      <c r="BF159" s="60"/>
      <c r="BG159" s="59" t="s">
        <v>2062</v>
      </c>
      <c r="BH159" s="60" t="s">
        <v>1145</v>
      </c>
      <c r="BI159" s="60" t="s">
        <v>2060</v>
      </c>
      <c r="BJ159" s="24" t="s">
        <v>1019</v>
      </c>
      <c r="BK159" s="59" t="s">
        <v>141</v>
      </c>
      <c r="BL159" s="59" t="s">
        <v>156</v>
      </c>
      <c r="BM159" s="62"/>
      <c r="BN159" s="62"/>
      <c r="BO159" s="59" t="s">
        <v>719</v>
      </c>
      <c r="BP159" s="59"/>
      <c r="BQ159" s="77"/>
      <c r="BR159" s="60"/>
      <c r="BS159" s="60"/>
      <c r="BT159" s="59"/>
      <c r="BU159" s="60"/>
      <c r="BV159" s="60"/>
      <c r="BW159" s="59"/>
      <c r="BX159" s="60"/>
      <c r="BY159" s="60"/>
      <c r="BZ159" s="59"/>
      <c r="CA159" s="59"/>
      <c r="CB159" s="59"/>
      <c r="CC159" s="59"/>
      <c r="CD159" s="59"/>
      <c r="CE159" s="59" t="s">
        <v>7459</v>
      </c>
      <c r="CF159" s="60" t="s">
        <v>1145</v>
      </c>
      <c r="CG159" s="59" t="s">
        <v>7134</v>
      </c>
      <c r="CH159" s="59" t="s">
        <v>6967</v>
      </c>
      <c r="CI159" s="59" t="s">
        <v>90</v>
      </c>
      <c r="CJ159" s="59" t="s">
        <v>111</v>
      </c>
      <c r="CK159" s="47"/>
      <c r="CL159" s="64" t="str">
        <f t="shared" ca="1" si="2"/>
        <v>15 Tahun 8 Bulan 17 Hari</v>
      </c>
      <c r="CM15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Kmp.Bojong Nangka RT/RW 01/12 Desa/Kelurahan Kopo Kecamatan Kutawaringin Bandung Jawa Barat </v>
      </c>
    </row>
    <row r="160" spans="1:91" ht="24.95" customHeight="1">
      <c r="A160" s="58">
        <f>SUBTOTAL(3,N$8:Table2[[#This Row],[Nama lengkap]])</f>
        <v>153</v>
      </c>
      <c r="B160" s="58" t="s">
        <v>86</v>
      </c>
      <c r="C160" s="58">
        <v>2019</v>
      </c>
      <c r="D160" s="58"/>
      <c r="E160" s="58">
        <v>3</v>
      </c>
      <c r="F160" s="58" t="s">
        <v>1845</v>
      </c>
      <c r="G160" s="32" t="s">
        <v>2513</v>
      </c>
      <c r="H160" s="32" t="s">
        <v>2513</v>
      </c>
      <c r="I160" s="32" t="s">
        <v>2513</v>
      </c>
      <c r="J160" s="32"/>
      <c r="K160" s="32"/>
      <c r="L160" s="32"/>
      <c r="M160" s="47">
        <v>19200280</v>
      </c>
      <c r="N160" s="40" t="s">
        <v>5957</v>
      </c>
      <c r="O160" s="40"/>
      <c r="P160" s="32" t="s">
        <v>2063</v>
      </c>
      <c r="Q160" s="32" t="s">
        <v>2064</v>
      </c>
      <c r="R160" s="67" t="s">
        <v>3137</v>
      </c>
      <c r="S160" s="69">
        <v>38999</v>
      </c>
      <c r="T160" s="47" t="s">
        <v>92</v>
      </c>
      <c r="U160" s="58">
        <v>1</v>
      </c>
      <c r="V160" s="58">
        <v>2</v>
      </c>
      <c r="W160" s="47" t="s">
        <v>207</v>
      </c>
      <c r="X160" s="64"/>
      <c r="Y160" s="64" t="s">
        <v>1012</v>
      </c>
      <c r="Z160" s="64" t="s">
        <v>707</v>
      </c>
      <c r="AA160" s="64" t="s">
        <v>96</v>
      </c>
      <c r="AB160" s="64" t="s">
        <v>97</v>
      </c>
      <c r="AC160" s="64" t="s">
        <v>98</v>
      </c>
      <c r="AD160" s="64" t="s">
        <v>98</v>
      </c>
      <c r="AE160" s="67" t="s">
        <v>271</v>
      </c>
      <c r="AF160" s="67" t="s">
        <v>8292</v>
      </c>
      <c r="AG160" s="64" t="s">
        <v>8292</v>
      </c>
      <c r="AH160" s="64" t="s">
        <v>101</v>
      </c>
      <c r="AI160" s="64" t="s">
        <v>3137</v>
      </c>
      <c r="AJ160" s="69">
        <v>29365</v>
      </c>
      <c r="AK160" s="67" t="s">
        <v>274</v>
      </c>
      <c r="AL160" s="67" t="s">
        <v>602</v>
      </c>
      <c r="AM160" s="64" t="s">
        <v>149</v>
      </c>
      <c r="AN160" s="67" t="s">
        <v>275</v>
      </c>
      <c r="AO160" s="67" t="s">
        <v>106</v>
      </c>
      <c r="AP160" s="64" t="s">
        <v>276</v>
      </c>
      <c r="AQ160" s="32">
        <v>45539</v>
      </c>
      <c r="AR160" s="67" t="s">
        <v>277</v>
      </c>
      <c r="AS160" s="64" t="s">
        <v>278</v>
      </c>
      <c r="AT160" s="64" t="s">
        <v>273</v>
      </c>
      <c r="AU160" s="64" t="s">
        <v>156</v>
      </c>
      <c r="AV160" s="64">
        <v>43255</v>
      </c>
      <c r="AW160" s="64" t="s">
        <v>7814</v>
      </c>
      <c r="AX160" s="64" t="s">
        <v>101</v>
      </c>
      <c r="AY160" s="64" t="s">
        <v>90</v>
      </c>
      <c r="AZ160" s="125">
        <v>31920</v>
      </c>
      <c r="BA160" s="67" t="s">
        <v>279</v>
      </c>
      <c r="BB160" s="67" t="s">
        <v>428</v>
      </c>
      <c r="BC160" s="64" t="s">
        <v>149</v>
      </c>
      <c r="BD160" s="67" t="s">
        <v>280</v>
      </c>
      <c r="BE160" s="67" t="s">
        <v>98</v>
      </c>
      <c r="BF160" s="67"/>
      <c r="BG160" s="64" t="s">
        <v>276</v>
      </c>
      <c r="BH160" s="67">
        <v>45539</v>
      </c>
      <c r="BI160" s="67" t="s">
        <v>277</v>
      </c>
      <c r="BJ160" s="40" t="s">
        <v>281</v>
      </c>
      <c r="BK160" s="64" t="s">
        <v>273</v>
      </c>
      <c r="BL160" s="64" t="s">
        <v>156</v>
      </c>
      <c r="BM160" s="64">
        <v>43255</v>
      </c>
      <c r="BN160" s="64" t="s">
        <v>161</v>
      </c>
      <c r="BO160" s="64" t="s">
        <v>272</v>
      </c>
      <c r="BP160" s="64"/>
      <c r="BQ160" s="135"/>
      <c r="BR160" s="67"/>
      <c r="BS160" s="67"/>
      <c r="BT160" s="64"/>
      <c r="BU160" s="67">
        <v>82123619361</v>
      </c>
      <c r="BV160" s="67"/>
      <c r="BW160" s="64"/>
      <c r="BX160" s="67"/>
      <c r="BY160" s="67"/>
      <c r="BZ160" s="64"/>
      <c r="CA160" s="64"/>
      <c r="CB160" s="64"/>
      <c r="CC160" s="64"/>
      <c r="CD160" s="64"/>
      <c r="CE160" s="64" t="s">
        <v>7347</v>
      </c>
      <c r="CF160" s="67">
        <v>45539</v>
      </c>
      <c r="CG160" s="64" t="s">
        <v>7011</v>
      </c>
      <c r="CH160" s="64" t="s">
        <v>7012</v>
      </c>
      <c r="CI160" s="64" t="s">
        <v>3137</v>
      </c>
      <c r="CJ160" s="64" t="s">
        <v>111</v>
      </c>
      <c r="CK160" s="58">
        <v>43255</v>
      </c>
      <c r="CL160" s="64" t="str">
        <f t="shared" ca="1" si="2"/>
        <v>19 Tahun 3 Bulan 14 Hari</v>
      </c>
      <c r="CM16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Kubang RT/RW 45539 Desa/Kelurahan Cimacan Kecamatan Cipana Cianjur Jawa Barat 43255</v>
      </c>
    </row>
    <row r="161" spans="1:91" ht="24.95" customHeight="1">
      <c r="A161" s="58">
        <f>SUBTOTAL(3,N$8:Table2[[#This Row],[Nama lengkap]])</f>
        <v>154</v>
      </c>
      <c r="B161" s="89" t="s">
        <v>86</v>
      </c>
      <c r="C161" s="89">
        <v>2020</v>
      </c>
      <c r="D161" s="89"/>
      <c r="E161" s="89">
        <v>3</v>
      </c>
      <c r="F161" s="89" t="s">
        <v>1845</v>
      </c>
      <c r="G161" s="90" t="s">
        <v>2513</v>
      </c>
      <c r="H161" s="32" t="s">
        <v>2513</v>
      </c>
      <c r="I161" s="90" t="s">
        <v>2513</v>
      </c>
      <c r="J161" s="90"/>
      <c r="K161" s="90"/>
      <c r="L161" s="90"/>
      <c r="M161" s="89">
        <v>20210270</v>
      </c>
      <c r="N161" s="91" t="s">
        <v>6998</v>
      </c>
      <c r="O161" s="91"/>
      <c r="P161" s="90" t="s">
        <v>6999</v>
      </c>
      <c r="Q161" s="90" t="s">
        <v>7000</v>
      </c>
      <c r="R161" s="90" t="s">
        <v>90</v>
      </c>
      <c r="S161" s="101" t="s">
        <v>7001</v>
      </c>
      <c r="T161" s="47" t="s">
        <v>92</v>
      </c>
      <c r="U161" s="89">
        <v>8</v>
      </c>
      <c r="V161" s="89"/>
      <c r="W161" s="47" t="s">
        <v>207</v>
      </c>
      <c r="X161" s="92"/>
      <c r="Y161" s="92"/>
      <c r="Z161" s="92"/>
      <c r="AA161" s="92"/>
      <c r="AB161" s="92"/>
      <c r="AC161" s="92"/>
      <c r="AD161" s="92"/>
      <c r="AE161" s="93" t="s">
        <v>7002</v>
      </c>
      <c r="AF161" s="93" t="s">
        <v>7003</v>
      </c>
      <c r="AG161" s="92"/>
      <c r="AH161" s="92" t="s">
        <v>138</v>
      </c>
      <c r="AI161" s="92"/>
      <c r="AJ161" s="101"/>
      <c r="AK161" s="93"/>
      <c r="AL161" s="93"/>
      <c r="AM161" s="92"/>
      <c r="AN161" s="93"/>
      <c r="AO161" s="93"/>
      <c r="AP161" s="92"/>
      <c r="AQ161" s="90"/>
      <c r="AR161" s="93"/>
      <c r="AS161" s="92"/>
      <c r="AT161" s="92"/>
      <c r="AU161" s="92"/>
      <c r="AV161" s="92"/>
      <c r="AW161" s="92" t="s">
        <v>7003</v>
      </c>
      <c r="AX161" s="92" t="s">
        <v>101</v>
      </c>
      <c r="AY161" s="92" t="s">
        <v>90</v>
      </c>
      <c r="AZ161" s="127">
        <v>25121</v>
      </c>
      <c r="BA161" s="93" t="s">
        <v>7004</v>
      </c>
      <c r="BB161" s="93" t="s">
        <v>180</v>
      </c>
      <c r="BC161" s="92" t="s">
        <v>6451</v>
      </c>
      <c r="BD161" s="93"/>
      <c r="BE161" s="93"/>
      <c r="BF161" s="67"/>
      <c r="BG161" s="92" t="s">
        <v>7005</v>
      </c>
      <c r="BH161" s="93" t="s">
        <v>7006</v>
      </c>
      <c r="BI161" s="93" t="s">
        <v>7007</v>
      </c>
      <c r="BJ161" s="91" t="s">
        <v>6967</v>
      </c>
      <c r="BK161" s="92" t="s">
        <v>90</v>
      </c>
      <c r="BL161" s="92" t="s">
        <v>111</v>
      </c>
      <c r="BM161" s="92">
        <v>40971</v>
      </c>
      <c r="BN161" s="64"/>
      <c r="BO161" s="92"/>
      <c r="BP161" s="92"/>
      <c r="BQ161" s="136"/>
      <c r="BR161" s="93"/>
      <c r="BS161" s="93"/>
      <c r="BT161" s="92"/>
      <c r="BU161" s="93"/>
      <c r="BV161" s="93"/>
      <c r="BW161" s="92"/>
      <c r="BX161" s="93"/>
      <c r="BY161" s="93"/>
      <c r="BZ161" s="92"/>
      <c r="CA161" s="92"/>
      <c r="CB161" s="92"/>
      <c r="CC161" s="92"/>
      <c r="CD161" s="92"/>
      <c r="CE161" s="64" t="s">
        <v>7005</v>
      </c>
      <c r="CF161" s="67" t="s">
        <v>7006</v>
      </c>
      <c r="CG161" s="64" t="s">
        <v>7007</v>
      </c>
      <c r="CH161" s="92" t="s">
        <v>6967</v>
      </c>
      <c r="CI161" s="92" t="s">
        <v>90</v>
      </c>
      <c r="CJ161" s="92" t="s">
        <v>111</v>
      </c>
      <c r="CK161" s="89">
        <v>40971</v>
      </c>
      <c r="CL161" s="64" t="str">
        <f t="shared" ca="1" si="2"/>
        <v>16 Tahun 9 Bulan 22 Hari</v>
      </c>
      <c r="CM16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Badaraksa RT/RW 003/014 Desa/Kelurahan Jelegong Kecamatan Kutawaringin Bandung Jawa Barat 40971</v>
      </c>
    </row>
    <row r="162" spans="1:91" ht="24.95" customHeight="1">
      <c r="A162" s="58">
        <f>SUBTOTAL(3,N$8:Table2[[#This Row],[Nama lengkap]])</f>
        <v>155</v>
      </c>
      <c r="B162" s="58" t="s">
        <v>86</v>
      </c>
      <c r="C162" s="58">
        <v>2022</v>
      </c>
      <c r="D162" s="58"/>
      <c r="E162" s="58">
        <v>3</v>
      </c>
      <c r="F162" s="58" t="s">
        <v>1845</v>
      </c>
      <c r="G162" s="32" t="s">
        <v>2513</v>
      </c>
      <c r="H162" s="32" t="s">
        <v>2513</v>
      </c>
      <c r="I162" s="32" t="s">
        <v>2513</v>
      </c>
      <c r="J162" s="32"/>
      <c r="K162" s="32"/>
      <c r="L162" s="32"/>
      <c r="M162" s="58">
        <v>22230085</v>
      </c>
      <c r="N162" s="24" t="s">
        <v>8779</v>
      </c>
      <c r="O162" s="24"/>
      <c r="P162" s="25" t="s">
        <v>2065</v>
      </c>
      <c r="Q162" s="25" t="s">
        <v>2066</v>
      </c>
      <c r="R162" s="60" t="s">
        <v>155</v>
      </c>
      <c r="S162" s="61" t="s">
        <v>2067</v>
      </c>
      <c r="T162" s="47" t="s">
        <v>92</v>
      </c>
      <c r="U162" s="47">
        <v>2</v>
      </c>
      <c r="V162" s="47">
        <v>2</v>
      </c>
      <c r="W162" s="47" t="s">
        <v>207</v>
      </c>
      <c r="X162" s="59" t="s">
        <v>303</v>
      </c>
      <c r="Y162" s="59" t="s">
        <v>1687</v>
      </c>
      <c r="Z162" s="59" t="s">
        <v>1985</v>
      </c>
      <c r="AA162" s="59" t="s">
        <v>96</v>
      </c>
      <c r="AB162" s="59" t="s">
        <v>689</v>
      </c>
      <c r="AC162" s="59" t="s">
        <v>208</v>
      </c>
      <c r="AD162" s="59" t="s">
        <v>208</v>
      </c>
      <c r="AE162" s="60" t="s">
        <v>2068</v>
      </c>
      <c r="AF162" s="60" t="s">
        <v>8412</v>
      </c>
      <c r="AG162" s="59" t="s">
        <v>8412</v>
      </c>
      <c r="AH162" s="59" t="s">
        <v>691</v>
      </c>
      <c r="AI162" s="59" t="s">
        <v>90</v>
      </c>
      <c r="AJ162" s="61">
        <v>28523</v>
      </c>
      <c r="AK162" s="60" t="s">
        <v>2069</v>
      </c>
      <c r="AL162" s="60" t="s">
        <v>289</v>
      </c>
      <c r="AM162" s="59" t="s">
        <v>700</v>
      </c>
      <c r="AN162" s="60" t="s">
        <v>2070</v>
      </c>
      <c r="AO162" s="60"/>
      <c r="AP162" s="59" t="s">
        <v>2071</v>
      </c>
      <c r="AQ162" s="25" t="s">
        <v>1369</v>
      </c>
      <c r="AR162" s="60" t="s">
        <v>2072</v>
      </c>
      <c r="AS162" s="59" t="s">
        <v>2073</v>
      </c>
      <c r="AT162" s="59" t="s">
        <v>163</v>
      </c>
      <c r="AU162" s="59" t="s">
        <v>111</v>
      </c>
      <c r="AV162" s="62"/>
      <c r="AW162" s="59" t="s">
        <v>7924</v>
      </c>
      <c r="AX162" s="59" t="s">
        <v>691</v>
      </c>
      <c r="AY162" s="59" t="s">
        <v>90</v>
      </c>
      <c r="AZ162" s="126">
        <v>31277</v>
      </c>
      <c r="BA162" s="60" t="s">
        <v>2074</v>
      </c>
      <c r="BB162" s="60" t="s">
        <v>845</v>
      </c>
      <c r="BC162" s="59" t="s">
        <v>700</v>
      </c>
      <c r="BD162" s="60" t="s">
        <v>2075</v>
      </c>
      <c r="BE162" s="60"/>
      <c r="BF162" s="60"/>
      <c r="BG162" s="59" t="s">
        <v>2071</v>
      </c>
      <c r="BH162" s="60" t="s">
        <v>1369</v>
      </c>
      <c r="BI162" s="60" t="s">
        <v>2072</v>
      </c>
      <c r="BJ162" s="24" t="s">
        <v>2073</v>
      </c>
      <c r="BK162" s="59" t="s">
        <v>141</v>
      </c>
      <c r="BL162" s="59" t="s">
        <v>156</v>
      </c>
      <c r="BM162" s="62"/>
      <c r="BN162" s="62"/>
      <c r="BO162" s="59" t="s">
        <v>701</v>
      </c>
      <c r="BP162" s="59"/>
      <c r="BQ162" s="77"/>
      <c r="BR162" s="60"/>
      <c r="BS162" s="60"/>
      <c r="BT162" s="59"/>
      <c r="BU162" s="60"/>
      <c r="BV162" s="60"/>
      <c r="BW162" s="59"/>
      <c r="BX162" s="60"/>
      <c r="BY162" s="60"/>
      <c r="BZ162" s="59"/>
      <c r="CA162" s="59"/>
      <c r="CB162" s="59"/>
      <c r="CC162" s="59"/>
      <c r="CD162" s="59"/>
      <c r="CE162" s="59" t="s">
        <v>7460</v>
      </c>
      <c r="CF162" s="60" t="s">
        <v>1369</v>
      </c>
      <c r="CG162" s="59" t="s">
        <v>7135</v>
      </c>
      <c r="CH162" s="59" t="s">
        <v>7136</v>
      </c>
      <c r="CI162" s="59" t="s">
        <v>155</v>
      </c>
      <c r="CJ162" s="59" t="s">
        <v>111</v>
      </c>
      <c r="CK162" s="47"/>
      <c r="CL162" s="64" t="str">
        <f t="shared" ca="1" si="2"/>
        <v>16 Tahun 5 Bulan 9 Hari</v>
      </c>
      <c r="CM16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Kp.Tonjong RT/RW 02/02 Desa/Kelurahan Nyalindung Kecamatan Cipatat Bandung Barat Jawa Barat </v>
      </c>
    </row>
    <row r="163" spans="1:91" ht="24.95" customHeight="1">
      <c r="A163" s="58">
        <f>SUBTOTAL(3,N$8:Table2[[#This Row],[Nama lengkap]])</f>
        <v>156</v>
      </c>
      <c r="B163" s="58" t="s">
        <v>86</v>
      </c>
      <c r="C163" s="58">
        <v>2022</v>
      </c>
      <c r="D163" s="58"/>
      <c r="E163" s="58">
        <v>3</v>
      </c>
      <c r="F163" s="58" t="s">
        <v>1845</v>
      </c>
      <c r="G163" s="32" t="s">
        <v>2513</v>
      </c>
      <c r="H163" s="32" t="s">
        <v>2513</v>
      </c>
      <c r="I163" s="32" t="s">
        <v>2513</v>
      </c>
      <c r="J163" s="32"/>
      <c r="K163" s="32"/>
      <c r="L163" s="32"/>
      <c r="M163" s="103">
        <v>22230083</v>
      </c>
      <c r="N163" s="104" t="s">
        <v>5959</v>
      </c>
      <c r="O163" s="104"/>
      <c r="P163" s="25" t="s">
        <v>2076</v>
      </c>
      <c r="Q163" s="25" t="s">
        <v>2077</v>
      </c>
      <c r="R163" s="60" t="s">
        <v>90</v>
      </c>
      <c r="S163" s="61" t="s">
        <v>2078</v>
      </c>
      <c r="T163" s="47" t="s">
        <v>92</v>
      </c>
      <c r="U163" s="47">
        <v>2</v>
      </c>
      <c r="V163" s="47">
        <v>1</v>
      </c>
      <c r="W163" s="47" t="s">
        <v>207</v>
      </c>
      <c r="X163" s="59" t="s">
        <v>123</v>
      </c>
      <c r="Y163" s="59" t="s">
        <v>1524</v>
      </c>
      <c r="Z163" s="59" t="s">
        <v>986</v>
      </c>
      <c r="AA163" s="59" t="s">
        <v>96</v>
      </c>
      <c r="AB163" s="59" t="s">
        <v>1151</v>
      </c>
      <c r="AC163" s="59" t="s">
        <v>208</v>
      </c>
      <c r="AD163" s="59" t="s">
        <v>208</v>
      </c>
      <c r="AE163" s="60" t="s">
        <v>2079</v>
      </c>
      <c r="AF163" s="60" t="s">
        <v>8413</v>
      </c>
      <c r="AG163" s="59" t="s">
        <v>8413</v>
      </c>
      <c r="AH163" s="59" t="s">
        <v>691</v>
      </c>
      <c r="AI163" s="59" t="s">
        <v>90</v>
      </c>
      <c r="AJ163" s="61">
        <v>25809</v>
      </c>
      <c r="AK163" s="60" t="s">
        <v>2080</v>
      </c>
      <c r="AL163" s="60" t="s">
        <v>114</v>
      </c>
      <c r="AM163" s="59" t="s">
        <v>800</v>
      </c>
      <c r="AN163" s="60"/>
      <c r="AO163" s="60"/>
      <c r="AP163" s="59" t="s">
        <v>2081</v>
      </c>
      <c r="AQ163" s="25" t="s">
        <v>132</v>
      </c>
      <c r="AR163" s="60" t="s">
        <v>2082</v>
      </c>
      <c r="AS163" s="59" t="s">
        <v>2083</v>
      </c>
      <c r="AT163" s="59" t="s">
        <v>1706</v>
      </c>
      <c r="AU163" s="59" t="s">
        <v>111</v>
      </c>
      <c r="AV163" s="62"/>
      <c r="AW163" s="59" t="s">
        <v>7925</v>
      </c>
      <c r="AX163" s="59" t="s">
        <v>691</v>
      </c>
      <c r="AY163" s="59" t="s">
        <v>122</v>
      </c>
      <c r="AZ163" s="126">
        <v>27035</v>
      </c>
      <c r="BA163" s="60" t="s">
        <v>2084</v>
      </c>
      <c r="BB163" s="60" t="s">
        <v>602</v>
      </c>
      <c r="BC163" s="59" t="s">
        <v>800</v>
      </c>
      <c r="BD163" s="60" t="s">
        <v>2085</v>
      </c>
      <c r="BE163" s="60"/>
      <c r="BF163" s="60"/>
      <c r="BG163" s="59" t="s">
        <v>2081</v>
      </c>
      <c r="BH163" s="60" t="s">
        <v>132</v>
      </c>
      <c r="BI163" s="60" t="s">
        <v>2082</v>
      </c>
      <c r="BJ163" s="24" t="s">
        <v>2083</v>
      </c>
      <c r="BK163" s="59" t="s">
        <v>1706</v>
      </c>
      <c r="BL163" s="59" t="s">
        <v>1214</v>
      </c>
      <c r="BM163" s="62"/>
      <c r="BN163" s="62"/>
      <c r="BO163" s="59" t="s">
        <v>701</v>
      </c>
      <c r="BP163" s="59"/>
      <c r="BQ163" s="77"/>
      <c r="BR163" s="60"/>
      <c r="BS163" s="60"/>
      <c r="BT163" s="59"/>
      <c r="BU163" s="60"/>
      <c r="BV163" s="60"/>
      <c r="BW163" s="59"/>
      <c r="BX163" s="60"/>
      <c r="BY163" s="60"/>
      <c r="BZ163" s="59"/>
      <c r="CA163" s="59"/>
      <c r="CB163" s="59"/>
      <c r="CC163" s="59"/>
      <c r="CD163" s="59"/>
      <c r="CE163" s="59" t="s">
        <v>7461</v>
      </c>
      <c r="CF163" s="60" t="s">
        <v>132</v>
      </c>
      <c r="CG163" s="59" t="s">
        <v>7137</v>
      </c>
      <c r="CH163" s="59" t="s">
        <v>7138</v>
      </c>
      <c r="CI163" s="59" t="s">
        <v>644</v>
      </c>
      <c r="CJ163" s="59" t="s">
        <v>111</v>
      </c>
      <c r="CK163" s="47"/>
      <c r="CL163" s="64" t="str">
        <f t="shared" ca="1" si="2"/>
        <v>15 Tahun 10 Bulan 12 Hari</v>
      </c>
      <c r="CM16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Cidurian Tengah RT/RW 01/10 Desa/Kelurahan Sukapura Kecamatan Kiaracondong Kota Bandung Jawa Barat </v>
      </c>
    </row>
    <row r="164" spans="1:91" ht="24.95" customHeight="1">
      <c r="A164" s="58">
        <f>SUBTOTAL(3,N$8:Table2[[#This Row],[Nama lengkap]])</f>
        <v>157</v>
      </c>
      <c r="B164" s="58" t="s">
        <v>86</v>
      </c>
      <c r="C164" s="58">
        <v>2021</v>
      </c>
      <c r="D164" s="58"/>
      <c r="E164" s="58">
        <v>3</v>
      </c>
      <c r="F164" s="58" t="s">
        <v>1845</v>
      </c>
      <c r="G164" s="165" t="s">
        <v>8981</v>
      </c>
      <c r="H164" s="32"/>
      <c r="I164" s="32" t="s">
        <v>8982</v>
      </c>
      <c r="J164" s="32"/>
      <c r="K164" s="32"/>
      <c r="L164" s="32"/>
      <c r="M164" s="58">
        <v>21220050</v>
      </c>
      <c r="N164" s="24" t="s">
        <v>5960</v>
      </c>
      <c r="O164" s="24"/>
      <c r="P164" s="25" t="s">
        <v>2087</v>
      </c>
      <c r="Q164" s="25" t="s">
        <v>2088</v>
      </c>
      <c r="R164" s="60" t="s">
        <v>122</v>
      </c>
      <c r="S164" s="61" t="s">
        <v>2089</v>
      </c>
      <c r="T164" s="47" t="s">
        <v>92</v>
      </c>
      <c r="U164" s="47">
        <v>2</v>
      </c>
      <c r="V164" s="47">
        <v>1</v>
      </c>
      <c r="W164" s="47" t="s">
        <v>207</v>
      </c>
      <c r="X164" s="59"/>
      <c r="Y164" s="59" t="s">
        <v>1687</v>
      </c>
      <c r="Z164" s="59" t="s">
        <v>1168</v>
      </c>
      <c r="AA164" s="59" t="s">
        <v>1141</v>
      </c>
      <c r="AB164" s="59" t="s">
        <v>689</v>
      </c>
      <c r="AC164" s="59" t="s">
        <v>208</v>
      </c>
      <c r="AD164" s="59" t="s">
        <v>208</v>
      </c>
      <c r="AE164" s="60" t="s">
        <v>2090</v>
      </c>
      <c r="AF164" s="60" t="s">
        <v>8414</v>
      </c>
      <c r="AG164" s="59" t="s">
        <v>8415</v>
      </c>
      <c r="AH164" s="59" t="s">
        <v>1153</v>
      </c>
      <c r="AI164" s="59" t="s">
        <v>90</v>
      </c>
      <c r="AJ164" s="61">
        <v>28098</v>
      </c>
      <c r="AK164" s="60" t="s">
        <v>2091</v>
      </c>
      <c r="AL164" s="60" t="s">
        <v>114</v>
      </c>
      <c r="AM164" s="59" t="s">
        <v>1728</v>
      </c>
      <c r="AN164" s="60"/>
      <c r="AO164" s="60"/>
      <c r="AP164" s="59" t="s">
        <v>2092</v>
      </c>
      <c r="AQ164" s="25" t="s">
        <v>1052</v>
      </c>
      <c r="AR164" s="60" t="s">
        <v>2093</v>
      </c>
      <c r="AS164" s="59" t="s">
        <v>2094</v>
      </c>
      <c r="AT164" s="59" t="s">
        <v>1090</v>
      </c>
      <c r="AU164" s="59" t="s">
        <v>111</v>
      </c>
      <c r="AV164" s="62"/>
      <c r="AW164" s="59" t="s">
        <v>7926</v>
      </c>
      <c r="AX164" s="59" t="s">
        <v>1153</v>
      </c>
      <c r="AY164" s="59"/>
      <c r="AZ164" s="126"/>
      <c r="BA164" s="60"/>
      <c r="BB164" s="60"/>
      <c r="BC164" s="59"/>
      <c r="BD164" s="60"/>
      <c r="BE164" s="60"/>
      <c r="BF164" s="60"/>
      <c r="BG164" s="59"/>
      <c r="BH164" s="60"/>
      <c r="BI164" s="60"/>
      <c r="BJ164" s="24"/>
      <c r="BK164" s="59"/>
      <c r="BL164" s="59"/>
      <c r="BM164" s="62"/>
      <c r="BN164" s="62"/>
      <c r="BO164" s="59" t="s">
        <v>2095</v>
      </c>
      <c r="BP164" s="59" t="s">
        <v>797</v>
      </c>
      <c r="BQ164" s="77" t="s">
        <v>2096</v>
      </c>
      <c r="BR164" s="60" t="s">
        <v>2097</v>
      </c>
      <c r="BS164" s="60" t="s">
        <v>216</v>
      </c>
      <c r="BT164" s="59" t="s">
        <v>1728</v>
      </c>
      <c r="BU164" s="60"/>
      <c r="BV164" s="60"/>
      <c r="BW164" s="59" t="s">
        <v>2098</v>
      </c>
      <c r="BX164" s="60" t="s">
        <v>1052</v>
      </c>
      <c r="BY164" s="60" t="s">
        <v>2093</v>
      </c>
      <c r="BZ164" s="59" t="s">
        <v>2094</v>
      </c>
      <c r="CA164" s="59" t="s">
        <v>1090</v>
      </c>
      <c r="CB164" s="59" t="s">
        <v>156</v>
      </c>
      <c r="CC164" s="59">
        <v>45361</v>
      </c>
      <c r="CD164" s="59"/>
      <c r="CE164" s="59" t="s">
        <v>7462</v>
      </c>
      <c r="CF164" s="60" t="s">
        <v>1052</v>
      </c>
      <c r="CG164" s="59" t="s">
        <v>7139</v>
      </c>
      <c r="CH164" s="59" t="s">
        <v>7140</v>
      </c>
      <c r="CI164" s="59" t="s">
        <v>122</v>
      </c>
      <c r="CJ164" s="59" t="s">
        <v>111</v>
      </c>
      <c r="CK164" s="47"/>
      <c r="CL164" s="64" t="str">
        <f t="shared" ca="1" si="2"/>
        <v>20 Tahun 2 Bulan 5 Hari</v>
      </c>
      <c r="CM16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Ciloa  RT/RW 04/02 Desa/Kelurahan Pangadegan Kecamatan Rancakalong Sumedang Jawa Barat </v>
      </c>
    </row>
    <row r="165" spans="1:91" ht="24.95" customHeight="1">
      <c r="A165" s="58">
        <f>SUBTOTAL(3,N$8:Table2[[#This Row],[Nama lengkap]])</f>
        <v>158</v>
      </c>
      <c r="B165" s="58" t="s">
        <v>86</v>
      </c>
      <c r="C165" s="58">
        <v>2023</v>
      </c>
      <c r="D165" s="58"/>
      <c r="E165" s="58">
        <v>3</v>
      </c>
      <c r="F165" s="58" t="s">
        <v>1845</v>
      </c>
      <c r="G165" s="165" t="s">
        <v>9936</v>
      </c>
      <c r="H165" s="32" t="s">
        <v>2513</v>
      </c>
      <c r="I165" s="32" t="s">
        <v>2513</v>
      </c>
      <c r="J165" s="32"/>
      <c r="K165" s="32"/>
      <c r="L165" s="32"/>
      <c r="M165" s="58">
        <v>23240125</v>
      </c>
      <c r="N165" s="24" t="s">
        <v>5961</v>
      </c>
      <c r="O165" s="24"/>
      <c r="P165" s="25" t="s">
        <v>2099</v>
      </c>
      <c r="Q165" s="25" t="s">
        <v>2100</v>
      </c>
      <c r="R165" s="60" t="s">
        <v>122</v>
      </c>
      <c r="S165" s="61" t="s">
        <v>2101</v>
      </c>
      <c r="T165" s="47" t="s">
        <v>92</v>
      </c>
      <c r="U165" s="47">
        <v>8</v>
      </c>
      <c r="V165" s="47">
        <v>7</v>
      </c>
      <c r="W165" s="47" t="s">
        <v>207</v>
      </c>
      <c r="X165" s="59" t="s">
        <v>432</v>
      </c>
      <c r="Y165" s="59" t="s">
        <v>1012</v>
      </c>
      <c r="Z165" s="59" t="s">
        <v>986</v>
      </c>
      <c r="AA165" s="59" t="s">
        <v>1141</v>
      </c>
      <c r="AB165" s="59" t="s">
        <v>1467</v>
      </c>
      <c r="AC165" s="59" t="s">
        <v>208</v>
      </c>
      <c r="AD165" s="59" t="s">
        <v>208</v>
      </c>
      <c r="AE165" s="60" t="s">
        <v>2102</v>
      </c>
      <c r="AF165" s="60" t="s">
        <v>7927</v>
      </c>
      <c r="AG165" s="59" t="s">
        <v>8416</v>
      </c>
      <c r="AH165" s="59" t="s">
        <v>1071</v>
      </c>
      <c r="AI165" s="59"/>
      <c r="AJ165" s="61"/>
      <c r="AK165" s="60"/>
      <c r="AL165" s="60"/>
      <c r="AM165" s="59"/>
      <c r="AN165" s="60"/>
      <c r="AO165" s="60"/>
      <c r="AP165" s="59"/>
      <c r="AQ165" s="25"/>
      <c r="AR165" s="60"/>
      <c r="AS165" s="59"/>
      <c r="AT165" s="59"/>
      <c r="AU165" s="59" t="s">
        <v>111</v>
      </c>
      <c r="AV165" s="62"/>
      <c r="AW165" s="59" t="s">
        <v>7927</v>
      </c>
      <c r="AX165" s="59" t="s">
        <v>691</v>
      </c>
      <c r="AY165" s="59" t="s">
        <v>90</v>
      </c>
      <c r="AZ165" s="126">
        <v>23694</v>
      </c>
      <c r="BA165" s="60" t="s">
        <v>2103</v>
      </c>
      <c r="BB165" s="60" t="s">
        <v>845</v>
      </c>
      <c r="BC165" s="59" t="s">
        <v>700</v>
      </c>
      <c r="BD165" s="60"/>
      <c r="BE165" s="60"/>
      <c r="BF165" s="60"/>
      <c r="BG165" s="59" t="s">
        <v>2104</v>
      </c>
      <c r="BH165" s="60" t="s">
        <v>1334</v>
      </c>
      <c r="BI165" s="60" t="s">
        <v>2105</v>
      </c>
      <c r="BJ165" s="24" t="s">
        <v>1101</v>
      </c>
      <c r="BK165" s="59" t="s">
        <v>1090</v>
      </c>
      <c r="BL165" s="59" t="s">
        <v>1214</v>
      </c>
      <c r="BM165" s="62"/>
      <c r="BN165" s="62"/>
      <c r="BO165" s="59" t="s">
        <v>719</v>
      </c>
      <c r="BP165" s="59"/>
      <c r="BQ165" s="77"/>
      <c r="BR165" s="60"/>
      <c r="BS165" s="60"/>
      <c r="BT165" s="59"/>
      <c r="BU165" s="60"/>
      <c r="BV165" s="60"/>
      <c r="BW165" s="59"/>
      <c r="BX165" s="60"/>
      <c r="BY165" s="60"/>
      <c r="BZ165" s="59"/>
      <c r="CA165" s="59"/>
      <c r="CB165" s="59"/>
      <c r="CC165" s="59"/>
      <c r="CD165" s="59"/>
      <c r="CE165" s="59" t="s">
        <v>7463</v>
      </c>
      <c r="CF165" s="60" t="s">
        <v>1334</v>
      </c>
      <c r="CG165" s="59" t="s">
        <v>6491</v>
      </c>
      <c r="CH165" s="59" t="s">
        <v>6945</v>
      </c>
      <c r="CI165" s="59" t="s">
        <v>122</v>
      </c>
      <c r="CJ165" s="59" t="s">
        <v>313</v>
      </c>
      <c r="CK165" s="47"/>
      <c r="CL165" s="64" t="str">
        <f t="shared" ca="1" si="2"/>
        <v>17 Tahun 3 Bulan 13 Hari</v>
      </c>
      <c r="CM16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Cipicung RT/RW 02/06 Desa/Kelurahan Margamekar Kecamatan Sumedang Selatan Sumedang Jawabarat </v>
      </c>
    </row>
    <row r="166" spans="1:91" ht="24.95" customHeight="1">
      <c r="A166" s="58">
        <f>SUBTOTAL(3,N$8:Table2[[#This Row],[Nama lengkap]])</f>
        <v>159</v>
      </c>
      <c r="B166" s="58" t="s">
        <v>86</v>
      </c>
      <c r="C166" s="58">
        <v>2022</v>
      </c>
      <c r="D166" s="58"/>
      <c r="E166" s="58">
        <v>3</v>
      </c>
      <c r="F166" s="58" t="s">
        <v>1845</v>
      </c>
      <c r="G166" s="32" t="s">
        <v>2513</v>
      </c>
      <c r="H166" s="32" t="s">
        <v>2513</v>
      </c>
      <c r="I166" s="32" t="s">
        <v>2513</v>
      </c>
      <c r="J166" s="32"/>
      <c r="K166" s="32"/>
      <c r="L166" s="32"/>
      <c r="M166" s="64">
        <v>22230032</v>
      </c>
      <c r="N166" s="24" t="s">
        <v>8780</v>
      </c>
      <c r="O166" s="24"/>
      <c r="P166" s="25" t="s">
        <v>2106</v>
      </c>
      <c r="Q166" s="25" t="s">
        <v>2107</v>
      </c>
      <c r="R166" s="60" t="s">
        <v>456</v>
      </c>
      <c r="S166" s="61" t="s">
        <v>2108</v>
      </c>
      <c r="T166" s="47" t="s">
        <v>92</v>
      </c>
      <c r="U166" s="47">
        <v>1</v>
      </c>
      <c r="V166" s="47">
        <v>1</v>
      </c>
      <c r="W166" s="47" t="s">
        <v>207</v>
      </c>
      <c r="X166" s="59" t="s">
        <v>984</v>
      </c>
      <c r="Y166" s="59" t="s">
        <v>2039</v>
      </c>
      <c r="Z166" s="59" t="s">
        <v>1168</v>
      </c>
      <c r="AA166" s="59" t="s">
        <v>96</v>
      </c>
      <c r="AB166" s="59" t="s">
        <v>689</v>
      </c>
      <c r="AC166" s="59" t="s">
        <v>208</v>
      </c>
      <c r="AD166" s="59" t="s">
        <v>208</v>
      </c>
      <c r="AE166" s="60" t="s">
        <v>2109</v>
      </c>
      <c r="AF166" s="60" t="s">
        <v>8417</v>
      </c>
      <c r="AG166" s="59" t="s">
        <v>8417</v>
      </c>
      <c r="AH166" s="59" t="s">
        <v>1153</v>
      </c>
      <c r="AI166" s="59" t="s">
        <v>456</v>
      </c>
      <c r="AJ166" s="61">
        <v>29354</v>
      </c>
      <c r="AK166" s="60" t="s">
        <v>2110</v>
      </c>
      <c r="AL166" s="60" t="s">
        <v>114</v>
      </c>
      <c r="AM166" s="59" t="s">
        <v>700</v>
      </c>
      <c r="AN166" s="60"/>
      <c r="AO166" s="60"/>
      <c r="AP166" s="59" t="s">
        <v>2111</v>
      </c>
      <c r="AQ166" s="25" t="s">
        <v>1034</v>
      </c>
      <c r="AR166" s="60" t="s">
        <v>2112</v>
      </c>
      <c r="AS166" s="59" t="s">
        <v>2113</v>
      </c>
      <c r="AT166" s="59" t="s">
        <v>1177</v>
      </c>
      <c r="AU166" s="59" t="s">
        <v>111</v>
      </c>
      <c r="AV166" s="62"/>
      <c r="AW166" s="59" t="s">
        <v>7928</v>
      </c>
      <c r="AX166" s="59" t="s">
        <v>1153</v>
      </c>
      <c r="AY166" s="59" t="s">
        <v>90</v>
      </c>
      <c r="AZ166" s="126" t="s">
        <v>2114</v>
      </c>
      <c r="BA166" s="60" t="s">
        <v>2115</v>
      </c>
      <c r="BB166" s="60" t="s">
        <v>845</v>
      </c>
      <c r="BC166" s="59" t="s">
        <v>700</v>
      </c>
      <c r="BD166" s="60" t="s">
        <v>2116</v>
      </c>
      <c r="BE166" s="60"/>
      <c r="BF166" s="60"/>
      <c r="BG166" s="59" t="s">
        <v>2117</v>
      </c>
      <c r="BH166" s="60" t="s">
        <v>1034</v>
      </c>
      <c r="BI166" s="60" t="s">
        <v>2112</v>
      </c>
      <c r="BJ166" s="24" t="s">
        <v>2113</v>
      </c>
      <c r="BK166" s="59" t="s">
        <v>1177</v>
      </c>
      <c r="BL166" s="59" t="s">
        <v>1214</v>
      </c>
      <c r="BM166" s="62"/>
      <c r="BN166" s="62"/>
      <c r="BO166" s="59" t="s">
        <v>719</v>
      </c>
      <c r="BP166" s="59"/>
      <c r="BQ166" s="77"/>
      <c r="BR166" s="60"/>
      <c r="BS166" s="60"/>
      <c r="BT166" s="59"/>
      <c r="BU166" s="60"/>
      <c r="BV166" s="60"/>
      <c r="BW166" s="59"/>
      <c r="BX166" s="60"/>
      <c r="BY166" s="60"/>
      <c r="BZ166" s="59"/>
      <c r="CA166" s="59"/>
      <c r="CB166" s="59"/>
      <c r="CC166" s="59"/>
      <c r="CD166" s="59"/>
      <c r="CE166" s="59" t="s">
        <v>7464</v>
      </c>
      <c r="CF166" s="60" t="s">
        <v>1034</v>
      </c>
      <c r="CG166" s="59" t="s">
        <v>7141</v>
      </c>
      <c r="CH166" s="59" t="s">
        <v>7142</v>
      </c>
      <c r="CI166" s="59" t="s">
        <v>6358</v>
      </c>
      <c r="CJ166" s="59" t="s">
        <v>111</v>
      </c>
      <c r="CK166" s="47"/>
      <c r="CL166" s="64" t="str">
        <f t="shared" ca="1" si="2"/>
        <v>17 Tahun 2 Bulan 22 Hari</v>
      </c>
      <c r="CM16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Jl.Kerkop No.198 RT/RW 05/05 Desa/Kelurahan Leuwigajah Kecamatan Cimahi Selatan  Kota Cimahi Jawa Barat </v>
      </c>
    </row>
    <row r="167" spans="1:91" ht="24.95" customHeight="1">
      <c r="A167" s="58">
        <f>SUBTOTAL(3,N$8:Table2[[#This Row],[Nama lengkap]])</f>
        <v>160</v>
      </c>
      <c r="B167" s="58" t="s">
        <v>86</v>
      </c>
      <c r="C167" s="58">
        <v>2022</v>
      </c>
      <c r="D167" s="58"/>
      <c r="E167" s="58">
        <v>3</v>
      </c>
      <c r="F167" s="58" t="s">
        <v>1845</v>
      </c>
      <c r="G167" s="165" t="s">
        <v>2602</v>
      </c>
      <c r="H167" s="32" t="s">
        <v>2513</v>
      </c>
      <c r="I167" s="32" t="s">
        <v>2513</v>
      </c>
      <c r="J167" s="32"/>
      <c r="K167" s="32"/>
      <c r="L167" s="32"/>
      <c r="M167" s="58">
        <v>22230070</v>
      </c>
      <c r="N167" s="24" t="s">
        <v>5963</v>
      </c>
      <c r="O167" s="24"/>
      <c r="P167" s="25" t="s">
        <v>9939</v>
      </c>
      <c r="Q167" s="25" t="s">
        <v>2118</v>
      </c>
      <c r="R167" s="60" t="s">
        <v>90</v>
      </c>
      <c r="S167" s="61" t="s">
        <v>2119</v>
      </c>
      <c r="T167" s="47" t="s">
        <v>92</v>
      </c>
      <c r="U167" s="47">
        <v>2</v>
      </c>
      <c r="V167" s="47">
        <v>2</v>
      </c>
      <c r="W167" s="47" t="s">
        <v>207</v>
      </c>
      <c r="X167" s="59"/>
      <c r="Y167" s="59" t="s">
        <v>1012</v>
      </c>
      <c r="Z167" s="59" t="s">
        <v>1042</v>
      </c>
      <c r="AA167" s="59" t="s">
        <v>96</v>
      </c>
      <c r="AB167" s="59" t="s">
        <v>689</v>
      </c>
      <c r="AC167" s="59" t="s">
        <v>208</v>
      </c>
      <c r="AD167" s="59" t="s">
        <v>208</v>
      </c>
      <c r="AE167" s="60" t="s">
        <v>2120</v>
      </c>
      <c r="AF167" s="60" t="s">
        <v>8418</v>
      </c>
      <c r="AG167" s="59" t="s">
        <v>8419</v>
      </c>
      <c r="AH167" s="59" t="s">
        <v>1153</v>
      </c>
      <c r="AI167" s="59"/>
      <c r="AJ167" s="61"/>
      <c r="AK167" s="60"/>
      <c r="AL167" s="60"/>
      <c r="AM167" s="59"/>
      <c r="AN167" s="60"/>
      <c r="AO167" s="60"/>
      <c r="AP167" s="59"/>
      <c r="AQ167" s="25"/>
      <c r="AR167" s="60"/>
      <c r="AS167" s="59"/>
      <c r="AT167" s="59"/>
      <c r="AU167" s="59" t="s">
        <v>111</v>
      </c>
      <c r="AV167" s="62"/>
      <c r="AW167" s="59" t="s">
        <v>7929</v>
      </c>
      <c r="AX167" s="59" t="s">
        <v>1153</v>
      </c>
      <c r="AY167" s="59" t="s">
        <v>90</v>
      </c>
      <c r="AZ167" s="126"/>
      <c r="BA167" s="60" t="s">
        <v>2121</v>
      </c>
      <c r="BB167" s="60" t="s">
        <v>845</v>
      </c>
      <c r="BC167" s="59" t="s">
        <v>800</v>
      </c>
      <c r="BD167" s="60" t="s">
        <v>2122</v>
      </c>
      <c r="BE167" s="60"/>
      <c r="BF167" s="60"/>
      <c r="BG167" s="59" t="s">
        <v>2123</v>
      </c>
      <c r="BH167" s="60" t="s">
        <v>2124</v>
      </c>
      <c r="BI167" s="60" t="s">
        <v>2125</v>
      </c>
      <c r="BJ167" s="24" t="s">
        <v>1347</v>
      </c>
      <c r="BK167" s="59" t="s">
        <v>141</v>
      </c>
      <c r="BL167" s="59" t="s">
        <v>1938</v>
      </c>
      <c r="BM167" s="62"/>
      <c r="BN167" s="62"/>
      <c r="BO167" s="59"/>
      <c r="BP167" s="59"/>
      <c r="BQ167" s="77"/>
      <c r="BR167" s="60"/>
      <c r="BS167" s="60"/>
      <c r="BT167" s="59"/>
      <c r="BU167" s="60"/>
      <c r="BV167" s="60"/>
      <c r="BW167" s="59"/>
      <c r="BX167" s="60"/>
      <c r="BY167" s="60"/>
      <c r="BZ167" s="59"/>
      <c r="CA167" s="59"/>
      <c r="CB167" s="59"/>
      <c r="CC167" s="59"/>
      <c r="CD167" s="59"/>
      <c r="CE167" s="59" t="s">
        <v>7284</v>
      </c>
      <c r="CF167" s="60" t="s">
        <v>2124</v>
      </c>
      <c r="CG167" s="59" t="s">
        <v>6635</v>
      </c>
      <c r="CH167" s="59" t="s">
        <v>6463</v>
      </c>
      <c r="CI167" s="59" t="s">
        <v>90</v>
      </c>
      <c r="CJ167" s="59" t="s">
        <v>7126</v>
      </c>
      <c r="CK167" s="47"/>
      <c r="CL167" s="64" t="str">
        <f t="shared" ca="1" si="2"/>
        <v>16 Tahun 1 Bulan 30 Hari</v>
      </c>
      <c r="CM16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Gumuruh RT/RW 05/04 Desa/Kelurahan Nagrak Kecamatan Cangkuang Bandung Jawa Barat  </v>
      </c>
    </row>
    <row r="168" spans="1:91" ht="24.95" customHeight="1">
      <c r="A168" s="58">
        <f>SUBTOTAL(3,N$8:Table2[[#This Row],[Nama lengkap]])</f>
        <v>161</v>
      </c>
      <c r="B168" s="58" t="s">
        <v>86</v>
      </c>
      <c r="C168" s="58">
        <v>2022</v>
      </c>
      <c r="D168" s="58"/>
      <c r="E168" s="58">
        <v>3</v>
      </c>
      <c r="F168" s="58" t="s">
        <v>1845</v>
      </c>
      <c r="G168" s="32" t="s">
        <v>2513</v>
      </c>
      <c r="H168" s="32" t="s">
        <v>2513</v>
      </c>
      <c r="I168" s="32" t="s">
        <v>2513</v>
      </c>
      <c r="J168" s="32"/>
      <c r="K168" s="32"/>
      <c r="L168" s="32"/>
      <c r="M168" s="58">
        <v>22230171</v>
      </c>
      <c r="N168" s="24" t="s">
        <v>5964</v>
      </c>
      <c r="O168" s="24"/>
      <c r="P168" s="25" t="s">
        <v>2126</v>
      </c>
      <c r="Q168" s="25" t="s">
        <v>2127</v>
      </c>
      <c r="R168" s="60" t="s">
        <v>122</v>
      </c>
      <c r="S168" s="61" t="s">
        <v>2128</v>
      </c>
      <c r="T168" s="47" t="s">
        <v>92</v>
      </c>
      <c r="U168" s="47">
        <v>2</v>
      </c>
      <c r="V168" s="47">
        <v>2</v>
      </c>
      <c r="W168" s="47" t="s">
        <v>207</v>
      </c>
      <c r="X168" s="59" t="s">
        <v>93</v>
      </c>
      <c r="Y168" s="59" t="s">
        <v>1247</v>
      </c>
      <c r="Z168" s="59" t="s">
        <v>986</v>
      </c>
      <c r="AA168" s="59" t="s">
        <v>96</v>
      </c>
      <c r="AB168" s="59" t="s">
        <v>689</v>
      </c>
      <c r="AC168" s="59" t="s">
        <v>208</v>
      </c>
      <c r="AD168" s="59" t="s">
        <v>208</v>
      </c>
      <c r="AE168" s="60" t="s">
        <v>2129</v>
      </c>
      <c r="AF168" s="60" t="s">
        <v>8420</v>
      </c>
      <c r="AG168" s="59" t="s">
        <v>8420</v>
      </c>
      <c r="AH168" s="59" t="s">
        <v>691</v>
      </c>
      <c r="AI168" s="59" t="s">
        <v>7791</v>
      </c>
      <c r="AJ168" s="61" t="s">
        <v>2130</v>
      </c>
      <c r="AK168" s="60" t="s">
        <v>2127</v>
      </c>
      <c r="AL168" s="60" t="s">
        <v>914</v>
      </c>
      <c r="AM168" s="59" t="s">
        <v>2131</v>
      </c>
      <c r="AN168" s="60" t="s">
        <v>2132</v>
      </c>
      <c r="AO168" s="60"/>
      <c r="AP168" s="59" t="s">
        <v>2133</v>
      </c>
      <c r="AQ168" s="25" t="s">
        <v>1161</v>
      </c>
      <c r="AR168" s="60" t="s">
        <v>2134</v>
      </c>
      <c r="AS168" s="59" t="s">
        <v>2135</v>
      </c>
      <c r="AT168" s="59" t="s">
        <v>2136</v>
      </c>
      <c r="AU168" s="59" t="s">
        <v>111</v>
      </c>
      <c r="AV168" s="62"/>
      <c r="AW168" s="59" t="s">
        <v>7930</v>
      </c>
      <c r="AX168" s="59" t="s">
        <v>691</v>
      </c>
      <c r="AY168" s="59" t="s">
        <v>7791</v>
      </c>
      <c r="AZ168" s="126" t="s">
        <v>2137</v>
      </c>
      <c r="BA168" s="60" t="s">
        <v>2138</v>
      </c>
      <c r="BB168" s="60" t="s">
        <v>845</v>
      </c>
      <c r="BC168" s="59" t="s">
        <v>2131</v>
      </c>
      <c r="BD168" s="60"/>
      <c r="BE168" s="60"/>
      <c r="BF168" s="60"/>
      <c r="BG168" s="59" t="s">
        <v>2139</v>
      </c>
      <c r="BH168" s="60" t="s">
        <v>1161</v>
      </c>
      <c r="BI168" s="60" t="s">
        <v>2134</v>
      </c>
      <c r="BJ168" s="24" t="s">
        <v>1324</v>
      </c>
      <c r="BK168" s="59" t="s">
        <v>2136</v>
      </c>
      <c r="BL168" s="59" t="s">
        <v>1214</v>
      </c>
      <c r="BM168" s="62"/>
      <c r="BN168" s="62"/>
      <c r="BO168" s="59" t="s">
        <v>719</v>
      </c>
      <c r="BP168" s="59"/>
      <c r="BQ168" s="77"/>
      <c r="BR168" s="60"/>
      <c r="BS168" s="60"/>
      <c r="BT168" s="59"/>
      <c r="BU168" s="60"/>
      <c r="BV168" s="60"/>
      <c r="BW168" s="59"/>
      <c r="BX168" s="60"/>
      <c r="BY168" s="60"/>
      <c r="BZ168" s="59"/>
      <c r="CA168" s="59"/>
      <c r="CB168" s="59"/>
      <c r="CC168" s="59"/>
      <c r="CD168" s="59"/>
      <c r="CE168" s="59" t="s">
        <v>7465</v>
      </c>
      <c r="CF168" s="60" t="s">
        <v>1161</v>
      </c>
      <c r="CG168" s="59" t="s">
        <v>7013</v>
      </c>
      <c r="CH168" s="59" t="s">
        <v>7143</v>
      </c>
      <c r="CI168" s="59" t="s">
        <v>7144</v>
      </c>
      <c r="CJ168" s="59" t="s">
        <v>111</v>
      </c>
      <c r="CK168" s="47"/>
      <c r="CL168" s="64" t="str">
        <f t="shared" ca="1" si="2"/>
        <v>16 Tahun 6 Bulan 2 Hari</v>
      </c>
      <c r="CM16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Lingkungan Barak RT/RW 01/07 Desa/Kelurahan Situ Kecamatan Sumedang Utara  Sumedang  Jawa Barat </v>
      </c>
    </row>
    <row r="169" spans="1:91" ht="24.95" customHeight="1">
      <c r="A169" s="58">
        <f>SUBTOTAL(3,N$8:Table2[[#This Row],[Nama lengkap]])</f>
        <v>162</v>
      </c>
      <c r="B169" s="58" t="s">
        <v>86</v>
      </c>
      <c r="C169" s="58">
        <v>2022</v>
      </c>
      <c r="D169" s="58" t="s">
        <v>8936</v>
      </c>
      <c r="E169" s="58">
        <v>3</v>
      </c>
      <c r="F169" s="58" t="s">
        <v>1845</v>
      </c>
      <c r="G169" s="32" t="s">
        <v>2513</v>
      </c>
      <c r="H169" s="32" t="s">
        <v>2513</v>
      </c>
      <c r="I169" s="32" t="s">
        <v>2513</v>
      </c>
      <c r="J169" s="32"/>
      <c r="K169" s="32"/>
      <c r="L169" s="32"/>
      <c r="M169" s="58">
        <v>22230066</v>
      </c>
      <c r="N169" s="24" t="s">
        <v>5965</v>
      </c>
      <c r="O169" s="24"/>
      <c r="P169" s="25" t="s">
        <v>2141</v>
      </c>
      <c r="Q169" s="25" t="s">
        <v>2142</v>
      </c>
      <c r="R169" s="60" t="s">
        <v>456</v>
      </c>
      <c r="S169" s="61" t="s">
        <v>2143</v>
      </c>
      <c r="T169" s="47" t="s">
        <v>92</v>
      </c>
      <c r="U169" s="47">
        <v>2</v>
      </c>
      <c r="V169" s="47">
        <v>2</v>
      </c>
      <c r="W169" s="47" t="s">
        <v>207</v>
      </c>
      <c r="X169" s="59" t="s">
        <v>984</v>
      </c>
      <c r="Y169" s="65" t="s">
        <v>2039</v>
      </c>
      <c r="Z169" s="59" t="s">
        <v>1042</v>
      </c>
      <c r="AA169" s="65" t="s">
        <v>96</v>
      </c>
      <c r="AB169" s="65" t="s">
        <v>689</v>
      </c>
      <c r="AC169" s="65" t="s">
        <v>208</v>
      </c>
      <c r="AD169" s="65" t="s">
        <v>208</v>
      </c>
      <c r="AE169" s="66" t="s">
        <v>2144</v>
      </c>
      <c r="AF169" s="65" t="s">
        <v>8421</v>
      </c>
      <c r="AG169" s="65" t="s">
        <v>8421</v>
      </c>
      <c r="AH169" s="65" t="s">
        <v>691</v>
      </c>
      <c r="AI169" s="65" t="s">
        <v>6839</v>
      </c>
      <c r="AJ169" s="133">
        <v>26528</v>
      </c>
      <c r="AK169" s="66" t="s">
        <v>2145</v>
      </c>
      <c r="AL169" s="65" t="s">
        <v>602</v>
      </c>
      <c r="AM169" s="65" t="s">
        <v>800</v>
      </c>
      <c r="AN169" s="60"/>
      <c r="AO169" s="60"/>
      <c r="AP169" s="59" t="s">
        <v>2146</v>
      </c>
      <c r="AQ169" s="25" t="s">
        <v>2147</v>
      </c>
      <c r="AR169" s="65" t="s">
        <v>2148</v>
      </c>
      <c r="AS169" s="65" t="s">
        <v>2149</v>
      </c>
      <c r="AT169" s="65" t="s">
        <v>1177</v>
      </c>
      <c r="AU169" s="59" t="s">
        <v>111</v>
      </c>
      <c r="AV169" s="62">
        <v>40535</v>
      </c>
      <c r="AW169" s="59" t="s">
        <v>7931</v>
      </c>
      <c r="AX169" s="59" t="s">
        <v>691</v>
      </c>
      <c r="AY169" s="59" t="s">
        <v>90</v>
      </c>
      <c r="AZ169" s="126" t="s">
        <v>2150</v>
      </c>
      <c r="BA169" s="60" t="s">
        <v>2151</v>
      </c>
      <c r="BB169" s="67" t="s">
        <v>845</v>
      </c>
      <c r="BC169" s="60" t="s">
        <v>800</v>
      </c>
      <c r="BD169" s="60"/>
      <c r="BE169" s="60"/>
      <c r="BF169" s="60"/>
      <c r="BG169" s="59" t="s">
        <v>2146</v>
      </c>
      <c r="BH169" s="25" t="s">
        <v>2147</v>
      </c>
      <c r="BI169" s="65" t="s">
        <v>2148</v>
      </c>
      <c r="BJ169" s="68" t="s">
        <v>2149</v>
      </c>
      <c r="BK169" s="65" t="s">
        <v>1177</v>
      </c>
      <c r="BL169" s="65" t="s">
        <v>156</v>
      </c>
      <c r="BM169" s="24">
        <v>40535</v>
      </c>
      <c r="BN169" s="24"/>
      <c r="BO169" s="59" t="s">
        <v>701</v>
      </c>
      <c r="BP169" s="59"/>
      <c r="BQ169" s="77"/>
      <c r="BR169" s="60"/>
      <c r="BS169" s="60"/>
      <c r="BT169" s="59"/>
      <c r="BU169" s="60"/>
      <c r="BV169" s="60"/>
      <c r="BW169" s="59"/>
      <c r="BX169" s="60"/>
      <c r="BY169" s="60"/>
      <c r="BZ169" s="59"/>
      <c r="CA169" s="59"/>
      <c r="CB169" s="59"/>
      <c r="CC169" s="59"/>
      <c r="CD169" s="59"/>
      <c r="CE169" s="59" t="s">
        <v>7466</v>
      </c>
      <c r="CF169" s="60" t="s">
        <v>2147</v>
      </c>
      <c r="CG169" s="59" t="s">
        <v>7145</v>
      </c>
      <c r="CH169" s="59" t="s">
        <v>6859</v>
      </c>
      <c r="CI169" s="59" t="s">
        <v>6358</v>
      </c>
      <c r="CJ169" s="59" t="s">
        <v>111</v>
      </c>
      <c r="CK169" s="47">
        <v>40535</v>
      </c>
      <c r="CL169" s="64" t="str">
        <f t="shared" ca="1" si="2"/>
        <v>18 Tahun 9 Bulan 18 Hari</v>
      </c>
      <c r="CM16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Ranca Bentang RT/RW 002/026 Desa/Kelurahan Cibeureum Kecamatan Cimahi Selatan Kota Cimahi Jawa Barat 40535</v>
      </c>
    </row>
    <row r="170" spans="1:91" ht="24.95" customHeight="1">
      <c r="A170" s="58">
        <f>SUBTOTAL(3,N$8:Table2[[#This Row],[Nama lengkap]])</f>
        <v>163</v>
      </c>
      <c r="B170" s="58" t="s">
        <v>86</v>
      </c>
      <c r="C170" s="58">
        <v>2022</v>
      </c>
      <c r="D170" s="58"/>
      <c r="E170" s="58">
        <v>3</v>
      </c>
      <c r="F170" s="58" t="s">
        <v>1845</v>
      </c>
      <c r="G170" s="32" t="s">
        <v>2513</v>
      </c>
      <c r="H170" s="32" t="s">
        <v>2513</v>
      </c>
      <c r="I170" s="32" t="s">
        <v>2513</v>
      </c>
      <c r="J170" s="32"/>
      <c r="K170" s="32"/>
      <c r="L170" s="32"/>
      <c r="M170" s="58">
        <v>22230095</v>
      </c>
      <c r="N170" s="24" t="s">
        <v>8781</v>
      </c>
      <c r="O170" s="24"/>
      <c r="P170" s="25" t="s">
        <v>8961</v>
      </c>
      <c r="Q170" s="25" t="s">
        <v>2166</v>
      </c>
      <c r="R170" s="60" t="s">
        <v>122</v>
      </c>
      <c r="S170" s="61" t="s">
        <v>2167</v>
      </c>
      <c r="T170" s="47" t="s">
        <v>92</v>
      </c>
      <c r="U170" s="47">
        <v>3</v>
      </c>
      <c r="V170" s="47">
        <v>2</v>
      </c>
      <c r="W170" s="47" t="s">
        <v>207</v>
      </c>
      <c r="X170" s="59" t="s">
        <v>984</v>
      </c>
      <c r="Y170" s="59" t="s">
        <v>1012</v>
      </c>
      <c r="Z170" s="59" t="s">
        <v>1168</v>
      </c>
      <c r="AA170" s="59" t="s">
        <v>1141</v>
      </c>
      <c r="AB170" s="59" t="s">
        <v>1151</v>
      </c>
      <c r="AC170" s="59" t="s">
        <v>208</v>
      </c>
      <c r="AD170" s="59" t="s">
        <v>208</v>
      </c>
      <c r="AE170" s="60" t="s">
        <v>2168</v>
      </c>
      <c r="AF170" s="60" t="s">
        <v>8422</v>
      </c>
      <c r="AG170" s="59" t="s">
        <v>8422</v>
      </c>
      <c r="AH170" s="59" t="s">
        <v>691</v>
      </c>
      <c r="AI170" s="59" t="s">
        <v>6472</v>
      </c>
      <c r="AJ170" s="61" t="s">
        <v>2169</v>
      </c>
      <c r="AK170" s="60" t="s">
        <v>2170</v>
      </c>
      <c r="AL170" s="60" t="s">
        <v>114</v>
      </c>
      <c r="AM170" s="59" t="s">
        <v>700</v>
      </c>
      <c r="AN170" s="60"/>
      <c r="AO170" s="60"/>
      <c r="AP170" s="59" t="s">
        <v>2171</v>
      </c>
      <c r="AQ170" s="25" t="s">
        <v>1441</v>
      </c>
      <c r="AR170" s="60" t="s">
        <v>2172</v>
      </c>
      <c r="AS170" s="59" t="s">
        <v>2173</v>
      </c>
      <c r="AT170" s="59" t="s">
        <v>1090</v>
      </c>
      <c r="AU170" s="59" t="s">
        <v>111</v>
      </c>
      <c r="AV170" s="62">
        <v>45363</v>
      </c>
      <c r="AW170" s="59" t="s">
        <v>7932</v>
      </c>
      <c r="AX170" s="59" t="s">
        <v>691</v>
      </c>
      <c r="AY170" s="59" t="s">
        <v>122</v>
      </c>
      <c r="AZ170" s="126">
        <v>24285</v>
      </c>
      <c r="BA170" s="60" t="s">
        <v>2174</v>
      </c>
      <c r="BB170" s="60" t="s">
        <v>845</v>
      </c>
      <c r="BC170" s="59" t="s">
        <v>700</v>
      </c>
      <c r="BD170" s="60" t="s">
        <v>2175</v>
      </c>
      <c r="BE170" s="60"/>
      <c r="BF170" s="60"/>
      <c r="BG170" s="59" t="s">
        <v>2171</v>
      </c>
      <c r="BH170" s="60" t="s">
        <v>1441</v>
      </c>
      <c r="BI170" s="60" t="s">
        <v>2172</v>
      </c>
      <c r="BJ170" s="24" t="s">
        <v>2173</v>
      </c>
      <c r="BK170" s="59" t="s">
        <v>1090</v>
      </c>
      <c r="BL170" s="59" t="s">
        <v>1214</v>
      </c>
      <c r="BM170" s="62"/>
      <c r="BN170" s="62"/>
      <c r="BO170" s="59" t="s">
        <v>719</v>
      </c>
      <c r="BP170" s="59"/>
      <c r="BQ170" s="77"/>
      <c r="BR170" s="60"/>
      <c r="BS170" s="60"/>
      <c r="BT170" s="59"/>
      <c r="BU170" s="60"/>
      <c r="BV170" s="60"/>
      <c r="BW170" s="59"/>
      <c r="BX170" s="60"/>
      <c r="BY170" s="60"/>
      <c r="BZ170" s="59"/>
      <c r="CA170" s="59"/>
      <c r="CB170" s="59"/>
      <c r="CC170" s="59"/>
      <c r="CD170" s="59"/>
      <c r="CE170" s="59" t="s">
        <v>7467</v>
      </c>
      <c r="CF170" s="60" t="s">
        <v>1441</v>
      </c>
      <c r="CG170" s="59" t="s">
        <v>681</v>
      </c>
      <c r="CH170" s="59" t="s">
        <v>561</v>
      </c>
      <c r="CI170" s="59" t="s">
        <v>122</v>
      </c>
      <c r="CJ170" s="59" t="s">
        <v>111</v>
      </c>
      <c r="CK170" s="47">
        <v>45363</v>
      </c>
      <c r="CL170" s="64" t="str">
        <f t="shared" ca="1" si="2"/>
        <v>18 Tahun 6 Bulan 11 Hari</v>
      </c>
      <c r="CM17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Bojong RT/RW 01/06 Desa/Kelurahan Cilayung Kecamatan Jatinangor Sumedang Jawa Barat 45363</v>
      </c>
    </row>
    <row r="171" spans="1:91" ht="24.95" customHeight="1">
      <c r="A171" s="58">
        <f>SUBTOTAL(3,N$8:Table2[[#This Row],[Nama lengkap]])</f>
        <v>164</v>
      </c>
      <c r="B171" s="58" t="s">
        <v>86</v>
      </c>
      <c r="C171" s="58">
        <v>2022</v>
      </c>
      <c r="D171" s="58"/>
      <c r="E171" s="58">
        <v>3</v>
      </c>
      <c r="F171" s="58" t="s">
        <v>1845</v>
      </c>
      <c r="G171" s="32" t="s">
        <v>2513</v>
      </c>
      <c r="H171" s="32" t="s">
        <v>2513</v>
      </c>
      <c r="I171" s="32" t="s">
        <v>2513</v>
      </c>
      <c r="J171" s="32"/>
      <c r="K171" s="32"/>
      <c r="L171" s="32"/>
      <c r="M171" s="85">
        <v>22230197</v>
      </c>
      <c r="N171" s="24" t="s">
        <v>8782</v>
      </c>
      <c r="O171" s="24"/>
      <c r="P171" s="25" t="s">
        <v>2176</v>
      </c>
      <c r="Q171" s="25" t="s">
        <v>2177</v>
      </c>
      <c r="R171" s="60" t="s">
        <v>7148</v>
      </c>
      <c r="S171" s="61" t="s">
        <v>2179</v>
      </c>
      <c r="T171" s="47" t="s">
        <v>92</v>
      </c>
      <c r="U171" s="47">
        <v>4</v>
      </c>
      <c r="V171" s="47">
        <v>3</v>
      </c>
      <c r="W171" s="47" t="s">
        <v>207</v>
      </c>
      <c r="X171" s="59" t="s">
        <v>984</v>
      </c>
      <c r="Y171" s="59" t="s">
        <v>2039</v>
      </c>
      <c r="Z171" s="59" t="s">
        <v>1168</v>
      </c>
      <c r="AA171" s="59" t="s">
        <v>96</v>
      </c>
      <c r="AB171" s="59" t="s">
        <v>1151</v>
      </c>
      <c r="AC171" s="59" t="s">
        <v>208</v>
      </c>
      <c r="AD171" s="59" t="s">
        <v>208</v>
      </c>
      <c r="AE171" s="60" t="s">
        <v>2180</v>
      </c>
      <c r="AF171" s="60" t="s">
        <v>7933</v>
      </c>
      <c r="AG171" s="59" t="s">
        <v>8423</v>
      </c>
      <c r="AH171" s="59" t="s">
        <v>1071</v>
      </c>
      <c r="AI171" s="59" t="s">
        <v>7148</v>
      </c>
      <c r="AJ171" s="61">
        <v>23240</v>
      </c>
      <c r="AK171" s="60" t="s">
        <v>2181</v>
      </c>
      <c r="AL171" s="60"/>
      <c r="AM171" s="59"/>
      <c r="AN171" s="60"/>
      <c r="AO171" s="60"/>
      <c r="AP171" s="59" t="s">
        <v>2182</v>
      </c>
      <c r="AQ171" s="60" t="s">
        <v>152</v>
      </c>
      <c r="AR171" s="60" t="s">
        <v>2183</v>
      </c>
      <c r="AS171" s="24" t="s">
        <v>2184</v>
      </c>
      <c r="AT171" s="59" t="s">
        <v>2178</v>
      </c>
      <c r="AU171" s="59" t="s">
        <v>2185</v>
      </c>
      <c r="AV171" s="62"/>
      <c r="AW171" s="59" t="s">
        <v>7933</v>
      </c>
      <c r="AX171" s="59" t="s">
        <v>691</v>
      </c>
      <c r="AY171" s="59" t="s">
        <v>7148</v>
      </c>
      <c r="AZ171" s="126" t="s">
        <v>2186</v>
      </c>
      <c r="BA171" s="60" t="s">
        <v>2187</v>
      </c>
      <c r="BB171" s="60" t="s">
        <v>845</v>
      </c>
      <c r="BC171" s="59" t="s">
        <v>800</v>
      </c>
      <c r="BD171" s="60"/>
      <c r="BE171" s="60"/>
      <c r="BF171" s="60"/>
      <c r="BG171" s="59" t="s">
        <v>2182</v>
      </c>
      <c r="BH171" s="60" t="s">
        <v>152</v>
      </c>
      <c r="BI171" s="60" t="s">
        <v>2183</v>
      </c>
      <c r="BJ171" s="24" t="s">
        <v>2184</v>
      </c>
      <c r="BK171" s="59" t="s">
        <v>2178</v>
      </c>
      <c r="BL171" s="59" t="s">
        <v>2185</v>
      </c>
      <c r="BM171" s="62"/>
      <c r="BN171" s="62"/>
      <c r="BO171" s="59" t="s">
        <v>719</v>
      </c>
      <c r="BP171" s="59"/>
      <c r="BQ171" s="77"/>
      <c r="BR171" s="60"/>
      <c r="BS171" s="60"/>
      <c r="BT171" s="59"/>
      <c r="BU171" s="60"/>
      <c r="BV171" s="60"/>
      <c r="BW171" s="59"/>
      <c r="BX171" s="60"/>
      <c r="BY171" s="60"/>
      <c r="BZ171" s="59"/>
      <c r="CA171" s="59"/>
      <c r="CB171" s="59"/>
      <c r="CC171" s="59"/>
      <c r="CD171" s="59"/>
      <c r="CE171" s="59" t="s">
        <v>7468</v>
      </c>
      <c r="CF171" s="60" t="s">
        <v>152</v>
      </c>
      <c r="CG171" s="59" t="s">
        <v>7146</v>
      </c>
      <c r="CH171" s="59" t="s">
        <v>7147</v>
      </c>
      <c r="CI171" s="59" t="s">
        <v>7148</v>
      </c>
      <c r="CJ171" s="59" t="s">
        <v>7149</v>
      </c>
      <c r="CK171" s="47">
        <v>15570</v>
      </c>
      <c r="CL171" s="64" t="str">
        <f t="shared" ca="1" si="2"/>
        <v>16 Tahun 7 Bulan 12 Hari</v>
      </c>
      <c r="CM17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Kp.Kramat RT/RW 02/03 Desa/Kelurahan Sukawali Kecamatan Pakuhaji Tangerang Banten 15570</v>
      </c>
    </row>
    <row r="172" spans="1:91" ht="24.95" customHeight="1">
      <c r="A172" s="58">
        <f>SUBTOTAL(3,N$8:Table2[[#This Row],[Nama lengkap]])</f>
        <v>165</v>
      </c>
      <c r="B172" s="58" t="s">
        <v>86</v>
      </c>
      <c r="C172" s="58">
        <v>2022</v>
      </c>
      <c r="D172" s="58"/>
      <c r="E172" s="58">
        <v>3</v>
      </c>
      <c r="F172" s="58" t="s">
        <v>1845</v>
      </c>
      <c r="G172" s="32" t="s">
        <v>2513</v>
      </c>
      <c r="H172" s="32" t="s">
        <v>2513</v>
      </c>
      <c r="I172" s="32" t="s">
        <v>2513</v>
      </c>
      <c r="J172" s="32"/>
      <c r="K172" s="32"/>
      <c r="L172" s="32"/>
      <c r="M172" s="58">
        <v>22230158</v>
      </c>
      <c r="N172" s="24" t="s">
        <v>5966</v>
      </c>
      <c r="O172" s="24"/>
      <c r="P172" s="25" t="s">
        <v>2189</v>
      </c>
      <c r="Q172" s="25" t="s">
        <v>2190</v>
      </c>
      <c r="R172" s="60" t="s">
        <v>122</v>
      </c>
      <c r="S172" s="61" t="s">
        <v>2191</v>
      </c>
      <c r="T172" s="47" t="s">
        <v>92</v>
      </c>
      <c r="U172" s="47">
        <v>1</v>
      </c>
      <c r="V172" s="47">
        <v>3</v>
      </c>
      <c r="W172" s="47" t="s">
        <v>207</v>
      </c>
      <c r="X172" s="59" t="s">
        <v>984</v>
      </c>
      <c r="Y172" s="59" t="s">
        <v>1620</v>
      </c>
      <c r="Z172" s="59" t="s">
        <v>1168</v>
      </c>
      <c r="AA172" s="59" t="s">
        <v>1141</v>
      </c>
      <c r="AB172" s="59" t="s">
        <v>689</v>
      </c>
      <c r="AC172" s="59" t="s">
        <v>208</v>
      </c>
      <c r="AD172" s="59" t="s">
        <v>208</v>
      </c>
      <c r="AE172" s="60" t="s">
        <v>2192</v>
      </c>
      <c r="AF172" s="60" t="s">
        <v>8424</v>
      </c>
      <c r="AG172" s="59" t="s">
        <v>8424</v>
      </c>
      <c r="AH172" s="59" t="s">
        <v>691</v>
      </c>
      <c r="AI172" s="59" t="s">
        <v>236</v>
      </c>
      <c r="AJ172" s="61">
        <v>31001</v>
      </c>
      <c r="AK172" s="60" t="s">
        <v>2193</v>
      </c>
      <c r="AL172" s="60" t="s">
        <v>114</v>
      </c>
      <c r="AM172" s="59" t="s">
        <v>800</v>
      </c>
      <c r="AN172" s="60"/>
      <c r="AO172" s="60"/>
      <c r="AP172" s="59" t="s">
        <v>2194</v>
      </c>
      <c r="AQ172" s="25" t="s">
        <v>2195</v>
      </c>
      <c r="AR172" s="60" t="s">
        <v>1781</v>
      </c>
      <c r="AS172" s="59" t="s">
        <v>2196</v>
      </c>
      <c r="AT172" s="59" t="s">
        <v>1090</v>
      </c>
      <c r="AU172" s="59" t="s">
        <v>111</v>
      </c>
      <c r="AV172" s="62">
        <v>45312</v>
      </c>
      <c r="AW172" s="59" t="s">
        <v>7934</v>
      </c>
      <c r="AX172" s="59" t="s">
        <v>691</v>
      </c>
      <c r="AY172" s="59" t="s">
        <v>122</v>
      </c>
      <c r="AZ172" s="126">
        <v>31375</v>
      </c>
      <c r="BA172" s="60" t="s">
        <v>2197</v>
      </c>
      <c r="BB172" s="60" t="s">
        <v>845</v>
      </c>
      <c r="BC172" s="59" t="s">
        <v>800</v>
      </c>
      <c r="BD172" s="60" t="s">
        <v>2198</v>
      </c>
      <c r="BE172" s="60"/>
      <c r="BF172" s="60"/>
      <c r="BG172" s="59" t="s">
        <v>2194</v>
      </c>
      <c r="BH172" s="60" t="s">
        <v>2195</v>
      </c>
      <c r="BI172" s="60" t="s">
        <v>1781</v>
      </c>
      <c r="BJ172" s="24" t="s">
        <v>2196</v>
      </c>
      <c r="BK172" s="59" t="s">
        <v>1090</v>
      </c>
      <c r="BL172" s="59" t="s">
        <v>1214</v>
      </c>
      <c r="BM172" s="62"/>
      <c r="BN172" s="62"/>
      <c r="BO172" s="59" t="s">
        <v>719</v>
      </c>
      <c r="BP172" s="59"/>
      <c r="BQ172" s="77"/>
      <c r="BR172" s="60"/>
      <c r="BS172" s="60"/>
      <c r="BT172" s="59"/>
      <c r="BU172" s="60"/>
      <c r="BV172" s="60"/>
      <c r="BW172" s="59"/>
      <c r="BX172" s="60"/>
      <c r="BY172" s="60"/>
      <c r="BZ172" s="59"/>
      <c r="CA172" s="59"/>
      <c r="CB172" s="59"/>
      <c r="CC172" s="59"/>
      <c r="CD172" s="59"/>
      <c r="CE172" s="59" t="s">
        <v>7469</v>
      </c>
      <c r="CF172" s="60" t="s">
        <v>2195</v>
      </c>
      <c r="CG172" s="59" t="s">
        <v>7114</v>
      </c>
      <c r="CH172" s="59" t="s">
        <v>7150</v>
      </c>
      <c r="CI172" s="59" t="s">
        <v>122</v>
      </c>
      <c r="CJ172" s="59" t="s">
        <v>111</v>
      </c>
      <c r="CK172" s="47">
        <v>45312</v>
      </c>
      <c r="CL172" s="64" t="str">
        <f t="shared" ca="1" si="2"/>
        <v>18 Tahun 7 Bulan 30 Hari</v>
      </c>
      <c r="CM17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 Darangdan RT/RW 06/08 Desa/Kelurahan Kotakulon Kecamatan Sumedang Selatan  Sumedang Jawa Barat 45312</v>
      </c>
    </row>
    <row r="173" spans="1:91" ht="24.95" customHeight="1">
      <c r="A173" s="58">
        <f>SUBTOTAL(3,N$8:Table2[[#This Row],[Nama lengkap]])</f>
        <v>166</v>
      </c>
      <c r="B173" s="58" t="s">
        <v>86</v>
      </c>
      <c r="C173" s="58">
        <v>2022</v>
      </c>
      <c r="D173" s="58"/>
      <c r="E173" s="58">
        <v>3</v>
      </c>
      <c r="F173" s="58" t="s">
        <v>2199</v>
      </c>
      <c r="G173" s="32" t="s">
        <v>2513</v>
      </c>
      <c r="H173" s="32" t="s">
        <v>2513</v>
      </c>
      <c r="I173" s="32" t="s">
        <v>2513</v>
      </c>
      <c r="J173" s="32"/>
      <c r="K173" s="32"/>
      <c r="L173" s="32"/>
      <c r="M173" s="58">
        <v>22230126</v>
      </c>
      <c r="N173" s="24" t="s">
        <v>5968</v>
      </c>
      <c r="O173" s="24"/>
      <c r="P173" s="25" t="s">
        <v>2200</v>
      </c>
      <c r="Q173" s="25" t="s">
        <v>2201</v>
      </c>
      <c r="R173" s="60" t="s">
        <v>90</v>
      </c>
      <c r="S173" s="61" t="s">
        <v>2202</v>
      </c>
      <c r="T173" s="47" t="s">
        <v>92</v>
      </c>
      <c r="U173" s="47">
        <v>1</v>
      </c>
      <c r="V173" s="47">
        <v>3</v>
      </c>
      <c r="W173" s="47" t="s">
        <v>207</v>
      </c>
      <c r="X173" s="59" t="s">
        <v>984</v>
      </c>
      <c r="Y173" s="65" t="s">
        <v>1711</v>
      </c>
      <c r="Z173" s="59" t="s">
        <v>1042</v>
      </c>
      <c r="AA173" s="65" t="s">
        <v>96</v>
      </c>
      <c r="AB173" s="65" t="s">
        <v>689</v>
      </c>
      <c r="AC173" s="65" t="s">
        <v>208</v>
      </c>
      <c r="AD173" s="65" t="s">
        <v>208</v>
      </c>
      <c r="AE173" s="66" t="s">
        <v>2203</v>
      </c>
      <c r="AF173" s="65" t="s">
        <v>8406</v>
      </c>
      <c r="AG173" s="65" t="s">
        <v>8406</v>
      </c>
      <c r="AH173" s="65" t="s">
        <v>691</v>
      </c>
      <c r="AI173" s="9" t="s">
        <v>90</v>
      </c>
      <c r="AJ173" s="134" t="s">
        <v>2204</v>
      </c>
      <c r="AK173" s="9" t="s">
        <v>2205</v>
      </c>
      <c r="AL173" s="9" t="s">
        <v>914</v>
      </c>
      <c r="AM173" s="9" t="s">
        <v>800</v>
      </c>
      <c r="AN173" s="60"/>
      <c r="AO173" s="60"/>
      <c r="AP173" s="59" t="s">
        <v>2206</v>
      </c>
      <c r="AQ173" s="25" t="s">
        <v>327</v>
      </c>
      <c r="AR173" s="9" t="s">
        <v>2207</v>
      </c>
      <c r="AS173" s="9" t="s">
        <v>1461</v>
      </c>
      <c r="AT173" s="9" t="s">
        <v>1706</v>
      </c>
      <c r="AU173" s="59" t="s">
        <v>111</v>
      </c>
      <c r="AV173" s="62">
        <v>40616</v>
      </c>
      <c r="AW173" s="59" t="s">
        <v>7935</v>
      </c>
      <c r="AX173" s="59" t="s">
        <v>691</v>
      </c>
      <c r="AY173" s="59" t="s">
        <v>90</v>
      </c>
      <c r="AZ173" s="126">
        <v>30978</v>
      </c>
      <c r="BA173" s="60" t="s">
        <v>2208</v>
      </c>
      <c r="BB173" s="67" t="s">
        <v>845</v>
      </c>
      <c r="BC173" s="60" t="s">
        <v>800</v>
      </c>
      <c r="BD173" s="60"/>
      <c r="BE173" s="60"/>
      <c r="BF173" s="60"/>
      <c r="BG173" s="59" t="s">
        <v>2206</v>
      </c>
      <c r="BH173" s="25" t="s">
        <v>327</v>
      </c>
      <c r="BI173" s="9" t="s">
        <v>2207</v>
      </c>
      <c r="BJ173" s="13" t="s">
        <v>1461</v>
      </c>
      <c r="BK173" s="9" t="s">
        <v>1706</v>
      </c>
      <c r="BL173" s="9" t="s">
        <v>156</v>
      </c>
      <c r="BM173" s="24">
        <v>40616</v>
      </c>
      <c r="BN173" s="24"/>
      <c r="BO173" s="59" t="s">
        <v>2209</v>
      </c>
      <c r="BP173" s="59"/>
      <c r="BQ173" s="77"/>
      <c r="BR173" s="60"/>
      <c r="BS173" s="60"/>
      <c r="BT173" s="59"/>
      <c r="BU173" s="60"/>
      <c r="BV173" s="60"/>
      <c r="BW173" s="59"/>
      <c r="BX173" s="60"/>
      <c r="BY173" s="60"/>
      <c r="BZ173" s="59"/>
      <c r="CA173" s="59"/>
      <c r="CB173" s="59"/>
      <c r="CC173" s="59"/>
      <c r="CD173" s="59"/>
      <c r="CE173" s="59" t="s">
        <v>7470</v>
      </c>
      <c r="CF173" s="60" t="s">
        <v>327</v>
      </c>
      <c r="CG173" s="59" t="s">
        <v>7151</v>
      </c>
      <c r="CH173" s="59" t="s">
        <v>6830</v>
      </c>
      <c r="CI173" s="59" t="s">
        <v>644</v>
      </c>
      <c r="CJ173" s="59" t="s">
        <v>111</v>
      </c>
      <c r="CK173" s="47">
        <v>40616</v>
      </c>
      <c r="CL173" s="64" t="str">
        <f t="shared" ca="1" si="2"/>
        <v>16 Tahun 3 Bulan 4 Hari</v>
      </c>
      <c r="CM17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Pasir Kunci RT/RW 001/011 Desa/Kelurahan Pasirjati Kecamatan Ujungberung Kota Bandung Jawa Barat 40616</v>
      </c>
    </row>
    <row r="174" spans="1:91" ht="24.95" customHeight="1">
      <c r="A174" s="58">
        <f>SUBTOTAL(3,N$8:Table2[[#This Row],[Nama lengkap]])</f>
        <v>167</v>
      </c>
      <c r="B174" s="58" t="s">
        <v>86</v>
      </c>
      <c r="C174" s="58">
        <v>2022</v>
      </c>
      <c r="D174" s="58"/>
      <c r="E174" s="58">
        <v>3</v>
      </c>
      <c r="F174" s="58" t="s">
        <v>2199</v>
      </c>
      <c r="G174" s="32" t="s">
        <v>2513</v>
      </c>
      <c r="H174" s="32" t="s">
        <v>2513</v>
      </c>
      <c r="I174" s="32" t="s">
        <v>2513</v>
      </c>
      <c r="J174" s="32"/>
      <c r="K174" s="32"/>
      <c r="L174" s="32"/>
      <c r="M174" s="58">
        <v>22230123</v>
      </c>
      <c r="N174" s="24" t="s">
        <v>5969</v>
      </c>
      <c r="O174" s="24"/>
      <c r="P174" s="25" t="s">
        <v>2210</v>
      </c>
      <c r="Q174" s="25" t="s">
        <v>2211</v>
      </c>
      <c r="R174" s="60" t="s">
        <v>90</v>
      </c>
      <c r="S174" s="61" t="s">
        <v>2212</v>
      </c>
      <c r="T174" s="47" t="s">
        <v>92</v>
      </c>
      <c r="U174" s="47">
        <v>1</v>
      </c>
      <c r="V174" s="47">
        <v>2</v>
      </c>
      <c r="W174" s="47" t="s">
        <v>207</v>
      </c>
      <c r="X174" s="59" t="s">
        <v>984</v>
      </c>
      <c r="Y174" s="65" t="s">
        <v>2213</v>
      </c>
      <c r="Z174" s="59" t="s">
        <v>1985</v>
      </c>
      <c r="AA174" s="65" t="s">
        <v>96</v>
      </c>
      <c r="AB174" s="65" t="s">
        <v>689</v>
      </c>
      <c r="AC174" s="65" t="s">
        <v>208</v>
      </c>
      <c r="AD174" s="65" t="s">
        <v>208</v>
      </c>
      <c r="AE174" s="66" t="s">
        <v>2214</v>
      </c>
      <c r="AF174" s="65" t="s">
        <v>8425</v>
      </c>
      <c r="AG174" s="65" t="s">
        <v>8425</v>
      </c>
      <c r="AH174" s="65" t="s">
        <v>691</v>
      </c>
      <c r="AI174" s="65" t="s">
        <v>90</v>
      </c>
      <c r="AJ174" s="133">
        <v>30079</v>
      </c>
      <c r="AK174" s="66" t="s">
        <v>2215</v>
      </c>
      <c r="AL174" s="65" t="s">
        <v>602</v>
      </c>
      <c r="AM174" s="65" t="s">
        <v>800</v>
      </c>
      <c r="AN174" s="60"/>
      <c r="AO174" s="60"/>
      <c r="AP174" s="59" t="s">
        <v>2216</v>
      </c>
      <c r="AQ174" s="25" t="s">
        <v>1290</v>
      </c>
      <c r="AR174" s="65" t="s">
        <v>2217</v>
      </c>
      <c r="AS174" s="65" t="s">
        <v>2218</v>
      </c>
      <c r="AT174" s="65" t="s">
        <v>141</v>
      </c>
      <c r="AU174" s="59" t="s">
        <v>111</v>
      </c>
      <c r="AV174" s="62">
        <v>40618</v>
      </c>
      <c r="AW174" s="59" t="s">
        <v>7936</v>
      </c>
      <c r="AX174" s="59" t="s">
        <v>691</v>
      </c>
      <c r="AY174" s="59" t="s">
        <v>90</v>
      </c>
      <c r="AZ174" s="126">
        <v>32345</v>
      </c>
      <c r="BA174" s="60" t="s">
        <v>2219</v>
      </c>
      <c r="BB174" s="67" t="s">
        <v>845</v>
      </c>
      <c r="BC174" s="60" t="s">
        <v>700</v>
      </c>
      <c r="BD174" s="60"/>
      <c r="BE174" s="60"/>
      <c r="BF174" s="60"/>
      <c r="BG174" s="59" t="s">
        <v>2216</v>
      </c>
      <c r="BH174" s="25" t="s">
        <v>1290</v>
      </c>
      <c r="BI174" s="65" t="s">
        <v>2217</v>
      </c>
      <c r="BJ174" s="68" t="s">
        <v>2218</v>
      </c>
      <c r="BK174" s="65" t="s">
        <v>141</v>
      </c>
      <c r="BL174" s="65" t="s">
        <v>156</v>
      </c>
      <c r="BM174" s="24">
        <v>40618</v>
      </c>
      <c r="BN174" s="24"/>
      <c r="BO174" s="59" t="s">
        <v>719</v>
      </c>
      <c r="BP174" s="59"/>
      <c r="BQ174" s="77"/>
      <c r="BR174" s="60"/>
      <c r="BS174" s="60"/>
      <c r="BT174" s="59"/>
      <c r="BU174" s="60"/>
      <c r="BV174" s="60"/>
      <c r="BW174" s="59"/>
      <c r="BX174" s="60"/>
      <c r="BY174" s="60"/>
      <c r="BZ174" s="59"/>
      <c r="CA174" s="59"/>
      <c r="CB174" s="59"/>
      <c r="CC174" s="59"/>
      <c r="CD174" s="59"/>
      <c r="CE174" s="59" t="s">
        <v>7471</v>
      </c>
      <c r="CF174" s="60" t="s">
        <v>1290</v>
      </c>
      <c r="CG174" s="59" t="s">
        <v>7152</v>
      </c>
      <c r="CH174" s="59" t="s">
        <v>7153</v>
      </c>
      <c r="CI174" s="59" t="s">
        <v>90</v>
      </c>
      <c r="CJ174" s="59" t="s">
        <v>111</v>
      </c>
      <c r="CK174" s="47">
        <v>40618</v>
      </c>
      <c r="CL174" s="64" t="str">
        <f t="shared" ca="1" si="2"/>
        <v>16 Tahun 3 Bulan 6 Hari</v>
      </c>
      <c r="CM17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Kp.Paratag RT/RW 03/03 Desa/Kelurahan Melatiwangi Kecamatan Cilengkrang Bandung Jawa Barat 40618</v>
      </c>
    </row>
    <row r="175" spans="1:91" ht="24.95" customHeight="1">
      <c r="A175" s="58">
        <f>SUBTOTAL(3,N$8:Table2[[#This Row],[Nama lengkap]])</f>
        <v>168</v>
      </c>
      <c r="B175" s="58" t="s">
        <v>86</v>
      </c>
      <c r="C175" s="58">
        <v>2022</v>
      </c>
      <c r="D175" s="58"/>
      <c r="E175" s="58">
        <v>3</v>
      </c>
      <c r="F175" s="58" t="s">
        <v>2199</v>
      </c>
      <c r="G175" s="32" t="s">
        <v>2513</v>
      </c>
      <c r="H175" s="32" t="s">
        <v>2513</v>
      </c>
      <c r="I175" s="32" t="s">
        <v>2513</v>
      </c>
      <c r="J175" s="32"/>
      <c r="K175" s="32"/>
      <c r="L175" s="32"/>
      <c r="M175" s="58">
        <v>22230179</v>
      </c>
      <c r="N175" s="24" t="s">
        <v>8783</v>
      </c>
      <c r="O175" s="24"/>
      <c r="P175" s="25" t="s">
        <v>9931</v>
      </c>
      <c r="Q175" s="25" t="s">
        <v>2220</v>
      </c>
      <c r="R175" s="60" t="s">
        <v>6472</v>
      </c>
      <c r="S175" s="61" t="s">
        <v>1203</v>
      </c>
      <c r="T175" s="47" t="s">
        <v>92</v>
      </c>
      <c r="U175" s="47">
        <v>1</v>
      </c>
      <c r="V175" s="47">
        <v>2</v>
      </c>
      <c r="W175" s="47" t="s">
        <v>207</v>
      </c>
      <c r="X175" s="59" t="s">
        <v>984</v>
      </c>
      <c r="Y175" s="65" t="s">
        <v>706</v>
      </c>
      <c r="Z175" s="59" t="s">
        <v>1042</v>
      </c>
      <c r="AA175" s="65" t="s">
        <v>96</v>
      </c>
      <c r="AB175" s="65" t="s">
        <v>689</v>
      </c>
      <c r="AC175" s="65" t="s">
        <v>208</v>
      </c>
      <c r="AD175" s="65" t="s">
        <v>208</v>
      </c>
      <c r="AE175" s="66" t="s">
        <v>2221</v>
      </c>
      <c r="AF175" s="65" t="s">
        <v>7937</v>
      </c>
      <c r="AG175" s="65" t="s">
        <v>8426</v>
      </c>
      <c r="AH175" s="65" t="s">
        <v>2222</v>
      </c>
      <c r="AI175" s="65"/>
      <c r="AJ175" s="133"/>
      <c r="AK175" s="66"/>
      <c r="AL175" s="65"/>
      <c r="AM175" s="65"/>
      <c r="AN175" s="60"/>
      <c r="AO175" s="60"/>
      <c r="AP175" s="59" t="s">
        <v>1357</v>
      </c>
      <c r="AQ175" s="25" t="s">
        <v>2223</v>
      </c>
      <c r="AR175" s="65" t="s">
        <v>1346</v>
      </c>
      <c r="AS175" s="65" t="s">
        <v>1347</v>
      </c>
      <c r="AT175" s="65" t="s">
        <v>141</v>
      </c>
      <c r="AU175" s="59" t="s">
        <v>111</v>
      </c>
      <c r="AV175" s="62">
        <v>40238</v>
      </c>
      <c r="AW175" s="59" t="s">
        <v>7937</v>
      </c>
      <c r="AX175" s="59" t="s">
        <v>1153</v>
      </c>
      <c r="AY175" s="59" t="s">
        <v>6472</v>
      </c>
      <c r="AZ175" s="126">
        <v>31096</v>
      </c>
      <c r="BA175" s="60" t="s">
        <v>2224</v>
      </c>
      <c r="BB175" s="67" t="s">
        <v>845</v>
      </c>
      <c r="BC175" s="60" t="s">
        <v>693</v>
      </c>
      <c r="BD175" s="60"/>
      <c r="BE175" s="60"/>
      <c r="BF175" s="60"/>
      <c r="BG175" s="59" t="s">
        <v>1357</v>
      </c>
      <c r="BH175" s="25" t="s">
        <v>2223</v>
      </c>
      <c r="BI175" s="65" t="s">
        <v>1346</v>
      </c>
      <c r="BJ175" s="68" t="s">
        <v>1347</v>
      </c>
      <c r="BK175" s="65" t="s">
        <v>141</v>
      </c>
      <c r="BL175" s="65" t="s">
        <v>156</v>
      </c>
      <c r="BM175" s="24">
        <v>40238</v>
      </c>
      <c r="BN175" s="24"/>
      <c r="BO175" s="59" t="s">
        <v>701</v>
      </c>
      <c r="BP175" s="59"/>
      <c r="BQ175" s="77"/>
      <c r="BR175" s="60"/>
      <c r="BS175" s="60"/>
      <c r="BT175" s="59"/>
      <c r="BU175" s="60"/>
      <c r="BV175" s="60"/>
      <c r="BW175" s="59"/>
      <c r="BX175" s="60"/>
      <c r="BY175" s="60"/>
      <c r="BZ175" s="59"/>
      <c r="CA175" s="59"/>
      <c r="CB175" s="59"/>
      <c r="CC175" s="59"/>
      <c r="CD175" s="59"/>
      <c r="CE175" s="59" t="s">
        <v>6642</v>
      </c>
      <c r="CF175" s="60" t="s">
        <v>2223</v>
      </c>
      <c r="CG175" s="59" t="s">
        <v>6934</v>
      </c>
      <c r="CH175" s="59" t="s">
        <v>6463</v>
      </c>
      <c r="CI175" s="59" t="s">
        <v>90</v>
      </c>
      <c r="CJ175" s="59" t="s">
        <v>111</v>
      </c>
      <c r="CK175" s="47">
        <v>40238</v>
      </c>
      <c r="CL175" s="64" t="str">
        <f t="shared" ca="1" si="2"/>
        <v>15 Tahun 8 Bulan 26 Hari</v>
      </c>
      <c r="CM17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Babakan Peuteuy RT/RW 003/009 Desa/Kelurahan Ciluncat Kecamatan Cangkuang Bandung Jawa Barat 40238</v>
      </c>
    </row>
    <row r="176" spans="1:91" ht="24.95" customHeight="1">
      <c r="A176" s="58">
        <f>SUBTOTAL(3,N$8:Table2[[#This Row],[Nama lengkap]])</f>
        <v>169</v>
      </c>
      <c r="B176" s="58" t="s">
        <v>86</v>
      </c>
      <c r="C176" s="58">
        <v>2022</v>
      </c>
      <c r="D176" s="58"/>
      <c r="E176" s="58">
        <v>3</v>
      </c>
      <c r="F176" s="58" t="s">
        <v>2199</v>
      </c>
      <c r="G176" s="32" t="s">
        <v>2513</v>
      </c>
      <c r="H176" s="32" t="s">
        <v>2513</v>
      </c>
      <c r="I176" s="32" t="s">
        <v>2513</v>
      </c>
      <c r="J176" s="32"/>
      <c r="K176" s="32"/>
      <c r="L176" s="32"/>
      <c r="M176" s="58">
        <v>22230058</v>
      </c>
      <c r="N176" s="24" t="s">
        <v>8784</v>
      </c>
      <c r="O176" s="24"/>
      <c r="P176" s="25" t="s">
        <v>2225</v>
      </c>
      <c r="Q176" s="25" t="s">
        <v>2226</v>
      </c>
      <c r="R176" s="60" t="s">
        <v>90</v>
      </c>
      <c r="S176" s="61" t="s">
        <v>2227</v>
      </c>
      <c r="T176" s="47" t="s">
        <v>92</v>
      </c>
      <c r="U176" s="47">
        <v>1</v>
      </c>
      <c r="V176" s="47">
        <v>2</v>
      </c>
      <c r="W176" s="47" t="s">
        <v>207</v>
      </c>
      <c r="X176" s="59" t="s">
        <v>984</v>
      </c>
      <c r="Y176" s="65" t="s">
        <v>1092</v>
      </c>
      <c r="Z176" s="59" t="s">
        <v>1042</v>
      </c>
      <c r="AA176" s="65" t="s">
        <v>96</v>
      </c>
      <c r="AB176" s="65" t="s">
        <v>689</v>
      </c>
      <c r="AC176" s="65" t="s">
        <v>208</v>
      </c>
      <c r="AD176" s="65" t="s">
        <v>208</v>
      </c>
      <c r="AE176" s="66" t="s">
        <v>2228</v>
      </c>
      <c r="AF176" s="65" t="s">
        <v>8427</v>
      </c>
      <c r="AG176" s="65" t="s">
        <v>8427</v>
      </c>
      <c r="AH176" s="65" t="s">
        <v>691</v>
      </c>
      <c r="AI176" s="65" t="s">
        <v>90</v>
      </c>
      <c r="AJ176" s="133">
        <v>30928</v>
      </c>
      <c r="AK176" s="66" t="s">
        <v>2229</v>
      </c>
      <c r="AL176" s="65" t="s">
        <v>602</v>
      </c>
      <c r="AM176" s="65" t="s">
        <v>700</v>
      </c>
      <c r="AN176" s="60"/>
      <c r="AO176" s="60"/>
      <c r="AP176" s="59" t="s">
        <v>2230</v>
      </c>
      <c r="AQ176" s="25" t="s">
        <v>2231</v>
      </c>
      <c r="AR176" s="65" t="s">
        <v>2232</v>
      </c>
      <c r="AS176" s="65" t="s">
        <v>2233</v>
      </c>
      <c r="AT176" s="65" t="s">
        <v>1706</v>
      </c>
      <c r="AU176" s="59" t="s">
        <v>111</v>
      </c>
      <c r="AV176" s="62">
        <v>40274</v>
      </c>
      <c r="AW176" s="59" t="s">
        <v>7938</v>
      </c>
      <c r="AX176" s="59" t="s">
        <v>691</v>
      </c>
      <c r="AY176" s="59" t="s">
        <v>90</v>
      </c>
      <c r="AZ176" s="126">
        <v>28657</v>
      </c>
      <c r="BA176" s="60" t="s">
        <v>2234</v>
      </c>
      <c r="BB176" s="67" t="s">
        <v>845</v>
      </c>
      <c r="BC176" s="60" t="s">
        <v>800</v>
      </c>
      <c r="BD176" s="60"/>
      <c r="BE176" s="60"/>
      <c r="BF176" s="60"/>
      <c r="BG176" s="59" t="s">
        <v>2230</v>
      </c>
      <c r="BH176" s="25" t="s">
        <v>2231</v>
      </c>
      <c r="BI176" s="65" t="s">
        <v>2232</v>
      </c>
      <c r="BJ176" s="68" t="s">
        <v>2233</v>
      </c>
      <c r="BK176" s="65" t="s">
        <v>1706</v>
      </c>
      <c r="BL176" s="65" t="s">
        <v>156</v>
      </c>
      <c r="BM176" s="24">
        <v>40274</v>
      </c>
      <c r="BN176" s="24"/>
      <c r="BO176" s="59" t="s">
        <v>2235</v>
      </c>
      <c r="BP176" s="59"/>
      <c r="BQ176" s="77"/>
      <c r="BR176" s="60"/>
      <c r="BS176" s="60"/>
      <c r="BT176" s="59"/>
      <c r="BU176" s="60"/>
      <c r="BV176" s="60"/>
      <c r="BW176" s="59"/>
      <c r="BX176" s="60"/>
      <c r="BY176" s="60"/>
      <c r="BZ176" s="59"/>
      <c r="CA176" s="59"/>
      <c r="CB176" s="59"/>
      <c r="CC176" s="59"/>
      <c r="CD176" s="59"/>
      <c r="CE176" s="59" t="s">
        <v>7472</v>
      </c>
      <c r="CF176" s="60" t="s">
        <v>2231</v>
      </c>
      <c r="CG176" s="59" t="s">
        <v>7154</v>
      </c>
      <c r="CH176" s="59" t="s">
        <v>7155</v>
      </c>
      <c r="CI176" s="59" t="s">
        <v>644</v>
      </c>
      <c r="CJ176" s="59" t="s">
        <v>111</v>
      </c>
      <c r="CK176" s="47">
        <v>40274</v>
      </c>
      <c r="CL176" s="64" t="str">
        <f t="shared" ca="1" si="2"/>
        <v>15 Tahun 2 Bulan 14 Hari</v>
      </c>
      <c r="CM17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Jl.Kebon Gedang Iii RT/RW 002/012 Desa/Kelurahan Maleer Kecamatan Batununggal Kota Bandung Jawa Barat 40274</v>
      </c>
    </row>
    <row r="177" spans="1:91" ht="24.95" customHeight="1">
      <c r="A177" s="58">
        <f>SUBTOTAL(3,N$8:Table2[[#This Row],[Nama lengkap]])</f>
        <v>170</v>
      </c>
      <c r="B177" s="58" t="s">
        <v>86</v>
      </c>
      <c r="C177" s="58">
        <v>2022</v>
      </c>
      <c r="D177" s="58"/>
      <c r="E177" s="58">
        <v>3</v>
      </c>
      <c r="F177" s="58" t="s">
        <v>2199</v>
      </c>
      <c r="G177" s="32" t="s">
        <v>2513</v>
      </c>
      <c r="H177" s="32" t="s">
        <v>2513</v>
      </c>
      <c r="I177" s="32" t="s">
        <v>2513</v>
      </c>
      <c r="J177" s="32"/>
      <c r="K177" s="32"/>
      <c r="L177" s="32"/>
      <c r="M177" s="58">
        <v>22230166</v>
      </c>
      <c r="N177" s="24" t="s">
        <v>5972</v>
      </c>
      <c r="O177" s="24"/>
      <c r="P177" s="25" t="s">
        <v>2236</v>
      </c>
      <c r="Q177" s="25" t="s">
        <v>2237</v>
      </c>
      <c r="R177" s="60" t="s">
        <v>7144</v>
      </c>
      <c r="S177" s="61" t="s">
        <v>2238</v>
      </c>
      <c r="T177" s="47" t="s">
        <v>92</v>
      </c>
      <c r="U177" s="47">
        <v>1</v>
      </c>
      <c r="V177" s="47">
        <v>2</v>
      </c>
      <c r="W177" s="47" t="s">
        <v>207</v>
      </c>
      <c r="X177" s="59" t="s">
        <v>984</v>
      </c>
      <c r="Y177" s="65" t="s">
        <v>1012</v>
      </c>
      <c r="Z177" s="59" t="s">
        <v>1985</v>
      </c>
      <c r="AA177" s="65" t="s">
        <v>96</v>
      </c>
      <c r="AB177" s="65" t="s">
        <v>689</v>
      </c>
      <c r="AC177" s="65" t="s">
        <v>208</v>
      </c>
      <c r="AD177" s="65" t="s">
        <v>208</v>
      </c>
      <c r="AE177" s="66" t="s">
        <v>2239</v>
      </c>
      <c r="AF177" s="65" t="s">
        <v>8428</v>
      </c>
      <c r="AG177" s="65" t="s">
        <v>8428</v>
      </c>
      <c r="AH177" s="65" t="s">
        <v>691</v>
      </c>
      <c r="AI177" s="65" t="s">
        <v>122</v>
      </c>
      <c r="AJ177" s="133">
        <v>30999</v>
      </c>
      <c r="AK177" s="66" t="s">
        <v>2240</v>
      </c>
      <c r="AL177" s="65" t="s">
        <v>114</v>
      </c>
      <c r="AM177" s="65" t="s">
        <v>800</v>
      </c>
      <c r="AN177" s="60"/>
      <c r="AO177" s="60"/>
      <c r="AP177" s="59" t="s">
        <v>1691</v>
      </c>
      <c r="AQ177" s="25" t="s">
        <v>2241</v>
      </c>
      <c r="AR177" s="65" t="s">
        <v>1692</v>
      </c>
      <c r="AS177" s="65" t="s">
        <v>1324</v>
      </c>
      <c r="AT177" s="65" t="s">
        <v>1090</v>
      </c>
      <c r="AU177" s="59" t="s">
        <v>111</v>
      </c>
      <c r="AV177" s="62">
        <v>45321</v>
      </c>
      <c r="AW177" s="59" t="s">
        <v>7939</v>
      </c>
      <c r="AX177" s="59" t="s">
        <v>691</v>
      </c>
      <c r="AY177" s="59" t="s">
        <v>7792</v>
      </c>
      <c r="AZ177" s="126" t="s">
        <v>2242</v>
      </c>
      <c r="BA177" s="60" t="s">
        <v>2243</v>
      </c>
      <c r="BB177" s="67" t="s">
        <v>845</v>
      </c>
      <c r="BC177" s="60" t="s">
        <v>800</v>
      </c>
      <c r="BD177" s="60"/>
      <c r="BE177" s="60"/>
      <c r="BF177" s="60"/>
      <c r="BG177" s="59" t="s">
        <v>1691</v>
      </c>
      <c r="BH177" s="25" t="s">
        <v>2241</v>
      </c>
      <c r="BI177" s="65" t="s">
        <v>1692</v>
      </c>
      <c r="BJ177" s="68" t="s">
        <v>1324</v>
      </c>
      <c r="BK177" s="65" t="s">
        <v>1090</v>
      </c>
      <c r="BL177" s="65" t="s">
        <v>156</v>
      </c>
      <c r="BM177" s="24">
        <v>45321</v>
      </c>
      <c r="BN177" s="24"/>
      <c r="BO177" s="59" t="s">
        <v>701</v>
      </c>
      <c r="BP177" s="59"/>
      <c r="BQ177" s="77"/>
      <c r="BR177" s="60"/>
      <c r="BS177" s="60"/>
      <c r="BT177" s="59"/>
      <c r="BU177" s="60"/>
      <c r="BV177" s="60"/>
      <c r="BW177" s="59"/>
      <c r="BX177" s="60"/>
      <c r="BY177" s="60"/>
      <c r="BZ177" s="59"/>
      <c r="CA177" s="59"/>
      <c r="CB177" s="59"/>
      <c r="CC177" s="59"/>
      <c r="CD177" s="59"/>
      <c r="CE177" s="59" t="s">
        <v>7432</v>
      </c>
      <c r="CF177" s="60" t="s">
        <v>2241</v>
      </c>
      <c r="CG177" s="59" t="s">
        <v>7103</v>
      </c>
      <c r="CH177" s="59" t="s">
        <v>134</v>
      </c>
      <c r="CI177" s="59" t="s">
        <v>122</v>
      </c>
      <c r="CJ177" s="59" t="s">
        <v>111</v>
      </c>
      <c r="CK177" s="47">
        <v>45321</v>
      </c>
      <c r="CL177" s="64" t="str">
        <f t="shared" ca="1" si="2"/>
        <v>16 Tahun 5 Bulan 1 Hari</v>
      </c>
      <c r="CM17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Lingk. Talun Kidul RT/RW 004/005 Desa/Kelurahan Talun Kecamatan Sumedang Utara Sumedang Jawa Barat 45321</v>
      </c>
    </row>
    <row r="178" spans="1:91" ht="24.95" customHeight="1">
      <c r="A178" s="58">
        <f>SUBTOTAL(3,N$8:Table2[[#This Row],[Nama lengkap]])</f>
        <v>171</v>
      </c>
      <c r="B178" s="58" t="s">
        <v>86</v>
      </c>
      <c r="C178" s="58">
        <v>2021</v>
      </c>
      <c r="D178" s="58"/>
      <c r="E178" s="58">
        <v>3</v>
      </c>
      <c r="F178" s="58" t="s">
        <v>2199</v>
      </c>
      <c r="G178" s="32" t="s">
        <v>2513</v>
      </c>
      <c r="H178" s="32" t="s">
        <v>2513</v>
      </c>
      <c r="I178" s="32" t="s">
        <v>2513</v>
      </c>
      <c r="J178" s="32"/>
      <c r="K178" s="32"/>
      <c r="L178" s="32"/>
      <c r="M178" s="58">
        <v>21220035</v>
      </c>
      <c r="N178" s="24" t="s">
        <v>8785</v>
      </c>
      <c r="O178" s="24"/>
      <c r="P178" s="25" t="s">
        <v>8962</v>
      </c>
      <c r="Q178" s="25" t="s">
        <v>2245</v>
      </c>
      <c r="R178" s="60" t="s">
        <v>122</v>
      </c>
      <c r="S178" s="61" t="s">
        <v>2246</v>
      </c>
      <c r="T178" s="47" t="s">
        <v>92</v>
      </c>
      <c r="U178" s="47">
        <v>1</v>
      </c>
      <c r="V178" s="47">
        <v>2</v>
      </c>
      <c r="W178" s="47" t="s">
        <v>207</v>
      </c>
      <c r="X178" s="59" t="s">
        <v>984</v>
      </c>
      <c r="Y178" s="63" t="s">
        <v>2213</v>
      </c>
      <c r="Z178" s="59" t="s">
        <v>216</v>
      </c>
      <c r="AA178" s="63" t="s">
        <v>96</v>
      </c>
      <c r="AB178" s="65" t="s">
        <v>689</v>
      </c>
      <c r="AC178" s="65" t="s">
        <v>208</v>
      </c>
      <c r="AD178" s="65" t="s">
        <v>208</v>
      </c>
      <c r="AE178" s="10" t="s">
        <v>2247</v>
      </c>
      <c r="AF178" s="11" t="s">
        <v>8429</v>
      </c>
      <c r="AG178" s="11" t="s">
        <v>8429</v>
      </c>
      <c r="AH178" s="65" t="s">
        <v>691</v>
      </c>
      <c r="AI178" s="11" t="s">
        <v>122</v>
      </c>
      <c r="AJ178" s="132">
        <v>26181</v>
      </c>
      <c r="AK178" s="10" t="s">
        <v>2248</v>
      </c>
      <c r="AL178" s="11" t="s">
        <v>289</v>
      </c>
      <c r="AM178" s="11" t="s">
        <v>700</v>
      </c>
      <c r="AN178" s="60"/>
      <c r="AO178" s="60"/>
      <c r="AP178" s="59" t="s">
        <v>2249</v>
      </c>
      <c r="AQ178" s="25" t="s">
        <v>1290</v>
      </c>
      <c r="AR178" s="11" t="s">
        <v>2250</v>
      </c>
      <c r="AS178" s="11" t="s">
        <v>2251</v>
      </c>
      <c r="AT178" s="11" t="s">
        <v>1090</v>
      </c>
      <c r="AU178" s="59" t="s">
        <v>111</v>
      </c>
      <c r="AV178" s="62"/>
      <c r="AW178" s="59" t="s">
        <v>7940</v>
      </c>
      <c r="AX178" s="59" t="s">
        <v>691</v>
      </c>
      <c r="AY178" s="59" t="s">
        <v>122</v>
      </c>
      <c r="AZ178" s="126">
        <v>32612</v>
      </c>
      <c r="BA178" s="60" t="s">
        <v>2252</v>
      </c>
      <c r="BB178" s="67" t="s">
        <v>845</v>
      </c>
      <c r="BC178" s="60" t="s">
        <v>700</v>
      </c>
      <c r="BD178" s="60"/>
      <c r="BE178" s="60"/>
      <c r="BF178" s="60"/>
      <c r="BG178" s="59" t="s">
        <v>2249</v>
      </c>
      <c r="BH178" s="25" t="s">
        <v>1290</v>
      </c>
      <c r="BI178" s="11" t="s">
        <v>2250</v>
      </c>
      <c r="BJ178" s="14" t="s">
        <v>2251</v>
      </c>
      <c r="BK178" s="11" t="s">
        <v>1090</v>
      </c>
      <c r="BL178" s="11" t="s">
        <v>156</v>
      </c>
      <c r="BM178" s="24"/>
      <c r="BN178" s="24"/>
      <c r="BO178" s="59"/>
      <c r="BP178" s="59"/>
      <c r="BQ178" s="77"/>
      <c r="BR178" s="60"/>
      <c r="BS178" s="60"/>
      <c r="BT178" s="59"/>
      <c r="BU178" s="60"/>
      <c r="BV178" s="60"/>
      <c r="BW178" s="59"/>
      <c r="BX178" s="60"/>
      <c r="BY178" s="60"/>
      <c r="BZ178" s="59"/>
      <c r="CA178" s="59"/>
      <c r="CB178" s="59"/>
      <c r="CC178" s="59"/>
      <c r="CD178" s="59"/>
      <c r="CE178" s="59" t="s">
        <v>7473</v>
      </c>
      <c r="CF178" s="60" t="s">
        <v>1290</v>
      </c>
      <c r="CG178" s="59" t="s">
        <v>7156</v>
      </c>
      <c r="CH178" s="59" t="s">
        <v>7157</v>
      </c>
      <c r="CI178" s="59" t="s">
        <v>122</v>
      </c>
      <c r="CJ178" s="59" t="s">
        <v>111</v>
      </c>
      <c r="CK178" s="47"/>
      <c r="CL178" s="64" t="str">
        <f t="shared" ca="1" si="2"/>
        <v>20 Tahun 1 Bulan 29 Hari</v>
      </c>
      <c r="CM17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Nagrong RT/RW 03/03 Desa/Kelurahan Cienteung Kecamatan Darmaraja Sumedang Jawa Barat </v>
      </c>
    </row>
    <row r="179" spans="1:91" ht="24.95" customHeight="1">
      <c r="A179" s="58">
        <f>SUBTOTAL(3,N$8:Table2[[#This Row],[Nama lengkap]])</f>
        <v>172</v>
      </c>
      <c r="B179" s="58" t="s">
        <v>86</v>
      </c>
      <c r="C179" s="58">
        <v>2022</v>
      </c>
      <c r="D179" s="58"/>
      <c r="E179" s="58">
        <v>3</v>
      </c>
      <c r="F179" s="58" t="s">
        <v>2199</v>
      </c>
      <c r="G179" s="32" t="s">
        <v>2513</v>
      </c>
      <c r="H179" s="32" t="s">
        <v>2513</v>
      </c>
      <c r="I179" s="32" t="s">
        <v>2513</v>
      </c>
      <c r="J179" s="32"/>
      <c r="K179" s="32"/>
      <c r="L179" s="32"/>
      <c r="M179" s="58">
        <v>22230075</v>
      </c>
      <c r="N179" s="24" t="s">
        <v>8786</v>
      </c>
      <c r="O179" s="24"/>
      <c r="P179" s="25" t="s">
        <v>2253</v>
      </c>
      <c r="Q179" s="25" t="s">
        <v>2254</v>
      </c>
      <c r="R179" s="60" t="s">
        <v>492</v>
      </c>
      <c r="S179" s="61" t="s">
        <v>2255</v>
      </c>
      <c r="T179" s="47" t="s">
        <v>92</v>
      </c>
      <c r="U179" s="47">
        <v>2</v>
      </c>
      <c r="V179" s="47">
        <v>3</v>
      </c>
      <c r="W179" s="47" t="s">
        <v>207</v>
      </c>
      <c r="X179" s="59" t="s">
        <v>984</v>
      </c>
      <c r="Y179" s="59" t="s">
        <v>984</v>
      </c>
      <c r="Z179" s="59" t="s">
        <v>984</v>
      </c>
      <c r="AA179" s="65" t="s">
        <v>96</v>
      </c>
      <c r="AB179" s="65" t="s">
        <v>689</v>
      </c>
      <c r="AC179" s="65" t="s">
        <v>208</v>
      </c>
      <c r="AD179" s="65" t="s">
        <v>208</v>
      </c>
      <c r="AE179" s="66" t="s">
        <v>2256</v>
      </c>
      <c r="AF179" s="65" t="s">
        <v>8430</v>
      </c>
      <c r="AG179" s="65" t="s">
        <v>8430</v>
      </c>
      <c r="AH179" s="65" t="s">
        <v>691</v>
      </c>
      <c r="AI179" s="65" t="s">
        <v>492</v>
      </c>
      <c r="AJ179" s="133">
        <v>29089</v>
      </c>
      <c r="AK179" s="66" t="s">
        <v>2257</v>
      </c>
      <c r="AL179" s="65" t="s">
        <v>602</v>
      </c>
      <c r="AM179" s="65" t="s">
        <v>800</v>
      </c>
      <c r="AN179" s="60"/>
      <c r="AO179" s="60"/>
      <c r="AP179" s="59" t="s">
        <v>2258</v>
      </c>
      <c r="AQ179" s="25" t="s">
        <v>2259</v>
      </c>
      <c r="AR179" s="65" t="s">
        <v>2260</v>
      </c>
      <c r="AS179" s="65" t="s">
        <v>2261</v>
      </c>
      <c r="AT179" s="65" t="s">
        <v>1673</v>
      </c>
      <c r="AU179" s="59" t="s">
        <v>111</v>
      </c>
      <c r="AV179" s="62">
        <v>41351</v>
      </c>
      <c r="AW179" s="59" t="s">
        <v>7941</v>
      </c>
      <c r="AX179" s="59" t="s">
        <v>691</v>
      </c>
      <c r="AY179" s="59" t="s">
        <v>492</v>
      </c>
      <c r="AZ179" s="126" t="s">
        <v>2262</v>
      </c>
      <c r="BA179" s="60" t="s">
        <v>2263</v>
      </c>
      <c r="BB179" s="67" t="s">
        <v>845</v>
      </c>
      <c r="BC179" s="60" t="s">
        <v>800</v>
      </c>
      <c r="BD179" s="60"/>
      <c r="BE179" s="60"/>
      <c r="BF179" s="60"/>
      <c r="BG179" s="59" t="s">
        <v>2258</v>
      </c>
      <c r="BH179" s="25" t="s">
        <v>2259</v>
      </c>
      <c r="BI179" s="65" t="s">
        <v>2260</v>
      </c>
      <c r="BJ179" s="68" t="s">
        <v>2261</v>
      </c>
      <c r="BK179" s="65" t="s">
        <v>1673</v>
      </c>
      <c r="BL179" s="65" t="s">
        <v>156</v>
      </c>
      <c r="BM179" s="24">
        <v>41351</v>
      </c>
      <c r="BN179" s="24"/>
      <c r="BO179" s="59" t="s">
        <v>701</v>
      </c>
      <c r="BP179" s="59"/>
      <c r="BQ179" s="77"/>
      <c r="BR179" s="60"/>
      <c r="BS179" s="60"/>
      <c r="BT179" s="59"/>
      <c r="BU179" s="60"/>
      <c r="BV179" s="60"/>
      <c r="BW179" s="59"/>
      <c r="BX179" s="60"/>
      <c r="BY179" s="60"/>
      <c r="BZ179" s="59"/>
      <c r="CA179" s="59"/>
      <c r="CB179" s="59"/>
      <c r="CC179" s="59"/>
      <c r="CD179" s="59"/>
      <c r="CE179" s="59" t="s">
        <v>7474</v>
      </c>
      <c r="CF179" s="60" t="s">
        <v>2259</v>
      </c>
      <c r="CG179" s="59" t="s">
        <v>7158</v>
      </c>
      <c r="CH179" s="59" t="s">
        <v>629</v>
      </c>
      <c r="CI179" s="59" t="s">
        <v>492</v>
      </c>
      <c r="CJ179" s="59" t="s">
        <v>111</v>
      </c>
      <c r="CK179" s="47">
        <v>41351</v>
      </c>
      <c r="CL179" s="64" t="str">
        <f t="shared" ca="1" si="2"/>
        <v>16 Tahun 6 Bulan 10 Hari</v>
      </c>
      <c r="CM17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Perum Buana Asri A.3/1 RT/RW 002/017 Desa/Kelurahan Palumbonsari Kecamatan Karawang Timur Karawang Jawa Barat 41351</v>
      </c>
    </row>
    <row r="180" spans="1:91" ht="24.95" customHeight="1">
      <c r="A180" s="58">
        <f>SUBTOTAL(3,N$8:Table2[[#This Row],[Nama lengkap]])</f>
        <v>173</v>
      </c>
      <c r="B180" s="58" t="s">
        <v>86</v>
      </c>
      <c r="C180" s="58">
        <v>2022</v>
      </c>
      <c r="D180" s="58"/>
      <c r="E180" s="58">
        <v>3</v>
      </c>
      <c r="F180" s="58" t="s">
        <v>2199</v>
      </c>
      <c r="G180" s="32" t="s">
        <v>2513</v>
      </c>
      <c r="H180" s="32" t="s">
        <v>2513</v>
      </c>
      <c r="I180" s="32" t="s">
        <v>2513</v>
      </c>
      <c r="J180" s="32"/>
      <c r="K180" s="32"/>
      <c r="L180" s="32"/>
      <c r="M180" s="58">
        <v>22230053</v>
      </c>
      <c r="N180" s="24" t="s">
        <v>5975</v>
      </c>
      <c r="O180" s="24"/>
      <c r="P180" s="25" t="s">
        <v>2265</v>
      </c>
      <c r="Q180" s="25" t="s">
        <v>2266</v>
      </c>
      <c r="R180" s="60" t="s">
        <v>90</v>
      </c>
      <c r="S180" s="61" t="s">
        <v>2267</v>
      </c>
      <c r="T180" s="47" t="s">
        <v>92</v>
      </c>
      <c r="U180" s="47">
        <v>3</v>
      </c>
      <c r="V180" s="47">
        <v>3</v>
      </c>
      <c r="W180" s="47" t="s">
        <v>207</v>
      </c>
      <c r="X180" s="59" t="s">
        <v>984</v>
      </c>
      <c r="Y180" s="65" t="s">
        <v>999</v>
      </c>
      <c r="Z180" s="59" t="s">
        <v>984</v>
      </c>
      <c r="AA180" s="65" t="s">
        <v>1107</v>
      </c>
      <c r="AB180" s="65" t="s">
        <v>689</v>
      </c>
      <c r="AC180" s="65" t="s">
        <v>208</v>
      </c>
      <c r="AD180" s="65" t="s">
        <v>208</v>
      </c>
      <c r="AE180" s="66" t="s">
        <v>2268</v>
      </c>
      <c r="AF180" s="65" t="s">
        <v>8431</v>
      </c>
      <c r="AG180" s="65" t="s">
        <v>8431</v>
      </c>
      <c r="AH180" s="65" t="s">
        <v>691</v>
      </c>
      <c r="AI180" s="65" t="s">
        <v>90</v>
      </c>
      <c r="AJ180" s="133">
        <v>26029</v>
      </c>
      <c r="AK180" s="66" t="s">
        <v>2269</v>
      </c>
      <c r="AL180" s="65" t="s">
        <v>114</v>
      </c>
      <c r="AM180" s="65" t="s">
        <v>800</v>
      </c>
      <c r="AN180" s="60"/>
      <c r="AO180" s="60"/>
      <c r="AP180" s="59" t="s">
        <v>2270</v>
      </c>
      <c r="AQ180" s="25" t="s">
        <v>656</v>
      </c>
      <c r="AR180" s="65" t="s">
        <v>2271</v>
      </c>
      <c r="AS180" s="65" t="s">
        <v>2272</v>
      </c>
      <c r="AT180" s="65" t="s">
        <v>1706</v>
      </c>
      <c r="AU180" s="59" t="s">
        <v>111</v>
      </c>
      <c r="AV180" s="62">
        <v>40613</v>
      </c>
      <c r="AW180" s="59" t="s">
        <v>7942</v>
      </c>
      <c r="AX180" s="59" t="s">
        <v>691</v>
      </c>
      <c r="AY180" s="59" t="s">
        <v>90</v>
      </c>
      <c r="AZ180" s="126" t="s">
        <v>2273</v>
      </c>
      <c r="BA180" s="60" t="s">
        <v>2274</v>
      </c>
      <c r="BB180" s="67" t="s">
        <v>114</v>
      </c>
      <c r="BC180" s="60" t="s">
        <v>800</v>
      </c>
      <c r="BD180" s="60"/>
      <c r="BE180" s="60"/>
      <c r="BF180" s="60"/>
      <c r="BG180" s="59" t="s">
        <v>2270</v>
      </c>
      <c r="BH180" s="25" t="s">
        <v>656</v>
      </c>
      <c r="BI180" s="65" t="s">
        <v>2271</v>
      </c>
      <c r="BJ180" s="68" t="s">
        <v>2272</v>
      </c>
      <c r="BK180" s="65" t="s">
        <v>1706</v>
      </c>
      <c r="BL180" s="65" t="s">
        <v>156</v>
      </c>
      <c r="BM180" s="24">
        <v>40613</v>
      </c>
      <c r="BN180" s="24"/>
      <c r="BO180" s="59" t="s">
        <v>719</v>
      </c>
      <c r="BP180" s="59"/>
      <c r="BQ180" s="77"/>
      <c r="BR180" s="60"/>
      <c r="BS180" s="60"/>
      <c r="BT180" s="59"/>
      <c r="BU180" s="60"/>
      <c r="BV180" s="60"/>
      <c r="BW180" s="59"/>
      <c r="BX180" s="60"/>
      <c r="BY180" s="60"/>
      <c r="BZ180" s="59"/>
      <c r="CA180" s="59"/>
      <c r="CB180" s="59"/>
      <c r="CC180" s="59"/>
      <c r="CD180" s="59"/>
      <c r="CE180" s="59" t="s">
        <v>7475</v>
      </c>
      <c r="CF180" s="60" t="s">
        <v>656</v>
      </c>
      <c r="CG180" s="59" t="s">
        <v>7159</v>
      </c>
      <c r="CH180" s="59" t="s">
        <v>7160</v>
      </c>
      <c r="CI180" s="59" t="s">
        <v>644</v>
      </c>
      <c r="CJ180" s="59" t="s">
        <v>111</v>
      </c>
      <c r="CK180" s="47">
        <v>40613</v>
      </c>
      <c r="CL180" s="64" t="str">
        <f t="shared" ca="1" si="2"/>
        <v>19 Tahun 4 Bulan 13 Hari</v>
      </c>
      <c r="CM18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Jl.Teratai Mekar Vii No.11 RT/RW 004/002 Desa/Kelurahan Mekar Mulya Kecamatan Panyileukan Kota Bandung Jawa Barat 40613</v>
      </c>
    </row>
    <row r="181" spans="1:91" ht="24.95" customHeight="1">
      <c r="A181" s="58">
        <f>SUBTOTAL(3,N$8:Table2[[#This Row],[Nama lengkap]])</f>
        <v>174</v>
      </c>
      <c r="B181" s="58" t="s">
        <v>86</v>
      </c>
      <c r="C181" s="58">
        <v>2022</v>
      </c>
      <c r="D181" s="58"/>
      <c r="E181" s="58">
        <v>3</v>
      </c>
      <c r="F181" s="58" t="s">
        <v>2199</v>
      </c>
      <c r="G181" s="32" t="s">
        <v>2513</v>
      </c>
      <c r="H181" s="32" t="s">
        <v>2513</v>
      </c>
      <c r="I181" s="32" t="s">
        <v>2513</v>
      </c>
      <c r="J181" s="32"/>
      <c r="K181" s="32"/>
      <c r="L181" s="32"/>
      <c r="M181" s="58">
        <v>22230061</v>
      </c>
      <c r="N181" s="24" t="s">
        <v>8787</v>
      </c>
      <c r="O181" s="24"/>
      <c r="P181" s="25" t="s">
        <v>2275</v>
      </c>
      <c r="Q181" s="25" t="s">
        <v>2276</v>
      </c>
      <c r="R181" s="60" t="s">
        <v>90</v>
      </c>
      <c r="S181" s="61" t="s">
        <v>2277</v>
      </c>
      <c r="T181" s="47" t="s">
        <v>92</v>
      </c>
      <c r="U181" s="47">
        <v>1</v>
      </c>
      <c r="V181" s="47">
        <v>2</v>
      </c>
      <c r="W181" s="47" t="s">
        <v>207</v>
      </c>
      <c r="X181" s="59" t="s">
        <v>984</v>
      </c>
      <c r="Y181" s="65" t="s">
        <v>1012</v>
      </c>
      <c r="Z181" s="59" t="s">
        <v>1150</v>
      </c>
      <c r="AA181" s="65" t="s">
        <v>96</v>
      </c>
      <c r="AB181" s="65" t="s">
        <v>689</v>
      </c>
      <c r="AC181" s="65" t="s">
        <v>208</v>
      </c>
      <c r="AD181" s="65" t="s">
        <v>208</v>
      </c>
      <c r="AE181" s="66" t="s">
        <v>2278</v>
      </c>
      <c r="AF181" s="65" t="s">
        <v>8432</v>
      </c>
      <c r="AG181" s="65" t="s">
        <v>8432</v>
      </c>
      <c r="AH181" s="65" t="s">
        <v>691</v>
      </c>
      <c r="AI181" s="65" t="s">
        <v>90</v>
      </c>
      <c r="AJ181" s="133" t="s">
        <v>2279</v>
      </c>
      <c r="AK181" s="66" t="s">
        <v>2280</v>
      </c>
      <c r="AL181" s="65" t="s">
        <v>602</v>
      </c>
      <c r="AM181" s="65" t="s">
        <v>800</v>
      </c>
      <c r="AN181" s="60"/>
      <c r="AO181" s="60"/>
      <c r="AP181" s="59" t="s">
        <v>2281</v>
      </c>
      <c r="AQ181" s="25" t="s">
        <v>2282</v>
      </c>
      <c r="AR181" s="65" t="s">
        <v>1460</v>
      </c>
      <c r="AS181" s="65" t="s">
        <v>1461</v>
      </c>
      <c r="AT181" s="65" t="s">
        <v>1706</v>
      </c>
      <c r="AU181" s="59" t="s">
        <v>111</v>
      </c>
      <c r="AV181" s="62">
        <v>40618</v>
      </c>
      <c r="AW181" s="59" t="s">
        <v>7943</v>
      </c>
      <c r="AX181" s="59" t="s">
        <v>691</v>
      </c>
      <c r="AY181" s="59" t="s">
        <v>90</v>
      </c>
      <c r="AZ181" s="126" t="s">
        <v>2283</v>
      </c>
      <c r="BA181" s="60" t="s">
        <v>2284</v>
      </c>
      <c r="BB181" s="67" t="s">
        <v>845</v>
      </c>
      <c r="BC181" s="60" t="s">
        <v>693</v>
      </c>
      <c r="BD181" s="60"/>
      <c r="BE181" s="60"/>
      <c r="BF181" s="60"/>
      <c r="BG181" s="59" t="s">
        <v>2281</v>
      </c>
      <c r="BH181" s="25" t="s">
        <v>2282</v>
      </c>
      <c r="BI181" s="65" t="s">
        <v>1460</v>
      </c>
      <c r="BJ181" s="68" t="s">
        <v>1461</v>
      </c>
      <c r="BK181" s="65" t="s">
        <v>1706</v>
      </c>
      <c r="BL181" s="65" t="s">
        <v>156</v>
      </c>
      <c r="BM181" s="24">
        <v>40618</v>
      </c>
      <c r="BN181" s="24"/>
      <c r="BO181" s="59" t="s">
        <v>719</v>
      </c>
      <c r="BP181" s="59"/>
      <c r="BQ181" s="77"/>
      <c r="BR181" s="60"/>
      <c r="BS181" s="60"/>
      <c r="BT181" s="59"/>
      <c r="BU181" s="60"/>
      <c r="BV181" s="60"/>
      <c r="BW181" s="59"/>
      <c r="BX181" s="60"/>
      <c r="BY181" s="60"/>
      <c r="BZ181" s="59"/>
      <c r="CA181" s="59"/>
      <c r="CB181" s="59"/>
      <c r="CC181" s="59"/>
      <c r="CD181" s="59"/>
      <c r="CE181" s="59" t="s">
        <v>7476</v>
      </c>
      <c r="CF181" s="60" t="s">
        <v>2282</v>
      </c>
      <c r="CG181" s="59" t="s">
        <v>6829</v>
      </c>
      <c r="CH181" s="59" t="s">
        <v>6830</v>
      </c>
      <c r="CI181" s="59" t="s">
        <v>644</v>
      </c>
      <c r="CJ181" s="59" t="s">
        <v>111</v>
      </c>
      <c r="CK181" s="47">
        <v>40618</v>
      </c>
      <c r="CL181" s="64" t="str">
        <f t="shared" ca="1" si="2"/>
        <v>16 Tahun 5 Bulan 26 Hari</v>
      </c>
      <c r="CM18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Kp.Sasak Lemah RT/RW 005/009 Desa/Kelurahan Pasirwangi Kecamatan Ujungberung Kota Bandung Jawa Barat 40618</v>
      </c>
    </row>
    <row r="182" spans="1:91" ht="24.95" customHeight="1">
      <c r="A182" s="58">
        <f>SUBTOTAL(3,N$8:Table2[[#This Row],[Nama lengkap]])</f>
        <v>175</v>
      </c>
      <c r="B182" s="58" t="s">
        <v>86</v>
      </c>
      <c r="C182" s="58">
        <v>2022</v>
      </c>
      <c r="D182" s="58"/>
      <c r="E182" s="58">
        <v>3</v>
      </c>
      <c r="F182" s="58" t="s">
        <v>2199</v>
      </c>
      <c r="G182" s="32" t="s">
        <v>2513</v>
      </c>
      <c r="H182" s="32" t="s">
        <v>2513</v>
      </c>
      <c r="I182" s="32" t="s">
        <v>2513</v>
      </c>
      <c r="J182" s="32"/>
      <c r="K182" s="32"/>
      <c r="L182" s="32"/>
      <c r="M182" s="58">
        <v>22230023</v>
      </c>
      <c r="N182" s="24" t="s">
        <v>5977</v>
      </c>
      <c r="O182" s="24"/>
      <c r="P182" s="25" t="s">
        <v>2285</v>
      </c>
      <c r="Q182" s="25" t="s">
        <v>2286</v>
      </c>
      <c r="R182" s="60" t="s">
        <v>122</v>
      </c>
      <c r="S182" s="61" t="s">
        <v>2287</v>
      </c>
      <c r="T182" s="47" t="s">
        <v>92</v>
      </c>
      <c r="U182" s="47">
        <v>3</v>
      </c>
      <c r="V182" s="47">
        <v>4</v>
      </c>
      <c r="W182" s="47" t="s">
        <v>207</v>
      </c>
      <c r="X182" s="59" t="s">
        <v>984</v>
      </c>
      <c r="Y182" s="65" t="s">
        <v>1012</v>
      </c>
      <c r="Z182" s="59" t="s">
        <v>1150</v>
      </c>
      <c r="AA182" s="65" t="s">
        <v>96</v>
      </c>
      <c r="AB182" s="65" t="s">
        <v>689</v>
      </c>
      <c r="AC182" s="65" t="s">
        <v>208</v>
      </c>
      <c r="AD182" s="65" t="s">
        <v>208</v>
      </c>
      <c r="AE182" s="66" t="s">
        <v>2288</v>
      </c>
      <c r="AF182" s="65" t="s">
        <v>8433</v>
      </c>
      <c r="AG182" s="65" t="s">
        <v>8433</v>
      </c>
      <c r="AH182" s="65" t="s">
        <v>691</v>
      </c>
      <c r="AI182" s="65" t="s">
        <v>122</v>
      </c>
      <c r="AJ182" s="133" t="s">
        <v>2289</v>
      </c>
      <c r="AK182" s="66" t="s">
        <v>2290</v>
      </c>
      <c r="AL182" s="65" t="s">
        <v>114</v>
      </c>
      <c r="AM182" s="65" t="s">
        <v>693</v>
      </c>
      <c r="AN182" s="60"/>
      <c r="AO182" s="60"/>
      <c r="AP182" s="59" t="s">
        <v>2291</v>
      </c>
      <c r="AQ182" s="25" t="s">
        <v>2292</v>
      </c>
      <c r="AR182" s="65" t="s">
        <v>2293</v>
      </c>
      <c r="AS182" s="65" t="s">
        <v>2294</v>
      </c>
      <c r="AT182" s="65" t="s">
        <v>1090</v>
      </c>
      <c r="AU182" s="59" t="s">
        <v>111</v>
      </c>
      <c r="AV182" s="62"/>
      <c r="AW182" s="59" t="s">
        <v>7944</v>
      </c>
      <c r="AX182" s="59" t="s">
        <v>691</v>
      </c>
      <c r="AY182" s="59" t="s">
        <v>122</v>
      </c>
      <c r="AZ182" s="126" t="s">
        <v>2295</v>
      </c>
      <c r="BA182" s="60" t="s">
        <v>2296</v>
      </c>
      <c r="BB182" s="67" t="s">
        <v>845</v>
      </c>
      <c r="BC182" s="60" t="s">
        <v>700</v>
      </c>
      <c r="BD182" s="60"/>
      <c r="BE182" s="60"/>
      <c r="BF182" s="60"/>
      <c r="BG182" s="59" t="s">
        <v>2291</v>
      </c>
      <c r="BH182" s="25" t="s">
        <v>2292</v>
      </c>
      <c r="BI182" s="65" t="s">
        <v>2293</v>
      </c>
      <c r="BJ182" s="68" t="s">
        <v>2294</v>
      </c>
      <c r="BK182" s="65" t="s">
        <v>1090</v>
      </c>
      <c r="BL182" s="65" t="s">
        <v>156</v>
      </c>
      <c r="BM182" s="62"/>
      <c r="BN182" s="62"/>
      <c r="BO182" s="59"/>
      <c r="BP182" s="59"/>
      <c r="BQ182" s="77"/>
      <c r="BR182" s="60"/>
      <c r="BS182" s="60"/>
      <c r="BT182" s="59"/>
      <c r="BU182" s="60"/>
      <c r="BV182" s="60"/>
      <c r="BW182" s="59"/>
      <c r="BX182" s="60"/>
      <c r="BY182" s="60"/>
      <c r="BZ182" s="59"/>
      <c r="CA182" s="59"/>
      <c r="CB182" s="59"/>
      <c r="CC182" s="59"/>
      <c r="CD182" s="59"/>
      <c r="CE182" s="59" t="s">
        <v>7477</v>
      </c>
      <c r="CF182" s="60" t="s">
        <v>2292</v>
      </c>
      <c r="CG182" s="59" t="s">
        <v>7161</v>
      </c>
      <c r="CH182" s="59" t="s">
        <v>593</v>
      </c>
      <c r="CI182" s="59" t="s">
        <v>122</v>
      </c>
      <c r="CJ182" s="59" t="s">
        <v>111</v>
      </c>
      <c r="CK182" s="47"/>
      <c r="CL182" s="64" t="str">
        <f t="shared" ca="1" si="2"/>
        <v>15 Tahun 10 Bulan 21 Hari</v>
      </c>
      <c r="CM18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Pasir Angin RT/RW 001/006 Desa/Kelurahan Margaluyu Kecamatan Tanjungsari Sumedang Jawa Barat </v>
      </c>
    </row>
    <row r="183" spans="1:91" ht="24.95" customHeight="1">
      <c r="A183" s="58">
        <f>SUBTOTAL(3,N$8:Table2[[#This Row],[Nama lengkap]])</f>
        <v>176</v>
      </c>
      <c r="B183" s="58" t="s">
        <v>86</v>
      </c>
      <c r="C183" s="58">
        <v>2022</v>
      </c>
      <c r="D183" s="58"/>
      <c r="E183" s="58">
        <v>3</v>
      </c>
      <c r="F183" s="58" t="s">
        <v>2199</v>
      </c>
      <c r="G183" s="32" t="s">
        <v>2513</v>
      </c>
      <c r="H183" s="32" t="s">
        <v>2513</v>
      </c>
      <c r="I183" s="32" t="s">
        <v>2513</v>
      </c>
      <c r="J183" s="32"/>
      <c r="K183" s="32"/>
      <c r="L183" s="32"/>
      <c r="M183" s="58">
        <v>22230041</v>
      </c>
      <c r="N183" s="24" t="s">
        <v>5978</v>
      </c>
      <c r="O183" s="24"/>
      <c r="P183" s="25" t="s">
        <v>2297</v>
      </c>
      <c r="Q183" s="25" t="s">
        <v>2298</v>
      </c>
      <c r="R183" s="60" t="s">
        <v>90</v>
      </c>
      <c r="S183" s="61" t="s">
        <v>2299</v>
      </c>
      <c r="T183" s="47" t="s">
        <v>92</v>
      </c>
      <c r="U183" s="47">
        <v>2</v>
      </c>
      <c r="V183" s="47">
        <v>3</v>
      </c>
      <c r="W183" s="47" t="s">
        <v>207</v>
      </c>
      <c r="X183" s="59" t="s">
        <v>984</v>
      </c>
      <c r="Y183" s="65" t="s">
        <v>1787</v>
      </c>
      <c r="Z183" s="59" t="s">
        <v>2300</v>
      </c>
      <c r="AA183" s="65" t="s">
        <v>96</v>
      </c>
      <c r="AB183" s="65" t="s">
        <v>689</v>
      </c>
      <c r="AC183" s="65" t="s">
        <v>208</v>
      </c>
      <c r="AD183" s="65" t="s">
        <v>208</v>
      </c>
      <c r="AE183" s="66" t="s">
        <v>2301</v>
      </c>
      <c r="AF183" s="65" t="s">
        <v>8434</v>
      </c>
      <c r="AG183" s="65" t="s">
        <v>8434</v>
      </c>
      <c r="AH183" s="65" t="s">
        <v>691</v>
      </c>
      <c r="AI183" s="65" t="s">
        <v>90</v>
      </c>
      <c r="AJ183" s="133" t="s">
        <v>2302</v>
      </c>
      <c r="AK183" s="66" t="s">
        <v>2303</v>
      </c>
      <c r="AL183" s="65" t="s">
        <v>602</v>
      </c>
      <c r="AM183" s="65" t="s">
        <v>800</v>
      </c>
      <c r="AN183" s="60"/>
      <c r="AO183" s="60"/>
      <c r="AP183" s="59" t="s">
        <v>2304</v>
      </c>
      <c r="AQ183" s="25" t="s">
        <v>174</v>
      </c>
      <c r="AR183" s="65" t="s">
        <v>2305</v>
      </c>
      <c r="AS183" s="65" t="s">
        <v>618</v>
      </c>
      <c r="AT183" s="65" t="s">
        <v>141</v>
      </c>
      <c r="AU183" s="59" t="s">
        <v>111</v>
      </c>
      <c r="AV183" s="62">
        <v>40377</v>
      </c>
      <c r="AW183" s="59" t="s">
        <v>7945</v>
      </c>
      <c r="AX183" s="59" t="s">
        <v>691</v>
      </c>
      <c r="AY183" s="59" t="s">
        <v>90</v>
      </c>
      <c r="AZ183" s="126" t="s">
        <v>2306</v>
      </c>
      <c r="BA183" s="60" t="s">
        <v>2307</v>
      </c>
      <c r="BB183" s="67" t="s">
        <v>845</v>
      </c>
      <c r="BC183" s="60" t="s">
        <v>800</v>
      </c>
      <c r="BD183" s="60"/>
      <c r="BE183" s="60"/>
      <c r="BF183" s="60"/>
      <c r="BG183" s="59" t="s">
        <v>2304</v>
      </c>
      <c r="BH183" s="25" t="s">
        <v>174</v>
      </c>
      <c r="BI183" s="65" t="s">
        <v>2305</v>
      </c>
      <c r="BJ183" s="68" t="s">
        <v>618</v>
      </c>
      <c r="BK183" s="65" t="s">
        <v>141</v>
      </c>
      <c r="BL183" s="65" t="s">
        <v>156</v>
      </c>
      <c r="BM183" s="24">
        <v>40377</v>
      </c>
      <c r="BN183" s="24"/>
      <c r="BO183" s="59" t="s">
        <v>701</v>
      </c>
      <c r="BP183" s="59"/>
      <c r="BQ183" s="77"/>
      <c r="BR183" s="60"/>
      <c r="BS183" s="60"/>
      <c r="BT183" s="59"/>
      <c r="BU183" s="60"/>
      <c r="BV183" s="60"/>
      <c r="BW183" s="59"/>
      <c r="BX183" s="60"/>
      <c r="BY183" s="60"/>
      <c r="BZ183" s="59"/>
      <c r="CA183" s="59"/>
      <c r="CB183" s="59"/>
      <c r="CC183" s="59"/>
      <c r="CD183" s="59"/>
      <c r="CE183" s="59" t="s">
        <v>7478</v>
      </c>
      <c r="CF183" s="60" t="s">
        <v>174</v>
      </c>
      <c r="CG183" s="59" t="s">
        <v>7162</v>
      </c>
      <c r="CH183" s="59" t="s">
        <v>507</v>
      </c>
      <c r="CI183" s="59" t="s">
        <v>90</v>
      </c>
      <c r="CJ183" s="59" t="s">
        <v>111</v>
      </c>
      <c r="CK183" s="47">
        <v>40377</v>
      </c>
      <c r="CL183" s="64" t="str">
        <f t="shared" ca="1" si="2"/>
        <v>15 Tahun 7 Bulan 11 Hari</v>
      </c>
      <c r="CM18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Kp.Cipaku RT/RW 001/002 Desa/Kelurahan Tarajusari Kecamatan Banjaran Bandung Jawa Barat 40377</v>
      </c>
    </row>
    <row r="184" spans="1:91" ht="24.95" customHeight="1">
      <c r="A184" s="58">
        <f>SUBTOTAL(3,N$8:Table2[[#This Row],[Nama lengkap]])</f>
        <v>177</v>
      </c>
      <c r="B184" s="58" t="s">
        <v>86</v>
      </c>
      <c r="C184" s="58">
        <v>2022</v>
      </c>
      <c r="D184" s="58"/>
      <c r="E184" s="58">
        <v>3</v>
      </c>
      <c r="F184" s="58" t="s">
        <v>2199</v>
      </c>
      <c r="G184" s="165" t="s">
        <v>9936</v>
      </c>
      <c r="H184" s="32" t="s">
        <v>2513</v>
      </c>
      <c r="I184" s="32" t="s">
        <v>2513</v>
      </c>
      <c r="J184" s="32"/>
      <c r="K184" s="32"/>
      <c r="L184" s="32"/>
      <c r="M184" s="58">
        <v>22230157</v>
      </c>
      <c r="N184" s="24" t="s">
        <v>8788</v>
      </c>
      <c r="O184" s="24"/>
      <c r="P184" s="25" t="s">
        <v>2308</v>
      </c>
      <c r="Q184" s="25" t="s">
        <v>2309</v>
      </c>
      <c r="R184" s="60" t="s">
        <v>122</v>
      </c>
      <c r="S184" s="61" t="s">
        <v>2310</v>
      </c>
      <c r="T184" s="47" t="s">
        <v>92</v>
      </c>
      <c r="U184" s="47">
        <v>1</v>
      </c>
      <c r="V184" s="47">
        <v>3</v>
      </c>
      <c r="W184" s="47" t="s">
        <v>207</v>
      </c>
      <c r="X184" s="59" t="s">
        <v>984</v>
      </c>
      <c r="Y184" s="65" t="s">
        <v>2311</v>
      </c>
      <c r="Z184" s="59" t="s">
        <v>1168</v>
      </c>
      <c r="AA184" s="65" t="s">
        <v>96</v>
      </c>
      <c r="AB184" s="65" t="s">
        <v>689</v>
      </c>
      <c r="AC184" s="65" t="s">
        <v>208</v>
      </c>
      <c r="AD184" s="65" t="s">
        <v>208</v>
      </c>
      <c r="AE184" s="66" t="s">
        <v>2312</v>
      </c>
      <c r="AF184" s="65" t="s">
        <v>8435</v>
      </c>
      <c r="AG184" s="65" t="s">
        <v>8435</v>
      </c>
      <c r="AH184" s="65" t="s">
        <v>691</v>
      </c>
      <c r="AI184" s="9" t="s">
        <v>122</v>
      </c>
      <c r="AJ184" s="134" t="s">
        <v>2313</v>
      </c>
      <c r="AK184" s="9" t="s">
        <v>2314</v>
      </c>
      <c r="AL184" s="9" t="s">
        <v>114</v>
      </c>
      <c r="AM184" s="9" t="s">
        <v>800</v>
      </c>
      <c r="AN184" s="60"/>
      <c r="AO184" s="60"/>
      <c r="AP184" s="59" t="s">
        <v>2315</v>
      </c>
      <c r="AQ184" s="25" t="s">
        <v>2223</v>
      </c>
      <c r="AR184" s="9" t="s">
        <v>2293</v>
      </c>
      <c r="AS184" s="9" t="s">
        <v>2294</v>
      </c>
      <c r="AT184" s="9" t="s">
        <v>1090</v>
      </c>
      <c r="AU184" s="59" t="s">
        <v>111</v>
      </c>
      <c r="AV184" s="62">
        <v>45362</v>
      </c>
      <c r="AW184" s="59" t="s">
        <v>7946</v>
      </c>
      <c r="AX184" s="59" t="s">
        <v>691</v>
      </c>
      <c r="AY184" s="59" t="s">
        <v>122</v>
      </c>
      <c r="AZ184" s="126">
        <v>31994</v>
      </c>
      <c r="BA184" s="60" t="s">
        <v>2316</v>
      </c>
      <c r="BB184" s="67" t="s">
        <v>845</v>
      </c>
      <c r="BC184" s="60" t="s">
        <v>800</v>
      </c>
      <c r="BD184" s="60"/>
      <c r="BE184" s="60"/>
      <c r="BF184" s="60"/>
      <c r="BG184" s="59" t="s">
        <v>2315</v>
      </c>
      <c r="BH184" s="25" t="s">
        <v>2223</v>
      </c>
      <c r="BI184" s="9" t="s">
        <v>2293</v>
      </c>
      <c r="BJ184" s="13" t="s">
        <v>2294</v>
      </c>
      <c r="BK184" s="9" t="s">
        <v>1090</v>
      </c>
      <c r="BL184" s="9" t="s">
        <v>156</v>
      </c>
      <c r="BM184" s="24">
        <v>45362</v>
      </c>
      <c r="BN184" s="24"/>
      <c r="BO184" s="59" t="s">
        <v>701</v>
      </c>
      <c r="BP184" s="59"/>
      <c r="BQ184" s="77"/>
      <c r="BR184" s="60"/>
      <c r="BS184" s="60"/>
      <c r="BT184" s="59"/>
      <c r="BU184" s="60"/>
      <c r="BV184" s="60"/>
      <c r="BW184" s="59"/>
      <c r="BX184" s="60"/>
      <c r="BY184" s="60"/>
      <c r="BZ184" s="59"/>
      <c r="CA184" s="59"/>
      <c r="CB184" s="59"/>
      <c r="CC184" s="59"/>
      <c r="CD184" s="59"/>
      <c r="CE184" s="59" t="s">
        <v>7479</v>
      </c>
      <c r="CF184" s="60" t="s">
        <v>2223</v>
      </c>
      <c r="CG184" s="59" t="s">
        <v>7161</v>
      </c>
      <c r="CH184" s="59" t="s">
        <v>593</v>
      </c>
      <c r="CI184" s="59" t="s">
        <v>122</v>
      </c>
      <c r="CJ184" s="59" t="s">
        <v>111</v>
      </c>
      <c r="CK184" s="47">
        <v>45362</v>
      </c>
      <c r="CL184" s="64" t="str">
        <f t="shared" ca="1" si="2"/>
        <v>15 Tahun 9 Bulan 20 Hari</v>
      </c>
      <c r="CM18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Cijolang RT/RW 003/009 Desa/Kelurahan Margaluyu Kecamatan Tanjungsari Sumedang Jawa Barat 45362</v>
      </c>
    </row>
    <row r="185" spans="1:91" ht="24.95" customHeight="1">
      <c r="A185" s="58">
        <f>SUBTOTAL(3,N$8:Table2[[#This Row],[Nama lengkap]])</f>
        <v>178</v>
      </c>
      <c r="B185" s="58" t="s">
        <v>86</v>
      </c>
      <c r="C185" s="58">
        <v>2023</v>
      </c>
      <c r="D185" s="58"/>
      <c r="E185" s="58">
        <v>3</v>
      </c>
      <c r="F185" s="58" t="s">
        <v>2199</v>
      </c>
      <c r="G185" s="32" t="s">
        <v>2513</v>
      </c>
      <c r="H185" s="32" t="s">
        <v>2513</v>
      </c>
      <c r="I185" s="32" t="s">
        <v>2513</v>
      </c>
      <c r="J185" s="32"/>
      <c r="K185" s="32"/>
      <c r="L185" s="32"/>
      <c r="M185" s="58">
        <v>23240151</v>
      </c>
      <c r="N185" s="24" t="s">
        <v>5980</v>
      </c>
      <c r="O185" s="24"/>
      <c r="P185" s="25" t="s">
        <v>2317</v>
      </c>
      <c r="Q185" s="25" t="s">
        <v>2318</v>
      </c>
      <c r="R185" s="60" t="s">
        <v>90</v>
      </c>
      <c r="S185" s="61" t="s">
        <v>2319</v>
      </c>
      <c r="T185" s="47" t="s">
        <v>92</v>
      </c>
      <c r="U185" s="47">
        <v>2</v>
      </c>
      <c r="V185" s="47">
        <v>2</v>
      </c>
      <c r="W185" s="47" t="s">
        <v>207</v>
      </c>
      <c r="X185" s="59" t="s">
        <v>984</v>
      </c>
      <c r="Y185" s="59" t="s">
        <v>984</v>
      </c>
      <c r="Z185" s="59" t="s">
        <v>984</v>
      </c>
      <c r="AA185" s="65" t="s">
        <v>1107</v>
      </c>
      <c r="AB185" s="65" t="s">
        <v>689</v>
      </c>
      <c r="AC185" s="65" t="s">
        <v>208</v>
      </c>
      <c r="AD185" s="65" t="s">
        <v>208</v>
      </c>
      <c r="AE185" s="66" t="s">
        <v>2320</v>
      </c>
      <c r="AF185" s="65" t="s">
        <v>8436</v>
      </c>
      <c r="AG185" s="65" t="s">
        <v>8436</v>
      </c>
      <c r="AH185" s="65" t="s">
        <v>691</v>
      </c>
      <c r="AI185" s="65" t="s">
        <v>8280</v>
      </c>
      <c r="AJ185" s="133">
        <v>28259</v>
      </c>
      <c r="AK185" s="66" t="s">
        <v>2321</v>
      </c>
      <c r="AL185" s="65" t="s">
        <v>289</v>
      </c>
      <c r="AM185" s="65" t="s">
        <v>1728</v>
      </c>
      <c r="AN185" s="60"/>
      <c r="AO185" s="60"/>
      <c r="AP185" s="59" t="s">
        <v>2322</v>
      </c>
      <c r="AQ185" s="25" t="s">
        <v>2323</v>
      </c>
      <c r="AR185" s="65" t="s">
        <v>1131</v>
      </c>
      <c r="AS185" s="65" t="s">
        <v>955</v>
      </c>
      <c r="AT185" s="65" t="s">
        <v>141</v>
      </c>
      <c r="AU185" s="59" t="s">
        <v>111</v>
      </c>
      <c r="AV185" s="62">
        <v>40912</v>
      </c>
      <c r="AW185" s="59" t="s">
        <v>7947</v>
      </c>
      <c r="AX185" s="59" t="s">
        <v>691</v>
      </c>
      <c r="AY185" s="59" t="s">
        <v>90</v>
      </c>
      <c r="AZ185" s="126">
        <v>29172</v>
      </c>
      <c r="BA185" s="60" t="s">
        <v>2324</v>
      </c>
      <c r="BB185" s="67" t="s">
        <v>845</v>
      </c>
      <c r="BC185" s="60" t="s">
        <v>700</v>
      </c>
      <c r="BD185" s="60"/>
      <c r="BE185" s="60"/>
      <c r="BF185" s="60"/>
      <c r="BG185" s="59" t="s">
        <v>2322</v>
      </c>
      <c r="BH185" s="25" t="s">
        <v>2323</v>
      </c>
      <c r="BI185" s="65" t="s">
        <v>1131</v>
      </c>
      <c r="BJ185" s="68" t="s">
        <v>955</v>
      </c>
      <c r="BK185" s="65" t="s">
        <v>141</v>
      </c>
      <c r="BL185" s="65" t="s">
        <v>156</v>
      </c>
      <c r="BM185" s="24">
        <v>40912</v>
      </c>
      <c r="BN185" s="24"/>
      <c r="BO185" s="59" t="s">
        <v>701</v>
      </c>
      <c r="BP185" s="59"/>
      <c r="BQ185" s="77"/>
      <c r="BR185" s="60"/>
      <c r="BS185" s="60"/>
      <c r="BT185" s="59"/>
      <c r="BU185" s="60"/>
      <c r="BV185" s="60"/>
      <c r="BW185" s="59"/>
      <c r="BX185" s="60"/>
      <c r="BY185" s="60"/>
      <c r="BZ185" s="59"/>
      <c r="CA185" s="59"/>
      <c r="CB185" s="59"/>
      <c r="CC185" s="59"/>
      <c r="CD185" s="59"/>
      <c r="CE185" s="59" t="s">
        <v>7480</v>
      </c>
      <c r="CF185" s="60" t="s">
        <v>2323</v>
      </c>
      <c r="CG185" s="59" t="s">
        <v>7051</v>
      </c>
      <c r="CH185" s="59" t="s">
        <v>7039</v>
      </c>
      <c r="CI185" s="59" t="s">
        <v>90</v>
      </c>
      <c r="CJ185" s="59" t="s">
        <v>111</v>
      </c>
      <c r="CK185" s="47">
        <v>40912</v>
      </c>
      <c r="CL185" s="64" t="str">
        <f t="shared" ca="1" si="2"/>
        <v>17 Tahun 7 Bulan 8 Hari</v>
      </c>
      <c r="CM18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Kp.Caringin RT/RW 002/008 Desa/Kelurahan Pamekaran Kecamatan Soreang Bandung Jawa Barat 40912</v>
      </c>
    </row>
    <row r="186" spans="1:91" ht="24.95" customHeight="1">
      <c r="A186" s="58">
        <f>SUBTOTAL(3,N$8:Table2[[#This Row],[Nama lengkap]])</f>
        <v>179</v>
      </c>
      <c r="B186" s="58" t="s">
        <v>86</v>
      </c>
      <c r="C186" s="58">
        <v>2022</v>
      </c>
      <c r="D186" s="58"/>
      <c r="E186" s="58">
        <v>3</v>
      </c>
      <c r="F186" s="58" t="s">
        <v>2199</v>
      </c>
      <c r="G186" s="32" t="s">
        <v>2513</v>
      </c>
      <c r="H186" s="32" t="s">
        <v>2513</v>
      </c>
      <c r="I186" s="32" t="s">
        <v>2513</v>
      </c>
      <c r="J186" s="32"/>
      <c r="K186" s="32"/>
      <c r="L186" s="32"/>
      <c r="M186" s="58">
        <v>22230006</v>
      </c>
      <c r="N186" s="24" t="s">
        <v>8789</v>
      </c>
      <c r="O186" s="24"/>
      <c r="P186" s="25" t="s">
        <v>2325</v>
      </c>
      <c r="Q186" s="25" t="s">
        <v>2326</v>
      </c>
      <c r="R186" s="60" t="s">
        <v>90</v>
      </c>
      <c r="S186" s="61" t="s">
        <v>2327</v>
      </c>
      <c r="T186" s="47" t="s">
        <v>92</v>
      </c>
      <c r="U186" s="47">
        <v>1</v>
      </c>
      <c r="V186" s="47">
        <v>2</v>
      </c>
      <c r="W186" s="47" t="s">
        <v>207</v>
      </c>
      <c r="X186" s="59" t="s">
        <v>984</v>
      </c>
      <c r="Y186" s="65" t="s">
        <v>706</v>
      </c>
      <c r="Z186" s="59" t="s">
        <v>1042</v>
      </c>
      <c r="AA186" s="65" t="s">
        <v>96</v>
      </c>
      <c r="AB186" s="65" t="s">
        <v>689</v>
      </c>
      <c r="AC186" s="65" t="s">
        <v>208</v>
      </c>
      <c r="AD186" s="65" t="s">
        <v>208</v>
      </c>
      <c r="AE186" s="66" t="s">
        <v>2328</v>
      </c>
      <c r="AF186" s="65" t="s">
        <v>8437</v>
      </c>
      <c r="AG186" s="65" t="s">
        <v>8437</v>
      </c>
      <c r="AH186" s="65" t="s">
        <v>691</v>
      </c>
      <c r="AI186" s="65" t="s">
        <v>90</v>
      </c>
      <c r="AJ186" s="133">
        <v>27878</v>
      </c>
      <c r="AK186" s="66" t="s">
        <v>2329</v>
      </c>
      <c r="AL186" s="65" t="s">
        <v>289</v>
      </c>
      <c r="AM186" s="65" t="s">
        <v>800</v>
      </c>
      <c r="AN186" s="60"/>
      <c r="AO186" s="60"/>
      <c r="AP186" s="59" t="s">
        <v>2330</v>
      </c>
      <c r="AQ186" s="25" t="s">
        <v>444</v>
      </c>
      <c r="AR186" s="65" t="s">
        <v>2331</v>
      </c>
      <c r="AS186" s="65" t="s">
        <v>1529</v>
      </c>
      <c r="AT186" s="65" t="s">
        <v>141</v>
      </c>
      <c r="AU186" s="59" t="s">
        <v>111</v>
      </c>
      <c r="AV186" s="62">
        <v>40379</v>
      </c>
      <c r="AW186" s="59" t="s">
        <v>7948</v>
      </c>
      <c r="AX186" s="59" t="s">
        <v>691</v>
      </c>
      <c r="AY186" s="59" t="s">
        <v>90</v>
      </c>
      <c r="AZ186" s="126">
        <v>33109</v>
      </c>
      <c r="BA186" s="60" t="s">
        <v>2332</v>
      </c>
      <c r="BB186" s="67" t="s">
        <v>845</v>
      </c>
      <c r="BC186" s="60" t="s">
        <v>700</v>
      </c>
      <c r="BD186" s="60"/>
      <c r="BE186" s="60"/>
      <c r="BF186" s="60"/>
      <c r="BG186" s="59" t="s">
        <v>2330</v>
      </c>
      <c r="BH186" s="25" t="s">
        <v>444</v>
      </c>
      <c r="BI186" s="65" t="s">
        <v>2331</v>
      </c>
      <c r="BJ186" s="68" t="s">
        <v>1529</v>
      </c>
      <c r="BK186" s="65" t="s">
        <v>141</v>
      </c>
      <c r="BL186" s="65" t="s">
        <v>156</v>
      </c>
      <c r="BM186" s="24">
        <v>40379</v>
      </c>
      <c r="BN186" s="24"/>
      <c r="BO186" s="59" t="s">
        <v>719</v>
      </c>
      <c r="BP186" s="59"/>
      <c r="BQ186" s="77"/>
      <c r="BR186" s="60"/>
      <c r="BS186" s="60"/>
      <c r="BT186" s="59"/>
      <c r="BU186" s="60"/>
      <c r="BV186" s="60"/>
      <c r="BW186" s="59"/>
      <c r="BX186" s="60"/>
      <c r="BY186" s="60"/>
      <c r="BZ186" s="59"/>
      <c r="CA186" s="59"/>
      <c r="CB186" s="59"/>
      <c r="CC186" s="59"/>
      <c r="CD186" s="59"/>
      <c r="CE186" s="59" t="s">
        <v>7481</v>
      </c>
      <c r="CF186" s="60" t="s">
        <v>444</v>
      </c>
      <c r="CG186" s="59" t="s">
        <v>7163</v>
      </c>
      <c r="CH186" s="59" t="s">
        <v>4835</v>
      </c>
      <c r="CI186" s="59" t="s">
        <v>90</v>
      </c>
      <c r="CJ186" s="59" t="s">
        <v>111</v>
      </c>
      <c r="CK186" s="47">
        <v>40379</v>
      </c>
      <c r="CL186" s="64" t="str">
        <f t="shared" ca="1" si="2"/>
        <v>15 Tahun 6 Bulan 19 Hari</v>
      </c>
      <c r="CM18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Kp.Pasirdanta RT/RW 003/007 Desa/Kelurahan Wargaluyu Kecamatan Arjasari Bandung Jawa Barat 40379</v>
      </c>
    </row>
    <row r="187" spans="1:91" ht="24.95" customHeight="1">
      <c r="A187" s="58">
        <f>SUBTOTAL(3,N$8:Table2[[#This Row],[Nama lengkap]])</f>
        <v>180</v>
      </c>
      <c r="B187" s="58" t="s">
        <v>86</v>
      </c>
      <c r="C187" s="58">
        <v>2022</v>
      </c>
      <c r="D187" s="58"/>
      <c r="E187" s="58">
        <v>3</v>
      </c>
      <c r="F187" s="58" t="s">
        <v>2199</v>
      </c>
      <c r="G187" s="32" t="s">
        <v>2513</v>
      </c>
      <c r="H187" s="32" t="s">
        <v>2513</v>
      </c>
      <c r="I187" s="32" t="s">
        <v>2513</v>
      </c>
      <c r="J187" s="32"/>
      <c r="K187" s="32"/>
      <c r="L187" s="32"/>
      <c r="M187" s="58">
        <v>22230005</v>
      </c>
      <c r="N187" s="24" t="s">
        <v>8790</v>
      </c>
      <c r="O187" s="24"/>
      <c r="P187" s="25" t="s">
        <v>2333</v>
      </c>
      <c r="Q187" s="25" t="s">
        <v>2334</v>
      </c>
      <c r="R187" s="60" t="s">
        <v>90</v>
      </c>
      <c r="S187" s="61" t="s">
        <v>2335</v>
      </c>
      <c r="T187" s="47" t="s">
        <v>92</v>
      </c>
      <c r="U187" s="47">
        <v>1</v>
      </c>
      <c r="V187" s="47">
        <v>2</v>
      </c>
      <c r="W187" s="47" t="s">
        <v>207</v>
      </c>
      <c r="X187" s="59" t="s">
        <v>984</v>
      </c>
      <c r="Y187" s="65" t="s">
        <v>2039</v>
      </c>
      <c r="Z187" s="59" t="s">
        <v>2336</v>
      </c>
      <c r="AA187" s="65" t="s">
        <v>96</v>
      </c>
      <c r="AB187" s="65" t="s">
        <v>689</v>
      </c>
      <c r="AC187" s="65" t="s">
        <v>208</v>
      </c>
      <c r="AD187" s="65" t="s">
        <v>208</v>
      </c>
      <c r="AE187" s="66" t="s">
        <v>2337</v>
      </c>
      <c r="AF187" s="65" t="s">
        <v>8438</v>
      </c>
      <c r="AG187" s="65" t="s">
        <v>8438</v>
      </c>
      <c r="AH187" s="65" t="s">
        <v>691</v>
      </c>
      <c r="AI187" s="65" t="s">
        <v>90</v>
      </c>
      <c r="AJ187" s="133">
        <v>30599</v>
      </c>
      <c r="AK187" s="66" t="s">
        <v>2338</v>
      </c>
      <c r="AL187" s="65" t="s">
        <v>114</v>
      </c>
      <c r="AM187" s="65" t="s">
        <v>800</v>
      </c>
      <c r="AN187" s="60"/>
      <c r="AO187" s="60"/>
      <c r="AP187" s="59" t="s">
        <v>2339</v>
      </c>
      <c r="AQ187" s="25" t="s">
        <v>2340</v>
      </c>
      <c r="AR187" s="65" t="s">
        <v>2341</v>
      </c>
      <c r="AS187" s="65" t="s">
        <v>1888</v>
      </c>
      <c r="AT187" s="65" t="s">
        <v>1706</v>
      </c>
      <c r="AU187" s="59" t="s">
        <v>111</v>
      </c>
      <c r="AV187" s="62">
        <v>40212</v>
      </c>
      <c r="AW187" s="59" t="s">
        <v>7949</v>
      </c>
      <c r="AX187" s="59" t="s">
        <v>691</v>
      </c>
      <c r="AY187" s="59" t="s">
        <v>90</v>
      </c>
      <c r="AZ187" s="126">
        <v>32266</v>
      </c>
      <c r="BA187" s="60" t="s">
        <v>2342</v>
      </c>
      <c r="BB187" s="67" t="s">
        <v>845</v>
      </c>
      <c r="BC187" s="60" t="s">
        <v>800</v>
      </c>
      <c r="BD187" s="60"/>
      <c r="BE187" s="60"/>
      <c r="BF187" s="60"/>
      <c r="BG187" s="59" t="s">
        <v>2339</v>
      </c>
      <c r="BH187" s="25" t="s">
        <v>2340</v>
      </c>
      <c r="BI187" s="65" t="s">
        <v>2341</v>
      </c>
      <c r="BJ187" s="68" t="s">
        <v>1888</v>
      </c>
      <c r="BK187" s="65" t="s">
        <v>1706</v>
      </c>
      <c r="BL187" s="65" t="s">
        <v>156</v>
      </c>
      <c r="BM187" s="24">
        <v>40212</v>
      </c>
      <c r="BN187" s="24"/>
      <c r="BO187" s="59" t="s">
        <v>719</v>
      </c>
      <c r="BP187" s="59"/>
      <c r="BQ187" s="77"/>
      <c r="BR187" s="60"/>
      <c r="BS187" s="60"/>
      <c r="BT187" s="59"/>
      <c r="BU187" s="60"/>
      <c r="BV187" s="60"/>
      <c r="BW187" s="59"/>
      <c r="BX187" s="60"/>
      <c r="BY187" s="60"/>
      <c r="BZ187" s="59"/>
      <c r="CA187" s="59"/>
      <c r="CB187" s="59"/>
      <c r="CC187" s="59"/>
      <c r="CD187" s="59"/>
      <c r="CE187" s="59" t="s">
        <v>7482</v>
      </c>
      <c r="CF187" s="60" t="s">
        <v>2340</v>
      </c>
      <c r="CG187" s="59" t="s">
        <v>7164</v>
      </c>
      <c r="CH187" s="59" t="s">
        <v>744</v>
      </c>
      <c r="CI187" s="59" t="s">
        <v>644</v>
      </c>
      <c r="CJ187" s="59" t="s">
        <v>111</v>
      </c>
      <c r="CK187" s="47">
        <v>40212</v>
      </c>
      <c r="CL187" s="64" t="str">
        <f t="shared" ca="1" si="2"/>
        <v>16 Tahun 3 Bulan 3 Hari</v>
      </c>
      <c r="CM18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Jl.Cijerah Gg.Al Ihsan RT/RW 005/005 Desa/Kelurahan Cibuntu Kecamatan Bandung Kulon Kota Bandung Jawa Barat 40212</v>
      </c>
    </row>
    <row r="188" spans="1:91" ht="24.95" customHeight="1">
      <c r="A188" s="58">
        <f>SUBTOTAL(3,N$8:Table2[[#This Row],[Nama lengkap]])</f>
        <v>181</v>
      </c>
      <c r="B188" s="58" t="s">
        <v>86</v>
      </c>
      <c r="C188" s="58">
        <v>2022</v>
      </c>
      <c r="D188" s="58"/>
      <c r="E188" s="58">
        <v>3</v>
      </c>
      <c r="F188" s="58" t="s">
        <v>2199</v>
      </c>
      <c r="G188" s="32" t="s">
        <v>2513</v>
      </c>
      <c r="H188" s="32" t="s">
        <v>2513</v>
      </c>
      <c r="I188" s="32" t="s">
        <v>2513</v>
      </c>
      <c r="J188" s="32"/>
      <c r="K188" s="32"/>
      <c r="L188" s="32"/>
      <c r="M188" s="58">
        <v>22230135</v>
      </c>
      <c r="N188" s="24" t="s">
        <v>8792</v>
      </c>
      <c r="O188" s="24"/>
      <c r="P188" s="25" t="s">
        <v>2343</v>
      </c>
      <c r="Q188" s="25" t="s">
        <v>2344</v>
      </c>
      <c r="R188" s="60" t="s">
        <v>90</v>
      </c>
      <c r="S188" s="61" t="s">
        <v>1816</v>
      </c>
      <c r="T188" s="47" t="s">
        <v>92</v>
      </c>
      <c r="U188" s="47">
        <v>2</v>
      </c>
      <c r="V188" s="47">
        <v>3</v>
      </c>
      <c r="W188" s="47" t="s">
        <v>207</v>
      </c>
      <c r="X188" s="59" t="s">
        <v>984</v>
      </c>
      <c r="Y188" s="65" t="s">
        <v>2345</v>
      </c>
      <c r="Z188" s="59" t="s">
        <v>707</v>
      </c>
      <c r="AA188" s="65" t="s">
        <v>96</v>
      </c>
      <c r="AB188" s="65" t="s">
        <v>689</v>
      </c>
      <c r="AC188" s="65" t="s">
        <v>208</v>
      </c>
      <c r="AD188" s="65" t="s">
        <v>208</v>
      </c>
      <c r="AE188" s="66" t="s">
        <v>2346</v>
      </c>
      <c r="AF188" s="65" t="s">
        <v>8441</v>
      </c>
      <c r="AG188" s="65" t="s">
        <v>8441</v>
      </c>
      <c r="AH188" s="65" t="s">
        <v>691</v>
      </c>
      <c r="AI188" s="65" t="s">
        <v>90</v>
      </c>
      <c r="AJ188" s="133">
        <v>29286</v>
      </c>
      <c r="AK188" s="66" t="s">
        <v>2347</v>
      </c>
      <c r="AL188" s="65" t="s">
        <v>289</v>
      </c>
      <c r="AM188" s="65" t="s">
        <v>700</v>
      </c>
      <c r="AN188" s="60"/>
      <c r="AO188" s="60"/>
      <c r="AP188" s="59" t="s">
        <v>2348</v>
      </c>
      <c r="AQ188" s="25" t="s">
        <v>2349</v>
      </c>
      <c r="AR188" s="65" t="s">
        <v>2350</v>
      </c>
      <c r="AS188" s="65" t="s">
        <v>618</v>
      </c>
      <c r="AT188" s="65" t="s">
        <v>141</v>
      </c>
      <c r="AU188" s="59" t="s">
        <v>111</v>
      </c>
      <c r="AV188" s="62">
        <v>40377</v>
      </c>
      <c r="AW188" s="59" t="s">
        <v>7951</v>
      </c>
      <c r="AX188" s="59" t="s">
        <v>691</v>
      </c>
      <c r="AY188" s="59" t="s">
        <v>236</v>
      </c>
      <c r="AZ188" s="126">
        <v>31992</v>
      </c>
      <c r="BA188" s="60" t="s">
        <v>2351</v>
      </c>
      <c r="BB188" s="67" t="s">
        <v>845</v>
      </c>
      <c r="BC188" s="60" t="s">
        <v>700</v>
      </c>
      <c r="BD188" s="60"/>
      <c r="BE188" s="60"/>
      <c r="BF188" s="60"/>
      <c r="BG188" s="59" t="s">
        <v>2348</v>
      </c>
      <c r="BH188" s="25" t="s">
        <v>2349</v>
      </c>
      <c r="BI188" s="65" t="s">
        <v>2350</v>
      </c>
      <c r="BJ188" s="68" t="s">
        <v>618</v>
      </c>
      <c r="BK188" s="65" t="s">
        <v>141</v>
      </c>
      <c r="BL188" s="65" t="s">
        <v>156</v>
      </c>
      <c r="BM188" s="24">
        <v>40377</v>
      </c>
      <c r="BN188" s="24"/>
      <c r="BO188" s="59" t="s">
        <v>701</v>
      </c>
      <c r="BP188" s="59"/>
      <c r="BQ188" s="77"/>
      <c r="BR188" s="60"/>
      <c r="BS188" s="60"/>
      <c r="BT188" s="59"/>
      <c r="BU188" s="60"/>
      <c r="BV188" s="60"/>
      <c r="BW188" s="59"/>
      <c r="BX188" s="60"/>
      <c r="BY188" s="60"/>
      <c r="BZ188" s="59"/>
      <c r="CA188" s="59"/>
      <c r="CB188" s="59"/>
      <c r="CC188" s="59"/>
      <c r="CD188" s="59"/>
      <c r="CE188" s="59" t="s">
        <v>504</v>
      </c>
      <c r="CF188" s="60" t="s">
        <v>2349</v>
      </c>
      <c r="CG188" s="59" t="s">
        <v>506</v>
      </c>
      <c r="CH188" s="59" t="s">
        <v>507</v>
      </c>
      <c r="CI188" s="59" t="s">
        <v>90</v>
      </c>
      <c r="CJ188" s="59" t="s">
        <v>111</v>
      </c>
      <c r="CK188" s="47">
        <v>40377</v>
      </c>
      <c r="CL188" s="64" t="str">
        <f t="shared" ca="1" si="2"/>
        <v>15 Tahun 8 Bulan 13 Hari</v>
      </c>
      <c r="CM18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Kp.Tarigu RT/RW 003/001 Desa/Kelurahan Margahurip Kecamatan Banjaran Bandung Jawa Barat 40377</v>
      </c>
    </row>
    <row r="189" spans="1:91" ht="24.95" customHeight="1">
      <c r="A189" s="58">
        <f>SUBTOTAL(3,N$8:Table2[[#This Row],[Nama lengkap]])</f>
        <v>182</v>
      </c>
      <c r="B189" s="58" t="s">
        <v>86</v>
      </c>
      <c r="C189" s="58">
        <v>2022</v>
      </c>
      <c r="D189" s="58"/>
      <c r="E189" s="58">
        <v>3</v>
      </c>
      <c r="F189" s="58" t="s">
        <v>2199</v>
      </c>
      <c r="G189" s="32" t="s">
        <v>2513</v>
      </c>
      <c r="H189" s="32" t="s">
        <v>2513</v>
      </c>
      <c r="I189" s="32" t="s">
        <v>2513</v>
      </c>
      <c r="J189" s="32"/>
      <c r="K189" s="32"/>
      <c r="L189" s="32"/>
      <c r="M189" s="58">
        <v>22230147</v>
      </c>
      <c r="N189" s="24" t="s">
        <v>5983</v>
      </c>
      <c r="O189" s="24"/>
      <c r="P189" s="25" t="s">
        <v>2352</v>
      </c>
      <c r="Q189" s="25" t="s">
        <v>2353</v>
      </c>
      <c r="R189" s="60" t="s">
        <v>90</v>
      </c>
      <c r="S189" s="61" t="s">
        <v>2354</v>
      </c>
      <c r="T189" s="47" t="s">
        <v>92</v>
      </c>
      <c r="U189" s="47">
        <v>1</v>
      </c>
      <c r="V189" s="47">
        <v>3</v>
      </c>
      <c r="W189" s="47" t="s">
        <v>207</v>
      </c>
      <c r="X189" s="59" t="s">
        <v>984</v>
      </c>
      <c r="Y189" s="65" t="s">
        <v>706</v>
      </c>
      <c r="Z189" s="59" t="s">
        <v>2355</v>
      </c>
      <c r="AA189" s="65" t="s">
        <v>96</v>
      </c>
      <c r="AB189" s="65" t="s">
        <v>689</v>
      </c>
      <c r="AC189" s="65" t="s">
        <v>208</v>
      </c>
      <c r="AD189" s="65" t="s">
        <v>208</v>
      </c>
      <c r="AE189" s="66" t="s">
        <v>2356</v>
      </c>
      <c r="AF189" s="65" t="s">
        <v>8442</v>
      </c>
      <c r="AG189" s="65" t="s">
        <v>8442</v>
      </c>
      <c r="AH189" s="65" t="s">
        <v>691</v>
      </c>
      <c r="AI189" s="65" t="s">
        <v>623</v>
      </c>
      <c r="AJ189" s="133">
        <v>30935</v>
      </c>
      <c r="AK189" s="66" t="s">
        <v>2357</v>
      </c>
      <c r="AL189" s="65" t="s">
        <v>114</v>
      </c>
      <c r="AM189" s="65" t="s">
        <v>700</v>
      </c>
      <c r="AN189" s="60"/>
      <c r="AO189" s="60"/>
      <c r="AP189" s="59" t="s">
        <v>2358</v>
      </c>
      <c r="AQ189" s="25" t="s">
        <v>2359</v>
      </c>
      <c r="AR189" s="65" t="s">
        <v>1879</v>
      </c>
      <c r="AS189" s="65" t="s">
        <v>1006</v>
      </c>
      <c r="AT189" s="65" t="s">
        <v>1706</v>
      </c>
      <c r="AU189" s="59" t="s">
        <v>111</v>
      </c>
      <c r="AV189" s="62"/>
      <c r="AW189" s="59" t="s">
        <v>7952</v>
      </c>
      <c r="AX189" s="59" t="s">
        <v>691</v>
      </c>
      <c r="AY189" s="59" t="s">
        <v>90</v>
      </c>
      <c r="AZ189" s="126">
        <v>31504</v>
      </c>
      <c r="BA189" s="60" t="s">
        <v>2360</v>
      </c>
      <c r="BB189" s="67" t="s">
        <v>845</v>
      </c>
      <c r="BC189" s="60" t="s">
        <v>800</v>
      </c>
      <c r="BD189" s="60"/>
      <c r="BE189" s="60"/>
      <c r="BF189" s="60"/>
      <c r="BG189" s="59" t="s">
        <v>2358</v>
      </c>
      <c r="BH189" s="25" t="s">
        <v>2359</v>
      </c>
      <c r="BI189" s="65" t="s">
        <v>1879</v>
      </c>
      <c r="BJ189" s="68" t="s">
        <v>1006</v>
      </c>
      <c r="BK189" s="65" t="s">
        <v>1706</v>
      </c>
      <c r="BL189" s="65" t="s">
        <v>156</v>
      </c>
      <c r="BM189" s="62"/>
      <c r="BN189" s="62"/>
      <c r="BO189" s="59" t="s">
        <v>719</v>
      </c>
      <c r="BP189" s="59"/>
      <c r="BQ189" s="77"/>
      <c r="BR189" s="60"/>
      <c r="BS189" s="60"/>
      <c r="BT189" s="59"/>
      <c r="BU189" s="60"/>
      <c r="BV189" s="60"/>
      <c r="BW189" s="59"/>
      <c r="BX189" s="60"/>
      <c r="BY189" s="60"/>
      <c r="BZ189" s="59"/>
      <c r="CA189" s="59"/>
      <c r="CB189" s="59"/>
      <c r="CC189" s="59"/>
      <c r="CD189" s="59"/>
      <c r="CE189" s="59" t="s">
        <v>7483</v>
      </c>
      <c r="CF189" s="60" t="s">
        <v>2359</v>
      </c>
      <c r="CG189" s="59" t="s">
        <v>7119</v>
      </c>
      <c r="CH189" s="59" t="s">
        <v>6995</v>
      </c>
      <c r="CI189" s="59" t="s">
        <v>644</v>
      </c>
      <c r="CJ189" s="59" t="s">
        <v>111</v>
      </c>
      <c r="CK189" s="47"/>
      <c r="CL189" s="64" t="str">
        <f t="shared" ca="1" si="2"/>
        <v>15 Tahun 11 Bulan 12 Hari</v>
      </c>
      <c r="CM18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Jl.Babakan Irigasi RT/RW 004/007 Desa/Kelurahan Babakan Tarogong Kecamatan Bojongloa Kaler Kota Bandung Jawa Barat </v>
      </c>
    </row>
    <row r="190" spans="1:91" ht="24.95" customHeight="1">
      <c r="A190" s="58">
        <f>SUBTOTAL(3,N$8:Table2[[#This Row],[Nama lengkap]])</f>
        <v>183</v>
      </c>
      <c r="B190" s="58" t="s">
        <v>86</v>
      </c>
      <c r="C190" s="58">
        <v>2023</v>
      </c>
      <c r="D190" s="58"/>
      <c r="E190" s="58">
        <v>3</v>
      </c>
      <c r="F190" s="58" t="s">
        <v>2199</v>
      </c>
      <c r="G190" s="32" t="s">
        <v>2513</v>
      </c>
      <c r="H190" s="32" t="s">
        <v>2513</v>
      </c>
      <c r="I190" s="32" t="s">
        <v>2513</v>
      </c>
      <c r="J190" s="32"/>
      <c r="K190" s="32"/>
      <c r="L190" s="32"/>
      <c r="M190" s="58">
        <v>23240178</v>
      </c>
      <c r="N190" s="24" t="s">
        <v>5984</v>
      </c>
      <c r="O190" s="24"/>
      <c r="P190" s="25" t="s">
        <v>2362</v>
      </c>
      <c r="Q190" s="25" t="s">
        <v>2363</v>
      </c>
      <c r="R190" s="60" t="s">
        <v>8747</v>
      </c>
      <c r="S190" s="61" t="s">
        <v>2167</v>
      </c>
      <c r="T190" s="47" t="s">
        <v>92</v>
      </c>
      <c r="U190" s="47">
        <v>1</v>
      </c>
      <c r="V190" s="47">
        <v>3</v>
      </c>
      <c r="W190" s="47" t="s">
        <v>207</v>
      </c>
      <c r="X190" s="59" t="s">
        <v>984</v>
      </c>
      <c r="Y190" s="59" t="s">
        <v>984</v>
      </c>
      <c r="Z190" s="59" t="s">
        <v>984</v>
      </c>
      <c r="AA190" s="65"/>
      <c r="AB190" s="65" t="s">
        <v>689</v>
      </c>
      <c r="AC190" s="65" t="s">
        <v>208</v>
      </c>
      <c r="AD190" s="65" t="s">
        <v>208</v>
      </c>
      <c r="AE190" s="66" t="s">
        <v>2365</v>
      </c>
      <c r="AF190" s="65" t="s">
        <v>8443</v>
      </c>
      <c r="AG190" s="65" t="s">
        <v>8443</v>
      </c>
      <c r="AH190" s="65" t="s">
        <v>691</v>
      </c>
      <c r="AI190" s="65" t="s">
        <v>8281</v>
      </c>
      <c r="AJ190" s="133">
        <v>29232</v>
      </c>
      <c r="AK190" s="66" t="s">
        <v>2366</v>
      </c>
      <c r="AL190" s="65" t="s">
        <v>289</v>
      </c>
      <c r="AM190" s="65" t="s">
        <v>800</v>
      </c>
      <c r="AN190" s="60"/>
      <c r="AO190" s="60"/>
      <c r="AP190" s="59" t="s">
        <v>2367</v>
      </c>
      <c r="AQ190" s="25" t="s">
        <v>2368</v>
      </c>
      <c r="AR190" s="65" t="s">
        <v>2369</v>
      </c>
      <c r="AS190" s="65" t="s">
        <v>2370</v>
      </c>
      <c r="AT190" s="65" t="s">
        <v>2371</v>
      </c>
      <c r="AU190" s="65" t="s">
        <v>2372</v>
      </c>
      <c r="AV190" s="62">
        <v>31211</v>
      </c>
      <c r="AW190" s="59" t="s">
        <v>7953</v>
      </c>
      <c r="AX190" s="59" t="s">
        <v>691</v>
      </c>
      <c r="AY190" s="59" t="s">
        <v>3137</v>
      </c>
      <c r="AZ190" s="126">
        <v>32016</v>
      </c>
      <c r="BA190" s="60" t="s">
        <v>2373</v>
      </c>
      <c r="BB190" s="67" t="s">
        <v>845</v>
      </c>
      <c r="BC190" s="60" t="s">
        <v>700</v>
      </c>
      <c r="BD190" s="60"/>
      <c r="BE190" s="60"/>
      <c r="BF190" s="60"/>
      <c r="BG190" s="59" t="s">
        <v>2367</v>
      </c>
      <c r="BH190" s="25" t="s">
        <v>2368</v>
      </c>
      <c r="BI190" s="65" t="s">
        <v>2369</v>
      </c>
      <c r="BJ190" s="68" t="s">
        <v>2370</v>
      </c>
      <c r="BK190" s="65" t="s">
        <v>2371</v>
      </c>
      <c r="BL190" s="65" t="s">
        <v>2372</v>
      </c>
      <c r="BM190" s="24">
        <v>31211</v>
      </c>
      <c r="BN190" s="24"/>
      <c r="BO190" s="59" t="s">
        <v>719</v>
      </c>
      <c r="BP190" s="59"/>
      <c r="BQ190" s="77"/>
      <c r="BR190" s="60"/>
      <c r="BS190" s="60"/>
      <c r="BT190" s="59"/>
      <c r="BU190" s="60"/>
      <c r="BV190" s="60"/>
      <c r="BW190" s="59"/>
      <c r="BX190" s="60"/>
      <c r="BY190" s="60"/>
      <c r="BZ190" s="59"/>
      <c r="CA190" s="59"/>
      <c r="CB190" s="59"/>
      <c r="CC190" s="59"/>
      <c r="CD190" s="59"/>
      <c r="CE190" s="59" t="s">
        <v>7484</v>
      </c>
      <c r="CF190" s="60" t="s">
        <v>2368</v>
      </c>
      <c r="CG190" s="59" t="s">
        <v>7166</v>
      </c>
      <c r="CH190" s="59" t="s">
        <v>7167</v>
      </c>
      <c r="CI190" s="59" t="s">
        <v>7168</v>
      </c>
      <c r="CJ190" s="59" t="s">
        <v>7169</v>
      </c>
      <c r="CK190" s="47">
        <v>31211</v>
      </c>
      <c r="CL190" s="64" t="str">
        <f t="shared" ca="1" si="2"/>
        <v>18 Tahun 6 Bulan 11 Hari</v>
      </c>
      <c r="CM19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Kampung Rambutan RT/RW 019/005 Desa/Kelurahan Pasar Bhayangkara Kecamatan Talang Ubi Penukal Abab Lematang Ilir Sumatera Selatan 31211</v>
      </c>
    </row>
    <row r="191" spans="1:91" ht="24.95" customHeight="1">
      <c r="A191" s="58">
        <f>SUBTOTAL(3,N$8:Table2[[#This Row],[Nama lengkap]])</f>
        <v>184</v>
      </c>
      <c r="B191" s="58" t="s">
        <v>86</v>
      </c>
      <c r="C191" s="58">
        <v>2022</v>
      </c>
      <c r="D191" s="58"/>
      <c r="E191" s="58">
        <v>3</v>
      </c>
      <c r="F191" s="58" t="s">
        <v>2199</v>
      </c>
      <c r="G191" s="32" t="s">
        <v>2513</v>
      </c>
      <c r="H191" s="32" t="s">
        <v>2513</v>
      </c>
      <c r="I191" s="32" t="s">
        <v>2513</v>
      </c>
      <c r="J191" s="32"/>
      <c r="K191" s="32"/>
      <c r="L191" s="32"/>
      <c r="M191" s="58">
        <v>22230025</v>
      </c>
      <c r="N191" s="24" t="s">
        <v>8793</v>
      </c>
      <c r="O191" s="24"/>
      <c r="P191" s="25" t="s">
        <v>2374</v>
      </c>
      <c r="Q191" s="25" t="s">
        <v>2375</v>
      </c>
      <c r="R191" s="60" t="s">
        <v>90</v>
      </c>
      <c r="S191" s="61" t="s">
        <v>1374</v>
      </c>
      <c r="T191" s="47" t="s">
        <v>92</v>
      </c>
      <c r="U191" s="47">
        <v>1</v>
      </c>
      <c r="V191" s="47">
        <v>2</v>
      </c>
      <c r="W191" s="47" t="s">
        <v>207</v>
      </c>
      <c r="X191" s="59" t="s">
        <v>984</v>
      </c>
      <c r="Y191" s="59" t="s">
        <v>984</v>
      </c>
      <c r="Z191" s="59" t="s">
        <v>984</v>
      </c>
      <c r="AA191" s="65"/>
      <c r="AB191" s="65"/>
      <c r="AC191" s="65" t="s">
        <v>208</v>
      </c>
      <c r="AD191" s="65" t="s">
        <v>208</v>
      </c>
      <c r="AE191" s="66" t="s">
        <v>2376</v>
      </c>
      <c r="AF191" s="65" t="s">
        <v>8444</v>
      </c>
      <c r="AG191" s="65" t="s">
        <v>8444</v>
      </c>
      <c r="AH191" s="65" t="s">
        <v>691</v>
      </c>
      <c r="AI191" s="65" t="s">
        <v>90</v>
      </c>
      <c r="AJ191" s="133">
        <v>30146</v>
      </c>
      <c r="AK191" s="66" t="s">
        <v>2377</v>
      </c>
      <c r="AL191" s="65" t="s">
        <v>8254</v>
      </c>
      <c r="AM191" s="65" t="s">
        <v>800</v>
      </c>
      <c r="AN191" s="60"/>
      <c r="AO191" s="60"/>
      <c r="AP191" s="59" t="s">
        <v>2378</v>
      </c>
      <c r="AQ191" s="25" t="s">
        <v>1313</v>
      </c>
      <c r="AR191" s="65" t="s">
        <v>2379</v>
      </c>
      <c r="AS191" s="65" t="s">
        <v>2031</v>
      </c>
      <c r="AT191" s="65" t="s">
        <v>141</v>
      </c>
      <c r="AU191" s="59" t="s">
        <v>111</v>
      </c>
      <c r="AV191" s="62">
        <v>40615</v>
      </c>
      <c r="AW191" s="59" t="s">
        <v>7954</v>
      </c>
      <c r="AX191" s="59" t="s">
        <v>691</v>
      </c>
      <c r="AY191" s="59" t="s">
        <v>90</v>
      </c>
      <c r="AZ191" s="126">
        <v>31881</v>
      </c>
      <c r="BA191" s="60" t="s">
        <v>2380</v>
      </c>
      <c r="BB191" s="67" t="s">
        <v>845</v>
      </c>
      <c r="BC191" s="60" t="s">
        <v>2381</v>
      </c>
      <c r="BD191" s="60"/>
      <c r="BE191" s="60"/>
      <c r="BF191" s="60"/>
      <c r="BG191" s="59" t="s">
        <v>2378</v>
      </c>
      <c r="BH191" s="25" t="s">
        <v>1313</v>
      </c>
      <c r="BI191" s="65" t="s">
        <v>2379</v>
      </c>
      <c r="BJ191" s="68" t="s">
        <v>2031</v>
      </c>
      <c r="BK191" s="65" t="s">
        <v>141</v>
      </c>
      <c r="BL191" s="65" t="s">
        <v>156</v>
      </c>
      <c r="BM191" s="24">
        <v>40615</v>
      </c>
      <c r="BN191" s="24"/>
      <c r="BO191" s="59" t="s">
        <v>701</v>
      </c>
      <c r="BP191" s="59"/>
      <c r="BQ191" s="77"/>
      <c r="BR191" s="60"/>
      <c r="BS191" s="60"/>
      <c r="BT191" s="59"/>
      <c r="BU191" s="60"/>
      <c r="BV191" s="60"/>
      <c r="BW191" s="59"/>
      <c r="BX191" s="60"/>
      <c r="BY191" s="60"/>
      <c r="BZ191" s="59"/>
      <c r="CA191" s="59"/>
      <c r="CB191" s="59"/>
      <c r="CC191" s="59"/>
      <c r="CD191" s="59"/>
      <c r="CE191" s="59" t="s">
        <v>7485</v>
      </c>
      <c r="CF191" s="60" t="s">
        <v>1313</v>
      </c>
      <c r="CG191" s="59" t="s">
        <v>7170</v>
      </c>
      <c r="CH191" s="59" t="s">
        <v>902</v>
      </c>
      <c r="CI191" s="59" t="s">
        <v>90</v>
      </c>
      <c r="CJ191" s="59" t="s">
        <v>111</v>
      </c>
      <c r="CK191" s="47">
        <v>40615</v>
      </c>
      <c r="CL191" s="64" t="str">
        <f t="shared" ca="1" si="2"/>
        <v>15 Tahun 11 Bulan 30 Hari</v>
      </c>
      <c r="CM19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Jl.Cilengkrang Ii RT/RW 05/02 Desa/Kelurahan Palasari Kecamatan Cibiru Bandung Jawa Barat 40615</v>
      </c>
    </row>
    <row r="192" spans="1:91" ht="24.95" customHeight="1">
      <c r="A192" s="58">
        <f>SUBTOTAL(3,N$8:Table2[[#This Row],[Nama lengkap]])</f>
        <v>185</v>
      </c>
      <c r="B192" s="58" t="s">
        <v>86</v>
      </c>
      <c r="C192" s="58">
        <v>2022</v>
      </c>
      <c r="D192" s="58" t="s">
        <v>8936</v>
      </c>
      <c r="E192" s="58">
        <v>3</v>
      </c>
      <c r="F192" s="58" t="s">
        <v>2199</v>
      </c>
      <c r="G192" s="32" t="s">
        <v>2513</v>
      </c>
      <c r="H192" s="32" t="s">
        <v>2513</v>
      </c>
      <c r="I192" s="32" t="s">
        <v>2513</v>
      </c>
      <c r="J192" s="32"/>
      <c r="K192" s="32"/>
      <c r="L192" s="32"/>
      <c r="M192" s="58">
        <v>22230010</v>
      </c>
      <c r="N192" s="24" t="s">
        <v>5986</v>
      </c>
      <c r="O192" s="24"/>
      <c r="P192" s="25" t="s">
        <v>2382</v>
      </c>
      <c r="Q192" s="25" t="s">
        <v>2383</v>
      </c>
      <c r="R192" s="60" t="s">
        <v>456</v>
      </c>
      <c r="S192" s="61" t="s">
        <v>2384</v>
      </c>
      <c r="T192" s="47" t="s">
        <v>92</v>
      </c>
      <c r="U192" s="47">
        <v>2</v>
      </c>
      <c r="V192" s="47">
        <v>2</v>
      </c>
      <c r="W192" s="47" t="s">
        <v>207</v>
      </c>
      <c r="X192" s="59" t="s">
        <v>984</v>
      </c>
      <c r="Y192" s="65" t="s">
        <v>1687</v>
      </c>
      <c r="Z192" s="59" t="s">
        <v>1042</v>
      </c>
      <c r="AA192" s="65" t="s">
        <v>96</v>
      </c>
      <c r="AB192" s="65" t="s">
        <v>689</v>
      </c>
      <c r="AC192" s="65" t="s">
        <v>208</v>
      </c>
      <c r="AD192" s="65" t="s">
        <v>208</v>
      </c>
      <c r="AE192" s="66" t="s">
        <v>2385</v>
      </c>
      <c r="AF192" s="65" t="s">
        <v>8445</v>
      </c>
      <c r="AG192" s="65" t="s">
        <v>8445</v>
      </c>
      <c r="AH192" s="65" t="s">
        <v>691</v>
      </c>
      <c r="AI192" s="65" t="s">
        <v>90</v>
      </c>
      <c r="AJ192" s="133">
        <v>26991</v>
      </c>
      <c r="AK192" s="66" t="s">
        <v>2386</v>
      </c>
      <c r="AL192" s="65" t="s">
        <v>289</v>
      </c>
      <c r="AM192" s="65" t="s">
        <v>800</v>
      </c>
      <c r="AN192" s="60"/>
      <c r="AO192" s="60"/>
      <c r="AP192" s="59" t="s">
        <v>2387</v>
      </c>
      <c r="AQ192" s="25" t="s">
        <v>2388</v>
      </c>
      <c r="AR192" s="65" t="s">
        <v>2389</v>
      </c>
      <c r="AS192" s="65" t="s">
        <v>2390</v>
      </c>
      <c r="AT192" s="65" t="s">
        <v>163</v>
      </c>
      <c r="AU192" s="59" t="s">
        <v>111</v>
      </c>
      <c r="AV192" s="62">
        <v>40552</v>
      </c>
      <c r="AW192" s="59" t="s">
        <v>7955</v>
      </c>
      <c r="AX192" s="59" t="s">
        <v>691</v>
      </c>
      <c r="AY192" s="59" t="s">
        <v>7793</v>
      </c>
      <c r="AZ192" s="126" t="s">
        <v>2391</v>
      </c>
      <c r="BA192" s="60" t="s">
        <v>2392</v>
      </c>
      <c r="BB192" s="67" t="s">
        <v>845</v>
      </c>
      <c r="BC192" s="60" t="s">
        <v>800</v>
      </c>
      <c r="BD192" s="60"/>
      <c r="BE192" s="60"/>
      <c r="BF192" s="60"/>
      <c r="BG192" s="59" t="s">
        <v>2387</v>
      </c>
      <c r="BH192" s="25" t="s">
        <v>2388</v>
      </c>
      <c r="BI192" s="65" t="s">
        <v>2389</v>
      </c>
      <c r="BJ192" s="68" t="s">
        <v>2390</v>
      </c>
      <c r="BK192" s="65" t="s">
        <v>163</v>
      </c>
      <c r="BL192" s="65" t="s">
        <v>156</v>
      </c>
      <c r="BM192" s="24">
        <v>40552</v>
      </c>
      <c r="BN192" s="24"/>
      <c r="BO192" s="59" t="s">
        <v>701</v>
      </c>
      <c r="BP192" s="59"/>
      <c r="BQ192" s="77"/>
      <c r="BR192" s="60"/>
      <c r="BS192" s="60"/>
      <c r="BT192" s="59"/>
      <c r="BU192" s="60"/>
      <c r="BV192" s="60"/>
      <c r="BW192" s="59"/>
      <c r="BX192" s="60"/>
      <c r="BY192" s="60"/>
      <c r="BZ192" s="59"/>
      <c r="CA192" s="59"/>
      <c r="CB192" s="59"/>
      <c r="CC192" s="59"/>
      <c r="CD192" s="59"/>
      <c r="CE192" s="59" t="s">
        <v>7486</v>
      </c>
      <c r="CF192" s="60" t="s">
        <v>2388</v>
      </c>
      <c r="CG192" s="59" t="s">
        <v>7171</v>
      </c>
      <c r="CH192" s="59" t="s">
        <v>6611</v>
      </c>
      <c r="CI192" s="59" t="s">
        <v>155</v>
      </c>
      <c r="CJ192" s="59" t="s">
        <v>111</v>
      </c>
      <c r="CK192" s="47">
        <v>40552</v>
      </c>
      <c r="CL192" s="64" t="str">
        <f t="shared" ca="1" si="2"/>
        <v>16 Tahun 3 Bulan 15 Hari</v>
      </c>
      <c r="CM19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Kp.Cicau RT/RW 011/009 Desa/Kelurahan Gadobangkong Kecamatan Ngamprah Bandung Barat Jawa Barat 40552</v>
      </c>
    </row>
    <row r="193" spans="1:91" ht="24.95" customHeight="1">
      <c r="A193" s="58">
        <f>SUBTOTAL(3,N$8:Table2[[#This Row],[Nama lengkap]])</f>
        <v>186</v>
      </c>
      <c r="B193" s="58" t="s">
        <v>86</v>
      </c>
      <c r="C193" s="58">
        <v>2022</v>
      </c>
      <c r="D193" s="58"/>
      <c r="E193" s="58">
        <v>3</v>
      </c>
      <c r="F193" s="58" t="s">
        <v>2199</v>
      </c>
      <c r="G193" s="32" t="s">
        <v>2513</v>
      </c>
      <c r="H193" s="32" t="s">
        <v>2513</v>
      </c>
      <c r="I193" s="32" t="s">
        <v>2513</v>
      </c>
      <c r="J193" s="32"/>
      <c r="K193" s="32"/>
      <c r="L193" s="32"/>
      <c r="M193" s="58">
        <v>22230017</v>
      </c>
      <c r="N193" s="24" t="s">
        <v>8794</v>
      </c>
      <c r="O193" s="24"/>
      <c r="P193" s="25" t="s">
        <v>2393</v>
      </c>
      <c r="Q193" s="25" t="s">
        <v>2394</v>
      </c>
      <c r="R193" s="60" t="s">
        <v>6562</v>
      </c>
      <c r="S193" s="61" t="s">
        <v>2395</v>
      </c>
      <c r="T193" s="47" t="s">
        <v>92</v>
      </c>
      <c r="U193" s="47">
        <v>3</v>
      </c>
      <c r="V193" s="47">
        <v>4</v>
      </c>
      <c r="W193" s="47" t="s">
        <v>207</v>
      </c>
      <c r="X193" s="59" t="s">
        <v>984</v>
      </c>
      <c r="Y193" s="65" t="s">
        <v>2396</v>
      </c>
      <c r="Z193" s="59" t="s">
        <v>2397</v>
      </c>
      <c r="AA193" s="65"/>
      <c r="AB193" s="65" t="s">
        <v>689</v>
      </c>
      <c r="AC193" s="65" t="s">
        <v>208</v>
      </c>
      <c r="AD193" s="65" t="s">
        <v>208</v>
      </c>
      <c r="AE193" s="66" t="s">
        <v>2398</v>
      </c>
      <c r="AF193" s="65" t="s">
        <v>8446</v>
      </c>
      <c r="AG193" s="65" t="s">
        <v>8446</v>
      </c>
      <c r="AH193" s="65" t="s">
        <v>691</v>
      </c>
      <c r="AI193" s="65" t="s">
        <v>831</v>
      </c>
      <c r="AJ193" s="133">
        <v>27213</v>
      </c>
      <c r="AK193" s="66" t="s">
        <v>2399</v>
      </c>
      <c r="AL193" s="65" t="s">
        <v>602</v>
      </c>
      <c r="AM193" s="65" t="s">
        <v>1728</v>
      </c>
      <c r="AN193" s="60"/>
      <c r="AO193" s="60"/>
      <c r="AP193" s="59" t="s">
        <v>2400</v>
      </c>
      <c r="AQ193" s="25" t="s">
        <v>2401</v>
      </c>
      <c r="AR193" s="65" t="s">
        <v>1567</v>
      </c>
      <c r="AS193" s="65" t="s">
        <v>1249</v>
      </c>
      <c r="AT193" s="65" t="s">
        <v>1249</v>
      </c>
      <c r="AU193" s="59" t="s">
        <v>111</v>
      </c>
      <c r="AV193" s="62">
        <v>41151</v>
      </c>
      <c r="AW193" s="59" t="s">
        <v>7956</v>
      </c>
      <c r="AX193" s="59" t="s">
        <v>691</v>
      </c>
      <c r="AY193" s="59" t="s">
        <v>942</v>
      </c>
      <c r="AZ193" s="126" t="s">
        <v>2402</v>
      </c>
      <c r="BA193" s="60" t="s">
        <v>2403</v>
      </c>
      <c r="BB193" s="67" t="s">
        <v>845</v>
      </c>
      <c r="BC193" s="60" t="s">
        <v>1702</v>
      </c>
      <c r="BD193" s="60"/>
      <c r="BE193" s="60"/>
      <c r="BF193" s="60"/>
      <c r="BG193" s="59" t="s">
        <v>2400</v>
      </c>
      <c r="BH193" s="25" t="s">
        <v>2401</v>
      </c>
      <c r="BI193" s="65" t="s">
        <v>1567</v>
      </c>
      <c r="BJ193" s="68" t="s">
        <v>1249</v>
      </c>
      <c r="BK193" s="65" t="s">
        <v>1249</v>
      </c>
      <c r="BL193" s="65" t="s">
        <v>156</v>
      </c>
      <c r="BM193" s="24">
        <v>41151</v>
      </c>
      <c r="BN193" s="24"/>
      <c r="BO193" s="59" t="s">
        <v>701</v>
      </c>
      <c r="BP193" s="59"/>
      <c r="BQ193" s="77"/>
      <c r="BR193" s="60"/>
      <c r="BS193" s="60"/>
      <c r="BT193" s="59"/>
      <c r="BU193" s="60"/>
      <c r="BV193" s="60"/>
      <c r="BW193" s="59"/>
      <c r="BX193" s="60"/>
      <c r="BY193" s="60"/>
      <c r="BZ193" s="59"/>
      <c r="CA193" s="59"/>
      <c r="CB193" s="59"/>
      <c r="CC193" s="59"/>
      <c r="CD193" s="59"/>
      <c r="CE193" s="59" t="s">
        <v>7487</v>
      </c>
      <c r="CF193" s="60" t="s">
        <v>2401</v>
      </c>
      <c r="CG193" s="59" t="s">
        <v>7090</v>
      </c>
      <c r="CH193" s="59" t="s">
        <v>6562</v>
      </c>
      <c r="CI193" s="59" t="s">
        <v>6562</v>
      </c>
      <c r="CJ193" s="59" t="s">
        <v>111</v>
      </c>
      <c r="CK193" s="47">
        <v>41151</v>
      </c>
      <c r="CL193" s="64" t="str">
        <f t="shared" ca="1" si="2"/>
        <v>16 Tahun 0 Bulan 18 Hari</v>
      </c>
      <c r="CM19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Ghara Citalang Permai RT/RW 025/006 Desa/Kelurahan Citalang Kecamatan Purwakarta Purwakarta Jawa Barat 41151</v>
      </c>
    </row>
    <row r="194" spans="1:91" ht="24.95" customHeight="1">
      <c r="A194" s="58">
        <f>SUBTOTAL(3,N$8:Table2[[#This Row],[Nama lengkap]])</f>
        <v>187</v>
      </c>
      <c r="B194" s="58" t="s">
        <v>86</v>
      </c>
      <c r="C194" s="58">
        <v>2022</v>
      </c>
      <c r="D194" s="58"/>
      <c r="E194" s="58">
        <v>3</v>
      </c>
      <c r="F194" s="58" t="s">
        <v>2199</v>
      </c>
      <c r="G194" s="32" t="s">
        <v>2513</v>
      </c>
      <c r="H194" s="32" t="s">
        <v>2513</v>
      </c>
      <c r="I194" s="32" t="s">
        <v>2513</v>
      </c>
      <c r="J194" s="32"/>
      <c r="K194" s="32"/>
      <c r="L194" s="32"/>
      <c r="M194" s="58">
        <v>22230004</v>
      </c>
      <c r="N194" s="24" t="s">
        <v>5988</v>
      </c>
      <c r="O194" s="24"/>
      <c r="P194" s="25" t="s">
        <v>2404</v>
      </c>
      <c r="Q194" s="25" t="s">
        <v>2405</v>
      </c>
      <c r="R194" s="60" t="s">
        <v>122</v>
      </c>
      <c r="S194" s="61" t="s">
        <v>2406</v>
      </c>
      <c r="T194" s="47" t="s">
        <v>92</v>
      </c>
      <c r="U194" s="47">
        <v>1</v>
      </c>
      <c r="V194" s="47">
        <v>3</v>
      </c>
      <c r="W194" s="47" t="s">
        <v>207</v>
      </c>
      <c r="X194" s="59" t="s">
        <v>984</v>
      </c>
      <c r="Y194" s="65" t="s">
        <v>1687</v>
      </c>
      <c r="Z194" s="59" t="s">
        <v>986</v>
      </c>
      <c r="AA194" s="65" t="s">
        <v>96</v>
      </c>
      <c r="AB194" s="65" t="s">
        <v>689</v>
      </c>
      <c r="AC194" s="65" t="s">
        <v>208</v>
      </c>
      <c r="AD194" s="65" t="s">
        <v>208</v>
      </c>
      <c r="AE194" s="66" t="s">
        <v>2407</v>
      </c>
      <c r="AF194" s="65" t="s">
        <v>8447</v>
      </c>
      <c r="AG194" s="65" t="s">
        <v>8447</v>
      </c>
      <c r="AH194" s="65" t="s">
        <v>691</v>
      </c>
      <c r="AI194" s="65" t="s">
        <v>122</v>
      </c>
      <c r="AJ194" s="133" t="s">
        <v>2408</v>
      </c>
      <c r="AK194" s="66" t="s">
        <v>2409</v>
      </c>
      <c r="AL194" s="65" t="s">
        <v>602</v>
      </c>
      <c r="AM194" s="65" t="s">
        <v>800</v>
      </c>
      <c r="AN194" s="60"/>
      <c r="AO194" s="60"/>
      <c r="AP194" s="59" t="s">
        <v>2410</v>
      </c>
      <c r="AQ194" s="25" t="s">
        <v>2411</v>
      </c>
      <c r="AR194" s="65" t="s">
        <v>2412</v>
      </c>
      <c r="AS194" s="65" t="s">
        <v>2173</v>
      </c>
      <c r="AT194" s="65" t="s">
        <v>1090</v>
      </c>
      <c r="AU194" s="59" t="s">
        <v>111</v>
      </c>
      <c r="AV194" s="62">
        <v>45363</v>
      </c>
      <c r="AW194" s="59" t="s">
        <v>7957</v>
      </c>
      <c r="AX194" s="59" t="s">
        <v>691</v>
      </c>
      <c r="AY194" s="59" t="s">
        <v>90</v>
      </c>
      <c r="AZ194" s="126" t="s">
        <v>2413</v>
      </c>
      <c r="BA194" s="60" t="s">
        <v>2414</v>
      </c>
      <c r="BB194" s="67" t="s">
        <v>845</v>
      </c>
      <c r="BC194" s="60" t="s">
        <v>800</v>
      </c>
      <c r="BD194" s="60"/>
      <c r="BE194" s="60"/>
      <c r="BF194" s="60"/>
      <c r="BG194" s="59" t="s">
        <v>2410</v>
      </c>
      <c r="BH194" s="25" t="s">
        <v>2411</v>
      </c>
      <c r="BI194" s="65" t="s">
        <v>2412</v>
      </c>
      <c r="BJ194" s="68" t="s">
        <v>2173</v>
      </c>
      <c r="BK194" s="65" t="s">
        <v>1090</v>
      </c>
      <c r="BL194" s="65" t="s">
        <v>156</v>
      </c>
      <c r="BM194" s="24">
        <v>45363</v>
      </c>
      <c r="BN194" s="24"/>
      <c r="BO194" s="59" t="s">
        <v>719</v>
      </c>
      <c r="BP194" s="59"/>
      <c r="BQ194" s="77"/>
      <c r="BR194" s="60"/>
      <c r="BS194" s="60"/>
      <c r="BT194" s="59"/>
      <c r="BU194" s="60"/>
      <c r="BV194" s="60"/>
      <c r="BW194" s="59"/>
      <c r="BX194" s="60"/>
      <c r="BY194" s="60"/>
      <c r="BZ194" s="59"/>
      <c r="CA194" s="59"/>
      <c r="CB194" s="59"/>
      <c r="CC194" s="59"/>
      <c r="CD194" s="59"/>
      <c r="CE194" s="59" t="s">
        <v>7488</v>
      </c>
      <c r="CF194" s="60" t="s">
        <v>2411</v>
      </c>
      <c r="CG194" s="59" t="s">
        <v>351</v>
      </c>
      <c r="CH194" s="59" t="s">
        <v>561</v>
      </c>
      <c r="CI194" s="59" t="s">
        <v>122</v>
      </c>
      <c r="CJ194" s="59" t="s">
        <v>111</v>
      </c>
      <c r="CK194" s="47">
        <v>45363</v>
      </c>
      <c r="CL194" s="64" t="str">
        <f t="shared" ca="1" si="2"/>
        <v>16 Tahun 6 Bulan 26 Hari</v>
      </c>
      <c r="CM19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Mekarasih RT/RW 004/013 Desa/Kelurahan Hegarmanah Kecamatan Jatinangor Sumedang Jawa Barat 45363</v>
      </c>
    </row>
    <row r="195" spans="1:91" ht="24.95" customHeight="1">
      <c r="A195" s="58">
        <f>SUBTOTAL(3,N$8:Table2[[#This Row],[Nama lengkap]])</f>
        <v>188</v>
      </c>
      <c r="B195" s="58" t="s">
        <v>86</v>
      </c>
      <c r="C195" s="58">
        <v>2022</v>
      </c>
      <c r="D195" s="58"/>
      <c r="E195" s="58">
        <v>3</v>
      </c>
      <c r="F195" s="58" t="s">
        <v>2199</v>
      </c>
      <c r="G195" s="32" t="s">
        <v>2513</v>
      </c>
      <c r="H195" s="32" t="s">
        <v>2513</v>
      </c>
      <c r="I195" s="32" t="s">
        <v>2513</v>
      </c>
      <c r="J195" s="32"/>
      <c r="K195" s="32"/>
      <c r="L195" s="32"/>
      <c r="M195" s="58">
        <v>22230159</v>
      </c>
      <c r="N195" s="24" t="s">
        <v>5989</v>
      </c>
      <c r="O195" s="24"/>
      <c r="P195" s="25" t="s">
        <v>2415</v>
      </c>
      <c r="Q195" s="25" t="s">
        <v>2416</v>
      </c>
      <c r="R195" s="60" t="s">
        <v>456</v>
      </c>
      <c r="S195" s="61" t="s">
        <v>2417</v>
      </c>
      <c r="T195" s="47" t="s">
        <v>92</v>
      </c>
      <c r="U195" s="47">
        <v>1</v>
      </c>
      <c r="V195" s="47">
        <v>3</v>
      </c>
      <c r="W195" s="47" t="s">
        <v>207</v>
      </c>
      <c r="X195" s="59" t="s">
        <v>984</v>
      </c>
      <c r="Y195" s="65" t="s">
        <v>775</v>
      </c>
      <c r="Z195" s="59" t="s">
        <v>1042</v>
      </c>
      <c r="AA195" s="65" t="s">
        <v>96</v>
      </c>
      <c r="AB195" s="65" t="s">
        <v>689</v>
      </c>
      <c r="AC195" s="65" t="s">
        <v>208</v>
      </c>
      <c r="AD195" s="65" t="s">
        <v>208</v>
      </c>
      <c r="AE195" s="66" t="s">
        <v>2418</v>
      </c>
      <c r="AF195" s="65" t="s">
        <v>8448</v>
      </c>
      <c r="AG195" s="65" t="s">
        <v>8448</v>
      </c>
      <c r="AH195" s="65" t="s">
        <v>691</v>
      </c>
      <c r="AI195" s="65" t="s">
        <v>90</v>
      </c>
      <c r="AJ195" s="133" t="s">
        <v>2419</v>
      </c>
      <c r="AK195" s="66" t="s">
        <v>2420</v>
      </c>
      <c r="AL195" s="65" t="s">
        <v>602</v>
      </c>
      <c r="AM195" s="65" t="s">
        <v>800</v>
      </c>
      <c r="AN195" s="60"/>
      <c r="AO195" s="60"/>
      <c r="AP195" s="59" t="s">
        <v>2421</v>
      </c>
      <c r="AQ195" s="25" t="s">
        <v>2223</v>
      </c>
      <c r="AR195" s="65" t="s">
        <v>2422</v>
      </c>
      <c r="AS195" s="65" t="s">
        <v>1705</v>
      </c>
      <c r="AT195" s="65" t="s">
        <v>1706</v>
      </c>
      <c r="AU195" s="59" t="s">
        <v>111</v>
      </c>
      <c r="AV195" s="62">
        <v>40293</v>
      </c>
      <c r="AW195" s="59" t="s">
        <v>7958</v>
      </c>
      <c r="AX195" s="59" t="s">
        <v>691</v>
      </c>
      <c r="AY195" s="59" t="s">
        <v>90</v>
      </c>
      <c r="AZ195" s="126" t="s">
        <v>2423</v>
      </c>
      <c r="BA195" s="60" t="s">
        <v>2424</v>
      </c>
      <c r="BB195" s="67" t="s">
        <v>845</v>
      </c>
      <c r="BC195" s="60" t="s">
        <v>800</v>
      </c>
      <c r="BD195" s="60"/>
      <c r="BE195" s="60"/>
      <c r="BF195" s="60"/>
      <c r="BG195" s="59" t="s">
        <v>2421</v>
      </c>
      <c r="BH195" s="25" t="s">
        <v>2223</v>
      </c>
      <c r="BI195" s="65" t="s">
        <v>2422</v>
      </c>
      <c r="BJ195" s="68" t="s">
        <v>1705</v>
      </c>
      <c r="BK195" s="65" t="s">
        <v>1706</v>
      </c>
      <c r="BL195" s="65" t="s">
        <v>156</v>
      </c>
      <c r="BM195" s="24">
        <v>40293</v>
      </c>
      <c r="BN195" s="24"/>
      <c r="BO195" s="59" t="s">
        <v>719</v>
      </c>
      <c r="BP195" s="59"/>
      <c r="BQ195" s="77"/>
      <c r="BR195" s="60"/>
      <c r="BS195" s="60"/>
      <c r="BT195" s="59"/>
      <c r="BU195" s="60"/>
      <c r="BV195" s="60"/>
      <c r="BW195" s="59"/>
      <c r="BX195" s="60"/>
      <c r="BY195" s="60"/>
      <c r="BZ195" s="59"/>
      <c r="CA195" s="59"/>
      <c r="CB195" s="59"/>
      <c r="CC195" s="59"/>
      <c r="CD195" s="59"/>
      <c r="CE195" s="59" t="s">
        <v>7489</v>
      </c>
      <c r="CF195" s="60" t="s">
        <v>2223</v>
      </c>
      <c r="CG195" s="59" t="s">
        <v>784</v>
      </c>
      <c r="CH195" s="59" t="s">
        <v>7105</v>
      </c>
      <c r="CI195" s="59" t="s">
        <v>644</v>
      </c>
      <c r="CJ195" s="59" t="s">
        <v>111</v>
      </c>
      <c r="CK195" s="47">
        <v>40293</v>
      </c>
      <c r="CL195" s="64" t="str">
        <f t="shared" ca="1" si="2"/>
        <v>16 Tahun 0 Bulan 8 Hari</v>
      </c>
      <c r="CM19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Jl.Parakansaat Ii RT/RW 003/009 Desa/Kelurahan Cisaranten Endah Kecamatan Arcamanik Kota Bandung Jawa Barat 40293</v>
      </c>
    </row>
    <row r="196" spans="1:91" ht="24.95" customHeight="1">
      <c r="A196" s="58">
        <f>SUBTOTAL(3,N$8:Table2[[#This Row],[Nama lengkap]])</f>
        <v>189</v>
      </c>
      <c r="B196" s="58" t="s">
        <v>86</v>
      </c>
      <c r="C196" s="58">
        <v>2022</v>
      </c>
      <c r="D196" s="58"/>
      <c r="E196" s="58">
        <v>3</v>
      </c>
      <c r="F196" s="58" t="s">
        <v>2199</v>
      </c>
      <c r="G196" s="32" t="s">
        <v>2513</v>
      </c>
      <c r="H196" s="32" t="s">
        <v>2513</v>
      </c>
      <c r="I196" s="32" t="s">
        <v>2513</v>
      </c>
      <c r="J196" s="32"/>
      <c r="K196" s="32"/>
      <c r="L196" s="32"/>
      <c r="M196" s="58">
        <v>22230121</v>
      </c>
      <c r="N196" s="24" t="s">
        <v>5990</v>
      </c>
      <c r="O196" s="24"/>
      <c r="P196" s="25" t="s">
        <v>2425</v>
      </c>
      <c r="Q196" s="25" t="s">
        <v>2426</v>
      </c>
      <c r="R196" s="60" t="s">
        <v>90</v>
      </c>
      <c r="S196" s="61" t="s">
        <v>1619</v>
      </c>
      <c r="T196" s="47" t="s">
        <v>92</v>
      </c>
      <c r="U196" s="47">
        <v>3</v>
      </c>
      <c r="V196" s="47">
        <v>4</v>
      </c>
      <c r="W196" s="47" t="s">
        <v>207</v>
      </c>
      <c r="X196" s="59" t="s">
        <v>984</v>
      </c>
      <c r="Y196" s="65" t="s">
        <v>1849</v>
      </c>
      <c r="Z196" s="59" t="s">
        <v>1042</v>
      </c>
      <c r="AA196" s="65" t="s">
        <v>96</v>
      </c>
      <c r="AB196" s="65" t="s">
        <v>689</v>
      </c>
      <c r="AC196" s="65" t="s">
        <v>208</v>
      </c>
      <c r="AD196" s="65" t="s">
        <v>208</v>
      </c>
      <c r="AE196" s="66" t="s">
        <v>2427</v>
      </c>
      <c r="AF196" s="65" t="s">
        <v>8449</v>
      </c>
      <c r="AG196" s="65" t="s">
        <v>8449</v>
      </c>
      <c r="AH196" s="65" t="s">
        <v>691</v>
      </c>
      <c r="AI196" s="9" t="s">
        <v>90</v>
      </c>
      <c r="AJ196" s="134" t="s">
        <v>2428</v>
      </c>
      <c r="AK196" s="9" t="s">
        <v>2429</v>
      </c>
      <c r="AL196" s="9" t="s">
        <v>914</v>
      </c>
      <c r="AM196" s="9" t="s">
        <v>800</v>
      </c>
      <c r="AN196" s="60"/>
      <c r="AO196" s="60"/>
      <c r="AP196" s="59" t="s">
        <v>2430</v>
      </c>
      <c r="AQ196" s="25" t="s">
        <v>2431</v>
      </c>
      <c r="AR196" s="9" t="s">
        <v>2432</v>
      </c>
      <c r="AS196" s="9" t="s">
        <v>1006</v>
      </c>
      <c r="AT196" s="9" t="s">
        <v>1706</v>
      </c>
      <c r="AU196" s="59" t="s">
        <v>111</v>
      </c>
      <c r="AV196" s="62">
        <v>40232</v>
      </c>
      <c r="AW196" s="59" t="s">
        <v>7959</v>
      </c>
      <c r="AX196" s="59" t="s">
        <v>691</v>
      </c>
      <c r="AY196" s="59" t="s">
        <v>90</v>
      </c>
      <c r="AZ196" s="126">
        <v>27964</v>
      </c>
      <c r="BA196" s="60" t="s">
        <v>2433</v>
      </c>
      <c r="BB196" s="67" t="s">
        <v>845</v>
      </c>
      <c r="BC196" s="60" t="s">
        <v>800</v>
      </c>
      <c r="BD196" s="60"/>
      <c r="BE196" s="60"/>
      <c r="BF196" s="60"/>
      <c r="BG196" s="59" t="s">
        <v>2430</v>
      </c>
      <c r="BH196" s="25" t="s">
        <v>2431</v>
      </c>
      <c r="BI196" s="9" t="s">
        <v>2432</v>
      </c>
      <c r="BJ196" s="13" t="s">
        <v>1006</v>
      </c>
      <c r="BK196" s="9" t="s">
        <v>1706</v>
      </c>
      <c r="BL196" s="9" t="s">
        <v>156</v>
      </c>
      <c r="BM196" s="24">
        <v>40232</v>
      </c>
      <c r="BN196" s="24"/>
      <c r="BO196" s="59" t="s">
        <v>719</v>
      </c>
      <c r="BP196" s="59"/>
      <c r="BQ196" s="77"/>
      <c r="BR196" s="60"/>
      <c r="BS196" s="60"/>
      <c r="BT196" s="59"/>
      <c r="BU196" s="60"/>
      <c r="BV196" s="60"/>
      <c r="BW196" s="59"/>
      <c r="BX196" s="60"/>
      <c r="BY196" s="60"/>
      <c r="BZ196" s="59"/>
      <c r="CA196" s="59"/>
      <c r="CB196" s="59"/>
      <c r="CC196" s="59"/>
      <c r="CD196" s="59"/>
      <c r="CE196" s="59" t="s">
        <v>7490</v>
      </c>
      <c r="CF196" s="60" t="s">
        <v>2431</v>
      </c>
      <c r="CG196" s="59" t="s">
        <v>7172</v>
      </c>
      <c r="CH196" s="59" t="s">
        <v>6995</v>
      </c>
      <c r="CI196" s="59" t="s">
        <v>644</v>
      </c>
      <c r="CJ196" s="59" t="s">
        <v>111</v>
      </c>
      <c r="CK196" s="47">
        <v>40232</v>
      </c>
      <c r="CL196" s="64" t="str">
        <f t="shared" ca="1" si="2"/>
        <v>15 Tahun 6 Bulan 17 Hari</v>
      </c>
      <c r="CM19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Jl.Kopo Bbk Asih RT/RW 006/001 Desa/Kelurahan Babakan Asih Kecamatan Bojongloa Kaler Kota Bandung Jawa Barat 40232</v>
      </c>
    </row>
    <row r="197" spans="1:91" ht="24.95" customHeight="1">
      <c r="A197" s="58">
        <f>SUBTOTAL(3,N$8:Table2[[#This Row],[Nama lengkap]])</f>
        <v>190</v>
      </c>
      <c r="B197" s="58" t="s">
        <v>86</v>
      </c>
      <c r="C197" s="58">
        <v>2022</v>
      </c>
      <c r="D197" s="58"/>
      <c r="E197" s="58">
        <v>3</v>
      </c>
      <c r="F197" s="58" t="s">
        <v>2199</v>
      </c>
      <c r="G197" s="32" t="s">
        <v>2513</v>
      </c>
      <c r="H197" s="32" t="s">
        <v>2513</v>
      </c>
      <c r="I197" s="32" t="s">
        <v>2513</v>
      </c>
      <c r="J197" s="32"/>
      <c r="K197" s="32"/>
      <c r="L197" s="32"/>
      <c r="M197" s="58">
        <v>22230108</v>
      </c>
      <c r="N197" s="24" t="s">
        <v>8795</v>
      </c>
      <c r="O197" s="24"/>
      <c r="P197" s="25" t="s">
        <v>2434</v>
      </c>
      <c r="Q197" s="25" t="s">
        <v>2435</v>
      </c>
      <c r="R197" s="60" t="s">
        <v>90</v>
      </c>
      <c r="S197" s="61" t="s">
        <v>792</v>
      </c>
      <c r="T197" s="47" t="s">
        <v>92</v>
      </c>
      <c r="U197" s="47">
        <v>1</v>
      </c>
      <c r="V197" s="47">
        <v>3</v>
      </c>
      <c r="W197" s="47" t="s">
        <v>207</v>
      </c>
      <c r="X197" s="59" t="s">
        <v>984</v>
      </c>
      <c r="Y197" s="59" t="s">
        <v>984</v>
      </c>
      <c r="Z197" s="59" t="s">
        <v>984</v>
      </c>
      <c r="AA197" s="65" t="s">
        <v>96</v>
      </c>
      <c r="AB197" s="65" t="s">
        <v>689</v>
      </c>
      <c r="AC197" s="65" t="s">
        <v>208</v>
      </c>
      <c r="AD197" s="65" t="s">
        <v>208</v>
      </c>
      <c r="AE197" s="66" t="s">
        <v>739</v>
      </c>
      <c r="AF197" s="65" t="s">
        <v>740</v>
      </c>
      <c r="AG197" s="65" t="s">
        <v>740</v>
      </c>
      <c r="AH197" s="65" t="s">
        <v>691</v>
      </c>
      <c r="AI197" s="65" t="s">
        <v>90</v>
      </c>
      <c r="AJ197" s="133">
        <v>32078</v>
      </c>
      <c r="AK197" s="66" t="s">
        <v>741</v>
      </c>
      <c r="AL197" s="65" t="s">
        <v>114</v>
      </c>
      <c r="AM197" s="65" t="s">
        <v>800</v>
      </c>
      <c r="AN197" s="60"/>
      <c r="AO197" s="60"/>
      <c r="AP197" s="59" t="s">
        <v>2436</v>
      </c>
      <c r="AQ197" s="25" t="s">
        <v>2437</v>
      </c>
      <c r="AR197" s="65" t="s">
        <v>2438</v>
      </c>
      <c r="AS197" s="65" t="s">
        <v>1888</v>
      </c>
      <c r="AT197" s="65" t="s">
        <v>1706</v>
      </c>
      <c r="AU197" s="59" t="s">
        <v>111</v>
      </c>
      <c r="AV197" s="62">
        <v>40214</v>
      </c>
      <c r="AW197" s="59" t="s">
        <v>745</v>
      </c>
      <c r="AX197" s="59" t="s">
        <v>691</v>
      </c>
      <c r="AY197" s="59" t="s">
        <v>90</v>
      </c>
      <c r="AZ197" s="126">
        <v>32078</v>
      </c>
      <c r="BA197" s="60" t="s">
        <v>746</v>
      </c>
      <c r="BB197" s="67" t="s">
        <v>845</v>
      </c>
      <c r="BC197" s="60" t="s">
        <v>700</v>
      </c>
      <c r="BD197" s="60"/>
      <c r="BE197" s="60"/>
      <c r="BF197" s="60"/>
      <c r="BG197" s="59" t="s">
        <v>2436</v>
      </c>
      <c r="BH197" s="25" t="s">
        <v>2437</v>
      </c>
      <c r="BI197" s="65" t="s">
        <v>2438</v>
      </c>
      <c r="BJ197" s="68" t="s">
        <v>1888</v>
      </c>
      <c r="BK197" s="65" t="s">
        <v>1706</v>
      </c>
      <c r="BL197" s="65" t="s">
        <v>156</v>
      </c>
      <c r="BM197" s="24">
        <v>40214</v>
      </c>
      <c r="BN197" s="24"/>
      <c r="BO197" s="59" t="s">
        <v>701</v>
      </c>
      <c r="BP197" s="59"/>
      <c r="BQ197" s="77"/>
      <c r="BR197" s="60"/>
      <c r="BS197" s="60"/>
      <c r="BT197" s="59"/>
      <c r="BU197" s="60"/>
      <c r="BV197" s="60"/>
      <c r="BW197" s="59"/>
      <c r="BX197" s="60"/>
      <c r="BY197" s="60"/>
      <c r="BZ197" s="59"/>
      <c r="CA197" s="59"/>
      <c r="CB197" s="59"/>
      <c r="CC197" s="59"/>
      <c r="CD197" s="59"/>
      <c r="CE197" s="59" t="s">
        <v>7491</v>
      </c>
      <c r="CF197" s="60" t="s">
        <v>2437</v>
      </c>
      <c r="CG197" s="59" t="s">
        <v>743</v>
      </c>
      <c r="CH197" s="59" t="s">
        <v>744</v>
      </c>
      <c r="CI197" s="59" t="s">
        <v>644</v>
      </c>
      <c r="CJ197" s="59" t="s">
        <v>111</v>
      </c>
      <c r="CK197" s="47">
        <v>40214</v>
      </c>
      <c r="CL197" s="64" t="str">
        <f t="shared" ca="1" si="2"/>
        <v>15 Tahun 10 Bulan 16 Hari</v>
      </c>
      <c r="CM19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Kmp.Cigondewah Kaler RT/RW 003/004 Desa/Kelurahan Cigondewah Kaler Kecamatan Bandung Kulon Kota Bandung Jawa Barat 40214</v>
      </c>
    </row>
    <row r="198" spans="1:91" ht="24.95" customHeight="1">
      <c r="A198" s="58">
        <f>SUBTOTAL(3,N$8:Table2[[#This Row],[Nama lengkap]])</f>
        <v>191</v>
      </c>
      <c r="B198" s="58" t="s">
        <v>86</v>
      </c>
      <c r="C198" s="58">
        <v>2022</v>
      </c>
      <c r="D198" s="58"/>
      <c r="E198" s="58">
        <v>3</v>
      </c>
      <c r="F198" s="58" t="s">
        <v>2199</v>
      </c>
      <c r="G198" s="32" t="s">
        <v>2513</v>
      </c>
      <c r="H198" s="32" t="s">
        <v>2513</v>
      </c>
      <c r="I198" s="32" t="s">
        <v>2513</v>
      </c>
      <c r="J198" s="32"/>
      <c r="K198" s="32"/>
      <c r="L198" s="32"/>
      <c r="M198" s="58">
        <v>22230137</v>
      </c>
      <c r="N198" s="24" t="s">
        <v>8796</v>
      </c>
      <c r="O198" s="24"/>
      <c r="P198" s="25" t="s">
        <v>2439</v>
      </c>
      <c r="Q198" s="25" t="s">
        <v>2440</v>
      </c>
      <c r="R198" s="60" t="s">
        <v>90</v>
      </c>
      <c r="S198" s="61" t="s">
        <v>2441</v>
      </c>
      <c r="T198" s="47" t="s">
        <v>92</v>
      </c>
      <c r="U198" s="47">
        <v>2</v>
      </c>
      <c r="V198" s="47">
        <v>3</v>
      </c>
      <c r="W198" s="47" t="s">
        <v>207</v>
      </c>
      <c r="X198" s="59" t="s">
        <v>984</v>
      </c>
      <c r="Y198" s="65" t="s">
        <v>706</v>
      </c>
      <c r="Z198" s="59" t="s">
        <v>1042</v>
      </c>
      <c r="AA198" s="65"/>
      <c r="AB198" s="65" t="s">
        <v>689</v>
      </c>
      <c r="AC198" s="65" t="s">
        <v>208</v>
      </c>
      <c r="AD198" s="65" t="s">
        <v>208</v>
      </c>
      <c r="AE198" s="66" t="s">
        <v>2442</v>
      </c>
      <c r="AF198" s="65" t="s">
        <v>8450</v>
      </c>
      <c r="AG198" s="65" t="s">
        <v>8450</v>
      </c>
      <c r="AH198" s="65" t="s">
        <v>691</v>
      </c>
      <c r="AI198" s="65" t="s">
        <v>90</v>
      </c>
      <c r="AJ198" s="133">
        <v>27531</v>
      </c>
      <c r="AK198" s="66" t="s">
        <v>2443</v>
      </c>
      <c r="AL198" s="65" t="s">
        <v>602</v>
      </c>
      <c r="AM198" s="65" t="s">
        <v>800</v>
      </c>
      <c r="AN198" s="60"/>
      <c r="AO198" s="60"/>
      <c r="AP198" s="59" t="s">
        <v>2444</v>
      </c>
      <c r="AQ198" s="25" t="s">
        <v>890</v>
      </c>
      <c r="AR198" s="65" t="s">
        <v>2445</v>
      </c>
      <c r="AS198" s="65" t="s">
        <v>1461</v>
      </c>
      <c r="AT198" s="65" t="s">
        <v>1706</v>
      </c>
      <c r="AU198" s="59" t="s">
        <v>111</v>
      </c>
      <c r="AV198" s="62"/>
      <c r="AW198" s="59" t="s">
        <v>7960</v>
      </c>
      <c r="AX198" s="59" t="s">
        <v>691</v>
      </c>
      <c r="AY198" s="59" t="s">
        <v>90</v>
      </c>
      <c r="AZ198" s="126">
        <v>28502</v>
      </c>
      <c r="BA198" s="60" t="s">
        <v>2446</v>
      </c>
      <c r="BB198" s="67" t="s">
        <v>845</v>
      </c>
      <c r="BC198" s="60" t="s">
        <v>800</v>
      </c>
      <c r="BD198" s="60"/>
      <c r="BE198" s="60"/>
      <c r="BF198" s="60"/>
      <c r="BG198" s="59" t="s">
        <v>2444</v>
      </c>
      <c r="BH198" s="25" t="s">
        <v>890</v>
      </c>
      <c r="BI198" s="65" t="s">
        <v>2445</v>
      </c>
      <c r="BJ198" s="68" t="s">
        <v>1461</v>
      </c>
      <c r="BK198" s="65" t="s">
        <v>1706</v>
      </c>
      <c r="BL198" s="65" t="s">
        <v>156</v>
      </c>
      <c r="BM198" s="62"/>
      <c r="BN198" s="62"/>
      <c r="BO198" s="59"/>
      <c r="BP198" s="59"/>
      <c r="BQ198" s="77"/>
      <c r="BR198" s="60"/>
      <c r="BS198" s="60"/>
      <c r="BT198" s="59"/>
      <c r="BU198" s="60"/>
      <c r="BV198" s="60"/>
      <c r="BW198" s="59"/>
      <c r="BX198" s="60"/>
      <c r="BY198" s="60"/>
      <c r="BZ198" s="59"/>
      <c r="CA198" s="59"/>
      <c r="CB198" s="59"/>
      <c r="CC198" s="59"/>
      <c r="CD198" s="59"/>
      <c r="CE198" s="59" t="s">
        <v>7492</v>
      </c>
      <c r="CF198" s="60" t="s">
        <v>890</v>
      </c>
      <c r="CG198" s="59" t="s">
        <v>7173</v>
      </c>
      <c r="CH198" s="59" t="s">
        <v>6830</v>
      </c>
      <c r="CI198" s="59" t="s">
        <v>644</v>
      </c>
      <c r="CJ198" s="59" t="s">
        <v>111</v>
      </c>
      <c r="CK198" s="47"/>
      <c r="CL198" s="64" t="str">
        <f t="shared" ca="1" si="2"/>
        <v>15 Tahun 10 Bulan 18 Hari</v>
      </c>
      <c r="CM19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Andir Wetan RT/RW 002/001 Desa/Kelurahan Pasanggrahan  Kecamatan Ujungberung Kota Bandung Jawa Barat </v>
      </c>
    </row>
    <row r="199" spans="1:91" ht="24.95" customHeight="1">
      <c r="A199" s="58">
        <f>SUBTOTAL(3,N$8:Table2[[#This Row],[Nama lengkap]])</f>
        <v>192</v>
      </c>
      <c r="B199" s="58" t="s">
        <v>86</v>
      </c>
      <c r="C199" s="58">
        <v>2022</v>
      </c>
      <c r="D199" s="58"/>
      <c r="E199" s="58">
        <v>3</v>
      </c>
      <c r="F199" s="58" t="s">
        <v>2199</v>
      </c>
      <c r="G199" s="32" t="s">
        <v>2513</v>
      </c>
      <c r="H199" s="32" t="s">
        <v>2513</v>
      </c>
      <c r="I199" s="32" t="s">
        <v>2513</v>
      </c>
      <c r="J199" s="32"/>
      <c r="K199" s="32"/>
      <c r="L199" s="32"/>
      <c r="M199" s="58">
        <v>22230153</v>
      </c>
      <c r="N199" s="24" t="s">
        <v>5993</v>
      </c>
      <c r="O199" s="24"/>
      <c r="P199" s="25" t="s">
        <v>2447</v>
      </c>
      <c r="Q199" s="25" t="s">
        <v>2448</v>
      </c>
      <c r="R199" s="60" t="s">
        <v>122</v>
      </c>
      <c r="S199" s="61" t="s">
        <v>2395</v>
      </c>
      <c r="T199" s="47" t="s">
        <v>92</v>
      </c>
      <c r="U199" s="47">
        <v>1</v>
      </c>
      <c r="V199" s="47">
        <v>1</v>
      </c>
      <c r="W199" s="47" t="s">
        <v>207</v>
      </c>
      <c r="X199" s="59" t="s">
        <v>984</v>
      </c>
      <c r="Y199" s="65" t="s">
        <v>1687</v>
      </c>
      <c r="Z199" s="59" t="s">
        <v>688</v>
      </c>
      <c r="AA199" s="65" t="s">
        <v>96</v>
      </c>
      <c r="AB199" s="65" t="s">
        <v>689</v>
      </c>
      <c r="AC199" s="65" t="s">
        <v>208</v>
      </c>
      <c r="AD199" s="65" t="s">
        <v>208</v>
      </c>
      <c r="AE199" s="66" t="s">
        <v>2449</v>
      </c>
      <c r="AF199" s="65" t="s">
        <v>8451</v>
      </c>
      <c r="AG199" s="65" t="s">
        <v>8451</v>
      </c>
      <c r="AH199" s="65" t="s">
        <v>691</v>
      </c>
      <c r="AI199" s="65" t="s">
        <v>122</v>
      </c>
      <c r="AJ199" s="133">
        <v>30028</v>
      </c>
      <c r="AK199" s="66" t="s">
        <v>2450</v>
      </c>
      <c r="AL199" s="65" t="s">
        <v>602</v>
      </c>
      <c r="AM199" s="65" t="s">
        <v>800</v>
      </c>
      <c r="AN199" s="60"/>
      <c r="AO199" s="60"/>
      <c r="AP199" s="59" t="s">
        <v>2451</v>
      </c>
      <c r="AQ199" s="25" t="s">
        <v>2452</v>
      </c>
      <c r="AR199" s="65" t="s">
        <v>2453</v>
      </c>
      <c r="AS199" s="65" t="s">
        <v>1101</v>
      </c>
      <c r="AT199" s="65" t="s">
        <v>1090</v>
      </c>
      <c r="AU199" s="59" t="s">
        <v>111</v>
      </c>
      <c r="AV199" s="62">
        <v>45313</v>
      </c>
      <c r="AW199" s="59" t="s">
        <v>7961</v>
      </c>
      <c r="AX199" s="59" t="s">
        <v>691</v>
      </c>
      <c r="AY199" s="59" t="s">
        <v>122</v>
      </c>
      <c r="AZ199" s="126">
        <v>30299</v>
      </c>
      <c r="BA199" s="60" t="s">
        <v>2454</v>
      </c>
      <c r="BB199" s="67" t="s">
        <v>845</v>
      </c>
      <c r="BC199" s="60" t="s">
        <v>1702</v>
      </c>
      <c r="BD199" s="60"/>
      <c r="BE199" s="60"/>
      <c r="BF199" s="60"/>
      <c r="BG199" s="59" t="s">
        <v>2451</v>
      </c>
      <c r="BH199" s="25" t="s">
        <v>2452</v>
      </c>
      <c r="BI199" s="65" t="s">
        <v>2453</v>
      </c>
      <c r="BJ199" s="68" t="s">
        <v>1101</v>
      </c>
      <c r="BK199" s="65" t="s">
        <v>1090</v>
      </c>
      <c r="BL199" s="65" t="s">
        <v>156</v>
      </c>
      <c r="BM199" s="24">
        <v>45313</v>
      </c>
      <c r="BN199" s="24"/>
      <c r="BO199" s="59" t="s">
        <v>701</v>
      </c>
      <c r="BP199" s="59"/>
      <c r="BQ199" s="77"/>
      <c r="BR199" s="60"/>
      <c r="BS199" s="60"/>
      <c r="BT199" s="59"/>
      <c r="BU199" s="60"/>
      <c r="BV199" s="60"/>
      <c r="BW199" s="59"/>
      <c r="BX199" s="60"/>
      <c r="BY199" s="60"/>
      <c r="BZ199" s="59"/>
      <c r="CA199" s="59"/>
      <c r="CB199" s="59"/>
      <c r="CC199" s="59"/>
      <c r="CD199" s="59"/>
      <c r="CE199" s="59" t="s">
        <v>7493</v>
      </c>
      <c r="CF199" s="60" t="s">
        <v>2452</v>
      </c>
      <c r="CG199" s="59" t="s">
        <v>7174</v>
      </c>
      <c r="CH199" s="59" t="s">
        <v>6945</v>
      </c>
      <c r="CI199" s="59" t="s">
        <v>122</v>
      </c>
      <c r="CJ199" s="59" t="s">
        <v>111</v>
      </c>
      <c r="CK199" s="47">
        <v>45313</v>
      </c>
      <c r="CL199" s="64" t="str">
        <f t="shared" ca="1" si="2"/>
        <v>16 Tahun 0 Bulan 18 Hari</v>
      </c>
      <c r="CM19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Lingkungan Lebak Huni RT/RW 003/013 Desa/Kelurahan Pasanggrahan Baru Kecamatan Sumedang Selatan Sumedang Jawa Barat 45313</v>
      </c>
    </row>
    <row r="200" spans="1:91" ht="24.95" customHeight="1">
      <c r="A200" s="58">
        <f>SUBTOTAL(3,N$8:Table2[[#This Row],[Nama lengkap]])</f>
        <v>193</v>
      </c>
      <c r="B200" s="58" t="s">
        <v>86</v>
      </c>
      <c r="C200" s="58">
        <v>2022</v>
      </c>
      <c r="D200" s="58"/>
      <c r="E200" s="58">
        <v>3</v>
      </c>
      <c r="F200" s="58" t="s">
        <v>2199</v>
      </c>
      <c r="G200" s="32" t="s">
        <v>2513</v>
      </c>
      <c r="H200" s="32" t="s">
        <v>2513</v>
      </c>
      <c r="I200" s="32" t="s">
        <v>2513</v>
      </c>
      <c r="J200" s="32"/>
      <c r="K200" s="32"/>
      <c r="L200" s="32"/>
      <c r="M200" s="58">
        <v>22230016</v>
      </c>
      <c r="N200" s="24" t="s">
        <v>5994</v>
      </c>
      <c r="O200" s="24"/>
      <c r="P200" s="25" t="s">
        <v>2455</v>
      </c>
      <c r="Q200" s="25" t="s">
        <v>2456</v>
      </c>
      <c r="R200" s="60" t="s">
        <v>122</v>
      </c>
      <c r="S200" s="61" t="s">
        <v>2457</v>
      </c>
      <c r="T200" s="47" t="s">
        <v>92</v>
      </c>
      <c r="U200" s="47">
        <v>1</v>
      </c>
      <c r="V200" s="47">
        <v>3</v>
      </c>
      <c r="W200" s="47" t="s">
        <v>207</v>
      </c>
      <c r="X200" s="59" t="s">
        <v>984</v>
      </c>
      <c r="Y200" s="65" t="s">
        <v>1687</v>
      </c>
      <c r="Z200" s="59" t="s">
        <v>2397</v>
      </c>
      <c r="AA200" s="65" t="s">
        <v>96</v>
      </c>
      <c r="AB200" s="65" t="s">
        <v>689</v>
      </c>
      <c r="AC200" s="65" t="s">
        <v>208</v>
      </c>
      <c r="AD200" s="65" t="s">
        <v>208</v>
      </c>
      <c r="AE200" s="66" t="s">
        <v>2458</v>
      </c>
      <c r="AF200" s="65" t="s">
        <v>8452</v>
      </c>
      <c r="AG200" s="65" t="s">
        <v>8452</v>
      </c>
      <c r="AH200" s="65" t="s">
        <v>691</v>
      </c>
      <c r="AI200" s="65" t="s">
        <v>90</v>
      </c>
      <c r="AJ200" s="133">
        <v>31290</v>
      </c>
      <c r="AK200" s="66" t="s">
        <v>2459</v>
      </c>
      <c r="AL200" s="65" t="s">
        <v>114</v>
      </c>
      <c r="AM200" s="65" t="s">
        <v>800</v>
      </c>
      <c r="AN200" s="60"/>
      <c r="AO200" s="60"/>
      <c r="AP200" s="59" t="s">
        <v>2460</v>
      </c>
      <c r="AQ200" s="25" t="s">
        <v>2461</v>
      </c>
      <c r="AR200" s="65" t="s">
        <v>2462</v>
      </c>
      <c r="AS200" s="65" t="s">
        <v>2094</v>
      </c>
      <c r="AT200" s="65" t="s">
        <v>1090</v>
      </c>
      <c r="AU200" s="59" t="s">
        <v>111</v>
      </c>
      <c r="AV200" s="62">
        <v>45361</v>
      </c>
      <c r="AW200" s="59" t="s">
        <v>7962</v>
      </c>
      <c r="AX200" s="59" t="s">
        <v>691</v>
      </c>
      <c r="AY200" s="59" t="s">
        <v>122</v>
      </c>
      <c r="AZ200" s="126">
        <v>31460</v>
      </c>
      <c r="BA200" s="60" t="s">
        <v>2463</v>
      </c>
      <c r="BB200" s="67" t="s">
        <v>845</v>
      </c>
      <c r="BC200" s="60" t="s">
        <v>800</v>
      </c>
      <c r="BD200" s="60"/>
      <c r="BE200" s="60"/>
      <c r="BF200" s="60"/>
      <c r="BG200" s="59" t="s">
        <v>2460</v>
      </c>
      <c r="BH200" s="25" t="s">
        <v>2461</v>
      </c>
      <c r="BI200" s="65" t="s">
        <v>2462</v>
      </c>
      <c r="BJ200" s="68" t="s">
        <v>2094</v>
      </c>
      <c r="BK200" s="65" t="s">
        <v>1090</v>
      </c>
      <c r="BL200" s="65" t="s">
        <v>156</v>
      </c>
      <c r="BM200" s="24">
        <v>45631</v>
      </c>
      <c r="BN200" s="24"/>
      <c r="BO200" s="59" t="s">
        <v>719</v>
      </c>
      <c r="BP200" s="59"/>
      <c r="BQ200" s="77"/>
      <c r="BR200" s="60"/>
      <c r="BS200" s="60"/>
      <c r="BT200" s="59"/>
      <c r="BU200" s="60"/>
      <c r="BV200" s="60"/>
      <c r="BW200" s="59"/>
      <c r="BX200" s="60"/>
      <c r="BY200" s="60"/>
      <c r="BZ200" s="59"/>
      <c r="CA200" s="59"/>
      <c r="CB200" s="59"/>
      <c r="CC200" s="59"/>
      <c r="CD200" s="59"/>
      <c r="CE200" s="59" t="s">
        <v>7494</v>
      </c>
      <c r="CF200" s="60" t="s">
        <v>2461</v>
      </c>
      <c r="CG200" s="59" t="s">
        <v>7175</v>
      </c>
      <c r="CH200" s="59" t="s">
        <v>7140</v>
      </c>
      <c r="CI200" s="59" t="s">
        <v>122</v>
      </c>
      <c r="CJ200" s="59" t="s">
        <v>111</v>
      </c>
      <c r="CK200" s="47">
        <v>45361</v>
      </c>
      <c r="CL200" s="64" t="str">
        <f t="shared" ref="CL200:CL263" ca="1" si="3">DATEDIF(S200,NOW(),"Y")&amp;" Tahun " &amp;DATEDIF(S200,NOW(),"YM")&amp;" Bulan " &amp;DATEDIF(S200,NOW(),"MD")&amp;" Hari"</f>
        <v>15 Tahun 6 Bulan 15 Hari</v>
      </c>
      <c r="CM20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Neglasari RT/RW 005/004 Desa/Kelurahan Sukamaju Kecamatan Rancakalong Sumedang Jawa Barat 45361</v>
      </c>
    </row>
    <row r="201" spans="1:91" ht="24.95" customHeight="1">
      <c r="A201" s="58">
        <f>SUBTOTAL(3,N$8:Table2[[#This Row],[Nama lengkap]])</f>
        <v>194</v>
      </c>
      <c r="B201" s="58" t="s">
        <v>86</v>
      </c>
      <c r="C201" s="58">
        <v>2022</v>
      </c>
      <c r="D201" s="58"/>
      <c r="E201" s="58">
        <v>3</v>
      </c>
      <c r="F201" s="58" t="s">
        <v>2199</v>
      </c>
      <c r="G201" s="32" t="s">
        <v>2513</v>
      </c>
      <c r="H201" s="32" t="s">
        <v>2513</v>
      </c>
      <c r="I201" s="32" t="s">
        <v>2513</v>
      </c>
      <c r="J201" s="32"/>
      <c r="K201" s="32"/>
      <c r="L201" s="32"/>
      <c r="M201" s="58">
        <v>22230089</v>
      </c>
      <c r="N201" s="24" t="s">
        <v>5995</v>
      </c>
      <c r="O201" s="24"/>
      <c r="P201" s="25" t="s">
        <v>2464</v>
      </c>
      <c r="Q201" s="25" t="s">
        <v>2465</v>
      </c>
      <c r="R201" s="60" t="s">
        <v>122</v>
      </c>
      <c r="S201" s="61" t="s">
        <v>2466</v>
      </c>
      <c r="T201" s="47" t="s">
        <v>92</v>
      </c>
      <c r="U201" s="47">
        <v>1</v>
      </c>
      <c r="V201" s="47">
        <v>3</v>
      </c>
      <c r="W201" s="47" t="s">
        <v>207</v>
      </c>
      <c r="X201" s="59" t="s">
        <v>984</v>
      </c>
      <c r="Y201" s="65" t="s">
        <v>2467</v>
      </c>
      <c r="Z201" s="59" t="s">
        <v>1168</v>
      </c>
      <c r="AA201" s="65" t="s">
        <v>96</v>
      </c>
      <c r="AB201" s="65" t="s">
        <v>689</v>
      </c>
      <c r="AC201" s="65" t="s">
        <v>208</v>
      </c>
      <c r="AD201" s="65" t="s">
        <v>208</v>
      </c>
      <c r="AE201" s="66" t="s">
        <v>2468</v>
      </c>
      <c r="AF201" s="65" t="s">
        <v>8453</v>
      </c>
      <c r="AG201" s="65" t="s">
        <v>8453</v>
      </c>
      <c r="AH201" s="65" t="s">
        <v>691</v>
      </c>
      <c r="AI201" s="65" t="s">
        <v>122</v>
      </c>
      <c r="AJ201" s="133">
        <v>28538</v>
      </c>
      <c r="AK201" s="66" t="s">
        <v>2469</v>
      </c>
      <c r="AL201" s="65" t="s">
        <v>114</v>
      </c>
      <c r="AM201" s="65" t="s">
        <v>693</v>
      </c>
      <c r="AN201" s="60"/>
      <c r="AO201" s="60"/>
      <c r="AP201" s="59" t="s">
        <v>2249</v>
      </c>
      <c r="AQ201" s="25" t="s">
        <v>2470</v>
      </c>
      <c r="AR201" s="65" t="s">
        <v>2471</v>
      </c>
      <c r="AS201" s="65" t="s">
        <v>2251</v>
      </c>
      <c r="AT201" s="65" t="s">
        <v>1090</v>
      </c>
      <c r="AU201" s="59" t="s">
        <v>111</v>
      </c>
      <c r="AV201" s="62">
        <v>45372</v>
      </c>
      <c r="AW201" s="59" t="s">
        <v>7963</v>
      </c>
      <c r="AX201" s="59" t="s">
        <v>691</v>
      </c>
      <c r="AY201" s="59" t="s">
        <v>122</v>
      </c>
      <c r="AZ201" s="126" t="s">
        <v>2472</v>
      </c>
      <c r="BA201" s="60" t="s">
        <v>2473</v>
      </c>
      <c r="BB201" s="67" t="s">
        <v>845</v>
      </c>
      <c r="BC201" s="60" t="s">
        <v>700</v>
      </c>
      <c r="BD201" s="60"/>
      <c r="BE201" s="60"/>
      <c r="BF201" s="60"/>
      <c r="BG201" s="59" t="s">
        <v>2249</v>
      </c>
      <c r="BH201" s="25" t="s">
        <v>2470</v>
      </c>
      <c r="BI201" s="65" t="s">
        <v>2471</v>
      </c>
      <c r="BJ201" s="68" t="s">
        <v>2251</v>
      </c>
      <c r="BK201" s="65" t="s">
        <v>1090</v>
      </c>
      <c r="BL201" s="65" t="s">
        <v>156</v>
      </c>
      <c r="BM201" s="24">
        <v>45372</v>
      </c>
      <c r="BN201" s="24"/>
      <c r="BO201" s="59" t="s">
        <v>701</v>
      </c>
      <c r="BP201" s="59"/>
      <c r="BQ201" s="77"/>
      <c r="BR201" s="60"/>
      <c r="BS201" s="60"/>
      <c r="BT201" s="59"/>
      <c r="BU201" s="60"/>
      <c r="BV201" s="60"/>
      <c r="BW201" s="59"/>
      <c r="BX201" s="60"/>
      <c r="BY201" s="60"/>
      <c r="BZ201" s="59"/>
      <c r="CA201" s="59"/>
      <c r="CB201" s="59"/>
      <c r="CC201" s="59"/>
      <c r="CD201" s="59"/>
      <c r="CE201" s="59" t="s">
        <v>7473</v>
      </c>
      <c r="CF201" s="60" t="s">
        <v>2470</v>
      </c>
      <c r="CG201" s="59" t="s">
        <v>7176</v>
      </c>
      <c r="CH201" s="59" t="s">
        <v>7157</v>
      </c>
      <c r="CI201" s="59" t="s">
        <v>122</v>
      </c>
      <c r="CJ201" s="59" t="s">
        <v>111</v>
      </c>
      <c r="CK201" s="47">
        <v>45372</v>
      </c>
      <c r="CL201" s="64" t="str">
        <f t="shared" ca="1" si="3"/>
        <v>15 Tahun 11 Bulan 19 Hari</v>
      </c>
      <c r="CM20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Nagrong RT/RW 002/004 Desa/Kelurahan Cieunteung Kecamatan Darmaraja Sumedang Jawa Barat 45372</v>
      </c>
    </row>
    <row r="202" spans="1:91" ht="24.95" customHeight="1">
      <c r="A202" s="58">
        <f>SUBTOTAL(3,N$8:Table2[[#This Row],[Nama lengkap]])</f>
        <v>195</v>
      </c>
      <c r="B202" s="58" t="s">
        <v>86</v>
      </c>
      <c r="C202" s="58">
        <v>2022</v>
      </c>
      <c r="D202" s="58"/>
      <c r="E202" s="58">
        <v>3</v>
      </c>
      <c r="F202" s="58" t="s">
        <v>2199</v>
      </c>
      <c r="G202" s="32" t="s">
        <v>2513</v>
      </c>
      <c r="H202" s="32" t="s">
        <v>2513</v>
      </c>
      <c r="I202" s="32" t="s">
        <v>2513</v>
      </c>
      <c r="J202" s="32"/>
      <c r="K202" s="32"/>
      <c r="L202" s="32"/>
      <c r="M202" s="58">
        <v>22230069</v>
      </c>
      <c r="N202" s="24" t="s">
        <v>8797</v>
      </c>
      <c r="O202" s="24"/>
      <c r="P202" s="25" t="s">
        <v>2474</v>
      </c>
      <c r="Q202" s="25" t="s">
        <v>2475</v>
      </c>
      <c r="R202" s="60" t="s">
        <v>122</v>
      </c>
      <c r="S202" s="61" t="s">
        <v>2476</v>
      </c>
      <c r="T202" s="47" t="s">
        <v>92</v>
      </c>
      <c r="U202" s="47">
        <v>2</v>
      </c>
      <c r="V202" s="47">
        <v>4</v>
      </c>
      <c r="W202" s="47" t="s">
        <v>207</v>
      </c>
      <c r="X202" s="59" t="s">
        <v>984</v>
      </c>
      <c r="Y202" s="65" t="s">
        <v>1068</v>
      </c>
      <c r="Z202" s="59" t="s">
        <v>1140</v>
      </c>
      <c r="AA202" s="65" t="s">
        <v>96</v>
      </c>
      <c r="AB202" s="65" t="s">
        <v>689</v>
      </c>
      <c r="AC202" s="65" t="s">
        <v>208</v>
      </c>
      <c r="AD202" s="65" t="s">
        <v>208</v>
      </c>
      <c r="AE202" s="66" t="s">
        <v>2477</v>
      </c>
      <c r="AF202" s="65" t="s">
        <v>8454</v>
      </c>
      <c r="AG202" s="65" t="s">
        <v>8454</v>
      </c>
      <c r="AH202" s="65" t="s">
        <v>691</v>
      </c>
      <c r="AI202" s="65" t="s">
        <v>122</v>
      </c>
      <c r="AJ202" s="133" t="s">
        <v>2478</v>
      </c>
      <c r="AK202" s="66" t="s">
        <v>2479</v>
      </c>
      <c r="AL202" s="65" t="s">
        <v>114</v>
      </c>
      <c r="AM202" s="65" t="s">
        <v>800</v>
      </c>
      <c r="AN202" s="60"/>
      <c r="AO202" s="60"/>
      <c r="AP202" s="59" t="s">
        <v>2480</v>
      </c>
      <c r="AQ202" s="25" t="s">
        <v>2481</v>
      </c>
      <c r="AR202" s="65" t="s">
        <v>1752</v>
      </c>
      <c r="AS202" s="65" t="s">
        <v>1324</v>
      </c>
      <c r="AT202" s="65" t="s">
        <v>1090</v>
      </c>
      <c r="AU202" s="59" t="s">
        <v>111</v>
      </c>
      <c r="AV202" s="62">
        <v>45321</v>
      </c>
      <c r="AW202" s="59" t="s">
        <v>7964</v>
      </c>
      <c r="AX202" s="59" t="s">
        <v>691</v>
      </c>
      <c r="AY202" s="59" t="s">
        <v>122</v>
      </c>
      <c r="AZ202" s="126" t="s">
        <v>2482</v>
      </c>
      <c r="BA202" s="60" t="s">
        <v>2483</v>
      </c>
      <c r="BB202" s="67" t="s">
        <v>845</v>
      </c>
      <c r="BC202" s="60" t="s">
        <v>800</v>
      </c>
      <c r="BD202" s="60"/>
      <c r="BE202" s="60"/>
      <c r="BF202" s="60"/>
      <c r="BG202" s="59" t="s">
        <v>2480</v>
      </c>
      <c r="BH202" s="25" t="s">
        <v>2481</v>
      </c>
      <c r="BI202" s="65" t="s">
        <v>1752</v>
      </c>
      <c r="BJ202" s="68" t="s">
        <v>1324</v>
      </c>
      <c r="BK202" s="65" t="s">
        <v>1090</v>
      </c>
      <c r="BL202" s="65" t="s">
        <v>156</v>
      </c>
      <c r="BM202" s="24">
        <v>45321</v>
      </c>
      <c r="BN202" s="24"/>
      <c r="BO202" s="59" t="s">
        <v>719</v>
      </c>
      <c r="BP202" s="59"/>
      <c r="BQ202" s="77"/>
      <c r="BR202" s="60"/>
      <c r="BS202" s="60"/>
      <c r="BT202" s="59"/>
      <c r="BU202" s="60"/>
      <c r="BV202" s="60"/>
      <c r="BW202" s="59"/>
      <c r="BX202" s="60"/>
      <c r="BY202" s="60"/>
      <c r="BZ202" s="59"/>
      <c r="CA202" s="59"/>
      <c r="CB202" s="59"/>
      <c r="CC202" s="59"/>
      <c r="CD202" s="59"/>
      <c r="CE202" s="59" t="s">
        <v>7495</v>
      </c>
      <c r="CF202" s="60" t="s">
        <v>2481</v>
      </c>
      <c r="CG202" s="59" t="s">
        <v>7109</v>
      </c>
      <c r="CH202" s="59" t="s">
        <v>134</v>
      </c>
      <c r="CI202" s="59" t="s">
        <v>122</v>
      </c>
      <c r="CJ202" s="59" t="s">
        <v>111</v>
      </c>
      <c r="CK202" s="47">
        <v>45321</v>
      </c>
      <c r="CL202" s="64" t="str">
        <f t="shared" ca="1" si="3"/>
        <v>16 Tahun 0 Bulan 24 Hari</v>
      </c>
      <c r="CM20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Pabuaran RT/RW 003/008 Desa/Kelurahan Jatihurip Kecamatan Sumedang Utara Sumedang Jawa Barat 45321</v>
      </c>
    </row>
    <row r="203" spans="1:91" ht="24.95" customHeight="1">
      <c r="A203" s="58">
        <f>SUBTOTAL(3,N$8:Table2[[#This Row],[Nama lengkap]])</f>
        <v>196</v>
      </c>
      <c r="B203" s="58" t="s">
        <v>86</v>
      </c>
      <c r="C203" s="58">
        <v>2022</v>
      </c>
      <c r="D203" s="58"/>
      <c r="E203" s="58">
        <v>3</v>
      </c>
      <c r="F203" s="58" t="s">
        <v>2199</v>
      </c>
      <c r="G203" s="32" t="s">
        <v>2513</v>
      </c>
      <c r="H203" s="32" t="s">
        <v>2513</v>
      </c>
      <c r="I203" s="32" t="s">
        <v>2513</v>
      </c>
      <c r="J203" s="32"/>
      <c r="K203" s="32"/>
      <c r="L203" s="32"/>
      <c r="M203" s="58">
        <v>22230172</v>
      </c>
      <c r="N203" s="24" t="s">
        <v>5999</v>
      </c>
      <c r="O203" s="24"/>
      <c r="P203" s="25" t="s">
        <v>2491</v>
      </c>
      <c r="Q203" s="25" t="s">
        <v>2492</v>
      </c>
      <c r="R203" s="60" t="s">
        <v>90</v>
      </c>
      <c r="S203" s="61" t="s">
        <v>2493</v>
      </c>
      <c r="T203" s="47" t="s">
        <v>92</v>
      </c>
      <c r="U203" s="47">
        <v>2</v>
      </c>
      <c r="V203" s="47">
        <v>4</v>
      </c>
      <c r="W203" s="47" t="s">
        <v>207</v>
      </c>
      <c r="X203" s="59" t="s">
        <v>984</v>
      </c>
      <c r="Y203" s="65" t="s">
        <v>2213</v>
      </c>
      <c r="Z203" s="59" t="s">
        <v>1985</v>
      </c>
      <c r="AA203" s="65" t="s">
        <v>96</v>
      </c>
      <c r="AB203" s="65" t="s">
        <v>689</v>
      </c>
      <c r="AC203" s="65" t="s">
        <v>208</v>
      </c>
      <c r="AD203" s="65" t="s">
        <v>208</v>
      </c>
      <c r="AE203" s="66" t="s">
        <v>2494</v>
      </c>
      <c r="AF203" s="65" t="s">
        <v>8455</v>
      </c>
      <c r="AG203" s="65" t="s">
        <v>8455</v>
      </c>
      <c r="AH203" s="65" t="s">
        <v>691</v>
      </c>
      <c r="AI203" s="65" t="s">
        <v>90</v>
      </c>
      <c r="AJ203" s="133">
        <v>29160</v>
      </c>
      <c r="AK203" s="66" t="s">
        <v>2495</v>
      </c>
      <c r="AL203" s="65" t="s">
        <v>602</v>
      </c>
      <c r="AM203" s="65" t="s">
        <v>800</v>
      </c>
      <c r="AN203" s="60"/>
      <c r="AO203" s="60"/>
      <c r="AP203" s="59" t="s">
        <v>2496</v>
      </c>
      <c r="AQ203" s="25" t="s">
        <v>2497</v>
      </c>
      <c r="AR203" s="65" t="s">
        <v>2498</v>
      </c>
      <c r="AS203" s="65" t="s">
        <v>1063</v>
      </c>
      <c r="AT203" s="65" t="s">
        <v>141</v>
      </c>
      <c r="AU203" s="59" t="s">
        <v>111</v>
      </c>
      <c r="AV203" s="62">
        <v>40394</v>
      </c>
      <c r="AW203" s="59" t="s">
        <v>7965</v>
      </c>
      <c r="AX203" s="59" t="s">
        <v>691</v>
      </c>
      <c r="AY203" s="59" t="s">
        <v>90</v>
      </c>
      <c r="AZ203" s="126">
        <v>30055</v>
      </c>
      <c r="BA203" s="60" t="s">
        <v>2499</v>
      </c>
      <c r="BB203" s="67" t="s">
        <v>845</v>
      </c>
      <c r="BC203" s="60" t="s">
        <v>700</v>
      </c>
      <c r="BD203" s="60"/>
      <c r="BE203" s="60"/>
      <c r="BF203" s="60"/>
      <c r="BG203" s="59" t="s">
        <v>2496</v>
      </c>
      <c r="BH203" s="25" t="s">
        <v>2497</v>
      </c>
      <c r="BI203" s="65" t="s">
        <v>2498</v>
      </c>
      <c r="BJ203" s="68" t="s">
        <v>1063</v>
      </c>
      <c r="BK203" s="65" t="s">
        <v>141</v>
      </c>
      <c r="BL203" s="65" t="s">
        <v>156</v>
      </c>
      <c r="BM203" s="24">
        <v>40394</v>
      </c>
      <c r="BN203" s="24"/>
      <c r="BO203" s="59" t="s">
        <v>701</v>
      </c>
      <c r="BP203" s="59"/>
      <c r="BQ203" s="77"/>
      <c r="BR203" s="60"/>
      <c r="BS203" s="60"/>
      <c r="BT203" s="59"/>
      <c r="BU203" s="60"/>
      <c r="BV203" s="60"/>
      <c r="BW203" s="59"/>
      <c r="BX203" s="60"/>
      <c r="BY203" s="60"/>
      <c r="BZ203" s="59"/>
      <c r="CA203" s="59"/>
      <c r="CB203" s="59"/>
      <c r="CC203" s="59"/>
      <c r="CD203" s="59"/>
      <c r="CE203" s="59" t="s">
        <v>7496</v>
      </c>
      <c r="CF203" s="60" t="s">
        <v>2497</v>
      </c>
      <c r="CG203" s="59" t="s">
        <v>7177</v>
      </c>
      <c r="CH203" s="59" t="s">
        <v>295</v>
      </c>
      <c r="CI203" s="59" t="s">
        <v>90</v>
      </c>
      <c r="CJ203" s="59" t="s">
        <v>111</v>
      </c>
      <c r="CK203" s="47">
        <v>40394</v>
      </c>
      <c r="CL203" s="64" t="str">
        <f t="shared" ca="1" si="3"/>
        <v>16 Tahun 9 Bulan 28 Hari</v>
      </c>
      <c r="CM20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Kp.Ciparanje RT/RW 002/005 Desa/Kelurahan Sangiang Kecamatan Rancaekek Bandung Jawa Barat 40394</v>
      </c>
    </row>
    <row r="204" spans="1:91" ht="24.95" customHeight="1">
      <c r="A204" s="58">
        <f>SUBTOTAL(3,N$8:Table2[[#This Row],[Nama lengkap]])</f>
        <v>197</v>
      </c>
      <c r="B204" s="58" t="s">
        <v>86</v>
      </c>
      <c r="C204" s="58">
        <v>2022</v>
      </c>
      <c r="D204" s="58"/>
      <c r="E204" s="58">
        <v>3</v>
      </c>
      <c r="F204" s="58" t="s">
        <v>2199</v>
      </c>
      <c r="G204" s="32" t="s">
        <v>2513</v>
      </c>
      <c r="H204" s="32" t="s">
        <v>2513</v>
      </c>
      <c r="I204" s="32" t="s">
        <v>2513</v>
      </c>
      <c r="J204" s="32"/>
      <c r="K204" s="32"/>
      <c r="L204" s="32"/>
      <c r="M204" s="58">
        <v>22230140</v>
      </c>
      <c r="N204" s="24" t="s">
        <v>6000</v>
      </c>
      <c r="O204" s="24"/>
      <c r="P204" s="25" t="s">
        <v>2501</v>
      </c>
      <c r="Q204" s="25" t="s">
        <v>2502</v>
      </c>
      <c r="R204" s="60" t="s">
        <v>388</v>
      </c>
      <c r="S204" s="61" t="s">
        <v>2503</v>
      </c>
      <c r="T204" s="47" t="s">
        <v>92</v>
      </c>
      <c r="U204" s="47">
        <v>4</v>
      </c>
      <c r="V204" s="47">
        <v>4</v>
      </c>
      <c r="W204" s="47" t="s">
        <v>207</v>
      </c>
      <c r="X204" s="59" t="s">
        <v>984</v>
      </c>
      <c r="Y204" s="65" t="s">
        <v>2504</v>
      </c>
      <c r="Z204" s="59" t="s">
        <v>707</v>
      </c>
      <c r="AA204" s="65" t="s">
        <v>96</v>
      </c>
      <c r="AB204" s="65" t="s">
        <v>689</v>
      </c>
      <c r="AC204" s="65" t="s">
        <v>208</v>
      </c>
      <c r="AD204" s="65" t="s">
        <v>208</v>
      </c>
      <c r="AE204" s="66" t="s">
        <v>2505</v>
      </c>
      <c r="AF204" s="65" t="s">
        <v>8456</v>
      </c>
      <c r="AG204" s="65" t="s">
        <v>8456</v>
      </c>
      <c r="AH204" s="65" t="s">
        <v>691</v>
      </c>
      <c r="AI204" s="65" t="s">
        <v>942</v>
      </c>
      <c r="AJ204" s="133">
        <v>28915</v>
      </c>
      <c r="AK204" s="66" t="s">
        <v>2506</v>
      </c>
      <c r="AL204" s="65" t="s">
        <v>114</v>
      </c>
      <c r="AM204" s="65" t="s">
        <v>700</v>
      </c>
      <c r="AN204" s="60"/>
      <c r="AO204" s="60"/>
      <c r="AP204" s="59" t="s">
        <v>2507</v>
      </c>
      <c r="AQ204" s="25" t="s">
        <v>2508</v>
      </c>
      <c r="AR204" s="65" t="s">
        <v>2509</v>
      </c>
      <c r="AS204" s="65" t="s">
        <v>2510</v>
      </c>
      <c r="AT204" s="65" t="s">
        <v>805</v>
      </c>
      <c r="AU204" s="65" t="s">
        <v>806</v>
      </c>
      <c r="AV204" s="62">
        <v>14110</v>
      </c>
      <c r="AW204" s="59" t="s">
        <v>7966</v>
      </c>
      <c r="AX204" s="59" t="s">
        <v>691</v>
      </c>
      <c r="AY204" s="59" t="s">
        <v>7794</v>
      </c>
      <c r="AZ204" s="126">
        <v>28729</v>
      </c>
      <c r="BA204" s="60" t="s">
        <v>2511</v>
      </c>
      <c r="BB204" s="67" t="s">
        <v>602</v>
      </c>
      <c r="BC204" s="60" t="s">
        <v>700</v>
      </c>
      <c r="BD204" s="60"/>
      <c r="BE204" s="60"/>
      <c r="BF204" s="60"/>
      <c r="BG204" s="59" t="s">
        <v>2507</v>
      </c>
      <c r="BH204" s="25" t="s">
        <v>2508</v>
      </c>
      <c r="BI204" s="65" t="s">
        <v>2509</v>
      </c>
      <c r="BJ204" s="68" t="s">
        <v>2510</v>
      </c>
      <c r="BK204" s="65" t="s">
        <v>805</v>
      </c>
      <c r="BL204" s="65" t="s">
        <v>806</v>
      </c>
      <c r="BM204" s="24">
        <v>14110</v>
      </c>
      <c r="BN204" s="24"/>
      <c r="BO204" s="59" t="s">
        <v>701</v>
      </c>
      <c r="BP204" s="59"/>
      <c r="BQ204" s="77"/>
      <c r="BR204" s="60"/>
      <c r="BS204" s="60"/>
      <c r="BT204" s="59"/>
      <c r="BU204" s="60"/>
      <c r="BV204" s="60"/>
      <c r="BW204" s="59"/>
      <c r="BX204" s="60"/>
      <c r="BY204" s="60"/>
      <c r="BZ204" s="59"/>
      <c r="CA204" s="59"/>
      <c r="CB204" s="59"/>
      <c r="CC204" s="59"/>
      <c r="CD204" s="59"/>
      <c r="CE204" s="59" t="s">
        <v>7497</v>
      </c>
      <c r="CF204" s="60" t="s">
        <v>2508</v>
      </c>
      <c r="CG204" s="59" t="s">
        <v>7178</v>
      </c>
      <c r="CH204" s="59" t="s">
        <v>7179</v>
      </c>
      <c r="CI204" s="59" t="s">
        <v>7034</v>
      </c>
      <c r="CJ204" s="59" t="s">
        <v>7017</v>
      </c>
      <c r="CK204" s="47">
        <v>14110</v>
      </c>
      <c r="CL204" s="64" t="str">
        <f t="shared" ca="1" si="3"/>
        <v>25 Tahun 2 Bulan 7 Hari</v>
      </c>
      <c r="CM20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Jl.Kalibaru Barat Iv RT/RW 010/007 Desa/Kelurahan Kalibaru Kecamatan Cilincing Jakarta Utara Dki Jakarta 14110</v>
      </c>
    </row>
    <row r="205" spans="1:91" ht="24.95" customHeight="1">
      <c r="A205" s="58">
        <f>SUBTOTAL(3,N$8:Table2[[#This Row],[Nama lengkap]])</f>
        <v>198</v>
      </c>
      <c r="B205" s="58" t="s">
        <v>86</v>
      </c>
      <c r="C205" s="58">
        <v>2021</v>
      </c>
      <c r="D205" s="58"/>
      <c r="E205" s="58">
        <v>4</v>
      </c>
      <c r="F205" s="58" t="s">
        <v>2512</v>
      </c>
      <c r="G205" s="32" t="s">
        <v>2513</v>
      </c>
      <c r="H205" s="32" t="s">
        <v>2513</v>
      </c>
      <c r="I205" s="32" t="s">
        <v>2513</v>
      </c>
      <c r="J205" s="32"/>
      <c r="K205" s="32"/>
      <c r="L205" s="32"/>
      <c r="M205" s="64">
        <v>21220142</v>
      </c>
      <c r="N205" s="24" t="s">
        <v>8798</v>
      </c>
      <c r="O205" s="24"/>
      <c r="P205" s="25" t="s">
        <v>2514</v>
      </c>
      <c r="Q205" s="25" t="s">
        <v>2515</v>
      </c>
      <c r="R205" s="60" t="s">
        <v>456</v>
      </c>
      <c r="S205" s="61" t="s">
        <v>2516</v>
      </c>
      <c r="T205" s="47" t="s">
        <v>92</v>
      </c>
      <c r="U205" s="47">
        <v>3</v>
      </c>
      <c r="V205" s="47">
        <v>2</v>
      </c>
      <c r="W205" s="47" t="s">
        <v>207</v>
      </c>
      <c r="X205" s="59"/>
      <c r="Y205" s="59" t="s">
        <v>2517</v>
      </c>
      <c r="Z205" s="59" t="s">
        <v>986</v>
      </c>
      <c r="AA205" s="59" t="s">
        <v>96</v>
      </c>
      <c r="AB205" s="59" t="s">
        <v>689</v>
      </c>
      <c r="AC205" s="59" t="s">
        <v>208</v>
      </c>
      <c r="AD205" s="59" t="s">
        <v>208</v>
      </c>
      <c r="AE205" s="60" t="s">
        <v>2518</v>
      </c>
      <c r="AF205" s="60" t="s">
        <v>8457</v>
      </c>
      <c r="AG205" s="59" t="s">
        <v>8458</v>
      </c>
      <c r="AH205" s="59" t="s">
        <v>691</v>
      </c>
      <c r="AI205" s="59" t="s">
        <v>90</v>
      </c>
      <c r="AJ205" s="61">
        <v>27040</v>
      </c>
      <c r="AK205" s="60" t="s">
        <v>2519</v>
      </c>
      <c r="AL205" s="60" t="s">
        <v>602</v>
      </c>
      <c r="AM205" s="59" t="s">
        <v>700</v>
      </c>
      <c r="AN205" s="60" t="s">
        <v>2520</v>
      </c>
      <c r="AO205" s="60"/>
      <c r="AP205" s="59" t="s">
        <v>2521</v>
      </c>
      <c r="AQ205" s="25" t="s">
        <v>1369</v>
      </c>
      <c r="AR205" s="60" t="s">
        <v>1256</v>
      </c>
      <c r="AS205" s="59" t="s">
        <v>2522</v>
      </c>
      <c r="AT205" s="59" t="s">
        <v>163</v>
      </c>
      <c r="AU205" s="59" t="s">
        <v>111</v>
      </c>
      <c r="AV205" s="62">
        <v>40553</v>
      </c>
      <c r="AW205" s="59" t="s">
        <v>7967</v>
      </c>
      <c r="AX205" s="59" t="s">
        <v>691</v>
      </c>
      <c r="AY205" s="59" t="s">
        <v>90</v>
      </c>
      <c r="AZ205" s="126">
        <v>28985</v>
      </c>
      <c r="BA205" s="60" t="s">
        <v>2523</v>
      </c>
      <c r="BB205" s="60" t="s">
        <v>845</v>
      </c>
      <c r="BC205" s="59" t="s">
        <v>700</v>
      </c>
      <c r="BD205" s="60" t="s">
        <v>2520</v>
      </c>
      <c r="BE205" s="60"/>
      <c r="BF205" s="60"/>
      <c r="BG205" s="59" t="s">
        <v>2521</v>
      </c>
      <c r="BH205" s="60" t="s">
        <v>1369</v>
      </c>
      <c r="BI205" s="60" t="s">
        <v>1256</v>
      </c>
      <c r="BJ205" s="24" t="s">
        <v>2522</v>
      </c>
      <c r="BK205" s="59" t="s">
        <v>163</v>
      </c>
      <c r="BL205" s="59" t="s">
        <v>156</v>
      </c>
      <c r="BM205" s="24">
        <v>40553</v>
      </c>
      <c r="BN205" s="24"/>
      <c r="BO205" s="59"/>
      <c r="BP205" s="59"/>
      <c r="BQ205" s="77"/>
      <c r="BR205" s="60"/>
      <c r="BS205" s="60"/>
      <c r="BT205" s="59"/>
      <c r="BU205" s="60"/>
      <c r="BV205" s="60"/>
      <c r="BW205" s="59"/>
      <c r="BX205" s="60"/>
      <c r="BY205" s="60"/>
      <c r="BZ205" s="59"/>
      <c r="CA205" s="59"/>
      <c r="CB205" s="59"/>
      <c r="CC205" s="59"/>
      <c r="CD205" s="59"/>
      <c r="CE205" s="59" t="s">
        <v>7498</v>
      </c>
      <c r="CF205" s="60" t="s">
        <v>1369</v>
      </c>
      <c r="CG205" s="59" t="s">
        <v>7062</v>
      </c>
      <c r="CH205" s="59" t="s">
        <v>7180</v>
      </c>
      <c r="CI205" s="59" t="s">
        <v>155</v>
      </c>
      <c r="CJ205" s="59" t="s">
        <v>111</v>
      </c>
      <c r="CK205" s="47">
        <v>40553</v>
      </c>
      <c r="CL205" s="64" t="str">
        <f t="shared" ca="1" si="3"/>
        <v>17 Tahun 4 Bulan 5 Hari</v>
      </c>
      <c r="CM20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Kp.Cipeundeuy RT/RW 02/02 Desa/Kelurahan Cipeundeuy Kecamatan Padalarang Bandung Barat Jawa Barat 40553</v>
      </c>
    </row>
    <row r="206" spans="1:91" ht="24.95" customHeight="1">
      <c r="A206" s="58">
        <f>SUBTOTAL(3,N$8:Table2[[#This Row],[Nama lengkap]])</f>
        <v>199</v>
      </c>
      <c r="B206" s="58" t="s">
        <v>86</v>
      </c>
      <c r="C206" s="58">
        <v>2021</v>
      </c>
      <c r="D206" s="58"/>
      <c r="E206" s="58">
        <v>4</v>
      </c>
      <c r="F206" s="58" t="s">
        <v>2512</v>
      </c>
      <c r="G206" s="32" t="s">
        <v>2513</v>
      </c>
      <c r="H206" s="32" t="s">
        <v>2513</v>
      </c>
      <c r="I206" s="32" t="s">
        <v>2513</v>
      </c>
      <c r="J206" s="32"/>
      <c r="K206" s="32"/>
      <c r="L206" s="32"/>
      <c r="M206" s="64">
        <v>21220083</v>
      </c>
      <c r="N206" s="24" t="s">
        <v>8799</v>
      </c>
      <c r="O206" s="24"/>
      <c r="P206" s="25" t="s">
        <v>2524</v>
      </c>
      <c r="Q206" s="25" t="s">
        <v>2525</v>
      </c>
      <c r="R206" s="60" t="s">
        <v>90</v>
      </c>
      <c r="S206" s="61" t="s">
        <v>2526</v>
      </c>
      <c r="T206" s="47" t="s">
        <v>92</v>
      </c>
      <c r="U206" s="47">
        <v>2</v>
      </c>
      <c r="V206" s="47">
        <v>2</v>
      </c>
      <c r="W206" s="47" t="s">
        <v>207</v>
      </c>
      <c r="X206" s="59" t="s">
        <v>984</v>
      </c>
      <c r="Y206" s="59" t="s">
        <v>1012</v>
      </c>
      <c r="Z206" s="59" t="s">
        <v>1093</v>
      </c>
      <c r="AA206" s="59" t="s">
        <v>96</v>
      </c>
      <c r="AB206" s="59" t="s">
        <v>689</v>
      </c>
      <c r="AC206" s="59" t="s">
        <v>208</v>
      </c>
      <c r="AD206" s="59" t="s">
        <v>208</v>
      </c>
      <c r="AE206" s="60" t="s">
        <v>2527</v>
      </c>
      <c r="AF206" s="60" t="s">
        <v>8459</v>
      </c>
      <c r="AG206" s="59" t="s">
        <v>8459</v>
      </c>
      <c r="AH206" s="59" t="s">
        <v>1153</v>
      </c>
      <c r="AI206" s="59" t="s">
        <v>90</v>
      </c>
      <c r="AJ206" s="61" t="s">
        <v>2528</v>
      </c>
      <c r="AK206" s="60" t="s">
        <v>2529</v>
      </c>
      <c r="AL206" s="60" t="s">
        <v>602</v>
      </c>
      <c r="AM206" s="59" t="s">
        <v>2530</v>
      </c>
      <c r="AN206" s="60" t="s">
        <v>2531</v>
      </c>
      <c r="AO206" s="60"/>
      <c r="AP206" s="59" t="s">
        <v>1911</v>
      </c>
      <c r="AQ206" s="25" t="s">
        <v>2532</v>
      </c>
      <c r="AR206" s="60" t="s">
        <v>1912</v>
      </c>
      <c r="AS206" s="59" t="s">
        <v>1913</v>
      </c>
      <c r="AT206" s="59" t="s">
        <v>141</v>
      </c>
      <c r="AU206" s="59" t="s">
        <v>111</v>
      </c>
      <c r="AV206" s="62">
        <v>40971</v>
      </c>
      <c r="AW206" s="59" t="s">
        <v>7968</v>
      </c>
      <c r="AX206" s="59" t="s">
        <v>1153</v>
      </c>
      <c r="AY206" s="59" t="s">
        <v>90</v>
      </c>
      <c r="AZ206" s="126">
        <v>29404</v>
      </c>
      <c r="BA206" s="60" t="s">
        <v>2533</v>
      </c>
      <c r="BB206" s="60" t="s">
        <v>845</v>
      </c>
      <c r="BC206" s="59" t="s">
        <v>1820</v>
      </c>
      <c r="BD206" s="60" t="s">
        <v>2534</v>
      </c>
      <c r="BE206" s="60"/>
      <c r="BF206" s="60"/>
      <c r="BG206" s="59" t="s">
        <v>2535</v>
      </c>
      <c r="BH206" s="60" t="s">
        <v>1048</v>
      </c>
      <c r="BI206" s="60" t="s">
        <v>2341</v>
      </c>
      <c r="BJ206" s="24" t="s">
        <v>1888</v>
      </c>
      <c r="BK206" s="59" t="s">
        <v>141</v>
      </c>
      <c r="BL206" s="59" t="s">
        <v>156</v>
      </c>
      <c r="BM206" s="24">
        <v>40971</v>
      </c>
      <c r="BN206" s="24"/>
      <c r="BO206" s="59"/>
      <c r="BP206" s="59"/>
      <c r="BQ206" s="77"/>
      <c r="BR206" s="60"/>
      <c r="BS206" s="60"/>
      <c r="BT206" s="59"/>
      <c r="BU206" s="60"/>
      <c r="BV206" s="60"/>
      <c r="BW206" s="59"/>
      <c r="BX206" s="60"/>
      <c r="BY206" s="60"/>
      <c r="BZ206" s="59"/>
      <c r="CA206" s="59"/>
      <c r="CB206" s="59"/>
      <c r="CC206" s="59"/>
      <c r="CD206" s="59"/>
      <c r="CE206" s="59" t="s">
        <v>7448</v>
      </c>
      <c r="CF206" s="60" t="s">
        <v>2532</v>
      </c>
      <c r="CG206" s="59" t="s">
        <v>7121</v>
      </c>
      <c r="CH206" s="59" t="s">
        <v>110</v>
      </c>
      <c r="CI206" s="59" t="s">
        <v>90</v>
      </c>
      <c r="CJ206" s="59" t="s">
        <v>111</v>
      </c>
      <c r="CK206" s="47">
        <v>40971</v>
      </c>
      <c r="CL206" s="64" t="str">
        <f t="shared" ca="1" si="3"/>
        <v>16 Tahun 10 Bulan 10 Hari</v>
      </c>
      <c r="CM20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Kp.Pangauban RT/RW 04/11 Desa/Kelurahan Pangauban Kecamatan Katapang Bandung Jawa Barat 40971</v>
      </c>
    </row>
    <row r="207" spans="1:91" ht="24.95" customHeight="1">
      <c r="A207" s="58">
        <f>SUBTOTAL(3,N$8:Table2[[#This Row],[Nama lengkap]])</f>
        <v>200</v>
      </c>
      <c r="B207" s="58" t="s">
        <v>86</v>
      </c>
      <c r="C207" s="58">
        <v>2021</v>
      </c>
      <c r="D207" s="58"/>
      <c r="E207" s="58">
        <v>4</v>
      </c>
      <c r="F207" s="58" t="s">
        <v>2512</v>
      </c>
      <c r="G207" s="32" t="s">
        <v>2513</v>
      </c>
      <c r="H207" s="32" t="s">
        <v>2513</v>
      </c>
      <c r="I207" s="32" t="s">
        <v>2513</v>
      </c>
      <c r="J207" s="32"/>
      <c r="K207" s="32"/>
      <c r="L207" s="32"/>
      <c r="M207" s="64">
        <v>21220103</v>
      </c>
      <c r="N207" s="24" t="s">
        <v>8800</v>
      </c>
      <c r="O207" s="24"/>
      <c r="P207" s="25" t="s">
        <v>2537</v>
      </c>
      <c r="Q207" s="25" t="s">
        <v>2538</v>
      </c>
      <c r="R207" s="60" t="s">
        <v>90</v>
      </c>
      <c r="S207" s="61" t="s">
        <v>2539</v>
      </c>
      <c r="T207" s="47" t="s">
        <v>92</v>
      </c>
      <c r="U207" s="47">
        <v>3</v>
      </c>
      <c r="V207" s="47">
        <v>2</v>
      </c>
      <c r="W207" s="47" t="s">
        <v>207</v>
      </c>
      <c r="X207" s="59" t="s">
        <v>984</v>
      </c>
      <c r="Y207" s="59" t="s">
        <v>1012</v>
      </c>
      <c r="Z207" s="59" t="s">
        <v>1985</v>
      </c>
      <c r="AA207" s="59" t="s">
        <v>1141</v>
      </c>
      <c r="AB207" s="59" t="s">
        <v>1151</v>
      </c>
      <c r="AC207" s="59" t="s">
        <v>208</v>
      </c>
      <c r="AD207" s="59" t="s">
        <v>208</v>
      </c>
      <c r="AE207" s="60" t="s">
        <v>2540</v>
      </c>
      <c r="AF207" s="60" t="s">
        <v>7969</v>
      </c>
      <c r="AG207" s="59" t="s">
        <v>8460</v>
      </c>
      <c r="AH207" s="59" t="s">
        <v>2222</v>
      </c>
      <c r="AI207" s="59"/>
      <c r="AJ207" s="61"/>
      <c r="AK207" s="60"/>
      <c r="AL207" s="60"/>
      <c r="AM207" s="59"/>
      <c r="AN207" s="60"/>
      <c r="AO207" s="60"/>
      <c r="AP207" s="59"/>
      <c r="AQ207" s="25"/>
      <c r="AR207" s="60"/>
      <c r="AS207" s="59"/>
      <c r="AT207" s="59"/>
      <c r="AU207" s="59" t="s">
        <v>111</v>
      </c>
      <c r="AV207" s="62"/>
      <c r="AW207" s="59" t="s">
        <v>7969</v>
      </c>
      <c r="AX207" s="59" t="s">
        <v>2222</v>
      </c>
      <c r="AY207" s="59" t="s">
        <v>90</v>
      </c>
      <c r="AZ207" s="126" t="s">
        <v>2541</v>
      </c>
      <c r="BA207" s="60" t="s">
        <v>2542</v>
      </c>
      <c r="BB207" s="60" t="s">
        <v>845</v>
      </c>
      <c r="BC207" s="59" t="s">
        <v>800</v>
      </c>
      <c r="BD207" s="60" t="s">
        <v>2543</v>
      </c>
      <c r="BE207" s="60"/>
      <c r="BF207" s="60"/>
      <c r="BG207" s="59" t="s">
        <v>2544</v>
      </c>
      <c r="BH207" s="60" t="s">
        <v>2545</v>
      </c>
      <c r="BI207" s="60" t="s">
        <v>2546</v>
      </c>
      <c r="BJ207" s="24" t="s">
        <v>1063</v>
      </c>
      <c r="BK207" s="59" t="s">
        <v>141</v>
      </c>
      <c r="BL207" s="59" t="s">
        <v>156</v>
      </c>
      <c r="BM207" s="24">
        <v>40394</v>
      </c>
      <c r="BN207" s="24"/>
      <c r="BO207" s="59"/>
      <c r="BP207" s="59"/>
      <c r="BQ207" s="77"/>
      <c r="BR207" s="60"/>
      <c r="BS207" s="60"/>
      <c r="BT207" s="59"/>
      <c r="BU207" s="60"/>
      <c r="BV207" s="60"/>
      <c r="BW207" s="59"/>
      <c r="BX207" s="60"/>
      <c r="BY207" s="60"/>
      <c r="BZ207" s="59"/>
      <c r="CA207" s="59"/>
      <c r="CB207" s="59"/>
      <c r="CC207" s="59"/>
      <c r="CD207" s="59"/>
      <c r="CE207" s="59" t="s">
        <v>7499</v>
      </c>
      <c r="CF207" s="60" t="s">
        <v>2545</v>
      </c>
      <c r="CG207" s="59" t="s">
        <v>294</v>
      </c>
      <c r="CH207" s="59" t="s">
        <v>295</v>
      </c>
      <c r="CI207" s="59" t="s">
        <v>90</v>
      </c>
      <c r="CJ207" s="59" t="s">
        <v>111</v>
      </c>
      <c r="CK207" s="47">
        <v>40394</v>
      </c>
      <c r="CL207" s="64" t="str">
        <f t="shared" ca="1" si="3"/>
        <v>20 Tahun 3 Bulan 12 Hari</v>
      </c>
      <c r="CM20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Kamboja No 27 RT/RW 04/17 Desa/Kelurahan Rancaekek Kencana Kecamatan Rancaekek Bandung Jawa Barat 40394</v>
      </c>
    </row>
    <row r="208" spans="1:91" ht="24.95" customHeight="1">
      <c r="A208" s="58">
        <f>SUBTOTAL(3,N$8:Table2[[#This Row],[Nama lengkap]])</f>
        <v>201</v>
      </c>
      <c r="B208" s="58" t="s">
        <v>86</v>
      </c>
      <c r="C208" s="58">
        <v>2021</v>
      </c>
      <c r="D208" s="58"/>
      <c r="E208" s="58">
        <v>4</v>
      </c>
      <c r="F208" s="58" t="s">
        <v>2512</v>
      </c>
      <c r="G208" s="32" t="s">
        <v>2513</v>
      </c>
      <c r="H208" s="32" t="s">
        <v>2513</v>
      </c>
      <c r="I208" s="32" t="s">
        <v>2513</v>
      </c>
      <c r="J208" s="32"/>
      <c r="K208" s="32"/>
      <c r="L208" s="32"/>
      <c r="M208" s="64">
        <v>21220135</v>
      </c>
      <c r="N208" s="24" t="s">
        <v>8801</v>
      </c>
      <c r="O208" s="24"/>
      <c r="P208" s="25" t="s">
        <v>2547</v>
      </c>
      <c r="Q208" s="25" t="s">
        <v>2548</v>
      </c>
      <c r="R208" s="60" t="s">
        <v>90</v>
      </c>
      <c r="S208" s="61" t="s">
        <v>2549</v>
      </c>
      <c r="T208" s="47" t="s">
        <v>92</v>
      </c>
      <c r="U208" s="47">
        <v>2</v>
      </c>
      <c r="V208" s="47">
        <v>1</v>
      </c>
      <c r="W208" s="47" t="s">
        <v>207</v>
      </c>
      <c r="X208" s="59" t="s">
        <v>984</v>
      </c>
      <c r="Y208" s="59" t="s">
        <v>984</v>
      </c>
      <c r="Z208" s="59" t="s">
        <v>984</v>
      </c>
      <c r="AA208" s="59" t="s">
        <v>1141</v>
      </c>
      <c r="AB208" s="59" t="s">
        <v>689</v>
      </c>
      <c r="AC208" s="59" t="s">
        <v>208</v>
      </c>
      <c r="AD208" s="59" t="s">
        <v>208</v>
      </c>
      <c r="AE208" s="60" t="s">
        <v>2550</v>
      </c>
      <c r="AF208" s="60" t="s">
        <v>8461</v>
      </c>
      <c r="AG208" s="59" t="s">
        <v>8461</v>
      </c>
      <c r="AH208" s="59" t="s">
        <v>691</v>
      </c>
      <c r="AI208" s="59" t="s">
        <v>90</v>
      </c>
      <c r="AJ208" s="61" t="s">
        <v>2551</v>
      </c>
      <c r="AK208" s="60" t="s">
        <v>2552</v>
      </c>
      <c r="AL208" s="60" t="s">
        <v>8255</v>
      </c>
      <c r="AM208" s="59" t="s">
        <v>800</v>
      </c>
      <c r="AN208" s="60" t="s">
        <v>2553</v>
      </c>
      <c r="AO208" s="60"/>
      <c r="AP208" s="59" t="s">
        <v>2554</v>
      </c>
      <c r="AQ208" s="25" t="s">
        <v>1122</v>
      </c>
      <c r="AR208" s="60" t="s">
        <v>1346</v>
      </c>
      <c r="AS208" s="59" t="s">
        <v>1347</v>
      </c>
      <c r="AT208" s="59" t="s">
        <v>982</v>
      </c>
      <c r="AU208" s="59" t="s">
        <v>111</v>
      </c>
      <c r="AV208" s="62">
        <v>40377</v>
      </c>
      <c r="AW208" s="59" t="s">
        <v>7970</v>
      </c>
      <c r="AX208" s="59" t="s">
        <v>691</v>
      </c>
      <c r="AY208" s="59" t="s">
        <v>90</v>
      </c>
      <c r="AZ208" s="126" t="s">
        <v>2555</v>
      </c>
      <c r="BA208" s="60" t="s">
        <v>2556</v>
      </c>
      <c r="BB208" s="60" t="s">
        <v>845</v>
      </c>
      <c r="BC208" s="59" t="s">
        <v>2557</v>
      </c>
      <c r="BD208" s="60" t="s">
        <v>2553</v>
      </c>
      <c r="BE208" s="60"/>
      <c r="BF208" s="60"/>
      <c r="BG208" s="59" t="s">
        <v>2554</v>
      </c>
      <c r="BH208" s="60" t="s">
        <v>1122</v>
      </c>
      <c r="BI208" s="60" t="s">
        <v>1346</v>
      </c>
      <c r="BJ208" s="24" t="s">
        <v>1347</v>
      </c>
      <c r="BK208" s="59" t="s">
        <v>982</v>
      </c>
      <c r="BL208" s="59" t="s">
        <v>1938</v>
      </c>
      <c r="BM208" s="24">
        <v>40513</v>
      </c>
      <c r="BN208" s="24"/>
      <c r="BO208" s="59"/>
      <c r="BP208" s="59"/>
      <c r="BQ208" s="77"/>
      <c r="BR208" s="60"/>
      <c r="BS208" s="60"/>
      <c r="BT208" s="59"/>
      <c r="BU208" s="60"/>
      <c r="BV208" s="60"/>
      <c r="BW208" s="59"/>
      <c r="BX208" s="60"/>
      <c r="BY208" s="60"/>
      <c r="BZ208" s="59"/>
      <c r="CA208" s="59"/>
      <c r="CB208" s="59"/>
      <c r="CC208" s="59"/>
      <c r="CD208" s="59"/>
      <c r="CE208" s="59" t="s">
        <v>7500</v>
      </c>
      <c r="CF208" s="60" t="s">
        <v>1122</v>
      </c>
      <c r="CG208" s="59" t="s">
        <v>6934</v>
      </c>
      <c r="CH208" s="59" t="s">
        <v>6463</v>
      </c>
      <c r="CI208" s="59" t="s">
        <v>7129</v>
      </c>
      <c r="CJ208" s="59" t="s">
        <v>111</v>
      </c>
      <c r="CK208" s="47">
        <v>40377</v>
      </c>
      <c r="CL208" s="64" t="str">
        <f t="shared" ca="1" si="3"/>
        <v>20 Tahun 6 Bulan 12 Hari</v>
      </c>
      <c r="CM20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Kp.Tenjolaya RT/RW 03/07 Desa/Kelurahan Ciluncat Kecamatan Cangkuang Bandung  Jawa Barat 40377</v>
      </c>
    </row>
    <row r="209" spans="1:91" ht="24.95" customHeight="1">
      <c r="A209" s="58">
        <f>SUBTOTAL(3,N$8:Table2[[#This Row],[Nama lengkap]])</f>
        <v>202</v>
      </c>
      <c r="B209" s="58" t="s">
        <v>86</v>
      </c>
      <c r="C209" s="58">
        <v>2020</v>
      </c>
      <c r="D209" s="58"/>
      <c r="E209" s="58">
        <v>4</v>
      </c>
      <c r="F209" s="58" t="s">
        <v>2512</v>
      </c>
      <c r="G209" s="32" t="s">
        <v>2513</v>
      </c>
      <c r="H209" s="32" t="s">
        <v>2513</v>
      </c>
      <c r="I209" s="32" t="s">
        <v>2513</v>
      </c>
      <c r="J209" s="32"/>
      <c r="K209" s="32"/>
      <c r="L209" s="32"/>
      <c r="M209" s="64">
        <v>20210146</v>
      </c>
      <c r="N209" s="24" t="s">
        <v>8802</v>
      </c>
      <c r="O209" s="24"/>
      <c r="P209" s="25" t="s">
        <v>2559</v>
      </c>
      <c r="Q209" s="25" t="s">
        <v>2560</v>
      </c>
      <c r="R209" s="60" t="s">
        <v>456</v>
      </c>
      <c r="S209" s="61" t="s">
        <v>2561</v>
      </c>
      <c r="T209" s="47" t="s">
        <v>92</v>
      </c>
      <c r="U209" s="47">
        <v>2</v>
      </c>
      <c r="V209" s="47">
        <v>2</v>
      </c>
      <c r="W209" s="47" t="s">
        <v>207</v>
      </c>
      <c r="X209" s="59"/>
      <c r="Y209" s="59" t="s">
        <v>1247</v>
      </c>
      <c r="Z209" s="59" t="s">
        <v>2562</v>
      </c>
      <c r="AA209" s="59" t="s">
        <v>96</v>
      </c>
      <c r="AB209" s="59" t="s">
        <v>689</v>
      </c>
      <c r="AC209" s="59" t="s">
        <v>208</v>
      </c>
      <c r="AD209" s="59" t="s">
        <v>208</v>
      </c>
      <c r="AE209" s="60" t="s">
        <v>2563</v>
      </c>
      <c r="AF209" s="60" t="s">
        <v>8462</v>
      </c>
      <c r="AG209" s="59" t="s">
        <v>8462</v>
      </c>
      <c r="AH209" s="59" t="s">
        <v>691</v>
      </c>
      <c r="AI209" s="59" t="s">
        <v>623</v>
      </c>
      <c r="AJ209" s="61" t="s">
        <v>2564</v>
      </c>
      <c r="AK209" s="60" t="s">
        <v>2565</v>
      </c>
      <c r="AL209" s="60" t="s">
        <v>8255</v>
      </c>
      <c r="AM209" s="59" t="s">
        <v>693</v>
      </c>
      <c r="AN209" s="60" t="s">
        <v>2566</v>
      </c>
      <c r="AO209" s="60"/>
      <c r="AP209" s="59" t="s">
        <v>2567</v>
      </c>
      <c r="AQ209" s="25" t="s">
        <v>667</v>
      </c>
      <c r="AR209" s="60" t="s">
        <v>2568</v>
      </c>
      <c r="AS209" s="59" t="s">
        <v>2149</v>
      </c>
      <c r="AT209" s="59" t="s">
        <v>1177</v>
      </c>
      <c r="AU209" s="59" t="s">
        <v>111</v>
      </c>
      <c r="AV209" s="62">
        <v>40533</v>
      </c>
      <c r="AW209" s="59" t="s">
        <v>7971</v>
      </c>
      <c r="AX209" s="59" t="s">
        <v>691</v>
      </c>
      <c r="AY209" s="59" t="s">
        <v>456</v>
      </c>
      <c r="AZ209" s="126" t="s">
        <v>2569</v>
      </c>
      <c r="BA209" s="60" t="s">
        <v>2570</v>
      </c>
      <c r="BB209" s="60" t="s">
        <v>845</v>
      </c>
      <c r="BC209" s="59" t="s">
        <v>700</v>
      </c>
      <c r="BD209" s="60" t="s">
        <v>2566</v>
      </c>
      <c r="BE209" s="60"/>
      <c r="BF209" s="60"/>
      <c r="BG209" s="59" t="s">
        <v>2567</v>
      </c>
      <c r="BH209" s="60" t="s">
        <v>667</v>
      </c>
      <c r="BI209" s="60" t="s">
        <v>2568</v>
      </c>
      <c r="BJ209" s="24" t="s">
        <v>2149</v>
      </c>
      <c r="BK209" s="59" t="s">
        <v>1177</v>
      </c>
      <c r="BL209" s="59" t="s">
        <v>156</v>
      </c>
      <c r="BM209" s="24">
        <v>40533</v>
      </c>
      <c r="BN209" s="24"/>
      <c r="BO209" s="59" t="s">
        <v>719</v>
      </c>
      <c r="BP209" s="59"/>
      <c r="BQ209" s="77"/>
      <c r="BR209" s="60"/>
      <c r="BS209" s="60"/>
      <c r="BT209" s="59"/>
      <c r="BU209" s="60"/>
      <c r="BV209" s="60"/>
      <c r="BW209" s="59"/>
      <c r="BX209" s="60"/>
      <c r="BY209" s="60"/>
      <c r="BZ209" s="59"/>
      <c r="CA209" s="59"/>
      <c r="CB209" s="59"/>
      <c r="CC209" s="59"/>
      <c r="CD209" s="59"/>
      <c r="CE209" s="59" t="s">
        <v>7501</v>
      </c>
      <c r="CF209" s="60" t="s">
        <v>667</v>
      </c>
      <c r="CG209" s="59" t="s">
        <v>7181</v>
      </c>
      <c r="CH209" s="59" t="s">
        <v>6859</v>
      </c>
      <c r="CI209" s="59" t="s">
        <v>6358</v>
      </c>
      <c r="CJ209" s="59" t="s">
        <v>111</v>
      </c>
      <c r="CK209" s="47">
        <v>40533</v>
      </c>
      <c r="CL209" s="64" t="str">
        <f t="shared" ca="1" si="3"/>
        <v>18 Tahun 1 Bulan 28 Hari</v>
      </c>
      <c r="CM20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Kamp Hujung Kulon RT/RW 04/05 Desa/Kelurahan Utama Kecamatan Cimahi Selatan Kota Cimahi Jawa Barat 40533</v>
      </c>
    </row>
    <row r="210" spans="1:91" ht="24.95" customHeight="1">
      <c r="A210" s="58">
        <f>SUBTOTAL(3,N$8:Table2[[#This Row],[Nama lengkap]])</f>
        <v>203</v>
      </c>
      <c r="B210" s="58" t="s">
        <v>86</v>
      </c>
      <c r="C210" s="58">
        <v>2020</v>
      </c>
      <c r="D210" s="58"/>
      <c r="E210" s="58">
        <v>4</v>
      </c>
      <c r="F210" s="58" t="s">
        <v>2512</v>
      </c>
      <c r="G210" s="32" t="s">
        <v>2513</v>
      </c>
      <c r="H210" s="32" t="s">
        <v>2513</v>
      </c>
      <c r="I210" s="32" t="s">
        <v>2513</v>
      </c>
      <c r="J210" s="32"/>
      <c r="K210" s="32"/>
      <c r="L210" s="32"/>
      <c r="M210" s="58">
        <v>20210130</v>
      </c>
      <c r="N210" s="24" t="s">
        <v>6006</v>
      </c>
      <c r="O210" s="24"/>
      <c r="P210" s="25" t="s">
        <v>2571</v>
      </c>
      <c r="Q210" s="25" t="s">
        <v>2572</v>
      </c>
      <c r="R210" s="60" t="s">
        <v>90</v>
      </c>
      <c r="S210" s="61" t="s">
        <v>2573</v>
      </c>
      <c r="T210" s="47" t="s">
        <v>92</v>
      </c>
      <c r="U210" s="47">
        <v>3</v>
      </c>
      <c r="V210" s="47">
        <v>3</v>
      </c>
      <c r="W210" s="47" t="s">
        <v>207</v>
      </c>
      <c r="X210" s="59"/>
      <c r="Y210" s="59" t="s">
        <v>793</v>
      </c>
      <c r="Z210" s="59" t="s">
        <v>2574</v>
      </c>
      <c r="AA210" s="59" t="s">
        <v>96</v>
      </c>
      <c r="AB210" s="59" t="s">
        <v>689</v>
      </c>
      <c r="AC210" s="59" t="s">
        <v>208</v>
      </c>
      <c r="AD210" s="59" t="s">
        <v>208</v>
      </c>
      <c r="AE210" s="60" t="s">
        <v>2575</v>
      </c>
      <c r="AF210" s="60" t="s">
        <v>8463</v>
      </c>
      <c r="AG210" s="59" t="s">
        <v>8463</v>
      </c>
      <c r="AH210" s="59" t="s">
        <v>691</v>
      </c>
      <c r="AI210" s="59" t="s">
        <v>90</v>
      </c>
      <c r="AJ210" s="61">
        <v>23996</v>
      </c>
      <c r="AK210" s="60" t="s">
        <v>2576</v>
      </c>
      <c r="AL210" s="60" t="s">
        <v>8255</v>
      </c>
      <c r="AM210" s="59" t="s">
        <v>800</v>
      </c>
      <c r="AN210" s="60"/>
      <c r="AO210" s="60"/>
      <c r="AP210" s="59" t="s">
        <v>2577</v>
      </c>
      <c r="AQ210" s="25" t="s">
        <v>2578</v>
      </c>
      <c r="AR210" s="60" t="s">
        <v>2579</v>
      </c>
      <c r="AS210" s="59" t="s">
        <v>1731</v>
      </c>
      <c r="AT210" s="59" t="s">
        <v>1165</v>
      </c>
      <c r="AU210" s="59" t="s">
        <v>111</v>
      </c>
      <c r="AV210" s="62">
        <v>40513</v>
      </c>
      <c r="AW210" s="59" t="s">
        <v>7972</v>
      </c>
      <c r="AX210" s="59" t="s">
        <v>691</v>
      </c>
      <c r="AY210" s="59" t="s">
        <v>90</v>
      </c>
      <c r="AZ210" s="126" t="s">
        <v>2580</v>
      </c>
      <c r="BA210" s="60" t="s">
        <v>2581</v>
      </c>
      <c r="BB210" s="60" t="s">
        <v>845</v>
      </c>
      <c r="BC210" s="59" t="s">
        <v>800</v>
      </c>
      <c r="BD210" s="60"/>
      <c r="BE210" s="60"/>
      <c r="BF210" s="60"/>
      <c r="BG210" s="59" t="s">
        <v>2582</v>
      </c>
      <c r="BH210" s="60" t="s">
        <v>2578</v>
      </c>
      <c r="BI210" s="60" t="s">
        <v>2579</v>
      </c>
      <c r="BJ210" s="24" t="s">
        <v>1731</v>
      </c>
      <c r="BK210" s="59" t="s">
        <v>1165</v>
      </c>
      <c r="BL210" s="59" t="s">
        <v>156</v>
      </c>
      <c r="BM210" s="24">
        <v>40164</v>
      </c>
      <c r="BN210" s="24"/>
      <c r="BO210" s="59"/>
      <c r="BP210" s="59"/>
      <c r="BQ210" s="77"/>
      <c r="BR210" s="60"/>
      <c r="BS210" s="60"/>
      <c r="BT210" s="59"/>
      <c r="BU210" s="60"/>
      <c r="BV210" s="60"/>
      <c r="BW210" s="59"/>
      <c r="BX210" s="60"/>
      <c r="BY210" s="60"/>
      <c r="BZ210" s="59"/>
      <c r="CA210" s="59"/>
      <c r="CB210" s="59"/>
      <c r="CC210" s="59"/>
      <c r="CD210" s="59"/>
      <c r="CE210" s="59" t="s">
        <v>7502</v>
      </c>
      <c r="CF210" s="60" t="s">
        <v>2578</v>
      </c>
      <c r="CG210" s="59" t="s">
        <v>7182</v>
      </c>
      <c r="CH210" s="59" t="s">
        <v>6812</v>
      </c>
      <c r="CI210" s="59" t="s">
        <v>456</v>
      </c>
      <c r="CJ210" s="59" t="s">
        <v>111</v>
      </c>
      <c r="CK210" s="47">
        <v>40513</v>
      </c>
      <c r="CL210" s="64" t="str">
        <f t="shared" ca="1" si="3"/>
        <v>18 Tahun 1 Bulan 1 Hari</v>
      </c>
      <c r="CM21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Jl.Cihanjuang Blok B No 188 RT/RW 05/20 Desa/Kelurahan Cibabat Kecamatan Cimahi Utara Cimahi Jawa Barat 40513</v>
      </c>
    </row>
    <row r="211" spans="1:91" ht="24.95" customHeight="1">
      <c r="A211" s="58">
        <f>SUBTOTAL(3,N$8:Table2[[#This Row],[Nama lengkap]])</f>
        <v>204</v>
      </c>
      <c r="B211" s="58" t="s">
        <v>86</v>
      </c>
      <c r="C211" s="58">
        <v>2020</v>
      </c>
      <c r="D211" s="58"/>
      <c r="E211" s="58">
        <v>4</v>
      </c>
      <c r="F211" s="58" t="s">
        <v>2512</v>
      </c>
      <c r="G211" s="32" t="s">
        <v>2513</v>
      </c>
      <c r="H211" s="32" t="s">
        <v>2513</v>
      </c>
      <c r="I211" s="32" t="s">
        <v>2513</v>
      </c>
      <c r="J211" s="32"/>
      <c r="K211" s="32"/>
      <c r="L211" s="32"/>
      <c r="M211" s="58">
        <v>20210212</v>
      </c>
      <c r="N211" s="24" t="s">
        <v>6007</v>
      </c>
      <c r="O211" s="24"/>
      <c r="P211" s="25" t="s">
        <v>2584</v>
      </c>
      <c r="Q211" s="25" t="s">
        <v>2585</v>
      </c>
      <c r="R211" s="60" t="s">
        <v>90</v>
      </c>
      <c r="S211" s="61" t="s">
        <v>2586</v>
      </c>
      <c r="T211" s="47" t="s">
        <v>92</v>
      </c>
      <c r="U211" s="47">
        <v>1</v>
      </c>
      <c r="V211" s="47">
        <v>1</v>
      </c>
      <c r="W211" s="47" t="s">
        <v>207</v>
      </c>
      <c r="X211" s="59"/>
      <c r="Y211" s="59" t="s">
        <v>793</v>
      </c>
      <c r="Z211" s="59" t="s">
        <v>2587</v>
      </c>
      <c r="AA211" s="59" t="s">
        <v>96</v>
      </c>
      <c r="AB211" s="59" t="s">
        <v>689</v>
      </c>
      <c r="AC211" s="59" t="s">
        <v>208</v>
      </c>
      <c r="AD211" s="59" t="s">
        <v>208</v>
      </c>
      <c r="AE211" s="60" t="s">
        <v>2588</v>
      </c>
      <c r="AF211" s="60" t="s">
        <v>8464</v>
      </c>
      <c r="AG211" s="59" t="s">
        <v>8464</v>
      </c>
      <c r="AH211" s="59" t="s">
        <v>691</v>
      </c>
      <c r="AI211" s="59" t="s">
        <v>8282</v>
      </c>
      <c r="AJ211" s="61" t="s">
        <v>2589</v>
      </c>
      <c r="AK211" s="60"/>
      <c r="AL211" s="60" t="s">
        <v>8255</v>
      </c>
      <c r="AM211" s="59" t="s">
        <v>800</v>
      </c>
      <c r="AN211" s="60"/>
      <c r="AO211" s="60"/>
      <c r="AP211" s="59" t="s">
        <v>2059</v>
      </c>
      <c r="AQ211" s="25" t="s">
        <v>2590</v>
      </c>
      <c r="AR211" s="60" t="s">
        <v>2060</v>
      </c>
      <c r="AS211" s="59" t="s">
        <v>1019</v>
      </c>
      <c r="AT211" s="59" t="s">
        <v>141</v>
      </c>
      <c r="AU211" s="59" t="s">
        <v>111</v>
      </c>
      <c r="AV211" s="62">
        <v>40951</v>
      </c>
      <c r="AW211" s="59" t="s">
        <v>7973</v>
      </c>
      <c r="AX211" s="59" t="s">
        <v>691</v>
      </c>
      <c r="AY211" s="59" t="s">
        <v>90</v>
      </c>
      <c r="AZ211" s="126" t="s">
        <v>2591</v>
      </c>
      <c r="BA211" s="60"/>
      <c r="BB211" s="60" t="s">
        <v>845</v>
      </c>
      <c r="BC211" s="59" t="s">
        <v>800</v>
      </c>
      <c r="BD211" s="60"/>
      <c r="BE211" s="60"/>
      <c r="BF211" s="60"/>
      <c r="BG211" s="59" t="s">
        <v>2062</v>
      </c>
      <c r="BH211" s="60" t="s">
        <v>2590</v>
      </c>
      <c r="BI211" s="60" t="s">
        <v>2060</v>
      </c>
      <c r="BJ211" s="24" t="s">
        <v>1019</v>
      </c>
      <c r="BK211" s="59" t="s">
        <v>141</v>
      </c>
      <c r="BL211" s="59" t="s">
        <v>156</v>
      </c>
      <c r="BM211" s="24">
        <v>45362</v>
      </c>
      <c r="BN211" s="24"/>
      <c r="BO211" s="59"/>
      <c r="BP211" s="59"/>
      <c r="BQ211" s="77"/>
      <c r="BR211" s="60"/>
      <c r="BS211" s="60"/>
      <c r="BT211" s="59"/>
      <c r="BU211" s="60"/>
      <c r="BV211" s="60"/>
      <c r="BW211" s="59"/>
      <c r="BX211" s="60"/>
      <c r="BY211" s="60"/>
      <c r="BZ211" s="59"/>
      <c r="CA211" s="59"/>
      <c r="CB211" s="59"/>
      <c r="CC211" s="59"/>
      <c r="CD211" s="59"/>
      <c r="CE211" s="59" t="s">
        <v>7459</v>
      </c>
      <c r="CF211" s="60" t="s">
        <v>2590</v>
      </c>
      <c r="CG211" s="59" t="s">
        <v>7134</v>
      </c>
      <c r="CH211" s="59" t="s">
        <v>6967</v>
      </c>
      <c r="CI211" s="59" t="s">
        <v>90</v>
      </c>
      <c r="CJ211" s="59" t="s">
        <v>111</v>
      </c>
      <c r="CK211" s="47">
        <v>40951</v>
      </c>
      <c r="CL211" s="64" t="str">
        <f t="shared" ca="1" si="3"/>
        <v>18 Tahun 4 Bulan 25 Hari</v>
      </c>
      <c r="CM21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Kmp.Bojong Nangka RT/RW 04/12 Desa/Kelurahan Kopo Kecamatan Kutawaringin Bandung Jawa Barat 40951</v>
      </c>
    </row>
    <row r="212" spans="1:91" ht="24.95" customHeight="1">
      <c r="A212" s="58">
        <f>SUBTOTAL(3,N$8:Table2[[#This Row],[Nama lengkap]])</f>
        <v>205</v>
      </c>
      <c r="B212" s="58" t="s">
        <v>86</v>
      </c>
      <c r="C212" s="58">
        <v>2020</v>
      </c>
      <c r="D212" s="58"/>
      <c r="E212" s="58">
        <v>4</v>
      </c>
      <c r="F212" s="58" t="s">
        <v>2512</v>
      </c>
      <c r="G212" s="32" t="s">
        <v>2513</v>
      </c>
      <c r="H212" s="32" t="s">
        <v>2513</v>
      </c>
      <c r="I212" s="32" t="s">
        <v>2513</v>
      </c>
      <c r="J212" s="32"/>
      <c r="K212" s="32"/>
      <c r="L212" s="32"/>
      <c r="M212" s="58">
        <v>20210134</v>
      </c>
      <c r="N212" s="24" t="s">
        <v>8803</v>
      </c>
      <c r="O212" s="24"/>
      <c r="P212" s="25" t="s">
        <v>2592</v>
      </c>
      <c r="Q212" s="25" t="s">
        <v>2593</v>
      </c>
      <c r="R212" s="60" t="s">
        <v>90</v>
      </c>
      <c r="S212" s="61" t="s">
        <v>2594</v>
      </c>
      <c r="T212" s="47" t="s">
        <v>92</v>
      </c>
      <c r="U212" s="47">
        <v>2</v>
      </c>
      <c r="V212" s="47">
        <v>5</v>
      </c>
      <c r="W212" s="47" t="s">
        <v>207</v>
      </c>
      <c r="X212" s="59"/>
      <c r="Y212" s="59"/>
      <c r="Z212" s="59"/>
      <c r="AA212" s="59" t="s">
        <v>96</v>
      </c>
      <c r="AB212" s="59" t="s">
        <v>689</v>
      </c>
      <c r="AC212" s="59" t="s">
        <v>208</v>
      </c>
      <c r="AD212" s="59" t="s">
        <v>208</v>
      </c>
      <c r="AE212" s="60" t="s">
        <v>2595</v>
      </c>
      <c r="AF212" s="60" t="s">
        <v>8465</v>
      </c>
      <c r="AG212" s="59" t="s">
        <v>8465</v>
      </c>
      <c r="AH212" s="59" t="s">
        <v>691</v>
      </c>
      <c r="AI212" s="59" t="s">
        <v>135</v>
      </c>
      <c r="AJ212" s="61">
        <v>29292</v>
      </c>
      <c r="AK212" s="60" t="s">
        <v>2596</v>
      </c>
      <c r="AL212" s="60" t="s">
        <v>8255</v>
      </c>
      <c r="AM212" s="59" t="s">
        <v>700</v>
      </c>
      <c r="AN212" s="60"/>
      <c r="AO212" s="60"/>
      <c r="AP212" s="59" t="s">
        <v>2597</v>
      </c>
      <c r="AQ212" s="25" t="s">
        <v>1290</v>
      </c>
      <c r="AR212" s="60" t="s">
        <v>2598</v>
      </c>
      <c r="AS212" s="59" t="s">
        <v>1937</v>
      </c>
      <c r="AT212" s="59" t="s">
        <v>1706</v>
      </c>
      <c r="AU212" s="59" t="s">
        <v>111</v>
      </c>
      <c r="AV212" s="62">
        <v>40164</v>
      </c>
      <c r="AW212" s="59" t="s">
        <v>7974</v>
      </c>
      <c r="AX212" s="59" t="s">
        <v>691</v>
      </c>
      <c r="AY212" s="59" t="s">
        <v>90</v>
      </c>
      <c r="AZ212" s="126">
        <v>30568</v>
      </c>
      <c r="BA212" s="60" t="s">
        <v>2599</v>
      </c>
      <c r="BB212" s="60" t="s">
        <v>845</v>
      </c>
      <c r="BC212" s="59" t="s">
        <v>700</v>
      </c>
      <c r="BD212" s="60"/>
      <c r="BE212" s="60"/>
      <c r="BF212" s="60"/>
      <c r="BG212" s="59" t="s">
        <v>2597</v>
      </c>
      <c r="BH212" s="60" t="s">
        <v>1290</v>
      </c>
      <c r="BI212" s="60" t="s">
        <v>2598</v>
      </c>
      <c r="BJ212" s="24" t="s">
        <v>1937</v>
      </c>
      <c r="BK212" s="59" t="s">
        <v>1706</v>
      </c>
      <c r="BL212" s="59" t="s">
        <v>156</v>
      </c>
      <c r="BM212" s="24">
        <v>40116</v>
      </c>
      <c r="BN212" s="24"/>
      <c r="BO212" s="59"/>
      <c r="BP212" s="59"/>
      <c r="BQ212" s="77"/>
      <c r="BR212" s="60"/>
      <c r="BS212" s="60"/>
      <c r="BT212" s="59"/>
      <c r="BU212" s="60"/>
      <c r="BV212" s="60"/>
      <c r="BW212" s="59"/>
      <c r="BX212" s="60"/>
      <c r="BY212" s="60"/>
      <c r="BZ212" s="59"/>
      <c r="CA212" s="59"/>
      <c r="CB212" s="59"/>
      <c r="CC212" s="59"/>
      <c r="CD212" s="59"/>
      <c r="CE212" s="59" t="s">
        <v>7503</v>
      </c>
      <c r="CF212" s="60" t="s">
        <v>1290</v>
      </c>
      <c r="CG212" s="59" t="s">
        <v>7183</v>
      </c>
      <c r="CH212" s="59" t="s">
        <v>7125</v>
      </c>
      <c r="CI212" s="59" t="s">
        <v>644</v>
      </c>
      <c r="CJ212" s="59" t="s">
        <v>111</v>
      </c>
      <c r="CK212" s="47">
        <v>40164</v>
      </c>
      <c r="CL212" s="64" t="str">
        <f t="shared" ca="1" si="3"/>
        <v>18 Tahun 1 Bulan 19 Hari</v>
      </c>
      <c r="CM21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Jl.Cibogo Atas RT/RW 03/03 Desa/Kelurahan Sukawarna Kecamatan Sukajadi Kota Bandung Jawa Barat 40164</v>
      </c>
    </row>
    <row r="213" spans="1:91" ht="24.95" customHeight="1">
      <c r="A213" s="58">
        <f>SUBTOTAL(3,N$8:Table2[[#This Row],[Nama lengkap]])</f>
        <v>206</v>
      </c>
      <c r="B213" s="58" t="s">
        <v>86</v>
      </c>
      <c r="C213" s="58">
        <v>2020</v>
      </c>
      <c r="D213" s="58"/>
      <c r="E213" s="58">
        <v>4</v>
      </c>
      <c r="F213" s="58" t="s">
        <v>2512</v>
      </c>
      <c r="G213" s="32" t="s">
        <v>2513</v>
      </c>
      <c r="H213" s="32" t="s">
        <v>2513</v>
      </c>
      <c r="I213" s="32" t="s">
        <v>2513</v>
      </c>
      <c r="J213" s="32"/>
      <c r="K213" s="32"/>
      <c r="L213" s="32"/>
      <c r="M213" s="58">
        <v>20210161</v>
      </c>
      <c r="N213" s="24" t="s">
        <v>8804</v>
      </c>
      <c r="O213" s="24"/>
      <c r="P213" s="25" t="s">
        <v>2600</v>
      </c>
      <c r="Q213" s="25" t="s">
        <v>2601</v>
      </c>
      <c r="R213" s="60" t="s">
        <v>122</v>
      </c>
      <c r="S213" s="61">
        <v>39992</v>
      </c>
      <c r="T213" s="47" t="s">
        <v>92</v>
      </c>
      <c r="U213" s="47"/>
      <c r="V213" s="47"/>
      <c r="W213" s="47" t="s">
        <v>207</v>
      </c>
      <c r="X213" s="59"/>
      <c r="Y213" s="59"/>
      <c r="Z213" s="59"/>
      <c r="AA213" s="59" t="s">
        <v>2602</v>
      </c>
      <c r="AB213" s="59" t="s">
        <v>689</v>
      </c>
      <c r="AC213" s="59" t="s">
        <v>208</v>
      </c>
      <c r="AD213" s="59" t="s">
        <v>208</v>
      </c>
      <c r="AE213" s="60" t="s">
        <v>2603</v>
      </c>
      <c r="AF213" s="60" t="s">
        <v>8466</v>
      </c>
      <c r="AG213" s="59" t="s">
        <v>8466</v>
      </c>
      <c r="AH213" s="59" t="s">
        <v>691</v>
      </c>
      <c r="AI213" s="59" t="s">
        <v>122</v>
      </c>
      <c r="AJ213" s="61">
        <v>25187</v>
      </c>
      <c r="AK213" s="60" t="s">
        <v>2604</v>
      </c>
      <c r="AL213" s="60" t="s">
        <v>8255</v>
      </c>
      <c r="AM213" s="59" t="s">
        <v>693</v>
      </c>
      <c r="AN213" s="60"/>
      <c r="AO213" s="60"/>
      <c r="AP213" s="59" t="s">
        <v>2605</v>
      </c>
      <c r="AQ213" s="25" t="s">
        <v>1048</v>
      </c>
      <c r="AR213" s="60" t="s">
        <v>2606</v>
      </c>
      <c r="AS213" s="59" t="s">
        <v>1101</v>
      </c>
      <c r="AT213" s="59" t="s">
        <v>1090</v>
      </c>
      <c r="AU213" s="59" t="s">
        <v>111</v>
      </c>
      <c r="AV213" s="62">
        <v>45315</v>
      </c>
      <c r="AW213" s="59" t="s">
        <v>7975</v>
      </c>
      <c r="AX213" s="59" t="s">
        <v>691</v>
      </c>
      <c r="AY213" s="59" t="s">
        <v>122</v>
      </c>
      <c r="AZ213" s="126">
        <v>35888</v>
      </c>
      <c r="BA213" s="60" t="s">
        <v>2607</v>
      </c>
      <c r="BB213" s="60" t="s">
        <v>845</v>
      </c>
      <c r="BC213" s="59" t="s">
        <v>2557</v>
      </c>
      <c r="BD213" s="60"/>
      <c r="BE213" s="60"/>
      <c r="BF213" s="60"/>
      <c r="BG213" s="59" t="s">
        <v>2605</v>
      </c>
      <c r="BH213" s="60" t="s">
        <v>1052</v>
      </c>
      <c r="BI213" s="60" t="s">
        <v>2606</v>
      </c>
      <c r="BJ213" s="24" t="s">
        <v>1101</v>
      </c>
      <c r="BK213" s="59" t="s">
        <v>1090</v>
      </c>
      <c r="BL213" s="59" t="s">
        <v>2608</v>
      </c>
      <c r="BM213" s="24">
        <v>40553</v>
      </c>
      <c r="BN213" s="24"/>
      <c r="BO213" s="59"/>
      <c r="BP213" s="59"/>
      <c r="BQ213" s="77"/>
      <c r="BR213" s="60"/>
      <c r="BS213" s="60"/>
      <c r="BT213" s="59"/>
      <c r="BU213" s="60"/>
      <c r="BV213" s="60"/>
      <c r="BW213" s="59"/>
      <c r="BX213" s="60"/>
      <c r="BY213" s="60"/>
      <c r="BZ213" s="59"/>
      <c r="CA213" s="59"/>
      <c r="CB213" s="59"/>
      <c r="CC213" s="59"/>
      <c r="CD213" s="59"/>
      <c r="CE213" s="59" t="s">
        <v>7504</v>
      </c>
      <c r="CF213" s="60" t="s">
        <v>1048</v>
      </c>
      <c r="CG213" s="59" t="s">
        <v>7184</v>
      </c>
      <c r="CH213" s="59" t="s">
        <v>6945</v>
      </c>
      <c r="CI213" s="59" t="s">
        <v>122</v>
      </c>
      <c r="CJ213" s="59" t="s">
        <v>111</v>
      </c>
      <c r="CK213" s="47">
        <v>45315</v>
      </c>
      <c r="CL213" s="64" t="str">
        <f t="shared" ca="1" si="3"/>
        <v>16 Tahun 6 Bulan 26 Hari</v>
      </c>
      <c r="CM21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Lingka Kebon Cau RT/RW 04/01 Desa/Kelurahan Cipameumpeuk Kecamatan Sumedang Selatan Sumedang Jawa Barat 45315</v>
      </c>
    </row>
    <row r="214" spans="1:91" ht="24.95" customHeight="1">
      <c r="A214" s="58">
        <f>SUBTOTAL(3,N$8:Table2[[#This Row],[Nama lengkap]])</f>
        <v>207</v>
      </c>
      <c r="B214" s="58" t="s">
        <v>86</v>
      </c>
      <c r="C214" s="58">
        <v>2021</v>
      </c>
      <c r="D214" s="58"/>
      <c r="E214" s="58">
        <v>4</v>
      </c>
      <c r="F214" s="58" t="s">
        <v>2512</v>
      </c>
      <c r="G214" s="32" t="s">
        <v>2513</v>
      </c>
      <c r="H214" s="32" t="s">
        <v>2513</v>
      </c>
      <c r="I214" s="32" t="s">
        <v>2513</v>
      </c>
      <c r="J214" s="32"/>
      <c r="K214" s="32"/>
      <c r="L214" s="32"/>
      <c r="M214" s="58">
        <v>21220027</v>
      </c>
      <c r="N214" s="24" t="s">
        <v>8805</v>
      </c>
      <c r="O214" s="24"/>
      <c r="P214" s="25" t="s">
        <v>2609</v>
      </c>
      <c r="Q214" s="25" t="s">
        <v>2610</v>
      </c>
      <c r="R214" s="60" t="s">
        <v>122</v>
      </c>
      <c r="S214" s="61" t="s">
        <v>2611</v>
      </c>
      <c r="T214" s="47" t="s">
        <v>92</v>
      </c>
      <c r="U214" s="47">
        <v>1</v>
      </c>
      <c r="V214" s="47">
        <v>1</v>
      </c>
      <c r="W214" s="47" t="s">
        <v>207</v>
      </c>
      <c r="X214" s="59"/>
      <c r="Y214" s="59" t="s">
        <v>793</v>
      </c>
      <c r="Z214" s="59" t="s">
        <v>2612</v>
      </c>
      <c r="AA214" s="59" t="s">
        <v>96</v>
      </c>
      <c r="AB214" s="59" t="s">
        <v>689</v>
      </c>
      <c r="AC214" s="59" t="s">
        <v>208</v>
      </c>
      <c r="AD214" s="59" t="s">
        <v>208</v>
      </c>
      <c r="AE214" s="60" t="s">
        <v>2613</v>
      </c>
      <c r="AF214" s="60" t="s">
        <v>8467</v>
      </c>
      <c r="AG214" s="59" t="s">
        <v>8467</v>
      </c>
      <c r="AH214" s="59" t="s">
        <v>691</v>
      </c>
      <c r="AI214" s="59" t="s">
        <v>90</v>
      </c>
      <c r="AJ214" s="61" t="s">
        <v>2614</v>
      </c>
      <c r="AK214" s="60" t="s">
        <v>2615</v>
      </c>
      <c r="AL214" s="60" t="s">
        <v>602</v>
      </c>
      <c r="AM214" s="59" t="s">
        <v>800</v>
      </c>
      <c r="AN214" s="60"/>
      <c r="AO214" s="60"/>
      <c r="AP214" s="59" t="s">
        <v>2616</v>
      </c>
      <c r="AQ214" s="25" t="s">
        <v>1334</v>
      </c>
      <c r="AR214" s="60" t="s">
        <v>2617</v>
      </c>
      <c r="AS214" s="59" t="s">
        <v>2294</v>
      </c>
      <c r="AT214" s="59" t="s">
        <v>1090</v>
      </c>
      <c r="AU214" s="59" t="s">
        <v>111</v>
      </c>
      <c r="AV214" s="62">
        <v>45362</v>
      </c>
      <c r="AW214" s="59" t="s">
        <v>7976</v>
      </c>
      <c r="AX214" s="59" t="s">
        <v>691</v>
      </c>
      <c r="AY214" s="59" t="s">
        <v>122</v>
      </c>
      <c r="AZ214" s="126" t="s">
        <v>2618</v>
      </c>
      <c r="BA214" s="60" t="s">
        <v>2619</v>
      </c>
      <c r="BB214" s="60" t="s">
        <v>602</v>
      </c>
      <c r="BC214" s="59" t="s">
        <v>800</v>
      </c>
      <c r="BD214" s="60"/>
      <c r="BE214" s="60"/>
      <c r="BF214" s="60"/>
      <c r="BG214" s="59" t="s">
        <v>2616</v>
      </c>
      <c r="BH214" s="60" t="s">
        <v>1334</v>
      </c>
      <c r="BI214" s="60" t="s">
        <v>2617</v>
      </c>
      <c r="BJ214" s="24" t="s">
        <v>2294</v>
      </c>
      <c r="BK214" s="59" t="s">
        <v>1090</v>
      </c>
      <c r="BL214" s="59" t="s">
        <v>156</v>
      </c>
      <c r="BM214" s="62" t="s">
        <v>1664</v>
      </c>
      <c r="BN214" s="62"/>
      <c r="BO214" s="59"/>
      <c r="BP214" s="59"/>
      <c r="BQ214" s="77"/>
      <c r="BR214" s="60"/>
      <c r="BS214" s="60"/>
      <c r="BT214" s="59"/>
      <c r="BU214" s="60"/>
      <c r="BV214" s="60"/>
      <c r="BW214" s="59"/>
      <c r="BX214" s="60"/>
      <c r="BY214" s="60"/>
      <c r="BZ214" s="59"/>
      <c r="CA214" s="59"/>
      <c r="CB214" s="59"/>
      <c r="CC214" s="59"/>
      <c r="CD214" s="59"/>
      <c r="CE214" s="59" t="s">
        <v>7505</v>
      </c>
      <c r="CF214" s="60" t="s">
        <v>1334</v>
      </c>
      <c r="CG214" s="59" t="s">
        <v>865</v>
      </c>
      <c r="CH214" s="59" t="s">
        <v>593</v>
      </c>
      <c r="CI214" s="59" t="s">
        <v>122</v>
      </c>
      <c r="CJ214" s="59" t="s">
        <v>111</v>
      </c>
      <c r="CK214" s="47">
        <v>45362</v>
      </c>
      <c r="CL214" s="64" t="str">
        <f t="shared" ca="1" si="3"/>
        <v>17 Tahun 2 Bulan 20 Hari</v>
      </c>
      <c r="CM21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Dusub Cibogo RT/RW 02/06 Desa/Kelurahan Raharja Kecamatan Tanjungsari Sumedang Jawa Barat 45362</v>
      </c>
    </row>
    <row r="215" spans="1:91" ht="24.95" customHeight="1">
      <c r="A215" s="58">
        <f>SUBTOTAL(3,N$8:Table2[[#This Row],[Nama lengkap]])</f>
        <v>208</v>
      </c>
      <c r="B215" s="58" t="s">
        <v>86</v>
      </c>
      <c r="C215" s="58">
        <v>2020</v>
      </c>
      <c r="D215" s="58"/>
      <c r="E215" s="58">
        <v>4</v>
      </c>
      <c r="F215" s="58" t="s">
        <v>2512</v>
      </c>
      <c r="G215" s="32" t="s">
        <v>2513</v>
      </c>
      <c r="H215" s="32" t="s">
        <v>2513</v>
      </c>
      <c r="I215" s="32" t="s">
        <v>2513</v>
      </c>
      <c r="J215" s="32"/>
      <c r="K215" s="32"/>
      <c r="L215" s="32"/>
      <c r="M215" s="58">
        <v>20210195</v>
      </c>
      <c r="N215" s="24" t="s">
        <v>8806</v>
      </c>
      <c r="O215" s="24"/>
      <c r="P215" s="25" t="s">
        <v>2621</v>
      </c>
      <c r="Q215" s="25" t="s">
        <v>2622</v>
      </c>
      <c r="R215" s="60" t="s">
        <v>90</v>
      </c>
      <c r="S215" s="61" t="s">
        <v>2623</v>
      </c>
      <c r="T215" s="47" t="s">
        <v>92</v>
      </c>
      <c r="U215" s="47">
        <v>1</v>
      </c>
      <c r="V215" s="47">
        <v>2</v>
      </c>
      <c r="W215" s="47" t="s">
        <v>207</v>
      </c>
      <c r="X215" s="59"/>
      <c r="Y215" s="59" t="s">
        <v>793</v>
      </c>
      <c r="Z215" s="59" t="s">
        <v>1093</v>
      </c>
      <c r="AA215" s="59" t="s">
        <v>96</v>
      </c>
      <c r="AB215" s="59" t="s">
        <v>689</v>
      </c>
      <c r="AC215" s="59" t="s">
        <v>208</v>
      </c>
      <c r="AD215" s="59" t="s">
        <v>208</v>
      </c>
      <c r="AE215" s="60" t="s">
        <v>2624</v>
      </c>
      <c r="AF215" s="60" t="s">
        <v>8468</v>
      </c>
      <c r="AG215" s="59" t="s">
        <v>8468</v>
      </c>
      <c r="AH215" s="59" t="s">
        <v>691</v>
      </c>
      <c r="AI215" s="59" t="s">
        <v>8283</v>
      </c>
      <c r="AJ215" s="61" t="s">
        <v>2625</v>
      </c>
      <c r="AK215" s="60" t="s">
        <v>2626</v>
      </c>
      <c r="AL215" s="60" t="s">
        <v>914</v>
      </c>
      <c r="AM215" s="59" t="s">
        <v>693</v>
      </c>
      <c r="AN215" s="60"/>
      <c r="AO215" s="60"/>
      <c r="AP215" s="59" t="s">
        <v>2627</v>
      </c>
      <c r="AQ215" s="25" t="s">
        <v>2628</v>
      </c>
      <c r="AR215" s="60" t="s">
        <v>2629</v>
      </c>
      <c r="AS215" s="59" t="s">
        <v>2630</v>
      </c>
      <c r="AT215" s="59" t="s">
        <v>1706</v>
      </c>
      <c r="AU215" s="59" t="s">
        <v>111</v>
      </c>
      <c r="AV215" s="62">
        <v>40116</v>
      </c>
      <c r="AW215" s="59" t="s">
        <v>7977</v>
      </c>
      <c r="AX215" s="59" t="s">
        <v>691</v>
      </c>
      <c r="AY215" s="59" t="s">
        <v>90</v>
      </c>
      <c r="AZ215" s="126">
        <v>30959</v>
      </c>
      <c r="BA215" s="60" t="s">
        <v>2631</v>
      </c>
      <c r="BB215" s="60" t="s">
        <v>845</v>
      </c>
      <c r="BC215" s="59" t="s">
        <v>700</v>
      </c>
      <c r="BD215" s="60"/>
      <c r="BE215" s="60"/>
      <c r="BF215" s="60"/>
      <c r="BG215" s="59" t="s">
        <v>2632</v>
      </c>
      <c r="BH215" s="60" t="s">
        <v>2628</v>
      </c>
      <c r="BI215" s="60" t="s">
        <v>2629</v>
      </c>
      <c r="BJ215" s="24" t="s">
        <v>2630</v>
      </c>
      <c r="BK215" s="59" t="s">
        <v>1706</v>
      </c>
      <c r="BL215" s="59" t="s">
        <v>156</v>
      </c>
      <c r="BM215" s="24">
        <v>40513</v>
      </c>
      <c r="BN215" s="24"/>
      <c r="BO215" s="59"/>
      <c r="BP215" s="59"/>
      <c r="BQ215" s="77"/>
      <c r="BR215" s="60"/>
      <c r="BS215" s="60"/>
      <c r="BT215" s="59"/>
      <c r="BU215" s="60"/>
      <c r="BV215" s="60"/>
      <c r="BW215" s="59"/>
      <c r="BX215" s="60"/>
      <c r="BY215" s="60"/>
      <c r="BZ215" s="59"/>
      <c r="CA215" s="59"/>
      <c r="CB215" s="59"/>
      <c r="CC215" s="59"/>
      <c r="CD215" s="59"/>
      <c r="CE215" s="59" t="s">
        <v>7506</v>
      </c>
      <c r="CF215" s="60" t="s">
        <v>2628</v>
      </c>
      <c r="CG215" s="59" t="s">
        <v>7185</v>
      </c>
      <c r="CH215" s="59" t="s">
        <v>7186</v>
      </c>
      <c r="CI215" s="59" t="s">
        <v>644</v>
      </c>
      <c r="CJ215" s="59" t="s">
        <v>111</v>
      </c>
      <c r="CK215" s="47">
        <v>40116</v>
      </c>
      <c r="CL215" s="64" t="str">
        <f t="shared" ca="1" si="3"/>
        <v>18 Tahun 4 Bulan 12 Hari</v>
      </c>
      <c r="CM21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Jl.Limggawastu No.14/25 RT/RW 02/16 Desa/Kelurahan Tamansari Kecamatan Bandung Wetan Kota Bandung Jawa Barat 40116</v>
      </c>
    </row>
    <row r="216" spans="1:91" ht="24.95" customHeight="1">
      <c r="A216" s="58">
        <f>SUBTOTAL(3,N$8:Table2[[#This Row],[Nama lengkap]])</f>
        <v>209</v>
      </c>
      <c r="B216" s="32" t="s">
        <v>86</v>
      </c>
      <c r="C216" s="58">
        <v>2020</v>
      </c>
      <c r="D216" s="58"/>
      <c r="E216" s="58">
        <v>4</v>
      </c>
      <c r="F216" s="58" t="s">
        <v>2512</v>
      </c>
      <c r="G216" s="32" t="s">
        <v>2513</v>
      </c>
      <c r="H216" s="32" t="s">
        <v>2513</v>
      </c>
      <c r="I216" s="32" t="s">
        <v>2513</v>
      </c>
      <c r="J216" s="32"/>
      <c r="K216" s="32"/>
      <c r="L216" s="32"/>
      <c r="M216" s="85">
        <v>20210174</v>
      </c>
      <c r="N216" s="24" t="s">
        <v>8807</v>
      </c>
      <c r="O216" s="24"/>
      <c r="P216" s="25" t="s">
        <v>2633</v>
      </c>
      <c r="Q216" s="25" t="s">
        <v>2634</v>
      </c>
      <c r="R216" s="60" t="s">
        <v>90</v>
      </c>
      <c r="S216" s="61" t="s">
        <v>1488</v>
      </c>
      <c r="T216" s="47" t="s">
        <v>92</v>
      </c>
      <c r="U216" s="47">
        <v>2</v>
      </c>
      <c r="V216" s="47">
        <v>1</v>
      </c>
      <c r="W216" s="47" t="s">
        <v>207</v>
      </c>
      <c r="X216" s="59" t="s">
        <v>984</v>
      </c>
      <c r="Y216" s="59" t="s">
        <v>706</v>
      </c>
      <c r="Z216" s="59" t="s">
        <v>1042</v>
      </c>
      <c r="AA216" s="59" t="s">
        <v>96</v>
      </c>
      <c r="AB216" s="59" t="s">
        <v>689</v>
      </c>
      <c r="AC216" s="59" t="s">
        <v>208</v>
      </c>
      <c r="AD216" s="59" t="s">
        <v>208</v>
      </c>
      <c r="AE216" s="60" t="s">
        <v>2635</v>
      </c>
      <c r="AF216" s="60" t="s">
        <v>8469</v>
      </c>
      <c r="AG216" s="59" t="s">
        <v>8469</v>
      </c>
      <c r="AH216" s="59" t="s">
        <v>691</v>
      </c>
      <c r="AI216" s="59" t="s">
        <v>90</v>
      </c>
      <c r="AJ216" s="61" t="s">
        <v>2636</v>
      </c>
      <c r="AK216" s="60" t="s">
        <v>2637</v>
      </c>
      <c r="AL216" s="60" t="s">
        <v>5261</v>
      </c>
      <c r="AM216" s="59" t="s">
        <v>800</v>
      </c>
      <c r="AN216" s="60" t="s">
        <v>2638</v>
      </c>
      <c r="AO216" s="60"/>
      <c r="AP216" s="59" t="s">
        <v>2639</v>
      </c>
      <c r="AQ216" s="25" t="s">
        <v>1441</v>
      </c>
      <c r="AR216" s="60" t="s">
        <v>1189</v>
      </c>
      <c r="AS216" s="59" t="s">
        <v>1077</v>
      </c>
      <c r="AT216" s="59" t="s">
        <v>141</v>
      </c>
      <c r="AU216" s="59" t="s">
        <v>111</v>
      </c>
      <c r="AV216" s="62">
        <v>40288</v>
      </c>
      <c r="AW216" s="59" t="s">
        <v>7978</v>
      </c>
      <c r="AX216" s="59" t="s">
        <v>691</v>
      </c>
      <c r="AY216" s="59" t="s">
        <v>6839</v>
      </c>
      <c r="AZ216" s="126">
        <v>29957</v>
      </c>
      <c r="BA216" s="60" t="s">
        <v>2640</v>
      </c>
      <c r="BB216" s="60" t="s">
        <v>845</v>
      </c>
      <c r="BC216" s="59" t="s">
        <v>1820</v>
      </c>
      <c r="BD216" s="60" t="s">
        <v>2638</v>
      </c>
      <c r="BE216" s="60"/>
      <c r="BF216" s="60"/>
      <c r="BG216" s="59" t="s">
        <v>2639</v>
      </c>
      <c r="BH216" s="25" t="s">
        <v>1441</v>
      </c>
      <c r="BI216" s="60" t="s">
        <v>1189</v>
      </c>
      <c r="BJ216" s="59" t="s">
        <v>1077</v>
      </c>
      <c r="BK216" s="59" t="s">
        <v>141</v>
      </c>
      <c r="BL216" s="59" t="s">
        <v>111</v>
      </c>
      <c r="BM216" s="62">
        <v>40288</v>
      </c>
      <c r="BN216" s="62"/>
      <c r="BO216" s="59" t="s">
        <v>719</v>
      </c>
      <c r="BP216" s="59"/>
      <c r="BQ216" s="77"/>
      <c r="BR216" s="60"/>
      <c r="BS216" s="60"/>
      <c r="BT216" s="59"/>
      <c r="BU216" s="60"/>
      <c r="BV216" s="60"/>
      <c r="BW216" s="59"/>
      <c r="BX216" s="60"/>
      <c r="BY216" s="60"/>
      <c r="BZ216" s="59"/>
      <c r="CA216" s="59"/>
      <c r="CB216" s="59"/>
      <c r="CC216" s="59"/>
      <c r="CD216" s="59"/>
      <c r="CE216" s="59" t="s">
        <v>7507</v>
      </c>
      <c r="CF216" s="60" t="s">
        <v>1441</v>
      </c>
      <c r="CG216" s="59" t="s">
        <v>7054</v>
      </c>
      <c r="CH216" s="59" t="s">
        <v>7047</v>
      </c>
      <c r="CI216" s="59" t="s">
        <v>90</v>
      </c>
      <c r="CJ216" s="59" t="s">
        <v>111</v>
      </c>
      <c r="CK216" s="47">
        <v>40288</v>
      </c>
      <c r="CL216" s="64" t="str">
        <f t="shared" ca="1" si="3"/>
        <v>17 Tahun 6 Bulan 22 Hari</v>
      </c>
      <c r="CM21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Kp.Cijeruk RT/RW 01/06 Desa/Kelurahan Bojongsari Kecamatan Bojongsoang Bandung Jawa Barat 40288</v>
      </c>
    </row>
    <row r="217" spans="1:91" ht="24.95" customHeight="1">
      <c r="A217" s="58">
        <f>SUBTOTAL(3,N$8:Table2[[#This Row],[Nama lengkap]])</f>
        <v>210</v>
      </c>
      <c r="B217" s="32" t="s">
        <v>86</v>
      </c>
      <c r="C217" s="58">
        <v>2020</v>
      </c>
      <c r="D217" s="58"/>
      <c r="E217" s="58">
        <v>4</v>
      </c>
      <c r="F217" s="58" t="s">
        <v>2512</v>
      </c>
      <c r="G217" s="32" t="s">
        <v>2513</v>
      </c>
      <c r="H217" s="32" t="s">
        <v>2513</v>
      </c>
      <c r="I217" s="32" t="s">
        <v>2513</v>
      </c>
      <c r="J217" s="32"/>
      <c r="K217" s="32"/>
      <c r="L217" s="32"/>
      <c r="M217" s="58">
        <v>20210204</v>
      </c>
      <c r="N217" s="24" t="s">
        <v>6013</v>
      </c>
      <c r="O217" s="24"/>
      <c r="P217" s="25" t="s">
        <v>2641</v>
      </c>
      <c r="Q217" s="25" t="s">
        <v>2642</v>
      </c>
      <c r="R217" s="60" t="s">
        <v>90</v>
      </c>
      <c r="S217" s="61" t="s">
        <v>2643</v>
      </c>
      <c r="T217" s="47" t="s">
        <v>92</v>
      </c>
      <c r="U217" s="47">
        <v>1</v>
      </c>
      <c r="V217" s="47">
        <v>1</v>
      </c>
      <c r="W217" s="47" t="s">
        <v>207</v>
      </c>
      <c r="X217" s="59"/>
      <c r="Y217" s="59" t="s">
        <v>793</v>
      </c>
      <c r="Z217" s="59" t="s">
        <v>1205</v>
      </c>
      <c r="AA217" s="59" t="s">
        <v>96</v>
      </c>
      <c r="AB217" s="59" t="s">
        <v>689</v>
      </c>
      <c r="AC217" s="59" t="s">
        <v>208</v>
      </c>
      <c r="AD217" s="59" t="s">
        <v>208</v>
      </c>
      <c r="AE217" s="60" t="s">
        <v>2644</v>
      </c>
      <c r="AF217" s="60" t="s">
        <v>8470</v>
      </c>
      <c r="AG217" s="59" t="s">
        <v>8470</v>
      </c>
      <c r="AH217" s="59" t="s">
        <v>691</v>
      </c>
      <c r="AI217" s="59" t="s">
        <v>90</v>
      </c>
      <c r="AJ217" s="61" t="s">
        <v>2645</v>
      </c>
      <c r="AK217" s="60" t="s">
        <v>2646</v>
      </c>
      <c r="AL217" s="60" t="s">
        <v>602</v>
      </c>
      <c r="AM217" s="59" t="s">
        <v>800</v>
      </c>
      <c r="AN217" s="60"/>
      <c r="AO217" s="60"/>
      <c r="AP217" s="59" t="s">
        <v>2521</v>
      </c>
      <c r="AQ217" s="25" t="s">
        <v>227</v>
      </c>
      <c r="AR217" s="60" t="s">
        <v>1256</v>
      </c>
      <c r="AS217" s="59" t="s">
        <v>2522</v>
      </c>
      <c r="AT217" s="59" t="s">
        <v>163</v>
      </c>
      <c r="AU217" s="59" t="s">
        <v>111</v>
      </c>
      <c r="AV217" s="62">
        <v>40553</v>
      </c>
      <c r="AW217" s="59" t="s">
        <v>7979</v>
      </c>
      <c r="AX217" s="59" t="s">
        <v>691</v>
      </c>
      <c r="AY217" s="59" t="s">
        <v>90</v>
      </c>
      <c r="AZ217" s="126" t="s">
        <v>2647</v>
      </c>
      <c r="BA217" s="60" t="s">
        <v>2648</v>
      </c>
      <c r="BB217" s="60" t="s">
        <v>845</v>
      </c>
      <c r="BC217" s="59" t="s">
        <v>800</v>
      </c>
      <c r="BD217" s="60"/>
      <c r="BE217" s="60"/>
      <c r="BF217" s="60"/>
      <c r="BG217" s="59" t="s">
        <v>2649</v>
      </c>
      <c r="BH217" s="60" t="s">
        <v>227</v>
      </c>
      <c r="BI217" s="60" t="s">
        <v>1256</v>
      </c>
      <c r="BJ217" s="24" t="s">
        <v>2522</v>
      </c>
      <c r="BK217" s="59" t="s">
        <v>163</v>
      </c>
      <c r="BL217" s="59" t="s">
        <v>156</v>
      </c>
      <c r="BM217" s="24">
        <v>40116</v>
      </c>
      <c r="BN217" s="24"/>
      <c r="BO217" s="59"/>
      <c r="BP217" s="59"/>
      <c r="BQ217" s="77"/>
      <c r="BR217" s="60"/>
      <c r="BS217" s="60"/>
      <c r="BT217" s="59"/>
      <c r="BU217" s="60"/>
      <c r="BV217" s="60"/>
      <c r="BW217" s="59"/>
      <c r="BX217" s="60"/>
      <c r="BY217" s="60"/>
      <c r="BZ217" s="59"/>
      <c r="CA217" s="59"/>
      <c r="CB217" s="59"/>
      <c r="CC217" s="59"/>
      <c r="CD217" s="59"/>
      <c r="CE217" s="59" t="s">
        <v>7498</v>
      </c>
      <c r="CF217" s="60" t="s">
        <v>227</v>
      </c>
      <c r="CG217" s="59" t="s">
        <v>7062</v>
      </c>
      <c r="CH217" s="59" t="s">
        <v>7180</v>
      </c>
      <c r="CI217" s="59" t="s">
        <v>155</v>
      </c>
      <c r="CJ217" s="59" t="s">
        <v>111</v>
      </c>
      <c r="CK217" s="47">
        <v>40553</v>
      </c>
      <c r="CL217" s="64" t="str">
        <f t="shared" ca="1" si="3"/>
        <v>17 Tahun 8 Bulan 7 Hari</v>
      </c>
      <c r="CM21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Kp.Cipeundeuy RT/RW 06/02 Desa/Kelurahan Cipeundeuy Kecamatan Padalarang Bandung Barat Jawa Barat 40553</v>
      </c>
    </row>
    <row r="218" spans="1:91" ht="24.95" customHeight="1">
      <c r="A218" s="58">
        <f>SUBTOTAL(3,N$8:Table2[[#This Row],[Nama lengkap]])</f>
        <v>211</v>
      </c>
      <c r="B218" s="32" t="s">
        <v>86</v>
      </c>
      <c r="C218" s="58">
        <v>2020</v>
      </c>
      <c r="D218" s="58"/>
      <c r="E218" s="58">
        <v>4</v>
      </c>
      <c r="F218" s="58" t="s">
        <v>2512</v>
      </c>
      <c r="G218" s="32" t="s">
        <v>2513</v>
      </c>
      <c r="H218" s="32" t="s">
        <v>2513</v>
      </c>
      <c r="I218" s="32" t="s">
        <v>2513</v>
      </c>
      <c r="J218" s="32"/>
      <c r="K218" s="32"/>
      <c r="L218" s="32"/>
      <c r="M218" s="85">
        <v>20210139</v>
      </c>
      <c r="N218" s="24" t="s">
        <v>8808</v>
      </c>
      <c r="O218" s="24"/>
      <c r="P218" s="25" t="s">
        <v>2650</v>
      </c>
      <c r="Q218" s="25" t="s">
        <v>2651</v>
      </c>
      <c r="R218" s="60" t="s">
        <v>135</v>
      </c>
      <c r="S218" s="61" t="s">
        <v>2652</v>
      </c>
      <c r="T218" s="47" t="s">
        <v>92</v>
      </c>
      <c r="U218" s="47">
        <v>3</v>
      </c>
      <c r="V218" s="47">
        <v>4</v>
      </c>
      <c r="W218" s="47" t="s">
        <v>207</v>
      </c>
      <c r="X218" s="59"/>
      <c r="Y218" s="59" t="s">
        <v>1041</v>
      </c>
      <c r="Z218" s="59" t="s">
        <v>1205</v>
      </c>
      <c r="AA218" s="59" t="s">
        <v>96</v>
      </c>
      <c r="AB218" s="59" t="s">
        <v>689</v>
      </c>
      <c r="AC218" s="59" t="s">
        <v>208</v>
      </c>
      <c r="AD218" s="59" t="s">
        <v>208</v>
      </c>
      <c r="AE218" s="60" t="s">
        <v>2653</v>
      </c>
      <c r="AF218" s="60" t="s">
        <v>8471</v>
      </c>
      <c r="AG218" s="59" t="s">
        <v>8471</v>
      </c>
      <c r="AH218" s="59" t="s">
        <v>691</v>
      </c>
      <c r="AI218" s="59" t="s">
        <v>135</v>
      </c>
      <c r="AJ218" s="61">
        <v>27857</v>
      </c>
      <c r="AK218" s="60" t="s">
        <v>2654</v>
      </c>
      <c r="AL218" s="60" t="s">
        <v>914</v>
      </c>
      <c r="AM218" s="59" t="s">
        <v>2655</v>
      </c>
      <c r="AN218" s="60" t="s">
        <v>2656</v>
      </c>
      <c r="AO218" s="60"/>
      <c r="AP218" s="59" t="s">
        <v>2657</v>
      </c>
      <c r="AQ218" s="25" t="s">
        <v>213</v>
      </c>
      <c r="AR218" s="60" t="s">
        <v>2658</v>
      </c>
      <c r="AS218" s="59" t="s">
        <v>2659</v>
      </c>
      <c r="AT218" s="59" t="s">
        <v>2659</v>
      </c>
      <c r="AU218" s="59" t="s">
        <v>111</v>
      </c>
      <c r="AV218" s="62" t="s">
        <v>2660</v>
      </c>
      <c r="AW218" s="59" t="s">
        <v>7980</v>
      </c>
      <c r="AX218" s="59" t="s">
        <v>691</v>
      </c>
      <c r="AY218" s="59" t="s">
        <v>90</v>
      </c>
      <c r="AZ218" s="126">
        <v>28281</v>
      </c>
      <c r="BA218" s="60" t="s">
        <v>2661</v>
      </c>
      <c r="BB218" s="60" t="s">
        <v>914</v>
      </c>
      <c r="BC218" s="59" t="s">
        <v>1820</v>
      </c>
      <c r="BD218" s="60" t="s">
        <v>2656</v>
      </c>
      <c r="BE218" s="60"/>
      <c r="BF218" s="60"/>
      <c r="BG218" s="59" t="s">
        <v>2657</v>
      </c>
      <c r="BH218" s="25" t="s">
        <v>213</v>
      </c>
      <c r="BI218" s="60" t="s">
        <v>2658</v>
      </c>
      <c r="BJ218" s="59" t="s">
        <v>2659</v>
      </c>
      <c r="BK218" s="59" t="s">
        <v>2659</v>
      </c>
      <c r="BL218" s="59" t="s">
        <v>111</v>
      </c>
      <c r="BM218" s="62" t="s">
        <v>2660</v>
      </c>
      <c r="BN218" s="62"/>
      <c r="BO218" s="59" t="s">
        <v>719</v>
      </c>
      <c r="BP218" s="59"/>
      <c r="BQ218" s="77"/>
      <c r="BR218" s="60"/>
      <c r="BS218" s="60"/>
      <c r="BT218" s="59"/>
      <c r="BU218" s="60"/>
      <c r="BV218" s="60"/>
      <c r="BW218" s="59"/>
      <c r="BX218" s="60"/>
      <c r="BY218" s="60"/>
      <c r="BZ218" s="59"/>
      <c r="CA218" s="59"/>
      <c r="CB218" s="59"/>
      <c r="CC218" s="59"/>
      <c r="CD218" s="59"/>
      <c r="CE218" s="59" t="s">
        <v>7508</v>
      </c>
      <c r="CF218" s="60" t="s">
        <v>213</v>
      </c>
      <c r="CG218" s="59" t="s">
        <v>7187</v>
      </c>
      <c r="CH218" s="59" t="s">
        <v>7188</v>
      </c>
      <c r="CI218" s="59" t="s">
        <v>7188</v>
      </c>
      <c r="CJ218" s="59" t="s">
        <v>111</v>
      </c>
      <c r="CK218" s="47" t="s">
        <v>2660</v>
      </c>
      <c r="CL218" s="64" t="str">
        <f t="shared" ca="1" si="3"/>
        <v>17 Tahun 6 Bulan 11 Hari</v>
      </c>
      <c r="CM21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Wonoharjo RT/RW 01/14 Desa/Kelurahan Wonoharjo Kecamatan Pangandaran Pangandaran Jawa Barat  46396</v>
      </c>
    </row>
    <row r="219" spans="1:91" ht="24.95" customHeight="1">
      <c r="A219" s="58">
        <f>SUBTOTAL(3,N$8:Table2[[#This Row],[Nama lengkap]])</f>
        <v>212</v>
      </c>
      <c r="B219" s="32" t="s">
        <v>86</v>
      </c>
      <c r="C219" s="58">
        <v>2021</v>
      </c>
      <c r="D219" s="58"/>
      <c r="E219" s="58">
        <v>4</v>
      </c>
      <c r="F219" s="58" t="s">
        <v>2512</v>
      </c>
      <c r="G219" s="32" t="s">
        <v>2513</v>
      </c>
      <c r="H219" s="32" t="s">
        <v>2513</v>
      </c>
      <c r="I219" s="32" t="s">
        <v>2513</v>
      </c>
      <c r="J219" s="32"/>
      <c r="K219" s="32"/>
      <c r="L219" s="32"/>
      <c r="M219" s="84">
        <v>21220059</v>
      </c>
      <c r="N219" s="24" t="s">
        <v>8809</v>
      </c>
      <c r="O219" s="24"/>
      <c r="P219" s="25" t="s">
        <v>2662</v>
      </c>
      <c r="Q219" s="25" t="s">
        <v>2663</v>
      </c>
      <c r="R219" s="60" t="s">
        <v>7148</v>
      </c>
      <c r="S219" s="61" t="s">
        <v>2664</v>
      </c>
      <c r="T219" s="47" t="s">
        <v>92</v>
      </c>
      <c r="U219" s="47">
        <v>1</v>
      </c>
      <c r="V219" s="47">
        <v>1</v>
      </c>
      <c r="W219" s="47" t="s">
        <v>207</v>
      </c>
      <c r="X219" s="59" t="s">
        <v>984</v>
      </c>
      <c r="Y219" s="59" t="s">
        <v>1247</v>
      </c>
      <c r="Z219" s="59" t="s">
        <v>1150</v>
      </c>
      <c r="AA219" s="59" t="s">
        <v>96</v>
      </c>
      <c r="AB219" s="59" t="s">
        <v>689</v>
      </c>
      <c r="AC219" s="59" t="s">
        <v>208</v>
      </c>
      <c r="AD219" s="59" t="s">
        <v>208</v>
      </c>
      <c r="AE219" s="60" t="s">
        <v>2665</v>
      </c>
      <c r="AF219" s="60" t="s">
        <v>8472</v>
      </c>
      <c r="AG219" s="59" t="s">
        <v>8473</v>
      </c>
      <c r="AH219" s="59"/>
      <c r="AI219" s="59"/>
      <c r="AJ219" s="61"/>
      <c r="AK219" s="60"/>
      <c r="AL219" s="60"/>
      <c r="AM219" s="59"/>
      <c r="AN219" s="60"/>
      <c r="AO219" s="60"/>
      <c r="AP219" s="59"/>
      <c r="AQ219" s="25"/>
      <c r="AR219" s="60"/>
      <c r="AS219" s="59"/>
      <c r="AT219" s="59"/>
      <c r="AU219" s="59"/>
      <c r="AV219" s="62"/>
      <c r="AW219" s="59" t="s">
        <v>7981</v>
      </c>
      <c r="AX219" s="59" t="s">
        <v>691</v>
      </c>
      <c r="AY219" s="59" t="s">
        <v>90</v>
      </c>
      <c r="AZ219" s="126" t="s">
        <v>2667</v>
      </c>
      <c r="BA219" s="60" t="s">
        <v>2668</v>
      </c>
      <c r="BB219" s="60" t="s">
        <v>845</v>
      </c>
      <c r="BC219" s="59" t="s">
        <v>800</v>
      </c>
      <c r="BD219" s="60" t="s">
        <v>2669</v>
      </c>
      <c r="BE219" s="60"/>
      <c r="BF219" s="60"/>
      <c r="BG219" s="59" t="s">
        <v>2670</v>
      </c>
      <c r="BH219" s="60" t="s">
        <v>1865</v>
      </c>
      <c r="BI219" s="60" t="s">
        <v>2671</v>
      </c>
      <c r="BJ219" s="24" t="s">
        <v>2672</v>
      </c>
      <c r="BK219" s="59" t="s">
        <v>141</v>
      </c>
      <c r="BL219" s="59" t="s">
        <v>156</v>
      </c>
      <c r="BM219" s="24">
        <v>40972</v>
      </c>
      <c r="BN219" s="24"/>
      <c r="BO219" s="59" t="s">
        <v>2666</v>
      </c>
      <c r="BP219" s="59" t="s">
        <v>141</v>
      </c>
      <c r="BQ219" s="77" t="s">
        <v>2673</v>
      </c>
      <c r="BR219" s="60" t="s">
        <v>2674</v>
      </c>
      <c r="BS219" s="60" t="s">
        <v>2044</v>
      </c>
      <c r="BT219" s="59" t="s">
        <v>800</v>
      </c>
      <c r="BU219" s="60" t="s">
        <v>2669</v>
      </c>
      <c r="BV219" s="60"/>
      <c r="BW219" s="59" t="s">
        <v>2675</v>
      </c>
      <c r="BX219" s="60" t="s">
        <v>1865</v>
      </c>
      <c r="BY219" s="60" t="s">
        <v>2671</v>
      </c>
      <c r="BZ219" s="59" t="s">
        <v>2672</v>
      </c>
      <c r="CA219" s="59" t="s">
        <v>141</v>
      </c>
      <c r="CB219" s="59" t="s">
        <v>156</v>
      </c>
      <c r="CC219" s="59">
        <v>40972</v>
      </c>
      <c r="CD219" s="59"/>
      <c r="CE219" s="59" t="s">
        <v>7509</v>
      </c>
      <c r="CF219" s="60" t="s">
        <v>1865</v>
      </c>
      <c r="CG219" s="60" t="s">
        <v>311</v>
      </c>
      <c r="CH219" s="24" t="s">
        <v>312</v>
      </c>
      <c r="CI219" s="59" t="s">
        <v>90</v>
      </c>
      <c r="CJ219" s="59" t="s">
        <v>111</v>
      </c>
      <c r="CK219" s="47">
        <v>40972</v>
      </c>
      <c r="CL219" s="64" t="str">
        <f t="shared" ca="1" si="3"/>
        <v>17 Tahun 11 Bulan 24 Hari</v>
      </c>
      <c r="CM21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Kp.Culamega RT/RW 02/12 Desa/Kelurahan Cikoneng Kecamatan Pasirjambu Bandung Jawa Barat 40972</v>
      </c>
    </row>
    <row r="220" spans="1:91" ht="24.95" customHeight="1">
      <c r="A220" s="58">
        <f>SUBTOTAL(3,N$8:Table2[[#This Row],[Nama lengkap]])</f>
        <v>213</v>
      </c>
      <c r="B220" s="32" t="s">
        <v>86</v>
      </c>
      <c r="C220" s="58">
        <v>2020</v>
      </c>
      <c r="D220" s="58"/>
      <c r="E220" s="58">
        <v>4</v>
      </c>
      <c r="F220" s="58" t="s">
        <v>2512</v>
      </c>
      <c r="G220" s="32" t="s">
        <v>2513</v>
      </c>
      <c r="H220" s="32" t="s">
        <v>2513</v>
      </c>
      <c r="I220" s="32" t="s">
        <v>2513</v>
      </c>
      <c r="J220" s="32"/>
      <c r="K220" s="32"/>
      <c r="L220" s="32"/>
      <c r="M220" s="58">
        <v>20210149</v>
      </c>
      <c r="N220" s="24" t="s">
        <v>6016</v>
      </c>
      <c r="O220" s="24"/>
      <c r="P220" s="25" t="s">
        <v>2676</v>
      </c>
      <c r="Q220" s="25" t="s">
        <v>2677</v>
      </c>
      <c r="R220" s="60" t="s">
        <v>90</v>
      </c>
      <c r="S220" s="61" t="s">
        <v>2678</v>
      </c>
      <c r="T220" s="47" t="s">
        <v>92</v>
      </c>
      <c r="U220" s="47">
        <v>1</v>
      </c>
      <c r="V220" s="47">
        <v>1</v>
      </c>
      <c r="W220" s="47" t="s">
        <v>207</v>
      </c>
      <c r="X220" s="59"/>
      <c r="Y220" s="59" t="s">
        <v>793</v>
      </c>
      <c r="Z220" s="59" t="s">
        <v>1093</v>
      </c>
      <c r="AA220" s="59" t="s">
        <v>96</v>
      </c>
      <c r="AB220" s="59" t="s">
        <v>689</v>
      </c>
      <c r="AC220" s="59" t="s">
        <v>208</v>
      </c>
      <c r="AD220" s="59" t="s">
        <v>208</v>
      </c>
      <c r="AE220" s="60" t="s">
        <v>2679</v>
      </c>
      <c r="AF220" s="60" t="s">
        <v>8474</v>
      </c>
      <c r="AG220" s="59" t="s">
        <v>8474</v>
      </c>
      <c r="AH220" s="59" t="s">
        <v>691</v>
      </c>
      <c r="AI220" s="59" t="s">
        <v>90</v>
      </c>
      <c r="AJ220" s="61" t="s">
        <v>2680</v>
      </c>
      <c r="AK220" s="60" t="s">
        <v>2681</v>
      </c>
      <c r="AL220" s="60" t="s">
        <v>8255</v>
      </c>
      <c r="AM220" s="59" t="s">
        <v>1728</v>
      </c>
      <c r="AN220" s="60"/>
      <c r="AO220" s="60"/>
      <c r="AP220" s="59" t="s">
        <v>2682</v>
      </c>
      <c r="AQ220" s="25" t="s">
        <v>756</v>
      </c>
      <c r="AR220" s="60" t="s">
        <v>2683</v>
      </c>
      <c r="AS220" s="59" t="s">
        <v>2684</v>
      </c>
      <c r="AT220" s="59" t="s">
        <v>141</v>
      </c>
      <c r="AU220" s="59" t="s">
        <v>111</v>
      </c>
      <c r="AV220" s="62">
        <v>40218</v>
      </c>
      <c r="AW220" s="59" t="s">
        <v>7982</v>
      </c>
      <c r="AX220" s="59" t="s">
        <v>691</v>
      </c>
      <c r="AY220" s="59" t="s">
        <v>90</v>
      </c>
      <c r="AZ220" s="126">
        <v>31298</v>
      </c>
      <c r="BA220" s="60" t="s">
        <v>2685</v>
      </c>
      <c r="BB220" s="60" t="s">
        <v>845</v>
      </c>
      <c r="BC220" s="59" t="s">
        <v>700</v>
      </c>
      <c r="BD220" s="60"/>
      <c r="BE220" s="60"/>
      <c r="BF220" s="60"/>
      <c r="BG220" s="59" t="s">
        <v>2682</v>
      </c>
      <c r="BH220" s="60" t="s">
        <v>756</v>
      </c>
      <c r="BI220" s="60" t="s">
        <v>2683</v>
      </c>
      <c r="BJ220" s="24" t="s">
        <v>2684</v>
      </c>
      <c r="BK220" s="59" t="s">
        <v>141</v>
      </c>
      <c r="BL220" s="59" t="s">
        <v>156</v>
      </c>
      <c r="BM220" s="24"/>
      <c r="BN220" s="24"/>
      <c r="BO220" s="59"/>
      <c r="BP220" s="59"/>
      <c r="BQ220" s="77"/>
      <c r="BR220" s="60"/>
      <c r="BS220" s="60"/>
      <c r="BT220" s="59"/>
      <c r="BU220" s="60"/>
      <c r="BV220" s="60"/>
      <c r="BW220" s="59"/>
      <c r="BX220" s="60"/>
      <c r="BY220" s="60"/>
      <c r="BZ220" s="59"/>
      <c r="CA220" s="59"/>
      <c r="CB220" s="59"/>
      <c r="CC220" s="59"/>
      <c r="CD220" s="59"/>
      <c r="CE220" s="59" t="s">
        <v>7510</v>
      </c>
      <c r="CF220" s="60" t="s">
        <v>756</v>
      </c>
      <c r="CG220" s="59" t="s">
        <v>7189</v>
      </c>
      <c r="CH220" s="59" t="s">
        <v>7190</v>
      </c>
      <c r="CI220" s="59" t="s">
        <v>90</v>
      </c>
      <c r="CJ220" s="59" t="s">
        <v>111</v>
      </c>
      <c r="CK220" s="47">
        <v>40218</v>
      </c>
      <c r="CL220" s="64" t="str">
        <f t="shared" ca="1" si="3"/>
        <v>17 Tahun 6 Bulan 26 Hari</v>
      </c>
      <c r="CM22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Bojong Haur RT/RW 02/09 Desa/Kelurahan Rahayu Kecamatan Margaasih Bandung Jawa Barat 40218</v>
      </c>
    </row>
    <row r="221" spans="1:91" ht="24.95" customHeight="1">
      <c r="A221" s="58">
        <f>SUBTOTAL(3,N$8:Table2[[#This Row],[Nama lengkap]])</f>
        <v>214</v>
      </c>
      <c r="B221" s="32" t="s">
        <v>86</v>
      </c>
      <c r="C221" s="58">
        <v>2020</v>
      </c>
      <c r="D221" s="58"/>
      <c r="E221" s="58">
        <v>4</v>
      </c>
      <c r="F221" s="58" t="s">
        <v>2512</v>
      </c>
      <c r="G221" s="32" t="s">
        <v>2513</v>
      </c>
      <c r="H221" s="32" t="s">
        <v>2513</v>
      </c>
      <c r="I221" s="32" t="s">
        <v>2513</v>
      </c>
      <c r="J221" s="32"/>
      <c r="K221" s="32"/>
      <c r="L221" s="32"/>
      <c r="M221" s="84">
        <v>20210148</v>
      </c>
      <c r="N221" s="31" t="s">
        <v>8810</v>
      </c>
      <c r="O221" s="31"/>
      <c r="P221" s="32" t="s">
        <v>2687</v>
      </c>
      <c r="Q221" s="32" t="s">
        <v>2688</v>
      </c>
      <c r="R221" s="64" t="s">
        <v>456</v>
      </c>
      <c r="S221" s="69" t="s">
        <v>2689</v>
      </c>
      <c r="T221" s="47" t="s">
        <v>92</v>
      </c>
      <c r="U221" s="58">
        <v>3</v>
      </c>
      <c r="V221" s="58">
        <v>3</v>
      </c>
      <c r="W221" s="47" t="s">
        <v>207</v>
      </c>
      <c r="X221" s="59" t="s">
        <v>984</v>
      </c>
      <c r="Y221" s="64" t="s">
        <v>1012</v>
      </c>
      <c r="Z221" s="64" t="s">
        <v>2023</v>
      </c>
      <c r="AA221" s="64" t="s">
        <v>96</v>
      </c>
      <c r="AB221" s="64" t="s">
        <v>689</v>
      </c>
      <c r="AC221" s="59" t="s">
        <v>208</v>
      </c>
      <c r="AD221" s="59" t="s">
        <v>208</v>
      </c>
      <c r="AE221" s="67" t="s">
        <v>2690</v>
      </c>
      <c r="AF221" s="67" t="s">
        <v>8475</v>
      </c>
      <c r="AG221" s="67" t="s">
        <v>8475</v>
      </c>
      <c r="AH221" s="64" t="s">
        <v>691</v>
      </c>
      <c r="AI221" s="64" t="s">
        <v>456</v>
      </c>
      <c r="AJ221" s="69" t="s">
        <v>2691</v>
      </c>
      <c r="AK221" s="67" t="s">
        <v>2692</v>
      </c>
      <c r="AL221" s="64" t="s">
        <v>8253</v>
      </c>
      <c r="AM221" s="67" t="s">
        <v>700</v>
      </c>
      <c r="AN221" s="67" t="s">
        <v>2693</v>
      </c>
      <c r="AO221" s="64"/>
      <c r="AP221" s="64" t="s">
        <v>2694</v>
      </c>
      <c r="AQ221" s="32" t="s">
        <v>1430</v>
      </c>
      <c r="AR221" s="64" t="s">
        <v>2579</v>
      </c>
      <c r="AS221" s="64" t="s">
        <v>1731</v>
      </c>
      <c r="AT221" s="64" t="s">
        <v>1165</v>
      </c>
      <c r="AU221" s="59" t="s">
        <v>111</v>
      </c>
      <c r="AV221" s="67">
        <v>40513</v>
      </c>
      <c r="AW221" s="67" t="s">
        <v>7983</v>
      </c>
      <c r="AX221" s="64" t="s">
        <v>691</v>
      </c>
      <c r="AY221" s="64" t="s">
        <v>3137</v>
      </c>
      <c r="AZ221" s="125">
        <v>27312</v>
      </c>
      <c r="BA221" s="67" t="s">
        <v>2695</v>
      </c>
      <c r="BB221" s="64" t="s">
        <v>845</v>
      </c>
      <c r="BC221" s="67" t="s">
        <v>700</v>
      </c>
      <c r="BD221" s="67" t="s">
        <v>2693</v>
      </c>
      <c r="BE221" s="64"/>
      <c r="BF221" s="64"/>
      <c r="BG221" s="64" t="s">
        <v>2694</v>
      </c>
      <c r="BH221" s="32" t="s">
        <v>1430</v>
      </c>
      <c r="BI221" s="64" t="s">
        <v>2579</v>
      </c>
      <c r="BJ221" s="64" t="s">
        <v>1731</v>
      </c>
      <c r="BK221" s="64" t="s">
        <v>1165</v>
      </c>
      <c r="BL221" s="59" t="s">
        <v>111</v>
      </c>
      <c r="BM221" s="67">
        <v>40513</v>
      </c>
      <c r="BN221" s="67"/>
      <c r="BO221" s="64" t="s">
        <v>719</v>
      </c>
      <c r="BP221" s="64"/>
      <c r="BQ221" s="135"/>
      <c r="BR221" s="67"/>
      <c r="BS221" s="64"/>
      <c r="BT221" s="67"/>
      <c r="BU221" s="67"/>
      <c r="BV221" s="64"/>
      <c r="BW221" s="64"/>
      <c r="BX221" s="67"/>
      <c r="BY221" s="64"/>
      <c r="BZ221" s="64"/>
      <c r="CA221" s="64"/>
      <c r="CB221" s="64"/>
      <c r="CC221" s="64"/>
      <c r="CD221" s="64"/>
      <c r="CE221" s="64" t="s">
        <v>7511</v>
      </c>
      <c r="CF221" s="67" t="s">
        <v>1430</v>
      </c>
      <c r="CG221" s="64" t="s">
        <v>7182</v>
      </c>
      <c r="CH221" s="64" t="s">
        <v>6812</v>
      </c>
      <c r="CI221" s="64" t="s">
        <v>456</v>
      </c>
      <c r="CJ221" s="64" t="s">
        <v>111</v>
      </c>
      <c r="CK221" s="58">
        <v>40513</v>
      </c>
      <c r="CL221" s="64" t="str">
        <f t="shared" ca="1" si="3"/>
        <v>20 Tahun 10 Bulan 29 Hari</v>
      </c>
      <c r="CM22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 Pasantren No.109 RT/RW 02/08 Desa/Kelurahan Cibabat Kecamatan Cimahi Utara Cimahi Jawa Barat 40513</v>
      </c>
    </row>
    <row r="222" spans="1:91" ht="24.95" customHeight="1">
      <c r="A222" s="58">
        <f>SUBTOTAL(3,N$8:Table2[[#This Row],[Nama lengkap]])</f>
        <v>215</v>
      </c>
      <c r="B222" s="32" t="s">
        <v>86</v>
      </c>
      <c r="C222" s="58">
        <v>2021</v>
      </c>
      <c r="D222" s="58"/>
      <c r="E222" s="58">
        <v>4</v>
      </c>
      <c r="F222" s="58" t="s">
        <v>2512</v>
      </c>
      <c r="G222" s="32" t="s">
        <v>2513</v>
      </c>
      <c r="H222" s="32" t="s">
        <v>2513</v>
      </c>
      <c r="I222" s="32" t="s">
        <v>2513</v>
      </c>
      <c r="J222" s="32"/>
      <c r="K222" s="32"/>
      <c r="L222" s="32"/>
      <c r="M222" s="85">
        <v>21220147</v>
      </c>
      <c r="N222" s="24" t="s">
        <v>8811</v>
      </c>
      <c r="O222" s="24"/>
      <c r="P222" s="25" t="s">
        <v>2696</v>
      </c>
      <c r="Q222" s="25" t="s">
        <v>2697</v>
      </c>
      <c r="R222" s="60" t="s">
        <v>90</v>
      </c>
      <c r="S222" s="61" t="s">
        <v>2698</v>
      </c>
      <c r="T222" s="47" t="s">
        <v>92</v>
      </c>
      <c r="U222" s="47">
        <v>3</v>
      </c>
      <c r="V222" s="47">
        <v>2</v>
      </c>
      <c r="W222" s="47" t="s">
        <v>207</v>
      </c>
      <c r="X222" s="59"/>
      <c r="Y222" s="59" t="s">
        <v>1012</v>
      </c>
      <c r="Z222" s="59" t="s">
        <v>2699</v>
      </c>
      <c r="AA222" s="59" t="s">
        <v>96</v>
      </c>
      <c r="AB222" s="59" t="s">
        <v>689</v>
      </c>
      <c r="AC222" s="59" t="s">
        <v>208</v>
      </c>
      <c r="AD222" s="59" t="s">
        <v>208</v>
      </c>
      <c r="AE222" s="60" t="s">
        <v>2700</v>
      </c>
      <c r="AF222" s="60" t="s">
        <v>8476</v>
      </c>
      <c r="AG222" s="59" t="s">
        <v>8476</v>
      </c>
      <c r="AH222" s="59" t="s">
        <v>691</v>
      </c>
      <c r="AI222" s="59" t="s">
        <v>388</v>
      </c>
      <c r="AJ222" s="61">
        <v>25913</v>
      </c>
      <c r="AK222" s="60" t="s">
        <v>2701</v>
      </c>
      <c r="AL222" s="60" t="s">
        <v>289</v>
      </c>
      <c r="AM222" s="59" t="s">
        <v>693</v>
      </c>
      <c r="AN222" s="60" t="s">
        <v>2702</v>
      </c>
      <c r="AO222" s="60"/>
      <c r="AP222" s="59" t="s">
        <v>2703</v>
      </c>
      <c r="AQ222" s="25" t="s">
        <v>2704</v>
      </c>
      <c r="AR222" s="60" t="s">
        <v>1528</v>
      </c>
      <c r="AS222" s="59" t="s">
        <v>1529</v>
      </c>
      <c r="AT222" s="59" t="s">
        <v>141</v>
      </c>
      <c r="AU222" s="59" t="s">
        <v>111</v>
      </c>
      <c r="AV222" s="62">
        <v>40379</v>
      </c>
      <c r="AW222" s="59" t="s">
        <v>7976</v>
      </c>
      <c r="AX222" s="59" t="s">
        <v>691</v>
      </c>
      <c r="AY222" s="59" t="s">
        <v>492</v>
      </c>
      <c r="AZ222" s="126">
        <v>27710</v>
      </c>
      <c r="BA222" s="60" t="s">
        <v>2705</v>
      </c>
      <c r="BB222" s="60" t="s">
        <v>845</v>
      </c>
      <c r="BC222" s="59" t="s">
        <v>2557</v>
      </c>
      <c r="BD222" s="60" t="s">
        <v>2702</v>
      </c>
      <c r="BE222" s="60"/>
      <c r="BF222" s="60"/>
      <c r="BG222" s="59" t="s">
        <v>2703</v>
      </c>
      <c r="BH222" s="25" t="s">
        <v>2704</v>
      </c>
      <c r="BI222" s="60" t="s">
        <v>1528</v>
      </c>
      <c r="BJ222" s="59" t="s">
        <v>1529</v>
      </c>
      <c r="BK222" s="59" t="s">
        <v>141</v>
      </c>
      <c r="BL222" s="59" t="s">
        <v>111</v>
      </c>
      <c r="BM222" s="62">
        <v>40379</v>
      </c>
      <c r="BN222" s="62"/>
      <c r="BO222" s="59" t="s">
        <v>701</v>
      </c>
      <c r="BP222" s="59"/>
      <c r="BQ222" s="77"/>
      <c r="BR222" s="60"/>
      <c r="BS222" s="60"/>
      <c r="BT222" s="59"/>
      <c r="BU222" s="60"/>
      <c r="BV222" s="60"/>
      <c r="BW222" s="59"/>
      <c r="BX222" s="60"/>
      <c r="BY222" s="60"/>
      <c r="BZ222" s="59"/>
      <c r="CA222" s="59"/>
      <c r="CB222" s="59"/>
      <c r="CC222" s="59"/>
      <c r="CD222" s="59"/>
      <c r="CE222" s="59" t="s">
        <v>7512</v>
      </c>
      <c r="CF222" s="60" t="s">
        <v>2704</v>
      </c>
      <c r="CG222" s="59" t="s">
        <v>7086</v>
      </c>
      <c r="CH222" s="59" t="s">
        <v>4835</v>
      </c>
      <c r="CI222" s="59" t="s">
        <v>90</v>
      </c>
      <c r="CJ222" s="59" t="s">
        <v>111</v>
      </c>
      <c r="CK222" s="47">
        <v>40379</v>
      </c>
      <c r="CL222" s="64" t="str">
        <f t="shared" ca="1" si="3"/>
        <v>17 Tahun 0 Bulan 5 Hari</v>
      </c>
      <c r="CM22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Kp.Kebon Kalapa RT/RW 04/03 Desa/Kelurahan Batukarut Kecamatan Arjasari Bandung Jawa Barat 40379</v>
      </c>
    </row>
    <row r="223" spans="1:91" ht="24.95" customHeight="1">
      <c r="A223" s="58">
        <f>SUBTOTAL(3,N$8:Table2[[#This Row],[Nama lengkap]])</f>
        <v>216</v>
      </c>
      <c r="B223" s="32" t="s">
        <v>86</v>
      </c>
      <c r="C223" s="58">
        <v>2020</v>
      </c>
      <c r="D223" s="58"/>
      <c r="E223" s="58">
        <v>4</v>
      </c>
      <c r="F223" s="58" t="s">
        <v>2512</v>
      </c>
      <c r="G223" s="32" t="s">
        <v>2513</v>
      </c>
      <c r="H223" s="32" t="s">
        <v>2513</v>
      </c>
      <c r="I223" s="32" t="s">
        <v>2513</v>
      </c>
      <c r="J223" s="32"/>
      <c r="K223" s="32"/>
      <c r="L223" s="32"/>
      <c r="M223" s="85">
        <v>20210177</v>
      </c>
      <c r="N223" s="24" t="s">
        <v>8812</v>
      </c>
      <c r="O223" s="24"/>
      <c r="P223" s="25" t="s">
        <v>2706</v>
      </c>
      <c r="Q223" s="25" t="s">
        <v>2707</v>
      </c>
      <c r="R223" s="60" t="s">
        <v>236</v>
      </c>
      <c r="S223" s="61" t="s">
        <v>2708</v>
      </c>
      <c r="T223" s="47" t="s">
        <v>92</v>
      </c>
      <c r="U223" s="47">
        <v>2</v>
      </c>
      <c r="V223" s="47">
        <v>2</v>
      </c>
      <c r="W223" s="47" t="s">
        <v>207</v>
      </c>
      <c r="X223" s="59"/>
      <c r="Y223" s="59" t="s">
        <v>1385</v>
      </c>
      <c r="Z223" s="59" t="s">
        <v>1591</v>
      </c>
      <c r="AA223" s="59" t="s">
        <v>96</v>
      </c>
      <c r="AB223" s="59" t="s">
        <v>689</v>
      </c>
      <c r="AC223" s="59" t="s">
        <v>208</v>
      </c>
      <c r="AD223" s="59" t="s">
        <v>208</v>
      </c>
      <c r="AE223" s="60" t="s">
        <v>2709</v>
      </c>
      <c r="AF223" s="60" t="s">
        <v>8477</v>
      </c>
      <c r="AG223" s="59" t="s">
        <v>8477</v>
      </c>
      <c r="AH223" s="59" t="s">
        <v>691</v>
      </c>
      <c r="AI223" s="59" t="s">
        <v>236</v>
      </c>
      <c r="AJ223" s="61" t="s">
        <v>2710</v>
      </c>
      <c r="AK223" s="60" t="s">
        <v>2711</v>
      </c>
      <c r="AL223" s="60" t="s">
        <v>8255</v>
      </c>
      <c r="AM223" s="59" t="s">
        <v>800</v>
      </c>
      <c r="AN223" s="60" t="s">
        <v>2712</v>
      </c>
      <c r="AO223" s="60"/>
      <c r="AP223" s="59" t="s">
        <v>2713</v>
      </c>
      <c r="AQ223" s="25" t="s">
        <v>2714</v>
      </c>
      <c r="AR223" s="60" t="s">
        <v>2715</v>
      </c>
      <c r="AS223" s="59" t="s">
        <v>2716</v>
      </c>
      <c r="AT223" s="59" t="s">
        <v>512</v>
      </c>
      <c r="AU223" s="59" t="s">
        <v>111</v>
      </c>
      <c r="AV223" s="62">
        <v>44152</v>
      </c>
      <c r="AW223" s="59" t="s">
        <v>7984</v>
      </c>
      <c r="AX223" s="59" t="s">
        <v>691</v>
      </c>
      <c r="AY223" s="59" t="s">
        <v>236</v>
      </c>
      <c r="AZ223" s="126" t="s">
        <v>2717</v>
      </c>
      <c r="BA223" s="60" t="s">
        <v>2718</v>
      </c>
      <c r="BB223" s="60" t="s">
        <v>845</v>
      </c>
      <c r="BC223" s="59" t="s">
        <v>800</v>
      </c>
      <c r="BD223" s="60" t="s">
        <v>2712</v>
      </c>
      <c r="BE223" s="60"/>
      <c r="BF223" s="60"/>
      <c r="BG223" s="59" t="s">
        <v>2713</v>
      </c>
      <c r="BH223" s="25" t="s">
        <v>2714</v>
      </c>
      <c r="BI223" s="60" t="s">
        <v>2715</v>
      </c>
      <c r="BJ223" s="59" t="s">
        <v>2716</v>
      </c>
      <c r="BK223" s="59" t="s">
        <v>512</v>
      </c>
      <c r="BL223" s="59" t="s">
        <v>111</v>
      </c>
      <c r="BM223" s="62">
        <v>44152</v>
      </c>
      <c r="BN223" s="62"/>
      <c r="BO223" s="59" t="s">
        <v>719</v>
      </c>
      <c r="BP223" s="59"/>
      <c r="BQ223" s="77"/>
      <c r="BR223" s="60"/>
      <c r="BS223" s="60"/>
      <c r="BT223" s="59"/>
      <c r="BU223" s="60"/>
      <c r="BV223" s="60"/>
      <c r="BW223" s="59"/>
      <c r="BX223" s="60"/>
      <c r="BY223" s="60"/>
      <c r="BZ223" s="59"/>
      <c r="CA223" s="59"/>
      <c r="CB223" s="59"/>
      <c r="CC223" s="59"/>
      <c r="CD223" s="59"/>
      <c r="CE223" s="59" t="s">
        <v>7513</v>
      </c>
      <c r="CF223" s="60" t="s">
        <v>2714</v>
      </c>
      <c r="CG223" s="59" t="s">
        <v>7191</v>
      </c>
      <c r="CH223" s="59" t="s">
        <v>7192</v>
      </c>
      <c r="CI223" s="59" t="s">
        <v>236</v>
      </c>
      <c r="CJ223" s="59" t="s">
        <v>111</v>
      </c>
      <c r="CK223" s="47">
        <v>44152</v>
      </c>
      <c r="CL223" s="64" t="str">
        <f t="shared" ca="1" si="3"/>
        <v>17 Tahun 8 Bulan 12 Hari</v>
      </c>
      <c r="CM22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Kp.Babakan Suama RT/RW 01/05 Desa/Kelurahan Jangkurang Kecamatan Leles Garut Jawa Barat 44152</v>
      </c>
    </row>
    <row r="224" spans="1:91" ht="24.95" customHeight="1">
      <c r="A224" s="58">
        <f>SUBTOTAL(3,N$8:Table2[[#This Row],[Nama lengkap]])</f>
        <v>217</v>
      </c>
      <c r="B224" s="32" t="s">
        <v>86</v>
      </c>
      <c r="C224" s="58">
        <v>2020</v>
      </c>
      <c r="D224" s="58"/>
      <c r="E224" s="58">
        <v>4</v>
      </c>
      <c r="F224" s="58" t="s">
        <v>2512</v>
      </c>
      <c r="G224" s="32" t="s">
        <v>2513</v>
      </c>
      <c r="H224" s="32" t="s">
        <v>2513</v>
      </c>
      <c r="I224" s="32" t="s">
        <v>2513</v>
      </c>
      <c r="J224" s="32"/>
      <c r="K224" s="32"/>
      <c r="L224" s="32"/>
      <c r="M224" s="58">
        <v>20210187</v>
      </c>
      <c r="N224" s="24" t="s">
        <v>8813</v>
      </c>
      <c r="O224" s="24"/>
      <c r="P224" s="25" t="s">
        <v>2727</v>
      </c>
      <c r="Q224" s="25" t="s">
        <v>2728</v>
      </c>
      <c r="R224" s="60" t="s">
        <v>90</v>
      </c>
      <c r="S224" s="61" t="s">
        <v>2729</v>
      </c>
      <c r="T224" s="47" t="s">
        <v>92</v>
      </c>
      <c r="U224" s="47">
        <v>1</v>
      </c>
      <c r="V224" s="47">
        <v>2</v>
      </c>
      <c r="W224" s="47" t="s">
        <v>207</v>
      </c>
      <c r="X224" s="59"/>
      <c r="Y224" s="59" t="s">
        <v>2722</v>
      </c>
      <c r="Z224" s="59" t="s">
        <v>2730</v>
      </c>
      <c r="AA224" s="59" t="s">
        <v>96</v>
      </c>
      <c r="AB224" s="59" t="s">
        <v>689</v>
      </c>
      <c r="AC224" s="59" t="s">
        <v>208</v>
      </c>
      <c r="AD224" s="59" t="s">
        <v>208</v>
      </c>
      <c r="AE224" s="60" t="s">
        <v>2731</v>
      </c>
      <c r="AF224" s="60" t="s">
        <v>8478</v>
      </c>
      <c r="AG224" s="59" t="s">
        <v>8478</v>
      </c>
      <c r="AH224" s="59" t="s">
        <v>691</v>
      </c>
      <c r="AI224" s="59" t="s">
        <v>135</v>
      </c>
      <c r="AJ224" s="61">
        <v>30020</v>
      </c>
      <c r="AK224" s="60" t="s">
        <v>2732</v>
      </c>
      <c r="AL224" s="60" t="s">
        <v>8255</v>
      </c>
      <c r="AM224" s="59" t="s">
        <v>800</v>
      </c>
      <c r="AN224" s="60"/>
      <c r="AO224" s="60"/>
      <c r="AP224" s="59" t="s">
        <v>2733</v>
      </c>
      <c r="AQ224" s="25" t="s">
        <v>2628</v>
      </c>
      <c r="AR224" s="60" t="s">
        <v>2629</v>
      </c>
      <c r="AS224" s="59" t="s">
        <v>2630</v>
      </c>
      <c r="AT224" s="59" t="s">
        <v>1706</v>
      </c>
      <c r="AU224" s="59" t="s">
        <v>111</v>
      </c>
      <c r="AV224" s="62">
        <v>40116</v>
      </c>
      <c r="AW224" s="59" t="s">
        <v>7985</v>
      </c>
      <c r="AX224" s="59" t="s">
        <v>691</v>
      </c>
      <c r="AY224" s="59" t="s">
        <v>90</v>
      </c>
      <c r="AZ224" s="126" t="s">
        <v>2734</v>
      </c>
      <c r="BA224" s="60" t="s">
        <v>2735</v>
      </c>
      <c r="BB224" s="60" t="s">
        <v>845</v>
      </c>
      <c r="BC224" s="59" t="s">
        <v>700</v>
      </c>
      <c r="BD224" s="60"/>
      <c r="BE224" s="60"/>
      <c r="BF224" s="60"/>
      <c r="BG224" s="59" t="s">
        <v>2733</v>
      </c>
      <c r="BH224" s="60" t="s">
        <v>2628</v>
      </c>
      <c r="BI224" s="60" t="s">
        <v>2629</v>
      </c>
      <c r="BJ224" s="24" t="s">
        <v>2630</v>
      </c>
      <c r="BK224" s="59" t="s">
        <v>1706</v>
      </c>
      <c r="BL224" s="59" t="s">
        <v>156</v>
      </c>
      <c r="BM224" s="24">
        <v>45352</v>
      </c>
      <c r="BN224" s="24"/>
      <c r="BO224" s="59"/>
      <c r="BP224" s="59"/>
      <c r="BQ224" s="77"/>
      <c r="BR224" s="60"/>
      <c r="BS224" s="60"/>
      <c r="BT224" s="59"/>
      <c r="BU224" s="60"/>
      <c r="BV224" s="60"/>
      <c r="BW224" s="59"/>
      <c r="BX224" s="60"/>
      <c r="BY224" s="60"/>
      <c r="BZ224" s="59"/>
      <c r="CA224" s="59"/>
      <c r="CB224" s="59"/>
      <c r="CC224" s="59"/>
      <c r="CD224" s="59"/>
      <c r="CE224" s="59" t="s">
        <v>7514</v>
      </c>
      <c r="CF224" s="60" t="s">
        <v>2628</v>
      </c>
      <c r="CG224" s="59" t="s">
        <v>7185</v>
      </c>
      <c r="CH224" s="59" t="s">
        <v>7186</v>
      </c>
      <c r="CI224" s="59" t="s">
        <v>644</v>
      </c>
      <c r="CJ224" s="59" t="s">
        <v>111</v>
      </c>
      <c r="CK224" s="47">
        <v>40116</v>
      </c>
      <c r="CL224" s="64" t="str">
        <f t="shared" ca="1" si="3"/>
        <v>17 Tahun 6 Bulan 7 Hari</v>
      </c>
      <c r="CM22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Jl.Lingga Wastu No.14 RT/RW 02/16 Desa/Kelurahan Tamansari Kecamatan Bandung Wetan Kota Bandung Jawa Barat 40116</v>
      </c>
    </row>
    <row r="225" spans="1:91" ht="24.95" customHeight="1">
      <c r="A225" s="58">
        <f>SUBTOTAL(3,N$8:Table2[[#This Row],[Nama lengkap]])</f>
        <v>218</v>
      </c>
      <c r="B225" s="32" t="s">
        <v>86</v>
      </c>
      <c r="C225" s="58">
        <v>2020</v>
      </c>
      <c r="D225" s="58"/>
      <c r="E225" s="58">
        <v>4</v>
      </c>
      <c r="F225" s="58" t="s">
        <v>2512</v>
      </c>
      <c r="G225" s="32" t="s">
        <v>2513</v>
      </c>
      <c r="H225" s="32" t="s">
        <v>2513</v>
      </c>
      <c r="I225" s="32" t="s">
        <v>2513</v>
      </c>
      <c r="J225" s="32"/>
      <c r="K225" s="32"/>
      <c r="L225" s="32"/>
      <c r="M225" s="84">
        <v>20210132</v>
      </c>
      <c r="N225" s="24" t="s">
        <v>8814</v>
      </c>
      <c r="O225" s="24"/>
      <c r="P225" s="25" t="s">
        <v>2737</v>
      </c>
      <c r="Q225" s="25" t="s">
        <v>2738</v>
      </c>
      <c r="R225" s="60" t="s">
        <v>122</v>
      </c>
      <c r="S225" s="61" t="s">
        <v>2739</v>
      </c>
      <c r="T225" s="47" t="s">
        <v>92</v>
      </c>
      <c r="U225" s="47">
        <v>1</v>
      </c>
      <c r="V225" s="47">
        <v>1</v>
      </c>
      <c r="W225" s="47" t="s">
        <v>207</v>
      </c>
      <c r="X225" s="59" t="s">
        <v>984</v>
      </c>
      <c r="Y225" s="59" t="s">
        <v>984</v>
      </c>
      <c r="Z225" s="59" t="s">
        <v>1093</v>
      </c>
      <c r="AA225" s="59" t="s">
        <v>96</v>
      </c>
      <c r="AB225" s="59" t="s">
        <v>689</v>
      </c>
      <c r="AC225" s="59" t="s">
        <v>208</v>
      </c>
      <c r="AD225" s="59" t="s">
        <v>208</v>
      </c>
      <c r="AE225" s="60" t="s">
        <v>2740</v>
      </c>
      <c r="AF225" s="60" t="s">
        <v>8479</v>
      </c>
      <c r="AG225" s="59" t="s">
        <v>8479</v>
      </c>
      <c r="AH225" s="59" t="s">
        <v>691</v>
      </c>
      <c r="AI225" s="59" t="s">
        <v>122</v>
      </c>
      <c r="AJ225" s="61" t="s">
        <v>2741</v>
      </c>
      <c r="AK225" s="60" t="s">
        <v>2742</v>
      </c>
      <c r="AL225" s="60" t="s">
        <v>8255</v>
      </c>
      <c r="AM225" s="59" t="s">
        <v>700</v>
      </c>
      <c r="AN225" s="60" t="s">
        <v>2743</v>
      </c>
      <c r="AO225" s="60"/>
      <c r="AP225" s="59" t="s">
        <v>2744</v>
      </c>
      <c r="AQ225" s="25" t="s">
        <v>1017</v>
      </c>
      <c r="AR225" s="60" t="s">
        <v>2745</v>
      </c>
      <c r="AS225" s="59" t="s">
        <v>1212</v>
      </c>
      <c r="AT225" s="59" t="s">
        <v>1090</v>
      </c>
      <c r="AU225" s="59" t="s">
        <v>111</v>
      </c>
      <c r="AV225" s="62">
        <v>45353</v>
      </c>
      <c r="AW225" s="59" t="s">
        <v>7986</v>
      </c>
      <c r="AX225" s="59" t="s">
        <v>691</v>
      </c>
      <c r="AY225" s="59" t="s">
        <v>122</v>
      </c>
      <c r="AZ225" s="126">
        <v>31993</v>
      </c>
      <c r="BA225" s="60" t="s">
        <v>2746</v>
      </c>
      <c r="BB225" s="60" t="s">
        <v>7773</v>
      </c>
      <c r="BC225" s="59" t="s">
        <v>700</v>
      </c>
      <c r="BD225" s="60" t="s">
        <v>2743</v>
      </c>
      <c r="BE225" s="60"/>
      <c r="BF225" s="60"/>
      <c r="BG225" s="59" t="s">
        <v>2744</v>
      </c>
      <c r="BH225" s="25" t="s">
        <v>1017</v>
      </c>
      <c r="BI225" s="60" t="s">
        <v>2745</v>
      </c>
      <c r="BJ225" s="59" t="s">
        <v>1212</v>
      </c>
      <c r="BK225" s="59" t="s">
        <v>1090</v>
      </c>
      <c r="BL225" s="59" t="s">
        <v>111</v>
      </c>
      <c r="BM225" s="62">
        <v>45353</v>
      </c>
      <c r="BN225" s="62"/>
      <c r="BO225" s="59" t="s">
        <v>719</v>
      </c>
      <c r="BP225" s="59"/>
      <c r="BQ225" s="77"/>
      <c r="BR225" s="60"/>
      <c r="BS225" s="60"/>
      <c r="BT225" s="59"/>
      <c r="BU225" s="60"/>
      <c r="BV225" s="60"/>
      <c r="BW225" s="59"/>
      <c r="BX225" s="60"/>
      <c r="BY225" s="60"/>
      <c r="BZ225" s="59"/>
      <c r="CA225" s="59"/>
      <c r="CB225" s="59"/>
      <c r="CC225" s="59"/>
      <c r="CD225" s="59"/>
      <c r="CE225" s="59" t="s">
        <v>7515</v>
      </c>
      <c r="CF225" s="60" t="s">
        <v>1017</v>
      </c>
      <c r="CG225" s="59" t="s">
        <v>7193</v>
      </c>
      <c r="CH225" s="59" t="s">
        <v>497</v>
      </c>
      <c r="CI225" s="59" t="s">
        <v>122</v>
      </c>
      <c r="CJ225" s="59" t="s">
        <v>111</v>
      </c>
      <c r="CK225" s="47">
        <v>45353</v>
      </c>
      <c r="CL225" s="64" t="str">
        <f t="shared" ca="1" si="3"/>
        <v>18 Tahun 2 Bulan 20 Hari</v>
      </c>
      <c r="CM22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Dsn.Sirnamurni  RT/RW 01/04 Desa/Kelurahan Cibeureum Wetan Kecamatan Cimalaka Sumedang Jawa Barat 45353</v>
      </c>
    </row>
    <row r="226" spans="1:91" ht="24.95" customHeight="1">
      <c r="A226" s="58">
        <f>SUBTOTAL(3,N$8:Table2[[#This Row],[Nama lengkap]])</f>
        <v>219</v>
      </c>
      <c r="B226" s="32" t="s">
        <v>86</v>
      </c>
      <c r="C226" s="58">
        <v>2020</v>
      </c>
      <c r="D226" s="58"/>
      <c r="E226" s="58">
        <v>4</v>
      </c>
      <c r="F226" s="58" t="s">
        <v>2512</v>
      </c>
      <c r="G226" s="32" t="s">
        <v>2513</v>
      </c>
      <c r="H226" s="32" t="s">
        <v>2513</v>
      </c>
      <c r="I226" s="32" t="s">
        <v>2513</v>
      </c>
      <c r="J226" s="32"/>
      <c r="K226" s="32"/>
      <c r="L226" s="32"/>
      <c r="M226" s="58">
        <v>20210227</v>
      </c>
      <c r="N226" s="24" t="s">
        <v>6023</v>
      </c>
      <c r="O226" s="24"/>
      <c r="P226" s="25" t="s">
        <v>2747</v>
      </c>
      <c r="Q226" s="25" t="s">
        <v>2748</v>
      </c>
      <c r="R226" s="60" t="s">
        <v>122</v>
      </c>
      <c r="S226" s="61" t="s">
        <v>2749</v>
      </c>
      <c r="T226" s="47" t="s">
        <v>92</v>
      </c>
      <c r="U226" s="47">
        <v>2</v>
      </c>
      <c r="V226" s="47">
        <v>3</v>
      </c>
      <c r="W226" s="47" t="s">
        <v>207</v>
      </c>
      <c r="X226" s="59"/>
      <c r="Y226" s="59" t="s">
        <v>2722</v>
      </c>
      <c r="Z226" s="59"/>
      <c r="AA226" s="59" t="s">
        <v>96</v>
      </c>
      <c r="AB226" s="59" t="s">
        <v>689</v>
      </c>
      <c r="AC226" s="59" t="s">
        <v>208</v>
      </c>
      <c r="AD226" s="59" t="s">
        <v>208</v>
      </c>
      <c r="AE226" s="60" t="s">
        <v>2750</v>
      </c>
      <c r="AF226" s="60" t="s">
        <v>6875</v>
      </c>
      <c r="AG226" s="59" t="s">
        <v>6875</v>
      </c>
      <c r="AH226" s="59" t="s">
        <v>691</v>
      </c>
      <c r="AI226" s="59" t="s">
        <v>122</v>
      </c>
      <c r="AJ226" s="61">
        <v>29963</v>
      </c>
      <c r="AK226" s="60" t="s">
        <v>2751</v>
      </c>
      <c r="AL226" s="60" t="s">
        <v>8256</v>
      </c>
      <c r="AM226" s="59" t="s">
        <v>693</v>
      </c>
      <c r="AN226" s="60"/>
      <c r="AO226" s="60"/>
      <c r="AP226" s="59" t="s">
        <v>2752</v>
      </c>
      <c r="AQ226" s="25" t="s">
        <v>1334</v>
      </c>
      <c r="AR226" s="60" t="s">
        <v>2753</v>
      </c>
      <c r="AS226" s="59" t="s">
        <v>1324</v>
      </c>
      <c r="AT226" s="59" t="s">
        <v>1090</v>
      </c>
      <c r="AU226" s="59" t="s">
        <v>111</v>
      </c>
      <c r="AV226" s="62">
        <v>45352</v>
      </c>
      <c r="AW226" s="59" t="s">
        <v>7987</v>
      </c>
      <c r="AX226" s="59" t="s">
        <v>691</v>
      </c>
      <c r="AY226" s="59" t="s">
        <v>236</v>
      </c>
      <c r="AZ226" s="126" t="s">
        <v>2754</v>
      </c>
      <c r="BA226" s="60" t="s">
        <v>2755</v>
      </c>
      <c r="BB226" s="60" t="s">
        <v>845</v>
      </c>
      <c r="BC226" s="59" t="s">
        <v>2557</v>
      </c>
      <c r="BD226" s="60"/>
      <c r="BE226" s="60"/>
      <c r="BF226" s="60"/>
      <c r="BG226" s="59" t="s">
        <v>2752</v>
      </c>
      <c r="BH226" s="60" t="s">
        <v>1334</v>
      </c>
      <c r="BI226" s="60" t="s">
        <v>2753</v>
      </c>
      <c r="BJ226" s="24" t="s">
        <v>1324</v>
      </c>
      <c r="BK226" s="59" t="s">
        <v>1090</v>
      </c>
      <c r="BL226" s="59" t="s">
        <v>156</v>
      </c>
      <c r="BM226" s="24">
        <v>40375</v>
      </c>
      <c r="BN226" s="24"/>
      <c r="BO226" s="59"/>
      <c r="BP226" s="59"/>
      <c r="BQ226" s="77"/>
      <c r="BR226" s="60"/>
      <c r="BS226" s="60"/>
      <c r="BT226" s="59"/>
      <c r="BU226" s="60"/>
      <c r="BV226" s="60"/>
      <c r="BW226" s="59"/>
      <c r="BX226" s="60"/>
      <c r="BY226" s="60"/>
      <c r="BZ226" s="59"/>
      <c r="CA226" s="59"/>
      <c r="CB226" s="59"/>
      <c r="CC226" s="59"/>
      <c r="CD226" s="59"/>
      <c r="CE226" s="59" t="s">
        <v>7516</v>
      </c>
      <c r="CF226" s="60" t="s">
        <v>1334</v>
      </c>
      <c r="CG226" s="59" t="s">
        <v>7194</v>
      </c>
      <c r="CH226" s="59" t="s">
        <v>134</v>
      </c>
      <c r="CI226" s="59" t="s">
        <v>122</v>
      </c>
      <c r="CJ226" s="59" t="s">
        <v>111</v>
      </c>
      <c r="CK226" s="47">
        <v>45352</v>
      </c>
      <c r="CL226" s="64" t="str">
        <f t="shared" ca="1" si="3"/>
        <v>17 Tahun 4 Bulan 6 Hari</v>
      </c>
      <c r="CM22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Cibitung RT/RW 02/06 Desa/Kelurahan Sirnamulya Kecamatan Sumedang Utara Sumedang Jawa Barat 45352</v>
      </c>
    </row>
    <row r="227" spans="1:91" ht="24.95" customHeight="1">
      <c r="A227" s="58">
        <f>SUBTOTAL(3,N$8:Table2[[#This Row],[Nama lengkap]])</f>
        <v>220</v>
      </c>
      <c r="B227" s="32" t="s">
        <v>86</v>
      </c>
      <c r="C227" s="58">
        <v>2021</v>
      </c>
      <c r="D227" s="58"/>
      <c r="E227" s="58">
        <v>4</v>
      </c>
      <c r="F227" s="58" t="s">
        <v>2512</v>
      </c>
      <c r="G227" s="32" t="s">
        <v>2513</v>
      </c>
      <c r="H227" s="32" t="s">
        <v>2513</v>
      </c>
      <c r="I227" s="32" t="s">
        <v>2513</v>
      </c>
      <c r="J227" s="32"/>
      <c r="K227" s="32"/>
      <c r="L227" s="32"/>
      <c r="M227" s="58">
        <v>21220155</v>
      </c>
      <c r="N227" s="24" t="s">
        <v>8815</v>
      </c>
      <c r="O227" s="24"/>
      <c r="P227" s="25" t="s">
        <v>2757</v>
      </c>
      <c r="Q227" s="25" t="s">
        <v>2758</v>
      </c>
      <c r="R227" s="60" t="s">
        <v>90</v>
      </c>
      <c r="S227" s="61" t="s">
        <v>2759</v>
      </c>
      <c r="T227" s="47" t="s">
        <v>92</v>
      </c>
      <c r="U227" s="47">
        <v>1</v>
      </c>
      <c r="V227" s="47">
        <v>2</v>
      </c>
      <c r="W227" s="47" t="s">
        <v>207</v>
      </c>
      <c r="X227" s="59" t="s">
        <v>984</v>
      </c>
      <c r="Y227" s="59" t="s">
        <v>984</v>
      </c>
      <c r="Z227" s="59" t="s">
        <v>984</v>
      </c>
      <c r="AA227" s="59" t="s">
        <v>1141</v>
      </c>
      <c r="AB227" s="59" t="s">
        <v>689</v>
      </c>
      <c r="AC227" s="59" t="s">
        <v>208</v>
      </c>
      <c r="AD227" s="59" t="s">
        <v>208</v>
      </c>
      <c r="AE227" s="60" t="s">
        <v>2760</v>
      </c>
      <c r="AF227" s="60" t="s">
        <v>8370</v>
      </c>
      <c r="AG227" s="59" t="s">
        <v>8370</v>
      </c>
      <c r="AH227" s="59" t="s">
        <v>691</v>
      </c>
      <c r="AI227" s="59" t="s">
        <v>90</v>
      </c>
      <c r="AJ227" s="61">
        <v>28906</v>
      </c>
      <c r="AK227" s="60" t="s">
        <v>2761</v>
      </c>
      <c r="AL227" s="60" t="s">
        <v>289</v>
      </c>
      <c r="AM227" s="59" t="s">
        <v>800</v>
      </c>
      <c r="AN227" s="60"/>
      <c r="AO227" s="60"/>
      <c r="AP227" s="59" t="s">
        <v>2762</v>
      </c>
      <c r="AQ227" s="25" t="s">
        <v>2545</v>
      </c>
      <c r="AR227" s="60" t="s">
        <v>2763</v>
      </c>
      <c r="AS227" s="59" t="s">
        <v>771</v>
      </c>
      <c r="AT227" s="59" t="s">
        <v>141</v>
      </c>
      <c r="AU227" s="59" t="s">
        <v>111</v>
      </c>
      <c r="AV227" s="62">
        <v>40374</v>
      </c>
      <c r="AW227" s="59" t="s">
        <v>7988</v>
      </c>
      <c r="AX227" s="59" t="s">
        <v>691</v>
      </c>
      <c r="AY227" s="59" t="s">
        <v>90</v>
      </c>
      <c r="AZ227" s="126">
        <v>30786</v>
      </c>
      <c r="BA227" s="60" t="s">
        <v>2764</v>
      </c>
      <c r="BB227" s="60" t="s">
        <v>845</v>
      </c>
      <c r="BC227" s="59" t="s">
        <v>2765</v>
      </c>
      <c r="BD227" s="60"/>
      <c r="BE227" s="60"/>
      <c r="BF227" s="60"/>
      <c r="BG227" s="59" t="s">
        <v>2762</v>
      </c>
      <c r="BH227" s="60" t="s">
        <v>2545</v>
      </c>
      <c r="BI227" s="60" t="s">
        <v>2763</v>
      </c>
      <c r="BJ227" s="24" t="s">
        <v>771</v>
      </c>
      <c r="BK227" s="59" t="s">
        <v>141</v>
      </c>
      <c r="BL227" s="59" t="s">
        <v>156</v>
      </c>
      <c r="BM227" s="24" t="s">
        <v>1664</v>
      </c>
      <c r="BN227" s="24"/>
      <c r="BO227" s="59"/>
      <c r="BP227" s="59"/>
      <c r="BQ227" s="77"/>
      <c r="BR227" s="60"/>
      <c r="BS227" s="60"/>
      <c r="BT227" s="59"/>
      <c r="BU227" s="60"/>
      <c r="BV227" s="60"/>
      <c r="BW227" s="59"/>
      <c r="BX227" s="60"/>
      <c r="BY227" s="60"/>
      <c r="BZ227" s="59"/>
      <c r="CA227" s="59"/>
      <c r="CB227" s="59"/>
      <c r="CC227" s="59"/>
      <c r="CD227" s="59"/>
      <c r="CE227" s="59" t="s">
        <v>7517</v>
      </c>
      <c r="CF227" s="60" t="s">
        <v>2545</v>
      </c>
      <c r="CG227" s="59" t="s">
        <v>7195</v>
      </c>
      <c r="CH227" s="59" t="s">
        <v>7030</v>
      </c>
      <c r="CI227" s="59" t="s">
        <v>90</v>
      </c>
      <c r="CJ227" s="59" t="s">
        <v>111</v>
      </c>
      <c r="CK227" s="47">
        <v>40374</v>
      </c>
      <c r="CL227" s="64" t="str">
        <f t="shared" ca="1" si="3"/>
        <v>18 Tahun 9 Bulan 1 Hari</v>
      </c>
      <c r="CM22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Perum Bukit Jagabaya Asri RT/RW 04/17 Desa/Kelurahan Jagabaya Kecamatan Cimaung Bandung Jawa Barat 40374</v>
      </c>
    </row>
    <row r="228" spans="1:91" ht="24.95" customHeight="1">
      <c r="A228" s="58">
        <f>SUBTOTAL(3,N$8:Table2[[#This Row],[Nama lengkap]])</f>
        <v>221</v>
      </c>
      <c r="B228" s="32" t="s">
        <v>86</v>
      </c>
      <c r="C228" s="58">
        <v>2021</v>
      </c>
      <c r="D228" s="58"/>
      <c r="E228" s="58">
        <v>4</v>
      </c>
      <c r="F228" s="58" t="s">
        <v>2512</v>
      </c>
      <c r="G228" s="32" t="s">
        <v>2513</v>
      </c>
      <c r="H228" s="32" t="s">
        <v>2513</v>
      </c>
      <c r="I228" s="32" t="s">
        <v>2513</v>
      </c>
      <c r="J228" s="32"/>
      <c r="K228" s="32"/>
      <c r="L228" s="32"/>
      <c r="M228" s="84">
        <v>21220072</v>
      </c>
      <c r="N228" s="24" t="s">
        <v>6026</v>
      </c>
      <c r="O228" s="24"/>
      <c r="P228" s="25" t="s">
        <v>2766</v>
      </c>
      <c r="Q228" s="25" t="s">
        <v>2767</v>
      </c>
      <c r="R228" s="60" t="s">
        <v>7294</v>
      </c>
      <c r="S228" s="61" t="s">
        <v>2769</v>
      </c>
      <c r="T228" s="47" t="s">
        <v>92</v>
      </c>
      <c r="U228" s="47">
        <v>2</v>
      </c>
      <c r="V228" s="47">
        <v>3</v>
      </c>
      <c r="W228" s="47" t="s">
        <v>207</v>
      </c>
      <c r="X228" s="59"/>
      <c r="Y228" s="59"/>
      <c r="Z228" s="59"/>
      <c r="AA228" s="59" t="s">
        <v>96</v>
      </c>
      <c r="AB228" s="59" t="s">
        <v>689</v>
      </c>
      <c r="AC228" s="59" t="s">
        <v>208</v>
      </c>
      <c r="AD228" s="59" t="s">
        <v>208</v>
      </c>
      <c r="AE228" s="60" t="s">
        <v>2770</v>
      </c>
      <c r="AF228" s="60" t="s">
        <v>8480</v>
      </c>
      <c r="AG228" s="59" t="s">
        <v>8480</v>
      </c>
      <c r="AH228" s="59" t="s">
        <v>691</v>
      </c>
      <c r="AI228" s="59" t="s">
        <v>90</v>
      </c>
      <c r="AJ228" s="61">
        <v>28616</v>
      </c>
      <c r="AK228" s="60" t="s">
        <v>2771</v>
      </c>
      <c r="AL228" s="60" t="s">
        <v>289</v>
      </c>
      <c r="AM228" s="59" t="s">
        <v>800</v>
      </c>
      <c r="AN228" s="60" t="s">
        <v>2772</v>
      </c>
      <c r="AO228" s="60"/>
      <c r="AP228" s="59" t="s">
        <v>2773</v>
      </c>
      <c r="AQ228" s="25" t="s">
        <v>213</v>
      </c>
      <c r="AR228" s="60" t="s">
        <v>2774</v>
      </c>
      <c r="AS228" s="59" t="s">
        <v>2775</v>
      </c>
      <c r="AT228" s="59" t="s">
        <v>141</v>
      </c>
      <c r="AU228" s="59" t="s">
        <v>111</v>
      </c>
      <c r="AV228" s="62">
        <v>40376</v>
      </c>
      <c r="AW228" s="59" t="s">
        <v>7989</v>
      </c>
      <c r="AX228" s="59" t="s">
        <v>691</v>
      </c>
      <c r="AY228" s="59" t="s">
        <v>222</v>
      </c>
      <c r="AZ228" s="126">
        <v>28802</v>
      </c>
      <c r="BA228" s="60" t="s">
        <v>2776</v>
      </c>
      <c r="BB228" s="60" t="s">
        <v>845</v>
      </c>
      <c r="BC228" s="59" t="s">
        <v>800</v>
      </c>
      <c r="BD228" s="60" t="s">
        <v>2772</v>
      </c>
      <c r="BE228" s="60"/>
      <c r="BF228" s="60"/>
      <c r="BG228" s="59" t="s">
        <v>2773</v>
      </c>
      <c r="BH228" s="25" t="s">
        <v>213</v>
      </c>
      <c r="BI228" s="60" t="s">
        <v>2774</v>
      </c>
      <c r="BJ228" s="59" t="s">
        <v>2775</v>
      </c>
      <c r="BK228" s="59" t="s">
        <v>141</v>
      </c>
      <c r="BL228" s="59" t="s">
        <v>111</v>
      </c>
      <c r="BM228" s="62">
        <v>40376</v>
      </c>
      <c r="BN228" s="62"/>
      <c r="BO228" s="59" t="s">
        <v>719</v>
      </c>
      <c r="BP228" s="59"/>
      <c r="BQ228" s="77"/>
      <c r="BR228" s="60"/>
      <c r="BS228" s="60"/>
      <c r="BT228" s="59"/>
      <c r="BU228" s="60"/>
      <c r="BV228" s="60"/>
      <c r="BW228" s="59"/>
      <c r="BX228" s="60"/>
      <c r="BY228" s="60"/>
      <c r="BZ228" s="59"/>
      <c r="CA228" s="59"/>
      <c r="CB228" s="59"/>
      <c r="CC228" s="59"/>
      <c r="CD228" s="59"/>
      <c r="CE228" s="59" t="s">
        <v>7518</v>
      </c>
      <c r="CF228" s="60" t="s">
        <v>213</v>
      </c>
      <c r="CG228" s="59" t="s">
        <v>7196</v>
      </c>
      <c r="CH228" s="59" t="s">
        <v>7197</v>
      </c>
      <c r="CI228" s="59" t="s">
        <v>90</v>
      </c>
      <c r="CJ228" s="59" t="s">
        <v>111</v>
      </c>
      <c r="CK228" s="47">
        <v>40376</v>
      </c>
      <c r="CL228" s="64" t="str">
        <f t="shared" ca="1" si="3"/>
        <v>17 Tahun 7 Bulan 13 Hari</v>
      </c>
      <c r="CM22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Kp.Babakan Mekar RT/RW 01/14 Desa/Kelurahan Langonsari Kecamatan Pameumpeuk Bandung Jawa Barat 40376</v>
      </c>
    </row>
    <row r="229" spans="1:91" ht="24.95" customHeight="1">
      <c r="A229" s="58">
        <f>SUBTOTAL(3,N$8:Table2[[#This Row],[Nama lengkap]])</f>
        <v>222</v>
      </c>
      <c r="B229" s="32" t="s">
        <v>86</v>
      </c>
      <c r="C229" s="58">
        <v>2023</v>
      </c>
      <c r="D229" s="58"/>
      <c r="E229" s="58">
        <v>4</v>
      </c>
      <c r="F229" s="58" t="s">
        <v>2512</v>
      </c>
      <c r="G229" s="32" t="s">
        <v>2513</v>
      </c>
      <c r="H229" s="32" t="s">
        <v>2513</v>
      </c>
      <c r="I229" s="32" t="s">
        <v>2513</v>
      </c>
      <c r="J229" s="32"/>
      <c r="K229" s="32"/>
      <c r="L229" s="32"/>
      <c r="M229" s="58">
        <v>23240095</v>
      </c>
      <c r="N229" s="24" t="s">
        <v>6027</v>
      </c>
      <c r="O229" s="24"/>
      <c r="P229" s="25" t="s">
        <v>2777</v>
      </c>
      <c r="Q229" s="25" t="s">
        <v>2778</v>
      </c>
      <c r="R229" s="60" t="s">
        <v>6846</v>
      </c>
      <c r="S229" s="61" t="s">
        <v>2779</v>
      </c>
      <c r="T229" s="47" t="s">
        <v>92</v>
      </c>
      <c r="U229" s="47">
        <v>2</v>
      </c>
      <c r="V229" s="47">
        <v>2</v>
      </c>
      <c r="W229" s="47" t="s">
        <v>207</v>
      </c>
      <c r="X229" s="59"/>
      <c r="Y229" s="59"/>
      <c r="Z229" s="59"/>
      <c r="AA229" s="59" t="s">
        <v>1141</v>
      </c>
      <c r="AB229" s="59"/>
      <c r="AC229" s="59" t="s">
        <v>208</v>
      </c>
      <c r="AD229" s="59" t="s">
        <v>208</v>
      </c>
      <c r="AE229" s="60" t="s">
        <v>2780</v>
      </c>
      <c r="AF229" s="60" t="s">
        <v>8481</v>
      </c>
      <c r="AG229" s="59" t="s">
        <v>8481</v>
      </c>
      <c r="AH229" s="59" t="s">
        <v>2781</v>
      </c>
      <c r="AI229" s="59" t="s">
        <v>122</v>
      </c>
      <c r="AJ229" s="61" t="s">
        <v>2782</v>
      </c>
      <c r="AK229" s="60" t="s">
        <v>2783</v>
      </c>
      <c r="AL229" s="60" t="s">
        <v>602</v>
      </c>
      <c r="AM229" s="59" t="s">
        <v>800</v>
      </c>
      <c r="AN229" s="60"/>
      <c r="AO229" s="60"/>
      <c r="AP229" s="59" t="s">
        <v>2784</v>
      </c>
      <c r="AQ229" s="25" t="s">
        <v>2785</v>
      </c>
      <c r="AR229" s="60" t="s">
        <v>2786</v>
      </c>
      <c r="AS229" s="59" t="s">
        <v>2787</v>
      </c>
      <c r="AT229" s="59" t="s">
        <v>1868</v>
      </c>
      <c r="AU229" s="59" t="s">
        <v>111</v>
      </c>
      <c r="AV229" s="62">
        <v>17155</v>
      </c>
      <c r="AW229" s="59" t="s">
        <v>7990</v>
      </c>
      <c r="AX229" s="59" t="s">
        <v>2781</v>
      </c>
      <c r="AY229" s="59" t="s">
        <v>135</v>
      </c>
      <c r="AZ229" s="126" t="s">
        <v>2788</v>
      </c>
      <c r="BA229" s="60" t="s">
        <v>2778</v>
      </c>
      <c r="BB229" s="60" t="s">
        <v>114</v>
      </c>
      <c r="BC229" s="59" t="s">
        <v>800</v>
      </c>
      <c r="BD229" s="60"/>
      <c r="BE229" s="60"/>
      <c r="BF229" s="60"/>
      <c r="BG229" s="59" t="s">
        <v>2784</v>
      </c>
      <c r="BH229" s="60" t="s">
        <v>2785</v>
      </c>
      <c r="BI229" s="60" t="s">
        <v>2786</v>
      </c>
      <c r="BJ229" s="24" t="s">
        <v>2787</v>
      </c>
      <c r="BK229" s="59" t="s">
        <v>1868</v>
      </c>
      <c r="BL229" s="59" t="s">
        <v>156</v>
      </c>
      <c r="BM229" s="62" t="s">
        <v>1664</v>
      </c>
      <c r="BN229" s="62"/>
      <c r="BO229" s="59"/>
      <c r="BP229" s="59"/>
      <c r="BQ229" s="77"/>
      <c r="BR229" s="60"/>
      <c r="BS229" s="60"/>
      <c r="BT229" s="59"/>
      <c r="BU229" s="60"/>
      <c r="BV229" s="60"/>
      <c r="BW229" s="59"/>
      <c r="BX229" s="60"/>
      <c r="BY229" s="60"/>
      <c r="BZ229" s="59"/>
      <c r="CA229" s="59"/>
      <c r="CB229" s="59"/>
      <c r="CC229" s="59"/>
      <c r="CD229" s="59"/>
      <c r="CE229" s="59" t="s">
        <v>7519</v>
      </c>
      <c r="CF229" s="60" t="s">
        <v>2785</v>
      </c>
      <c r="CG229" s="59" t="s">
        <v>7198</v>
      </c>
      <c r="CH229" s="59" t="s">
        <v>7199</v>
      </c>
      <c r="CI229" s="59" t="s">
        <v>6744</v>
      </c>
      <c r="CJ229" s="59" t="s">
        <v>111</v>
      </c>
      <c r="CK229" s="47">
        <v>17155</v>
      </c>
      <c r="CL229" s="64" t="str">
        <f t="shared" ca="1" si="3"/>
        <v>18 Tahun 2 Bulan 19 Hari</v>
      </c>
      <c r="CM22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Bekasi Timur Regensi Blok H 8/12 RT/RW 09/16 Desa/Kelurahan Cimuning Kecamatan Mustika Jaya Kota Bekasi Jawa Barat 17155</v>
      </c>
    </row>
    <row r="230" spans="1:91" ht="24.95" customHeight="1">
      <c r="A230" s="58">
        <f>SUBTOTAL(3,N$8:Table2[[#This Row],[Nama lengkap]])</f>
        <v>223</v>
      </c>
      <c r="B230" s="32" t="s">
        <v>86</v>
      </c>
      <c r="C230" s="58">
        <v>2021</v>
      </c>
      <c r="D230" s="58"/>
      <c r="E230" s="58">
        <v>4</v>
      </c>
      <c r="F230" s="58" t="s">
        <v>2512</v>
      </c>
      <c r="G230" s="32" t="s">
        <v>2513</v>
      </c>
      <c r="H230" s="32" t="s">
        <v>2513</v>
      </c>
      <c r="I230" s="32" t="s">
        <v>2513</v>
      </c>
      <c r="J230" s="32"/>
      <c r="K230" s="32"/>
      <c r="L230" s="32"/>
      <c r="M230" s="58">
        <v>21220040</v>
      </c>
      <c r="N230" s="24" t="s">
        <v>8816</v>
      </c>
      <c r="O230" s="24"/>
      <c r="P230" s="25" t="s">
        <v>2789</v>
      </c>
      <c r="Q230" s="25" t="s">
        <v>2790</v>
      </c>
      <c r="R230" s="60" t="s">
        <v>90</v>
      </c>
      <c r="S230" s="61" t="s">
        <v>2791</v>
      </c>
      <c r="T230" s="47" t="s">
        <v>92</v>
      </c>
      <c r="U230" s="47">
        <v>4</v>
      </c>
      <c r="V230" s="47">
        <v>4</v>
      </c>
      <c r="W230" s="47" t="s">
        <v>207</v>
      </c>
      <c r="X230" s="59"/>
      <c r="Y230" s="59" t="s">
        <v>2792</v>
      </c>
      <c r="Z230" s="59"/>
      <c r="AA230" s="59" t="s">
        <v>96</v>
      </c>
      <c r="AB230" s="59" t="s">
        <v>689</v>
      </c>
      <c r="AC230" s="59" t="s">
        <v>208</v>
      </c>
      <c r="AD230" s="59" t="s">
        <v>208</v>
      </c>
      <c r="AE230" s="60" t="s">
        <v>2793</v>
      </c>
      <c r="AF230" s="60" t="s">
        <v>8482</v>
      </c>
      <c r="AG230" s="59" t="s">
        <v>8482</v>
      </c>
      <c r="AH230" s="59" t="s">
        <v>691</v>
      </c>
      <c r="AI230" s="59" t="s">
        <v>90</v>
      </c>
      <c r="AJ230" s="61">
        <v>29834</v>
      </c>
      <c r="AK230" s="60" t="s">
        <v>2794</v>
      </c>
      <c r="AL230" s="60" t="s">
        <v>8255</v>
      </c>
      <c r="AM230" s="59" t="s">
        <v>800</v>
      </c>
      <c r="AN230" s="60"/>
      <c r="AO230" s="60"/>
      <c r="AP230" s="59" t="s">
        <v>2795</v>
      </c>
      <c r="AQ230" s="25" t="s">
        <v>1441</v>
      </c>
      <c r="AR230" s="60" t="s">
        <v>1131</v>
      </c>
      <c r="AS230" s="59" t="s">
        <v>955</v>
      </c>
      <c r="AT230" s="59" t="s">
        <v>141</v>
      </c>
      <c r="AU230" s="59" t="s">
        <v>111</v>
      </c>
      <c r="AV230" s="62">
        <v>40912</v>
      </c>
      <c r="AW230" s="59" t="s">
        <v>7991</v>
      </c>
      <c r="AX230" s="59" t="s">
        <v>691</v>
      </c>
      <c r="AY230" s="59" t="s">
        <v>90</v>
      </c>
      <c r="AZ230" s="126" t="s">
        <v>2796</v>
      </c>
      <c r="BA230" s="60" t="s">
        <v>2797</v>
      </c>
      <c r="BB230" s="60" t="s">
        <v>845</v>
      </c>
      <c r="BC230" s="59" t="s">
        <v>800</v>
      </c>
      <c r="BD230" s="60"/>
      <c r="BE230" s="60"/>
      <c r="BF230" s="60"/>
      <c r="BG230" s="59" t="s">
        <v>2798</v>
      </c>
      <c r="BH230" s="60" t="s">
        <v>1441</v>
      </c>
      <c r="BI230" s="60" t="s">
        <v>1131</v>
      </c>
      <c r="BJ230" s="24" t="s">
        <v>955</v>
      </c>
      <c r="BK230" s="59" t="s">
        <v>141</v>
      </c>
      <c r="BL230" s="59" t="s">
        <v>156</v>
      </c>
      <c r="BM230" s="62" t="s">
        <v>1664</v>
      </c>
      <c r="BN230" s="62"/>
      <c r="BO230" s="59"/>
      <c r="BP230" s="59"/>
      <c r="BQ230" s="77"/>
      <c r="BR230" s="60"/>
      <c r="BS230" s="60"/>
      <c r="BT230" s="59"/>
      <c r="BU230" s="60"/>
      <c r="BV230" s="60"/>
      <c r="BW230" s="59"/>
      <c r="BX230" s="60"/>
      <c r="BY230" s="60"/>
      <c r="BZ230" s="59"/>
      <c r="CA230" s="59"/>
      <c r="CB230" s="59"/>
      <c r="CC230" s="59"/>
      <c r="CD230" s="59"/>
      <c r="CE230" s="59" t="s">
        <v>7520</v>
      </c>
      <c r="CF230" s="60" t="s">
        <v>1441</v>
      </c>
      <c r="CG230" s="59" t="s">
        <v>7051</v>
      </c>
      <c r="CH230" s="59" t="s">
        <v>7039</v>
      </c>
      <c r="CI230" s="59" t="s">
        <v>90</v>
      </c>
      <c r="CJ230" s="59" t="s">
        <v>111</v>
      </c>
      <c r="CK230" s="47">
        <v>40912</v>
      </c>
      <c r="CL230" s="64" t="str">
        <f t="shared" ca="1" si="3"/>
        <v>16 Tahun 9 Bulan 29 Hari</v>
      </c>
      <c r="CM23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Kmp.Cigembreng RT/RW 01/06 Desa/Kelurahan Pamekaran Kecamatan Soreang Bandung Jawa Barat 40912</v>
      </c>
    </row>
    <row r="231" spans="1:91" ht="24.95" customHeight="1">
      <c r="A231" s="58">
        <f>SUBTOTAL(3,N$8:Table2[[#This Row],[Nama lengkap]])</f>
        <v>224</v>
      </c>
      <c r="B231" s="58" t="s">
        <v>86</v>
      </c>
      <c r="C231" s="58">
        <v>2020</v>
      </c>
      <c r="D231" s="58"/>
      <c r="E231" s="58">
        <v>4</v>
      </c>
      <c r="F231" s="58" t="s">
        <v>2512</v>
      </c>
      <c r="G231" s="32" t="s">
        <v>2513</v>
      </c>
      <c r="H231" s="32" t="s">
        <v>2513</v>
      </c>
      <c r="I231" s="32" t="s">
        <v>2513</v>
      </c>
      <c r="J231" s="32"/>
      <c r="K231" s="32"/>
      <c r="L231" s="32"/>
      <c r="M231" s="58">
        <v>20210180</v>
      </c>
      <c r="N231" s="24" t="s">
        <v>6029</v>
      </c>
      <c r="O231" s="24"/>
      <c r="P231" s="25" t="s">
        <v>2799</v>
      </c>
      <c r="Q231" s="25" t="s">
        <v>2800</v>
      </c>
      <c r="R231" s="60" t="s">
        <v>90</v>
      </c>
      <c r="S231" s="61" t="s">
        <v>2801</v>
      </c>
      <c r="T231" s="47" t="s">
        <v>92</v>
      </c>
      <c r="U231" s="47">
        <v>2</v>
      </c>
      <c r="V231" s="47">
        <v>2</v>
      </c>
      <c r="W231" s="47" t="s">
        <v>207</v>
      </c>
      <c r="X231" s="59"/>
      <c r="Y231" s="59" t="s">
        <v>2792</v>
      </c>
      <c r="Z231" s="59" t="s">
        <v>2802</v>
      </c>
      <c r="AA231" s="59" t="s">
        <v>1141</v>
      </c>
      <c r="AB231" s="59" t="s">
        <v>689</v>
      </c>
      <c r="AC231" s="59" t="s">
        <v>208</v>
      </c>
      <c r="AD231" s="59" t="s">
        <v>208</v>
      </c>
      <c r="AE231" s="60" t="s">
        <v>2803</v>
      </c>
      <c r="AF231" s="60" t="s">
        <v>8483</v>
      </c>
      <c r="AG231" s="59" t="s">
        <v>90</v>
      </c>
      <c r="AH231" s="59" t="s">
        <v>691</v>
      </c>
      <c r="AI231" s="59" t="s">
        <v>90</v>
      </c>
      <c r="AJ231" s="61">
        <v>28373</v>
      </c>
      <c r="AK231" s="60" t="s">
        <v>2804</v>
      </c>
      <c r="AL231" s="60" t="s">
        <v>602</v>
      </c>
      <c r="AM231" s="59" t="s">
        <v>1728</v>
      </c>
      <c r="AN231" s="60"/>
      <c r="AO231" s="60"/>
      <c r="AP231" s="59" t="s">
        <v>2805</v>
      </c>
      <c r="AQ231" s="25" t="s">
        <v>1430</v>
      </c>
      <c r="AR231" s="60" t="s">
        <v>955</v>
      </c>
      <c r="AS231" s="59" t="s">
        <v>955</v>
      </c>
      <c r="AT231" s="59" t="s">
        <v>141</v>
      </c>
      <c r="AU231" s="59" t="s">
        <v>111</v>
      </c>
      <c r="AV231" s="62">
        <v>40911</v>
      </c>
      <c r="AW231" s="59" t="s">
        <v>7992</v>
      </c>
      <c r="AX231" s="59" t="s">
        <v>691</v>
      </c>
      <c r="AY231" s="59" t="s">
        <v>122</v>
      </c>
      <c r="AZ231" s="126">
        <v>28617</v>
      </c>
      <c r="BA231" s="60" t="s">
        <v>2806</v>
      </c>
      <c r="BB231" s="60" t="s">
        <v>845</v>
      </c>
      <c r="BC231" s="59" t="s">
        <v>2807</v>
      </c>
      <c r="BD231" s="60"/>
      <c r="BE231" s="60"/>
      <c r="BF231" s="60"/>
      <c r="BG231" s="59" t="s">
        <v>2805</v>
      </c>
      <c r="BH231" s="60" t="s">
        <v>1430</v>
      </c>
      <c r="BI231" s="60" t="s">
        <v>955</v>
      </c>
      <c r="BJ231" s="24" t="s">
        <v>955</v>
      </c>
      <c r="BK231" s="59" t="s">
        <v>141</v>
      </c>
      <c r="BL231" s="59" t="s">
        <v>156</v>
      </c>
      <c r="BM231" s="62" t="s">
        <v>1664</v>
      </c>
      <c r="BN231" s="62"/>
      <c r="BO231" s="59"/>
      <c r="BP231" s="59"/>
      <c r="BQ231" s="77"/>
      <c r="BR231" s="60"/>
      <c r="BS231" s="60"/>
      <c r="BT231" s="59"/>
      <c r="BU231" s="60"/>
      <c r="BV231" s="60"/>
      <c r="BW231" s="59"/>
      <c r="BX231" s="60"/>
      <c r="BY231" s="60"/>
      <c r="BZ231" s="59"/>
      <c r="CA231" s="59"/>
      <c r="CB231" s="59"/>
      <c r="CC231" s="59"/>
      <c r="CD231" s="59"/>
      <c r="CE231" s="59" t="s">
        <v>7521</v>
      </c>
      <c r="CF231" s="60" t="s">
        <v>1430</v>
      </c>
      <c r="CG231" s="59" t="s">
        <v>7039</v>
      </c>
      <c r="CH231" s="59" t="s">
        <v>7039</v>
      </c>
      <c r="CI231" s="59" t="s">
        <v>90</v>
      </c>
      <c r="CJ231" s="59" t="s">
        <v>111</v>
      </c>
      <c r="CK231" s="47">
        <v>40911</v>
      </c>
      <c r="CL231" s="64" t="str">
        <f t="shared" ca="1" si="3"/>
        <v>18 Tahun 0 Bulan 3 Hari</v>
      </c>
      <c r="CM23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Kmp.Cihaur RT/RW 02/08 Desa/Kelurahan Soreang Kecamatan Soreang Bandung Jawa Barat 40911</v>
      </c>
    </row>
    <row r="232" spans="1:91" ht="24.95" customHeight="1">
      <c r="A232" s="58">
        <f>SUBTOTAL(3,N$8:Table2[[#This Row],[Nama lengkap]])</f>
        <v>225</v>
      </c>
      <c r="B232" s="58" t="s">
        <v>86</v>
      </c>
      <c r="C232" s="58">
        <v>2021</v>
      </c>
      <c r="D232" s="58"/>
      <c r="E232" s="58">
        <v>4</v>
      </c>
      <c r="F232" s="58" t="s">
        <v>2512</v>
      </c>
      <c r="G232" s="32" t="s">
        <v>2513</v>
      </c>
      <c r="H232" s="32" t="s">
        <v>2513</v>
      </c>
      <c r="I232" s="32" t="s">
        <v>2513</v>
      </c>
      <c r="J232" s="32"/>
      <c r="K232" s="32"/>
      <c r="L232" s="32"/>
      <c r="M232" s="58">
        <v>21220028</v>
      </c>
      <c r="N232" s="24" t="s">
        <v>8817</v>
      </c>
      <c r="O232" s="24"/>
      <c r="P232" s="25" t="s">
        <v>2808</v>
      </c>
      <c r="Q232" s="25" t="s">
        <v>2809</v>
      </c>
      <c r="R232" s="60" t="s">
        <v>122</v>
      </c>
      <c r="S232" s="61" t="s">
        <v>2810</v>
      </c>
      <c r="T232" s="47" t="s">
        <v>92</v>
      </c>
      <c r="U232" s="47">
        <v>1</v>
      </c>
      <c r="V232" s="47">
        <v>1</v>
      </c>
      <c r="W232" s="47" t="s">
        <v>207</v>
      </c>
      <c r="X232" s="59"/>
      <c r="Y232" s="59" t="s">
        <v>1012</v>
      </c>
      <c r="Z232" s="59" t="s">
        <v>1093</v>
      </c>
      <c r="AA232" s="59" t="s">
        <v>96</v>
      </c>
      <c r="AB232" s="59" t="s">
        <v>689</v>
      </c>
      <c r="AC232" s="59" t="s">
        <v>208</v>
      </c>
      <c r="AD232" s="59" t="s">
        <v>208</v>
      </c>
      <c r="AE232" s="60" t="s">
        <v>2811</v>
      </c>
      <c r="AF232" s="60" t="s">
        <v>8484</v>
      </c>
      <c r="AG232" s="59" t="s">
        <v>8484</v>
      </c>
      <c r="AH232" s="59" t="s">
        <v>691</v>
      </c>
      <c r="AI232" s="59" t="s">
        <v>90</v>
      </c>
      <c r="AJ232" s="61" t="s">
        <v>2812</v>
      </c>
      <c r="AK232" s="60" t="s">
        <v>2813</v>
      </c>
      <c r="AL232" s="60" t="s">
        <v>602</v>
      </c>
      <c r="AM232" s="59" t="s">
        <v>800</v>
      </c>
      <c r="AN232" s="60"/>
      <c r="AO232" s="60"/>
      <c r="AP232" s="59" t="s">
        <v>2814</v>
      </c>
      <c r="AQ232" s="25" t="s">
        <v>2815</v>
      </c>
      <c r="AR232" s="60" t="s">
        <v>2816</v>
      </c>
      <c r="AS232" s="59" t="s">
        <v>1924</v>
      </c>
      <c r="AT232" s="59" t="s">
        <v>1706</v>
      </c>
      <c r="AU232" s="59" t="s">
        <v>111</v>
      </c>
      <c r="AV232" s="62">
        <v>40291</v>
      </c>
      <c r="AW232" s="59" t="s">
        <v>7993</v>
      </c>
      <c r="AX232" s="59" t="s">
        <v>691</v>
      </c>
      <c r="AY232" s="59" t="s">
        <v>388</v>
      </c>
      <c r="AZ232" s="126" t="s">
        <v>2817</v>
      </c>
      <c r="BA232" s="60" t="s">
        <v>2818</v>
      </c>
      <c r="BB232" s="60" t="s">
        <v>602</v>
      </c>
      <c r="BC232" s="59" t="s">
        <v>800</v>
      </c>
      <c r="BD232" s="60"/>
      <c r="BE232" s="60"/>
      <c r="BF232" s="60"/>
      <c r="BG232" s="59" t="s">
        <v>2814</v>
      </c>
      <c r="BH232" s="60" t="s">
        <v>227</v>
      </c>
      <c r="BI232" s="60" t="s">
        <v>2816</v>
      </c>
      <c r="BJ232" s="24" t="s">
        <v>1924</v>
      </c>
      <c r="BK232" s="59" t="s">
        <v>1706</v>
      </c>
      <c r="BL232" s="59" t="s">
        <v>156</v>
      </c>
      <c r="BM232" s="62" t="s">
        <v>1664</v>
      </c>
      <c r="BN232" s="62"/>
      <c r="BO232" s="59"/>
      <c r="BP232" s="59"/>
      <c r="BQ232" s="77"/>
      <c r="BR232" s="60"/>
      <c r="BS232" s="60"/>
      <c r="BT232" s="59"/>
      <c r="BU232" s="60"/>
      <c r="BV232" s="60"/>
      <c r="BW232" s="59"/>
      <c r="BX232" s="60"/>
      <c r="BY232" s="60"/>
      <c r="BZ232" s="59"/>
      <c r="CA232" s="59"/>
      <c r="CB232" s="59"/>
      <c r="CC232" s="59"/>
      <c r="CD232" s="59"/>
      <c r="CE232" s="59" t="s">
        <v>7522</v>
      </c>
      <c r="CF232" s="60" t="s">
        <v>2815</v>
      </c>
      <c r="CG232" s="59" t="s">
        <v>7200</v>
      </c>
      <c r="CH232" s="59" t="s">
        <v>7123</v>
      </c>
      <c r="CI232" s="59" t="s">
        <v>644</v>
      </c>
      <c r="CJ232" s="59" t="s">
        <v>111</v>
      </c>
      <c r="CK232" s="47">
        <v>40291</v>
      </c>
      <c r="CL232" s="64" t="str">
        <f t="shared" ca="1" si="3"/>
        <v>17 Tahun 3 Bulan 8 Hari</v>
      </c>
      <c r="CM23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Sukanegla RT/RW 06/01 Desa/Kelurahan Antapani Kulon Kecamatan Antapani Kota Bandung Jawa Barat 40291</v>
      </c>
    </row>
    <row r="233" spans="1:91" ht="24.95" customHeight="1">
      <c r="A233" s="58">
        <f>SUBTOTAL(3,N$8:Table2[[#This Row],[Nama lengkap]])</f>
        <v>226</v>
      </c>
      <c r="B233" s="58" t="s">
        <v>86</v>
      </c>
      <c r="C233" s="58">
        <v>2020</v>
      </c>
      <c r="D233" s="58"/>
      <c r="E233" s="58">
        <v>4</v>
      </c>
      <c r="F233" s="58" t="s">
        <v>2512</v>
      </c>
      <c r="G233" s="32" t="s">
        <v>2513</v>
      </c>
      <c r="H233" s="32" t="s">
        <v>2513</v>
      </c>
      <c r="I233" s="32" t="s">
        <v>2513</v>
      </c>
      <c r="J233" s="32"/>
      <c r="K233" s="32"/>
      <c r="L233" s="32"/>
      <c r="M233" s="58">
        <v>20210213</v>
      </c>
      <c r="N233" s="24" t="s">
        <v>6031</v>
      </c>
      <c r="O233" s="24"/>
      <c r="P233" s="25" t="s">
        <v>2819</v>
      </c>
      <c r="Q233" s="25" t="s">
        <v>2820</v>
      </c>
      <c r="R233" s="60" t="s">
        <v>90</v>
      </c>
      <c r="S233" s="61" t="s">
        <v>2821</v>
      </c>
      <c r="T233" s="47" t="s">
        <v>92</v>
      </c>
      <c r="U233" s="47">
        <v>2</v>
      </c>
      <c r="V233" s="47">
        <v>1</v>
      </c>
      <c r="W233" s="47" t="s">
        <v>207</v>
      </c>
      <c r="X233" s="59"/>
      <c r="Y233" s="59"/>
      <c r="Z233" s="59"/>
      <c r="AA233" s="59" t="s">
        <v>96</v>
      </c>
      <c r="AB233" s="59" t="s">
        <v>689</v>
      </c>
      <c r="AC233" s="59" t="s">
        <v>208</v>
      </c>
      <c r="AD233" s="59" t="s">
        <v>208</v>
      </c>
      <c r="AE233" s="60" t="s">
        <v>2822</v>
      </c>
      <c r="AF233" s="60" t="s">
        <v>8485</v>
      </c>
      <c r="AG233" s="59" t="s">
        <v>8485</v>
      </c>
      <c r="AH233" s="59" t="s">
        <v>691</v>
      </c>
      <c r="AI233" s="59" t="s">
        <v>388</v>
      </c>
      <c r="AJ233" s="61" t="s">
        <v>2823</v>
      </c>
      <c r="AK233" s="60" t="s">
        <v>2824</v>
      </c>
      <c r="AL233" s="60" t="s">
        <v>8255</v>
      </c>
      <c r="AM233" s="59" t="s">
        <v>800</v>
      </c>
      <c r="AN233" s="60"/>
      <c r="AO233" s="60"/>
      <c r="AP233" s="59" t="s">
        <v>2825</v>
      </c>
      <c r="AQ233" s="25" t="s">
        <v>2714</v>
      </c>
      <c r="AR233" s="60" t="s">
        <v>2826</v>
      </c>
      <c r="AS233" s="59" t="s">
        <v>263</v>
      </c>
      <c r="AT233" s="59" t="s">
        <v>1706</v>
      </c>
      <c r="AU233" s="59" t="s">
        <v>111</v>
      </c>
      <c r="AV233" s="62">
        <v>40227</v>
      </c>
      <c r="AW233" s="59" t="s">
        <v>7994</v>
      </c>
      <c r="AX233" s="59" t="s">
        <v>691</v>
      </c>
      <c r="AY233" s="59" t="s">
        <v>90</v>
      </c>
      <c r="AZ233" s="126" t="s">
        <v>1980</v>
      </c>
      <c r="BA233" s="60" t="s">
        <v>2827</v>
      </c>
      <c r="BB233" s="60" t="s">
        <v>114</v>
      </c>
      <c r="BC233" s="59" t="s">
        <v>800</v>
      </c>
      <c r="BD233" s="60"/>
      <c r="BE233" s="60"/>
      <c r="BF233" s="60"/>
      <c r="BG233" s="59" t="s">
        <v>2825</v>
      </c>
      <c r="BH233" s="60" t="s">
        <v>2714</v>
      </c>
      <c r="BI233" s="60" t="s">
        <v>2826</v>
      </c>
      <c r="BJ233" s="24" t="s">
        <v>263</v>
      </c>
      <c r="BK233" s="59" t="s">
        <v>1706</v>
      </c>
      <c r="BL233" s="59" t="s">
        <v>156</v>
      </c>
      <c r="BM233" s="62" t="s">
        <v>1664</v>
      </c>
      <c r="BN233" s="62"/>
      <c r="BO233" s="59"/>
      <c r="BP233" s="59"/>
      <c r="BQ233" s="77"/>
      <c r="BR233" s="60"/>
      <c r="BS233" s="60"/>
      <c r="BT233" s="59"/>
      <c r="BU233" s="60"/>
      <c r="BV233" s="60"/>
      <c r="BW233" s="59"/>
      <c r="BX233" s="60"/>
      <c r="BY233" s="60"/>
      <c r="BZ233" s="59"/>
      <c r="CA233" s="59"/>
      <c r="CB233" s="59"/>
      <c r="CC233" s="59"/>
      <c r="CD233" s="59"/>
      <c r="CE233" s="59" t="s">
        <v>7523</v>
      </c>
      <c r="CF233" s="60" t="s">
        <v>2714</v>
      </c>
      <c r="CG233" s="59" t="s">
        <v>7201</v>
      </c>
      <c r="CH233" s="59" t="s">
        <v>6984</v>
      </c>
      <c r="CI233" s="59" t="s">
        <v>644</v>
      </c>
      <c r="CJ233" s="59" t="s">
        <v>111</v>
      </c>
      <c r="CK233" s="47">
        <v>40227</v>
      </c>
      <c r="CL233" s="64" t="str">
        <f t="shared" ca="1" si="3"/>
        <v>17 Tahun 7 Bulan 20 Hari</v>
      </c>
      <c r="CM23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Jl.Cibolerang No.23 RT/RW 01/05 Desa/Kelurahan Margasuka Kecamatan Babakan Ciparay Kota Bandung Jawa Barat 40227</v>
      </c>
    </row>
    <row r="234" spans="1:91" ht="24.95" customHeight="1">
      <c r="A234" s="58">
        <f>SUBTOTAL(3,N$8:Table2[[#This Row],[Nama lengkap]])</f>
        <v>227</v>
      </c>
      <c r="B234" s="58" t="s">
        <v>86</v>
      </c>
      <c r="C234" s="58">
        <v>2020</v>
      </c>
      <c r="D234" s="58"/>
      <c r="E234" s="58">
        <v>4</v>
      </c>
      <c r="F234" s="58" t="s">
        <v>2512</v>
      </c>
      <c r="G234" s="32" t="s">
        <v>2513</v>
      </c>
      <c r="H234" s="32" t="s">
        <v>2513</v>
      </c>
      <c r="I234" s="32" t="s">
        <v>2513</v>
      </c>
      <c r="J234" s="32"/>
      <c r="K234" s="32"/>
      <c r="L234" s="32"/>
      <c r="M234" s="58">
        <v>20210238</v>
      </c>
      <c r="N234" s="24" t="s">
        <v>8818</v>
      </c>
      <c r="O234" s="24"/>
      <c r="P234" s="25" t="s">
        <v>2828</v>
      </c>
      <c r="Q234" s="25" t="s">
        <v>2829</v>
      </c>
      <c r="R234" s="60" t="s">
        <v>122</v>
      </c>
      <c r="S234" s="61" t="s">
        <v>2729</v>
      </c>
      <c r="T234" s="47" t="s">
        <v>92</v>
      </c>
      <c r="U234" s="47">
        <v>2</v>
      </c>
      <c r="V234" s="47">
        <v>3</v>
      </c>
      <c r="W234" s="47" t="s">
        <v>207</v>
      </c>
      <c r="X234" s="59"/>
      <c r="Y234" s="59" t="s">
        <v>1247</v>
      </c>
      <c r="Z234" s="59"/>
      <c r="AA234" s="59" t="s">
        <v>96</v>
      </c>
      <c r="AB234" s="59" t="s">
        <v>689</v>
      </c>
      <c r="AC234" s="59" t="s">
        <v>208</v>
      </c>
      <c r="AD234" s="59" t="s">
        <v>208</v>
      </c>
      <c r="AE234" s="60" t="s">
        <v>2830</v>
      </c>
      <c r="AF234" s="60" t="s">
        <v>8486</v>
      </c>
      <c r="AG234" s="59" t="s">
        <v>8486</v>
      </c>
      <c r="AH234" s="59" t="s">
        <v>691</v>
      </c>
      <c r="AI234" s="59" t="s">
        <v>122</v>
      </c>
      <c r="AJ234" s="61" t="s">
        <v>2831</v>
      </c>
      <c r="AK234" s="60" t="s">
        <v>2832</v>
      </c>
      <c r="AL234" s="60" t="s">
        <v>8257</v>
      </c>
      <c r="AM234" s="59" t="s">
        <v>1820</v>
      </c>
      <c r="AN234" s="60"/>
      <c r="AO234" s="60"/>
      <c r="AP234" s="59" t="s">
        <v>2833</v>
      </c>
      <c r="AQ234" s="25" t="s">
        <v>783</v>
      </c>
      <c r="AR234" s="60" t="s">
        <v>2834</v>
      </c>
      <c r="AS234" s="59" t="s">
        <v>2173</v>
      </c>
      <c r="AT234" s="59" t="s">
        <v>1090</v>
      </c>
      <c r="AU234" s="59" t="s">
        <v>111</v>
      </c>
      <c r="AV234" s="62">
        <v>45353</v>
      </c>
      <c r="AW234" s="59" t="s">
        <v>7995</v>
      </c>
      <c r="AX234" s="59" t="s">
        <v>691</v>
      </c>
      <c r="AY234" s="59" t="s">
        <v>90</v>
      </c>
      <c r="AZ234" s="126" t="s">
        <v>2835</v>
      </c>
      <c r="BA234" s="60" t="s">
        <v>2836</v>
      </c>
      <c r="BB234" s="60" t="s">
        <v>845</v>
      </c>
      <c r="BC234" s="59" t="s">
        <v>800</v>
      </c>
      <c r="BD234" s="60"/>
      <c r="BE234" s="60"/>
      <c r="BF234" s="60"/>
      <c r="BG234" s="59" t="s">
        <v>2833</v>
      </c>
      <c r="BH234" s="60" t="s">
        <v>783</v>
      </c>
      <c r="BI234" s="60" t="s">
        <v>2834</v>
      </c>
      <c r="BJ234" s="24" t="s">
        <v>2173</v>
      </c>
      <c r="BK234" s="59" t="s">
        <v>1090</v>
      </c>
      <c r="BL234" s="59" t="s">
        <v>156</v>
      </c>
      <c r="BM234" s="62" t="s">
        <v>1664</v>
      </c>
      <c r="BN234" s="62"/>
      <c r="BO234" s="59"/>
      <c r="BP234" s="59"/>
      <c r="BQ234" s="77"/>
      <c r="BR234" s="60"/>
      <c r="BS234" s="60"/>
      <c r="BT234" s="59"/>
      <c r="BU234" s="60"/>
      <c r="BV234" s="60"/>
      <c r="BW234" s="59"/>
      <c r="BX234" s="60"/>
      <c r="BY234" s="60"/>
      <c r="BZ234" s="59"/>
      <c r="CA234" s="59"/>
      <c r="CB234" s="59"/>
      <c r="CC234" s="59"/>
      <c r="CD234" s="59"/>
      <c r="CE234" s="59" t="s">
        <v>7524</v>
      </c>
      <c r="CF234" s="60" t="s">
        <v>783</v>
      </c>
      <c r="CG234" s="59" t="s">
        <v>7202</v>
      </c>
      <c r="CH234" s="59" t="s">
        <v>561</v>
      </c>
      <c r="CI234" s="59" t="s">
        <v>122</v>
      </c>
      <c r="CJ234" s="59" t="s">
        <v>111</v>
      </c>
      <c r="CK234" s="47">
        <v>45353</v>
      </c>
      <c r="CL234" s="64" t="str">
        <f t="shared" ca="1" si="3"/>
        <v>17 Tahun 6 Bulan 7 Hari</v>
      </c>
      <c r="CM23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Sayang RT/RW 04/06 Desa/Kelurahan Sayang Kecamatan Jatinangor Sumedang Jawa Barat 45353</v>
      </c>
    </row>
    <row r="235" spans="1:91" ht="24.95" customHeight="1">
      <c r="A235" s="58">
        <f>SUBTOTAL(3,N$8:Table2[[#This Row],[Nama lengkap]])</f>
        <v>228</v>
      </c>
      <c r="B235" s="58" t="s">
        <v>86</v>
      </c>
      <c r="C235" s="58">
        <v>2020</v>
      </c>
      <c r="D235" s="58"/>
      <c r="E235" s="58">
        <v>4</v>
      </c>
      <c r="F235" s="58" t="s">
        <v>2512</v>
      </c>
      <c r="G235" s="32" t="s">
        <v>2513</v>
      </c>
      <c r="H235" s="32" t="s">
        <v>2513</v>
      </c>
      <c r="I235" s="32" t="s">
        <v>2513</v>
      </c>
      <c r="J235" s="32"/>
      <c r="K235" s="32"/>
      <c r="L235" s="32"/>
      <c r="M235" s="58">
        <v>20210127</v>
      </c>
      <c r="N235" s="24" t="s">
        <v>8819</v>
      </c>
      <c r="O235" s="24"/>
      <c r="P235" s="25" t="s">
        <v>2837</v>
      </c>
      <c r="Q235" s="25" t="s">
        <v>2838</v>
      </c>
      <c r="R235" s="60" t="s">
        <v>90</v>
      </c>
      <c r="S235" s="61" t="s">
        <v>2839</v>
      </c>
      <c r="T235" s="47" t="s">
        <v>92</v>
      </c>
      <c r="U235" s="47">
        <v>1</v>
      </c>
      <c r="V235" s="47">
        <v>3</v>
      </c>
      <c r="W235" s="47" t="s">
        <v>207</v>
      </c>
      <c r="X235" s="59"/>
      <c r="Y235" s="59" t="s">
        <v>793</v>
      </c>
      <c r="Z235" s="59" t="s">
        <v>1776</v>
      </c>
      <c r="AA235" s="59" t="s">
        <v>96</v>
      </c>
      <c r="AB235" s="59" t="s">
        <v>689</v>
      </c>
      <c r="AC235" s="59" t="s">
        <v>208</v>
      </c>
      <c r="AD235" s="59" t="s">
        <v>208</v>
      </c>
      <c r="AE235" s="60" t="s">
        <v>483</v>
      </c>
      <c r="AF235" s="60" t="s">
        <v>484</v>
      </c>
      <c r="AG235" s="59" t="s">
        <v>484</v>
      </c>
      <c r="AH235" s="59" t="s">
        <v>2781</v>
      </c>
      <c r="AI235" s="59" t="s">
        <v>90</v>
      </c>
      <c r="AJ235" s="61" t="s">
        <v>2840</v>
      </c>
      <c r="AK235" s="60" t="s">
        <v>2841</v>
      </c>
      <c r="AL235" s="60" t="s">
        <v>8255</v>
      </c>
      <c r="AM235" s="59" t="s">
        <v>2842</v>
      </c>
      <c r="AN235" s="60"/>
      <c r="AO235" s="60"/>
      <c r="AP235" s="59" t="s">
        <v>2843</v>
      </c>
      <c r="AQ235" s="25" t="s">
        <v>488</v>
      </c>
      <c r="AR235" s="60" t="s">
        <v>1035</v>
      </c>
      <c r="AS235" s="59" t="s">
        <v>934</v>
      </c>
      <c r="AT235" s="59" t="s">
        <v>934</v>
      </c>
      <c r="AU235" s="59" t="s">
        <v>111</v>
      </c>
      <c r="AV235" s="62">
        <v>41213</v>
      </c>
      <c r="AW235" s="59" t="s">
        <v>491</v>
      </c>
      <c r="AX235" s="59" t="s">
        <v>2844</v>
      </c>
      <c r="AY235" s="59" t="s">
        <v>492</v>
      </c>
      <c r="AZ235" s="126">
        <v>30963</v>
      </c>
      <c r="BA235" s="60" t="s">
        <v>493</v>
      </c>
      <c r="BB235" s="60" t="s">
        <v>845</v>
      </c>
      <c r="BC235" s="59" t="s">
        <v>800</v>
      </c>
      <c r="BD235" s="60"/>
      <c r="BE235" s="60"/>
      <c r="BF235" s="60"/>
      <c r="BG235" s="59" t="s">
        <v>2843</v>
      </c>
      <c r="BH235" s="60" t="s">
        <v>488</v>
      </c>
      <c r="BI235" s="60" t="s">
        <v>1035</v>
      </c>
      <c r="BJ235" s="24" t="s">
        <v>934</v>
      </c>
      <c r="BK235" s="59" t="s">
        <v>934</v>
      </c>
      <c r="BL235" s="59" t="s">
        <v>156</v>
      </c>
      <c r="BM235" s="24">
        <v>45352</v>
      </c>
      <c r="BN235" s="24"/>
      <c r="BO235" s="59"/>
      <c r="BP235" s="59"/>
      <c r="BQ235" s="77"/>
      <c r="BR235" s="60"/>
      <c r="BS235" s="60"/>
      <c r="BT235" s="59"/>
      <c r="BU235" s="60"/>
      <c r="BV235" s="60"/>
      <c r="BW235" s="59"/>
      <c r="BX235" s="60"/>
      <c r="BY235" s="60"/>
      <c r="BZ235" s="59"/>
      <c r="CA235" s="59"/>
      <c r="CB235" s="59"/>
      <c r="CC235" s="59"/>
      <c r="CD235" s="59"/>
      <c r="CE235" s="59" t="s">
        <v>7355</v>
      </c>
      <c r="CF235" s="60" t="s">
        <v>488</v>
      </c>
      <c r="CG235" s="59" t="s">
        <v>7019</v>
      </c>
      <c r="CH235" s="59" t="s">
        <v>942</v>
      </c>
      <c r="CI235" s="59" t="s">
        <v>942</v>
      </c>
      <c r="CJ235" s="59" t="s">
        <v>111</v>
      </c>
      <c r="CK235" s="47">
        <v>41213</v>
      </c>
      <c r="CL235" s="64" t="str">
        <f t="shared" ca="1" si="3"/>
        <v>17 Tahun 5 Bulan 20 Hari</v>
      </c>
      <c r="CM23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Blok Cilaja RT/RW 66/22 Desa/Kelurahan Cigadung Kecamatan Subang Subang Jawa Barat 41213</v>
      </c>
    </row>
    <row r="236" spans="1:91" ht="24.95" customHeight="1">
      <c r="A236" s="58">
        <f>SUBTOTAL(3,N$8:Table2[[#This Row],[Nama lengkap]])</f>
        <v>229</v>
      </c>
      <c r="B236" s="58" t="s">
        <v>86</v>
      </c>
      <c r="C236" s="58">
        <v>2021</v>
      </c>
      <c r="D236" s="58"/>
      <c r="E236" s="58">
        <v>4</v>
      </c>
      <c r="F236" s="58" t="s">
        <v>2512</v>
      </c>
      <c r="G236" s="32" t="s">
        <v>2513</v>
      </c>
      <c r="H236" s="32" t="s">
        <v>2513</v>
      </c>
      <c r="I236" s="32" t="s">
        <v>2513</v>
      </c>
      <c r="J236" s="32"/>
      <c r="K236" s="32"/>
      <c r="L236" s="32"/>
      <c r="M236" s="58">
        <v>21220037</v>
      </c>
      <c r="N236" s="31" t="s">
        <v>8820</v>
      </c>
      <c r="O236" s="31"/>
      <c r="P236" s="32" t="s">
        <v>2845</v>
      </c>
      <c r="Q236" s="32" t="s">
        <v>2846</v>
      </c>
      <c r="R236" s="64" t="s">
        <v>122</v>
      </c>
      <c r="S236" s="69" t="s">
        <v>2847</v>
      </c>
      <c r="T236" s="47" t="s">
        <v>92</v>
      </c>
      <c r="U236" s="58">
        <v>1</v>
      </c>
      <c r="V236" s="58">
        <v>2</v>
      </c>
      <c r="W236" s="47" t="s">
        <v>207</v>
      </c>
      <c r="X236" s="59"/>
      <c r="Y236" s="64"/>
      <c r="Z236" s="64"/>
      <c r="AA236" s="64" t="s">
        <v>96</v>
      </c>
      <c r="AB236" s="64" t="s">
        <v>689</v>
      </c>
      <c r="AC236" s="59" t="s">
        <v>208</v>
      </c>
      <c r="AD236" s="59" t="s">
        <v>208</v>
      </c>
      <c r="AE236" s="67" t="s">
        <v>2848</v>
      </c>
      <c r="AF236" s="67" t="s">
        <v>8487</v>
      </c>
      <c r="AG236" s="67" t="s">
        <v>8487</v>
      </c>
      <c r="AH236" s="64" t="s">
        <v>691</v>
      </c>
      <c r="AI236" s="64" t="s">
        <v>122</v>
      </c>
      <c r="AJ236" s="69">
        <v>28344</v>
      </c>
      <c r="AK236" s="67" t="s">
        <v>2849</v>
      </c>
      <c r="AL236" s="64" t="s">
        <v>602</v>
      </c>
      <c r="AM236" s="67" t="s">
        <v>2850</v>
      </c>
      <c r="AN236" s="67"/>
      <c r="AO236" s="64"/>
      <c r="AP236" s="64" t="s">
        <v>2851</v>
      </c>
      <c r="AQ236" s="32" t="s">
        <v>2159</v>
      </c>
      <c r="AR236" s="64" t="s">
        <v>2852</v>
      </c>
      <c r="AS236" s="64" t="s">
        <v>1324</v>
      </c>
      <c r="AT236" s="64" t="s">
        <v>1090</v>
      </c>
      <c r="AU236" s="59" t="s">
        <v>111</v>
      </c>
      <c r="AV236" s="67">
        <v>45352</v>
      </c>
      <c r="AW236" s="67" t="s">
        <v>7996</v>
      </c>
      <c r="AX236" s="64"/>
      <c r="AY236" s="64" t="s">
        <v>122</v>
      </c>
      <c r="AZ236" s="125" t="s">
        <v>2853</v>
      </c>
      <c r="BA236" s="67" t="s">
        <v>2854</v>
      </c>
      <c r="BB236" s="64" t="s">
        <v>845</v>
      </c>
      <c r="BC236" s="67" t="s">
        <v>800</v>
      </c>
      <c r="BD236" s="67"/>
      <c r="BE236" s="64"/>
      <c r="BF236" s="64"/>
      <c r="BG236" s="64" t="s">
        <v>2851</v>
      </c>
      <c r="BH236" s="67" t="s">
        <v>2159</v>
      </c>
      <c r="BI236" s="64" t="s">
        <v>2852</v>
      </c>
      <c r="BJ236" s="40" t="s">
        <v>1324</v>
      </c>
      <c r="BK236" s="64" t="s">
        <v>1090</v>
      </c>
      <c r="BL236" s="67" t="s">
        <v>156</v>
      </c>
      <c r="BM236" s="31" t="s">
        <v>1664</v>
      </c>
      <c r="BN236" s="31"/>
      <c r="BO236" s="64"/>
      <c r="BP236" s="64"/>
      <c r="BQ236" s="135"/>
      <c r="BR236" s="67"/>
      <c r="BS236" s="64"/>
      <c r="BT236" s="67"/>
      <c r="BU236" s="67"/>
      <c r="BV236" s="64"/>
      <c r="BW236" s="64"/>
      <c r="BX236" s="67"/>
      <c r="BY236" s="64"/>
      <c r="BZ236" s="64"/>
      <c r="CA236" s="64"/>
      <c r="CB236" s="64"/>
      <c r="CC236" s="64"/>
      <c r="CD236" s="64"/>
      <c r="CE236" s="64" t="s">
        <v>7525</v>
      </c>
      <c r="CF236" s="67" t="s">
        <v>2159</v>
      </c>
      <c r="CG236" s="64" t="s">
        <v>7203</v>
      </c>
      <c r="CH236" s="64" t="s">
        <v>134</v>
      </c>
      <c r="CI236" s="64" t="s">
        <v>122</v>
      </c>
      <c r="CJ236" s="64" t="s">
        <v>111</v>
      </c>
      <c r="CK236" s="58">
        <v>45352</v>
      </c>
      <c r="CL236" s="64" t="str">
        <f t="shared" ca="1" si="3"/>
        <v>16 Tahun 9 Bulan 7 Hari</v>
      </c>
      <c r="CM23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Dusubn Cibiru RT/RW 05/07 Desa/Kelurahan Jatimulya Kecamatan Sumedang Utara Sumedang Jawa Barat 45352</v>
      </c>
    </row>
    <row r="237" spans="1:91" ht="24.95" customHeight="1">
      <c r="A237" s="58">
        <f>SUBTOTAL(3,N$8:Table2[[#This Row],[Nama lengkap]])</f>
        <v>230</v>
      </c>
      <c r="B237" s="58" t="s">
        <v>86</v>
      </c>
      <c r="C237" s="58">
        <v>2021</v>
      </c>
      <c r="D237" s="58"/>
      <c r="E237" s="58">
        <v>4</v>
      </c>
      <c r="F237" s="58" t="s">
        <v>2512</v>
      </c>
      <c r="G237" s="32" t="s">
        <v>2513</v>
      </c>
      <c r="H237" s="32" t="s">
        <v>2513</v>
      </c>
      <c r="I237" s="32" t="s">
        <v>2513</v>
      </c>
      <c r="J237" s="32"/>
      <c r="K237" s="32"/>
      <c r="L237" s="32"/>
      <c r="M237" s="58">
        <v>21220041</v>
      </c>
      <c r="N237" s="24" t="s">
        <v>8821</v>
      </c>
      <c r="O237" s="24"/>
      <c r="P237" s="25" t="s">
        <v>2855</v>
      </c>
      <c r="Q237" s="25" t="s">
        <v>2856</v>
      </c>
      <c r="R237" s="60" t="s">
        <v>122</v>
      </c>
      <c r="S237" s="61" t="s">
        <v>2857</v>
      </c>
      <c r="T237" s="47" t="s">
        <v>92</v>
      </c>
      <c r="U237" s="47">
        <v>2</v>
      </c>
      <c r="V237" s="47">
        <v>1</v>
      </c>
      <c r="W237" s="47" t="s">
        <v>207</v>
      </c>
      <c r="X237" s="59"/>
      <c r="Y237" s="59" t="s">
        <v>793</v>
      </c>
      <c r="Z237" s="59" t="s">
        <v>1093</v>
      </c>
      <c r="AA237" s="59" t="s">
        <v>96</v>
      </c>
      <c r="AB237" s="59" t="s">
        <v>689</v>
      </c>
      <c r="AC237" s="59" t="s">
        <v>208</v>
      </c>
      <c r="AD237" s="59" t="s">
        <v>208</v>
      </c>
      <c r="AE237" s="60" t="s">
        <v>2858</v>
      </c>
      <c r="AF237" s="60" t="s">
        <v>8488</v>
      </c>
      <c r="AG237" s="59" t="s">
        <v>8488</v>
      </c>
      <c r="AH237" s="59" t="s">
        <v>691</v>
      </c>
      <c r="AI237" s="59" t="s">
        <v>122</v>
      </c>
      <c r="AJ237" s="61">
        <v>24664</v>
      </c>
      <c r="AK237" s="60" t="s">
        <v>2859</v>
      </c>
      <c r="AL237" s="60" t="s">
        <v>8255</v>
      </c>
      <c r="AM237" s="59" t="s">
        <v>2850</v>
      </c>
      <c r="AN237" s="60"/>
      <c r="AO237" s="60"/>
      <c r="AP237" s="59" t="s">
        <v>2860</v>
      </c>
      <c r="AQ237" s="25" t="s">
        <v>916</v>
      </c>
      <c r="AR237" s="60" t="s">
        <v>2852</v>
      </c>
      <c r="AS237" s="59" t="s">
        <v>1324</v>
      </c>
      <c r="AT237" s="59" t="s">
        <v>1090</v>
      </c>
      <c r="AU237" s="59" t="s">
        <v>111</v>
      </c>
      <c r="AV237" s="62">
        <v>45352</v>
      </c>
      <c r="AW237" s="59" t="s">
        <v>7997</v>
      </c>
      <c r="AX237" s="59"/>
      <c r="AY237" s="59" t="s">
        <v>122</v>
      </c>
      <c r="AZ237" s="126" t="s">
        <v>2861</v>
      </c>
      <c r="BA237" s="60" t="s">
        <v>2862</v>
      </c>
      <c r="BB237" s="60" t="s">
        <v>845</v>
      </c>
      <c r="BC237" s="59" t="s">
        <v>2863</v>
      </c>
      <c r="BD237" s="60"/>
      <c r="BE237" s="60"/>
      <c r="BF237" s="60"/>
      <c r="BG237" s="59" t="s">
        <v>2860</v>
      </c>
      <c r="BH237" s="60" t="s">
        <v>916</v>
      </c>
      <c r="BI237" s="60" t="s">
        <v>2852</v>
      </c>
      <c r="BJ237" s="24" t="s">
        <v>1324</v>
      </c>
      <c r="BK237" s="59" t="s">
        <v>1090</v>
      </c>
      <c r="BL237" s="59" t="s">
        <v>156</v>
      </c>
      <c r="BM237" s="24" t="s">
        <v>1664</v>
      </c>
      <c r="BN237" s="24"/>
      <c r="BO237" s="59"/>
      <c r="BP237" s="59"/>
      <c r="BQ237" s="77"/>
      <c r="BR237" s="60"/>
      <c r="BS237" s="60"/>
      <c r="BT237" s="59"/>
      <c r="BU237" s="60"/>
      <c r="BV237" s="60"/>
      <c r="BW237" s="59"/>
      <c r="BX237" s="60"/>
      <c r="BY237" s="60"/>
      <c r="BZ237" s="59"/>
      <c r="CA237" s="59"/>
      <c r="CB237" s="59"/>
      <c r="CC237" s="59"/>
      <c r="CD237" s="59"/>
      <c r="CE237" s="59" t="s">
        <v>7526</v>
      </c>
      <c r="CF237" s="60" t="s">
        <v>916</v>
      </c>
      <c r="CG237" s="59" t="s">
        <v>7203</v>
      </c>
      <c r="CH237" s="59" t="s">
        <v>134</v>
      </c>
      <c r="CI237" s="59" t="s">
        <v>122</v>
      </c>
      <c r="CJ237" s="59" t="s">
        <v>111</v>
      </c>
      <c r="CK237" s="47">
        <v>45352</v>
      </c>
      <c r="CL237" s="64" t="str">
        <f t="shared" ca="1" si="3"/>
        <v>17 Tahun 3 Bulan 16 Hari</v>
      </c>
      <c r="CM23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Rancamulud RT/RW 02/07 Desa/Kelurahan Jatimulya Kecamatan Sumedang Utara Sumedang Jawa Barat 45352</v>
      </c>
    </row>
    <row r="238" spans="1:91" ht="24.95" customHeight="1">
      <c r="A238" s="58">
        <f>SUBTOTAL(3,N$8:Table2[[#This Row],[Nama lengkap]])</f>
        <v>231</v>
      </c>
      <c r="B238" s="58" t="s">
        <v>86</v>
      </c>
      <c r="C238" s="58">
        <v>2020</v>
      </c>
      <c r="D238" s="58"/>
      <c r="E238" s="58">
        <v>4</v>
      </c>
      <c r="F238" s="58" t="s">
        <v>2512</v>
      </c>
      <c r="G238" s="32" t="s">
        <v>2513</v>
      </c>
      <c r="H238" s="32" t="s">
        <v>2513</v>
      </c>
      <c r="I238" s="32" t="s">
        <v>2513</v>
      </c>
      <c r="J238" s="32"/>
      <c r="K238" s="32"/>
      <c r="L238" s="32"/>
      <c r="M238" s="58">
        <v>20210175</v>
      </c>
      <c r="N238" s="24" t="s">
        <v>8822</v>
      </c>
      <c r="O238" s="24"/>
      <c r="P238" s="25" t="s">
        <v>2865</v>
      </c>
      <c r="Q238" s="25" t="s">
        <v>2866</v>
      </c>
      <c r="R238" s="60" t="s">
        <v>90</v>
      </c>
      <c r="S238" s="61" t="s">
        <v>2867</v>
      </c>
      <c r="T238" s="47" t="s">
        <v>92</v>
      </c>
      <c r="U238" s="47">
        <v>1</v>
      </c>
      <c r="V238" s="47">
        <v>1</v>
      </c>
      <c r="W238" s="47" t="s">
        <v>207</v>
      </c>
      <c r="X238" s="59"/>
      <c r="Y238" s="59"/>
      <c r="Z238" s="59" t="s">
        <v>2868</v>
      </c>
      <c r="AA238" s="59" t="s">
        <v>96</v>
      </c>
      <c r="AB238" s="59" t="s">
        <v>689</v>
      </c>
      <c r="AC238" s="59" t="s">
        <v>208</v>
      </c>
      <c r="AD238" s="59" t="s">
        <v>208</v>
      </c>
      <c r="AE238" s="60" t="s">
        <v>2869</v>
      </c>
      <c r="AF238" s="60" t="s">
        <v>8489</v>
      </c>
      <c r="AG238" s="59" t="s">
        <v>8489</v>
      </c>
      <c r="AH238" s="59" t="s">
        <v>691</v>
      </c>
      <c r="AI238" s="59" t="s">
        <v>90</v>
      </c>
      <c r="AJ238" s="61" t="s">
        <v>2870</v>
      </c>
      <c r="AK238" s="60" t="s">
        <v>2871</v>
      </c>
      <c r="AL238" s="60" t="s">
        <v>289</v>
      </c>
      <c r="AM238" s="59" t="s">
        <v>800</v>
      </c>
      <c r="AN238" s="60"/>
      <c r="AO238" s="60"/>
      <c r="AP238" s="59" t="s">
        <v>2872</v>
      </c>
      <c r="AQ238" s="25" t="s">
        <v>521</v>
      </c>
      <c r="AR238" s="60" t="s">
        <v>263</v>
      </c>
      <c r="AS238" s="59" t="s">
        <v>263</v>
      </c>
      <c r="AT238" s="59" t="s">
        <v>1706</v>
      </c>
      <c r="AU238" s="59" t="s">
        <v>111</v>
      </c>
      <c r="AV238" s="62">
        <v>40223</v>
      </c>
      <c r="AW238" s="59" t="s">
        <v>7998</v>
      </c>
      <c r="AX238" s="59"/>
      <c r="AY238" s="59" t="s">
        <v>90</v>
      </c>
      <c r="AZ238" s="126">
        <v>31110</v>
      </c>
      <c r="BA238" s="60" t="s">
        <v>2873</v>
      </c>
      <c r="BB238" s="60" t="s">
        <v>845</v>
      </c>
      <c r="BC238" s="59" t="s">
        <v>800</v>
      </c>
      <c r="BD238" s="60"/>
      <c r="BE238" s="60"/>
      <c r="BF238" s="60"/>
      <c r="BG238" s="59" t="s">
        <v>2872</v>
      </c>
      <c r="BH238" s="60" t="s">
        <v>521</v>
      </c>
      <c r="BI238" s="60" t="s">
        <v>263</v>
      </c>
      <c r="BJ238" s="24" t="s">
        <v>263</v>
      </c>
      <c r="BK238" s="59" t="s">
        <v>1706</v>
      </c>
      <c r="BL238" s="59" t="s">
        <v>156</v>
      </c>
      <c r="BM238" s="24" t="s">
        <v>1664</v>
      </c>
      <c r="BN238" s="24"/>
      <c r="BO238" s="59"/>
      <c r="BP238" s="59"/>
      <c r="BQ238" s="77"/>
      <c r="BR238" s="60"/>
      <c r="BS238" s="60"/>
      <c r="BT238" s="59"/>
      <c r="BU238" s="60"/>
      <c r="BV238" s="60"/>
      <c r="BW238" s="59"/>
      <c r="BX238" s="60"/>
      <c r="BY238" s="60"/>
      <c r="BZ238" s="59"/>
      <c r="CA238" s="59"/>
      <c r="CB238" s="59"/>
      <c r="CC238" s="59"/>
      <c r="CD238" s="59"/>
      <c r="CE238" s="59" t="s">
        <v>7527</v>
      </c>
      <c r="CF238" s="60" t="s">
        <v>521</v>
      </c>
      <c r="CG238" s="59" t="s">
        <v>6984</v>
      </c>
      <c r="CH238" s="59" t="s">
        <v>6984</v>
      </c>
      <c r="CI238" s="59" t="s">
        <v>644</v>
      </c>
      <c r="CJ238" s="59" t="s">
        <v>111</v>
      </c>
      <c r="CK238" s="47">
        <v>40223</v>
      </c>
      <c r="CL238" s="64" t="str">
        <f t="shared" ca="1" si="3"/>
        <v>18 Tahun 2 Bulan 9 Hari</v>
      </c>
      <c r="CM23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Jl.Caringin Gg Lumbung Iv No.28 RT/RW 02/05 Desa/Kelurahan Babakan Ciparay Kecamatan Babakan Ciparay Kota Bandung Jawa Barat 40223</v>
      </c>
    </row>
    <row r="239" spans="1:91" ht="24.95" customHeight="1">
      <c r="A239" s="58">
        <f>SUBTOTAL(3,N$8:Table2[[#This Row],[Nama lengkap]])</f>
        <v>232</v>
      </c>
      <c r="B239" s="58" t="s">
        <v>86</v>
      </c>
      <c r="C239" s="58">
        <v>2021</v>
      </c>
      <c r="D239" s="58"/>
      <c r="E239" s="58">
        <v>4</v>
      </c>
      <c r="F239" s="58" t="s">
        <v>2512</v>
      </c>
      <c r="G239" s="32" t="s">
        <v>2513</v>
      </c>
      <c r="H239" s="32" t="s">
        <v>2513</v>
      </c>
      <c r="I239" s="32" t="s">
        <v>2513</v>
      </c>
      <c r="J239" s="32"/>
      <c r="K239" s="32"/>
      <c r="L239" s="32"/>
      <c r="M239" s="84">
        <v>21220053</v>
      </c>
      <c r="N239" s="24" t="s">
        <v>6036</v>
      </c>
      <c r="O239" s="24"/>
      <c r="P239" s="25" t="s">
        <v>2874</v>
      </c>
      <c r="Q239" s="25" t="s">
        <v>2875</v>
      </c>
      <c r="R239" s="60" t="s">
        <v>90</v>
      </c>
      <c r="S239" s="61" t="s">
        <v>2876</v>
      </c>
      <c r="T239" s="47" t="s">
        <v>92</v>
      </c>
      <c r="U239" s="47">
        <v>1</v>
      </c>
      <c r="V239" s="47">
        <v>1</v>
      </c>
      <c r="W239" s="47" t="s">
        <v>207</v>
      </c>
      <c r="X239" s="59"/>
      <c r="Y239" s="59"/>
      <c r="Z239" s="59"/>
      <c r="AA239" s="59" t="s">
        <v>96</v>
      </c>
      <c r="AB239" s="59" t="s">
        <v>689</v>
      </c>
      <c r="AC239" s="59" t="s">
        <v>208</v>
      </c>
      <c r="AD239" s="59" t="s">
        <v>208</v>
      </c>
      <c r="AE239" s="60" t="s">
        <v>2877</v>
      </c>
      <c r="AF239" s="60" t="s">
        <v>8490</v>
      </c>
      <c r="AG239" s="59" t="s">
        <v>8490</v>
      </c>
      <c r="AH239" s="59" t="s">
        <v>691</v>
      </c>
      <c r="AI239" s="59" t="s">
        <v>90</v>
      </c>
      <c r="AJ239" s="61">
        <v>31356</v>
      </c>
      <c r="AK239" s="60" t="s">
        <v>2878</v>
      </c>
      <c r="AL239" s="60" t="s">
        <v>289</v>
      </c>
      <c r="AM239" s="59" t="s">
        <v>700</v>
      </c>
      <c r="AN239" s="60" t="s">
        <v>2879</v>
      </c>
      <c r="AO239" s="60"/>
      <c r="AP239" s="59" t="s">
        <v>2880</v>
      </c>
      <c r="AQ239" s="25" t="s">
        <v>2881</v>
      </c>
      <c r="AR239" s="60" t="s">
        <v>2882</v>
      </c>
      <c r="AS239" s="59" t="s">
        <v>2883</v>
      </c>
      <c r="AT239" s="59" t="s">
        <v>141</v>
      </c>
      <c r="AU239" s="59" t="s">
        <v>111</v>
      </c>
      <c r="AV239" s="62">
        <v>40381</v>
      </c>
      <c r="AW239" s="59" t="s">
        <v>7999</v>
      </c>
      <c r="AX239" s="59" t="s">
        <v>691</v>
      </c>
      <c r="AY239" s="59" t="s">
        <v>90</v>
      </c>
      <c r="AZ239" s="126">
        <v>32791</v>
      </c>
      <c r="BA239" s="60" t="s">
        <v>2884</v>
      </c>
      <c r="BB239" s="60" t="s">
        <v>845</v>
      </c>
      <c r="BC239" s="59" t="s">
        <v>700</v>
      </c>
      <c r="BD239" s="60" t="s">
        <v>2879</v>
      </c>
      <c r="BE239" s="60"/>
      <c r="BF239" s="60"/>
      <c r="BG239" s="59" t="s">
        <v>2880</v>
      </c>
      <c r="BH239" s="25" t="s">
        <v>2881</v>
      </c>
      <c r="BI239" s="60" t="s">
        <v>2882</v>
      </c>
      <c r="BJ239" s="59" t="s">
        <v>2883</v>
      </c>
      <c r="BK239" s="59" t="s">
        <v>141</v>
      </c>
      <c r="BL239" s="59" t="s">
        <v>111</v>
      </c>
      <c r="BM239" s="62">
        <v>40381</v>
      </c>
      <c r="BN239" s="62"/>
      <c r="BO239" s="59" t="s">
        <v>719</v>
      </c>
      <c r="BP239" s="59"/>
      <c r="BQ239" s="77"/>
      <c r="BR239" s="60"/>
      <c r="BS239" s="60"/>
      <c r="BT239" s="59"/>
      <c r="BU239" s="60"/>
      <c r="BV239" s="60"/>
      <c r="BW239" s="59"/>
      <c r="BX239" s="60"/>
      <c r="BY239" s="60"/>
      <c r="BZ239" s="59"/>
      <c r="CA239" s="59"/>
      <c r="CB239" s="59"/>
      <c r="CC239" s="59"/>
      <c r="CD239" s="59"/>
      <c r="CE239" s="59" t="s">
        <v>7528</v>
      </c>
      <c r="CF239" s="60" t="s">
        <v>2881</v>
      </c>
      <c r="CG239" s="59" t="s">
        <v>7204</v>
      </c>
      <c r="CH239" s="59" t="s">
        <v>176</v>
      </c>
      <c r="CI239" s="59" t="s">
        <v>90</v>
      </c>
      <c r="CJ239" s="59" t="s">
        <v>111</v>
      </c>
      <c r="CK239" s="47">
        <v>40381</v>
      </c>
      <c r="CL239" s="64" t="str">
        <f t="shared" ca="1" si="3"/>
        <v>16 Tahun 8 Bulan 25 Hari</v>
      </c>
      <c r="CM23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Kp.Landbau RT/RW 09/13 Desa/Kelurahan Bumiwangi Kecamatan Ciparay Bandung Jawa Barat 40381</v>
      </c>
    </row>
    <row r="240" spans="1:91" ht="24.95" customHeight="1">
      <c r="A240" s="58">
        <f>SUBTOTAL(3,N$8:Table2[[#This Row],[Nama lengkap]])</f>
        <v>233</v>
      </c>
      <c r="B240" s="58" t="s">
        <v>86</v>
      </c>
      <c r="C240" s="58">
        <v>2020</v>
      </c>
      <c r="D240" s="58"/>
      <c r="E240" s="58">
        <v>4</v>
      </c>
      <c r="F240" s="58" t="s">
        <v>2512</v>
      </c>
      <c r="G240" s="32" t="s">
        <v>2513</v>
      </c>
      <c r="H240" s="32" t="s">
        <v>2513</v>
      </c>
      <c r="I240" s="32" t="s">
        <v>2513</v>
      </c>
      <c r="J240" s="32"/>
      <c r="K240" s="32"/>
      <c r="L240" s="32"/>
      <c r="M240" s="58">
        <v>20210209</v>
      </c>
      <c r="N240" s="24" t="s">
        <v>8823</v>
      </c>
      <c r="O240" s="24"/>
      <c r="P240" s="25" t="s">
        <v>2895</v>
      </c>
      <c r="Q240" s="25" t="s">
        <v>2896</v>
      </c>
      <c r="R240" s="60" t="s">
        <v>122</v>
      </c>
      <c r="S240" s="61" t="s">
        <v>2897</v>
      </c>
      <c r="T240" s="47" t="s">
        <v>92</v>
      </c>
      <c r="U240" s="47">
        <v>2</v>
      </c>
      <c r="V240" s="47">
        <v>3</v>
      </c>
      <c r="W240" s="47" t="s">
        <v>207</v>
      </c>
      <c r="X240" s="59"/>
      <c r="Y240" s="59" t="s">
        <v>1041</v>
      </c>
      <c r="Z240" s="59" t="s">
        <v>986</v>
      </c>
      <c r="AA240" s="59" t="s">
        <v>96</v>
      </c>
      <c r="AB240" s="59" t="s">
        <v>689</v>
      </c>
      <c r="AC240" s="59" t="s">
        <v>208</v>
      </c>
      <c r="AD240" s="59" t="s">
        <v>208</v>
      </c>
      <c r="AE240" s="60" t="s">
        <v>2898</v>
      </c>
      <c r="AF240" s="60" t="s">
        <v>8491</v>
      </c>
      <c r="AG240" s="59" t="s">
        <v>8492</v>
      </c>
      <c r="AH240" s="59" t="s">
        <v>691</v>
      </c>
      <c r="AI240" s="59" t="s">
        <v>122</v>
      </c>
      <c r="AJ240" s="61" t="s">
        <v>2899</v>
      </c>
      <c r="AK240" s="60" t="s">
        <v>2900</v>
      </c>
      <c r="AL240" s="60" t="s">
        <v>8255</v>
      </c>
      <c r="AM240" s="59" t="s">
        <v>800</v>
      </c>
      <c r="AN240" s="60"/>
      <c r="AO240" s="60"/>
      <c r="AP240" s="59" t="s">
        <v>2901</v>
      </c>
      <c r="AQ240" s="25" t="s">
        <v>1369</v>
      </c>
      <c r="AR240" s="60" t="s">
        <v>2902</v>
      </c>
      <c r="AS240" s="59" t="s">
        <v>2251</v>
      </c>
      <c r="AT240" s="59" t="s">
        <v>1090</v>
      </c>
      <c r="AU240" s="59" t="s">
        <v>111</v>
      </c>
      <c r="AV240" s="62">
        <v>45372</v>
      </c>
      <c r="AW240" s="59" t="s">
        <v>8000</v>
      </c>
      <c r="AX240" s="59"/>
      <c r="AY240" s="59" t="s">
        <v>122</v>
      </c>
      <c r="AZ240" s="126" t="s">
        <v>2903</v>
      </c>
      <c r="BA240" s="60" t="s">
        <v>2904</v>
      </c>
      <c r="BB240" s="60" t="s">
        <v>845</v>
      </c>
      <c r="BC240" s="59" t="s">
        <v>2863</v>
      </c>
      <c r="BD240" s="60"/>
      <c r="BE240" s="60"/>
      <c r="BF240" s="60"/>
      <c r="BG240" s="59" t="s">
        <v>2901</v>
      </c>
      <c r="BH240" s="60" t="s">
        <v>1369</v>
      </c>
      <c r="BI240" s="60" t="s">
        <v>2902</v>
      </c>
      <c r="BJ240" s="24" t="s">
        <v>2251</v>
      </c>
      <c r="BK240" s="59" t="s">
        <v>1090</v>
      </c>
      <c r="BL240" s="59" t="s">
        <v>156</v>
      </c>
      <c r="BM240" s="24" t="s">
        <v>1664</v>
      </c>
      <c r="BN240" s="24"/>
      <c r="BO240" s="59"/>
      <c r="BP240" s="59"/>
      <c r="BQ240" s="77"/>
      <c r="BR240" s="60"/>
      <c r="BS240" s="60"/>
      <c r="BT240" s="59"/>
      <c r="BU240" s="60"/>
      <c r="BV240" s="60"/>
      <c r="BW240" s="59"/>
      <c r="BX240" s="60"/>
      <c r="BY240" s="60"/>
      <c r="BZ240" s="59"/>
      <c r="CA240" s="59"/>
      <c r="CB240" s="59"/>
      <c r="CC240" s="59"/>
      <c r="CD240" s="59"/>
      <c r="CE240" s="59" t="s">
        <v>7529</v>
      </c>
      <c r="CF240" s="60" t="s">
        <v>1369</v>
      </c>
      <c r="CG240" s="59" t="s">
        <v>7205</v>
      </c>
      <c r="CH240" s="59" t="s">
        <v>7157</v>
      </c>
      <c r="CI240" s="59" t="s">
        <v>122</v>
      </c>
      <c r="CJ240" s="59" t="s">
        <v>111</v>
      </c>
      <c r="CK240" s="47">
        <v>45372</v>
      </c>
      <c r="CL240" s="64" t="str">
        <f t="shared" ca="1" si="3"/>
        <v>17 Tahun 4 Bulan 20 Hari</v>
      </c>
      <c r="CM24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Andir RT/RW 02/02 Desa/Kelurahan Cikeusi Kecamatan Darmaraja Sumedang Jawa Barat 45372</v>
      </c>
    </row>
    <row r="241" spans="1:91" ht="24.95" customHeight="1">
      <c r="A241" s="58">
        <f>SUBTOTAL(3,N$8:Table2[[#This Row],[Nama lengkap]])</f>
        <v>234</v>
      </c>
      <c r="B241" s="58" t="s">
        <v>86</v>
      </c>
      <c r="C241" s="58">
        <v>2020</v>
      </c>
      <c r="D241" s="58"/>
      <c r="E241" s="58">
        <v>4</v>
      </c>
      <c r="F241" s="58" t="s">
        <v>2512</v>
      </c>
      <c r="G241" s="32" t="s">
        <v>2513</v>
      </c>
      <c r="H241" s="32" t="s">
        <v>2513</v>
      </c>
      <c r="I241" s="32" t="s">
        <v>2513</v>
      </c>
      <c r="J241" s="32"/>
      <c r="K241" s="32"/>
      <c r="L241" s="32"/>
      <c r="M241" s="58">
        <v>20210140</v>
      </c>
      <c r="N241" s="24" t="s">
        <v>8824</v>
      </c>
      <c r="O241" s="24"/>
      <c r="P241" s="25" t="s">
        <v>2913</v>
      </c>
      <c r="Q241" s="25" t="s">
        <v>2914</v>
      </c>
      <c r="R241" s="60" t="s">
        <v>7129</v>
      </c>
      <c r="S241" s="61" t="s">
        <v>2915</v>
      </c>
      <c r="T241" s="47" t="s">
        <v>92</v>
      </c>
      <c r="U241" s="47">
        <v>2</v>
      </c>
      <c r="V241" s="47">
        <v>1</v>
      </c>
      <c r="W241" s="47" t="s">
        <v>207</v>
      </c>
      <c r="X241" s="59" t="s">
        <v>984</v>
      </c>
      <c r="Y241" s="59" t="s">
        <v>1041</v>
      </c>
      <c r="Z241" s="59" t="s">
        <v>1042</v>
      </c>
      <c r="AA241" s="59" t="s">
        <v>96</v>
      </c>
      <c r="AB241" s="59" t="s">
        <v>1151</v>
      </c>
      <c r="AC241" s="59" t="s">
        <v>208</v>
      </c>
      <c r="AD241" s="59" t="s">
        <v>208</v>
      </c>
      <c r="AE241" s="60" t="s">
        <v>2916</v>
      </c>
      <c r="AF241" s="60" t="s">
        <v>8001</v>
      </c>
      <c r="AG241" s="59" t="s">
        <v>8493</v>
      </c>
      <c r="AH241" s="59" t="s">
        <v>1153</v>
      </c>
      <c r="AI241" s="59" t="s">
        <v>90</v>
      </c>
      <c r="AJ241" s="61">
        <v>28447</v>
      </c>
      <c r="AK241" s="60" t="s">
        <v>2917</v>
      </c>
      <c r="AL241" s="60" t="s">
        <v>8255</v>
      </c>
      <c r="AM241" s="59" t="s">
        <v>2918</v>
      </c>
      <c r="AN241" s="60"/>
      <c r="AO241" s="60"/>
      <c r="AP241" s="59" t="s">
        <v>2919</v>
      </c>
      <c r="AQ241" s="25" t="s">
        <v>2920</v>
      </c>
      <c r="AR241" s="60" t="s">
        <v>2921</v>
      </c>
      <c r="AS241" s="59" t="s">
        <v>2922</v>
      </c>
      <c r="AT241" s="59" t="s">
        <v>934</v>
      </c>
      <c r="AU241" s="59" t="s">
        <v>111</v>
      </c>
      <c r="AV241" s="62">
        <v>40375</v>
      </c>
      <c r="AW241" s="59" t="s">
        <v>8001</v>
      </c>
      <c r="AX241" s="59"/>
      <c r="AY241" s="59" t="s">
        <v>90</v>
      </c>
      <c r="AZ241" s="126">
        <v>29318</v>
      </c>
      <c r="BA241" s="60" t="s">
        <v>2923</v>
      </c>
      <c r="BB241" s="60" t="s">
        <v>845</v>
      </c>
      <c r="BC241" s="59" t="s">
        <v>800</v>
      </c>
      <c r="BD241" s="60"/>
      <c r="BE241" s="60"/>
      <c r="BF241" s="60"/>
      <c r="BG241" s="59" t="s">
        <v>2924</v>
      </c>
      <c r="BH241" s="60" t="s">
        <v>712</v>
      </c>
      <c r="BI241" s="60" t="s">
        <v>2892</v>
      </c>
      <c r="BJ241" s="24" t="s">
        <v>1495</v>
      </c>
      <c r="BK241" s="59" t="s">
        <v>982</v>
      </c>
      <c r="BL241" s="59" t="s">
        <v>1938</v>
      </c>
      <c r="BM241" s="24" t="s">
        <v>1664</v>
      </c>
      <c r="BN241" s="24"/>
      <c r="BO241" s="59"/>
      <c r="BP241" s="59"/>
      <c r="BQ241" s="77"/>
      <c r="BR241" s="60"/>
      <c r="BS241" s="60"/>
      <c r="BT241" s="59"/>
      <c r="BU241" s="60"/>
      <c r="BV241" s="60"/>
      <c r="BW241" s="59"/>
      <c r="BX241" s="60"/>
      <c r="BY241" s="60"/>
      <c r="BZ241" s="59"/>
      <c r="CA241" s="59"/>
      <c r="CB241" s="59"/>
      <c r="CC241" s="59"/>
      <c r="CD241" s="59"/>
      <c r="CE241" s="59" t="s">
        <v>7530</v>
      </c>
      <c r="CF241" s="60" t="s">
        <v>2920</v>
      </c>
      <c r="CG241" s="59" t="s">
        <v>7206</v>
      </c>
      <c r="CH241" s="59" t="s">
        <v>7207</v>
      </c>
      <c r="CI241" s="59" t="s">
        <v>942</v>
      </c>
      <c r="CJ241" s="59" t="s">
        <v>111</v>
      </c>
      <c r="CK241" s="47">
        <v>40375</v>
      </c>
      <c r="CL241" s="64" t="str">
        <f t="shared" ca="1" si="3"/>
        <v>17 Tahun 8 Bulan 6 Hari</v>
      </c>
      <c r="CM24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Suniaraja No 29 RT/RW 08/04 Desa/Kelurahan Sagala Herang Kaler Kecamatan Sagalaherang Subang Jawa Barat 40375</v>
      </c>
    </row>
    <row r="242" spans="1:91" ht="24.95" customHeight="1">
      <c r="A242" s="58">
        <f>SUBTOTAL(3,N$8:Table2[[#This Row],[Nama lengkap]])</f>
        <v>235</v>
      </c>
      <c r="B242" s="58" t="s">
        <v>86</v>
      </c>
      <c r="C242" s="58">
        <v>2021</v>
      </c>
      <c r="D242" s="58"/>
      <c r="E242" s="58">
        <v>4</v>
      </c>
      <c r="F242" s="58" t="s">
        <v>2925</v>
      </c>
      <c r="G242" s="32" t="s">
        <v>2513</v>
      </c>
      <c r="H242" s="32" t="s">
        <v>2513</v>
      </c>
      <c r="I242" s="32" t="s">
        <v>2513</v>
      </c>
      <c r="J242" s="32"/>
      <c r="K242" s="32"/>
      <c r="L242" s="32"/>
      <c r="M242" s="58">
        <v>21220157</v>
      </c>
      <c r="N242" s="24" t="s">
        <v>8825</v>
      </c>
      <c r="O242" s="24"/>
      <c r="P242" s="25" t="s">
        <v>2600</v>
      </c>
      <c r="Q242" s="25" t="s">
        <v>2927</v>
      </c>
      <c r="R242" s="60" t="s">
        <v>6839</v>
      </c>
      <c r="S242" s="61" t="s">
        <v>2928</v>
      </c>
      <c r="T242" s="47" t="s">
        <v>92</v>
      </c>
      <c r="U242" s="47">
        <v>6</v>
      </c>
      <c r="V242" s="47">
        <v>9</v>
      </c>
      <c r="W242" s="47" t="s">
        <v>207</v>
      </c>
      <c r="X242" s="59"/>
      <c r="Y242" s="59" t="s">
        <v>2929</v>
      </c>
      <c r="Z242" s="59" t="s">
        <v>2930</v>
      </c>
      <c r="AA242" s="59" t="s">
        <v>96</v>
      </c>
      <c r="AB242" s="59" t="s">
        <v>689</v>
      </c>
      <c r="AC242" s="59" t="s">
        <v>208</v>
      </c>
      <c r="AD242" s="59" t="s">
        <v>208</v>
      </c>
      <c r="AE242" s="60" t="s">
        <v>2931</v>
      </c>
      <c r="AF242" s="60" t="s">
        <v>8494</v>
      </c>
      <c r="AG242" s="59" t="s">
        <v>8494</v>
      </c>
      <c r="AH242" s="59" t="s">
        <v>691</v>
      </c>
      <c r="AI242" s="59" t="s">
        <v>6839</v>
      </c>
      <c r="AJ242" s="61">
        <v>21986</v>
      </c>
      <c r="AK242" s="60" t="s">
        <v>2932</v>
      </c>
      <c r="AL242" s="60" t="s">
        <v>114</v>
      </c>
      <c r="AM242" s="59" t="s">
        <v>2933</v>
      </c>
      <c r="AN242" s="60"/>
      <c r="AO242" s="60"/>
      <c r="AP242" s="59" t="s">
        <v>2934</v>
      </c>
      <c r="AQ242" s="25" t="s">
        <v>2935</v>
      </c>
      <c r="AR242" s="60" t="s">
        <v>2936</v>
      </c>
      <c r="AS242" s="59" t="s">
        <v>2937</v>
      </c>
      <c r="AT242" s="59" t="s">
        <v>1319</v>
      </c>
      <c r="AU242" s="59" t="s">
        <v>111</v>
      </c>
      <c r="AV242" s="62"/>
      <c r="AW242" s="59" t="s">
        <v>8002</v>
      </c>
      <c r="AX242" s="59" t="s">
        <v>691</v>
      </c>
      <c r="AY242" s="59" t="s">
        <v>6839</v>
      </c>
      <c r="AZ242" s="126">
        <v>29165</v>
      </c>
      <c r="BA242" s="60" t="s">
        <v>2938</v>
      </c>
      <c r="BB242" s="60" t="s">
        <v>845</v>
      </c>
      <c r="BC242" s="59" t="s">
        <v>2939</v>
      </c>
      <c r="BD242" s="60"/>
      <c r="BE242" s="60"/>
      <c r="BF242" s="60"/>
      <c r="BG242" s="59" t="s">
        <v>2934</v>
      </c>
      <c r="BH242" s="60" t="s">
        <v>2940</v>
      </c>
      <c r="BI242" s="60" t="s">
        <v>2936</v>
      </c>
      <c r="BJ242" s="24" t="s">
        <v>2937</v>
      </c>
      <c r="BK242" s="59" t="s">
        <v>1319</v>
      </c>
      <c r="BL242" s="59" t="s">
        <v>156</v>
      </c>
      <c r="BM242" s="24"/>
      <c r="BN242" s="24"/>
      <c r="BO242" s="59"/>
      <c r="BP242" s="59"/>
      <c r="BQ242" s="77"/>
      <c r="BR242" s="60"/>
      <c r="BS242" s="60"/>
      <c r="BT242" s="59"/>
      <c r="BU242" s="60"/>
      <c r="BV242" s="60"/>
      <c r="BW242" s="59"/>
      <c r="BX242" s="60"/>
      <c r="BY242" s="60"/>
      <c r="BZ242" s="59"/>
      <c r="CA242" s="59"/>
      <c r="CB242" s="59"/>
      <c r="CC242" s="59"/>
      <c r="CD242" s="59"/>
      <c r="CE242" s="59" t="s">
        <v>7531</v>
      </c>
      <c r="CF242" s="60" t="s">
        <v>2935</v>
      </c>
      <c r="CG242" s="59" t="s">
        <v>7208</v>
      </c>
      <c r="CH242" s="59" t="s">
        <v>7209</v>
      </c>
      <c r="CI242" s="59" t="s">
        <v>6839</v>
      </c>
      <c r="CJ242" s="59" t="s">
        <v>111</v>
      </c>
      <c r="CK242" s="47"/>
      <c r="CL242" s="64" t="str">
        <f t="shared" ca="1" si="3"/>
        <v>18 Tahun 8 Bulan 18 Hari</v>
      </c>
      <c r="CM24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Blok Masjid Keramat RT/RW 22/01 Desa/Kelurahan Megugede Kecamatan Weru Cirebon Jawa Barat </v>
      </c>
    </row>
    <row r="243" spans="1:91" ht="24.95" customHeight="1">
      <c r="A243" s="58">
        <f>SUBTOTAL(3,N$8:Table2[[#This Row],[Nama lengkap]])</f>
        <v>236</v>
      </c>
      <c r="B243" s="58" t="s">
        <v>86</v>
      </c>
      <c r="C243" s="58">
        <v>2021</v>
      </c>
      <c r="D243" s="58" t="s">
        <v>8936</v>
      </c>
      <c r="E243" s="58">
        <v>4</v>
      </c>
      <c r="F243" s="58" t="s">
        <v>2925</v>
      </c>
      <c r="G243" s="32" t="s">
        <v>2513</v>
      </c>
      <c r="H243" s="32" t="s">
        <v>2513</v>
      </c>
      <c r="I243" s="32" t="s">
        <v>2513</v>
      </c>
      <c r="J243" s="32"/>
      <c r="K243" s="32"/>
      <c r="L243" s="32"/>
      <c r="M243" s="58">
        <v>21220143</v>
      </c>
      <c r="N243" s="24" t="s">
        <v>6042</v>
      </c>
      <c r="O243" s="24"/>
      <c r="P243" s="25" t="s">
        <v>8980</v>
      </c>
      <c r="Q243" s="25" t="s">
        <v>2941</v>
      </c>
      <c r="R243" s="60" t="s">
        <v>6562</v>
      </c>
      <c r="S243" s="61" t="s">
        <v>2942</v>
      </c>
      <c r="T243" s="47" t="s">
        <v>92</v>
      </c>
      <c r="U243" s="47">
        <v>1</v>
      </c>
      <c r="V243" s="47">
        <v>0</v>
      </c>
      <c r="W243" s="47" t="s">
        <v>207</v>
      </c>
      <c r="X243" s="59"/>
      <c r="Y243" s="59" t="s">
        <v>1068</v>
      </c>
      <c r="Z243" s="59" t="s">
        <v>1985</v>
      </c>
      <c r="AA243" s="59" t="s">
        <v>96</v>
      </c>
      <c r="AB243" s="59" t="s">
        <v>689</v>
      </c>
      <c r="AC243" s="59" t="s">
        <v>208</v>
      </c>
      <c r="AD243" s="59" t="s">
        <v>208</v>
      </c>
      <c r="AE243" s="60" t="s">
        <v>2943</v>
      </c>
      <c r="AF243" s="60" t="s">
        <v>6414</v>
      </c>
      <c r="AG243" s="59" t="s">
        <v>6414</v>
      </c>
      <c r="AH243" s="59" t="s">
        <v>691</v>
      </c>
      <c r="AI243" s="59" t="s">
        <v>6562</v>
      </c>
      <c r="AJ243" s="61" t="s">
        <v>2944</v>
      </c>
      <c r="AK243" s="60" t="s">
        <v>2945</v>
      </c>
      <c r="AL243" s="60" t="s">
        <v>602</v>
      </c>
      <c r="AM243" s="59" t="s">
        <v>800</v>
      </c>
      <c r="AN243" s="60"/>
      <c r="AO243" s="60"/>
      <c r="AP243" s="59" t="s">
        <v>2946</v>
      </c>
      <c r="AQ243" s="25" t="s">
        <v>1009</v>
      </c>
      <c r="AR243" s="60" t="s">
        <v>2947</v>
      </c>
      <c r="AS243" s="59" t="s">
        <v>1249</v>
      </c>
      <c r="AT243" s="59" t="s">
        <v>1249</v>
      </c>
      <c r="AU243" s="59" t="s">
        <v>111</v>
      </c>
      <c r="AV243" s="62"/>
      <c r="AW243" s="59" t="s">
        <v>8003</v>
      </c>
      <c r="AX243" s="59" t="s">
        <v>691</v>
      </c>
      <c r="AY243" s="59" t="s">
        <v>6562</v>
      </c>
      <c r="AZ243" s="126" t="s">
        <v>2948</v>
      </c>
      <c r="BA243" s="60" t="s">
        <v>2949</v>
      </c>
      <c r="BB243" s="60" t="s">
        <v>845</v>
      </c>
      <c r="BC243" s="59" t="s">
        <v>800</v>
      </c>
      <c r="BD243" s="60"/>
      <c r="BE243" s="60"/>
      <c r="BF243" s="60"/>
      <c r="BG243" s="59" t="s">
        <v>2946</v>
      </c>
      <c r="BH243" s="60" t="s">
        <v>1009</v>
      </c>
      <c r="BI243" s="60" t="s">
        <v>2947</v>
      </c>
      <c r="BJ243" s="24" t="s">
        <v>1249</v>
      </c>
      <c r="BK243" s="59" t="s">
        <v>1249</v>
      </c>
      <c r="BL243" s="59" t="s">
        <v>156</v>
      </c>
      <c r="BM243" s="24"/>
      <c r="BN243" s="24"/>
      <c r="BO243" s="59"/>
      <c r="BP243" s="59"/>
      <c r="BQ243" s="77"/>
      <c r="BR243" s="60"/>
      <c r="BS243" s="60"/>
      <c r="BT243" s="59"/>
      <c r="BU243" s="60"/>
      <c r="BV243" s="60"/>
      <c r="BW243" s="59"/>
      <c r="BX243" s="60"/>
      <c r="BY243" s="60"/>
      <c r="BZ243" s="59"/>
      <c r="CA243" s="59"/>
      <c r="CB243" s="59"/>
      <c r="CC243" s="59"/>
      <c r="CD243" s="59"/>
      <c r="CE243" s="59" t="s">
        <v>7532</v>
      </c>
      <c r="CF243" s="60" t="s">
        <v>1009</v>
      </c>
      <c r="CG243" s="59" t="s">
        <v>6978</v>
      </c>
      <c r="CH243" s="59" t="s">
        <v>6562</v>
      </c>
      <c r="CI243" s="59" t="s">
        <v>6562</v>
      </c>
      <c r="CJ243" s="59" t="s">
        <v>111</v>
      </c>
      <c r="CK243" s="47"/>
      <c r="CL243" s="64" t="str">
        <f t="shared" ca="1" si="3"/>
        <v>16 Tahun 8 Bulan 2 Hari</v>
      </c>
      <c r="CM24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 Veteran RT/RW 03/02 Desa/Kelurahan Ciseureuh Kecamatan Purwakarta Purwakarta Jawa Barat </v>
      </c>
    </row>
    <row r="244" spans="1:91" ht="24.95" customHeight="1">
      <c r="A244" s="58">
        <f>SUBTOTAL(3,N$8:Table2[[#This Row],[Nama lengkap]])</f>
        <v>237</v>
      </c>
      <c r="B244" s="58" t="s">
        <v>86</v>
      </c>
      <c r="C244" s="58">
        <v>2021</v>
      </c>
      <c r="D244" s="58"/>
      <c r="E244" s="58">
        <v>4</v>
      </c>
      <c r="F244" s="58" t="s">
        <v>2925</v>
      </c>
      <c r="G244" s="32" t="s">
        <v>2513</v>
      </c>
      <c r="H244" s="32" t="s">
        <v>2513</v>
      </c>
      <c r="I244" s="32" t="s">
        <v>2513</v>
      </c>
      <c r="J244" s="32"/>
      <c r="K244" s="32"/>
      <c r="L244" s="32"/>
      <c r="M244" s="58">
        <v>21220046</v>
      </c>
      <c r="N244" s="24" t="s">
        <v>6044</v>
      </c>
      <c r="O244" s="24"/>
      <c r="P244" s="25" t="s">
        <v>2959</v>
      </c>
      <c r="Q244" s="25" t="s">
        <v>2960</v>
      </c>
      <c r="R244" s="60" t="s">
        <v>90</v>
      </c>
      <c r="S244" s="61" t="s">
        <v>2961</v>
      </c>
      <c r="T244" s="47" t="s">
        <v>92</v>
      </c>
      <c r="U244" s="47">
        <v>1</v>
      </c>
      <c r="V244" s="47">
        <v>1</v>
      </c>
      <c r="W244" s="47" t="s">
        <v>207</v>
      </c>
      <c r="X244" s="59"/>
      <c r="Y244" s="59" t="s">
        <v>1247</v>
      </c>
      <c r="Z244" s="59" t="s">
        <v>986</v>
      </c>
      <c r="AA244" s="59" t="s">
        <v>96</v>
      </c>
      <c r="AB244" s="59" t="s">
        <v>689</v>
      </c>
      <c r="AC244" s="59" t="s">
        <v>208</v>
      </c>
      <c r="AD244" s="59" t="s">
        <v>208</v>
      </c>
      <c r="AE244" s="60" t="s">
        <v>2962</v>
      </c>
      <c r="AF244" s="60" t="s">
        <v>8495</v>
      </c>
      <c r="AG244" s="59" t="s">
        <v>8495</v>
      </c>
      <c r="AH244" s="59" t="s">
        <v>691</v>
      </c>
      <c r="AI244" s="59" t="s">
        <v>90</v>
      </c>
      <c r="AJ244" s="61">
        <v>29587</v>
      </c>
      <c r="AK244" s="60" t="s">
        <v>2963</v>
      </c>
      <c r="AL244" s="60" t="s">
        <v>114</v>
      </c>
      <c r="AM244" s="59" t="s">
        <v>800</v>
      </c>
      <c r="AN244" s="60"/>
      <c r="AO244" s="60"/>
      <c r="AP244" s="59" t="s">
        <v>2964</v>
      </c>
      <c r="AQ244" s="25" t="s">
        <v>2965</v>
      </c>
      <c r="AR244" s="60" t="s">
        <v>2341</v>
      </c>
      <c r="AS244" s="59" t="s">
        <v>1888</v>
      </c>
      <c r="AT244" s="59" t="s">
        <v>141</v>
      </c>
      <c r="AU244" s="59" t="s">
        <v>111</v>
      </c>
      <c r="AV244" s="62"/>
      <c r="AW244" s="59" t="s">
        <v>8004</v>
      </c>
      <c r="AX244" s="59" t="s">
        <v>691</v>
      </c>
      <c r="AY244" s="59" t="s">
        <v>90</v>
      </c>
      <c r="AZ244" s="126" t="s">
        <v>2966</v>
      </c>
      <c r="BA244" s="60" t="s">
        <v>2967</v>
      </c>
      <c r="BB244" s="60" t="s">
        <v>845</v>
      </c>
      <c r="BC244" s="59" t="s">
        <v>1820</v>
      </c>
      <c r="BD244" s="60"/>
      <c r="BE244" s="60"/>
      <c r="BF244" s="60"/>
      <c r="BG244" s="59" t="s">
        <v>2964</v>
      </c>
      <c r="BH244" s="60" t="s">
        <v>2965</v>
      </c>
      <c r="BI244" s="60" t="s">
        <v>2341</v>
      </c>
      <c r="BJ244" s="24" t="s">
        <v>1888</v>
      </c>
      <c r="BK244" s="59" t="s">
        <v>141</v>
      </c>
      <c r="BL244" s="59" t="s">
        <v>156</v>
      </c>
      <c r="BM244" s="24"/>
      <c r="BN244" s="24"/>
      <c r="BO244" s="59" t="s">
        <v>701</v>
      </c>
      <c r="BP244" s="59"/>
      <c r="BQ244" s="77"/>
      <c r="BR244" s="60"/>
      <c r="BS244" s="60"/>
      <c r="BT244" s="59"/>
      <c r="BU244" s="60"/>
      <c r="BV244" s="60"/>
      <c r="BW244" s="59"/>
      <c r="BX244" s="60"/>
      <c r="BY244" s="60"/>
      <c r="BZ244" s="59"/>
      <c r="CA244" s="59"/>
      <c r="CB244" s="59"/>
      <c r="CC244" s="59"/>
      <c r="CD244" s="59"/>
      <c r="CE244" s="59" t="s">
        <v>7533</v>
      </c>
      <c r="CF244" s="60" t="s">
        <v>2965</v>
      </c>
      <c r="CG244" s="59" t="s">
        <v>7164</v>
      </c>
      <c r="CH244" s="59" t="s">
        <v>744</v>
      </c>
      <c r="CI244" s="59" t="s">
        <v>90</v>
      </c>
      <c r="CJ244" s="59" t="s">
        <v>111</v>
      </c>
      <c r="CK244" s="47"/>
      <c r="CL244" s="64" t="str">
        <f t="shared" ca="1" si="3"/>
        <v>17 Tahun 0 Bulan 11 Hari</v>
      </c>
      <c r="CM24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Cibuntu Barat RT/RW 05/09 Desa/Kelurahan Cibuntu Kecamatan Bandung Kulon Bandung Jawa Barat </v>
      </c>
    </row>
    <row r="245" spans="1:91" ht="24.95" customHeight="1">
      <c r="A245" s="58">
        <f>SUBTOTAL(3,N$8:Table2[[#This Row],[Nama lengkap]])</f>
        <v>238</v>
      </c>
      <c r="B245" s="58" t="s">
        <v>86</v>
      </c>
      <c r="C245" s="58">
        <v>2020</v>
      </c>
      <c r="D245" s="58"/>
      <c r="E245" s="58">
        <v>4</v>
      </c>
      <c r="F245" s="58" t="s">
        <v>2925</v>
      </c>
      <c r="G245" s="32" t="s">
        <v>2513</v>
      </c>
      <c r="H245" s="32" t="s">
        <v>2513</v>
      </c>
      <c r="I245" s="32" t="s">
        <v>2513</v>
      </c>
      <c r="J245" s="32"/>
      <c r="K245" s="32"/>
      <c r="L245" s="32"/>
      <c r="M245" s="84">
        <v>20210194</v>
      </c>
      <c r="N245" s="24" t="s">
        <v>8826</v>
      </c>
      <c r="O245" s="24"/>
      <c r="P245" s="25" t="s">
        <v>2969</v>
      </c>
      <c r="Q245" s="25" t="s">
        <v>2970</v>
      </c>
      <c r="R245" s="60" t="s">
        <v>6846</v>
      </c>
      <c r="S245" s="61" t="s">
        <v>2971</v>
      </c>
      <c r="T245" s="47" t="s">
        <v>92</v>
      </c>
      <c r="U245" s="47">
        <v>2</v>
      </c>
      <c r="V245" s="47">
        <v>4</v>
      </c>
      <c r="W245" s="47" t="s">
        <v>207</v>
      </c>
      <c r="X245" s="59"/>
      <c r="Y245" s="59" t="s">
        <v>2039</v>
      </c>
      <c r="Z245" s="59" t="s">
        <v>1478</v>
      </c>
      <c r="AA245" s="59" t="s">
        <v>96</v>
      </c>
      <c r="AB245" s="59" t="s">
        <v>689</v>
      </c>
      <c r="AC245" s="59" t="s">
        <v>208</v>
      </c>
      <c r="AD245" s="59" t="s">
        <v>208</v>
      </c>
      <c r="AE245" s="60" t="s">
        <v>2972</v>
      </c>
      <c r="AF245" s="60" t="s">
        <v>6415</v>
      </c>
      <c r="AG245" s="59" t="s">
        <v>6415</v>
      </c>
      <c r="AH245" s="59" t="s">
        <v>691</v>
      </c>
      <c r="AI245" s="59" t="s">
        <v>6846</v>
      </c>
      <c r="AJ245" s="61" t="s">
        <v>2973</v>
      </c>
      <c r="AK245" s="60" t="s">
        <v>2974</v>
      </c>
      <c r="AL245" s="60" t="s">
        <v>114</v>
      </c>
      <c r="AM245" s="59" t="s">
        <v>800</v>
      </c>
      <c r="AN245" s="60" t="s">
        <v>2975</v>
      </c>
      <c r="AO245" s="60"/>
      <c r="AP245" s="59" t="s">
        <v>2976</v>
      </c>
      <c r="AQ245" s="25" t="s">
        <v>925</v>
      </c>
      <c r="AR245" s="60" t="s">
        <v>2977</v>
      </c>
      <c r="AS245" s="59" t="s">
        <v>1393</v>
      </c>
      <c r="AT245" s="59" t="s">
        <v>1383</v>
      </c>
      <c r="AU245" s="59" t="s">
        <v>111</v>
      </c>
      <c r="AV245" s="62">
        <v>17530</v>
      </c>
      <c r="AW245" s="59" t="s">
        <v>8005</v>
      </c>
      <c r="AX245" s="59" t="s">
        <v>691</v>
      </c>
      <c r="AY245" s="59" t="s">
        <v>7795</v>
      </c>
      <c r="AZ245" s="126" t="s">
        <v>2978</v>
      </c>
      <c r="BA245" s="60" t="s">
        <v>2979</v>
      </c>
      <c r="BB245" s="60" t="s">
        <v>845</v>
      </c>
      <c r="BC245" s="59" t="s">
        <v>800</v>
      </c>
      <c r="BD245" s="60" t="s">
        <v>2975</v>
      </c>
      <c r="BE245" s="60"/>
      <c r="BF245" s="60"/>
      <c r="BG245" s="59" t="s">
        <v>2976</v>
      </c>
      <c r="BH245" s="25" t="s">
        <v>925</v>
      </c>
      <c r="BI245" s="60" t="s">
        <v>2977</v>
      </c>
      <c r="BJ245" s="59" t="s">
        <v>1393</v>
      </c>
      <c r="BK245" s="59" t="s">
        <v>1383</v>
      </c>
      <c r="BL245" s="59" t="s">
        <v>111</v>
      </c>
      <c r="BM245" s="62">
        <v>17530</v>
      </c>
      <c r="BN245" s="62"/>
      <c r="BO245" s="59" t="s">
        <v>701</v>
      </c>
      <c r="BP245" s="59"/>
      <c r="BQ245" s="77"/>
      <c r="BR245" s="60"/>
      <c r="BS245" s="60"/>
      <c r="BT245" s="59"/>
      <c r="BU245" s="60"/>
      <c r="BV245" s="60"/>
      <c r="BW245" s="59"/>
      <c r="BX245" s="60"/>
      <c r="BY245" s="60"/>
      <c r="BZ245" s="59"/>
      <c r="CA245" s="59"/>
      <c r="CB245" s="59"/>
      <c r="CC245" s="59"/>
      <c r="CD245" s="59"/>
      <c r="CE245" s="59" t="s">
        <v>7534</v>
      </c>
      <c r="CF245" s="60" t="s">
        <v>925</v>
      </c>
      <c r="CG245" s="59" t="s">
        <v>7210</v>
      </c>
      <c r="CH245" s="59" t="s">
        <v>7073</v>
      </c>
      <c r="CI245" s="59" t="s">
        <v>6846</v>
      </c>
      <c r="CJ245" s="59" t="s">
        <v>111</v>
      </c>
      <c r="CK245" s="47">
        <v>17530</v>
      </c>
      <c r="CL245" s="64" t="str">
        <f t="shared" ca="1" si="3"/>
        <v>18 Tahun 3 Bulan 9 Hari</v>
      </c>
      <c r="CM24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Lw. Malang  RT/RW 03/01 Desa/Kelurahan Sukaresmi Kecamatan Cikarang Selatan Bekasi Jawa Barat 17530</v>
      </c>
    </row>
    <row r="246" spans="1:91" ht="24.95" customHeight="1">
      <c r="A246" s="58">
        <f>SUBTOTAL(3,N$8:Table2[[#This Row],[Nama lengkap]])</f>
        <v>239</v>
      </c>
      <c r="B246" s="58" t="s">
        <v>86</v>
      </c>
      <c r="C246" s="58">
        <v>2020</v>
      </c>
      <c r="D246" s="58"/>
      <c r="E246" s="58">
        <v>4</v>
      </c>
      <c r="F246" s="58" t="s">
        <v>2925</v>
      </c>
      <c r="G246" s="32" t="s">
        <v>2513</v>
      </c>
      <c r="H246" s="32" t="s">
        <v>2513</v>
      </c>
      <c r="I246" s="32" t="s">
        <v>2513</v>
      </c>
      <c r="J246" s="32"/>
      <c r="K246" s="32"/>
      <c r="L246" s="32"/>
      <c r="M246" s="58">
        <v>20210185</v>
      </c>
      <c r="N246" s="24" t="s">
        <v>6046</v>
      </c>
      <c r="O246" s="24"/>
      <c r="P246" s="25" t="s">
        <v>2981</v>
      </c>
      <c r="Q246" s="25" t="s">
        <v>2982</v>
      </c>
      <c r="R246" s="60" t="s">
        <v>90</v>
      </c>
      <c r="S246" s="61" t="s">
        <v>2983</v>
      </c>
      <c r="T246" s="47" t="s">
        <v>92</v>
      </c>
      <c r="U246" s="47">
        <v>2</v>
      </c>
      <c r="V246" s="47">
        <v>1</v>
      </c>
      <c r="W246" s="47" t="s">
        <v>207</v>
      </c>
      <c r="X246" s="59"/>
      <c r="Y246" s="59"/>
      <c r="Z246" s="59" t="s">
        <v>1478</v>
      </c>
      <c r="AA246" s="59" t="s">
        <v>1141</v>
      </c>
      <c r="AB246" s="59" t="s">
        <v>689</v>
      </c>
      <c r="AC246" s="59" t="s">
        <v>208</v>
      </c>
      <c r="AD246" s="59" t="s">
        <v>208</v>
      </c>
      <c r="AE246" s="60" t="s">
        <v>2984</v>
      </c>
      <c r="AF246" s="60" t="s">
        <v>8496</v>
      </c>
      <c r="AG246" s="59" t="s">
        <v>8496</v>
      </c>
      <c r="AH246" s="59" t="s">
        <v>691</v>
      </c>
      <c r="AI246" s="59" t="s">
        <v>6839</v>
      </c>
      <c r="AJ246" s="61">
        <v>26238</v>
      </c>
      <c r="AK246" s="60" t="s">
        <v>2985</v>
      </c>
      <c r="AL246" s="60" t="s">
        <v>914</v>
      </c>
      <c r="AM246" s="59" t="s">
        <v>800</v>
      </c>
      <c r="AN246" s="60"/>
      <c r="AO246" s="60"/>
      <c r="AP246" s="59" t="s">
        <v>2986</v>
      </c>
      <c r="AQ246" s="25" t="s">
        <v>262</v>
      </c>
      <c r="AR246" s="60" t="s">
        <v>2684</v>
      </c>
      <c r="AS246" s="59" t="s">
        <v>2684</v>
      </c>
      <c r="AT246" s="59" t="s">
        <v>141</v>
      </c>
      <c r="AU246" s="59" t="s">
        <v>111</v>
      </c>
      <c r="AV246" s="62"/>
      <c r="AW246" s="59" t="s">
        <v>8006</v>
      </c>
      <c r="AX246" s="59" t="s">
        <v>691</v>
      </c>
      <c r="AY246" s="59" t="s">
        <v>236</v>
      </c>
      <c r="AZ246" s="126" t="s">
        <v>2987</v>
      </c>
      <c r="BA246" s="60" t="s">
        <v>2988</v>
      </c>
      <c r="BB246" s="60" t="s">
        <v>845</v>
      </c>
      <c r="BC246" s="59" t="s">
        <v>800</v>
      </c>
      <c r="BD246" s="60"/>
      <c r="BE246" s="60"/>
      <c r="BF246" s="60"/>
      <c r="BG246" s="59" t="s">
        <v>2986</v>
      </c>
      <c r="BH246" s="60" t="s">
        <v>262</v>
      </c>
      <c r="BI246" s="60" t="s">
        <v>2684</v>
      </c>
      <c r="BJ246" s="24" t="s">
        <v>2684</v>
      </c>
      <c r="BK246" s="59" t="s">
        <v>141</v>
      </c>
      <c r="BL246" s="59" t="s">
        <v>156</v>
      </c>
      <c r="BM246" s="62"/>
      <c r="BN246" s="62"/>
      <c r="BO246" s="59"/>
      <c r="BP246" s="59"/>
      <c r="BQ246" s="77"/>
      <c r="BR246" s="60"/>
      <c r="BS246" s="60"/>
      <c r="BT246" s="59"/>
      <c r="BU246" s="60"/>
      <c r="BV246" s="60"/>
      <c r="BW246" s="59"/>
      <c r="BX246" s="60"/>
      <c r="BY246" s="60"/>
      <c r="BZ246" s="59"/>
      <c r="CA246" s="59"/>
      <c r="CB246" s="59"/>
      <c r="CC246" s="59"/>
      <c r="CD246" s="59"/>
      <c r="CE246" s="59" t="s">
        <v>7535</v>
      </c>
      <c r="CF246" s="60" t="s">
        <v>262</v>
      </c>
      <c r="CG246" s="59" t="s">
        <v>7190</v>
      </c>
      <c r="CH246" s="59" t="s">
        <v>7190</v>
      </c>
      <c r="CI246" s="59" t="s">
        <v>90</v>
      </c>
      <c r="CJ246" s="59" t="s">
        <v>111</v>
      </c>
      <c r="CK246" s="47"/>
      <c r="CL246" s="64" t="str">
        <f t="shared" ca="1" si="3"/>
        <v>21 Tahun 6 Bulan 8 Hari</v>
      </c>
      <c r="CM24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 Jatinangor I.Blok C. 12 No.22 RT/RW 03/05 Desa/Kelurahan Margaasih Kecamatan Margaasih Bandung Jawa Barat </v>
      </c>
    </row>
    <row r="247" spans="1:91" ht="24.95" customHeight="1">
      <c r="A247" s="58">
        <f>SUBTOTAL(3,N$8:Table2[[#This Row],[Nama lengkap]])</f>
        <v>240</v>
      </c>
      <c r="B247" s="58" t="s">
        <v>86</v>
      </c>
      <c r="C247" s="58">
        <v>2021</v>
      </c>
      <c r="D247" s="58"/>
      <c r="E247" s="58">
        <v>4</v>
      </c>
      <c r="F247" s="58" t="s">
        <v>2925</v>
      </c>
      <c r="G247" s="32" t="s">
        <v>2513</v>
      </c>
      <c r="H247" s="32" t="s">
        <v>2513</v>
      </c>
      <c r="I247" s="32" t="s">
        <v>2513</v>
      </c>
      <c r="J247" s="32"/>
      <c r="K247" s="32"/>
      <c r="L247" s="32"/>
      <c r="M247" s="58">
        <v>21220042</v>
      </c>
      <c r="N247" s="24" t="s">
        <v>6047</v>
      </c>
      <c r="O247" s="24"/>
      <c r="P247" s="25" t="s">
        <v>2989</v>
      </c>
      <c r="Q247" s="25" t="s">
        <v>2990</v>
      </c>
      <c r="R247" s="60" t="s">
        <v>90</v>
      </c>
      <c r="S247" s="61" t="s">
        <v>2991</v>
      </c>
      <c r="T247" s="47" t="s">
        <v>92</v>
      </c>
      <c r="U247" s="47">
        <v>1</v>
      </c>
      <c r="V247" s="47">
        <v>2</v>
      </c>
      <c r="W247" s="47" t="s">
        <v>207</v>
      </c>
      <c r="X247" s="59"/>
      <c r="Y247" s="59" t="s">
        <v>1247</v>
      </c>
      <c r="Z247" s="59" t="s">
        <v>2992</v>
      </c>
      <c r="AA247" s="59" t="s">
        <v>96</v>
      </c>
      <c r="AB247" s="59" t="s">
        <v>689</v>
      </c>
      <c r="AC247" s="59" t="s">
        <v>208</v>
      </c>
      <c r="AD247" s="59" t="s">
        <v>208</v>
      </c>
      <c r="AE247" s="60" t="s">
        <v>2993</v>
      </c>
      <c r="AF247" s="60" t="s">
        <v>8497</v>
      </c>
      <c r="AG247" s="59" t="s">
        <v>8498</v>
      </c>
      <c r="AH247" s="59" t="s">
        <v>691</v>
      </c>
      <c r="AI247" s="59" t="s">
        <v>236</v>
      </c>
      <c r="AJ247" s="61">
        <v>30809</v>
      </c>
      <c r="AK247" s="60" t="s">
        <v>2994</v>
      </c>
      <c r="AL247" s="60" t="s">
        <v>914</v>
      </c>
      <c r="AM247" s="59" t="s">
        <v>693</v>
      </c>
      <c r="AN247" s="60"/>
      <c r="AO247" s="60"/>
      <c r="AP247" s="59" t="s">
        <v>2995</v>
      </c>
      <c r="AQ247" s="25" t="s">
        <v>2159</v>
      </c>
      <c r="AR247" s="60" t="s">
        <v>2996</v>
      </c>
      <c r="AS247" s="59" t="s">
        <v>2996</v>
      </c>
      <c r="AT247" s="59" t="s">
        <v>141</v>
      </c>
      <c r="AU247" s="59" t="s">
        <v>111</v>
      </c>
      <c r="AV247" s="62"/>
      <c r="AW247" s="59" t="s">
        <v>8007</v>
      </c>
      <c r="AX247" s="59" t="s">
        <v>691</v>
      </c>
      <c r="AY247" s="59" t="s">
        <v>90</v>
      </c>
      <c r="AZ247" s="126" t="s">
        <v>2680</v>
      </c>
      <c r="BA247" s="60" t="s">
        <v>2997</v>
      </c>
      <c r="BB247" s="60" t="s">
        <v>845</v>
      </c>
      <c r="BC247" s="59" t="s">
        <v>800</v>
      </c>
      <c r="BD247" s="60"/>
      <c r="BE247" s="60"/>
      <c r="BF247" s="60"/>
      <c r="BG247" s="59" t="s">
        <v>2995</v>
      </c>
      <c r="BH247" s="60" t="s">
        <v>2159</v>
      </c>
      <c r="BI247" s="60" t="s">
        <v>2996</v>
      </c>
      <c r="BJ247" s="24" t="s">
        <v>2996</v>
      </c>
      <c r="BK247" s="59" t="s">
        <v>141</v>
      </c>
      <c r="BL247" s="59" t="s">
        <v>156</v>
      </c>
      <c r="BM247" s="62"/>
      <c r="BN247" s="62"/>
      <c r="BO247" s="59"/>
      <c r="BP247" s="59"/>
      <c r="BQ247" s="77"/>
      <c r="BR247" s="60"/>
      <c r="BS247" s="60"/>
      <c r="BT247" s="59"/>
      <c r="BU247" s="60"/>
      <c r="BV247" s="60"/>
      <c r="BW247" s="59"/>
      <c r="BX247" s="60"/>
      <c r="BY247" s="60"/>
      <c r="BZ247" s="59"/>
      <c r="CA247" s="59"/>
      <c r="CB247" s="59"/>
      <c r="CC247" s="59"/>
      <c r="CD247" s="59"/>
      <c r="CE247" s="59" t="s">
        <v>7536</v>
      </c>
      <c r="CF247" s="60" t="s">
        <v>2159</v>
      </c>
      <c r="CG247" s="59" t="s">
        <v>7211</v>
      </c>
      <c r="CH247" s="59" t="s">
        <v>7211</v>
      </c>
      <c r="CI247" s="59" t="s">
        <v>90</v>
      </c>
      <c r="CJ247" s="59" t="s">
        <v>111</v>
      </c>
      <c r="CK247" s="47"/>
      <c r="CL247" s="64" t="str">
        <f t="shared" ca="1" si="3"/>
        <v>16 Tahun 9 Bulan 19 Hari</v>
      </c>
      <c r="CM24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Kp.Babakan Mulyana RT/RW 05/07 Desa/Kelurahan Pangalengan Kecamatan Pangalengan Bandung Jawa Barat </v>
      </c>
    </row>
    <row r="248" spans="1:91" ht="24.95" customHeight="1">
      <c r="A248" s="58">
        <f>SUBTOTAL(3,N$8:Table2[[#This Row],[Nama lengkap]])</f>
        <v>241</v>
      </c>
      <c r="B248" s="58" t="s">
        <v>86</v>
      </c>
      <c r="C248" s="58">
        <v>2021</v>
      </c>
      <c r="D248" s="58"/>
      <c r="E248" s="58">
        <v>4</v>
      </c>
      <c r="F248" s="58" t="s">
        <v>2925</v>
      </c>
      <c r="G248" s="32" t="s">
        <v>2513</v>
      </c>
      <c r="H248" s="32" t="s">
        <v>2513</v>
      </c>
      <c r="I248" s="32" t="s">
        <v>2513</v>
      </c>
      <c r="J248" s="32"/>
      <c r="K248" s="32"/>
      <c r="L248" s="32"/>
      <c r="M248" s="58">
        <v>21220145</v>
      </c>
      <c r="N248" s="24" t="s">
        <v>8827</v>
      </c>
      <c r="O248" s="24"/>
      <c r="P248" s="25" t="s">
        <v>2999</v>
      </c>
      <c r="Q248" s="25" t="s">
        <v>3000</v>
      </c>
      <c r="R248" s="60" t="s">
        <v>90</v>
      </c>
      <c r="S248" s="61" t="s">
        <v>3001</v>
      </c>
      <c r="T248" s="47" t="s">
        <v>92</v>
      </c>
      <c r="U248" s="47">
        <v>2</v>
      </c>
      <c r="V248" s="47">
        <v>2</v>
      </c>
      <c r="W248" s="47" t="s">
        <v>207</v>
      </c>
      <c r="X248" s="59"/>
      <c r="Y248" s="59" t="s">
        <v>1012</v>
      </c>
      <c r="Z248" s="59" t="s">
        <v>3002</v>
      </c>
      <c r="AA248" s="59" t="s">
        <v>3003</v>
      </c>
      <c r="AB248" s="59" t="s">
        <v>1151</v>
      </c>
      <c r="AC248" s="59" t="s">
        <v>208</v>
      </c>
      <c r="AD248" s="59" t="s">
        <v>208</v>
      </c>
      <c r="AE248" s="60" t="s">
        <v>3004</v>
      </c>
      <c r="AF248" s="60" t="s">
        <v>8008</v>
      </c>
      <c r="AG248" s="59" t="s">
        <v>8499</v>
      </c>
      <c r="AH248" s="59" t="s">
        <v>1071</v>
      </c>
      <c r="AI248" s="59"/>
      <c r="AJ248" s="61"/>
      <c r="AK248" s="60"/>
      <c r="AL248" s="60"/>
      <c r="AM248" s="59"/>
      <c r="AN248" s="60"/>
      <c r="AO248" s="60"/>
      <c r="AP248" s="59"/>
      <c r="AQ248" s="25"/>
      <c r="AR248" s="60"/>
      <c r="AS248" s="59"/>
      <c r="AT248" s="59"/>
      <c r="AU248" s="59" t="s">
        <v>111</v>
      </c>
      <c r="AV248" s="62"/>
      <c r="AW248" s="59" t="s">
        <v>8008</v>
      </c>
      <c r="AX248" s="59" t="s">
        <v>691</v>
      </c>
      <c r="AY248" s="59" t="s">
        <v>90</v>
      </c>
      <c r="AZ248" s="126">
        <v>27789</v>
      </c>
      <c r="BA248" s="60" t="s">
        <v>3005</v>
      </c>
      <c r="BB248" s="60" t="s">
        <v>845</v>
      </c>
      <c r="BC248" s="59" t="s">
        <v>700</v>
      </c>
      <c r="BD248" s="60"/>
      <c r="BE248" s="60"/>
      <c r="BF248" s="60"/>
      <c r="BG248" s="59" t="s">
        <v>3006</v>
      </c>
      <c r="BH248" s="60" t="s">
        <v>1174</v>
      </c>
      <c r="BI248" s="60" t="s">
        <v>3007</v>
      </c>
      <c r="BJ248" s="24" t="s">
        <v>3008</v>
      </c>
      <c r="BK248" s="59" t="s">
        <v>141</v>
      </c>
      <c r="BL248" s="59" t="s">
        <v>156</v>
      </c>
      <c r="BM248" s="62"/>
      <c r="BN248" s="62"/>
      <c r="BO248" s="59"/>
      <c r="BP248" s="59"/>
      <c r="BQ248" s="77"/>
      <c r="BR248" s="60"/>
      <c r="BS248" s="60"/>
      <c r="BT248" s="59"/>
      <c r="BU248" s="60"/>
      <c r="BV248" s="60"/>
      <c r="BW248" s="59"/>
      <c r="BX248" s="60"/>
      <c r="BY248" s="60"/>
      <c r="BZ248" s="59"/>
      <c r="CA248" s="59"/>
      <c r="CB248" s="59"/>
      <c r="CC248" s="59"/>
      <c r="CD248" s="59"/>
      <c r="CE248" s="59" t="s">
        <v>7537</v>
      </c>
      <c r="CF248" s="60" t="s">
        <v>1174</v>
      </c>
      <c r="CG248" s="60" t="s">
        <v>7212</v>
      </c>
      <c r="CH248" s="24" t="s">
        <v>7213</v>
      </c>
      <c r="CI248" s="59" t="s">
        <v>90</v>
      </c>
      <c r="CJ248" s="59" t="s">
        <v>111</v>
      </c>
      <c r="CK248" s="47"/>
      <c r="CL248" s="64" t="str">
        <f t="shared" ca="1" si="3"/>
        <v>25 Tahun 1 Bulan 15 Hari</v>
      </c>
      <c r="CM24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Mekar Bakti RT/RW 01/09 Desa/Kelurahan Tribaktimulya Kecamatan Pangalengan  Bandung Jawa Barat </v>
      </c>
    </row>
    <row r="249" spans="1:91" ht="24.95" customHeight="1">
      <c r="A249" s="58">
        <f>SUBTOTAL(3,N$8:Table2[[#This Row],[Nama lengkap]])</f>
        <v>242</v>
      </c>
      <c r="B249" s="58" t="s">
        <v>86</v>
      </c>
      <c r="C249" s="58">
        <v>2021</v>
      </c>
      <c r="D249" s="58"/>
      <c r="E249" s="58">
        <v>4</v>
      </c>
      <c r="F249" s="58" t="s">
        <v>2925</v>
      </c>
      <c r="G249" s="32" t="s">
        <v>2513</v>
      </c>
      <c r="H249" s="32" t="s">
        <v>2513</v>
      </c>
      <c r="I249" s="32" t="s">
        <v>2513</v>
      </c>
      <c r="J249" s="32"/>
      <c r="K249" s="32"/>
      <c r="L249" s="32"/>
      <c r="M249" s="58">
        <v>21220055</v>
      </c>
      <c r="N249" s="24" t="s">
        <v>6049</v>
      </c>
      <c r="O249" s="24"/>
      <c r="P249" s="25" t="s">
        <v>3009</v>
      </c>
      <c r="Q249" s="25" t="s">
        <v>3010</v>
      </c>
      <c r="R249" s="60" t="s">
        <v>7129</v>
      </c>
      <c r="S249" s="61" t="s">
        <v>3011</v>
      </c>
      <c r="T249" s="47" t="s">
        <v>92</v>
      </c>
      <c r="U249" s="47">
        <v>1</v>
      </c>
      <c r="V249" s="47">
        <v>1</v>
      </c>
      <c r="W249" s="47" t="s">
        <v>207</v>
      </c>
      <c r="X249" s="59"/>
      <c r="Y249" s="59" t="s">
        <v>775</v>
      </c>
      <c r="Z249" s="59" t="s">
        <v>3012</v>
      </c>
      <c r="AA249" s="59" t="s">
        <v>96</v>
      </c>
      <c r="AB249" s="59" t="s">
        <v>689</v>
      </c>
      <c r="AC249" s="59" t="s">
        <v>208</v>
      </c>
      <c r="AD249" s="59" t="s">
        <v>208</v>
      </c>
      <c r="AE249" s="60" t="s">
        <v>3013</v>
      </c>
      <c r="AF249" s="60" t="s">
        <v>8500</v>
      </c>
      <c r="AG249" s="59" t="s">
        <v>8500</v>
      </c>
      <c r="AH249" s="59" t="s">
        <v>691</v>
      </c>
      <c r="AI249" s="59" t="s">
        <v>90</v>
      </c>
      <c r="AJ249" s="61">
        <v>30962</v>
      </c>
      <c r="AK249" s="60" t="s">
        <v>3014</v>
      </c>
      <c r="AL249" s="60" t="s">
        <v>914</v>
      </c>
      <c r="AM249" s="59" t="s">
        <v>693</v>
      </c>
      <c r="AN249" s="60"/>
      <c r="AO249" s="60"/>
      <c r="AP249" s="59" t="s">
        <v>3015</v>
      </c>
      <c r="AQ249" s="25" t="s">
        <v>1615</v>
      </c>
      <c r="AR249" s="60" t="s">
        <v>2598</v>
      </c>
      <c r="AS249" s="59" t="s">
        <v>1937</v>
      </c>
      <c r="AT249" s="59" t="s">
        <v>141</v>
      </c>
      <c r="AU249" s="59" t="s">
        <v>111</v>
      </c>
      <c r="AV249" s="62"/>
      <c r="AW249" s="59" t="s">
        <v>7830</v>
      </c>
      <c r="AX249" s="59" t="s">
        <v>691</v>
      </c>
      <c r="AY249" s="59" t="s">
        <v>90</v>
      </c>
      <c r="AZ249" s="126">
        <v>31930</v>
      </c>
      <c r="BA249" s="60" t="s">
        <v>3016</v>
      </c>
      <c r="BB249" s="60" t="s">
        <v>845</v>
      </c>
      <c r="BC249" s="59" t="s">
        <v>700</v>
      </c>
      <c r="BD249" s="60"/>
      <c r="BE249" s="60"/>
      <c r="BF249" s="60"/>
      <c r="BG249" s="59" t="s">
        <v>3015</v>
      </c>
      <c r="BH249" s="60" t="s">
        <v>1615</v>
      </c>
      <c r="BI249" s="60" t="s">
        <v>2598</v>
      </c>
      <c r="BJ249" s="24" t="s">
        <v>1937</v>
      </c>
      <c r="BK249" s="59" t="s">
        <v>141</v>
      </c>
      <c r="BL249" s="59" t="s">
        <v>156</v>
      </c>
      <c r="BM249" s="62"/>
      <c r="BN249" s="62"/>
      <c r="BO249" s="59"/>
      <c r="BP249" s="59"/>
      <c r="BQ249" s="77"/>
      <c r="BR249" s="60"/>
      <c r="BS249" s="60"/>
      <c r="BT249" s="59"/>
      <c r="BU249" s="60"/>
      <c r="BV249" s="60"/>
      <c r="BW249" s="59"/>
      <c r="BX249" s="60"/>
      <c r="BY249" s="60"/>
      <c r="BZ249" s="59"/>
      <c r="CA249" s="59"/>
      <c r="CB249" s="59"/>
      <c r="CC249" s="59"/>
      <c r="CD249" s="59"/>
      <c r="CE249" s="59" t="s">
        <v>7538</v>
      </c>
      <c r="CF249" s="60" t="s">
        <v>1615</v>
      </c>
      <c r="CG249" s="59" t="s">
        <v>7183</v>
      </c>
      <c r="CH249" s="59" t="s">
        <v>7125</v>
      </c>
      <c r="CI249" s="59" t="s">
        <v>90</v>
      </c>
      <c r="CJ249" s="59" t="s">
        <v>111</v>
      </c>
      <c r="CK249" s="47"/>
      <c r="CL249" s="64" t="str">
        <f t="shared" ca="1" si="3"/>
        <v>16 Tahun 8 Bulan 8 Hari</v>
      </c>
      <c r="CM24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Jl.Cibogo Sarijadi Blok.24 RT/RW 07/02 Desa/Kelurahan Sukawarna Kecamatan Sukajadi Bandung Jawa Barat </v>
      </c>
    </row>
    <row r="250" spans="1:91" ht="24.95" customHeight="1">
      <c r="A250" s="58">
        <f>SUBTOTAL(3,N$8:Table2[[#This Row],[Nama lengkap]])</f>
        <v>243</v>
      </c>
      <c r="B250" s="58" t="s">
        <v>86</v>
      </c>
      <c r="C250" s="58">
        <v>2020</v>
      </c>
      <c r="D250" s="58"/>
      <c r="E250" s="58">
        <v>4</v>
      </c>
      <c r="F250" s="58" t="s">
        <v>2925</v>
      </c>
      <c r="G250" s="32" t="s">
        <v>2513</v>
      </c>
      <c r="H250" s="32" t="s">
        <v>2513</v>
      </c>
      <c r="I250" s="32" t="s">
        <v>2513</v>
      </c>
      <c r="J250" s="32"/>
      <c r="K250" s="32"/>
      <c r="L250" s="32"/>
      <c r="M250" s="58">
        <v>20210156</v>
      </c>
      <c r="N250" s="24" t="s">
        <v>8828</v>
      </c>
      <c r="O250" s="24"/>
      <c r="P250" s="25" t="s">
        <v>3017</v>
      </c>
      <c r="Q250" s="25" t="s">
        <v>3018</v>
      </c>
      <c r="R250" s="60" t="s">
        <v>7129</v>
      </c>
      <c r="S250" s="61" t="s">
        <v>3019</v>
      </c>
      <c r="T250" s="47" t="s">
        <v>92</v>
      </c>
      <c r="U250" s="47">
        <v>2</v>
      </c>
      <c r="V250" s="47">
        <v>1</v>
      </c>
      <c r="W250" s="47" t="s">
        <v>207</v>
      </c>
      <c r="X250" s="59"/>
      <c r="Y250" s="59" t="s">
        <v>1385</v>
      </c>
      <c r="Z250" s="59" t="s">
        <v>986</v>
      </c>
      <c r="AA250" s="59" t="s">
        <v>96</v>
      </c>
      <c r="AB250" s="59" t="s">
        <v>689</v>
      </c>
      <c r="AC250" s="59" t="s">
        <v>208</v>
      </c>
      <c r="AD250" s="59" t="s">
        <v>208</v>
      </c>
      <c r="AE250" s="60" t="s">
        <v>3020</v>
      </c>
      <c r="AF250" s="60" t="s">
        <v>8501</v>
      </c>
      <c r="AG250" s="59" t="s">
        <v>8501</v>
      </c>
      <c r="AH250" s="59" t="s">
        <v>691</v>
      </c>
      <c r="AI250" s="59" t="s">
        <v>90</v>
      </c>
      <c r="AJ250" s="61">
        <v>25875</v>
      </c>
      <c r="AK250" s="60" t="s">
        <v>3021</v>
      </c>
      <c r="AL250" s="60" t="s">
        <v>914</v>
      </c>
      <c r="AM250" s="59" t="s">
        <v>693</v>
      </c>
      <c r="AN250" s="60"/>
      <c r="AO250" s="60"/>
      <c r="AP250" s="59" t="s">
        <v>2670</v>
      </c>
      <c r="AQ250" s="25" t="s">
        <v>1174</v>
      </c>
      <c r="AR250" s="60" t="s">
        <v>2671</v>
      </c>
      <c r="AS250" s="59" t="s">
        <v>3022</v>
      </c>
      <c r="AT250" s="59" t="s">
        <v>141</v>
      </c>
      <c r="AU250" s="59" t="s">
        <v>111</v>
      </c>
      <c r="AV250" s="62"/>
      <c r="AW250" s="59" t="s">
        <v>8009</v>
      </c>
      <c r="AX250" s="59" t="s">
        <v>691</v>
      </c>
      <c r="AY250" s="59" t="s">
        <v>90</v>
      </c>
      <c r="AZ250" s="126">
        <v>27638</v>
      </c>
      <c r="BA250" s="60" t="s">
        <v>3023</v>
      </c>
      <c r="BB250" s="60" t="s">
        <v>845</v>
      </c>
      <c r="BC250" s="59" t="s">
        <v>693</v>
      </c>
      <c r="BD250" s="60"/>
      <c r="BE250" s="60"/>
      <c r="BF250" s="60"/>
      <c r="BG250" s="59" t="s">
        <v>2670</v>
      </c>
      <c r="BH250" s="60" t="s">
        <v>1174</v>
      </c>
      <c r="BI250" s="60" t="s">
        <v>2671</v>
      </c>
      <c r="BJ250" s="24" t="s">
        <v>3022</v>
      </c>
      <c r="BK250" s="59" t="s">
        <v>141</v>
      </c>
      <c r="BL250" s="59" t="s">
        <v>156</v>
      </c>
      <c r="BM250" s="62"/>
      <c r="BN250" s="62"/>
      <c r="BO250" s="59"/>
      <c r="BP250" s="59"/>
      <c r="BQ250" s="77"/>
      <c r="BR250" s="60"/>
      <c r="BS250" s="60"/>
      <c r="BT250" s="59"/>
      <c r="BU250" s="60"/>
      <c r="BV250" s="60"/>
      <c r="BW250" s="59"/>
      <c r="BX250" s="60"/>
      <c r="BY250" s="60"/>
      <c r="BZ250" s="59"/>
      <c r="CA250" s="59"/>
      <c r="CB250" s="59"/>
      <c r="CC250" s="59"/>
      <c r="CD250" s="59"/>
      <c r="CE250" s="59" t="s">
        <v>7509</v>
      </c>
      <c r="CF250" s="60" t="s">
        <v>1174</v>
      </c>
      <c r="CG250" s="59" t="s">
        <v>311</v>
      </c>
      <c r="CH250" s="59" t="s">
        <v>7214</v>
      </c>
      <c r="CI250" s="59" t="s">
        <v>90</v>
      </c>
      <c r="CJ250" s="59" t="s">
        <v>111</v>
      </c>
      <c r="CK250" s="47"/>
      <c r="CL250" s="64" t="str">
        <f t="shared" ca="1" si="3"/>
        <v>17 Tahun 9 Bulan 14 Hari</v>
      </c>
      <c r="CM25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Kp.Culamega RT/RW 01/09 Desa/Kelurahan Cikoneng Kecamatan Pasir Jambu Bandung Jawa Barat </v>
      </c>
    </row>
    <row r="251" spans="1:91" ht="24.95" customHeight="1">
      <c r="A251" s="58">
        <f>SUBTOTAL(3,N$8:Table2[[#This Row],[Nama lengkap]])</f>
        <v>244</v>
      </c>
      <c r="B251" s="58" t="s">
        <v>86</v>
      </c>
      <c r="C251" s="58">
        <v>2020</v>
      </c>
      <c r="D251" s="58"/>
      <c r="E251" s="58">
        <v>4</v>
      </c>
      <c r="F251" s="58" t="s">
        <v>2925</v>
      </c>
      <c r="G251" s="32" t="s">
        <v>2513</v>
      </c>
      <c r="H251" s="32" t="s">
        <v>2513</v>
      </c>
      <c r="I251" s="32" t="s">
        <v>2513</v>
      </c>
      <c r="J251" s="32"/>
      <c r="K251" s="32"/>
      <c r="L251" s="32"/>
      <c r="M251" s="58">
        <v>20210138</v>
      </c>
      <c r="N251" s="24" t="s">
        <v>6051</v>
      </c>
      <c r="O251" s="24"/>
      <c r="P251" s="25">
        <v>3075700775</v>
      </c>
      <c r="Q251" s="25" t="s">
        <v>3025</v>
      </c>
      <c r="R251" s="60" t="s">
        <v>492</v>
      </c>
      <c r="S251" s="61" t="s">
        <v>3026</v>
      </c>
      <c r="T251" s="47" t="s">
        <v>92</v>
      </c>
      <c r="U251" s="47">
        <v>1</v>
      </c>
      <c r="V251" s="47">
        <v>1</v>
      </c>
      <c r="W251" s="47" t="s">
        <v>207</v>
      </c>
      <c r="X251" s="59" t="s">
        <v>984</v>
      </c>
      <c r="Y251" s="59" t="s">
        <v>1056</v>
      </c>
      <c r="Z251" s="59" t="s">
        <v>2040</v>
      </c>
      <c r="AA251" s="59" t="s">
        <v>96</v>
      </c>
      <c r="AB251" s="59" t="s">
        <v>1151</v>
      </c>
      <c r="AC251" s="59" t="s">
        <v>208</v>
      </c>
      <c r="AD251" s="59" t="s">
        <v>208</v>
      </c>
      <c r="AE251" s="60" t="s">
        <v>3027</v>
      </c>
      <c r="AF251" s="60" t="s">
        <v>8502</v>
      </c>
      <c r="AG251" s="59" t="s">
        <v>8503</v>
      </c>
      <c r="AH251" s="59" t="s">
        <v>1071</v>
      </c>
      <c r="AI251" s="59"/>
      <c r="AJ251" s="61"/>
      <c r="AK251" s="60"/>
      <c r="AL251" s="60"/>
      <c r="AM251" s="59"/>
      <c r="AN251" s="60"/>
      <c r="AO251" s="60"/>
      <c r="AP251" s="59" t="s">
        <v>3029</v>
      </c>
      <c r="AQ251" s="25" t="s">
        <v>2124</v>
      </c>
      <c r="AR251" s="60" t="s">
        <v>3030</v>
      </c>
      <c r="AS251" s="59" t="s">
        <v>3031</v>
      </c>
      <c r="AT251" s="59" t="s">
        <v>1673</v>
      </c>
      <c r="AU251" s="59" t="s">
        <v>111</v>
      </c>
      <c r="AV251" s="62"/>
      <c r="AW251" s="59" t="s">
        <v>8010</v>
      </c>
      <c r="AX251" s="59" t="s">
        <v>691</v>
      </c>
      <c r="AY251" s="59" t="s">
        <v>7796</v>
      </c>
      <c r="AZ251" s="126">
        <v>26865</v>
      </c>
      <c r="BA251" s="60" t="s">
        <v>3032</v>
      </c>
      <c r="BB251" s="60" t="s">
        <v>819</v>
      </c>
      <c r="BC251" s="59" t="s">
        <v>1820</v>
      </c>
      <c r="BD251" s="60"/>
      <c r="BE251" s="60"/>
      <c r="BF251" s="60"/>
      <c r="BG251" s="59" t="s">
        <v>3029</v>
      </c>
      <c r="BH251" s="60" t="s">
        <v>2124</v>
      </c>
      <c r="BI251" s="60" t="s">
        <v>3030</v>
      </c>
      <c r="BJ251" s="24" t="s">
        <v>3031</v>
      </c>
      <c r="BK251" s="59" t="s">
        <v>1673</v>
      </c>
      <c r="BL251" s="59" t="s">
        <v>156</v>
      </c>
      <c r="BM251" s="62"/>
      <c r="BN251" s="62"/>
      <c r="BO251" s="59" t="s">
        <v>3028</v>
      </c>
      <c r="BP251" s="59" t="s">
        <v>3033</v>
      </c>
      <c r="BQ251" s="77">
        <v>26377</v>
      </c>
      <c r="BR251" s="60" t="s">
        <v>3034</v>
      </c>
      <c r="BS251" s="60" t="s">
        <v>3035</v>
      </c>
      <c r="BT251" s="59" t="s">
        <v>800</v>
      </c>
      <c r="BU251" s="60"/>
      <c r="BV251" s="60"/>
      <c r="BW251" s="59" t="s">
        <v>3036</v>
      </c>
      <c r="BX251" s="60" t="s">
        <v>604</v>
      </c>
      <c r="BY251" s="60" t="s">
        <v>3037</v>
      </c>
      <c r="BZ251" s="59" t="s">
        <v>3038</v>
      </c>
      <c r="CA251" s="59" t="s">
        <v>1673</v>
      </c>
      <c r="CB251" s="59" t="s">
        <v>156</v>
      </c>
      <c r="CC251" s="59"/>
      <c r="CD251" s="59"/>
      <c r="CE251" s="59" t="s">
        <v>7539</v>
      </c>
      <c r="CF251" s="60" t="s">
        <v>2124</v>
      </c>
      <c r="CG251" s="59" t="s">
        <v>7026</v>
      </c>
      <c r="CH251" s="59" t="s">
        <v>6445</v>
      </c>
      <c r="CI251" s="59" t="s">
        <v>492</v>
      </c>
      <c r="CJ251" s="59" t="s">
        <v>111</v>
      </c>
      <c r="CK251" s="47"/>
      <c r="CL251" s="64" t="str">
        <f t="shared" ca="1" si="3"/>
        <v>18 Tahun 2 Bulan 4 Hari</v>
      </c>
      <c r="CM25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Puri Impian Sentosa Blok B No 2 Dsn Cireng Ii RT/RW 05/04 Desa/Kelurahan Cibalongsari Kecamatan Klari Karawang Jawa Barat </v>
      </c>
    </row>
    <row r="252" spans="1:91" ht="24.95" customHeight="1">
      <c r="A252" s="58">
        <f>SUBTOTAL(3,N$8:Table2[[#This Row],[Nama lengkap]])</f>
        <v>245</v>
      </c>
      <c r="B252" s="58" t="s">
        <v>86</v>
      </c>
      <c r="C252" s="58">
        <v>2021</v>
      </c>
      <c r="D252" s="58"/>
      <c r="E252" s="58">
        <v>4</v>
      </c>
      <c r="F252" s="58" t="s">
        <v>2925</v>
      </c>
      <c r="G252" s="32" t="s">
        <v>2513</v>
      </c>
      <c r="H252" s="32" t="s">
        <v>2513</v>
      </c>
      <c r="I252" s="32" t="s">
        <v>2513</v>
      </c>
      <c r="J252" s="32"/>
      <c r="K252" s="32"/>
      <c r="L252" s="32"/>
      <c r="M252" s="58">
        <v>21220073</v>
      </c>
      <c r="N252" s="24" t="s">
        <v>8829</v>
      </c>
      <c r="O252" s="24"/>
      <c r="P252" s="25" t="s">
        <v>3040</v>
      </c>
      <c r="Q252" s="25" t="s">
        <v>3041</v>
      </c>
      <c r="R252" s="60" t="s">
        <v>456</v>
      </c>
      <c r="S252" s="61" t="s">
        <v>3042</v>
      </c>
      <c r="T252" s="47" t="s">
        <v>92</v>
      </c>
      <c r="U252" s="47">
        <v>3</v>
      </c>
      <c r="V252" s="47">
        <v>7</v>
      </c>
      <c r="W252" s="47" t="s">
        <v>207</v>
      </c>
      <c r="X252" s="59"/>
      <c r="Y252" s="59" t="s">
        <v>2039</v>
      </c>
      <c r="Z252" s="59" t="s">
        <v>707</v>
      </c>
      <c r="AA252" s="59" t="s">
        <v>1141</v>
      </c>
      <c r="AB252" s="59" t="s">
        <v>689</v>
      </c>
      <c r="AC252" s="59" t="s">
        <v>208</v>
      </c>
      <c r="AD252" s="59" t="s">
        <v>208</v>
      </c>
      <c r="AE252" s="60" t="s">
        <v>3043</v>
      </c>
      <c r="AF252" s="60" t="s">
        <v>8504</v>
      </c>
      <c r="AG252" s="59" t="s">
        <v>8504</v>
      </c>
      <c r="AH252" s="59" t="s">
        <v>691</v>
      </c>
      <c r="AI252" s="59" t="s">
        <v>456</v>
      </c>
      <c r="AJ252" s="61">
        <v>29472</v>
      </c>
      <c r="AK252" s="60" t="s">
        <v>3044</v>
      </c>
      <c r="AL252" s="60" t="s">
        <v>114</v>
      </c>
      <c r="AM252" s="59" t="s">
        <v>700</v>
      </c>
      <c r="AN252" s="60"/>
      <c r="AO252" s="60"/>
      <c r="AP252" s="59" t="s">
        <v>3045</v>
      </c>
      <c r="AQ252" s="25" t="s">
        <v>3046</v>
      </c>
      <c r="AR252" s="60" t="s">
        <v>2579</v>
      </c>
      <c r="AS252" s="59" t="s">
        <v>1731</v>
      </c>
      <c r="AT252" s="59" t="s">
        <v>1165</v>
      </c>
      <c r="AU252" s="59" t="s">
        <v>111</v>
      </c>
      <c r="AV252" s="62"/>
      <c r="AW252" s="59" t="s">
        <v>8011</v>
      </c>
      <c r="AX252" s="59" t="s">
        <v>691</v>
      </c>
      <c r="AY252" s="59" t="s">
        <v>7797</v>
      </c>
      <c r="AZ252" s="126">
        <v>28859</v>
      </c>
      <c r="BA252" s="60" t="s">
        <v>3047</v>
      </c>
      <c r="BB252" s="60" t="s">
        <v>845</v>
      </c>
      <c r="BC252" s="59" t="s">
        <v>693</v>
      </c>
      <c r="BD252" s="60"/>
      <c r="BE252" s="60"/>
      <c r="BF252" s="60"/>
      <c r="BG252" s="59" t="s">
        <v>3045</v>
      </c>
      <c r="BH252" s="60" t="s">
        <v>3046</v>
      </c>
      <c r="BI252" s="60" t="s">
        <v>2579</v>
      </c>
      <c r="BJ252" s="24" t="s">
        <v>1731</v>
      </c>
      <c r="BK252" s="59" t="s">
        <v>1165</v>
      </c>
      <c r="BL252" s="59" t="s">
        <v>156</v>
      </c>
      <c r="BM252" s="62"/>
      <c r="BN252" s="62"/>
      <c r="BO252" s="59"/>
      <c r="BP252" s="59"/>
      <c r="BQ252" s="77"/>
      <c r="BR252" s="60"/>
      <c r="BS252" s="60"/>
      <c r="BT252" s="59"/>
      <c r="BU252" s="60"/>
      <c r="BV252" s="60"/>
      <c r="BW252" s="59"/>
      <c r="BX252" s="60"/>
      <c r="BY252" s="60"/>
      <c r="BZ252" s="59"/>
      <c r="CA252" s="59"/>
      <c r="CB252" s="59"/>
      <c r="CC252" s="59"/>
      <c r="CD252" s="59"/>
      <c r="CE252" s="59" t="s">
        <v>7540</v>
      </c>
      <c r="CF252" s="60" t="s">
        <v>3046</v>
      </c>
      <c r="CG252" s="59" t="s">
        <v>7182</v>
      </c>
      <c r="CH252" s="59" t="s">
        <v>6812</v>
      </c>
      <c r="CI252" s="59" t="s">
        <v>456</v>
      </c>
      <c r="CJ252" s="59" t="s">
        <v>111</v>
      </c>
      <c r="CK252" s="47"/>
      <c r="CL252" s="64" t="str">
        <f t="shared" ca="1" si="3"/>
        <v>20 Tahun 6 Bulan 26 Hari</v>
      </c>
      <c r="CM25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Jl.Pesantren RT/RW 06/15 Desa/Kelurahan Cibabat Kecamatan Cimahi Utara Cimahi Jawa Barat </v>
      </c>
    </row>
    <row r="253" spans="1:91" ht="24.95" customHeight="1">
      <c r="A253" s="58">
        <f>SUBTOTAL(3,N$8:Table2[[#This Row],[Nama lengkap]])</f>
        <v>246</v>
      </c>
      <c r="B253" s="58" t="s">
        <v>86</v>
      </c>
      <c r="C253" s="58">
        <v>2021</v>
      </c>
      <c r="D253" s="58"/>
      <c r="E253" s="58">
        <v>4</v>
      </c>
      <c r="F253" s="58" t="s">
        <v>2925</v>
      </c>
      <c r="G253" s="32" t="s">
        <v>2513</v>
      </c>
      <c r="H253" s="32" t="s">
        <v>2513</v>
      </c>
      <c r="I253" s="32" t="s">
        <v>2513</v>
      </c>
      <c r="J253" s="32"/>
      <c r="K253" s="32"/>
      <c r="L253" s="32"/>
      <c r="M253" s="58">
        <v>21220034</v>
      </c>
      <c r="N253" s="24" t="s">
        <v>6053</v>
      </c>
      <c r="O253" s="24"/>
      <c r="P253" s="25" t="s">
        <v>8985</v>
      </c>
      <c r="Q253" s="25" t="s">
        <v>3048</v>
      </c>
      <c r="R253" s="60" t="s">
        <v>122</v>
      </c>
      <c r="S253" s="61" t="s">
        <v>3049</v>
      </c>
      <c r="T253" s="47" t="s">
        <v>92</v>
      </c>
      <c r="U253" s="47">
        <v>1</v>
      </c>
      <c r="V253" s="47">
        <v>1</v>
      </c>
      <c r="W253" s="47" t="s">
        <v>207</v>
      </c>
      <c r="X253" s="59" t="s">
        <v>984</v>
      </c>
      <c r="Y253" s="59" t="s">
        <v>1068</v>
      </c>
      <c r="Z253" s="59" t="s">
        <v>3050</v>
      </c>
      <c r="AA253" s="59" t="s">
        <v>96</v>
      </c>
      <c r="AB253" s="59" t="s">
        <v>689</v>
      </c>
      <c r="AC253" s="59" t="s">
        <v>208</v>
      </c>
      <c r="AD253" s="59" t="s">
        <v>208</v>
      </c>
      <c r="AE253" s="60" t="s">
        <v>3051</v>
      </c>
      <c r="AF253" s="60" t="s">
        <v>8505</v>
      </c>
      <c r="AG253" s="59" t="s">
        <v>8505</v>
      </c>
      <c r="AH253" s="59" t="s">
        <v>691</v>
      </c>
      <c r="AI253" s="59" t="s">
        <v>122</v>
      </c>
      <c r="AJ253" s="61">
        <v>30381</v>
      </c>
      <c r="AK253" s="60" t="s">
        <v>3052</v>
      </c>
      <c r="AL253" s="60" t="s">
        <v>602</v>
      </c>
      <c r="AM253" s="59" t="s">
        <v>800</v>
      </c>
      <c r="AN253" s="60"/>
      <c r="AO253" s="60"/>
      <c r="AP253" s="59" t="s">
        <v>2249</v>
      </c>
      <c r="AQ253" s="25" t="s">
        <v>3053</v>
      </c>
      <c r="AR253" s="60" t="s">
        <v>2471</v>
      </c>
      <c r="AS253" s="59" t="s">
        <v>2251</v>
      </c>
      <c r="AT253" s="59" t="s">
        <v>1090</v>
      </c>
      <c r="AU253" s="59" t="s">
        <v>111</v>
      </c>
      <c r="AV253" s="62"/>
      <c r="AW253" s="59" t="s">
        <v>8012</v>
      </c>
      <c r="AX253" s="59" t="s">
        <v>691</v>
      </c>
      <c r="AY253" s="59" t="s">
        <v>122</v>
      </c>
      <c r="AZ253" s="126" t="s">
        <v>3054</v>
      </c>
      <c r="BA253" s="60" t="s">
        <v>3055</v>
      </c>
      <c r="BB253" s="60" t="s">
        <v>845</v>
      </c>
      <c r="BC253" s="59" t="s">
        <v>700</v>
      </c>
      <c r="BD253" s="60"/>
      <c r="BE253" s="60"/>
      <c r="BF253" s="60"/>
      <c r="BG253" s="59" t="s">
        <v>2249</v>
      </c>
      <c r="BH253" s="60" t="s">
        <v>3053</v>
      </c>
      <c r="BI253" s="60" t="s">
        <v>2471</v>
      </c>
      <c r="BJ253" s="24" t="s">
        <v>2251</v>
      </c>
      <c r="BK253" s="59" t="s">
        <v>1090</v>
      </c>
      <c r="BL253" s="59" t="s">
        <v>156</v>
      </c>
      <c r="BM253" s="62"/>
      <c r="BN253" s="62"/>
      <c r="BO253" s="59"/>
      <c r="BP253" s="59"/>
      <c r="BQ253" s="77"/>
      <c r="BR253" s="60"/>
      <c r="BS253" s="60"/>
      <c r="BT253" s="59"/>
      <c r="BU253" s="60"/>
      <c r="BV253" s="60"/>
      <c r="BW253" s="59"/>
      <c r="BX253" s="60"/>
      <c r="BY253" s="60"/>
      <c r="BZ253" s="59"/>
      <c r="CA253" s="59"/>
      <c r="CB253" s="59"/>
      <c r="CC253" s="59"/>
      <c r="CD253" s="59"/>
      <c r="CE253" s="59" t="s">
        <v>7473</v>
      </c>
      <c r="CF253" s="60" t="s">
        <v>3053</v>
      </c>
      <c r="CG253" s="59" t="s">
        <v>7176</v>
      </c>
      <c r="CH253" s="59" t="s">
        <v>7157</v>
      </c>
      <c r="CI253" s="59" t="s">
        <v>122</v>
      </c>
      <c r="CJ253" s="59" t="s">
        <v>111</v>
      </c>
      <c r="CK253" s="47"/>
      <c r="CL253" s="64" t="str">
        <f t="shared" ca="1" si="3"/>
        <v>16 Tahun 3 Bulan 30 Hari</v>
      </c>
      <c r="CM25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Nagrong RT/RW 02/04 Desa/Kelurahan Cieunteung Kecamatan Darmaraja Sumedang Jawa Barat </v>
      </c>
    </row>
    <row r="254" spans="1:91" ht="24.95" customHeight="1">
      <c r="A254" s="58">
        <f>SUBTOTAL(3,N$8:Table2[[#This Row],[Nama lengkap]])</f>
        <v>247</v>
      </c>
      <c r="B254" s="58" t="s">
        <v>86</v>
      </c>
      <c r="C254" s="58">
        <v>2020</v>
      </c>
      <c r="D254" s="58"/>
      <c r="E254" s="58">
        <v>4</v>
      </c>
      <c r="F254" s="58" t="s">
        <v>2925</v>
      </c>
      <c r="G254" s="32" t="s">
        <v>2513</v>
      </c>
      <c r="H254" s="32" t="s">
        <v>2513</v>
      </c>
      <c r="I254" s="32" t="s">
        <v>2513</v>
      </c>
      <c r="J254" s="32"/>
      <c r="K254" s="32"/>
      <c r="L254" s="32"/>
      <c r="M254" s="58">
        <v>20210123</v>
      </c>
      <c r="N254" s="24" t="s">
        <v>8830</v>
      </c>
      <c r="O254" s="24"/>
      <c r="P254" s="25" t="s">
        <v>3056</v>
      </c>
      <c r="Q254" s="25" t="s">
        <v>3057</v>
      </c>
      <c r="R254" s="60" t="s">
        <v>90</v>
      </c>
      <c r="S254" s="61" t="s">
        <v>1599</v>
      </c>
      <c r="T254" s="47" t="s">
        <v>92</v>
      </c>
      <c r="U254" s="47">
        <v>2</v>
      </c>
      <c r="V254" s="47">
        <v>1</v>
      </c>
      <c r="W254" s="47" t="s">
        <v>207</v>
      </c>
      <c r="X254" s="59"/>
      <c r="Y254" s="59" t="s">
        <v>1385</v>
      </c>
      <c r="Z254" s="59" t="s">
        <v>1205</v>
      </c>
      <c r="AA254" s="59" t="s">
        <v>1141</v>
      </c>
      <c r="AB254" s="59" t="s">
        <v>689</v>
      </c>
      <c r="AC254" s="59" t="s">
        <v>208</v>
      </c>
      <c r="AD254" s="59" t="s">
        <v>208</v>
      </c>
      <c r="AE254" s="60" t="s">
        <v>3058</v>
      </c>
      <c r="AF254" s="60" t="s">
        <v>8506</v>
      </c>
      <c r="AG254" s="59" t="s">
        <v>8506</v>
      </c>
      <c r="AH254" s="59" t="s">
        <v>691</v>
      </c>
      <c r="AI254" s="59" t="s">
        <v>977</v>
      </c>
      <c r="AJ254" s="61">
        <v>23073</v>
      </c>
      <c r="AK254" s="60" t="s">
        <v>3059</v>
      </c>
      <c r="AL254" s="60" t="s">
        <v>289</v>
      </c>
      <c r="AM254" s="59" t="s">
        <v>800</v>
      </c>
      <c r="AN254" s="60"/>
      <c r="AO254" s="60"/>
      <c r="AP254" s="59" t="s">
        <v>3060</v>
      </c>
      <c r="AQ254" s="25" t="s">
        <v>3061</v>
      </c>
      <c r="AR254" s="60" t="s">
        <v>3062</v>
      </c>
      <c r="AS254" s="59" t="s">
        <v>2390</v>
      </c>
      <c r="AT254" s="59" t="s">
        <v>163</v>
      </c>
      <c r="AU254" s="59" t="s">
        <v>111</v>
      </c>
      <c r="AV254" s="62"/>
      <c r="AW254" s="59" t="s">
        <v>8013</v>
      </c>
      <c r="AX254" s="59" t="s">
        <v>691</v>
      </c>
      <c r="AY254" s="59" t="s">
        <v>90</v>
      </c>
      <c r="AZ254" s="126" t="s">
        <v>3063</v>
      </c>
      <c r="BA254" s="60" t="s">
        <v>3064</v>
      </c>
      <c r="BB254" s="60" t="s">
        <v>845</v>
      </c>
      <c r="BC254" s="59" t="s">
        <v>800</v>
      </c>
      <c r="BD254" s="60"/>
      <c r="BE254" s="60"/>
      <c r="BF254" s="60"/>
      <c r="BG254" s="59" t="s">
        <v>3060</v>
      </c>
      <c r="BH254" s="60" t="s">
        <v>3061</v>
      </c>
      <c r="BI254" s="60" t="s">
        <v>3062</v>
      </c>
      <c r="BJ254" s="24" t="s">
        <v>2390</v>
      </c>
      <c r="BK254" s="59" t="s">
        <v>163</v>
      </c>
      <c r="BL254" s="59" t="s">
        <v>156</v>
      </c>
      <c r="BM254" s="24"/>
      <c r="BN254" s="24"/>
      <c r="BO254" s="59"/>
      <c r="BP254" s="59"/>
      <c r="BQ254" s="77"/>
      <c r="BR254" s="60"/>
      <c r="BS254" s="60"/>
      <c r="BT254" s="59"/>
      <c r="BU254" s="60"/>
      <c r="BV254" s="60"/>
      <c r="BW254" s="59"/>
      <c r="BX254" s="60"/>
      <c r="BY254" s="60"/>
      <c r="BZ254" s="59"/>
      <c r="CA254" s="59"/>
      <c r="CB254" s="59"/>
      <c r="CC254" s="59"/>
      <c r="CD254" s="59"/>
      <c r="CE254" s="59" t="s">
        <v>7541</v>
      </c>
      <c r="CF254" s="60" t="s">
        <v>3061</v>
      </c>
      <c r="CG254" s="59" t="s">
        <v>7215</v>
      </c>
      <c r="CH254" s="59" t="s">
        <v>6611</v>
      </c>
      <c r="CI254" s="59" t="s">
        <v>155</v>
      </c>
      <c r="CJ254" s="59" t="s">
        <v>111</v>
      </c>
      <c r="CK254" s="47"/>
      <c r="CL254" s="64" t="str">
        <f t="shared" ca="1" si="3"/>
        <v>17 Tahun 7 Bulan 27 Hari</v>
      </c>
      <c r="CM25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Bumi Pakusarakan 2 B-1 No. 14 RT/RW 06/23 Desa/Kelurahan Tanimulya Kecamatan Ngamprah Bandung Barat Jawa Barat </v>
      </c>
    </row>
    <row r="255" spans="1:91" ht="24.95" customHeight="1">
      <c r="A255" s="58">
        <f>SUBTOTAL(3,N$8:Table2[[#This Row],[Nama lengkap]])</f>
        <v>248</v>
      </c>
      <c r="B255" s="58" t="s">
        <v>86</v>
      </c>
      <c r="C255" s="58">
        <v>2021</v>
      </c>
      <c r="D255" s="58"/>
      <c r="E255" s="58">
        <v>4</v>
      </c>
      <c r="F255" s="58" t="s">
        <v>2925</v>
      </c>
      <c r="G255" s="32" t="s">
        <v>2513</v>
      </c>
      <c r="H255" s="32" t="s">
        <v>2513</v>
      </c>
      <c r="I255" s="32" t="s">
        <v>2513</v>
      </c>
      <c r="J255" s="32"/>
      <c r="K255" s="32"/>
      <c r="L255" s="32"/>
      <c r="M255" s="58">
        <v>21220159</v>
      </c>
      <c r="N255" s="24" t="s">
        <v>8831</v>
      </c>
      <c r="O255" s="24"/>
      <c r="P255" s="25" t="s">
        <v>3075</v>
      </c>
      <c r="Q255" s="25" t="s">
        <v>3076</v>
      </c>
      <c r="R255" s="60" t="s">
        <v>122</v>
      </c>
      <c r="S255" s="61" t="s">
        <v>3077</v>
      </c>
      <c r="T255" s="47" t="s">
        <v>92</v>
      </c>
      <c r="U255" s="47">
        <v>2</v>
      </c>
      <c r="V255" s="47">
        <v>2</v>
      </c>
      <c r="W255" s="47" t="s">
        <v>207</v>
      </c>
      <c r="X255" s="59"/>
      <c r="Y255" s="59" t="s">
        <v>706</v>
      </c>
      <c r="Z255" s="59" t="s">
        <v>3078</v>
      </c>
      <c r="AA255" s="59" t="s">
        <v>1141</v>
      </c>
      <c r="AB255" s="59" t="s">
        <v>689</v>
      </c>
      <c r="AC255" s="59" t="s">
        <v>208</v>
      </c>
      <c r="AD255" s="59" t="s">
        <v>208</v>
      </c>
      <c r="AE255" s="60" t="s">
        <v>3079</v>
      </c>
      <c r="AF255" s="60" t="s">
        <v>8014</v>
      </c>
      <c r="AG255" s="59" t="s">
        <v>8507</v>
      </c>
      <c r="AH255" s="59" t="s">
        <v>1071</v>
      </c>
      <c r="AI255" s="59"/>
      <c r="AJ255" s="61"/>
      <c r="AK255" s="60"/>
      <c r="AL255" s="60"/>
      <c r="AM255" s="59"/>
      <c r="AN255" s="60"/>
      <c r="AO255" s="60"/>
      <c r="AP255" s="59"/>
      <c r="AQ255" s="25"/>
      <c r="AR255" s="60"/>
      <c r="AS255" s="59"/>
      <c r="AT255" s="59"/>
      <c r="AU255" s="59" t="s">
        <v>111</v>
      </c>
      <c r="AV255" s="62"/>
      <c r="AW255" s="59" t="s">
        <v>8014</v>
      </c>
      <c r="AX255" s="59" t="s">
        <v>691</v>
      </c>
      <c r="AY255" s="59" t="s">
        <v>122</v>
      </c>
      <c r="AZ255" s="126">
        <v>28719</v>
      </c>
      <c r="BA255" s="60" t="s">
        <v>3080</v>
      </c>
      <c r="BB255" s="60" t="s">
        <v>845</v>
      </c>
      <c r="BC255" s="59" t="s">
        <v>700</v>
      </c>
      <c r="BD255" s="60"/>
      <c r="BE255" s="60"/>
      <c r="BF255" s="60"/>
      <c r="BG255" s="59" t="s">
        <v>3081</v>
      </c>
      <c r="BH255" s="60" t="s">
        <v>1313</v>
      </c>
      <c r="BI255" s="60" t="s">
        <v>3082</v>
      </c>
      <c r="BJ255" s="24" t="s">
        <v>1101</v>
      </c>
      <c r="BK255" s="59" t="s">
        <v>1090</v>
      </c>
      <c r="BL255" s="59" t="s">
        <v>156</v>
      </c>
      <c r="BM255" s="24">
        <v>45351</v>
      </c>
      <c r="BN255" s="24"/>
      <c r="BO255" s="59"/>
      <c r="BP255" s="59"/>
      <c r="BQ255" s="77"/>
      <c r="BR255" s="60"/>
      <c r="BS255" s="60"/>
      <c r="BT255" s="59"/>
      <c r="BU255" s="60"/>
      <c r="BV255" s="60"/>
      <c r="BW255" s="59"/>
      <c r="BX255" s="60"/>
      <c r="BY255" s="60"/>
      <c r="BZ255" s="59"/>
      <c r="CA255" s="59"/>
      <c r="CB255" s="59"/>
      <c r="CC255" s="59"/>
      <c r="CD255" s="59"/>
      <c r="CE255" s="59" t="s">
        <v>7542</v>
      </c>
      <c r="CF255" s="60" t="s">
        <v>1313</v>
      </c>
      <c r="CG255" s="60" t="s">
        <v>7216</v>
      </c>
      <c r="CH255" s="24" t="s">
        <v>6945</v>
      </c>
      <c r="CI255" s="59" t="s">
        <v>122</v>
      </c>
      <c r="CJ255" s="59" t="s">
        <v>111</v>
      </c>
      <c r="CK255" s="47">
        <v>45351</v>
      </c>
      <c r="CL255" s="64" t="str">
        <f t="shared" ca="1" si="3"/>
        <v>20 Tahun 11 Bulan 15 Hari</v>
      </c>
      <c r="CM25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Baginda  RT/RW 05/02 Desa/Kelurahan Baginda  Kecamatan Sumedang Selatan Sumedang Jawa Barat 45351</v>
      </c>
    </row>
    <row r="256" spans="1:91" ht="24.95" customHeight="1">
      <c r="A256" s="58">
        <f>SUBTOTAL(3,N$8:Table2[[#This Row],[Nama lengkap]])</f>
        <v>249</v>
      </c>
      <c r="B256" s="58" t="s">
        <v>86</v>
      </c>
      <c r="C256" s="58">
        <v>2021</v>
      </c>
      <c r="D256" s="58"/>
      <c r="E256" s="58">
        <v>4</v>
      </c>
      <c r="F256" s="58" t="s">
        <v>2925</v>
      </c>
      <c r="G256" s="32" t="s">
        <v>2513</v>
      </c>
      <c r="H256" s="32" t="s">
        <v>2513</v>
      </c>
      <c r="I256" s="32" t="s">
        <v>2513</v>
      </c>
      <c r="J256" s="32"/>
      <c r="K256" s="32"/>
      <c r="L256" s="32"/>
      <c r="M256" s="58">
        <v>21220080</v>
      </c>
      <c r="N256" s="24" t="s">
        <v>8832</v>
      </c>
      <c r="O256" s="24"/>
      <c r="P256" s="25">
        <v>3085244369</v>
      </c>
      <c r="Q256" s="25" t="s">
        <v>3083</v>
      </c>
      <c r="R256" s="60" t="s">
        <v>435</v>
      </c>
      <c r="S256" s="61" t="s">
        <v>3084</v>
      </c>
      <c r="T256" s="47" t="s">
        <v>92</v>
      </c>
      <c r="U256" s="47">
        <v>1</v>
      </c>
      <c r="V256" s="47">
        <v>2</v>
      </c>
      <c r="W256" s="47" t="s">
        <v>207</v>
      </c>
      <c r="X256" s="59" t="s">
        <v>984</v>
      </c>
      <c r="Y256" s="59" t="s">
        <v>984</v>
      </c>
      <c r="Z256" s="59" t="s">
        <v>984</v>
      </c>
      <c r="AA256" s="59" t="s">
        <v>96</v>
      </c>
      <c r="AB256" s="59" t="s">
        <v>689</v>
      </c>
      <c r="AC256" s="59" t="s">
        <v>208</v>
      </c>
      <c r="AD256" s="59" t="s">
        <v>208</v>
      </c>
      <c r="AE256" s="60" t="s">
        <v>3085</v>
      </c>
      <c r="AF256" s="60" t="s">
        <v>8508</v>
      </c>
      <c r="AG256" s="59" t="s">
        <v>8508</v>
      </c>
      <c r="AH256" s="59" t="s">
        <v>691</v>
      </c>
      <c r="AI256" s="59" t="s">
        <v>435</v>
      </c>
      <c r="AJ256" s="61" t="s">
        <v>3086</v>
      </c>
      <c r="AK256" s="60" t="s">
        <v>3087</v>
      </c>
      <c r="AL256" s="60" t="s">
        <v>602</v>
      </c>
      <c r="AM256" s="59" t="s">
        <v>2807</v>
      </c>
      <c r="AN256" s="60"/>
      <c r="AO256" s="60"/>
      <c r="AP256" s="59" t="s">
        <v>3088</v>
      </c>
      <c r="AQ256" s="25" t="s">
        <v>3089</v>
      </c>
      <c r="AR256" s="60" t="s">
        <v>3090</v>
      </c>
      <c r="AS256" s="59" t="s">
        <v>2261</v>
      </c>
      <c r="AT256" s="59" t="s">
        <v>1673</v>
      </c>
      <c r="AU256" s="59" t="s">
        <v>111</v>
      </c>
      <c r="AV256" s="62"/>
      <c r="AW256" s="59" t="s">
        <v>8015</v>
      </c>
      <c r="AX256" s="59" t="s">
        <v>691</v>
      </c>
      <c r="AY256" s="59" t="s">
        <v>7798</v>
      </c>
      <c r="AZ256" s="126">
        <v>29563</v>
      </c>
      <c r="BA256" s="60" t="s">
        <v>3091</v>
      </c>
      <c r="BB256" s="60" t="s">
        <v>845</v>
      </c>
      <c r="BC256" s="59" t="s">
        <v>1728</v>
      </c>
      <c r="BD256" s="60"/>
      <c r="BE256" s="60"/>
      <c r="BF256" s="60"/>
      <c r="BG256" s="59" t="s">
        <v>3088</v>
      </c>
      <c r="BH256" s="60" t="s">
        <v>3089</v>
      </c>
      <c r="BI256" s="60" t="s">
        <v>3090</v>
      </c>
      <c r="BJ256" s="24" t="s">
        <v>2261</v>
      </c>
      <c r="BK256" s="59" t="s">
        <v>1673</v>
      </c>
      <c r="BL256" s="59" t="s">
        <v>156</v>
      </c>
      <c r="BM256" s="24"/>
      <c r="BN256" s="24"/>
      <c r="BO256" s="59"/>
      <c r="BP256" s="59"/>
      <c r="BQ256" s="77"/>
      <c r="BR256" s="60"/>
      <c r="BS256" s="60"/>
      <c r="BT256" s="59"/>
      <c r="BU256" s="60"/>
      <c r="BV256" s="60"/>
      <c r="BW256" s="59"/>
      <c r="BX256" s="60"/>
      <c r="BY256" s="60"/>
      <c r="BZ256" s="59"/>
      <c r="CA256" s="59"/>
      <c r="CB256" s="59"/>
      <c r="CC256" s="59"/>
      <c r="CD256" s="59"/>
      <c r="CE256" s="59" t="s">
        <v>7543</v>
      </c>
      <c r="CF256" s="60" t="s">
        <v>3089</v>
      </c>
      <c r="CG256" s="59" t="s">
        <v>7217</v>
      </c>
      <c r="CH256" s="59" t="s">
        <v>629</v>
      </c>
      <c r="CI256" s="59" t="s">
        <v>492</v>
      </c>
      <c r="CJ256" s="59" t="s">
        <v>111</v>
      </c>
      <c r="CK256" s="47"/>
      <c r="CL256" s="64" t="str">
        <f t="shared" ca="1" si="3"/>
        <v>17 Tahun 1 Bulan 1 Hari</v>
      </c>
      <c r="CM25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Perum Mutiara Nirwana C.1/8 RT/RW 33/11 Desa/Kelurahan Kondangjaya Kecamatan Karawang Timur Karawang Jawa Barat </v>
      </c>
    </row>
    <row r="257" spans="1:91" ht="24.95" customHeight="1">
      <c r="A257" s="58">
        <f>SUBTOTAL(3,N$8:Table2[[#This Row],[Nama lengkap]])</f>
        <v>250</v>
      </c>
      <c r="B257" s="58" t="s">
        <v>86</v>
      </c>
      <c r="C257" s="58">
        <v>2021</v>
      </c>
      <c r="D257" s="58"/>
      <c r="E257" s="58">
        <v>4</v>
      </c>
      <c r="F257" s="58" t="s">
        <v>2925</v>
      </c>
      <c r="G257" s="32" t="s">
        <v>2513</v>
      </c>
      <c r="H257" s="32" t="s">
        <v>2513</v>
      </c>
      <c r="I257" s="32" t="s">
        <v>2513</v>
      </c>
      <c r="J257" s="32"/>
      <c r="K257" s="32"/>
      <c r="L257" s="32"/>
      <c r="M257" s="58">
        <v>21220057</v>
      </c>
      <c r="N257" s="24" t="s">
        <v>6058</v>
      </c>
      <c r="O257" s="24"/>
      <c r="P257" s="25" t="s">
        <v>3092</v>
      </c>
      <c r="Q257" s="25" t="s">
        <v>3093</v>
      </c>
      <c r="R257" s="60" t="s">
        <v>90</v>
      </c>
      <c r="S257" s="61" t="s">
        <v>3094</v>
      </c>
      <c r="T257" s="47" t="s">
        <v>92</v>
      </c>
      <c r="U257" s="47">
        <v>1</v>
      </c>
      <c r="V257" s="47">
        <v>2</v>
      </c>
      <c r="W257" s="47" t="s">
        <v>207</v>
      </c>
      <c r="X257" s="59"/>
      <c r="Y257" s="59" t="s">
        <v>3095</v>
      </c>
      <c r="Z257" s="59" t="s">
        <v>3096</v>
      </c>
      <c r="AA257" s="59" t="s">
        <v>96</v>
      </c>
      <c r="AB257" s="59" t="s">
        <v>689</v>
      </c>
      <c r="AC257" s="59" t="s">
        <v>208</v>
      </c>
      <c r="AD257" s="59" t="s">
        <v>208</v>
      </c>
      <c r="AE257" s="60"/>
      <c r="AF257" s="60" t="s">
        <v>8509</v>
      </c>
      <c r="AG257" s="59" t="s">
        <v>8509</v>
      </c>
      <c r="AH257" s="59" t="s">
        <v>691</v>
      </c>
      <c r="AI257" s="59" t="s">
        <v>90</v>
      </c>
      <c r="AJ257" s="61">
        <v>28056</v>
      </c>
      <c r="AK257" s="60" t="s">
        <v>3097</v>
      </c>
      <c r="AL257" s="60" t="s">
        <v>289</v>
      </c>
      <c r="AM257" s="59" t="s">
        <v>800</v>
      </c>
      <c r="AN257" s="60"/>
      <c r="AO257" s="60"/>
      <c r="AP257" s="59" t="s">
        <v>3098</v>
      </c>
      <c r="AQ257" s="25" t="s">
        <v>521</v>
      </c>
      <c r="AR257" s="60" t="s">
        <v>263</v>
      </c>
      <c r="AS257" s="59" t="s">
        <v>263</v>
      </c>
      <c r="AT257" s="59" t="s">
        <v>1706</v>
      </c>
      <c r="AU257" s="59" t="s">
        <v>111</v>
      </c>
      <c r="AV257" s="62"/>
      <c r="AW257" s="59" t="s">
        <v>6090</v>
      </c>
      <c r="AX257" s="59" t="s">
        <v>691</v>
      </c>
      <c r="AY257" s="59" t="s">
        <v>90</v>
      </c>
      <c r="AZ257" s="126">
        <v>28134</v>
      </c>
      <c r="BA257" s="60" t="s">
        <v>3099</v>
      </c>
      <c r="BB257" s="60" t="s">
        <v>845</v>
      </c>
      <c r="BC257" s="59" t="s">
        <v>800</v>
      </c>
      <c r="BD257" s="60"/>
      <c r="BE257" s="60"/>
      <c r="BF257" s="60"/>
      <c r="BG257" s="59" t="s">
        <v>3098</v>
      </c>
      <c r="BH257" s="60" t="s">
        <v>521</v>
      </c>
      <c r="BI257" s="60" t="s">
        <v>263</v>
      </c>
      <c r="BJ257" s="24" t="s">
        <v>263</v>
      </c>
      <c r="BK257" s="59" t="s">
        <v>1706</v>
      </c>
      <c r="BL257" s="59" t="s">
        <v>156</v>
      </c>
      <c r="BM257" s="24"/>
      <c r="BN257" s="24"/>
      <c r="BO257" s="59"/>
      <c r="BP257" s="59"/>
      <c r="BQ257" s="77"/>
      <c r="BR257" s="60"/>
      <c r="BS257" s="60"/>
      <c r="BT257" s="59"/>
      <c r="BU257" s="60"/>
      <c r="BV257" s="60"/>
      <c r="BW257" s="59"/>
      <c r="BX257" s="60"/>
      <c r="BY257" s="60"/>
      <c r="BZ257" s="59"/>
      <c r="CA257" s="59"/>
      <c r="CB257" s="59"/>
      <c r="CC257" s="59"/>
      <c r="CD257" s="59"/>
      <c r="CE257" s="59" t="s">
        <v>7544</v>
      </c>
      <c r="CF257" s="60" t="s">
        <v>521</v>
      </c>
      <c r="CG257" s="59" t="s">
        <v>6984</v>
      </c>
      <c r="CH257" s="59" t="s">
        <v>6984</v>
      </c>
      <c r="CI257" s="59" t="s">
        <v>644</v>
      </c>
      <c r="CJ257" s="59" t="s">
        <v>111</v>
      </c>
      <c r="CK257" s="47"/>
      <c r="CL257" s="64" t="str">
        <f t="shared" ca="1" si="3"/>
        <v>17 Tahun 1 Bulan 8 Hari</v>
      </c>
      <c r="CM25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Jl.Caringin Gg. Lubung Iv RT/RW 02/05 Desa/Kelurahan Babakan Ciparay Kecamatan Babakan Ciparay Kota Bandung Jawa Barat </v>
      </c>
    </row>
    <row r="258" spans="1:91" ht="24.95" customHeight="1">
      <c r="A258" s="58">
        <f>SUBTOTAL(3,N$8:Table2[[#This Row],[Nama lengkap]])</f>
        <v>251</v>
      </c>
      <c r="B258" s="58" t="s">
        <v>86</v>
      </c>
      <c r="C258" s="58">
        <v>2021</v>
      </c>
      <c r="D258" s="58"/>
      <c r="E258" s="58">
        <v>4</v>
      </c>
      <c r="F258" s="58" t="s">
        <v>2925</v>
      </c>
      <c r="G258" s="32" t="s">
        <v>2513</v>
      </c>
      <c r="H258" s="32" t="s">
        <v>2513</v>
      </c>
      <c r="I258" s="32" t="s">
        <v>2513</v>
      </c>
      <c r="J258" s="32"/>
      <c r="K258" s="32"/>
      <c r="L258" s="32"/>
      <c r="M258" s="58">
        <v>21220077</v>
      </c>
      <c r="N258" s="24" t="s">
        <v>8833</v>
      </c>
      <c r="O258" s="24"/>
      <c r="P258" s="25" t="s">
        <v>3100</v>
      </c>
      <c r="Q258" s="25" t="s">
        <v>3101</v>
      </c>
      <c r="R258" s="60" t="s">
        <v>90</v>
      </c>
      <c r="S258" s="61" t="s">
        <v>3102</v>
      </c>
      <c r="T258" s="47" t="s">
        <v>92</v>
      </c>
      <c r="U258" s="47">
        <v>3</v>
      </c>
      <c r="V258" s="47">
        <v>4</v>
      </c>
      <c r="W258" s="47" t="s">
        <v>207</v>
      </c>
      <c r="X258" s="59"/>
      <c r="Y258" s="59" t="s">
        <v>1385</v>
      </c>
      <c r="Z258" s="59" t="s">
        <v>3103</v>
      </c>
      <c r="AA258" s="59" t="s">
        <v>96</v>
      </c>
      <c r="AB258" s="59" t="s">
        <v>689</v>
      </c>
      <c r="AC258" s="59" t="s">
        <v>208</v>
      </c>
      <c r="AD258" s="59" t="s">
        <v>208</v>
      </c>
      <c r="AE258" s="60" t="s">
        <v>3104</v>
      </c>
      <c r="AF258" s="60" t="s">
        <v>8510</v>
      </c>
      <c r="AG258" s="59" t="s">
        <v>8510</v>
      </c>
      <c r="AH258" s="59" t="s">
        <v>691</v>
      </c>
      <c r="AI258" s="59" t="s">
        <v>90</v>
      </c>
      <c r="AJ258" s="61" t="s">
        <v>3105</v>
      </c>
      <c r="AK258" s="60" t="s">
        <v>3106</v>
      </c>
      <c r="AL258" s="60" t="s">
        <v>114</v>
      </c>
      <c r="AM258" s="59" t="s">
        <v>800</v>
      </c>
      <c r="AN258" s="60"/>
      <c r="AO258" s="60"/>
      <c r="AP258" s="59" t="s">
        <v>3107</v>
      </c>
      <c r="AQ258" s="25" t="s">
        <v>1017</v>
      </c>
      <c r="AR258" s="60" t="s">
        <v>1049</v>
      </c>
      <c r="AS258" s="59" t="s">
        <v>1050</v>
      </c>
      <c r="AT258" s="59" t="s">
        <v>141</v>
      </c>
      <c r="AU258" s="59" t="s">
        <v>111</v>
      </c>
      <c r="AV258" s="62"/>
      <c r="AW258" s="59" t="s">
        <v>8016</v>
      </c>
      <c r="AX258" s="59" t="s">
        <v>691</v>
      </c>
      <c r="AY258" s="59" t="s">
        <v>90</v>
      </c>
      <c r="AZ258" s="126" t="s">
        <v>3108</v>
      </c>
      <c r="BA258" s="60" t="s">
        <v>3109</v>
      </c>
      <c r="BB258" s="60" t="s">
        <v>845</v>
      </c>
      <c r="BC258" s="59" t="s">
        <v>800</v>
      </c>
      <c r="BD258" s="60"/>
      <c r="BE258" s="60"/>
      <c r="BF258" s="60"/>
      <c r="BG258" s="59" t="s">
        <v>3107</v>
      </c>
      <c r="BH258" s="60" t="s">
        <v>1017</v>
      </c>
      <c r="BI258" s="60" t="s">
        <v>1049</v>
      </c>
      <c r="BJ258" s="24" t="s">
        <v>1050</v>
      </c>
      <c r="BK258" s="59" t="s">
        <v>141</v>
      </c>
      <c r="BL258" s="59" t="s">
        <v>156</v>
      </c>
      <c r="BM258" s="24"/>
      <c r="BN258" s="24"/>
      <c r="BO258" s="59"/>
      <c r="BP258" s="59"/>
      <c r="BQ258" s="77"/>
      <c r="BR258" s="60"/>
      <c r="BS258" s="60"/>
      <c r="BT258" s="59"/>
      <c r="BU258" s="60"/>
      <c r="BV258" s="60"/>
      <c r="BW258" s="59"/>
      <c r="BX258" s="60"/>
      <c r="BY258" s="60"/>
      <c r="BZ258" s="59"/>
      <c r="CA258" s="59"/>
      <c r="CB258" s="59"/>
      <c r="CC258" s="59"/>
      <c r="CD258" s="59"/>
      <c r="CE258" s="59" t="s">
        <v>7545</v>
      </c>
      <c r="CF258" s="60" t="s">
        <v>1017</v>
      </c>
      <c r="CG258" s="59" t="s">
        <v>7046</v>
      </c>
      <c r="CH258" s="59" t="s">
        <v>6898</v>
      </c>
      <c r="CI258" s="59" t="s">
        <v>90</v>
      </c>
      <c r="CJ258" s="59" t="s">
        <v>111</v>
      </c>
      <c r="CK258" s="47"/>
      <c r="CL258" s="64" t="str">
        <f t="shared" ca="1" si="3"/>
        <v>16 Tahun 11 Bulan 17 Hari</v>
      </c>
      <c r="CM25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Gg. Taruna I RT/RW 01/04 Desa/Kelurahan Ciroyom Kecamatan Andir Bandung Jawa Barat </v>
      </c>
    </row>
    <row r="259" spans="1:91" ht="24.95" customHeight="1">
      <c r="A259" s="58">
        <f>SUBTOTAL(3,N$8:Table2[[#This Row],[Nama lengkap]])</f>
        <v>252</v>
      </c>
      <c r="B259" s="58" t="s">
        <v>86</v>
      </c>
      <c r="C259" s="58">
        <v>2021</v>
      </c>
      <c r="D259" s="58"/>
      <c r="E259" s="58">
        <v>4</v>
      </c>
      <c r="F259" s="58" t="s">
        <v>2925</v>
      </c>
      <c r="G259" s="32" t="s">
        <v>2513</v>
      </c>
      <c r="H259" s="32" t="s">
        <v>2513</v>
      </c>
      <c r="I259" s="32" t="s">
        <v>2513</v>
      </c>
      <c r="J259" s="32"/>
      <c r="K259" s="32"/>
      <c r="L259" s="32"/>
      <c r="M259" s="58">
        <v>21220152</v>
      </c>
      <c r="N259" s="24" t="s">
        <v>6060</v>
      </c>
      <c r="O259" s="24"/>
      <c r="P259" s="25">
        <v>3097948947</v>
      </c>
      <c r="Q259" s="25" t="s">
        <v>3110</v>
      </c>
      <c r="R259" s="60" t="s">
        <v>90</v>
      </c>
      <c r="S259" s="61" t="s">
        <v>3111</v>
      </c>
      <c r="T259" s="47" t="s">
        <v>92</v>
      </c>
      <c r="U259" s="47">
        <v>4</v>
      </c>
      <c r="V259" s="47">
        <v>3</v>
      </c>
      <c r="W259" s="47" t="s">
        <v>207</v>
      </c>
      <c r="X259" s="59" t="s">
        <v>984</v>
      </c>
      <c r="Y259" s="59" t="s">
        <v>1385</v>
      </c>
      <c r="Z259" s="59" t="s">
        <v>986</v>
      </c>
      <c r="AA259" s="59" t="s">
        <v>96</v>
      </c>
      <c r="AB259" s="59" t="s">
        <v>689</v>
      </c>
      <c r="AC259" s="59" t="s">
        <v>208</v>
      </c>
      <c r="AD259" s="59" t="s">
        <v>208</v>
      </c>
      <c r="AE259" s="60" t="s">
        <v>3112</v>
      </c>
      <c r="AF259" s="60" t="s">
        <v>8511</v>
      </c>
      <c r="AG259" s="59" t="s">
        <v>8511</v>
      </c>
      <c r="AH259" s="59" t="s">
        <v>691</v>
      </c>
      <c r="AI259" s="59" t="s">
        <v>90</v>
      </c>
      <c r="AJ259" s="61">
        <v>28613</v>
      </c>
      <c r="AK259" s="60" t="s">
        <v>3113</v>
      </c>
      <c r="AL259" s="60" t="s">
        <v>114</v>
      </c>
      <c r="AM259" s="59" t="s">
        <v>700</v>
      </c>
      <c r="AN259" s="60"/>
      <c r="AO259" s="60"/>
      <c r="AP259" s="59" t="s">
        <v>2123</v>
      </c>
      <c r="AQ259" s="25" t="s">
        <v>2124</v>
      </c>
      <c r="AR259" s="60" t="s">
        <v>2125</v>
      </c>
      <c r="AS259" s="59" t="s">
        <v>1347</v>
      </c>
      <c r="AT259" s="59" t="s">
        <v>141</v>
      </c>
      <c r="AU259" s="59" t="s">
        <v>111</v>
      </c>
      <c r="AV259" s="62"/>
      <c r="AW259" s="59" t="s">
        <v>8017</v>
      </c>
      <c r="AX259" s="59" t="s">
        <v>691</v>
      </c>
      <c r="AY259" s="59" t="s">
        <v>90</v>
      </c>
      <c r="AZ259" s="126" t="s">
        <v>3114</v>
      </c>
      <c r="BA259" s="60" t="s">
        <v>3115</v>
      </c>
      <c r="BB259" s="60" t="s">
        <v>845</v>
      </c>
      <c r="BC259" s="59" t="s">
        <v>700</v>
      </c>
      <c r="BD259" s="60"/>
      <c r="BE259" s="60"/>
      <c r="BF259" s="60"/>
      <c r="BG259" s="59" t="s">
        <v>2123</v>
      </c>
      <c r="BH259" s="60" t="s">
        <v>2124</v>
      </c>
      <c r="BI259" s="60" t="s">
        <v>2125</v>
      </c>
      <c r="BJ259" s="24" t="s">
        <v>1347</v>
      </c>
      <c r="BK259" s="59" t="s">
        <v>141</v>
      </c>
      <c r="BL259" s="59" t="s">
        <v>156</v>
      </c>
      <c r="BM259" s="24"/>
      <c r="BN259" s="24"/>
      <c r="BO259" s="59"/>
      <c r="BP259" s="59"/>
      <c r="BQ259" s="77"/>
      <c r="BR259" s="60"/>
      <c r="BS259" s="60"/>
      <c r="BT259" s="59"/>
      <c r="BU259" s="60"/>
      <c r="BV259" s="60"/>
      <c r="BW259" s="59"/>
      <c r="BX259" s="60"/>
      <c r="BY259" s="60"/>
      <c r="BZ259" s="59"/>
      <c r="CA259" s="59"/>
      <c r="CB259" s="59"/>
      <c r="CC259" s="59"/>
      <c r="CD259" s="59"/>
      <c r="CE259" s="59" t="s">
        <v>7284</v>
      </c>
      <c r="CF259" s="60" t="s">
        <v>2124</v>
      </c>
      <c r="CG259" s="59" t="s">
        <v>6635</v>
      </c>
      <c r="CH259" s="59" t="s">
        <v>6463</v>
      </c>
      <c r="CI259" s="59" t="s">
        <v>90</v>
      </c>
      <c r="CJ259" s="59" t="s">
        <v>111</v>
      </c>
      <c r="CK259" s="47"/>
      <c r="CL259" s="64" t="str">
        <f t="shared" ca="1" si="3"/>
        <v>16 Tahun 6 Bulan 25 Hari</v>
      </c>
      <c r="CM25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Gumuruh RT/RW 05/04 Desa/Kelurahan Nagrak Kecamatan Cangkuang Bandung Jawa Barat </v>
      </c>
    </row>
    <row r="260" spans="1:91" ht="24.95" customHeight="1">
      <c r="A260" s="58">
        <f>SUBTOTAL(3,N$8:Table2[[#This Row],[Nama lengkap]])</f>
        <v>253</v>
      </c>
      <c r="B260" s="58" t="s">
        <v>86</v>
      </c>
      <c r="C260" s="58">
        <v>2020</v>
      </c>
      <c r="D260" s="58"/>
      <c r="E260" s="58">
        <v>4</v>
      </c>
      <c r="F260" s="58" t="s">
        <v>2925</v>
      </c>
      <c r="G260" s="32" t="s">
        <v>2513</v>
      </c>
      <c r="H260" s="32" t="s">
        <v>2513</v>
      </c>
      <c r="I260" s="32" t="s">
        <v>2513</v>
      </c>
      <c r="J260" s="32"/>
      <c r="K260" s="32"/>
      <c r="L260" s="32"/>
      <c r="M260" s="58">
        <v>20210131</v>
      </c>
      <c r="N260" s="24" t="s">
        <v>6061</v>
      </c>
      <c r="O260" s="24"/>
      <c r="P260" s="25" t="s">
        <v>3116</v>
      </c>
      <c r="Q260" s="25" t="s">
        <v>3117</v>
      </c>
      <c r="R260" s="60" t="s">
        <v>122</v>
      </c>
      <c r="S260" s="61" t="s">
        <v>3118</v>
      </c>
      <c r="T260" s="47" t="s">
        <v>92</v>
      </c>
      <c r="U260" s="47">
        <v>2</v>
      </c>
      <c r="V260" s="47">
        <v>1</v>
      </c>
      <c r="W260" s="47" t="s">
        <v>207</v>
      </c>
      <c r="X260" s="59"/>
      <c r="Y260" s="59" t="s">
        <v>1385</v>
      </c>
      <c r="Z260" s="59" t="s">
        <v>1478</v>
      </c>
      <c r="AA260" s="59" t="s">
        <v>96</v>
      </c>
      <c r="AB260" s="59" t="s">
        <v>689</v>
      </c>
      <c r="AC260" s="59" t="s">
        <v>208</v>
      </c>
      <c r="AD260" s="59" t="s">
        <v>208</v>
      </c>
      <c r="AE260" s="60" t="s">
        <v>3119</v>
      </c>
      <c r="AF260" s="60" t="s">
        <v>8512</v>
      </c>
      <c r="AG260" s="59" t="s">
        <v>8512</v>
      </c>
      <c r="AH260" s="59" t="s">
        <v>691</v>
      </c>
      <c r="AI260" s="59" t="s">
        <v>122</v>
      </c>
      <c r="AJ260" s="61" t="s">
        <v>3120</v>
      </c>
      <c r="AK260" s="60" t="s">
        <v>3121</v>
      </c>
      <c r="AL260" s="60" t="s">
        <v>5261</v>
      </c>
      <c r="AM260" s="59" t="s">
        <v>800</v>
      </c>
      <c r="AN260" s="60"/>
      <c r="AO260" s="60"/>
      <c r="AP260" s="59" t="s">
        <v>3122</v>
      </c>
      <c r="AQ260" s="25" t="s">
        <v>667</v>
      </c>
      <c r="AR260" s="60" t="s">
        <v>1692</v>
      </c>
      <c r="AS260" s="59" t="s">
        <v>1324</v>
      </c>
      <c r="AT260" s="59" t="s">
        <v>1090</v>
      </c>
      <c r="AU260" s="59" t="s">
        <v>111</v>
      </c>
      <c r="AV260" s="62">
        <v>45321</v>
      </c>
      <c r="AW260" s="59" t="s">
        <v>8018</v>
      </c>
      <c r="AX260" s="59" t="s">
        <v>691</v>
      </c>
      <c r="AY260" s="59" t="s">
        <v>122</v>
      </c>
      <c r="AZ260" s="126" t="s">
        <v>3123</v>
      </c>
      <c r="BA260" s="60" t="s">
        <v>3124</v>
      </c>
      <c r="BB260" s="60" t="s">
        <v>845</v>
      </c>
      <c r="BC260" s="59" t="s">
        <v>693</v>
      </c>
      <c r="BD260" s="60"/>
      <c r="BE260" s="60"/>
      <c r="BF260" s="60"/>
      <c r="BG260" s="59" t="s">
        <v>3122</v>
      </c>
      <c r="BH260" s="60" t="s">
        <v>667</v>
      </c>
      <c r="BI260" s="60" t="s">
        <v>1692</v>
      </c>
      <c r="BJ260" s="24" t="s">
        <v>1324</v>
      </c>
      <c r="BK260" s="59" t="s">
        <v>1090</v>
      </c>
      <c r="BL260" s="59" t="s">
        <v>156</v>
      </c>
      <c r="BM260" s="24">
        <v>45321</v>
      </c>
      <c r="BN260" s="24"/>
      <c r="BO260" s="59" t="s">
        <v>719</v>
      </c>
      <c r="BP260" s="59"/>
      <c r="BQ260" s="77"/>
      <c r="BR260" s="60"/>
      <c r="BS260" s="60"/>
      <c r="BT260" s="59"/>
      <c r="BU260" s="60"/>
      <c r="BV260" s="60"/>
      <c r="BW260" s="59"/>
      <c r="BX260" s="60"/>
      <c r="BY260" s="60"/>
      <c r="BZ260" s="59"/>
      <c r="CA260" s="59"/>
      <c r="CB260" s="59"/>
      <c r="CC260" s="59"/>
      <c r="CD260" s="59"/>
      <c r="CE260" s="59" t="s">
        <v>7546</v>
      </c>
      <c r="CF260" s="60" t="s">
        <v>667</v>
      </c>
      <c r="CG260" s="59" t="s">
        <v>7103</v>
      </c>
      <c r="CH260" s="59" t="s">
        <v>134</v>
      </c>
      <c r="CI260" s="59" t="s">
        <v>122</v>
      </c>
      <c r="CJ260" s="59" t="s">
        <v>111</v>
      </c>
      <c r="CK260" s="47">
        <v>45321</v>
      </c>
      <c r="CL260" s="64" t="str">
        <f t="shared" ca="1" si="3"/>
        <v>17 Tahun 10 Bulan 0 Hari</v>
      </c>
      <c r="CM26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Lingk.Talun Kidul RT/RW 04/05 Desa/Kelurahan Talun Kecamatan Sumedang Utara Sumedang Jawa Barat 45321</v>
      </c>
    </row>
    <row r="261" spans="1:91" ht="24.95" customHeight="1">
      <c r="A261" s="58">
        <f>SUBTOTAL(3,N$8:Table2[[#This Row],[Nama lengkap]])</f>
        <v>254</v>
      </c>
      <c r="B261" s="58" t="s">
        <v>86</v>
      </c>
      <c r="C261" s="58">
        <v>2021</v>
      </c>
      <c r="D261" s="58"/>
      <c r="E261" s="58">
        <v>4</v>
      </c>
      <c r="F261" s="58" t="s">
        <v>2925</v>
      </c>
      <c r="G261" s="32" t="s">
        <v>2513</v>
      </c>
      <c r="H261" s="32" t="s">
        <v>2513</v>
      </c>
      <c r="I261" s="32" t="s">
        <v>2513</v>
      </c>
      <c r="J261" s="32"/>
      <c r="K261" s="32"/>
      <c r="L261" s="32"/>
      <c r="M261" s="58">
        <v>21220160</v>
      </c>
      <c r="N261" s="24" t="s">
        <v>6062</v>
      </c>
      <c r="O261" s="24"/>
      <c r="P261" s="25" t="s">
        <v>3126</v>
      </c>
      <c r="Q261" s="25" t="s">
        <v>3127</v>
      </c>
      <c r="R261" s="60" t="s">
        <v>3137</v>
      </c>
      <c r="S261" s="61" t="s">
        <v>3128</v>
      </c>
      <c r="T261" s="47" t="s">
        <v>92</v>
      </c>
      <c r="U261" s="47">
        <v>3</v>
      </c>
      <c r="V261" s="47">
        <v>4</v>
      </c>
      <c r="W261" s="47" t="s">
        <v>207</v>
      </c>
      <c r="X261" s="59"/>
      <c r="Y261" s="59" t="s">
        <v>2039</v>
      </c>
      <c r="Z261" s="59" t="s">
        <v>986</v>
      </c>
      <c r="AA261" s="59" t="s">
        <v>96</v>
      </c>
      <c r="AB261" s="59" t="s">
        <v>3129</v>
      </c>
      <c r="AC261" s="59" t="s">
        <v>208</v>
      </c>
      <c r="AD261" s="59" t="s">
        <v>208</v>
      </c>
      <c r="AE261" s="60" t="s">
        <v>3130</v>
      </c>
      <c r="AF261" s="60" t="s">
        <v>8019</v>
      </c>
      <c r="AG261" s="59" t="s">
        <v>8513</v>
      </c>
      <c r="AH261" s="59" t="s">
        <v>1071</v>
      </c>
      <c r="AI261" s="59"/>
      <c r="AJ261" s="77" t="s">
        <v>984</v>
      </c>
      <c r="AK261" s="59" t="s">
        <v>984</v>
      </c>
      <c r="AL261" s="59"/>
      <c r="AM261" s="59"/>
      <c r="AN261" s="59" t="s">
        <v>984</v>
      </c>
      <c r="AO261" s="59" t="s">
        <v>984</v>
      </c>
      <c r="AP261" s="59" t="s">
        <v>984</v>
      </c>
      <c r="AQ261" s="59" t="s">
        <v>984</v>
      </c>
      <c r="AR261" s="59" t="s">
        <v>984</v>
      </c>
      <c r="AS261" s="59" t="s">
        <v>984</v>
      </c>
      <c r="AT261" s="59" t="s">
        <v>984</v>
      </c>
      <c r="AU261" s="59" t="s">
        <v>3131</v>
      </c>
      <c r="AV261" s="59" t="s">
        <v>984</v>
      </c>
      <c r="AW261" s="59" t="s">
        <v>8019</v>
      </c>
      <c r="AX261" s="59" t="s">
        <v>691</v>
      </c>
      <c r="AY261" s="59" t="s">
        <v>90</v>
      </c>
      <c r="AZ261" s="126" t="s">
        <v>3132</v>
      </c>
      <c r="BA261" s="60" t="s">
        <v>3133</v>
      </c>
      <c r="BB261" s="60" t="s">
        <v>845</v>
      </c>
      <c r="BC261" s="59" t="s">
        <v>1702</v>
      </c>
      <c r="BD261" s="60"/>
      <c r="BE261" s="60"/>
      <c r="BF261" s="60"/>
      <c r="BG261" s="59"/>
      <c r="BH261" s="60"/>
      <c r="BI261" s="60"/>
      <c r="BJ261" s="24"/>
      <c r="BK261" s="59"/>
      <c r="BL261" s="59"/>
      <c r="BM261" s="24"/>
      <c r="BN261" s="24"/>
      <c r="BO261" s="59"/>
      <c r="BP261" s="59"/>
      <c r="BQ261" s="77"/>
      <c r="BR261" s="60"/>
      <c r="BS261" s="60"/>
      <c r="BT261" s="59"/>
      <c r="BU261" s="60"/>
      <c r="BV261" s="60"/>
      <c r="BW261" s="59"/>
      <c r="BX261" s="60"/>
      <c r="BY261" s="60"/>
      <c r="BZ261" s="59"/>
      <c r="CA261" s="59"/>
      <c r="CB261" s="59"/>
      <c r="CC261" s="59"/>
      <c r="CD261" s="59"/>
      <c r="CE261" s="59" t="s">
        <v>3134</v>
      </c>
      <c r="CF261" s="60" t="s">
        <v>3135</v>
      </c>
      <c r="CG261" s="59" t="s">
        <v>3136</v>
      </c>
      <c r="CH261" s="59" t="s">
        <v>3136</v>
      </c>
      <c r="CI261" s="59" t="s">
        <v>3137</v>
      </c>
      <c r="CJ261" s="59" t="s">
        <v>111</v>
      </c>
      <c r="CK261" s="47">
        <v>43282</v>
      </c>
      <c r="CL261" s="64" t="str">
        <f t="shared" ca="1" si="3"/>
        <v>18 Tahun 5 Bulan 13 Hari</v>
      </c>
      <c r="CM26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Pasir Kawung RT/RW 0004/014 Desa/Kelurahan Ciranjang Kecamatan Ciranjang Cianjur Jawa Barat 43282</v>
      </c>
    </row>
    <row r="262" spans="1:91" ht="24.95" customHeight="1">
      <c r="A262" s="58">
        <f>SUBTOTAL(3,N$8:Table2[[#This Row],[Nama lengkap]])</f>
        <v>255</v>
      </c>
      <c r="B262" s="58" t="s">
        <v>86</v>
      </c>
      <c r="C262" s="58">
        <v>2021</v>
      </c>
      <c r="D262" s="58"/>
      <c r="E262" s="58">
        <v>4</v>
      </c>
      <c r="F262" s="58" t="s">
        <v>2925</v>
      </c>
      <c r="G262" s="32" t="s">
        <v>2513</v>
      </c>
      <c r="H262" s="32" t="s">
        <v>2513</v>
      </c>
      <c r="I262" s="32" t="s">
        <v>2513</v>
      </c>
      <c r="J262" s="32"/>
      <c r="K262" s="32"/>
      <c r="L262" s="32"/>
      <c r="M262" s="58">
        <v>21220025</v>
      </c>
      <c r="N262" s="24" t="s">
        <v>8834</v>
      </c>
      <c r="O262" s="24"/>
      <c r="P262" s="25" t="s">
        <v>3138</v>
      </c>
      <c r="Q262" s="25" t="s">
        <v>3139</v>
      </c>
      <c r="R262" s="60" t="s">
        <v>90</v>
      </c>
      <c r="S262" s="61" t="s">
        <v>3140</v>
      </c>
      <c r="T262" s="47" t="s">
        <v>92</v>
      </c>
      <c r="U262" s="47">
        <v>2</v>
      </c>
      <c r="V262" s="47">
        <v>1</v>
      </c>
      <c r="W262" s="47" t="s">
        <v>207</v>
      </c>
      <c r="X262" s="59"/>
      <c r="Y262" s="59" t="s">
        <v>1068</v>
      </c>
      <c r="Z262" s="59" t="s">
        <v>1478</v>
      </c>
      <c r="AA262" s="59" t="s">
        <v>96</v>
      </c>
      <c r="AB262" s="59" t="s">
        <v>689</v>
      </c>
      <c r="AC262" s="59" t="s">
        <v>208</v>
      </c>
      <c r="AD262" s="59" t="s">
        <v>208</v>
      </c>
      <c r="AE262" s="60" t="s">
        <v>3141</v>
      </c>
      <c r="AF262" s="60" t="s">
        <v>8514</v>
      </c>
      <c r="AG262" s="59" t="s">
        <v>8514</v>
      </c>
      <c r="AH262" s="59" t="s">
        <v>691</v>
      </c>
      <c r="AI262" s="59" t="s">
        <v>90</v>
      </c>
      <c r="AJ262" s="61" t="s">
        <v>3142</v>
      </c>
      <c r="AK262" s="60" t="s">
        <v>3143</v>
      </c>
      <c r="AL262" s="60" t="s">
        <v>289</v>
      </c>
      <c r="AM262" s="59" t="s">
        <v>693</v>
      </c>
      <c r="AN262" s="60"/>
      <c r="AO262" s="60"/>
      <c r="AP262" s="59" t="s">
        <v>3144</v>
      </c>
      <c r="AQ262" s="25" t="s">
        <v>1009</v>
      </c>
      <c r="AR262" s="60" t="s">
        <v>3145</v>
      </c>
      <c r="AS262" s="59" t="s">
        <v>2218</v>
      </c>
      <c r="AT262" s="59" t="s">
        <v>982</v>
      </c>
      <c r="AU262" s="59" t="s">
        <v>111</v>
      </c>
      <c r="AV262" s="62"/>
      <c r="AW262" s="59" t="s">
        <v>8020</v>
      </c>
      <c r="AX262" s="59" t="s">
        <v>691</v>
      </c>
      <c r="AY262" s="59" t="s">
        <v>623</v>
      </c>
      <c r="AZ262" s="126" t="s">
        <v>3146</v>
      </c>
      <c r="BA262" s="60" t="s">
        <v>3147</v>
      </c>
      <c r="BB262" s="60" t="s">
        <v>845</v>
      </c>
      <c r="BC262" s="59" t="s">
        <v>693</v>
      </c>
      <c r="BD262" s="60"/>
      <c r="BE262" s="60"/>
      <c r="BF262" s="60"/>
      <c r="BG262" s="59" t="s">
        <v>3144</v>
      </c>
      <c r="BH262" s="60" t="s">
        <v>1009</v>
      </c>
      <c r="BI262" s="60" t="s">
        <v>3145</v>
      </c>
      <c r="BJ262" s="24" t="s">
        <v>2218</v>
      </c>
      <c r="BK262" s="59" t="s">
        <v>982</v>
      </c>
      <c r="BL262" s="59" t="s">
        <v>156</v>
      </c>
      <c r="BM262" s="24"/>
      <c r="BN262" s="24"/>
      <c r="BO262" s="59"/>
      <c r="BP262" s="59"/>
      <c r="BQ262" s="77"/>
      <c r="BR262" s="60"/>
      <c r="BS262" s="60"/>
      <c r="BT262" s="59"/>
      <c r="BU262" s="60"/>
      <c r="BV262" s="60"/>
      <c r="BW262" s="59"/>
      <c r="BX262" s="60"/>
      <c r="BY262" s="60"/>
      <c r="BZ262" s="59"/>
      <c r="CA262" s="59"/>
      <c r="CB262" s="59"/>
      <c r="CC262" s="59"/>
      <c r="CD262" s="59"/>
      <c r="CE262" s="59" t="s">
        <v>7547</v>
      </c>
      <c r="CF262" s="60" t="s">
        <v>1009</v>
      </c>
      <c r="CG262" s="59" t="s">
        <v>7218</v>
      </c>
      <c r="CH262" s="59" t="s">
        <v>7153</v>
      </c>
      <c r="CI262" s="59" t="s">
        <v>7129</v>
      </c>
      <c r="CJ262" s="59" t="s">
        <v>111</v>
      </c>
      <c r="CK262" s="47"/>
      <c r="CL262" s="64" t="str">
        <f t="shared" ca="1" si="3"/>
        <v>16 Tahun 10 Bulan 15 Hari</v>
      </c>
      <c r="CM26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Kp.Pamulihan  RT/RW 03/02 Desa/Kelurahan Ciporeat Kecamatan Cilengkrang Bandung  Jawa Barat </v>
      </c>
    </row>
    <row r="263" spans="1:91" ht="24.95" customHeight="1">
      <c r="A263" s="58">
        <f>SUBTOTAL(3,N$8:Table2[[#This Row],[Nama lengkap]])</f>
        <v>256</v>
      </c>
      <c r="B263" s="58" t="s">
        <v>86</v>
      </c>
      <c r="C263" s="58">
        <v>2021</v>
      </c>
      <c r="D263" s="58"/>
      <c r="E263" s="58">
        <v>4</v>
      </c>
      <c r="F263" s="58" t="s">
        <v>2925</v>
      </c>
      <c r="G263" s="32" t="s">
        <v>2513</v>
      </c>
      <c r="H263" s="32" t="s">
        <v>2513</v>
      </c>
      <c r="I263" s="32" t="s">
        <v>2513</v>
      </c>
      <c r="J263" s="32"/>
      <c r="K263" s="32"/>
      <c r="L263" s="32"/>
      <c r="M263" s="85">
        <v>21220164</v>
      </c>
      <c r="N263" s="24" t="s">
        <v>8835</v>
      </c>
      <c r="O263" s="24"/>
      <c r="P263" s="25" t="s">
        <v>3148</v>
      </c>
      <c r="Q263" s="25" t="s">
        <v>3149</v>
      </c>
      <c r="R263" s="60" t="s">
        <v>90</v>
      </c>
      <c r="S263" s="61" t="s">
        <v>3150</v>
      </c>
      <c r="T263" s="47" t="s">
        <v>92</v>
      </c>
      <c r="U263" s="47">
        <v>3</v>
      </c>
      <c r="V263" s="47">
        <v>3</v>
      </c>
      <c r="W263" s="47" t="s">
        <v>207</v>
      </c>
      <c r="X263" s="59"/>
      <c r="Y263" s="59" t="s">
        <v>1068</v>
      </c>
      <c r="Z263" s="59" t="s">
        <v>2930</v>
      </c>
      <c r="AA263" s="59" t="s">
        <v>96</v>
      </c>
      <c r="AB263" s="59" t="s">
        <v>689</v>
      </c>
      <c r="AC263" s="59" t="s">
        <v>208</v>
      </c>
      <c r="AD263" s="59" t="s">
        <v>208</v>
      </c>
      <c r="AE263" s="60" t="s">
        <v>3151</v>
      </c>
      <c r="AF263" s="60" t="s">
        <v>8515</v>
      </c>
      <c r="AG263" s="59" t="s">
        <v>8515</v>
      </c>
      <c r="AH263" s="59" t="s">
        <v>691</v>
      </c>
      <c r="AI263" s="59" t="s">
        <v>6475</v>
      </c>
      <c r="AJ263" s="61">
        <v>27649</v>
      </c>
      <c r="AK263" s="60" t="s">
        <v>3152</v>
      </c>
      <c r="AL263" s="60" t="s">
        <v>114</v>
      </c>
      <c r="AM263" s="59" t="s">
        <v>800</v>
      </c>
      <c r="AN263" s="60" t="s">
        <v>3153</v>
      </c>
      <c r="AO263" s="60"/>
      <c r="AP263" s="59" t="s">
        <v>3154</v>
      </c>
      <c r="AQ263" s="25" t="s">
        <v>1493</v>
      </c>
      <c r="AR263" s="60" t="s">
        <v>3155</v>
      </c>
      <c r="AS263" s="59" t="s">
        <v>1063</v>
      </c>
      <c r="AT263" s="59" t="s">
        <v>141</v>
      </c>
      <c r="AU263" s="59" t="s">
        <v>111</v>
      </c>
      <c r="AV263" s="62">
        <v>40394</v>
      </c>
      <c r="AW263" s="59" t="s">
        <v>8021</v>
      </c>
      <c r="AX263" s="59" t="s">
        <v>691</v>
      </c>
      <c r="AY263" s="59" t="s">
        <v>90</v>
      </c>
      <c r="AZ263" s="126" t="s">
        <v>3156</v>
      </c>
      <c r="BA263" s="60" t="s">
        <v>3157</v>
      </c>
      <c r="BB263" s="60" t="s">
        <v>845</v>
      </c>
      <c r="BC263" s="59" t="s">
        <v>800</v>
      </c>
      <c r="BD263" s="60" t="s">
        <v>3153</v>
      </c>
      <c r="BE263" s="60"/>
      <c r="BF263" s="60"/>
      <c r="BG263" s="59" t="s">
        <v>3154</v>
      </c>
      <c r="BH263" s="25" t="s">
        <v>1493</v>
      </c>
      <c r="BI263" s="60" t="s">
        <v>3155</v>
      </c>
      <c r="BJ263" s="59" t="s">
        <v>1063</v>
      </c>
      <c r="BK263" s="59" t="s">
        <v>141</v>
      </c>
      <c r="BL263" s="59" t="s">
        <v>111</v>
      </c>
      <c r="BM263" s="62">
        <v>40394</v>
      </c>
      <c r="BN263" s="62"/>
      <c r="BO263" s="59" t="s">
        <v>719</v>
      </c>
      <c r="BP263" s="59"/>
      <c r="BQ263" s="77"/>
      <c r="BR263" s="60"/>
      <c r="BS263" s="60"/>
      <c r="BT263" s="59"/>
      <c r="BU263" s="60"/>
      <c r="BV263" s="60"/>
      <c r="BW263" s="59"/>
      <c r="BX263" s="60"/>
      <c r="BY263" s="60"/>
      <c r="BZ263" s="59"/>
      <c r="CA263" s="59"/>
      <c r="CB263" s="59"/>
      <c r="CC263" s="59"/>
      <c r="CD263" s="59"/>
      <c r="CE263" s="59" t="s">
        <v>7548</v>
      </c>
      <c r="CF263" s="60" t="s">
        <v>1493</v>
      </c>
      <c r="CG263" s="59" t="s">
        <v>7007</v>
      </c>
      <c r="CH263" s="59" t="s">
        <v>295</v>
      </c>
      <c r="CI263" s="59" t="s">
        <v>90</v>
      </c>
      <c r="CJ263" s="59" t="s">
        <v>111</v>
      </c>
      <c r="CK263" s="47">
        <v>40394</v>
      </c>
      <c r="CL263" s="64" t="str">
        <f t="shared" ca="1" si="3"/>
        <v>16 Tahun 8 Bulan 17 Hari</v>
      </c>
      <c r="CM26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Talun RT/RW 02/11 Desa/Kelurahan Jelegong Kecamatan Rancaekek Bandung Jawa Barat 40394</v>
      </c>
    </row>
    <row r="264" spans="1:91" ht="24.95" customHeight="1">
      <c r="A264" s="58">
        <f>SUBTOTAL(3,N$8:Table2[[#This Row],[Nama lengkap]])</f>
        <v>257</v>
      </c>
      <c r="B264" s="58" t="s">
        <v>86</v>
      </c>
      <c r="C264" s="58">
        <v>2021</v>
      </c>
      <c r="D264" s="58"/>
      <c r="E264" s="58">
        <v>4</v>
      </c>
      <c r="F264" s="58" t="s">
        <v>2925</v>
      </c>
      <c r="G264" s="32" t="s">
        <v>2513</v>
      </c>
      <c r="H264" s="32" t="s">
        <v>2513</v>
      </c>
      <c r="I264" s="32" t="s">
        <v>2513</v>
      </c>
      <c r="J264" s="32"/>
      <c r="K264" s="32"/>
      <c r="L264" s="32"/>
      <c r="M264" s="58">
        <v>21220060</v>
      </c>
      <c r="N264" s="24" t="s">
        <v>6065</v>
      </c>
      <c r="O264" s="24"/>
      <c r="P264" s="25" t="s">
        <v>3158</v>
      </c>
      <c r="Q264" s="25" t="s">
        <v>3159</v>
      </c>
      <c r="R264" s="60" t="s">
        <v>7804</v>
      </c>
      <c r="S264" s="61" t="s">
        <v>3160</v>
      </c>
      <c r="T264" s="47" t="s">
        <v>92</v>
      </c>
      <c r="U264" s="47">
        <v>1</v>
      </c>
      <c r="V264" s="47">
        <v>1</v>
      </c>
      <c r="W264" s="47" t="s">
        <v>207</v>
      </c>
      <c r="X264" s="59"/>
      <c r="Y264" s="59" t="s">
        <v>1385</v>
      </c>
      <c r="Z264" s="59" t="s">
        <v>3161</v>
      </c>
      <c r="AA264" s="59" t="s">
        <v>96</v>
      </c>
      <c r="AB264" s="59" t="s">
        <v>689</v>
      </c>
      <c r="AC264" s="59" t="s">
        <v>208</v>
      </c>
      <c r="AD264" s="59" t="s">
        <v>208</v>
      </c>
      <c r="AE264" s="60" t="s">
        <v>3162</v>
      </c>
      <c r="AF264" s="60" t="s">
        <v>8516</v>
      </c>
      <c r="AG264" s="59" t="s">
        <v>8516</v>
      </c>
      <c r="AH264" s="59" t="s">
        <v>691</v>
      </c>
      <c r="AI264" s="59" t="s">
        <v>7804</v>
      </c>
      <c r="AJ264" s="61" t="s">
        <v>2402</v>
      </c>
      <c r="AK264" s="60" t="s">
        <v>3163</v>
      </c>
      <c r="AL264" s="60" t="s">
        <v>914</v>
      </c>
      <c r="AM264" s="59" t="s">
        <v>700</v>
      </c>
      <c r="AN264" s="60"/>
      <c r="AO264" s="60"/>
      <c r="AP264" s="59" t="s">
        <v>1911</v>
      </c>
      <c r="AQ264" s="25" t="s">
        <v>1161</v>
      </c>
      <c r="AR264" s="60" t="s">
        <v>2715</v>
      </c>
      <c r="AS264" s="59" t="s">
        <v>2716</v>
      </c>
      <c r="AT264" s="59" t="s">
        <v>512</v>
      </c>
      <c r="AU264" s="59" t="s">
        <v>111</v>
      </c>
      <c r="AV264" s="62"/>
      <c r="AW264" s="59" t="s">
        <v>8022</v>
      </c>
      <c r="AX264" s="59" t="s">
        <v>691</v>
      </c>
      <c r="AY264" s="59" t="s">
        <v>7799</v>
      </c>
      <c r="AZ264" s="126" t="s">
        <v>3164</v>
      </c>
      <c r="BA264" s="60" t="s">
        <v>3165</v>
      </c>
      <c r="BB264" s="60" t="s">
        <v>845</v>
      </c>
      <c r="BC264" s="59" t="s">
        <v>700</v>
      </c>
      <c r="BD264" s="60"/>
      <c r="BE264" s="60"/>
      <c r="BF264" s="60"/>
      <c r="BG264" s="59" t="s">
        <v>1911</v>
      </c>
      <c r="BH264" s="60" t="s">
        <v>1161</v>
      </c>
      <c r="BI264" s="60" t="s">
        <v>2715</v>
      </c>
      <c r="BJ264" s="24" t="s">
        <v>2716</v>
      </c>
      <c r="BK264" s="59" t="s">
        <v>512</v>
      </c>
      <c r="BL264" s="59" t="s">
        <v>156</v>
      </c>
      <c r="BM264" s="24"/>
      <c r="BN264" s="24"/>
      <c r="BO264" s="59"/>
      <c r="BP264" s="59"/>
      <c r="BQ264" s="77"/>
      <c r="BR264" s="60"/>
      <c r="BS264" s="60"/>
      <c r="BT264" s="59"/>
      <c r="BU264" s="60"/>
      <c r="BV264" s="60"/>
      <c r="BW264" s="59"/>
      <c r="BX264" s="60"/>
      <c r="BY264" s="60"/>
      <c r="BZ264" s="59"/>
      <c r="CA264" s="59"/>
      <c r="CB264" s="59"/>
      <c r="CC264" s="59"/>
      <c r="CD264" s="59"/>
      <c r="CE264" s="59" t="s">
        <v>7448</v>
      </c>
      <c r="CF264" s="60" t="s">
        <v>1161</v>
      </c>
      <c r="CG264" s="59" t="s">
        <v>7191</v>
      </c>
      <c r="CH264" s="59" t="s">
        <v>7192</v>
      </c>
      <c r="CI264" s="59" t="s">
        <v>236</v>
      </c>
      <c r="CJ264" s="59" t="s">
        <v>111</v>
      </c>
      <c r="CK264" s="47"/>
      <c r="CL264" s="64" t="str">
        <f t="shared" ref="CL264:CL327" ca="1" si="4">DATEDIF(S264,NOW(),"Y")&amp;" Tahun " &amp;DATEDIF(S264,NOW(),"YM")&amp;" Bulan " &amp;DATEDIF(S264,NOW(),"MD")&amp;" Hari"</f>
        <v>16 Tahun 10 Bulan 0 Hari</v>
      </c>
      <c r="CM26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Kp.Pangauban RT/RW 01/07 Desa/Kelurahan Jangkurang Kecamatan Leles Garut Jawa Barat </v>
      </c>
    </row>
    <row r="265" spans="1:91" ht="24.95" customHeight="1">
      <c r="A265" s="58">
        <f>SUBTOTAL(3,N$8:Table2[[#This Row],[Nama lengkap]])</f>
        <v>258</v>
      </c>
      <c r="B265" s="58" t="s">
        <v>86</v>
      </c>
      <c r="C265" s="58">
        <v>2020</v>
      </c>
      <c r="D265" s="58"/>
      <c r="E265" s="58">
        <v>4</v>
      </c>
      <c r="F265" s="58" t="s">
        <v>2925</v>
      </c>
      <c r="G265" s="32" t="s">
        <v>2513</v>
      </c>
      <c r="H265" s="32" t="s">
        <v>2513</v>
      </c>
      <c r="I265" s="32" t="s">
        <v>2513</v>
      </c>
      <c r="J265" s="32"/>
      <c r="K265" s="32"/>
      <c r="L265" s="32"/>
      <c r="M265" s="58">
        <v>20210188</v>
      </c>
      <c r="N265" s="24" t="s">
        <v>8836</v>
      </c>
      <c r="O265" s="24"/>
      <c r="P265" s="25" t="s">
        <v>3167</v>
      </c>
      <c r="Q265" s="25" t="s">
        <v>3168</v>
      </c>
      <c r="R265" s="60" t="s">
        <v>122</v>
      </c>
      <c r="S265" s="61" t="s">
        <v>3169</v>
      </c>
      <c r="T265" s="47" t="s">
        <v>92</v>
      </c>
      <c r="U265" s="47">
        <v>5</v>
      </c>
      <c r="V265" s="47">
        <v>7</v>
      </c>
      <c r="W265" s="47" t="s">
        <v>207</v>
      </c>
      <c r="X265" s="59"/>
      <c r="Y265" s="59" t="s">
        <v>1385</v>
      </c>
      <c r="Z265" s="59" t="s">
        <v>1478</v>
      </c>
      <c r="AA265" s="59" t="s">
        <v>96</v>
      </c>
      <c r="AB265" s="59" t="s">
        <v>689</v>
      </c>
      <c r="AC265" s="59" t="s">
        <v>208</v>
      </c>
      <c r="AD265" s="59" t="s">
        <v>208</v>
      </c>
      <c r="AE265" s="60" t="s">
        <v>3170</v>
      </c>
      <c r="AF265" s="60" t="s">
        <v>8517</v>
      </c>
      <c r="AG265" s="59" t="s">
        <v>8517</v>
      </c>
      <c r="AH265" s="59" t="s">
        <v>691</v>
      </c>
      <c r="AI265" s="59" t="s">
        <v>90</v>
      </c>
      <c r="AJ265" s="61">
        <v>26645</v>
      </c>
      <c r="AK265" s="60" t="s">
        <v>3171</v>
      </c>
      <c r="AL265" s="60" t="s">
        <v>114</v>
      </c>
      <c r="AM265" s="59" t="s">
        <v>700</v>
      </c>
      <c r="AN265" s="60"/>
      <c r="AO265" s="60"/>
      <c r="AP265" s="59" t="s">
        <v>3172</v>
      </c>
      <c r="AQ265" s="25" t="s">
        <v>1356</v>
      </c>
      <c r="AR265" s="60" t="s">
        <v>1625</v>
      </c>
      <c r="AS265" s="59" t="s">
        <v>1626</v>
      </c>
      <c r="AT265" s="59" t="s">
        <v>2136</v>
      </c>
      <c r="AU265" s="59" t="s">
        <v>111</v>
      </c>
      <c r="AV265" s="62">
        <v>45364</v>
      </c>
      <c r="AW265" s="59" t="s">
        <v>8023</v>
      </c>
      <c r="AX265" s="59" t="s">
        <v>691</v>
      </c>
      <c r="AY265" s="59" t="s">
        <v>90</v>
      </c>
      <c r="AZ265" s="126" t="s">
        <v>3173</v>
      </c>
      <c r="BA265" s="60" t="s">
        <v>3174</v>
      </c>
      <c r="BB265" s="60" t="s">
        <v>845</v>
      </c>
      <c r="BC265" s="59" t="s">
        <v>693</v>
      </c>
      <c r="BD265" s="60"/>
      <c r="BE265" s="60"/>
      <c r="BF265" s="60"/>
      <c r="BG265" s="59" t="s">
        <v>3172</v>
      </c>
      <c r="BH265" s="60" t="s">
        <v>1356</v>
      </c>
      <c r="BI265" s="60" t="s">
        <v>1625</v>
      </c>
      <c r="BJ265" s="24" t="s">
        <v>1626</v>
      </c>
      <c r="BK265" s="59" t="s">
        <v>2136</v>
      </c>
      <c r="BL265" s="59" t="s">
        <v>156</v>
      </c>
      <c r="BM265" s="24">
        <v>45364</v>
      </c>
      <c r="BN265" s="24"/>
      <c r="BO265" s="59" t="s">
        <v>701</v>
      </c>
      <c r="BP265" s="59"/>
      <c r="BQ265" s="77"/>
      <c r="BR265" s="60"/>
      <c r="BS265" s="60"/>
      <c r="BT265" s="59"/>
      <c r="BU265" s="60"/>
      <c r="BV265" s="60"/>
      <c r="BW265" s="59"/>
      <c r="BX265" s="60"/>
      <c r="BY265" s="60"/>
      <c r="BZ265" s="59"/>
      <c r="CA265" s="59"/>
      <c r="CB265" s="59"/>
      <c r="CC265" s="59"/>
      <c r="CD265" s="59"/>
      <c r="CE265" s="59" t="s">
        <v>7549</v>
      </c>
      <c r="CF265" s="60" t="s">
        <v>1356</v>
      </c>
      <c r="CG265" s="59" t="s">
        <v>7097</v>
      </c>
      <c r="CH265" s="59" t="s">
        <v>1518</v>
      </c>
      <c r="CI265" s="59" t="s">
        <v>7144</v>
      </c>
      <c r="CJ265" s="59" t="s">
        <v>111</v>
      </c>
      <c r="CK265" s="47">
        <v>45364</v>
      </c>
      <c r="CL265" s="64" t="str">
        <f t="shared" ca="1" si="4"/>
        <v>18 Tahun 6 Bulan 14 Hari</v>
      </c>
      <c r="CM26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Cimande RT/RW 03/11 Desa/Kelurahan Sindangpakuon Kecamatan Cimanggung Sumedang  Jawa Barat 45364</v>
      </c>
    </row>
    <row r="266" spans="1:91" ht="24.95" customHeight="1">
      <c r="A266" s="58">
        <f>SUBTOTAL(3,N$8:Table2[[#This Row],[Nama lengkap]])</f>
        <v>259</v>
      </c>
      <c r="B266" s="58" t="s">
        <v>86</v>
      </c>
      <c r="C266" s="58">
        <v>2020</v>
      </c>
      <c r="D266" s="58"/>
      <c r="E266" s="58">
        <v>4</v>
      </c>
      <c r="F266" s="58" t="s">
        <v>2925</v>
      </c>
      <c r="G266" s="32" t="s">
        <v>2513</v>
      </c>
      <c r="H266" s="32" t="s">
        <v>2513</v>
      </c>
      <c r="I266" s="32" t="s">
        <v>2513</v>
      </c>
      <c r="J266" s="32"/>
      <c r="K266" s="32"/>
      <c r="L266" s="32"/>
      <c r="M266" s="58">
        <v>20210235</v>
      </c>
      <c r="N266" s="24" t="s">
        <v>8837</v>
      </c>
      <c r="O266" s="24"/>
      <c r="P266" s="25" t="s">
        <v>3175</v>
      </c>
      <c r="Q266" s="25" t="s">
        <v>3176</v>
      </c>
      <c r="R266" s="60" t="s">
        <v>122</v>
      </c>
      <c r="S266" s="61" t="s">
        <v>3177</v>
      </c>
      <c r="T266" s="47" t="s">
        <v>92</v>
      </c>
      <c r="U266" s="47">
        <v>1</v>
      </c>
      <c r="V266" s="47">
        <v>2</v>
      </c>
      <c r="W266" s="47" t="s">
        <v>207</v>
      </c>
      <c r="X266" s="59"/>
      <c r="Y266" s="59" t="s">
        <v>3178</v>
      </c>
      <c r="Z266" s="59" t="s">
        <v>1478</v>
      </c>
      <c r="AA266" s="59" t="s">
        <v>96</v>
      </c>
      <c r="AB266" s="59" t="s">
        <v>689</v>
      </c>
      <c r="AC266" s="59" t="s">
        <v>208</v>
      </c>
      <c r="AD266" s="59" t="s">
        <v>208</v>
      </c>
      <c r="AE266" s="60" t="s">
        <v>3179</v>
      </c>
      <c r="AF266" s="60" t="s">
        <v>8518</v>
      </c>
      <c r="AG266" s="59" t="s">
        <v>8518</v>
      </c>
      <c r="AH266" s="59" t="s">
        <v>691</v>
      </c>
      <c r="AI266" s="59" t="s">
        <v>122</v>
      </c>
      <c r="AJ266" s="61" t="s">
        <v>3180</v>
      </c>
      <c r="AK266" s="60" t="s">
        <v>3181</v>
      </c>
      <c r="AL266" s="60" t="s">
        <v>114</v>
      </c>
      <c r="AM266" s="59" t="s">
        <v>693</v>
      </c>
      <c r="AN266" s="60"/>
      <c r="AO266" s="60"/>
      <c r="AP266" s="59" t="s">
        <v>3182</v>
      </c>
      <c r="AQ266" s="25" t="s">
        <v>3183</v>
      </c>
      <c r="AR266" s="60" t="s">
        <v>2094</v>
      </c>
      <c r="AS266" s="59" t="s">
        <v>2094</v>
      </c>
      <c r="AT266" s="59" t="s">
        <v>1090</v>
      </c>
      <c r="AU266" s="59" t="s">
        <v>111</v>
      </c>
      <c r="AV266" s="62"/>
      <c r="AW266" s="59" t="s">
        <v>8024</v>
      </c>
      <c r="AX266" s="59" t="s">
        <v>691</v>
      </c>
      <c r="AY266" s="59" t="s">
        <v>122</v>
      </c>
      <c r="AZ266" s="126" t="s">
        <v>3184</v>
      </c>
      <c r="BA266" s="60" t="s">
        <v>3185</v>
      </c>
      <c r="BB266" s="60" t="s">
        <v>114</v>
      </c>
      <c r="BC266" s="59" t="s">
        <v>693</v>
      </c>
      <c r="BD266" s="60"/>
      <c r="BE266" s="60"/>
      <c r="BF266" s="60"/>
      <c r="BG266" s="59" t="s">
        <v>3182</v>
      </c>
      <c r="BH266" s="60" t="s">
        <v>3183</v>
      </c>
      <c r="BI266" s="60" t="s">
        <v>2094</v>
      </c>
      <c r="BJ266" s="24" t="s">
        <v>2094</v>
      </c>
      <c r="BK266" s="59" t="s">
        <v>1090</v>
      </c>
      <c r="BL266" s="59" t="s">
        <v>156</v>
      </c>
      <c r="BM266" s="24"/>
      <c r="BN266" s="24"/>
      <c r="BO266" s="59"/>
      <c r="BP266" s="59"/>
      <c r="BQ266" s="77"/>
      <c r="BR266" s="60"/>
      <c r="BS266" s="60"/>
      <c r="BT266" s="59"/>
      <c r="BU266" s="60"/>
      <c r="BV266" s="60"/>
      <c r="BW266" s="59"/>
      <c r="BX266" s="60"/>
      <c r="BY266" s="60"/>
      <c r="BZ266" s="59"/>
      <c r="CA266" s="59"/>
      <c r="CB266" s="59"/>
      <c r="CC266" s="59"/>
      <c r="CD266" s="59"/>
      <c r="CE266" s="59" t="s">
        <v>7550</v>
      </c>
      <c r="CF266" s="60" t="s">
        <v>3183</v>
      </c>
      <c r="CG266" s="59" t="s">
        <v>7140</v>
      </c>
      <c r="CH266" s="59" t="s">
        <v>7140</v>
      </c>
      <c r="CI266" s="59" t="s">
        <v>122</v>
      </c>
      <c r="CJ266" s="59" t="s">
        <v>111</v>
      </c>
      <c r="CK266" s="47"/>
      <c r="CL266" s="64" t="str">
        <f t="shared" ca="1" si="4"/>
        <v>17 Tahun 7 Bulan 7 Hari</v>
      </c>
      <c r="CM26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Rancakalong RT/RW 04/08 Desa/Kelurahan Rancakalong Kecamatan Rancakalong Sumedang Jawa Barat </v>
      </c>
    </row>
    <row r="267" spans="1:91" ht="24.95" customHeight="1">
      <c r="A267" s="58">
        <f>SUBTOTAL(3,N$8:Table2[[#This Row],[Nama lengkap]])</f>
        <v>260</v>
      </c>
      <c r="B267" s="58" t="s">
        <v>86</v>
      </c>
      <c r="C267" s="58">
        <v>2021</v>
      </c>
      <c r="D267" s="58"/>
      <c r="E267" s="58">
        <v>4</v>
      </c>
      <c r="F267" s="58" t="s">
        <v>2925</v>
      </c>
      <c r="G267" s="32" t="s">
        <v>2513</v>
      </c>
      <c r="H267" s="32" t="s">
        <v>2513</v>
      </c>
      <c r="I267" s="32" t="s">
        <v>2513</v>
      </c>
      <c r="J267" s="32"/>
      <c r="K267" s="32"/>
      <c r="L267" s="32"/>
      <c r="M267" s="58">
        <v>21220156</v>
      </c>
      <c r="N267" s="24" t="s">
        <v>6068</v>
      </c>
      <c r="O267" s="24"/>
      <c r="P267" s="25" t="s">
        <v>3186</v>
      </c>
      <c r="Q267" s="25" t="s">
        <v>3187</v>
      </c>
      <c r="R267" s="60" t="s">
        <v>122</v>
      </c>
      <c r="S267" s="61" t="s">
        <v>3188</v>
      </c>
      <c r="T267" s="47" t="s">
        <v>92</v>
      </c>
      <c r="U267" s="47">
        <v>2</v>
      </c>
      <c r="V267" s="47">
        <v>1</v>
      </c>
      <c r="W267" s="47" t="s">
        <v>207</v>
      </c>
      <c r="X267" s="59"/>
      <c r="Y267" s="59" t="s">
        <v>1610</v>
      </c>
      <c r="Z267" s="59" t="s">
        <v>986</v>
      </c>
      <c r="AA267" s="59" t="s">
        <v>96</v>
      </c>
      <c r="AB267" s="59" t="s">
        <v>689</v>
      </c>
      <c r="AC267" s="59" t="s">
        <v>208</v>
      </c>
      <c r="AD267" s="59" t="s">
        <v>208</v>
      </c>
      <c r="AE267" s="60" t="s">
        <v>3189</v>
      </c>
      <c r="AF267" s="60" t="s">
        <v>8519</v>
      </c>
      <c r="AG267" s="59" t="s">
        <v>8520</v>
      </c>
      <c r="AH267" s="59" t="s">
        <v>1071</v>
      </c>
      <c r="AI267" s="59" t="s">
        <v>122</v>
      </c>
      <c r="AJ267" s="61">
        <v>28643</v>
      </c>
      <c r="AK267" s="60" t="s">
        <v>3190</v>
      </c>
      <c r="AL267" s="60" t="s">
        <v>114</v>
      </c>
      <c r="AM267" s="59" t="s">
        <v>693</v>
      </c>
      <c r="AN267" s="60"/>
      <c r="AO267" s="60"/>
      <c r="AP267" s="59" t="s">
        <v>3191</v>
      </c>
      <c r="AQ267" s="25" t="s">
        <v>132</v>
      </c>
      <c r="AR267" s="60" t="s">
        <v>3192</v>
      </c>
      <c r="AS267" s="59" t="s">
        <v>2294</v>
      </c>
      <c r="AT267" s="59" t="s">
        <v>2136</v>
      </c>
      <c r="AU267" s="59" t="s">
        <v>111</v>
      </c>
      <c r="AV267" s="62"/>
      <c r="AW267" s="59" t="s">
        <v>8025</v>
      </c>
      <c r="AX267" s="59" t="s">
        <v>691</v>
      </c>
      <c r="AY267" s="59" t="s">
        <v>122</v>
      </c>
      <c r="AZ267" s="126">
        <v>33817</v>
      </c>
      <c r="BA267" s="60" t="s">
        <v>3193</v>
      </c>
      <c r="BB267" s="60" t="s">
        <v>845</v>
      </c>
      <c r="BC267" s="59" t="s">
        <v>700</v>
      </c>
      <c r="BD267" s="60"/>
      <c r="BE267" s="60"/>
      <c r="BF267" s="60"/>
      <c r="BG267" s="59" t="s">
        <v>3191</v>
      </c>
      <c r="BH267" s="60" t="s">
        <v>132</v>
      </c>
      <c r="BI267" s="60" t="s">
        <v>3192</v>
      </c>
      <c r="BJ267" s="24" t="s">
        <v>2294</v>
      </c>
      <c r="BK267" s="59" t="s">
        <v>2136</v>
      </c>
      <c r="BL267" s="59" t="s">
        <v>156</v>
      </c>
      <c r="BM267" s="24"/>
      <c r="BN267" s="24"/>
      <c r="BO267" s="59"/>
      <c r="BP267" s="59"/>
      <c r="BQ267" s="77"/>
      <c r="BR267" s="60"/>
      <c r="BS267" s="60"/>
      <c r="BT267" s="59"/>
      <c r="BU267" s="60"/>
      <c r="BV267" s="60"/>
      <c r="BW267" s="59"/>
      <c r="BX267" s="60"/>
      <c r="BY267" s="60"/>
      <c r="BZ267" s="59"/>
      <c r="CA267" s="59"/>
      <c r="CB267" s="59"/>
      <c r="CC267" s="59"/>
      <c r="CD267" s="59"/>
      <c r="CE267" s="59" t="s">
        <v>7551</v>
      </c>
      <c r="CF267" s="60" t="s">
        <v>132</v>
      </c>
      <c r="CG267" s="59" t="s">
        <v>7219</v>
      </c>
      <c r="CH267" s="59" t="s">
        <v>593</v>
      </c>
      <c r="CI267" s="59" t="s">
        <v>7144</v>
      </c>
      <c r="CJ267" s="59" t="s">
        <v>111</v>
      </c>
      <c r="CK267" s="47"/>
      <c r="CL267" s="64" t="str">
        <f t="shared" ca="1" si="4"/>
        <v>17 Tahun 2 Bulan 5 Hari</v>
      </c>
      <c r="CM26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Dsn. Pangkalan RT/RW 01/10 Desa/Kelurahan Marga Jaya Kecamatan Tanjungsari Sumedang  Jawa Barat </v>
      </c>
    </row>
    <row r="268" spans="1:91" ht="24.95" customHeight="1">
      <c r="A268" s="58">
        <f>SUBTOTAL(3,N$8:Table2[[#This Row],[Nama lengkap]])</f>
        <v>261</v>
      </c>
      <c r="B268" s="58" t="s">
        <v>86</v>
      </c>
      <c r="C268" s="58">
        <v>2021</v>
      </c>
      <c r="D268" s="58"/>
      <c r="E268" s="58">
        <v>4</v>
      </c>
      <c r="F268" s="58" t="s">
        <v>2925</v>
      </c>
      <c r="G268" s="32" t="s">
        <v>2513</v>
      </c>
      <c r="H268" s="32" t="s">
        <v>2513</v>
      </c>
      <c r="I268" s="32" t="s">
        <v>2513</v>
      </c>
      <c r="J268" s="32"/>
      <c r="K268" s="32"/>
      <c r="L268" s="32"/>
      <c r="M268" s="58">
        <v>21220149</v>
      </c>
      <c r="N268" s="24" t="s">
        <v>8838</v>
      </c>
      <c r="O268" s="24"/>
      <c r="P268" s="25" t="s">
        <v>3194</v>
      </c>
      <c r="Q268" s="25" t="s">
        <v>3195</v>
      </c>
      <c r="R268" s="60" t="s">
        <v>6472</v>
      </c>
      <c r="S268" s="61" t="s">
        <v>3196</v>
      </c>
      <c r="T268" s="47" t="s">
        <v>92</v>
      </c>
      <c r="U268" s="47">
        <v>1</v>
      </c>
      <c r="V268" s="47">
        <v>1</v>
      </c>
      <c r="W268" s="47" t="s">
        <v>207</v>
      </c>
      <c r="X268" s="59"/>
      <c r="Y268" s="59" t="s">
        <v>1385</v>
      </c>
      <c r="Z268" s="59" t="s">
        <v>986</v>
      </c>
      <c r="AA268" s="59" t="s">
        <v>96</v>
      </c>
      <c r="AB268" s="59" t="s">
        <v>689</v>
      </c>
      <c r="AC268" s="59" t="s">
        <v>208</v>
      </c>
      <c r="AD268" s="59" t="s">
        <v>208</v>
      </c>
      <c r="AE268" s="60" t="s">
        <v>3197</v>
      </c>
      <c r="AF268" s="60" t="s">
        <v>8521</v>
      </c>
      <c r="AG268" s="59" t="s">
        <v>8521</v>
      </c>
      <c r="AH268" s="59" t="s">
        <v>691</v>
      </c>
      <c r="AI268" s="59" t="s">
        <v>6472</v>
      </c>
      <c r="AJ268" s="61" t="s">
        <v>3198</v>
      </c>
      <c r="AK268" s="60" t="s">
        <v>3199</v>
      </c>
      <c r="AL268" s="60" t="s">
        <v>224</v>
      </c>
      <c r="AM268" s="59" t="s">
        <v>693</v>
      </c>
      <c r="AN268" s="60"/>
      <c r="AO268" s="60"/>
      <c r="AP268" s="59" t="s">
        <v>3200</v>
      </c>
      <c r="AQ268" s="25" t="s">
        <v>3201</v>
      </c>
      <c r="AR268" s="60" t="s">
        <v>3202</v>
      </c>
      <c r="AS268" s="59" t="s">
        <v>3203</v>
      </c>
      <c r="AT268" s="59" t="s">
        <v>651</v>
      </c>
      <c r="AU268" s="59" t="s">
        <v>111</v>
      </c>
      <c r="AV268" s="62">
        <v>45462</v>
      </c>
      <c r="AW268" s="59" t="s">
        <v>8026</v>
      </c>
      <c r="AX268" s="59" t="s">
        <v>691</v>
      </c>
      <c r="AY268" s="59" t="s">
        <v>6472</v>
      </c>
      <c r="AZ268" s="126">
        <v>31661</v>
      </c>
      <c r="BA268" s="60" t="s">
        <v>3204</v>
      </c>
      <c r="BB268" s="60" t="s">
        <v>845</v>
      </c>
      <c r="BC268" s="59" t="s">
        <v>693</v>
      </c>
      <c r="BD268" s="60"/>
      <c r="BE268" s="60"/>
      <c r="BF268" s="60"/>
      <c r="BG268" s="59" t="s">
        <v>3200</v>
      </c>
      <c r="BH268" s="60" t="s">
        <v>3201</v>
      </c>
      <c r="BI268" s="60" t="s">
        <v>3202</v>
      </c>
      <c r="BJ268" s="24" t="s">
        <v>3203</v>
      </c>
      <c r="BK268" s="59" t="s">
        <v>651</v>
      </c>
      <c r="BL268" s="59" t="s">
        <v>156</v>
      </c>
      <c r="BM268" s="24">
        <v>45462</v>
      </c>
      <c r="BN268" s="24"/>
      <c r="BO268" s="59" t="s">
        <v>701</v>
      </c>
      <c r="BP268" s="59"/>
      <c r="BQ268" s="77"/>
      <c r="BR268" s="60"/>
      <c r="BS268" s="60"/>
      <c r="BT268" s="59"/>
      <c r="BU268" s="60"/>
      <c r="BV268" s="60"/>
      <c r="BW268" s="59"/>
      <c r="BX268" s="60"/>
      <c r="BY268" s="60"/>
      <c r="BZ268" s="59"/>
      <c r="CA268" s="59"/>
      <c r="CB268" s="59"/>
      <c r="CC268" s="59"/>
      <c r="CD268" s="59"/>
      <c r="CE268" s="59" t="s">
        <v>7552</v>
      </c>
      <c r="CF268" s="60" t="s">
        <v>3201</v>
      </c>
      <c r="CG268" s="59" t="s">
        <v>7220</v>
      </c>
      <c r="CH268" s="59" t="s">
        <v>7221</v>
      </c>
      <c r="CI268" s="59" t="s">
        <v>6472</v>
      </c>
      <c r="CJ268" s="59" t="s">
        <v>111</v>
      </c>
      <c r="CK268" s="47">
        <v>45462</v>
      </c>
      <c r="CL268" s="64" t="str">
        <f t="shared" ca="1" si="4"/>
        <v>18 Tahun 1 Bulan 3 Hari</v>
      </c>
      <c r="CM26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Blok Palasari RT/RW 24/12 Desa/Kelurahan Sukasari Kidul Kecamatan Argapura Majalengka Jawa Barat 45462</v>
      </c>
    </row>
    <row r="269" spans="1:91" ht="24.95" customHeight="1">
      <c r="A269" s="58">
        <f>SUBTOTAL(3,N$8:Table2[[#This Row],[Nama lengkap]])</f>
        <v>262</v>
      </c>
      <c r="B269" s="89" t="s">
        <v>86</v>
      </c>
      <c r="C269" s="89">
        <v>2025</v>
      </c>
      <c r="D269" s="89"/>
      <c r="E269" s="89">
        <v>4</v>
      </c>
      <c r="F269" s="89" t="s">
        <v>2925</v>
      </c>
      <c r="G269" s="166" t="s">
        <v>8938</v>
      </c>
      <c r="H269" s="32"/>
      <c r="I269" s="90"/>
      <c r="J269" s="90"/>
      <c r="K269" s="90"/>
      <c r="L269" s="90"/>
      <c r="M269" s="89">
        <v>25260143</v>
      </c>
      <c r="N269" s="91" t="s">
        <v>6988</v>
      </c>
      <c r="O269" s="91"/>
      <c r="P269" s="32" t="s">
        <v>9937</v>
      </c>
      <c r="Q269" s="90" t="s">
        <v>6989</v>
      </c>
      <c r="R269" s="90" t="s">
        <v>90</v>
      </c>
      <c r="S269" s="101" t="s">
        <v>1873</v>
      </c>
      <c r="T269" s="47" t="s">
        <v>92</v>
      </c>
      <c r="U269" s="89">
        <v>1</v>
      </c>
      <c r="V269" s="89"/>
      <c r="W269" s="47" t="s">
        <v>207</v>
      </c>
      <c r="X269" s="92"/>
      <c r="Y269" s="92"/>
      <c r="Z269" s="92"/>
      <c r="AA269" s="92"/>
      <c r="AB269" s="92"/>
      <c r="AC269" s="92"/>
      <c r="AD269" s="92"/>
      <c r="AE269" s="93" t="s">
        <v>6990</v>
      </c>
      <c r="AF269" s="93" t="s">
        <v>6991</v>
      </c>
      <c r="AG269" s="92" t="s">
        <v>6991</v>
      </c>
      <c r="AH269" s="92" t="s">
        <v>101</v>
      </c>
      <c r="AI269" s="92" t="s">
        <v>90</v>
      </c>
      <c r="AJ269" s="101">
        <v>31123</v>
      </c>
      <c r="AK269" s="93" t="s">
        <v>6992</v>
      </c>
      <c r="AL269" s="93" t="s">
        <v>114</v>
      </c>
      <c r="AM269" s="92" t="s">
        <v>800</v>
      </c>
      <c r="AN269" s="93"/>
      <c r="AO269" s="93"/>
      <c r="AP269" s="92" t="s">
        <v>6993</v>
      </c>
      <c r="AQ269" s="90" t="s">
        <v>2349</v>
      </c>
      <c r="AR269" s="93" t="s">
        <v>6994</v>
      </c>
      <c r="AS269" s="92" t="s">
        <v>6995</v>
      </c>
      <c r="AT269" s="92" t="s">
        <v>644</v>
      </c>
      <c r="AU269" s="92" t="s">
        <v>111</v>
      </c>
      <c r="AV269" s="92">
        <v>40236</v>
      </c>
      <c r="AW269" s="92" t="s">
        <v>6996</v>
      </c>
      <c r="AX269" s="92" t="s">
        <v>101</v>
      </c>
      <c r="AY269" s="92" t="s">
        <v>90</v>
      </c>
      <c r="AZ269" s="127">
        <v>32182</v>
      </c>
      <c r="BA269" s="93" t="s">
        <v>6997</v>
      </c>
      <c r="BB269" s="93" t="s">
        <v>180</v>
      </c>
      <c r="BC269" s="92" t="s">
        <v>6437</v>
      </c>
      <c r="BD269" s="93"/>
      <c r="BE269" s="93"/>
      <c r="BF269" s="67"/>
      <c r="BG269" s="92" t="s">
        <v>6993</v>
      </c>
      <c r="BH269" s="93" t="s">
        <v>2349</v>
      </c>
      <c r="BI269" s="93" t="s">
        <v>6994</v>
      </c>
      <c r="BJ269" s="91" t="s">
        <v>6995</v>
      </c>
      <c r="BK269" s="92" t="s">
        <v>644</v>
      </c>
      <c r="BL269" s="92" t="s">
        <v>111</v>
      </c>
      <c r="BM269" s="92">
        <v>40236</v>
      </c>
      <c r="BN269" s="64"/>
      <c r="BO269" s="92"/>
      <c r="BP269" s="92"/>
      <c r="BQ269" s="136"/>
      <c r="BR269" s="93"/>
      <c r="BS269" s="93"/>
      <c r="BT269" s="92"/>
      <c r="BU269" s="93"/>
      <c r="BV269" s="93"/>
      <c r="BW269" s="92"/>
      <c r="BX269" s="93"/>
      <c r="BY269" s="93"/>
      <c r="BZ269" s="92"/>
      <c r="CA269" s="92"/>
      <c r="CB269" s="92"/>
      <c r="CC269" s="92"/>
      <c r="CD269" s="92"/>
      <c r="CE269" s="64" t="s">
        <v>6993</v>
      </c>
      <c r="CF269" s="67" t="s">
        <v>2349</v>
      </c>
      <c r="CG269" s="64" t="s">
        <v>6994</v>
      </c>
      <c r="CH269" s="92" t="s">
        <v>6995</v>
      </c>
      <c r="CI269" s="92" t="s">
        <v>644</v>
      </c>
      <c r="CJ269" s="92" t="s">
        <v>111</v>
      </c>
      <c r="CK269" s="89">
        <v>40236</v>
      </c>
      <c r="CL269" s="64" t="str">
        <f t="shared" ca="1" si="4"/>
        <v>17 Tahun 10 Bulan 11 Hari</v>
      </c>
      <c r="CM26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Cibaduyut Blok Pesantren RT/RW 003/001 Desa/Kelurahan Cibaduyut Kecamatan Bojongloa Kaler Kota Bandung Jawa Barat 40236</v>
      </c>
    </row>
    <row r="270" spans="1:91" ht="24.95" customHeight="1">
      <c r="A270" s="58">
        <f>SUBTOTAL(3,N$8:Table2[[#This Row],[Nama lengkap]])</f>
        <v>263</v>
      </c>
      <c r="B270" s="58" t="s">
        <v>86</v>
      </c>
      <c r="C270" s="58">
        <v>2021</v>
      </c>
      <c r="D270" s="58"/>
      <c r="E270" s="58">
        <v>4</v>
      </c>
      <c r="F270" s="58" t="s">
        <v>2925</v>
      </c>
      <c r="G270" s="32" t="s">
        <v>2513</v>
      </c>
      <c r="H270" s="32" t="s">
        <v>2513</v>
      </c>
      <c r="I270" s="32" t="s">
        <v>2513</v>
      </c>
      <c r="J270" s="32"/>
      <c r="K270" s="32"/>
      <c r="L270" s="32"/>
      <c r="M270" s="58">
        <v>21220166</v>
      </c>
      <c r="N270" s="24" t="s">
        <v>6070</v>
      </c>
      <c r="O270" s="24"/>
      <c r="P270" s="25" t="s">
        <v>3205</v>
      </c>
      <c r="Q270" s="25" t="s">
        <v>3206</v>
      </c>
      <c r="R270" s="60" t="s">
        <v>90</v>
      </c>
      <c r="S270" s="61" t="s">
        <v>3207</v>
      </c>
      <c r="T270" s="47" t="s">
        <v>92</v>
      </c>
      <c r="U270" s="47">
        <v>2</v>
      </c>
      <c r="V270" s="47">
        <v>2</v>
      </c>
      <c r="W270" s="47" t="s">
        <v>207</v>
      </c>
      <c r="X270" s="59"/>
      <c r="Y270" s="59" t="s">
        <v>1375</v>
      </c>
      <c r="Z270" s="59" t="s">
        <v>1478</v>
      </c>
      <c r="AA270" s="59" t="s">
        <v>96</v>
      </c>
      <c r="AB270" s="59" t="s">
        <v>689</v>
      </c>
      <c r="AC270" s="59" t="s">
        <v>208</v>
      </c>
      <c r="AD270" s="59" t="s">
        <v>208</v>
      </c>
      <c r="AE270" s="60" t="s">
        <v>3208</v>
      </c>
      <c r="AF270" s="60" t="s">
        <v>6424</v>
      </c>
      <c r="AG270" s="59" t="s">
        <v>6424</v>
      </c>
      <c r="AH270" s="59" t="s">
        <v>691</v>
      </c>
      <c r="AI270" s="59" t="s">
        <v>90</v>
      </c>
      <c r="AJ270" s="61" t="s">
        <v>3209</v>
      </c>
      <c r="AK270" s="60" t="s">
        <v>3210</v>
      </c>
      <c r="AL270" s="60" t="s">
        <v>8254</v>
      </c>
      <c r="AM270" s="59" t="s">
        <v>1820</v>
      </c>
      <c r="AN270" s="60"/>
      <c r="AO270" s="60"/>
      <c r="AP270" s="59" t="s">
        <v>3211</v>
      </c>
      <c r="AQ270" s="25" t="s">
        <v>1459</v>
      </c>
      <c r="AR270" s="60" t="s">
        <v>3155</v>
      </c>
      <c r="AS270" s="59" t="s">
        <v>1019</v>
      </c>
      <c r="AT270" s="59" t="s">
        <v>141</v>
      </c>
      <c r="AU270" s="59" t="s">
        <v>111</v>
      </c>
      <c r="AV270" s="62"/>
      <c r="AW270" s="59" t="s">
        <v>8027</v>
      </c>
      <c r="AX270" s="59" t="s">
        <v>691</v>
      </c>
      <c r="AY270" s="59" t="s">
        <v>90</v>
      </c>
      <c r="AZ270" s="126" t="s">
        <v>3212</v>
      </c>
      <c r="BA270" s="60" t="s">
        <v>3213</v>
      </c>
      <c r="BB270" s="60" t="s">
        <v>7774</v>
      </c>
      <c r="BC270" s="59" t="s">
        <v>1728</v>
      </c>
      <c r="BD270" s="60"/>
      <c r="BE270" s="60"/>
      <c r="BF270" s="60"/>
      <c r="BG270" s="59" t="s">
        <v>3211</v>
      </c>
      <c r="BH270" s="60" t="s">
        <v>1459</v>
      </c>
      <c r="BI270" s="60" t="s">
        <v>3155</v>
      </c>
      <c r="BJ270" s="24" t="s">
        <v>1019</v>
      </c>
      <c r="BK270" s="59" t="s">
        <v>141</v>
      </c>
      <c r="BL270" s="59" t="s">
        <v>156</v>
      </c>
      <c r="BM270" s="24"/>
      <c r="BN270" s="24"/>
      <c r="BO270" s="59"/>
      <c r="BP270" s="59"/>
      <c r="BQ270" s="77"/>
      <c r="BR270" s="60"/>
      <c r="BS270" s="60"/>
      <c r="BT270" s="59"/>
      <c r="BU270" s="60"/>
      <c r="BV270" s="60"/>
      <c r="BW270" s="59"/>
      <c r="BX270" s="60"/>
      <c r="BY270" s="60"/>
      <c r="BZ270" s="59"/>
      <c r="CA270" s="59"/>
      <c r="CB270" s="59"/>
      <c r="CC270" s="59"/>
      <c r="CD270" s="59"/>
      <c r="CE270" s="59" t="s">
        <v>7553</v>
      </c>
      <c r="CF270" s="60" t="s">
        <v>1459</v>
      </c>
      <c r="CG270" s="59" t="s">
        <v>7007</v>
      </c>
      <c r="CH270" s="59" t="s">
        <v>6967</v>
      </c>
      <c r="CI270" s="59" t="s">
        <v>90</v>
      </c>
      <c r="CJ270" s="59" t="s">
        <v>111</v>
      </c>
      <c r="CK270" s="47"/>
      <c r="CL270" s="64" t="str">
        <f t="shared" ca="1" si="4"/>
        <v>16 Tahun 1 Bulan 4 Hari</v>
      </c>
      <c r="CM27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Kmp.Ciharuman RT/RW 01/11 Desa/Kelurahan Jelegong Kecamatan Kutawaringin Bandung Jawa Barat </v>
      </c>
    </row>
    <row r="271" spans="1:91" ht="24.95" customHeight="1">
      <c r="A271" s="58">
        <f>SUBTOTAL(3,N$8:Table2[[#This Row],[Nama lengkap]])</f>
        <v>264</v>
      </c>
      <c r="B271" s="58" t="s">
        <v>86</v>
      </c>
      <c r="C271" s="58">
        <v>2020</v>
      </c>
      <c r="D271" s="58"/>
      <c r="E271" s="58">
        <v>4</v>
      </c>
      <c r="F271" s="58" t="s">
        <v>2925</v>
      </c>
      <c r="G271" s="32" t="s">
        <v>2513</v>
      </c>
      <c r="H271" s="32" t="s">
        <v>2513</v>
      </c>
      <c r="I271" s="32" t="s">
        <v>2513</v>
      </c>
      <c r="J271" s="32"/>
      <c r="K271" s="32"/>
      <c r="L271" s="32"/>
      <c r="M271" s="58">
        <v>20210158</v>
      </c>
      <c r="N271" s="24" t="s">
        <v>8839</v>
      </c>
      <c r="O271" s="24"/>
      <c r="P271" s="25" t="s">
        <v>3214</v>
      </c>
      <c r="Q271" s="25" t="s">
        <v>3215</v>
      </c>
      <c r="R271" s="60" t="s">
        <v>90</v>
      </c>
      <c r="S271" s="61" t="s">
        <v>3216</v>
      </c>
      <c r="T271" s="47" t="s">
        <v>92</v>
      </c>
      <c r="U271" s="47">
        <v>2</v>
      </c>
      <c r="V271" s="47">
        <v>1</v>
      </c>
      <c r="W271" s="47" t="s">
        <v>207</v>
      </c>
      <c r="X271" s="59"/>
      <c r="Y271" s="59" t="s">
        <v>1012</v>
      </c>
      <c r="Z271" s="59" t="s">
        <v>3217</v>
      </c>
      <c r="AA271" s="59" t="s">
        <v>96</v>
      </c>
      <c r="AB271" s="59" t="s">
        <v>689</v>
      </c>
      <c r="AC271" s="59" t="s">
        <v>208</v>
      </c>
      <c r="AD271" s="59" t="s">
        <v>208</v>
      </c>
      <c r="AE271" s="60" t="s">
        <v>3218</v>
      </c>
      <c r="AF271" s="60" t="s">
        <v>8522</v>
      </c>
      <c r="AG271" s="59" t="s">
        <v>8522</v>
      </c>
      <c r="AH271" s="59" t="s">
        <v>691</v>
      </c>
      <c r="AI271" s="59" t="s">
        <v>90</v>
      </c>
      <c r="AJ271" s="61">
        <v>28491</v>
      </c>
      <c r="AK271" s="60" t="s">
        <v>3219</v>
      </c>
      <c r="AL271" s="60" t="s">
        <v>289</v>
      </c>
      <c r="AM271" s="59" t="s">
        <v>800</v>
      </c>
      <c r="AN271" s="60"/>
      <c r="AO271" s="60"/>
      <c r="AP271" s="59" t="s">
        <v>2489</v>
      </c>
      <c r="AQ271" s="25" t="s">
        <v>2714</v>
      </c>
      <c r="AR271" s="60" t="s">
        <v>153</v>
      </c>
      <c r="AS271" s="59" t="s">
        <v>154</v>
      </c>
      <c r="AT271" s="59" t="s">
        <v>163</v>
      </c>
      <c r="AU271" s="59" t="s">
        <v>111</v>
      </c>
      <c r="AV271" s="62"/>
      <c r="AW271" s="59" t="s">
        <v>8028</v>
      </c>
      <c r="AX271" s="59" t="s">
        <v>101</v>
      </c>
      <c r="AY271" s="59" t="s">
        <v>90</v>
      </c>
      <c r="AZ271" s="126" t="s">
        <v>3220</v>
      </c>
      <c r="BA271" s="60" t="s">
        <v>3221</v>
      </c>
      <c r="BB271" s="60" t="s">
        <v>845</v>
      </c>
      <c r="BC271" s="59" t="s">
        <v>800</v>
      </c>
      <c r="BD271" s="60"/>
      <c r="BE271" s="60"/>
      <c r="BF271" s="60"/>
      <c r="BG271" s="59" t="s">
        <v>2489</v>
      </c>
      <c r="BH271" s="60" t="s">
        <v>2714</v>
      </c>
      <c r="BI271" s="60" t="s">
        <v>153</v>
      </c>
      <c r="BJ271" s="24" t="s">
        <v>154</v>
      </c>
      <c r="BK271" s="59" t="s">
        <v>163</v>
      </c>
      <c r="BL271" s="59" t="s">
        <v>156</v>
      </c>
      <c r="BM271" s="24"/>
      <c r="BN271" s="24"/>
      <c r="BO271" s="59"/>
      <c r="BP271" s="59"/>
      <c r="BQ271" s="77"/>
      <c r="BR271" s="60"/>
      <c r="BS271" s="60"/>
      <c r="BT271" s="59"/>
      <c r="BU271" s="60"/>
      <c r="BV271" s="60"/>
      <c r="BW271" s="59"/>
      <c r="BX271" s="60"/>
      <c r="BY271" s="60"/>
      <c r="BZ271" s="59"/>
      <c r="CA271" s="59"/>
      <c r="CB271" s="59"/>
      <c r="CC271" s="59"/>
      <c r="CD271" s="59"/>
      <c r="CE271" s="59" t="s">
        <v>7554</v>
      </c>
      <c r="CF271" s="60" t="s">
        <v>2714</v>
      </c>
      <c r="CG271" s="59" t="s">
        <v>7009</v>
      </c>
      <c r="CH271" s="59" t="s">
        <v>5244</v>
      </c>
      <c r="CI271" s="59" t="s">
        <v>155</v>
      </c>
      <c r="CJ271" s="59" t="s">
        <v>111</v>
      </c>
      <c r="CK271" s="47"/>
      <c r="CL271" s="64" t="str">
        <f t="shared" ca="1" si="4"/>
        <v>17 Tahun 1 Bulan 26 Hari</v>
      </c>
      <c r="CM27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Kp.Pamecelan RT/RW 01/05 Desa/Kelurahan Sukajaya Kecamatan Lembang Bandung Barat Jawa Barat </v>
      </c>
    </row>
    <row r="272" spans="1:91" ht="24.95" customHeight="1">
      <c r="A272" s="58">
        <f>SUBTOTAL(3,N$8:Table2[[#This Row],[Nama lengkap]])</f>
        <v>265</v>
      </c>
      <c r="B272" s="58" t="s">
        <v>86</v>
      </c>
      <c r="C272" s="58">
        <v>2021</v>
      </c>
      <c r="D272" s="58"/>
      <c r="E272" s="58">
        <v>4</v>
      </c>
      <c r="F272" s="58" t="s">
        <v>2925</v>
      </c>
      <c r="G272" s="165" t="s">
        <v>2602</v>
      </c>
      <c r="H272" s="25"/>
      <c r="I272" s="25"/>
      <c r="J272" s="32"/>
      <c r="K272" s="32"/>
      <c r="L272" s="32"/>
      <c r="M272" s="58">
        <v>21220070</v>
      </c>
      <c r="N272" s="24" t="s">
        <v>6072</v>
      </c>
      <c r="O272" s="24"/>
      <c r="P272" s="25" t="s">
        <v>2885</v>
      </c>
      <c r="Q272" s="25" t="s">
        <v>3222</v>
      </c>
      <c r="R272" s="60" t="s">
        <v>122</v>
      </c>
      <c r="S272" s="61" t="s">
        <v>3223</v>
      </c>
      <c r="T272" s="47" t="s">
        <v>92</v>
      </c>
      <c r="U272" s="47">
        <v>2</v>
      </c>
      <c r="V272" s="47">
        <v>3</v>
      </c>
      <c r="W272" s="47" t="s">
        <v>207</v>
      </c>
      <c r="X272" s="59"/>
      <c r="Y272" s="59" t="s">
        <v>1092</v>
      </c>
      <c r="Z272" s="59" t="s">
        <v>986</v>
      </c>
      <c r="AA272" s="59" t="s">
        <v>3224</v>
      </c>
      <c r="AB272" s="59" t="s">
        <v>689</v>
      </c>
      <c r="AC272" s="59" t="s">
        <v>208</v>
      </c>
      <c r="AD272" s="59" t="s">
        <v>208</v>
      </c>
      <c r="AE272" s="60" t="s">
        <v>3225</v>
      </c>
      <c r="AF272" s="60" t="s">
        <v>8523</v>
      </c>
      <c r="AG272" s="59" t="s">
        <v>8523</v>
      </c>
      <c r="AH272" s="59" t="s">
        <v>691</v>
      </c>
      <c r="AI272" s="59" t="s">
        <v>6839</v>
      </c>
      <c r="AJ272" s="61">
        <v>29742</v>
      </c>
      <c r="AK272" s="60" t="s">
        <v>3226</v>
      </c>
      <c r="AL272" s="60" t="s">
        <v>914</v>
      </c>
      <c r="AM272" s="59" t="s">
        <v>800</v>
      </c>
      <c r="AN272" s="60"/>
      <c r="AO272" s="60"/>
      <c r="AP272" s="59" t="s">
        <v>3227</v>
      </c>
      <c r="AQ272" s="25" t="s">
        <v>3228</v>
      </c>
      <c r="AR272" s="60" t="s">
        <v>1323</v>
      </c>
      <c r="AS272" s="59" t="s">
        <v>1324</v>
      </c>
      <c r="AT272" s="59" t="s">
        <v>2136</v>
      </c>
      <c r="AU272" s="59" t="s">
        <v>111</v>
      </c>
      <c r="AV272" s="62"/>
      <c r="AW272" s="59" t="s">
        <v>8029</v>
      </c>
      <c r="AX272" s="59" t="s">
        <v>1071</v>
      </c>
      <c r="AY272" s="59"/>
      <c r="AZ272" s="126"/>
      <c r="BA272" s="60"/>
      <c r="BB272" s="60"/>
      <c r="BC272" s="59"/>
      <c r="BD272" s="60"/>
      <c r="BE272" s="60"/>
      <c r="BF272" s="60"/>
      <c r="BG272" s="59"/>
      <c r="BH272" s="60"/>
      <c r="BI272" s="60"/>
      <c r="BJ272" s="24"/>
      <c r="BK272" s="59"/>
      <c r="BL272" s="59"/>
      <c r="BM272" s="24"/>
      <c r="BN272" s="24"/>
      <c r="BO272" s="59"/>
      <c r="BP272" s="59"/>
      <c r="BQ272" s="77"/>
      <c r="BR272" s="60"/>
      <c r="BS272" s="60"/>
      <c r="BT272" s="59"/>
      <c r="BU272" s="60"/>
      <c r="BV272" s="60"/>
      <c r="BW272" s="59"/>
      <c r="BX272" s="60"/>
      <c r="BY272" s="60"/>
      <c r="BZ272" s="59"/>
      <c r="CA272" s="59"/>
      <c r="CB272" s="59"/>
      <c r="CC272" s="59"/>
      <c r="CD272" s="59"/>
      <c r="CE272" s="59" t="s">
        <v>7555</v>
      </c>
      <c r="CF272" s="60" t="s">
        <v>3228</v>
      </c>
      <c r="CG272" s="59" t="s">
        <v>7067</v>
      </c>
      <c r="CH272" s="59" t="s">
        <v>134</v>
      </c>
      <c r="CI272" s="59" t="s">
        <v>7144</v>
      </c>
      <c r="CJ272" s="59" t="s">
        <v>111</v>
      </c>
      <c r="CK272" s="47"/>
      <c r="CL272" s="64" t="str">
        <f t="shared" ca="1" si="4"/>
        <v>15 Tahun 0 Bulan 21 Hari</v>
      </c>
      <c r="CM27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Cipadung No.10 RT/RW 04/14 Desa/Kelurahan Kotakaler Kecamatan Sumedang Utara Sumedang  Jawa Barat </v>
      </c>
    </row>
    <row r="273" spans="1:91" ht="24.95" customHeight="1">
      <c r="A273" s="58">
        <f>SUBTOTAL(3,N$8:Table2[[#This Row],[Nama lengkap]])</f>
        <v>266</v>
      </c>
      <c r="B273" s="58" t="s">
        <v>86</v>
      </c>
      <c r="C273" s="58">
        <v>2020</v>
      </c>
      <c r="D273" s="58" t="s">
        <v>8936</v>
      </c>
      <c r="E273" s="58">
        <v>4</v>
      </c>
      <c r="F273" s="58" t="s">
        <v>2925</v>
      </c>
      <c r="G273" s="32" t="s">
        <v>2513</v>
      </c>
      <c r="H273" s="32" t="s">
        <v>2513</v>
      </c>
      <c r="I273" s="32" t="s">
        <v>2513</v>
      </c>
      <c r="J273" s="32"/>
      <c r="K273" s="32"/>
      <c r="L273" s="32"/>
      <c r="M273" s="58">
        <v>20210141</v>
      </c>
      <c r="N273" s="24" t="s">
        <v>6073</v>
      </c>
      <c r="O273" s="24"/>
      <c r="P273" s="25">
        <v>3070517825</v>
      </c>
      <c r="Q273" s="25" t="s">
        <v>3230</v>
      </c>
      <c r="R273" s="60" t="s">
        <v>122</v>
      </c>
      <c r="S273" s="61" t="s">
        <v>3231</v>
      </c>
      <c r="T273" s="47" t="s">
        <v>92</v>
      </c>
      <c r="U273" s="47">
        <v>1</v>
      </c>
      <c r="V273" s="47">
        <v>1</v>
      </c>
      <c r="W273" s="47" t="s">
        <v>207</v>
      </c>
      <c r="X273" s="59" t="s">
        <v>984</v>
      </c>
      <c r="Y273" s="59" t="s">
        <v>1012</v>
      </c>
      <c r="Z273" s="59" t="s">
        <v>3232</v>
      </c>
      <c r="AA273" s="59" t="s">
        <v>96</v>
      </c>
      <c r="AB273" s="59" t="s">
        <v>689</v>
      </c>
      <c r="AC273" s="59" t="s">
        <v>208</v>
      </c>
      <c r="AD273" s="59" t="s">
        <v>208</v>
      </c>
      <c r="AE273" s="60" t="s">
        <v>3233</v>
      </c>
      <c r="AF273" s="60" t="s">
        <v>8524</v>
      </c>
      <c r="AG273" s="59" t="s">
        <v>8524</v>
      </c>
      <c r="AH273" s="59" t="s">
        <v>691</v>
      </c>
      <c r="AI273" s="59" t="s">
        <v>122</v>
      </c>
      <c r="AJ273" s="61" t="s">
        <v>3234</v>
      </c>
      <c r="AK273" s="60" t="s">
        <v>3235</v>
      </c>
      <c r="AL273" s="60" t="s">
        <v>114</v>
      </c>
      <c r="AM273" s="59" t="s">
        <v>700</v>
      </c>
      <c r="AN273" s="60"/>
      <c r="AO273" s="60"/>
      <c r="AP273" s="59" t="s">
        <v>3236</v>
      </c>
      <c r="AQ273" s="25" t="s">
        <v>1048</v>
      </c>
      <c r="AR273" s="60" t="s">
        <v>3237</v>
      </c>
      <c r="AS273" s="59" t="s">
        <v>3238</v>
      </c>
      <c r="AT273" s="59" t="s">
        <v>1090</v>
      </c>
      <c r="AU273" s="59" t="s">
        <v>111</v>
      </c>
      <c r="AV273" s="62"/>
      <c r="AW273" s="59" t="s">
        <v>8030</v>
      </c>
      <c r="AX273" s="59" t="s">
        <v>691</v>
      </c>
      <c r="AY273" s="59" t="s">
        <v>122</v>
      </c>
      <c r="AZ273" s="126" t="s">
        <v>3239</v>
      </c>
      <c r="BA273" s="60" t="s">
        <v>3240</v>
      </c>
      <c r="BB273" s="60" t="s">
        <v>845</v>
      </c>
      <c r="BC273" s="59" t="s">
        <v>700</v>
      </c>
      <c r="BD273" s="60"/>
      <c r="BE273" s="60"/>
      <c r="BF273" s="60"/>
      <c r="BG273" s="59" t="s">
        <v>3236</v>
      </c>
      <c r="BH273" s="60" t="s">
        <v>1052</v>
      </c>
      <c r="BI273" s="60" t="s">
        <v>3237</v>
      </c>
      <c r="BJ273" s="24" t="s">
        <v>3238</v>
      </c>
      <c r="BK273" s="59" t="s">
        <v>1090</v>
      </c>
      <c r="BL273" s="59" t="s">
        <v>156</v>
      </c>
      <c r="BM273" s="24"/>
      <c r="BN273" s="24"/>
      <c r="BO273" s="59"/>
      <c r="BP273" s="59"/>
      <c r="BQ273" s="77"/>
      <c r="BR273" s="60"/>
      <c r="BS273" s="60"/>
      <c r="BT273" s="59"/>
      <c r="BU273" s="60"/>
      <c r="BV273" s="60"/>
      <c r="BW273" s="59"/>
      <c r="BX273" s="60"/>
      <c r="BY273" s="60"/>
      <c r="BZ273" s="59"/>
      <c r="CA273" s="59"/>
      <c r="CB273" s="59"/>
      <c r="CC273" s="59"/>
      <c r="CD273" s="59"/>
      <c r="CE273" s="59" t="s">
        <v>7556</v>
      </c>
      <c r="CF273" s="60" t="s">
        <v>1048</v>
      </c>
      <c r="CG273" s="59" t="s">
        <v>7222</v>
      </c>
      <c r="CH273" s="59" t="s">
        <v>882</v>
      </c>
      <c r="CI273" s="59" t="s">
        <v>122</v>
      </c>
      <c r="CJ273" s="59" t="s">
        <v>111</v>
      </c>
      <c r="CK273" s="47"/>
      <c r="CL273" s="64" t="str">
        <f t="shared" ca="1" si="4"/>
        <v>18 Tahun 2 Bulan 21 Hari</v>
      </c>
      <c r="CM27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 Ciinjuk RT/RW 04/01 Desa/Kelurahan Sukawangi Kecamatan Pamulihan Sumedang Jawa Barat </v>
      </c>
    </row>
    <row r="274" spans="1:91" ht="24.95" customHeight="1">
      <c r="A274" s="58">
        <f>SUBTOTAL(3,N$8:Table2[[#This Row],[Nama lengkap]])</f>
        <v>267</v>
      </c>
      <c r="B274" s="58" t="s">
        <v>86</v>
      </c>
      <c r="C274" s="58">
        <v>2021</v>
      </c>
      <c r="D274" s="58"/>
      <c r="E274" s="58">
        <v>4</v>
      </c>
      <c r="F274" s="58" t="s">
        <v>2925</v>
      </c>
      <c r="G274" s="32" t="s">
        <v>2513</v>
      </c>
      <c r="H274" s="32" t="s">
        <v>2513</v>
      </c>
      <c r="I274" s="32" t="s">
        <v>2513</v>
      </c>
      <c r="J274" s="32"/>
      <c r="K274" s="32"/>
      <c r="L274" s="32"/>
      <c r="M274" s="58">
        <v>21220048</v>
      </c>
      <c r="N274" s="24" t="s">
        <v>8840</v>
      </c>
      <c r="O274" s="24"/>
      <c r="P274" s="25" t="s">
        <v>3241</v>
      </c>
      <c r="Q274" s="25" t="s">
        <v>3242</v>
      </c>
      <c r="R274" s="60" t="s">
        <v>122</v>
      </c>
      <c r="S274" s="61" t="s">
        <v>3243</v>
      </c>
      <c r="T274" s="47" t="s">
        <v>92</v>
      </c>
      <c r="U274" s="47">
        <v>3</v>
      </c>
      <c r="V274" s="47">
        <v>4</v>
      </c>
      <c r="W274" s="47" t="s">
        <v>207</v>
      </c>
      <c r="X274" s="59"/>
      <c r="Y274" s="59" t="s">
        <v>1092</v>
      </c>
      <c r="Z274" s="59" t="s">
        <v>2040</v>
      </c>
      <c r="AA274" s="59" t="s">
        <v>96</v>
      </c>
      <c r="AB274" s="59" t="s">
        <v>689</v>
      </c>
      <c r="AC274" s="59" t="s">
        <v>208</v>
      </c>
      <c r="AD274" s="59" t="s">
        <v>208</v>
      </c>
      <c r="AE274" s="60" t="s">
        <v>3244</v>
      </c>
      <c r="AF274" s="60" t="s">
        <v>8525</v>
      </c>
      <c r="AG274" s="59" t="s">
        <v>8525</v>
      </c>
      <c r="AH274" s="59" t="s">
        <v>691</v>
      </c>
      <c r="AI274" s="59" t="s">
        <v>122</v>
      </c>
      <c r="AJ274" s="61" t="s">
        <v>3245</v>
      </c>
      <c r="AK274" s="60" t="s">
        <v>3246</v>
      </c>
      <c r="AL274" s="60" t="s">
        <v>819</v>
      </c>
      <c r="AM274" s="59" t="s">
        <v>2807</v>
      </c>
      <c r="AN274" s="60"/>
      <c r="AO274" s="60"/>
      <c r="AP274" s="59" t="s">
        <v>1751</v>
      </c>
      <c r="AQ274" s="25" t="s">
        <v>880</v>
      </c>
      <c r="AR274" s="60" t="s">
        <v>1752</v>
      </c>
      <c r="AS274" s="59" t="s">
        <v>1324</v>
      </c>
      <c r="AT274" s="59" t="s">
        <v>1090</v>
      </c>
      <c r="AU274" s="59" t="s">
        <v>111</v>
      </c>
      <c r="AV274" s="62"/>
      <c r="AW274" s="59" t="s">
        <v>8031</v>
      </c>
      <c r="AX274" s="59" t="s">
        <v>691</v>
      </c>
      <c r="AY274" s="59" t="s">
        <v>122</v>
      </c>
      <c r="AZ274" s="126" t="s">
        <v>3247</v>
      </c>
      <c r="BA274" s="60" t="s">
        <v>3248</v>
      </c>
      <c r="BB274" s="60" t="s">
        <v>845</v>
      </c>
      <c r="BC274" s="59" t="s">
        <v>800</v>
      </c>
      <c r="BD274" s="60"/>
      <c r="BE274" s="60"/>
      <c r="BF274" s="60"/>
      <c r="BG274" s="59" t="s">
        <v>1751</v>
      </c>
      <c r="BH274" s="60" t="s">
        <v>880</v>
      </c>
      <c r="BI274" s="60" t="s">
        <v>1752</v>
      </c>
      <c r="BJ274" s="24" t="s">
        <v>1324</v>
      </c>
      <c r="BK274" s="59" t="s">
        <v>1090</v>
      </c>
      <c r="BL274" s="59" t="s">
        <v>156</v>
      </c>
      <c r="BM274" s="24"/>
      <c r="BN274" s="24"/>
      <c r="BO274" s="59"/>
      <c r="BP274" s="59"/>
      <c r="BQ274" s="77"/>
      <c r="BR274" s="60"/>
      <c r="BS274" s="60"/>
      <c r="BT274" s="59"/>
      <c r="BU274" s="60"/>
      <c r="BV274" s="60"/>
      <c r="BW274" s="59"/>
      <c r="BX274" s="60"/>
      <c r="BY274" s="60"/>
      <c r="BZ274" s="59"/>
      <c r="CA274" s="59"/>
      <c r="CB274" s="59"/>
      <c r="CC274" s="59"/>
      <c r="CD274" s="59"/>
      <c r="CE274" s="59" t="s">
        <v>7437</v>
      </c>
      <c r="CF274" s="60" t="s">
        <v>880</v>
      </c>
      <c r="CG274" s="59" t="s">
        <v>7109</v>
      </c>
      <c r="CH274" s="59" t="s">
        <v>134</v>
      </c>
      <c r="CI274" s="59" t="s">
        <v>122</v>
      </c>
      <c r="CJ274" s="59" t="s">
        <v>111</v>
      </c>
      <c r="CK274" s="47"/>
      <c r="CL274" s="64" t="str">
        <f t="shared" ca="1" si="4"/>
        <v>16 Tahun 7 Bulan 4 Hari</v>
      </c>
      <c r="CM27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Sukaasih RT/RW 01/02 Desa/Kelurahan Jatihurip Kecamatan Sumedang Utara Sumedang Jawa Barat </v>
      </c>
    </row>
    <row r="275" spans="1:91" ht="24.95" customHeight="1">
      <c r="A275" s="58">
        <f>SUBTOTAL(3,N$8:Table2[[#This Row],[Nama lengkap]])</f>
        <v>268</v>
      </c>
      <c r="B275" s="58" t="s">
        <v>86</v>
      </c>
      <c r="C275" s="58">
        <v>2021</v>
      </c>
      <c r="D275" s="58"/>
      <c r="E275" s="58">
        <v>4</v>
      </c>
      <c r="F275" s="58" t="s">
        <v>2925</v>
      </c>
      <c r="G275" s="32" t="s">
        <v>2513</v>
      </c>
      <c r="H275" s="32" t="s">
        <v>2513</v>
      </c>
      <c r="I275" s="32" t="s">
        <v>2513</v>
      </c>
      <c r="J275" s="32"/>
      <c r="K275" s="32"/>
      <c r="L275" s="32"/>
      <c r="M275" s="58">
        <v>21220071</v>
      </c>
      <c r="N275" s="24" t="s">
        <v>8841</v>
      </c>
      <c r="O275" s="24"/>
      <c r="P275" s="25" t="s">
        <v>3249</v>
      </c>
      <c r="Q275" s="25" t="s">
        <v>3250</v>
      </c>
      <c r="R275" s="60" t="s">
        <v>7129</v>
      </c>
      <c r="S275" s="61" t="s">
        <v>3251</v>
      </c>
      <c r="T275" s="47" t="s">
        <v>92</v>
      </c>
      <c r="U275" s="47">
        <v>1</v>
      </c>
      <c r="V275" s="47">
        <v>3</v>
      </c>
      <c r="W275" s="47" t="s">
        <v>207</v>
      </c>
      <c r="X275" s="59"/>
      <c r="Y275" s="59" t="s">
        <v>1068</v>
      </c>
      <c r="Z275" s="59" t="s">
        <v>986</v>
      </c>
      <c r="AA275" s="59" t="s">
        <v>96</v>
      </c>
      <c r="AB275" s="59" t="s">
        <v>689</v>
      </c>
      <c r="AC275" s="59" t="s">
        <v>208</v>
      </c>
      <c r="AD275" s="59" t="s">
        <v>208</v>
      </c>
      <c r="AE275" s="60" t="s">
        <v>3252</v>
      </c>
      <c r="AF275" s="60" t="s">
        <v>8526</v>
      </c>
      <c r="AG275" s="59" t="s">
        <v>8526</v>
      </c>
      <c r="AH275" s="59" t="s">
        <v>691</v>
      </c>
      <c r="AI275" s="59" t="s">
        <v>7804</v>
      </c>
      <c r="AJ275" s="61">
        <v>28559</v>
      </c>
      <c r="AK275" s="60" t="s">
        <v>3253</v>
      </c>
      <c r="AL275" s="60" t="s">
        <v>114</v>
      </c>
      <c r="AM275" s="59" t="s">
        <v>800</v>
      </c>
      <c r="AN275" s="60"/>
      <c r="AO275" s="60"/>
      <c r="AP275" s="59" t="s">
        <v>3254</v>
      </c>
      <c r="AQ275" s="25" t="s">
        <v>2532</v>
      </c>
      <c r="AR275" s="60" t="s">
        <v>3155</v>
      </c>
      <c r="AS275" s="59" t="s">
        <v>1019</v>
      </c>
      <c r="AT275" s="59" t="s">
        <v>141</v>
      </c>
      <c r="AU275" s="59" t="s">
        <v>111</v>
      </c>
      <c r="AV275" s="62">
        <v>40911</v>
      </c>
      <c r="AW275" s="59" t="s">
        <v>8032</v>
      </c>
      <c r="AX275" s="59" t="s">
        <v>691</v>
      </c>
      <c r="AY275" s="59" t="s">
        <v>7800</v>
      </c>
      <c r="AZ275" s="126">
        <v>31753</v>
      </c>
      <c r="BA275" s="60" t="s">
        <v>3255</v>
      </c>
      <c r="BB275" s="60" t="s">
        <v>845</v>
      </c>
      <c r="BC275" s="59" t="s">
        <v>800</v>
      </c>
      <c r="BD275" s="60"/>
      <c r="BE275" s="60"/>
      <c r="BF275" s="60"/>
      <c r="BG275" s="59" t="s">
        <v>3254</v>
      </c>
      <c r="BH275" s="60" t="s">
        <v>2532</v>
      </c>
      <c r="BI275" s="60" t="s">
        <v>3155</v>
      </c>
      <c r="BJ275" s="24" t="s">
        <v>1019</v>
      </c>
      <c r="BK275" s="59" t="s">
        <v>141</v>
      </c>
      <c r="BL275" s="59" t="s">
        <v>156</v>
      </c>
      <c r="BM275" s="24">
        <v>40911</v>
      </c>
      <c r="BN275" s="24"/>
      <c r="BO275" s="59" t="s">
        <v>701</v>
      </c>
      <c r="BP275" s="59"/>
      <c r="BQ275" s="77"/>
      <c r="BR275" s="60"/>
      <c r="BS275" s="60"/>
      <c r="BT275" s="59"/>
      <c r="BU275" s="60"/>
      <c r="BV275" s="60"/>
      <c r="BW275" s="59"/>
      <c r="BX275" s="60"/>
      <c r="BY275" s="60"/>
      <c r="BZ275" s="59"/>
      <c r="CA275" s="59"/>
      <c r="CB275" s="59"/>
      <c r="CC275" s="59"/>
      <c r="CD275" s="59"/>
      <c r="CE275" s="59" t="s">
        <v>7557</v>
      </c>
      <c r="CF275" s="60" t="s">
        <v>2532</v>
      </c>
      <c r="CG275" s="59" t="s">
        <v>7007</v>
      </c>
      <c r="CH275" s="59" t="s">
        <v>6967</v>
      </c>
      <c r="CI275" s="59" t="s">
        <v>90</v>
      </c>
      <c r="CJ275" s="59" t="s">
        <v>111</v>
      </c>
      <c r="CK275" s="47">
        <v>40911</v>
      </c>
      <c r="CL275" s="64" t="str">
        <f t="shared" ca="1" si="4"/>
        <v>16 Tahun 8 Bulan 20 Hari</v>
      </c>
      <c r="CM27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Kp.Asem RT/RW 04/11 Desa/Kelurahan Jelegong Kecamatan Kutawaringin Bandung Jawa Barat 40911</v>
      </c>
    </row>
    <row r="276" spans="1:91" ht="24.95" customHeight="1">
      <c r="A276" s="58">
        <f>SUBTOTAL(3,N$8:Table2[[#This Row],[Nama lengkap]])</f>
        <v>269</v>
      </c>
      <c r="B276" s="58" t="s">
        <v>86</v>
      </c>
      <c r="C276" s="58">
        <v>2021</v>
      </c>
      <c r="D276" s="58"/>
      <c r="E276" s="58">
        <v>4</v>
      </c>
      <c r="F276" s="58" t="s">
        <v>2925</v>
      </c>
      <c r="G276" s="32" t="s">
        <v>2513</v>
      </c>
      <c r="H276" s="32" t="s">
        <v>2513</v>
      </c>
      <c r="I276" s="32" t="s">
        <v>2513</v>
      </c>
      <c r="J276" s="32"/>
      <c r="K276" s="32"/>
      <c r="L276" s="32"/>
      <c r="M276" s="58">
        <v>21220036</v>
      </c>
      <c r="N276" s="24" t="s">
        <v>8842</v>
      </c>
      <c r="O276" s="24"/>
      <c r="P276" s="25" t="s">
        <v>3257</v>
      </c>
      <c r="Q276" s="25" t="s">
        <v>3258</v>
      </c>
      <c r="R276" s="60" t="s">
        <v>122</v>
      </c>
      <c r="S276" s="61" t="s">
        <v>3259</v>
      </c>
      <c r="T276" s="47" t="s">
        <v>92</v>
      </c>
      <c r="U276" s="47">
        <v>2</v>
      </c>
      <c r="V276" s="47">
        <v>2</v>
      </c>
      <c r="W276" s="47" t="s">
        <v>207</v>
      </c>
      <c r="X276" s="59"/>
      <c r="Y276" s="59" t="s">
        <v>3260</v>
      </c>
      <c r="Z276" s="59" t="s">
        <v>688</v>
      </c>
      <c r="AA276" s="59" t="s">
        <v>1141</v>
      </c>
      <c r="AB276" s="59" t="s">
        <v>689</v>
      </c>
      <c r="AC276" s="59" t="s">
        <v>208</v>
      </c>
      <c r="AD276" s="59" t="s">
        <v>208</v>
      </c>
      <c r="AE276" s="60" t="s">
        <v>3261</v>
      </c>
      <c r="AF276" s="60" t="s">
        <v>8527</v>
      </c>
      <c r="AG276" s="59" t="s">
        <v>8527</v>
      </c>
      <c r="AH276" s="59" t="s">
        <v>691</v>
      </c>
      <c r="AI276" s="59" t="s">
        <v>7802</v>
      </c>
      <c r="AJ276" s="61" t="s">
        <v>3262</v>
      </c>
      <c r="AK276" s="60" t="s">
        <v>3263</v>
      </c>
      <c r="AL276" s="60" t="s">
        <v>114</v>
      </c>
      <c r="AM276" s="59" t="s">
        <v>693</v>
      </c>
      <c r="AN276" s="60"/>
      <c r="AO276" s="60"/>
      <c r="AP276" s="59" t="s">
        <v>3264</v>
      </c>
      <c r="AQ276" s="25" t="s">
        <v>3265</v>
      </c>
      <c r="AR276" s="60" t="s">
        <v>3264</v>
      </c>
      <c r="AS276" s="59" t="s">
        <v>3264</v>
      </c>
      <c r="AT276" s="59" t="s">
        <v>1474</v>
      </c>
      <c r="AU276" s="59" t="s">
        <v>806</v>
      </c>
      <c r="AV276" s="62"/>
      <c r="AW276" s="59" t="s">
        <v>8033</v>
      </c>
      <c r="AX276" s="59" t="s">
        <v>691</v>
      </c>
      <c r="AY276" s="59" t="s">
        <v>122</v>
      </c>
      <c r="AZ276" s="126" t="s">
        <v>3266</v>
      </c>
      <c r="BA276" s="60" t="s">
        <v>3267</v>
      </c>
      <c r="BB276" s="60" t="s">
        <v>845</v>
      </c>
      <c r="BC276" s="59" t="s">
        <v>693</v>
      </c>
      <c r="BD276" s="60"/>
      <c r="BE276" s="60"/>
      <c r="BF276" s="60"/>
      <c r="BG276" s="59" t="s">
        <v>3264</v>
      </c>
      <c r="BH276" s="60" t="s">
        <v>3265</v>
      </c>
      <c r="BI276" s="60" t="s">
        <v>3264</v>
      </c>
      <c r="BJ276" s="24" t="s">
        <v>3264</v>
      </c>
      <c r="BK276" s="59" t="s">
        <v>1474</v>
      </c>
      <c r="BL276" s="59" t="s">
        <v>806</v>
      </c>
      <c r="BM276" s="24"/>
      <c r="BN276" s="24"/>
      <c r="BO276" s="59"/>
      <c r="BP276" s="59"/>
      <c r="BQ276" s="77"/>
      <c r="BR276" s="60"/>
      <c r="BS276" s="60"/>
      <c r="BT276" s="59"/>
      <c r="BU276" s="60"/>
      <c r="BV276" s="60"/>
      <c r="BW276" s="59"/>
      <c r="BX276" s="60"/>
      <c r="BY276" s="60"/>
      <c r="BZ276" s="59"/>
      <c r="CA276" s="59"/>
      <c r="CB276" s="59"/>
      <c r="CC276" s="59"/>
      <c r="CD276" s="59"/>
      <c r="CE276" s="59" t="s">
        <v>7223</v>
      </c>
      <c r="CF276" s="60" t="s">
        <v>3265</v>
      </c>
      <c r="CG276" s="59" t="s">
        <v>7223</v>
      </c>
      <c r="CH276" s="59" t="s">
        <v>7223</v>
      </c>
      <c r="CI276" s="59" t="s">
        <v>7016</v>
      </c>
      <c r="CJ276" s="59" t="s">
        <v>7017</v>
      </c>
      <c r="CK276" s="47"/>
      <c r="CL276" s="64" t="str">
        <f t="shared" ca="1" si="4"/>
        <v>19 Tahun 9 Bulan 26 Hari</v>
      </c>
      <c r="CM27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Duren Sawit RT/RW 12/11 Desa/Kelurahan Duren Sawit Kecamatan Duren Sawit Jakarta Timur Dki Jakarta </v>
      </c>
    </row>
    <row r="277" spans="1:91" ht="24.95" customHeight="1">
      <c r="A277" s="58">
        <f>SUBTOTAL(3,N$8:Table2[[#This Row],[Nama lengkap]])</f>
        <v>270</v>
      </c>
      <c r="B277" s="58" t="s">
        <v>86</v>
      </c>
      <c r="C277" s="58">
        <v>2020</v>
      </c>
      <c r="D277" s="58"/>
      <c r="E277" s="58">
        <v>4</v>
      </c>
      <c r="F277" s="58" t="s">
        <v>2925</v>
      </c>
      <c r="G277" s="32" t="s">
        <v>2513</v>
      </c>
      <c r="H277" s="32" t="s">
        <v>2513</v>
      </c>
      <c r="I277" s="32" t="s">
        <v>2513</v>
      </c>
      <c r="J277" s="32"/>
      <c r="K277" s="32"/>
      <c r="L277" s="32"/>
      <c r="M277" s="58">
        <v>20210201</v>
      </c>
      <c r="N277" s="24" t="s">
        <v>8843</v>
      </c>
      <c r="O277" s="24"/>
      <c r="P277" s="25" t="s">
        <v>3268</v>
      </c>
      <c r="Q277" s="25" t="s">
        <v>3269</v>
      </c>
      <c r="R277" s="60" t="s">
        <v>3137</v>
      </c>
      <c r="S277" s="61" t="s">
        <v>3270</v>
      </c>
      <c r="T277" s="47" t="s">
        <v>92</v>
      </c>
      <c r="U277" s="47">
        <v>1</v>
      </c>
      <c r="V277" s="47">
        <v>1</v>
      </c>
      <c r="W277" s="47" t="s">
        <v>207</v>
      </c>
      <c r="X277" s="59"/>
      <c r="Y277" s="59" t="s">
        <v>3271</v>
      </c>
      <c r="Z277" s="59" t="s">
        <v>2992</v>
      </c>
      <c r="AA277" s="59" t="s">
        <v>96</v>
      </c>
      <c r="AB277" s="59" t="s">
        <v>689</v>
      </c>
      <c r="AC277" s="59" t="s">
        <v>208</v>
      </c>
      <c r="AD277" s="59" t="s">
        <v>208</v>
      </c>
      <c r="AE277" s="60" t="s">
        <v>3272</v>
      </c>
      <c r="AF277" s="60" t="s">
        <v>8528</v>
      </c>
      <c r="AG277" s="59" t="s">
        <v>8528</v>
      </c>
      <c r="AH277" s="59" t="s">
        <v>691</v>
      </c>
      <c r="AI277" s="59" t="s">
        <v>3137</v>
      </c>
      <c r="AJ277" s="61">
        <v>29983</v>
      </c>
      <c r="AK277" s="60" t="s">
        <v>3273</v>
      </c>
      <c r="AL277" s="60" t="s">
        <v>7774</v>
      </c>
      <c r="AM277" s="59" t="s">
        <v>2807</v>
      </c>
      <c r="AN277" s="60"/>
      <c r="AO277" s="60"/>
      <c r="AP277" s="59" t="s">
        <v>3274</v>
      </c>
      <c r="AQ277" s="25" t="s">
        <v>642</v>
      </c>
      <c r="AR277" s="60" t="s">
        <v>3275</v>
      </c>
      <c r="AS277" s="59" t="s">
        <v>273</v>
      </c>
      <c r="AT277" s="59" t="s">
        <v>273</v>
      </c>
      <c r="AU277" s="59" t="s">
        <v>111</v>
      </c>
      <c r="AV277" s="62"/>
      <c r="AW277" s="59" t="s">
        <v>8034</v>
      </c>
      <c r="AX277" s="59" t="s">
        <v>691</v>
      </c>
      <c r="AY277" s="59" t="s">
        <v>492</v>
      </c>
      <c r="AZ277" s="126">
        <v>29758</v>
      </c>
      <c r="BA277" s="60" t="s">
        <v>3276</v>
      </c>
      <c r="BB277" s="60" t="s">
        <v>7773</v>
      </c>
      <c r="BC277" s="59" t="s">
        <v>1820</v>
      </c>
      <c r="BD277" s="60"/>
      <c r="BE277" s="60"/>
      <c r="BF277" s="60"/>
      <c r="BG277" s="59" t="s">
        <v>3274</v>
      </c>
      <c r="BH277" s="60" t="s">
        <v>642</v>
      </c>
      <c r="BI277" s="60" t="s">
        <v>3275</v>
      </c>
      <c r="BJ277" s="24" t="s">
        <v>273</v>
      </c>
      <c r="BK277" s="59" t="s">
        <v>273</v>
      </c>
      <c r="BL277" s="59" t="s">
        <v>156</v>
      </c>
      <c r="BM277" s="24"/>
      <c r="BN277" s="24"/>
      <c r="BO277" s="59"/>
      <c r="BP277" s="59"/>
      <c r="BQ277" s="77"/>
      <c r="BR277" s="60"/>
      <c r="BS277" s="60"/>
      <c r="BT277" s="59"/>
      <c r="BU277" s="60"/>
      <c r="BV277" s="60"/>
      <c r="BW277" s="59"/>
      <c r="BX277" s="60"/>
      <c r="BY277" s="60"/>
      <c r="BZ277" s="59"/>
      <c r="CA277" s="59"/>
      <c r="CB277" s="59"/>
      <c r="CC277" s="59"/>
      <c r="CD277" s="59"/>
      <c r="CE277" s="59" t="s">
        <v>7558</v>
      </c>
      <c r="CF277" s="60" t="s">
        <v>642</v>
      </c>
      <c r="CG277" s="59" t="s">
        <v>7224</v>
      </c>
      <c r="CH277" s="59" t="s">
        <v>3137</v>
      </c>
      <c r="CI277" s="59" t="s">
        <v>3137</v>
      </c>
      <c r="CJ277" s="59" t="s">
        <v>111</v>
      </c>
      <c r="CK277" s="47"/>
      <c r="CL277" s="64" t="str">
        <f t="shared" ca="1" si="4"/>
        <v>17 Tahun 5 Bulan 0 Hari</v>
      </c>
      <c r="CM27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Griya Joglo Blok D/3 RT/RW 04/09 Desa/Kelurahan Sawahgede Kecamatan Cianjur Cianjur Jawa Barat </v>
      </c>
    </row>
    <row r="278" spans="1:91" ht="24.95" customHeight="1">
      <c r="A278" s="58">
        <f>SUBTOTAL(3,N$8:Table2[[#This Row],[Nama lengkap]])</f>
        <v>271</v>
      </c>
      <c r="B278" s="58" t="s">
        <v>86</v>
      </c>
      <c r="C278" s="58">
        <v>2021</v>
      </c>
      <c r="D278" s="58"/>
      <c r="E278" s="58">
        <v>4</v>
      </c>
      <c r="F278" s="58" t="s">
        <v>2925</v>
      </c>
      <c r="G278" s="32" t="s">
        <v>2513</v>
      </c>
      <c r="H278" s="32" t="s">
        <v>2513</v>
      </c>
      <c r="I278" s="32" t="s">
        <v>2513</v>
      </c>
      <c r="J278" s="32"/>
      <c r="K278" s="32"/>
      <c r="L278" s="32"/>
      <c r="M278" s="58">
        <v>21220181</v>
      </c>
      <c r="N278" s="24" t="s">
        <v>6078</v>
      </c>
      <c r="O278" s="24"/>
      <c r="P278" s="25" t="s">
        <v>3277</v>
      </c>
      <c r="Q278" s="25" t="s">
        <v>3278</v>
      </c>
      <c r="R278" s="60" t="s">
        <v>155</v>
      </c>
      <c r="S278" s="61" t="s">
        <v>3279</v>
      </c>
      <c r="T278" s="47" t="s">
        <v>92</v>
      </c>
      <c r="U278" s="47">
        <v>2</v>
      </c>
      <c r="V278" s="47">
        <v>1</v>
      </c>
      <c r="W278" s="47" t="s">
        <v>207</v>
      </c>
      <c r="X278" s="59"/>
      <c r="Y278" s="59" t="s">
        <v>3280</v>
      </c>
      <c r="Z278" s="59" t="s">
        <v>986</v>
      </c>
      <c r="AA278" s="59" t="s">
        <v>96</v>
      </c>
      <c r="AB278" s="59" t="s">
        <v>689</v>
      </c>
      <c r="AC278" s="59" t="s">
        <v>208</v>
      </c>
      <c r="AD278" s="59" t="s">
        <v>208</v>
      </c>
      <c r="AE278" s="60" t="s">
        <v>3281</v>
      </c>
      <c r="AF278" s="60" t="s">
        <v>8529</v>
      </c>
      <c r="AG278" s="59" t="s">
        <v>8529</v>
      </c>
      <c r="AH278" s="59" t="s">
        <v>691</v>
      </c>
      <c r="AI278" s="59" t="s">
        <v>90</v>
      </c>
      <c r="AJ278" s="61">
        <v>30444</v>
      </c>
      <c r="AK278" s="60" t="s">
        <v>3282</v>
      </c>
      <c r="AL278" s="60" t="s">
        <v>114</v>
      </c>
      <c r="AM278" s="59" t="s">
        <v>700</v>
      </c>
      <c r="AN278" s="60"/>
      <c r="AO278" s="60"/>
      <c r="AP278" s="59" t="s">
        <v>3283</v>
      </c>
      <c r="AQ278" s="25" t="s">
        <v>2159</v>
      </c>
      <c r="AR278" s="60" t="s">
        <v>3284</v>
      </c>
      <c r="AS278" s="59" t="s">
        <v>154</v>
      </c>
      <c r="AT278" s="59" t="s">
        <v>163</v>
      </c>
      <c r="AU278" s="59" t="s">
        <v>111</v>
      </c>
      <c r="AV278" s="62"/>
      <c r="AW278" s="59" t="s">
        <v>8035</v>
      </c>
      <c r="AX278" s="59" t="s">
        <v>691</v>
      </c>
      <c r="AY278" s="59" t="s">
        <v>90</v>
      </c>
      <c r="AZ278" s="126" t="s">
        <v>3285</v>
      </c>
      <c r="BA278" s="60" t="s">
        <v>3286</v>
      </c>
      <c r="BB278" s="60" t="s">
        <v>845</v>
      </c>
      <c r="BC278" s="59" t="s">
        <v>700</v>
      </c>
      <c r="BD278" s="60"/>
      <c r="BE278" s="60"/>
      <c r="BF278" s="60"/>
      <c r="BG278" s="59" t="s">
        <v>3283</v>
      </c>
      <c r="BH278" s="60" t="s">
        <v>2159</v>
      </c>
      <c r="BI278" s="60" t="s">
        <v>3284</v>
      </c>
      <c r="BJ278" s="24" t="s">
        <v>154</v>
      </c>
      <c r="BK278" s="59" t="s">
        <v>163</v>
      </c>
      <c r="BL278" s="59" t="s">
        <v>156</v>
      </c>
      <c r="BM278" s="24"/>
      <c r="BN278" s="24"/>
      <c r="BO278" s="59"/>
      <c r="BP278" s="59"/>
      <c r="BQ278" s="77"/>
      <c r="BR278" s="60"/>
      <c r="BS278" s="60"/>
      <c r="BT278" s="59"/>
      <c r="BU278" s="60"/>
      <c r="BV278" s="60"/>
      <c r="BW278" s="59"/>
      <c r="BX278" s="60"/>
      <c r="BY278" s="60"/>
      <c r="BZ278" s="59"/>
      <c r="CA278" s="59"/>
      <c r="CB278" s="59"/>
      <c r="CC278" s="59"/>
      <c r="CD278" s="59"/>
      <c r="CE278" s="59" t="s">
        <v>7559</v>
      </c>
      <c r="CF278" s="60" t="s">
        <v>2159</v>
      </c>
      <c r="CG278" s="59" t="s">
        <v>7225</v>
      </c>
      <c r="CH278" s="59" t="s">
        <v>5244</v>
      </c>
      <c r="CI278" s="59" t="s">
        <v>155</v>
      </c>
      <c r="CJ278" s="59" t="s">
        <v>111</v>
      </c>
      <c r="CK278" s="47"/>
      <c r="CL278" s="64" t="str">
        <f t="shared" ca="1" si="4"/>
        <v>17 Tahun 0 Bulan 22 Hari</v>
      </c>
      <c r="CM27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Kampung Karamat RT/RW 05/07 Desa/Kelurahan Cikahuripan Kecamatan Lembang Bandung Barat Jawa Barat </v>
      </c>
    </row>
    <row r="279" spans="1:91" ht="24.95" customHeight="1">
      <c r="A279" s="58">
        <f>SUBTOTAL(3,N$8:Table2[[#This Row],[Nama lengkap]])</f>
        <v>272</v>
      </c>
      <c r="B279" s="58" t="s">
        <v>86</v>
      </c>
      <c r="C279" s="58">
        <v>2020</v>
      </c>
      <c r="D279" s="58"/>
      <c r="E279" s="58">
        <v>4</v>
      </c>
      <c r="F279" s="58" t="s">
        <v>2925</v>
      </c>
      <c r="G279" s="32" t="s">
        <v>2513</v>
      </c>
      <c r="H279" s="32" t="s">
        <v>2513</v>
      </c>
      <c r="I279" s="32" t="s">
        <v>2513</v>
      </c>
      <c r="J279" s="32"/>
      <c r="K279" s="32"/>
      <c r="L279" s="32"/>
      <c r="M279" s="58">
        <v>20210193</v>
      </c>
      <c r="N279" s="24" t="s">
        <v>8844</v>
      </c>
      <c r="O279" s="24"/>
      <c r="P279" s="25" t="s">
        <v>3287</v>
      </c>
      <c r="Q279" s="25" t="s">
        <v>3288</v>
      </c>
      <c r="R279" s="60" t="s">
        <v>90</v>
      </c>
      <c r="S279" s="61" t="s">
        <v>3289</v>
      </c>
      <c r="T279" s="47" t="s">
        <v>92</v>
      </c>
      <c r="U279" s="47">
        <v>3</v>
      </c>
      <c r="V279" s="47">
        <v>3</v>
      </c>
      <c r="W279" s="47" t="s">
        <v>207</v>
      </c>
      <c r="X279" s="59"/>
      <c r="Y279" s="59" t="s">
        <v>1012</v>
      </c>
      <c r="Z279" s="59" t="s">
        <v>3290</v>
      </c>
      <c r="AA279" s="59" t="s">
        <v>96</v>
      </c>
      <c r="AB279" s="59" t="s">
        <v>1467</v>
      </c>
      <c r="AC279" s="59" t="s">
        <v>208</v>
      </c>
      <c r="AD279" s="59" t="s">
        <v>208</v>
      </c>
      <c r="AE279" s="60" t="s">
        <v>3291</v>
      </c>
      <c r="AF279" s="60" t="s">
        <v>8036</v>
      </c>
      <c r="AG279" s="59" t="s">
        <v>8530</v>
      </c>
      <c r="AH279" s="59" t="s">
        <v>1153</v>
      </c>
      <c r="AI279" s="59" t="s">
        <v>90</v>
      </c>
      <c r="AJ279" s="61">
        <v>25235</v>
      </c>
      <c r="AK279" s="60" t="s">
        <v>3292</v>
      </c>
      <c r="AL279" s="60" t="s">
        <v>289</v>
      </c>
      <c r="AM279" s="59" t="s">
        <v>700</v>
      </c>
      <c r="AN279" s="60"/>
      <c r="AO279" s="60"/>
      <c r="AP279" s="59" t="s">
        <v>3293</v>
      </c>
      <c r="AQ279" s="25" t="s">
        <v>213</v>
      </c>
      <c r="AR279" s="60" t="s">
        <v>3294</v>
      </c>
      <c r="AS279" s="59" t="s">
        <v>1913</v>
      </c>
      <c r="AT279" s="59" t="s">
        <v>141</v>
      </c>
      <c r="AU279" s="59" t="s">
        <v>111</v>
      </c>
      <c r="AV279" s="62"/>
      <c r="AW279" s="59" t="s">
        <v>8036</v>
      </c>
      <c r="AX279" s="59" t="s">
        <v>1071</v>
      </c>
      <c r="AY279" s="59" t="s">
        <v>90</v>
      </c>
      <c r="AZ279" s="126">
        <v>26645</v>
      </c>
      <c r="BA279" s="60" t="s">
        <v>3295</v>
      </c>
      <c r="BB279" s="60" t="s">
        <v>5261</v>
      </c>
      <c r="BC279" s="59" t="s">
        <v>700</v>
      </c>
      <c r="BD279" s="60"/>
      <c r="BE279" s="60"/>
      <c r="BF279" s="60"/>
      <c r="BG279" s="59" t="s">
        <v>3296</v>
      </c>
      <c r="BH279" s="60" t="s">
        <v>213</v>
      </c>
      <c r="BI279" s="60" t="s">
        <v>3294</v>
      </c>
      <c r="BJ279" s="24" t="s">
        <v>1913</v>
      </c>
      <c r="BK279" s="59" t="s">
        <v>141</v>
      </c>
      <c r="BL279" s="59" t="s">
        <v>156</v>
      </c>
      <c r="BM279" s="24"/>
      <c r="BN279" s="24"/>
      <c r="BO279" s="59"/>
      <c r="BP279" s="59"/>
      <c r="BQ279" s="77"/>
      <c r="BR279" s="60"/>
      <c r="BS279" s="60"/>
      <c r="BT279" s="59"/>
      <c r="BU279" s="60"/>
      <c r="BV279" s="60"/>
      <c r="BW279" s="59"/>
      <c r="BX279" s="60"/>
      <c r="BY279" s="60"/>
      <c r="BZ279" s="59"/>
      <c r="CA279" s="59"/>
      <c r="CB279" s="59"/>
      <c r="CC279" s="59"/>
      <c r="CD279" s="59"/>
      <c r="CE279" s="59" t="s">
        <v>7560</v>
      </c>
      <c r="CF279" s="60" t="s">
        <v>213</v>
      </c>
      <c r="CG279" s="59" t="s">
        <v>7226</v>
      </c>
      <c r="CH279" s="59" t="s">
        <v>110</v>
      </c>
      <c r="CI279" s="59" t="s">
        <v>90</v>
      </c>
      <c r="CJ279" s="59" t="s">
        <v>111</v>
      </c>
      <c r="CK279" s="47"/>
      <c r="CL279" s="64" t="str">
        <f t="shared" ca="1" si="4"/>
        <v>17 Tahun 11 Bulan 13 Hari</v>
      </c>
      <c r="CM27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Kp.Mekar Sari RT/RW 01/14 Desa/Kelurahan Gandasari Kecamatan Katapang Bandung Jawa Barat </v>
      </c>
    </row>
    <row r="280" spans="1:91" ht="24.95" customHeight="1">
      <c r="A280" s="58">
        <f>SUBTOTAL(3,N$8:Table2[[#This Row],[Nama lengkap]])</f>
        <v>273</v>
      </c>
      <c r="B280" s="58" t="s">
        <v>86</v>
      </c>
      <c r="C280" s="58">
        <v>2020</v>
      </c>
      <c r="D280" s="58"/>
      <c r="E280" s="58">
        <v>4</v>
      </c>
      <c r="F280" s="58" t="s">
        <v>2925</v>
      </c>
      <c r="G280" s="32" t="s">
        <v>2513</v>
      </c>
      <c r="H280" s="32" t="s">
        <v>2513</v>
      </c>
      <c r="I280" s="32" t="s">
        <v>2513</v>
      </c>
      <c r="J280" s="32"/>
      <c r="K280" s="32"/>
      <c r="L280" s="32"/>
      <c r="M280" s="85">
        <v>20210233</v>
      </c>
      <c r="N280" s="24" t="s">
        <v>8845</v>
      </c>
      <c r="O280" s="24"/>
      <c r="P280" s="25" t="s">
        <v>3297</v>
      </c>
      <c r="Q280" s="25" t="s">
        <v>3298</v>
      </c>
      <c r="R280" s="60" t="s">
        <v>122</v>
      </c>
      <c r="S280" s="61" t="s">
        <v>3299</v>
      </c>
      <c r="T280" s="47" t="s">
        <v>92</v>
      </c>
      <c r="U280" s="47">
        <v>1</v>
      </c>
      <c r="V280" s="47">
        <v>2</v>
      </c>
      <c r="W280" s="47" t="s">
        <v>207</v>
      </c>
      <c r="X280" s="59"/>
      <c r="Y280" s="59" t="s">
        <v>1012</v>
      </c>
      <c r="Z280" s="59" t="s">
        <v>1150</v>
      </c>
      <c r="AA280" s="59" t="s">
        <v>96</v>
      </c>
      <c r="AB280" s="59" t="s">
        <v>689</v>
      </c>
      <c r="AC280" s="59" t="s">
        <v>208</v>
      </c>
      <c r="AD280" s="59" t="s">
        <v>208</v>
      </c>
      <c r="AE280" s="60" t="s">
        <v>3300</v>
      </c>
      <c r="AF280" s="60" t="s">
        <v>6488</v>
      </c>
      <c r="AG280" s="59" t="s">
        <v>6488</v>
      </c>
      <c r="AH280" s="59" t="s">
        <v>691</v>
      </c>
      <c r="AI280" s="59" t="s">
        <v>122</v>
      </c>
      <c r="AJ280" s="61">
        <v>29714</v>
      </c>
      <c r="AK280" s="60" t="s">
        <v>3301</v>
      </c>
      <c r="AL280" s="60" t="s">
        <v>602</v>
      </c>
      <c r="AM280" s="59" t="s">
        <v>800</v>
      </c>
      <c r="AN280" s="60" t="s">
        <v>3302</v>
      </c>
      <c r="AO280" s="60"/>
      <c r="AP280" s="59" t="s">
        <v>3303</v>
      </c>
      <c r="AQ280" s="25" t="s">
        <v>880</v>
      </c>
      <c r="AR280" s="60" t="s">
        <v>3304</v>
      </c>
      <c r="AS280" s="59" t="s">
        <v>1101</v>
      </c>
      <c r="AT280" s="59" t="s">
        <v>2136</v>
      </c>
      <c r="AU280" s="59" t="s">
        <v>111</v>
      </c>
      <c r="AV280" s="62">
        <v>45351</v>
      </c>
      <c r="AW280" s="59" t="s">
        <v>6493</v>
      </c>
      <c r="AX280" s="59" t="s">
        <v>691</v>
      </c>
      <c r="AY280" s="59" t="s">
        <v>6494</v>
      </c>
      <c r="AZ280" s="126" t="s">
        <v>3305</v>
      </c>
      <c r="BA280" s="60" t="s">
        <v>3306</v>
      </c>
      <c r="BB280" s="60" t="s">
        <v>845</v>
      </c>
      <c r="BC280" s="59" t="s">
        <v>800</v>
      </c>
      <c r="BD280" s="60" t="s">
        <v>3302</v>
      </c>
      <c r="BE280" s="60"/>
      <c r="BF280" s="60"/>
      <c r="BG280" s="59" t="s">
        <v>3303</v>
      </c>
      <c r="BH280" s="25" t="s">
        <v>880</v>
      </c>
      <c r="BI280" s="60" t="s">
        <v>3304</v>
      </c>
      <c r="BJ280" s="59" t="s">
        <v>1101</v>
      </c>
      <c r="BK280" s="59" t="s">
        <v>2136</v>
      </c>
      <c r="BL280" s="59" t="s">
        <v>111</v>
      </c>
      <c r="BM280" s="62">
        <v>45351</v>
      </c>
      <c r="BN280" s="62"/>
      <c r="BO280" s="59" t="s">
        <v>719</v>
      </c>
      <c r="BP280" s="59"/>
      <c r="BQ280" s="77"/>
      <c r="BR280" s="60"/>
      <c r="BS280" s="60"/>
      <c r="BT280" s="59"/>
      <c r="BU280" s="60"/>
      <c r="BV280" s="60"/>
      <c r="BW280" s="59"/>
      <c r="BX280" s="60"/>
      <c r="BY280" s="60"/>
      <c r="BZ280" s="59"/>
      <c r="CA280" s="59"/>
      <c r="CB280" s="59"/>
      <c r="CC280" s="59"/>
      <c r="CD280" s="59"/>
      <c r="CE280" s="59" t="s">
        <v>7561</v>
      </c>
      <c r="CF280" s="60" t="s">
        <v>880</v>
      </c>
      <c r="CG280" s="59" t="s">
        <v>7227</v>
      </c>
      <c r="CH280" s="59" t="s">
        <v>6945</v>
      </c>
      <c r="CI280" s="59" t="s">
        <v>7144</v>
      </c>
      <c r="CJ280" s="59" t="s">
        <v>111</v>
      </c>
      <c r="CK280" s="47">
        <v>45351</v>
      </c>
      <c r="CL280" s="64" t="str">
        <f t="shared" ca="1" si="4"/>
        <v>18 Tahun 1 Bulan 0 Hari</v>
      </c>
      <c r="CM28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Sarirasa RT/RW 01/02 Desa/Kelurahan Marga Mekar Kecamatan Sumedang Selatan Sumedang  Jawa Barat 45351</v>
      </c>
    </row>
    <row r="281" spans="1:91" ht="24.95" customHeight="1">
      <c r="A281" s="58">
        <f>SUBTOTAL(3,N$8:Table2[[#This Row],[Nama lengkap]])</f>
        <v>274</v>
      </c>
      <c r="B281" s="58" t="s">
        <v>86</v>
      </c>
      <c r="C281" s="58">
        <v>2020</v>
      </c>
      <c r="D281" s="58"/>
      <c r="E281" s="58">
        <v>4</v>
      </c>
      <c r="F281" s="58" t="s">
        <v>2925</v>
      </c>
      <c r="G281" s="32" t="s">
        <v>2513</v>
      </c>
      <c r="H281" s="32" t="s">
        <v>2513</v>
      </c>
      <c r="I281" s="32" t="s">
        <v>2513</v>
      </c>
      <c r="J281" s="32"/>
      <c r="K281" s="32"/>
      <c r="L281" s="32"/>
      <c r="M281" s="58">
        <v>20210192</v>
      </c>
      <c r="N281" s="24" t="s">
        <v>6081</v>
      </c>
      <c r="O281" s="24"/>
      <c r="P281" s="25" t="s">
        <v>3308</v>
      </c>
      <c r="Q281" s="25" t="s">
        <v>3309</v>
      </c>
      <c r="R281" s="60" t="s">
        <v>456</v>
      </c>
      <c r="S281" s="61" t="s">
        <v>3310</v>
      </c>
      <c r="T281" s="47" t="s">
        <v>92</v>
      </c>
      <c r="U281" s="47">
        <v>5</v>
      </c>
      <c r="V281" s="47">
        <v>4</v>
      </c>
      <c r="W281" s="47" t="s">
        <v>207</v>
      </c>
      <c r="X281" s="59"/>
      <c r="Y281" s="59" t="s">
        <v>1247</v>
      </c>
      <c r="Z281" s="59" t="s">
        <v>1478</v>
      </c>
      <c r="AA281" s="59" t="s">
        <v>1141</v>
      </c>
      <c r="AB281" s="59" t="s">
        <v>689</v>
      </c>
      <c r="AC281" s="59" t="s">
        <v>208</v>
      </c>
      <c r="AD281" s="59" t="s">
        <v>208</v>
      </c>
      <c r="AE281" s="60" t="s">
        <v>3311</v>
      </c>
      <c r="AF281" s="60" t="s">
        <v>8531</v>
      </c>
      <c r="AG281" s="59" t="s">
        <v>8531</v>
      </c>
      <c r="AH281" s="59" t="s">
        <v>2222</v>
      </c>
      <c r="AI281" s="59" t="s">
        <v>388</v>
      </c>
      <c r="AJ281" s="61" t="s">
        <v>3312</v>
      </c>
      <c r="AK281" s="60" t="s">
        <v>3313</v>
      </c>
      <c r="AL281" s="60" t="s">
        <v>8251</v>
      </c>
      <c r="AM281" s="59" t="s">
        <v>800</v>
      </c>
      <c r="AN281" s="60"/>
      <c r="AO281" s="60"/>
      <c r="AP281" s="59" t="s">
        <v>3314</v>
      </c>
      <c r="AQ281" s="25" t="s">
        <v>1241</v>
      </c>
      <c r="AR281" s="60" t="s">
        <v>3315</v>
      </c>
      <c r="AS281" s="59" t="s">
        <v>2684</v>
      </c>
      <c r="AT281" s="59" t="s">
        <v>141</v>
      </c>
      <c r="AU281" s="59" t="s">
        <v>111</v>
      </c>
      <c r="AV281" s="62"/>
      <c r="AW281" s="59" t="s">
        <v>8037</v>
      </c>
      <c r="AX281" s="59" t="s">
        <v>1071</v>
      </c>
      <c r="AY281" s="59"/>
      <c r="AZ281" s="126"/>
      <c r="BA281" s="60"/>
      <c r="BB281" s="60"/>
      <c r="BC281" s="59"/>
      <c r="BD281" s="60"/>
      <c r="BE281" s="60"/>
      <c r="BF281" s="60"/>
      <c r="BG281" s="59" t="s">
        <v>3314</v>
      </c>
      <c r="BH281" s="60" t="s">
        <v>1241</v>
      </c>
      <c r="BI281" s="60" t="s">
        <v>3315</v>
      </c>
      <c r="BJ281" s="24" t="s">
        <v>2684</v>
      </c>
      <c r="BK281" s="59" t="s">
        <v>141</v>
      </c>
      <c r="BL281" s="59" t="s">
        <v>156</v>
      </c>
      <c r="BM281" s="24"/>
      <c r="BN281" s="24"/>
      <c r="BO281" s="59"/>
      <c r="BP281" s="59"/>
      <c r="BQ281" s="77"/>
      <c r="BR281" s="60"/>
      <c r="BS281" s="60"/>
      <c r="BT281" s="59"/>
      <c r="BU281" s="60"/>
      <c r="BV281" s="60"/>
      <c r="BW281" s="59"/>
      <c r="BX281" s="60"/>
      <c r="BY281" s="60"/>
      <c r="BZ281" s="59"/>
      <c r="CA281" s="59"/>
      <c r="CB281" s="59"/>
      <c r="CC281" s="59"/>
      <c r="CD281" s="59"/>
      <c r="CE281" s="59" t="s">
        <v>7562</v>
      </c>
      <c r="CF281" s="60" t="s">
        <v>1241</v>
      </c>
      <c r="CG281" s="59" t="s">
        <v>7228</v>
      </c>
      <c r="CH281" s="59" t="s">
        <v>7190</v>
      </c>
      <c r="CI281" s="59" t="s">
        <v>90</v>
      </c>
      <c r="CJ281" s="59" t="s">
        <v>111</v>
      </c>
      <c r="CK281" s="47"/>
      <c r="CL281" s="64" t="str">
        <f t="shared" ca="1" si="4"/>
        <v>20 Tahun 8 Bulan 11 Hari</v>
      </c>
      <c r="CM28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Jl.Akasia V No.36A RT/RW 02/18 Desa/Kelurahan Lagadar Kecamatan Margaasih Bandung Jawa Barat </v>
      </c>
    </row>
    <row r="282" spans="1:91" ht="24.95" customHeight="1">
      <c r="A282" s="58">
        <f>SUBTOTAL(3,N$8:Table2[[#This Row],[Nama lengkap]])</f>
        <v>275</v>
      </c>
      <c r="B282" s="58" t="s">
        <v>86</v>
      </c>
      <c r="C282" s="58">
        <v>2021</v>
      </c>
      <c r="D282" s="58" t="s">
        <v>8936</v>
      </c>
      <c r="E282" s="58">
        <v>4</v>
      </c>
      <c r="F282" s="58" t="s">
        <v>2925</v>
      </c>
      <c r="G282" s="32" t="s">
        <v>2513</v>
      </c>
      <c r="H282" s="32" t="s">
        <v>2513</v>
      </c>
      <c r="I282" s="32" t="s">
        <v>2513</v>
      </c>
      <c r="J282" s="32"/>
      <c r="K282" s="32"/>
      <c r="L282" s="32"/>
      <c r="M282" s="58">
        <v>21220168</v>
      </c>
      <c r="N282" s="24" t="s">
        <v>8846</v>
      </c>
      <c r="O282" s="24"/>
      <c r="P282" s="25" t="s">
        <v>3316</v>
      </c>
      <c r="Q282" s="25" t="s">
        <v>3317</v>
      </c>
      <c r="R282" s="60" t="s">
        <v>236</v>
      </c>
      <c r="S282" s="61" t="s">
        <v>3318</v>
      </c>
      <c r="T282" s="47" t="s">
        <v>92</v>
      </c>
      <c r="U282" s="47">
        <v>1</v>
      </c>
      <c r="V282" s="47">
        <v>5</v>
      </c>
      <c r="W282" s="47" t="s">
        <v>207</v>
      </c>
      <c r="X282" s="59"/>
      <c r="Y282" s="59" t="s">
        <v>1092</v>
      </c>
      <c r="Z282" s="59" t="s">
        <v>1478</v>
      </c>
      <c r="AA282" s="59" t="s">
        <v>96</v>
      </c>
      <c r="AB282" s="59" t="s">
        <v>689</v>
      </c>
      <c r="AC282" s="59" t="s">
        <v>208</v>
      </c>
      <c r="AD282" s="59" t="s">
        <v>208</v>
      </c>
      <c r="AE282" s="60" t="s">
        <v>3151</v>
      </c>
      <c r="AF282" s="60" t="s">
        <v>8302</v>
      </c>
      <c r="AG282" s="59" t="s">
        <v>8302</v>
      </c>
      <c r="AH282" s="59" t="s">
        <v>691</v>
      </c>
      <c r="AI282" s="59" t="s">
        <v>90</v>
      </c>
      <c r="AJ282" s="61">
        <v>30439</v>
      </c>
      <c r="AK282" s="60" t="s">
        <v>517</v>
      </c>
      <c r="AL282" s="60" t="s">
        <v>114</v>
      </c>
      <c r="AM282" s="59" t="s">
        <v>700</v>
      </c>
      <c r="AN282" s="60"/>
      <c r="AO282" s="60"/>
      <c r="AP282" s="59" t="s">
        <v>3319</v>
      </c>
      <c r="AQ282" s="25" t="s">
        <v>521</v>
      </c>
      <c r="AR282" s="60" t="s">
        <v>2030</v>
      </c>
      <c r="AS282" s="59" t="s">
        <v>2030</v>
      </c>
      <c r="AT282" s="59" t="s">
        <v>512</v>
      </c>
      <c r="AU282" s="59" t="s">
        <v>111</v>
      </c>
      <c r="AV282" s="62">
        <v>40392</v>
      </c>
      <c r="AW282" s="59" t="s">
        <v>7821</v>
      </c>
      <c r="AX282" s="59" t="s">
        <v>691</v>
      </c>
      <c r="AY282" s="59" t="s">
        <v>236</v>
      </c>
      <c r="AZ282" s="126">
        <v>32116</v>
      </c>
      <c r="BA282" s="60" t="s">
        <v>523</v>
      </c>
      <c r="BB282" s="60" t="s">
        <v>845</v>
      </c>
      <c r="BC282" s="59" t="s">
        <v>800</v>
      </c>
      <c r="BD282" s="60"/>
      <c r="BE282" s="60"/>
      <c r="BF282" s="60"/>
      <c r="BG282" s="59" t="s">
        <v>3319</v>
      </c>
      <c r="BH282" s="60" t="s">
        <v>521</v>
      </c>
      <c r="BI282" s="60" t="s">
        <v>2030</v>
      </c>
      <c r="BJ282" s="24" t="s">
        <v>2030</v>
      </c>
      <c r="BK282" s="59" t="s">
        <v>512</v>
      </c>
      <c r="BL282" s="59" t="s">
        <v>156</v>
      </c>
      <c r="BM282" s="24">
        <v>40392</v>
      </c>
      <c r="BN282" s="24"/>
      <c r="BO282" s="59"/>
      <c r="BP282" s="59"/>
      <c r="BQ282" s="77"/>
      <c r="BR282" s="60"/>
      <c r="BS282" s="60"/>
      <c r="BT282" s="59"/>
      <c r="BU282" s="60"/>
      <c r="BV282" s="60"/>
      <c r="BW282" s="59"/>
      <c r="BX282" s="60"/>
      <c r="BY282" s="60"/>
      <c r="BZ282" s="59"/>
      <c r="CA282" s="59"/>
      <c r="CB282" s="59"/>
      <c r="CC282" s="59"/>
      <c r="CD282" s="59"/>
      <c r="CE282" s="59" t="s">
        <v>7563</v>
      </c>
      <c r="CF282" s="60" t="s">
        <v>521</v>
      </c>
      <c r="CG282" s="59" t="s">
        <v>522</v>
      </c>
      <c r="CH282" s="59" t="s">
        <v>522</v>
      </c>
      <c r="CI282" s="59" t="s">
        <v>236</v>
      </c>
      <c r="CJ282" s="59" t="s">
        <v>111</v>
      </c>
      <c r="CK282" s="47">
        <v>40392</v>
      </c>
      <c r="CL282" s="64" t="str">
        <f t="shared" ca="1" si="4"/>
        <v>16 Tahun 9 Bulan 11 Hari</v>
      </c>
      <c r="CM28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Kp.Palalangon Lebak RT/RW 02/05 Desa/Kelurahan Cisurupan Kecamatan Cisurupan Garut Jawa Barat 40392</v>
      </c>
    </row>
    <row r="283" spans="1:91" ht="24.95" customHeight="1">
      <c r="A283" s="58">
        <f>SUBTOTAL(3,N$8:Table2[[#This Row],[Nama lengkap]])</f>
        <v>276</v>
      </c>
      <c r="B283" s="58" t="s">
        <v>86</v>
      </c>
      <c r="C283" s="58">
        <v>2020</v>
      </c>
      <c r="D283" s="58"/>
      <c r="E283" s="58">
        <v>5</v>
      </c>
      <c r="F283" s="58" t="s">
        <v>3320</v>
      </c>
      <c r="G283" s="32" t="s">
        <v>2513</v>
      </c>
      <c r="H283" s="32" t="s">
        <v>2513</v>
      </c>
      <c r="I283" s="32" t="s">
        <v>2513</v>
      </c>
      <c r="J283" s="32"/>
      <c r="K283" s="32"/>
      <c r="L283" s="32"/>
      <c r="M283" s="58">
        <v>20210219</v>
      </c>
      <c r="N283" s="24" t="s">
        <v>3321</v>
      </c>
      <c r="O283" s="24"/>
      <c r="P283" s="25" t="s">
        <v>3322</v>
      </c>
      <c r="Q283" s="25" t="s">
        <v>3323</v>
      </c>
      <c r="R283" s="59" t="s">
        <v>122</v>
      </c>
      <c r="S283" s="61" t="s">
        <v>3324</v>
      </c>
      <c r="T283" s="47" t="s">
        <v>92</v>
      </c>
      <c r="U283" s="47">
        <v>6</v>
      </c>
      <c r="V283" s="47">
        <v>5</v>
      </c>
      <c r="W283" s="47" t="s">
        <v>207</v>
      </c>
      <c r="X283" s="59" t="s">
        <v>123</v>
      </c>
      <c r="Y283" s="59" t="s">
        <v>1012</v>
      </c>
      <c r="Z283" s="59" t="s">
        <v>2040</v>
      </c>
      <c r="AA283" s="59" t="s">
        <v>753</v>
      </c>
      <c r="AB283" s="59" t="s">
        <v>1151</v>
      </c>
      <c r="AC283" s="59" t="s">
        <v>208</v>
      </c>
      <c r="AD283" s="59" t="s">
        <v>208</v>
      </c>
      <c r="AE283" s="60" t="s">
        <v>3325</v>
      </c>
      <c r="AF283" s="59" t="s">
        <v>8532</v>
      </c>
      <c r="AG283" s="59" t="s">
        <v>8533</v>
      </c>
      <c r="AH283" s="59" t="s">
        <v>2222</v>
      </c>
      <c r="AI283" s="59"/>
      <c r="AJ283" s="61"/>
      <c r="AK283" s="60"/>
      <c r="AL283" s="59"/>
      <c r="AM283" s="59"/>
      <c r="AN283" s="60"/>
      <c r="AO283" s="59"/>
      <c r="AP283" s="59"/>
      <c r="AQ283" s="25"/>
      <c r="AR283" s="59"/>
      <c r="AS283" s="59"/>
      <c r="AT283" s="59"/>
      <c r="AU283" s="59" t="s">
        <v>111</v>
      </c>
      <c r="AV283" s="62"/>
      <c r="AW283" s="59" t="s">
        <v>3326</v>
      </c>
      <c r="AX283" s="59" t="s">
        <v>691</v>
      </c>
      <c r="AY283" s="59" t="s">
        <v>122</v>
      </c>
      <c r="AZ283" s="126" t="s">
        <v>3327</v>
      </c>
      <c r="BA283" s="60" t="s">
        <v>3328</v>
      </c>
      <c r="BB283" s="59" t="s">
        <v>845</v>
      </c>
      <c r="BC283" s="59" t="s">
        <v>693</v>
      </c>
      <c r="BD283" s="60"/>
      <c r="BE283" s="59"/>
      <c r="BF283" s="59"/>
      <c r="BG283" s="59" t="s">
        <v>3329</v>
      </c>
      <c r="BH283" s="60" t="s">
        <v>1441</v>
      </c>
      <c r="BI283" s="59" t="s">
        <v>3330</v>
      </c>
      <c r="BJ283" s="24" t="s">
        <v>1324</v>
      </c>
      <c r="BK283" s="59" t="s">
        <v>1090</v>
      </c>
      <c r="BL283" s="59" t="s">
        <v>156</v>
      </c>
      <c r="BM283" s="24">
        <v>45352</v>
      </c>
      <c r="BN283" s="24"/>
      <c r="BO283" s="59" t="s">
        <v>701</v>
      </c>
      <c r="BP283" s="59"/>
      <c r="BQ283" s="77"/>
      <c r="BR283" s="60"/>
      <c r="BS283" s="59"/>
      <c r="BT283" s="59"/>
      <c r="BU283" s="60"/>
      <c r="BV283" s="59"/>
      <c r="BW283" s="59"/>
      <c r="BX283" s="60"/>
      <c r="BY283" s="59"/>
      <c r="BZ283" s="59"/>
      <c r="CA283" s="59"/>
      <c r="CB283" s="59"/>
      <c r="CC283" s="59"/>
      <c r="CD283" s="59"/>
      <c r="CE283" s="59" t="s">
        <v>7564</v>
      </c>
      <c r="CF283" s="60" t="s">
        <v>1441</v>
      </c>
      <c r="CG283" s="59" t="s">
        <v>7229</v>
      </c>
      <c r="CH283" s="24" t="s">
        <v>134</v>
      </c>
      <c r="CI283" s="59" t="s">
        <v>122</v>
      </c>
      <c r="CJ283" s="59" t="s">
        <v>111</v>
      </c>
      <c r="CK283" s="47">
        <v>45352</v>
      </c>
      <c r="CL283" s="64" t="str">
        <f t="shared" ca="1" si="4"/>
        <v>23 Tahun 9 Bulan 15 Hari</v>
      </c>
      <c r="CM28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Bojongloa RT/RW 01/06 Desa/Kelurahan Girimukti Kecamatan Sumedang Utara Sumedang Jawa Barat 45352</v>
      </c>
    </row>
    <row r="284" spans="1:91" ht="24.95" customHeight="1">
      <c r="A284" s="58">
        <f>SUBTOTAL(3,N$8:Table2[[#This Row],[Nama lengkap]])</f>
        <v>277</v>
      </c>
      <c r="B284" s="58" t="s">
        <v>86</v>
      </c>
      <c r="C284" s="58">
        <v>2019</v>
      </c>
      <c r="D284" s="58"/>
      <c r="E284" s="58">
        <v>5</v>
      </c>
      <c r="F284" s="58" t="s">
        <v>3320</v>
      </c>
      <c r="G284" s="32" t="s">
        <v>2513</v>
      </c>
      <c r="H284" s="32" t="s">
        <v>2513</v>
      </c>
      <c r="I284" s="32" t="s">
        <v>2513</v>
      </c>
      <c r="J284" s="32"/>
      <c r="K284" s="32"/>
      <c r="L284" s="32"/>
      <c r="M284" s="58">
        <v>19200185</v>
      </c>
      <c r="N284" s="24" t="s">
        <v>3331</v>
      </c>
      <c r="O284" s="24"/>
      <c r="P284" s="25" t="s">
        <v>3332</v>
      </c>
      <c r="Q284" s="25" t="s">
        <v>3333</v>
      </c>
      <c r="R284" s="59" t="s">
        <v>90</v>
      </c>
      <c r="S284" s="61" t="s">
        <v>3334</v>
      </c>
      <c r="T284" s="47" t="s">
        <v>92</v>
      </c>
      <c r="U284" s="47">
        <v>2</v>
      </c>
      <c r="V284" s="47">
        <v>1</v>
      </c>
      <c r="W284" s="47" t="s">
        <v>207</v>
      </c>
      <c r="X284" s="59" t="s">
        <v>3335</v>
      </c>
      <c r="Y284" s="59" t="s">
        <v>1012</v>
      </c>
      <c r="Z284" s="59" t="s">
        <v>1042</v>
      </c>
      <c r="AA284" s="59" t="s">
        <v>96</v>
      </c>
      <c r="AB284" s="59" t="s">
        <v>689</v>
      </c>
      <c r="AC284" s="59" t="s">
        <v>208</v>
      </c>
      <c r="AD284" s="59" t="s">
        <v>208</v>
      </c>
      <c r="AE284" s="35" t="s">
        <v>3336</v>
      </c>
      <c r="AF284" s="59" t="s">
        <v>8534</v>
      </c>
      <c r="AG284" s="59" t="s">
        <v>8534</v>
      </c>
      <c r="AH284" s="59" t="s">
        <v>691</v>
      </c>
      <c r="AI284" s="59" t="s">
        <v>90</v>
      </c>
      <c r="AJ284" s="61" t="s">
        <v>3337</v>
      </c>
      <c r="AK284" s="60" t="s">
        <v>3338</v>
      </c>
      <c r="AL284" s="59" t="s">
        <v>114</v>
      </c>
      <c r="AM284" s="59" t="s">
        <v>700</v>
      </c>
      <c r="AN284" s="60"/>
      <c r="AO284" s="59"/>
      <c r="AP284" s="59" t="s">
        <v>3339</v>
      </c>
      <c r="AQ284" s="25" t="s">
        <v>3340</v>
      </c>
      <c r="AR284" s="59" t="s">
        <v>3341</v>
      </c>
      <c r="AS284" s="59" t="s">
        <v>2883</v>
      </c>
      <c r="AT284" s="59" t="s">
        <v>141</v>
      </c>
      <c r="AU284" s="59" t="s">
        <v>111</v>
      </c>
      <c r="AV284" s="62">
        <v>40381</v>
      </c>
      <c r="AW284" s="59" t="s">
        <v>8038</v>
      </c>
      <c r="AX284" s="59" t="s">
        <v>691</v>
      </c>
      <c r="AY284" s="59" t="s">
        <v>90</v>
      </c>
      <c r="AZ284" s="126" t="s">
        <v>3342</v>
      </c>
      <c r="BA284" s="60" t="s">
        <v>3343</v>
      </c>
      <c r="BB284" s="59" t="s">
        <v>602</v>
      </c>
      <c r="BC284" s="59" t="s">
        <v>700</v>
      </c>
      <c r="BD284" s="60"/>
      <c r="BE284" s="59"/>
      <c r="BF284" s="59"/>
      <c r="BG284" s="59" t="s">
        <v>3339</v>
      </c>
      <c r="BH284" s="60" t="s">
        <v>3340</v>
      </c>
      <c r="BI284" s="59" t="s">
        <v>3341</v>
      </c>
      <c r="BJ284" s="24" t="s">
        <v>2883</v>
      </c>
      <c r="BK284" s="59" t="s">
        <v>141</v>
      </c>
      <c r="BL284" s="59" t="s">
        <v>156</v>
      </c>
      <c r="BM284" s="24">
        <v>40381</v>
      </c>
      <c r="BN284" s="24"/>
      <c r="BO284" s="59" t="s">
        <v>701</v>
      </c>
      <c r="BP284" s="59"/>
      <c r="BQ284" s="77"/>
      <c r="BR284" s="60"/>
      <c r="BS284" s="59"/>
      <c r="BT284" s="59"/>
      <c r="BU284" s="60"/>
      <c r="BV284" s="59"/>
      <c r="BW284" s="59"/>
      <c r="BX284" s="60"/>
      <c r="BY284" s="59"/>
      <c r="BZ284" s="59"/>
      <c r="CA284" s="59"/>
      <c r="CB284" s="59"/>
      <c r="CC284" s="59"/>
      <c r="CD284" s="59"/>
      <c r="CE284" s="59" t="s">
        <v>422</v>
      </c>
      <c r="CF284" s="60" t="s">
        <v>3340</v>
      </c>
      <c r="CG284" s="59" t="s">
        <v>7230</v>
      </c>
      <c r="CH284" s="59" t="s">
        <v>176</v>
      </c>
      <c r="CI284" s="59" t="s">
        <v>90</v>
      </c>
      <c r="CJ284" s="59" t="s">
        <v>111</v>
      </c>
      <c r="CK284" s="47">
        <v>40381</v>
      </c>
      <c r="CL284" s="64" t="str">
        <f t="shared" ca="1" si="4"/>
        <v>18 Tahun 9 Bulan 4 Hari</v>
      </c>
      <c r="CM28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Kp.Babakan Cianjur RT/RW 03/08 Desa/Kelurahan Sumbersari  Kecamatan Ciparay Bandung Jawa Barat 40381</v>
      </c>
    </row>
    <row r="285" spans="1:91" ht="24.95" customHeight="1">
      <c r="A285" s="58">
        <f>SUBTOTAL(3,N$8:Table2[[#This Row],[Nama lengkap]])</f>
        <v>278</v>
      </c>
      <c r="B285" s="58" t="s">
        <v>86</v>
      </c>
      <c r="C285" s="58">
        <v>2019</v>
      </c>
      <c r="D285" s="58"/>
      <c r="E285" s="58">
        <v>5</v>
      </c>
      <c r="F285" s="58" t="s">
        <v>3320</v>
      </c>
      <c r="G285" s="32" t="s">
        <v>2513</v>
      </c>
      <c r="H285" s="32" t="s">
        <v>2513</v>
      </c>
      <c r="I285" s="32" t="s">
        <v>2513</v>
      </c>
      <c r="J285" s="32"/>
      <c r="K285" s="32"/>
      <c r="L285" s="32"/>
      <c r="M285" s="58">
        <v>19200190</v>
      </c>
      <c r="N285" s="24" t="s">
        <v>3344</v>
      </c>
      <c r="O285" s="24"/>
      <c r="P285" s="25" t="s">
        <v>3345</v>
      </c>
      <c r="Q285" s="25" t="s">
        <v>3346</v>
      </c>
      <c r="R285" s="59" t="s">
        <v>122</v>
      </c>
      <c r="S285" s="61" t="s">
        <v>3347</v>
      </c>
      <c r="T285" s="47" t="s">
        <v>92</v>
      </c>
      <c r="U285" s="47">
        <v>2</v>
      </c>
      <c r="V285" s="47">
        <v>2</v>
      </c>
      <c r="W285" s="47" t="s">
        <v>207</v>
      </c>
      <c r="X285" s="59" t="s">
        <v>93</v>
      </c>
      <c r="Y285" s="59" t="s">
        <v>1012</v>
      </c>
      <c r="Z285" s="59" t="s">
        <v>1042</v>
      </c>
      <c r="AA285" s="59" t="s">
        <v>1141</v>
      </c>
      <c r="AB285" s="59" t="s">
        <v>689</v>
      </c>
      <c r="AC285" s="59" t="s">
        <v>208</v>
      </c>
      <c r="AD285" s="59" t="s">
        <v>208</v>
      </c>
      <c r="AE285" s="60" t="s">
        <v>3348</v>
      </c>
      <c r="AF285" s="59" t="s">
        <v>8535</v>
      </c>
      <c r="AG285" s="59" t="s">
        <v>8535</v>
      </c>
      <c r="AH285" s="59" t="s">
        <v>691</v>
      </c>
      <c r="AI285" s="59" t="s">
        <v>122</v>
      </c>
      <c r="AJ285" s="61" t="s">
        <v>3349</v>
      </c>
      <c r="AK285" s="60" t="s">
        <v>3350</v>
      </c>
      <c r="AL285" s="59" t="s">
        <v>114</v>
      </c>
      <c r="AM285" s="59" t="s">
        <v>693</v>
      </c>
      <c r="AN285" s="60"/>
      <c r="AO285" s="59"/>
      <c r="AP285" s="59" t="s">
        <v>3351</v>
      </c>
      <c r="AQ285" s="25" t="s">
        <v>152</v>
      </c>
      <c r="AR285" s="59" t="s">
        <v>2293</v>
      </c>
      <c r="AS285" s="59" t="s">
        <v>2294</v>
      </c>
      <c r="AT285" s="59" t="s">
        <v>1090</v>
      </c>
      <c r="AU285" s="59" t="s">
        <v>111</v>
      </c>
      <c r="AV285" s="62">
        <v>45362</v>
      </c>
      <c r="AW285" s="59" t="s">
        <v>8039</v>
      </c>
      <c r="AX285" s="59" t="s">
        <v>691</v>
      </c>
      <c r="AY285" s="59" t="s">
        <v>236</v>
      </c>
      <c r="AZ285" s="126" t="s">
        <v>3352</v>
      </c>
      <c r="BA285" s="60" t="s">
        <v>3353</v>
      </c>
      <c r="BB285" s="59" t="s">
        <v>845</v>
      </c>
      <c r="BC285" s="59" t="s">
        <v>693</v>
      </c>
      <c r="BD285" s="60"/>
      <c r="BE285" s="59"/>
      <c r="BF285" s="59"/>
      <c r="BG285" s="59" t="s">
        <v>3351</v>
      </c>
      <c r="BH285" s="60" t="s">
        <v>152</v>
      </c>
      <c r="BI285" s="59" t="s">
        <v>2293</v>
      </c>
      <c r="BJ285" s="24" t="s">
        <v>2294</v>
      </c>
      <c r="BK285" s="59" t="s">
        <v>1090</v>
      </c>
      <c r="BL285" s="59" t="s">
        <v>156</v>
      </c>
      <c r="BM285" s="24">
        <v>45362</v>
      </c>
      <c r="BN285" s="24"/>
      <c r="BO285" s="59" t="s">
        <v>701</v>
      </c>
      <c r="BP285" s="59"/>
      <c r="BQ285" s="77"/>
      <c r="BR285" s="60"/>
      <c r="BS285" s="59"/>
      <c r="BT285" s="59"/>
      <c r="BU285" s="60"/>
      <c r="BV285" s="59"/>
      <c r="BW285" s="59"/>
      <c r="BX285" s="60"/>
      <c r="BY285" s="59"/>
      <c r="BZ285" s="59"/>
      <c r="CA285" s="59"/>
      <c r="CB285" s="59"/>
      <c r="CC285" s="59"/>
      <c r="CD285" s="59"/>
      <c r="CE285" s="59" t="s">
        <v>7565</v>
      </c>
      <c r="CF285" s="60" t="s">
        <v>152</v>
      </c>
      <c r="CG285" s="59" t="s">
        <v>7161</v>
      </c>
      <c r="CH285" s="59" t="s">
        <v>593</v>
      </c>
      <c r="CI285" s="59" t="s">
        <v>122</v>
      </c>
      <c r="CJ285" s="59" t="s">
        <v>111</v>
      </c>
      <c r="CK285" s="47">
        <v>45362</v>
      </c>
      <c r="CL285" s="64" t="str">
        <f t="shared" ca="1" si="4"/>
        <v>21 Tahun 7 Bulan 19 Hari</v>
      </c>
      <c r="CM28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Mariuk RT/RW 02/03 Desa/Kelurahan Margaluyu Kecamatan Tanjungsari Sumedang Jawa Barat 45362</v>
      </c>
    </row>
    <row r="286" spans="1:91" ht="24.95" customHeight="1">
      <c r="A286" s="58">
        <f>SUBTOTAL(3,N$8:Table2[[#This Row],[Nama lengkap]])</f>
        <v>279</v>
      </c>
      <c r="B286" s="58" t="s">
        <v>86</v>
      </c>
      <c r="C286" s="58">
        <v>2020</v>
      </c>
      <c r="D286" s="58"/>
      <c r="E286" s="58">
        <v>5</v>
      </c>
      <c r="F286" s="58" t="s">
        <v>3320</v>
      </c>
      <c r="G286" s="32" t="s">
        <v>2513</v>
      </c>
      <c r="H286" s="32" t="s">
        <v>2513</v>
      </c>
      <c r="I286" s="32" t="s">
        <v>2513</v>
      </c>
      <c r="J286" s="32"/>
      <c r="K286" s="32"/>
      <c r="L286" s="32"/>
      <c r="M286" s="58">
        <v>20210241</v>
      </c>
      <c r="N286" s="24" t="s">
        <v>3354</v>
      </c>
      <c r="O286" s="24"/>
      <c r="P286" s="25" t="s">
        <v>3355</v>
      </c>
      <c r="Q286" s="25" t="s">
        <v>3356</v>
      </c>
      <c r="R286" s="59" t="s">
        <v>122</v>
      </c>
      <c r="S286" s="61" t="s">
        <v>3357</v>
      </c>
      <c r="T286" s="47" t="s">
        <v>92</v>
      </c>
      <c r="U286" s="47">
        <v>1</v>
      </c>
      <c r="V286" s="47">
        <v>3</v>
      </c>
      <c r="W286" s="47" t="s">
        <v>207</v>
      </c>
      <c r="X286" s="59" t="s">
        <v>123</v>
      </c>
      <c r="Y286" s="59" t="s">
        <v>1012</v>
      </c>
      <c r="Z286" s="59" t="s">
        <v>1042</v>
      </c>
      <c r="AA286" s="59" t="s">
        <v>1141</v>
      </c>
      <c r="AB286" s="59" t="s">
        <v>689</v>
      </c>
      <c r="AC286" s="59" t="s">
        <v>208</v>
      </c>
      <c r="AD286" s="59" t="s">
        <v>208</v>
      </c>
      <c r="AE286" s="60" t="s">
        <v>3358</v>
      </c>
      <c r="AF286" s="59" t="s">
        <v>8536</v>
      </c>
      <c r="AG286" s="59" t="s">
        <v>8536</v>
      </c>
      <c r="AH286" s="59" t="s">
        <v>691</v>
      </c>
      <c r="AI286" s="59" t="s">
        <v>6839</v>
      </c>
      <c r="AJ286" s="61" t="s">
        <v>3359</v>
      </c>
      <c r="AK286" s="60" t="s">
        <v>3360</v>
      </c>
      <c r="AL286" s="59" t="s">
        <v>914</v>
      </c>
      <c r="AM286" s="59" t="s">
        <v>700</v>
      </c>
      <c r="AN286" s="60"/>
      <c r="AO286" s="59"/>
      <c r="AP286" s="59" t="s">
        <v>3361</v>
      </c>
      <c r="AQ286" s="25" t="s">
        <v>1254</v>
      </c>
      <c r="AR286" s="59" t="s">
        <v>3362</v>
      </c>
      <c r="AS286" s="59" t="s">
        <v>2173</v>
      </c>
      <c r="AT286" s="59" t="s">
        <v>1090</v>
      </c>
      <c r="AU286" s="59" t="s">
        <v>111</v>
      </c>
      <c r="AV286" s="62">
        <v>45363</v>
      </c>
      <c r="AW286" s="59" t="s">
        <v>8040</v>
      </c>
      <c r="AX286" s="59" t="s">
        <v>691</v>
      </c>
      <c r="AY286" s="59" t="s">
        <v>7801</v>
      </c>
      <c r="AZ286" s="126" t="s">
        <v>3363</v>
      </c>
      <c r="BA286" s="60" t="s">
        <v>3364</v>
      </c>
      <c r="BB286" s="59" t="s">
        <v>845</v>
      </c>
      <c r="BC286" s="59" t="s">
        <v>693</v>
      </c>
      <c r="BD286" s="60"/>
      <c r="BE286" s="59"/>
      <c r="BF286" s="59"/>
      <c r="BG286" s="59" t="s">
        <v>3361</v>
      </c>
      <c r="BH286" s="60" t="s">
        <v>1254</v>
      </c>
      <c r="BI286" s="59" t="s">
        <v>3362</v>
      </c>
      <c r="BJ286" s="24" t="s">
        <v>2173</v>
      </c>
      <c r="BK286" s="59" t="s">
        <v>1090</v>
      </c>
      <c r="BL286" s="59" t="s">
        <v>156</v>
      </c>
      <c r="BM286" s="24">
        <v>45363</v>
      </c>
      <c r="BN286" s="24"/>
      <c r="BO286" s="59" t="s">
        <v>701</v>
      </c>
      <c r="BP286" s="59"/>
      <c r="BQ286" s="77"/>
      <c r="BR286" s="60"/>
      <c r="BS286" s="59"/>
      <c r="BT286" s="59"/>
      <c r="BU286" s="60"/>
      <c r="BV286" s="59"/>
      <c r="BW286" s="59"/>
      <c r="BX286" s="60"/>
      <c r="BY286" s="59"/>
      <c r="BZ286" s="59"/>
      <c r="CA286" s="59"/>
      <c r="CB286" s="59"/>
      <c r="CC286" s="59"/>
      <c r="CD286" s="59"/>
      <c r="CE286" s="59" t="s">
        <v>974</v>
      </c>
      <c r="CF286" s="60" t="s">
        <v>1254</v>
      </c>
      <c r="CG286" s="59" t="s">
        <v>975</v>
      </c>
      <c r="CH286" s="59" t="s">
        <v>561</v>
      </c>
      <c r="CI286" s="59" t="s">
        <v>122</v>
      </c>
      <c r="CJ286" s="59" t="s">
        <v>111</v>
      </c>
      <c r="CK286" s="47">
        <v>45363</v>
      </c>
      <c r="CL286" s="64" t="str">
        <f t="shared" ca="1" si="4"/>
        <v>20 Tahun 8 Bulan 7 Hari</v>
      </c>
      <c r="CM28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Sirnagalih RT/RW 01/13 Desa/Kelurahan Mekargalih Kecamatan Jatinangor Sumedang Jawa Barat 45363</v>
      </c>
    </row>
    <row r="287" spans="1:91" ht="24.95" customHeight="1">
      <c r="A287" s="58">
        <f>SUBTOTAL(3,N$8:Table2[[#This Row],[Nama lengkap]])</f>
        <v>280</v>
      </c>
      <c r="B287" s="58" t="s">
        <v>86</v>
      </c>
      <c r="C287" s="58">
        <v>2019</v>
      </c>
      <c r="D287" s="58"/>
      <c r="E287" s="58">
        <v>5</v>
      </c>
      <c r="F287" s="58" t="s">
        <v>3320</v>
      </c>
      <c r="G287" s="32" t="s">
        <v>2513</v>
      </c>
      <c r="H287" s="32" t="s">
        <v>2513</v>
      </c>
      <c r="I287" s="32" t="s">
        <v>2513</v>
      </c>
      <c r="J287" s="32"/>
      <c r="K287" s="32"/>
      <c r="L287" s="32"/>
      <c r="M287" s="58">
        <v>19200192</v>
      </c>
      <c r="N287" s="24" t="s">
        <v>3365</v>
      </c>
      <c r="O287" s="24"/>
      <c r="P287" s="25" t="s">
        <v>3366</v>
      </c>
      <c r="Q287" s="25" t="s">
        <v>3367</v>
      </c>
      <c r="R287" s="60" t="s">
        <v>90</v>
      </c>
      <c r="S287" s="61" t="s">
        <v>3368</v>
      </c>
      <c r="T287" s="47" t="s">
        <v>92</v>
      </c>
      <c r="U287" s="47">
        <v>2</v>
      </c>
      <c r="V287" s="47">
        <v>2</v>
      </c>
      <c r="W287" s="47" t="s">
        <v>207</v>
      </c>
      <c r="X287" s="59" t="s">
        <v>93</v>
      </c>
      <c r="Y287" s="59" t="s">
        <v>1247</v>
      </c>
      <c r="Z287" s="59" t="s">
        <v>1150</v>
      </c>
      <c r="AA287" s="59" t="s">
        <v>96</v>
      </c>
      <c r="AB287" s="59" t="s">
        <v>689</v>
      </c>
      <c r="AC287" s="59" t="s">
        <v>208</v>
      </c>
      <c r="AD287" s="59" t="s">
        <v>208</v>
      </c>
      <c r="AE287" s="60" t="s">
        <v>99</v>
      </c>
      <c r="AF287" s="60" t="s">
        <v>8537</v>
      </c>
      <c r="AG287" s="59" t="s">
        <v>8537</v>
      </c>
      <c r="AH287" s="59" t="s">
        <v>691</v>
      </c>
      <c r="AI287" s="59" t="s">
        <v>90</v>
      </c>
      <c r="AJ287" s="61" t="s">
        <v>3369</v>
      </c>
      <c r="AK287" s="60" t="s">
        <v>102</v>
      </c>
      <c r="AL287" s="60" t="s">
        <v>8258</v>
      </c>
      <c r="AM287" s="59" t="s">
        <v>1820</v>
      </c>
      <c r="AN287" s="60"/>
      <c r="AO287" s="60"/>
      <c r="AP287" s="59" t="s">
        <v>3370</v>
      </c>
      <c r="AQ287" s="25" t="s">
        <v>2545</v>
      </c>
      <c r="AR287" s="60" t="s">
        <v>3294</v>
      </c>
      <c r="AS287" s="59" t="s">
        <v>1913</v>
      </c>
      <c r="AT287" s="59" t="s">
        <v>141</v>
      </c>
      <c r="AU287" s="59" t="s">
        <v>111</v>
      </c>
      <c r="AV287" s="62">
        <v>40971</v>
      </c>
      <c r="AW287" s="59" t="s">
        <v>8041</v>
      </c>
      <c r="AX287" s="59" t="s">
        <v>691</v>
      </c>
      <c r="AY287" s="59" t="s">
        <v>90</v>
      </c>
      <c r="AZ287" s="126" t="s">
        <v>3371</v>
      </c>
      <c r="BA287" s="60" t="s">
        <v>113</v>
      </c>
      <c r="BB287" s="60" t="s">
        <v>845</v>
      </c>
      <c r="BC287" s="59" t="s">
        <v>800</v>
      </c>
      <c r="BD287" s="60"/>
      <c r="BE287" s="60"/>
      <c r="BF287" s="60"/>
      <c r="BG287" s="59" t="s">
        <v>3370</v>
      </c>
      <c r="BH287" s="60" t="s">
        <v>2545</v>
      </c>
      <c r="BI287" s="60" t="s">
        <v>3294</v>
      </c>
      <c r="BJ287" s="24" t="s">
        <v>1913</v>
      </c>
      <c r="BK287" s="59" t="s">
        <v>141</v>
      </c>
      <c r="BL287" s="59" t="s">
        <v>156</v>
      </c>
      <c r="BM287" s="24">
        <v>40971</v>
      </c>
      <c r="BN287" s="24"/>
      <c r="BO287" s="59" t="s">
        <v>701</v>
      </c>
      <c r="BP287" s="59"/>
      <c r="BQ287" s="77"/>
      <c r="BR287" s="60"/>
      <c r="BS287" s="60"/>
      <c r="BT287" s="59"/>
      <c r="BU287" s="60"/>
      <c r="BV287" s="60"/>
      <c r="BW287" s="59"/>
      <c r="BX287" s="60"/>
      <c r="BY287" s="60"/>
      <c r="BZ287" s="59"/>
      <c r="CA287" s="59"/>
      <c r="CB287" s="59"/>
      <c r="CC287" s="59"/>
      <c r="CD287" s="59"/>
      <c r="CE287" s="59" t="s">
        <v>7566</v>
      </c>
      <c r="CF287" s="60" t="s">
        <v>2545</v>
      </c>
      <c r="CG287" s="59" t="s">
        <v>7226</v>
      </c>
      <c r="CH287" s="59" t="s">
        <v>110</v>
      </c>
      <c r="CI287" s="59" t="s">
        <v>90</v>
      </c>
      <c r="CJ287" s="59" t="s">
        <v>111</v>
      </c>
      <c r="CK287" s="47">
        <v>40971</v>
      </c>
      <c r="CL287" s="64" t="str">
        <f t="shared" ca="1" si="4"/>
        <v>19 Tahun 8 Bulan 3 Hari</v>
      </c>
      <c r="CM28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Komp.Soreang Residence F4 No.12/13 RT/RW 04/17 Desa/Kelurahan Gandasari Kecamatan Katapang Bandung Jawa Barat 40971</v>
      </c>
    </row>
    <row r="288" spans="1:91" ht="24.95" customHeight="1">
      <c r="A288" s="58">
        <f>SUBTOTAL(3,N$8:Table2[[#This Row],[Nama lengkap]])</f>
        <v>281</v>
      </c>
      <c r="B288" s="58" t="s">
        <v>86</v>
      </c>
      <c r="C288" s="58">
        <v>2020</v>
      </c>
      <c r="D288" s="58"/>
      <c r="E288" s="58">
        <v>5</v>
      </c>
      <c r="F288" s="58" t="s">
        <v>3320</v>
      </c>
      <c r="G288" s="32" t="s">
        <v>2513</v>
      </c>
      <c r="H288" s="32" t="s">
        <v>2513</v>
      </c>
      <c r="I288" s="32" t="s">
        <v>2513</v>
      </c>
      <c r="J288" s="32"/>
      <c r="K288" s="32"/>
      <c r="L288" s="32"/>
      <c r="M288" s="58">
        <v>20210196</v>
      </c>
      <c r="N288" s="24" t="s">
        <v>3372</v>
      </c>
      <c r="O288" s="24"/>
      <c r="P288" s="25" t="s">
        <v>3373</v>
      </c>
      <c r="Q288" s="25" t="s">
        <v>3374</v>
      </c>
      <c r="R288" s="60" t="s">
        <v>90</v>
      </c>
      <c r="S288" s="61" t="s">
        <v>3375</v>
      </c>
      <c r="T288" s="47" t="s">
        <v>92</v>
      </c>
      <c r="U288" s="47">
        <v>1</v>
      </c>
      <c r="V288" s="47">
        <v>2</v>
      </c>
      <c r="W288" s="47" t="s">
        <v>207</v>
      </c>
      <c r="X288" s="59" t="s">
        <v>93</v>
      </c>
      <c r="Y288" s="59" t="s">
        <v>1012</v>
      </c>
      <c r="Z288" s="59" t="s">
        <v>1150</v>
      </c>
      <c r="AA288" s="59" t="s">
        <v>96</v>
      </c>
      <c r="AB288" s="59" t="s">
        <v>689</v>
      </c>
      <c r="AC288" s="59" t="s">
        <v>208</v>
      </c>
      <c r="AD288" s="59" t="s">
        <v>208</v>
      </c>
      <c r="AE288" s="60" t="s">
        <v>3376</v>
      </c>
      <c r="AF288" s="60" t="s">
        <v>8538</v>
      </c>
      <c r="AG288" s="59" t="s">
        <v>8538</v>
      </c>
      <c r="AH288" s="59" t="s">
        <v>691</v>
      </c>
      <c r="AI288" s="59" t="s">
        <v>90</v>
      </c>
      <c r="AJ288" s="61" t="s">
        <v>3377</v>
      </c>
      <c r="AK288" s="60" t="s">
        <v>3378</v>
      </c>
      <c r="AL288" s="60" t="s">
        <v>289</v>
      </c>
      <c r="AM288" s="59" t="s">
        <v>700</v>
      </c>
      <c r="AN288" s="60"/>
      <c r="AO288" s="60"/>
      <c r="AP288" s="59" t="s">
        <v>3379</v>
      </c>
      <c r="AQ288" s="25" t="s">
        <v>3053</v>
      </c>
      <c r="AR288" s="60" t="s">
        <v>3380</v>
      </c>
      <c r="AS288" s="59" t="s">
        <v>618</v>
      </c>
      <c r="AT288" s="59" t="s">
        <v>141</v>
      </c>
      <c r="AU288" s="59" t="s">
        <v>111</v>
      </c>
      <c r="AV288" s="62">
        <v>40377</v>
      </c>
      <c r="AW288" s="59" t="s">
        <v>8042</v>
      </c>
      <c r="AX288" s="59" t="s">
        <v>691</v>
      </c>
      <c r="AY288" s="59" t="s">
        <v>90</v>
      </c>
      <c r="AZ288" s="126" t="s">
        <v>3381</v>
      </c>
      <c r="BA288" s="60" t="s">
        <v>3382</v>
      </c>
      <c r="BB288" s="60" t="s">
        <v>845</v>
      </c>
      <c r="BC288" s="59" t="s">
        <v>700</v>
      </c>
      <c r="BD288" s="60"/>
      <c r="BE288" s="60"/>
      <c r="BF288" s="60"/>
      <c r="BG288" s="59" t="s">
        <v>3379</v>
      </c>
      <c r="BH288" s="60" t="s">
        <v>3053</v>
      </c>
      <c r="BI288" s="60" t="s">
        <v>3380</v>
      </c>
      <c r="BJ288" s="24" t="s">
        <v>618</v>
      </c>
      <c r="BK288" s="59" t="s">
        <v>141</v>
      </c>
      <c r="BL288" s="59" t="s">
        <v>156</v>
      </c>
      <c r="BM288" s="24">
        <v>40377</v>
      </c>
      <c r="BN288" s="24"/>
      <c r="BO288" s="59" t="s">
        <v>701</v>
      </c>
      <c r="BP288" s="59"/>
      <c r="BQ288" s="77"/>
      <c r="BR288" s="60"/>
      <c r="BS288" s="60"/>
      <c r="BT288" s="59"/>
      <c r="BU288" s="60"/>
      <c r="BV288" s="60"/>
      <c r="BW288" s="59"/>
      <c r="BX288" s="60"/>
      <c r="BY288" s="60"/>
      <c r="BZ288" s="59"/>
      <c r="CA288" s="59"/>
      <c r="CB288" s="59"/>
      <c r="CC288" s="59"/>
      <c r="CD288" s="59"/>
      <c r="CE288" s="59" t="s">
        <v>7567</v>
      </c>
      <c r="CF288" s="60" t="s">
        <v>3053</v>
      </c>
      <c r="CG288" s="59" t="s">
        <v>617</v>
      </c>
      <c r="CH288" s="59" t="s">
        <v>507</v>
      </c>
      <c r="CI288" s="59" t="s">
        <v>90</v>
      </c>
      <c r="CJ288" s="59" t="s">
        <v>111</v>
      </c>
      <c r="CK288" s="47">
        <v>40377</v>
      </c>
      <c r="CL288" s="64" t="str">
        <f t="shared" ca="1" si="4"/>
        <v>18 Tahun 8 Bulan 12 Hari</v>
      </c>
      <c r="CM28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Kp.Bugel Girang RT/RW 02/04 Desa/Kelurahan Neglasari Kecamatan Banjaran Bandung Jawa Barat 40377</v>
      </c>
    </row>
    <row r="289" spans="1:91" ht="24.95" customHeight="1">
      <c r="A289" s="58">
        <f>SUBTOTAL(3,N$8:Table2[[#This Row],[Nama lengkap]])</f>
        <v>282</v>
      </c>
      <c r="B289" s="58" t="s">
        <v>86</v>
      </c>
      <c r="C289" s="58">
        <v>2019</v>
      </c>
      <c r="D289" s="58"/>
      <c r="E289" s="58">
        <v>5</v>
      </c>
      <c r="F289" s="58" t="s">
        <v>3320</v>
      </c>
      <c r="G289" s="32" t="s">
        <v>2513</v>
      </c>
      <c r="H289" s="32" t="s">
        <v>2513</v>
      </c>
      <c r="I289" s="32" t="s">
        <v>2513</v>
      </c>
      <c r="J289" s="32"/>
      <c r="K289" s="32"/>
      <c r="L289" s="32"/>
      <c r="M289" s="58">
        <v>19200195</v>
      </c>
      <c r="N289" s="24" t="s">
        <v>3383</v>
      </c>
      <c r="O289" s="24"/>
      <c r="P289" s="25" t="s">
        <v>3384</v>
      </c>
      <c r="Q289" s="25" t="s">
        <v>3385</v>
      </c>
      <c r="R289" s="60" t="s">
        <v>122</v>
      </c>
      <c r="S289" s="61" t="s">
        <v>3386</v>
      </c>
      <c r="T289" s="47" t="s">
        <v>92</v>
      </c>
      <c r="U289" s="47">
        <v>2</v>
      </c>
      <c r="V289" s="47">
        <v>1</v>
      </c>
      <c r="W289" s="47" t="s">
        <v>207</v>
      </c>
      <c r="X289" s="59" t="s">
        <v>303</v>
      </c>
      <c r="Y289" s="59" t="s">
        <v>1012</v>
      </c>
      <c r="Z289" s="59" t="s">
        <v>3387</v>
      </c>
      <c r="AA289" s="59" t="s">
        <v>96</v>
      </c>
      <c r="AB289" s="59" t="s">
        <v>689</v>
      </c>
      <c r="AC289" s="59" t="s">
        <v>208</v>
      </c>
      <c r="AD289" s="59" t="s">
        <v>208</v>
      </c>
      <c r="AE289" s="60" t="s">
        <v>3388</v>
      </c>
      <c r="AF289" s="60" t="s">
        <v>8539</v>
      </c>
      <c r="AG289" s="59" t="s">
        <v>8539</v>
      </c>
      <c r="AH289" s="59" t="s">
        <v>691</v>
      </c>
      <c r="AI289" s="59" t="s">
        <v>122</v>
      </c>
      <c r="AJ289" s="61" t="s">
        <v>3389</v>
      </c>
      <c r="AK289" s="60" t="s">
        <v>3390</v>
      </c>
      <c r="AL289" s="60" t="s">
        <v>114</v>
      </c>
      <c r="AM289" s="59" t="s">
        <v>700</v>
      </c>
      <c r="AN289" s="60"/>
      <c r="AO289" s="60"/>
      <c r="AP289" s="59" t="s">
        <v>3391</v>
      </c>
      <c r="AQ289" s="25" t="s">
        <v>3392</v>
      </c>
      <c r="AR289" s="60" t="s">
        <v>1131</v>
      </c>
      <c r="AS289" s="59" t="s">
        <v>2094</v>
      </c>
      <c r="AT289" s="59" t="s">
        <v>1090</v>
      </c>
      <c r="AU289" s="59" t="s">
        <v>111</v>
      </c>
      <c r="AV289" s="62">
        <v>45361</v>
      </c>
      <c r="AW289" s="59" t="s">
        <v>8043</v>
      </c>
      <c r="AX289" s="59" t="s">
        <v>691</v>
      </c>
      <c r="AY289" s="59" t="s">
        <v>122</v>
      </c>
      <c r="AZ289" s="126" t="s">
        <v>3393</v>
      </c>
      <c r="BA289" s="60" t="s">
        <v>3394</v>
      </c>
      <c r="BB289" s="60" t="s">
        <v>845</v>
      </c>
      <c r="BC289" s="59" t="s">
        <v>693</v>
      </c>
      <c r="BD289" s="60"/>
      <c r="BE289" s="60"/>
      <c r="BF289" s="60"/>
      <c r="BG289" s="59" t="s">
        <v>3391</v>
      </c>
      <c r="BH289" s="60" t="s">
        <v>3392</v>
      </c>
      <c r="BI289" s="60" t="s">
        <v>1131</v>
      </c>
      <c r="BJ289" s="24" t="s">
        <v>2094</v>
      </c>
      <c r="BK289" s="59" t="s">
        <v>1090</v>
      </c>
      <c r="BL289" s="59" t="s">
        <v>156</v>
      </c>
      <c r="BM289" s="24">
        <v>45361</v>
      </c>
      <c r="BN289" s="24"/>
      <c r="BO289" s="59" t="s">
        <v>701</v>
      </c>
      <c r="BP289" s="59"/>
      <c r="BQ289" s="77"/>
      <c r="BR289" s="60"/>
      <c r="BS289" s="60"/>
      <c r="BT289" s="59"/>
      <c r="BU289" s="60"/>
      <c r="BV289" s="60"/>
      <c r="BW289" s="59"/>
      <c r="BX289" s="60"/>
      <c r="BY289" s="60"/>
      <c r="BZ289" s="59"/>
      <c r="CA289" s="59"/>
      <c r="CB289" s="59"/>
      <c r="CC289" s="59"/>
      <c r="CD289" s="59"/>
      <c r="CE289" s="59" t="s">
        <v>7568</v>
      </c>
      <c r="CF289" s="60" t="s">
        <v>3392</v>
      </c>
      <c r="CG289" s="59" t="s">
        <v>7051</v>
      </c>
      <c r="CH289" s="59" t="s">
        <v>7140</v>
      </c>
      <c r="CI289" s="59" t="s">
        <v>122</v>
      </c>
      <c r="CJ289" s="59" t="s">
        <v>111</v>
      </c>
      <c r="CK289" s="47">
        <v>45361</v>
      </c>
      <c r="CL289" s="64" t="str">
        <f t="shared" ca="1" si="4"/>
        <v>18 Tahun 5 Bulan 9 Hari</v>
      </c>
      <c r="CM28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Dsn.Cikesik RT/RW 20/05 Desa/Kelurahan Pamekaran Kecamatan Rancakalong Sumedang Jawa Barat 45361</v>
      </c>
    </row>
    <row r="290" spans="1:91" ht="24.95" customHeight="1">
      <c r="A290" s="58">
        <f>SUBTOTAL(3,N$8:Table2[[#This Row],[Nama lengkap]])</f>
        <v>283</v>
      </c>
      <c r="B290" s="58" t="s">
        <v>86</v>
      </c>
      <c r="C290" s="58">
        <v>2019</v>
      </c>
      <c r="D290" s="58"/>
      <c r="E290" s="58">
        <v>5</v>
      </c>
      <c r="F290" s="58" t="s">
        <v>3320</v>
      </c>
      <c r="G290" s="32" t="s">
        <v>2513</v>
      </c>
      <c r="H290" s="32" t="s">
        <v>2513</v>
      </c>
      <c r="I290" s="32" t="s">
        <v>2513</v>
      </c>
      <c r="J290" s="32"/>
      <c r="K290" s="32"/>
      <c r="L290" s="32"/>
      <c r="M290" s="58">
        <v>19200198</v>
      </c>
      <c r="N290" s="24" t="s">
        <v>3395</v>
      </c>
      <c r="O290" s="24"/>
      <c r="P290" s="25" t="s">
        <v>3396</v>
      </c>
      <c r="Q290" s="25" t="s">
        <v>3397</v>
      </c>
      <c r="R290" s="60" t="s">
        <v>90</v>
      </c>
      <c r="S290" s="61" t="s">
        <v>3398</v>
      </c>
      <c r="T290" s="47" t="s">
        <v>92</v>
      </c>
      <c r="U290" s="47">
        <v>1</v>
      </c>
      <c r="V290" s="47">
        <v>2</v>
      </c>
      <c r="W290" s="47" t="s">
        <v>207</v>
      </c>
      <c r="X290" s="59" t="s">
        <v>432</v>
      </c>
      <c r="Y290" s="59" t="s">
        <v>706</v>
      </c>
      <c r="Z290" s="59" t="s">
        <v>3399</v>
      </c>
      <c r="AA290" s="59" t="s">
        <v>96</v>
      </c>
      <c r="AB290" s="59" t="s">
        <v>689</v>
      </c>
      <c r="AC290" s="59" t="s">
        <v>208</v>
      </c>
      <c r="AD290" s="59" t="s">
        <v>208</v>
      </c>
      <c r="AE290" s="60" t="s">
        <v>3400</v>
      </c>
      <c r="AF290" s="60" t="s">
        <v>8540</v>
      </c>
      <c r="AG290" s="59" t="s">
        <v>8540</v>
      </c>
      <c r="AH290" s="59" t="s">
        <v>691</v>
      </c>
      <c r="AI290" s="59" t="s">
        <v>90</v>
      </c>
      <c r="AJ290" s="61" t="s">
        <v>3401</v>
      </c>
      <c r="AK290" s="60" t="s">
        <v>3402</v>
      </c>
      <c r="AL290" s="60" t="s">
        <v>819</v>
      </c>
      <c r="AM290" s="59" t="s">
        <v>700</v>
      </c>
      <c r="AN290" s="60"/>
      <c r="AO290" s="60"/>
      <c r="AP290" s="59" t="s">
        <v>3403</v>
      </c>
      <c r="AQ290" s="25" t="s">
        <v>1052</v>
      </c>
      <c r="AR290" s="60" t="s">
        <v>1704</v>
      </c>
      <c r="AS290" s="59" t="s">
        <v>1705</v>
      </c>
      <c r="AT290" s="59" t="s">
        <v>141</v>
      </c>
      <c r="AU290" s="59" t="s">
        <v>111</v>
      </c>
      <c r="AV290" s="62">
        <v>40294</v>
      </c>
      <c r="AW290" s="59" t="s">
        <v>8044</v>
      </c>
      <c r="AX290" s="59" t="s">
        <v>691</v>
      </c>
      <c r="AY290" s="59" t="s">
        <v>90</v>
      </c>
      <c r="AZ290" s="126" t="s">
        <v>3404</v>
      </c>
      <c r="BA290" s="60" t="s">
        <v>3405</v>
      </c>
      <c r="BB290" s="60" t="s">
        <v>845</v>
      </c>
      <c r="BC290" s="59" t="s">
        <v>800</v>
      </c>
      <c r="BD290" s="60"/>
      <c r="BE290" s="60"/>
      <c r="BF290" s="60"/>
      <c r="BG290" s="59" t="s">
        <v>3403</v>
      </c>
      <c r="BH290" s="60" t="s">
        <v>1052</v>
      </c>
      <c r="BI290" s="60" t="s">
        <v>1704</v>
      </c>
      <c r="BJ290" s="24" t="s">
        <v>1705</v>
      </c>
      <c r="BK290" s="59" t="s">
        <v>141</v>
      </c>
      <c r="BL290" s="59" t="s">
        <v>156</v>
      </c>
      <c r="BM290" s="24">
        <v>40294</v>
      </c>
      <c r="BN290" s="24"/>
      <c r="BO290" s="59" t="s">
        <v>701</v>
      </c>
      <c r="BP290" s="59"/>
      <c r="BQ290" s="77"/>
      <c r="BR290" s="60"/>
      <c r="BS290" s="60"/>
      <c r="BT290" s="59"/>
      <c r="BU290" s="60"/>
      <c r="BV290" s="60"/>
      <c r="BW290" s="59"/>
      <c r="BX290" s="60"/>
      <c r="BY290" s="60"/>
      <c r="BZ290" s="59"/>
      <c r="CA290" s="59"/>
      <c r="CB290" s="59"/>
      <c r="CC290" s="59"/>
      <c r="CD290" s="59"/>
      <c r="CE290" s="59" t="s">
        <v>7569</v>
      </c>
      <c r="CF290" s="60" t="s">
        <v>1052</v>
      </c>
      <c r="CG290" s="59" t="s">
        <v>7104</v>
      </c>
      <c r="CH290" s="59" t="s">
        <v>7105</v>
      </c>
      <c r="CI290" s="59" t="s">
        <v>90</v>
      </c>
      <c r="CJ290" s="59" t="s">
        <v>111</v>
      </c>
      <c r="CK290" s="47">
        <v>40294</v>
      </c>
      <c r="CL290" s="64" t="str">
        <f t="shared" ca="1" si="4"/>
        <v>18 Tahun 11 Bulan 13 Hari</v>
      </c>
      <c r="CM29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Jl.A.H.Nasution Blk.No.88 RT/RW 04/02 Desa/Kelurahan Cisaranten Bina Harapan Kecamatan Arcamanik Bandung Jawa Barat 40294</v>
      </c>
    </row>
    <row r="291" spans="1:91" ht="24.95" customHeight="1">
      <c r="A291" s="58">
        <f>SUBTOTAL(3,N$8:Table2[[#This Row],[Nama lengkap]])</f>
        <v>284</v>
      </c>
      <c r="B291" s="58" t="s">
        <v>86</v>
      </c>
      <c r="C291" s="58">
        <v>2017</v>
      </c>
      <c r="D291" s="58"/>
      <c r="E291" s="58">
        <v>5</v>
      </c>
      <c r="F291" s="58" t="s">
        <v>3320</v>
      </c>
      <c r="G291" s="32" t="s">
        <v>2513</v>
      </c>
      <c r="H291" s="32" t="s">
        <v>2513</v>
      </c>
      <c r="I291" s="32" t="s">
        <v>2513</v>
      </c>
      <c r="J291" s="32"/>
      <c r="K291" s="32"/>
      <c r="L291" s="32"/>
      <c r="M291" s="58">
        <v>17180108</v>
      </c>
      <c r="N291" s="24" t="s">
        <v>3406</v>
      </c>
      <c r="O291" s="24"/>
      <c r="P291" s="25" t="s">
        <v>3407</v>
      </c>
      <c r="Q291" s="25" t="s">
        <v>3408</v>
      </c>
      <c r="R291" s="60" t="s">
        <v>90</v>
      </c>
      <c r="S291" s="61" t="s">
        <v>3409</v>
      </c>
      <c r="T291" s="47" t="s">
        <v>92</v>
      </c>
      <c r="U291" s="47">
        <v>1</v>
      </c>
      <c r="V291" s="47">
        <v>2</v>
      </c>
      <c r="W291" s="47" t="s">
        <v>207</v>
      </c>
      <c r="X291" s="59"/>
      <c r="Y291" s="59" t="s">
        <v>3410</v>
      </c>
      <c r="Z291" s="59" t="s">
        <v>1042</v>
      </c>
      <c r="AA291" s="59" t="s">
        <v>1141</v>
      </c>
      <c r="AB291" s="59" t="s">
        <v>1151</v>
      </c>
      <c r="AC291" s="59" t="s">
        <v>208</v>
      </c>
      <c r="AD291" s="59" t="s">
        <v>208</v>
      </c>
      <c r="AE291" s="60" t="s">
        <v>3411</v>
      </c>
      <c r="AF291" s="60" t="s">
        <v>8045</v>
      </c>
      <c r="AG291" s="59" t="s">
        <v>8541</v>
      </c>
      <c r="AH291" s="59" t="s">
        <v>2222</v>
      </c>
      <c r="AI291" s="59"/>
      <c r="AJ291" s="61"/>
      <c r="AK291" s="60"/>
      <c r="AL291" s="60"/>
      <c r="AM291" s="59"/>
      <c r="AN291" s="60"/>
      <c r="AO291" s="60"/>
      <c r="AP291" s="59"/>
      <c r="AQ291" s="25"/>
      <c r="AR291" s="60"/>
      <c r="AS291" s="59"/>
      <c r="AT291" s="59"/>
      <c r="AU291" s="59" t="s">
        <v>111</v>
      </c>
      <c r="AV291" s="62"/>
      <c r="AW291" s="59" t="s">
        <v>8045</v>
      </c>
      <c r="AX291" s="59" t="s">
        <v>2222</v>
      </c>
      <c r="AY291" s="59" t="s">
        <v>90</v>
      </c>
      <c r="AZ291" s="126" t="s">
        <v>3412</v>
      </c>
      <c r="BA291" s="60" t="s">
        <v>3413</v>
      </c>
      <c r="BB291" s="60" t="s">
        <v>845</v>
      </c>
      <c r="BC291" s="59" t="s">
        <v>800</v>
      </c>
      <c r="BD291" s="60"/>
      <c r="BE291" s="60"/>
      <c r="BF291" s="60"/>
      <c r="BG291" s="59" t="s">
        <v>3414</v>
      </c>
      <c r="BH291" s="60" t="s">
        <v>1334</v>
      </c>
      <c r="BI291" s="60" t="s">
        <v>771</v>
      </c>
      <c r="BJ291" s="24" t="s">
        <v>771</v>
      </c>
      <c r="BK291" s="59" t="s">
        <v>141</v>
      </c>
      <c r="BL291" s="59" t="s">
        <v>156</v>
      </c>
      <c r="BM291" s="24">
        <v>40374</v>
      </c>
      <c r="BN291" s="24"/>
      <c r="BO291" s="59" t="s">
        <v>701</v>
      </c>
      <c r="BP291" s="59"/>
      <c r="BQ291" s="77"/>
      <c r="BR291" s="60"/>
      <c r="BS291" s="60"/>
      <c r="BT291" s="59"/>
      <c r="BU291" s="60"/>
      <c r="BV291" s="60"/>
      <c r="BW291" s="59"/>
      <c r="BX291" s="60"/>
      <c r="BY291" s="60"/>
      <c r="BZ291" s="59"/>
      <c r="CA291" s="59"/>
      <c r="CB291" s="59"/>
      <c r="CC291" s="59"/>
      <c r="CD291" s="59"/>
      <c r="CE291" s="59" t="s">
        <v>7570</v>
      </c>
      <c r="CF291" s="60" t="s">
        <v>1334</v>
      </c>
      <c r="CG291" s="60" t="s">
        <v>7030</v>
      </c>
      <c r="CH291" s="24" t="s">
        <v>7030</v>
      </c>
      <c r="CI291" s="59" t="s">
        <v>90</v>
      </c>
      <c r="CJ291" s="59" t="s">
        <v>111</v>
      </c>
      <c r="CK291" s="47">
        <v>40374</v>
      </c>
      <c r="CL291" s="64" t="str">
        <f t="shared" ca="1" si="4"/>
        <v>25 Tahun 0 Bulan 19 Hari</v>
      </c>
      <c r="CM29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Kp.Sukalaksana RT/RW 02/06 Desa/Kelurahan Cimaung Kecamatan Cimaung Bandung Jawa Barat 40374</v>
      </c>
    </row>
    <row r="292" spans="1:91" ht="24.95" customHeight="1">
      <c r="A292" s="58">
        <f>SUBTOTAL(3,N$8:Table2[[#This Row],[Nama lengkap]])</f>
        <v>285</v>
      </c>
      <c r="B292" s="58" t="s">
        <v>86</v>
      </c>
      <c r="C292" s="58">
        <v>2020</v>
      </c>
      <c r="D292" s="58"/>
      <c r="E292" s="58">
        <v>5</v>
      </c>
      <c r="F292" s="58" t="s">
        <v>3320</v>
      </c>
      <c r="G292" s="32" t="s">
        <v>2513</v>
      </c>
      <c r="H292" s="32" t="s">
        <v>2513</v>
      </c>
      <c r="I292" s="32" t="s">
        <v>2513</v>
      </c>
      <c r="J292" s="32"/>
      <c r="K292" s="32"/>
      <c r="L292" s="32"/>
      <c r="M292" s="58">
        <v>20210152</v>
      </c>
      <c r="N292" s="24" t="s">
        <v>3415</v>
      </c>
      <c r="O292" s="24"/>
      <c r="P292" s="25" t="s">
        <v>3416</v>
      </c>
      <c r="Q292" s="25" t="s">
        <v>3417</v>
      </c>
      <c r="R292" s="60" t="s">
        <v>90</v>
      </c>
      <c r="S292" s="61" t="s">
        <v>3418</v>
      </c>
      <c r="T292" s="47" t="s">
        <v>92</v>
      </c>
      <c r="U292" s="47">
        <v>2</v>
      </c>
      <c r="V292" s="47">
        <v>1</v>
      </c>
      <c r="W292" s="47" t="s">
        <v>207</v>
      </c>
      <c r="X292" s="59" t="s">
        <v>93</v>
      </c>
      <c r="Y292" s="59" t="s">
        <v>3419</v>
      </c>
      <c r="Z292" s="59" t="s">
        <v>1042</v>
      </c>
      <c r="AA292" s="59" t="s">
        <v>1141</v>
      </c>
      <c r="AB292" s="59" t="s">
        <v>689</v>
      </c>
      <c r="AC292" s="59" t="s">
        <v>208</v>
      </c>
      <c r="AD292" s="59" t="s">
        <v>208</v>
      </c>
      <c r="AE292" s="60" t="s">
        <v>3420</v>
      </c>
      <c r="AF292" s="60" t="s">
        <v>8542</v>
      </c>
      <c r="AG292" s="59" t="s">
        <v>8542</v>
      </c>
      <c r="AH292" s="59" t="s">
        <v>691</v>
      </c>
      <c r="AI292" s="59" t="s">
        <v>90</v>
      </c>
      <c r="AJ292" s="61" t="s">
        <v>3421</v>
      </c>
      <c r="AK292" s="60" t="s">
        <v>3422</v>
      </c>
      <c r="AL292" s="60" t="s">
        <v>602</v>
      </c>
      <c r="AM292" s="59" t="s">
        <v>800</v>
      </c>
      <c r="AN292" s="60"/>
      <c r="AO292" s="60"/>
      <c r="AP292" s="59" t="s">
        <v>3423</v>
      </c>
      <c r="AQ292" s="25" t="s">
        <v>1615</v>
      </c>
      <c r="AR292" s="60" t="s">
        <v>1616</v>
      </c>
      <c r="AS292" s="59" t="s">
        <v>1336</v>
      </c>
      <c r="AT292" s="59" t="s">
        <v>141</v>
      </c>
      <c r="AU292" s="59" t="s">
        <v>111</v>
      </c>
      <c r="AV292" s="62">
        <v>40265</v>
      </c>
      <c r="AW292" s="59" t="s">
        <v>8046</v>
      </c>
      <c r="AX292" s="59" t="s">
        <v>691</v>
      </c>
      <c r="AY292" s="59" t="s">
        <v>7798</v>
      </c>
      <c r="AZ292" s="126" t="s">
        <v>3424</v>
      </c>
      <c r="BA292" s="60" t="s">
        <v>3425</v>
      </c>
      <c r="BB292" s="60" t="s">
        <v>845</v>
      </c>
      <c r="BC292" s="59" t="s">
        <v>693</v>
      </c>
      <c r="BD292" s="60"/>
      <c r="BE292" s="60"/>
      <c r="BF292" s="60"/>
      <c r="BG292" s="59" t="s">
        <v>3423</v>
      </c>
      <c r="BH292" s="60" t="s">
        <v>1615</v>
      </c>
      <c r="BI292" s="60" t="s">
        <v>1616</v>
      </c>
      <c r="BJ292" s="24" t="s">
        <v>1336</v>
      </c>
      <c r="BK292" s="59" t="s">
        <v>141</v>
      </c>
      <c r="BL292" s="59" t="s">
        <v>156</v>
      </c>
      <c r="BM292" s="24">
        <v>40265</v>
      </c>
      <c r="BN292" s="24"/>
      <c r="BO292" s="59" t="s">
        <v>701</v>
      </c>
      <c r="BP292" s="59"/>
      <c r="BQ292" s="77"/>
      <c r="BR292" s="60"/>
      <c r="BS292" s="60"/>
      <c r="BT292" s="59"/>
      <c r="BU292" s="60"/>
      <c r="BV292" s="60"/>
      <c r="BW292" s="59"/>
      <c r="BX292" s="60"/>
      <c r="BY292" s="60"/>
      <c r="BZ292" s="59"/>
      <c r="CA292" s="59"/>
      <c r="CB292" s="59"/>
      <c r="CC292" s="59"/>
      <c r="CD292" s="59"/>
      <c r="CE292" s="59" t="s">
        <v>7571</v>
      </c>
      <c r="CF292" s="60" t="s">
        <v>1615</v>
      </c>
      <c r="CG292" s="59" t="s">
        <v>7096</v>
      </c>
      <c r="CH292" s="59" t="s">
        <v>7069</v>
      </c>
      <c r="CI292" s="59" t="s">
        <v>90</v>
      </c>
      <c r="CJ292" s="59" t="s">
        <v>111</v>
      </c>
      <c r="CK292" s="47">
        <v>40265</v>
      </c>
      <c r="CL292" s="64" t="str">
        <f t="shared" ca="1" si="4"/>
        <v>21 Tahun 1 Bulan 4 Hari</v>
      </c>
      <c r="CM29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Jl.Cijagra I Gg.Iv No.99 RT/RW 07/02 Desa/Kelurahan Cijagra Kecamatan Lengkong Bandung Jawa Barat 40265</v>
      </c>
    </row>
    <row r="293" spans="1:91" ht="24.95" customHeight="1">
      <c r="A293" s="58">
        <f>SUBTOTAL(3,N$8:Table2[[#This Row],[Nama lengkap]])</f>
        <v>286</v>
      </c>
      <c r="B293" s="58" t="s">
        <v>86</v>
      </c>
      <c r="C293" s="58">
        <v>2020</v>
      </c>
      <c r="D293" s="58"/>
      <c r="E293" s="58">
        <v>5</v>
      </c>
      <c r="F293" s="58" t="s">
        <v>3320</v>
      </c>
      <c r="G293" s="32" t="s">
        <v>2513</v>
      </c>
      <c r="H293" s="32" t="s">
        <v>2513</v>
      </c>
      <c r="I293" s="32" t="s">
        <v>2513</v>
      </c>
      <c r="J293" s="32"/>
      <c r="K293" s="32"/>
      <c r="L293" s="32"/>
      <c r="M293" s="58">
        <v>20210210</v>
      </c>
      <c r="N293" s="24" t="s">
        <v>3426</v>
      </c>
      <c r="O293" s="24"/>
      <c r="P293" s="25" t="s">
        <v>3427</v>
      </c>
      <c r="Q293" s="25" t="s">
        <v>3428</v>
      </c>
      <c r="R293" s="60" t="s">
        <v>90</v>
      </c>
      <c r="S293" s="61" t="s">
        <v>3429</v>
      </c>
      <c r="T293" s="47" t="s">
        <v>92</v>
      </c>
      <c r="U293" s="47">
        <v>1</v>
      </c>
      <c r="V293" s="47">
        <v>1</v>
      </c>
      <c r="W293" s="47" t="s">
        <v>207</v>
      </c>
      <c r="X293" s="59" t="s">
        <v>432</v>
      </c>
      <c r="Y293" s="59" t="s">
        <v>793</v>
      </c>
      <c r="Z293" s="59" t="s">
        <v>1150</v>
      </c>
      <c r="AA293" s="59" t="s">
        <v>96</v>
      </c>
      <c r="AB293" s="59" t="s">
        <v>689</v>
      </c>
      <c r="AC293" s="59" t="s">
        <v>208</v>
      </c>
      <c r="AD293" s="59" t="s">
        <v>208</v>
      </c>
      <c r="AE293" s="60" t="s">
        <v>3430</v>
      </c>
      <c r="AF293" s="60" t="s">
        <v>8543</v>
      </c>
      <c r="AG293" s="59" t="s">
        <v>8544</v>
      </c>
      <c r="AH293" s="59" t="s">
        <v>691</v>
      </c>
      <c r="AI293" s="59" t="s">
        <v>90</v>
      </c>
      <c r="AJ293" s="61" t="s">
        <v>3431</v>
      </c>
      <c r="AK293" s="60" t="s">
        <v>3432</v>
      </c>
      <c r="AL293" s="60" t="s">
        <v>602</v>
      </c>
      <c r="AM293" s="59" t="s">
        <v>3433</v>
      </c>
      <c r="AN293" s="60"/>
      <c r="AO293" s="60"/>
      <c r="AP293" s="59" t="s">
        <v>3434</v>
      </c>
      <c r="AQ293" s="25" t="s">
        <v>3435</v>
      </c>
      <c r="AR293" s="60" t="s">
        <v>3436</v>
      </c>
      <c r="AS293" s="59" t="s">
        <v>3437</v>
      </c>
      <c r="AT293" s="59" t="s">
        <v>141</v>
      </c>
      <c r="AU293" s="59" t="s">
        <v>111</v>
      </c>
      <c r="AV293" s="62">
        <v>40125</v>
      </c>
      <c r="AW293" s="59" t="s">
        <v>8047</v>
      </c>
      <c r="AX293" s="59" t="s">
        <v>691</v>
      </c>
      <c r="AY293" s="59" t="s">
        <v>90</v>
      </c>
      <c r="AZ293" s="126" t="s">
        <v>3438</v>
      </c>
      <c r="BA293" s="60" t="s">
        <v>3439</v>
      </c>
      <c r="BB293" s="60" t="s">
        <v>114</v>
      </c>
      <c r="BC293" s="59" t="s">
        <v>3433</v>
      </c>
      <c r="BD293" s="60"/>
      <c r="BE293" s="60"/>
      <c r="BF293" s="60"/>
      <c r="BG293" s="59" t="s">
        <v>3434</v>
      </c>
      <c r="BH293" s="60" t="s">
        <v>3435</v>
      </c>
      <c r="BI293" s="60" t="s">
        <v>3436</v>
      </c>
      <c r="BJ293" s="24" t="s">
        <v>3437</v>
      </c>
      <c r="BK293" s="59" t="s">
        <v>141</v>
      </c>
      <c r="BL293" s="59" t="s">
        <v>156</v>
      </c>
      <c r="BM293" s="24">
        <v>40125</v>
      </c>
      <c r="BN293" s="24"/>
      <c r="BO293" s="59" t="s">
        <v>701</v>
      </c>
      <c r="BP293" s="59"/>
      <c r="BQ293" s="77"/>
      <c r="BR293" s="60"/>
      <c r="BS293" s="60"/>
      <c r="BT293" s="59"/>
      <c r="BU293" s="60"/>
      <c r="BV293" s="60"/>
      <c r="BW293" s="59"/>
      <c r="BX293" s="60"/>
      <c r="BY293" s="60"/>
      <c r="BZ293" s="59"/>
      <c r="CA293" s="59"/>
      <c r="CB293" s="59"/>
      <c r="CC293" s="59"/>
      <c r="CD293" s="59"/>
      <c r="CE293" s="59" t="s">
        <v>7572</v>
      </c>
      <c r="CF293" s="60" t="s">
        <v>3435</v>
      </c>
      <c r="CG293" s="59" t="s">
        <v>7231</v>
      </c>
      <c r="CH293" s="59" t="s">
        <v>7232</v>
      </c>
      <c r="CI293" s="59" t="s">
        <v>90</v>
      </c>
      <c r="CJ293" s="59" t="s">
        <v>111</v>
      </c>
      <c r="CK293" s="47">
        <v>40125</v>
      </c>
      <c r="CL293" s="64" t="str">
        <f t="shared" ca="1" si="4"/>
        <v>17 Tahun 7 Bulan 19 Hari</v>
      </c>
      <c r="CM29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Jl.Jend.A.Yani No.859 RT/RW 01/01 Desa/Kelurahan Padasuka  Kecamatan Cibeunying Kidul Bandung Jawa Barat 40125</v>
      </c>
    </row>
    <row r="294" spans="1:91" ht="24.95" customHeight="1">
      <c r="A294" s="58">
        <f>SUBTOTAL(3,N$8:Table2[[#This Row],[Nama lengkap]])</f>
        <v>287</v>
      </c>
      <c r="B294" s="58" t="s">
        <v>86</v>
      </c>
      <c r="C294" s="58">
        <v>2020</v>
      </c>
      <c r="D294" s="58"/>
      <c r="E294" s="58">
        <v>5</v>
      </c>
      <c r="F294" s="58" t="s">
        <v>3320</v>
      </c>
      <c r="G294" s="32" t="s">
        <v>2513</v>
      </c>
      <c r="H294" s="32" t="s">
        <v>2513</v>
      </c>
      <c r="I294" s="32" t="s">
        <v>2513</v>
      </c>
      <c r="J294" s="32"/>
      <c r="K294" s="32"/>
      <c r="L294" s="32"/>
      <c r="M294" s="58">
        <v>20210154</v>
      </c>
      <c r="N294" s="24" t="s">
        <v>3440</v>
      </c>
      <c r="O294" s="24"/>
      <c r="P294" s="25" t="s">
        <v>3441</v>
      </c>
      <c r="Q294" s="25" t="s">
        <v>3442</v>
      </c>
      <c r="R294" s="60" t="s">
        <v>90</v>
      </c>
      <c r="S294" s="61" t="s">
        <v>3443</v>
      </c>
      <c r="T294" s="47" t="s">
        <v>92</v>
      </c>
      <c r="U294" s="47">
        <v>5</v>
      </c>
      <c r="V294" s="47">
        <v>5</v>
      </c>
      <c r="W294" s="47" t="s">
        <v>207</v>
      </c>
      <c r="X294" s="59" t="s">
        <v>123</v>
      </c>
      <c r="Y294" s="59" t="s">
        <v>1711</v>
      </c>
      <c r="Z294" s="59" t="s">
        <v>1895</v>
      </c>
      <c r="AA294" s="59" t="s">
        <v>96</v>
      </c>
      <c r="AB294" s="59" t="s">
        <v>689</v>
      </c>
      <c r="AC294" s="59" t="s">
        <v>208</v>
      </c>
      <c r="AD294" s="59" t="s">
        <v>208</v>
      </c>
      <c r="AE294" s="60" t="s">
        <v>1227</v>
      </c>
      <c r="AF294" s="60" t="s">
        <v>8545</v>
      </c>
      <c r="AG294" s="59" t="s">
        <v>8545</v>
      </c>
      <c r="AH294" s="59" t="s">
        <v>691</v>
      </c>
      <c r="AI294" s="59" t="s">
        <v>90</v>
      </c>
      <c r="AJ294" s="61" t="s">
        <v>3444</v>
      </c>
      <c r="AK294" s="60" t="s">
        <v>1228</v>
      </c>
      <c r="AL294" s="60" t="s">
        <v>114</v>
      </c>
      <c r="AM294" s="59" t="s">
        <v>1820</v>
      </c>
      <c r="AN294" s="60"/>
      <c r="AO294" s="60"/>
      <c r="AP294" s="59" t="s">
        <v>3445</v>
      </c>
      <c r="AQ294" s="25" t="s">
        <v>213</v>
      </c>
      <c r="AR294" s="60" t="s">
        <v>1131</v>
      </c>
      <c r="AS294" s="59" t="s">
        <v>955</v>
      </c>
      <c r="AT294" s="59" t="s">
        <v>141</v>
      </c>
      <c r="AU294" s="59" t="s">
        <v>111</v>
      </c>
      <c r="AV294" s="62">
        <v>40912</v>
      </c>
      <c r="AW294" s="59" t="s">
        <v>7857</v>
      </c>
      <c r="AX294" s="59" t="s">
        <v>691</v>
      </c>
      <c r="AY294" s="59" t="s">
        <v>90</v>
      </c>
      <c r="AZ294" s="126" t="s">
        <v>3446</v>
      </c>
      <c r="BA294" s="60" t="s">
        <v>1232</v>
      </c>
      <c r="BB294" s="60" t="s">
        <v>845</v>
      </c>
      <c r="BC294" s="59" t="s">
        <v>800</v>
      </c>
      <c r="BD294" s="60"/>
      <c r="BE294" s="60"/>
      <c r="BF294" s="60"/>
      <c r="BG294" s="59" t="s">
        <v>3445</v>
      </c>
      <c r="BH294" s="60" t="s">
        <v>213</v>
      </c>
      <c r="BI294" s="60" t="s">
        <v>1131</v>
      </c>
      <c r="BJ294" s="24" t="s">
        <v>955</v>
      </c>
      <c r="BK294" s="59" t="s">
        <v>141</v>
      </c>
      <c r="BL294" s="59" t="s">
        <v>156</v>
      </c>
      <c r="BM294" s="24">
        <v>40912</v>
      </c>
      <c r="BN294" s="24"/>
      <c r="BO294" s="59" t="s">
        <v>701</v>
      </c>
      <c r="BP294" s="59"/>
      <c r="BQ294" s="77"/>
      <c r="BR294" s="60"/>
      <c r="BS294" s="60"/>
      <c r="BT294" s="59"/>
      <c r="BU294" s="60"/>
      <c r="BV294" s="60"/>
      <c r="BW294" s="59"/>
      <c r="BX294" s="60"/>
      <c r="BY294" s="60"/>
      <c r="BZ294" s="59"/>
      <c r="CA294" s="59"/>
      <c r="CB294" s="59"/>
      <c r="CC294" s="59"/>
      <c r="CD294" s="59"/>
      <c r="CE294" s="59" t="s">
        <v>7573</v>
      </c>
      <c r="CF294" s="60" t="s">
        <v>213</v>
      </c>
      <c r="CG294" s="59" t="s">
        <v>7051</v>
      </c>
      <c r="CH294" s="59" t="s">
        <v>7039</v>
      </c>
      <c r="CI294" s="59" t="s">
        <v>90</v>
      </c>
      <c r="CJ294" s="59" t="s">
        <v>111</v>
      </c>
      <c r="CK294" s="47">
        <v>40912</v>
      </c>
      <c r="CL294" s="64" t="str">
        <f t="shared" ca="1" si="4"/>
        <v>18 Tahun 8 Bulan 15 Hari</v>
      </c>
      <c r="CM29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Jl.Raya Soreang No.28 RT/RW 01/14 Desa/Kelurahan Pamekaran Kecamatan Soreang Bandung Jawa Barat 40912</v>
      </c>
    </row>
    <row r="295" spans="1:91" ht="24.95" customHeight="1">
      <c r="A295" s="58">
        <f>SUBTOTAL(3,N$8:Table2[[#This Row],[Nama lengkap]])</f>
        <v>288</v>
      </c>
      <c r="B295" s="58" t="s">
        <v>86</v>
      </c>
      <c r="C295" s="58">
        <v>2020</v>
      </c>
      <c r="D295" s="58"/>
      <c r="E295" s="58">
        <v>5</v>
      </c>
      <c r="F295" s="58" t="s">
        <v>3320</v>
      </c>
      <c r="G295" s="32" t="s">
        <v>2513</v>
      </c>
      <c r="H295" s="32" t="s">
        <v>2513</v>
      </c>
      <c r="I295" s="32" t="s">
        <v>2513</v>
      </c>
      <c r="J295" s="32"/>
      <c r="K295" s="32"/>
      <c r="L295" s="32"/>
      <c r="M295" s="58">
        <v>20210153</v>
      </c>
      <c r="N295" s="31" t="s">
        <v>8847</v>
      </c>
      <c r="O295" s="31"/>
      <c r="P295" s="32" t="s">
        <v>3448</v>
      </c>
      <c r="Q295" s="32" t="s">
        <v>3449</v>
      </c>
      <c r="R295" s="64" t="s">
        <v>623</v>
      </c>
      <c r="S295" s="69" t="s">
        <v>3450</v>
      </c>
      <c r="T295" s="47" t="s">
        <v>92</v>
      </c>
      <c r="U295" s="58">
        <v>1</v>
      </c>
      <c r="V295" s="58">
        <v>1</v>
      </c>
      <c r="W295" s="47" t="s">
        <v>207</v>
      </c>
      <c r="X295" s="59" t="s">
        <v>432</v>
      </c>
      <c r="Y295" s="64" t="s">
        <v>3451</v>
      </c>
      <c r="Z295" s="64" t="s">
        <v>3399</v>
      </c>
      <c r="AA295" s="64" t="s">
        <v>1141</v>
      </c>
      <c r="AB295" s="64" t="s">
        <v>689</v>
      </c>
      <c r="AC295" s="64" t="s">
        <v>208</v>
      </c>
      <c r="AD295" s="64" t="s">
        <v>208</v>
      </c>
      <c r="AE295" s="67" t="s">
        <v>3452</v>
      </c>
      <c r="AF295" s="67" t="s">
        <v>8546</v>
      </c>
      <c r="AG295" s="67" t="s">
        <v>8546</v>
      </c>
      <c r="AH295" s="64" t="s">
        <v>691</v>
      </c>
      <c r="AI295" s="64" t="s">
        <v>623</v>
      </c>
      <c r="AJ295" s="69">
        <v>29253</v>
      </c>
      <c r="AK295" s="67" t="s">
        <v>3453</v>
      </c>
      <c r="AL295" s="64" t="s">
        <v>914</v>
      </c>
      <c r="AM295" s="67" t="s">
        <v>700</v>
      </c>
      <c r="AN295" s="67"/>
      <c r="AO295" s="64"/>
      <c r="AP295" s="64" t="s">
        <v>3454</v>
      </c>
      <c r="AQ295" s="32" t="s">
        <v>213</v>
      </c>
      <c r="AR295" s="64" t="s">
        <v>770</v>
      </c>
      <c r="AS295" s="64" t="s">
        <v>3455</v>
      </c>
      <c r="AT295" s="64" t="s">
        <v>1058</v>
      </c>
      <c r="AU295" s="59" t="s">
        <v>111</v>
      </c>
      <c r="AV295" s="67"/>
      <c r="AW295" s="67" t="s">
        <v>8048</v>
      </c>
      <c r="AX295" s="64" t="s">
        <v>691</v>
      </c>
      <c r="AY295" s="64" t="s">
        <v>623</v>
      </c>
      <c r="AZ295" s="125">
        <v>30647</v>
      </c>
      <c r="BA295" s="67" t="s">
        <v>3456</v>
      </c>
      <c r="BB295" s="64" t="s">
        <v>845</v>
      </c>
      <c r="BC295" s="67" t="s">
        <v>693</v>
      </c>
      <c r="BD295" s="67"/>
      <c r="BE295" s="64"/>
      <c r="BF295" s="64"/>
      <c r="BG295" s="64" t="s">
        <v>3454</v>
      </c>
      <c r="BH295" s="67" t="s">
        <v>213</v>
      </c>
      <c r="BI295" s="64" t="s">
        <v>770</v>
      </c>
      <c r="BJ295" s="40" t="s">
        <v>3455</v>
      </c>
      <c r="BK295" s="64" t="s">
        <v>1058</v>
      </c>
      <c r="BL295" s="67" t="s">
        <v>156</v>
      </c>
      <c r="BM295" s="67"/>
      <c r="BN295" s="67"/>
      <c r="BO295" s="64" t="s">
        <v>701</v>
      </c>
      <c r="BP295" s="64"/>
      <c r="BQ295" s="135"/>
      <c r="BR295" s="67"/>
      <c r="BS295" s="64"/>
      <c r="BT295" s="67"/>
      <c r="BU295" s="67"/>
      <c r="BV295" s="64"/>
      <c r="BW295" s="64"/>
      <c r="BX295" s="67"/>
      <c r="BY295" s="64"/>
      <c r="BZ295" s="64"/>
      <c r="CA295" s="64"/>
      <c r="CB295" s="64"/>
      <c r="CC295" s="64"/>
      <c r="CD295" s="64"/>
      <c r="CE295" s="64" t="s">
        <v>7574</v>
      </c>
      <c r="CF295" s="67" t="s">
        <v>213</v>
      </c>
      <c r="CG295" s="64" t="s">
        <v>7029</v>
      </c>
      <c r="CH295" s="64" t="s">
        <v>7233</v>
      </c>
      <c r="CI295" s="64" t="s">
        <v>623</v>
      </c>
      <c r="CJ295" s="64" t="s">
        <v>111</v>
      </c>
      <c r="CK295" s="58"/>
      <c r="CL295" s="64" t="str">
        <f t="shared" ca="1" si="4"/>
        <v>21 Tahun 7 Bulan 0 Hari</v>
      </c>
      <c r="CM29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Bunisari RT/RW 01/14 Desa/Kelurahan Pasirhuni Kecamatan Ciawi Tasikmalaya Jawa Barat </v>
      </c>
    </row>
    <row r="296" spans="1:91" ht="24.95" customHeight="1">
      <c r="A296" s="58">
        <f>SUBTOTAL(3,N$8:Table2[[#This Row],[Nama lengkap]])</f>
        <v>289</v>
      </c>
      <c r="B296" s="58" t="s">
        <v>86</v>
      </c>
      <c r="C296" s="58">
        <v>2019</v>
      </c>
      <c r="D296" s="58"/>
      <c r="E296" s="58">
        <v>5</v>
      </c>
      <c r="F296" s="58" t="s">
        <v>3320</v>
      </c>
      <c r="G296" s="32" t="s">
        <v>2513</v>
      </c>
      <c r="H296" s="32" t="s">
        <v>2513</v>
      </c>
      <c r="I296" s="32" t="s">
        <v>2513</v>
      </c>
      <c r="J296" s="32"/>
      <c r="K296" s="32"/>
      <c r="L296" s="32"/>
      <c r="M296" s="58">
        <v>19200230</v>
      </c>
      <c r="N296" s="24" t="s">
        <v>3468</v>
      </c>
      <c r="O296" s="24"/>
      <c r="P296" s="25" t="s">
        <v>3469</v>
      </c>
      <c r="Q296" s="25" t="s">
        <v>3470</v>
      </c>
      <c r="R296" s="60" t="s">
        <v>90</v>
      </c>
      <c r="S296" s="61" t="s">
        <v>3471</v>
      </c>
      <c r="T296" s="47" t="s">
        <v>92</v>
      </c>
      <c r="U296" s="47">
        <v>1</v>
      </c>
      <c r="V296" s="47">
        <v>4</v>
      </c>
      <c r="W296" s="47" t="s">
        <v>207</v>
      </c>
      <c r="X296" s="59"/>
      <c r="Y296" s="59" t="s">
        <v>1524</v>
      </c>
      <c r="Z296" s="59" t="s">
        <v>3290</v>
      </c>
      <c r="AA296" s="59" t="s">
        <v>96</v>
      </c>
      <c r="AB296" s="59" t="s">
        <v>689</v>
      </c>
      <c r="AC296" s="59" t="s">
        <v>208</v>
      </c>
      <c r="AD296" s="59" t="s">
        <v>208</v>
      </c>
      <c r="AE296" s="60" t="s">
        <v>3472</v>
      </c>
      <c r="AF296" s="70" t="s">
        <v>8547</v>
      </c>
      <c r="AG296" s="70" t="s">
        <v>8547</v>
      </c>
      <c r="AH296" s="59" t="s">
        <v>3473</v>
      </c>
      <c r="AI296" s="59" t="s">
        <v>122</v>
      </c>
      <c r="AJ296" s="61" t="s">
        <v>3474</v>
      </c>
      <c r="AK296" s="60" t="s">
        <v>3475</v>
      </c>
      <c r="AL296" s="60" t="s">
        <v>114</v>
      </c>
      <c r="AM296" s="59" t="s">
        <v>800</v>
      </c>
      <c r="AN296" s="60"/>
      <c r="AO296" s="60"/>
      <c r="AP296" s="59" t="s">
        <v>3476</v>
      </c>
      <c r="AQ296" s="25" t="s">
        <v>1099</v>
      </c>
      <c r="AR296" s="60" t="s">
        <v>3362</v>
      </c>
      <c r="AS296" s="59" t="s">
        <v>2173</v>
      </c>
      <c r="AT296" s="59" t="s">
        <v>1090</v>
      </c>
      <c r="AU296" s="59" t="s">
        <v>111</v>
      </c>
      <c r="AV296" s="62">
        <v>45363</v>
      </c>
      <c r="AW296" s="59" t="s">
        <v>3477</v>
      </c>
      <c r="AX296" s="59" t="s">
        <v>1153</v>
      </c>
      <c r="AY296" s="59" t="s">
        <v>90</v>
      </c>
      <c r="AZ296" s="126" t="s">
        <v>3478</v>
      </c>
      <c r="BA296" s="60" t="s">
        <v>3479</v>
      </c>
      <c r="BB296" s="60" t="s">
        <v>845</v>
      </c>
      <c r="BC296" s="59" t="s">
        <v>800</v>
      </c>
      <c r="BD296" s="60"/>
      <c r="BE296" s="60"/>
      <c r="BF296" s="60"/>
      <c r="BG296" s="59" t="s">
        <v>3480</v>
      </c>
      <c r="BH296" s="60" t="s">
        <v>1052</v>
      </c>
      <c r="BI296" s="60" t="s">
        <v>3481</v>
      </c>
      <c r="BJ296" s="24" t="s">
        <v>3482</v>
      </c>
      <c r="BK296" s="59" t="s">
        <v>1249</v>
      </c>
      <c r="BL296" s="59" t="s">
        <v>156</v>
      </c>
      <c r="BM296" s="24">
        <v>45363</v>
      </c>
      <c r="BN296" s="24"/>
      <c r="BO296" s="59" t="s">
        <v>701</v>
      </c>
      <c r="BP296" s="59"/>
      <c r="BQ296" s="77"/>
      <c r="BR296" s="60"/>
      <c r="BS296" s="60"/>
      <c r="BT296" s="59"/>
      <c r="BU296" s="60"/>
      <c r="BV296" s="60"/>
      <c r="BW296" s="59"/>
      <c r="BX296" s="60"/>
      <c r="BY296" s="60"/>
      <c r="BZ296" s="59"/>
      <c r="CA296" s="59"/>
      <c r="CB296" s="59"/>
      <c r="CC296" s="59"/>
      <c r="CD296" s="59"/>
      <c r="CE296" s="59" t="s">
        <v>7575</v>
      </c>
      <c r="CF296" s="60" t="s">
        <v>1099</v>
      </c>
      <c r="CG296" s="59" t="s">
        <v>975</v>
      </c>
      <c r="CH296" s="59" t="s">
        <v>561</v>
      </c>
      <c r="CI296" s="59" t="s">
        <v>122</v>
      </c>
      <c r="CJ296" s="59" t="s">
        <v>111</v>
      </c>
      <c r="CK296" s="47">
        <v>45363</v>
      </c>
      <c r="CL296" s="64" t="str">
        <f t="shared" ca="1" si="4"/>
        <v>18 Tahun 6 Bulan 3 Hari</v>
      </c>
      <c r="CM29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Munggang RT/RW 01/08 Desa/Kelurahan Mekargalih Kecamatan Jatinangor Sumedang Jawa Barat 45363</v>
      </c>
    </row>
    <row r="297" spans="1:91" ht="24.95" customHeight="1">
      <c r="A297" s="58">
        <f>SUBTOTAL(3,N$8:Table2[[#This Row],[Nama lengkap]])</f>
        <v>290</v>
      </c>
      <c r="B297" s="58" t="s">
        <v>86</v>
      </c>
      <c r="C297" s="58">
        <v>2019</v>
      </c>
      <c r="D297" s="58"/>
      <c r="E297" s="58">
        <v>5</v>
      </c>
      <c r="F297" s="58" t="s">
        <v>3320</v>
      </c>
      <c r="G297" s="32" t="s">
        <v>2513</v>
      </c>
      <c r="H297" s="32" t="s">
        <v>2513</v>
      </c>
      <c r="I297" s="32" t="s">
        <v>2513</v>
      </c>
      <c r="J297" s="32"/>
      <c r="K297" s="32"/>
      <c r="L297" s="32"/>
      <c r="M297" s="58">
        <v>19200242</v>
      </c>
      <c r="N297" s="31" t="s">
        <v>3483</v>
      </c>
      <c r="O297" s="31"/>
      <c r="P297" s="32" t="s">
        <v>3484</v>
      </c>
      <c r="Q297" s="32" t="s">
        <v>3485</v>
      </c>
      <c r="R297" s="64" t="s">
        <v>90</v>
      </c>
      <c r="S297" s="69" t="s">
        <v>3486</v>
      </c>
      <c r="T297" s="47" t="s">
        <v>92</v>
      </c>
      <c r="U297" s="58">
        <v>2</v>
      </c>
      <c r="V297" s="58">
        <v>2</v>
      </c>
      <c r="W297" s="47" t="s">
        <v>207</v>
      </c>
      <c r="X297" s="64"/>
      <c r="Y297" s="64" t="s">
        <v>1524</v>
      </c>
      <c r="Z297" s="64" t="s">
        <v>1776</v>
      </c>
      <c r="AA297" s="64" t="s">
        <v>96</v>
      </c>
      <c r="AB297" s="64" t="s">
        <v>689</v>
      </c>
      <c r="AC297" s="59" t="s">
        <v>208</v>
      </c>
      <c r="AD297" s="59" t="s">
        <v>208</v>
      </c>
      <c r="AE297" s="67" t="s">
        <v>3487</v>
      </c>
      <c r="AF297" s="67" t="s">
        <v>8548</v>
      </c>
      <c r="AG297" s="67" t="s">
        <v>777</v>
      </c>
      <c r="AH297" s="64" t="s">
        <v>691</v>
      </c>
      <c r="AI297" s="64" t="s">
        <v>90</v>
      </c>
      <c r="AJ297" s="69" t="s">
        <v>3488</v>
      </c>
      <c r="AK297" s="67" t="s">
        <v>3489</v>
      </c>
      <c r="AL297" s="64" t="s">
        <v>8259</v>
      </c>
      <c r="AM297" s="67" t="s">
        <v>693</v>
      </c>
      <c r="AN297" s="67"/>
      <c r="AO297" s="64"/>
      <c r="AP297" s="64" t="s">
        <v>2059</v>
      </c>
      <c r="AQ297" s="32" t="s">
        <v>1254</v>
      </c>
      <c r="AR297" s="64" t="s">
        <v>2060</v>
      </c>
      <c r="AS297" s="64" t="s">
        <v>1019</v>
      </c>
      <c r="AT297" s="64" t="s">
        <v>141</v>
      </c>
      <c r="AU297" s="59" t="s">
        <v>111</v>
      </c>
      <c r="AV297" s="71" t="s">
        <v>3490</v>
      </c>
      <c r="AW297" s="67" t="s">
        <v>8049</v>
      </c>
      <c r="AX297" s="64" t="s">
        <v>691</v>
      </c>
      <c r="AY297" s="64" t="s">
        <v>90</v>
      </c>
      <c r="AZ297" s="125" t="s">
        <v>3491</v>
      </c>
      <c r="BA297" s="67" t="s">
        <v>3492</v>
      </c>
      <c r="BB297" s="64" t="s">
        <v>845</v>
      </c>
      <c r="BC297" s="67" t="s">
        <v>693</v>
      </c>
      <c r="BD297" s="67"/>
      <c r="BE297" s="64"/>
      <c r="BF297" s="64"/>
      <c r="BG297" s="64" t="s">
        <v>2059</v>
      </c>
      <c r="BH297" s="67" t="s">
        <v>1254</v>
      </c>
      <c r="BI297" s="64" t="s">
        <v>2060</v>
      </c>
      <c r="BJ297" s="40" t="s">
        <v>1019</v>
      </c>
      <c r="BK297" s="64" t="s">
        <v>141</v>
      </c>
      <c r="BL297" s="67" t="s">
        <v>156</v>
      </c>
      <c r="BM297" s="31" t="s">
        <v>3490</v>
      </c>
      <c r="BN297" s="31"/>
      <c r="BO297" s="64" t="s">
        <v>701</v>
      </c>
      <c r="BP297" s="64"/>
      <c r="BQ297" s="135"/>
      <c r="BR297" s="67"/>
      <c r="BS297" s="64"/>
      <c r="BT297" s="67"/>
      <c r="BU297" s="67"/>
      <c r="BV297" s="64"/>
      <c r="BW297" s="64"/>
      <c r="BX297" s="67"/>
      <c r="BY297" s="64"/>
      <c r="BZ297" s="64"/>
      <c r="CA297" s="64"/>
      <c r="CB297" s="64"/>
      <c r="CC297" s="64"/>
      <c r="CD297" s="64"/>
      <c r="CE297" s="64" t="s">
        <v>7459</v>
      </c>
      <c r="CF297" s="67" t="s">
        <v>1254</v>
      </c>
      <c r="CG297" s="64" t="s">
        <v>7134</v>
      </c>
      <c r="CH297" s="64" t="s">
        <v>6967</v>
      </c>
      <c r="CI297" s="64" t="s">
        <v>90</v>
      </c>
      <c r="CJ297" s="64" t="s">
        <v>111</v>
      </c>
      <c r="CK297" s="58" t="s">
        <v>3490</v>
      </c>
      <c r="CL297" s="64" t="str">
        <f t="shared" ca="1" si="4"/>
        <v>19 Tahun 8 Bulan 10 Hari</v>
      </c>
      <c r="CM29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Kmp.Bojong Nangka RT/RW 01/13 Desa/Kelurahan Kopo Kecamatan Kutawaringin Bandung Jawa Barat 40951</v>
      </c>
    </row>
    <row r="298" spans="1:91" ht="24.95" customHeight="1">
      <c r="A298" s="58">
        <f>SUBTOTAL(3,N$8:Table2[[#This Row],[Nama lengkap]])</f>
        <v>291</v>
      </c>
      <c r="B298" s="58" t="s">
        <v>86</v>
      </c>
      <c r="C298" s="58">
        <v>2019</v>
      </c>
      <c r="D298" s="58"/>
      <c r="E298" s="58">
        <v>5</v>
      </c>
      <c r="F298" s="58" t="s">
        <v>3320</v>
      </c>
      <c r="G298" s="32" t="s">
        <v>2513</v>
      </c>
      <c r="H298" s="32" t="s">
        <v>2513</v>
      </c>
      <c r="I298" s="32" t="s">
        <v>2513</v>
      </c>
      <c r="J298" s="32"/>
      <c r="K298" s="32"/>
      <c r="L298" s="32"/>
      <c r="M298" s="58"/>
      <c r="N298" s="24" t="s">
        <v>3493</v>
      </c>
      <c r="O298" s="24"/>
      <c r="P298" s="25" t="s">
        <v>3494</v>
      </c>
      <c r="Q298" s="25" t="s">
        <v>3495</v>
      </c>
      <c r="R298" s="72" t="s">
        <v>90</v>
      </c>
      <c r="S298" s="61" t="s">
        <v>3496</v>
      </c>
      <c r="T298" s="47" t="s">
        <v>92</v>
      </c>
      <c r="U298" s="47">
        <v>3</v>
      </c>
      <c r="V298" s="47">
        <v>3</v>
      </c>
      <c r="W298" s="47" t="s">
        <v>207</v>
      </c>
      <c r="X298" s="59" t="s">
        <v>432</v>
      </c>
      <c r="Y298" s="59"/>
      <c r="Z298" s="59"/>
      <c r="AA298" s="59" t="s">
        <v>96</v>
      </c>
      <c r="AB298" s="59"/>
      <c r="AC298" s="59" t="s">
        <v>208</v>
      </c>
      <c r="AD298" s="59" t="s">
        <v>208</v>
      </c>
      <c r="AE298" s="60" t="s">
        <v>3112</v>
      </c>
      <c r="AF298" s="59" t="s">
        <v>8511</v>
      </c>
      <c r="AG298" s="59" t="s">
        <v>8511</v>
      </c>
      <c r="AH298" s="59" t="s">
        <v>691</v>
      </c>
      <c r="AI298" s="59" t="s">
        <v>7129</v>
      </c>
      <c r="AJ298" s="61" t="s">
        <v>3497</v>
      </c>
      <c r="AK298" s="60" t="s">
        <v>3113</v>
      </c>
      <c r="AL298" s="59" t="s">
        <v>602</v>
      </c>
      <c r="AM298" s="59" t="s">
        <v>700</v>
      </c>
      <c r="AN298" s="60"/>
      <c r="AO298" s="59"/>
      <c r="AP298" s="59" t="s">
        <v>2123</v>
      </c>
      <c r="AQ298" s="25" t="s">
        <v>2124</v>
      </c>
      <c r="AR298" s="59" t="s">
        <v>2125</v>
      </c>
      <c r="AS298" s="59" t="s">
        <v>1347</v>
      </c>
      <c r="AT298" s="59" t="s">
        <v>141</v>
      </c>
      <c r="AU298" s="59" t="s">
        <v>111</v>
      </c>
      <c r="AV298" s="62">
        <v>40377</v>
      </c>
      <c r="AW298" s="59" t="s">
        <v>8017</v>
      </c>
      <c r="AX298" s="59" t="s">
        <v>691</v>
      </c>
      <c r="AY298" s="59" t="s">
        <v>90</v>
      </c>
      <c r="AZ298" s="126" t="s">
        <v>3114</v>
      </c>
      <c r="BA298" s="60" t="s">
        <v>3115</v>
      </c>
      <c r="BB298" s="59" t="s">
        <v>845</v>
      </c>
      <c r="BC298" s="59" t="s">
        <v>700</v>
      </c>
      <c r="BD298" s="73"/>
      <c r="BE298" s="59"/>
      <c r="BF298" s="59"/>
      <c r="BG298" s="70" t="s">
        <v>2123</v>
      </c>
      <c r="BH298" s="60" t="s">
        <v>2124</v>
      </c>
      <c r="BI298" s="70" t="s">
        <v>2125</v>
      </c>
      <c r="BJ298" s="72" t="s">
        <v>1347</v>
      </c>
      <c r="BK298" s="70" t="s">
        <v>141</v>
      </c>
      <c r="BL298" s="59" t="s">
        <v>156</v>
      </c>
      <c r="BM298" s="24">
        <v>40377</v>
      </c>
      <c r="BN298" s="24"/>
      <c r="BO298" s="59" t="s">
        <v>701</v>
      </c>
      <c r="BP298" s="59"/>
      <c r="BQ298" s="77"/>
      <c r="BR298" s="60"/>
      <c r="BS298" s="59"/>
      <c r="BT298" s="59"/>
      <c r="BU298" s="60"/>
      <c r="BV298" s="59"/>
      <c r="BW298" s="59"/>
      <c r="BX298" s="60"/>
      <c r="BY298" s="59"/>
      <c r="BZ298" s="59"/>
      <c r="CA298" s="59"/>
      <c r="CB298" s="59"/>
      <c r="CC298" s="59"/>
      <c r="CD298" s="59"/>
      <c r="CE298" s="59" t="s">
        <v>7284</v>
      </c>
      <c r="CF298" s="60" t="s">
        <v>2124</v>
      </c>
      <c r="CG298" s="59" t="s">
        <v>6635</v>
      </c>
      <c r="CH298" s="59" t="s">
        <v>6463</v>
      </c>
      <c r="CI298" s="59" t="s">
        <v>90</v>
      </c>
      <c r="CJ298" s="59" t="s">
        <v>111</v>
      </c>
      <c r="CK298" s="47">
        <v>40377</v>
      </c>
      <c r="CL298" s="64" t="str">
        <f t="shared" ca="1" si="4"/>
        <v>21 Tahun 2 Bulan 13 Hari</v>
      </c>
      <c r="CM29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Gumuruh RT/RW 05/04 Desa/Kelurahan Nagrak Kecamatan Cangkuang Bandung Jawa Barat 40377</v>
      </c>
    </row>
    <row r="299" spans="1:91" ht="24.95" customHeight="1">
      <c r="A299" s="58">
        <f>SUBTOTAL(3,N$8:Table2[[#This Row],[Nama lengkap]])</f>
        <v>292</v>
      </c>
      <c r="B299" s="58" t="s">
        <v>86</v>
      </c>
      <c r="C299" s="58">
        <v>2019</v>
      </c>
      <c r="D299" s="58" t="s">
        <v>8936</v>
      </c>
      <c r="E299" s="58">
        <v>5</v>
      </c>
      <c r="F299" s="58" t="s">
        <v>3320</v>
      </c>
      <c r="G299" s="32" t="s">
        <v>2513</v>
      </c>
      <c r="H299" s="32" t="s">
        <v>2513</v>
      </c>
      <c r="I299" s="32" t="s">
        <v>2513</v>
      </c>
      <c r="J299" s="32"/>
      <c r="K299" s="32"/>
      <c r="L299" s="32"/>
      <c r="M299" s="58">
        <v>19200251</v>
      </c>
      <c r="N299" s="24" t="s">
        <v>3498</v>
      </c>
      <c r="O299" s="24"/>
      <c r="P299" s="25" t="s">
        <v>3499</v>
      </c>
      <c r="Q299" s="25" t="s">
        <v>3500</v>
      </c>
      <c r="R299" s="59" t="s">
        <v>90</v>
      </c>
      <c r="S299" s="61" t="s">
        <v>3501</v>
      </c>
      <c r="T299" s="47" t="s">
        <v>92</v>
      </c>
      <c r="U299" s="47">
        <v>1</v>
      </c>
      <c r="V299" s="47">
        <v>2</v>
      </c>
      <c r="W299" s="47" t="s">
        <v>207</v>
      </c>
      <c r="X299" s="59"/>
      <c r="Y299" s="59" t="s">
        <v>1524</v>
      </c>
      <c r="Z299" s="59" t="s">
        <v>1042</v>
      </c>
      <c r="AA299" s="59" t="s">
        <v>96</v>
      </c>
      <c r="AB299" s="59" t="s">
        <v>689</v>
      </c>
      <c r="AC299" s="59" t="s">
        <v>208</v>
      </c>
      <c r="AD299" s="59" t="s">
        <v>208</v>
      </c>
      <c r="AE299" s="60" t="s">
        <v>3502</v>
      </c>
      <c r="AF299" s="59" t="s">
        <v>6418</v>
      </c>
      <c r="AG299" s="70" t="s">
        <v>6418</v>
      </c>
      <c r="AH299" s="59" t="s">
        <v>691</v>
      </c>
      <c r="AI299" s="59" t="s">
        <v>90</v>
      </c>
      <c r="AJ299" s="61" t="s">
        <v>3503</v>
      </c>
      <c r="AK299" s="60" t="s">
        <v>3504</v>
      </c>
      <c r="AL299" s="59" t="s">
        <v>114</v>
      </c>
      <c r="AM299" s="59" t="s">
        <v>693</v>
      </c>
      <c r="AN299" s="60"/>
      <c r="AO299" s="59"/>
      <c r="AP299" s="59" t="s">
        <v>3505</v>
      </c>
      <c r="AQ299" s="25" t="s">
        <v>1048</v>
      </c>
      <c r="AR299" s="59" t="s">
        <v>2060</v>
      </c>
      <c r="AS299" s="59" t="s">
        <v>1006</v>
      </c>
      <c r="AT299" s="59" t="s">
        <v>141</v>
      </c>
      <c r="AU299" s="59" t="s">
        <v>111</v>
      </c>
      <c r="AV299" s="62">
        <v>40233</v>
      </c>
      <c r="AW299" s="59" t="s">
        <v>8050</v>
      </c>
      <c r="AX299" s="59" t="s">
        <v>691</v>
      </c>
      <c r="AY299" s="70" t="s">
        <v>90</v>
      </c>
      <c r="AZ299" s="128" t="s">
        <v>3506</v>
      </c>
      <c r="BA299" s="73" t="s">
        <v>3507</v>
      </c>
      <c r="BB299" s="59" t="s">
        <v>845</v>
      </c>
      <c r="BC299" s="59" t="s">
        <v>800</v>
      </c>
      <c r="BD299" s="60"/>
      <c r="BE299" s="59"/>
      <c r="BF299" s="59"/>
      <c r="BG299" s="59" t="s">
        <v>3505</v>
      </c>
      <c r="BH299" s="60" t="s">
        <v>1048</v>
      </c>
      <c r="BI299" s="59" t="s">
        <v>2060</v>
      </c>
      <c r="BJ299" s="24" t="s">
        <v>1006</v>
      </c>
      <c r="BK299" s="59" t="s">
        <v>141</v>
      </c>
      <c r="BL299" s="59" t="s">
        <v>156</v>
      </c>
      <c r="BM299" s="24">
        <v>40233</v>
      </c>
      <c r="BN299" s="24"/>
      <c r="BO299" s="59" t="s">
        <v>701</v>
      </c>
      <c r="BP299" s="59"/>
      <c r="BQ299" s="137"/>
      <c r="BR299" s="60"/>
      <c r="BS299" s="59"/>
      <c r="BT299" s="59"/>
      <c r="BU299" s="60"/>
      <c r="BV299" s="59"/>
      <c r="BW299" s="59"/>
      <c r="BX299" s="60"/>
      <c r="BY299" s="59"/>
      <c r="BZ299" s="59"/>
      <c r="CA299" s="59"/>
      <c r="CB299" s="59"/>
      <c r="CC299" s="62"/>
      <c r="CD299" s="59"/>
      <c r="CE299" s="59" t="s">
        <v>7576</v>
      </c>
      <c r="CF299" s="60" t="s">
        <v>1048</v>
      </c>
      <c r="CG299" s="59" t="s">
        <v>7134</v>
      </c>
      <c r="CH299" s="59" t="s">
        <v>6995</v>
      </c>
      <c r="CI299" s="59" t="s">
        <v>90</v>
      </c>
      <c r="CJ299" s="59" t="s">
        <v>111</v>
      </c>
      <c r="CK299" s="47">
        <v>40233</v>
      </c>
      <c r="CL299" s="64" t="str">
        <f t="shared" ca="1" si="4"/>
        <v>19 Tahun 1 Bulan 20 Hari</v>
      </c>
      <c r="CM29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Jl.Bbk Ciparay Gg.Pa Abid RT/RW 04/01 Desa/Kelurahan Kopo Kecamatan Bojongloa Kaler Bandung Jawa Barat 40233</v>
      </c>
    </row>
    <row r="300" spans="1:91" ht="24.95" customHeight="1">
      <c r="A300" s="58">
        <f>SUBTOTAL(3,N$8:Table2[[#This Row],[Nama lengkap]])</f>
        <v>293</v>
      </c>
      <c r="B300" s="58" t="s">
        <v>86</v>
      </c>
      <c r="C300" s="58">
        <v>2019</v>
      </c>
      <c r="D300" s="58"/>
      <c r="E300" s="58">
        <v>5</v>
      </c>
      <c r="F300" s="58" t="s">
        <v>3320</v>
      </c>
      <c r="G300" s="32" t="s">
        <v>2513</v>
      </c>
      <c r="H300" s="32" t="s">
        <v>2513</v>
      </c>
      <c r="I300" s="32" t="s">
        <v>2513</v>
      </c>
      <c r="J300" s="32"/>
      <c r="K300" s="32"/>
      <c r="L300" s="32"/>
      <c r="M300" s="58">
        <v>19200255</v>
      </c>
      <c r="N300" s="24" t="s">
        <v>3508</v>
      </c>
      <c r="O300" s="24"/>
      <c r="P300" s="25" t="s">
        <v>3509</v>
      </c>
      <c r="Q300" s="25" t="s">
        <v>3510</v>
      </c>
      <c r="R300" s="59" t="s">
        <v>90</v>
      </c>
      <c r="S300" s="61" t="s">
        <v>3511</v>
      </c>
      <c r="T300" s="47" t="s">
        <v>92</v>
      </c>
      <c r="U300" s="47">
        <v>1</v>
      </c>
      <c r="V300" s="47">
        <v>1</v>
      </c>
      <c r="W300" s="47" t="s">
        <v>207</v>
      </c>
      <c r="X300" s="59" t="s">
        <v>123</v>
      </c>
      <c r="Y300" s="59" t="s">
        <v>3512</v>
      </c>
      <c r="Z300" s="59" t="s">
        <v>1183</v>
      </c>
      <c r="AA300" s="59" t="s">
        <v>96</v>
      </c>
      <c r="AB300" s="59" t="s">
        <v>689</v>
      </c>
      <c r="AC300" s="59" t="s">
        <v>208</v>
      </c>
      <c r="AD300" s="59" t="s">
        <v>208</v>
      </c>
      <c r="AE300" s="60" t="s">
        <v>3513</v>
      </c>
      <c r="AF300" s="59" t="s">
        <v>8549</v>
      </c>
      <c r="AG300" s="59" t="s">
        <v>8549</v>
      </c>
      <c r="AH300" s="59" t="s">
        <v>691</v>
      </c>
      <c r="AI300" s="59" t="s">
        <v>90</v>
      </c>
      <c r="AJ300" s="61" t="s">
        <v>3514</v>
      </c>
      <c r="AK300" s="60" t="s">
        <v>3515</v>
      </c>
      <c r="AL300" s="59" t="s">
        <v>8259</v>
      </c>
      <c r="AM300" s="59" t="s">
        <v>800</v>
      </c>
      <c r="AN300" s="60"/>
      <c r="AO300" s="59"/>
      <c r="AP300" s="59" t="s">
        <v>3516</v>
      </c>
      <c r="AQ300" s="25" t="s">
        <v>3517</v>
      </c>
      <c r="AR300" s="59" t="s">
        <v>3518</v>
      </c>
      <c r="AS300" s="59" t="s">
        <v>2233</v>
      </c>
      <c r="AT300" s="59" t="s">
        <v>141</v>
      </c>
      <c r="AU300" s="59" t="s">
        <v>111</v>
      </c>
      <c r="AV300" s="62">
        <v>40273</v>
      </c>
      <c r="AW300" s="59" t="s">
        <v>8051</v>
      </c>
      <c r="AX300" s="59" t="s">
        <v>691</v>
      </c>
      <c r="AY300" s="59" t="s">
        <v>90</v>
      </c>
      <c r="AZ300" s="126" t="s">
        <v>3519</v>
      </c>
      <c r="BA300" s="60" t="s">
        <v>3520</v>
      </c>
      <c r="BB300" s="59" t="s">
        <v>7775</v>
      </c>
      <c r="BC300" s="59" t="s">
        <v>800</v>
      </c>
      <c r="BD300" s="60"/>
      <c r="BE300" s="59"/>
      <c r="BF300" s="59"/>
      <c r="BG300" s="59" t="s">
        <v>3516</v>
      </c>
      <c r="BH300" s="60" t="s">
        <v>3517</v>
      </c>
      <c r="BI300" s="59" t="s">
        <v>3518</v>
      </c>
      <c r="BJ300" s="24" t="s">
        <v>2233</v>
      </c>
      <c r="BK300" s="59" t="s">
        <v>141</v>
      </c>
      <c r="BL300" s="59" t="s">
        <v>156</v>
      </c>
      <c r="BM300" s="24">
        <v>40273</v>
      </c>
      <c r="BN300" s="24"/>
      <c r="BO300" s="59" t="s">
        <v>701</v>
      </c>
      <c r="BP300" s="59"/>
      <c r="BQ300" s="137"/>
      <c r="BR300" s="60"/>
      <c r="BS300" s="59"/>
      <c r="BT300" s="59"/>
      <c r="BU300" s="60"/>
      <c r="BV300" s="59"/>
      <c r="BW300" s="59"/>
      <c r="BX300" s="60"/>
      <c r="BY300" s="59"/>
      <c r="BZ300" s="59"/>
      <c r="CA300" s="59"/>
      <c r="CB300" s="59"/>
      <c r="CC300" s="62"/>
      <c r="CD300" s="59"/>
      <c r="CE300" s="59" t="s">
        <v>7577</v>
      </c>
      <c r="CF300" s="60" t="s">
        <v>3517</v>
      </c>
      <c r="CG300" s="59" t="s">
        <v>7234</v>
      </c>
      <c r="CH300" s="59" t="s">
        <v>7155</v>
      </c>
      <c r="CI300" s="59" t="s">
        <v>90</v>
      </c>
      <c r="CJ300" s="59" t="s">
        <v>111</v>
      </c>
      <c r="CK300" s="47">
        <v>40273</v>
      </c>
      <c r="CL300" s="64" t="str">
        <f t="shared" ca="1" si="4"/>
        <v>18 Tahun 5 Bulan 11 Hari</v>
      </c>
      <c r="CM30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Jl.Cibangkong No.96/120 B RT/RW 07/08 Desa/Kelurahan Cibangkong Kecamatan Batununggal Bandung Jawa Barat 40273</v>
      </c>
    </row>
    <row r="301" spans="1:91" ht="24.95" customHeight="1">
      <c r="A301" s="58">
        <f>SUBTOTAL(3,N$8:Table2[[#This Row],[Nama lengkap]])</f>
        <v>294</v>
      </c>
      <c r="B301" s="58" t="s">
        <v>86</v>
      </c>
      <c r="C301" s="58">
        <v>2019</v>
      </c>
      <c r="D301" s="58"/>
      <c r="E301" s="58">
        <v>5</v>
      </c>
      <c r="F301" s="58" t="s">
        <v>3320</v>
      </c>
      <c r="G301" s="32" t="s">
        <v>2513</v>
      </c>
      <c r="H301" s="32" t="s">
        <v>2513</v>
      </c>
      <c r="I301" s="32" t="s">
        <v>2513</v>
      </c>
      <c r="J301" s="32"/>
      <c r="K301" s="32"/>
      <c r="L301" s="32"/>
      <c r="M301" s="58">
        <v>19200259</v>
      </c>
      <c r="N301" s="24" t="s">
        <v>3521</v>
      </c>
      <c r="O301" s="24"/>
      <c r="P301" s="25" t="s">
        <v>3522</v>
      </c>
      <c r="Q301" s="25" t="s">
        <v>3523</v>
      </c>
      <c r="R301" s="59" t="s">
        <v>6472</v>
      </c>
      <c r="S301" s="61" t="s">
        <v>3524</v>
      </c>
      <c r="T301" s="47" t="s">
        <v>92</v>
      </c>
      <c r="U301" s="47">
        <v>2</v>
      </c>
      <c r="V301" s="47">
        <v>1</v>
      </c>
      <c r="W301" s="47" t="s">
        <v>207</v>
      </c>
      <c r="X301" s="59"/>
      <c r="Y301" s="59" t="s">
        <v>3512</v>
      </c>
      <c r="Z301" s="59" t="s">
        <v>3161</v>
      </c>
      <c r="AA301" s="59" t="s">
        <v>96</v>
      </c>
      <c r="AB301" s="59" t="s">
        <v>689</v>
      </c>
      <c r="AC301" s="59" t="s">
        <v>208</v>
      </c>
      <c r="AD301" s="59" t="s">
        <v>208</v>
      </c>
      <c r="AE301" s="60" t="s">
        <v>3525</v>
      </c>
      <c r="AF301" s="59" t="s">
        <v>8550</v>
      </c>
      <c r="AG301" s="59" t="s">
        <v>8550</v>
      </c>
      <c r="AH301" s="59" t="s">
        <v>691</v>
      </c>
      <c r="AI301" s="59" t="s">
        <v>6472</v>
      </c>
      <c r="AJ301" s="61" t="s">
        <v>3526</v>
      </c>
      <c r="AK301" s="60" t="s">
        <v>3527</v>
      </c>
      <c r="AL301" s="59" t="s">
        <v>224</v>
      </c>
      <c r="AM301" s="59" t="s">
        <v>693</v>
      </c>
      <c r="AN301" s="60"/>
      <c r="AO301" s="59"/>
      <c r="AP301" s="59" t="s">
        <v>3528</v>
      </c>
      <c r="AQ301" s="25" t="s">
        <v>3529</v>
      </c>
      <c r="AR301" s="59" t="s">
        <v>3530</v>
      </c>
      <c r="AS301" s="59" t="s">
        <v>3203</v>
      </c>
      <c r="AT301" s="59" t="s">
        <v>651</v>
      </c>
      <c r="AU301" s="59" t="s">
        <v>111</v>
      </c>
      <c r="AV301" s="62">
        <v>45462</v>
      </c>
      <c r="AW301" s="59" t="s">
        <v>8052</v>
      </c>
      <c r="AX301" s="59" t="s">
        <v>691</v>
      </c>
      <c r="AY301" s="59" t="s">
        <v>6472</v>
      </c>
      <c r="AZ301" s="126" t="s">
        <v>3371</v>
      </c>
      <c r="BA301" s="60" t="s">
        <v>3531</v>
      </c>
      <c r="BB301" s="59" t="s">
        <v>845</v>
      </c>
      <c r="BC301" s="59" t="s">
        <v>693</v>
      </c>
      <c r="BD301" s="60"/>
      <c r="BE301" s="59"/>
      <c r="BF301" s="59"/>
      <c r="BG301" s="59" t="s">
        <v>3528</v>
      </c>
      <c r="BH301" s="60" t="s">
        <v>3529</v>
      </c>
      <c r="BI301" s="59" t="s">
        <v>3530</v>
      </c>
      <c r="BJ301" s="24" t="s">
        <v>3203</v>
      </c>
      <c r="BK301" s="59" t="s">
        <v>651</v>
      </c>
      <c r="BL301" s="59" t="s">
        <v>156</v>
      </c>
      <c r="BM301" s="24">
        <v>45462</v>
      </c>
      <c r="BN301" s="24"/>
      <c r="BO301" s="59" t="s">
        <v>701</v>
      </c>
      <c r="BP301" s="59"/>
      <c r="BQ301" s="137"/>
      <c r="BR301" s="60"/>
      <c r="BS301" s="59"/>
      <c r="BT301" s="59"/>
      <c r="BU301" s="60"/>
      <c r="BV301" s="59"/>
      <c r="BW301" s="59"/>
      <c r="BX301" s="60"/>
      <c r="BY301" s="59"/>
      <c r="BZ301" s="59"/>
      <c r="CA301" s="59"/>
      <c r="CB301" s="59"/>
      <c r="CC301" s="62"/>
      <c r="CD301" s="59"/>
      <c r="CE301" s="59" t="s">
        <v>7578</v>
      </c>
      <c r="CF301" s="60" t="s">
        <v>3529</v>
      </c>
      <c r="CG301" s="59" t="s">
        <v>7235</v>
      </c>
      <c r="CH301" s="59" t="s">
        <v>7221</v>
      </c>
      <c r="CI301" s="59" t="s">
        <v>6472</v>
      </c>
      <c r="CJ301" s="59" t="s">
        <v>111</v>
      </c>
      <c r="CK301" s="47">
        <v>45462</v>
      </c>
      <c r="CL301" s="64" t="str">
        <f t="shared" ca="1" si="4"/>
        <v>18 Tahun 7 Bulan 26 Hari</v>
      </c>
      <c r="CM30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Blok Cibuluh RT/RW 12/04 Desa/Kelurahan Tejamulya Kecamatan Argapura Majalengka Jawa Barat 45462</v>
      </c>
    </row>
    <row r="302" spans="1:91" ht="24.95" customHeight="1">
      <c r="A302" s="58">
        <f>SUBTOTAL(3,N$8:Table2[[#This Row],[Nama lengkap]])</f>
        <v>295</v>
      </c>
      <c r="B302" s="58" t="s">
        <v>86</v>
      </c>
      <c r="C302" s="58">
        <v>2019</v>
      </c>
      <c r="D302" s="58"/>
      <c r="E302" s="58">
        <v>5</v>
      </c>
      <c r="F302" s="58" t="s">
        <v>3320</v>
      </c>
      <c r="G302" s="32" t="s">
        <v>2513</v>
      </c>
      <c r="H302" s="32" t="s">
        <v>2513</v>
      </c>
      <c r="I302" s="32" t="s">
        <v>2513</v>
      </c>
      <c r="J302" s="32"/>
      <c r="K302" s="32"/>
      <c r="L302" s="32"/>
      <c r="M302" s="58">
        <v>19200265</v>
      </c>
      <c r="N302" s="24" t="s">
        <v>3532</v>
      </c>
      <c r="O302" s="24"/>
      <c r="P302" s="25" t="s">
        <v>3533</v>
      </c>
      <c r="Q302" s="25" t="s">
        <v>3534</v>
      </c>
      <c r="R302" s="59" t="s">
        <v>122</v>
      </c>
      <c r="S302" s="61" t="s">
        <v>3535</v>
      </c>
      <c r="T302" s="47" t="s">
        <v>92</v>
      </c>
      <c r="U302" s="47">
        <v>3</v>
      </c>
      <c r="V302" s="47">
        <v>2</v>
      </c>
      <c r="W302" s="47" t="s">
        <v>207</v>
      </c>
      <c r="X302" s="59" t="s">
        <v>432</v>
      </c>
      <c r="Y302" s="59" t="s">
        <v>3536</v>
      </c>
      <c r="Z302" s="59" t="s">
        <v>3537</v>
      </c>
      <c r="AA302" s="59" t="s">
        <v>1141</v>
      </c>
      <c r="AB302" s="59" t="s">
        <v>689</v>
      </c>
      <c r="AC302" s="59" t="s">
        <v>208</v>
      </c>
      <c r="AD302" s="59" t="s">
        <v>208</v>
      </c>
      <c r="AE302" s="60" t="s">
        <v>3538</v>
      </c>
      <c r="AF302" s="59" t="s">
        <v>8551</v>
      </c>
      <c r="AG302" s="59" t="s">
        <v>8551</v>
      </c>
      <c r="AH302" s="59" t="s">
        <v>691</v>
      </c>
      <c r="AI302" s="59" t="s">
        <v>122</v>
      </c>
      <c r="AJ302" s="61">
        <v>24624</v>
      </c>
      <c r="AK302" s="60" t="s">
        <v>3539</v>
      </c>
      <c r="AL302" s="59" t="s">
        <v>114</v>
      </c>
      <c r="AM302" s="59" t="s">
        <v>693</v>
      </c>
      <c r="AN302" s="60"/>
      <c r="AO302" s="59"/>
      <c r="AP302" s="59" t="s">
        <v>3540</v>
      </c>
      <c r="AQ302" s="25" t="s">
        <v>1052</v>
      </c>
      <c r="AR302" s="59" t="s">
        <v>1752</v>
      </c>
      <c r="AS302" s="59" t="s">
        <v>1324</v>
      </c>
      <c r="AT302" s="59" t="s">
        <v>1090</v>
      </c>
      <c r="AU302" s="59" t="s">
        <v>111</v>
      </c>
      <c r="AV302" s="62">
        <v>45352</v>
      </c>
      <c r="AW302" s="59" t="s">
        <v>8053</v>
      </c>
      <c r="AX302" s="59" t="s">
        <v>691</v>
      </c>
      <c r="AY302" s="59" t="s">
        <v>122</v>
      </c>
      <c r="AZ302" s="126">
        <v>25303</v>
      </c>
      <c r="BA302" s="60" t="s">
        <v>3541</v>
      </c>
      <c r="BB302" s="59" t="s">
        <v>845</v>
      </c>
      <c r="BC302" s="59" t="s">
        <v>693</v>
      </c>
      <c r="BD302" s="60"/>
      <c r="BE302" s="59"/>
      <c r="BF302" s="59"/>
      <c r="BG302" s="59" t="s">
        <v>3540</v>
      </c>
      <c r="BH302" s="60" t="s">
        <v>1052</v>
      </c>
      <c r="BI302" s="59" t="s">
        <v>1752</v>
      </c>
      <c r="BJ302" s="24" t="s">
        <v>1324</v>
      </c>
      <c r="BK302" s="59" t="s">
        <v>1090</v>
      </c>
      <c r="BL302" s="59" t="s">
        <v>156</v>
      </c>
      <c r="BM302" s="24">
        <v>45352</v>
      </c>
      <c r="BN302" s="24"/>
      <c r="BO302" s="59" t="s">
        <v>701</v>
      </c>
      <c r="BP302" s="59"/>
      <c r="BQ302" s="137"/>
      <c r="BR302" s="60"/>
      <c r="BS302" s="59"/>
      <c r="BT302" s="59"/>
      <c r="BU302" s="60"/>
      <c r="BV302" s="59"/>
      <c r="BW302" s="59"/>
      <c r="BX302" s="60"/>
      <c r="BY302" s="59"/>
      <c r="BZ302" s="59"/>
      <c r="CA302" s="59"/>
      <c r="CB302" s="59"/>
      <c r="CC302" s="62"/>
      <c r="CD302" s="59"/>
      <c r="CE302" s="59" t="s">
        <v>7579</v>
      </c>
      <c r="CF302" s="60" t="s">
        <v>1052</v>
      </c>
      <c r="CG302" s="59" t="s">
        <v>7109</v>
      </c>
      <c r="CH302" s="59" t="s">
        <v>134</v>
      </c>
      <c r="CI302" s="59" t="s">
        <v>122</v>
      </c>
      <c r="CJ302" s="59" t="s">
        <v>111</v>
      </c>
      <c r="CK302" s="47">
        <v>45352</v>
      </c>
      <c r="CL302" s="64" t="str">
        <f t="shared" ca="1" si="4"/>
        <v>21 Tahun 8 Bulan 24 Hari</v>
      </c>
      <c r="CM30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Sukaraja RT/RW 04/02 Desa/Kelurahan Jatihurip Kecamatan Sumedang Utara Sumedang Jawa Barat 45352</v>
      </c>
    </row>
    <row r="303" spans="1:91" ht="24.95" customHeight="1">
      <c r="A303" s="58">
        <f>SUBTOTAL(3,N$8:Table2[[#This Row],[Nama lengkap]])</f>
        <v>296</v>
      </c>
      <c r="B303" s="58" t="s">
        <v>86</v>
      </c>
      <c r="C303" s="58">
        <v>2019</v>
      </c>
      <c r="D303" s="58"/>
      <c r="E303" s="58">
        <v>5</v>
      </c>
      <c r="F303" s="58" t="s">
        <v>3320</v>
      </c>
      <c r="G303" s="32" t="s">
        <v>2513</v>
      </c>
      <c r="H303" s="32" t="s">
        <v>2513</v>
      </c>
      <c r="I303" s="32" t="s">
        <v>2513</v>
      </c>
      <c r="J303" s="32"/>
      <c r="K303" s="32"/>
      <c r="L303" s="32"/>
      <c r="M303" s="58">
        <v>19200267</v>
      </c>
      <c r="N303" s="24" t="s">
        <v>3542</v>
      </c>
      <c r="O303" s="24"/>
      <c r="P303" s="25" t="s">
        <v>3543</v>
      </c>
      <c r="Q303" s="25" t="s">
        <v>3544</v>
      </c>
      <c r="R303" s="59" t="s">
        <v>122</v>
      </c>
      <c r="S303" s="61" t="s">
        <v>3545</v>
      </c>
      <c r="T303" s="47" t="s">
        <v>92</v>
      </c>
      <c r="U303" s="47">
        <v>2</v>
      </c>
      <c r="V303" s="47">
        <v>2</v>
      </c>
      <c r="W303" s="47" t="s">
        <v>207</v>
      </c>
      <c r="X303" s="59" t="s">
        <v>123</v>
      </c>
      <c r="Y303" s="59" t="s">
        <v>2213</v>
      </c>
      <c r="Z303" s="59" t="s">
        <v>707</v>
      </c>
      <c r="AA303" s="59" t="s">
        <v>96</v>
      </c>
      <c r="AB303" s="59" t="s">
        <v>689</v>
      </c>
      <c r="AC303" s="59" t="s">
        <v>208</v>
      </c>
      <c r="AD303" s="59" t="s">
        <v>208</v>
      </c>
      <c r="AE303" s="60" t="s">
        <v>3546</v>
      </c>
      <c r="AF303" s="59" t="s">
        <v>8552</v>
      </c>
      <c r="AG303" s="59" t="s">
        <v>8552</v>
      </c>
      <c r="AH303" s="59" t="s">
        <v>691</v>
      </c>
      <c r="AI303" s="59" t="s">
        <v>122</v>
      </c>
      <c r="AJ303" s="61" t="s">
        <v>3547</v>
      </c>
      <c r="AK303" s="60" t="s">
        <v>3548</v>
      </c>
      <c r="AL303" s="59" t="s">
        <v>602</v>
      </c>
      <c r="AM303" s="59" t="s">
        <v>800</v>
      </c>
      <c r="AN303" s="60"/>
      <c r="AO303" s="59"/>
      <c r="AP303" s="59" t="s">
        <v>3549</v>
      </c>
      <c r="AQ303" s="25" t="s">
        <v>3435</v>
      </c>
      <c r="AR303" s="59" t="s">
        <v>3550</v>
      </c>
      <c r="AS303" s="59" t="s">
        <v>3238</v>
      </c>
      <c r="AT303" s="59" t="s">
        <v>1090</v>
      </c>
      <c r="AU303" s="59" t="s">
        <v>111</v>
      </c>
      <c r="AV303" s="62">
        <v>45362</v>
      </c>
      <c r="AW303" s="59" t="s">
        <v>8054</v>
      </c>
      <c r="AX303" s="59" t="s">
        <v>691</v>
      </c>
      <c r="AY303" s="59" t="s">
        <v>122</v>
      </c>
      <c r="AZ303" s="126" t="s">
        <v>3551</v>
      </c>
      <c r="BA303" s="60" t="s">
        <v>3552</v>
      </c>
      <c r="BB303" s="59" t="s">
        <v>845</v>
      </c>
      <c r="BC303" s="59" t="s">
        <v>700</v>
      </c>
      <c r="BD303" s="60"/>
      <c r="BE303" s="59"/>
      <c r="BF303" s="59"/>
      <c r="BG303" s="59" t="s">
        <v>3549</v>
      </c>
      <c r="BH303" s="60" t="s">
        <v>3435</v>
      </c>
      <c r="BI303" s="59" t="s">
        <v>3550</v>
      </c>
      <c r="BJ303" s="24" t="s">
        <v>3238</v>
      </c>
      <c r="BK303" s="59" t="s">
        <v>1090</v>
      </c>
      <c r="BL303" s="59" t="s">
        <v>156</v>
      </c>
      <c r="BM303" s="24">
        <v>45362</v>
      </c>
      <c r="BN303" s="24"/>
      <c r="BO303" s="59" t="s">
        <v>701</v>
      </c>
      <c r="BP303" s="59"/>
      <c r="BQ303" s="137"/>
      <c r="BR303" s="60"/>
      <c r="BS303" s="59"/>
      <c r="BT303" s="59"/>
      <c r="BU303" s="60"/>
      <c r="BV303" s="59"/>
      <c r="BW303" s="59"/>
      <c r="BX303" s="60"/>
      <c r="BY303" s="59"/>
      <c r="BZ303" s="59"/>
      <c r="CA303" s="59"/>
      <c r="CB303" s="59"/>
      <c r="CC303" s="62"/>
      <c r="CD303" s="59"/>
      <c r="CE303" s="59" t="s">
        <v>7580</v>
      </c>
      <c r="CF303" s="60" t="s">
        <v>3435</v>
      </c>
      <c r="CG303" s="59" t="s">
        <v>7236</v>
      </c>
      <c r="CH303" s="59" t="s">
        <v>882</v>
      </c>
      <c r="CI303" s="59" t="s">
        <v>122</v>
      </c>
      <c r="CJ303" s="59" t="s">
        <v>111</v>
      </c>
      <c r="CK303" s="47">
        <v>45362</v>
      </c>
      <c r="CL303" s="64" t="str">
        <f t="shared" ca="1" si="4"/>
        <v>19 Tahun 2 Bulan 5 Hari</v>
      </c>
      <c r="CM30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Ciayunan RT/RW 01/01 Desa/Kelurahan Ciptasari Kecamatan Pamulihan Sumedang Jawa Barat 45362</v>
      </c>
    </row>
    <row r="304" spans="1:91" ht="24.95" customHeight="1">
      <c r="A304" s="58">
        <f>SUBTOTAL(3,N$8:Table2[[#This Row],[Nama lengkap]])</f>
        <v>297</v>
      </c>
      <c r="B304" s="58" t="s">
        <v>86</v>
      </c>
      <c r="C304" s="58">
        <v>2019</v>
      </c>
      <c r="D304" s="58"/>
      <c r="E304" s="58">
        <v>5</v>
      </c>
      <c r="F304" s="58" t="s">
        <v>3320</v>
      </c>
      <c r="G304" s="32" t="s">
        <v>2513</v>
      </c>
      <c r="H304" s="32" t="s">
        <v>2513</v>
      </c>
      <c r="I304" s="32" t="s">
        <v>2513</v>
      </c>
      <c r="J304" s="32"/>
      <c r="K304" s="32"/>
      <c r="L304" s="32"/>
      <c r="M304" s="58">
        <v>19200290</v>
      </c>
      <c r="N304" s="24" t="s">
        <v>3553</v>
      </c>
      <c r="O304" s="24"/>
      <c r="P304" s="25" t="s">
        <v>3554</v>
      </c>
      <c r="Q304" s="25" t="s">
        <v>3555</v>
      </c>
      <c r="R304" s="59" t="s">
        <v>90</v>
      </c>
      <c r="S304" s="61" t="s">
        <v>3556</v>
      </c>
      <c r="T304" s="47" t="s">
        <v>92</v>
      </c>
      <c r="U304" s="47">
        <v>4</v>
      </c>
      <c r="V304" s="47">
        <v>3</v>
      </c>
      <c r="W304" s="47" t="s">
        <v>207</v>
      </c>
      <c r="X304" s="59" t="s">
        <v>123</v>
      </c>
      <c r="Y304" s="59" t="s">
        <v>1012</v>
      </c>
      <c r="Z304" s="59" t="s">
        <v>707</v>
      </c>
      <c r="AA304" s="59" t="s">
        <v>96</v>
      </c>
      <c r="AB304" s="59" t="s">
        <v>689</v>
      </c>
      <c r="AC304" s="59" t="s">
        <v>208</v>
      </c>
      <c r="AD304" s="59" t="s">
        <v>208</v>
      </c>
      <c r="AE304" s="60" t="s">
        <v>3557</v>
      </c>
      <c r="AF304" s="59" t="s">
        <v>8553</v>
      </c>
      <c r="AG304" s="59" t="s">
        <v>8553</v>
      </c>
      <c r="AH304" s="59" t="s">
        <v>691</v>
      </c>
      <c r="AI304" s="59" t="s">
        <v>236</v>
      </c>
      <c r="AJ304" s="61" t="s">
        <v>3558</v>
      </c>
      <c r="AK304" s="60" t="s">
        <v>3559</v>
      </c>
      <c r="AL304" s="59" t="s">
        <v>114</v>
      </c>
      <c r="AM304" s="59" t="s">
        <v>800</v>
      </c>
      <c r="AN304" s="60"/>
      <c r="AO304" s="59"/>
      <c r="AP304" s="59" t="s">
        <v>3560</v>
      </c>
      <c r="AQ304" s="25" t="s">
        <v>3561</v>
      </c>
      <c r="AR304" s="59" t="s">
        <v>3562</v>
      </c>
      <c r="AS304" s="59" t="s">
        <v>994</v>
      </c>
      <c r="AT304" s="59" t="s">
        <v>141</v>
      </c>
      <c r="AU304" s="59" t="s">
        <v>111</v>
      </c>
      <c r="AV304" s="62">
        <v>40226</v>
      </c>
      <c r="AW304" s="59" t="s">
        <v>8055</v>
      </c>
      <c r="AX304" s="59" t="s">
        <v>691</v>
      </c>
      <c r="AY304" s="59" t="s">
        <v>236</v>
      </c>
      <c r="AZ304" s="126" t="s">
        <v>3563</v>
      </c>
      <c r="BA304" s="60" t="s">
        <v>3564</v>
      </c>
      <c r="BB304" s="59" t="s">
        <v>845</v>
      </c>
      <c r="BC304" s="59" t="s">
        <v>700</v>
      </c>
      <c r="BD304" s="60"/>
      <c r="BE304" s="59"/>
      <c r="BF304" s="59"/>
      <c r="BG304" s="59" t="s">
        <v>3560</v>
      </c>
      <c r="BH304" s="60" t="s">
        <v>3561</v>
      </c>
      <c r="BI304" s="59" t="s">
        <v>3562</v>
      </c>
      <c r="BJ304" s="24" t="s">
        <v>994</v>
      </c>
      <c r="BK304" s="59" t="s">
        <v>141</v>
      </c>
      <c r="BL304" s="59" t="s">
        <v>156</v>
      </c>
      <c r="BM304" s="24">
        <v>40226</v>
      </c>
      <c r="BN304" s="24"/>
      <c r="BO304" s="59" t="s">
        <v>701</v>
      </c>
      <c r="BP304" s="59"/>
      <c r="BQ304" s="77"/>
      <c r="BR304" s="60"/>
      <c r="BS304" s="59"/>
      <c r="BT304" s="59"/>
      <c r="BU304" s="60"/>
      <c r="BV304" s="59"/>
      <c r="BW304" s="59"/>
      <c r="BX304" s="60"/>
      <c r="BY304" s="59"/>
      <c r="BZ304" s="59"/>
      <c r="CA304" s="59"/>
      <c r="CB304" s="59"/>
      <c r="CC304" s="59"/>
      <c r="CD304" s="59"/>
      <c r="CE304" s="59" t="s">
        <v>7581</v>
      </c>
      <c r="CF304" s="60" t="s">
        <v>3561</v>
      </c>
      <c r="CG304" s="59" t="s">
        <v>7237</v>
      </c>
      <c r="CH304" s="59" t="s">
        <v>7042</v>
      </c>
      <c r="CI304" s="59" t="s">
        <v>90</v>
      </c>
      <c r="CJ304" s="59" t="s">
        <v>111</v>
      </c>
      <c r="CK304" s="47">
        <v>40226</v>
      </c>
      <c r="CL304" s="64" t="str">
        <f t="shared" ca="1" si="4"/>
        <v>18 Tahun 9 Bulan 14 Hari</v>
      </c>
      <c r="CM30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Margahayu Kencana Blok C No.10 RT/RW 11/14 Desa/Kelurahan Margahayu Selatan Kecamatan Margahayu Bandung Jawa Barat 40226</v>
      </c>
    </row>
    <row r="305" spans="1:91" ht="24.95" customHeight="1">
      <c r="A305" s="58">
        <f>SUBTOTAL(3,N$8:Table2[[#This Row],[Nama lengkap]])</f>
        <v>298</v>
      </c>
      <c r="B305" s="58" t="s">
        <v>86</v>
      </c>
      <c r="C305" s="58">
        <v>2019</v>
      </c>
      <c r="D305" s="58"/>
      <c r="E305" s="58">
        <v>5</v>
      </c>
      <c r="F305" s="58" t="s">
        <v>3320</v>
      </c>
      <c r="G305" s="32" t="s">
        <v>2513</v>
      </c>
      <c r="H305" s="32" t="s">
        <v>2513</v>
      </c>
      <c r="I305" s="32" t="s">
        <v>2513</v>
      </c>
      <c r="J305" s="32"/>
      <c r="K305" s="32"/>
      <c r="L305" s="32"/>
      <c r="M305" s="58">
        <v>19200271</v>
      </c>
      <c r="N305" s="24" t="s">
        <v>3565</v>
      </c>
      <c r="O305" s="24"/>
      <c r="P305" s="25" t="s">
        <v>3566</v>
      </c>
      <c r="Q305" s="25" t="s">
        <v>3567</v>
      </c>
      <c r="R305" s="72" t="s">
        <v>90</v>
      </c>
      <c r="S305" s="61" t="s">
        <v>3568</v>
      </c>
      <c r="T305" s="47" t="s">
        <v>92</v>
      </c>
      <c r="U305" s="47">
        <v>1</v>
      </c>
      <c r="V305" s="47">
        <v>2</v>
      </c>
      <c r="W305" s="47" t="s">
        <v>207</v>
      </c>
      <c r="X305" s="59"/>
      <c r="Y305" s="59" t="s">
        <v>3569</v>
      </c>
      <c r="Z305" s="59" t="s">
        <v>3570</v>
      </c>
      <c r="AA305" s="59" t="s">
        <v>96</v>
      </c>
      <c r="AB305" s="59" t="s">
        <v>689</v>
      </c>
      <c r="AC305" s="59" t="s">
        <v>208</v>
      </c>
      <c r="AD305" s="59" t="s">
        <v>208</v>
      </c>
      <c r="AE305" s="73" t="s">
        <v>3571</v>
      </c>
      <c r="AF305" s="59" t="s">
        <v>6420</v>
      </c>
      <c r="AG305" s="59" t="s">
        <v>6420</v>
      </c>
      <c r="AH305" s="59" t="s">
        <v>691</v>
      </c>
      <c r="AI305" s="59" t="s">
        <v>90</v>
      </c>
      <c r="AJ305" s="61" t="s">
        <v>3572</v>
      </c>
      <c r="AK305" s="60" t="s">
        <v>3573</v>
      </c>
      <c r="AL305" s="59" t="s">
        <v>114</v>
      </c>
      <c r="AM305" s="59" t="s">
        <v>800</v>
      </c>
      <c r="AN305" s="60"/>
      <c r="AO305" s="59"/>
      <c r="AP305" s="59" t="s">
        <v>3574</v>
      </c>
      <c r="AQ305" s="25" t="s">
        <v>604</v>
      </c>
      <c r="AR305" s="59" t="s">
        <v>153</v>
      </c>
      <c r="AS305" s="59" t="s">
        <v>154</v>
      </c>
      <c r="AT305" s="59" t="s">
        <v>163</v>
      </c>
      <c r="AU305" s="59" t="s">
        <v>111</v>
      </c>
      <c r="AV305" s="62">
        <v>40391</v>
      </c>
      <c r="AW305" s="59" t="s">
        <v>8056</v>
      </c>
      <c r="AX305" s="59" t="s">
        <v>691</v>
      </c>
      <c r="AY305" s="59" t="s">
        <v>90</v>
      </c>
      <c r="AZ305" s="126" t="s">
        <v>3575</v>
      </c>
      <c r="BA305" s="60" t="s">
        <v>3576</v>
      </c>
      <c r="BB305" s="59" t="s">
        <v>845</v>
      </c>
      <c r="BC305" s="59" t="s">
        <v>800</v>
      </c>
      <c r="BD305" s="60"/>
      <c r="BE305" s="59"/>
      <c r="BF305" s="59"/>
      <c r="BG305" s="59" t="s">
        <v>3574</v>
      </c>
      <c r="BH305" s="60" t="s">
        <v>604</v>
      </c>
      <c r="BI305" s="59" t="s">
        <v>153</v>
      </c>
      <c r="BJ305" s="24" t="s">
        <v>154</v>
      </c>
      <c r="BK305" s="59" t="s">
        <v>163</v>
      </c>
      <c r="BL305" s="59" t="s">
        <v>156</v>
      </c>
      <c r="BM305" s="24">
        <v>40391</v>
      </c>
      <c r="BN305" s="24"/>
      <c r="BO305" s="59" t="s">
        <v>701</v>
      </c>
      <c r="BP305" s="59"/>
      <c r="BQ305" s="77"/>
      <c r="BR305" s="60"/>
      <c r="BS305" s="59"/>
      <c r="BT305" s="59"/>
      <c r="BU305" s="60"/>
      <c r="BV305" s="59"/>
      <c r="BW305" s="59"/>
      <c r="BX305" s="60"/>
      <c r="BY305" s="59"/>
      <c r="BZ305" s="59"/>
      <c r="CA305" s="59"/>
      <c r="CB305" s="59"/>
      <c r="CC305" s="59"/>
      <c r="CD305" s="59"/>
      <c r="CE305" s="59" t="s">
        <v>7582</v>
      </c>
      <c r="CF305" s="60" t="s">
        <v>604</v>
      </c>
      <c r="CG305" s="59" t="s">
        <v>7009</v>
      </c>
      <c r="CH305" s="59" t="s">
        <v>5244</v>
      </c>
      <c r="CI305" s="59" t="s">
        <v>155</v>
      </c>
      <c r="CJ305" s="59" t="s">
        <v>111</v>
      </c>
      <c r="CK305" s="47">
        <v>40391</v>
      </c>
      <c r="CL305" s="64" t="str">
        <f t="shared" ca="1" si="4"/>
        <v>19 Tahun 1 Bulan 25 Hari</v>
      </c>
      <c r="CM30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Kp.Pameucelan RT/RW 03/04 Desa/Kelurahan Sukajaya Kecamatan Lembang Bandung Barat Jawa Barat 40391</v>
      </c>
    </row>
    <row r="306" spans="1:91" ht="24.95" customHeight="1">
      <c r="A306" s="58">
        <f>SUBTOTAL(3,N$8:Table2[[#This Row],[Nama lengkap]])</f>
        <v>299</v>
      </c>
      <c r="B306" s="58" t="s">
        <v>86</v>
      </c>
      <c r="C306" s="58">
        <v>2020</v>
      </c>
      <c r="D306" s="58"/>
      <c r="E306" s="58">
        <v>5</v>
      </c>
      <c r="F306" s="58" t="s">
        <v>3320</v>
      </c>
      <c r="G306" s="32" t="s">
        <v>2513</v>
      </c>
      <c r="H306" s="32" t="s">
        <v>2513</v>
      </c>
      <c r="I306" s="32" t="s">
        <v>2513</v>
      </c>
      <c r="J306" s="32"/>
      <c r="K306" s="32"/>
      <c r="L306" s="32"/>
      <c r="M306" s="58">
        <v>20210181</v>
      </c>
      <c r="N306" s="24" t="s">
        <v>3577</v>
      </c>
      <c r="O306" s="24"/>
      <c r="P306" s="25" t="s">
        <v>3578</v>
      </c>
      <c r="Q306" s="25" t="s">
        <v>3579</v>
      </c>
      <c r="R306" s="59" t="s">
        <v>90</v>
      </c>
      <c r="S306" s="61" t="s">
        <v>1757</v>
      </c>
      <c r="T306" s="47" t="s">
        <v>92</v>
      </c>
      <c r="U306" s="47">
        <v>1</v>
      </c>
      <c r="V306" s="47">
        <v>3</v>
      </c>
      <c r="W306" s="47" t="s">
        <v>207</v>
      </c>
      <c r="X306" s="59"/>
      <c r="Y306" s="59" t="s">
        <v>3580</v>
      </c>
      <c r="Z306" s="59" t="s">
        <v>986</v>
      </c>
      <c r="AA306" s="59" t="s">
        <v>96</v>
      </c>
      <c r="AB306" s="59" t="s">
        <v>689</v>
      </c>
      <c r="AC306" s="59" t="s">
        <v>208</v>
      </c>
      <c r="AD306" s="59" t="s">
        <v>208</v>
      </c>
      <c r="AE306" s="60" t="s">
        <v>322</v>
      </c>
      <c r="AF306" s="59" t="s">
        <v>323</v>
      </c>
      <c r="AG306" s="59" t="s">
        <v>323</v>
      </c>
      <c r="AH306" s="64" t="s">
        <v>691</v>
      </c>
      <c r="AI306" s="64" t="s">
        <v>236</v>
      </c>
      <c r="AJ306" s="61" t="s">
        <v>3581</v>
      </c>
      <c r="AK306" s="60" t="s">
        <v>324</v>
      </c>
      <c r="AL306" s="59" t="s">
        <v>114</v>
      </c>
      <c r="AM306" s="59" t="s">
        <v>800</v>
      </c>
      <c r="AN306" s="60"/>
      <c r="AO306" s="59"/>
      <c r="AP306" s="59" t="s">
        <v>3582</v>
      </c>
      <c r="AQ306" s="25" t="s">
        <v>1459</v>
      </c>
      <c r="AR306" s="59" t="s">
        <v>3583</v>
      </c>
      <c r="AS306" s="59" t="s">
        <v>3584</v>
      </c>
      <c r="AT306" s="59" t="s">
        <v>141</v>
      </c>
      <c r="AU306" s="59" t="s">
        <v>111</v>
      </c>
      <c r="AV306" s="62">
        <v>40382</v>
      </c>
      <c r="AW306" s="59" t="s">
        <v>330</v>
      </c>
      <c r="AX306" s="59" t="s">
        <v>691</v>
      </c>
      <c r="AY306" s="59" t="s">
        <v>90</v>
      </c>
      <c r="AZ306" s="126" t="s">
        <v>3585</v>
      </c>
      <c r="BA306" s="60" t="s">
        <v>331</v>
      </c>
      <c r="BB306" s="59" t="s">
        <v>845</v>
      </c>
      <c r="BC306" s="59" t="s">
        <v>1702</v>
      </c>
      <c r="BD306" s="60"/>
      <c r="BE306" s="59"/>
      <c r="BF306" s="59"/>
      <c r="BG306" s="59" t="s">
        <v>3582</v>
      </c>
      <c r="BH306" s="60" t="s">
        <v>1459</v>
      </c>
      <c r="BI306" s="59" t="s">
        <v>3583</v>
      </c>
      <c r="BJ306" s="24" t="s">
        <v>3584</v>
      </c>
      <c r="BK306" s="59" t="s">
        <v>141</v>
      </c>
      <c r="BL306" s="59" t="s">
        <v>156</v>
      </c>
      <c r="BM306" s="24">
        <v>40382</v>
      </c>
      <c r="BN306" s="24"/>
      <c r="BO306" s="59" t="s">
        <v>701</v>
      </c>
      <c r="BP306" s="59"/>
      <c r="BQ306" s="77"/>
      <c r="BR306" s="60"/>
      <c r="BS306" s="59"/>
      <c r="BT306" s="59"/>
      <c r="BU306" s="60"/>
      <c r="BV306" s="59"/>
      <c r="BW306" s="59"/>
      <c r="BX306" s="60"/>
      <c r="BY306" s="59"/>
      <c r="BZ306" s="59"/>
      <c r="CA306" s="59"/>
      <c r="CB306" s="59"/>
      <c r="CC306" s="59"/>
      <c r="CD306" s="59"/>
      <c r="CE306" s="59" t="s">
        <v>7583</v>
      </c>
      <c r="CF306" s="60" t="s">
        <v>1459</v>
      </c>
      <c r="CG306" s="59" t="s">
        <v>7238</v>
      </c>
      <c r="CH306" s="59" t="s">
        <v>329</v>
      </c>
      <c r="CI306" s="59" t="s">
        <v>90</v>
      </c>
      <c r="CJ306" s="59" t="s">
        <v>111</v>
      </c>
      <c r="CK306" s="47">
        <v>40382</v>
      </c>
      <c r="CL306" s="64" t="str">
        <f t="shared" ca="1" si="4"/>
        <v>18 Tahun 2 Bulan 3 Hari</v>
      </c>
      <c r="CM30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Kp.Boncel RT/RW 01/11 Desa/Kelurahan Bojongcemas Kecamatan Solokanjeruk Bandung Jawa Barat 40382</v>
      </c>
    </row>
    <row r="307" spans="1:91" ht="24.95" customHeight="1">
      <c r="A307" s="58">
        <f>SUBTOTAL(3,N$8:Table2[[#This Row],[Nama lengkap]])</f>
        <v>300</v>
      </c>
      <c r="B307" s="58" t="s">
        <v>86</v>
      </c>
      <c r="C307" s="58">
        <v>2020</v>
      </c>
      <c r="D307" s="58"/>
      <c r="E307" s="58">
        <v>5</v>
      </c>
      <c r="F307" s="58" t="s">
        <v>3320</v>
      </c>
      <c r="G307" s="32" t="s">
        <v>2513</v>
      </c>
      <c r="H307" s="32" t="s">
        <v>2513</v>
      </c>
      <c r="I307" s="32" t="s">
        <v>2513</v>
      </c>
      <c r="J307" s="32"/>
      <c r="K307" s="32"/>
      <c r="L307" s="32"/>
      <c r="M307" s="58">
        <v>20210236</v>
      </c>
      <c r="N307" s="24" t="s">
        <v>3586</v>
      </c>
      <c r="O307" s="24"/>
      <c r="P307" s="25" t="s">
        <v>3587</v>
      </c>
      <c r="Q307" s="25" t="s">
        <v>3588</v>
      </c>
      <c r="R307" s="59" t="s">
        <v>122</v>
      </c>
      <c r="S307" s="61" t="s">
        <v>3589</v>
      </c>
      <c r="T307" s="47" t="s">
        <v>92</v>
      </c>
      <c r="U307" s="47">
        <v>4</v>
      </c>
      <c r="V307" s="47">
        <v>4</v>
      </c>
      <c r="W307" s="47" t="s">
        <v>207</v>
      </c>
      <c r="X307" s="59"/>
      <c r="Y307" s="59" t="s">
        <v>1092</v>
      </c>
      <c r="Z307" s="59" t="s">
        <v>3590</v>
      </c>
      <c r="AA307" s="59" t="s">
        <v>96</v>
      </c>
      <c r="AB307" s="59" t="s">
        <v>689</v>
      </c>
      <c r="AC307" s="59" t="s">
        <v>208</v>
      </c>
      <c r="AD307" s="59" t="s">
        <v>208</v>
      </c>
      <c r="AE307" s="60" t="s">
        <v>3591</v>
      </c>
      <c r="AF307" s="59" t="s">
        <v>8554</v>
      </c>
      <c r="AG307" s="59" t="s">
        <v>8554</v>
      </c>
      <c r="AH307" s="59" t="s">
        <v>691</v>
      </c>
      <c r="AI307" s="59" t="s">
        <v>122</v>
      </c>
      <c r="AJ307" s="61" t="s">
        <v>3592</v>
      </c>
      <c r="AK307" s="60" t="s">
        <v>3593</v>
      </c>
      <c r="AL307" s="59" t="s">
        <v>114</v>
      </c>
      <c r="AM307" s="59" t="s">
        <v>693</v>
      </c>
      <c r="AN307" s="60"/>
      <c r="AO307" s="59"/>
      <c r="AP307" s="59" t="s">
        <v>3594</v>
      </c>
      <c r="AQ307" s="25" t="s">
        <v>3595</v>
      </c>
      <c r="AR307" s="59" t="s">
        <v>3594</v>
      </c>
      <c r="AS307" s="59" t="s">
        <v>3596</v>
      </c>
      <c r="AT307" s="59" t="s">
        <v>1090</v>
      </c>
      <c r="AU307" s="59" t="s">
        <v>111</v>
      </c>
      <c r="AV307" s="62">
        <v>45391</v>
      </c>
      <c r="AW307" s="59" t="s">
        <v>8057</v>
      </c>
      <c r="AX307" s="59" t="s">
        <v>691</v>
      </c>
      <c r="AY307" s="59" t="s">
        <v>122</v>
      </c>
      <c r="AZ307" s="126" t="s">
        <v>3597</v>
      </c>
      <c r="BA307" s="60" t="s">
        <v>3598</v>
      </c>
      <c r="BB307" s="59" t="s">
        <v>845</v>
      </c>
      <c r="BC307" s="59" t="s">
        <v>693</v>
      </c>
      <c r="BD307" s="60"/>
      <c r="BE307" s="59"/>
      <c r="BF307" s="59"/>
      <c r="BG307" s="59" t="s">
        <v>3594</v>
      </c>
      <c r="BH307" s="60" t="s">
        <v>3595</v>
      </c>
      <c r="BI307" s="59" t="s">
        <v>3594</v>
      </c>
      <c r="BJ307" s="24" t="s">
        <v>3596</v>
      </c>
      <c r="BK307" s="59" t="s">
        <v>1090</v>
      </c>
      <c r="BL307" s="59" t="s">
        <v>156</v>
      </c>
      <c r="BM307" s="24">
        <v>45392</v>
      </c>
      <c r="BN307" s="24"/>
      <c r="BO307" s="59" t="s">
        <v>701</v>
      </c>
      <c r="BP307" s="59"/>
      <c r="BQ307" s="77"/>
      <c r="BR307" s="60"/>
      <c r="BS307" s="59"/>
      <c r="BT307" s="59"/>
      <c r="BU307" s="60"/>
      <c r="BV307" s="59"/>
      <c r="BW307" s="59"/>
      <c r="BX307" s="60"/>
      <c r="BY307" s="59"/>
      <c r="BZ307" s="59"/>
      <c r="CA307" s="59"/>
      <c r="CB307" s="59"/>
      <c r="CC307" s="59"/>
      <c r="CD307" s="59"/>
      <c r="CE307" s="59" t="s">
        <v>7239</v>
      </c>
      <c r="CF307" s="60" t="s">
        <v>3595</v>
      </c>
      <c r="CG307" s="59" t="s">
        <v>7239</v>
      </c>
      <c r="CH307" s="59" t="s">
        <v>7240</v>
      </c>
      <c r="CI307" s="59" t="s">
        <v>122</v>
      </c>
      <c r="CJ307" s="59" t="s">
        <v>111</v>
      </c>
      <c r="CK307" s="47">
        <v>45391</v>
      </c>
      <c r="CL307" s="64" t="str">
        <f t="shared" ca="1" si="4"/>
        <v>18 Tahun 1 Bulan 8 Hari</v>
      </c>
      <c r="CM30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Narimbang RT/RW 27/04 Desa/Kelurahan Narimbang Kecamatan Conggeang Sumedang Jawa Barat 45391</v>
      </c>
    </row>
    <row r="308" spans="1:91" ht="24.95" customHeight="1">
      <c r="A308" s="58">
        <f>SUBTOTAL(3,N$8:Table2[[#This Row],[Nama lengkap]])</f>
        <v>301</v>
      </c>
      <c r="B308" s="58" t="s">
        <v>86</v>
      </c>
      <c r="C308" s="58">
        <v>2019</v>
      </c>
      <c r="D308" s="58"/>
      <c r="E308" s="58">
        <v>5</v>
      </c>
      <c r="F308" s="58" t="s">
        <v>3320</v>
      </c>
      <c r="G308" s="32" t="s">
        <v>2513</v>
      </c>
      <c r="H308" s="32" t="s">
        <v>2513</v>
      </c>
      <c r="I308" s="32" t="s">
        <v>2513</v>
      </c>
      <c r="J308" s="32"/>
      <c r="K308" s="32"/>
      <c r="L308" s="32"/>
      <c r="M308" s="58">
        <v>19200284</v>
      </c>
      <c r="N308" s="24" t="s">
        <v>3599</v>
      </c>
      <c r="O308" s="24"/>
      <c r="P308" s="25" t="s">
        <v>3600</v>
      </c>
      <c r="Q308" s="25" t="s">
        <v>3601</v>
      </c>
      <c r="R308" s="59" t="s">
        <v>122</v>
      </c>
      <c r="S308" s="61" t="s">
        <v>3602</v>
      </c>
      <c r="T308" s="47" t="s">
        <v>92</v>
      </c>
      <c r="U308" s="47">
        <v>1</v>
      </c>
      <c r="V308" s="47">
        <v>0</v>
      </c>
      <c r="W308" s="47" t="s">
        <v>207</v>
      </c>
      <c r="X308" s="59" t="s">
        <v>93</v>
      </c>
      <c r="Y308" s="59" t="s">
        <v>1247</v>
      </c>
      <c r="Z308" s="59" t="s">
        <v>986</v>
      </c>
      <c r="AA308" s="59" t="s">
        <v>1141</v>
      </c>
      <c r="AB308" s="59" t="s">
        <v>689</v>
      </c>
      <c r="AC308" s="59" t="s">
        <v>208</v>
      </c>
      <c r="AD308" s="59" t="s">
        <v>208</v>
      </c>
      <c r="AE308" s="60" t="s">
        <v>3603</v>
      </c>
      <c r="AF308" s="59" t="s">
        <v>6621</v>
      </c>
      <c r="AG308" s="59" t="s">
        <v>6621</v>
      </c>
      <c r="AH308" s="59" t="s">
        <v>691</v>
      </c>
      <c r="AI308" s="59" t="s">
        <v>90</v>
      </c>
      <c r="AJ308" s="61" t="s">
        <v>3604</v>
      </c>
      <c r="AK308" s="60" t="s">
        <v>3605</v>
      </c>
      <c r="AL308" s="59" t="s">
        <v>602</v>
      </c>
      <c r="AM308" s="59" t="s">
        <v>800</v>
      </c>
      <c r="AN308" s="60"/>
      <c r="AO308" s="59"/>
      <c r="AP308" s="59" t="s">
        <v>2860</v>
      </c>
      <c r="AQ308" s="25" t="s">
        <v>1161</v>
      </c>
      <c r="AR308" s="59" t="s">
        <v>2852</v>
      </c>
      <c r="AS308" s="59" t="s">
        <v>1324</v>
      </c>
      <c r="AT308" s="59" t="s">
        <v>1090</v>
      </c>
      <c r="AU308" s="59" t="s">
        <v>111</v>
      </c>
      <c r="AV308" s="62">
        <v>45352</v>
      </c>
      <c r="AW308" s="59" t="s">
        <v>8058</v>
      </c>
      <c r="AX308" s="59" t="s">
        <v>691</v>
      </c>
      <c r="AY308" s="59" t="s">
        <v>122</v>
      </c>
      <c r="AZ308" s="126" t="s">
        <v>3606</v>
      </c>
      <c r="BA308" s="60" t="s">
        <v>3607</v>
      </c>
      <c r="BB308" s="59" t="s">
        <v>7773</v>
      </c>
      <c r="BC308" s="59" t="s">
        <v>3608</v>
      </c>
      <c r="BD308" s="60"/>
      <c r="BE308" s="59"/>
      <c r="BF308" s="59"/>
      <c r="BG308" s="59" t="s">
        <v>2860</v>
      </c>
      <c r="BH308" s="60" t="s">
        <v>1161</v>
      </c>
      <c r="BI308" s="59" t="s">
        <v>2852</v>
      </c>
      <c r="BJ308" s="24" t="s">
        <v>1324</v>
      </c>
      <c r="BK308" s="59" t="s">
        <v>1090</v>
      </c>
      <c r="BL308" s="59" t="s">
        <v>156</v>
      </c>
      <c r="BM308" s="24">
        <v>45352</v>
      </c>
      <c r="BN308" s="24"/>
      <c r="BO308" s="59" t="s">
        <v>701</v>
      </c>
      <c r="BP308" s="59"/>
      <c r="BQ308" s="77"/>
      <c r="BR308" s="60"/>
      <c r="BS308" s="59"/>
      <c r="BT308" s="59"/>
      <c r="BU308" s="60"/>
      <c r="BV308" s="59"/>
      <c r="BW308" s="59"/>
      <c r="BX308" s="60"/>
      <c r="BY308" s="59"/>
      <c r="BZ308" s="59"/>
      <c r="CA308" s="59"/>
      <c r="CB308" s="59"/>
      <c r="CC308" s="59"/>
      <c r="CD308" s="59"/>
      <c r="CE308" s="59" t="s">
        <v>7526</v>
      </c>
      <c r="CF308" s="60" t="s">
        <v>1161</v>
      </c>
      <c r="CG308" s="59" t="s">
        <v>7203</v>
      </c>
      <c r="CH308" s="59" t="s">
        <v>134</v>
      </c>
      <c r="CI308" s="59" t="s">
        <v>122</v>
      </c>
      <c r="CJ308" s="59" t="s">
        <v>111</v>
      </c>
      <c r="CK308" s="47">
        <v>45352</v>
      </c>
      <c r="CL308" s="64" t="str">
        <f t="shared" ca="1" si="4"/>
        <v>22 Tahun 1 Bulan 14 Hari</v>
      </c>
      <c r="CM30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Rancamulud RT/RW 01/07 Desa/Kelurahan Jatimulya Kecamatan Sumedang Utara Sumedang Jawa Barat 45352</v>
      </c>
    </row>
    <row r="309" spans="1:91" ht="24.95" customHeight="1">
      <c r="A309" s="58">
        <f>SUBTOTAL(3,N$8:Table2[[#This Row],[Nama lengkap]])</f>
        <v>302</v>
      </c>
      <c r="B309" s="58" t="s">
        <v>86</v>
      </c>
      <c r="C309" s="58">
        <v>2019</v>
      </c>
      <c r="D309" s="58"/>
      <c r="E309" s="58">
        <v>5</v>
      </c>
      <c r="F309" s="58" t="s">
        <v>3320</v>
      </c>
      <c r="G309" s="32" t="s">
        <v>2513</v>
      </c>
      <c r="H309" s="32" t="s">
        <v>2513</v>
      </c>
      <c r="I309" s="32" t="s">
        <v>2513</v>
      </c>
      <c r="J309" s="32"/>
      <c r="K309" s="32"/>
      <c r="L309" s="32"/>
      <c r="M309" s="58">
        <v>19200285</v>
      </c>
      <c r="N309" s="24" t="s">
        <v>3609</v>
      </c>
      <c r="O309" s="24"/>
      <c r="P309" s="25" t="s">
        <v>3610</v>
      </c>
      <c r="Q309" s="25" t="s">
        <v>3611</v>
      </c>
      <c r="R309" s="59" t="s">
        <v>90</v>
      </c>
      <c r="S309" s="61" t="s">
        <v>3612</v>
      </c>
      <c r="T309" s="47" t="s">
        <v>92</v>
      </c>
      <c r="U309" s="47">
        <v>1</v>
      </c>
      <c r="V309" s="47">
        <v>1</v>
      </c>
      <c r="W309" s="47" t="s">
        <v>207</v>
      </c>
      <c r="X309" s="59" t="s">
        <v>93</v>
      </c>
      <c r="Y309" s="59" t="s">
        <v>3512</v>
      </c>
      <c r="Z309" s="59" t="s">
        <v>707</v>
      </c>
      <c r="AA309" s="59" t="s">
        <v>96</v>
      </c>
      <c r="AB309" s="59" t="s">
        <v>689</v>
      </c>
      <c r="AC309" s="59" t="s">
        <v>208</v>
      </c>
      <c r="AD309" s="59" t="s">
        <v>208</v>
      </c>
      <c r="AE309" s="60" t="s">
        <v>3613</v>
      </c>
      <c r="AF309" s="59" t="s">
        <v>8555</v>
      </c>
      <c r="AG309" s="59" t="s">
        <v>8555</v>
      </c>
      <c r="AH309" s="59" t="s">
        <v>691</v>
      </c>
      <c r="AI309" s="59" t="s">
        <v>90</v>
      </c>
      <c r="AJ309" s="61" t="s">
        <v>3466</v>
      </c>
      <c r="AK309" s="60" t="s">
        <v>3614</v>
      </c>
      <c r="AL309" s="59" t="s">
        <v>602</v>
      </c>
      <c r="AM309" s="59" t="s">
        <v>700</v>
      </c>
      <c r="AN309" s="60"/>
      <c r="AO309" s="59"/>
      <c r="AP309" s="59" t="s">
        <v>3615</v>
      </c>
      <c r="AQ309" s="25" t="s">
        <v>1076</v>
      </c>
      <c r="AR309" s="59" t="s">
        <v>3616</v>
      </c>
      <c r="AS309" s="59" t="s">
        <v>3617</v>
      </c>
      <c r="AT309" s="59" t="s">
        <v>141</v>
      </c>
      <c r="AU309" s="59" t="s">
        <v>111</v>
      </c>
      <c r="AV309" s="62">
        <v>40376</v>
      </c>
      <c r="AW309" s="59" t="s">
        <v>8059</v>
      </c>
      <c r="AX309" s="59" t="s">
        <v>691</v>
      </c>
      <c r="AY309" s="59" t="s">
        <v>90</v>
      </c>
      <c r="AZ309" s="126" t="s">
        <v>3618</v>
      </c>
      <c r="BA309" s="75" t="s">
        <v>3619</v>
      </c>
      <c r="BB309" s="59" t="s">
        <v>602</v>
      </c>
      <c r="BC309" s="59" t="s">
        <v>700</v>
      </c>
      <c r="BD309" s="60"/>
      <c r="BE309" s="59"/>
      <c r="BF309" s="59"/>
      <c r="BG309" s="59" t="s">
        <v>3615</v>
      </c>
      <c r="BH309" s="60" t="s">
        <v>1076</v>
      </c>
      <c r="BI309" s="59" t="s">
        <v>3616</v>
      </c>
      <c r="BJ309" s="24" t="s">
        <v>3617</v>
      </c>
      <c r="BK309" s="59" t="s">
        <v>141</v>
      </c>
      <c r="BL309" s="59" t="s">
        <v>156</v>
      </c>
      <c r="BM309" s="24">
        <v>40376</v>
      </c>
      <c r="BN309" s="24"/>
      <c r="BO309" s="59" t="s">
        <v>701</v>
      </c>
      <c r="BP309" s="59"/>
      <c r="BQ309" s="77"/>
      <c r="BR309" s="60"/>
      <c r="BS309" s="59"/>
      <c r="BT309" s="59"/>
      <c r="BU309" s="60"/>
      <c r="BV309" s="59"/>
      <c r="BW309" s="59"/>
      <c r="BX309" s="60"/>
      <c r="BY309" s="59"/>
      <c r="BZ309" s="59"/>
      <c r="CA309" s="59"/>
      <c r="CB309" s="59"/>
      <c r="CC309" s="59"/>
      <c r="CD309" s="59"/>
      <c r="CE309" s="59" t="s">
        <v>7584</v>
      </c>
      <c r="CF309" s="60" t="s">
        <v>1076</v>
      </c>
      <c r="CG309" s="59" t="s">
        <v>7241</v>
      </c>
      <c r="CH309" s="59" t="s">
        <v>892</v>
      </c>
      <c r="CI309" s="59" t="s">
        <v>90</v>
      </c>
      <c r="CJ309" s="59" t="s">
        <v>111</v>
      </c>
      <c r="CK309" s="47">
        <v>40376</v>
      </c>
      <c r="CL309" s="64" t="str">
        <f t="shared" ca="1" si="4"/>
        <v>19 Tahun 0 Bulan 7 Hari</v>
      </c>
      <c r="CM30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Kp.Bojongkoneng RT/RW 03/06 Desa/Kelurahan Bojongmanggu Kecamatan Pameungpeuk Bandung Jawa Barat 40376</v>
      </c>
    </row>
    <row r="310" spans="1:91" ht="24.95" customHeight="1">
      <c r="A310" s="58">
        <f>SUBTOTAL(3,N$8:Table2[[#This Row],[Nama lengkap]])</f>
        <v>303</v>
      </c>
      <c r="B310" s="58" t="s">
        <v>86</v>
      </c>
      <c r="C310" s="58">
        <v>2019</v>
      </c>
      <c r="D310" s="58"/>
      <c r="E310" s="58">
        <v>5</v>
      </c>
      <c r="F310" s="58" t="s">
        <v>3320</v>
      </c>
      <c r="G310" s="32" t="s">
        <v>2513</v>
      </c>
      <c r="H310" s="32" t="s">
        <v>2513</v>
      </c>
      <c r="I310" s="32" t="s">
        <v>2513</v>
      </c>
      <c r="J310" s="32"/>
      <c r="K310" s="32"/>
      <c r="L310" s="32"/>
      <c r="M310" s="58">
        <v>19200289</v>
      </c>
      <c r="N310" s="24" t="s">
        <v>3620</v>
      </c>
      <c r="O310" s="24"/>
      <c r="P310" s="25" t="s">
        <v>3621</v>
      </c>
      <c r="Q310" s="25" t="s">
        <v>3622</v>
      </c>
      <c r="R310" s="59" t="s">
        <v>90</v>
      </c>
      <c r="S310" s="61" t="s">
        <v>3623</v>
      </c>
      <c r="T310" s="47" t="s">
        <v>92</v>
      </c>
      <c r="U310" s="47">
        <v>1</v>
      </c>
      <c r="V310" s="47">
        <v>0</v>
      </c>
      <c r="W310" s="47" t="s">
        <v>207</v>
      </c>
      <c r="X310" s="59" t="s">
        <v>303</v>
      </c>
      <c r="Y310" s="59" t="s">
        <v>3512</v>
      </c>
      <c r="Z310" s="59" t="s">
        <v>2336</v>
      </c>
      <c r="AA310" s="59" t="s">
        <v>96</v>
      </c>
      <c r="AB310" s="59" t="s">
        <v>689</v>
      </c>
      <c r="AC310" s="59" t="s">
        <v>208</v>
      </c>
      <c r="AD310" s="59" t="s">
        <v>208</v>
      </c>
      <c r="AE310" s="60" t="s">
        <v>3624</v>
      </c>
      <c r="AF310" s="59" t="s">
        <v>8556</v>
      </c>
      <c r="AG310" s="59" t="s">
        <v>8556</v>
      </c>
      <c r="AH310" s="59" t="s">
        <v>691</v>
      </c>
      <c r="AI310" s="59" t="s">
        <v>90</v>
      </c>
      <c r="AJ310" s="61" t="s">
        <v>3625</v>
      </c>
      <c r="AK310" s="60" t="s">
        <v>3626</v>
      </c>
      <c r="AL310" s="59" t="s">
        <v>289</v>
      </c>
      <c r="AM310" s="59" t="s">
        <v>800</v>
      </c>
      <c r="AN310" s="60"/>
      <c r="AO310" s="59"/>
      <c r="AP310" s="59" t="s">
        <v>3627</v>
      </c>
      <c r="AQ310" s="25" t="s">
        <v>1369</v>
      </c>
      <c r="AR310" s="59" t="s">
        <v>3628</v>
      </c>
      <c r="AS310" s="59" t="s">
        <v>1461</v>
      </c>
      <c r="AT310" s="59" t="s">
        <v>141</v>
      </c>
      <c r="AU310" s="59" t="s">
        <v>111</v>
      </c>
      <c r="AV310" s="62">
        <v>40617</v>
      </c>
      <c r="AW310" s="59" t="s">
        <v>8060</v>
      </c>
      <c r="AX310" s="59" t="s">
        <v>691</v>
      </c>
      <c r="AY310" s="59" t="s">
        <v>90</v>
      </c>
      <c r="AZ310" s="126" t="s">
        <v>3629</v>
      </c>
      <c r="BA310" s="60" t="s">
        <v>3630</v>
      </c>
      <c r="BB310" s="59" t="s">
        <v>845</v>
      </c>
      <c r="BC310" s="59" t="s">
        <v>800</v>
      </c>
      <c r="BD310" s="60"/>
      <c r="BE310" s="59"/>
      <c r="BF310" s="59"/>
      <c r="BG310" s="59" t="s">
        <v>3627</v>
      </c>
      <c r="BH310" s="60" t="s">
        <v>1369</v>
      </c>
      <c r="BI310" s="59" t="s">
        <v>3628</v>
      </c>
      <c r="BJ310" s="24" t="s">
        <v>1461</v>
      </c>
      <c r="BK310" s="59" t="s">
        <v>141</v>
      </c>
      <c r="BL310" s="59" t="s">
        <v>156</v>
      </c>
      <c r="BM310" s="24">
        <v>40617</v>
      </c>
      <c r="BN310" s="24"/>
      <c r="BO310" s="59" t="s">
        <v>701</v>
      </c>
      <c r="BP310" s="59"/>
      <c r="BQ310" s="77"/>
      <c r="BR310" s="60"/>
      <c r="BS310" s="59"/>
      <c r="BT310" s="59"/>
      <c r="BU310" s="60"/>
      <c r="BV310" s="59"/>
      <c r="BW310" s="59"/>
      <c r="BX310" s="60"/>
      <c r="BY310" s="59"/>
      <c r="BZ310" s="59"/>
      <c r="CA310" s="59"/>
      <c r="CB310" s="59"/>
      <c r="CC310" s="59"/>
      <c r="CD310" s="59"/>
      <c r="CE310" s="59" t="s">
        <v>7585</v>
      </c>
      <c r="CF310" s="60" t="s">
        <v>1369</v>
      </c>
      <c r="CG310" s="59" t="s">
        <v>7242</v>
      </c>
      <c r="CH310" s="59" t="s">
        <v>6830</v>
      </c>
      <c r="CI310" s="59" t="s">
        <v>90</v>
      </c>
      <c r="CJ310" s="59" t="s">
        <v>111</v>
      </c>
      <c r="CK310" s="47">
        <v>40617</v>
      </c>
      <c r="CL310" s="64" t="str">
        <f t="shared" ca="1" si="4"/>
        <v>18 Tahun 11 Bulan 1 Hari</v>
      </c>
      <c r="CM31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Andir Tengah RT/RW 02/02 Desa/Kelurahan Pasanggrahan Kecamatan Ujungberung Bandung Jawa Barat 40617</v>
      </c>
    </row>
    <row r="311" spans="1:91" ht="24.95" customHeight="1">
      <c r="A311" s="58">
        <f>SUBTOTAL(3,N$8:Table2[[#This Row],[Nama lengkap]])</f>
        <v>304</v>
      </c>
      <c r="B311" s="58" t="s">
        <v>86</v>
      </c>
      <c r="C311" s="58">
        <v>2019</v>
      </c>
      <c r="D311" s="58"/>
      <c r="E311" s="58">
        <v>5</v>
      </c>
      <c r="F311" s="58" t="s">
        <v>3320</v>
      </c>
      <c r="G311" s="32" t="s">
        <v>2513</v>
      </c>
      <c r="H311" s="32" t="s">
        <v>2513</v>
      </c>
      <c r="I311" s="32" t="s">
        <v>2513</v>
      </c>
      <c r="J311" s="32"/>
      <c r="K311" s="32"/>
      <c r="L311" s="32"/>
      <c r="M311" s="58">
        <v>19200292</v>
      </c>
      <c r="N311" s="24" t="s">
        <v>3631</v>
      </c>
      <c r="O311" s="24"/>
      <c r="P311" s="25" t="s">
        <v>3632</v>
      </c>
      <c r="Q311" s="25" t="s">
        <v>3633</v>
      </c>
      <c r="R311" s="59" t="s">
        <v>122</v>
      </c>
      <c r="S311" s="61" t="s">
        <v>3634</v>
      </c>
      <c r="T311" s="47" t="s">
        <v>92</v>
      </c>
      <c r="U311" s="47">
        <v>1</v>
      </c>
      <c r="V311" s="47">
        <v>2</v>
      </c>
      <c r="W311" s="47" t="s">
        <v>207</v>
      </c>
      <c r="X311" s="59"/>
      <c r="Y311" s="59" t="s">
        <v>3635</v>
      </c>
      <c r="Z311" s="59" t="s">
        <v>2868</v>
      </c>
      <c r="AA311" s="59" t="s">
        <v>1141</v>
      </c>
      <c r="AB311" s="59" t="s">
        <v>689</v>
      </c>
      <c r="AC311" s="59" t="s">
        <v>208</v>
      </c>
      <c r="AD311" s="59" t="s">
        <v>208</v>
      </c>
      <c r="AE311" s="60" t="s">
        <v>3636</v>
      </c>
      <c r="AF311" s="59" t="s">
        <v>8557</v>
      </c>
      <c r="AG311" s="59" t="s">
        <v>8557</v>
      </c>
      <c r="AH311" s="59" t="s">
        <v>691</v>
      </c>
      <c r="AI311" s="59" t="s">
        <v>122</v>
      </c>
      <c r="AJ311" s="61">
        <v>29480</v>
      </c>
      <c r="AK311" s="60" t="s">
        <v>3637</v>
      </c>
      <c r="AL311" s="59" t="s">
        <v>914</v>
      </c>
      <c r="AM311" s="59" t="s">
        <v>693</v>
      </c>
      <c r="AN311" s="60"/>
      <c r="AO311" s="59"/>
      <c r="AP311" s="59" t="s">
        <v>3638</v>
      </c>
      <c r="AQ311" s="25" t="s">
        <v>880</v>
      </c>
      <c r="AR311" s="59" t="s">
        <v>3639</v>
      </c>
      <c r="AS311" s="59" t="s">
        <v>3639</v>
      </c>
      <c r="AT311" s="59" t="s">
        <v>1090</v>
      </c>
      <c r="AU311" s="59" t="s">
        <v>111</v>
      </c>
      <c r="AV311" s="62">
        <v>45362</v>
      </c>
      <c r="AW311" s="59" t="s">
        <v>8061</v>
      </c>
      <c r="AX311" s="59" t="s">
        <v>691</v>
      </c>
      <c r="AY311" s="59" t="s">
        <v>122</v>
      </c>
      <c r="AZ311" s="126">
        <v>29900</v>
      </c>
      <c r="BA311" s="60" t="s">
        <v>3640</v>
      </c>
      <c r="BB311" s="59" t="s">
        <v>114</v>
      </c>
      <c r="BC311" s="59" t="s">
        <v>700</v>
      </c>
      <c r="BD311" s="60"/>
      <c r="BE311" s="59"/>
      <c r="BF311" s="59"/>
      <c r="BG311" s="59" t="s">
        <v>3638</v>
      </c>
      <c r="BH311" s="60" t="s">
        <v>880</v>
      </c>
      <c r="BI311" s="59" t="s">
        <v>3639</v>
      </c>
      <c r="BJ311" s="24" t="s">
        <v>3639</v>
      </c>
      <c r="BK311" s="59" t="s">
        <v>1090</v>
      </c>
      <c r="BL311" s="59" t="s">
        <v>156</v>
      </c>
      <c r="BM311" s="24">
        <v>45362</v>
      </c>
      <c r="BN311" s="24"/>
      <c r="BO311" s="59" t="s">
        <v>701</v>
      </c>
      <c r="BP311" s="59"/>
      <c r="BQ311" s="137"/>
      <c r="BR311" s="75"/>
      <c r="BS311" s="59"/>
      <c r="BT311" s="59"/>
      <c r="BU311" s="60"/>
      <c r="BV311" s="59"/>
      <c r="BW311" s="59"/>
      <c r="BX311" s="60"/>
      <c r="BY311" s="59"/>
      <c r="BZ311" s="59"/>
      <c r="CA311" s="59"/>
      <c r="CB311" s="59"/>
      <c r="CC311" s="62"/>
      <c r="CD311" s="59"/>
      <c r="CE311" s="59" t="s">
        <v>7586</v>
      </c>
      <c r="CF311" s="60" t="s">
        <v>880</v>
      </c>
      <c r="CG311" s="59" t="s">
        <v>7243</v>
      </c>
      <c r="CH311" s="59" t="s">
        <v>7243</v>
      </c>
      <c r="CI311" s="59" t="s">
        <v>122</v>
      </c>
      <c r="CJ311" s="59" t="s">
        <v>111</v>
      </c>
      <c r="CK311" s="47">
        <v>45362</v>
      </c>
      <c r="CL311" s="64" t="str">
        <f t="shared" ca="1" si="4"/>
        <v>22 Tahun 1 Bulan 28 Hari</v>
      </c>
      <c r="CM31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Lanjung RT/RW 01/02 Desa/Kelurahan Tanjung Sari Kecamatan Tanjung Sari Sumedang Jawa Barat 45362</v>
      </c>
    </row>
    <row r="312" spans="1:91" ht="24.95" customHeight="1">
      <c r="A312" s="58">
        <f>SUBTOTAL(3,N$8:Table2[[#This Row],[Nama lengkap]])</f>
        <v>305</v>
      </c>
      <c r="B312" s="58" t="s">
        <v>86</v>
      </c>
      <c r="C312" s="58">
        <v>2018</v>
      </c>
      <c r="D312" s="58"/>
      <c r="E312" s="58">
        <v>5</v>
      </c>
      <c r="F312" s="58" t="s">
        <v>3320</v>
      </c>
      <c r="G312" s="32" t="s">
        <v>2513</v>
      </c>
      <c r="H312" s="32" t="s">
        <v>2513</v>
      </c>
      <c r="I312" s="32" t="s">
        <v>2513</v>
      </c>
      <c r="J312" s="32"/>
      <c r="K312" s="32"/>
      <c r="L312" s="32"/>
      <c r="M312" s="58">
        <v>18190232</v>
      </c>
      <c r="N312" s="24" t="s">
        <v>3641</v>
      </c>
      <c r="O312" s="24"/>
      <c r="P312" s="25" t="s">
        <v>3642</v>
      </c>
      <c r="Q312" s="25" t="s">
        <v>3643</v>
      </c>
      <c r="R312" s="59" t="s">
        <v>90</v>
      </c>
      <c r="S312" s="61" t="s">
        <v>3644</v>
      </c>
      <c r="T312" s="47" t="s">
        <v>92</v>
      </c>
      <c r="U312" s="47">
        <v>1</v>
      </c>
      <c r="V312" s="47">
        <v>2</v>
      </c>
      <c r="W312" s="47" t="s">
        <v>207</v>
      </c>
      <c r="X312" s="59"/>
      <c r="Y312" s="59" t="s">
        <v>3635</v>
      </c>
      <c r="Z312" s="59" t="s">
        <v>1776</v>
      </c>
      <c r="AA312" s="59" t="s">
        <v>96</v>
      </c>
      <c r="AB312" s="59" t="s">
        <v>689</v>
      </c>
      <c r="AC312" s="59" t="s">
        <v>208</v>
      </c>
      <c r="AD312" s="59" t="s">
        <v>208</v>
      </c>
      <c r="AE312" s="60" t="s">
        <v>3645</v>
      </c>
      <c r="AF312" s="59" t="s">
        <v>8558</v>
      </c>
      <c r="AG312" s="59" t="s">
        <v>8558</v>
      </c>
      <c r="AH312" s="59" t="s">
        <v>691</v>
      </c>
      <c r="AI312" s="59" t="s">
        <v>6472</v>
      </c>
      <c r="AJ312" s="61">
        <v>27161</v>
      </c>
      <c r="AK312" s="60" t="s">
        <v>3646</v>
      </c>
      <c r="AL312" s="59" t="s">
        <v>114</v>
      </c>
      <c r="AM312" s="59" t="s">
        <v>800</v>
      </c>
      <c r="AN312" s="60"/>
      <c r="AO312" s="59"/>
      <c r="AP312" s="59" t="s">
        <v>3647</v>
      </c>
      <c r="AQ312" s="25" t="s">
        <v>1161</v>
      </c>
      <c r="AR312" s="59" t="s">
        <v>3648</v>
      </c>
      <c r="AS312" s="59" t="s">
        <v>3649</v>
      </c>
      <c r="AT312" s="59" t="s">
        <v>651</v>
      </c>
      <c r="AU312" s="59" t="s">
        <v>111</v>
      </c>
      <c r="AV312" s="62">
        <v>45461</v>
      </c>
      <c r="AW312" s="59" t="s">
        <v>8062</v>
      </c>
      <c r="AX312" s="59" t="s">
        <v>691</v>
      </c>
      <c r="AY312" s="59" t="s">
        <v>90</v>
      </c>
      <c r="AZ312" s="126" t="s">
        <v>3650</v>
      </c>
      <c r="BA312" s="60" t="s">
        <v>3651</v>
      </c>
      <c r="BB312" s="59" t="s">
        <v>845</v>
      </c>
      <c r="BC312" s="59" t="s">
        <v>1702</v>
      </c>
      <c r="BD312" s="60"/>
      <c r="BE312" s="59"/>
      <c r="BF312" s="59"/>
      <c r="BG312" s="59" t="s">
        <v>3652</v>
      </c>
      <c r="BH312" s="60" t="s">
        <v>1161</v>
      </c>
      <c r="BI312" s="59" t="s">
        <v>3648</v>
      </c>
      <c r="BJ312" s="24" t="s">
        <v>3649</v>
      </c>
      <c r="BK312" s="59" t="s">
        <v>651</v>
      </c>
      <c r="BL312" s="59" t="s">
        <v>156</v>
      </c>
      <c r="BM312" s="24">
        <v>45461</v>
      </c>
      <c r="BN312" s="24"/>
      <c r="BO312" s="59" t="s">
        <v>701</v>
      </c>
      <c r="BP312" s="59"/>
      <c r="BQ312" s="137"/>
      <c r="BR312" s="60"/>
      <c r="BS312" s="59"/>
      <c r="BT312" s="59"/>
      <c r="BU312" s="60"/>
      <c r="BV312" s="59"/>
      <c r="BW312" s="59"/>
      <c r="BX312" s="60"/>
      <c r="BY312" s="59"/>
      <c r="BZ312" s="59"/>
      <c r="CA312" s="59"/>
      <c r="CB312" s="59"/>
      <c r="CC312" s="62"/>
      <c r="CD312" s="59"/>
      <c r="CE312" s="59" t="s">
        <v>7587</v>
      </c>
      <c r="CF312" s="60" t="s">
        <v>1161</v>
      </c>
      <c r="CG312" s="59" t="s">
        <v>7244</v>
      </c>
      <c r="CH312" s="59" t="s">
        <v>7245</v>
      </c>
      <c r="CI312" s="59" t="s">
        <v>6472</v>
      </c>
      <c r="CJ312" s="59" t="s">
        <v>111</v>
      </c>
      <c r="CK312" s="47">
        <v>45461</v>
      </c>
      <c r="CL312" s="64" t="str">
        <f t="shared" ca="1" si="4"/>
        <v>18 Tahun 11 Bulan 28 Hari</v>
      </c>
      <c r="CM31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Blok Sabtu  RT/RW 01/07 Desa/Kelurahan Kertabasuki Kecamatan Maja Majalengka Jawa Barat 45461</v>
      </c>
    </row>
    <row r="313" spans="1:91" ht="24.95" customHeight="1">
      <c r="A313" s="58">
        <f>SUBTOTAL(3,N$8:Table2[[#This Row],[Nama lengkap]])</f>
        <v>306</v>
      </c>
      <c r="B313" s="58" t="s">
        <v>86</v>
      </c>
      <c r="C313" s="58">
        <v>2020</v>
      </c>
      <c r="D313" s="58"/>
      <c r="E313" s="58">
        <v>5</v>
      </c>
      <c r="F313" s="58" t="s">
        <v>3320</v>
      </c>
      <c r="G313" s="32" t="s">
        <v>2513</v>
      </c>
      <c r="H313" s="32" t="s">
        <v>2513</v>
      </c>
      <c r="I313" s="32" t="s">
        <v>2513</v>
      </c>
      <c r="J313" s="32"/>
      <c r="K313" s="32"/>
      <c r="L313" s="32"/>
      <c r="M313" s="58">
        <v>20210170</v>
      </c>
      <c r="N313" s="24" t="s">
        <v>3653</v>
      </c>
      <c r="O313" s="24"/>
      <c r="P313" s="25" t="s">
        <v>3654</v>
      </c>
      <c r="Q313" s="25" t="s">
        <v>3655</v>
      </c>
      <c r="R313" s="59" t="s">
        <v>122</v>
      </c>
      <c r="S313" s="61" t="s">
        <v>3656</v>
      </c>
      <c r="T313" s="47" t="s">
        <v>92</v>
      </c>
      <c r="U313" s="47">
        <v>5</v>
      </c>
      <c r="V313" s="47">
        <v>5</v>
      </c>
      <c r="W313" s="47" t="s">
        <v>207</v>
      </c>
      <c r="X313" s="59" t="s">
        <v>123</v>
      </c>
      <c r="Y313" s="59" t="s">
        <v>3657</v>
      </c>
      <c r="Z313" s="59" t="s">
        <v>3290</v>
      </c>
      <c r="AA313" s="59" t="s">
        <v>1141</v>
      </c>
      <c r="AB313" s="59" t="s">
        <v>1151</v>
      </c>
      <c r="AC313" s="59" t="s">
        <v>208</v>
      </c>
      <c r="AD313" s="59" t="s">
        <v>208</v>
      </c>
      <c r="AE313" s="60" t="s">
        <v>3658</v>
      </c>
      <c r="AF313" s="70" t="s">
        <v>8559</v>
      </c>
      <c r="AG313" s="70" t="s">
        <v>8559</v>
      </c>
      <c r="AH313" s="59" t="s">
        <v>2222</v>
      </c>
      <c r="AI313" s="73"/>
      <c r="AJ313" s="74"/>
      <c r="AK313" s="60"/>
      <c r="AL313" s="59"/>
      <c r="AM313" s="59"/>
      <c r="AN313" s="60"/>
      <c r="AO313" s="59"/>
      <c r="AP313" s="59"/>
      <c r="AQ313" s="25"/>
      <c r="AR313" s="59"/>
      <c r="AS313" s="59"/>
      <c r="AT313" s="59"/>
      <c r="AU313" s="59" t="s">
        <v>111</v>
      </c>
      <c r="AV313" s="62"/>
      <c r="AW313" s="59" t="s">
        <v>8063</v>
      </c>
      <c r="AX313" s="59" t="s">
        <v>2222</v>
      </c>
      <c r="AY313" s="59" t="s">
        <v>122</v>
      </c>
      <c r="AZ313" s="126" t="s">
        <v>3659</v>
      </c>
      <c r="BA313" s="60" t="s">
        <v>3660</v>
      </c>
      <c r="BB313" s="59" t="s">
        <v>845</v>
      </c>
      <c r="BC313" s="59" t="s">
        <v>3661</v>
      </c>
      <c r="BD313" s="60"/>
      <c r="BE313" s="59"/>
      <c r="BF313" s="59"/>
      <c r="BG313" s="59" t="s">
        <v>3662</v>
      </c>
      <c r="BH313" s="60" t="s">
        <v>152</v>
      </c>
      <c r="BI313" s="59" t="s">
        <v>3663</v>
      </c>
      <c r="BJ313" s="24" t="s">
        <v>3663</v>
      </c>
      <c r="BK313" s="59" t="s">
        <v>2136</v>
      </c>
      <c r="BL313" s="59" t="s">
        <v>156</v>
      </c>
      <c r="BM313" s="24">
        <v>45356</v>
      </c>
      <c r="BN313" s="24"/>
      <c r="BO313" s="59" t="s">
        <v>701</v>
      </c>
      <c r="BP313" s="59"/>
      <c r="BQ313" s="137"/>
      <c r="BR313" s="60"/>
      <c r="BS313" s="59"/>
      <c r="BT313" s="59"/>
      <c r="BU313" s="60"/>
      <c r="BV313" s="59"/>
      <c r="BW313" s="59"/>
      <c r="BX313" s="60"/>
      <c r="BY313" s="59"/>
      <c r="BZ313" s="59"/>
      <c r="CA313" s="59"/>
      <c r="CB313" s="59"/>
      <c r="CC313" s="62"/>
      <c r="CD313" s="59"/>
      <c r="CE313" s="59" t="s">
        <v>7588</v>
      </c>
      <c r="CF313" s="60" t="s">
        <v>152</v>
      </c>
      <c r="CG313" s="59" t="s">
        <v>6625</v>
      </c>
      <c r="CH313" s="24" t="s">
        <v>6625</v>
      </c>
      <c r="CI313" s="59" t="s">
        <v>7144</v>
      </c>
      <c r="CJ313" s="59" t="s">
        <v>111</v>
      </c>
      <c r="CK313" s="47">
        <v>45356</v>
      </c>
      <c r="CL313" s="64" t="str">
        <f t="shared" ca="1" si="4"/>
        <v>20 Tahun 8 Bulan 5 Hari</v>
      </c>
      <c r="CM31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Ganeas RT/RW 02/03 Desa/Kelurahan Ganeas Kecamatan Ganeas Sumedang  Jawa Barat 45356</v>
      </c>
    </row>
    <row r="314" spans="1:91" ht="24.95" customHeight="1">
      <c r="A314" s="58">
        <f>SUBTOTAL(3,N$8:Table2[[#This Row],[Nama lengkap]])</f>
        <v>307</v>
      </c>
      <c r="B314" s="58" t="s">
        <v>86</v>
      </c>
      <c r="C314" s="58">
        <v>2019</v>
      </c>
      <c r="D314" s="58"/>
      <c r="E314" s="58">
        <v>5</v>
      </c>
      <c r="F314" s="58" t="s">
        <v>3320</v>
      </c>
      <c r="G314" s="32" t="s">
        <v>2513</v>
      </c>
      <c r="H314" s="32" t="s">
        <v>2513</v>
      </c>
      <c r="I314" s="32" t="s">
        <v>2513</v>
      </c>
      <c r="J314" s="32"/>
      <c r="K314" s="32"/>
      <c r="L314" s="32"/>
      <c r="M314" s="58">
        <v>19200305</v>
      </c>
      <c r="N314" s="24" t="s">
        <v>3664</v>
      </c>
      <c r="O314" s="24"/>
      <c r="P314" s="25" t="s">
        <v>3665</v>
      </c>
      <c r="Q314" s="25" t="s">
        <v>3666</v>
      </c>
      <c r="R314" s="59" t="s">
        <v>122</v>
      </c>
      <c r="S314" s="61" t="s">
        <v>3667</v>
      </c>
      <c r="T314" s="47" t="s">
        <v>92</v>
      </c>
      <c r="U314" s="47">
        <v>1</v>
      </c>
      <c r="V314" s="47">
        <v>2</v>
      </c>
      <c r="W314" s="47" t="s">
        <v>207</v>
      </c>
      <c r="X314" s="59" t="s">
        <v>123</v>
      </c>
      <c r="Y314" s="59"/>
      <c r="Z314" s="59"/>
      <c r="AA314" s="59" t="s">
        <v>96</v>
      </c>
      <c r="AB314" s="59" t="s">
        <v>689</v>
      </c>
      <c r="AC314" s="59" t="s">
        <v>208</v>
      </c>
      <c r="AD314" s="59" t="s">
        <v>208</v>
      </c>
      <c r="AE314" s="60" t="s">
        <v>3668</v>
      </c>
      <c r="AF314" s="59" t="s">
        <v>8560</v>
      </c>
      <c r="AG314" s="59" t="s">
        <v>8560</v>
      </c>
      <c r="AH314" s="59" t="s">
        <v>691</v>
      </c>
      <c r="AI314" s="59" t="s">
        <v>122</v>
      </c>
      <c r="AJ314" s="61">
        <v>30265</v>
      </c>
      <c r="AK314" s="60" t="s">
        <v>3669</v>
      </c>
      <c r="AL314" s="59" t="s">
        <v>602</v>
      </c>
      <c r="AM314" s="59" t="s">
        <v>1820</v>
      </c>
      <c r="AN314" s="60"/>
      <c r="AO314" s="59"/>
      <c r="AP314" s="59" t="s">
        <v>3670</v>
      </c>
      <c r="AQ314" s="25" t="s">
        <v>604</v>
      </c>
      <c r="AR314" s="59" t="s">
        <v>3671</v>
      </c>
      <c r="AS314" s="59" t="s">
        <v>2196</v>
      </c>
      <c r="AT314" s="59" t="s">
        <v>2136</v>
      </c>
      <c r="AU314" s="59" t="s">
        <v>111</v>
      </c>
      <c r="AV314" s="62">
        <v>45311</v>
      </c>
      <c r="AW314" s="59" t="s">
        <v>8064</v>
      </c>
      <c r="AX314" s="59" t="s">
        <v>691</v>
      </c>
      <c r="AY314" s="59" t="s">
        <v>122</v>
      </c>
      <c r="AZ314" s="126">
        <v>31550</v>
      </c>
      <c r="BA314" s="60" t="s">
        <v>3672</v>
      </c>
      <c r="BB314" s="59" t="s">
        <v>845</v>
      </c>
      <c r="BC314" s="59" t="s">
        <v>1820</v>
      </c>
      <c r="BD314" s="60"/>
      <c r="BE314" s="59"/>
      <c r="BF314" s="59"/>
      <c r="BG314" s="59" t="s">
        <v>3670</v>
      </c>
      <c r="BH314" s="60" t="s">
        <v>604</v>
      </c>
      <c r="BI314" s="59" t="s">
        <v>3671</v>
      </c>
      <c r="BJ314" s="24" t="s">
        <v>2196</v>
      </c>
      <c r="BK314" s="59" t="s">
        <v>2136</v>
      </c>
      <c r="BL314" s="59" t="s">
        <v>156</v>
      </c>
      <c r="BM314" s="24">
        <v>45311</v>
      </c>
      <c r="BN314" s="24"/>
      <c r="BO314" s="59" t="s">
        <v>701</v>
      </c>
      <c r="BP314" s="59"/>
      <c r="BQ314" s="137"/>
      <c r="BR314" s="60"/>
      <c r="BS314" s="59"/>
      <c r="BT314" s="59"/>
      <c r="BU314" s="60"/>
      <c r="BV314" s="59"/>
      <c r="BW314" s="59"/>
      <c r="BX314" s="60"/>
      <c r="BY314" s="59"/>
      <c r="BZ314" s="59"/>
      <c r="CA314" s="59"/>
      <c r="CB314" s="59"/>
      <c r="CC314" s="62"/>
      <c r="CD314" s="59"/>
      <c r="CE314" s="59" t="s">
        <v>7589</v>
      </c>
      <c r="CF314" s="60" t="s">
        <v>604</v>
      </c>
      <c r="CG314" s="59" t="s">
        <v>7246</v>
      </c>
      <c r="CH314" s="59" t="s">
        <v>7150</v>
      </c>
      <c r="CI314" s="59" t="s">
        <v>7144</v>
      </c>
      <c r="CJ314" s="59" t="s">
        <v>111</v>
      </c>
      <c r="CK314" s="47">
        <v>45311</v>
      </c>
      <c r="CL314" s="64" t="str">
        <f t="shared" ca="1" si="4"/>
        <v>18 Tahun 10 Bulan 17 Hari</v>
      </c>
      <c r="CM31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Jl.Dewi Sartika Gg.Pos RT/RW 03/04 Desa/Kelurahan Regol Wetan Kecamatan Sumedang Selatan  Sumedang  Jawa Barat 45311</v>
      </c>
    </row>
    <row r="315" spans="1:91" ht="24.95" customHeight="1">
      <c r="A315" s="58">
        <f>SUBTOTAL(3,N$8:Table2[[#This Row],[Nama lengkap]])</f>
        <v>308</v>
      </c>
      <c r="B315" s="58" t="s">
        <v>86</v>
      </c>
      <c r="C315" s="58">
        <v>2021</v>
      </c>
      <c r="D315" s="58"/>
      <c r="E315" s="58">
        <v>5</v>
      </c>
      <c r="F315" s="58" t="s">
        <v>3320</v>
      </c>
      <c r="G315" s="32" t="s">
        <v>2513</v>
      </c>
      <c r="H315" s="32" t="s">
        <v>2513</v>
      </c>
      <c r="I315" s="32" t="s">
        <v>2513</v>
      </c>
      <c r="J315" s="32"/>
      <c r="K315" s="32"/>
      <c r="L315" s="32"/>
      <c r="M315" s="63">
        <v>21220078</v>
      </c>
      <c r="N315" s="24" t="s">
        <v>3673</v>
      </c>
      <c r="O315" s="24"/>
      <c r="P315" s="25" t="s">
        <v>3674</v>
      </c>
      <c r="Q315" s="25" t="s">
        <v>3675</v>
      </c>
      <c r="R315" s="59" t="s">
        <v>90</v>
      </c>
      <c r="S315" s="61" t="s">
        <v>3676</v>
      </c>
      <c r="T315" s="47" t="s">
        <v>92</v>
      </c>
      <c r="U315" s="47">
        <v>2</v>
      </c>
      <c r="V315" s="47">
        <v>3</v>
      </c>
      <c r="W315" s="47" t="s">
        <v>207</v>
      </c>
      <c r="X315" s="59" t="s">
        <v>303</v>
      </c>
      <c r="Y315" s="59"/>
      <c r="Z315" s="59" t="s">
        <v>1985</v>
      </c>
      <c r="AA315" s="59" t="s">
        <v>1141</v>
      </c>
      <c r="AB315" s="59" t="s">
        <v>689</v>
      </c>
      <c r="AC315" s="59" t="s">
        <v>208</v>
      </c>
      <c r="AD315" s="59" t="s">
        <v>208</v>
      </c>
      <c r="AE315" s="60" t="s">
        <v>3677</v>
      </c>
      <c r="AF315" s="59" t="s">
        <v>8561</v>
      </c>
      <c r="AG315" s="59" t="s">
        <v>8561</v>
      </c>
      <c r="AH315" s="59" t="s">
        <v>691</v>
      </c>
      <c r="AI315" s="59" t="s">
        <v>90</v>
      </c>
      <c r="AJ315" s="61" t="s">
        <v>3678</v>
      </c>
      <c r="AK315" s="60" t="s">
        <v>3679</v>
      </c>
      <c r="AL315" s="59" t="s">
        <v>602</v>
      </c>
      <c r="AM315" s="59" t="s">
        <v>800</v>
      </c>
      <c r="AN315" s="60"/>
      <c r="AO315" s="59"/>
      <c r="AP315" s="59" t="s">
        <v>3680</v>
      </c>
      <c r="AQ315" s="25" t="s">
        <v>152</v>
      </c>
      <c r="AR315" s="59" t="s">
        <v>2016</v>
      </c>
      <c r="AS315" s="59" t="s">
        <v>618</v>
      </c>
      <c r="AT315" s="59" t="s">
        <v>141</v>
      </c>
      <c r="AU315" s="59" t="s">
        <v>111</v>
      </c>
      <c r="AV315" s="62">
        <v>40377</v>
      </c>
      <c r="AW315" s="59" t="s">
        <v>8065</v>
      </c>
      <c r="AX315" s="59" t="s">
        <v>691</v>
      </c>
      <c r="AY315" s="59" t="s">
        <v>90</v>
      </c>
      <c r="AZ315" s="126" t="s">
        <v>3681</v>
      </c>
      <c r="BA315" s="60" t="s">
        <v>3682</v>
      </c>
      <c r="BB315" s="59" t="s">
        <v>845</v>
      </c>
      <c r="BC315" s="59" t="s">
        <v>700</v>
      </c>
      <c r="BD315" s="60"/>
      <c r="BE315" s="59"/>
      <c r="BF315" s="59"/>
      <c r="BG315" s="59" t="s">
        <v>3680</v>
      </c>
      <c r="BH315" s="60" t="s">
        <v>152</v>
      </c>
      <c r="BI315" s="59" t="s">
        <v>2016</v>
      </c>
      <c r="BJ315" s="24" t="s">
        <v>618</v>
      </c>
      <c r="BK315" s="59" t="s">
        <v>141</v>
      </c>
      <c r="BL315" s="59" t="s">
        <v>156</v>
      </c>
      <c r="BM315" s="24">
        <v>40377</v>
      </c>
      <c r="BN315" s="24"/>
      <c r="BO315" s="59" t="s">
        <v>701</v>
      </c>
      <c r="BP315" s="59"/>
      <c r="BQ315" s="137"/>
      <c r="BR315" s="60"/>
      <c r="BS315" s="59"/>
      <c r="BT315" s="59"/>
      <c r="BU315" s="60"/>
      <c r="BV315" s="59"/>
      <c r="BW315" s="59"/>
      <c r="BX315" s="60"/>
      <c r="BY315" s="59"/>
      <c r="BZ315" s="59"/>
      <c r="CA315" s="59"/>
      <c r="CB315" s="59"/>
      <c r="CC315" s="62"/>
      <c r="CD315" s="59"/>
      <c r="CE315" s="59" t="s">
        <v>7590</v>
      </c>
      <c r="CF315" s="60" t="s">
        <v>152</v>
      </c>
      <c r="CG315" s="59" t="s">
        <v>7132</v>
      </c>
      <c r="CH315" s="59" t="s">
        <v>507</v>
      </c>
      <c r="CI315" s="59" t="s">
        <v>90</v>
      </c>
      <c r="CJ315" s="59" t="s">
        <v>111</v>
      </c>
      <c r="CK315" s="47">
        <v>40377</v>
      </c>
      <c r="CL315" s="64" t="str">
        <f t="shared" ca="1" si="4"/>
        <v>21 Tahun 4 Bulan 9 Hari</v>
      </c>
      <c r="CM31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Kamasan RT/RW 02/03 Desa/Kelurahan Kamasan Kecamatan Banjaran Bandung Jawa Barat 40377</v>
      </c>
    </row>
    <row r="316" spans="1:91" ht="24.95" customHeight="1">
      <c r="A316" s="58">
        <f>SUBTOTAL(3,N$8:Table2[[#This Row],[Nama lengkap]])</f>
        <v>309</v>
      </c>
      <c r="B316" s="58" t="s">
        <v>86</v>
      </c>
      <c r="C316" s="58">
        <v>2019</v>
      </c>
      <c r="D316" s="58" t="s">
        <v>8936</v>
      </c>
      <c r="E316" s="58">
        <v>5</v>
      </c>
      <c r="F316" s="58" t="s">
        <v>3320</v>
      </c>
      <c r="G316" s="32" t="s">
        <v>2513</v>
      </c>
      <c r="H316" s="32" t="s">
        <v>2513</v>
      </c>
      <c r="I316" s="32" t="s">
        <v>2513</v>
      </c>
      <c r="J316" s="32"/>
      <c r="K316" s="32"/>
      <c r="L316" s="32"/>
      <c r="M316" s="58">
        <v>19200309</v>
      </c>
      <c r="N316" s="24" t="s">
        <v>8848</v>
      </c>
      <c r="O316" s="24"/>
      <c r="P316" s="25" t="s">
        <v>3684</v>
      </c>
      <c r="Q316" s="25" t="s">
        <v>3685</v>
      </c>
      <c r="R316" s="59" t="s">
        <v>122</v>
      </c>
      <c r="S316" s="61" t="s">
        <v>3460</v>
      </c>
      <c r="T316" s="47" t="s">
        <v>92</v>
      </c>
      <c r="U316" s="47">
        <v>1</v>
      </c>
      <c r="V316" s="47">
        <v>3</v>
      </c>
      <c r="W316" s="47" t="s">
        <v>207</v>
      </c>
      <c r="X316" s="59" t="s">
        <v>123</v>
      </c>
      <c r="Y316" s="59" t="s">
        <v>1247</v>
      </c>
      <c r="Z316" s="59" t="s">
        <v>1776</v>
      </c>
      <c r="AA316" s="59" t="s">
        <v>96</v>
      </c>
      <c r="AB316" s="59"/>
      <c r="AC316" s="59" t="s">
        <v>208</v>
      </c>
      <c r="AD316" s="59" t="s">
        <v>208</v>
      </c>
      <c r="AE316" s="60" t="s">
        <v>3686</v>
      </c>
      <c r="AF316" s="59" t="s">
        <v>8562</v>
      </c>
      <c r="AG316" s="59" t="s">
        <v>8562</v>
      </c>
      <c r="AH316" s="59" t="s">
        <v>691</v>
      </c>
      <c r="AI316" s="59" t="s">
        <v>90</v>
      </c>
      <c r="AJ316" s="61">
        <v>30103</v>
      </c>
      <c r="AK316" s="60" t="s">
        <v>3687</v>
      </c>
      <c r="AL316" s="59" t="s">
        <v>602</v>
      </c>
      <c r="AM316" s="59" t="s">
        <v>800</v>
      </c>
      <c r="AN316" s="60"/>
      <c r="AO316" s="59"/>
      <c r="AP316" s="59" t="s">
        <v>3688</v>
      </c>
      <c r="AQ316" s="25" t="s">
        <v>1099</v>
      </c>
      <c r="AR316" s="59" t="s">
        <v>2160</v>
      </c>
      <c r="AS316" s="59" t="s">
        <v>2161</v>
      </c>
      <c r="AT316" s="59" t="s">
        <v>141</v>
      </c>
      <c r="AU316" s="59" t="s">
        <v>111</v>
      </c>
      <c r="AV316" s="62">
        <v>40174</v>
      </c>
      <c r="AW316" s="59" t="s">
        <v>8066</v>
      </c>
      <c r="AX316" s="59" t="s">
        <v>691</v>
      </c>
      <c r="AY316" s="59" t="s">
        <v>122</v>
      </c>
      <c r="AZ316" s="126" t="s">
        <v>3689</v>
      </c>
      <c r="BA316" s="60" t="s">
        <v>3690</v>
      </c>
      <c r="BB316" s="59" t="s">
        <v>845</v>
      </c>
      <c r="BC316" s="59" t="s">
        <v>800</v>
      </c>
      <c r="BD316" s="60"/>
      <c r="BE316" s="59"/>
      <c r="BF316" s="59"/>
      <c r="BG316" s="59" t="s">
        <v>3688</v>
      </c>
      <c r="BH316" s="60" t="s">
        <v>1099</v>
      </c>
      <c r="BI316" s="59" t="s">
        <v>2160</v>
      </c>
      <c r="BJ316" s="24" t="s">
        <v>2161</v>
      </c>
      <c r="BK316" s="59" t="s">
        <v>141</v>
      </c>
      <c r="BL316" s="59" t="s">
        <v>156</v>
      </c>
      <c r="BM316" s="24">
        <v>40174</v>
      </c>
      <c r="BN316" s="24"/>
      <c r="BO316" s="59" t="s">
        <v>701</v>
      </c>
      <c r="BP316" s="59"/>
      <c r="BQ316" s="137"/>
      <c r="BR316" s="60"/>
      <c r="BS316" s="59"/>
      <c r="BT316" s="59"/>
      <c r="BU316" s="60"/>
      <c r="BV316" s="59"/>
      <c r="BW316" s="59"/>
      <c r="BX316" s="60"/>
      <c r="BY316" s="59"/>
      <c r="BZ316" s="59"/>
      <c r="CA316" s="59"/>
      <c r="CB316" s="59"/>
      <c r="CC316" s="62"/>
      <c r="CD316" s="59"/>
      <c r="CE316" s="59" t="s">
        <v>7591</v>
      </c>
      <c r="CF316" s="60" t="s">
        <v>1099</v>
      </c>
      <c r="CG316" s="59" t="s">
        <v>7247</v>
      </c>
      <c r="CH316" s="59" t="s">
        <v>7248</v>
      </c>
      <c r="CI316" s="59" t="s">
        <v>90</v>
      </c>
      <c r="CJ316" s="59" t="s">
        <v>111</v>
      </c>
      <c r="CK316" s="47">
        <v>40174</v>
      </c>
      <c r="CL316" s="64" t="str">
        <f t="shared" ca="1" si="4"/>
        <v>19 Tahun 3 Bulan 9 Hari</v>
      </c>
      <c r="CM31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Jl.Komud Supadio No.64 RT/RW 01/08 Desa/Kelurahan Husen Sastranegara Kecamatan Cicendo Bandung Jawa Barat 40174</v>
      </c>
    </row>
    <row r="317" spans="1:91" ht="24.95" customHeight="1">
      <c r="A317" s="58">
        <f>SUBTOTAL(3,N$8:Table2[[#This Row],[Nama lengkap]])</f>
        <v>310</v>
      </c>
      <c r="B317" s="58" t="s">
        <v>86</v>
      </c>
      <c r="C317" s="58">
        <v>2020</v>
      </c>
      <c r="D317" s="58"/>
      <c r="E317" s="58">
        <v>5</v>
      </c>
      <c r="F317" s="58" t="s">
        <v>3320</v>
      </c>
      <c r="G317" s="32" t="s">
        <v>2513</v>
      </c>
      <c r="H317" s="32" t="s">
        <v>2513</v>
      </c>
      <c r="I317" s="32" t="s">
        <v>2513</v>
      </c>
      <c r="J317" s="32"/>
      <c r="K317" s="32"/>
      <c r="L317" s="32"/>
      <c r="M317" s="58">
        <v>20210252</v>
      </c>
      <c r="N317" s="24" t="s">
        <v>3691</v>
      </c>
      <c r="O317" s="24"/>
      <c r="P317" s="25" t="s">
        <v>3692</v>
      </c>
      <c r="Q317" s="25" t="s">
        <v>3693</v>
      </c>
      <c r="R317" s="59" t="s">
        <v>90</v>
      </c>
      <c r="S317" s="61" t="s">
        <v>3694</v>
      </c>
      <c r="T317" s="47" t="s">
        <v>92</v>
      </c>
      <c r="U317" s="47">
        <v>2</v>
      </c>
      <c r="V317" s="47">
        <v>2</v>
      </c>
      <c r="W317" s="47" t="s">
        <v>207</v>
      </c>
      <c r="X317" s="59"/>
      <c r="Y317" s="59"/>
      <c r="Z317" s="59"/>
      <c r="AA317" s="59" t="s">
        <v>96</v>
      </c>
      <c r="AB317" s="59"/>
      <c r="AC317" s="59" t="s">
        <v>208</v>
      </c>
      <c r="AD317" s="59" t="s">
        <v>208</v>
      </c>
      <c r="AE317" s="60" t="s">
        <v>3695</v>
      </c>
      <c r="AF317" s="59" t="s">
        <v>8563</v>
      </c>
      <c r="AG317" s="59" t="s">
        <v>8563</v>
      </c>
      <c r="AH317" s="59" t="s">
        <v>691</v>
      </c>
      <c r="AI317" s="59" t="s">
        <v>90</v>
      </c>
      <c r="AJ317" s="61">
        <v>28526</v>
      </c>
      <c r="AK317" s="60" t="s">
        <v>3695</v>
      </c>
      <c r="AL317" s="59" t="s">
        <v>289</v>
      </c>
      <c r="AM317" s="59" t="s">
        <v>700</v>
      </c>
      <c r="AN317" s="60"/>
      <c r="AO317" s="59"/>
      <c r="AP317" s="59" t="s">
        <v>3696</v>
      </c>
      <c r="AQ317" s="25" t="s">
        <v>262</v>
      </c>
      <c r="AR317" s="59" t="s">
        <v>853</v>
      </c>
      <c r="AS317" s="59" t="s">
        <v>618</v>
      </c>
      <c r="AT317" s="59" t="s">
        <v>141</v>
      </c>
      <c r="AU317" s="59" t="s">
        <v>111</v>
      </c>
      <c r="AV317" s="62">
        <v>40377</v>
      </c>
      <c r="AW317" s="59" t="s">
        <v>8067</v>
      </c>
      <c r="AX317" s="59" t="s">
        <v>691</v>
      </c>
      <c r="AY317" s="59" t="s">
        <v>90</v>
      </c>
      <c r="AZ317" s="126" t="s">
        <v>3697</v>
      </c>
      <c r="BA317" s="60" t="s">
        <v>3698</v>
      </c>
      <c r="BB317" s="59" t="s">
        <v>845</v>
      </c>
      <c r="BC317" s="59" t="s">
        <v>693</v>
      </c>
      <c r="BD317" s="60"/>
      <c r="BE317" s="59"/>
      <c r="BF317" s="59"/>
      <c r="BG317" s="59" t="s">
        <v>3696</v>
      </c>
      <c r="BH317" s="60" t="s">
        <v>262</v>
      </c>
      <c r="BI317" s="59" t="s">
        <v>853</v>
      </c>
      <c r="BJ317" s="24" t="s">
        <v>618</v>
      </c>
      <c r="BK317" s="59" t="s">
        <v>141</v>
      </c>
      <c r="BL317" s="59" t="s">
        <v>156</v>
      </c>
      <c r="BM317" s="24">
        <v>40377</v>
      </c>
      <c r="BN317" s="24"/>
      <c r="BO317" s="59" t="s">
        <v>701</v>
      </c>
      <c r="BP317" s="59"/>
      <c r="BQ317" s="137"/>
      <c r="BR317" s="60"/>
      <c r="BS317" s="59"/>
      <c r="BT317" s="59"/>
      <c r="BU317" s="60"/>
      <c r="BV317" s="59"/>
      <c r="BW317" s="59"/>
      <c r="BX317" s="60"/>
      <c r="BY317" s="59"/>
      <c r="BZ317" s="59"/>
      <c r="CA317" s="59"/>
      <c r="CB317" s="59"/>
      <c r="CC317" s="62"/>
      <c r="CD317" s="59"/>
      <c r="CE317" s="59" t="s">
        <v>7592</v>
      </c>
      <c r="CF317" s="60" t="s">
        <v>262</v>
      </c>
      <c r="CG317" s="59" t="s">
        <v>7035</v>
      </c>
      <c r="CH317" s="59" t="s">
        <v>507</v>
      </c>
      <c r="CI317" s="59" t="s">
        <v>90</v>
      </c>
      <c r="CJ317" s="59" t="s">
        <v>111</v>
      </c>
      <c r="CK317" s="47">
        <v>40377</v>
      </c>
      <c r="CL317" s="64" t="str">
        <f t="shared" ca="1" si="4"/>
        <v>19 Tahun 0 Bulan 10 Hari</v>
      </c>
      <c r="CM31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Pasundan RT/RW 03/05 Desa/Kelurahan Banjaran Kulon Kecamatan Banjaran Bandung Jawa Barat 40377</v>
      </c>
    </row>
    <row r="318" spans="1:91" ht="24.95" customHeight="1">
      <c r="A318" s="58">
        <f>SUBTOTAL(3,N$8:Table2[[#This Row],[Nama lengkap]])</f>
        <v>311</v>
      </c>
      <c r="B318" s="58" t="s">
        <v>86</v>
      </c>
      <c r="C318" s="58">
        <v>2019</v>
      </c>
      <c r="D318" s="58"/>
      <c r="E318" s="58">
        <v>5</v>
      </c>
      <c r="F318" s="58" t="s">
        <v>3320</v>
      </c>
      <c r="G318" s="32" t="s">
        <v>2513</v>
      </c>
      <c r="H318" s="32" t="s">
        <v>2513</v>
      </c>
      <c r="I318" s="32" t="s">
        <v>2513</v>
      </c>
      <c r="J318" s="32"/>
      <c r="K318" s="32"/>
      <c r="L318" s="32"/>
      <c r="M318" s="58">
        <v>19200316</v>
      </c>
      <c r="N318" s="24" t="s">
        <v>3699</v>
      </c>
      <c r="O318" s="24"/>
      <c r="P318" s="25" t="s">
        <v>3700</v>
      </c>
      <c r="Q318" s="25" t="s">
        <v>3701</v>
      </c>
      <c r="R318" s="59" t="s">
        <v>90</v>
      </c>
      <c r="S318" s="61" t="s">
        <v>3702</v>
      </c>
      <c r="T318" s="47" t="s">
        <v>92</v>
      </c>
      <c r="U318" s="47"/>
      <c r="V318" s="47"/>
      <c r="W318" s="47" t="s">
        <v>207</v>
      </c>
      <c r="X318" s="59"/>
      <c r="Y318" s="59"/>
      <c r="Z318" s="59"/>
      <c r="AA318" s="59" t="s">
        <v>96</v>
      </c>
      <c r="AB318" s="59"/>
      <c r="AC318" s="59" t="s">
        <v>208</v>
      </c>
      <c r="AD318" s="59" t="s">
        <v>208</v>
      </c>
      <c r="AE318" s="60" t="s">
        <v>3703</v>
      </c>
      <c r="AF318" s="59" t="s">
        <v>8564</v>
      </c>
      <c r="AG318" s="59" t="s">
        <v>8564</v>
      </c>
      <c r="AH318" s="59" t="s">
        <v>691</v>
      </c>
      <c r="AI318" s="59" t="s">
        <v>90</v>
      </c>
      <c r="AJ318" s="61">
        <v>27948</v>
      </c>
      <c r="AK318" s="60" t="s">
        <v>3704</v>
      </c>
      <c r="AL318" s="59" t="s">
        <v>114</v>
      </c>
      <c r="AM318" s="59" t="s">
        <v>700</v>
      </c>
      <c r="AN318" s="60"/>
      <c r="AO318" s="59"/>
      <c r="AP318" s="59" t="s">
        <v>3705</v>
      </c>
      <c r="AQ318" s="25" t="s">
        <v>815</v>
      </c>
      <c r="AR318" s="59" t="s">
        <v>3706</v>
      </c>
      <c r="AS318" s="59" t="s">
        <v>1638</v>
      </c>
      <c r="AT318" s="59" t="s">
        <v>163</v>
      </c>
      <c r="AU318" s="59" t="s">
        <v>111</v>
      </c>
      <c r="AV318" s="62">
        <v>40767</v>
      </c>
      <c r="AW318" s="59" t="s">
        <v>8068</v>
      </c>
      <c r="AX318" s="59" t="s">
        <v>691</v>
      </c>
      <c r="AY318" s="59" t="s">
        <v>90</v>
      </c>
      <c r="AZ318" s="126">
        <v>31567</v>
      </c>
      <c r="BA318" s="60" t="s">
        <v>3707</v>
      </c>
      <c r="BB318" s="59" t="s">
        <v>845</v>
      </c>
      <c r="BC318" s="59" t="s">
        <v>3708</v>
      </c>
      <c r="BD318" s="60"/>
      <c r="BE318" s="59"/>
      <c r="BF318" s="59"/>
      <c r="BG318" s="59" t="s">
        <v>3709</v>
      </c>
      <c r="BH318" s="60" t="s">
        <v>815</v>
      </c>
      <c r="BI318" s="59" t="s">
        <v>3710</v>
      </c>
      <c r="BJ318" s="24" t="s">
        <v>1638</v>
      </c>
      <c r="BK318" s="59" t="s">
        <v>163</v>
      </c>
      <c r="BL318" s="59" t="s">
        <v>156</v>
      </c>
      <c r="BM318" s="24">
        <v>40767</v>
      </c>
      <c r="BN318" s="24"/>
      <c r="BO318" s="59" t="s">
        <v>701</v>
      </c>
      <c r="BP318" s="59"/>
      <c r="BQ318" s="137"/>
      <c r="BR318" s="60"/>
      <c r="BS318" s="59"/>
      <c r="BT318" s="59"/>
      <c r="BU318" s="60"/>
      <c r="BV318" s="59"/>
      <c r="BW318" s="59"/>
      <c r="BX318" s="60"/>
      <c r="BY318" s="59"/>
      <c r="BZ318" s="59"/>
      <c r="CA318" s="59"/>
      <c r="CB318" s="59"/>
      <c r="CC318" s="59"/>
      <c r="CD318" s="59"/>
      <c r="CE318" s="59" t="s">
        <v>7593</v>
      </c>
      <c r="CF318" s="60" t="s">
        <v>815</v>
      </c>
      <c r="CG318" s="59" t="s">
        <v>7249</v>
      </c>
      <c r="CH318" s="59" t="s">
        <v>6480</v>
      </c>
      <c r="CI318" s="59" t="s">
        <v>155</v>
      </c>
      <c r="CJ318" s="59" t="s">
        <v>111</v>
      </c>
      <c r="CK318" s="47">
        <v>40767</v>
      </c>
      <c r="CL318" s="64" t="str">
        <f t="shared" ca="1" si="4"/>
        <v>18 Tahun 9 Bulan 6 Hari</v>
      </c>
      <c r="CM31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Gunung Dukuh RT/RW 01/03 Desa/Kelurahan Desa Cipatik Kecamatan Cihampelas Bandung Barat Jawa Barat 40767</v>
      </c>
    </row>
    <row r="319" spans="1:91" ht="24.95" customHeight="1">
      <c r="A319" s="58">
        <f>SUBTOTAL(3,N$8:Table2[[#This Row],[Nama lengkap]])</f>
        <v>312</v>
      </c>
      <c r="B319" s="58" t="s">
        <v>86</v>
      </c>
      <c r="C319" s="58">
        <v>2018</v>
      </c>
      <c r="D319" s="58"/>
      <c r="E319" s="58">
        <v>5</v>
      </c>
      <c r="F319" s="58" t="s">
        <v>3320</v>
      </c>
      <c r="G319" s="32" t="s">
        <v>2513</v>
      </c>
      <c r="H319" s="32" t="s">
        <v>2513</v>
      </c>
      <c r="I319" s="32" t="s">
        <v>2513</v>
      </c>
      <c r="J319" s="32"/>
      <c r="K319" s="32"/>
      <c r="L319" s="32"/>
      <c r="M319" s="58">
        <v>18190217</v>
      </c>
      <c r="N319" s="24" t="s">
        <v>3711</v>
      </c>
      <c r="O319" s="24"/>
      <c r="P319" s="25" t="s">
        <v>3712</v>
      </c>
      <c r="Q319" s="25" t="s">
        <v>3713</v>
      </c>
      <c r="R319" s="59" t="s">
        <v>90</v>
      </c>
      <c r="S319" s="61" t="s">
        <v>3714</v>
      </c>
      <c r="T319" s="47" t="s">
        <v>92</v>
      </c>
      <c r="U319" s="47">
        <v>1</v>
      </c>
      <c r="V319" s="47">
        <v>0</v>
      </c>
      <c r="W319" s="47" t="s">
        <v>207</v>
      </c>
      <c r="X319" s="59" t="s">
        <v>303</v>
      </c>
      <c r="Y319" s="59" t="s">
        <v>3715</v>
      </c>
      <c r="Z319" s="59" t="s">
        <v>3716</v>
      </c>
      <c r="AA319" s="59" t="s">
        <v>1141</v>
      </c>
      <c r="AB319" s="59" t="s">
        <v>689</v>
      </c>
      <c r="AC319" s="59" t="s">
        <v>208</v>
      </c>
      <c r="AD319" s="59" t="s">
        <v>208</v>
      </c>
      <c r="AE319" s="60" t="s">
        <v>3717</v>
      </c>
      <c r="AF319" s="59" t="s">
        <v>8565</v>
      </c>
      <c r="AG319" s="59" t="s">
        <v>8565</v>
      </c>
      <c r="AH319" s="59" t="s">
        <v>691</v>
      </c>
      <c r="AI319" s="59" t="s">
        <v>3137</v>
      </c>
      <c r="AJ319" s="61">
        <v>23536</v>
      </c>
      <c r="AK319" s="60" t="s">
        <v>3718</v>
      </c>
      <c r="AL319" s="59" t="s">
        <v>7774</v>
      </c>
      <c r="AM319" s="59" t="s">
        <v>800</v>
      </c>
      <c r="AN319" s="60"/>
      <c r="AO319" s="59"/>
      <c r="AP319" s="59" t="s">
        <v>3719</v>
      </c>
      <c r="AQ319" s="25" t="s">
        <v>1099</v>
      </c>
      <c r="AR319" s="59" t="s">
        <v>2160</v>
      </c>
      <c r="AS319" s="59" t="s">
        <v>2161</v>
      </c>
      <c r="AT319" s="59" t="s">
        <v>141</v>
      </c>
      <c r="AU319" s="59" t="s">
        <v>111</v>
      </c>
      <c r="AV319" s="62">
        <v>40174</v>
      </c>
      <c r="AW319" s="59" t="s">
        <v>8069</v>
      </c>
      <c r="AX319" s="59" t="s">
        <v>691</v>
      </c>
      <c r="AY319" s="59" t="s">
        <v>90</v>
      </c>
      <c r="AZ319" s="126" t="s">
        <v>3720</v>
      </c>
      <c r="BA319" s="60" t="s">
        <v>3721</v>
      </c>
      <c r="BB319" s="59" t="s">
        <v>602</v>
      </c>
      <c r="BC319" s="59" t="s">
        <v>800</v>
      </c>
      <c r="BD319" s="60"/>
      <c r="BE319" s="59"/>
      <c r="BF319" s="59"/>
      <c r="BG319" s="59" t="s">
        <v>3719</v>
      </c>
      <c r="BH319" s="60" t="s">
        <v>1099</v>
      </c>
      <c r="BI319" s="59" t="s">
        <v>2160</v>
      </c>
      <c r="BJ319" s="24" t="s">
        <v>2161</v>
      </c>
      <c r="BK319" s="59" t="s">
        <v>141</v>
      </c>
      <c r="BL319" s="59" t="s">
        <v>156</v>
      </c>
      <c r="BM319" s="24">
        <v>40174</v>
      </c>
      <c r="BN319" s="24"/>
      <c r="BO319" s="59" t="s">
        <v>701</v>
      </c>
      <c r="BP319" s="59"/>
      <c r="BQ319" s="77"/>
      <c r="BR319" s="60"/>
      <c r="BS319" s="59"/>
      <c r="BT319" s="59"/>
      <c r="BU319" s="60"/>
      <c r="BV319" s="59"/>
      <c r="BW319" s="59"/>
      <c r="BX319" s="60"/>
      <c r="BY319" s="59"/>
      <c r="BZ319" s="59"/>
      <c r="CA319" s="59"/>
      <c r="CB319" s="59"/>
      <c r="CC319" s="59"/>
      <c r="CD319" s="59"/>
      <c r="CE319" s="59" t="s">
        <v>7594</v>
      </c>
      <c r="CF319" s="60" t="s">
        <v>1099</v>
      </c>
      <c r="CG319" s="59" t="s">
        <v>7247</v>
      </c>
      <c r="CH319" s="59" t="s">
        <v>7248</v>
      </c>
      <c r="CI319" s="59" t="s">
        <v>90</v>
      </c>
      <c r="CJ319" s="59" t="s">
        <v>111</v>
      </c>
      <c r="CK319" s="47">
        <v>40174</v>
      </c>
      <c r="CL319" s="64" t="str">
        <f t="shared" ca="1" si="4"/>
        <v>21 Tahun 10 Bulan 0 Hari</v>
      </c>
      <c r="CM31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Jl.Jatayu Ii No.15/72 RT/RW 01/08 Desa/Kelurahan Husen Sastranegara Kecamatan Cicendo Bandung Jawa Barat 40174</v>
      </c>
    </row>
    <row r="320" spans="1:91" ht="24.95" customHeight="1">
      <c r="A320" s="58">
        <f>SUBTOTAL(3,N$8:Table2[[#This Row],[Nama lengkap]])</f>
        <v>313</v>
      </c>
      <c r="B320" s="58" t="s">
        <v>86</v>
      </c>
      <c r="C320" s="58">
        <v>2019</v>
      </c>
      <c r="D320" s="58"/>
      <c r="E320" s="58">
        <v>5</v>
      </c>
      <c r="F320" s="58" t="s">
        <v>3320</v>
      </c>
      <c r="G320" s="32" t="s">
        <v>2513</v>
      </c>
      <c r="H320" s="32" t="s">
        <v>2513</v>
      </c>
      <c r="I320" s="32" t="s">
        <v>2513</v>
      </c>
      <c r="J320" s="32"/>
      <c r="K320" s="32"/>
      <c r="L320" s="32"/>
      <c r="M320" s="58">
        <v>19200317</v>
      </c>
      <c r="N320" s="24" t="s">
        <v>3722</v>
      </c>
      <c r="O320" s="24"/>
      <c r="P320" s="25" t="s">
        <v>3723</v>
      </c>
      <c r="Q320" s="25" t="s">
        <v>3724</v>
      </c>
      <c r="R320" s="59" t="s">
        <v>122</v>
      </c>
      <c r="S320" s="61" t="s">
        <v>3725</v>
      </c>
      <c r="T320" s="47" t="s">
        <v>92</v>
      </c>
      <c r="U320" s="47">
        <v>2</v>
      </c>
      <c r="V320" s="47">
        <v>1</v>
      </c>
      <c r="W320" s="47" t="s">
        <v>207</v>
      </c>
      <c r="X320" s="59"/>
      <c r="Y320" s="59" t="s">
        <v>3512</v>
      </c>
      <c r="Z320" s="59" t="s">
        <v>1205</v>
      </c>
      <c r="AA320" s="59" t="s">
        <v>96</v>
      </c>
      <c r="AB320" s="59" t="s">
        <v>689</v>
      </c>
      <c r="AC320" s="59" t="s">
        <v>208</v>
      </c>
      <c r="AD320" s="59" t="s">
        <v>208</v>
      </c>
      <c r="AE320" s="60" t="s">
        <v>3726</v>
      </c>
      <c r="AF320" s="59" t="s">
        <v>8566</v>
      </c>
      <c r="AG320" s="59" t="s">
        <v>8566</v>
      </c>
      <c r="AH320" s="59" t="s">
        <v>691</v>
      </c>
      <c r="AI320" s="59" t="s">
        <v>122</v>
      </c>
      <c r="AJ320" s="61">
        <v>26366</v>
      </c>
      <c r="AK320" s="60" t="s">
        <v>3727</v>
      </c>
      <c r="AL320" s="59" t="s">
        <v>114</v>
      </c>
      <c r="AM320" s="59" t="s">
        <v>693</v>
      </c>
      <c r="AN320" s="60"/>
      <c r="AO320" s="59"/>
      <c r="AP320" s="59" t="s">
        <v>3728</v>
      </c>
      <c r="AQ320" s="25" t="s">
        <v>916</v>
      </c>
      <c r="AR320" s="59" t="s">
        <v>3729</v>
      </c>
      <c r="AS320" s="59" t="s">
        <v>1101</v>
      </c>
      <c r="AT320" s="59" t="s">
        <v>1090</v>
      </c>
      <c r="AU320" s="59" t="s">
        <v>111</v>
      </c>
      <c r="AV320" s="62">
        <v>45351</v>
      </c>
      <c r="AW320" s="59" t="s">
        <v>8070</v>
      </c>
      <c r="AX320" s="59" t="s">
        <v>691</v>
      </c>
      <c r="AY320" s="59" t="s">
        <v>122</v>
      </c>
      <c r="AZ320" s="126" t="s">
        <v>3730</v>
      </c>
      <c r="BA320" s="60" t="s">
        <v>3731</v>
      </c>
      <c r="BB320" s="59" t="s">
        <v>845</v>
      </c>
      <c r="BC320" s="59" t="s">
        <v>800</v>
      </c>
      <c r="BD320" s="60"/>
      <c r="BE320" s="59"/>
      <c r="BF320" s="59"/>
      <c r="BG320" s="59" t="s">
        <v>3728</v>
      </c>
      <c r="BH320" s="60" t="s">
        <v>916</v>
      </c>
      <c r="BI320" s="59" t="s">
        <v>3729</v>
      </c>
      <c r="BJ320" s="24" t="s">
        <v>2196</v>
      </c>
      <c r="BK320" s="59" t="s">
        <v>1090</v>
      </c>
      <c r="BL320" s="59" t="s">
        <v>156</v>
      </c>
      <c r="BM320" s="24">
        <v>45315</v>
      </c>
      <c r="BN320" s="24"/>
      <c r="BO320" s="59" t="s">
        <v>701</v>
      </c>
      <c r="BP320" s="59"/>
      <c r="BQ320" s="137"/>
      <c r="BR320" s="60"/>
      <c r="BS320" s="59"/>
      <c r="BT320" s="59"/>
      <c r="BU320" s="60"/>
      <c r="BV320" s="59"/>
      <c r="BW320" s="59"/>
      <c r="BX320" s="60"/>
      <c r="BY320" s="59"/>
      <c r="BZ320" s="59"/>
      <c r="CA320" s="59"/>
      <c r="CB320" s="59"/>
      <c r="CC320" s="62"/>
      <c r="CD320" s="59"/>
      <c r="CE320" s="59" t="s">
        <v>7595</v>
      </c>
      <c r="CF320" s="60" t="s">
        <v>916</v>
      </c>
      <c r="CG320" s="59" t="s">
        <v>7250</v>
      </c>
      <c r="CH320" s="59" t="s">
        <v>6945</v>
      </c>
      <c r="CI320" s="59" t="s">
        <v>122</v>
      </c>
      <c r="CJ320" s="59" t="s">
        <v>111</v>
      </c>
      <c r="CK320" s="47">
        <v>45351</v>
      </c>
      <c r="CL320" s="64" t="str">
        <f t="shared" ca="1" si="4"/>
        <v>18 Tahun 7 Bulan 16 Hari</v>
      </c>
      <c r="CM32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Sagaramanik RT/RW 02/07 Desa/Kelurahan Cipancar Kecamatan Sumedang Selatan Sumedang Jawa Barat 45351</v>
      </c>
    </row>
    <row r="321" spans="1:91" ht="24.95" customHeight="1">
      <c r="A321" s="58">
        <f>SUBTOTAL(3,N$8:Table2[[#This Row],[Nama lengkap]])</f>
        <v>314</v>
      </c>
      <c r="B321" s="58" t="s">
        <v>86</v>
      </c>
      <c r="C321" s="58">
        <v>2019</v>
      </c>
      <c r="D321" s="58" t="s">
        <v>8936</v>
      </c>
      <c r="E321" s="58">
        <v>5</v>
      </c>
      <c r="F321" s="58" t="s">
        <v>3320</v>
      </c>
      <c r="G321" s="32" t="s">
        <v>2513</v>
      </c>
      <c r="H321" s="32" t="s">
        <v>2513</v>
      </c>
      <c r="I321" s="32" t="s">
        <v>2513</v>
      </c>
      <c r="J321" s="32"/>
      <c r="K321" s="32"/>
      <c r="L321" s="32"/>
      <c r="M321" s="58">
        <v>19200320</v>
      </c>
      <c r="N321" s="24" t="s">
        <v>3732</v>
      </c>
      <c r="O321" s="24"/>
      <c r="P321" s="25" t="s">
        <v>3733</v>
      </c>
      <c r="Q321" s="25" t="s">
        <v>3734</v>
      </c>
      <c r="R321" s="59" t="s">
        <v>122</v>
      </c>
      <c r="S321" s="61" t="s">
        <v>3735</v>
      </c>
      <c r="T321" s="47" t="s">
        <v>92</v>
      </c>
      <c r="U321" s="47">
        <v>6</v>
      </c>
      <c r="V321" s="47">
        <v>5</v>
      </c>
      <c r="W321" s="47" t="s">
        <v>207</v>
      </c>
      <c r="X321" s="59" t="s">
        <v>123</v>
      </c>
      <c r="Y321" s="59" t="s">
        <v>1068</v>
      </c>
      <c r="Z321" s="59" t="s">
        <v>3736</v>
      </c>
      <c r="AA321" s="59" t="s">
        <v>1141</v>
      </c>
      <c r="AB321" s="59" t="s">
        <v>689</v>
      </c>
      <c r="AC321" s="59" t="s">
        <v>208</v>
      </c>
      <c r="AD321" s="59" t="s">
        <v>208</v>
      </c>
      <c r="AE321" s="60" t="s">
        <v>3737</v>
      </c>
      <c r="AF321" s="59" t="s">
        <v>8567</v>
      </c>
      <c r="AG321" s="59" t="s">
        <v>8567</v>
      </c>
      <c r="AH321" s="59" t="s">
        <v>691</v>
      </c>
      <c r="AI321" s="59" t="s">
        <v>122</v>
      </c>
      <c r="AJ321" s="61">
        <v>22253</v>
      </c>
      <c r="AK321" s="60" t="s">
        <v>3738</v>
      </c>
      <c r="AL321" s="59" t="s">
        <v>114</v>
      </c>
      <c r="AM321" s="59" t="s">
        <v>693</v>
      </c>
      <c r="AN321" s="60"/>
      <c r="AO321" s="59"/>
      <c r="AP321" s="59" t="s">
        <v>3739</v>
      </c>
      <c r="AQ321" s="25" t="s">
        <v>1048</v>
      </c>
      <c r="AR321" s="59" t="s">
        <v>2606</v>
      </c>
      <c r="AS321" s="59" t="s">
        <v>1101</v>
      </c>
      <c r="AT321" s="59" t="s">
        <v>1090</v>
      </c>
      <c r="AU321" s="59" t="s">
        <v>111</v>
      </c>
      <c r="AV321" s="62">
        <v>45315</v>
      </c>
      <c r="AW321" s="59" t="s">
        <v>8071</v>
      </c>
      <c r="AX321" s="59" t="s">
        <v>691</v>
      </c>
      <c r="AY321" s="59" t="s">
        <v>122</v>
      </c>
      <c r="AZ321" s="126" t="s">
        <v>3740</v>
      </c>
      <c r="BA321" s="60" t="s">
        <v>3741</v>
      </c>
      <c r="BB321" s="59" t="s">
        <v>845</v>
      </c>
      <c r="BC321" s="59" t="s">
        <v>693</v>
      </c>
      <c r="BD321" s="60"/>
      <c r="BE321" s="59"/>
      <c r="BF321" s="59"/>
      <c r="BG321" s="59" t="s">
        <v>3739</v>
      </c>
      <c r="BH321" s="60" t="s">
        <v>1048</v>
      </c>
      <c r="BI321" s="59" t="s">
        <v>2606</v>
      </c>
      <c r="BJ321" s="24" t="s">
        <v>1101</v>
      </c>
      <c r="BK321" s="59" t="s">
        <v>1090</v>
      </c>
      <c r="BL321" s="59" t="s">
        <v>156</v>
      </c>
      <c r="BM321" s="24">
        <v>45315</v>
      </c>
      <c r="BN321" s="24"/>
      <c r="BO321" s="59" t="s">
        <v>701</v>
      </c>
      <c r="BP321" s="59"/>
      <c r="BQ321" s="137"/>
      <c r="BR321" s="60"/>
      <c r="BS321" s="59"/>
      <c r="BT321" s="59"/>
      <c r="BU321" s="60"/>
      <c r="BV321" s="59"/>
      <c r="BW321" s="59"/>
      <c r="BX321" s="60"/>
      <c r="BY321" s="59"/>
      <c r="BZ321" s="59"/>
      <c r="CA321" s="59"/>
      <c r="CB321" s="59"/>
      <c r="CC321" s="62"/>
      <c r="CD321" s="59"/>
      <c r="CE321" s="59" t="s">
        <v>7596</v>
      </c>
      <c r="CF321" s="60" t="s">
        <v>1048</v>
      </c>
      <c r="CG321" s="59" t="s">
        <v>7184</v>
      </c>
      <c r="CH321" s="59" t="s">
        <v>6945</v>
      </c>
      <c r="CI321" s="59" t="s">
        <v>122</v>
      </c>
      <c r="CJ321" s="59" t="s">
        <v>111</v>
      </c>
      <c r="CK321" s="47">
        <v>45315</v>
      </c>
      <c r="CL321" s="64" t="str">
        <f t="shared" ca="1" si="4"/>
        <v>21 Tahun 11 Bulan 6 Hari</v>
      </c>
      <c r="CM32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 Kebon Cau RT/RW 04/01 Desa/Kelurahan Cipameumpeuk Kecamatan Sumedang Selatan Sumedang Jawa Barat 45315</v>
      </c>
    </row>
    <row r="322" spans="1:91" ht="24.95" customHeight="1">
      <c r="A322" s="58">
        <f>SUBTOTAL(3,N$8:Table2[[#This Row],[Nama lengkap]])</f>
        <v>315</v>
      </c>
      <c r="B322" s="58" t="s">
        <v>86</v>
      </c>
      <c r="C322" s="58">
        <v>2020</v>
      </c>
      <c r="D322" s="58"/>
      <c r="E322" s="58">
        <v>5</v>
      </c>
      <c r="F322" s="58" t="s">
        <v>3320</v>
      </c>
      <c r="G322" s="32" t="s">
        <v>2513</v>
      </c>
      <c r="H322" s="32" t="s">
        <v>2513</v>
      </c>
      <c r="I322" s="32" t="s">
        <v>2513</v>
      </c>
      <c r="J322" s="32"/>
      <c r="K322" s="32"/>
      <c r="L322" s="32"/>
      <c r="M322" s="58">
        <v>20210176</v>
      </c>
      <c r="N322" s="24" t="s">
        <v>3742</v>
      </c>
      <c r="O322" s="24"/>
      <c r="P322" s="25" t="s">
        <v>3743</v>
      </c>
      <c r="Q322" s="25" t="s">
        <v>3744</v>
      </c>
      <c r="R322" s="59" t="s">
        <v>90</v>
      </c>
      <c r="S322" s="61" t="s">
        <v>3745</v>
      </c>
      <c r="T322" s="47" t="s">
        <v>92</v>
      </c>
      <c r="U322" s="47">
        <v>1</v>
      </c>
      <c r="V322" s="47">
        <v>1</v>
      </c>
      <c r="W322" s="47" t="s">
        <v>207</v>
      </c>
      <c r="X322" s="59" t="s">
        <v>3746</v>
      </c>
      <c r="Y322" s="59" t="s">
        <v>2039</v>
      </c>
      <c r="Z322" s="59" t="s">
        <v>3747</v>
      </c>
      <c r="AA322" s="59" t="s">
        <v>1141</v>
      </c>
      <c r="AB322" s="59" t="s">
        <v>689</v>
      </c>
      <c r="AC322" s="59" t="s">
        <v>208</v>
      </c>
      <c r="AD322" s="59" t="s">
        <v>208</v>
      </c>
      <c r="AE322" s="60" t="s">
        <v>3748</v>
      </c>
      <c r="AF322" s="59" t="s">
        <v>8568</v>
      </c>
      <c r="AG322" s="59" t="s">
        <v>8568</v>
      </c>
      <c r="AH322" s="59" t="s">
        <v>691</v>
      </c>
      <c r="AI322" s="59" t="s">
        <v>90</v>
      </c>
      <c r="AJ322" s="61">
        <v>29622</v>
      </c>
      <c r="AK322" s="60" t="s">
        <v>3749</v>
      </c>
      <c r="AL322" s="59" t="s">
        <v>602</v>
      </c>
      <c r="AM322" s="59" t="s">
        <v>800</v>
      </c>
      <c r="AN322" s="60"/>
      <c r="AO322" s="59"/>
      <c r="AP322" s="59" t="s">
        <v>3750</v>
      </c>
      <c r="AQ322" s="25" t="s">
        <v>213</v>
      </c>
      <c r="AR322" s="59" t="s">
        <v>2774</v>
      </c>
      <c r="AS322" s="59" t="s">
        <v>3617</v>
      </c>
      <c r="AT322" s="59" t="s">
        <v>141</v>
      </c>
      <c r="AU322" s="59" t="s">
        <v>111</v>
      </c>
      <c r="AV322" s="59">
        <v>40376</v>
      </c>
      <c r="AW322" s="59" t="s">
        <v>8072</v>
      </c>
      <c r="AX322" s="59" t="s">
        <v>691</v>
      </c>
      <c r="AY322" s="59" t="s">
        <v>90</v>
      </c>
      <c r="AZ322" s="126" t="s">
        <v>3751</v>
      </c>
      <c r="BA322" s="60" t="s">
        <v>3752</v>
      </c>
      <c r="BB322" s="59" t="s">
        <v>845</v>
      </c>
      <c r="BC322" s="59" t="s">
        <v>800</v>
      </c>
      <c r="BD322" s="60"/>
      <c r="BE322" s="59"/>
      <c r="BF322" s="59"/>
      <c r="BG322" s="59" t="s">
        <v>3750</v>
      </c>
      <c r="BH322" s="60" t="s">
        <v>213</v>
      </c>
      <c r="BI322" s="59" t="s">
        <v>2774</v>
      </c>
      <c r="BJ322" s="24" t="s">
        <v>3617</v>
      </c>
      <c r="BK322" s="59" t="s">
        <v>141</v>
      </c>
      <c r="BL322" s="59" t="s">
        <v>156</v>
      </c>
      <c r="BM322" s="24">
        <v>40376</v>
      </c>
      <c r="BN322" s="24"/>
      <c r="BO322" s="59" t="s">
        <v>701</v>
      </c>
      <c r="BP322" s="59"/>
      <c r="BQ322" s="137"/>
      <c r="BR322" s="60"/>
      <c r="BS322" s="59"/>
      <c r="BT322" s="59"/>
      <c r="BU322" s="60"/>
      <c r="BV322" s="59"/>
      <c r="BW322" s="59"/>
      <c r="BX322" s="60"/>
      <c r="BY322" s="59"/>
      <c r="BZ322" s="59"/>
      <c r="CA322" s="59"/>
      <c r="CB322" s="59"/>
      <c r="CC322" s="62"/>
      <c r="CD322" s="59"/>
      <c r="CE322" s="59" t="s">
        <v>7597</v>
      </c>
      <c r="CF322" s="60" t="s">
        <v>213</v>
      </c>
      <c r="CG322" s="59" t="s">
        <v>7196</v>
      </c>
      <c r="CH322" s="59" t="s">
        <v>892</v>
      </c>
      <c r="CI322" s="59" t="s">
        <v>90</v>
      </c>
      <c r="CJ322" s="59" t="s">
        <v>111</v>
      </c>
      <c r="CK322" s="47">
        <v>40376</v>
      </c>
      <c r="CL322" s="64" t="str">
        <f t="shared" ca="1" si="4"/>
        <v>21 Tahun 1 Bulan 18 Hari</v>
      </c>
      <c r="CM32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Babakan Mekar RT/RW 01/14 Desa/Kelurahan Langonsari Kecamatan Pameungpeuk Bandung Jawa Barat 40376</v>
      </c>
    </row>
    <row r="323" spans="1:91" ht="24.95" customHeight="1">
      <c r="A323" s="58">
        <f>SUBTOTAL(3,N$8:Table2[[#This Row],[Nama lengkap]])</f>
        <v>316</v>
      </c>
      <c r="B323" s="58" t="s">
        <v>86</v>
      </c>
      <c r="C323" s="58">
        <v>2019</v>
      </c>
      <c r="D323" s="58"/>
      <c r="E323" s="58">
        <v>5</v>
      </c>
      <c r="F323" s="58" t="s">
        <v>3320</v>
      </c>
      <c r="G323" s="32" t="s">
        <v>2513</v>
      </c>
      <c r="H323" s="32" t="s">
        <v>2513</v>
      </c>
      <c r="I323" s="32" t="s">
        <v>2513</v>
      </c>
      <c r="J323" s="32"/>
      <c r="K323" s="32"/>
      <c r="L323" s="32"/>
      <c r="M323" s="58">
        <v>19200330</v>
      </c>
      <c r="N323" s="24" t="s">
        <v>3753</v>
      </c>
      <c r="O323" s="24"/>
      <c r="P323" s="25" t="s">
        <v>3754</v>
      </c>
      <c r="Q323" s="25" t="s">
        <v>3755</v>
      </c>
      <c r="R323" s="59" t="s">
        <v>122</v>
      </c>
      <c r="S323" s="61" t="s">
        <v>3756</v>
      </c>
      <c r="T323" s="47" t="s">
        <v>92</v>
      </c>
      <c r="U323" s="47">
        <v>4</v>
      </c>
      <c r="V323" s="47">
        <v>3</v>
      </c>
      <c r="W323" s="47" t="s">
        <v>207</v>
      </c>
      <c r="X323" s="59" t="s">
        <v>123</v>
      </c>
      <c r="Y323" s="59" t="s">
        <v>1524</v>
      </c>
      <c r="Z323" s="59" t="s">
        <v>3757</v>
      </c>
      <c r="AA323" s="59" t="s">
        <v>96</v>
      </c>
      <c r="AB323" s="59" t="s">
        <v>689</v>
      </c>
      <c r="AC323" s="59" t="s">
        <v>208</v>
      </c>
      <c r="AD323" s="59" t="s">
        <v>208</v>
      </c>
      <c r="AE323" s="60" t="s">
        <v>3758</v>
      </c>
      <c r="AF323" s="59" t="s">
        <v>6621</v>
      </c>
      <c r="AG323" s="59" t="s">
        <v>6621</v>
      </c>
      <c r="AH323" s="59" t="s">
        <v>691</v>
      </c>
      <c r="AI323" s="59" t="s">
        <v>122</v>
      </c>
      <c r="AJ323" s="61">
        <v>23193</v>
      </c>
      <c r="AK323" s="60" t="s">
        <v>3759</v>
      </c>
      <c r="AL323" s="59" t="s">
        <v>114</v>
      </c>
      <c r="AM323" s="59" t="s">
        <v>800</v>
      </c>
      <c r="AN323" s="60"/>
      <c r="AO323" s="59"/>
      <c r="AP323" s="59" t="s">
        <v>3760</v>
      </c>
      <c r="AQ323" s="25" t="s">
        <v>756</v>
      </c>
      <c r="AR323" s="59" t="s">
        <v>3362</v>
      </c>
      <c r="AS323" s="59" t="s">
        <v>2173</v>
      </c>
      <c r="AT323" s="59" t="s">
        <v>1090</v>
      </c>
      <c r="AU323" s="59" t="s">
        <v>111</v>
      </c>
      <c r="AV323" s="62">
        <v>45363</v>
      </c>
      <c r="AW323" s="59" t="s">
        <v>8073</v>
      </c>
      <c r="AX323" s="59" t="s">
        <v>691</v>
      </c>
      <c r="AY323" s="59" t="s">
        <v>122</v>
      </c>
      <c r="AZ323" s="126">
        <v>26459</v>
      </c>
      <c r="BA323" s="60" t="s">
        <v>3761</v>
      </c>
      <c r="BB323" s="59" t="s">
        <v>114</v>
      </c>
      <c r="BC323" s="59" t="s">
        <v>700</v>
      </c>
      <c r="BD323" s="60"/>
      <c r="BE323" s="59"/>
      <c r="BF323" s="59"/>
      <c r="BG323" s="59" t="s">
        <v>3760</v>
      </c>
      <c r="BH323" s="60" t="s">
        <v>756</v>
      </c>
      <c r="BI323" s="59" t="s">
        <v>3362</v>
      </c>
      <c r="BJ323" s="24" t="s">
        <v>2173</v>
      </c>
      <c r="BK323" s="59" t="s">
        <v>1090</v>
      </c>
      <c r="BL323" s="59" t="s">
        <v>156</v>
      </c>
      <c r="BM323" s="24">
        <v>45363</v>
      </c>
      <c r="BN323" s="24"/>
      <c r="BO323" s="59" t="s">
        <v>701</v>
      </c>
      <c r="BP323" s="59"/>
      <c r="BQ323" s="77"/>
      <c r="BR323" s="60"/>
      <c r="BS323" s="59"/>
      <c r="BT323" s="59"/>
      <c r="BU323" s="60"/>
      <c r="BV323" s="59"/>
      <c r="BW323" s="59"/>
      <c r="BX323" s="60"/>
      <c r="BY323" s="59"/>
      <c r="BZ323" s="59"/>
      <c r="CA323" s="59"/>
      <c r="CB323" s="59"/>
      <c r="CC323" s="59"/>
      <c r="CD323" s="59"/>
      <c r="CE323" s="59" t="s">
        <v>7598</v>
      </c>
      <c r="CF323" s="60" t="s">
        <v>756</v>
      </c>
      <c r="CG323" s="59" t="s">
        <v>975</v>
      </c>
      <c r="CH323" s="59" t="s">
        <v>561</v>
      </c>
      <c r="CI323" s="59" t="s">
        <v>122</v>
      </c>
      <c r="CJ323" s="59" t="s">
        <v>111</v>
      </c>
      <c r="CK323" s="47">
        <v>45363</v>
      </c>
      <c r="CL323" s="64" t="str">
        <f t="shared" ca="1" si="4"/>
        <v>19 Tahun 2 Bulan 10 Hari</v>
      </c>
      <c r="CM32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Dsn.Munggang RT/RW 02/09 Desa/Kelurahan Mekargalih Kecamatan Jatinangor Sumedang Jawa Barat 45363</v>
      </c>
    </row>
    <row r="324" spans="1:91" ht="24.95" customHeight="1">
      <c r="A324" s="58">
        <f>SUBTOTAL(3,N$8:Table2[[#This Row],[Nama lengkap]])</f>
        <v>317</v>
      </c>
      <c r="B324" s="58" t="s">
        <v>86</v>
      </c>
      <c r="C324" s="58">
        <v>2020</v>
      </c>
      <c r="D324" s="58"/>
      <c r="E324" s="58">
        <v>5</v>
      </c>
      <c r="F324" s="58" t="s">
        <v>3320</v>
      </c>
      <c r="G324" s="32" t="s">
        <v>2513</v>
      </c>
      <c r="H324" s="32" t="s">
        <v>2513</v>
      </c>
      <c r="I324" s="32" t="s">
        <v>9925</v>
      </c>
      <c r="J324" s="32"/>
      <c r="K324" s="32"/>
      <c r="L324" s="32"/>
      <c r="M324" s="58">
        <v>20210150</v>
      </c>
      <c r="N324" s="24" t="s">
        <v>3762</v>
      </c>
      <c r="O324" s="24"/>
      <c r="P324" s="25" t="s">
        <v>3763</v>
      </c>
      <c r="Q324" s="25" t="s">
        <v>3764</v>
      </c>
      <c r="R324" s="59" t="s">
        <v>122</v>
      </c>
      <c r="S324" s="61" t="s">
        <v>3765</v>
      </c>
      <c r="T324" s="47" t="s">
        <v>92</v>
      </c>
      <c r="U324" s="47">
        <v>2</v>
      </c>
      <c r="V324" s="47">
        <v>2</v>
      </c>
      <c r="W324" s="47" t="s">
        <v>207</v>
      </c>
      <c r="X324" s="59" t="s">
        <v>93</v>
      </c>
      <c r="Y324" s="59" t="s">
        <v>3766</v>
      </c>
      <c r="Z324" s="59" t="s">
        <v>1478</v>
      </c>
      <c r="AA324" s="59" t="s">
        <v>753</v>
      </c>
      <c r="AB324" s="59" t="s">
        <v>689</v>
      </c>
      <c r="AC324" s="59" t="s">
        <v>208</v>
      </c>
      <c r="AD324" s="59" t="s">
        <v>208</v>
      </c>
      <c r="AE324" s="60" t="s">
        <v>3767</v>
      </c>
      <c r="AF324" s="59" t="s">
        <v>8569</v>
      </c>
      <c r="AG324" s="59" t="s">
        <v>8569</v>
      </c>
      <c r="AH324" s="59" t="s">
        <v>691</v>
      </c>
      <c r="AI324" s="59" t="s">
        <v>90</v>
      </c>
      <c r="AJ324" s="61">
        <v>26427</v>
      </c>
      <c r="AK324" s="60" t="s">
        <v>3768</v>
      </c>
      <c r="AL324" s="59" t="s">
        <v>8260</v>
      </c>
      <c r="AM324" s="59" t="s">
        <v>800</v>
      </c>
      <c r="AN324" s="60"/>
      <c r="AO324" s="59"/>
      <c r="AP324" s="59" t="s">
        <v>3769</v>
      </c>
      <c r="AQ324" s="25" t="s">
        <v>2714</v>
      </c>
      <c r="AR324" s="59" t="s">
        <v>3769</v>
      </c>
      <c r="AS324" s="59" t="s">
        <v>2173</v>
      </c>
      <c r="AT324" s="59" t="s">
        <v>1090</v>
      </c>
      <c r="AU324" s="59" t="s">
        <v>111</v>
      </c>
      <c r="AV324" s="62">
        <v>45363</v>
      </c>
      <c r="AW324" s="59" t="s">
        <v>8074</v>
      </c>
      <c r="AX324" s="59" t="s">
        <v>691</v>
      </c>
      <c r="AY324" s="59" t="s">
        <v>122</v>
      </c>
      <c r="AZ324" s="126" t="s">
        <v>3770</v>
      </c>
      <c r="BA324" s="60" t="s">
        <v>3771</v>
      </c>
      <c r="BB324" s="59" t="s">
        <v>602</v>
      </c>
      <c r="BC324" s="59" t="s">
        <v>800</v>
      </c>
      <c r="BD324" s="60"/>
      <c r="BE324" s="59"/>
      <c r="BF324" s="59"/>
      <c r="BG324" s="59" t="s">
        <v>3769</v>
      </c>
      <c r="BH324" s="60" t="s">
        <v>2714</v>
      </c>
      <c r="BI324" s="59" t="s">
        <v>3769</v>
      </c>
      <c r="BJ324" s="24" t="s">
        <v>2173</v>
      </c>
      <c r="BK324" s="59" t="s">
        <v>1090</v>
      </c>
      <c r="BL324" s="59" t="s">
        <v>156</v>
      </c>
      <c r="BM324" s="24">
        <v>45363</v>
      </c>
      <c r="BN324" s="24"/>
      <c r="BO324" s="59" t="s">
        <v>701</v>
      </c>
      <c r="BP324" s="59"/>
      <c r="BQ324" s="77"/>
      <c r="BR324" s="60"/>
      <c r="BS324" s="59"/>
      <c r="BT324" s="59"/>
      <c r="BU324" s="60"/>
      <c r="BV324" s="59"/>
      <c r="BW324" s="59"/>
      <c r="BX324" s="60"/>
      <c r="BY324" s="59"/>
      <c r="BZ324" s="59"/>
      <c r="CA324" s="59"/>
      <c r="CB324" s="59"/>
      <c r="CC324" s="59"/>
      <c r="CD324" s="59"/>
      <c r="CE324" s="59" t="s">
        <v>931</v>
      </c>
      <c r="CF324" s="60" t="s">
        <v>2714</v>
      </c>
      <c r="CG324" s="59" t="s">
        <v>931</v>
      </c>
      <c r="CH324" s="59" t="s">
        <v>561</v>
      </c>
      <c r="CI324" s="59" t="s">
        <v>122</v>
      </c>
      <c r="CJ324" s="59" t="s">
        <v>111</v>
      </c>
      <c r="CK324" s="47">
        <v>45363</v>
      </c>
      <c r="CL324" s="64" t="str">
        <f t="shared" ca="1" si="4"/>
        <v>23 Tahun 6 Bulan 5 Hari</v>
      </c>
      <c r="CM32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Cisempur RT/RW 01/05 Desa/Kelurahan Cisempur Kecamatan Jatinangor Sumedang Jawa Barat 45363</v>
      </c>
    </row>
    <row r="325" spans="1:91" ht="24.95" customHeight="1">
      <c r="A325" s="58">
        <f>SUBTOTAL(3,N$8:Table2[[#This Row],[Nama lengkap]])</f>
        <v>318</v>
      </c>
      <c r="B325" s="58" t="s">
        <v>86</v>
      </c>
      <c r="C325" s="58">
        <v>2019</v>
      </c>
      <c r="D325" s="58"/>
      <c r="E325" s="58">
        <v>5</v>
      </c>
      <c r="F325" s="58" t="s">
        <v>3320</v>
      </c>
      <c r="G325" s="32" t="s">
        <v>2513</v>
      </c>
      <c r="H325" s="32" t="s">
        <v>2513</v>
      </c>
      <c r="I325" s="32" t="s">
        <v>2513</v>
      </c>
      <c r="J325" s="32"/>
      <c r="K325" s="32"/>
      <c r="L325" s="32"/>
      <c r="M325" s="58">
        <v>19200344</v>
      </c>
      <c r="N325" s="31" t="s">
        <v>3772</v>
      </c>
      <c r="O325" s="31"/>
      <c r="P325" s="32" t="s">
        <v>3773</v>
      </c>
      <c r="Q325" s="32" t="s">
        <v>3774</v>
      </c>
      <c r="R325" s="64" t="s">
        <v>90</v>
      </c>
      <c r="S325" s="69" t="s">
        <v>3775</v>
      </c>
      <c r="T325" s="47" t="s">
        <v>92</v>
      </c>
      <c r="U325" s="58">
        <v>2</v>
      </c>
      <c r="V325" s="58">
        <v>2</v>
      </c>
      <c r="W325" s="47" t="s">
        <v>207</v>
      </c>
      <c r="X325" s="64" t="s">
        <v>432</v>
      </c>
      <c r="Y325" s="64" t="s">
        <v>1247</v>
      </c>
      <c r="Z325" s="64" t="s">
        <v>1205</v>
      </c>
      <c r="AA325" s="64" t="s">
        <v>96</v>
      </c>
      <c r="AB325" s="64" t="s">
        <v>689</v>
      </c>
      <c r="AC325" s="59" t="s">
        <v>208</v>
      </c>
      <c r="AD325" s="59" t="s">
        <v>208</v>
      </c>
      <c r="AE325" s="67" t="s">
        <v>3776</v>
      </c>
      <c r="AF325" s="67" t="s">
        <v>8570</v>
      </c>
      <c r="AG325" s="67" t="s">
        <v>8570</v>
      </c>
      <c r="AH325" s="64" t="s">
        <v>691</v>
      </c>
      <c r="AI325" s="64" t="s">
        <v>90</v>
      </c>
      <c r="AJ325" s="69">
        <v>26178</v>
      </c>
      <c r="AK325" s="67" t="s">
        <v>3777</v>
      </c>
      <c r="AL325" s="64" t="s">
        <v>114</v>
      </c>
      <c r="AM325" s="70" t="s">
        <v>1820</v>
      </c>
      <c r="AN325" s="73"/>
      <c r="AO325" s="70"/>
      <c r="AP325" s="72" t="s">
        <v>3778</v>
      </c>
      <c r="AQ325" s="76" t="s">
        <v>1122</v>
      </c>
      <c r="AR325" s="70" t="s">
        <v>3779</v>
      </c>
      <c r="AS325" s="70" t="s">
        <v>1461</v>
      </c>
      <c r="AT325" s="70" t="s">
        <v>141</v>
      </c>
      <c r="AU325" s="59" t="s">
        <v>111</v>
      </c>
      <c r="AV325" s="70">
        <v>40619</v>
      </c>
      <c r="AW325" s="70" t="s">
        <v>8075</v>
      </c>
      <c r="AX325" s="64" t="s">
        <v>691</v>
      </c>
      <c r="AY325" s="64" t="s">
        <v>90</v>
      </c>
      <c r="AZ325" s="125" t="s">
        <v>3780</v>
      </c>
      <c r="BA325" s="67" t="s">
        <v>3781</v>
      </c>
      <c r="BB325" s="64" t="s">
        <v>602</v>
      </c>
      <c r="BC325" s="67" t="s">
        <v>1820</v>
      </c>
      <c r="BD325" s="73"/>
      <c r="BE325" s="64"/>
      <c r="BF325" s="64"/>
      <c r="BG325" s="64" t="s">
        <v>3778</v>
      </c>
      <c r="BH325" s="67" t="s">
        <v>1122</v>
      </c>
      <c r="BI325" s="64" t="s">
        <v>3779</v>
      </c>
      <c r="BJ325" s="40" t="s">
        <v>1461</v>
      </c>
      <c r="BK325" s="64" t="s">
        <v>141</v>
      </c>
      <c r="BL325" s="67" t="s">
        <v>156</v>
      </c>
      <c r="BM325" s="67" t="s">
        <v>3782</v>
      </c>
      <c r="BN325" s="67"/>
      <c r="BO325" s="64" t="s">
        <v>701</v>
      </c>
      <c r="BP325" s="64"/>
      <c r="BQ325" s="135"/>
      <c r="BR325" s="67"/>
      <c r="BS325" s="64"/>
      <c r="BT325" s="67"/>
      <c r="BU325" s="67"/>
      <c r="BV325" s="64"/>
      <c r="BW325" s="64"/>
      <c r="BX325" s="67"/>
      <c r="BY325" s="64"/>
      <c r="BZ325" s="64"/>
      <c r="CA325" s="64"/>
      <c r="CB325" s="64"/>
      <c r="CC325" s="64"/>
      <c r="CD325" s="64"/>
      <c r="CE325" s="64" t="s">
        <v>7599</v>
      </c>
      <c r="CF325" s="67" t="s">
        <v>1122</v>
      </c>
      <c r="CG325" s="64" t="s">
        <v>7251</v>
      </c>
      <c r="CH325" s="64" t="s">
        <v>6830</v>
      </c>
      <c r="CI325" s="64" t="s">
        <v>90</v>
      </c>
      <c r="CJ325" s="64" t="s">
        <v>111</v>
      </c>
      <c r="CK325" s="58">
        <v>40619</v>
      </c>
      <c r="CL325" s="64" t="str">
        <f t="shared" ca="1" si="4"/>
        <v>18 Tahun 6 Bulan 17 Hari</v>
      </c>
      <c r="CM32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Jl.Vijaya Kusuma Ii A.29/7 RT/RW 03/07 Desa/Kelurahan Pasir Endah Kecamatan Ujungberung Bandung Jawa Barat 40619</v>
      </c>
    </row>
    <row r="326" spans="1:91" ht="24.95" customHeight="1">
      <c r="A326" s="58">
        <f>SUBTOTAL(3,N$8:Table2[[#This Row],[Nama lengkap]])</f>
        <v>319</v>
      </c>
      <c r="B326" s="58" t="s">
        <v>86</v>
      </c>
      <c r="C326" s="58">
        <v>2019</v>
      </c>
      <c r="D326" s="58"/>
      <c r="E326" s="58">
        <v>5</v>
      </c>
      <c r="F326" s="58" t="s">
        <v>3783</v>
      </c>
      <c r="G326" s="32" t="s">
        <v>2513</v>
      </c>
      <c r="H326" s="32" t="s">
        <v>2513</v>
      </c>
      <c r="I326" s="32" t="s">
        <v>2513</v>
      </c>
      <c r="J326" s="32"/>
      <c r="K326" s="32"/>
      <c r="L326" s="32"/>
      <c r="M326" s="58">
        <v>19200370</v>
      </c>
      <c r="N326" s="31" t="s">
        <v>6094</v>
      </c>
      <c r="O326" s="31"/>
      <c r="P326" s="32" t="s">
        <v>3785</v>
      </c>
      <c r="Q326" s="32" t="s">
        <v>3786</v>
      </c>
      <c r="R326" s="64" t="s">
        <v>90</v>
      </c>
      <c r="S326" s="69" t="s">
        <v>3787</v>
      </c>
      <c r="T326" s="47" t="s">
        <v>92</v>
      </c>
      <c r="U326" s="58">
        <v>2</v>
      </c>
      <c r="V326" s="58">
        <v>1</v>
      </c>
      <c r="W326" s="47" t="s">
        <v>207</v>
      </c>
      <c r="X326" s="64"/>
      <c r="Y326" s="64" t="s">
        <v>3569</v>
      </c>
      <c r="Z326" s="64" t="s">
        <v>1776</v>
      </c>
      <c r="AA326" s="64" t="s">
        <v>96</v>
      </c>
      <c r="AB326" s="64" t="s">
        <v>689</v>
      </c>
      <c r="AC326" s="64" t="s">
        <v>208</v>
      </c>
      <c r="AD326" s="64" t="s">
        <v>208</v>
      </c>
      <c r="AE326" s="67" t="s">
        <v>3788</v>
      </c>
      <c r="AF326" s="67" t="s">
        <v>8571</v>
      </c>
      <c r="AG326" s="67" t="s">
        <v>8571</v>
      </c>
      <c r="AH326" s="64" t="s">
        <v>691</v>
      </c>
      <c r="AI326" s="64" t="s">
        <v>90</v>
      </c>
      <c r="AJ326" s="69">
        <v>26525</v>
      </c>
      <c r="AK326" s="67" t="s">
        <v>3789</v>
      </c>
      <c r="AL326" s="64" t="s">
        <v>114</v>
      </c>
      <c r="AM326" s="67" t="s">
        <v>800</v>
      </c>
      <c r="AN326" s="67"/>
      <c r="AO326" s="64"/>
      <c r="AP326" s="64" t="s">
        <v>3790</v>
      </c>
      <c r="AQ326" s="32" t="s">
        <v>3791</v>
      </c>
      <c r="AR326" s="64" t="s">
        <v>214</v>
      </c>
      <c r="AS326" s="64" t="s">
        <v>214</v>
      </c>
      <c r="AT326" s="64" t="s">
        <v>141</v>
      </c>
      <c r="AU326" s="59" t="s">
        <v>111</v>
      </c>
      <c r="AV326" s="67" t="s">
        <v>3792</v>
      </c>
      <c r="AW326" s="67" t="s">
        <v>8076</v>
      </c>
      <c r="AX326" s="64" t="s">
        <v>691</v>
      </c>
      <c r="AY326" s="64" t="s">
        <v>90</v>
      </c>
      <c r="AZ326" s="125">
        <v>29050</v>
      </c>
      <c r="BA326" s="67" t="s">
        <v>3793</v>
      </c>
      <c r="BB326" s="64" t="s">
        <v>845</v>
      </c>
      <c r="BC326" s="67" t="s">
        <v>700</v>
      </c>
      <c r="BD326" s="67"/>
      <c r="BE326" s="64"/>
      <c r="BF326" s="64"/>
      <c r="BG326" s="64" t="s">
        <v>3790</v>
      </c>
      <c r="BH326" s="67" t="s">
        <v>3791</v>
      </c>
      <c r="BI326" s="64" t="s">
        <v>214</v>
      </c>
      <c r="BJ326" s="40" t="s">
        <v>214</v>
      </c>
      <c r="BK326" s="64" t="s">
        <v>141</v>
      </c>
      <c r="BL326" s="67" t="s">
        <v>156</v>
      </c>
      <c r="BM326" s="67" t="s">
        <v>3792</v>
      </c>
      <c r="BN326" s="67"/>
      <c r="BO326" s="64" t="s">
        <v>701</v>
      </c>
      <c r="BP326" s="64"/>
      <c r="BQ326" s="135"/>
      <c r="BR326" s="67"/>
      <c r="BS326" s="64"/>
      <c r="BT326" s="67"/>
      <c r="BU326" s="67"/>
      <c r="BV326" s="64"/>
      <c r="BW326" s="64"/>
      <c r="BX326" s="67"/>
      <c r="BY326" s="64"/>
      <c r="BZ326" s="64"/>
      <c r="CA326" s="64"/>
      <c r="CB326" s="64"/>
      <c r="CC326" s="64"/>
      <c r="CD326" s="64"/>
      <c r="CE326" s="64" t="s">
        <v>7600</v>
      </c>
      <c r="CF326" s="67" t="s">
        <v>3791</v>
      </c>
      <c r="CG326" s="64" t="s">
        <v>5402</v>
      </c>
      <c r="CH326" s="64" t="s">
        <v>5402</v>
      </c>
      <c r="CI326" s="64" t="s">
        <v>90</v>
      </c>
      <c r="CJ326" s="64" t="s">
        <v>111</v>
      </c>
      <c r="CK326" s="58" t="s">
        <v>3792</v>
      </c>
      <c r="CL326" s="64" t="str">
        <f t="shared" ca="1" si="4"/>
        <v>18 Tahun 9 Bulan 23 Hari</v>
      </c>
      <c r="CM32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Kp.Buntis RT/RW 02/14 Desa/Kelurahan Cimenyan Kecamatan Cimenyan Bandung Jawa Barat 40197</v>
      </c>
    </row>
    <row r="327" spans="1:91" ht="24.95" customHeight="1">
      <c r="A327" s="58">
        <f>SUBTOTAL(3,N$8:Table2[[#This Row],[Nama lengkap]])</f>
        <v>320</v>
      </c>
      <c r="B327" s="58" t="s">
        <v>86</v>
      </c>
      <c r="C327" s="58">
        <v>2019</v>
      </c>
      <c r="D327" s="58"/>
      <c r="E327" s="58">
        <v>5</v>
      </c>
      <c r="F327" s="58" t="s">
        <v>3783</v>
      </c>
      <c r="G327" s="32" t="s">
        <v>2513</v>
      </c>
      <c r="H327" s="32" t="s">
        <v>2513</v>
      </c>
      <c r="I327" s="32" t="s">
        <v>2513</v>
      </c>
      <c r="J327" s="32"/>
      <c r="K327" s="32"/>
      <c r="L327" s="32"/>
      <c r="M327" s="58">
        <v>19200189</v>
      </c>
      <c r="N327" s="31" t="s">
        <v>8849</v>
      </c>
      <c r="O327" s="31"/>
      <c r="P327" s="32" t="s">
        <v>3804</v>
      </c>
      <c r="Q327" s="32" t="s">
        <v>3805</v>
      </c>
      <c r="R327" s="64" t="s">
        <v>90</v>
      </c>
      <c r="S327" s="69" t="s">
        <v>3806</v>
      </c>
      <c r="T327" s="47" t="s">
        <v>92</v>
      </c>
      <c r="U327" s="58">
        <v>1</v>
      </c>
      <c r="V327" s="58">
        <v>1</v>
      </c>
      <c r="W327" s="47" t="s">
        <v>207</v>
      </c>
      <c r="X327" s="64"/>
      <c r="Y327" s="64" t="s">
        <v>1012</v>
      </c>
      <c r="Z327" s="64" t="s">
        <v>986</v>
      </c>
      <c r="AA327" s="64" t="s">
        <v>1028</v>
      </c>
      <c r="AB327" s="64"/>
      <c r="AC327" s="64" t="s">
        <v>689</v>
      </c>
      <c r="AD327" s="64" t="s">
        <v>208</v>
      </c>
      <c r="AE327" s="67" t="s">
        <v>3807</v>
      </c>
      <c r="AF327" s="67" t="s">
        <v>8077</v>
      </c>
      <c r="AG327" s="67" t="s">
        <v>8572</v>
      </c>
      <c r="AH327" s="64" t="s">
        <v>2222</v>
      </c>
      <c r="AI327" s="64"/>
      <c r="AJ327" s="69"/>
      <c r="AK327" s="67"/>
      <c r="AL327" s="64"/>
      <c r="AM327" s="67"/>
      <c r="AN327" s="67"/>
      <c r="AO327" s="64"/>
      <c r="AP327" s="64" t="s">
        <v>3465</v>
      </c>
      <c r="AQ327" s="32" t="s">
        <v>1369</v>
      </c>
      <c r="AR327" s="64" t="s">
        <v>3808</v>
      </c>
      <c r="AS327" s="64" t="s">
        <v>3809</v>
      </c>
      <c r="AT327" s="64" t="s">
        <v>163</v>
      </c>
      <c r="AU327" s="59" t="s">
        <v>111</v>
      </c>
      <c r="AV327" s="67" t="s">
        <v>3810</v>
      </c>
      <c r="AW327" s="67" t="s">
        <v>8077</v>
      </c>
      <c r="AX327" s="64" t="s">
        <v>2222</v>
      </c>
      <c r="AY327" s="64" t="s">
        <v>90</v>
      </c>
      <c r="AZ327" s="125">
        <v>30022</v>
      </c>
      <c r="BA327" s="67" t="s">
        <v>3811</v>
      </c>
      <c r="BB327" s="64" t="s">
        <v>845</v>
      </c>
      <c r="BC327" s="67" t="s">
        <v>800</v>
      </c>
      <c r="BD327" s="67"/>
      <c r="BE327" s="64"/>
      <c r="BF327" s="64"/>
      <c r="BG327" s="64" t="s">
        <v>3465</v>
      </c>
      <c r="BH327" s="67" t="s">
        <v>1369</v>
      </c>
      <c r="BI327" s="64" t="s">
        <v>3812</v>
      </c>
      <c r="BJ327" s="40" t="s">
        <v>3809</v>
      </c>
      <c r="BK327" s="64" t="s">
        <v>163</v>
      </c>
      <c r="BL327" s="67" t="s">
        <v>156</v>
      </c>
      <c r="BM327" s="67" t="s">
        <v>3810</v>
      </c>
      <c r="BN327" s="67"/>
      <c r="BO327" s="64" t="s">
        <v>701</v>
      </c>
      <c r="BP327" s="64"/>
      <c r="BQ327" s="135"/>
      <c r="BR327" s="67"/>
      <c r="BS327" s="64"/>
      <c r="BT327" s="67"/>
      <c r="BU327" s="67"/>
      <c r="BV327" s="64"/>
      <c r="BW327" s="64"/>
      <c r="BX327" s="67"/>
      <c r="BY327" s="64"/>
      <c r="BZ327" s="64"/>
      <c r="CA327" s="64"/>
      <c r="CB327" s="64"/>
      <c r="CC327" s="64"/>
      <c r="CD327" s="64"/>
      <c r="CE327" s="64" t="s">
        <v>7601</v>
      </c>
      <c r="CF327" s="67" t="s">
        <v>1369</v>
      </c>
      <c r="CG327" s="64" t="s">
        <v>7252</v>
      </c>
      <c r="CH327" s="64" t="s">
        <v>7253</v>
      </c>
      <c r="CI327" s="64" t="s">
        <v>155</v>
      </c>
      <c r="CJ327" s="64" t="s">
        <v>111</v>
      </c>
      <c r="CK327" s="58" t="s">
        <v>3810</v>
      </c>
      <c r="CL327" s="64" t="str">
        <f t="shared" ca="1" si="4"/>
        <v>22 Tahun 4 Bulan 5 Hari</v>
      </c>
      <c r="CM32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Kp.Neglasari RT/RW 02/02 Desa/Kelurahan Cicangkanggirang Kecamatan Sindang Kerta Bandung Barat Jawa Barat 40563</v>
      </c>
    </row>
    <row r="328" spans="1:91" ht="24.95" customHeight="1">
      <c r="A328" s="58">
        <f>SUBTOTAL(3,N$8:Table2[[#This Row],[Nama lengkap]])</f>
        <v>321</v>
      </c>
      <c r="B328" s="58" t="s">
        <v>86</v>
      </c>
      <c r="C328" s="58">
        <v>2020</v>
      </c>
      <c r="D328" s="58" t="s">
        <v>8936</v>
      </c>
      <c r="E328" s="58">
        <v>5</v>
      </c>
      <c r="F328" s="58" t="s">
        <v>3783</v>
      </c>
      <c r="G328" s="32" t="s">
        <v>2513</v>
      </c>
      <c r="H328" s="32" t="s">
        <v>2513</v>
      </c>
      <c r="I328" s="32" t="s">
        <v>2513</v>
      </c>
      <c r="J328" s="32"/>
      <c r="K328" s="32"/>
      <c r="L328" s="32"/>
      <c r="M328" s="58">
        <v>20210245</v>
      </c>
      <c r="N328" s="31" t="s">
        <v>8850</v>
      </c>
      <c r="O328" s="31"/>
      <c r="P328" s="32" t="s">
        <v>3814</v>
      </c>
      <c r="Q328" s="32" t="s">
        <v>3815</v>
      </c>
      <c r="R328" s="64" t="s">
        <v>90</v>
      </c>
      <c r="S328" s="69" t="s">
        <v>3816</v>
      </c>
      <c r="T328" s="47" t="s">
        <v>92</v>
      </c>
      <c r="U328" s="58">
        <v>1</v>
      </c>
      <c r="V328" s="58">
        <v>3</v>
      </c>
      <c r="W328" s="47" t="s">
        <v>207</v>
      </c>
      <c r="X328" s="64" t="s">
        <v>3817</v>
      </c>
      <c r="Y328" s="64" t="s">
        <v>1012</v>
      </c>
      <c r="Z328" s="64" t="s">
        <v>3818</v>
      </c>
      <c r="AA328" s="64" t="s">
        <v>96</v>
      </c>
      <c r="AB328" s="64" t="s">
        <v>689</v>
      </c>
      <c r="AC328" s="64" t="s">
        <v>208</v>
      </c>
      <c r="AD328" s="64" t="s">
        <v>208</v>
      </c>
      <c r="AE328" s="67" t="s">
        <v>3819</v>
      </c>
      <c r="AF328" s="67" t="s">
        <v>8573</v>
      </c>
      <c r="AG328" s="67" t="s">
        <v>8573</v>
      </c>
      <c r="AH328" s="64" t="s">
        <v>691</v>
      </c>
      <c r="AI328" s="64" t="s">
        <v>90</v>
      </c>
      <c r="AJ328" s="69">
        <v>31052</v>
      </c>
      <c r="AK328" s="67" t="s">
        <v>3820</v>
      </c>
      <c r="AL328" s="64" t="s">
        <v>114</v>
      </c>
      <c r="AM328" s="67" t="s">
        <v>800</v>
      </c>
      <c r="AN328" s="67"/>
      <c r="AO328" s="64"/>
      <c r="AP328" s="64" t="s">
        <v>3821</v>
      </c>
      <c r="AQ328" s="32" t="s">
        <v>1254</v>
      </c>
      <c r="AR328" s="64" t="s">
        <v>3822</v>
      </c>
      <c r="AS328" s="64" t="s">
        <v>1529</v>
      </c>
      <c r="AT328" s="64" t="s">
        <v>141</v>
      </c>
      <c r="AU328" s="59" t="s">
        <v>111</v>
      </c>
      <c r="AV328" s="67" t="s">
        <v>3823</v>
      </c>
      <c r="AW328" s="67" t="s">
        <v>5403</v>
      </c>
      <c r="AX328" s="64" t="s">
        <v>691</v>
      </c>
      <c r="AY328" s="64" t="s">
        <v>90</v>
      </c>
      <c r="AZ328" s="125">
        <v>31610</v>
      </c>
      <c r="BA328" s="67" t="s">
        <v>3824</v>
      </c>
      <c r="BB328" s="64" t="s">
        <v>845</v>
      </c>
      <c r="BC328" s="67" t="s">
        <v>800</v>
      </c>
      <c r="BD328" s="67"/>
      <c r="BE328" s="64"/>
      <c r="BF328" s="64"/>
      <c r="BG328" s="64" t="s">
        <v>3821</v>
      </c>
      <c r="BH328" s="67" t="s">
        <v>1254</v>
      </c>
      <c r="BI328" s="64" t="s">
        <v>3822</v>
      </c>
      <c r="BJ328" s="40" t="s">
        <v>1529</v>
      </c>
      <c r="BK328" s="64" t="s">
        <v>141</v>
      </c>
      <c r="BL328" s="67" t="s">
        <v>156</v>
      </c>
      <c r="BM328" s="67" t="s">
        <v>3823</v>
      </c>
      <c r="BN328" s="67"/>
      <c r="BO328" s="64" t="s">
        <v>701</v>
      </c>
      <c r="BP328" s="64"/>
      <c r="BQ328" s="135"/>
      <c r="BR328" s="67"/>
      <c r="BS328" s="64"/>
      <c r="BT328" s="67"/>
      <c r="BU328" s="67"/>
      <c r="BV328" s="64"/>
      <c r="BW328" s="64"/>
      <c r="BX328" s="67"/>
      <c r="BY328" s="64"/>
      <c r="BZ328" s="64"/>
      <c r="CA328" s="64"/>
      <c r="CB328" s="64"/>
      <c r="CC328" s="64"/>
      <c r="CD328" s="64"/>
      <c r="CE328" s="64" t="s">
        <v>7602</v>
      </c>
      <c r="CF328" s="67" t="s">
        <v>1254</v>
      </c>
      <c r="CG328" s="64" t="s">
        <v>7254</v>
      </c>
      <c r="CH328" s="64" t="s">
        <v>4835</v>
      </c>
      <c r="CI328" s="64" t="s">
        <v>90</v>
      </c>
      <c r="CJ328" s="64" t="s">
        <v>111</v>
      </c>
      <c r="CK328" s="58" t="s">
        <v>3823</v>
      </c>
      <c r="CL328" s="64" t="str">
        <f t="shared" ref="CL328:CL391" ca="1" si="5">DATEDIF(S328,NOW(),"Y")&amp;" Tahun " &amp;DATEDIF(S328,NOW(),"YM")&amp;" Bulan " &amp;DATEDIF(S328,NOW(),"MD")&amp;" Hari"</f>
        <v>18 Tahun 3 Bulan 28 Hari</v>
      </c>
      <c r="CM32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Kp.Mekarsari RT/RW 01/13 Desa/Kelurahan Mangunjaya Kecamatan Arjasari Bandung Jawa Barat 40379</v>
      </c>
    </row>
    <row r="329" spans="1:91" ht="24.95" customHeight="1">
      <c r="A329" s="58">
        <f>SUBTOTAL(3,N$8:Table2[[#This Row],[Nama lengkap]])</f>
        <v>322</v>
      </c>
      <c r="B329" s="58" t="s">
        <v>86</v>
      </c>
      <c r="C329" s="58">
        <v>2020</v>
      </c>
      <c r="D329" s="58" t="s">
        <v>8936</v>
      </c>
      <c r="E329" s="58">
        <v>5</v>
      </c>
      <c r="F329" s="58" t="s">
        <v>3783</v>
      </c>
      <c r="G329" s="32" t="s">
        <v>2513</v>
      </c>
      <c r="H329" s="32" t="s">
        <v>2513</v>
      </c>
      <c r="I329" s="32" t="s">
        <v>2513</v>
      </c>
      <c r="J329" s="32"/>
      <c r="K329" s="32"/>
      <c r="L329" s="32"/>
      <c r="M329" s="58">
        <v>20210244</v>
      </c>
      <c r="N329" s="31" t="s">
        <v>6098</v>
      </c>
      <c r="O329" s="31"/>
      <c r="P329" s="32" t="s">
        <v>3826</v>
      </c>
      <c r="Q329" s="32" t="s">
        <v>3827</v>
      </c>
      <c r="R329" s="64" t="s">
        <v>90</v>
      </c>
      <c r="S329" s="69" t="s">
        <v>3828</v>
      </c>
      <c r="T329" s="47" t="s">
        <v>92</v>
      </c>
      <c r="U329" s="58">
        <v>3</v>
      </c>
      <c r="V329" s="58">
        <v>2</v>
      </c>
      <c r="W329" s="47" t="s">
        <v>207</v>
      </c>
      <c r="X329" s="64" t="s">
        <v>303</v>
      </c>
      <c r="Y329" s="64" t="s">
        <v>1524</v>
      </c>
      <c r="Z329" s="64" t="s">
        <v>2868</v>
      </c>
      <c r="AA329" s="64" t="s">
        <v>1028</v>
      </c>
      <c r="AB329" s="64" t="s">
        <v>689</v>
      </c>
      <c r="AC329" s="64" t="s">
        <v>208</v>
      </c>
      <c r="AD329" s="64" t="s">
        <v>208</v>
      </c>
      <c r="AE329" s="67" t="s">
        <v>3829</v>
      </c>
      <c r="AF329" s="67" t="s">
        <v>8574</v>
      </c>
      <c r="AG329" s="67" t="s">
        <v>8574</v>
      </c>
      <c r="AH329" s="64" t="s">
        <v>691</v>
      </c>
      <c r="AI329" s="64" t="s">
        <v>90</v>
      </c>
      <c r="AJ329" s="69">
        <v>25296</v>
      </c>
      <c r="AK329" s="67" t="s">
        <v>3830</v>
      </c>
      <c r="AL329" s="64" t="s">
        <v>289</v>
      </c>
      <c r="AM329" s="67" t="s">
        <v>700</v>
      </c>
      <c r="AN329" s="67"/>
      <c r="AO329" s="64"/>
      <c r="AP329" s="64" t="s">
        <v>3831</v>
      </c>
      <c r="AQ329" s="32" t="s">
        <v>3832</v>
      </c>
      <c r="AR329" s="64" t="s">
        <v>3833</v>
      </c>
      <c r="AS329" s="64" t="s">
        <v>263</v>
      </c>
      <c r="AT329" s="64" t="s">
        <v>141</v>
      </c>
      <c r="AU329" s="59" t="s">
        <v>111</v>
      </c>
      <c r="AV329" s="67" t="s">
        <v>3834</v>
      </c>
      <c r="AW329" s="67" t="s">
        <v>8078</v>
      </c>
      <c r="AX329" s="64" t="s">
        <v>691</v>
      </c>
      <c r="AY329" s="64" t="s">
        <v>90</v>
      </c>
      <c r="AZ329" s="125">
        <v>26492</v>
      </c>
      <c r="BA329" s="67" t="s">
        <v>3835</v>
      </c>
      <c r="BB329" s="64" t="s">
        <v>845</v>
      </c>
      <c r="BC329" s="67" t="s">
        <v>693</v>
      </c>
      <c r="BD329" s="67"/>
      <c r="BE329" s="64"/>
      <c r="BF329" s="64"/>
      <c r="BG329" s="64" t="s">
        <v>3831</v>
      </c>
      <c r="BH329" s="67" t="s">
        <v>3832</v>
      </c>
      <c r="BI329" s="64" t="s">
        <v>3833</v>
      </c>
      <c r="BJ329" s="40" t="s">
        <v>263</v>
      </c>
      <c r="BK329" s="64" t="s">
        <v>141</v>
      </c>
      <c r="BL329" s="67" t="s">
        <v>156</v>
      </c>
      <c r="BM329" s="67" t="s">
        <v>3834</v>
      </c>
      <c r="BN329" s="67"/>
      <c r="BO329" s="64" t="s">
        <v>701</v>
      </c>
      <c r="BP329" s="64"/>
      <c r="BQ329" s="135"/>
      <c r="BR329" s="67"/>
      <c r="BS329" s="64"/>
      <c r="BT329" s="67"/>
      <c r="BU329" s="67"/>
      <c r="BV329" s="64"/>
      <c r="BW329" s="64"/>
      <c r="BX329" s="67"/>
      <c r="BY329" s="64"/>
      <c r="BZ329" s="64"/>
      <c r="CA329" s="64"/>
      <c r="CB329" s="64"/>
      <c r="CC329" s="64"/>
      <c r="CD329" s="64"/>
      <c r="CE329" s="64" t="s">
        <v>7603</v>
      </c>
      <c r="CF329" s="67" t="s">
        <v>3832</v>
      </c>
      <c r="CG329" s="64" t="s">
        <v>7255</v>
      </c>
      <c r="CH329" s="64" t="s">
        <v>6984</v>
      </c>
      <c r="CI329" s="64" t="s">
        <v>90</v>
      </c>
      <c r="CJ329" s="64" t="s">
        <v>111</v>
      </c>
      <c r="CK329" s="58" t="s">
        <v>3834</v>
      </c>
      <c r="CL329" s="64" t="str">
        <f t="shared" ca="1" si="5"/>
        <v>21 Tahun 3 Bulan 7 Hari</v>
      </c>
      <c r="CM32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Kp.Pasirkoja RT/RW 06/05 Desa/Kelurahan Sukahaji Kecamatan Babakan Ciparay Bandung Jawa Barat 40221</v>
      </c>
    </row>
    <row r="330" spans="1:91" ht="24.95" customHeight="1">
      <c r="A330" s="58">
        <f>SUBTOTAL(3,N$8:Table2[[#This Row],[Nama lengkap]])</f>
        <v>323</v>
      </c>
      <c r="B330" s="58" t="s">
        <v>86</v>
      </c>
      <c r="C330" s="58">
        <v>2019</v>
      </c>
      <c r="D330" s="58"/>
      <c r="E330" s="58">
        <v>5</v>
      </c>
      <c r="F330" s="58" t="s">
        <v>3783</v>
      </c>
      <c r="G330" s="32" t="s">
        <v>2513</v>
      </c>
      <c r="H330" s="32" t="s">
        <v>2513</v>
      </c>
      <c r="I330" s="32" t="s">
        <v>2513</v>
      </c>
      <c r="J330" s="32"/>
      <c r="K330" s="32"/>
      <c r="L330" s="32"/>
      <c r="M330" s="58">
        <v>19200196</v>
      </c>
      <c r="N330" s="31" t="s">
        <v>6099</v>
      </c>
      <c r="O330" s="31"/>
      <c r="P330" s="32" t="s">
        <v>3837</v>
      </c>
      <c r="Q330" s="32" t="s">
        <v>3838</v>
      </c>
      <c r="R330" s="64" t="s">
        <v>90</v>
      </c>
      <c r="S330" s="69" t="s">
        <v>3839</v>
      </c>
      <c r="T330" s="47" t="s">
        <v>92</v>
      </c>
      <c r="U330" s="58">
        <v>1</v>
      </c>
      <c r="V330" s="58">
        <v>3</v>
      </c>
      <c r="W330" s="47" t="s">
        <v>207</v>
      </c>
      <c r="X330" s="59"/>
      <c r="Y330" s="64"/>
      <c r="Z330" s="64"/>
      <c r="AA330" s="64" t="s">
        <v>96</v>
      </c>
      <c r="AB330" s="64" t="s">
        <v>689</v>
      </c>
      <c r="AC330" s="64" t="s">
        <v>208</v>
      </c>
      <c r="AD330" s="64" t="s">
        <v>208</v>
      </c>
      <c r="AE330" s="67" t="s">
        <v>3840</v>
      </c>
      <c r="AF330" s="67" t="s">
        <v>8575</v>
      </c>
      <c r="AG330" s="67" t="s">
        <v>8575</v>
      </c>
      <c r="AH330" s="64" t="s">
        <v>691</v>
      </c>
      <c r="AI330" s="64" t="s">
        <v>90</v>
      </c>
      <c r="AJ330" s="69">
        <v>29409</v>
      </c>
      <c r="AK330" s="67" t="s">
        <v>3841</v>
      </c>
      <c r="AL330" s="64" t="s">
        <v>602</v>
      </c>
      <c r="AM330" s="67" t="s">
        <v>1702</v>
      </c>
      <c r="AN330" s="67"/>
      <c r="AO330" s="64"/>
      <c r="AP330" s="64" t="s">
        <v>3842</v>
      </c>
      <c r="AQ330" s="32" t="s">
        <v>3843</v>
      </c>
      <c r="AR330" s="64" t="s">
        <v>1923</v>
      </c>
      <c r="AS330" s="64" t="s">
        <v>1924</v>
      </c>
      <c r="AT330" s="64" t="s">
        <v>141</v>
      </c>
      <c r="AU330" s="59" t="s">
        <v>111</v>
      </c>
      <c r="AV330" s="67" t="s">
        <v>3844</v>
      </c>
      <c r="AW330" s="67" t="s">
        <v>8079</v>
      </c>
      <c r="AX330" s="64" t="s">
        <v>691</v>
      </c>
      <c r="AY330" s="64" t="s">
        <v>90</v>
      </c>
      <c r="AZ330" s="125">
        <v>31182</v>
      </c>
      <c r="BA330" s="67" t="s">
        <v>3845</v>
      </c>
      <c r="BB330" s="64" t="s">
        <v>845</v>
      </c>
      <c r="BC330" s="67" t="s">
        <v>800</v>
      </c>
      <c r="BD330" s="67"/>
      <c r="BE330" s="64"/>
      <c r="BF330" s="64"/>
      <c r="BG330" s="64" t="s">
        <v>3842</v>
      </c>
      <c r="BH330" s="67" t="s">
        <v>3843</v>
      </c>
      <c r="BI330" s="64" t="s">
        <v>1923</v>
      </c>
      <c r="BJ330" s="40" t="s">
        <v>1924</v>
      </c>
      <c r="BK330" s="64" t="s">
        <v>141</v>
      </c>
      <c r="BL330" s="67" t="s">
        <v>156</v>
      </c>
      <c r="BM330" s="67" t="s">
        <v>3844</v>
      </c>
      <c r="BN330" s="67"/>
      <c r="BO330" s="64" t="s">
        <v>701</v>
      </c>
      <c r="BP330" s="64"/>
      <c r="BQ330" s="135"/>
      <c r="BR330" s="67"/>
      <c r="BS330" s="64"/>
      <c r="BT330" s="67"/>
      <c r="BU330" s="67"/>
      <c r="BV330" s="64"/>
      <c r="BW330" s="64"/>
      <c r="BX330" s="67"/>
      <c r="BY330" s="64"/>
      <c r="BZ330" s="64"/>
      <c r="CA330" s="64"/>
      <c r="CB330" s="64"/>
      <c r="CC330" s="64"/>
      <c r="CD330" s="64"/>
      <c r="CE330" s="64" t="s">
        <v>7604</v>
      </c>
      <c r="CF330" s="67" t="s">
        <v>3843</v>
      </c>
      <c r="CG330" s="64" t="s">
        <v>7122</v>
      </c>
      <c r="CH330" s="64" t="s">
        <v>7123</v>
      </c>
      <c r="CI330" s="64" t="s">
        <v>90</v>
      </c>
      <c r="CJ330" s="64" t="s">
        <v>111</v>
      </c>
      <c r="CK330" s="58" t="s">
        <v>3844</v>
      </c>
      <c r="CL330" s="64" t="str">
        <f t="shared" ca="1" si="5"/>
        <v>18 Tahun 6 Bulan 18 Hari</v>
      </c>
      <c r="CM33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Jl.Sindangsari Iii No.9 RT/RW 07/09 Desa/Kelurahan Antapani Wetan Kecamatan Antapani Bandung Jawa Barat 40291</v>
      </c>
    </row>
    <row r="331" spans="1:91" ht="24.95" customHeight="1">
      <c r="A331" s="58">
        <f>SUBTOTAL(3,N$8:Table2[[#This Row],[Nama lengkap]])</f>
        <v>324</v>
      </c>
      <c r="B331" s="58" t="s">
        <v>86</v>
      </c>
      <c r="C331" s="58">
        <v>2019</v>
      </c>
      <c r="D331" s="58"/>
      <c r="E331" s="58">
        <v>5</v>
      </c>
      <c r="F331" s="58" t="s">
        <v>3783</v>
      </c>
      <c r="G331" s="32" t="s">
        <v>2513</v>
      </c>
      <c r="H331" s="32" t="s">
        <v>2513</v>
      </c>
      <c r="I331" s="32" t="s">
        <v>2513</v>
      </c>
      <c r="J331" s="32"/>
      <c r="K331" s="32"/>
      <c r="L331" s="32"/>
      <c r="M331" s="58">
        <v>19200204</v>
      </c>
      <c r="N331" s="31" t="s">
        <v>8851</v>
      </c>
      <c r="O331" s="31"/>
      <c r="P331" s="32" t="s">
        <v>3853</v>
      </c>
      <c r="Q331" s="32" t="s">
        <v>3854</v>
      </c>
      <c r="R331" s="64" t="s">
        <v>122</v>
      </c>
      <c r="S331" s="69" t="s">
        <v>3855</v>
      </c>
      <c r="T331" s="47" t="s">
        <v>92</v>
      </c>
      <c r="U331" s="58">
        <v>2</v>
      </c>
      <c r="V331" s="58">
        <v>2</v>
      </c>
      <c r="W331" s="47" t="s">
        <v>207</v>
      </c>
      <c r="X331" s="59" t="s">
        <v>93</v>
      </c>
      <c r="Y331" s="64" t="s">
        <v>3451</v>
      </c>
      <c r="Z331" s="64" t="s">
        <v>707</v>
      </c>
      <c r="AA331" s="64" t="s">
        <v>96</v>
      </c>
      <c r="AB331" s="64" t="s">
        <v>689</v>
      </c>
      <c r="AC331" s="64" t="s">
        <v>208</v>
      </c>
      <c r="AD331" s="64" t="s">
        <v>208</v>
      </c>
      <c r="AE331" s="67" t="s">
        <v>3856</v>
      </c>
      <c r="AF331" s="67" t="s">
        <v>8576</v>
      </c>
      <c r="AG331" s="67" t="s">
        <v>8576</v>
      </c>
      <c r="AH331" s="64" t="s">
        <v>691</v>
      </c>
      <c r="AI331" s="64" t="s">
        <v>122</v>
      </c>
      <c r="AJ331" s="69">
        <v>26516</v>
      </c>
      <c r="AK331" s="67" t="s">
        <v>3857</v>
      </c>
      <c r="AL331" s="64" t="s">
        <v>114</v>
      </c>
      <c r="AM331" s="67" t="s">
        <v>800</v>
      </c>
      <c r="AN331" s="67"/>
      <c r="AO331" s="64"/>
      <c r="AP331" s="64" t="s">
        <v>3858</v>
      </c>
      <c r="AQ331" s="32" t="s">
        <v>1441</v>
      </c>
      <c r="AR331" s="64" t="s">
        <v>1752</v>
      </c>
      <c r="AS331" s="64" t="s">
        <v>1324</v>
      </c>
      <c r="AT331" s="64" t="s">
        <v>1090</v>
      </c>
      <c r="AU331" s="59" t="s">
        <v>111</v>
      </c>
      <c r="AV331" s="67" t="s">
        <v>3859</v>
      </c>
      <c r="AW331" s="67" t="s">
        <v>8080</v>
      </c>
      <c r="AX331" s="64" t="s">
        <v>691</v>
      </c>
      <c r="AY331" s="64" t="s">
        <v>90</v>
      </c>
      <c r="AZ331" s="125">
        <v>28828</v>
      </c>
      <c r="BA331" s="67" t="s">
        <v>3860</v>
      </c>
      <c r="BB331" s="64" t="s">
        <v>845</v>
      </c>
      <c r="BC331" s="67" t="s">
        <v>800</v>
      </c>
      <c r="BD331" s="67"/>
      <c r="BE331" s="64"/>
      <c r="BF331" s="64"/>
      <c r="BG331" s="64" t="s">
        <v>3858</v>
      </c>
      <c r="BH331" s="67" t="s">
        <v>1441</v>
      </c>
      <c r="BI331" s="64" t="s">
        <v>1752</v>
      </c>
      <c r="BJ331" s="40" t="s">
        <v>1324</v>
      </c>
      <c r="BK331" s="64" t="s">
        <v>1090</v>
      </c>
      <c r="BL331" s="67" t="s">
        <v>156</v>
      </c>
      <c r="BM331" s="67" t="s">
        <v>3859</v>
      </c>
      <c r="BN331" s="67"/>
      <c r="BO331" s="64" t="s">
        <v>701</v>
      </c>
      <c r="BP331" s="64"/>
      <c r="BQ331" s="135"/>
      <c r="BR331" s="67"/>
      <c r="BS331" s="64"/>
      <c r="BT331" s="67"/>
      <c r="BU331" s="67"/>
      <c r="BV331" s="64"/>
      <c r="BW331" s="64"/>
      <c r="BX331" s="67"/>
      <c r="BY331" s="64"/>
      <c r="BZ331" s="64"/>
      <c r="CA331" s="64"/>
      <c r="CB331" s="64"/>
      <c r="CC331" s="64"/>
      <c r="CD331" s="64"/>
      <c r="CE331" s="64" t="s">
        <v>7605</v>
      </c>
      <c r="CF331" s="67" t="s">
        <v>1441</v>
      </c>
      <c r="CG331" s="64" t="s">
        <v>7109</v>
      </c>
      <c r="CH331" s="64" t="s">
        <v>134</v>
      </c>
      <c r="CI331" s="64" t="s">
        <v>122</v>
      </c>
      <c r="CJ331" s="64" t="s">
        <v>111</v>
      </c>
      <c r="CK331" s="58" t="s">
        <v>3859</v>
      </c>
      <c r="CL331" s="64" t="str">
        <f t="shared" ca="1" si="5"/>
        <v>19 Tahun 3 Bulan 15 Hari</v>
      </c>
      <c r="CM33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Sukamulya RT/RW 01/06 Desa/Kelurahan Jatihurip Kecamatan Sumedang Utara Sumedang Jawa Barat 45352</v>
      </c>
    </row>
    <row r="332" spans="1:91" ht="24.95" customHeight="1">
      <c r="A332" s="58">
        <f>SUBTOTAL(3,N$8:Table2[[#This Row],[Nama lengkap]])</f>
        <v>325</v>
      </c>
      <c r="B332" s="58" t="s">
        <v>86</v>
      </c>
      <c r="C332" s="58">
        <v>2020</v>
      </c>
      <c r="D332" s="58"/>
      <c r="E332" s="58">
        <v>5</v>
      </c>
      <c r="F332" s="58" t="s">
        <v>3783</v>
      </c>
      <c r="G332" s="32" t="s">
        <v>2513</v>
      </c>
      <c r="H332" s="32" t="s">
        <v>2513</v>
      </c>
      <c r="I332" s="32" t="s">
        <v>2513</v>
      </c>
      <c r="J332" s="32"/>
      <c r="K332" s="32"/>
      <c r="L332" s="32"/>
      <c r="M332" s="58">
        <v>20210240</v>
      </c>
      <c r="N332" s="31" t="s">
        <v>8852</v>
      </c>
      <c r="O332" s="31"/>
      <c r="P332" s="32" t="s">
        <v>3861</v>
      </c>
      <c r="Q332" s="32" t="s">
        <v>3862</v>
      </c>
      <c r="R332" s="64" t="s">
        <v>122</v>
      </c>
      <c r="S332" s="69" t="s">
        <v>3863</v>
      </c>
      <c r="T332" s="47" t="s">
        <v>92</v>
      </c>
      <c r="U332" s="58">
        <v>2</v>
      </c>
      <c r="V332" s="58">
        <v>2</v>
      </c>
      <c r="W332" s="47" t="s">
        <v>207</v>
      </c>
      <c r="X332" s="64" t="s">
        <v>93</v>
      </c>
      <c r="Y332" s="64" t="s">
        <v>3451</v>
      </c>
      <c r="Z332" s="64" t="s">
        <v>3864</v>
      </c>
      <c r="AA332" s="64" t="s">
        <v>96</v>
      </c>
      <c r="AB332" s="64" t="s">
        <v>689</v>
      </c>
      <c r="AC332" s="64" t="s">
        <v>208</v>
      </c>
      <c r="AD332" s="64" t="s">
        <v>208</v>
      </c>
      <c r="AE332" s="67" t="s">
        <v>3865</v>
      </c>
      <c r="AF332" s="67" t="s">
        <v>8577</v>
      </c>
      <c r="AG332" s="67" t="s">
        <v>8577</v>
      </c>
      <c r="AH332" s="64" t="s">
        <v>691</v>
      </c>
      <c r="AI332" s="64" t="s">
        <v>122</v>
      </c>
      <c r="AJ332" s="69">
        <v>28035</v>
      </c>
      <c r="AK332" s="67" t="s">
        <v>3866</v>
      </c>
      <c r="AL332" s="64" t="s">
        <v>114</v>
      </c>
      <c r="AM332" s="67" t="s">
        <v>700</v>
      </c>
      <c r="AN332" s="67"/>
      <c r="AO332" s="64"/>
      <c r="AP332" s="64" t="s">
        <v>3867</v>
      </c>
      <c r="AQ332" s="32" t="s">
        <v>1009</v>
      </c>
      <c r="AR332" s="64" t="s">
        <v>3868</v>
      </c>
      <c r="AS332" s="64" t="s">
        <v>3663</v>
      </c>
      <c r="AT332" s="64" t="s">
        <v>1090</v>
      </c>
      <c r="AU332" s="59" t="s">
        <v>111</v>
      </c>
      <c r="AV332" s="67" t="s">
        <v>3869</v>
      </c>
      <c r="AW332" s="67" t="s">
        <v>8081</v>
      </c>
      <c r="AX332" s="64" t="s">
        <v>691</v>
      </c>
      <c r="AY332" s="64" t="s">
        <v>426</v>
      </c>
      <c r="AZ332" s="125">
        <v>30641</v>
      </c>
      <c r="BA332" s="67" t="s">
        <v>3870</v>
      </c>
      <c r="BB332" s="64" t="s">
        <v>845</v>
      </c>
      <c r="BC332" s="67" t="s">
        <v>800</v>
      </c>
      <c r="BD332" s="67"/>
      <c r="BE332" s="64"/>
      <c r="BF332" s="64"/>
      <c r="BG332" s="64" t="s">
        <v>3867</v>
      </c>
      <c r="BH332" s="67" t="s">
        <v>1009</v>
      </c>
      <c r="BI332" s="64" t="s">
        <v>3868</v>
      </c>
      <c r="BJ332" s="40" t="s">
        <v>3663</v>
      </c>
      <c r="BK332" s="64" t="s">
        <v>1090</v>
      </c>
      <c r="BL332" s="67" t="s">
        <v>156</v>
      </c>
      <c r="BM332" s="67" t="s">
        <v>3869</v>
      </c>
      <c r="BN332" s="67"/>
      <c r="BO332" s="64" t="s">
        <v>701</v>
      </c>
      <c r="BP332" s="64"/>
      <c r="BQ332" s="135"/>
      <c r="BR332" s="67"/>
      <c r="BS332" s="64"/>
      <c r="BT332" s="67"/>
      <c r="BU332" s="67"/>
      <c r="BV332" s="64"/>
      <c r="BW332" s="64"/>
      <c r="BX332" s="67"/>
      <c r="BY332" s="64"/>
      <c r="BZ332" s="64"/>
      <c r="CA332" s="64"/>
      <c r="CB332" s="64"/>
      <c r="CC332" s="64"/>
      <c r="CD332" s="64"/>
      <c r="CE332" s="64" t="s">
        <v>7606</v>
      </c>
      <c r="CF332" s="67" t="s">
        <v>1009</v>
      </c>
      <c r="CG332" s="64" t="s">
        <v>7256</v>
      </c>
      <c r="CH332" s="64" t="s">
        <v>6625</v>
      </c>
      <c r="CI332" s="64" t="s">
        <v>122</v>
      </c>
      <c r="CJ332" s="64" t="s">
        <v>111</v>
      </c>
      <c r="CK332" s="58" t="s">
        <v>3869</v>
      </c>
      <c r="CL332" s="64" t="str">
        <f t="shared" ca="1" si="5"/>
        <v>17 Tahun 10 Bulan 13 Hari</v>
      </c>
      <c r="CM33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Tagog RT/RW 03/02 Desa/Kelurahan Sukaluyu Kecamatan Ganeas Sumedang Jawa Barat 45356</v>
      </c>
    </row>
    <row r="333" spans="1:91" ht="24.95" customHeight="1">
      <c r="A333" s="58">
        <f>SUBTOTAL(3,N$8:Table2[[#This Row],[Nama lengkap]])</f>
        <v>326</v>
      </c>
      <c r="B333" s="58" t="s">
        <v>86</v>
      </c>
      <c r="C333" s="58">
        <v>2019</v>
      </c>
      <c r="D333" s="58"/>
      <c r="E333" s="58">
        <v>5</v>
      </c>
      <c r="F333" s="58" t="s">
        <v>3783</v>
      </c>
      <c r="G333" s="32" t="s">
        <v>2513</v>
      </c>
      <c r="H333" s="32" t="s">
        <v>2513</v>
      </c>
      <c r="I333" s="32" t="s">
        <v>2513</v>
      </c>
      <c r="J333" s="32"/>
      <c r="K333" s="32"/>
      <c r="L333" s="32"/>
      <c r="M333" s="58">
        <v>19200209</v>
      </c>
      <c r="N333" s="31" t="s">
        <v>6102</v>
      </c>
      <c r="O333" s="31"/>
      <c r="P333" s="32" t="s">
        <v>3872</v>
      </c>
      <c r="Q333" s="32" t="s">
        <v>3873</v>
      </c>
      <c r="R333" s="64" t="s">
        <v>90</v>
      </c>
      <c r="S333" s="69" t="s">
        <v>3634</v>
      </c>
      <c r="T333" s="47" t="s">
        <v>92</v>
      </c>
      <c r="U333" s="58">
        <v>1</v>
      </c>
      <c r="V333" s="58">
        <v>2</v>
      </c>
      <c r="W333" s="47" t="s">
        <v>207</v>
      </c>
      <c r="X333" s="59" t="s">
        <v>303</v>
      </c>
      <c r="Y333" s="64" t="s">
        <v>3569</v>
      </c>
      <c r="Z333" s="64" t="s">
        <v>3570</v>
      </c>
      <c r="AA333" s="64" t="s">
        <v>1141</v>
      </c>
      <c r="AB333" s="64"/>
      <c r="AC333" s="64" t="s">
        <v>208</v>
      </c>
      <c r="AD333" s="64" t="s">
        <v>208</v>
      </c>
      <c r="AE333" s="67" t="s">
        <v>3874</v>
      </c>
      <c r="AF333" s="67" t="s">
        <v>8578</v>
      </c>
      <c r="AG333" s="67" t="s">
        <v>8578</v>
      </c>
      <c r="AH333" s="64" t="s">
        <v>691</v>
      </c>
      <c r="AI333" s="64" t="s">
        <v>90</v>
      </c>
      <c r="AJ333" s="69">
        <v>29124</v>
      </c>
      <c r="AK333" s="67" t="s">
        <v>3875</v>
      </c>
      <c r="AL333" s="64" t="s">
        <v>289</v>
      </c>
      <c r="AM333" s="67" t="s">
        <v>700</v>
      </c>
      <c r="AN333" s="67"/>
      <c r="AO333" s="64"/>
      <c r="AP333" s="64" t="s">
        <v>3876</v>
      </c>
      <c r="AQ333" s="32" t="s">
        <v>3340</v>
      </c>
      <c r="AR333" s="64" t="s">
        <v>1482</v>
      </c>
      <c r="AS333" s="64" t="s">
        <v>1019</v>
      </c>
      <c r="AT333" s="64" t="s">
        <v>141</v>
      </c>
      <c r="AU333" s="59" t="s">
        <v>111</v>
      </c>
      <c r="AV333" s="67" t="s">
        <v>3490</v>
      </c>
      <c r="AW333" s="67" t="s">
        <v>8056</v>
      </c>
      <c r="AX333" s="64" t="s">
        <v>691</v>
      </c>
      <c r="AY333" s="64" t="s">
        <v>90</v>
      </c>
      <c r="AZ333" s="125">
        <v>30398</v>
      </c>
      <c r="BA333" s="67" t="s">
        <v>3877</v>
      </c>
      <c r="BB333" s="64" t="s">
        <v>845</v>
      </c>
      <c r="BC333" s="67" t="s">
        <v>800</v>
      </c>
      <c r="BD333" s="67"/>
      <c r="BE333" s="64"/>
      <c r="BF333" s="64"/>
      <c r="BG333" s="64" t="s">
        <v>3876</v>
      </c>
      <c r="BH333" s="67" t="s">
        <v>3340</v>
      </c>
      <c r="BI333" s="64" t="s">
        <v>1482</v>
      </c>
      <c r="BJ333" s="40" t="s">
        <v>1019</v>
      </c>
      <c r="BK333" s="64" t="s">
        <v>141</v>
      </c>
      <c r="BL333" s="67" t="s">
        <v>156</v>
      </c>
      <c r="BM333" s="67" t="s">
        <v>3490</v>
      </c>
      <c r="BN333" s="67"/>
      <c r="BO333" s="64" t="s">
        <v>701</v>
      </c>
      <c r="BP333" s="64"/>
      <c r="BQ333" s="135"/>
      <c r="BR333" s="67"/>
      <c r="BS333" s="64"/>
      <c r="BT333" s="67"/>
      <c r="BU333" s="67"/>
      <c r="BV333" s="64"/>
      <c r="BW333" s="64"/>
      <c r="BX333" s="67"/>
      <c r="BY333" s="64"/>
      <c r="BZ333" s="64"/>
      <c r="CA333" s="64"/>
      <c r="CB333" s="64"/>
      <c r="CC333" s="64"/>
      <c r="CD333" s="64"/>
      <c r="CE333" s="64" t="s">
        <v>7607</v>
      </c>
      <c r="CF333" s="67" t="s">
        <v>3340</v>
      </c>
      <c r="CG333" s="64" t="s">
        <v>7081</v>
      </c>
      <c r="CH333" s="64" t="s">
        <v>6967</v>
      </c>
      <c r="CI333" s="64" t="s">
        <v>90</v>
      </c>
      <c r="CJ333" s="64" t="s">
        <v>111</v>
      </c>
      <c r="CK333" s="58" t="s">
        <v>3490</v>
      </c>
      <c r="CL333" s="64" t="str">
        <f t="shared" ca="1" si="5"/>
        <v>22 Tahun 1 Bulan 28 Hari</v>
      </c>
      <c r="CM33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Mekarjaya RT/RW 03/08 Desa/Kelurahan Jatisari Kecamatan Kutawaringin Bandung Jawa Barat 40951</v>
      </c>
    </row>
    <row r="334" spans="1:91" ht="24.95" customHeight="1">
      <c r="A334" s="58">
        <f>SUBTOTAL(3,N$8:Table2[[#This Row],[Nama lengkap]])</f>
        <v>327</v>
      </c>
      <c r="B334" s="58" t="s">
        <v>86</v>
      </c>
      <c r="C334" s="58">
        <v>2020</v>
      </c>
      <c r="D334" s="58"/>
      <c r="E334" s="58">
        <v>5</v>
      </c>
      <c r="F334" s="58" t="s">
        <v>3783</v>
      </c>
      <c r="G334" s="32" t="s">
        <v>2513</v>
      </c>
      <c r="H334" s="32" t="s">
        <v>2513</v>
      </c>
      <c r="I334" s="32" t="s">
        <v>2513</v>
      </c>
      <c r="J334" s="32"/>
      <c r="K334" s="32"/>
      <c r="L334" s="32"/>
      <c r="M334" s="58">
        <v>20210173</v>
      </c>
      <c r="N334" s="31" t="s">
        <v>6103</v>
      </c>
      <c r="O334" s="31"/>
      <c r="P334" s="32" t="s">
        <v>3879</v>
      </c>
      <c r="Q334" s="32" t="s">
        <v>3880</v>
      </c>
      <c r="R334" s="64" t="s">
        <v>122</v>
      </c>
      <c r="S334" s="69" t="s">
        <v>3881</v>
      </c>
      <c r="T334" s="47" t="s">
        <v>92</v>
      </c>
      <c r="U334" s="58">
        <v>1</v>
      </c>
      <c r="V334" s="58">
        <v>0</v>
      </c>
      <c r="W334" s="47" t="s">
        <v>207</v>
      </c>
      <c r="X334" s="59" t="s">
        <v>432</v>
      </c>
      <c r="Y334" s="64"/>
      <c r="Z334" s="64" t="s">
        <v>3864</v>
      </c>
      <c r="AA334" s="64" t="s">
        <v>1141</v>
      </c>
      <c r="AB334" s="64" t="s">
        <v>689</v>
      </c>
      <c r="AC334" s="64" t="s">
        <v>208</v>
      </c>
      <c r="AD334" s="64" t="s">
        <v>208</v>
      </c>
      <c r="AE334" s="67" t="s">
        <v>3882</v>
      </c>
      <c r="AF334" s="67" t="s">
        <v>8579</v>
      </c>
      <c r="AG334" s="67" t="s">
        <v>8579</v>
      </c>
      <c r="AH334" s="64" t="s">
        <v>691</v>
      </c>
      <c r="AI334" s="64" t="s">
        <v>122</v>
      </c>
      <c r="AJ334" s="69">
        <v>27796</v>
      </c>
      <c r="AK334" s="67" t="s">
        <v>3883</v>
      </c>
      <c r="AL334" s="64" t="s">
        <v>8253</v>
      </c>
      <c r="AM334" s="67" t="s">
        <v>3884</v>
      </c>
      <c r="AN334" s="67"/>
      <c r="AO334" s="64"/>
      <c r="AP334" s="64" t="s">
        <v>3885</v>
      </c>
      <c r="AQ334" s="32" t="s">
        <v>815</v>
      </c>
      <c r="AR334" s="64" t="s">
        <v>1761</v>
      </c>
      <c r="AS334" s="64" t="s">
        <v>1762</v>
      </c>
      <c r="AT334" s="64" t="s">
        <v>1090</v>
      </c>
      <c r="AU334" s="59" t="s">
        <v>111</v>
      </c>
      <c r="AV334" s="67" t="s">
        <v>3886</v>
      </c>
      <c r="AW334" s="67" t="s">
        <v>8082</v>
      </c>
      <c r="AX334" s="64" t="s">
        <v>691</v>
      </c>
      <c r="AY334" s="64" t="s">
        <v>122</v>
      </c>
      <c r="AZ334" s="125">
        <v>30527</v>
      </c>
      <c r="BA334" s="67" t="s">
        <v>3887</v>
      </c>
      <c r="BB334" s="64" t="s">
        <v>845</v>
      </c>
      <c r="BC334" s="67" t="s">
        <v>693</v>
      </c>
      <c r="BD334" s="67"/>
      <c r="BE334" s="64"/>
      <c r="BF334" s="64"/>
      <c r="BG334" s="64" t="s">
        <v>3885</v>
      </c>
      <c r="BH334" s="67" t="s">
        <v>815</v>
      </c>
      <c r="BI334" s="64" t="s">
        <v>1761</v>
      </c>
      <c r="BJ334" s="40" t="s">
        <v>1762</v>
      </c>
      <c r="BK334" s="64" t="s">
        <v>1090</v>
      </c>
      <c r="BL334" s="67" t="s">
        <v>156</v>
      </c>
      <c r="BM334" s="67" t="s">
        <v>3886</v>
      </c>
      <c r="BN334" s="67"/>
      <c r="BO334" s="64" t="s">
        <v>701</v>
      </c>
      <c r="BP334" s="64"/>
      <c r="BQ334" s="135"/>
      <c r="BR334" s="67"/>
      <c r="BS334" s="64"/>
      <c r="BT334" s="67"/>
      <c r="BU334" s="67"/>
      <c r="BV334" s="64"/>
      <c r="BW334" s="64"/>
      <c r="BX334" s="67"/>
      <c r="BY334" s="64"/>
      <c r="BZ334" s="64"/>
      <c r="CA334" s="64"/>
      <c r="CB334" s="64"/>
      <c r="CC334" s="64"/>
      <c r="CD334" s="64"/>
      <c r="CE334" s="64" t="s">
        <v>7608</v>
      </c>
      <c r="CF334" s="67" t="s">
        <v>815</v>
      </c>
      <c r="CG334" s="64" t="s">
        <v>7110</v>
      </c>
      <c r="CH334" s="64" t="s">
        <v>7111</v>
      </c>
      <c r="CI334" s="64" t="s">
        <v>122</v>
      </c>
      <c r="CJ334" s="64" t="s">
        <v>111</v>
      </c>
      <c r="CK334" s="58" t="s">
        <v>3886</v>
      </c>
      <c r="CL334" s="64" t="str">
        <f t="shared" ca="1" si="5"/>
        <v>20 Tahun 11 Bulan 1 Hari</v>
      </c>
      <c r="CM33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Kampung Pangkalan RT/RW 01/03 Desa/Kelurahan Kirisik Kecamatan Jatinunggal Sumedang Jawa Barat 45373</v>
      </c>
    </row>
    <row r="335" spans="1:91" ht="24.95" customHeight="1">
      <c r="A335" s="58">
        <f>SUBTOTAL(3,N$8:Table2[[#This Row],[Nama lengkap]])</f>
        <v>328</v>
      </c>
      <c r="B335" s="58" t="s">
        <v>86</v>
      </c>
      <c r="C335" s="58">
        <v>2020</v>
      </c>
      <c r="D335" s="58"/>
      <c r="E335" s="58">
        <v>5</v>
      </c>
      <c r="F335" s="58" t="s">
        <v>3783</v>
      </c>
      <c r="G335" s="32" t="s">
        <v>2513</v>
      </c>
      <c r="H335" s="32" t="s">
        <v>2513</v>
      </c>
      <c r="I335" s="32" t="s">
        <v>2513</v>
      </c>
      <c r="J335" s="32"/>
      <c r="K335" s="32"/>
      <c r="L335" s="32"/>
      <c r="M335" s="58">
        <v>20210211</v>
      </c>
      <c r="N335" s="31" t="s">
        <v>8853</v>
      </c>
      <c r="O335" s="31"/>
      <c r="P335" s="32" t="s">
        <v>3889</v>
      </c>
      <c r="Q335" s="32" t="s">
        <v>3890</v>
      </c>
      <c r="R335" s="64" t="s">
        <v>90</v>
      </c>
      <c r="S335" s="69" t="s">
        <v>3891</v>
      </c>
      <c r="T335" s="47" t="s">
        <v>92</v>
      </c>
      <c r="U335" s="58">
        <v>2</v>
      </c>
      <c r="V335" s="58">
        <v>2</v>
      </c>
      <c r="W335" s="47" t="s">
        <v>207</v>
      </c>
      <c r="X335" s="64" t="s">
        <v>93</v>
      </c>
      <c r="Y335" s="64" t="s">
        <v>1711</v>
      </c>
      <c r="Z335" s="64" t="s">
        <v>3892</v>
      </c>
      <c r="AA335" s="64" t="s">
        <v>1141</v>
      </c>
      <c r="AB335" s="64" t="s">
        <v>689</v>
      </c>
      <c r="AC335" s="64" t="s">
        <v>208</v>
      </c>
      <c r="AD335" s="64" t="s">
        <v>208</v>
      </c>
      <c r="AE335" s="67" t="s">
        <v>3893</v>
      </c>
      <c r="AF335" s="67" t="s">
        <v>8580</v>
      </c>
      <c r="AG335" s="67" t="s">
        <v>8580</v>
      </c>
      <c r="AH335" s="64" t="s">
        <v>691</v>
      </c>
      <c r="AI335" s="64" t="s">
        <v>8284</v>
      </c>
      <c r="AJ335" s="69">
        <v>28070</v>
      </c>
      <c r="AK335" s="67" t="s">
        <v>3894</v>
      </c>
      <c r="AL335" s="64" t="s">
        <v>914</v>
      </c>
      <c r="AM335" s="67" t="s">
        <v>800</v>
      </c>
      <c r="AN335" s="67"/>
      <c r="AO335" s="64"/>
      <c r="AP335" s="64" t="s">
        <v>3895</v>
      </c>
      <c r="AQ335" s="32" t="s">
        <v>667</v>
      </c>
      <c r="AR335" s="64" t="s">
        <v>3896</v>
      </c>
      <c r="AS335" s="64" t="s">
        <v>1336</v>
      </c>
      <c r="AT335" s="64" t="s">
        <v>141</v>
      </c>
      <c r="AU335" s="59" t="s">
        <v>111</v>
      </c>
      <c r="AV335" s="67" t="s">
        <v>3897</v>
      </c>
      <c r="AW335" s="67" t="s">
        <v>8083</v>
      </c>
      <c r="AX335" s="64" t="s">
        <v>691</v>
      </c>
      <c r="AY335" s="64" t="s">
        <v>90</v>
      </c>
      <c r="AZ335" s="125">
        <v>29016</v>
      </c>
      <c r="BA335" s="67" t="s">
        <v>3898</v>
      </c>
      <c r="BB335" s="64" t="s">
        <v>845</v>
      </c>
      <c r="BC335" s="67" t="s">
        <v>800</v>
      </c>
      <c r="BD335" s="67"/>
      <c r="BE335" s="64"/>
      <c r="BF335" s="64"/>
      <c r="BG335" s="64" t="s">
        <v>3895</v>
      </c>
      <c r="BH335" s="67" t="s">
        <v>667</v>
      </c>
      <c r="BI335" s="64" t="s">
        <v>3896</v>
      </c>
      <c r="BJ335" s="40" t="s">
        <v>1336</v>
      </c>
      <c r="BK335" s="64" t="s">
        <v>141</v>
      </c>
      <c r="BL335" s="67" t="s">
        <v>156</v>
      </c>
      <c r="BM335" s="67" t="s">
        <v>3897</v>
      </c>
      <c r="BN335" s="67"/>
      <c r="BO335" s="64" t="s">
        <v>701</v>
      </c>
      <c r="BP335" s="64"/>
      <c r="BQ335" s="135"/>
      <c r="BR335" s="67"/>
      <c r="BS335" s="64"/>
      <c r="BT335" s="67"/>
      <c r="BU335" s="67"/>
      <c r="BV335" s="64"/>
      <c r="BW335" s="64"/>
      <c r="BX335" s="67"/>
      <c r="BY335" s="64"/>
      <c r="BZ335" s="64"/>
      <c r="CA335" s="64"/>
      <c r="CB335" s="64"/>
      <c r="CC335" s="64"/>
      <c r="CD335" s="64"/>
      <c r="CE335" s="64" t="s">
        <v>7609</v>
      </c>
      <c r="CF335" s="67" t="s">
        <v>667</v>
      </c>
      <c r="CG335" s="64" t="s">
        <v>7257</v>
      </c>
      <c r="CH335" s="64" t="s">
        <v>7069</v>
      </c>
      <c r="CI335" s="64" t="s">
        <v>90</v>
      </c>
      <c r="CJ335" s="64" t="s">
        <v>111</v>
      </c>
      <c r="CK335" s="58" t="s">
        <v>3897</v>
      </c>
      <c r="CL335" s="64" t="str">
        <f t="shared" ca="1" si="5"/>
        <v>21 Tahun 0 Bulan 11 Hari</v>
      </c>
      <c r="CM33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Jl.Lengkong Tengah Ii No.78/17D RT/RW 04/05 Desa/Kelurahan Cikawao Kecamatan Lengkong Bandung Jawa Barat 40261</v>
      </c>
    </row>
    <row r="336" spans="1:91" ht="24.95" customHeight="1">
      <c r="A336" s="58">
        <f>SUBTOTAL(3,N$8:Table2[[#This Row],[Nama lengkap]])</f>
        <v>329</v>
      </c>
      <c r="B336" s="58" t="s">
        <v>86</v>
      </c>
      <c r="C336" s="58">
        <v>2019</v>
      </c>
      <c r="D336" s="58"/>
      <c r="E336" s="58">
        <v>5</v>
      </c>
      <c r="F336" s="58" t="s">
        <v>3783</v>
      </c>
      <c r="G336" s="32" t="s">
        <v>2513</v>
      </c>
      <c r="H336" s="32" t="s">
        <v>2513</v>
      </c>
      <c r="I336" s="32" t="s">
        <v>2513</v>
      </c>
      <c r="J336" s="32"/>
      <c r="K336" s="32"/>
      <c r="L336" s="32"/>
      <c r="M336" s="58">
        <v>19200223</v>
      </c>
      <c r="N336" s="31" t="s">
        <v>6105</v>
      </c>
      <c r="O336" s="31"/>
      <c r="P336" s="32" t="s">
        <v>3900</v>
      </c>
      <c r="Q336" s="32" t="s">
        <v>3901</v>
      </c>
      <c r="R336" s="64" t="s">
        <v>7260</v>
      </c>
      <c r="S336" s="69" t="s">
        <v>3903</v>
      </c>
      <c r="T336" s="47" t="s">
        <v>92</v>
      </c>
      <c r="U336" s="58">
        <v>3</v>
      </c>
      <c r="V336" s="58">
        <v>2</v>
      </c>
      <c r="W336" s="47" t="s">
        <v>207</v>
      </c>
      <c r="X336" s="64" t="s">
        <v>303</v>
      </c>
      <c r="Y336" s="64" t="s">
        <v>1012</v>
      </c>
      <c r="Z336" s="64" t="s">
        <v>986</v>
      </c>
      <c r="AA336" s="64" t="s">
        <v>1028</v>
      </c>
      <c r="AB336" s="64" t="s">
        <v>689</v>
      </c>
      <c r="AC336" s="64" t="s">
        <v>208</v>
      </c>
      <c r="AD336" s="64" t="s">
        <v>208</v>
      </c>
      <c r="AE336" s="67" t="s">
        <v>3904</v>
      </c>
      <c r="AF336" s="67" t="s">
        <v>8581</v>
      </c>
      <c r="AG336" s="67" t="s">
        <v>8581</v>
      </c>
      <c r="AH336" s="64" t="s">
        <v>691</v>
      </c>
      <c r="AI336" s="64" t="s">
        <v>7260</v>
      </c>
      <c r="AJ336" s="69">
        <v>23723</v>
      </c>
      <c r="AK336" s="67" t="s">
        <v>3905</v>
      </c>
      <c r="AL336" s="64" t="s">
        <v>114</v>
      </c>
      <c r="AM336" s="67" t="s">
        <v>693</v>
      </c>
      <c r="AN336" s="67"/>
      <c r="AO336" s="64"/>
      <c r="AP336" s="64" t="s">
        <v>3906</v>
      </c>
      <c r="AQ336" s="32" t="s">
        <v>3907</v>
      </c>
      <c r="AR336" s="64" t="s">
        <v>3908</v>
      </c>
      <c r="AS336" s="64" t="s">
        <v>3909</v>
      </c>
      <c r="AT336" s="64" t="s">
        <v>3902</v>
      </c>
      <c r="AU336" s="59" t="s">
        <v>111</v>
      </c>
      <c r="AV336" s="67" t="s">
        <v>3910</v>
      </c>
      <c r="AW336" s="67" t="s">
        <v>8084</v>
      </c>
      <c r="AX336" s="64" t="s">
        <v>691</v>
      </c>
      <c r="AY336" s="64" t="s">
        <v>7260</v>
      </c>
      <c r="AZ336" s="125">
        <v>25610</v>
      </c>
      <c r="BA336" s="67" t="s">
        <v>3911</v>
      </c>
      <c r="BB336" s="64" t="s">
        <v>845</v>
      </c>
      <c r="BC336" s="67" t="s">
        <v>693</v>
      </c>
      <c r="BD336" s="67"/>
      <c r="BE336" s="64"/>
      <c r="BF336" s="64"/>
      <c r="BG336" s="64" t="s">
        <v>3906</v>
      </c>
      <c r="BH336" s="67" t="s">
        <v>3907</v>
      </c>
      <c r="BI336" s="64" t="s">
        <v>3908</v>
      </c>
      <c r="BJ336" s="40" t="s">
        <v>3909</v>
      </c>
      <c r="BK336" s="64" t="s">
        <v>3902</v>
      </c>
      <c r="BL336" s="67" t="s">
        <v>156</v>
      </c>
      <c r="BM336" s="67" t="s">
        <v>3910</v>
      </c>
      <c r="BN336" s="67"/>
      <c r="BO336" s="64" t="s">
        <v>701</v>
      </c>
      <c r="BP336" s="64"/>
      <c r="BQ336" s="135"/>
      <c r="BR336" s="67"/>
      <c r="BS336" s="64"/>
      <c r="BT336" s="67"/>
      <c r="BU336" s="67"/>
      <c r="BV336" s="64"/>
      <c r="BW336" s="64"/>
      <c r="BX336" s="67"/>
      <c r="BY336" s="64"/>
      <c r="BZ336" s="64"/>
      <c r="CA336" s="64"/>
      <c r="CB336" s="64"/>
      <c r="CC336" s="64"/>
      <c r="CD336" s="64"/>
      <c r="CE336" s="64" t="s">
        <v>7610</v>
      </c>
      <c r="CF336" s="67" t="s">
        <v>3907</v>
      </c>
      <c r="CG336" s="64" t="s">
        <v>7258</v>
      </c>
      <c r="CH336" s="64" t="s">
        <v>7259</v>
      </c>
      <c r="CI336" s="64" t="s">
        <v>7260</v>
      </c>
      <c r="CJ336" s="64" t="s">
        <v>111</v>
      </c>
      <c r="CK336" s="58" t="s">
        <v>3910</v>
      </c>
      <c r="CL336" s="64" t="str">
        <f t="shared" ca="1" si="5"/>
        <v>22 Tahun 1 Bulan 20 Hari</v>
      </c>
      <c r="CM33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Puhun RT/RW 11/03 Desa/Kelurahan Cikadu Kecamatan Nusaherang Kuningan Jawa Barat 45563</v>
      </c>
    </row>
    <row r="337" spans="1:91" ht="24.95" customHeight="1">
      <c r="A337" s="58">
        <f>SUBTOTAL(3,N$8:Table2[[#This Row],[Nama lengkap]])</f>
        <v>330</v>
      </c>
      <c r="B337" s="58" t="s">
        <v>86</v>
      </c>
      <c r="C337" s="58">
        <v>2019</v>
      </c>
      <c r="D337" s="58"/>
      <c r="E337" s="58">
        <v>5</v>
      </c>
      <c r="F337" s="58" t="s">
        <v>3783</v>
      </c>
      <c r="G337" s="32" t="s">
        <v>2513</v>
      </c>
      <c r="H337" s="32" t="s">
        <v>2513</v>
      </c>
      <c r="I337" s="32" t="s">
        <v>2513</v>
      </c>
      <c r="J337" s="32"/>
      <c r="K337" s="32"/>
      <c r="L337" s="32"/>
      <c r="M337" s="58">
        <v>19200227</v>
      </c>
      <c r="N337" s="31" t="s">
        <v>6106</v>
      </c>
      <c r="O337" s="31"/>
      <c r="P337" s="32" t="s">
        <v>3913</v>
      </c>
      <c r="Q337" s="32" t="s">
        <v>3914</v>
      </c>
      <c r="R337" s="64" t="s">
        <v>122</v>
      </c>
      <c r="S337" s="69" t="s">
        <v>3915</v>
      </c>
      <c r="T337" s="47" t="s">
        <v>92</v>
      </c>
      <c r="U337" s="58">
        <v>1</v>
      </c>
      <c r="V337" s="58">
        <v>1</v>
      </c>
      <c r="W337" s="47" t="s">
        <v>207</v>
      </c>
      <c r="X337" s="59" t="s">
        <v>432</v>
      </c>
      <c r="Y337" s="64" t="s">
        <v>3451</v>
      </c>
      <c r="Z337" s="64" t="s">
        <v>1895</v>
      </c>
      <c r="AA337" s="64" t="s">
        <v>753</v>
      </c>
      <c r="AB337" s="64"/>
      <c r="AC337" s="64" t="s">
        <v>208</v>
      </c>
      <c r="AD337" s="64" t="s">
        <v>208</v>
      </c>
      <c r="AE337" s="67" t="s">
        <v>3916</v>
      </c>
      <c r="AF337" s="67" t="s">
        <v>6731</v>
      </c>
      <c r="AG337" s="67" t="s">
        <v>6731</v>
      </c>
      <c r="AH337" s="64" t="s">
        <v>691</v>
      </c>
      <c r="AI337" s="64" t="s">
        <v>122</v>
      </c>
      <c r="AJ337" s="69">
        <v>28035</v>
      </c>
      <c r="AK337" s="67" t="s">
        <v>3917</v>
      </c>
      <c r="AL337" s="64" t="s">
        <v>602</v>
      </c>
      <c r="AM337" s="67" t="s">
        <v>693</v>
      </c>
      <c r="AN337" s="67"/>
      <c r="AO337" s="64"/>
      <c r="AP337" s="64" t="s">
        <v>3918</v>
      </c>
      <c r="AQ337" s="32" t="s">
        <v>3919</v>
      </c>
      <c r="AR337" s="64" t="s">
        <v>1626</v>
      </c>
      <c r="AS337" s="64" t="s">
        <v>1626</v>
      </c>
      <c r="AT337" s="64" t="s">
        <v>1090</v>
      </c>
      <c r="AU337" s="59" t="s">
        <v>111</v>
      </c>
      <c r="AV337" s="67" t="s">
        <v>3920</v>
      </c>
      <c r="AW337" s="67" t="s">
        <v>6734</v>
      </c>
      <c r="AX337" s="64" t="s">
        <v>691</v>
      </c>
      <c r="AY337" s="64" t="s">
        <v>942</v>
      </c>
      <c r="AZ337" s="125">
        <v>29047</v>
      </c>
      <c r="BA337" s="67" t="s">
        <v>3921</v>
      </c>
      <c r="BB337" s="64" t="s">
        <v>845</v>
      </c>
      <c r="BC337" s="67" t="s">
        <v>700</v>
      </c>
      <c r="BD337" s="67"/>
      <c r="BE337" s="64"/>
      <c r="BF337" s="64"/>
      <c r="BG337" s="64" t="s">
        <v>3918</v>
      </c>
      <c r="BH337" s="67" t="s">
        <v>3919</v>
      </c>
      <c r="BI337" s="64" t="s">
        <v>1626</v>
      </c>
      <c r="BJ337" s="40" t="s">
        <v>1626</v>
      </c>
      <c r="BK337" s="64" t="s">
        <v>1090</v>
      </c>
      <c r="BL337" s="67" t="s">
        <v>156</v>
      </c>
      <c r="BM337" s="67" t="s">
        <v>3920</v>
      </c>
      <c r="BN337" s="67"/>
      <c r="BO337" s="64" t="s">
        <v>701</v>
      </c>
      <c r="BP337" s="64"/>
      <c r="BQ337" s="135"/>
      <c r="BR337" s="67"/>
      <c r="BS337" s="64"/>
      <c r="BT337" s="67"/>
      <c r="BU337" s="67"/>
      <c r="BV337" s="64"/>
      <c r="BW337" s="64"/>
      <c r="BX337" s="67"/>
      <c r="BY337" s="64"/>
      <c r="BZ337" s="64"/>
      <c r="CA337" s="64"/>
      <c r="CB337" s="64"/>
      <c r="CC337" s="64"/>
      <c r="CD337" s="64"/>
      <c r="CE337" s="64" t="s">
        <v>6707</v>
      </c>
      <c r="CF337" s="67" t="s">
        <v>3919</v>
      </c>
      <c r="CG337" s="64" t="s">
        <v>1518</v>
      </c>
      <c r="CH337" s="64" t="s">
        <v>1518</v>
      </c>
      <c r="CI337" s="64" t="s">
        <v>122</v>
      </c>
      <c r="CJ337" s="64" t="s">
        <v>111</v>
      </c>
      <c r="CK337" s="58" t="s">
        <v>3920</v>
      </c>
      <c r="CL337" s="64" t="str">
        <f t="shared" ca="1" si="5"/>
        <v>25 Tahun 4 Bulan 1 Hari</v>
      </c>
      <c r="CM33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Pasir Muncang RT/RW 01/18 Desa/Kelurahan Cimanggung Kecamatan Cimanggung Sumedang Jawa Barat 45364</v>
      </c>
    </row>
    <row r="338" spans="1:91" ht="24.95" customHeight="1">
      <c r="A338" s="58">
        <f>SUBTOTAL(3,N$8:Table2[[#This Row],[Nama lengkap]])</f>
        <v>331</v>
      </c>
      <c r="B338" s="58" t="s">
        <v>86</v>
      </c>
      <c r="C338" s="58">
        <v>2020</v>
      </c>
      <c r="D338" s="58" t="s">
        <v>8936</v>
      </c>
      <c r="E338" s="58">
        <v>5</v>
      </c>
      <c r="F338" s="58" t="s">
        <v>3783</v>
      </c>
      <c r="G338" s="32" t="s">
        <v>2513</v>
      </c>
      <c r="H338" s="32" t="s">
        <v>2513</v>
      </c>
      <c r="I338" s="32" t="s">
        <v>2513</v>
      </c>
      <c r="J338" s="32"/>
      <c r="K338" s="32"/>
      <c r="L338" s="32"/>
      <c r="M338" s="58">
        <v>20210189</v>
      </c>
      <c r="N338" s="31" t="s">
        <v>6107</v>
      </c>
      <c r="O338" s="31"/>
      <c r="P338" s="32" t="s">
        <v>3923</v>
      </c>
      <c r="Q338" s="32" t="s">
        <v>3924</v>
      </c>
      <c r="R338" s="64" t="s">
        <v>90</v>
      </c>
      <c r="S338" s="69" t="s">
        <v>3925</v>
      </c>
      <c r="T338" s="47" t="s">
        <v>92</v>
      </c>
      <c r="U338" s="58">
        <v>1</v>
      </c>
      <c r="V338" s="58">
        <v>2</v>
      </c>
      <c r="W338" s="47" t="s">
        <v>207</v>
      </c>
      <c r="X338" s="59" t="s">
        <v>432</v>
      </c>
      <c r="Y338" s="64" t="s">
        <v>1524</v>
      </c>
      <c r="Z338" s="64" t="s">
        <v>3926</v>
      </c>
      <c r="AA338" s="64" t="s">
        <v>96</v>
      </c>
      <c r="AB338" s="64" t="s">
        <v>689</v>
      </c>
      <c r="AC338" s="64" t="s">
        <v>208</v>
      </c>
      <c r="AD338" s="64" t="s">
        <v>208</v>
      </c>
      <c r="AE338" s="67" t="s">
        <v>3927</v>
      </c>
      <c r="AF338" s="67" t="s">
        <v>8582</v>
      </c>
      <c r="AG338" s="67" t="s">
        <v>8582</v>
      </c>
      <c r="AH338" s="64" t="s">
        <v>691</v>
      </c>
      <c r="AI338" s="64" t="s">
        <v>90</v>
      </c>
      <c r="AJ338" s="69">
        <v>30190</v>
      </c>
      <c r="AK338" s="67" t="s">
        <v>3928</v>
      </c>
      <c r="AL338" s="64" t="s">
        <v>114</v>
      </c>
      <c r="AM338" s="67" t="s">
        <v>1820</v>
      </c>
      <c r="AN338" s="67"/>
      <c r="AO338" s="64"/>
      <c r="AP338" s="64" t="s">
        <v>3929</v>
      </c>
      <c r="AQ338" s="32" t="s">
        <v>1418</v>
      </c>
      <c r="AR338" s="64" t="s">
        <v>1460</v>
      </c>
      <c r="AS338" s="64" t="s">
        <v>1461</v>
      </c>
      <c r="AT338" s="64" t="s">
        <v>141</v>
      </c>
      <c r="AU338" s="59" t="s">
        <v>111</v>
      </c>
      <c r="AV338" s="67"/>
      <c r="AW338" s="67" t="s">
        <v>8085</v>
      </c>
      <c r="AX338" s="64" t="s">
        <v>691</v>
      </c>
      <c r="AY338" s="64" t="s">
        <v>7802</v>
      </c>
      <c r="AZ338" s="125">
        <v>29536</v>
      </c>
      <c r="BA338" s="67" t="s">
        <v>3924</v>
      </c>
      <c r="BB338" s="64" t="s">
        <v>845</v>
      </c>
      <c r="BC338" s="67" t="s">
        <v>1959</v>
      </c>
      <c r="BD338" s="67"/>
      <c r="BE338" s="64"/>
      <c r="BF338" s="64"/>
      <c r="BG338" s="64" t="s">
        <v>3929</v>
      </c>
      <c r="BH338" s="67" t="s">
        <v>1418</v>
      </c>
      <c r="BI338" s="64" t="s">
        <v>1460</v>
      </c>
      <c r="BJ338" s="40" t="s">
        <v>1461</v>
      </c>
      <c r="BK338" s="64" t="s">
        <v>141</v>
      </c>
      <c r="BL338" s="67" t="s">
        <v>156</v>
      </c>
      <c r="BM338" s="67"/>
      <c r="BN338" s="67"/>
      <c r="BO338" s="64" t="s">
        <v>701</v>
      </c>
      <c r="BP338" s="64"/>
      <c r="BQ338" s="135"/>
      <c r="BR338" s="67"/>
      <c r="BS338" s="64"/>
      <c r="BT338" s="67"/>
      <c r="BU338" s="67"/>
      <c r="BV338" s="64"/>
      <c r="BW338" s="64"/>
      <c r="BX338" s="67"/>
      <c r="BY338" s="64"/>
      <c r="BZ338" s="64"/>
      <c r="CA338" s="64"/>
      <c r="CB338" s="64"/>
      <c r="CC338" s="64"/>
      <c r="CD338" s="64"/>
      <c r="CE338" s="64" t="s">
        <v>7611</v>
      </c>
      <c r="CF338" s="67" t="s">
        <v>1418</v>
      </c>
      <c r="CG338" s="64" t="s">
        <v>6829</v>
      </c>
      <c r="CH338" s="64" t="s">
        <v>6830</v>
      </c>
      <c r="CI338" s="64" t="s">
        <v>90</v>
      </c>
      <c r="CJ338" s="64" t="s">
        <v>111</v>
      </c>
      <c r="CK338" s="58"/>
      <c r="CL338" s="64" t="str">
        <f t="shared" ca="1" si="5"/>
        <v>18 Tahun 1 Bulan 30 Hari</v>
      </c>
      <c r="CM33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Jl.Pasar Kaler RT/RW 02/01 Desa/Kelurahan Pasirwangi Kecamatan Ujungberung Bandung Jawa Barat </v>
      </c>
    </row>
    <row r="339" spans="1:91" ht="24.95" customHeight="1">
      <c r="A339" s="58">
        <f>SUBTOTAL(3,N$8:Table2[[#This Row],[Nama lengkap]])</f>
        <v>332</v>
      </c>
      <c r="B339" s="58" t="s">
        <v>86</v>
      </c>
      <c r="C339" s="58">
        <v>2019</v>
      </c>
      <c r="D339" s="58"/>
      <c r="E339" s="58">
        <v>5</v>
      </c>
      <c r="F339" s="58" t="s">
        <v>3783</v>
      </c>
      <c r="G339" s="32" t="s">
        <v>2513</v>
      </c>
      <c r="H339" s="32" t="s">
        <v>2513</v>
      </c>
      <c r="I339" s="32" t="s">
        <v>2513</v>
      </c>
      <c r="J339" s="32"/>
      <c r="K339" s="32"/>
      <c r="L339" s="32"/>
      <c r="M339" s="58">
        <v>19200232</v>
      </c>
      <c r="N339" s="31" t="s">
        <v>8854</v>
      </c>
      <c r="O339" s="31"/>
      <c r="P339" s="32" t="s">
        <v>3931</v>
      </c>
      <c r="Q339" s="32" t="s">
        <v>3932</v>
      </c>
      <c r="R339" s="64" t="s">
        <v>90</v>
      </c>
      <c r="S339" s="69" t="s">
        <v>3933</v>
      </c>
      <c r="T339" s="47" t="s">
        <v>92</v>
      </c>
      <c r="U339" s="58">
        <v>3</v>
      </c>
      <c r="V339" s="58">
        <v>2</v>
      </c>
      <c r="W339" s="47" t="s">
        <v>207</v>
      </c>
      <c r="X339" s="59" t="s">
        <v>123</v>
      </c>
      <c r="Y339" s="64" t="s">
        <v>1524</v>
      </c>
      <c r="Z339" s="64" t="s">
        <v>3934</v>
      </c>
      <c r="AA339" s="64" t="s">
        <v>96</v>
      </c>
      <c r="AB339" s="64" t="s">
        <v>689</v>
      </c>
      <c r="AC339" s="64" t="s">
        <v>208</v>
      </c>
      <c r="AD339" s="64" t="s">
        <v>208</v>
      </c>
      <c r="AE339" s="67" t="s">
        <v>3935</v>
      </c>
      <c r="AF339" s="67" t="s">
        <v>8583</v>
      </c>
      <c r="AG339" s="67" t="s">
        <v>8583</v>
      </c>
      <c r="AH339" s="64" t="s">
        <v>691</v>
      </c>
      <c r="AI339" s="64" t="s">
        <v>90</v>
      </c>
      <c r="AJ339" s="69">
        <v>25632</v>
      </c>
      <c r="AK339" s="67" t="s">
        <v>3936</v>
      </c>
      <c r="AL339" s="64" t="s">
        <v>114</v>
      </c>
      <c r="AM339" s="67" t="s">
        <v>693</v>
      </c>
      <c r="AN339" s="67"/>
      <c r="AO339" s="64"/>
      <c r="AP339" s="64" t="s">
        <v>3937</v>
      </c>
      <c r="AQ339" s="32" t="s">
        <v>3340</v>
      </c>
      <c r="AR339" s="64" t="s">
        <v>3007</v>
      </c>
      <c r="AS339" s="64" t="s">
        <v>2996</v>
      </c>
      <c r="AT339" s="64" t="s">
        <v>141</v>
      </c>
      <c r="AU339" s="59" t="s">
        <v>111</v>
      </c>
      <c r="AV339" s="67" t="s">
        <v>3800</v>
      </c>
      <c r="AW339" s="67" t="s">
        <v>8086</v>
      </c>
      <c r="AX339" s="64" t="s">
        <v>691</v>
      </c>
      <c r="AY339" s="64" t="s">
        <v>90</v>
      </c>
      <c r="AZ339" s="125">
        <v>27519</v>
      </c>
      <c r="BA339" s="67" t="s">
        <v>3938</v>
      </c>
      <c r="BB339" s="64" t="s">
        <v>845</v>
      </c>
      <c r="BC339" s="67" t="s">
        <v>693</v>
      </c>
      <c r="BD339" s="67"/>
      <c r="BE339" s="64"/>
      <c r="BF339" s="64"/>
      <c r="BG339" s="64" t="s">
        <v>3937</v>
      </c>
      <c r="BH339" s="67" t="s">
        <v>3340</v>
      </c>
      <c r="BI339" s="64" t="s">
        <v>3007</v>
      </c>
      <c r="BJ339" s="40" t="s">
        <v>2996</v>
      </c>
      <c r="BK339" s="64" t="s">
        <v>141</v>
      </c>
      <c r="BL339" s="67" t="s">
        <v>156</v>
      </c>
      <c r="BM339" s="67" t="s">
        <v>3800</v>
      </c>
      <c r="BN339" s="67"/>
      <c r="BO339" s="64" t="s">
        <v>701</v>
      </c>
      <c r="BP339" s="64"/>
      <c r="BQ339" s="135"/>
      <c r="BR339" s="67"/>
      <c r="BS339" s="64"/>
      <c r="BT339" s="67"/>
      <c r="BU339" s="67"/>
      <c r="BV339" s="64"/>
      <c r="BW339" s="64"/>
      <c r="BX339" s="67"/>
      <c r="BY339" s="64"/>
      <c r="BZ339" s="64"/>
      <c r="CA339" s="64"/>
      <c r="CB339" s="64"/>
      <c r="CC339" s="64"/>
      <c r="CD339" s="64"/>
      <c r="CE339" s="64" t="s">
        <v>7612</v>
      </c>
      <c r="CF339" s="67" t="s">
        <v>3340</v>
      </c>
      <c r="CG339" s="64" t="s">
        <v>7212</v>
      </c>
      <c r="CH339" s="64" t="s">
        <v>7211</v>
      </c>
      <c r="CI339" s="64" t="s">
        <v>90</v>
      </c>
      <c r="CJ339" s="64" t="s">
        <v>111</v>
      </c>
      <c r="CK339" s="58" t="s">
        <v>3800</v>
      </c>
      <c r="CL339" s="64" t="str">
        <f t="shared" ca="1" si="5"/>
        <v>18 Tahun 8 Bulan 27 Hari</v>
      </c>
      <c r="CM33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Kp.Lamajan RT/RW 03/08 Desa/Kelurahan Tribaktimulya Kecamatan Pangalengan Bandung Jawa Barat 40378</v>
      </c>
    </row>
    <row r="340" spans="1:91" ht="24.95" customHeight="1">
      <c r="A340" s="58">
        <f>SUBTOTAL(3,N$8:Table2[[#This Row],[Nama lengkap]])</f>
        <v>333</v>
      </c>
      <c r="B340" s="58" t="s">
        <v>86</v>
      </c>
      <c r="C340" s="58">
        <v>2019</v>
      </c>
      <c r="D340" s="58"/>
      <c r="E340" s="58">
        <v>5</v>
      </c>
      <c r="F340" s="58" t="s">
        <v>3783</v>
      </c>
      <c r="G340" s="32" t="s">
        <v>2513</v>
      </c>
      <c r="H340" s="32" t="s">
        <v>2513</v>
      </c>
      <c r="I340" s="32" t="s">
        <v>2513</v>
      </c>
      <c r="J340" s="32"/>
      <c r="K340" s="32"/>
      <c r="L340" s="32"/>
      <c r="M340" s="58">
        <v>19200234</v>
      </c>
      <c r="N340" s="31" t="s">
        <v>6109</v>
      </c>
      <c r="O340" s="31"/>
      <c r="P340" s="32" t="s">
        <v>3939</v>
      </c>
      <c r="Q340" s="32" t="s">
        <v>3940</v>
      </c>
      <c r="R340" s="64" t="s">
        <v>122</v>
      </c>
      <c r="S340" s="69" t="s">
        <v>3941</v>
      </c>
      <c r="T340" s="47" t="s">
        <v>92</v>
      </c>
      <c r="U340" s="58">
        <v>1</v>
      </c>
      <c r="V340" s="58">
        <v>2</v>
      </c>
      <c r="W340" s="47" t="s">
        <v>207</v>
      </c>
      <c r="X340" s="59" t="s">
        <v>93</v>
      </c>
      <c r="Y340" s="64" t="s">
        <v>3942</v>
      </c>
      <c r="Z340" s="64" t="s">
        <v>688</v>
      </c>
      <c r="AA340" s="64" t="s">
        <v>96</v>
      </c>
      <c r="AB340" s="64" t="s">
        <v>689</v>
      </c>
      <c r="AC340" s="64" t="s">
        <v>208</v>
      </c>
      <c r="AD340" s="64" t="s">
        <v>208</v>
      </c>
      <c r="AE340" s="67" t="s">
        <v>3943</v>
      </c>
      <c r="AF340" s="67" t="s">
        <v>8584</v>
      </c>
      <c r="AG340" s="67" t="s">
        <v>8584</v>
      </c>
      <c r="AH340" s="64" t="s">
        <v>691</v>
      </c>
      <c r="AI340" s="64" t="s">
        <v>122</v>
      </c>
      <c r="AJ340" s="69">
        <v>29794</v>
      </c>
      <c r="AK340" s="67" t="s">
        <v>3944</v>
      </c>
      <c r="AL340" s="64" t="s">
        <v>819</v>
      </c>
      <c r="AM340" s="67" t="s">
        <v>2027</v>
      </c>
      <c r="AN340" s="67"/>
      <c r="AO340" s="64"/>
      <c r="AP340" s="64" t="s">
        <v>3945</v>
      </c>
      <c r="AQ340" s="32" t="s">
        <v>152</v>
      </c>
      <c r="AR340" s="64" t="s">
        <v>3946</v>
      </c>
      <c r="AS340" s="64" t="s">
        <v>2196</v>
      </c>
      <c r="AT340" s="64" t="s">
        <v>1090</v>
      </c>
      <c r="AU340" s="59" t="s">
        <v>111</v>
      </c>
      <c r="AV340" s="67" t="s">
        <v>3947</v>
      </c>
      <c r="AW340" s="67" t="s">
        <v>8087</v>
      </c>
      <c r="AX340" s="64" t="s">
        <v>691</v>
      </c>
      <c r="AY340" s="64" t="s">
        <v>3137</v>
      </c>
      <c r="AZ340" s="125">
        <v>30772</v>
      </c>
      <c r="BA340" s="67" t="s">
        <v>3948</v>
      </c>
      <c r="BB340" s="64" t="s">
        <v>819</v>
      </c>
      <c r="BC340" s="67" t="s">
        <v>3949</v>
      </c>
      <c r="BD340" s="67"/>
      <c r="BE340" s="64"/>
      <c r="BF340" s="64"/>
      <c r="BG340" s="64" t="s">
        <v>3945</v>
      </c>
      <c r="BH340" s="67" t="s">
        <v>152</v>
      </c>
      <c r="BI340" s="64" t="s">
        <v>3946</v>
      </c>
      <c r="BJ340" s="40" t="s">
        <v>2196</v>
      </c>
      <c r="BK340" s="64" t="s">
        <v>1090</v>
      </c>
      <c r="BL340" s="67" t="s">
        <v>156</v>
      </c>
      <c r="BM340" s="67" t="s">
        <v>3947</v>
      </c>
      <c r="BN340" s="67"/>
      <c r="BO340" s="64" t="s">
        <v>701</v>
      </c>
      <c r="BP340" s="64"/>
      <c r="BQ340" s="135"/>
      <c r="BR340" s="67"/>
      <c r="BS340" s="64"/>
      <c r="BT340" s="67"/>
      <c r="BU340" s="67"/>
      <c r="BV340" s="64"/>
      <c r="BW340" s="64"/>
      <c r="BX340" s="67"/>
      <c r="BY340" s="64"/>
      <c r="BZ340" s="64"/>
      <c r="CA340" s="64"/>
      <c r="CB340" s="64"/>
      <c r="CC340" s="64"/>
      <c r="CD340" s="64"/>
      <c r="CE340" s="64" t="s">
        <v>7613</v>
      </c>
      <c r="CF340" s="67" t="s">
        <v>152</v>
      </c>
      <c r="CG340" s="64" t="s">
        <v>7261</v>
      </c>
      <c r="CH340" s="64" t="s">
        <v>7150</v>
      </c>
      <c r="CI340" s="64" t="s">
        <v>122</v>
      </c>
      <c r="CJ340" s="64" t="s">
        <v>111</v>
      </c>
      <c r="CK340" s="58" t="s">
        <v>3947</v>
      </c>
      <c r="CL340" s="64" t="str">
        <f t="shared" ca="1" si="5"/>
        <v>18 Tahun 0 Bulan 26 Hari</v>
      </c>
      <c r="CM34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Jl.Pager Betis N0 134 RT/RW 02/03 Desa/Kelurahan Sukagalih Kecamatan Sumedang Selatan  Sumedang Jawa Barat 45351</v>
      </c>
    </row>
    <row r="341" spans="1:91" ht="24.95" customHeight="1">
      <c r="A341" s="58">
        <f>SUBTOTAL(3,N$8:Table2[[#This Row],[Nama lengkap]])</f>
        <v>334</v>
      </c>
      <c r="B341" s="58" t="s">
        <v>86</v>
      </c>
      <c r="C341" s="58">
        <v>2020</v>
      </c>
      <c r="D341" s="58"/>
      <c r="E341" s="58">
        <v>5</v>
      </c>
      <c r="F341" s="58" t="s">
        <v>3783</v>
      </c>
      <c r="G341" s="32" t="s">
        <v>2513</v>
      </c>
      <c r="H341" s="32" t="s">
        <v>2513</v>
      </c>
      <c r="I341" s="32" t="s">
        <v>2513</v>
      </c>
      <c r="J341" s="32"/>
      <c r="K341" s="32"/>
      <c r="L341" s="32"/>
      <c r="M341" s="58">
        <v>20210203</v>
      </c>
      <c r="N341" s="31" t="s">
        <v>8855</v>
      </c>
      <c r="O341" s="31"/>
      <c r="P341" s="32" t="s">
        <v>3951</v>
      </c>
      <c r="Q341" s="32" t="s">
        <v>3952</v>
      </c>
      <c r="R341" s="64" t="s">
        <v>236</v>
      </c>
      <c r="S341" s="69" t="s">
        <v>3953</v>
      </c>
      <c r="T341" s="47" t="s">
        <v>92</v>
      </c>
      <c r="U341" s="58">
        <v>1</v>
      </c>
      <c r="V341" s="58">
        <v>3</v>
      </c>
      <c r="W341" s="47" t="s">
        <v>207</v>
      </c>
      <c r="X341" s="59"/>
      <c r="Y341" s="64" t="s">
        <v>1907</v>
      </c>
      <c r="Z341" s="64" t="s">
        <v>3954</v>
      </c>
      <c r="AA341" s="64" t="s">
        <v>1141</v>
      </c>
      <c r="AB341" s="64" t="s">
        <v>689</v>
      </c>
      <c r="AC341" s="64" t="s">
        <v>208</v>
      </c>
      <c r="AD341" s="64" t="s">
        <v>208</v>
      </c>
      <c r="AE341" s="67" t="s">
        <v>3955</v>
      </c>
      <c r="AF341" s="67" t="s">
        <v>8585</v>
      </c>
      <c r="AG341" s="67" t="s">
        <v>8585</v>
      </c>
      <c r="AH341" s="64" t="s">
        <v>691</v>
      </c>
      <c r="AI341" s="64" t="s">
        <v>236</v>
      </c>
      <c r="AJ341" s="69">
        <v>26665</v>
      </c>
      <c r="AK341" s="67" t="s">
        <v>3956</v>
      </c>
      <c r="AL341" s="64" t="s">
        <v>114</v>
      </c>
      <c r="AM341" s="67" t="s">
        <v>693</v>
      </c>
      <c r="AN341" s="67"/>
      <c r="AO341" s="64"/>
      <c r="AP341" s="64" t="s">
        <v>3957</v>
      </c>
      <c r="AQ341" s="32" t="s">
        <v>3435</v>
      </c>
      <c r="AR341" s="64" t="s">
        <v>3958</v>
      </c>
      <c r="AS341" s="64" t="s">
        <v>3959</v>
      </c>
      <c r="AT341" s="64" t="s">
        <v>1706</v>
      </c>
      <c r="AU341" s="59" t="s">
        <v>111</v>
      </c>
      <c r="AV341" s="67"/>
      <c r="AW341" s="67" t="s">
        <v>8088</v>
      </c>
      <c r="AX341" s="64" t="s">
        <v>691</v>
      </c>
      <c r="AY341" s="64" t="s">
        <v>236</v>
      </c>
      <c r="AZ341" s="125">
        <v>29587</v>
      </c>
      <c r="BA341" s="67"/>
      <c r="BB341" s="64" t="s">
        <v>845</v>
      </c>
      <c r="BC341" s="67" t="s">
        <v>693</v>
      </c>
      <c r="BD341" s="67"/>
      <c r="BE341" s="64"/>
      <c r="BF341" s="64"/>
      <c r="BG341" s="64" t="s">
        <v>3957</v>
      </c>
      <c r="BH341" s="67" t="s">
        <v>880</v>
      </c>
      <c r="BI341" s="64" t="s">
        <v>3958</v>
      </c>
      <c r="BJ341" s="40" t="s">
        <v>3959</v>
      </c>
      <c r="BK341" s="64" t="s">
        <v>1706</v>
      </c>
      <c r="BL341" s="67" t="s">
        <v>156</v>
      </c>
      <c r="BM341" s="67"/>
      <c r="BN341" s="67"/>
      <c r="BO341" s="64"/>
      <c r="BP341" s="64"/>
      <c r="BQ341" s="135"/>
      <c r="BR341" s="67"/>
      <c r="BS341" s="64"/>
      <c r="BT341" s="67"/>
      <c r="BU341" s="67"/>
      <c r="BV341" s="64"/>
      <c r="BW341" s="64"/>
      <c r="BX341" s="67"/>
      <c r="BY341" s="64"/>
      <c r="BZ341" s="64"/>
      <c r="CA341" s="64"/>
      <c r="CB341" s="64"/>
      <c r="CC341" s="64"/>
      <c r="CD341" s="64"/>
      <c r="CE341" s="64" t="s">
        <v>7614</v>
      </c>
      <c r="CF341" s="67" t="s">
        <v>3435</v>
      </c>
      <c r="CG341" s="64" t="s">
        <v>7262</v>
      </c>
      <c r="CH341" s="64" t="s">
        <v>7263</v>
      </c>
      <c r="CI341" s="64" t="s">
        <v>644</v>
      </c>
      <c r="CJ341" s="64" t="s">
        <v>111</v>
      </c>
      <c r="CK341" s="58"/>
      <c r="CL341" s="64" t="str">
        <f t="shared" ca="1" si="5"/>
        <v>22 Tahun 0 Bulan 18 Hari</v>
      </c>
      <c r="CM34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 Leuwipanjang Gg. Kebon Lega Ii RT/RW 01/01 Desa/Kelurahan Kebon Lega Kecamatan Bojongloa Kidul Kota Bandung Jawa Barat </v>
      </c>
    </row>
    <row r="342" spans="1:91" ht="24.95" customHeight="1">
      <c r="A342" s="58">
        <f>SUBTOTAL(3,N$8:Table2[[#This Row],[Nama lengkap]])</f>
        <v>335</v>
      </c>
      <c r="B342" s="58" t="s">
        <v>86</v>
      </c>
      <c r="C342" s="58">
        <v>2019</v>
      </c>
      <c r="D342" s="58"/>
      <c r="E342" s="58">
        <v>5</v>
      </c>
      <c r="F342" s="58" t="s">
        <v>3783</v>
      </c>
      <c r="G342" s="32" t="s">
        <v>2513</v>
      </c>
      <c r="H342" s="32" t="s">
        <v>2513</v>
      </c>
      <c r="I342" s="32" t="s">
        <v>2513</v>
      </c>
      <c r="J342" s="32"/>
      <c r="K342" s="32"/>
      <c r="L342" s="32"/>
      <c r="M342" s="58">
        <v>19200243</v>
      </c>
      <c r="N342" s="31" t="s">
        <v>6111</v>
      </c>
      <c r="O342" s="31"/>
      <c r="P342" s="32" t="s">
        <v>3961</v>
      </c>
      <c r="Q342" s="32" t="s">
        <v>3962</v>
      </c>
      <c r="R342" s="64" t="s">
        <v>90</v>
      </c>
      <c r="S342" s="69" t="s">
        <v>3963</v>
      </c>
      <c r="T342" s="47" t="s">
        <v>92</v>
      </c>
      <c r="U342" s="58">
        <v>1</v>
      </c>
      <c r="V342" s="58">
        <v>2</v>
      </c>
      <c r="W342" s="47" t="s">
        <v>207</v>
      </c>
      <c r="X342" s="59" t="s">
        <v>93</v>
      </c>
      <c r="Y342" s="64" t="s">
        <v>1012</v>
      </c>
      <c r="Z342" s="64" t="s">
        <v>688</v>
      </c>
      <c r="AA342" s="64" t="s">
        <v>96</v>
      </c>
      <c r="AB342" s="64" t="s">
        <v>689</v>
      </c>
      <c r="AC342" s="64" t="s">
        <v>208</v>
      </c>
      <c r="AD342" s="64" t="s">
        <v>208</v>
      </c>
      <c r="AE342" s="67" t="s">
        <v>3964</v>
      </c>
      <c r="AF342" s="67" t="s">
        <v>8586</v>
      </c>
      <c r="AG342" s="67" t="s">
        <v>8586</v>
      </c>
      <c r="AH342" s="64" t="s">
        <v>691</v>
      </c>
      <c r="AI342" s="64" t="s">
        <v>6475</v>
      </c>
      <c r="AJ342" s="69">
        <v>27871</v>
      </c>
      <c r="AK342" s="67" t="s">
        <v>3965</v>
      </c>
      <c r="AL342" s="64" t="s">
        <v>289</v>
      </c>
      <c r="AM342" s="67" t="s">
        <v>800</v>
      </c>
      <c r="AN342" s="67"/>
      <c r="AO342" s="64"/>
      <c r="AP342" s="64" t="s">
        <v>2348</v>
      </c>
      <c r="AQ342" s="32" t="s">
        <v>925</v>
      </c>
      <c r="AR342" s="64" t="s">
        <v>2350</v>
      </c>
      <c r="AS342" s="64" t="s">
        <v>618</v>
      </c>
      <c r="AT342" s="64" t="s">
        <v>141</v>
      </c>
      <c r="AU342" s="59" t="s">
        <v>111</v>
      </c>
      <c r="AV342" s="67" t="s">
        <v>3966</v>
      </c>
      <c r="AW342" s="67" t="s">
        <v>8089</v>
      </c>
      <c r="AX342" s="64" t="s">
        <v>691</v>
      </c>
      <c r="AY342" s="64" t="s">
        <v>90</v>
      </c>
      <c r="AZ342" s="125">
        <v>30323</v>
      </c>
      <c r="BA342" s="67" t="s">
        <v>3967</v>
      </c>
      <c r="BB342" s="64" t="s">
        <v>845</v>
      </c>
      <c r="BC342" s="67" t="s">
        <v>700</v>
      </c>
      <c r="BD342" s="67"/>
      <c r="BE342" s="64"/>
      <c r="BF342" s="64"/>
      <c r="BG342" s="64" t="s">
        <v>2348</v>
      </c>
      <c r="BH342" s="67" t="s">
        <v>925</v>
      </c>
      <c r="BI342" s="64" t="s">
        <v>2350</v>
      </c>
      <c r="BJ342" s="40" t="s">
        <v>618</v>
      </c>
      <c r="BK342" s="64" t="s">
        <v>141</v>
      </c>
      <c r="BL342" s="67" t="s">
        <v>156</v>
      </c>
      <c r="BM342" s="67" t="s">
        <v>3966</v>
      </c>
      <c r="BN342" s="67"/>
      <c r="BO342" s="64" t="s">
        <v>701</v>
      </c>
      <c r="BP342" s="64"/>
      <c r="BQ342" s="135"/>
      <c r="BR342" s="67"/>
      <c r="BS342" s="64"/>
      <c r="BT342" s="67"/>
      <c r="BU342" s="67"/>
      <c r="BV342" s="64"/>
      <c r="BW342" s="64"/>
      <c r="BX342" s="67"/>
      <c r="BY342" s="64"/>
      <c r="BZ342" s="64"/>
      <c r="CA342" s="64"/>
      <c r="CB342" s="64"/>
      <c r="CC342" s="64"/>
      <c r="CD342" s="64"/>
      <c r="CE342" s="64" t="s">
        <v>504</v>
      </c>
      <c r="CF342" s="67" t="s">
        <v>925</v>
      </c>
      <c r="CG342" s="64" t="s">
        <v>506</v>
      </c>
      <c r="CH342" s="64" t="s">
        <v>507</v>
      </c>
      <c r="CI342" s="64" t="s">
        <v>90</v>
      </c>
      <c r="CJ342" s="64" t="s">
        <v>111</v>
      </c>
      <c r="CK342" s="58" t="s">
        <v>3966</v>
      </c>
      <c r="CL342" s="64" t="str">
        <f t="shared" ca="1" si="5"/>
        <v>18 Tahun 10 Bulan 12 Hari</v>
      </c>
      <c r="CM34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Kp.Tarigu RT/RW 03/01 Desa/Kelurahan Margahurip Kecamatan Banjaran Bandung Jawa Barat 40377</v>
      </c>
    </row>
    <row r="343" spans="1:91" ht="24.95" customHeight="1">
      <c r="A343" s="58">
        <f>SUBTOTAL(3,N$8:Table2[[#This Row],[Nama lengkap]])</f>
        <v>336</v>
      </c>
      <c r="B343" s="58" t="s">
        <v>86</v>
      </c>
      <c r="C343" s="58">
        <v>2019</v>
      </c>
      <c r="D343" s="58"/>
      <c r="E343" s="58">
        <v>5</v>
      </c>
      <c r="F343" s="58" t="s">
        <v>3783</v>
      </c>
      <c r="G343" s="32" t="s">
        <v>2513</v>
      </c>
      <c r="H343" s="32" t="s">
        <v>2513</v>
      </c>
      <c r="I343" s="32" t="s">
        <v>2513</v>
      </c>
      <c r="J343" s="32"/>
      <c r="K343" s="32"/>
      <c r="L343" s="32"/>
      <c r="M343" s="58">
        <v>19200244</v>
      </c>
      <c r="N343" s="31" t="s">
        <v>6112</v>
      </c>
      <c r="O343" s="31"/>
      <c r="P343" s="32" t="s">
        <v>3969</v>
      </c>
      <c r="Q343" s="32" t="s">
        <v>3970</v>
      </c>
      <c r="R343" s="64" t="s">
        <v>90</v>
      </c>
      <c r="S343" s="69" t="s">
        <v>3971</v>
      </c>
      <c r="T343" s="47" t="s">
        <v>92</v>
      </c>
      <c r="U343" s="58">
        <v>2</v>
      </c>
      <c r="V343" s="58">
        <v>1</v>
      </c>
      <c r="W343" s="47" t="s">
        <v>207</v>
      </c>
      <c r="X343" s="64" t="s">
        <v>123</v>
      </c>
      <c r="Y343" s="64" t="s">
        <v>1012</v>
      </c>
      <c r="Z343" s="64" t="s">
        <v>2397</v>
      </c>
      <c r="AA343" s="64" t="s">
        <v>96</v>
      </c>
      <c r="AB343" s="64" t="s">
        <v>689</v>
      </c>
      <c r="AC343" s="64" t="s">
        <v>208</v>
      </c>
      <c r="AD343" s="64" t="s">
        <v>208</v>
      </c>
      <c r="AE343" s="67" t="s">
        <v>3970</v>
      </c>
      <c r="AF343" s="67" t="s">
        <v>8587</v>
      </c>
      <c r="AG343" s="67" t="s">
        <v>8587</v>
      </c>
      <c r="AH343" s="64" t="s">
        <v>691</v>
      </c>
      <c r="AI343" s="64" t="s">
        <v>90</v>
      </c>
      <c r="AJ343" s="69">
        <v>27291</v>
      </c>
      <c r="AK343" s="67" t="s">
        <v>3972</v>
      </c>
      <c r="AL343" s="64" t="s">
        <v>289</v>
      </c>
      <c r="AM343" s="67" t="s">
        <v>693</v>
      </c>
      <c r="AN343" s="67"/>
      <c r="AO343" s="64"/>
      <c r="AP343" s="64" t="s">
        <v>3973</v>
      </c>
      <c r="AQ343" s="32" t="s">
        <v>1052</v>
      </c>
      <c r="AR343" s="64" t="s">
        <v>3974</v>
      </c>
      <c r="AS343" s="64" t="s">
        <v>1913</v>
      </c>
      <c r="AT343" s="64" t="s">
        <v>141</v>
      </c>
      <c r="AU343" s="59" t="s">
        <v>111</v>
      </c>
      <c r="AV343" s="67" t="s">
        <v>118</v>
      </c>
      <c r="AW343" s="67" t="s">
        <v>8090</v>
      </c>
      <c r="AX343" s="64" t="s">
        <v>691</v>
      </c>
      <c r="AY343" s="64" t="s">
        <v>90</v>
      </c>
      <c r="AZ343" s="125">
        <v>27877</v>
      </c>
      <c r="BA343" s="67" t="s">
        <v>3975</v>
      </c>
      <c r="BB343" s="64" t="s">
        <v>845</v>
      </c>
      <c r="BC343" s="67" t="s">
        <v>700</v>
      </c>
      <c r="BD343" s="67"/>
      <c r="BE343" s="64"/>
      <c r="BF343" s="64"/>
      <c r="BG343" s="64" t="s">
        <v>3973</v>
      </c>
      <c r="BH343" s="67" t="s">
        <v>1052</v>
      </c>
      <c r="BI343" s="64" t="s">
        <v>3974</v>
      </c>
      <c r="BJ343" s="40" t="s">
        <v>1913</v>
      </c>
      <c r="BK343" s="64" t="s">
        <v>141</v>
      </c>
      <c r="BL343" s="67" t="s">
        <v>156</v>
      </c>
      <c r="BM343" s="67" t="s">
        <v>118</v>
      </c>
      <c r="BN343" s="67"/>
      <c r="BO343" s="64" t="s">
        <v>701</v>
      </c>
      <c r="BP343" s="64"/>
      <c r="BQ343" s="135"/>
      <c r="BR343" s="67"/>
      <c r="BS343" s="64"/>
      <c r="BT343" s="67"/>
      <c r="BU343" s="67"/>
      <c r="BV343" s="64"/>
      <c r="BW343" s="64"/>
      <c r="BX343" s="67"/>
      <c r="BY343" s="64"/>
      <c r="BZ343" s="64"/>
      <c r="CA343" s="64"/>
      <c r="CB343" s="64"/>
      <c r="CC343" s="64"/>
      <c r="CD343" s="64"/>
      <c r="CE343" s="64" t="s">
        <v>7615</v>
      </c>
      <c r="CF343" s="67" t="s">
        <v>1052</v>
      </c>
      <c r="CG343" s="64" t="s">
        <v>7264</v>
      </c>
      <c r="CH343" s="64" t="s">
        <v>110</v>
      </c>
      <c r="CI343" s="64" t="s">
        <v>90</v>
      </c>
      <c r="CJ343" s="64" t="s">
        <v>111</v>
      </c>
      <c r="CK343" s="58" t="s">
        <v>118</v>
      </c>
      <c r="CL343" s="64" t="str">
        <f t="shared" ca="1" si="5"/>
        <v>18 Tahun 6 Bulan 8 Hari</v>
      </c>
      <c r="CM34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Kp.Bojong RT/RW 04/02 Desa/Kelurahan Sukamukti Kecamatan Katapang Bandung Jawa Barat 40971</v>
      </c>
    </row>
    <row r="344" spans="1:91" ht="24.95" customHeight="1">
      <c r="A344" s="58">
        <f>SUBTOTAL(3,N$8:Table2[[#This Row],[Nama lengkap]])</f>
        <v>337</v>
      </c>
      <c r="B344" s="58" t="s">
        <v>86</v>
      </c>
      <c r="C344" s="58">
        <v>2019</v>
      </c>
      <c r="D344" s="58"/>
      <c r="E344" s="58">
        <v>5</v>
      </c>
      <c r="F344" s="58" t="s">
        <v>3783</v>
      </c>
      <c r="G344" s="32" t="s">
        <v>2513</v>
      </c>
      <c r="H344" s="32" t="s">
        <v>2513</v>
      </c>
      <c r="I344" s="32" t="s">
        <v>2513</v>
      </c>
      <c r="J344" s="32"/>
      <c r="K344" s="32"/>
      <c r="L344" s="32"/>
      <c r="M344" s="58">
        <v>19200249</v>
      </c>
      <c r="N344" s="31" t="s">
        <v>6113</v>
      </c>
      <c r="O344" s="31"/>
      <c r="P344" s="32" t="s">
        <v>3977</v>
      </c>
      <c r="Q344" s="32" t="s">
        <v>3978</v>
      </c>
      <c r="R344" s="64" t="s">
        <v>90</v>
      </c>
      <c r="S344" s="69" t="s">
        <v>3979</v>
      </c>
      <c r="T344" s="47" t="s">
        <v>92</v>
      </c>
      <c r="U344" s="58">
        <v>1</v>
      </c>
      <c r="V344" s="58">
        <v>2</v>
      </c>
      <c r="W344" s="47" t="s">
        <v>207</v>
      </c>
      <c r="X344" s="64"/>
      <c r="Y344" s="64" t="s">
        <v>3451</v>
      </c>
      <c r="Z344" s="64" t="s">
        <v>3980</v>
      </c>
      <c r="AA344" s="64" t="s">
        <v>96</v>
      </c>
      <c r="AB344" s="64"/>
      <c r="AC344" s="64" t="s">
        <v>208</v>
      </c>
      <c r="AD344" s="64" t="s">
        <v>208</v>
      </c>
      <c r="AE344" s="67" t="s">
        <v>3981</v>
      </c>
      <c r="AF344" s="67" t="s">
        <v>8434</v>
      </c>
      <c r="AG344" s="67" t="s">
        <v>8434</v>
      </c>
      <c r="AH344" s="64" t="s">
        <v>691</v>
      </c>
      <c r="AI344" s="64" t="s">
        <v>90</v>
      </c>
      <c r="AJ344" s="69">
        <v>28533</v>
      </c>
      <c r="AK344" s="67" t="s">
        <v>2303</v>
      </c>
      <c r="AL344" s="64" t="s">
        <v>602</v>
      </c>
      <c r="AM344" s="67" t="s">
        <v>800</v>
      </c>
      <c r="AN344" s="67"/>
      <c r="AO344" s="64"/>
      <c r="AP344" s="64" t="s">
        <v>2304</v>
      </c>
      <c r="AQ344" s="32" t="s">
        <v>880</v>
      </c>
      <c r="AR344" s="64" t="s">
        <v>2305</v>
      </c>
      <c r="AS344" s="64" t="s">
        <v>618</v>
      </c>
      <c r="AT344" s="64" t="s">
        <v>141</v>
      </c>
      <c r="AU344" s="59" t="s">
        <v>111</v>
      </c>
      <c r="AV344" s="67" t="s">
        <v>3966</v>
      </c>
      <c r="AW344" s="67" t="s">
        <v>7945</v>
      </c>
      <c r="AX344" s="64" t="s">
        <v>691</v>
      </c>
      <c r="AY344" s="64" t="s">
        <v>90</v>
      </c>
      <c r="AZ344" s="125">
        <v>29830</v>
      </c>
      <c r="BA344" s="67" t="s">
        <v>2307</v>
      </c>
      <c r="BB344" s="64" t="s">
        <v>845</v>
      </c>
      <c r="BC344" s="67" t="s">
        <v>800</v>
      </c>
      <c r="BD344" s="67"/>
      <c r="BE344" s="64"/>
      <c r="BF344" s="64"/>
      <c r="BG344" s="64" t="s">
        <v>2304</v>
      </c>
      <c r="BH344" s="67" t="s">
        <v>880</v>
      </c>
      <c r="BI344" s="64" t="s">
        <v>2305</v>
      </c>
      <c r="BJ344" s="40" t="s">
        <v>618</v>
      </c>
      <c r="BK344" s="64" t="s">
        <v>141</v>
      </c>
      <c r="BL344" s="67" t="s">
        <v>156</v>
      </c>
      <c r="BM344" s="67" t="s">
        <v>3966</v>
      </c>
      <c r="BN344" s="67"/>
      <c r="BO344" s="64" t="s">
        <v>701</v>
      </c>
      <c r="BP344" s="64"/>
      <c r="BQ344" s="135"/>
      <c r="BR344" s="67"/>
      <c r="BS344" s="64"/>
      <c r="BT344" s="67"/>
      <c r="BU344" s="67"/>
      <c r="BV344" s="64"/>
      <c r="BW344" s="64"/>
      <c r="BX344" s="67"/>
      <c r="BY344" s="64"/>
      <c r="BZ344" s="64"/>
      <c r="CA344" s="64"/>
      <c r="CB344" s="64"/>
      <c r="CC344" s="64"/>
      <c r="CD344" s="64"/>
      <c r="CE344" s="64" t="s">
        <v>7478</v>
      </c>
      <c r="CF344" s="67" t="s">
        <v>880</v>
      </c>
      <c r="CG344" s="64" t="s">
        <v>7162</v>
      </c>
      <c r="CH344" s="64" t="s">
        <v>507</v>
      </c>
      <c r="CI344" s="64" t="s">
        <v>90</v>
      </c>
      <c r="CJ344" s="64" t="s">
        <v>111</v>
      </c>
      <c r="CK344" s="58" t="s">
        <v>3966</v>
      </c>
      <c r="CL344" s="64" t="str">
        <f t="shared" ca="1" si="5"/>
        <v>19 Tahun 4 Bulan 27 Hari</v>
      </c>
      <c r="CM34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Kp.Cipaku RT/RW 01/02 Desa/Kelurahan Tarajusari Kecamatan Banjaran Bandung Jawa Barat 40377</v>
      </c>
    </row>
    <row r="345" spans="1:91" ht="24.95" customHeight="1">
      <c r="A345" s="58">
        <f>SUBTOTAL(3,N$8:Table2[[#This Row],[Nama lengkap]])</f>
        <v>338</v>
      </c>
      <c r="B345" s="58" t="s">
        <v>86</v>
      </c>
      <c r="C345" s="58">
        <v>2020</v>
      </c>
      <c r="D345" s="58"/>
      <c r="E345" s="58">
        <v>5</v>
      </c>
      <c r="F345" s="58" t="s">
        <v>3783</v>
      </c>
      <c r="G345" s="32" t="s">
        <v>2513</v>
      </c>
      <c r="H345" s="32" t="s">
        <v>2513</v>
      </c>
      <c r="I345" s="32" t="s">
        <v>2513</v>
      </c>
      <c r="J345" s="32"/>
      <c r="K345" s="32"/>
      <c r="L345" s="32"/>
      <c r="M345" s="58">
        <v>20210163</v>
      </c>
      <c r="N345" s="31" t="s">
        <v>8856</v>
      </c>
      <c r="O345" s="31"/>
      <c r="P345" s="32" t="s">
        <v>3982</v>
      </c>
      <c r="Q345" s="32" t="s">
        <v>3983</v>
      </c>
      <c r="R345" s="64" t="s">
        <v>122</v>
      </c>
      <c r="S345" s="69" t="s">
        <v>2839</v>
      </c>
      <c r="T345" s="47" t="s">
        <v>92</v>
      </c>
      <c r="U345" s="58">
        <v>1</v>
      </c>
      <c r="V345" s="58">
        <v>2</v>
      </c>
      <c r="W345" s="47" t="s">
        <v>207</v>
      </c>
      <c r="X345" s="59"/>
      <c r="Y345" s="64"/>
      <c r="Z345" s="64" t="s">
        <v>1042</v>
      </c>
      <c r="AA345" s="64" t="s">
        <v>96</v>
      </c>
      <c r="AB345" s="64" t="s">
        <v>689</v>
      </c>
      <c r="AC345" s="64" t="s">
        <v>208</v>
      </c>
      <c r="AD345" s="64" t="s">
        <v>208</v>
      </c>
      <c r="AE345" s="67" t="s">
        <v>3984</v>
      </c>
      <c r="AF345" s="67" t="s">
        <v>6417</v>
      </c>
      <c r="AG345" s="67" t="s">
        <v>6417</v>
      </c>
      <c r="AH345" s="64" t="s">
        <v>691</v>
      </c>
      <c r="AI345" s="64" t="s">
        <v>90</v>
      </c>
      <c r="AJ345" s="69">
        <v>28609</v>
      </c>
      <c r="AK345" s="67" t="s">
        <v>3985</v>
      </c>
      <c r="AL345" s="64" t="s">
        <v>8254</v>
      </c>
      <c r="AM345" s="67" t="s">
        <v>800</v>
      </c>
      <c r="AN345" s="67"/>
      <c r="AO345" s="64"/>
      <c r="AP345" s="64" t="s">
        <v>3986</v>
      </c>
      <c r="AQ345" s="32" t="s">
        <v>3987</v>
      </c>
      <c r="AR345" s="64" t="s">
        <v>1625</v>
      </c>
      <c r="AS345" s="64" t="s">
        <v>1626</v>
      </c>
      <c r="AT345" s="64" t="s">
        <v>1090</v>
      </c>
      <c r="AU345" s="59" t="s">
        <v>111</v>
      </c>
      <c r="AV345" s="67"/>
      <c r="AW345" s="67" t="s">
        <v>8091</v>
      </c>
      <c r="AX345" s="64" t="s">
        <v>691</v>
      </c>
      <c r="AY345" s="64" t="s">
        <v>122</v>
      </c>
      <c r="AZ345" s="125" t="s">
        <v>3988</v>
      </c>
      <c r="BA345" s="67" t="s">
        <v>3989</v>
      </c>
      <c r="BB345" s="64" t="s">
        <v>845</v>
      </c>
      <c r="BC345" s="67" t="s">
        <v>800</v>
      </c>
      <c r="BD345" s="67"/>
      <c r="BE345" s="64"/>
      <c r="BF345" s="64"/>
      <c r="BG345" s="64" t="s">
        <v>3986</v>
      </c>
      <c r="BH345" s="67" t="s">
        <v>3987</v>
      </c>
      <c r="BI345" s="64" t="s">
        <v>1625</v>
      </c>
      <c r="BJ345" s="40" t="s">
        <v>1626</v>
      </c>
      <c r="BK345" s="64" t="s">
        <v>1090</v>
      </c>
      <c r="BL345" s="67" t="s">
        <v>156</v>
      </c>
      <c r="BM345" s="67"/>
      <c r="BN345" s="67"/>
      <c r="BO345" s="64" t="s">
        <v>701</v>
      </c>
      <c r="BP345" s="64"/>
      <c r="BQ345" s="135"/>
      <c r="BR345" s="67"/>
      <c r="BS345" s="64"/>
      <c r="BT345" s="67"/>
      <c r="BU345" s="67"/>
      <c r="BV345" s="64"/>
      <c r="BW345" s="64"/>
      <c r="BX345" s="67"/>
      <c r="BY345" s="64"/>
      <c r="BZ345" s="64"/>
      <c r="CA345" s="64"/>
      <c r="CB345" s="64"/>
      <c r="CC345" s="64"/>
      <c r="CD345" s="64"/>
      <c r="CE345" s="64" t="s">
        <v>7616</v>
      </c>
      <c r="CF345" s="67" t="s">
        <v>3987</v>
      </c>
      <c r="CG345" s="64" t="s">
        <v>7097</v>
      </c>
      <c r="CH345" s="64" t="s">
        <v>1518</v>
      </c>
      <c r="CI345" s="64" t="s">
        <v>122</v>
      </c>
      <c r="CJ345" s="64" t="s">
        <v>111</v>
      </c>
      <c r="CK345" s="58"/>
      <c r="CL345" s="64" t="str">
        <f t="shared" ca="1" si="5"/>
        <v>17 Tahun 5 Bulan 20 Hari</v>
      </c>
      <c r="CM34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Dsn.Manabaya RT/RW 05/06 Desa/Kelurahan Sindangpakuon Kecamatan Cimanggung Sumedang Jawa Barat </v>
      </c>
    </row>
    <row r="346" spans="1:91" ht="24.95" customHeight="1">
      <c r="A346" s="58">
        <f>SUBTOTAL(3,N$8:Table2[[#This Row],[Nama lengkap]])</f>
        <v>339</v>
      </c>
      <c r="B346" s="58" t="s">
        <v>86</v>
      </c>
      <c r="C346" s="58">
        <v>2020</v>
      </c>
      <c r="D346" s="58"/>
      <c r="E346" s="58">
        <v>5</v>
      </c>
      <c r="F346" s="58" t="s">
        <v>3783</v>
      </c>
      <c r="G346" s="32" t="s">
        <v>2513</v>
      </c>
      <c r="H346" s="32" t="s">
        <v>2513</v>
      </c>
      <c r="I346" s="32" t="s">
        <v>2513</v>
      </c>
      <c r="J346" s="32"/>
      <c r="K346" s="32"/>
      <c r="L346" s="32"/>
      <c r="M346" s="58">
        <v>20210165</v>
      </c>
      <c r="N346" s="31" t="s">
        <v>6115</v>
      </c>
      <c r="O346" s="31"/>
      <c r="P346" s="32" t="s">
        <v>3991</v>
      </c>
      <c r="Q346" s="32" t="s">
        <v>3992</v>
      </c>
      <c r="R346" s="64" t="s">
        <v>456</v>
      </c>
      <c r="S346" s="69" t="s">
        <v>3993</v>
      </c>
      <c r="T346" s="47" t="s">
        <v>92</v>
      </c>
      <c r="U346" s="58">
        <v>1</v>
      </c>
      <c r="V346" s="58">
        <v>0</v>
      </c>
      <c r="W346" s="47" t="s">
        <v>207</v>
      </c>
      <c r="X346" s="59"/>
      <c r="Y346" s="64" t="s">
        <v>1687</v>
      </c>
      <c r="Z346" s="64" t="s">
        <v>3994</v>
      </c>
      <c r="AA346" s="64" t="s">
        <v>96</v>
      </c>
      <c r="AB346" s="64" t="s">
        <v>689</v>
      </c>
      <c r="AC346" s="64" t="s">
        <v>208</v>
      </c>
      <c r="AD346" s="64" t="s">
        <v>208</v>
      </c>
      <c r="AE346" s="67" t="s">
        <v>3995</v>
      </c>
      <c r="AF346" s="67" t="s">
        <v>8588</v>
      </c>
      <c r="AG346" s="67" t="s">
        <v>8588</v>
      </c>
      <c r="AH346" s="64" t="s">
        <v>691</v>
      </c>
      <c r="AI346" s="64" t="s">
        <v>8282</v>
      </c>
      <c r="AJ346" s="69">
        <v>31189</v>
      </c>
      <c r="AK346" s="67" t="s">
        <v>3996</v>
      </c>
      <c r="AL346" s="64" t="s">
        <v>602</v>
      </c>
      <c r="AM346" s="67" t="s">
        <v>800</v>
      </c>
      <c r="AN346" s="67"/>
      <c r="AO346" s="64"/>
      <c r="AP346" s="64" t="s">
        <v>3997</v>
      </c>
      <c r="AQ346" s="32" t="s">
        <v>3183</v>
      </c>
      <c r="AR346" s="64" t="s">
        <v>2105</v>
      </c>
      <c r="AS346" s="64" t="s">
        <v>2996</v>
      </c>
      <c r="AT346" s="64" t="s">
        <v>141</v>
      </c>
      <c r="AU346" s="59" t="s">
        <v>111</v>
      </c>
      <c r="AV346" s="67"/>
      <c r="AW346" s="67" t="s">
        <v>8092</v>
      </c>
      <c r="AX346" s="64" t="s">
        <v>691</v>
      </c>
      <c r="AY346" s="64" t="s">
        <v>7211</v>
      </c>
      <c r="AZ346" s="125">
        <v>30594</v>
      </c>
      <c r="BA346" s="67" t="s">
        <v>3998</v>
      </c>
      <c r="BB346" s="64" t="s">
        <v>845</v>
      </c>
      <c r="BC346" s="67" t="s">
        <v>1820</v>
      </c>
      <c r="BD346" s="67"/>
      <c r="BE346" s="64"/>
      <c r="BF346" s="64"/>
      <c r="BG346" s="64" t="s">
        <v>3997</v>
      </c>
      <c r="BH346" s="67" t="s">
        <v>3183</v>
      </c>
      <c r="BI346" s="64" t="s">
        <v>2105</v>
      </c>
      <c r="BJ346" s="40" t="s">
        <v>2996</v>
      </c>
      <c r="BK346" s="64" t="s">
        <v>141</v>
      </c>
      <c r="BL346" s="67" t="s">
        <v>156</v>
      </c>
      <c r="BM346" s="67"/>
      <c r="BN346" s="67"/>
      <c r="BO346" s="64" t="s">
        <v>701</v>
      </c>
      <c r="BP346" s="64"/>
      <c r="BQ346" s="135"/>
      <c r="BR346" s="67"/>
      <c r="BS346" s="64"/>
      <c r="BT346" s="67"/>
      <c r="BU346" s="67"/>
      <c r="BV346" s="64"/>
      <c r="BW346" s="64"/>
      <c r="BX346" s="67"/>
      <c r="BY346" s="64"/>
      <c r="BZ346" s="64"/>
      <c r="CA346" s="64"/>
      <c r="CB346" s="64"/>
      <c r="CC346" s="64"/>
      <c r="CD346" s="64"/>
      <c r="CE346" s="64" t="s">
        <v>7617</v>
      </c>
      <c r="CF346" s="67" t="s">
        <v>3183</v>
      </c>
      <c r="CG346" s="64" t="s">
        <v>6491</v>
      </c>
      <c r="CH346" s="64" t="s">
        <v>7211</v>
      </c>
      <c r="CI346" s="64" t="s">
        <v>90</v>
      </c>
      <c r="CJ346" s="64" t="s">
        <v>111</v>
      </c>
      <c r="CK346" s="58"/>
      <c r="CL346" s="64" t="str">
        <f t="shared" ca="1" si="5"/>
        <v>18 Tahun 2 Bulan 15 Hari</v>
      </c>
      <c r="CM34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Kp.Loskulalet RT/RW 04/08 Desa/Kelurahan Margamekar Kecamatan Pangalengan Bandung Jawa Barat </v>
      </c>
    </row>
    <row r="347" spans="1:91" ht="24.95" customHeight="1">
      <c r="A347" s="58">
        <f>SUBTOTAL(3,N$8:Table2[[#This Row],[Nama lengkap]])</f>
        <v>340</v>
      </c>
      <c r="B347" s="58" t="s">
        <v>86</v>
      </c>
      <c r="C347" s="58">
        <v>2019</v>
      </c>
      <c r="D347" s="58"/>
      <c r="E347" s="58">
        <v>5</v>
      </c>
      <c r="F347" s="58" t="s">
        <v>3783</v>
      </c>
      <c r="G347" s="32" t="s">
        <v>2513</v>
      </c>
      <c r="H347" s="32" t="s">
        <v>2513</v>
      </c>
      <c r="I347" s="32" t="s">
        <v>2513</v>
      </c>
      <c r="J347" s="32"/>
      <c r="K347" s="32"/>
      <c r="L347" s="32"/>
      <c r="M347" s="58">
        <v>19200262</v>
      </c>
      <c r="N347" s="31" t="s">
        <v>6116</v>
      </c>
      <c r="O347" s="31"/>
      <c r="P347" s="32" t="s">
        <v>4000</v>
      </c>
      <c r="Q347" s="32" t="s">
        <v>4001</v>
      </c>
      <c r="R347" s="64" t="s">
        <v>122</v>
      </c>
      <c r="S347" s="69" t="s">
        <v>4002</v>
      </c>
      <c r="T347" s="47" t="s">
        <v>92</v>
      </c>
      <c r="U347" s="58">
        <v>2</v>
      </c>
      <c r="V347" s="58">
        <v>2</v>
      </c>
      <c r="W347" s="47" t="s">
        <v>207</v>
      </c>
      <c r="X347" s="64" t="s">
        <v>123</v>
      </c>
      <c r="Y347" s="64" t="s">
        <v>4003</v>
      </c>
      <c r="Z347" s="64" t="s">
        <v>1985</v>
      </c>
      <c r="AA347" s="64" t="s">
        <v>96</v>
      </c>
      <c r="AB347" s="64" t="s">
        <v>689</v>
      </c>
      <c r="AC347" s="64" t="s">
        <v>208</v>
      </c>
      <c r="AD347" s="64" t="s">
        <v>208</v>
      </c>
      <c r="AE347" s="67" t="s">
        <v>4004</v>
      </c>
      <c r="AF347" s="67" t="s">
        <v>8589</v>
      </c>
      <c r="AG347" s="67" t="s">
        <v>8589</v>
      </c>
      <c r="AH347" s="64" t="s">
        <v>691</v>
      </c>
      <c r="AI347" s="64" t="s">
        <v>7260</v>
      </c>
      <c r="AJ347" s="69">
        <v>28319</v>
      </c>
      <c r="AK347" s="67" t="s">
        <v>4005</v>
      </c>
      <c r="AL347" s="64" t="s">
        <v>114</v>
      </c>
      <c r="AM347" s="67" t="s">
        <v>800</v>
      </c>
      <c r="AN347" s="67"/>
      <c r="AO347" s="64"/>
      <c r="AP347" s="64" t="s">
        <v>4006</v>
      </c>
      <c r="AQ347" s="32" t="s">
        <v>1418</v>
      </c>
      <c r="AR347" s="64" t="s">
        <v>4007</v>
      </c>
      <c r="AS347" s="64" t="s">
        <v>1267</v>
      </c>
      <c r="AT347" s="64" t="s">
        <v>1090</v>
      </c>
      <c r="AU347" s="59" t="s">
        <v>111</v>
      </c>
      <c r="AV347" s="67" t="s">
        <v>4008</v>
      </c>
      <c r="AW347" s="67" t="s">
        <v>8093</v>
      </c>
      <c r="AX347" s="64" t="s">
        <v>691</v>
      </c>
      <c r="AY347" s="64" t="s">
        <v>122</v>
      </c>
      <c r="AZ347" s="125">
        <v>27984</v>
      </c>
      <c r="BA347" s="67" t="s">
        <v>4009</v>
      </c>
      <c r="BB347" s="64" t="s">
        <v>845</v>
      </c>
      <c r="BC347" s="67" t="s">
        <v>693</v>
      </c>
      <c r="BD347" s="67"/>
      <c r="BE347" s="64"/>
      <c r="BF347" s="64"/>
      <c r="BG347" s="64" t="s">
        <v>4006</v>
      </c>
      <c r="BH347" s="67" t="s">
        <v>1418</v>
      </c>
      <c r="BI347" s="64" t="s">
        <v>4007</v>
      </c>
      <c r="BJ347" s="40" t="s">
        <v>1267</v>
      </c>
      <c r="BK347" s="64" t="s">
        <v>1090</v>
      </c>
      <c r="BL347" s="67" t="s">
        <v>156</v>
      </c>
      <c r="BM347" s="67" t="s">
        <v>4008</v>
      </c>
      <c r="BN347" s="67"/>
      <c r="BO347" s="64" t="s">
        <v>701</v>
      </c>
      <c r="BP347" s="64"/>
      <c r="BQ347" s="135"/>
      <c r="BR347" s="67"/>
      <c r="BS347" s="64"/>
      <c r="BT347" s="67"/>
      <c r="BU347" s="67"/>
      <c r="BV347" s="64"/>
      <c r="BW347" s="64"/>
      <c r="BX347" s="67"/>
      <c r="BY347" s="64"/>
      <c r="BZ347" s="64"/>
      <c r="CA347" s="64"/>
      <c r="CB347" s="64"/>
      <c r="CC347" s="64"/>
      <c r="CD347" s="64"/>
      <c r="CE347" s="64" t="s">
        <v>7618</v>
      </c>
      <c r="CF347" s="67" t="s">
        <v>1418</v>
      </c>
      <c r="CG347" s="64" t="s">
        <v>7265</v>
      </c>
      <c r="CH347" s="64" t="s">
        <v>7064</v>
      </c>
      <c r="CI347" s="64" t="s">
        <v>122</v>
      </c>
      <c r="CJ347" s="64" t="s">
        <v>111</v>
      </c>
      <c r="CK347" s="58" t="s">
        <v>4008</v>
      </c>
      <c r="CL347" s="64" t="str">
        <f t="shared" ca="1" si="5"/>
        <v>19 Tahun 10 Bulan 1 Hari</v>
      </c>
      <c r="CM34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 Awiluar RT/RW 02/01 Desa/Kelurahan Ciuyah Kecamatan Cisarua Sumedang Jawa Barat 45357</v>
      </c>
    </row>
    <row r="348" spans="1:91" ht="24.95" customHeight="1">
      <c r="A348" s="58">
        <f>SUBTOTAL(3,N$8:Table2[[#This Row],[Nama lengkap]])</f>
        <v>341</v>
      </c>
      <c r="B348" s="58" t="s">
        <v>86</v>
      </c>
      <c r="C348" s="58">
        <v>2019</v>
      </c>
      <c r="D348" s="58" t="s">
        <v>8936</v>
      </c>
      <c r="E348" s="58">
        <v>5</v>
      </c>
      <c r="F348" s="58" t="s">
        <v>3783</v>
      </c>
      <c r="G348" s="32" t="s">
        <v>2513</v>
      </c>
      <c r="H348" s="32" t="s">
        <v>2513</v>
      </c>
      <c r="I348" s="32" t="s">
        <v>2513</v>
      </c>
      <c r="J348" s="32"/>
      <c r="K348" s="32"/>
      <c r="L348" s="32"/>
      <c r="M348" s="58">
        <v>19200269</v>
      </c>
      <c r="N348" s="31" t="s">
        <v>6117</v>
      </c>
      <c r="O348" s="31"/>
      <c r="P348" s="32" t="s">
        <v>4011</v>
      </c>
      <c r="Q348" s="32" t="s">
        <v>4012</v>
      </c>
      <c r="R348" s="64" t="s">
        <v>90</v>
      </c>
      <c r="S348" s="69" t="s">
        <v>4013</v>
      </c>
      <c r="T348" s="47" t="s">
        <v>92</v>
      </c>
      <c r="U348" s="58">
        <v>3</v>
      </c>
      <c r="V348" s="58">
        <v>2</v>
      </c>
      <c r="W348" s="47" t="s">
        <v>207</v>
      </c>
      <c r="X348" s="59" t="s">
        <v>303</v>
      </c>
      <c r="Y348" s="64" t="s">
        <v>4014</v>
      </c>
      <c r="Z348" s="64" t="s">
        <v>1093</v>
      </c>
      <c r="AA348" s="64" t="s">
        <v>1028</v>
      </c>
      <c r="AB348" s="64" t="s">
        <v>689</v>
      </c>
      <c r="AC348" s="64" t="s">
        <v>208</v>
      </c>
      <c r="AD348" s="64" t="s">
        <v>208</v>
      </c>
      <c r="AE348" s="67" t="s">
        <v>4015</v>
      </c>
      <c r="AF348" s="67" t="s">
        <v>8590</v>
      </c>
      <c r="AG348" s="67" t="s">
        <v>8590</v>
      </c>
      <c r="AH348" s="64" t="s">
        <v>691</v>
      </c>
      <c r="AI348" s="64" t="s">
        <v>122</v>
      </c>
      <c r="AJ348" s="69">
        <v>22231</v>
      </c>
      <c r="AK348" s="67" t="s">
        <v>4016</v>
      </c>
      <c r="AL348" s="64" t="s">
        <v>289</v>
      </c>
      <c r="AM348" s="67" t="s">
        <v>693</v>
      </c>
      <c r="AN348" s="67"/>
      <c r="AO348" s="64"/>
      <c r="AP348" s="64" t="s">
        <v>4017</v>
      </c>
      <c r="AQ348" s="32" t="s">
        <v>1034</v>
      </c>
      <c r="AR348" s="64" t="s">
        <v>4018</v>
      </c>
      <c r="AS348" s="64" t="s">
        <v>1124</v>
      </c>
      <c r="AT348" s="64" t="s">
        <v>141</v>
      </c>
      <c r="AU348" s="59" t="s">
        <v>111</v>
      </c>
      <c r="AV348" s="67" t="s">
        <v>4019</v>
      </c>
      <c r="AW348" s="67" t="s">
        <v>8094</v>
      </c>
      <c r="AX348" s="64" t="s">
        <v>691</v>
      </c>
      <c r="AY348" s="64" t="s">
        <v>122</v>
      </c>
      <c r="AZ348" s="125">
        <v>26762</v>
      </c>
      <c r="BA348" s="67" t="s">
        <v>4020</v>
      </c>
      <c r="BB348" s="64" t="s">
        <v>845</v>
      </c>
      <c r="BC348" s="67" t="s">
        <v>693</v>
      </c>
      <c r="BD348" s="67"/>
      <c r="BE348" s="64"/>
      <c r="BF348" s="64"/>
      <c r="BG348" s="64" t="s">
        <v>4017</v>
      </c>
      <c r="BH348" s="67" t="s">
        <v>1034</v>
      </c>
      <c r="BI348" s="64" t="s">
        <v>4018</v>
      </c>
      <c r="BJ348" s="40" t="s">
        <v>1124</v>
      </c>
      <c r="BK348" s="64" t="s">
        <v>141</v>
      </c>
      <c r="BL348" s="67" t="s">
        <v>156</v>
      </c>
      <c r="BM348" s="67" t="s">
        <v>4019</v>
      </c>
      <c r="BN348" s="67"/>
      <c r="BO348" s="64" t="s">
        <v>701</v>
      </c>
      <c r="BP348" s="64"/>
      <c r="BQ348" s="135"/>
      <c r="BR348" s="67"/>
      <c r="BS348" s="64"/>
      <c r="BT348" s="67"/>
      <c r="BU348" s="67"/>
      <c r="BV348" s="64"/>
      <c r="BW348" s="64"/>
      <c r="BX348" s="67"/>
      <c r="BY348" s="64"/>
      <c r="BZ348" s="64"/>
      <c r="CA348" s="64"/>
      <c r="CB348" s="64"/>
      <c r="CC348" s="64"/>
      <c r="CD348" s="64"/>
      <c r="CE348" s="64" t="s">
        <v>7619</v>
      </c>
      <c r="CF348" s="67" t="s">
        <v>1034</v>
      </c>
      <c r="CG348" s="64" t="s">
        <v>7266</v>
      </c>
      <c r="CH348" s="64" t="s">
        <v>7050</v>
      </c>
      <c r="CI348" s="64" t="s">
        <v>90</v>
      </c>
      <c r="CJ348" s="64" t="s">
        <v>111</v>
      </c>
      <c r="CK348" s="58" t="s">
        <v>4019</v>
      </c>
      <c r="CL348" s="64" t="str">
        <f t="shared" ca="1" si="5"/>
        <v>22 Tahun 5 Bulan 6 Hari</v>
      </c>
      <c r="CM34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Kp.Cileunyi RT/RW 05/05 Desa/Kelurahan Cileunyi Wetan Kecamatan Cileunyi Bandung Jawa Barat 40622</v>
      </c>
    </row>
    <row r="349" spans="1:91" ht="24.95" customHeight="1">
      <c r="A349" s="58">
        <f>SUBTOTAL(3,N$8:Table2[[#This Row],[Nama lengkap]])</f>
        <v>342</v>
      </c>
      <c r="B349" s="58" t="s">
        <v>86</v>
      </c>
      <c r="C349" s="58">
        <v>2019</v>
      </c>
      <c r="D349" s="58"/>
      <c r="E349" s="58">
        <v>5</v>
      </c>
      <c r="F349" s="58" t="s">
        <v>3783</v>
      </c>
      <c r="G349" s="32" t="s">
        <v>2513</v>
      </c>
      <c r="H349" s="32" t="s">
        <v>2513</v>
      </c>
      <c r="I349" s="32" t="s">
        <v>2513</v>
      </c>
      <c r="J349" s="32"/>
      <c r="K349" s="32"/>
      <c r="L349" s="32"/>
      <c r="M349" s="58">
        <v>19200273</v>
      </c>
      <c r="N349" s="31" t="s">
        <v>8857</v>
      </c>
      <c r="O349" s="31"/>
      <c r="P349" s="32" t="s">
        <v>4022</v>
      </c>
      <c r="Q349" s="32" t="s">
        <v>4023</v>
      </c>
      <c r="R349" s="64" t="s">
        <v>90</v>
      </c>
      <c r="S349" s="69" t="s">
        <v>4024</v>
      </c>
      <c r="T349" s="47" t="s">
        <v>92</v>
      </c>
      <c r="U349" s="58">
        <v>2</v>
      </c>
      <c r="V349" s="58">
        <v>1</v>
      </c>
      <c r="W349" s="47" t="s">
        <v>207</v>
      </c>
      <c r="X349" s="64" t="s">
        <v>303</v>
      </c>
      <c r="Y349" s="64" t="s">
        <v>4025</v>
      </c>
      <c r="Z349" s="64" t="s">
        <v>2336</v>
      </c>
      <c r="AA349" s="64" t="s">
        <v>96</v>
      </c>
      <c r="AB349" s="64" t="s">
        <v>689</v>
      </c>
      <c r="AC349" s="64" t="s">
        <v>208</v>
      </c>
      <c r="AD349" s="64" t="s">
        <v>208</v>
      </c>
      <c r="AE349" s="67" t="s">
        <v>4026</v>
      </c>
      <c r="AF349" s="67" t="s">
        <v>8591</v>
      </c>
      <c r="AG349" s="67" t="s">
        <v>8591</v>
      </c>
      <c r="AH349" s="64" t="s">
        <v>691</v>
      </c>
      <c r="AI349" s="64" t="s">
        <v>90</v>
      </c>
      <c r="AJ349" s="69">
        <v>27550</v>
      </c>
      <c r="AK349" s="67" t="s">
        <v>4027</v>
      </c>
      <c r="AL349" s="64" t="s">
        <v>289</v>
      </c>
      <c r="AM349" s="67" t="s">
        <v>693</v>
      </c>
      <c r="AN349" s="67"/>
      <c r="AO349" s="64"/>
      <c r="AP349" s="64" t="s">
        <v>4028</v>
      </c>
      <c r="AQ349" s="32" t="s">
        <v>521</v>
      </c>
      <c r="AR349" s="64" t="s">
        <v>2125</v>
      </c>
      <c r="AS349" s="64" t="s">
        <v>1347</v>
      </c>
      <c r="AT349" s="64" t="s">
        <v>141</v>
      </c>
      <c r="AU349" s="59" t="s">
        <v>111</v>
      </c>
      <c r="AV349" s="67" t="s">
        <v>4029</v>
      </c>
      <c r="AW349" s="67" t="s">
        <v>8095</v>
      </c>
      <c r="AX349" s="64" t="s">
        <v>691</v>
      </c>
      <c r="AY349" s="64" t="s">
        <v>90</v>
      </c>
      <c r="AZ349" s="125">
        <v>27596</v>
      </c>
      <c r="BA349" s="67" t="s">
        <v>4030</v>
      </c>
      <c r="BB349" s="64" t="s">
        <v>845</v>
      </c>
      <c r="BC349" s="67" t="s">
        <v>700</v>
      </c>
      <c r="BD349" s="67"/>
      <c r="BE349" s="64"/>
      <c r="BF349" s="64"/>
      <c r="BG349" s="64" t="s">
        <v>4028</v>
      </c>
      <c r="BH349" s="67" t="s">
        <v>521</v>
      </c>
      <c r="BI349" s="64" t="s">
        <v>2125</v>
      </c>
      <c r="BJ349" s="40" t="s">
        <v>1347</v>
      </c>
      <c r="BK349" s="64" t="s">
        <v>141</v>
      </c>
      <c r="BL349" s="67" t="s">
        <v>156</v>
      </c>
      <c r="BM349" s="67" t="s">
        <v>4029</v>
      </c>
      <c r="BN349" s="67"/>
      <c r="BO349" s="64" t="s">
        <v>701</v>
      </c>
      <c r="BP349" s="64"/>
      <c r="BQ349" s="135"/>
      <c r="BR349" s="67"/>
      <c r="BS349" s="64"/>
      <c r="BT349" s="67"/>
      <c r="BU349" s="67"/>
      <c r="BV349" s="64"/>
      <c r="BW349" s="64"/>
      <c r="BX349" s="67"/>
      <c r="BY349" s="64"/>
      <c r="BZ349" s="64"/>
      <c r="CA349" s="64"/>
      <c r="CB349" s="64"/>
      <c r="CC349" s="64"/>
      <c r="CD349" s="64"/>
      <c r="CE349" s="64" t="s">
        <v>7620</v>
      </c>
      <c r="CF349" s="67" t="s">
        <v>521</v>
      </c>
      <c r="CG349" s="64" t="s">
        <v>6635</v>
      </c>
      <c r="CH349" s="64" t="s">
        <v>6463</v>
      </c>
      <c r="CI349" s="64" t="s">
        <v>90</v>
      </c>
      <c r="CJ349" s="64" t="s">
        <v>111</v>
      </c>
      <c r="CK349" s="58" t="s">
        <v>4029</v>
      </c>
      <c r="CL349" s="64" t="str">
        <f t="shared" ca="1" si="5"/>
        <v>18 Tahun 9 Bulan 28 Hari</v>
      </c>
      <c r="CM34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Kp.Sukamanah RT/RW 02/05 Desa/Kelurahan Nagrak Kecamatan Cangkuang Bandung Jawa Barat 40238</v>
      </c>
    </row>
    <row r="350" spans="1:91" ht="24.95" customHeight="1">
      <c r="A350" s="58">
        <f>SUBTOTAL(3,N$8:Table2[[#This Row],[Nama lengkap]])</f>
        <v>343</v>
      </c>
      <c r="B350" s="58" t="s">
        <v>86</v>
      </c>
      <c r="C350" s="58">
        <v>2019</v>
      </c>
      <c r="D350" s="58"/>
      <c r="E350" s="58">
        <v>5</v>
      </c>
      <c r="F350" s="58" t="s">
        <v>3783</v>
      </c>
      <c r="G350" s="32" t="s">
        <v>2513</v>
      </c>
      <c r="H350" s="32" t="s">
        <v>2513</v>
      </c>
      <c r="I350" s="32" t="s">
        <v>2513</v>
      </c>
      <c r="J350" s="32"/>
      <c r="K350" s="32"/>
      <c r="L350" s="32"/>
      <c r="M350" s="58">
        <v>19200277</v>
      </c>
      <c r="N350" s="31" t="s">
        <v>6119</v>
      </c>
      <c r="O350" s="31"/>
      <c r="P350" s="32" t="s">
        <v>4032</v>
      </c>
      <c r="Q350" s="32" t="s">
        <v>4033</v>
      </c>
      <c r="R350" s="64" t="s">
        <v>90</v>
      </c>
      <c r="S350" s="69" t="s">
        <v>4034</v>
      </c>
      <c r="T350" s="47" t="s">
        <v>92</v>
      </c>
      <c r="U350" s="58">
        <v>2</v>
      </c>
      <c r="V350" s="58">
        <v>1</v>
      </c>
      <c r="W350" s="47" t="s">
        <v>207</v>
      </c>
      <c r="X350" s="59" t="s">
        <v>123</v>
      </c>
      <c r="Y350" s="64" t="s">
        <v>2213</v>
      </c>
      <c r="Z350" s="64" t="s">
        <v>1093</v>
      </c>
      <c r="AA350" s="64" t="s">
        <v>96</v>
      </c>
      <c r="AB350" s="64" t="s">
        <v>689</v>
      </c>
      <c r="AC350" s="64" t="s">
        <v>208</v>
      </c>
      <c r="AD350" s="64" t="s">
        <v>208</v>
      </c>
      <c r="AE350" s="67" t="s">
        <v>4035</v>
      </c>
      <c r="AF350" s="67" t="s">
        <v>8592</v>
      </c>
      <c r="AG350" s="67" t="s">
        <v>8592</v>
      </c>
      <c r="AH350" s="64" t="s">
        <v>691</v>
      </c>
      <c r="AI350" s="64" t="s">
        <v>90</v>
      </c>
      <c r="AJ350" s="69">
        <v>27070</v>
      </c>
      <c r="AK350" s="67" t="s">
        <v>4036</v>
      </c>
      <c r="AL350" s="64" t="s">
        <v>602</v>
      </c>
      <c r="AM350" s="67" t="s">
        <v>800</v>
      </c>
      <c r="AN350" s="67"/>
      <c r="AO350" s="64"/>
      <c r="AP350" s="64" t="s">
        <v>2521</v>
      </c>
      <c r="AQ350" s="32" t="s">
        <v>1369</v>
      </c>
      <c r="AR350" s="64" t="s">
        <v>1256</v>
      </c>
      <c r="AS350" s="64" t="s">
        <v>2522</v>
      </c>
      <c r="AT350" s="64" t="s">
        <v>163</v>
      </c>
      <c r="AU350" s="59" t="s">
        <v>111</v>
      </c>
      <c r="AV350" s="67" t="s">
        <v>4037</v>
      </c>
      <c r="AW350" s="67" t="s">
        <v>8096</v>
      </c>
      <c r="AX350" s="64" t="s">
        <v>691</v>
      </c>
      <c r="AY350" s="64" t="s">
        <v>90</v>
      </c>
      <c r="AZ350" s="125">
        <v>29168</v>
      </c>
      <c r="BA350" s="67" t="s">
        <v>4038</v>
      </c>
      <c r="BB350" s="64" t="s">
        <v>602</v>
      </c>
      <c r="BC350" s="67" t="s">
        <v>800</v>
      </c>
      <c r="BD350" s="67"/>
      <c r="BE350" s="64"/>
      <c r="BF350" s="64"/>
      <c r="BG350" s="64" t="s">
        <v>2521</v>
      </c>
      <c r="BH350" s="67" t="s">
        <v>1369</v>
      </c>
      <c r="BI350" s="64" t="s">
        <v>1256</v>
      </c>
      <c r="BJ350" s="40" t="s">
        <v>2522</v>
      </c>
      <c r="BK350" s="64" t="s">
        <v>163</v>
      </c>
      <c r="BL350" s="67" t="s">
        <v>156</v>
      </c>
      <c r="BM350" s="67" t="s">
        <v>4037</v>
      </c>
      <c r="BN350" s="67"/>
      <c r="BO350" s="64" t="s">
        <v>701</v>
      </c>
      <c r="BP350" s="64"/>
      <c r="BQ350" s="135"/>
      <c r="BR350" s="67"/>
      <c r="BS350" s="64"/>
      <c r="BT350" s="67"/>
      <c r="BU350" s="67"/>
      <c r="BV350" s="64"/>
      <c r="BW350" s="64"/>
      <c r="BX350" s="67"/>
      <c r="BY350" s="64"/>
      <c r="BZ350" s="64"/>
      <c r="CA350" s="64"/>
      <c r="CB350" s="64"/>
      <c r="CC350" s="64"/>
      <c r="CD350" s="64"/>
      <c r="CE350" s="64" t="s">
        <v>7498</v>
      </c>
      <c r="CF350" s="67" t="s">
        <v>1369</v>
      </c>
      <c r="CG350" s="64" t="s">
        <v>7062</v>
      </c>
      <c r="CH350" s="64" t="s">
        <v>7180</v>
      </c>
      <c r="CI350" s="64" t="s">
        <v>155</v>
      </c>
      <c r="CJ350" s="64" t="s">
        <v>111</v>
      </c>
      <c r="CK350" s="58" t="s">
        <v>4037</v>
      </c>
      <c r="CL350" s="64" t="str">
        <f t="shared" ca="1" si="5"/>
        <v>18 Tahun 9 Bulan 10 Hari</v>
      </c>
      <c r="CM35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Kp.Cipeundeuy RT/RW 02/02 Desa/Kelurahan Cipeundeuy Kecamatan Padalarang Bandung Barat Jawa Barat 40553</v>
      </c>
    </row>
    <row r="351" spans="1:91" ht="24.95" customHeight="1">
      <c r="A351" s="58">
        <f>SUBTOTAL(3,N$8:Table2[[#This Row],[Nama lengkap]])</f>
        <v>344</v>
      </c>
      <c r="B351" s="58" t="s">
        <v>86</v>
      </c>
      <c r="C351" s="58">
        <v>2020</v>
      </c>
      <c r="D351" s="58"/>
      <c r="E351" s="58">
        <v>5</v>
      </c>
      <c r="F351" s="58" t="s">
        <v>3783</v>
      </c>
      <c r="G351" s="32" t="s">
        <v>2513</v>
      </c>
      <c r="H351" s="32" t="s">
        <v>2513</v>
      </c>
      <c r="I351" s="32" t="s">
        <v>2513</v>
      </c>
      <c r="J351" s="32"/>
      <c r="K351" s="32"/>
      <c r="L351" s="32"/>
      <c r="M351" s="58">
        <v>20210182</v>
      </c>
      <c r="N351" s="31" t="s">
        <v>6120</v>
      </c>
      <c r="O351" s="31"/>
      <c r="P351" s="32" t="s">
        <v>4040</v>
      </c>
      <c r="Q351" s="32" t="s">
        <v>4041</v>
      </c>
      <c r="R351" s="64" t="s">
        <v>90</v>
      </c>
      <c r="S351" s="69" t="s">
        <v>4042</v>
      </c>
      <c r="T351" s="47" t="s">
        <v>92</v>
      </c>
      <c r="U351" s="58">
        <v>1</v>
      </c>
      <c r="V351" s="58">
        <v>2</v>
      </c>
      <c r="W351" s="47" t="s">
        <v>207</v>
      </c>
      <c r="X351" s="64" t="s">
        <v>93</v>
      </c>
      <c r="Y351" s="64" t="s">
        <v>1524</v>
      </c>
      <c r="Z351" s="64" t="s">
        <v>1081</v>
      </c>
      <c r="AA351" s="64" t="s">
        <v>1141</v>
      </c>
      <c r="AB351" s="64" t="s">
        <v>689</v>
      </c>
      <c r="AC351" s="64" t="s">
        <v>208</v>
      </c>
      <c r="AD351" s="64" t="s">
        <v>208</v>
      </c>
      <c r="AE351" s="67" t="s">
        <v>4043</v>
      </c>
      <c r="AF351" s="67" t="s">
        <v>8593</v>
      </c>
      <c r="AG351" s="67" t="s">
        <v>8593</v>
      </c>
      <c r="AH351" s="64" t="s">
        <v>691</v>
      </c>
      <c r="AI351" s="64" t="s">
        <v>90</v>
      </c>
      <c r="AJ351" s="69">
        <v>30133</v>
      </c>
      <c r="AK351" s="67" t="s">
        <v>4044</v>
      </c>
      <c r="AL351" s="64" t="s">
        <v>602</v>
      </c>
      <c r="AM351" s="67" t="s">
        <v>800</v>
      </c>
      <c r="AN351" s="67"/>
      <c r="AO351" s="64"/>
      <c r="AP351" s="64" t="s">
        <v>4045</v>
      </c>
      <c r="AQ351" s="32" t="s">
        <v>1615</v>
      </c>
      <c r="AR351" s="64" t="s">
        <v>1616</v>
      </c>
      <c r="AS351" s="64" t="s">
        <v>1336</v>
      </c>
      <c r="AT351" s="64" t="s">
        <v>141</v>
      </c>
      <c r="AU351" s="59" t="s">
        <v>111</v>
      </c>
      <c r="AV351" s="67" t="s">
        <v>4046</v>
      </c>
      <c r="AW351" s="67" t="s">
        <v>8097</v>
      </c>
      <c r="AX351" s="64" t="s">
        <v>691</v>
      </c>
      <c r="AY351" s="64" t="s">
        <v>6839</v>
      </c>
      <c r="AZ351" s="125">
        <v>29638</v>
      </c>
      <c r="BA351" s="67" t="s">
        <v>4047</v>
      </c>
      <c r="BB351" s="64" t="s">
        <v>845</v>
      </c>
      <c r="BC351" s="67" t="s">
        <v>800</v>
      </c>
      <c r="BD351" s="67"/>
      <c r="BE351" s="64"/>
      <c r="BF351" s="64"/>
      <c r="BG351" s="64" t="s">
        <v>4045</v>
      </c>
      <c r="BH351" s="67" t="s">
        <v>1615</v>
      </c>
      <c r="BI351" s="64" t="s">
        <v>1616</v>
      </c>
      <c r="BJ351" s="40" t="s">
        <v>1336</v>
      </c>
      <c r="BK351" s="64" t="s">
        <v>141</v>
      </c>
      <c r="BL351" s="67" t="s">
        <v>156</v>
      </c>
      <c r="BM351" s="67" t="s">
        <v>4046</v>
      </c>
      <c r="BN351" s="67"/>
      <c r="BO351" s="64" t="s">
        <v>701</v>
      </c>
      <c r="BP351" s="64"/>
      <c r="BQ351" s="135"/>
      <c r="BR351" s="67"/>
      <c r="BS351" s="64"/>
      <c r="BT351" s="67"/>
      <c r="BU351" s="67"/>
      <c r="BV351" s="64"/>
      <c r="BW351" s="64"/>
      <c r="BX351" s="67"/>
      <c r="BY351" s="64"/>
      <c r="BZ351" s="64"/>
      <c r="CA351" s="64"/>
      <c r="CB351" s="64"/>
      <c r="CC351" s="64"/>
      <c r="CD351" s="64"/>
      <c r="CE351" s="64" t="s">
        <v>7621</v>
      </c>
      <c r="CF351" s="67" t="s">
        <v>1615</v>
      </c>
      <c r="CG351" s="64" t="s">
        <v>7096</v>
      </c>
      <c r="CH351" s="64" t="s">
        <v>7069</v>
      </c>
      <c r="CI351" s="64" t="s">
        <v>90</v>
      </c>
      <c r="CJ351" s="64" t="s">
        <v>111</v>
      </c>
      <c r="CK351" s="58" t="s">
        <v>4046</v>
      </c>
      <c r="CL351" s="64" t="str">
        <f t="shared" ca="1" si="5"/>
        <v>21 Tahun 1 Bulan 19 Hari</v>
      </c>
      <c r="CM35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Jl.Cijagra I Gg.Iii No.86/206B RT/RW 07/02 Desa/Kelurahan Cijagra Kecamatan Lengkong Bandung Jawa Barat 40265</v>
      </c>
    </row>
    <row r="352" spans="1:91" ht="24.95" customHeight="1">
      <c r="A352" s="58">
        <f>SUBTOTAL(3,N$8:Table2[[#This Row],[Nama lengkap]])</f>
        <v>345</v>
      </c>
      <c r="B352" s="58" t="s">
        <v>86</v>
      </c>
      <c r="C352" s="58">
        <v>2019</v>
      </c>
      <c r="D352" s="58"/>
      <c r="E352" s="58">
        <v>5</v>
      </c>
      <c r="F352" s="58" t="s">
        <v>3783</v>
      </c>
      <c r="G352" s="32" t="s">
        <v>2513</v>
      </c>
      <c r="H352" s="32" t="s">
        <v>2513</v>
      </c>
      <c r="I352" s="32" t="s">
        <v>2513</v>
      </c>
      <c r="J352" s="32"/>
      <c r="K352" s="32"/>
      <c r="L352" s="32"/>
      <c r="M352" s="58">
        <v>19200291</v>
      </c>
      <c r="N352" s="31" t="s">
        <v>6121</v>
      </c>
      <c r="O352" s="31"/>
      <c r="P352" s="32" t="s">
        <v>4049</v>
      </c>
      <c r="Q352" s="32" t="s">
        <v>4050</v>
      </c>
      <c r="R352" s="64" t="s">
        <v>122</v>
      </c>
      <c r="S352" s="69" t="s">
        <v>4051</v>
      </c>
      <c r="T352" s="47" t="s">
        <v>92</v>
      </c>
      <c r="U352" s="58">
        <v>2</v>
      </c>
      <c r="V352" s="58">
        <v>1</v>
      </c>
      <c r="W352" s="47" t="s">
        <v>207</v>
      </c>
      <c r="X352" s="64" t="s">
        <v>303</v>
      </c>
      <c r="Y352" s="64" t="s">
        <v>1620</v>
      </c>
      <c r="Z352" s="64" t="s">
        <v>4052</v>
      </c>
      <c r="AA352" s="64" t="s">
        <v>96</v>
      </c>
      <c r="AB352" s="64" t="s">
        <v>689</v>
      </c>
      <c r="AC352" s="64" t="s">
        <v>208</v>
      </c>
      <c r="AD352" s="64" t="s">
        <v>208</v>
      </c>
      <c r="AE352" s="67" t="s">
        <v>4053</v>
      </c>
      <c r="AF352" s="67" t="s">
        <v>8594</v>
      </c>
      <c r="AG352" s="67" t="s">
        <v>8594</v>
      </c>
      <c r="AH352" s="64" t="s">
        <v>691</v>
      </c>
      <c r="AI352" s="64" t="s">
        <v>122</v>
      </c>
      <c r="AJ352" s="69">
        <v>26061</v>
      </c>
      <c r="AK352" s="67" t="s">
        <v>4054</v>
      </c>
      <c r="AL352" s="64" t="s">
        <v>602</v>
      </c>
      <c r="AM352" s="67" t="s">
        <v>800</v>
      </c>
      <c r="AN352" s="67"/>
      <c r="AO352" s="64"/>
      <c r="AP352" s="64" t="s">
        <v>4055</v>
      </c>
      <c r="AQ352" s="32" t="s">
        <v>783</v>
      </c>
      <c r="AR352" s="64" t="s">
        <v>4056</v>
      </c>
      <c r="AS352" s="64" t="s">
        <v>1324</v>
      </c>
      <c r="AT352" s="64" t="s">
        <v>1090</v>
      </c>
      <c r="AU352" s="59" t="s">
        <v>111</v>
      </c>
      <c r="AV352" s="67" t="s">
        <v>3859</v>
      </c>
      <c r="AW352" s="67" t="s">
        <v>8098</v>
      </c>
      <c r="AX352" s="64" t="s">
        <v>691</v>
      </c>
      <c r="AY352" s="64" t="s">
        <v>122</v>
      </c>
      <c r="AZ352" s="125">
        <v>28482</v>
      </c>
      <c r="BA352" s="67" t="s">
        <v>4057</v>
      </c>
      <c r="BB352" s="64" t="s">
        <v>845</v>
      </c>
      <c r="BC352" s="67" t="s">
        <v>800</v>
      </c>
      <c r="BD352" s="67"/>
      <c r="BE352" s="64"/>
      <c r="BF352" s="64"/>
      <c r="BG352" s="64" t="s">
        <v>4055</v>
      </c>
      <c r="BH352" s="67" t="s">
        <v>783</v>
      </c>
      <c r="BI352" s="64" t="s">
        <v>4056</v>
      </c>
      <c r="BJ352" s="40" t="s">
        <v>1324</v>
      </c>
      <c r="BK352" s="64" t="s">
        <v>1090</v>
      </c>
      <c r="BL352" s="67" t="s">
        <v>156</v>
      </c>
      <c r="BM352" s="67" t="s">
        <v>3859</v>
      </c>
      <c r="BN352" s="67"/>
      <c r="BO352" s="64" t="s">
        <v>701</v>
      </c>
      <c r="BP352" s="64"/>
      <c r="BQ352" s="135"/>
      <c r="BR352" s="67"/>
      <c r="BS352" s="64"/>
      <c r="BT352" s="67"/>
      <c r="BU352" s="67"/>
      <c r="BV352" s="64"/>
      <c r="BW352" s="64"/>
      <c r="BX352" s="67"/>
      <c r="BY352" s="64"/>
      <c r="BZ352" s="64"/>
      <c r="CA352" s="64"/>
      <c r="CB352" s="64"/>
      <c r="CC352" s="64"/>
      <c r="CD352" s="64"/>
      <c r="CE352" s="64" t="s">
        <v>7622</v>
      </c>
      <c r="CF352" s="67" t="s">
        <v>783</v>
      </c>
      <c r="CG352" s="64" t="s">
        <v>6760</v>
      </c>
      <c r="CH352" s="64" t="s">
        <v>134</v>
      </c>
      <c r="CI352" s="64" t="s">
        <v>122</v>
      </c>
      <c r="CJ352" s="64" t="s">
        <v>111</v>
      </c>
      <c r="CK352" s="58" t="s">
        <v>3859</v>
      </c>
      <c r="CL352" s="64" t="str">
        <f t="shared" ca="1" si="5"/>
        <v>20 Tahun 6 Bulan 9 Hari</v>
      </c>
      <c r="CM35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Cisero RT/RW 04/06 Desa/Kelurahan Rancamulya Kecamatan Sumedang Utara Sumedang Jawa Barat 45352</v>
      </c>
    </row>
    <row r="353" spans="1:91" ht="24.95" customHeight="1">
      <c r="A353" s="58">
        <f>SUBTOTAL(3,N$8:Table2[[#This Row],[Nama lengkap]])</f>
        <v>346</v>
      </c>
      <c r="B353" s="58" t="s">
        <v>86</v>
      </c>
      <c r="C353" s="58">
        <v>2020</v>
      </c>
      <c r="D353" s="58"/>
      <c r="E353" s="58">
        <v>5</v>
      </c>
      <c r="F353" s="58" t="s">
        <v>3783</v>
      </c>
      <c r="G353" s="32" t="s">
        <v>2513</v>
      </c>
      <c r="H353" s="32" t="s">
        <v>2513</v>
      </c>
      <c r="I353" s="32" t="s">
        <v>2513</v>
      </c>
      <c r="J353" s="32"/>
      <c r="K353" s="32"/>
      <c r="L353" s="32"/>
      <c r="M353" s="58">
        <v>20210199</v>
      </c>
      <c r="N353" s="31" t="s">
        <v>6122</v>
      </c>
      <c r="O353" s="31"/>
      <c r="P353" s="32" t="s">
        <v>4058</v>
      </c>
      <c r="Q353" s="32" t="s">
        <v>4059</v>
      </c>
      <c r="R353" s="64" t="s">
        <v>90</v>
      </c>
      <c r="S353" s="69" t="s">
        <v>2897</v>
      </c>
      <c r="T353" s="47" t="s">
        <v>92</v>
      </c>
      <c r="U353" s="58">
        <v>1</v>
      </c>
      <c r="V353" s="58">
        <v>1</v>
      </c>
      <c r="W353" s="47" t="s">
        <v>207</v>
      </c>
      <c r="X353" s="59"/>
      <c r="Y353" s="64" t="s">
        <v>2213</v>
      </c>
      <c r="Z353" s="64" t="s">
        <v>986</v>
      </c>
      <c r="AA353" s="64" t="s">
        <v>96</v>
      </c>
      <c r="AB353" s="64" t="s">
        <v>689</v>
      </c>
      <c r="AC353" s="64" t="s">
        <v>208</v>
      </c>
      <c r="AD353" s="64" t="s">
        <v>208</v>
      </c>
      <c r="AE353" s="67" t="s">
        <v>4060</v>
      </c>
      <c r="AF353" s="67" t="s">
        <v>8595</v>
      </c>
      <c r="AG353" s="67" t="s">
        <v>8595</v>
      </c>
      <c r="AH353" s="64" t="s">
        <v>691</v>
      </c>
      <c r="AI353" s="64" t="s">
        <v>90</v>
      </c>
      <c r="AJ353" s="69">
        <v>30363</v>
      </c>
      <c r="AK353" s="67" t="s">
        <v>4061</v>
      </c>
      <c r="AL353" s="64" t="s">
        <v>289</v>
      </c>
      <c r="AM353" s="67" t="s">
        <v>693</v>
      </c>
      <c r="AN353" s="67"/>
      <c r="AO353" s="64"/>
      <c r="AP353" s="64" t="s">
        <v>4062</v>
      </c>
      <c r="AQ353" s="32" t="s">
        <v>916</v>
      </c>
      <c r="AR353" s="64" t="s">
        <v>1018</v>
      </c>
      <c r="AS353" s="64" t="s">
        <v>1019</v>
      </c>
      <c r="AT353" s="64" t="s">
        <v>141</v>
      </c>
      <c r="AU353" s="59" t="s">
        <v>111</v>
      </c>
      <c r="AV353" s="67" t="s">
        <v>3490</v>
      </c>
      <c r="AW353" s="67" t="s">
        <v>8099</v>
      </c>
      <c r="AX353" s="64" t="s">
        <v>691</v>
      </c>
      <c r="AY353" s="64" t="s">
        <v>90</v>
      </c>
      <c r="AZ353" s="125">
        <v>32693</v>
      </c>
      <c r="BA353" s="67" t="s">
        <v>4063</v>
      </c>
      <c r="BB353" s="64" t="s">
        <v>845</v>
      </c>
      <c r="BC353" s="67" t="s">
        <v>693</v>
      </c>
      <c r="BD353" s="67"/>
      <c r="BE353" s="64"/>
      <c r="BF353" s="64"/>
      <c r="BG353" s="64" t="s">
        <v>4062</v>
      </c>
      <c r="BH353" s="67" t="s">
        <v>916</v>
      </c>
      <c r="BI353" s="64" t="s">
        <v>1018</v>
      </c>
      <c r="BJ353" s="40" t="s">
        <v>1019</v>
      </c>
      <c r="BK353" s="64" t="s">
        <v>141</v>
      </c>
      <c r="BL353" s="67" t="s">
        <v>156</v>
      </c>
      <c r="BM353" s="67" t="s">
        <v>3490</v>
      </c>
      <c r="BN353" s="67"/>
      <c r="BO353" s="64" t="s">
        <v>701</v>
      </c>
      <c r="BP353" s="64"/>
      <c r="BQ353" s="135"/>
      <c r="BR353" s="67"/>
      <c r="BS353" s="64"/>
      <c r="BT353" s="67"/>
      <c r="BU353" s="67"/>
      <c r="BV353" s="64"/>
      <c r="BW353" s="64"/>
      <c r="BX353" s="67"/>
      <c r="BY353" s="64"/>
      <c r="BZ353" s="64"/>
      <c r="CA353" s="64"/>
      <c r="CB353" s="64"/>
      <c r="CC353" s="64"/>
      <c r="CD353" s="64"/>
      <c r="CE353" s="64" t="s">
        <v>7623</v>
      </c>
      <c r="CF353" s="67" t="s">
        <v>916</v>
      </c>
      <c r="CG353" s="64" t="s">
        <v>7044</v>
      </c>
      <c r="CH353" s="64" t="s">
        <v>6967</v>
      </c>
      <c r="CI353" s="64" t="s">
        <v>90</v>
      </c>
      <c r="CJ353" s="64" t="s">
        <v>111</v>
      </c>
      <c r="CK353" s="58" t="s">
        <v>3490</v>
      </c>
      <c r="CL353" s="64" t="str">
        <f t="shared" ca="1" si="5"/>
        <v>17 Tahun 4 Bulan 20 Hari</v>
      </c>
      <c r="CM35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Kp.Puncak Mulya RT/RW 02/07 Desa/Kelurahan Sukamulya Kecamatan Kutawaringin Bandung Jawa Barat 40951</v>
      </c>
    </row>
    <row r="354" spans="1:91" ht="24.95" customHeight="1">
      <c r="A354" s="58">
        <f>SUBTOTAL(3,N$8:Table2[[#This Row],[Nama lengkap]])</f>
        <v>347</v>
      </c>
      <c r="B354" s="58" t="s">
        <v>86</v>
      </c>
      <c r="C354" s="58">
        <v>2019</v>
      </c>
      <c r="D354" s="58"/>
      <c r="E354" s="58">
        <v>5</v>
      </c>
      <c r="F354" s="58" t="s">
        <v>3783</v>
      </c>
      <c r="G354" s="32" t="s">
        <v>2513</v>
      </c>
      <c r="H354" s="32" t="s">
        <v>2513</v>
      </c>
      <c r="I354" s="32" t="s">
        <v>2513</v>
      </c>
      <c r="J354" s="32"/>
      <c r="K354" s="32"/>
      <c r="L354" s="32"/>
      <c r="M354" s="58">
        <v>19200300</v>
      </c>
      <c r="N354" s="31" t="s">
        <v>8858</v>
      </c>
      <c r="O354" s="31"/>
      <c r="P354" s="32" t="s">
        <v>4073</v>
      </c>
      <c r="Q354" s="32" t="s">
        <v>4074</v>
      </c>
      <c r="R354" s="64" t="s">
        <v>90</v>
      </c>
      <c r="S354" s="69" t="s">
        <v>4075</v>
      </c>
      <c r="T354" s="47" t="s">
        <v>92</v>
      </c>
      <c r="U354" s="58">
        <v>2</v>
      </c>
      <c r="V354" s="58">
        <v>2</v>
      </c>
      <c r="W354" s="47" t="s">
        <v>207</v>
      </c>
      <c r="X354" s="64" t="s">
        <v>123</v>
      </c>
      <c r="Y354" s="64" t="s">
        <v>4076</v>
      </c>
      <c r="Z354" s="64" t="s">
        <v>3217</v>
      </c>
      <c r="AA354" s="64" t="s">
        <v>96</v>
      </c>
      <c r="AB354" s="64" t="s">
        <v>689</v>
      </c>
      <c r="AC354" s="64" t="s">
        <v>208</v>
      </c>
      <c r="AD354" s="64" t="s">
        <v>208</v>
      </c>
      <c r="AE354" s="67" t="s">
        <v>4077</v>
      </c>
      <c r="AF354" s="67" t="s">
        <v>8353</v>
      </c>
      <c r="AG354" s="67" t="s">
        <v>8353</v>
      </c>
      <c r="AH354" s="64" t="s">
        <v>691</v>
      </c>
      <c r="AI354" s="64" t="s">
        <v>90</v>
      </c>
      <c r="AJ354" s="69">
        <v>28339</v>
      </c>
      <c r="AK354" s="67" t="s">
        <v>4078</v>
      </c>
      <c r="AL354" s="64" t="s">
        <v>114</v>
      </c>
      <c r="AM354" s="67" t="s">
        <v>700</v>
      </c>
      <c r="AN354" s="67"/>
      <c r="AO354" s="64"/>
      <c r="AP354" s="64" t="s">
        <v>4079</v>
      </c>
      <c r="AQ354" s="32" t="s">
        <v>1418</v>
      </c>
      <c r="AR354" s="64" t="s">
        <v>1419</v>
      </c>
      <c r="AS354" s="64" t="s">
        <v>618</v>
      </c>
      <c r="AT354" s="64" t="s">
        <v>141</v>
      </c>
      <c r="AU354" s="59" t="s">
        <v>111</v>
      </c>
      <c r="AV354" s="67" t="s">
        <v>3966</v>
      </c>
      <c r="AW354" s="67" t="s">
        <v>7873</v>
      </c>
      <c r="AX354" s="64" t="s">
        <v>691</v>
      </c>
      <c r="AY354" s="64" t="s">
        <v>90</v>
      </c>
      <c r="AZ354" s="125">
        <v>27916</v>
      </c>
      <c r="BA354" s="67" t="s">
        <v>4080</v>
      </c>
      <c r="BB354" s="64" t="s">
        <v>845</v>
      </c>
      <c r="BC354" s="67" t="s">
        <v>700</v>
      </c>
      <c r="BD354" s="67"/>
      <c r="BE354" s="64"/>
      <c r="BF354" s="64"/>
      <c r="BG354" s="64" t="s">
        <v>4079</v>
      </c>
      <c r="BH354" s="67" t="s">
        <v>1369</v>
      </c>
      <c r="BI354" s="64" t="s">
        <v>1419</v>
      </c>
      <c r="BJ354" s="40" t="s">
        <v>618</v>
      </c>
      <c r="BK354" s="64" t="s">
        <v>141</v>
      </c>
      <c r="BL354" s="67" t="s">
        <v>156</v>
      </c>
      <c r="BM354" s="67" t="s">
        <v>3966</v>
      </c>
      <c r="BN354" s="67"/>
      <c r="BO354" s="64" t="s">
        <v>701</v>
      </c>
      <c r="BP354" s="64"/>
      <c r="BQ354" s="135"/>
      <c r="BR354" s="67"/>
      <c r="BS354" s="64"/>
      <c r="BT354" s="67"/>
      <c r="BU354" s="67"/>
      <c r="BV354" s="64"/>
      <c r="BW354" s="64"/>
      <c r="BX354" s="67"/>
      <c r="BY354" s="64"/>
      <c r="BZ354" s="64"/>
      <c r="CA354" s="64"/>
      <c r="CB354" s="64"/>
      <c r="CC354" s="64"/>
      <c r="CD354" s="64"/>
      <c r="CE354" s="64" t="s">
        <v>7624</v>
      </c>
      <c r="CF354" s="67" t="s">
        <v>1418</v>
      </c>
      <c r="CG354" s="64" t="s">
        <v>7076</v>
      </c>
      <c r="CH354" s="64" t="s">
        <v>507</v>
      </c>
      <c r="CI354" s="64" t="s">
        <v>90</v>
      </c>
      <c r="CJ354" s="64" t="s">
        <v>111</v>
      </c>
      <c r="CK354" s="58" t="s">
        <v>3966</v>
      </c>
      <c r="CL354" s="64" t="str">
        <f t="shared" ca="1" si="5"/>
        <v>19 Tahun 1 Bulan 14 Hari</v>
      </c>
      <c r="CM35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Kp.Sukaame RT/RW 02/01 Desa/Kelurahan Sindangpanon Kecamatan Banjaran Bandung Jawa Barat 40377</v>
      </c>
    </row>
    <row r="355" spans="1:91" ht="24.95" customHeight="1">
      <c r="A355" s="58">
        <f>SUBTOTAL(3,N$8:Table2[[#This Row],[Nama lengkap]])</f>
        <v>348</v>
      </c>
      <c r="B355" s="58" t="s">
        <v>86</v>
      </c>
      <c r="C355" s="58">
        <v>2019</v>
      </c>
      <c r="D355" s="58"/>
      <c r="E355" s="58">
        <v>5</v>
      </c>
      <c r="F355" s="58" t="s">
        <v>3783</v>
      </c>
      <c r="G355" s="32" t="s">
        <v>2513</v>
      </c>
      <c r="H355" s="32" t="s">
        <v>2513</v>
      </c>
      <c r="I355" s="32" t="s">
        <v>2513</v>
      </c>
      <c r="J355" s="32"/>
      <c r="K355" s="32"/>
      <c r="L355" s="32"/>
      <c r="M355" s="58">
        <v>19200308</v>
      </c>
      <c r="N355" s="24" t="s">
        <v>5850</v>
      </c>
      <c r="O355" s="24"/>
      <c r="P355" s="25" t="s">
        <v>4082</v>
      </c>
      <c r="Q355" s="25" t="s">
        <v>4083</v>
      </c>
      <c r="R355" s="60" t="s">
        <v>122</v>
      </c>
      <c r="S355" s="61" t="s">
        <v>4084</v>
      </c>
      <c r="T355" s="47" t="s">
        <v>92</v>
      </c>
      <c r="U355" s="47">
        <v>1</v>
      </c>
      <c r="V355" s="47">
        <v>3</v>
      </c>
      <c r="W355" s="47" t="s">
        <v>207</v>
      </c>
      <c r="X355" s="59"/>
      <c r="Y355" s="59" t="s">
        <v>4076</v>
      </c>
      <c r="Z355" s="59" t="s">
        <v>1985</v>
      </c>
      <c r="AA355" s="59" t="s">
        <v>96</v>
      </c>
      <c r="AB355" s="59" t="s">
        <v>689</v>
      </c>
      <c r="AC355" s="59" t="s">
        <v>208</v>
      </c>
      <c r="AD355" s="59" t="s">
        <v>208</v>
      </c>
      <c r="AE355" s="60" t="s">
        <v>4085</v>
      </c>
      <c r="AF355" s="60" t="s">
        <v>8596</v>
      </c>
      <c r="AG355" s="59" t="s">
        <v>8596</v>
      </c>
      <c r="AH355" s="59" t="s">
        <v>2222</v>
      </c>
      <c r="AI355" s="59" t="s">
        <v>122</v>
      </c>
      <c r="AJ355" s="61">
        <v>28357</v>
      </c>
      <c r="AK355" s="60" t="s">
        <v>4086</v>
      </c>
      <c r="AL355" s="60" t="s">
        <v>114</v>
      </c>
      <c r="AM355" s="59" t="s">
        <v>800</v>
      </c>
      <c r="AN355" s="60"/>
      <c r="AO355" s="60"/>
      <c r="AP355" s="59" t="s">
        <v>4087</v>
      </c>
      <c r="AQ355" s="25" t="s">
        <v>2159</v>
      </c>
      <c r="AR355" s="60" t="s">
        <v>2852</v>
      </c>
      <c r="AS355" s="59" t="s">
        <v>1324</v>
      </c>
      <c r="AT355" s="59" t="s">
        <v>1090</v>
      </c>
      <c r="AU355" s="59" t="s">
        <v>111</v>
      </c>
      <c r="AV355" s="24">
        <v>45352</v>
      </c>
      <c r="AW355" s="59" t="s">
        <v>8100</v>
      </c>
      <c r="AX355" s="59" t="s">
        <v>2222</v>
      </c>
      <c r="AY355" s="59"/>
      <c r="AZ355" s="126"/>
      <c r="BA355" s="60"/>
      <c r="BB355" s="60"/>
      <c r="BC355" s="59"/>
      <c r="BD355" s="60"/>
      <c r="BE355" s="60"/>
      <c r="BF355" s="60"/>
      <c r="BG355" s="59"/>
      <c r="BH355" s="60"/>
      <c r="BI355" s="60"/>
      <c r="BJ355" s="24"/>
      <c r="BK355" s="59"/>
      <c r="BL355" s="59"/>
      <c r="BM355" s="62"/>
      <c r="BN355" s="62"/>
      <c r="BO355" s="59" t="s">
        <v>701</v>
      </c>
      <c r="BP355" s="59"/>
      <c r="BQ355" s="77"/>
      <c r="BR355" s="60"/>
      <c r="BS355" s="60"/>
      <c r="BT355" s="59"/>
      <c r="BU355" s="60"/>
      <c r="BV355" s="60"/>
      <c r="BW355" s="59"/>
      <c r="BX355" s="60"/>
      <c r="BY355" s="60"/>
      <c r="BZ355" s="59"/>
      <c r="CA355" s="59"/>
      <c r="CB355" s="59"/>
      <c r="CC355" s="59"/>
      <c r="CD355" s="59"/>
      <c r="CE355" s="59" t="s">
        <v>7625</v>
      </c>
      <c r="CF355" s="60" t="s">
        <v>2159</v>
      </c>
      <c r="CG355" s="59" t="s">
        <v>7203</v>
      </c>
      <c r="CH355" s="59" t="s">
        <v>134</v>
      </c>
      <c r="CI355" s="59" t="s">
        <v>122</v>
      </c>
      <c r="CJ355" s="59" t="s">
        <v>111</v>
      </c>
      <c r="CK355" s="47">
        <v>45352</v>
      </c>
      <c r="CL355" s="64" t="str">
        <f t="shared" ca="1" si="5"/>
        <v>19 Tahun 2 Bulan 8 Hari</v>
      </c>
      <c r="CM35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Cibiru RT/RW 05/07 Desa/Kelurahan Jatimulya Kecamatan Sumedang Utara Sumedang Jawa Barat 45352</v>
      </c>
    </row>
    <row r="356" spans="1:91" ht="24.95" customHeight="1">
      <c r="A356" s="58">
        <f>SUBTOTAL(3,N$8:Table2[[#This Row],[Nama lengkap]])</f>
        <v>349</v>
      </c>
      <c r="B356" s="58" t="s">
        <v>86</v>
      </c>
      <c r="C356" s="58">
        <v>2019</v>
      </c>
      <c r="D356" s="58"/>
      <c r="E356" s="58">
        <v>5</v>
      </c>
      <c r="F356" s="58" t="s">
        <v>3783</v>
      </c>
      <c r="G356" s="32" t="s">
        <v>2513</v>
      </c>
      <c r="H356" s="32" t="s">
        <v>2513</v>
      </c>
      <c r="I356" s="32" t="s">
        <v>2513</v>
      </c>
      <c r="J356" s="32"/>
      <c r="K356" s="32"/>
      <c r="L356" s="32"/>
      <c r="M356" s="58">
        <v>19200310</v>
      </c>
      <c r="N356" s="24" t="s">
        <v>6123</v>
      </c>
      <c r="O356" s="24"/>
      <c r="P356" s="25" t="s">
        <v>4089</v>
      </c>
      <c r="Q356" s="25" t="s">
        <v>4090</v>
      </c>
      <c r="R356" s="60" t="s">
        <v>90</v>
      </c>
      <c r="S356" s="61" t="s">
        <v>4091</v>
      </c>
      <c r="T356" s="47" t="s">
        <v>92</v>
      </c>
      <c r="U356" s="47">
        <v>4</v>
      </c>
      <c r="V356" s="47">
        <v>3</v>
      </c>
      <c r="W356" s="47" t="s">
        <v>207</v>
      </c>
      <c r="X356" s="59" t="s">
        <v>123</v>
      </c>
      <c r="Y356" s="59" t="s">
        <v>1247</v>
      </c>
      <c r="Z356" s="59" t="s">
        <v>986</v>
      </c>
      <c r="AA356" s="59" t="s">
        <v>96</v>
      </c>
      <c r="AB356" s="59" t="s">
        <v>689</v>
      </c>
      <c r="AC356" s="59" t="s">
        <v>208</v>
      </c>
      <c r="AD356" s="59" t="s">
        <v>208</v>
      </c>
      <c r="AE356" s="60" t="s">
        <v>4092</v>
      </c>
      <c r="AF356" s="60" t="s">
        <v>8597</v>
      </c>
      <c r="AG356" s="59" t="s">
        <v>8597</v>
      </c>
      <c r="AH356" s="59" t="s">
        <v>691</v>
      </c>
      <c r="AI356" s="59" t="s">
        <v>90</v>
      </c>
      <c r="AJ356" s="61">
        <v>23586</v>
      </c>
      <c r="AK356" s="60" t="s">
        <v>4093</v>
      </c>
      <c r="AL356" s="60" t="s">
        <v>114</v>
      </c>
      <c r="AM356" s="59" t="s">
        <v>800</v>
      </c>
      <c r="AN356" s="60"/>
      <c r="AO356" s="60"/>
      <c r="AP356" s="59" t="s">
        <v>4094</v>
      </c>
      <c r="AQ356" s="25" t="s">
        <v>1334</v>
      </c>
      <c r="AR356" s="60" t="s">
        <v>1335</v>
      </c>
      <c r="AS356" s="59" t="s">
        <v>1336</v>
      </c>
      <c r="AT356" s="59" t="s">
        <v>141</v>
      </c>
      <c r="AU356" s="59" t="s">
        <v>111</v>
      </c>
      <c r="AV356" s="24">
        <v>40261</v>
      </c>
      <c r="AW356" s="59" t="s">
        <v>8101</v>
      </c>
      <c r="AX356" s="59" t="s">
        <v>691</v>
      </c>
      <c r="AY356" s="59" t="s">
        <v>623</v>
      </c>
      <c r="AZ356" s="126">
        <v>27180</v>
      </c>
      <c r="BA356" s="60" t="s">
        <v>4095</v>
      </c>
      <c r="BB356" s="60" t="s">
        <v>845</v>
      </c>
      <c r="BC356" s="59" t="s">
        <v>800</v>
      </c>
      <c r="BD356" s="60"/>
      <c r="BE356" s="60"/>
      <c r="BF356" s="60"/>
      <c r="BG356" s="59" t="s">
        <v>4094</v>
      </c>
      <c r="BH356" s="60" t="s">
        <v>1334</v>
      </c>
      <c r="BI356" s="60" t="s">
        <v>1335</v>
      </c>
      <c r="BJ356" s="24" t="s">
        <v>1336</v>
      </c>
      <c r="BK356" s="59" t="s">
        <v>141</v>
      </c>
      <c r="BL356" s="59" t="s">
        <v>156</v>
      </c>
      <c r="BM356" s="24">
        <v>40261</v>
      </c>
      <c r="BN356" s="24"/>
      <c r="BO356" s="59" t="s">
        <v>701</v>
      </c>
      <c r="BP356" s="59"/>
      <c r="BQ356" s="77"/>
      <c r="BR356" s="60"/>
      <c r="BS356" s="60"/>
      <c r="BT356" s="59"/>
      <c r="BU356" s="60"/>
      <c r="BV356" s="60"/>
      <c r="BW356" s="59"/>
      <c r="BX356" s="60"/>
      <c r="BY356" s="60"/>
      <c r="BZ356" s="59"/>
      <c r="CA356" s="59"/>
      <c r="CB356" s="59"/>
      <c r="CC356" s="59"/>
      <c r="CD356" s="59"/>
      <c r="CE356" s="59" t="s">
        <v>7626</v>
      </c>
      <c r="CF356" s="60" t="s">
        <v>1334</v>
      </c>
      <c r="CG356" s="59" t="s">
        <v>7068</v>
      </c>
      <c r="CH356" s="59" t="s">
        <v>7069</v>
      </c>
      <c r="CI356" s="59" t="s">
        <v>90</v>
      </c>
      <c r="CJ356" s="59" t="s">
        <v>111</v>
      </c>
      <c r="CK356" s="47">
        <v>40261</v>
      </c>
      <c r="CL356" s="64" t="str">
        <f t="shared" ca="1" si="5"/>
        <v>19 Tahun 2 Bulan 6 Hari</v>
      </c>
      <c r="CM35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Jl.Karapitan Iii 107/36A RT/RW 02/06 Desa/Kelurahan Paledang Kecamatan Lengkong Bandung Jawa Barat 40261</v>
      </c>
    </row>
    <row r="357" spans="1:91" ht="24.95" customHeight="1">
      <c r="A357" s="58">
        <f>SUBTOTAL(3,N$8:Table2[[#This Row],[Nama lengkap]])</f>
        <v>350</v>
      </c>
      <c r="B357" s="58" t="s">
        <v>86</v>
      </c>
      <c r="C357" s="58">
        <v>2020</v>
      </c>
      <c r="D357" s="58" t="s">
        <v>8936</v>
      </c>
      <c r="E357" s="58">
        <v>5</v>
      </c>
      <c r="F357" s="58" t="s">
        <v>3783</v>
      </c>
      <c r="G357" s="32" t="s">
        <v>2513</v>
      </c>
      <c r="H357" s="32" t="s">
        <v>2513</v>
      </c>
      <c r="I357" s="32" t="s">
        <v>2513</v>
      </c>
      <c r="J357" s="32"/>
      <c r="K357" s="32"/>
      <c r="L357" s="32"/>
      <c r="M357" s="58">
        <v>20210144</v>
      </c>
      <c r="N357" s="24" t="s">
        <v>8859</v>
      </c>
      <c r="O357" s="24"/>
      <c r="P357" s="25" t="s">
        <v>4097</v>
      </c>
      <c r="Q357" s="25" t="s">
        <v>4098</v>
      </c>
      <c r="R357" s="60" t="s">
        <v>90</v>
      </c>
      <c r="S357" s="61" t="s">
        <v>4099</v>
      </c>
      <c r="T357" s="47" t="s">
        <v>92</v>
      </c>
      <c r="U357" s="47">
        <v>2</v>
      </c>
      <c r="V357" s="47">
        <v>2</v>
      </c>
      <c r="W357" s="47" t="s">
        <v>207</v>
      </c>
      <c r="X357" s="59"/>
      <c r="Y357" s="59" t="s">
        <v>4076</v>
      </c>
      <c r="Z357" s="59" t="s">
        <v>1985</v>
      </c>
      <c r="AA357" s="59" t="s">
        <v>96</v>
      </c>
      <c r="AB357" s="59" t="s">
        <v>689</v>
      </c>
      <c r="AC357" s="59" t="s">
        <v>208</v>
      </c>
      <c r="AD357" s="59" t="s">
        <v>208</v>
      </c>
      <c r="AE357" s="60" t="s">
        <v>4100</v>
      </c>
      <c r="AF357" s="60" t="s">
        <v>8598</v>
      </c>
      <c r="AG357" s="59" t="s">
        <v>8598</v>
      </c>
      <c r="AH357" s="59" t="s">
        <v>691</v>
      </c>
      <c r="AI357" s="59" t="s">
        <v>90</v>
      </c>
      <c r="AJ357" s="61">
        <v>25574</v>
      </c>
      <c r="AK357" s="60" t="s">
        <v>4101</v>
      </c>
      <c r="AL357" s="60" t="s">
        <v>914</v>
      </c>
      <c r="AM357" s="59" t="s">
        <v>693</v>
      </c>
      <c r="AN357" s="60"/>
      <c r="AO357" s="60"/>
      <c r="AP357" s="59" t="s">
        <v>4102</v>
      </c>
      <c r="AQ357" s="25" t="s">
        <v>3046</v>
      </c>
      <c r="AR357" s="60" t="s">
        <v>2579</v>
      </c>
      <c r="AS357" s="59" t="s">
        <v>1731</v>
      </c>
      <c r="AT357" s="59" t="s">
        <v>1165</v>
      </c>
      <c r="AU357" s="59" t="s">
        <v>111</v>
      </c>
      <c r="AV357" s="24">
        <v>40513</v>
      </c>
      <c r="AW357" s="59" t="s">
        <v>8102</v>
      </c>
      <c r="AX357" s="59" t="s">
        <v>691</v>
      </c>
      <c r="AY357" s="59" t="s">
        <v>90</v>
      </c>
      <c r="AZ357" s="126">
        <v>25578</v>
      </c>
      <c r="BA357" s="60" t="s">
        <v>4103</v>
      </c>
      <c r="BB357" s="60" t="s">
        <v>845</v>
      </c>
      <c r="BC357" s="59" t="s">
        <v>693</v>
      </c>
      <c r="BD357" s="60"/>
      <c r="BE357" s="60"/>
      <c r="BF357" s="60"/>
      <c r="BG357" s="59" t="s">
        <v>4102</v>
      </c>
      <c r="BH357" s="60" t="s">
        <v>3046</v>
      </c>
      <c r="BI357" s="60" t="s">
        <v>2579</v>
      </c>
      <c r="BJ357" s="24" t="s">
        <v>1731</v>
      </c>
      <c r="BK357" s="59" t="s">
        <v>1165</v>
      </c>
      <c r="BL357" s="59" t="s">
        <v>156</v>
      </c>
      <c r="BM357" s="24">
        <v>40513</v>
      </c>
      <c r="BN357" s="24"/>
      <c r="BO357" s="59" t="s">
        <v>701</v>
      </c>
      <c r="BP357" s="59"/>
      <c r="BQ357" s="77"/>
      <c r="BR357" s="60"/>
      <c r="BS357" s="60"/>
      <c r="BT357" s="59"/>
      <c r="BU357" s="60"/>
      <c r="BV357" s="60"/>
      <c r="BW357" s="59"/>
      <c r="BX357" s="60"/>
      <c r="BY357" s="60"/>
      <c r="BZ357" s="59"/>
      <c r="CA357" s="59"/>
      <c r="CB357" s="59"/>
      <c r="CC357" s="59"/>
      <c r="CD357" s="59"/>
      <c r="CE357" s="59" t="s">
        <v>7627</v>
      </c>
      <c r="CF357" s="60" t="s">
        <v>3046</v>
      </c>
      <c r="CG357" s="59" t="s">
        <v>7182</v>
      </c>
      <c r="CH357" s="59" t="s">
        <v>6812</v>
      </c>
      <c r="CI357" s="59" t="s">
        <v>456</v>
      </c>
      <c r="CJ357" s="59" t="s">
        <v>111</v>
      </c>
      <c r="CK357" s="47">
        <v>40513</v>
      </c>
      <c r="CL357" s="64" t="str">
        <f t="shared" ca="1" si="5"/>
        <v>18 Tahun 5 Bulan 21 Hari</v>
      </c>
      <c r="CM35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Jl.Pesantren Vi RT/RW 06/15 Desa/Kelurahan Cibabat Kecamatan Cimahi Utara Cimahi Jawa Barat 40513</v>
      </c>
    </row>
    <row r="358" spans="1:91" ht="24.95" customHeight="1">
      <c r="A358" s="58">
        <f>SUBTOTAL(3,N$8:Table2[[#This Row],[Nama lengkap]])</f>
        <v>351</v>
      </c>
      <c r="B358" s="58" t="s">
        <v>86</v>
      </c>
      <c r="C358" s="58">
        <v>2019</v>
      </c>
      <c r="D358" s="58"/>
      <c r="E358" s="58">
        <v>5</v>
      </c>
      <c r="F358" s="58" t="s">
        <v>3783</v>
      </c>
      <c r="G358" s="32" t="s">
        <v>2513</v>
      </c>
      <c r="H358" s="32" t="s">
        <v>2513</v>
      </c>
      <c r="I358" s="32" t="s">
        <v>2513</v>
      </c>
      <c r="J358" s="32"/>
      <c r="K358" s="32"/>
      <c r="L358" s="32"/>
      <c r="M358" s="58">
        <v>19200314</v>
      </c>
      <c r="N358" s="24" t="s">
        <v>6125</v>
      </c>
      <c r="O358" s="24"/>
      <c r="P358" s="25" t="s">
        <v>4105</v>
      </c>
      <c r="Q358" s="25" t="s">
        <v>4106</v>
      </c>
      <c r="R358" s="60" t="s">
        <v>90</v>
      </c>
      <c r="S358" s="61" t="s">
        <v>4107</v>
      </c>
      <c r="T358" s="47" t="s">
        <v>92</v>
      </c>
      <c r="U358" s="47">
        <v>1</v>
      </c>
      <c r="V358" s="47">
        <v>2</v>
      </c>
      <c r="W358" s="47" t="s">
        <v>207</v>
      </c>
      <c r="X358" s="59"/>
      <c r="Y358" s="59" t="s">
        <v>4076</v>
      </c>
      <c r="Z358" s="59" t="s">
        <v>3994</v>
      </c>
      <c r="AA358" s="59" t="s">
        <v>96</v>
      </c>
      <c r="AB358" s="59" t="s">
        <v>689</v>
      </c>
      <c r="AC358" s="59" t="s">
        <v>208</v>
      </c>
      <c r="AD358" s="59" t="s">
        <v>208</v>
      </c>
      <c r="AE358" s="60" t="s">
        <v>4108</v>
      </c>
      <c r="AF358" s="60" t="s">
        <v>6425</v>
      </c>
      <c r="AG358" s="59" t="s">
        <v>6425</v>
      </c>
      <c r="AH358" s="59" t="s">
        <v>691</v>
      </c>
      <c r="AI358" s="59" t="s">
        <v>90</v>
      </c>
      <c r="AJ358" s="61">
        <v>28196</v>
      </c>
      <c r="AK358" s="59" t="s">
        <v>4109</v>
      </c>
      <c r="AL358" s="59" t="s">
        <v>289</v>
      </c>
      <c r="AM358" s="59" t="s">
        <v>693</v>
      </c>
      <c r="AN358" s="59"/>
      <c r="AO358" s="59"/>
      <c r="AP358" s="59" t="s">
        <v>2123</v>
      </c>
      <c r="AQ358" s="25" t="s">
        <v>1017</v>
      </c>
      <c r="AR358" s="60" t="s">
        <v>2125</v>
      </c>
      <c r="AS358" s="59" t="s">
        <v>1347</v>
      </c>
      <c r="AT358" s="59" t="s">
        <v>141</v>
      </c>
      <c r="AU358" s="59" t="s">
        <v>111</v>
      </c>
      <c r="AV358" s="24">
        <v>40377</v>
      </c>
      <c r="AW358" s="59" t="s">
        <v>8103</v>
      </c>
      <c r="AX358" s="59" t="s">
        <v>691</v>
      </c>
      <c r="AY358" s="59" t="s">
        <v>90</v>
      </c>
      <c r="AZ358" s="126">
        <v>30944</v>
      </c>
      <c r="BA358" s="60" t="s">
        <v>4110</v>
      </c>
      <c r="BB358" s="60" t="s">
        <v>845</v>
      </c>
      <c r="BC358" s="59" t="s">
        <v>700</v>
      </c>
      <c r="BD358" s="60"/>
      <c r="BE358" s="60"/>
      <c r="BF358" s="60"/>
      <c r="BG358" s="59" t="s">
        <v>2123</v>
      </c>
      <c r="BH358" s="60" t="s">
        <v>1017</v>
      </c>
      <c r="BI358" s="60" t="s">
        <v>2125</v>
      </c>
      <c r="BJ358" s="24" t="s">
        <v>1347</v>
      </c>
      <c r="BK358" s="59" t="s">
        <v>141</v>
      </c>
      <c r="BL358" s="59" t="s">
        <v>156</v>
      </c>
      <c r="BM358" s="24">
        <v>40377</v>
      </c>
      <c r="BN358" s="24"/>
      <c r="BO358" s="59" t="s">
        <v>701</v>
      </c>
      <c r="BP358" s="59"/>
      <c r="BQ358" s="77"/>
      <c r="BR358" s="60"/>
      <c r="BS358" s="60"/>
      <c r="BT358" s="59"/>
      <c r="BU358" s="60"/>
      <c r="BV358" s="60"/>
      <c r="BW358" s="59"/>
      <c r="BX358" s="60"/>
      <c r="BY358" s="60"/>
      <c r="BZ358" s="59"/>
      <c r="CA358" s="59"/>
      <c r="CB358" s="59"/>
      <c r="CC358" s="59"/>
      <c r="CD358" s="59"/>
      <c r="CE358" s="59" t="s">
        <v>7284</v>
      </c>
      <c r="CF358" s="60" t="s">
        <v>1017</v>
      </c>
      <c r="CG358" s="59" t="s">
        <v>6635</v>
      </c>
      <c r="CH358" s="59" t="s">
        <v>6463</v>
      </c>
      <c r="CI358" s="59" t="s">
        <v>90</v>
      </c>
      <c r="CJ358" s="59" t="s">
        <v>111</v>
      </c>
      <c r="CK358" s="47">
        <v>40377</v>
      </c>
      <c r="CL358" s="64" t="str">
        <f t="shared" ca="1" si="5"/>
        <v>18 Tahun 11 Bulan 23 Hari</v>
      </c>
      <c r="CM35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Gumuruh RT/RW 01/04 Desa/Kelurahan Nagrak Kecamatan Cangkuang Bandung Jawa Barat 40377</v>
      </c>
    </row>
    <row r="359" spans="1:91" ht="24.95" customHeight="1">
      <c r="A359" s="58">
        <f>SUBTOTAL(3,N$8:Table2[[#This Row],[Nama lengkap]])</f>
        <v>352</v>
      </c>
      <c r="B359" s="58" t="s">
        <v>86</v>
      </c>
      <c r="C359" s="58">
        <v>2019</v>
      </c>
      <c r="D359" s="58"/>
      <c r="E359" s="58">
        <v>5</v>
      </c>
      <c r="F359" s="58" t="s">
        <v>3783</v>
      </c>
      <c r="G359" s="32" t="s">
        <v>2513</v>
      </c>
      <c r="H359" s="32" t="s">
        <v>2513</v>
      </c>
      <c r="I359" s="32" t="s">
        <v>2513</v>
      </c>
      <c r="J359" s="32"/>
      <c r="K359" s="32"/>
      <c r="L359" s="32"/>
      <c r="M359" s="58">
        <v>19200318</v>
      </c>
      <c r="N359" s="31" t="s">
        <v>8860</v>
      </c>
      <c r="O359" s="31"/>
      <c r="P359" s="32" t="s">
        <v>4065</v>
      </c>
      <c r="Q359" s="32" t="s">
        <v>4066</v>
      </c>
      <c r="R359" s="64" t="s">
        <v>236</v>
      </c>
      <c r="S359" s="69" t="s">
        <v>3925</v>
      </c>
      <c r="T359" s="47" t="s">
        <v>92</v>
      </c>
      <c r="U359" s="58">
        <v>3</v>
      </c>
      <c r="V359" s="58">
        <v>6</v>
      </c>
      <c r="W359" s="47" t="s">
        <v>207</v>
      </c>
      <c r="X359" s="64"/>
      <c r="Y359" s="64" t="s">
        <v>4067</v>
      </c>
      <c r="Z359" s="64" t="s">
        <v>986</v>
      </c>
      <c r="AA359" s="64"/>
      <c r="AB359" s="64" t="s">
        <v>689</v>
      </c>
      <c r="AC359" s="64" t="s">
        <v>208</v>
      </c>
      <c r="AD359" s="64" t="s">
        <v>208</v>
      </c>
      <c r="AE359" s="67" t="s">
        <v>4068</v>
      </c>
      <c r="AF359" s="67" t="s">
        <v>8599</v>
      </c>
      <c r="AG359" s="67" t="s">
        <v>8599</v>
      </c>
      <c r="AH359" s="64" t="s">
        <v>691</v>
      </c>
      <c r="AI359" s="64" t="s">
        <v>236</v>
      </c>
      <c r="AJ359" s="69">
        <v>27524</v>
      </c>
      <c r="AK359" s="67" t="s">
        <v>4069</v>
      </c>
      <c r="AL359" s="64" t="s">
        <v>914</v>
      </c>
      <c r="AM359" s="67" t="s">
        <v>693</v>
      </c>
      <c r="AN359" s="67"/>
      <c r="AO359" s="64"/>
      <c r="AP359" s="64" t="s">
        <v>1336</v>
      </c>
      <c r="AQ359" s="32" t="s">
        <v>3435</v>
      </c>
      <c r="AR359" s="64" t="s">
        <v>1336</v>
      </c>
      <c r="AS359" s="64" t="s">
        <v>1077</v>
      </c>
      <c r="AT359" s="64" t="s">
        <v>141</v>
      </c>
      <c r="AU359" s="59" t="s">
        <v>111</v>
      </c>
      <c r="AV359" s="67" t="s">
        <v>4070</v>
      </c>
      <c r="AW359" s="67" t="s">
        <v>8104</v>
      </c>
      <c r="AX359" s="64" t="s">
        <v>691</v>
      </c>
      <c r="AY359" s="64" t="s">
        <v>236</v>
      </c>
      <c r="AZ359" s="125">
        <v>30087</v>
      </c>
      <c r="BA359" s="67" t="s">
        <v>4071</v>
      </c>
      <c r="BB359" s="64" t="s">
        <v>845</v>
      </c>
      <c r="BC359" s="67" t="s">
        <v>693</v>
      </c>
      <c r="BD359" s="67"/>
      <c r="BE359" s="64"/>
      <c r="BF359" s="64"/>
      <c r="BG359" s="64" t="s">
        <v>1336</v>
      </c>
      <c r="BH359" s="67" t="s">
        <v>3435</v>
      </c>
      <c r="BI359" s="64" t="s">
        <v>1336</v>
      </c>
      <c r="BJ359" s="40" t="s">
        <v>1077</v>
      </c>
      <c r="BK359" s="64" t="s">
        <v>141</v>
      </c>
      <c r="BL359" s="67" t="s">
        <v>156</v>
      </c>
      <c r="BM359" s="67" t="s">
        <v>4070</v>
      </c>
      <c r="BN359" s="67"/>
      <c r="BO359" s="64" t="s">
        <v>701</v>
      </c>
      <c r="BP359" s="64"/>
      <c r="BQ359" s="135"/>
      <c r="BR359" s="67"/>
      <c r="BS359" s="64"/>
      <c r="BT359" s="67"/>
      <c r="BU359" s="67"/>
      <c r="BV359" s="64"/>
      <c r="BW359" s="64"/>
      <c r="BX359" s="67"/>
      <c r="BY359" s="64"/>
      <c r="BZ359" s="64"/>
      <c r="CA359" s="64"/>
      <c r="CB359" s="64"/>
      <c r="CC359" s="64"/>
      <c r="CD359" s="64"/>
      <c r="CE359" s="64" t="s">
        <v>7069</v>
      </c>
      <c r="CF359" s="67" t="s">
        <v>3435</v>
      </c>
      <c r="CG359" s="64" t="s">
        <v>7069</v>
      </c>
      <c r="CH359" s="64" t="s">
        <v>7047</v>
      </c>
      <c r="CI359" s="64" t="s">
        <v>90</v>
      </c>
      <c r="CJ359" s="64" t="s">
        <v>111</v>
      </c>
      <c r="CK359" s="58" t="s">
        <v>4070</v>
      </c>
      <c r="CL359" s="64" t="str">
        <f t="shared" ca="1" si="5"/>
        <v>18 Tahun 1 Bulan 30 Hari</v>
      </c>
      <c r="CM35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Lengkong RT/RW 01/01 Desa/Kelurahan Lengkong Kecamatan Bojongsoang Bandung Jawa Barat 40287</v>
      </c>
    </row>
    <row r="360" spans="1:91" ht="24.95" customHeight="1">
      <c r="A360" s="58">
        <f>SUBTOTAL(3,N$8:Table2[[#This Row],[Nama lengkap]])</f>
        <v>353</v>
      </c>
      <c r="B360" s="58" t="s">
        <v>86</v>
      </c>
      <c r="C360" s="58">
        <v>2019</v>
      </c>
      <c r="D360" s="58"/>
      <c r="E360" s="58">
        <v>5</v>
      </c>
      <c r="F360" s="58" t="s">
        <v>3783</v>
      </c>
      <c r="G360" s="32" t="s">
        <v>2513</v>
      </c>
      <c r="H360" s="32" t="s">
        <v>2513</v>
      </c>
      <c r="I360" s="32" t="s">
        <v>2513</v>
      </c>
      <c r="J360" s="32"/>
      <c r="K360" s="32"/>
      <c r="L360" s="32"/>
      <c r="M360" s="58">
        <v>19200319</v>
      </c>
      <c r="N360" s="24" t="s">
        <v>6074</v>
      </c>
      <c r="O360" s="24"/>
      <c r="P360" s="25" t="s">
        <v>4112</v>
      </c>
      <c r="Q360" s="25" t="s">
        <v>4113</v>
      </c>
      <c r="R360" s="60" t="s">
        <v>90</v>
      </c>
      <c r="S360" s="61" t="s">
        <v>4114</v>
      </c>
      <c r="T360" s="47" t="s">
        <v>92</v>
      </c>
      <c r="U360" s="47">
        <v>2</v>
      </c>
      <c r="V360" s="47">
        <v>3</v>
      </c>
      <c r="W360" s="47" t="s">
        <v>207</v>
      </c>
      <c r="X360" s="59" t="s">
        <v>93</v>
      </c>
      <c r="Y360" s="59" t="s">
        <v>1711</v>
      </c>
      <c r="Z360" s="59" t="s">
        <v>1985</v>
      </c>
      <c r="AA360" s="59" t="s">
        <v>96</v>
      </c>
      <c r="AB360" s="59" t="s">
        <v>689</v>
      </c>
      <c r="AC360" s="59" t="s">
        <v>208</v>
      </c>
      <c r="AD360" s="59" t="s">
        <v>208</v>
      </c>
      <c r="AE360" s="60" t="s">
        <v>4115</v>
      </c>
      <c r="AF360" s="60" t="s">
        <v>6427</v>
      </c>
      <c r="AG360" s="59" t="s">
        <v>6427</v>
      </c>
      <c r="AH360" s="59" t="s">
        <v>691</v>
      </c>
      <c r="AI360" s="59" t="s">
        <v>122</v>
      </c>
      <c r="AJ360" s="61">
        <v>28316</v>
      </c>
      <c r="AK360" s="60" t="s">
        <v>4116</v>
      </c>
      <c r="AL360" s="60" t="s">
        <v>602</v>
      </c>
      <c r="AM360" s="59" t="s">
        <v>800</v>
      </c>
      <c r="AN360" s="60"/>
      <c r="AO360" s="60"/>
      <c r="AP360" s="59" t="s">
        <v>4117</v>
      </c>
      <c r="AQ360" s="25" t="s">
        <v>1369</v>
      </c>
      <c r="AR360" s="60" t="s">
        <v>4118</v>
      </c>
      <c r="AS360" s="59" t="s">
        <v>3238</v>
      </c>
      <c r="AT360" s="59" t="s">
        <v>1090</v>
      </c>
      <c r="AU360" s="59" t="s">
        <v>111</v>
      </c>
      <c r="AV360" s="62"/>
      <c r="AW360" s="59" t="s">
        <v>8105</v>
      </c>
      <c r="AX360" s="59" t="s">
        <v>691</v>
      </c>
      <c r="AY360" s="59" t="s">
        <v>90</v>
      </c>
      <c r="AZ360" s="126">
        <v>28804</v>
      </c>
      <c r="BA360" s="60" t="s">
        <v>4119</v>
      </c>
      <c r="BB360" s="60" t="s">
        <v>845</v>
      </c>
      <c r="BC360" s="59" t="s">
        <v>800</v>
      </c>
      <c r="BD360" s="60"/>
      <c r="BE360" s="60"/>
      <c r="BF360" s="60"/>
      <c r="BG360" s="59" t="s">
        <v>4117</v>
      </c>
      <c r="BH360" s="60" t="s">
        <v>1369</v>
      </c>
      <c r="BI360" s="60" t="s">
        <v>4118</v>
      </c>
      <c r="BJ360" s="24" t="s">
        <v>3238</v>
      </c>
      <c r="BK360" s="59" t="s">
        <v>1090</v>
      </c>
      <c r="BL360" s="59" t="s">
        <v>156</v>
      </c>
      <c r="BM360" s="24"/>
      <c r="BN360" s="24"/>
      <c r="BO360" s="59" t="s">
        <v>701</v>
      </c>
      <c r="BP360" s="59"/>
      <c r="BQ360" s="77"/>
      <c r="BR360" s="60"/>
      <c r="BS360" s="60"/>
      <c r="BT360" s="59"/>
      <c r="BU360" s="60"/>
      <c r="BV360" s="60"/>
      <c r="BW360" s="59"/>
      <c r="BX360" s="60"/>
      <c r="BY360" s="60"/>
      <c r="BZ360" s="59"/>
      <c r="CA360" s="59"/>
      <c r="CB360" s="59"/>
      <c r="CC360" s="59"/>
      <c r="CD360" s="59"/>
      <c r="CE360" s="59" t="s">
        <v>7628</v>
      </c>
      <c r="CF360" s="60" t="s">
        <v>1369</v>
      </c>
      <c r="CG360" s="59" t="s">
        <v>7267</v>
      </c>
      <c r="CH360" s="59" t="s">
        <v>882</v>
      </c>
      <c r="CI360" s="59" t="s">
        <v>122</v>
      </c>
      <c r="CJ360" s="59" t="s">
        <v>111</v>
      </c>
      <c r="CK360" s="47"/>
      <c r="CL360" s="64" t="str">
        <f t="shared" ca="1" si="5"/>
        <v>18 Tahun 5 Bulan 17 Hari</v>
      </c>
      <c r="CM36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Kp/Lebak Jawa RT/RW 02/02 Desa/Kelurahan Cilembu Kecamatan Pamulihan Sumedang Jawa Barat </v>
      </c>
    </row>
    <row r="361" spans="1:91" ht="24.95" customHeight="1">
      <c r="A361" s="58">
        <f>SUBTOTAL(3,N$8:Table2[[#This Row],[Nama lengkap]])</f>
        <v>354</v>
      </c>
      <c r="B361" s="58" t="s">
        <v>86</v>
      </c>
      <c r="C361" s="58">
        <v>2019</v>
      </c>
      <c r="D361" s="58" t="s">
        <v>8936</v>
      </c>
      <c r="E361" s="58">
        <v>5</v>
      </c>
      <c r="F361" s="58" t="s">
        <v>3783</v>
      </c>
      <c r="G361" s="32" t="s">
        <v>2513</v>
      </c>
      <c r="H361" s="32" t="s">
        <v>2513</v>
      </c>
      <c r="I361" s="32" t="s">
        <v>2513</v>
      </c>
      <c r="J361" s="32"/>
      <c r="K361" s="32"/>
      <c r="L361" s="32"/>
      <c r="M361" s="58">
        <v>19200321</v>
      </c>
      <c r="N361" s="24" t="s">
        <v>8861</v>
      </c>
      <c r="O361" s="24"/>
      <c r="P361" s="25" t="s">
        <v>4121</v>
      </c>
      <c r="Q361" s="25" t="s">
        <v>4122</v>
      </c>
      <c r="R361" s="60" t="s">
        <v>122</v>
      </c>
      <c r="S361" s="61" t="s">
        <v>4123</v>
      </c>
      <c r="T361" s="47" t="s">
        <v>92</v>
      </c>
      <c r="U361" s="47">
        <v>2</v>
      </c>
      <c r="V361" s="47">
        <v>1</v>
      </c>
      <c r="W361" s="47" t="s">
        <v>207</v>
      </c>
      <c r="X361" s="59"/>
      <c r="Y361" s="59" t="s">
        <v>4124</v>
      </c>
      <c r="Z361" s="59" t="s">
        <v>986</v>
      </c>
      <c r="AA361" s="59" t="s">
        <v>96</v>
      </c>
      <c r="AB361" s="59" t="s">
        <v>689</v>
      </c>
      <c r="AC361" s="59" t="s">
        <v>208</v>
      </c>
      <c r="AD361" s="59" t="s">
        <v>208</v>
      </c>
      <c r="AE361" s="60" t="s">
        <v>4125</v>
      </c>
      <c r="AF361" s="60" t="s">
        <v>8600</v>
      </c>
      <c r="AG361" s="59" t="s">
        <v>8600</v>
      </c>
      <c r="AH361" s="59" t="s">
        <v>691</v>
      </c>
      <c r="AI361" s="59" t="s">
        <v>122</v>
      </c>
      <c r="AJ361" s="61" t="s">
        <v>4126</v>
      </c>
      <c r="AK361" s="60" t="s">
        <v>4127</v>
      </c>
      <c r="AL361" s="60" t="s">
        <v>114</v>
      </c>
      <c r="AM361" s="59" t="s">
        <v>693</v>
      </c>
      <c r="AN361" s="60"/>
      <c r="AO361" s="60"/>
      <c r="AP361" s="59" t="s">
        <v>3182</v>
      </c>
      <c r="AQ361" s="25" t="s">
        <v>3340</v>
      </c>
      <c r="AR361" s="60" t="s">
        <v>2094</v>
      </c>
      <c r="AS361" s="59" t="s">
        <v>2094</v>
      </c>
      <c r="AT361" s="59" t="s">
        <v>1090</v>
      </c>
      <c r="AU361" s="59" t="s">
        <v>111</v>
      </c>
      <c r="AV361" s="24">
        <v>45361</v>
      </c>
      <c r="AW361" s="59" t="s">
        <v>8106</v>
      </c>
      <c r="AX361" s="59" t="s">
        <v>691</v>
      </c>
      <c r="AY361" s="59" t="s">
        <v>122</v>
      </c>
      <c r="AZ361" s="126" t="s">
        <v>3142</v>
      </c>
      <c r="BA361" s="60" t="s">
        <v>4128</v>
      </c>
      <c r="BB361" s="60" t="s">
        <v>845</v>
      </c>
      <c r="BC361" s="59" t="s">
        <v>693</v>
      </c>
      <c r="BD361" s="60"/>
      <c r="BE361" s="60"/>
      <c r="BF361" s="60"/>
      <c r="BG361" s="59" t="s">
        <v>3182</v>
      </c>
      <c r="BH361" s="60" t="s">
        <v>3340</v>
      </c>
      <c r="BI361" s="60" t="s">
        <v>2094</v>
      </c>
      <c r="BJ361" s="24" t="s">
        <v>2094</v>
      </c>
      <c r="BK361" s="59" t="s">
        <v>1090</v>
      </c>
      <c r="BL361" s="59" t="s">
        <v>156</v>
      </c>
      <c r="BM361" s="24">
        <v>45361</v>
      </c>
      <c r="BN361" s="24"/>
      <c r="BO361" s="59" t="s">
        <v>701</v>
      </c>
      <c r="BP361" s="59"/>
      <c r="BQ361" s="77"/>
      <c r="BR361" s="60"/>
      <c r="BS361" s="60"/>
      <c r="BT361" s="59"/>
      <c r="BU361" s="60"/>
      <c r="BV361" s="60"/>
      <c r="BW361" s="59"/>
      <c r="BX361" s="60"/>
      <c r="BY361" s="60"/>
      <c r="BZ361" s="59"/>
      <c r="CA361" s="59"/>
      <c r="CB361" s="59"/>
      <c r="CC361" s="59"/>
      <c r="CD361" s="59"/>
      <c r="CE361" s="59" t="s">
        <v>7550</v>
      </c>
      <c r="CF361" s="60" t="s">
        <v>3340</v>
      </c>
      <c r="CG361" s="59" t="s">
        <v>7140</v>
      </c>
      <c r="CH361" s="59" t="s">
        <v>7140</v>
      </c>
      <c r="CI361" s="59" t="s">
        <v>122</v>
      </c>
      <c r="CJ361" s="59" t="s">
        <v>111</v>
      </c>
      <c r="CK361" s="47">
        <v>45361</v>
      </c>
      <c r="CL361" s="64" t="str">
        <f t="shared" ca="1" si="5"/>
        <v>18 Tahun 8 Bulan 17 Hari</v>
      </c>
      <c r="CM36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Rancakalong RT/RW 03/08 Desa/Kelurahan Rancakalong Kecamatan Rancakalong Sumedang Jawa Barat 45361</v>
      </c>
    </row>
    <row r="362" spans="1:91" ht="24.95" customHeight="1">
      <c r="A362" s="58">
        <f>SUBTOTAL(3,N$8:Table2[[#This Row],[Nama lengkap]])</f>
        <v>355</v>
      </c>
      <c r="B362" s="58" t="s">
        <v>86</v>
      </c>
      <c r="C362" s="58">
        <v>2019</v>
      </c>
      <c r="D362" s="58"/>
      <c r="E362" s="58">
        <v>5</v>
      </c>
      <c r="F362" s="58" t="s">
        <v>3783</v>
      </c>
      <c r="G362" s="32" t="s">
        <v>2513</v>
      </c>
      <c r="H362" s="32" t="s">
        <v>2513</v>
      </c>
      <c r="I362" s="32" t="s">
        <v>2513</v>
      </c>
      <c r="J362" s="32"/>
      <c r="K362" s="32"/>
      <c r="L362" s="32"/>
      <c r="M362" s="58">
        <v>19200322</v>
      </c>
      <c r="N362" s="24" t="s">
        <v>6128</v>
      </c>
      <c r="O362" s="24"/>
      <c r="P362" s="25" t="s">
        <v>4130</v>
      </c>
      <c r="Q362" s="25" t="s">
        <v>4131</v>
      </c>
      <c r="R362" s="60" t="s">
        <v>90</v>
      </c>
      <c r="S362" s="61" t="s">
        <v>4132</v>
      </c>
      <c r="T362" s="47" t="s">
        <v>92</v>
      </c>
      <c r="U362" s="47">
        <v>2</v>
      </c>
      <c r="V362" s="47">
        <v>2</v>
      </c>
      <c r="W362" s="47" t="s">
        <v>207</v>
      </c>
      <c r="X362" s="59"/>
      <c r="Y362" s="59" t="s">
        <v>775</v>
      </c>
      <c r="Z362" s="59" t="s">
        <v>1985</v>
      </c>
      <c r="AA362" s="59" t="s">
        <v>96</v>
      </c>
      <c r="AB362" s="59" t="s">
        <v>1467</v>
      </c>
      <c r="AC362" s="59" t="s">
        <v>208</v>
      </c>
      <c r="AD362" s="59" t="s">
        <v>208</v>
      </c>
      <c r="AE362" s="60" t="s">
        <v>4133</v>
      </c>
      <c r="AF362" s="60" t="s">
        <v>8601</v>
      </c>
      <c r="AG362" s="59" t="s">
        <v>8601</v>
      </c>
      <c r="AH362" s="59" t="s">
        <v>691</v>
      </c>
      <c r="AI362" s="59" t="s">
        <v>90</v>
      </c>
      <c r="AJ362" s="61" t="s">
        <v>4134</v>
      </c>
      <c r="AK362" s="60" t="s">
        <v>4135</v>
      </c>
      <c r="AL362" s="60" t="s">
        <v>289</v>
      </c>
      <c r="AM362" s="59" t="s">
        <v>700</v>
      </c>
      <c r="AN362" s="60"/>
      <c r="AO362" s="60"/>
      <c r="AP362" s="59" t="s">
        <v>3973</v>
      </c>
      <c r="AQ362" s="25" t="s">
        <v>1052</v>
      </c>
      <c r="AR362" s="60" t="s">
        <v>3974</v>
      </c>
      <c r="AS362" s="59" t="s">
        <v>1913</v>
      </c>
      <c r="AT362" s="59" t="s">
        <v>141</v>
      </c>
      <c r="AU362" s="59" t="s">
        <v>111</v>
      </c>
      <c r="AV362" s="24">
        <v>40971</v>
      </c>
      <c r="AW362" s="59" t="s">
        <v>8107</v>
      </c>
      <c r="AX362" s="59" t="s">
        <v>691</v>
      </c>
      <c r="AY362" s="59" t="s">
        <v>90</v>
      </c>
      <c r="AZ362" s="126" t="s">
        <v>4136</v>
      </c>
      <c r="BA362" s="60" t="s">
        <v>4137</v>
      </c>
      <c r="BB362" s="60" t="s">
        <v>845</v>
      </c>
      <c r="BC362" s="59" t="s">
        <v>693</v>
      </c>
      <c r="BD362" s="60"/>
      <c r="BE362" s="60"/>
      <c r="BF362" s="60"/>
      <c r="BG362" s="59" t="s">
        <v>3973</v>
      </c>
      <c r="BH362" s="60" t="s">
        <v>1052</v>
      </c>
      <c r="BI362" s="60" t="s">
        <v>3974</v>
      </c>
      <c r="BJ362" s="24" t="s">
        <v>1913</v>
      </c>
      <c r="BK362" s="59" t="s">
        <v>141</v>
      </c>
      <c r="BL362" s="59" t="s">
        <v>156</v>
      </c>
      <c r="BM362" s="24">
        <v>40971</v>
      </c>
      <c r="BN362" s="24"/>
      <c r="BO362" s="59" t="s">
        <v>701</v>
      </c>
      <c r="BP362" s="59"/>
      <c r="BQ362" s="77"/>
      <c r="BR362" s="60"/>
      <c r="BS362" s="60"/>
      <c r="BT362" s="59"/>
      <c r="BU362" s="60"/>
      <c r="BV362" s="60"/>
      <c r="BW362" s="59"/>
      <c r="BX362" s="60"/>
      <c r="BY362" s="60"/>
      <c r="BZ362" s="59"/>
      <c r="CA362" s="59"/>
      <c r="CB362" s="59"/>
      <c r="CC362" s="59"/>
      <c r="CD362" s="59"/>
      <c r="CE362" s="59" t="s">
        <v>7615</v>
      </c>
      <c r="CF362" s="60" t="s">
        <v>1052</v>
      </c>
      <c r="CG362" s="59" t="s">
        <v>7264</v>
      </c>
      <c r="CH362" s="59" t="s">
        <v>110</v>
      </c>
      <c r="CI362" s="59" t="s">
        <v>90</v>
      </c>
      <c r="CJ362" s="59" t="s">
        <v>111</v>
      </c>
      <c r="CK362" s="47">
        <v>40971</v>
      </c>
      <c r="CL362" s="64" t="str">
        <f t="shared" ca="1" si="5"/>
        <v>18 Tahun 11 Bulan 16 Hari</v>
      </c>
      <c r="CM36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Kp.Bojong RT/RW 04/02 Desa/Kelurahan Sukamukti Kecamatan Katapang Bandung Jawa Barat 40971</v>
      </c>
    </row>
    <row r="363" spans="1:91" ht="24.95" customHeight="1">
      <c r="A363" s="58">
        <f>SUBTOTAL(3,N$8:Table2[[#This Row],[Nama lengkap]])</f>
        <v>356</v>
      </c>
      <c r="B363" s="58" t="s">
        <v>86</v>
      </c>
      <c r="C363" s="58">
        <v>2019</v>
      </c>
      <c r="D363" s="58" t="s">
        <v>8936</v>
      </c>
      <c r="E363" s="58">
        <v>5</v>
      </c>
      <c r="F363" s="58" t="s">
        <v>3783</v>
      </c>
      <c r="G363" s="32" t="s">
        <v>2513</v>
      </c>
      <c r="H363" s="32" t="s">
        <v>2513</v>
      </c>
      <c r="I363" s="32" t="s">
        <v>2513</v>
      </c>
      <c r="J363" s="32"/>
      <c r="K363" s="32"/>
      <c r="L363" s="32"/>
      <c r="M363" s="58">
        <v>19200329</v>
      </c>
      <c r="N363" s="24" t="s">
        <v>6129</v>
      </c>
      <c r="O363" s="24"/>
      <c r="P363" s="25" t="s">
        <v>4139</v>
      </c>
      <c r="Q363" s="25" t="s">
        <v>4140</v>
      </c>
      <c r="R363" s="60" t="s">
        <v>90</v>
      </c>
      <c r="S363" s="61" t="s">
        <v>4091</v>
      </c>
      <c r="T363" s="47" t="s">
        <v>92</v>
      </c>
      <c r="U363" s="47">
        <v>1</v>
      </c>
      <c r="V363" s="47">
        <v>1</v>
      </c>
      <c r="W363" s="47" t="s">
        <v>207</v>
      </c>
      <c r="X363" s="59" t="s">
        <v>123</v>
      </c>
      <c r="Y363" s="59" t="s">
        <v>3410</v>
      </c>
      <c r="Z363" s="59" t="s">
        <v>4141</v>
      </c>
      <c r="AA363" s="59" t="s">
        <v>96</v>
      </c>
      <c r="AB363" s="59" t="s">
        <v>689</v>
      </c>
      <c r="AC363" s="59" t="s">
        <v>208</v>
      </c>
      <c r="AD363" s="59" t="s">
        <v>208</v>
      </c>
      <c r="AE363" s="60" t="s">
        <v>4142</v>
      </c>
      <c r="AF363" s="60" t="s">
        <v>8602</v>
      </c>
      <c r="AG363" s="59" t="s">
        <v>8602</v>
      </c>
      <c r="AH363" s="59" t="s">
        <v>691</v>
      </c>
      <c r="AI363" s="59" t="s">
        <v>90</v>
      </c>
      <c r="AJ363" s="61" t="s">
        <v>4143</v>
      </c>
      <c r="AK363" s="60" t="s">
        <v>4144</v>
      </c>
      <c r="AL363" s="60" t="s">
        <v>114</v>
      </c>
      <c r="AM363" s="59" t="s">
        <v>700</v>
      </c>
      <c r="AN363" s="60"/>
      <c r="AO363" s="60"/>
      <c r="AP363" s="59" t="s">
        <v>4145</v>
      </c>
      <c r="AQ363" s="25" t="s">
        <v>4146</v>
      </c>
      <c r="AR363" s="60" t="s">
        <v>4147</v>
      </c>
      <c r="AS363" s="59" t="s">
        <v>4148</v>
      </c>
      <c r="AT363" s="59" t="s">
        <v>141</v>
      </c>
      <c r="AU363" s="59" t="s">
        <v>111</v>
      </c>
      <c r="AV363" s="24">
        <v>40193</v>
      </c>
      <c r="AW363" s="59" t="s">
        <v>8108</v>
      </c>
      <c r="AX363" s="59" t="s">
        <v>691</v>
      </c>
      <c r="AY363" s="59" t="s">
        <v>623</v>
      </c>
      <c r="AZ363" s="126" t="s">
        <v>4149</v>
      </c>
      <c r="BA363" s="60" t="s">
        <v>4150</v>
      </c>
      <c r="BB363" s="60" t="s">
        <v>845</v>
      </c>
      <c r="BC363" s="59" t="s">
        <v>693</v>
      </c>
      <c r="BD363" s="60"/>
      <c r="BE363" s="60"/>
      <c r="BF363" s="60"/>
      <c r="BG363" s="59" t="s">
        <v>4145</v>
      </c>
      <c r="BH363" s="60" t="s">
        <v>4146</v>
      </c>
      <c r="BI363" s="60" t="s">
        <v>4147</v>
      </c>
      <c r="BJ363" s="24" t="s">
        <v>4148</v>
      </c>
      <c r="BK363" s="59" t="s">
        <v>141</v>
      </c>
      <c r="BL363" s="59" t="s">
        <v>156</v>
      </c>
      <c r="BM363" s="24">
        <v>40193</v>
      </c>
      <c r="BN363" s="24"/>
      <c r="BO363" s="59" t="s">
        <v>701</v>
      </c>
      <c r="BP363" s="59"/>
      <c r="BQ363" s="77"/>
      <c r="BR363" s="60"/>
      <c r="BS363" s="60"/>
      <c r="BT363" s="59"/>
      <c r="BU363" s="60"/>
      <c r="BV363" s="60"/>
      <c r="BW363" s="59"/>
      <c r="BX363" s="60"/>
      <c r="BY363" s="60"/>
      <c r="BZ363" s="59"/>
      <c r="CA363" s="59"/>
      <c r="CB363" s="59"/>
      <c r="CC363" s="59"/>
      <c r="CD363" s="59"/>
      <c r="CE363" s="59" t="s">
        <v>7629</v>
      </c>
      <c r="CF363" s="60" t="s">
        <v>4146</v>
      </c>
      <c r="CG363" s="59" t="s">
        <v>445</v>
      </c>
      <c r="CH363" s="59" t="s">
        <v>446</v>
      </c>
      <c r="CI363" s="59" t="s">
        <v>90</v>
      </c>
      <c r="CJ363" s="59" t="s">
        <v>111</v>
      </c>
      <c r="CK363" s="47">
        <v>40193</v>
      </c>
      <c r="CL363" s="64" t="str">
        <f t="shared" ca="1" si="5"/>
        <v>19 Tahun 2 Bulan 6 Hari</v>
      </c>
      <c r="CM36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Jl.Jatihandap Gg.Iv No.186 RT/RW 08/06 Desa/Kelurahan Jatihandap Kecamatan Mandalajati Bandung Jawa Barat 40193</v>
      </c>
    </row>
    <row r="364" spans="1:91" ht="24.95" customHeight="1">
      <c r="A364" s="58">
        <f>SUBTOTAL(3,N$8:Table2[[#This Row],[Nama lengkap]])</f>
        <v>357</v>
      </c>
      <c r="B364" s="58" t="s">
        <v>86</v>
      </c>
      <c r="C364" s="58">
        <v>2019</v>
      </c>
      <c r="D364" s="58"/>
      <c r="E364" s="58">
        <v>5</v>
      </c>
      <c r="F364" s="58" t="s">
        <v>3783</v>
      </c>
      <c r="G364" s="32" t="s">
        <v>2513</v>
      </c>
      <c r="H364" s="32" t="s">
        <v>2513</v>
      </c>
      <c r="I364" s="32" t="s">
        <v>2513</v>
      </c>
      <c r="J364" s="32"/>
      <c r="K364" s="32"/>
      <c r="L364" s="32"/>
      <c r="M364" s="58">
        <v>19200333</v>
      </c>
      <c r="N364" s="24" t="s">
        <v>6130</v>
      </c>
      <c r="O364" s="24"/>
      <c r="P364" s="25" t="s">
        <v>4152</v>
      </c>
      <c r="Q364" s="25" t="s">
        <v>4153</v>
      </c>
      <c r="R364" s="60" t="s">
        <v>122</v>
      </c>
      <c r="S364" s="61" t="s">
        <v>4154</v>
      </c>
      <c r="T364" s="47" t="s">
        <v>92</v>
      </c>
      <c r="U364" s="47">
        <v>2</v>
      </c>
      <c r="V364" s="47">
        <v>1</v>
      </c>
      <c r="W364" s="47" t="s">
        <v>207</v>
      </c>
      <c r="X364" s="59" t="s">
        <v>123</v>
      </c>
      <c r="Y364" s="59" t="s">
        <v>4155</v>
      </c>
      <c r="Z364" s="59" t="s">
        <v>4156</v>
      </c>
      <c r="AA364" s="59" t="s">
        <v>96</v>
      </c>
      <c r="AB364" s="59" t="s">
        <v>689</v>
      </c>
      <c r="AC364" s="59" t="s">
        <v>208</v>
      </c>
      <c r="AD364" s="59" t="s">
        <v>208</v>
      </c>
      <c r="AE364" s="60" t="s">
        <v>4157</v>
      </c>
      <c r="AF364" s="60" t="s">
        <v>8603</v>
      </c>
      <c r="AG364" s="59" t="s">
        <v>8603</v>
      </c>
      <c r="AH364" s="59" t="s">
        <v>691</v>
      </c>
      <c r="AI364" s="59" t="s">
        <v>122</v>
      </c>
      <c r="AJ364" s="61">
        <v>26666</v>
      </c>
      <c r="AK364" s="60" t="s">
        <v>4158</v>
      </c>
      <c r="AL364" s="60" t="s">
        <v>114</v>
      </c>
      <c r="AM364" s="59" t="s">
        <v>693</v>
      </c>
      <c r="AN364" s="60"/>
      <c r="AO364" s="60"/>
      <c r="AP364" s="59" t="s">
        <v>4159</v>
      </c>
      <c r="AQ364" s="25" t="s">
        <v>1076</v>
      </c>
      <c r="AR364" s="60" t="s">
        <v>4160</v>
      </c>
      <c r="AS364" s="59" t="s">
        <v>2094</v>
      </c>
      <c r="AT364" s="59" t="s">
        <v>1090</v>
      </c>
      <c r="AU364" s="59" t="s">
        <v>111</v>
      </c>
      <c r="AV364" s="24">
        <v>45361</v>
      </c>
      <c r="AW364" s="59" t="s">
        <v>8109</v>
      </c>
      <c r="AX364" s="59" t="s">
        <v>691</v>
      </c>
      <c r="AY364" s="59" t="s">
        <v>122</v>
      </c>
      <c r="AZ364" s="126">
        <v>26460</v>
      </c>
      <c r="BA364" s="60" t="s">
        <v>4161</v>
      </c>
      <c r="BB364" s="60" t="s">
        <v>845</v>
      </c>
      <c r="BC364" s="59" t="s">
        <v>693</v>
      </c>
      <c r="BD364" s="60"/>
      <c r="BE364" s="60"/>
      <c r="BF364" s="60"/>
      <c r="BG364" s="59" t="s">
        <v>4159</v>
      </c>
      <c r="BH364" s="60" t="s">
        <v>1076</v>
      </c>
      <c r="BI364" s="60" t="s">
        <v>4160</v>
      </c>
      <c r="BJ364" s="24" t="s">
        <v>2094</v>
      </c>
      <c r="BK364" s="59" t="s">
        <v>1090</v>
      </c>
      <c r="BL364" s="59" t="s">
        <v>156</v>
      </c>
      <c r="BM364" s="24">
        <v>45361</v>
      </c>
      <c r="BN364" s="24"/>
      <c r="BO364" s="59" t="s">
        <v>701</v>
      </c>
      <c r="BP364" s="59"/>
      <c r="BQ364" s="77"/>
      <c r="BR364" s="60"/>
      <c r="BS364" s="60"/>
      <c r="BT364" s="59"/>
      <c r="BU364" s="60"/>
      <c r="BV364" s="60"/>
      <c r="BW364" s="59"/>
      <c r="BX364" s="60"/>
      <c r="BY364" s="60"/>
      <c r="BZ364" s="59"/>
      <c r="CA364" s="59"/>
      <c r="CB364" s="59"/>
      <c r="CC364" s="59"/>
      <c r="CD364" s="59"/>
      <c r="CE364" s="59" t="s">
        <v>7630</v>
      </c>
      <c r="CF364" s="60" t="s">
        <v>1076</v>
      </c>
      <c r="CG364" s="59" t="s">
        <v>7268</v>
      </c>
      <c r="CH364" s="59" t="s">
        <v>7140</v>
      </c>
      <c r="CI364" s="59" t="s">
        <v>122</v>
      </c>
      <c r="CJ364" s="59" t="s">
        <v>111</v>
      </c>
      <c r="CK364" s="47">
        <v>45361</v>
      </c>
      <c r="CL364" s="64" t="str">
        <f t="shared" ca="1" si="5"/>
        <v>20 Tahun 0 Bulan 5 Hari</v>
      </c>
      <c r="CM36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Cibungur RT/RW 03/06 Desa/Kelurahan Cibungur Kecamatan Rancakalong Sumedang Jawa Barat 45361</v>
      </c>
    </row>
    <row r="365" spans="1:91" ht="24.95" customHeight="1">
      <c r="A365" s="58">
        <f>SUBTOTAL(3,N$8:Table2[[#This Row],[Nama lengkap]])</f>
        <v>358</v>
      </c>
      <c r="B365" s="58" t="s">
        <v>86</v>
      </c>
      <c r="C365" s="58">
        <v>2019</v>
      </c>
      <c r="D365" s="58"/>
      <c r="E365" s="58">
        <v>5</v>
      </c>
      <c r="F365" s="58" t="s">
        <v>3783</v>
      </c>
      <c r="G365" s="32" t="s">
        <v>2513</v>
      </c>
      <c r="H365" s="32" t="s">
        <v>2513</v>
      </c>
      <c r="I365" s="32" t="s">
        <v>2513</v>
      </c>
      <c r="J365" s="32"/>
      <c r="K365" s="32"/>
      <c r="L365" s="32"/>
      <c r="M365" s="58">
        <v>19200337</v>
      </c>
      <c r="N365" s="24" t="s">
        <v>6131</v>
      </c>
      <c r="O365" s="24"/>
      <c r="P365" s="25" t="s">
        <v>4163</v>
      </c>
      <c r="Q365" s="25" t="s">
        <v>4164</v>
      </c>
      <c r="R365" s="60" t="s">
        <v>90</v>
      </c>
      <c r="S365" s="61" t="s">
        <v>3128</v>
      </c>
      <c r="T365" s="47" t="s">
        <v>92</v>
      </c>
      <c r="U365" s="47">
        <v>1</v>
      </c>
      <c r="V365" s="47">
        <v>1</v>
      </c>
      <c r="W365" s="47" t="s">
        <v>207</v>
      </c>
      <c r="X365" s="59" t="s">
        <v>123</v>
      </c>
      <c r="Y365" s="59" t="s">
        <v>1687</v>
      </c>
      <c r="Z365" s="59" t="s">
        <v>1183</v>
      </c>
      <c r="AA365" s="59" t="s">
        <v>96</v>
      </c>
      <c r="AB365" s="59" t="s">
        <v>689</v>
      </c>
      <c r="AC365" s="59" t="s">
        <v>208</v>
      </c>
      <c r="AD365" s="59" t="s">
        <v>208</v>
      </c>
      <c r="AE365" s="60" t="s">
        <v>4165</v>
      </c>
      <c r="AF365" s="60" t="s">
        <v>8604</v>
      </c>
      <c r="AG365" s="59" t="s">
        <v>8605</v>
      </c>
      <c r="AH365" s="59" t="s">
        <v>691</v>
      </c>
      <c r="AI365" s="59" t="s">
        <v>90</v>
      </c>
      <c r="AJ365" s="61">
        <v>29436</v>
      </c>
      <c r="AK365" s="60" t="s">
        <v>4166</v>
      </c>
      <c r="AL365" s="60" t="s">
        <v>289</v>
      </c>
      <c r="AM365" s="59" t="s">
        <v>800</v>
      </c>
      <c r="AN365" s="60"/>
      <c r="AO365" s="60"/>
      <c r="AP365" s="59" t="s">
        <v>4167</v>
      </c>
      <c r="AQ365" s="25" t="s">
        <v>1145</v>
      </c>
      <c r="AR365" s="60" t="s">
        <v>2060</v>
      </c>
      <c r="AS365" s="59" t="s">
        <v>1019</v>
      </c>
      <c r="AT365" s="59" t="s">
        <v>141</v>
      </c>
      <c r="AU365" s="59" t="s">
        <v>111</v>
      </c>
      <c r="AV365" s="24">
        <v>40951</v>
      </c>
      <c r="AW365" s="59" t="s">
        <v>8110</v>
      </c>
      <c r="AX365" s="59" t="s">
        <v>691</v>
      </c>
      <c r="AY365" s="59" t="s">
        <v>90</v>
      </c>
      <c r="AZ365" s="126" t="s">
        <v>4168</v>
      </c>
      <c r="BA365" s="60" t="s">
        <v>4169</v>
      </c>
      <c r="BB365" s="60" t="s">
        <v>845</v>
      </c>
      <c r="BC365" s="59" t="s">
        <v>693</v>
      </c>
      <c r="BD365" s="60"/>
      <c r="BE365" s="60"/>
      <c r="BF365" s="60"/>
      <c r="BG365" s="59" t="s">
        <v>4167</v>
      </c>
      <c r="BH365" s="60" t="s">
        <v>1145</v>
      </c>
      <c r="BI365" s="60" t="s">
        <v>2060</v>
      </c>
      <c r="BJ365" s="24" t="s">
        <v>1019</v>
      </c>
      <c r="BK365" s="59" t="s">
        <v>141</v>
      </c>
      <c r="BL365" s="59" t="s">
        <v>156</v>
      </c>
      <c r="BM365" s="24">
        <v>40951</v>
      </c>
      <c r="BN365" s="24"/>
      <c r="BO365" s="59" t="s">
        <v>701</v>
      </c>
      <c r="BP365" s="59"/>
      <c r="BQ365" s="77"/>
      <c r="BR365" s="60"/>
      <c r="BS365" s="60"/>
      <c r="BT365" s="59"/>
      <c r="BU365" s="60"/>
      <c r="BV365" s="60"/>
      <c r="BW365" s="59"/>
      <c r="BX365" s="60"/>
      <c r="BY365" s="60"/>
      <c r="BZ365" s="59"/>
      <c r="CA365" s="59"/>
      <c r="CB365" s="59"/>
      <c r="CC365" s="59"/>
      <c r="CD365" s="59"/>
      <c r="CE365" s="59" t="s">
        <v>7631</v>
      </c>
      <c r="CF365" s="60" t="s">
        <v>1145</v>
      </c>
      <c r="CG365" s="59" t="s">
        <v>7134</v>
      </c>
      <c r="CH365" s="59" t="s">
        <v>6967</v>
      </c>
      <c r="CI365" s="59" t="s">
        <v>90</v>
      </c>
      <c r="CJ365" s="59" t="s">
        <v>111</v>
      </c>
      <c r="CK365" s="47">
        <v>40951</v>
      </c>
      <c r="CL365" s="64" t="str">
        <f t="shared" ca="1" si="5"/>
        <v>18 Tahun 5 Bulan 13 Hari</v>
      </c>
      <c r="CM36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Kp.Bojongnangka RT/RW 01/12 Desa/Kelurahan Kopo Kecamatan Kutawaringin Bandung Jawa Barat 40951</v>
      </c>
    </row>
    <row r="366" spans="1:91" ht="24.95" customHeight="1">
      <c r="A366" s="58">
        <f>SUBTOTAL(3,N$8:Table2[[#This Row],[Nama lengkap]])</f>
        <v>359</v>
      </c>
      <c r="B366" s="58" t="s">
        <v>86</v>
      </c>
      <c r="C366" s="58">
        <v>2020</v>
      </c>
      <c r="D366" s="58"/>
      <c r="E366" s="58">
        <v>5</v>
      </c>
      <c r="F366" s="58" t="s">
        <v>3783</v>
      </c>
      <c r="G366" s="32" t="s">
        <v>2513</v>
      </c>
      <c r="H366" s="32" t="s">
        <v>2513</v>
      </c>
      <c r="I366" s="32" t="s">
        <v>2513</v>
      </c>
      <c r="J366" s="32"/>
      <c r="K366" s="32"/>
      <c r="L366" s="32"/>
      <c r="M366" s="58">
        <v>20210215</v>
      </c>
      <c r="N366" s="24" t="s">
        <v>5826</v>
      </c>
      <c r="O366" s="24"/>
      <c r="P366" s="25" t="s">
        <v>4170</v>
      </c>
      <c r="Q366" s="25" t="s">
        <v>4171</v>
      </c>
      <c r="R366" s="60" t="s">
        <v>122</v>
      </c>
      <c r="S366" s="61" t="s">
        <v>4172</v>
      </c>
      <c r="T366" s="47" t="s">
        <v>92</v>
      </c>
      <c r="U366" s="47">
        <v>3</v>
      </c>
      <c r="V366" s="47">
        <v>2</v>
      </c>
      <c r="W366" s="47" t="s">
        <v>207</v>
      </c>
      <c r="X366" s="59" t="s">
        <v>123</v>
      </c>
      <c r="Y366" s="59" t="s">
        <v>4124</v>
      </c>
      <c r="Z366" s="59" t="s">
        <v>1985</v>
      </c>
      <c r="AA366" s="59" t="s">
        <v>96</v>
      </c>
      <c r="AB366" s="59" t="s">
        <v>689</v>
      </c>
      <c r="AC366" s="59" t="s">
        <v>208</v>
      </c>
      <c r="AD366" s="59" t="s">
        <v>208</v>
      </c>
      <c r="AE366" s="60" t="s">
        <v>4173</v>
      </c>
      <c r="AF366" s="60" t="s">
        <v>8606</v>
      </c>
      <c r="AG366" s="59" t="s">
        <v>8606</v>
      </c>
      <c r="AH366" s="59" t="s">
        <v>691</v>
      </c>
      <c r="AI366" s="59" t="s">
        <v>122</v>
      </c>
      <c r="AJ366" s="61" t="s">
        <v>4174</v>
      </c>
      <c r="AK366" s="60" t="s">
        <v>4175</v>
      </c>
      <c r="AL366" s="60" t="s">
        <v>114</v>
      </c>
      <c r="AM366" s="59" t="s">
        <v>693</v>
      </c>
      <c r="AN366" s="60"/>
      <c r="AO366" s="60"/>
      <c r="AP366" s="59" t="s">
        <v>4176</v>
      </c>
      <c r="AQ366" s="25" t="s">
        <v>3435</v>
      </c>
      <c r="AR366" s="60" t="s">
        <v>2753</v>
      </c>
      <c r="AS366" s="59" t="s">
        <v>1324</v>
      </c>
      <c r="AT366" s="59" t="s">
        <v>1090</v>
      </c>
      <c r="AU366" s="59" t="s">
        <v>111</v>
      </c>
      <c r="AV366" s="24">
        <v>43352</v>
      </c>
      <c r="AW366" s="59" t="s">
        <v>8111</v>
      </c>
      <c r="AX366" s="59" t="s">
        <v>691</v>
      </c>
      <c r="AY366" s="59" t="s">
        <v>122</v>
      </c>
      <c r="AZ366" s="126">
        <v>27582</v>
      </c>
      <c r="BA366" s="60" t="s">
        <v>4177</v>
      </c>
      <c r="BB366" s="60" t="s">
        <v>845</v>
      </c>
      <c r="BC366" s="59" t="s">
        <v>693</v>
      </c>
      <c r="BD366" s="60"/>
      <c r="BE366" s="60"/>
      <c r="BF366" s="60"/>
      <c r="BG366" s="59" t="s">
        <v>4176</v>
      </c>
      <c r="BH366" s="60" t="s">
        <v>880</v>
      </c>
      <c r="BI366" s="60" t="s">
        <v>2753</v>
      </c>
      <c r="BJ366" s="24" t="s">
        <v>1324</v>
      </c>
      <c r="BK366" s="59" t="s">
        <v>1090</v>
      </c>
      <c r="BL366" s="59" t="s">
        <v>156</v>
      </c>
      <c r="BM366" s="24">
        <v>45352</v>
      </c>
      <c r="BN366" s="24"/>
      <c r="BO366" s="59" t="s">
        <v>701</v>
      </c>
      <c r="BP366" s="59"/>
      <c r="BQ366" s="77"/>
      <c r="BR366" s="60"/>
      <c r="BS366" s="60"/>
      <c r="BT366" s="59"/>
      <c r="BU366" s="60"/>
      <c r="BV366" s="60"/>
      <c r="BW366" s="59"/>
      <c r="BX366" s="60"/>
      <c r="BY366" s="60"/>
      <c r="BZ366" s="59"/>
      <c r="CA366" s="59"/>
      <c r="CB366" s="59"/>
      <c r="CC366" s="59"/>
      <c r="CD366" s="59"/>
      <c r="CE366" s="59" t="s">
        <v>7632</v>
      </c>
      <c r="CF366" s="60" t="s">
        <v>3435</v>
      </c>
      <c r="CG366" s="59" t="s">
        <v>7194</v>
      </c>
      <c r="CH366" s="59" t="s">
        <v>134</v>
      </c>
      <c r="CI366" s="59" t="s">
        <v>122</v>
      </c>
      <c r="CJ366" s="59" t="s">
        <v>111</v>
      </c>
      <c r="CK366" s="47">
        <v>43352</v>
      </c>
      <c r="CL366" s="64" t="str">
        <f t="shared" ca="1" si="5"/>
        <v>18 Tahun 3 Bulan 13 Hari</v>
      </c>
      <c r="CM36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Bojong Totor RT/RW 01/01 Desa/Kelurahan Sirnamulya Kecamatan Sumedang Utara Sumedang Jawa Barat 43352</v>
      </c>
    </row>
    <row r="367" spans="1:91" ht="24.95" customHeight="1">
      <c r="A367" s="58">
        <f>SUBTOTAL(3,N$8:Table2[[#This Row],[Nama lengkap]])</f>
        <v>360</v>
      </c>
      <c r="B367" s="58" t="s">
        <v>86</v>
      </c>
      <c r="C367" s="58">
        <v>2019</v>
      </c>
      <c r="D367" s="58"/>
      <c r="E367" s="58">
        <v>5</v>
      </c>
      <c r="F367" s="58" t="s">
        <v>3783</v>
      </c>
      <c r="G367" s="32" t="s">
        <v>2513</v>
      </c>
      <c r="H367" s="32" t="s">
        <v>2513</v>
      </c>
      <c r="I367" s="32" t="s">
        <v>2513</v>
      </c>
      <c r="J367" s="32"/>
      <c r="K367" s="32"/>
      <c r="L367" s="32"/>
      <c r="M367" s="58">
        <v>19200343</v>
      </c>
      <c r="N367" s="24" t="s">
        <v>8862</v>
      </c>
      <c r="O367" s="24"/>
      <c r="P367" s="25" t="s">
        <v>4178</v>
      </c>
      <c r="Q367" s="25" t="s">
        <v>4179</v>
      </c>
      <c r="R367" s="60" t="s">
        <v>90</v>
      </c>
      <c r="S367" s="61" t="s">
        <v>4180</v>
      </c>
      <c r="T367" s="47" t="s">
        <v>92</v>
      </c>
      <c r="U367" s="47">
        <v>4</v>
      </c>
      <c r="V367" s="47">
        <v>5</v>
      </c>
      <c r="W367" s="47" t="s">
        <v>207</v>
      </c>
      <c r="X367" s="59"/>
      <c r="Y367" s="59" t="s">
        <v>775</v>
      </c>
      <c r="Z367" s="59" t="s">
        <v>3994</v>
      </c>
      <c r="AA367" s="59" t="s">
        <v>4181</v>
      </c>
      <c r="AB367" s="59" t="s">
        <v>689</v>
      </c>
      <c r="AC367" s="59" t="s">
        <v>208</v>
      </c>
      <c r="AD367" s="59" t="s">
        <v>208</v>
      </c>
      <c r="AE367" s="60" t="s">
        <v>4182</v>
      </c>
      <c r="AF367" s="60" t="s">
        <v>8607</v>
      </c>
      <c r="AG367" s="59" t="s">
        <v>8607</v>
      </c>
      <c r="AH367" s="59" t="s">
        <v>691</v>
      </c>
      <c r="AI367" s="59" t="s">
        <v>8285</v>
      </c>
      <c r="AJ367" s="61">
        <v>27039</v>
      </c>
      <c r="AK367" s="60" t="s">
        <v>4183</v>
      </c>
      <c r="AL367" s="60" t="s">
        <v>914</v>
      </c>
      <c r="AM367" s="59" t="s">
        <v>2807</v>
      </c>
      <c r="AN367" s="60"/>
      <c r="AO367" s="60"/>
      <c r="AP367" s="59" t="s">
        <v>4184</v>
      </c>
      <c r="AQ367" s="25" t="s">
        <v>4185</v>
      </c>
      <c r="AR367" s="60" t="s">
        <v>4186</v>
      </c>
      <c r="AS367" s="59" t="s">
        <v>994</v>
      </c>
      <c r="AT367" s="59" t="s">
        <v>141</v>
      </c>
      <c r="AU367" s="59" t="s">
        <v>111</v>
      </c>
      <c r="AV367" s="24">
        <v>40228</v>
      </c>
      <c r="AW367" s="59" t="s">
        <v>8112</v>
      </c>
      <c r="AX367" s="59" t="s">
        <v>691</v>
      </c>
      <c r="AY367" s="59" t="s">
        <v>5021</v>
      </c>
      <c r="AZ367" s="126">
        <v>26813</v>
      </c>
      <c r="BA367" s="60" t="s">
        <v>4187</v>
      </c>
      <c r="BB367" s="60" t="s">
        <v>845</v>
      </c>
      <c r="BC367" s="59" t="s">
        <v>800</v>
      </c>
      <c r="BD367" s="60"/>
      <c r="BE367" s="60"/>
      <c r="BF367" s="60"/>
      <c r="BG367" s="59" t="s">
        <v>4188</v>
      </c>
      <c r="BH367" s="60" t="s">
        <v>880</v>
      </c>
      <c r="BI367" s="60" t="s">
        <v>4189</v>
      </c>
      <c r="BJ367" s="24" t="s">
        <v>4190</v>
      </c>
      <c r="BK367" s="59" t="s">
        <v>4191</v>
      </c>
      <c r="BL367" s="59" t="s">
        <v>156</v>
      </c>
      <c r="BM367" s="24">
        <v>40228</v>
      </c>
      <c r="BN367" s="24"/>
      <c r="BO367" s="59" t="s">
        <v>701</v>
      </c>
      <c r="BP367" s="59"/>
      <c r="BQ367" s="77"/>
      <c r="BR367" s="60"/>
      <c r="BS367" s="60"/>
      <c r="BT367" s="59"/>
      <c r="BU367" s="60"/>
      <c r="BV367" s="60"/>
      <c r="BW367" s="59"/>
      <c r="BX367" s="60"/>
      <c r="BY367" s="60"/>
      <c r="BZ367" s="59"/>
      <c r="CA367" s="59"/>
      <c r="CB367" s="59"/>
      <c r="CC367" s="59"/>
      <c r="CD367" s="59"/>
      <c r="CE367" s="59" t="s">
        <v>7633</v>
      </c>
      <c r="CF367" s="60" t="s">
        <v>4185</v>
      </c>
      <c r="CG367" s="59" t="s">
        <v>7269</v>
      </c>
      <c r="CH367" s="59" t="s">
        <v>7042</v>
      </c>
      <c r="CI367" s="59" t="s">
        <v>90</v>
      </c>
      <c r="CJ367" s="59" t="s">
        <v>111</v>
      </c>
      <c r="CK367" s="47">
        <v>40228</v>
      </c>
      <c r="CL367" s="64" t="str">
        <f t="shared" ca="1" si="5"/>
        <v>17 Tahun 10 Bulan 1 Hari</v>
      </c>
      <c r="CM36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Komp. Permata Kopo Blok B No 7A RT/RW 07/11 Desa/Kelurahan Sayati Kecamatan Margahayu Bandung Jawa Barat 40228</v>
      </c>
    </row>
    <row r="368" spans="1:91" ht="24.95" customHeight="1">
      <c r="A368" s="58">
        <f>SUBTOTAL(3,N$8:Table2[[#This Row],[Nama lengkap]])</f>
        <v>361</v>
      </c>
      <c r="B368" s="58" t="s">
        <v>86</v>
      </c>
      <c r="C368" s="58">
        <v>2019</v>
      </c>
      <c r="D368" s="58"/>
      <c r="E368" s="58">
        <v>6</v>
      </c>
      <c r="F368" s="58" t="s">
        <v>4192</v>
      </c>
      <c r="G368" s="32" t="s">
        <v>2513</v>
      </c>
      <c r="H368" s="32" t="s">
        <v>2513</v>
      </c>
      <c r="I368" s="32" t="s">
        <v>2513</v>
      </c>
      <c r="J368" s="32"/>
      <c r="K368" s="32"/>
      <c r="L368" s="32"/>
      <c r="M368" s="58">
        <v>19200186</v>
      </c>
      <c r="N368" s="24" t="s">
        <v>6133</v>
      </c>
      <c r="O368" s="24"/>
      <c r="P368" s="25" t="s">
        <v>4194</v>
      </c>
      <c r="Q368" s="25" t="s">
        <v>4195</v>
      </c>
      <c r="R368" s="60" t="s">
        <v>90</v>
      </c>
      <c r="S368" s="61" t="s">
        <v>4196</v>
      </c>
      <c r="T368" s="47" t="s">
        <v>92</v>
      </c>
      <c r="U368" s="47">
        <v>1</v>
      </c>
      <c r="V368" s="47">
        <v>2</v>
      </c>
      <c r="W368" s="47" t="s">
        <v>207</v>
      </c>
      <c r="X368" s="59"/>
      <c r="Y368" s="59"/>
      <c r="Z368" s="59" t="s">
        <v>4197</v>
      </c>
      <c r="AA368" s="59" t="s">
        <v>1141</v>
      </c>
      <c r="AB368" s="59" t="s">
        <v>689</v>
      </c>
      <c r="AC368" s="59" t="s">
        <v>208</v>
      </c>
      <c r="AD368" s="59" t="s">
        <v>208</v>
      </c>
      <c r="AE368" s="60" t="s">
        <v>2635</v>
      </c>
      <c r="AF368" s="60" t="s">
        <v>8469</v>
      </c>
      <c r="AG368" s="59" t="s">
        <v>8469</v>
      </c>
      <c r="AH368" s="59" t="s">
        <v>2844</v>
      </c>
      <c r="AI368" s="59" t="s">
        <v>90</v>
      </c>
      <c r="AJ368" s="61">
        <v>25870</v>
      </c>
      <c r="AK368" s="60" t="s">
        <v>2637</v>
      </c>
      <c r="AL368" s="60" t="s">
        <v>5261</v>
      </c>
      <c r="AM368" s="59" t="s">
        <v>2850</v>
      </c>
      <c r="AN368" s="60"/>
      <c r="AO368" s="60"/>
      <c r="AP368" s="59" t="s">
        <v>4198</v>
      </c>
      <c r="AQ368" s="25" t="s">
        <v>1441</v>
      </c>
      <c r="AR368" s="60" t="s">
        <v>1189</v>
      </c>
      <c r="AS368" s="59" t="s">
        <v>1077</v>
      </c>
      <c r="AT368" s="59" t="s">
        <v>141</v>
      </c>
      <c r="AU368" s="59" t="s">
        <v>111</v>
      </c>
      <c r="AV368" s="62"/>
      <c r="AW368" s="59" t="s">
        <v>8113</v>
      </c>
      <c r="AX368" s="59" t="s">
        <v>2844</v>
      </c>
      <c r="AY368" s="59" t="s">
        <v>6839</v>
      </c>
      <c r="AZ368" s="126">
        <v>30103</v>
      </c>
      <c r="BA368" s="60" t="s">
        <v>2640</v>
      </c>
      <c r="BB368" s="60" t="s">
        <v>845</v>
      </c>
      <c r="BC368" s="59" t="s">
        <v>1820</v>
      </c>
      <c r="BD368" s="60" t="s">
        <v>4199</v>
      </c>
      <c r="BE368" s="60"/>
      <c r="BF368" s="60"/>
      <c r="BG368" s="59" t="s">
        <v>4198</v>
      </c>
      <c r="BH368" s="60" t="s">
        <v>1441</v>
      </c>
      <c r="BI368" s="60" t="s">
        <v>1189</v>
      </c>
      <c r="BJ368" s="24" t="s">
        <v>1077</v>
      </c>
      <c r="BK368" s="59" t="s">
        <v>141</v>
      </c>
      <c r="BL368" s="59" t="s">
        <v>156</v>
      </c>
      <c r="BM368" s="62"/>
      <c r="BN368" s="62"/>
      <c r="BO368" s="59"/>
      <c r="BP368" s="59"/>
      <c r="BQ368" s="77"/>
      <c r="BR368" s="60"/>
      <c r="BS368" s="60"/>
      <c r="BT368" s="59"/>
      <c r="BU368" s="60"/>
      <c r="BV368" s="60"/>
      <c r="BW368" s="59"/>
      <c r="BX368" s="60"/>
      <c r="BY368" s="60"/>
      <c r="BZ368" s="59"/>
      <c r="CA368" s="59"/>
      <c r="CB368" s="59"/>
      <c r="CC368" s="59"/>
      <c r="CD368" s="59"/>
      <c r="CE368" s="59" t="s">
        <v>7634</v>
      </c>
      <c r="CF368" s="60" t="s">
        <v>1441</v>
      </c>
      <c r="CG368" s="59" t="s">
        <v>7054</v>
      </c>
      <c r="CH368" s="59" t="s">
        <v>7047</v>
      </c>
      <c r="CI368" s="59" t="s">
        <v>90</v>
      </c>
      <c r="CJ368" s="59" t="s">
        <v>111</v>
      </c>
      <c r="CK368" s="47"/>
      <c r="CL368" s="64" t="str">
        <f t="shared" ca="1" si="5"/>
        <v>21 Tahun 11 Bulan 7 Hari</v>
      </c>
      <c r="CM36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Jl.Bojongsari RT/RW 01/06 Desa/Kelurahan Bojongsari Kecamatan Bojongsoang Bandung Jawa Barat </v>
      </c>
    </row>
    <row r="369" spans="1:91" ht="24.95" customHeight="1">
      <c r="A369" s="58">
        <f>SUBTOTAL(3,N$8:Table2[[#This Row],[Nama lengkap]])</f>
        <v>362</v>
      </c>
      <c r="B369" s="58" t="s">
        <v>86</v>
      </c>
      <c r="C369" s="58">
        <v>2019</v>
      </c>
      <c r="D369" s="58"/>
      <c r="E369" s="58">
        <v>6</v>
      </c>
      <c r="F369" s="58" t="s">
        <v>4192</v>
      </c>
      <c r="G369" s="32" t="s">
        <v>2513</v>
      </c>
      <c r="H369" s="32" t="s">
        <v>2513</v>
      </c>
      <c r="I369" s="32" t="s">
        <v>2513</v>
      </c>
      <c r="J369" s="32"/>
      <c r="K369" s="32"/>
      <c r="L369" s="32"/>
      <c r="M369" s="58">
        <v>19200191</v>
      </c>
      <c r="N369" s="24" t="s">
        <v>6134</v>
      </c>
      <c r="O369" s="24"/>
      <c r="P369" s="25" t="s">
        <v>4201</v>
      </c>
      <c r="Q369" s="25" t="s">
        <v>4202</v>
      </c>
      <c r="R369" s="60" t="s">
        <v>456</v>
      </c>
      <c r="S369" s="61" t="s">
        <v>4203</v>
      </c>
      <c r="T369" s="47" t="s">
        <v>92</v>
      </c>
      <c r="U369" s="47">
        <v>6</v>
      </c>
      <c r="V369" s="47">
        <v>7</v>
      </c>
      <c r="W369" s="47" t="s">
        <v>207</v>
      </c>
      <c r="X369" s="59"/>
      <c r="Y369" s="59"/>
      <c r="Z369" s="59" t="s">
        <v>4204</v>
      </c>
      <c r="AA369" s="59" t="s">
        <v>1141</v>
      </c>
      <c r="AB369" s="59" t="s">
        <v>689</v>
      </c>
      <c r="AC369" s="59" t="s">
        <v>208</v>
      </c>
      <c r="AD369" s="59" t="s">
        <v>208</v>
      </c>
      <c r="AE369" s="60" t="s">
        <v>4205</v>
      </c>
      <c r="AF369" s="60" t="s">
        <v>8608</v>
      </c>
      <c r="AG369" s="59" t="s">
        <v>8608</v>
      </c>
      <c r="AH369" s="59" t="s">
        <v>2844</v>
      </c>
      <c r="AI369" s="59" t="s">
        <v>7039</v>
      </c>
      <c r="AJ369" s="61">
        <v>22254</v>
      </c>
      <c r="AK369" s="60" t="s">
        <v>4206</v>
      </c>
      <c r="AL369" s="60" t="s">
        <v>289</v>
      </c>
      <c r="AM369" s="59" t="s">
        <v>700</v>
      </c>
      <c r="AN369" s="60"/>
      <c r="AO369" s="60"/>
      <c r="AP369" s="59" t="s">
        <v>4207</v>
      </c>
      <c r="AQ369" s="25" t="s">
        <v>880</v>
      </c>
      <c r="AR369" s="60" t="s">
        <v>2568</v>
      </c>
      <c r="AS369" s="59" t="s">
        <v>2149</v>
      </c>
      <c r="AT369" s="59" t="s">
        <v>1177</v>
      </c>
      <c r="AU369" s="59" t="s">
        <v>111</v>
      </c>
      <c r="AV369" s="62"/>
      <c r="AW369" s="59" t="s">
        <v>8114</v>
      </c>
      <c r="AX369" s="59" t="s">
        <v>2844</v>
      </c>
      <c r="AY369" s="59" t="s">
        <v>456</v>
      </c>
      <c r="AZ369" s="126">
        <v>26239</v>
      </c>
      <c r="BA369" s="60" t="s">
        <v>4208</v>
      </c>
      <c r="BB369" s="60" t="s">
        <v>845</v>
      </c>
      <c r="BC369" s="59" t="s">
        <v>700</v>
      </c>
      <c r="BD369" s="60" t="s">
        <v>4209</v>
      </c>
      <c r="BE369" s="60"/>
      <c r="BF369" s="60"/>
      <c r="BG369" s="59" t="s">
        <v>4207</v>
      </c>
      <c r="BH369" s="60" t="s">
        <v>880</v>
      </c>
      <c r="BI369" s="60" t="s">
        <v>2568</v>
      </c>
      <c r="BJ369" s="24" t="s">
        <v>2149</v>
      </c>
      <c r="BK369" s="59" t="s">
        <v>1177</v>
      </c>
      <c r="BL369" s="59" t="s">
        <v>156</v>
      </c>
      <c r="BM369" s="62"/>
      <c r="BN369" s="62"/>
      <c r="BO369" s="59"/>
      <c r="BP369" s="59"/>
      <c r="BQ369" s="77"/>
      <c r="BR369" s="60"/>
      <c r="BS369" s="60"/>
      <c r="BT369" s="59"/>
      <c r="BU369" s="60"/>
      <c r="BV369" s="60"/>
      <c r="BW369" s="59"/>
      <c r="BX369" s="60"/>
      <c r="BY369" s="60"/>
      <c r="BZ369" s="59"/>
      <c r="CA369" s="59"/>
      <c r="CB369" s="59"/>
      <c r="CC369" s="59"/>
      <c r="CD369" s="59"/>
      <c r="CE369" s="59" t="s">
        <v>7635</v>
      </c>
      <c r="CF369" s="60" t="s">
        <v>880</v>
      </c>
      <c r="CG369" s="59" t="s">
        <v>7181</v>
      </c>
      <c r="CH369" s="59" t="s">
        <v>6859</v>
      </c>
      <c r="CI369" s="59" t="s">
        <v>6358</v>
      </c>
      <c r="CJ369" s="59" t="s">
        <v>111</v>
      </c>
      <c r="CK369" s="47"/>
      <c r="CL369" s="64" t="str">
        <f t="shared" ca="1" si="5"/>
        <v>22 Tahun 8 Bulan 18 Hari</v>
      </c>
      <c r="CM36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Jl.Mahar Martanegara Gg.Melati No.31 RT/RW 01/02 Desa/Kelurahan Utama Kecamatan Cimahi Selatan Kota Cimahi Jawa Barat </v>
      </c>
    </row>
    <row r="370" spans="1:91" ht="24.95" customHeight="1">
      <c r="A370" s="58">
        <f>SUBTOTAL(3,N$8:Table2[[#This Row],[Nama lengkap]])</f>
        <v>363</v>
      </c>
      <c r="B370" s="58" t="s">
        <v>86</v>
      </c>
      <c r="C370" s="58">
        <v>2018</v>
      </c>
      <c r="D370" s="58"/>
      <c r="E370" s="58">
        <v>6</v>
      </c>
      <c r="F370" s="58" t="s">
        <v>4192</v>
      </c>
      <c r="G370" s="32" t="s">
        <v>2513</v>
      </c>
      <c r="H370" s="32" t="s">
        <v>2513</v>
      </c>
      <c r="I370" s="32" t="s">
        <v>2513</v>
      </c>
      <c r="J370" s="32"/>
      <c r="K370" s="32"/>
      <c r="L370" s="32"/>
      <c r="M370" s="58">
        <v>18190145</v>
      </c>
      <c r="N370" s="24" t="s">
        <v>6135</v>
      </c>
      <c r="O370" s="24"/>
      <c r="P370" s="25" t="s">
        <v>4211</v>
      </c>
      <c r="Q370" s="25" t="s">
        <v>4212</v>
      </c>
      <c r="R370" s="60" t="s">
        <v>90</v>
      </c>
      <c r="S370" s="61" t="s">
        <v>4213</v>
      </c>
      <c r="T370" s="47" t="s">
        <v>92</v>
      </c>
      <c r="U370" s="47">
        <v>2</v>
      </c>
      <c r="V370" s="47">
        <v>2</v>
      </c>
      <c r="W370" s="47" t="s">
        <v>207</v>
      </c>
      <c r="X370" s="59"/>
      <c r="Y370" s="59"/>
      <c r="Z370" s="59"/>
      <c r="AA370" s="59" t="s">
        <v>1141</v>
      </c>
      <c r="AB370" s="59" t="s">
        <v>689</v>
      </c>
      <c r="AC370" s="59" t="s">
        <v>208</v>
      </c>
      <c r="AD370" s="59" t="s">
        <v>208</v>
      </c>
      <c r="AE370" s="60" t="s">
        <v>4214</v>
      </c>
      <c r="AF370" s="60" t="s">
        <v>8609</v>
      </c>
      <c r="AG370" s="59" t="s">
        <v>8609</v>
      </c>
      <c r="AH370" s="59" t="s">
        <v>2844</v>
      </c>
      <c r="AI370" s="59" t="s">
        <v>90</v>
      </c>
      <c r="AJ370" s="61">
        <v>27094</v>
      </c>
      <c r="AK370" s="60" t="s">
        <v>4215</v>
      </c>
      <c r="AL370" s="60" t="s">
        <v>602</v>
      </c>
      <c r="AM370" s="59" t="s">
        <v>700</v>
      </c>
      <c r="AN370" s="60"/>
      <c r="AO370" s="60"/>
      <c r="AP370" s="59" t="s">
        <v>4216</v>
      </c>
      <c r="AQ370" s="25" t="s">
        <v>1493</v>
      </c>
      <c r="AR370" s="60" t="s">
        <v>3822</v>
      </c>
      <c r="AS370" s="59" t="s">
        <v>1529</v>
      </c>
      <c r="AT370" s="59" t="s">
        <v>141</v>
      </c>
      <c r="AU370" s="59" t="s">
        <v>111</v>
      </c>
      <c r="AV370" s="62"/>
      <c r="AW370" s="59" t="s">
        <v>8115</v>
      </c>
      <c r="AX370" s="59" t="s">
        <v>2844</v>
      </c>
      <c r="AY370" s="59" t="s">
        <v>90</v>
      </c>
      <c r="AZ370" s="126">
        <v>28140</v>
      </c>
      <c r="BA370" s="60" t="s">
        <v>4217</v>
      </c>
      <c r="BB370" s="60" t="s">
        <v>845</v>
      </c>
      <c r="BC370" s="59" t="s">
        <v>700</v>
      </c>
      <c r="BD370" s="60" t="s">
        <v>4218</v>
      </c>
      <c r="BE370" s="60"/>
      <c r="BF370" s="60"/>
      <c r="BG370" s="59" t="s">
        <v>4216</v>
      </c>
      <c r="BH370" s="60" t="s">
        <v>1493</v>
      </c>
      <c r="BI370" s="60" t="s">
        <v>3822</v>
      </c>
      <c r="BJ370" s="24" t="s">
        <v>1529</v>
      </c>
      <c r="BK370" s="59" t="s">
        <v>141</v>
      </c>
      <c r="BL370" s="59" t="s">
        <v>156</v>
      </c>
      <c r="BM370" s="24"/>
      <c r="BN370" s="24"/>
      <c r="BO370" s="59"/>
      <c r="BP370" s="59"/>
      <c r="BQ370" s="77"/>
      <c r="BR370" s="60"/>
      <c r="BS370" s="60"/>
      <c r="BT370" s="59"/>
      <c r="BU370" s="60"/>
      <c r="BV370" s="60"/>
      <c r="BW370" s="59"/>
      <c r="BX370" s="60"/>
      <c r="BY370" s="60"/>
      <c r="BZ370" s="59"/>
      <c r="CA370" s="59"/>
      <c r="CB370" s="59"/>
      <c r="CC370" s="59"/>
      <c r="CD370" s="59"/>
      <c r="CE370" s="59" t="s">
        <v>7636</v>
      </c>
      <c r="CF370" s="60" t="s">
        <v>1493</v>
      </c>
      <c r="CG370" s="59" t="s">
        <v>7254</v>
      </c>
      <c r="CH370" s="59" t="s">
        <v>4835</v>
      </c>
      <c r="CI370" s="59" t="s">
        <v>90</v>
      </c>
      <c r="CJ370" s="59" t="s">
        <v>111</v>
      </c>
      <c r="CK370" s="47"/>
      <c r="CL370" s="64" t="str">
        <f t="shared" ca="1" si="5"/>
        <v>22 Tahun 1 Bulan 22 Hari</v>
      </c>
      <c r="CM37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Kp.Bangsoreang RT/RW 02/11 Desa/Kelurahan Mangunjaya Kecamatan Arjasari Bandung Jawa Barat </v>
      </c>
    </row>
    <row r="371" spans="1:91" ht="24.95" customHeight="1">
      <c r="A371" s="58">
        <f>SUBTOTAL(3,N$8:Table2[[#This Row],[Nama lengkap]])</f>
        <v>364</v>
      </c>
      <c r="B371" s="58" t="s">
        <v>86</v>
      </c>
      <c r="C371" s="58">
        <v>2018</v>
      </c>
      <c r="D371" s="58"/>
      <c r="E371" s="58">
        <v>6</v>
      </c>
      <c r="F371" s="58" t="s">
        <v>4192</v>
      </c>
      <c r="G371" s="32" t="s">
        <v>2513</v>
      </c>
      <c r="H371" s="32" t="s">
        <v>2513</v>
      </c>
      <c r="I371" s="32" t="s">
        <v>2513</v>
      </c>
      <c r="J371" s="32"/>
      <c r="K371" s="32"/>
      <c r="L371" s="32"/>
      <c r="M371" s="58">
        <v>18190148</v>
      </c>
      <c r="N371" s="24" t="s">
        <v>6136</v>
      </c>
      <c r="O371" s="24"/>
      <c r="P371" s="25" t="s">
        <v>4220</v>
      </c>
      <c r="Q371" s="25" t="s">
        <v>4221</v>
      </c>
      <c r="R371" s="60" t="s">
        <v>90</v>
      </c>
      <c r="S371" s="61" t="s">
        <v>4222</v>
      </c>
      <c r="T371" s="47" t="s">
        <v>92</v>
      </c>
      <c r="U371" s="47">
        <v>1</v>
      </c>
      <c r="V371" s="47">
        <v>4</v>
      </c>
      <c r="W371" s="47" t="s">
        <v>207</v>
      </c>
      <c r="X371" s="59"/>
      <c r="Y371" s="59"/>
      <c r="Z371" s="59" t="s">
        <v>1042</v>
      </c>
      <c r="AA371" s="59" t="s">
        <v>96</v>
      </c>
      <c r="AB371" s="59" t="s">
        <v>689</v>
      </c>
      <c r="AC371" s="59" t="s">
        <v>208</v>
      </c>
      <c r="AD371" s="59" t="s">
        <v>208</v>
      </c>
      <c r="AE371" s="60" t="s">
        <v>4223</v>
      </c>
      <c r="AF371" s="60" t="s">
        <v>8610</v>
      </c>
      <c r="AG371" s="59" t="s">
        <v>8610</v>
      </c>
      <c r="AH371" s="59" t="s">
        <v>2844</v>
      </c>
      <c r="AI371" s="59" t="s">
        <v>90</v>
      </c>
      <c r="AJ371" s="61">
        <v>28961</v>
      </c>
      <c r="AK371" s="60" t="s">
        <v>4224</v>
      </c>
      <c r="AL371" s="60" t="s">
        <v>602</v>
      </c>
      <c r="AM371" s="59" t="s">
        <v>2850</v>
      </c>
      <c r="AN371" s="60" t="s">
        <v>4225</v>
      </c>
      <c r="AO371" s="60"/>
      <c r="AP371" s="59" t="s">
        <v>4226</v>
      </c>
      <c r="AQ371" s="25" t="s">
        <v>3843</v>
      </c>
      <c r="AR371" s="60" t="s">
        <v>1923</v>
      </c>
      <c r="AS371" s="59" t="s">
        <v>1924</v>
      </c>
      <c r="AT371" s="59" t="s">
        <v>141</v>
      </c>
      <c r="AU371" s="59" t="s">
        <v>111</v>
      </c>
      <c r="AV371" s="62"/>
      <c r="AW371" s="59" t="s">
        <v>8116</v>
      </c>
      <c r="AX371" s="59" t="s">
        <v>2844</v>
      </c>
      <c r="AY371" s="59" t="s">
        <v>90</v>
      </c>
      <c r="AZ371" s="126">
        <v>30776</v>
      </c>
      <c r="BA371" s="60" t="s">
        <v>4221</v>
      </c>
      <c r="BB371" s="60" t="s">
        <v>845</v>
      </c>
      <c r="BC371" s="59" t="s">
        <v>700</v>
      </c>
      <c r="BD371" s="60" t="s">
        <v>4225</v>
      </c>
      <c r="BE371" s="60"/>
      <c r="BF371" s="60"/>
      <c r="BG371" s="59" t="s">
        <v>4226</v>
      </c>
      <c r="BH371" s="60" t="s">
        <v>3843</v>
      </c>
      <c r="BI371" s="60" t="s">
        <v>1923</v>
      </c>
      <c r="BJ371" s="24" t="s">
        <v>1924</v>
      </c>
      <c r="BK371" s="59" t="s">
        <v>141</v>
      </c>
      <c r="BL371" s="59" t="s">
        <v>156</v>
      </c>
      <c r="BM371" s="62"/>
      <c r="BN371" s="62"/>
      <c r="BO371" s="59"/>
      <c r="BP371" s="59"/>
      <c r="BQ371" s="77"/>
      <c r="BR371" s="60"/>
      <c r="BS371" s="60"/>
      <c r="BT371" s="59"/>
      <c r="BU371" s="60"/>
      <c r="BV371" s="60"/>
      <c r="BW371" s="59"/>
      <c r="BX371" s="60"/>
      <c r="BY371" s="60"/>
      <c r="BZ371" s="59"/>
      <c r="CA371" s="59"/>
      <c r="CB371" s="59"/>
      <c r="CC371" s="59"/>
      <c r="CD371" s="59"/>
      <c r="CE371" s="59" t="s">
        <v>7637</v>
      </c>
      <c r="CF371" s="60" t="s">
        <v>3843</v>
      </c>
      <c r="CG371" s="59" t="s">
        <v>7122</v>
      </c>
      <c r="CH371" s="59" t="s">
        <v>7123</v>
      </c>
      <c r="CI371" s="59" t="s">
        <v>90</v>
      </c>
      <c r="CJ371" s="59" t="s">
        <v>111</v>
      </c>
      <c r="CK371" s="47"/>
      <c r="CL371" s="64" t="str">
        <f t="shared" ca="1" si="5"/>
        <v>20 Tahun 1 Bulan 28 Hari</v>
      </c>
      <c r="CM37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Jl.Sindangsari Iii No.25 RT/RW 07/09 Desa/Kelurahan Antapani Wetan Kecamatan Antapani Bandung Jawa Barat </v>
      </c>
    </row>
    <row r="372" spans="1:91" ht="24.95" customHeight="1">
      <c r="A372" s="58">
        <f>SUBTOTAL(3,N$8:Table2[[#This Row],[Nama lengkap]])</f>
        <v>365</v>
      </c>
      <c r="B372" s="58" t="s">
        <v>86</v>
      </c>
      <c r="C372" s="58">
        <v>2018</v>
      </c>
      <c r="D372" s="58"/>
      <c r="E372" s="58">
        <v>6</v>
      </c>
      <c r="F372" s="58" t="s">
        <v>4192</v>
      </c>
      <c r="G372" s="32" t="s">
        <v>2513</v>
      </c>
      <c r="H372" s="32" t="s">
        <v>2513</v>
      </c>
      <c r="I372" s="32" t="s">
        <v>2513</v>
      </c>
      <c r="J372" s="32"/>
      <c r="K372" s="32"/>
      <c r="L372" s="32"/>
      <c r="M372" s="58">
        <v>18190152</v>
      </c>
      <c r="N372" s="24" t="s">
        <v>6137</v>
      </c>
      <c r="O372" s="24"/>
      <c r="P372" s="25" t="s">
        <v>4228</v>
      </c>
      <c r="Q372" s="25" t="s">
        <v>4229</v>
      </c>
      <c r="R372" s="60" t="s">
        <v>90</v>
      </c>
      <c r="S372" s="61" t="s">
        <v>4230</v>
      </c>
      <c r="T372" s="47" t="s">
        <v>92</v>
      </c>
      <c r="U372" s="47">
        <v>2</v>
      </c>
      <c r="V372" s="47">
        <v>4</v>
      </c>
      <c r="W372" s="47" t="s">
        <v>207</v>
      </c>
      <c r="X372" s="59"/>
      <c r="Y372" s="59"/>
      <c r="Z372" s="59" t="s">
        <v>4231</v>
      </c>
      <c r="AA372" s="59" t="s">
        <v>96</v>
      </c>
      <c r="AB372" s="59" t="s">
        <v>689</v>
      </c>
      <c r="AC372" s="59" t="s">
        <v>208</v>
      </c>
      <c r="AD372" s="59" t="s">
        <v>208</v>
      </c>
      <c r="AE372" s="60" t="s">
        <v>4232</v>
      </c>
      <c r="AF372" s="60" t="s">
        <v>8611</v>
      </c>
      <c r="AG372" s="59" t="s">
        <v>8611</v>
      </c>
      <c r="AH372" s="59" t="s">
        <v>2844</v>
      </c>
      <c r="AI372" s="59" t="s">
        <v>236</v>
      </c>
      <c r="AJ372" s="61">
        <v>24974</v>
      </c>
      <c r="AK372" s="60" t="s">
        <v>4233</v>
      </c>
      <c r="AL372" s="60" t="s">
        <v>289</v>
      </c>
      <c r="AM372" s="59" t="s">
        <v>149</v>
      </c>
      <c r="AN372" s="60" t="s">
        <v>4234</v>
      </c>
      <c r="AO372" s="60"/>
      <c r="AP372" s="59" t="s">
        <v>4235</v>
      </c>
      <c r="AQ372" s="25" t="s">
        <v>1017</v>
      </c>
      <c r="AR372" s="60" t="s">
        <v>853</v>
      </c>
      <c r="AS372" s="59" t="s">
        <v>618</v>
      </c>
      <c r="AT372" s="59" t="s">
        <v>141</v>
      </c>
      <c r="AU372" s="59" t="s">
        <v>111</v>
      </c>
      <c r="AV372" s="62"/>
      <c r="AW372" s="59" t="s">
        <v>8117</v>
      </c>
      <c r="AX372" s="59" t="s">
        <v>2844</v>
      </c>
      <c r="AY372" s="59" t="s">
        <v>90</v>
      </c>
      <c r="AZ372" s="126">
        <v>26312</v>
      </c>
      <c r="BA372" s="60" t="s">
        <v>4236</v>
      </c>
      <c r="BB372" s="60" t="s">
        <v>845</v>
      </c>
      <c r="BC372" s="59" t="s">
        <v>700</v>
      </c>
      <c r="BD372" s="60"/>
      <c r="BE372" s="60"/>
      <c r="BF372" s="60"/>
      <c r="BG372" s="59" t="s">
        <v>4235</v>
      </c>
      <c r="BH372" s="60" t="s">
        <v>1017</v>
      </c>
      <c r="BI372" s="60" t="s">
        <v>853</v>
      </c>
      <c r="BJ372" s="24" t="s">
        <v>618</v>
      </c>
      <c r="BK372" s="59" t="s">
        <v>141</v>
      </c>
      <c r="BL372" s="59" t="s">
        <v>156</v>
      </c>
      <c r="BM372" s="62"/>
      <c r="BN372" s="62"/>
      <c r="BO372" s="59"/>
      <c r="BP372" s="59"/>
      <c r="BQ372" s="77"/>
      <c r="BR372" s="60"/>
      <c r="BS372" s="60"/>
      <c r="BT372" s="59"/>
      <c r="BU372" s="60"/>
      <c r="BV372" s="60"/>
      <c r="BW372" s="59"/>
      <c r="BX372" s="60"/>
      <c r="BY372" s="60"/>
      <c r="BZ372" s="59"/>
      <c r="CA372" s="59"/>
      <c r="CB372" s="59"/>
      <c r="CC372" s="59"/>
      <c r="CD372" s="59"/>
      <c r="CE372" s="59" t="s">
        <v>7638</v>
      </c>
      <c r="CF372" s="60" t="s">
        <v>1017</v>
      </c>
      <c r="CG372" s="59" t="s">
        <v>7035</v>
      </c>
      <c r="CH372" s="59" t="s">
        <v>507</v>
      </c>
      <c r="CI372" s="59" t="s">
        <v>90</v>
      </c>
      <c r="CJ372" s="59" t="s">
        <v>111</v>
      </c>
      <c r="CK372" s="47"/>
      <c r="CL372" s="64" t="str">
        <f t="shared" ca="1" si="5"/>
        <v>20 Tahun 0 Bulan 2 Hari</v>
      </c>
      <c r="CM37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Kp.Babakan Stasion RT/RW 01/04 Desa/Kelurahan Banjaran Kulon Kecamatan Banjaran Bandung Jawa Barat </v>
      </c>
    </row>
    <row r="373" spans="1:91" ht="24.95" customHeight="1">
      <c r="A373" s="58">
        <f>SUBTOTAL(3,N$8:Table2[[#This Row],[Nama lengkap]])</f>
        <v>366</v>
      </c>
      <c r="B373" s="58" t="s">
        <v>86</v>
      </c>
      <c r="C373" s="58">
        <v>2018</v>
      </c>
      <c r="D373" s="58"/>
      <c r="E373" s="58">
        <v>6</v>
      </c>
      <c r="F373" s="58" t="s">
        <v>4192</v>
      </c>
      <c r="G373" s="32" t="s">
        <v>2513</v>
      </c>
      <c r="H373" s="32" t="s">
        <v>2513</v>
      </c>
      <c r="I373" s="32" t="s">
        <v>2513</v>
      </c>
      <c r="J373" s="32"/>
      <c r="K373" s="32"/>
      <c r="L373" s="32"/>
      <c r="M373" s="58">
        <v>18190156</v>
      </c>
      <c r="N373" s="24" t="s">
        <v>6138</v>
      </c>
      <c r="O373" s="24"/>
      <c r="P373" s="25" t="s">
        <v>4238</v>
      </c>
      <c r="Q373" s="25" t="s">
        <v>4239</v>
      </c>
      <c r="R373" s="60" t="s">
        <v>90</v>
      </c>
      <c r="S373" s="61" t="s">
        <v>4230</v>
      </c>
      <c r="T373" s="47" t="s">
        <v>92</v>
      </c>
      <c r="U373" s="47">
        <v>5</v>
      </c>
      <c r="V373" s="47">
        <v>5</v>
      </c>
      <c r="W373" s="47" t="s">
        <v>207</v>
      </c>
      <c r="X373" s="59"/>
      <c r="Y373" s="59"/>
      <c r="Z373" s="59" t="s">
        <v>4240</v>
      </c>
      <c r="AA373" s="59" t="s">
        <v>96</v>
      </c>
      <c r="AB373" s="59" t="s">
        <v>689</v>
      </c>
      <c r="AC373" s="59" t="s">
        <v>208</v>
      </c>
      <c r="AD373" s="59" t="s">
        <v>208</v>
      </c>
      <c r="AE373" s="60" t="s">
        <v>4241</v>
      </c>
      <c r="AF373" s="60" t="s">
        <v>8612</v>
      </c>
      <c r="AG373" s="59" t="s">
        <v>8612</v>
      </c>
      <c r="AH373" s="59" t="s">
        <v>2844</v>
      </c>
      <c r="AI373" s="59" t="s">
        <v>90</v>
      </c>
      <c r="AJ373" s="61">
        <v>23864</v>
      </c>
      <c r="AK373" s="60" t="s">
        <v>4241</v>
      </c>
      <c r="AL373" s="60" t="s">
        <v>914</v>
      </c>
      <c r="AM373" s="59" t="s">
        <v>2850</v>
      </c>
      <c r="AN373" s="60"/>
      <c r="AO373" s="60"/>
      <c r="AP373" s="59" t="s">
        <v>4242</v>
      </c>
      <c r="AQ373" s="25" t="s">
        <v>1418</v>
      </c>
      <c r="AR373" s="60" t="s">
        <v>853</v>
      </c>
      <c r="AS373" s="59" t="s">
        <v>618</v>
      </c>
      <c r="AT373" s="59" t="s">
        <v>141</v>
      </c>
      <c r="AU373" s="59" t="s">
        <v>111</v>
      </c>
      <c r="AV373" s="62"/>
      <c r="AW373" s="59" t="s">
        <v>8118</v>
      </c>
      <c r="AX373" s="59" t="s">
        <v>2844</v>
      </c>
      <c r="AY373" s="59" t="s">
        <v>90</v>
      </c>
      <c r="AZ373" s="126">
        <v>24087</v>
      </c>
      <c r="BA373" s="60" t="s">
        <v>4243</v>
      </c>
      <c r="BB373" s="60" t="s">
        <v>845</v>
      </c>
      <c r="BC373" s="59" t="s">
        <v>800</v>
      </c>
      <c r="BD373" s="60" t="s">
        <v>4244</v>
      </c>
      <c r="BE373" s="60"/>
      <c r="BF373" s="60"/>
      <c r="BG373" s="59" t="s">
        <v>4245</v>
      </c>
      <c r="BH373" s="60" t="s">
        <v>1418</v>
      </c>
      <c r="BI373" s="60" t="s">
        <v>853</v>
      </c>
      <c r="BJ373" s="24" t="s">
        <v>618</v>
      </c>
      <c r="BK373" s="59" t="s">
        <v>141</v>
      </c>
      <c r="BL373" s="59" t="s">
        <v>156</v>
      </c>
      <c r="BM373" s="62"/>
      <c r="BN373" s="62"/>
      <c r="BO373" s="59"/>
      <c r="BP373" s="59"/>
      <c r="BQ373" s="77"/>
      <c r="BR373" s="60"/>
      <c r="BS373" s="60"/>
      <c r="BT373" s="59"/>
      <c r="BU373" s="60"/>
      <c r="BV373" s="60"/>
      <c r="BW373" s="59"/>
      <c r="BX373" s="60"/>
      <c r="BY373" s="60"/>
      <c r="BZ373" s="59"/>
      <c r="CA373" s="59"/>
      <c r="CB373" s="59"/>
      <c r="CC373" s="59"/>
      <c r="CD373" s="59"/>
      <c r="CE373" s="59" t="s">
        <v>7639</v>
      </c>
      <c r="CF373" s="60" t="s">
        <v>1418</v>
      </c>
      <c r="CG373" s="59" t="s">
        <v>7035</v>
      </c>
      <c r="CH373" s="59" t="s">
        <v>507</v>
      </c>
      <c r="CI373" s="59" t="s">
        <v>90</v>
      </c>
      <c r="CJ373" s="59" t="s">
        <v>111</v>
      </c>
      <c r="CK373" s="47"/>
      <c r="CL373" s="64" t="str">
        <f t="shared" ca="1" si="5"/>
        <v>20 Tahun 0 Bulan 2 Hari</v>
      </c>
      <c r="CM37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Kp.Pasar Barat RT/RW 02/01 Desa/Kelurahan Banjaran Kulon Kecamatan Banjaran Bandung Jawa Barat </v>
      </c>
    </row>
    <row r="374" spans="1:91" ht="24.95" customHeight="1">
      <c r="A374" s="58">
        <f>SUBTOTAL(3,N$8:Table2[[#This Row],[Nama lengkap]])</f>
        <v>367</v>
      </c>
      <c r="B374" s="58" t="s">
        <v>86</v>
      </c>
      <c r="C374" s="58">
        <v>2017</v>
      </c>
      <c r="D374" s="58"/>
      <c r="E374" s="58">
        <v>6</v>
      </c>
      <c r="F374" s="58" t="s">
        <v>4192</v>
      </c>
      <c r="G374" s="32" t="s">
        <v>2513</v>
      </c>
      <c r="H374" s="32" t="s">
        <v>2513</v>
      </c>
      <c r="I374" s="32" t="s">
        <v>2513</v>
      </c>
      <c r="J374" s="32"/>
      <c r="K374" s="32"/>
      <c r="L374" s="32"/>
      <c r="M374" s="58">
        <v>17180116</v>
      </c>
      <c r="N374" s="24" t="s">
        <v>6139</v>
      </c>
      <c r="O374" s="24"/>
      <c r="P374" s="25" t="s">
        <v>4247</v>
      </c>
      <c r="Q374" s="25" t="s">
        <v>4248</v>
      </c>
      <c r="R374" s="60" t="s">
        <v>7803</v>
      </c>
      <c r="S374" s="61" t="s">
        <v>4250</v>
      </c>
      <c r="T374" s="47" t="s">
        <v>92</v>
      </c>
      <c r="U374" s="47">
        <v>1</v>
      </c>
      <c r="V374" s="47">
        <v>1</v>
      </c>
      <c r="W374" s="47" t="s">
        <v>207</v>
      </c>
      <c r="X374" s="59"/>
      <c r="Y374" s="59"/>
      <c r="Z374" s="59" t="s">
        <v>3290</v>
      </c>
      <c r="AA374" s="59" t="s">
        <v>96</v>
      </c>
      <c r="AB374" s="59" t="s">
        <v>689</v>
      </c>
      <c r="AC374" s="59" t="s">
        <v>208</v>
      </c>
      <c r="AD374" s="59" t="s">
        <v>208</v>
      </c>
      <c r="AE374" s="60" t="s">
        <v>4251</v>
      </c>
      <c r="AF374" s="60" t="s">
        <v>8613</v>
      </c>
      <c r="AG374" s="59" t="s">
        <v>8613</v>
      </c>
      <c r="AH374" s="59" t="s">
        <v>2844</v>
      </c>
      <c r="AI374" s="59" t="s">
        <v>90</v>
      </c>
      <c r="AJ374" s="61">
        <v>28978</v>
      </c>
      <c r="AK374" s="60" t="s">
        <v>4252</v>
      </c>
      <c r="AL374" s="60" t="s">
        <v>602</v>
      </c>
      <c r="AM374" s="59" t="s">
        <v>2850</v>
      </c>
      <c r="AN374" s="60" t="s">
        <v>4253</v>
      </c>
      <c r="AO374" s="60"/>
      <c r="AP374" s="59" t="s">
        <v>4254</v>
      </c>
      <c r="AQ374" s="25" t="s">
        <v>262</v>
      </c>
      <c r="AR374" s="60" t="s">
        <v>4255</v>
      </c>
      <c r="AS374" s="59" t="s">
        <v>1812</v>
      </c>
      <c r="AT374" s="59" t="s">
        <v>141</v>
      </c>
      <c r="AU374" s="59" t="s">
        <v>111</v>
      </c>
      <c r="AV374" s="62"/>
      <c r="AW374" s="59" t="s">
        <v>8119</v>
      </c>
      <c r="AX374" s="59" t="s">
        <v>2844</v>
      </c>
      <c r="AY374" s="59" t="s">
        <v>7803</v>
      </c>
      <c r="AZ374" s="126">
        <v>30151</v>
      </c>
      <c r="BA374" s="60" t="s">
        <v>4256</v>
      </c>
      <c r="BB374" s="60" t="s">
        <v>845</v>
      </c>
      <c r="BC374" s="59" t="s">
        <v>800</v>
      </c>
      <c r="BD374" s="60" t="s">
        <v>4257</v>
      </c>
      <c r="BE374" s="60"/>
      <c r="BF374" s="60"/>
      <c r="BG374" s="59" t="s">
        <v>4254</v>
      </c>
      <c r="BH374" s="60" t="s">
        <v>262</v>
      </c>
      <c r="BI374" s="60" t="s">
        <v>4255</v>
      </c>
      <c r="BJ374" s="24" t="s">
        <v>1812</v>
      </c>
      <c r="BK374" s="59" t="s">
        <v>141</v>
      </c>
      <c r="BL374" s="59" t="s">
        <v>156</v>
      </c>
      <c r="BM374" s="62"/>
      <c r="BN374" s="62"/>
      <c r="BO374" s="59"/>
      <c r="BP374" s="59"/>
      <c r="BQ374" s="77"/>
      <c r="BR374" s="60"/>
      <c r="BS374" s="60"/>
      <c r="BT374" s="59"/>
      <c r="BU374" s="60"/>
      <c r="BV374" s="60"/>
      <c r="BW374" s="59"/>
      <c r="BX374" s="60"/>
      <c r="BY374" s="60"/>
      <c r="BZ374" s="59"/>
      <c r="CA374" s="59"/>
      <c r="CB374" s="59"/>
      <c r="CC374" s="59"/>
      <c r="CD374" s="59"/>
      <c r="CE374" s="59" t="s">
        <v>7640</v>
      </c>
      <c r="CF374" s="60" t="s">
        <v>262</v>
      </c>
      <c r="CG374" s="59" t="s">
        <v>7270</v>
      </c>
      <c r="CH374" s="59" t="s">
        <v>6662</v>
      </c>
      <c r="CI374" s="59" t="s">
        <v>90</v>
      </c>
      <c r="CJ374" s="59" t="s">
        <v>111</v>
      </c>
      <c r="CK374" s="47"/>
      <c r="CL374" s="64" t="str">
        <f t="shared" ca="1" si="5"/>
        <v>21 Tahun 4 Bulan 18 Hari</v>
      </c>
      <c r="CM37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Jl.Cihampelas No.73/35-B RT/RW 03/05 Desa/Kelurahan Cipaganti Kecamatan Coblong Bandung Jawa Barat </v>
      </c>
    </row>
    <row r="375" spans="1:91" ht="24.95" customHeight="1">
      <c r="A375" s="58">
        <f>SUBTOTAL(3,N$8:Table2[[#This Row],[Nama lengkap]])</f>
        <v>368</v>
      </c>
      <c r="B375" s="58" t="s">
        <v>86</v>
      </c>
      <c r="C375" s="58">
        <v>2019</v>
      </c>
      <c r="D375" s="58"/>
      <c r="E375" s="58">
        <v>6</v>
      </c>
      <c r="F375" s="58" t="s">
        <v>4192</v>
      </c>
      <c r="G375" s="32" t="s">
        <v>2513</v>
      </c>
      <c r="H375" s="32" t="s">
        <v>2513</v>
      </c>
      <c r="I375" s="32" t="s">
        <v>2513</v>
      </c>
      <c r="J375" s="32"/>
      <c r="K375" s="32"/>
      <c r="L375" s="32"/>
      <c r="M375" s="58">
        <v>19200238</v>
      </c>
      <c r="N375" s="24" t="s">
        <v>6140</v>
      </c>
      <c r="O375" s="24"/>
      <c r="P375" s="25" t="s">
        <v>4259</v>
      </c>
      <c r="Q375" s="25" t="s">
        <v>4260</v>
      </c>
      <c r="R375" s="60" t="s">
        <v>122</v>
      </c>
      <c r="S375" s="61" t="s">
        <v>4261</v>
      </c>
      <c r="T375" s="47" t="s">
        <v>92</v>
      </c>
      <c r="U375" s="47">
        <v>2</v>
      </c>
      <c r="V375" s="47">
        <v>4</v>
      </c>
      <c r="W375" s="47" t="s">
        <v>207</v>
      </c>
      <c r="X375" s="59"/>
      <c r="Y375" s="59"/>
      <c r="Z375" s="59"/>
      <c r="AA375" s="59" t="s">
        <v>1141</v>
      </c>
      <c r="AB375" s="59" t="s">
        <v>689</v>
      </c>
      <c r="AC375" s="59" t="s">
        <v>208</v>
      </c>
      <c r="AD375" s="59" t="s">
        <v>208</v>
      </c>
      <c r="AE375" s="60" t="s">
        <v>4262</v>
      </c>
      <c r="AF375" s="60" t="s">
        <v>8614</v>
      </c>
      <c r="AG375" s="59" t="s">
        <v>8614</v>
      </c>
      <c r="AH375" s="59" t="s">
        <v>2844</v>
      </c>
      <c r="AI375" s="59" t="s">
        <v>122</v>
      </c>
      <c r="AJ375" s="61">
        <v>27791</v>
      </c>
      <c r="AK375" s="60" t="s">
        <v>4263</v>
      </c>
      <c r="AL375" s="60" t="s">
        <v>602</v>
      </c>
      <c r="AM375" s="59" t="s">
        <v>4264</v>
      </c>
      <c r="AN375" s="60"/>
      <c r="AO375" s="60"/>
      <c r="AP375" s="59" t="s">
        <v>2171</v>
      </c>
      <c r="AQ375" s="25" t="s">
        <v>4265</v>
      </c>
      <c r="AR375" s="60" t="s">
        <v>4266</v>
      </c>
      <c r="AS375" s="59" t="s">
        <v>4267</v>
      </c>
      <c r="AT375" s="59" t="s">
        <v>1090</v>
      </c>
      <c r="AU375" s="59" t="s">
        <v>111</v>
      </c>
      <c r="AV375" s="62"/>
      <c r="AW375" s="59" t="s">
        <v>8120</v>
      </c>
      <c r="AX375" s="59" t="s">
        <v>2844</v>
      </c>
      <c r="AY375" s="59" t="s">
        <v>90</v>
      </c>
      <c r="AZ375" s="126">
        <v>29756</v>
      </c>
      <c r="BA375" s="60" t="s">
        <v>4268</v>
      </c>
      <c r="BB375" s="60" t="s">
        <v>845</v>
      </c>
      <c r="BC375" s="59" t="s">
        <v>693</v>
      </c>
      <c r="BD375" s="60"/>
      <c r="BE375" s="60"/>
      <c r="BF375" s="60"/>
      <c r="BG375" s="59" t="s">
        <v>2171</v>
      </c>
      <c r="BH375" s="60" t="s">
        <v>4265</v>
      </c>
      <c r="BI375" s="60" t="s">
        <v>4266</v>
      </c>
      <c r="BJ375" s="24" t="s">
        <v>4267</v>
      </c>
      <c r="BK375" s="59" t="s">
        <v>1090</v>
      </c>
      <c r="BL375" s="59" t="s">
        <v>156</v>
      </c>
      <c r="BM375" s="62"/>
      <c r="BN375" s="62"/>
      <c r="BO375" s="59"/>
      <c r="BP375" s="59"/>
      <c r="BQ375" s="77"/>
      <c r="BR375" s="60"/>
      <c r="BS375" s="60"/>
      <c r="BT375" s="59"/>
      <c r="BU375" s="60"/>
      <c r="BV375" s="60"/>
      <c r="BW375" s="59"/>
      <c r="BX375" s="60"/>
      <c r="BY375" s="60"/>
      <c r="BZ375" s="59"/>
      <c r="CA375" s="59"/>
      <c r="CB375" s="59"/>
      <c r="CC375" s="59"/>
      <c r="CD375" s="59"/>
      <c r="CE375" s="59" t="s">
        <v>7467</v>
      </c>
      <c r="CF375" s="60" t="s">
        <v>4265</v>
      </c>
      <c r="CG375" s="59" t="s">
        <v>7271</v>
      </c>
      <c r="CH375" s="59" t="s">
        <v>7272</v>
      </c>
      <c r="CI375" s="59" t="s">
        <v>122</v>
      </c>
      <c r="CJ375" s="59" t="s">
        <v>111</v>
      </c>
      <c r="CK375" s="47"/>
      <c r="CL375" s="64" t="str">
        <f t="shared" ca="1" si="5"/>
        <v>21 Tahun 1 Bulan 14 Hari</v>
      </c>
      <c r="CM37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Bojong RT/RW 02/15 Desa/Kelurahan Cipacing Kecamatan Jati Nangor Sumedang Jawa Barat </v>
      </c>
    </row>
    <row r="376" spans="1:91" ht="24.95" customHeight="1">
      <c r="A376" s="58">
        <f>SUBTOTAL(3,N$8:Table2[[#This Row],[Nama lengkap]])</f>
        <v>369</v>
      </c>
      <c r="B376" s="58" t="s">
        <v>86</v>
      </c>
      <c r="C376" s="58">
        <v>2019</v>
      </c>
      <c r="D376" s="58"/>
      <c r="E376" s="58">
        <v>6</v>
      </c>
      <c r="F376" s="58" t="s">
        <v>4192</v>
      </c>
      <c r="G376" s="32" t="s">
        <v>2513</v>
      </c>
      <c r="H376" s="32" t="s">
        <v>2513</v>
      </c>
      <c r="I376" s="32" t="s">
        <v>2513</v>
      </c>
      <c r="J376" s="32"/>
      <c r="K376" s="32"/>
      <c r="L376" s="32"/>
      <c r="M376" s="58">
        <v>19200253</v>
      </c>
      <c r="N376" s="24" t="s">
        <v>6141</v>
      </c>
      <c r="O376" s="24"/>
      <c r="P376" s="25" t="s">
        <v>4270</v>
      </c>
      <c r="Q376" s="25" t="s">
        <v>4271</v>
      </c>
      <c r="R376" s="60" t="s">
        <v>90</v>
      </c>
      <c r="S376" s="61" t="s">
        <v>4272</v>
      </c>
      <c r="T376" s="47" t="s">
        <v>92</v>
      </c>
      <c r="U376" s="47">
        <v>1</v>
      </c>
      <c r="V376" s="47">
        <v>4</v>
      </c>
      <c r="W376" s="47" t="s">
        <v>207</v>
      </c>
      <c r="X376" s="59"/>
      <c r="Y376" s="59"/>
      <c r="Z376" s="59" t="s">
        <v>986</v>
      </c>
      <c r="AA376" s="59" t="s">
        <v>1141</v>
      </c>
      <c r="AB376" s="59" t="s">
        <v>689</v>
      </c>
      <c r="AC376" s="59" t="s">
        <v>208</v>
      </c>
      <c r="AD376" s="59" t="s">
        <v>208</v>
      </c>
      <c r="AE376" s="60" t="s">
        <v>4273</v>
      </c>
      <c r="AF376" s="60" t="s">
        <v>8615</v>
      </c>
      <c r="AG376" s="59" t="s">
        <v>8615</v>
      </c>
      <c r="AH376" s="59" t="s">
        <v>2844</v>
      </c>
      <c r="AI376" s="59" t="s">
        <v>90</v>
      </c>
      <c r="AJ376" s="61" t="s">
        <v>4274</v>
      </c>
      <c r="AK376" s="60" t="s">
        <v>4275</v>
      </c>
      <c r="AL376" s="60" t="s">
        <v>602</v>
      </c>
      <c r="AM376" s="59" t="s">
        <v>700</v>
      </c>
      <c r="AN376" s="60" t="s">
        <v>4276</v>
      </c>
      <c r="AO376" s="60"/>
      <c r="AP376" s="59" t="s">
        <v>2281</v>
      </c>
      <c r="AQ376" s="25" t="s">
        <v>2965</v>
      </c>
      <c r="AR376" s="60" t="s">
        <v>1460</v>
      </c>
      <c r="AS376" s="59" t="s">
        <v>1461</v>
      </c>
      <c r="AT376" s="59" t="s">
        <v>141</v>
      </c>
      <c r="AU376" s="59" t="s">
        <v>111</v>
      </c>
      <c r="AV376" s="62"/>
      <c r="AW376" s="59" t="s">
        <v>8121</v>
      </c>
      <c r="AX376" s="59" t="s">
        <v>2844</v>
      </c>
      <c r="AY376" s="59" t="s">
        <v>90</v>
      </c>
      <c r="AZ376" s="126">
        <v>26330</v>
      </c>
      <c r="BA376" s="60" t="s">
        <v>4277</v>
      </c>
      <c r="BB376" s="60" t="s">
        <v>845</v>
      </c>
      <c r="BC376" s="59" t="s">
        <v>700</v>
      </c>
      <c r="BD376" s="60" t="s">
        <v>4278</v>
      </c>
      <c r="BE376" s="60"/>
      <c r="BF376" s="60"/>
      <c r="BG376" s="59" t="s">
        <v>2281</v>
      </c>
      <c r="BH376" s="60" t="s">
        <v>2965</v>
      </c>
      <c r="BI376" s="60" t="s">
        <v>1460</v>
      </c>
      <c r="BJ376" s="24" t="s">
        <v>1461</v>
      </c>
      <c r="BK376" s="59" t="s">
        <v>141</v>
      </c>
      <c r="BL376" s="59" t="s">
        <v>156</v>
      </c>
      <c r="BM376" s="62"/>
      <c r="BN376" s="62"/>
      <c r="BO376" s="59"/>
      <c r="BP376" s="59"/>
      <c r="BQ376" s="77"/>
      <c r="BR376" s="60"/>
      <c r="BS376" s="60"/>
      <c r="BT376" s="59"/>
      <c r="BU376" s="60"/>
      <c r="BV376" s="60"/>
      <c r="BW376" s="59"/>
      <c r="BX376" s="60"/>
      <c r="BY376" s="60"/>
      <c r="BZ376" s="59"/>
      <c r="CA376" s="59"/>
      <c r="CB376" s="59"/>
      <c r="CC376" s="59"/>
      <c r="CD376" s="59"/>
      <c r="CE376" s="59" t="s">
        <v>7476</v>
      </c>
      <c r="CF376" s="60" t="s">
        <v>2965</v>
      </c>
      <c r="CG376" s="59" t="s">
        <v>6829</v>
      </c>
      <c r="CH376" s="59" t="s">
        <v>6830</v>
      </c>
      <c r="CI376" s="59" t="s">
        <v>90</v>
      </c>
      <c r="CJ376" s="59" t="s">
        <v>111</v>
      </c>
      <c r="CK376" s="47"/>
      <c r="CL376" s="64" t="str">
        <f t="shared" ca="1" si="5"/>
        <v>22 Tahun 0 Bulan 20 Hari</v>
      </c>
      <c r="CM37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Kp.Sasak Lemah RT/RW 05/09 Desa/Kelurahan Pasirwangi Kecamatan Ujungberung Bandung Jawa Barat </v>
      </c>
    </row>
    <row r="377" spans="1:91" ht="24.95" customHeight="1">
      <c r="A377" s="58">
        <f>SUBTOTAL(3,N$8:Table2[[#This Row],[Nama lengkap]])</f>
        <v>370</v>
      </c>
      <c r="B377" s="58" t="s">
        <v>86</v>
      </c>
      <c r="C377" s="58">
        <v>2018</v>
      </c>
      <c r="D377" s="58"/>
      <c r="E377" s="58">
        <v>6</v>
      </c>
      <c r="F377" s="58" t="s">
        <v>4192</v>
      </c>
      <c r="G377" s="32" t="s">
        <v>2513</v>
      </c>
      <c r="H377" s="32" t="s">
        <v>2513</v>
      </c>
      <c r="I377" s="32" t="s">
        <v>2513</v>
      </c>
      <c r="J377" s="32"/>
      <c r="K377" s="32"/>
      <c r="L377" s="32"/>
      <c r="M377" s="58">
        <v>18190180</v>
      </c>
      <c r="N377" s="24" t="s">
        <v>6142</v>
      </c>
      <c r="O377" s="24"/>
      <c r="P377" s="25" t="s">
        <v>4280</v>
      </c>
      <c r="Q377" s="25" t="s">
        <v>4281</v>
      </c>
      <c r="R377" s="60" t="s">
        <v>3137</v>
      </c>
      <c r="S377" s="61" t="s">
        <v>3259</v>
      </c>
      <c r="T377" s="47" t="s">
        <v>92</v>
      </c>
      <c r="U377" s="47">
        <v>1</v>
      </c>
      <c r="V377" s="47">
        <v>1</v>
      </c>
      <c r="W377" s="47" t="s">
        <v>207</v>
      </c>
      <c r="X377" s="59"/>
      <c r="Y377" s="59"/>
      <c r="Z377" s="59" t="s">
        <v>4282</v>
      </c>
      <c r="AA377" s="59" t="s">
        <v>96</v>
      </c>
      <c r="AB377" s="59" t="s">
        <v>689</v>
      </c>
      <c r="AC377" s="59" t="s">
        <v>208</v>
      </c>
      <c r="AD377" s="59" t="s">
        <v>208</v>
      </c>
      <c r="AE377" s="60" t="s">
        <v>4283</v>
      </c>
      <c r="AF377" s="60" t="s">
        <v>8616</v>
      </c>
      <c r="AG377" s="59" t="s">
        <v>8616</v>
      </c>
      <c r="AH377" s="59" t="s">
        <v>2844</v>
      </c>
      <c r="AI377" s="59" t="s">
        <v>3137</v>
      </c>
      <c r="AJ377" s="61" t="s">
        <v>4285</v>
      </c>
      <c r="AK377" s="60" t="s">
        <v>4286</v>
      </c>
      <c r="AL377" s="60" t="s">
        <v>114</v>
      </c>
      <c r="AM377" s="59" t="s">
        <v>4287</v>
      </c>
      <c r="AN377" s="60"/>
      <c r="AO377" s="60"/>
      <c r="AP377" s="59" t="s">
        <v>4288</v>
      </c>
      <c r="AQ377" s="25" t="s">
        <v>1017</v>
      </c>
      <c r="AR377" s="60" t="s">
        <v>4289</v>
      </c>
      <c r="AS377" s="59" t="s">
        <v>4290</v>
      </c>
      <c r="AT377" s="59" t="s">
        <v>4284</v>
      </c>
      <c r="AU377" s="59" t="s">
        <v>111</v>
      </c>
      <c r="AV377" s="62"/>
      <c r="AW377" s="59" t="s">
        <v>8122</v>
      </c>
      <c r="AX377" s="59" t="s">
        <v>4291</v>
      </c>
      <c r="AY377" s="59" t="s">
        <v>3137</v>
      </c>
      <c r="AZ377" s="126">
        <v>31371</v>
      </c>
      <c r="BA377" s="60" t="s">
        <v>4292</v>
      </c>
      <c r="BB377" s="60" t="s">
        <v>845</v>
      </c>
      <c r="BC377" s="59" t="s">
        <v>693</v>
      </c>
      <c r="BD377" s="60" t="s">
        <v>4293</v>
      </c>
      <c r="BE377" s="60"/>
      <c r="BF377" s="60"/>
      <c r="BG377" s="59" t="s">
        <v>4294</v>
      </c>
      <c r="BH377" s="60" t="s">
        <v>1017</v>
      </c>
      <c r="BI377" s="60" t="s">
        <v>3362</v>
      </c>
      <c r="BJ377" s="24" t="s">
        <v>4295</v>
      </c>
      <c r="BK377" s="59" t="s">
        <v>273</v>
      </c>
      <c r="BL377" s="59" t="s">
        <v>1214</v>
      </c>
      <c r="BM377" s="62"/>
      <c r="BN377" s="62"/>
      <c r="BO377" s="59"/>
      <c r="BP377" s="59"/>
      <c r="BQ377" s="77"/>
      <c r="BR377" s="60"/>
      <c r="BS377" s="60"/>
      <c r="BT377" s="59"/>
      <c r="BU377" s="60"/>
      <c r="BV377" s="60"/>
      <c r="BW377" s="59"/>
      <c r="BX377" s="60"/>
      <c r="BY377" s="60"/>
      <c r="BZ377" s="59"/>
      <c r="CA377" s="59"/>
      <c r="CB377" s="59"/>
      <c r="CC377" s="59"/>
      <c r="CD377" s="59"/>
      <c r="CE377" s="59" t="s">
        <v>7641</v>
      </c>
      <c r="CF377" s="60" t="s">
        <v>1017</v>
      </c>
      <c r="CG377" s="59" t="s">
        <v>975</v>
      </c>
      <c r="CH377" s="59" t="s">
        <v>3136</v>
      </c>
      <c r="CI377" s="59" t="s">
        <v>3137</v>
      </c>
      <c r="CJ377" s="59" t="s">
        <v>111</v>
      </c>
      <c r="CK377" s="47"/>
      <c r="CL377" s="64" t="str">
        <f t="shared" ca="1" si="5"/>
        <v>19 Tahun 9 Bulan 26 Hari</v>
      </c>
      <c r="CM37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Kp.Pasirgede RT/RW 01/04 Desa/Kelurahan Mekargalih Kecamatan Ciranjang Cianjur Jawa Barat </v>
      </c>
    </row>
    <row r="378" spans="1:91" ht="24.95" customHeight="1">
      <c r="A378" s="58">
        <f>SUBTOTAL(3,N$8:Table2[[#This Row],[Nama lengkap]])</f>
        <v>371</v>
      </c>
      <c r="B378" s="58" t="s">
        <v>86</v>
      </c>
      <c r="C378" s="58">
        <v>2017</v>
      </c>
      <c r="D378" s="58"/>
      <c r="E378" s="58">
        <v>6</v>
      </c>
      <c r="F378" s="58" t="s">
        <v>4192</v>
      </c>
      <c r="G378" s="32" t="s">
        <v>2513</v>
      </c>
      <c r="H378" s="32" t="s">
        <v>2513</v>
      </c>
      <c r="I378" s="32" t="s">
        <v>2513</v>
      </c>
      <c r="J378" s="32"/>
      <c r="K378" s="32"/>
      <c r="L378" s="32"/>
      <c r="M378" s="58">
        <v>17180128</v>
      </c>
      <c r="N378" s="24" t="s">
        <v>8863</v>
      </c>
      <c r="O378" s="24"/>
      <c r="P378" s="25" t="s">
        <v>4297</v>
      </c>
      <c r="Q378" s="25" t="s">
        <v>4298</v>
      </c>
      <c r="R378" s="60" t="s">
        <v>122</v>
      </c>
      <c r="S378" s="61" t="s">
        <v>4299</v>
      </c>
      <c r="T378" s="47" t="s">
        <v>92</v>
      </c>
      <c r="U378" s="47">
        <v>4</v>
      </c>
      <c r="V378" s="47">
        <v>3</v>
      </c>
      <c r="W378" s="47" t="s">
        <v>207</v>
      </c>
      <c r="X378" s="59"/>
      <c r="Y378" s="59"/>
      <c r="Z378" s="59"/>
      <c r="AA378" s="59" t="s">
        <v>96</v>
      </c>
      <c r="AB378" s="59" t="s">
        <v>689</v>
      </c>
      <c r="AC378" s="59" t="s">
        <v>208</v>
      </c>
      <c r="AD378" s="59" t="s">
        <v>208</v>
      </c>
      <c r="AE378" s="60" t="s">
        <v>4300</v>
      </c>
      <c r="AF378" s="60" t="s">
        <v>8617</v>
      </c>
      <c r="AG378" s="59" t="s">
        <v>8617</v>
      </c>
      <c r="AH378" s="59" t="s">
        <v>2844</v>
      </c>
      <c r="AI378" s="59" t="s">
        <v>122</v>
      </c>
      <c r="AJ378" s="61" t="s">
        <v>4301</v>
      </c>
      <c r="AK378" s="60" t="s">
        <v>4302</v>
      </c>
      <c r="AL378" s="60" t="s">
        <v>114</v>
      </c>
      <c r="AM378" s="59" t="s">
        <v>800</v>
      </c>
      <c r="AN378" s="60"/>
      <c r="AO378" s="60"/>
      <c r="AP378" s="59" t="s">
        <v>4303</v>
      </c>
      <c r="AQ378" s="25" t="s">
        <v>1009</v>
      </c>
      <c r="AR378" s="60" t="s">
        <v>1752</v>
      </c>
      <c r="AS378" s="59" t="s">
        <v>1324</v>
      </c>
      <c r="AT378" s="59" t="s">
        <v>1090</v>
      </c>
      <c r="AU378" s="59" t="s">
        <v>111</v>
      </c>
      <c r="AV378" s="62"/>
      <c r="AW378" s="59" t="s">
        <v>8123</v>
      </c>
      <c r="AX378" s="59" t="s">
        <v>2844</v>
      </c>
      <c r="AY378" s="59" t="s">
        <v>122</v>
      </c>
      <c r="AZ378" s="126">
        <v>23922</v>
      </c>
      <c r="BA378" s="60" t="s">
        <v>4304</v>
      </c>
      <c r="BB378" s="60" t="s">
        <v>845</v>
      </c>
      <c r="BC378" s="59" t="s">
        <v>4305</v>
      </c>
      <c r="BD378" s="60" t="s">
        <v>4306</v>
      </c>
      <c r="BE378" s="60"/>
      <c r="BF378" s="60"/>
      <c r="BG378" s="59" t="s">
        <v>4303</v>
      </c>
      <c r="BH378" s="60" t="s">
        <v>1009</v>
      </c>
      <c r="BI378" s="60" t="s">
        <v>1752</v>
      </c>
      <c r="BJ378" s="24" t="s">
        <v>1324</v>
      </c>
      <c r="BK378" s="59" t="s">
        <v>1090</v>
      </c>
      <c r="BL378" s="59" t="s">
        <v>156</v>
      </c>
      <c r="BM378" s="62"/>
      <c r="BN378" s="62"/>
      <c r="BO378" s="59"/>
      <c r="BP378" s="59"/>
      <c r="BQ378" s="77"/>
      <c r="BR378" s="60"/>
      <c r="BS378" s="60"/>
      <c r="BT378" s="59"/>
      <c r="BU378" s="60"/>
      <c r="BV378" s="60"/>
      <c r="BW378" s="59"/>
      <c r="BX378" s="60"/>
      <c r="BY378" s="60"/>
      <c r="BZ378" s="59"/>
      <c r="CA378" s="59"/>
      <c r="CB378" s="59"/>
      <c r="CC378" s="59"/>
      <c r="CD378" s="59"/>
      <c r="CE378" s="59" t="s">
        <v>7642</v>
      </c>
      <c r="CF378" s="60" t="s">
        <v>1009</v>
      </c>
      <c r="CG378" s="59" t="s">
        <v>7109</v>
      </c>
      <c r="CH378" s="59" t="s">
        <v>134</v>
      </c>
      <c r="CI378" s="59" t="s">
        <v>122</v>
      </c>
      <c r="CJ378" s="59" t="s">
        <v>111</v>
      </c>
      <c r="CK378" s="47"/>
      <c r="CL378" s="64" t="str">
        <f t="shared" ca="1" si="5"/>
        <v>20 Tahun 11 Bulan 23 Hari</v>
      </c>
      <c r="CM37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Sukasari RT/RW 03/02 Desa/Kelurahan Jatihurip Kecamatan Sumedang Utara Sumedang Jawa Barat </v>
      </c>
    </row>
    <row r="379" spans="1:91" ht="24.95" customHeight="1">
      <c r="A379" s="58">
        <f>SUBTOTAL(3,N$8:Table2[[#This Row],[Nama lengkap]])</f>
        <v>372</v>
      </c>
      <c r="B379" s="58" t="s">
        <v>86</v>
      </c>
      <c r="C379" s="58">
        <v>2018</v>
      </c>
      <c r="D379" s="58"/>
      <c r="E379" s="58">
        <v>6</v>
      </c>
      <c r="F379" s="58" t="s">
        <v>4192</v>
      </c>
      <c r="G379" s="32" t="s">
        <v>2513</v>
      </c>
      <c r="H379" s="32" t="s">
        <v>2513</v>
      </c>
      <c r="I379" s="32" t="s">
        <v>2513</v>
      </c>
      <c r="J379" s="32"/>
      <c r="K379" s="32"/>
      <c r="L379" s="32"/>
      <c r="M379" s="58">
        <v>18190183</v>
      </c>
      <c r="N379" s="24" t="s">
        <v>6144</v>
      </c>
      <c r="O379" s="24"/>
      <c r="P379" s="25" t="s">
        <v>4308</v>
      </c>
      <c r="Q379" s="25" t="s">
        <v>4309</v>
      </c>
      <c r="R379" s="60" t="s">
        <v>456</v>
      </c>
      <c r="S379" s="61" t="s">
        <v>4310</v>
      </c>
      <c r="T379" s="47" t="s">
        <v>92</v>
      </c>
      <c r="U379" s="47">
        <v>1</v>
      </c>
      <c r="V379" s="47">
        <v>4</v>
      </c>
      <c r="W379" s="47" t="s">
        <v>207</v>
      </c>
      <c r="X379" s="59"/>
      <c r="Y379" s="59"/>
      <c r="Z379" s="59"/>
      <c r="AA379" s="59" t="s">
        <v>96</v>
      </c>
      <c r="AB379" s="59" t="s">
        <v>689</v>
      </c>
      <c r="AC379" s="59" t="s">
        <v>208</v>
      </c>
      <c r="AD379" s="59" t="s">
        <v>208</v>
      </c>
      <c r="AE379" s="60" t="s">
        <v>4311</v>
      </c>
      <c r="AF379" s="60" t="s">
        <v>8618</v>
      </c>
      <c r="AG379" s="59" t="s">
        <v>8618</v>
      </c>
      <c r="AH379" s="59" t="s">
        <v>2844</v>
      </c>
      <c r="AI379" s="59" t="s">
        <v>456</v>
      </c>
      <c r="AJ379" s="61" t="s">
        <v>4312</v>
      </c>
      <c r="AK379" s="60" t="s">
        <v>4313</v>
      </c>
      <c r="AL379" s="60" t="s">
        <v>914</v>
      </c>
      <c r="AM379" s="59" t="s">
        <v>4314</v>
      </c>
      <c r="AN379" s="60"/>
      <c r="AO379" s="60"/>
      <c r="AP379" s="59" t="s">
        <v>3045</v>
      </c>
      <c r="AQ379" s="25" t="s">
        <v>1277</v>
      </c>
      <c r="AR379" s="60" t="s">
        <v>2579</v>
      </c>
      <c r="AS379" s="59" t="s">
        <v>1731</v>
      </c>
      <c r="AT379" s="59" t="s">
        <v>1177</v>
      </c>
      <c r="AU379" s="59" t="s">
        <v>111</v>
      </c>
      <c r="AV379" s="62"/>
      <c r="AW379" s="59" t="s">
        <v>8124</v>
      </c>
      <c r="AX379" s="59" t="s">
        <v>2844</v>
      </c>
      <c r="AY379" s="59" t="s">
        <v>456</v>
      </c>
      <c r="AZ379" s="126">
        <v>32245</v>
      </c>
      <c r="BA379" s="60" t="s">
        <v>4315</v>
      </c>
      <c r="BB379" s="60" t="s">
        <v>845</v>
      </c>
      <c r="BC379" s="59" t="s">
        <v>700</v>
      </c>
      <c r="BD379" s="60" t="s">
        <v>4316</v>
      </c>
      <c r="BE379" s="60"/>
      <c r="BF379" s="60"/>
      <c r="BG379" s="59" t="s">
        <v>3045</v>
      </c>
      <c r="BH379" s="60" t="s">
        <v>1277</v>
      </c>
      <c r="BI379" s="60" t="s">
        <v>2579</v>
      </c>
      <c r="BJ379" s="24" t="s">
        <v>1731</v>
      </c>
      <c r="BK379" s="59" t="s">
        <v>1177</v>
      </c>
      <c r="BL379" s="59" t="s">
        <v>156</v>
      </c>
      <c r="BM379" s="62"/>
      <c r="BN379" s="62"/>
      <c r="BO379" s="59"/>
      <c r="BP379" s="59"/>
      <c r="BQ379" s="77"/>
      <c r="BR379" s="60"/>
      <c r="BS379" s="60"/>
      <c r="BT379" s="59"/>
      <c r="BU379" s="60"/>
      <c r="BV379" s="60"/>
      <c r="BW379" s="59"/>
      <c r="BX379" s="60"/>
      <c r="BY379" s="60"/>
      <c r="BZ379" s="59"/>
      <c r="CA379" s="59"/>
      <c r="CB379" s="59"/>
      <c r="CC379" s="59"/>
      <c r="CD379" s="59"/>
      <c r="CE379" s="59" t="s">
        <v>7540</v>
      </c>
      <c r="CF379" s="60" t="s">
        <v>1277</v>
      </c>
      <c r="CG379" s="59" t="s">
        <v>7182</v>
      </c>
      <c r="CH379" s="59" t="s">
        <v>6812</v>
      </c>
      <c r="CI379" s="59" t="s">
        <v>6358</v>
      </c>
      <c r="CJ379" s="59" t="s">
        <v>111</v>
      </c>
      <c r="CK379" s="47"/>
      <c r="CL379" s="64" t="str">
        <f t="shared" ca="1" si="5"/>
        <v>19 Tahun 4 Bulan 26 Hari</v>
      </c>
      <c r="CM37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Jl.Pesantren RT/RW 01/15 Desa/Kelurahan Cibabat Kecamatan Cimahi Utara Kota Cimahi Jawa Barat </v>
      </c>
    </row>
    <row r="380" spans="1:91" ht="24.95" customHeight="1">
      <c r="A380" s="58">
        <f>SUBTOTAL(3,N$8:Table2[[#This Row],[Nama lengkap]])</f>
        <v>373</v>
      </c>
      <c r="B380" s="58" t="s">
        <v>86</v>
      </c>
      <c r="C380" s="58">
        <v>2018</v>
      </c>
      <c r="D380" s="58"/>
      <c r="E380" s="58">
        <v>6</v>
      </c>
      <c r="F380" s="58" t="s">
        <v>4192</v>
      </c>
      <c r="G380" s="32" t="s">
        <v>2513</v>
      </c>
      <c r="H380" s="32" t="s">
        <v>2513</v>
      </c>
      <c r="I380" s="32" t="s">
        <v>2513</v>
      </c>
      <c r="J380" s="32"/>
      <c r="K380" s="32"/>
      <c r="L380" s="32"/>
      <c r="M380" s="58">
        <v>18190185</v>
      </c>
      <c r="N380" s="24" t="s">
        <v>6145</v>
      </c>
      <c r="O380" s="24"/>
      <c r="P380" s="25" t="s">
        <v>4318</v>
      </c>
      <c r="Q380" s="25" t="s">
        <v>4319</v>
      </c>
      <c r="R380" s="60" t="s">
        <v>90</v>
      </c>
      <c r="S380" s="61" t="s">
        <v>4320</v>
      </c>
      <c r="T380" s="47" t="s">
        <v>92</v>
      </c>
      <c r="U380" s="47">
        <v>1</v>
      </c>
      <c r="V380" s="47">
        <v>4</v>
      </c>
      <c r="W380" s="47" t="s">
        <v>207</v>
      </c>
      <c r="X380" s="59"/>
      <c r="Y380" s="59"/>
      <c r="Z380" s="59" t="s">
        <v>688</v>
      </c>
      <c r="AA380" s="59" t="s">
        <v>96</v>
      </c>
      <c r="AB380" s="59" t="s">
        <v>689</v>
      </c>
      <c r="AC380" s="59" t="s">
        <v>208</v>
      </c>
      <c r="AD380" s="59" t="s">
        <v>208</v>
      </c>
      <c r="AE380" s="60" t="s">
        <v>1436</v>
      </c>
      <c r="AF380" s="60" t="s">
        <v>1437</v>
      </c>
      <c r="AG380" s="59" t="s">
        <v>1437</v>
      </c>
      <c r="AH380" s="59" t="s">
        <v>2844</v>
      </c>
      <c r="AI380" s="59" t="s">
        <v>122</v>
      </c>
      <c r="AJ380" s="61" t="s">
        <v>4321</v>
      </c>
      <c r="AK380" s="60" t="s">
        <v>1438</v>
      </c>
      <c r="AL380" s="60" t="s">
        <v>289</v>
      </c>
      <c r="AM380" s="59" t="s">
        <v>700</v>
      </c>
      <c r="AN380" s="60" t="s">
        <v>1439</v>
      </c>
      <c r="AO380" s="60"/>
      <c r="AP380" s="59" t="s">
        <v>4322</v>
      </c>
      <c r="AQ380" s="25" t="s">
        <v>1441</v>
      </c>
      <c r="AR380" s="60" t="s">
        <v>4323</v>
      </c>
      <c r="AS380" s="59" t="s">
        <v>1063</v>
      </c>
      <c r="AT380" s="59" t="s">
        <v>141</v>
      </c>
      <c r="AU380" s="59" t="s">
        <v>111</v>
      </c>
      <c r="AV380" s="62"/>
      <c r="AW380" s="59" t="s">
        <v>7875</v>
      </c>
      <c r="AX380" s="59" t="s">
        <v>2844</v>
      </c>
      <c r="AY380" s="59" t="s">
        <v>90</v>
      </c>
      <c r="AZ380" s="126">
        <v>29778</v>
      </c>
      <c r="BA380" s="60" t="s">
        <v>1443</v>
      </c>
      <c r="BB380" s="60" t="s">
        <v>845</v>
      </c>
      <c r="BC380" s="59" t="s">
        <v>700</v>
      </c>
      <c r="BD380" s="60"/>
      <c r="BE380" s="60"/>
      <c r="BF380" s="60"/>
      <c r="BG380" s="59" t="s">
        <v>4322</v>
      </c>
      <c r="BH380" s="60" t="s">
        <v>1441</v>
      </c>
      <c r="BI380" s="60" t="s">
        <v>4323</v>
      </c>
      <c r="BJ380" s="24" t="s">
        <v>1063</v>
      </c>
      <c r="BK380" s="59" t="s">
        <v>141</v>
      </c>
      <c r="BL380" s="59" t="s">
        <v>156</v>
      </c>
      <c r="BM380" s="62"/>
      <c r="BN380" s="62"/>
      <c r="BO380" s="59"/>
      <c r="BP380" s="59"/>
      <c r="BQ380" s="77"/>
      <c r="BR380" s="60"/>
      <c r="BS380" s="60"/>
      <c r="BT380" s="59"/>
      <c r="BU380" s="60"/>
      <c r="BV380" s="60"/>
      <c r="BW380" s="59"/>
      <c r="BX380" s="60"/>
      <c r="BY380" s="60"/>
      <c r="BZ380" s="59"/>
      <c r="CA380" s="59"/>
      <c r="CB380" s="59"/>
      <c r="CC380" s="59"/>
      <c r="CD380" s="59"/>
      <c r="CE380" s="59" t="s">
        <v>7411</v>
      </c>
      <c r="CF380" s="60" t="s">
        <v>1441</v>
      </c>
      <c r="CG380" s="59" t="s">
        <v>7077</v>
      </c>
      <c r="CH380" s="59" t="s">
        <v>295</v>
      </c>
      <c r="CI380" s="59" t="s">
        <v>90</v>
      </c>
      <c r="CJ380" s="59" t="s">
        <v>111</v>
      </c>
      <c r="CK380" s="47"/>
      <c r="CL380" s="64" t="str">
        <f t="shared" ca="1" si="5"/>
        <v>20 Tahun 0 Bulan 22 Hari</v>
      </c>
      <c r="CM38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Kp.Rancaekek Kulon RT/RW 01/06 Desa/Kelurahan Rancaekek Kulon Kecamatan Rancaekek Bandung Jawa Barat </v>
      </c>
    </row>
    <row r="381" spans="1:91" ht="24.95" customHeight="1">
      <c r="A381" s="58">
        <f>SUBTOTAL(3,N$8:Table2[[#This Row],[Nama lengkap]])</f>
        <v>374</v>
      </c>
      <c r="B381" s="58" t="s">
        <v>86</v>
      </c>
      <c r="C381" s="58">
        <v>2019</v>
      </c>
      <c r="D381" s="58"/>
      <c r="E381" s="58">
        <v>6</v>
      </c>
      <c r="F381" s="58" t="s">
        <v>4192</v>
      </c>
      <c r="G381" s="32" t="s">
        <v>2513</v>
      </c>
      <c r="H381" s="32" t="s">
        <v>2513</v>
      </c>
      <c r="I381" s="32" t="s">
        <v>2513</v>
      </c>
      <c r="J381" s="32"/>
      <c r="K381" s="32"/>
      <c r="L381" s="32"/>
      <c r="M381" s="58">
        <v>19200264</v>
      </c>
      <c r="N381" s="24" t="s">
        <v>6146</v>
      </c>
      <c r="O381" s="24"/>
      <c r="P381" s="25" t="s">
        <v>4325</v>
      </c>
      <c r="Q381" s="25" t="s">
        <v>4326</v>
      </c>
      <c r="R381" s="60" t="s">
        <v>90</v>
      </c>
      <c r="S381" s="61" t="s">
        <v>4327</v>
      </c>
      <c r="T381" s="47" t="s">
        <v>92</v>
      </c>
      <c r="U381" s="47">
        <v>4</v>
      </c>
      <c r="V381" s="47">
        <v>4</v>
      </c>
      <c r="W381" s="47" t="s">
        <v>207</v>
      </c>
      <c r="X381" s="59"/>
      <c r="Y381" s="59"/>
      <c r="Z381" s="59" t="s">
        <v>1776</v>
      </c>
      <c r="AA381" s="59" t="s">
        <v>1141</v>
      </c>
      <c r="AB381" s="59" t="s">
        <v>689</v>
      </c>
      <c r="AC381" s="59" t="s">
        <v>208</v>
      </c>
      <c r="AD381" s="59" t="s">
        <v>208</v>
      </c>
      <c r="AE381" s="60" t="s">
        <v>4328</v>
      </c>
      <c r="AF381" s="60" t="s">
        <v>8619</v>
      </c>
      <c r="AG381" s="59" t="s">
        <v>8619</v>
      </c>
      <c r="AH381" s="59" t="s">
        <v>2844</v>
      </c>
      <c r="AI381" s="59" t="s">
        <v>90</v>
      </c>
      <c r="AJ381" s="61" t="s">
        <v>4329</v>
      </c>
      <c r="AK381" s="60" t="s">
        <v>4330</v>
      </c>
      <c r="AL381" s="60" t="s">
        <v>289</v>
      </c>
      <c r="AM381" s="59" t="s">
        <v>4264</v>
      </c>
      <c r="AN381" s="60"/>
      <c r="AO381" s="60"/>
      <c r="AP381" s="59" t="s">
        <v>4331</v>
      </c>
      <c r="AQ381" s="25" t="s">
        <v>815</v>
      </c>
      <c r="AR381" s="60" t="s">
        <v>3710</v>
      </c>
      <c r="AS381" s="59" t="s">
        <v>1638</v>
      </c>
      <c r="AT381" s="59" t="s">
        <v>163</v>
      </c>
      <c r="AU381" s="59" t="s">
        <v>111</v>
      </c>
      <c r="AV381" s="62"/>
      <c r="AW381" s="59" t="s">
        <v>7829</v>
      </c>
      <c r="AX381" s="59" t="s">
        <v>2844</v>
      </c>
      <c r="AY381" s="59" t="s">
        <v>90</v>
      </c>
      <c r="AZ381" s="126">
        <v>23649</v>
      </c>
      <c r="BA381" s="60" t="s">
        <v>4332</v>
      </c>
      <c r="BB381" s="60" t="s">
        <v>845</v>
      </c>
      <c r="BC381" s="59" t="s">
        <v>4305</v>
      </c>
      <c r="BD381" s="60" t="s">
        <v>4333</v>
      </c>
      <c r="BE381" s="60"/>
      <c r="BF381" s="60"/>
      <c r="BG381" s="59" t="s">
        <v>4331</v>
      </c>
      <c r="BH381" s="60" t="s">
        <v>815</v>
      </c>
      <c r="BI381" s="60" t="s">
        <v>3710</v>
      </c>
      <c r="BJ381" s="24" t="s">
        <v>1638</v>
      </c>
      <c r="BK381" s="59" t="s">
        <v>163</v>
      </c>
      <c r="BL381" s="59" t="s">
        <v>156</v>
      </c>
      <c r="BM381" s="62"/>
      <c r="BN381" s="62"/>
      <c r="BO381" s="59"/>
      <c r="BP381" s="59"/>
      <c r="BQ381" s="77"/>
      <c r="BR381" s="60"/>
      <c r="BS381" s="60"/>
      <c r="BT381" s="59"/>
      <c r="BU381" s="60"/>
      <c r="BV381" s="60"/>
      <c r="BW381" s="59"/>
      <c r="BX381" s="60"/>
      <c r="BY381" s="60"/>
      <c r="BZ381" s="59"/>
      <c r="CA381" s="59"/>
      <c r="CB381" s="59"/>
      <c r="CC381" s="59"/>
      <c r="CD381" s="59"/>
      <c r="CE381" s="59" t="s">
        <v>7643</v>
      </c>
      <c r="CF381" s="60" t="s">
        <v>815</v>
      </c>
      <c r="CG381" s="59" t="s">
        <v>6479</v>
      </c>
      <c r="CH381" s="59" t="s">
        <v>6480</v>
      </c>
      <c r="CI381" s="59" t="s">
        <v>155</v>
      </c>
      <c r="CJ381" s="59" t="s">
        <v>111</v>
      </c>
      <c r="CK381" s="47"/>
      <c r="CL381" s="64" t="str">
        <f t="shared" ca="1" si="5"/>
        <v>21 Tahun 11 Bulan 3 Hari</v>
      </c>
      <c r="CM38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Kp.Gunung Dukuh  RT/RW 01/03 Desa/Kelurahan Cipatik Kecamatan Cihampelas Bandung Barat Jawa Barat </v>
      </c>
    </row>
    <row r="382" spans="1:91" ht="24.95" customHeight="1">
      <c r="A382" s="58">
        <f>SUBTOTAL(3,N$8:Table2[[#This Row],[Nama lengkap]])</f>
        <v>375</v>
      </c>
      <c r="B382" s="58" t="s">
        <v>86</v>
      </c>
      <c r="C382" s="58">
        <v>2018</v>
      </c>
      <c r="D382" s="58"/>
      <c r="E382" s="58">
        <v>6</v>
      </c>
      <c r="F382" s="58" t="s">
        <v>4192</v>
      </c>
      <c r="G382" s="32" t="s">
        <v>2513</v>
      </c>
      <c r="H382" s="32" t="s">
        <v>2513</v>
      </c>
      <c r="I382" s="32" t="s">
        <v>2513</v>
      </c>
      <c r="J382" s="32"/>
      <c r="K382" s="32"/>
      <c r="L382" s="32"/>
      <c r="M382" s="58">
        <v>18190192</v>
      </c>
      <c r="N382" s="24" t="s">
        <v>6147</v>
      </c>
      <c r="O382" s="24"/>
      <c r="P382" s="25" t="s">
        <v>4335</v>
      </c>
      <c r="Q382" s="25" t="s">
        <v>4336</v>
      </c>
      <c r="R382" s="60" t="s">
        <v>122</v>
      </c>
      <c r="S382" s="61" t="s">
        <v>4337</v>
      </c>
      <c r="T382" s="47" t="s">
        <v>92</v>
      </c>
      <c r="U382" s="47">
        <v>2</v>
      </c>
      <c r="V382" s="47">
        <v>3</v>
      </c>
      <c r="W382" s="47" t="s">
        <v>207</v>
      </c>
      <c r="X382" s="59"/>
      <c r="Y382" s="59"/>
      <c r="Z382" s="59" t="s">
        <v>986</v>
      </c>
      <c r="AA382" s="59" t="s">
        <v>96</v>
      </c>
      <c r="AB382" s="59" t="s">
        <v>689</v>
      </c>
      <c r="AC382" s="59" t="s">
        <v>208</v>
      </c>
      <c r="AD382" s="59" t="s">
        <v>208</v>
      </c>
      <c r="AE382" s="60"/>
      <c r="AF382" s="60" t="s">
        <v>8620</v>
      </c>
      <c r="AG382" s="59" t="s">
        <v>8620</v>
      </c>
      <c r="AH382" s="59" t="s">
        <v>2844</v>
      </c>
      <c r="AI382" s="59" t="s">
        <v>122</v>
      </c>
      <c r="AJ382" s="61" t="s">
        <v>4338</v>
      </c>
      <c r="AK382" s="60" t="s">
        <v>4339</v>
      </c>
      <c r="AL382" s="60" t="s">
        <v>602</v>
      </c>
      <c r="AM382" s="59" t="s">
        <v>800</v>
      </c>
      <c r="AN382" s="60"/>
      <c r="AO382" s="60"/>
      <c r="AP382" s="59" t="s">
        <v>4340</v>
      </c>
      <c r="AQ382" s="25" t="s">
        <v>1076</v>
      </c>
      <c r="AR382" s="60" t="s">
        <v>4341</v>
      </c>
      <c r="AS382" s="59" t="s">
        <v>1101</v>
      </c>
      <c r="AT382" s="59" t="s">
        <v>1090</v>
      </c>
      <c r="AU382" s="59" t="s">
        <v>111</v>
      </c>
      <c r="AV382" s="62"/>
      <c r="AW382" s="59" t="s">
        <v>8125</v>
      </c>
      <c r="AX382" s="59" t="s">
        <v>2844</v>
      </c>
      <c r="AY382" s="59" t="s">
        <v>122</v>
      </c>
      <c r="AZ382" s="126" t="s">
        <v>4342</v>
      </c>
      <c r="BA382" s="60" t="s">
        <v>4343</v>
      </c>
      <c r="BB382" s="60" t="s">
        <v>845</v>
      </c>
      <c r="BC382" s="59" t="s">
        <v>800</v>
      </c>
      <c r="BD382" s="60" t="s">
        <v>4344</v>
      </c>
      <c r="BE382" s="60"/>
      <c r="BF382" s="60"/>
      <c r="BG382" s="59" t="s">
        <v>4340</v>
      </c>
      <c r="BH382" s="60" t="s">
        <v>1076</v>
      </c>
      <c r="BI382" s="60" t="s">
        <v>4341</v>
      </c>
      <c r="BJ382" s="24" t="s">
        <v>1101</v>
      </c>
      <c r="BK382" s="59" t="s">
        <v>1090</v>
      </c>
      <c r="BL382" s="59" t="s">
        <v>156</v>
      </c>
      <c r="BM382" s="62"/>
      <c r="BN382" s="62"/>
      <c r="BO382" s="59"/>
      <c r="BP382" s="59"/>
      <c r="BQ382" s="77"/>
      <c r="BR382" s="60"/>
      <c r="BS382" s="60"/>
      <c r="BT382" s="59"/>
      <c r="BU382" s="60"/>
      <c r="BV382" s="60"/>
      <c r="BW382" s="59"/>
      <c r="BX382" s="60"/>
      <c r="BY382" s="60"/>
      <c r="BZ382" s="59"/>
      <c r="CA382" s="59"/>
      <c r="CB382" s="59"/>
      <c r="CC382" s="59"/>
      <c r="CD382" s="59"/>
      <c r="CE382" s="59" t="s">
        <v>7644</v>
      </c>
      <c r="CF382" s="60" t="s">
        <v>1076</v>
      </c>
      <c r="CG382" s="59" t="s">
        <v>7273</v>
      </c>
      <c r="CH382" s="59" t="s">
        <v>6945</v>
      </c>
      <c r="CI382" s="59" t="s">
        <v>122</v>
      </c>
      <c r="CJ382" s="59" t="s">
        <v>111</v>
      </c>
      <c r="CK382" s="47"/>
      <c r="CL382" s="64" t="str">
        <f t="shared" ca="1" si="5"/>
        <v>19 Tahun 5 Bulan 30 Hari</v>
      </c>
      <c r="CM38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Lingkungan Lio RT/RW 03/06 Desa/Kelurahan Cipameungpeuk Kecamatan Sumedang Selatan Sumedang Jawa Barat </v>
      </c>
    </row>
    <row r="383" spans="1:91" ht="24.95" customHeight="1">
      <c r="A383" s="58">
        <f>SUBTOTAL(3,N$8:Table2[[#This Row],[Nama lengkap]])</f>
        <v>376</v>
      </c>
      <c r="B383" s="58" t="s">
        <v>86</v>
      </c>
      <c r="C383" s="58">
        <v>2019</v>
      </c>
      <c r="D383" s="58"/>
      <c r="E383" s="58">
        <v>6</v>
      </c>
      <c r="F383" s="58" t="s">
        <v>4192</v>
      </c>
      <c r="G383" s="32" t="s">
        <v>2513</v>
      </c>
      <c r="H383" s="32" t="s">
        <v>2513</v>
      </c>
      <c r="I383" s="32" t="s">
        <v>2513</v>
      </c>
      <c r="J383" s="32"/>
      <c r="K383" s="32"/>
      <c r="L383" s="32"/>
      <c r="M383" s="58">
        <v>19200274</v>
      </c>
      <c r="N383" s="24" t="s">
        <v>6148</v>
      </c>
      <c r="O383" s="24"/>
      <c r="P383" s="25" t="s">
        <v>4346</v>
      </c>
      <c r="Q383" s="25" t="s">
        <v>4347</v>
      </c>
      <c r="R383" s="60" t="s">
        <v>90</v>
      </c>
      <c r="S383" s="61" t="s">
        <v>4348</v>
      </c>
      <c r="T383" s="47" t="s">
        <v>92</v>
      </c>
      <c r="U383" s="47">
        <v>4</v>
      </c>
      <c r="V383" s="47">
        <v>4</v>
      </c>
      <c r="W383" s="47" t="s">
        <v>207</v>
      </c>
      <c r="X383" s="59"/>
      <c r="Y383" s="59"/>
      <c r="Z383" s="59" t="s">
        <v>707</v>
      </c>
      <c r="AA383" s="59" t="s">
        <v>1141</v>
      </c>
      <c r="AB383" s="59" t="s">
        <v>4349</v>
      </c>
      <c r="AC383" s="59" t="s">
        <v>208</v>
      </c>
      <c r="AD383" s="59" t="s">
        <v>208</v>
      </c>
      <c r="AE383" s="60" t="s">
        <v>4350</v>
      </c>
      <c r="AF383" s="60" t="s">
        <v>8126</v>
      </c>
      <c r="AG383" s="59" t="s">
        <v>8621</v>
      </c>
      <c r="AH383" s="59" t="s">
        <v>2222</v>
      </c>
      <c r="AI383" s="59"/>
      <c r="AJ383" s="61" t="s">
        <v>4351</v>
      </c>
      <c r="AK383" s="60" t="s">
        <v>4351</v>
      </c>
      <c r="AL383" s="60"/>
      <c r="AM383" s="59"/>
      <c r="AN383" s="60" t="s">
        <v>4352</v>
      </c>
      <c r="AO383" s="60"/>
      <c r="AP383" s="59" t="s">
        <v>4351</v>
      </c>
      <c r="AQ383" s="25"/>
      <c r="AR383" s="60" t="s">
        <v>4351</v>
      </c>
      <c r="AS383" s="59" t="s">
        <v>4351</v>
      </c>
      <c r="AT383" s="59" t="s">
        <v>4351</v>
      </c>
      <c r="AU383" s="59" t="s">
        <v>111</v>
      </c>
      <c r="AV383" s="62"/>
      <c r="AW383" s="59" t="s">
        <v>8126</v>
      </c>
      <c r="AX383" s="59" t="s">
        <v>2222</v>
      </c>
      <c r="AY383" s="59" t="s">
        <v>90</v>
      </c>
      <c r="AZ383" s="126">
        <v>24059</v>
      </c>
      <c r="BA383" s="60" t="s">
        <v>4353</v>
      </c>
      <c r="BB383" s="60" t="s">
        <v>845</v>
      </c>
      <c r="BC383" s="59" t="s">
        <v>700</v>
      </c>
      <c r="BD383" s="60" t="s">
        <v>4354</v>
      </c>
      <c r="BE383" s="60"/>
      <c r="BF383" s="60"/>
      <c r="BG383" s="59" t="s">
        <v>4355</v>
      </c>
      <c r="BH383" s="60" t="s">
        <v>4356</v>
      </c>
      <c r="BI383" s="60" t="s">
        <v>3315</v>
      </c>
      <c r="BJ383" s="24" t="s">
        <v>2684</v>
      </c>
      <c r="BK383" s="59" t="s">
        <v>141</v>
      </c>
      <c r="BL383" s="59" t="s">
        <v>156</v>
      </c>
      <c r="BM383" s="62"/>
      <c r="BN383" s="62"/>
      <c r="BO383" s="59"/>
      <c r="BP383" s="59"/>
      <c r="BQ383" s="77"/>
      <c r="BR383" s="60"/>
      <c r="BS383" s="60"/>
      <c r="BT383" s="59"/>
      <c r="BU383" s="60"/>
      <c r="BV383" s="60"/>
      <c r="BW383" s="59"/>
      <c r="BX383" s="60"/>
      <c r="BY383" s="60"/>
      <c r="BZ383" s="59"/>
      <c r="CA383" s="59"/>
      <c r="CB383" s="59"/>
      <c r="CC383" s="59"/>
      <c r="CD383" s="59"/>
      <c r="CE383" s="59" t="s">
        <v>7645</v>
      </c>
      <c r="CF383" s="60" t="s">
        <v>4356</v>
      </c>
      <c r="CG383" s="60" t="s">
        <v>7228</v>
      </c>
      <c r="CH383" s="24" t="s">
        <v>7190</v>
      </c>
      <c r="CI383" s="59" t="s">
        <v>90</v>
      </c>
      <c r="CJ383" s="59" t="s">
        <v>111</v>
      </c>
      <c r="CK383" s="47"/>
      <c r="CL383" s="64" t="str">
        <f t="shared" ca="1" si="5"/>
        <v>21 Tahun 4 Bulan 17 Hari</v>
      </c>
      <c r="CM38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Jl.Akasia Iv No.49. A Komp.Taman Bukit Lagadar RT/RW 04/18 Desa/Kelurahan Lagadar Kecamatan Margaasih Bandung Jawa Barat </v>
      </c>
    </row>
    <row r="384" spans="1:91" ht="24.95" customHeight="1">
      <c r="A384" s="58">
        <f>SUBTOTAL(3,N$8:Table2[[#This Row],[Nama lengkap]])</f>
        <v>377</v>
      </c>
      <c r="B384" s="58" t="s">
        <v>86</v>
      </c>
      <c r="C384" s="58">
        <v>2018</v>
      </c>
      <c r="D384" s="58"/>
      <c r="E384" s="58">
        <v>6</v>
      </c>
      <c r="F384" s="58" t="s">
        <v>4192</v>
      </c>
      <c r="G384" s="32" t="s">
        <v>2513</v>
      </c>
      <c r="H384" s="32" t="s">
        <v>2513</v>
      </c>
      <c r="I384" s="32" t="s">
        <v>2513</v>
      </c>
      <c r="J384" s="32"/>
      <c r="K384" s="32"/>
      <c r="L384" s="32"/>
      <c r="M384" s="58">
        <v>18190195</v>
      </c>
      <c r="N384" s="24" t="s">
        <v>6149</v>
      </c>
      <c r="O384" s="24"/>
      <c r="P384" s="25" t="s">
        <v>4358</v>
      </c>
      <c r="Q384" s="25" t="s">
        <v>4359</v>
      </c>
      <c r="R384" s="60" t="s">
        <v>3137</v>
      </c>
      <c r="S384" s="61" t="s">
        <v>4360</v>
      </c>
      <c r="T384" s="47" t="s">
        <v>92</v>
      </c>
      <c r="U384" s="47">
        <v>2</v>
      </c>
      <c r="V384" s="47">
        <v>2</v>
      </c>
      <c r="W384" s="47" t="s">
        <v>207</v>
      </c>
      <c r="X384" s="59"/>
      <c r="Y384" s="59"/>
      <c r="Z384" s="59" t="s">
        <v>4361</v>
      </c>
      <c r="AA384" s="59" t="s">
        <v>1141</v>
      </c>
      <c r="AB384" s="59" t="s">
        <v>689</v>
      </c>
      <c r="AC384" s="59" t="s">
        <v>208</v>
      </c>
      <c r="AD384" s="59" t="s">
        <v>208</v>
      </c>
      <c r="AE384" s="60" t="s">
        <v>4362</v>
      </c>
      <c r="AF384" s="60" t="s">
        <v>8622</v>
      </c>
      <c r="AG384" s="59" t="s">
        <v>8622</v>
      </c>
      <c r="AH384" s="59" t="s">
        <v>2844</v>
      </c>
      <c r="AI384" s="59" t="s">
        <v>3137</v>
      </c>
      <c r="AJ384" s="61">
        <v>23224</v>
      </c>
      <c r="AK384" s="60" t="s">
        <v>4363</v>
      </c>
      <c r="AL384" s="60" t="s">
        <v>114</v>
      </c>
      <c r="AM384" s="59" t="s">
        <v>96</v>
      </c>
      <c r="AN384" s="60"/>
      <c r="AO384" s="60"/>
      <c r="AP384" s="59" t="s">
        <v>4364</v>
      </c>
      <c r="AQ384" s="25" t="s">
        <v>880</v>
      </c>
      <c r="AR384" s="60" t="s">
        <v>757</v>
      </c>
      <c r="AS384" s="59" t="s">
        <v>4365</v>
      </c>
      <c r="AT384" s="59" t="s">
        <v>273</v>
      </c>
      <c r="AU384" s="59" t="s">
        <v>111</v>
      </c>
      <c r="AV384" s="62"/>
      <c r="AW384" s="59" t="s">
        <v>8127</v>
      </c>
      <c r="AX384" s="59" t="s">
        <v>2844</v>
      </c>
      <c r="AY384" s="59" t="s">
        <v>3137</v>
      </c>
      <c r="AZ384" s="126">
        <v>24668</v>
      </c>
      <c r="BA384" s="60" t="s">
        <v>4366</v>
      </c>
      <c r="BB384" s="60" t="s">
        <v>7775</v>
      </c>
      <c r="BC384" s="59" t="s">
        <v>1820</v>
      </c>
      <c r="BD384" s="60" t="s">
        <v>4367</v>
      </c>
      <c r="BE384" s="60"/>
      <c r="BF384" s="60"/>
      <c r="BG384" s="59" t="s">
        <v>4364</v>
      </c>
      <c r="BH384" s="60" t="s">
        <v>880</v>
      </c>
      <c r="BI384" s="60" t="s">
        <v>757</v>
      </c>
      <c r="BJ384" s="24" t="s">
        <v>4365</v>
      </c>
      <c r="BK384" s="59" t="s">
        <v>273</v>
      </c>
      <c r="BL384" s="59" t="s">
        <v>156</v>
      </c>
      <c r="BM384" s="62"/>
      <c r="BN384" s="62"/>
      <c r="BO384" s="59"/>
      <c r="BP384" s="59"/>
      <c r="BQ384" s="77"/>
      <c r="BR384" s="60"/>
      <c r="BS384" s="60"/>
      <c r="BT384" s="59"/>
      <c r="BU384" s="60"/>
      <c r="BV384" s="60"/>
      <c r="BW384" s="59"/>
      <c r="BX384" s="60"/>
      <c r="BY384" s="60"/>
      <c r="BZ384" s="59"/>
      <c r="CA384" s="59"/>
      <c r="CB384" s="59"/>
      <c r="CC384" s="59"/>
      <c r="CD384" s="59"/>
      <c r="CE384" s="59" t="s">
        <v>7646</v>
      </c>
      <c r="CF384" s="60" t="s">
        <v>880</v>
      </c>
      <c r="CG384" s="59" t="s">
        <v>6755</v>
      </c>
      <c r="CH384" s="59" t="s">
        <v>7274</v>
      </c>
      <c r="CI384" s="59" t="s">
        <v>3137</v>
      </c>
      <c r="CJ384" s="59" t="s">
        <v>111</v>
      </c>
      <c r="CK384" s="47"/>
      <c r="CL384" s="64" t="str">
        <f t="shared" ca="1" si="5"/>
        <v>22 Tahun 9 Bulan 22 Hari</v>
      </c>
      <c r="CM38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Kp.Cirumput RT/RW 01/02 Desa/Kelurahan Sirnajaya Kecamatan Tanggeung Cianjur Jawa Barat </v>
      </c>
    </row>
    <row r="385" spans="1:91" ht="24.95" customHeight="1">
      <c r="A385" s="58">
        <f>SUBTOTAL(3,N$8:Table2[[#This Row],[Nama lengkap]])</f>
        <v>378</v>
      </c>
      <c r="B385" s="58" t="s">
        <v>86</v>
      </c>
      <c r="C385" s="58">
        <v>2018</v>
      </c>
      <c r="D385" s="58"/>
      <c r="E385" s="58">
        <v>6</v>
      </c>
      <c r="F385" s="58" t="s">
        <v>4192</v>
      </c>
      <c r="G385" s="32" t="s">
        <v>2513</v>
      </c>
      <c r="H385" s="32" t="s">
        <v>2513</v>
      </c>
      <c r="I385" s="32" t="s">
        <v>2513</v>
      </c>
      <c r="J385" s="32"/>
      <c r="K385" s="32"/>
      <c r="L385" s="32"/>
      <c r="M385" s="58">
        <v>18190196</v>
      </c>
      <c r="N385" s="24" t="s">
        <v>6150</v>
      </c>
      <c r="O385" s="24"/>
      <c r="P385" s="25" t="s">
        <v>4369</v>
      </c>
      <c r="Q385" s="25" t="s">
        <v>4370</v>
      </c>
      <c r="R385" s="60" t="s">
        <v>122</v>
      </c>
      <c r="S385" s="61" t="s">
        <v>4371</v>
      </c>
      <c r="T385" s="47" t="s">
        <v>92</v>
      </c>
      <c r="U385" s="47">
        <v>2</v>
      </c>
      <c r="V385" s="47">
        <v>2</v>
      </c>
      <c r="W385" s="47" t="s">
        <v>207</v>
      </c>
      <c r="X385" s="59"/>
      <c r="Y385" s="59"/>
      <c r="Z385" s="59"/>
      <c r="AA385" s="59" t="s">
        <v>96</v>
      </c>
      <c r="AB385" s="59" t="s">
        <v>689</v>
      </c>
      <c r="AC385" s="59" t="s">
        <v>208</v>
      </c>
      <c r="AD385" s="59" t="s">
        <v>208</v>
      </c>
      <c r="AE385" s="60" t="s">
        <v>4372</v>
      </c>
      <c r="AF385" s="60" t="s">
        <v>8623</v>
      </c>
      <c r="AG385" s="59" t="s">
        <v>8623</v>
      </c>
      <c r="AH385" s="59" t="s">
        <v>2222</v>
      </c>
      <c r="AI385" s="59"/>
      <c r="AJ385" s="61" t="s">
        <v>4351</v>
      </c>
      <c r="AK385" s="60" t="s">
        <v>4351</v>
      </c>
      <c r="AL385" s="60"/>
      <c r="AM385" s="59"/>
      <c r="AN385" s="60"/>
      <c r="AO385" s="60"/>
      <c r="AP385" s="59" t="s">
        <v>4351</v>
      </c>
      <c r="AQ385" s="25"/>
      <c r="AR385" s="60" t="s">
        <v>4351</v>
      </c>
      <c r="AS385" s="59" t="s">
        <v>4351</v>
      </c>
      <c r="AT385" s="59" t="s">
        <v>4351</v>
      </c>
      <c r="AU385" s="59" t="s">
        <v>111</v>
      </c>
      <c r="AV385" s="62"/>
      <c r="AW385" s="59" t="s">
        <v>8128</v>
      </c>
      <c r="AX385" s="59" t="s">
        <v>2844</v>
      </c>
      <c r="AY385" s="59" t="s">
        <v>122</v>
      </c>
      <c r="AZ385" s="126">
        <v>27369</v>
      </c>
      <c r="BA385" s="60" t="s">
        <v>4373</v>
      </c>
      <c r="BB385" s="60" t="s">
        <v>845</v>
      </c>
      <c r="BC385" s="59" t="s">
        <v>4305</v>
      </c>
      <c r="BD385" s="60" t="s">
        <v>4374</v>
      </c>
      <c r="BE385" s="60"/>
      <c r="BF385" s="60"/>
      <c r="BG385" s="59" t="s">
        <v>4375</v>
      </c>
      <c r="BH385" s="60" t="s">
        <v>1369</v>
      </c>
      <c r="BI385" s="60" t="s">
        <v>3192</v>
      </c>
      <c r="BJ385" s="24" t="s">
        <v>2294</v>
      </c>
      <c r="BK385" s="59" t="s">
        <v>1090</v>
      </c>
      <c r="BL385" s="59" t="s">
        <v>156</v>
      </c>
      <c r="BM385" s="62"/>
      <c r="BN385" s="62"/>
      <c r="BO385" s="59"/>
      <c r="BP385" s="59"/>
      <c r="BQ385" s="77"/>
      <c r="BR385" s="60"/>
      <c r="BS385" s="60"/>
      <c r="BT385" s="59"/>
      <c r="BU385" s="60"/>
      <c r="BV385" s="60"/>
      <c r="BW385" s="59"/>
      <c r="BX385" s="60"/>
      <c r="BY385" s="60"/>
      <c r="BZ385" s="59"/>
      <c r="CA385" s="59"/>
      <c r="CB385" s="59"/>
      <c r="CC385" s="59"/>
      <c r="CD385" s="59"/>
      <c r="CE385" s="59" t="s">
        <v>7647</v>
      </c>
      <c r="CF385" s="60" t="s">
        <v>1369</v>
      </c>
      <c r="CG385" s="60" t="s">
        <v>7219</v>
      </c>
      <c r="CH385" s="24" t="s">
        <v>593</v>
      </c>
      <c r="CI385" s="59" t="s">
        <v>122</v>
      </c>
      <c r="CJ385" s="59" t="s">
        <v>111</v>
      </c>
      <c r="CK385" s="47"/>
      <c r="CL385" s="64" t="str">
        <f t="shared" ca="1" si="5"/>
        <v>20 Tahun 3 Bulan 17 Hari</v>
      </c>
      <c r="CM38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Pagaden RT/RW 02/02 Desa/Kelurahan Marga Jaya Kecamatan Tanjungsari Sumedang Jawa Barat </v>
      </c>
    </row>
    <row r="386" spans="1:91" ht="24.95" customHeight="1">
      <c r="A386" s="58">
        <f>SUBTOTAL(3,N$8:Table2[[#This Row],[Nama lengkap]])</f>
        <v>379</v>
      </c>
      <c r="B386" s="58" t="s">
        <v>86</v>
      </c>
      <c r="C386" s="58">
        <v>2017</v>
      </c>
      <c r="D386" s="58"/>
      <c r="E386" s="58">
        <v>6</v>
      </c>
      <c r="F386" s="58" t="s">
        <v>4192</v>
      </c>
      <c r="G386" s="32" t="s">
        <v>2513</v>
      </c>
      <c r="H386" s="32" t="s">
        <v>2513</v>
      </c>
      <c r="I386" s="32" t="s">
        <v>2513</v>
      </c>
      <c r="J386" s="32"/>
      <c r="K386" s="32"/>
      <c r="L386" s="32"/>
      <c r="M386" s="58">
        <v>17180137</v>
      </c>
      <c r="N386" s="24" t="s">
        <v>6151</v>
      </c>
      <c r="O386" s="24"/>
      <c r="P386" s="25" t="s">
        <v>4377</v>
      </c>
      <c r="Q386" s="25" t="s">
        <v>4378</v>
      </c>
      <c r="R386" s="60" t="s">
        <v>492</v>
      </c>
      <c r="S386" s="61" t="s">
        <v>4379</v>
      </c>
      <c r="T386" s="47" t="s">
        <v>92</v>
      </c>
      <c r="U386" s="47">
        <v>2</v>
      </c>
      <c r="V386" s="47">
        <v>2</v>
      </c>
      <c r="W386" s="47" t="s">
        <v>207</v>
      </c>
      <c r="X386" s="59"/>
      <c r="Y386" s="59"/>
      <c r="Z386" s="59" t="s">
        <v>4380</v>
      </c>
      <c r="AA386" s="59" t="s">
        <v>96</v>
      </c>
      <c r="AB386" s="59" t="s">
        <v>1151</v>
      </c>
      <c r="AC386" s="59" t="s">
        <v>208</v>
      </c>
      <c r="AD386" s="59" t="s">
        <v>208</v>
      </c>
      <c r="AE386" s="60" t="s">
        <v>4381</v>
      </c>
      <c r="AF386" s="59" t="s">
        <v>8129</v>
      </c>
      <c r="AG386" s="59" t="s">
        <v>8624</v>
      </c>
      <c r="AH386" s="59" t="s">
        <v>1153</v>
      </c>
      <c r="AI386" s="59" t="s">
        <v>6846</v>
      </c>
      <c r="AJ386" s="61">
        <v>27587</v>
      </c>
      <c r="AK386" s="60" t="s">
        <v>4382</v>
      </c>
      <c r="AL386" s="60" t="s">
        <v>114</v>
      </c>
      <c r="AM386" s="59"/>
      <c r="AN386" s="60"/>
      <c r="AO386" s="60"/>
      <c r="AP386" s="59" t="s">
        <v>4383</v>
      </c>
      <c r="AQ386" s="25" t="s">
        <v>815</v>
      </c>
      <c r="AR386" s="60" t="s">
        <v>2977</v>
      </c>
      <c r="AS386" s="59" t="s">
        <v>1393</v>
      </c>
      <c r="AT386" s="59" t="s">
        <v>1383</v>
      </c>
      <c r="AU386" s="59" t="s">
        <v>111</v>
      </c>
      <c r="AV386" s="62"/>
      <c r="AW386" s="59" t="s">
        <v>8129</v>
      </c>
      <c r="AX386" s="59" t="s">
        <v>1153</v>
      </c>
      <c r="AY386" s="59" t="s">
        <v>492</v>
      </c>
      <c r="AZ386" s="126">
        <v>28955</v>
      </c>
      <c r="BA386" s="60" t="s">
        <v>4384</v>
      </c>
      <c r="BB386" s="60" t="s">
        <v>845</v>
      </c>
      <c r="BC386" s="59" t="s">
        <v>700</v>
      </c>
      <c r="BD386" s="60" t="s">
        <v>4385</v>
      </c>
      <c r="BE386" s="60"/>
      <c r="BF386" s="60"/>
      <c r="BG386" s="59" t="s">
        <v>4386</v>
      </c>
      <c r="BH386" s="60" t="s">
        <v>3435</v>
      </c>
      <c r="BI386" s="60" t="s">
        <v>4387</v>
      </c>
      <c r="BJ386" s="24" t="s">
        <v>4388</v>
      </c>
      <c r="BK386" s="59" t="s">
        <v>1673</v>
      </c>
      <c r="BL386" s="59" t="s">
        <v>156</v>
      </c>
      <c r="BM386" s="62"/>
      <c r="BN386" s="62"/>
      <c r="BO386" s="59"/>
      <c r="BP386" s="59"/>
      <c r="BQ386" s="77"/>
      <c r="BR386" s="60"/>
      <c r="BS386" s="60"/>
      <c r="BT386" s="59"/>
      <c r="BU386" s="60"/>
      <c r="BV386" s="60"/>
      <c r="BW386" s="59"/>
      <c r="BX386" s="60"/>
      <c r="BY386" s="60"/>
      <c r="BZ386" s="59"/>
      <c r="CA386" s="59"/>
      <c r="CB386" s="59"/>
      <c r="CC386" s="59"/>
      <c r="CD386" s="59"/>
      <c r="CE386" s="59" t="s">
        <v>7648</v>
      </c>
      <c r="CF386" s="60" t="s">
        <v>815</v>
      </c>
      <c r="CG386" s="59" t="s">
        <v>7210</v>
      </c>
      <c r="CH386" s="59" t="s">
        <v>7073</v>
      </c>
      <c r="CI386" s="59" t="s">
        <v>6846</v>
      </c>
      <c r="CJ386" s="59" t="s">
        <v>111</v>
      </c>
      <c r="CK386" s="47"/>
      <c r="CL386" s="64" t="str">
        <f t="shared" ca="1" si="5"/>
        <v>20 Tahun 11 Bulan 11 Hari</v>
      </c>
      <c r="CM38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Leuweung Malang RT/RW 01/03 Desa/Kelurahan Sukaresmi Kecamatan Cikarang Selatan Bekasi Jawa Barat </v>
      </c>
    </row>
    <row r="387" spans="1:91" ht="24.95" customHeight="1">
      <c r="A387" s="58">
        <f>SUBTOTAL(3,N$8:Table2[[#This Row],[Nama lengkap]])</f>
        <v>380</v>
      </c>
      <c r="B387" s="58" t="s">
        <v>86</v>
      </c>
      <c r="C387" s="58">
        <v>2017</v>
      </c>
      <c r="D387" s="58"/>
      <c r="E387" s="58">
        <v>6</v>
      </c>
      <c r="F387" s="58" t="s">
        <v>4192</v>
      </c>
      <c r="G387" s="32" t="s">
        <v>2513</v>
      </c>
      <c r="H387" s="32" t="s">
        <v>2513</v>
      </c>
      <c r="I387" s="32" t="s">
        <v>2513</v>
      </c>
      <c r="J387" s="32"/>
      <c r="K387" s="32"/>
      <c r="L387" s="32"/>
      <c r="M387" s="58">
        <v>17180142</v>
      </c>
      <c r="N387" s="24" t="s">
        <v>6152</v>
      </c>
      <c r="O387" s="24"/>
      <c r="P387" s="25" t="s">
        <v>8987</v>
      </c>
      <c r="Q387" s="25" t="s">
        <v>4390</v>
      </c>
      <c r="R387" s="60" t="s">
        <v>122</v>
      </c>
      <c r="S387" s="61" t="s">
        <v>4391</v>
      </c>
      <c r="T387" s="47" t="s">
        <v>92</v>
      </c>
      <c r="U387" s="47">
        <v>5</v>
      </c>
      <c r="V387" s="47">
        <v>5</v>
      </c>
      <c r="W387" s="47" t="s">
        <v>207</v>
      </c>
      <c r="X387" s="59"/>
      <c r="Y387" s="59"/>
      <c r="Z387" s="59" t="s">
        <v>688</v>
      </c>
      <c r="AA387" s="59" t="s">
        <v>96</v>
      </c>
      <c r="AB387" s="59" t="s">
        <v>4349</v>
      </c>
      <c r="AC387" s="59" t="s">
        <v>208</v>
      </c>
      <c r="AD387" s="59" t="s">
        <v>208</v>
      </c>
      <c r="AE387" s="60" t="s">
        <v>4392</v>
      </c>
      <c r="AF387" s="60" t="s">
        <v>6422</v>
      </c>
      <c r="AG387" s="59" t="s">
        <v>6422</v>
      </c>
      <c r="AH387" s="59" t="s">
        <v>2844</v>
      </c>
      <c r="AI387" s="59" t="s">
        <v>90</v>
      </c>
      <c r="AJ387" s="61" t="s">
        <v>4393</v>
      </c>
      <c r="AK387" s="60" t="s">
        <v>4394</v>
      </c>
      <c r="AL387" s="60" t="s">
        <v>602</v>
      </c>
      <c r="AM387" s="59" t="s">
        <v>800</v>
      </c>
      <c r="AN387" s="60"/>
      <c r="AO387" s="60"/>
      <c r="AP387" s="59" t="s">
        <v>4395</v>
      </c>
      <c r="AQ387" s="25" t="s">
        <v>3919</v>
      </c>
      <c r="AR387" s="60" t="s">
        <v>4396</v>
      </c>
      <c r="AS387" s="59" t="s">
        <v>2294</v>
      </c>
      <c r="AT387" s="59" t="s">
        <v>1090</v>
      </c>
      <c r="AU387" s="59" t="s">
        <v>111</v>
      </c>
      <c r="AV387" s="62"/>
      <c r="AW387" s="59" t="s">
        <v>8130</v>
      </c>
      <c r="AX387" s="59" t="s">
        <v>2844</v>
      </c>
      <c r="AY387" s="59" t="s">
        <v>90</v>
      </c>
      <c r="AZ387" s="126" t="s">
        <v>4397</v>
      </c>
      <c r="BA387" s="60" t="s">
        <v>4398</v>
      </c>
      <c r="BB387" s="60" t="s">
        <v>845</v>
      </c>
      <c r="BC387" s="59" t="s">
        <v>800</v>
      </c>
      <c r="BD387" s="60" t="s">
        <v>4399</v>
      </c>
      <c r="BE387" s="60"/>
      <c r="BF387" s="60"/>
      <c r="BG387" s="59" t="s">
        <v>4395</v>
      </c>
      <c r="BH387" s="60" t="s">
        <v>3919</v>
      </c>
      <c r="BI387" s="60" t="s">
        <v>4396</v>
      </c>
      <c r="BJ387" s="24" t="s">
        <v>2294</v>
      </c>
      <c r="BK387" s="59" t="s">
        <v>1090</v>
      </c>
      <c r="BL387" s="59" t="s">
        <v>156</v>
      </c>
      <c r="BM387" s="62"/>
      <c r="BN387" s="62"/>
      <c r="BO387" s="59"/>
      <c r="BP387" s="59"/>
      <c r="BQ387" s="77"/>
      <c r="BR387" s="60"/>
      <c r="BS387" s="60"/>
      <c r="BT387" s="59"/>
      <c r="BU387" s="60"/>
      <c r="BV387" s="60"/>
      <c r="BW387" s="59"/>
      <c r="BX387" s="60"/>
      <c r="BY387" s="60"/>
      <c r="BZ387" s="59"/>
      <c r="CA387" s="59"/>
      <c r="CB387" s="59"/>
      <c r="CC387" s="59"/>
      <c r="CD387" s="59"/>
      <c r="CE387" s="59" t="s">
        <v>7649</v>
      </c>
      <c r="CF387" s="60" t="s">
        <v>3919</v>
      </c>
      <c r="CG387" s="59" t="s">
        <v>7275</v>
      </c>
      <c r="CH387" s="59" t="s">
        <v>593</v>
      </c>
      <c r="CI387" s="59" t="s">
        <v>122</v>
      </c>
      <c r="CJ387" s="59" t="s">
        <v>111</v>
      </c>
      <c r="CK387" s="47"/>
      <c r="CL387" s="64" t="str">
        <f t="shared" ca="1" si="5"/>
        <v>20 Tahun 8 Bulan 21 Hari</v>
      </c>
      <c r="CM38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Perum Citramas RT/RW 01/18 Desa/Kelurahan Gunung Manik Kecamatan Tanjungsari Sumedang Jawa Barat </v>
      </c>
    </row>
    <row r="388" spans="1:91" ht="24.95" customHeight="1">
      <c r="A388" s="58">
        <f>SUBTOTAL(3,N$8:Table2[[#This Row],[Nama lengkap]])</f>
        <v>381</v>
      </c>
      <c r="B388" s="58" t="s">
        <v>86</v>
      </c>
      <c r="C388" s="58">
        <v>2018</v>
      </c>
      <c r="D388" s="58"/>
      <c r="E388" s="58">
        <v>6</v>
      </c>
      <c r="F388" s="58" t="s">
        <v>4192</v>
      </c>
      <c r="G388" s="32" t="s">
        <v>2513</v>
      </c>
      <c r="H388" s="32" t="s">
        <v>2513</v>
      </c>
      <c r="I388" s="32" t="s">
        <v>2513</v>
      </c>
      <c r="J388" s="32"/>
      <c r="K388" s="32"/>
      <c r="L388" s="32"/>
      <c r="M388" s="58">
        <v>18190205</v>
      </c>
      <c r="N388" s="24" t="s">
        <v>6153</v>
      </c>
      <c r="O388" s="24"/>
      <c r="P388" s="25" t="s">
        <v>4401</v>
      </c>
      <c r="Q388" s="25" t="s">
        <v>4402</v>
      </c>
      <c r="R388" s="60" t="s">
        <v>90</v>
      </c>
      <c r="S388" s="61" t="s">
        <v>4403</v>
      </c>
      <c r="T388" s="47" t="s">
        <v>92</v>
      </c>
      <c r="U388" s="47">
        <v>8</v>
      </c>
      <c r="V388" s="47">
        <v>8</v>
      </c>
      <c r="W388" s="47" t="s">
        <v>207</v>
      </c>
      <c r="X388" s="59"/>
      <c r="Y388" s="59"/>
      <c r="Z388" s="59" t="s">
        <v>4282</v>
      </c>
      <c r="AA388" s="59" t="s">
        <v>1141</v>
      </c>
      <c r="AB388" s="59" t="s">
        <v>689</v>
      </c>
      <c r="AC388" s="59" t="s">
        <v>208</v>
      </c>
      <c r="AD388" s="59" t="s">
        <v>208</v>
      </c>
      <c r="AE388" s="60" t="s">
        <v>4404</v>
      </c>
      <c r="AF388" s="59" t="s">
        <v>8625</v>
      </c>
      <c r="AG388" s="59" t="s">
        <v>8625</v>
      </c>
      <c r="AH388" s="59" t="s">
        <v>2222</v>
      </c>
      <c r="AI388" s="59" t="s">
        <v>90</v>
      </c>
      <c r="AJ388" s="61" t="s">
        <v>4405</v>
      </c>
      <c r="AK388" s="60" t="s">
        <v>4406</v>
      </c>
      <c r="AL388" s="60" t="s">
        <v>914</v>
      </c>
      <c r="AM388" s="59" t="s">
        <v>4305</v>
      </c>
      <c r="AN388" s="60" t="s">
        <v>4407</v>
      </c>
      <c r="AO388" s="60"/>
      <c r="AP388" s="59" t="s">
        <v>4408</v>
      </c>
      <c r="AQ388" s="25" t="s">
        <v>1174</v>
      </c>
      <c r="AR388" s="60" t="s">
        <v>4409</v>
      </c>
      <c r="AS388" s="59" t="s">
        <v>1019</v>
      </c>
      <c r="AT388" s="59" t="s">
        <v>141</v>
      </c>
      <c r="AU388" s="59" t="s">
        <v>111</v>
      </c>
      <c r="AV388" s="62"/>
      <c r="AW388" s="59" t="s">
        <v>8131</v>
      </c>
      <c r="AX388" s="59" t="s">
        <v>2844</v>
      </c>
      <c r="AY388" s="59" t="s">
        <v>90</v>
      </c>
      <c r="AZ388" s="126" t="s">
        <v>4410</v>
      </c>
      <c r="BA388" s="60" t="s">
        <v>4411</v>
      </c>
      <c r="BB388" s="60" t="s">
        <v>845</v>
      </c>
      <c r="BC388" s="59" t="s">
        <v>4305</v>
      </c>
      <c r="BD388" s="60" t="s">
        <v>4407</v>
      </c>
      <c r="BE388" s="60"/>
      <c r="BF388" s="60"/>
      <c r="BG388" s="59" t="s">
        <v>4408</v>
      </c>
      <c r="BH388" s="60" t="s">
        <v>1174</v>
      </c>
      <c r="BI388" s="60" t="s">
        <v>4409</v>
      </c>
      <c r="BJ388" s="24" t="s">
        <v>1019</v>
      </c>
      <c r="BK388" s="59" t="s">
        <v>141</v>
      </c>
      <c r="BL388" s="59" t="s">
        <v>156</v>
      </c>
      <c r="BM388" s="62"/>
      <c r="BN388" s="62"/>
      <c r="BO388" s="59"/>
      <c r="BP388" s="59"/>
      <c r="BQ388" s="77"/>
      <c r="BR388" s="60"/>
      <c r="BS388" s="60"/>
      <c r="BT388" s="59"/>
      <c r="BU388" s="60"/>
      <c r="BV388" s="60"/>
      <c r="BW388" s="59"/>
      <c r="BX388" s="60"/>
      <c r="BY388" s="60"/>
      <c r="BZ388" s="59"/>
      <c r="CA388" s="59"/>
      <c r="CB388" s="59"/>
      <c r="CC388" s="59"/>
      <c r="CD388" s="59"/>
      <c r="CE388" s="59" t="s">
        <v>7650</v>
      </c>
      <c r="CF388" s="60" t="s">
        <v>1174</v>
      </c>
      <c r="CG388" s="59" t="s">
        <v>6966</v>
      </c>
      <c r="CH388" s="59" t="s">
        <v>6967</v>
      </c>
      <c r="CI388" s="59" t="s">
        <v>90</v>
      </c>
      <c r="CJ388" s="59" t="s">
        <v>111</v>
      </c>
      <c r="CK388" s="47"/>
      <c r="CL388" s="64" t="str">
        <f t="shared" ca="1" si="5"/>
        <v>22 Tahun 9 Bulan 7 Hari</v>
      </c>
      <c r="CM38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Kp.Bunisari RT/RW 01/09 Desa/Kelurahan Pameuntasan Kecamatan Kutawaringin Bandung Jawa Barat </v>
      </c>
    </row>
    <row r="389" spans="1:91" ht="24.95" customHeight="1">
      <c r="A389" s="58">
        <f>SUBTOTAL(3,N$8:Table2[[#This Row],[Nama lengkap]])</f>
        <v>382</v>
      </c>
      <c r="B389" s="58" t="s">
        <v>86</v>
      </c>
      <c r="C389" s="58">
        <v>2018</v>
      </c>
      <c r="D389" s="58"/>
      <c r="E389" s="58">
        <v>6</v>
      </c>
      <c r="F389" s="58" t="s">
        <v>4192</v>
      </c>
      <c r="G389" s="32" t="s">
        <v>2513</v>
      </c>
      <c r="H389" s="32" t="s">
        <v>2513</v>
      </c>
      <c r="I389" s="32" t="s">
        <v>2513</v>
      </c>
      <c r="J389" s="32"/>
      <c r="K389" s="32"/>
      <c r="L389" s="32"/>
      <c r="M389" s="58">
        <v>18190238</v>
      </c>
      <c r="N389" s="24" t="s">
        <v>6154</v>
      </c>
      <c r="O389" s="24"/>
      <c r="P389" s="25" t="s">
        <v>4413</v>
      </c>
      <c r="Q389" s="25" t="s">
        <v>4414</v>
      </c>
      <c r="R389" s="60" t="s">
        <v>90</v>
      </c>
      <c r="S389" s="61" t="s">
        <v>4415</v>
      </c>
      <c r="T389" s="47" t="s">
        <v>92</v>
      </c>
      <c r="U389" s="47">
        <v>7</v>
      </c>
      <c r="V389" s="47">
        <v>7</v>
      </c>
      <c r="W389" s="47" t="s">
        <v>207</v>
      </c>
      <c r="X389" s="59"/>
      <c r="Y389" s="59"/>
      <c r="Z389" s="59" t="s">
        <v>986</v>
      </c>
      <c r="AA389" s="59" t="s">
        <v>96</v>
      </c>
      <c r="AB389" s="59" t="s">
        <v>689</v>
      </c>
      <c r="AC389" s="59" t="s">
        <v>208</v>
      </c>
      <c r="AD389" s="59" t="s">
        <v>208</v>
      </c>
      <c r="AE389" s="60" t="s">
        <v>4416</v>
      </c>
      <c r="AF389" s="59" t="s">
        <v>8626</v>
      </c>
      <c r="AG389" s="59" t="s">
        <v>8627</v>
      </c>
      <c r="AH389" s="59" t="s">
        <v>2844</v>
      </c>
      <c r="AI389" s="77" t="s">
        <v>90</v>
      </c>
      <c r="AJ389" s="61" t="s">
        <v>4417</v>
      </c>
      <c r="AK389" s="60" t="s">
        <v>4418</v>
      </c>
      <c r="AL389" s="60" t="s">
        <v>8261</v>
      </c>
      <c r="AM389" s="59" t="s">
        <v>96</v>
      </c>
      <c r="AN389" s="60"/>
      <c r="AO389" s="60"/>
      <c r="AP389" s="59" t="s">
        <v>4419</v>
      </c>
      <c r="AQ389" s="25" t="s">
        <v>3435</v>
      </c>
      <c r="AR389" s="60" t="s">
        <v>3822</v>
      </c>
      <c r="AS389" s="59" t="s">
        <v>1529</v>
      </c>
      <c r="AT389" s="59" t="s">
        <v>141</v>
      </c>
      <c r="AU389" s="59" t="s">
        <v>111</v>
      </c>
      <c r="AV389" s="62"/>
      <c r="AW389" s="59" t="s">
        <v>8132</v>
      </c>
      <c r="AX389" s="59" t="s">
        <v>2844</v>
      </c>
      <c r="AY389" s="59" t="s">
        <v>90</v>
      </c>
      <c r="AZ389" s="126" t="s">
        <v>4420</v>
      </c>
      <c r="BA389" s="60" t="s">
        <v>4421</v>
      </c>
      <c r="BB389" s="60" t="s">
        <v>845</v>
      </c>
      <c r="BC389" s="59" t="s">
        <v>4422</v>
      </c>
      <c r="BD389" s="60" t="s">
        <v>4423</v>
      </c>
      <c r="BE389" s="60"/>
      <c r="BF389" s="60"/>
      <c r="BG389" s="59" t="s">
        <v>4419</v>
      </c>
      <c r="BH389" s="60" t="s">
        <v>880</v>
      </c>
      <c r="BI389" s="60" t="s">
        <v>3822</v>
      </c>
      <c r="BJ389" s="24" t="s">
        <v>1529</v>
      </c>
      <c r="BK389" s="59" t="s">
        <v>141</v>
      </c>
      <c r="BL389" s="59" t="s">
        <v>156</v>
      </c>
      <c r="BM389" s="62"/>
      <c r="BN389" s="62"/>
      <c r="BO389" s="59"/>
      <c r="BP389" s="59"/>
      <c r="BQ389" s="77"/>
      <c r="BR389" s="60"/>
      <c r="BS389" s="60"/>
      <c r="BT389" s="59"/>
      <c r="BU389" s="60"/>
      <c r="BV389" s="60"/>
      <c r="BW389" s="59"/>
      <c r="BX389" s="60"/>
      <c r="BY389" s="60"/>
      <c r="BZ389" s="59"/>
      <c r="CA389" s="59"/>
      <c r="CB389" s="59"/>
      <c r="CC389" s="59"/>
      <c r="CD389" s="59"/>
      <c r="CE389" s="59" t="s">
        <v>7651</v>
      </c>
      <c r="CF389" s="60" t="s">
        <v>3435</v>
      </c>
      <c r="CG389" s="59" t="s">
        <v>7254</v>
      </c>
      <c r="CH389" s="59" t="s">
        <v>4835</v>
      </c>
      <c r="CI389" s="59" t="s">
        <v>90</v>
      </c>
      <c r="CJ389" s="59" t="s">
        <v>111</v>
      </c>
      <c r="CK389" s="47"/>
      <c r="CL389" s="64" t="str">
        <f t="shared" ca="1" si="5"/>
        <v>18 Tahun 6 Bulan 19 Hari</v>
      </c>
      <c r="CM38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Ci Jengkol RT/RW 01/01 Desa/Kelurahan Mangunjaya Kecamatan Arjasari Bandung Jawa Barat </v>
      </c>
    </row>
    <row r="390" spans="1:91" ht="24.95" customHeight="1">
      <c r="A390" s="58">
        <f>SUBTOTAL(3,N$8:Table2[[#This Row],[Nama lengkap]])</f>
        <v>383</v>
      </c>
      <c r="B390" s="58" t="s">
        <v>86</v>
      </c>
      <c r="C390" s="58">
        <v>2016</v>
      </c>
      <c r="D390" s="58"/>
      <c r="E390" s="58">
        <v>6</v>
      </c>
      <c r="F390" s="58" t="s">
        <v>4192</v>
      </c>
      <c r="G390" s="32" t="s">
        <v>2513</v>
      </c>
      <c r="H390" s="32" t="s">
        <v>2513</v>
      </c>
      <c r="I390" s="32" t="s">
        <v>2513</v>
      </c>
      <c r="J390" s="32"/>
      <c r="K390" s="32"/>
      <c r="L390" s="32"/>
      <c r="M390" s="58">
        <v>16170124</v>
      </c>
      <c r="N390" s="24" t="s">
        <v>3673</v>
      </c>
      <c r="O390" s="24"/>
      <c r="P390" s="25" t="s">
        <v>9926</v>
      </c>
      <c r="Q390" s="25" t="s">
        <v>4436</v>
      </c>
      <c r="R390" s="60" t="s">
        <v>122</v>
      </c>
      <c r="S390" s="61" t="s">
        <v>4437</v>
      </c>
      <c r="T390" s="47" t="s">
        <v>92</v>
      </c>
      <c r="U390" s="47">
        <v>1</v>
      </c>
      <c r="V390" s="47">
        <v>2</v>
      </c>
      <c r="W390" s="47" t="s">
        <v>207</v>
      </c>
      <c r="X390" s="59"/>
      <c r="Y390" s="59"/>
      <c r="Z390" s="59"/>
      <c r="AA390" s="59" t="s">
        <v>96</v>
      </c>
      <c r="AB390" s="59" t="s">
        <v>689</v>
      </c>
      <c r="AC390" s="59" t="s">
        <v>208</v>
      </c>
      <c r="AD390" s="59" t="s">
        <v>208</v>
      </c>
      <c r="AE390" s="60" t="s">
        <v>4438</v>
      </c>
      <c r="AF390" s="60" t="s">
        <v>8628</v>
      </c>
      <c r="AG390" s="59" t="s">
        <v>8629</v>
      </c>
      <c r="AH390" s="59" t="s">
        <v>2844</v>
      </c>
      <c r="AI390" s="59" t="s">
        <v>122</v>
      </c>
      <c r="AJ390" s="61" t="s">
        <v>4439</v>
      </c>
      <c r="AK390" s="60" t="s">
        <v>4440</v>
      </c>
      <c r="AL390" s="60" t="s">
        <v>114</v>
      </c>
      <c r="AM390" s="59"/>
      <c r="AN390" s="60"/>
      <c r="AO390" s="60"/>
      <c r="AP390" s="59" t="s">
        <v>4441</v>
      </c>
      <c r="AQ390" s="25" t="s">
        <v>604</v>
      </c>
      <c r="AR390" s="60" t="s">
        <v>4442</v>
      </c>
      <c r="AS390" s="59" t="s">
        <v>1212</v>
      </c>
      <c r="AT390" s="59" t="s">
        <v>1090</v>
      </c>
      <c r="AU390" s="59" t="s">
        <v>111</v>
      </c>
      <c r="AV390" s="62"/>
      <c r="AW390" s="59" t="s">
        <v>8033</v>
      </c>
      <c r="AX390" s="59" t="s">
        <v>1153</v>
      </c>
      <c r="AY390" s="59" t="s">
        <v>122</v>
      </c>
      <c r="AZ390" s="126" t="s">
        <v>4443</v>
      </c>
      <c r="BA390" s="60" t="s">
        <v>4444</v>
      </c>
      <c r="BB390" s="60" t="s">
        <v>602</v>
      </c>
      <c r="BC390" s="59" t="s">
        <v>800</v>
      </c>
      <c r="BD390" s="60" t="s">
        <v>4445</v>
      </c>
      <c r="BE390" s="60"/>
      <c r="BF390" s="60"/>
      <c r="BG390" s="59" t="s">
        <v>4446</v>
      </c>
      <c r="BH390" s="60" t="s">
        <v>604</v>
      </c>
      <c r="BI390" s="60" t="s">
        <v>4447</v>
      </c>
      <c r="BJ390" s="24" t="s">
        <v>1324</v>
      </c>
      <c r="BK390" s="59" t="s">
        <v>1090</v>
      </c>
      <c r="BL390" s="59" t="s">
        <v>1214</v>
      </c>
      <c r="BM390" s="62"/>
      <c r="BN390" s="62"/>
      <c r="BO390" s="59"/>
      <c r="BP390" s="59"/>
      <c r="BQ390" s="77"/>
      <c r="BR390" s="60"/>
      <c r="BS390" s="60"/>
      <c r="BT390" s="59"/>
      <c r="BU390" s="60"/>
      <c r="BV390" s="60"/>
      <c r="BW390" s="59"/>
      <c r="BX390" s="60"/>
      <c r="BY390" s="60"/>
      <c r="BZ390" s="59"/>
      <c r="CA390" s="59"/>
      <c r="CB390" s="59"/>
      <c r="CC390" s="59"/>
      <c r="CD390" s="59"/>
      <c r="CE390" s="59" t="s">
        <v>7652</v>
      </c>
      <c r="CF390" s="60" t="s">
        <v>604</v>
      </c>
      <c r="CG390" s="59" t="s">
        <v>816</v>
      </c>
      <c r="CH390" s="59" t="s">
        <v>497</v>
      </c>
      <c r="CI390" s="59" t="s">
        <v>122</v>
      </c>
      <c r="CJ390" s="59" t="s">
        <v>111</v>
      </c>
      <c r="CK390" s="47"/>
      <c r="CL390" s="64" t="str">
        <f t="shared" ca="1" si="5"/>
        <v>20 Tahun 4 Bulan 14 Hari</v>
      </c>
      <c r="CM39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Sukamaju RT/RW 03/04 Desa/Kelurahan Trunamanggala Kecamatan Cimalaka Sumedang Jawa Barat </v>
      </c>
    </row>
    <row r="391" spans="1:91" ht="24.95" customHeight="1">
      <c r="A391" s="58">
        <f>SUBTOTAL(3,N$8:Table2[[#This Row],[Nama lengkap]])</f>
        <v>384</v>
      </c>
      <c r="B391" s="58" t="s">
        <v>86</v>
      </c>
      <c r="C391" s="58">
        <v>2018</v>
      </c>
      <c r="D391" s="58"/>
      <c r="E391" s="58">
        <v>6</v>
      </c>
      <c r="F391" s="58" t="s">
        <v>4192</v>
      </c>
      <c r="G391" s="32" t="s">
        <v>2513</v>
      </c>
      <c r="H391" s="32" t="s">
        <v>2513</v>
      </c>
      <c r="I391" s="32" t="s">
        <v>2513</v>
      </c>
      <c r="J391" s="32"/>
      <c r="K391" s="32"/>
      <c r="L391" s="32"/>
      <c r="M391" s="58">
        <v>18190208</v>
      </c>
      <c r="N391" s="24" t="s">
        <v>5850</v>
      </c>
      <c r="O391" s="24"/>
      <c r="P391" s="25" t="s">
        <v>4448</v>
      </c>
      <c r="Q391" s="25" t="s">
        <v>4449</v>
      </c>
      <c r="R391" s="60" t="s">
        <v>90</v>
      </c>
      <c r="S391" s="61" t="s">
        <v>4450</v>
      </c>
      <c r="T391" s="47" t="s">
        <v>92</v>
      </c>
      <c r="U391" s="47">
        <v>1</v>
      </c>
      <c r="V391" s="47">
        <v>10</v>
      </c>
      <c r="W391" s="47" t="s">
        <v>207</v>
      </c>
      <c r="X391" s="59"/>
      <c r="Y391" s="59"/>
      <c r="Z391" s="59" t="s">
        <v>1205</v>
      </c>
      <c r="AA391" s="59" t="s">
        <v>96</v>
      </c>
      <c r="AB391" s="59" t="s">
        <v>1151</v>
      </c>
      <c r="AC391" s="59" t="s">
        <v>208</v>
      </c>
      <c r="AD391" s="59" t="s">
        <v>208</v>
      </c>
      <c r="AE391" s="60" t="s">
        <v>4451</v>
      </c>
      <c r="AF391" s="60" t="s">
        <v>8630</v>
      </c>
      <c r="AG391" s="59" t="s">
        <v>8630</v>
      </c>
      <c r="AH391" s="59" t="s">
        <v>2844</v>
      </c>
      <c r="AI391" s="59" t="s">
        <v>122</v>
      </c>
      <c r="AJ391" s="61" t="s">
        <v>4452</v>
      </c>
      <c r="AK391" s="60" t="s">
        <v>4453</v>
      </c>
      <c r="AL391" s="60" t="s">
        <v>114</v>
      </c>
      <c r="AM391" s="59" t="s">
        <v>800</v>
      </c>
      <c r="AN391" s="60" t="s">
        <v>4454</v>
      </c>
      <c r="AO391" s="60"/>
      <c r="AP391" s="59" t="s">
        <v>4455</v>
      </c>
      <c r="AQ391" s="25" t="s">
        <v>3435</v>
      </c>
      <c r="AR391" s="60" t="s">
        <v>2453</v>
      </c>
      <c r="AS391" s="59" t="s">
        <v>1101</v>
      </c>
      <c r="AT391" s="59" t="s">
        <v>1090</v>
      </c>
      <c r="AU391" s="59" t="s">
        <v>111</v>
      </c>
      <c r="AV391" s="62"/>
      <c r="AW391" s="59" t="s">
        <v>8133</v>
      </c>
      <c r="AX391" s="59" t="s">
        <v>2844</v>
      </c>
      <c r="AY391" s="59" t="s">
        <v>90</v>
      </c>
      <c r="AZ391" s="126" t="s">
        <v>4456</v>
      </c>
      <c r="BA391" s="60" t="s">
        <v>4457</v>
      </c>
      <c r="BB391" s="60" t="s">
        <v>845</v>
      </c>
      <c r="BC391" s="59" t="s">
        <v>4305</v>
      </c>
      <c r="BD391" s="60" t="s">
        <v>4454</v>
      </c>
      <c r="BE391" s="60"/>
      <c r="BF391" s="60"/>
      <c r="BG391" s="59" t="s">
        <v>4455</v>
      </c>
      <c r="BH391" s="60" t="s">
        <v>3435</v>
      </c>
      <c r="BI391" s="60" t="s">
        <v>2453</v>
      </c>
      <c r="BJ391" s="24" t="s">
        <v>1101</v>
      </c>
      <c r="BK391" s="59" t="s">
        <v>1090</v>
      </c>
      <c r="BL391" s="59" t="s">
        <v>156</v>
      </c>
      <c r="BM391" s="62"/>
      <c r="BN391" s="62"/>
      <c r="BO391" s="59"/>
      <c r="BP391" s="59"/>
      <c r="BQ391" s="77"/>
      <c r="BR391" s="60"/>
      <c r="BS391" s="60"/>
      <c r="BT391" s="59"/>
      <c r="BU391" s="60"/>
      <c r="BV391" s="60"/>
      <c r="BW391" s="59"/>
      <c r="BX391" s="60"/>
      <c r="BY391" s="60"/>
      <c r="BZ391" s="59"/>
      <c r="CA391" s="59"/>
      <c r="CB391" s="59"/>
      <c r="CC391" s="59"/>
      <c r="CD391" s="59"/>
      <c r="CE391" s="59" t="s">
        <v>7653</v>
      </c>
      <c r="CF391" s="60" t="s">
        <v>3435</v>
      </c>
      <c r="CG391" s="59" t="s">
        <v>7174</v>
      </c>
      <c r="CH391" s="59" t="s">
        <v>6945</v>
      </c>
      <c r="CI391" s="59" t="s">
        <v>122</v>
      </c>
      <c r="CJ391" s="59" t="s">
        <v>111</v>
      </c>
      <c r="CK391" s="47"/>
      <c r="CL391" s="64" t="str">
        <f t="shared" ca="1" si="5"/>
        <v>22 Tahun 6 Bulan 2 Hari</v>
      </c>
      <c r="CM39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Link.Genteng RT/RW 01/01 Desa/Kelurahan Pasanggrahan Baru Kecamatan Sumedang Selatan Sumedang Jawa Barat </v>
      </c>
    </row>
    <row r="392" spans="1:91" ht="24.95" customHeight="1">
      <c r="A392" s="58">
        <f>SUBTOTAL(3,N$8:Table2[[#This Row],[Nama lengkap]])</f>
        <v>385</v>
      </c>
      <c r="B392" s="58" t="s">
        <v>86</v>
      </c>
      <c r="C392" s="58">
        <v>2018</v>
      </c>
      <c r="D392" s="58"/>
      <c r="E392" s="58">
        <v>6</v>
      </c>
      <c r="F392" s="58" t="s">
        <v>4192</v>
      </c>
      <c r="G392" s="32" t="s">
        <v>2513</v>
      </c>
      <c r="H392" s="32" t="s">
        <v>2513</v>
      </c>
      <c r="I392" s="32" t="s">
        <v>2513</v>
      </c>
      <c r="J392" s="32"/>
      <c r="K392" s="32"/>
      <c r="L392" s="32"/>
      <c r="M392" s="58">
        <v>18190212</v>
      </c>
      <c r="N392" s="24" t="s">
        <v>6156</v>
      </c>
      <c r="O392" s="24"/>
      <c r="P392" s="25" t="s">
        <v>4459</v>
      </c>
      <c r="Q392" s="25" t="s">
        <v>4460</v>
      </c>
      <c r="R392" s="60" t="s">
        <v>122</v>
      </c>
      <c r="S392" s="61" t="s">
        <v>4461</v>
      </c>
      <c r="T392" s="47" t="s">
        <v>92</v>
      </c>
      <c r="U392" s="47">
        <v>1</v>
      </c>
      <c r="V392" s="47">
        <v>3</v>
      </c>
      <c r="W392" s="47" t="s">
        <v>207</v>
      </c>
      <c r="X392" s="59"/>
      <c r="Y392" s="59"/>
      <c r="Z392" s="59"/>
      <c r="AA392" s="59" t="s">
        <v>96</v>
      </c>
      <c r="AB392" s="59" t="s">
        <v>689</v>
      </c>
      <c r="AC392" s="59" t="s">
        <v>208</v>
      </c>
      <c r="AD392" s="59" t="s">
        <v>208</v>
      </c>
      <c r="AE392" s="60" t="s">
        <v>4462</v>
      </c>
      <c r="AF392" s="59" t="s">
        <v>8631</v>
      </c>
      <c r="AG392" s="59" t="s">
        <v>8631</v>
      </c>
      <c r="AH392" s="59" t="s">
        <v>2844</v>
      </c>
      <c r="AI392" s="59" t="s">
        <v>90</v>
      </c>
      <c r="AJ392" s="61" t="s">
        <v>4463</v>
      </c>
      <c r="AK392" s="60" t="s">
        <v>4464</v>
      </c>
      <c r="AL392" s="60" t="s">
        <v>819</v>
      </c>
      <c r="AM392" s="59" t="s">
        <v>800</v>
      </c>
      <c r="AN392" s="60"/>
      <c r="AO392" s="60"/>
      <c r="AP392" s="59" t="s">
        <v>4465</v>
      </c>
      <c r="AQ392" s="25" t="s">
        <v>3435</v>
      </c>
      <c r="AR392" s="60" t="s">
        <v>2105</v>
      </c>
      <c r="AS392" s="59" t="s">
        <v>1101</v>
      </c>
      <c r="AT392" s="59" t="s">
        <v>1090</v>
      </c>
      <c r="AU392" s="59" t="s">
        <v>111</v>
      </c>
      <c r="AV392" s="62"/>
      <c r="AW392" s="59" t="s">
        <v>8134</v>
      </c>
      <c r="AX392" s="59" t="s">
        <v>2844</v>
      </c>
      <c r="AY392" s="59" t="s">
        <v>122</v>
      </c>
      <c r="AZ392" s="126" t="s">
        <v>4466</v>
      </c>
      <c r="BA392" s="60" t="s">
        <v>4467</v>
      </c>
      <c r="BB392" s="60" t="s">
        <v>845</v>
      </c>
      <c r="BC392" s="59" t="s">
        <v>700</v>
      </c>
      <c r="BD392" s="60" t="s">
        <v>4468</v>
      </c>
      <c r="BE392" s="60"/>
      <c r="BF392" s="60"/>
      <c r="BG392" s="59" t="s">
        <v>4465</v>
      </c>
      <c r="BH392" s="60" t="s">
        <v>3435</v>
      </c>
      <c r="BI392" s="60" t="s">
        <v>2105</v>
      </c>
      <c r="BJ392" s="24" t="s">
        <v>1101</v>
      </c>
      <c r="BK392" s="59" t="s">
        <v>1090</v>
      </c>
      <c r="BL392" s="59" t="s">
        <v>156</v>
      </c>
      <c r="BM392" s="62"/>
      <c r="BN392" s="62"/>
      <c r="BO392" s="59"/>
      <c r="BP392" s="59"/>
      <c r="BQ392" s="77"/>
      <c r="BR392" s="60"/>
      <c r="BS392" s="60"/>
      <c r="BT392" s="59"/>
      <c r="BU392" s="60"/>
      <c r="BV392" s="60"/>
      <c r="BW392" s="59"/>
      <c r="BX392" s="60"/>
      <c r="BY392" s="60"/>
      <c r="BZ392" s="59"/>
      <c r="CA392" s="59"/>
      <c r="CB392" s="59"/>
      <c r="CC392" s="59"/>
      <c r="CD392" s="59"/>
      <c r="CE392" s="59" t="s">
        <v>7654</v>
      </c>
      <c r="CF392" s="60" t="s">
        <v>3435</v>
      </c>
      <c r="CG392" s="59" t="s">
        <v>6491</v>
      </c>
      <c r="CH392" s="59" t="s">
        <v>6945</v>
      </c>
      <c r="CI392" s="59" t="s">
        <v>122</v>
      </c>
      <c r="CJ392" s="59" t="s">
        <v>111</v>
      </c>
      <c r="CK392" s="47"/>
      <c r="CL392" s="64" t="str">
        <f t="shared" ref="CL392:CL455" ca="1" si="6">DATEDIF(S392,NOW(),"Y")&amp;" Tahun " &amp;DATEDIF(S392,NOW(),"YM")&amp;" Bulan " &amp;DATEDIF(S392,NOW(),"MD")&amp;" Hari"</f>
        <v>20 Tahun 2 Bulan 28 Hari</v>
      </c>
      <c r="CM39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Cihuni RT/RW 01/01 Desa/Kelurahan Margamekar Kecamatan Sumedang Selatan Sumedang Jawa Barat </v>
      </c>
    </row>
    <row r="393" spans="1:91" ht="24.95" customHeight="1">
      <c r="A393" s="58">
        <f>SUBTOTAL(3,N$8:Table2[[#This Row],[Nama lengkap]])</f>
        <v>386</v>
      </c>
      <c r="B393" s="58" t="s">
        <v>86</v>
      </c>
      <c r="C393" s="58">
        <v>2017</v>
      </c>
      <c r="D393" s="58"/>
      <c r="E393" s="58">
        <v>6</v>
      </c>
      <c r="F393" s="58" t="s">
        <v>4192</v>
      </c>
      <c r="G393" s="32" t="s">
        <v>2513</v>
      </c>
      <c r="H393" s="32" t="s">
        <v>2513</v>
      </c>
      <c r="I393" s="32" t="s">
        <v>2513</v>
      </c>
      <c r="J393" s="32"/>
      <c r="K393" s="32"/>
      <c r="L393" s="32"/>
      <c r="M393" s="58">
        <v>17180152</v>
      </c>
      <c r="N393" s="24" t="s">
        <v>6157</v>
      </c>
      <c r="O393" s="24"/>
      <c r="P393" s="25" t="s">
        <v>4470</v>
      </c>
      <c r="Q393" s="25" t="s">
        <v>4471</v>
      </c>
      <c r="R393" s="60" t="s">
        <v>90</v>
      </c>
      <c r="S393" s="61" t="s">
        <v>4472</v>
      </c>
      <c r="T393" s="47" t="s">
        <v>92</v>
      </c>
      <c r="U393" s="47">
        <v>3</v>
      </c>
      <c r="V393" s="47">
        <v>4</v>
      </c>
      <c r="W393" s="47" t="s">
        <v>207</v>
      </c>
      <c r="X393" s="59"/>
      <c r="Y393" s="59"/>
      <c r="Z393" s="59" t="s">
        <v>707</v>
      </c>
      <c r="AA393" s="59" t="s">
        <v>96</v>
      </c>
      <c r="AB393" s="59" t="s">
        <v>689</v>
      </c>
      <c r="AC393" s="59" t="s">
        <v>208</v>
      </c>
      <c r="AD393" s="59" t="s">
        <v>208</v>
      </c>
      <c r="AE393" s="60" t="s">
        <v>4092</v>
      </c>
      <c r="AF393" s="59" t="s">
        <v>8632</v>
      </c>
      <c r="AG393" s="59" t="s">
        <v>8633</v>
      </c>
      <c r="AH393" s="59" t="s">
        <v>2844</v>
      </c>
      <c r="AI393" s="59" t="s">
        <v>90</v>
      </c>
      <c r="AJ393" s="61" t="s">
        <v>4473</v>
      </c>
      <c r="AK393" s="60" t="s">
        <v>4093</v>
      </c>
      <c r="AL393" s="60" t="s">
        <v>114</v>
      </c>
      <c r="AM393" s="59" t="s">
        <v>800</v>
      </c>
      <c r="AN393" s="60" t="s">
        <v>4474</v>
      </c>
      <c r="AO393" s="60"/>
      <c r="AP393" s="59" t="s">
        <v>4475</v>
      </c>
      <c r="AQ393" s="25" t="s">
        <v>1334</v>
      </c>
      <c r="AR393" s="60" t="s">
        <v>1335</v>
      </c>
      <c r="AS393" s="59" t="s">
        <v>1336</v>
      </c>
      <c r="AT393" s="59" t="s">
        <v>1706</v>
      </c>
      <c r="AU393" s="59" t="s">
        <v>111</v>
      </c>
      <c r="AV393" s="62"/>
      <c r="AW393" s="59" t="s">
        <v>8101</v>
      </c>
      <c r="AX393" s="59" t="s">
        <v>2844</v>
      </c>
      <c r="AY393" s="59" t="s">
        <v>623</v>
      </c>
      <c r="AZ393" s="126" t="s">
        <v>4476</v>
      </c>
      <c r="BA393" s="60" t="s">
        <v>4095</v>
      </c>
      <c r="BB393" s="60" t="s">
        <v>845</v>
      </c>
      <c r="BC393" s="59" t="s">
        <v>800</v>
      </c>
      <c r="BD393" s="60" t="s">
        <v>4477</v>
      </c>
      <c r="BE393" s="60"/>
      <c r="BF393" s="60"/>
      <c r="BG393" s="59" t="s">
        <v>4475</v>
      </c>
      <c r="BH393" s="60" t="s">
        <v>1334</v>
      </c>
      <c r="BI393" s="60" t="s">
        <v>1335</v>
      </c>
      <c r="BJ393" s="24" t="s">
        <v>1336</v>
      </c>
      <c r="BK393" s="59" t="s">
        <v>1706</v>
      </c>
      <c r="BL393" s="59" t="s">
        <v>156</v>
      </c>
      <c r="BM393" s="62"/>
      <c r="BN393" s="62"/>
      <c r="BO393" s="59"/>
      <c r="BP393" s="59"/>
      <c r="BQ393" s="77"/>
      <c r="BR393" s="60"/>
      <c r="BS393" s="60"/>
      <c r="BT393" s="59"/>
      <c r="BU393" s="60"/>
      <c r="BV393" s="60"/>
      <c r="BW393" s="59"/>
      <c r="BX393" s="60"/>
      <c r="BY393" s="60"/>
      <c r="BZ393" s="59"/>
      <c r="CA393" s="59"/>
      <c r="CB393" s="59"/>
      <c r="CC393" s="59"/>
      <c r="CD393" s="59"/>
      <c r="CE393" s="59" t="s">
        <v>7655</v>
      </c>
      <c r="CF393" s="60" t="s">
        <v>1334</v>
      </c>
      <c r="CG393" s="59" t="s">
        <v>7068</v>
      </c>
      <c r="CH393" s="59" t="s">
        <v>7069</v>
      </c>
      <c r="CI393" s="59" t="s">
        <v>644</v>
      </c>
      <c r="CJ393" s="59" t="s">
        <v>111</v>
      </c>
      <c r="CK393" s="47"/>
      <c r="CL393" s="64" t="str">
        <f t="shared" ca="1" si="6"/>
        <v>21 Tahun 10 Bulan 7 Hari</v>
      </c>
      <c r="CM39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Jl.Karapitan Iii 107-36A RT/RW 02/06 Desa/Kelurahan Paledang Kecamatan Lengkong Kota Bandung Jawa Barat </v>
      </c>
    </row>
    <row r="394" spans="1:91" ht="24.95" customHeight="1">
      <c r="A394" s="58">
        <f>SUBTOTAL(3,N$8:Table2[[#This Row],[Nama lengkap]])</f>
        <v>387</v>
      </c>
      <c r="B394" s="58" t="s">
        <v>86</v>
      </c>
      <c r="C394" s="58">
        <v>2018</v>
      </c>
      <c r="D394" s="58"/>
      <c r="E394" s="58">
        <v>6</v>
      </c>
      <c r="F394" s="58" t="s">
        <v>4192</v>
      </c>
      <c r="G394" s="32" t="s">
        <v>2513</v>
      </c>
      <c r="H394" s="32" t="s">
        <v>2513</v>
      </c>
      <c r="I394" s="32" t="s">
        <v>2513</v>
      </c>
      <c r="J394" s="32"/>
      <c r="K394" s="32"/>
      <c r="L394" s="32"/>
      <c r="M394" s="58">
        <v>18190225</v>
      </c>
      <c r="N394" s="24" t="s">
        <v>8864</v>
      </c>
      <c r="O394" s="24"/>
      <c r="P394" s="25" t="s">
        <v>4479</v>
      </c>
      <c r="Q394" s="25" t="s">
        <v>4480</v>
      </c>
      <c r="R394" s="60" t="s">
        <v>90</v>
      </c>
      <c r="S394" s="61" t="s">
        <v>4481</v>
      </c>
      <c r="T394" s="47" t="s">
        <v>92</v>
      </c>
      <c r="U394" s="47">
        <v>3</v>
      </c>
      <c r="V394" s="47">
        <v>3</v>
      </c>
      <c r="W394" s="47" t="s">
        <v>207</v>
      </c>
      <c r="X394" s="59"/>
      <c r="Y394" s="59"/>
      <c r="Z394" s="59" t="s">
        <v>4482</v>
      </c>
      <c r="AA394" s="59" t="s">
        <v>96</v>
      </c>
      <c r="AB394" s="59" t="s">
        <v>4483</v>
      </c>
      <c r="AC394" s="59" t="s">
        <v>208</v>
      </c>
      <c r="AD394" s="59" t="s">
        <v>208</v>
      </c>
      <c r="AE394" s="60" t="s">
        <v>4484</v>
      </c>
      <c r="AF394" s="60" t="s">
        <v>8634</v>
      </c>
      <c r="AG394" s="59" t="s">
        <v>8635</v>
      </c>
      <c r="AH394" s="59" t="s">
        <v>2222</v>
      </c>
      <c r="AI394" s="59"/>
      <c r="AJ394" s="61" t="s">
        <v>4351</v>
      </c>
      <c r="AK394" s="60" t="s">
        <v>4351</v>
      </c>
      <c r="AL394" s="60"/>
      <c r="AM394" s="59"/>
      <c r="AN394" s="60"/>
      <c r="AO394" s="60"/>
      <c r="AP394" s="59" t="s">
        <v>4351</v>
      </c>
      <c r="AQ394" s="25"/>
      <c r="AR394" s="60" t="s">
        <v>4351</v>
      </c>
      <c r="AS394" s="59" t="s">
        <v>4351</v>
      </c>
      <c r="AT394" s="59" t="s">
        <v>4351</v>
      </c>
      <c r="AU394" s="59" t="s">
        <v>111</v>
      </c>
      <c r="AV394" s="62"/>
      <c r="AW394" s="59" t="s">
        <v>8135</v>
      </c>
      <c r="AX394" s="59" t="s">
        <v>2844</v>
      </c>
      <c r="AY394" s="59" t="s">
        <v>90</v>
      </c>
      <c r="AZ394" s="126" t="s">
        <v>4485</v>
      </c>
      <c r="BA394" s="60" t="s">
        <v>4486</v>
      </c>
      <c r="BB394" s="60" t="s">
        <v>845</v>
      </c>
      <c r="BC394" s="59" t="s">
        <v>4305</v>
      </c>
      <c r="BD394" s="60" t="s">
        <v>4487</v>
      </c>
      <c r="BE394" s="60"/>
      <c r="BF394" s="60"/>
      <c r="BG394" s="59" t="s">
        <v>4488</v>
      </c>
      <c r="BH394" s="60" t="s">
        <v>1539</v>
      </c>
      <c r="BI394" s="60" t="s">
        <v>3380</v>
      </c>
      <c r="BJ394" s="24" t="s">
        <v>618</v>
      </c>
      <c r="BK394" s="59" t="s">
        <v>141</v>
      </c>
      <c r="BL394" s="59" t="s">
        <v>156</v>
      </c>
      <c r="BM394" s="62"/>
      <c r="BN394" s="62"/>
      <c r="BO394" s="59"/>
      <c r="BP394" s="59"/>
      <c r="BQ394" s="77"/>
      <c r="BR394" s="60"/>
      <c r="BS394" s="60"/>
      <c r="BT394" s="59"/>
      <c r="BU394" s="60"/>
      <c r="BV394" s="60"/>
      <c r="BW394" s="59"/>
      <c r="BX394" s="60"/>
      <c r="BY394" s="60"/>
      <c r="BZ394" s="59"/>
      <c r="CA394" s="59"/>
      <c r="CB394" s="59"/>
      <c r="CC394" s="59"/>
      <c r="CD394" s="59"/>
      <c r="CE394" s="59" t="s">
        <v>7358</v>
      </c>
      <c r="CF394" s="60" t="s">
        <v>1539</v>
      </c>
      <c r="CG394" s="60" t="s">
        <v>617</v>
      </c>
      <c r="CH394" s="24" t="s">
        <v>507</v>
      </c>
      <c r="CI394" s="59" t="s">
        <v>90</v>
      </c>
      <c r="CJ394" s="59" t="s">
        <v>111</v>
      </c>
      <c r="CK394" s="47"/>
      <c r="CL394" s="64" t="str">
        <f t="shared" ca="1" si="6"/>
        <v>20 Tahun 3 Bulan 1 Hari</v>
      </c>
      <c r="CM39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Kp.Citeureup RT/RW 03/09 Desa/Kelurahan Neglasari Kecamatan Banjaran Bandung Jawa Barat </v>
      </c>
    </row>
    <row r="395" spans="1:91" ht="24.95" customHeight="1">
      <c r="A395" s="58">
        <f>SUBTOTAL(3,N$8:Table2[[#This Row],[Nama lengkap]])</f>
        <v>388</v>
      </c>
      <c r="B395" s="58" t="s">
        <v>86</v>
      </c>
      <c r="C395" s="58">
        <v>2018</v>
      </c>
      <c r="D395" s="58"/>
      <c r="E395" s="58">
        <v>6</v>
      </c>
      <c r="F395" s="58" t="s">
        <v>4489</v>
      </c>
      <c r="G395" s="32" t="s">
        <v>2513</v>
      </c>
      <c r="H395" s="32" t="s">
        <v>2513</v>
      </c>
      <c r="I395" s="32" t="s">
        <v>2513</v>
      </c>
      <c r="J395" s="32"/>
      <c r="K395" s="32"/>
      <c r="L395" s="32"/>
      <c r="M395" s="58">
        <v>18190139</v>
      </c>
      <c r="N395" s="24" t="s">
        <v>6159</v>
      </c>
      <c r="O395" s="24"/>
      <c r="P395" s="25" t="s">
        <v>4491</v>
      </c>
      <c r="Q395" s="25" t="s">
        <v>4492</v>
      </c>
      <c r="R395" s="60" t="s">
        <v>90</v>
      </c>
      <c r="S395" s="61" t="s">
        <v>4493</v>
      </c>
      <c r="T395" s="47" t="s">
        <v>92</v>
      </c>
      <c r="U395" s="47">
        <v>1</v>
      </c>
      <c r="V395" s="47">
        <v>2</v>
      </c>
      <c r="W395" s="47" t="s">
        <v>207</v>
      </c>
      <c r="X395" s="59"/>
      <c r="Y395" s="59" t="s">
        <v>4494</v>
      </c>
      <c r="Z395" s="59" t="s">
        <v>4495</v>
      </c>
      <c r="AA395" s="59" t="s">
        <v>96</v>
      </c>
      <c r="AB395" s="59"/>
      <c r="AC395" s="59" t="s">
        <v>208</v>
      </c>
      <c r="AD395" s="59" t="s">
        <v>208</v>
      </c>
      <c r="AE395" s="60" t="s">
        <v>4496</v>
      </c>
      <c r="AF395" s="60" t="s">
        <v>8136</v>
      </c>
      <c r="AG395" s="59" t="s">
        <v>8636</v>
      </c>
      <c r="AH395" s="59" t="s">
        <v>2222</v>
      </c>
      <c r="AI395" s="59"/>
      <c r="AJ395" s="61" t="s">
        <v>4351</v>
      </c>
      <c r="AK395" s="60" t="s">
        <v>4351</v>
      </c>
      <c r="AL395" s="60"/>
      <c r="AM395" s="59"/>
      <c r="AN395" s="60"/>
      <c r="AO395" s="60"/>
      <c r="AP395" s="59" t="s">
        <v>4351</v>
      </c>
      <c r="AQ395" s="25"/>
      <c r="AR395" s="60" t="s">
        <v>4351</v>
      </c>
      <c r="AS395" s="59" t="s">
        <v>4351</v>
      </c>
      <c r="AT395" s="59" t="s">
        <v>4351</v>
      </c>
      <c r="AU395" s="59" t="s">
        <v>111</v>
      </c>
      <c r="AV395" s="62"/>
      <c r="AW395" s="59" t="s">
        <v>8136</v>
      </c>
      <c r="AX395" s="59" t="s">
        <v>1153</v>
      </c>
      <c r="AY395" s="59" t="s">
        <v>90</v>
      </c>
      <c r="AZ395" s="126">
        <v>29682</v>
      </c>
      <c r="BA395" s="60" t="s">
        <v>4497</v>
      </c>
      <c r="BB395" s="60" t="s">
        <v>845</v>
      </c>
      <c r="BC395" s="59" t="s">
        <v>800</v>
      </c>
      <c r="BD395" s="60" t="s">
        <v>4498</v>
      </c>
      <c r="BE395" s="60"/>
      <c r="BF395" s="60"/>
      <c r="BG395" s="59" t="s">
        <v>4499</v>
      </c>
      <c r="BH395" s="60" t="s">
        <v>1174</v>
      </c>
      <c r="BI395" s="60" t="s">
        <v>993</v>
      </c>
      <c r="BJ395" s="24" t="s">
        <v>994</v>
      </c>
      <c r="BK395" s="59" t="s">
        <v>141</v>
      </c>
      <c r="BL395" s="59" t="s">
        <v>156</v>
      </c>
      <c r="BM395" s="62"/>
      <c r="BN395" s="62"/>
      <c r="BO395" s="59"/>
      <c r="BP395" s="59"/>
      <c r="BQ395" s="77"/>
      <c r="BR395" s="60"/>
      <c r="BS395" s="60"/>
      <c r="BT395" s="59"/>
      <c r="BU395" s="60"/>
      <c r="BV395" s="60"/>
      <c r="BW395" s="59"/>
      <c r="BX395" s="60"/>
      <c r="BY395" s="60"/>
      <c r="BZ395" s="59"/>
      <c r="CA395" s="59"/>
      <c r="CB395" s="59"/>
      <c r="CC395" s="59"/>
      <c r="CD395" s="59"/>
      <c r="CE395" s="59" t="s">
        <v>7656</v>
      </c>
      <c r="CF395" s="60" t="s">
        <v>1174</v>
      </c>
      <c r="CG395" s="60" t="s">
        <v>7041</v>
      </c>
      <c r="CH395" s="24" t="s">
        <v>7042</v>
      </c>
      <c r="CI395" s="59" t="s">
        <v>90</v>
      </c>
      <c r="CJ395" s="59" t="s">
        <v>111</v>
      </c>
      <c r="CK395" s="47"/>
      <c r="CL395" s="64" t="str">
        <f t="shared" ca="1" si="6"/>
        <v>20 Tahun 1 Bulan 11 Hari</v>
      </c>
      <c r="CM39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Jl.Sadang No.122 RT/RW 01/09 Desa/Kelurahan Margahayu Tengah Kecamatan Margahayu Bandung Jawa Barat </v>
      </c>
    </row>
    <row r="396" spans="1:91" ht="24.95" customHeight="1">
      <c r="A396" s="58">
        <f>SUBTOTAL(3,N$8:Table2[[#This Row],[Nama lengkap]])</f>
        <v>389</v>
      </c>
      <c r="B396" s="58" t="s">
        <v>86</v>
      </c>
      <c r="C396" s="58">
        <v>2017</v>
      </c>
      <c r="D396" s="58"/>
      <c r="E396" s="58">
        <v>6</v>
      </c>
      <c r="F396" s="58" t="s">
        <v>4489</v>
      </c>
      <c r="G396" s="32" t="s">
        <v>2513</v>
      </c>
      <c r="H396" s="32" t="s">
        <v>2513</v>
      </c>
      <c r="I396" s="32" t="s">
        <v>2513</v>
      </c>
      <c r="J396" s="32"/>
      <c r="K396" s="32"/>
      <c r="L396" s="32"/>
      <c r="M396" s="58">
        <v>17180104</v>
      </c>
      <c r="N396" s="24" t="s">
        <v>6160</v>
      </c>
      <c r="O396" s="24"/>
      <c r="P396" s="25" t="s">
        <v>8988</v>
      </c>
      <c r="Q396" s="25" t="s">
        <v>4501</v>
      </c>
      <c r="R396" s="60" t="s">
        <v>90</v>
      </c>
      <c r="S396" s="61" t="s">
        <v>4502</v>
      </c>
      <c r="T396" s="47" t="s">
        <v>92</v>
      </c>
      <c r="U396" s="47">
        <v>2</v>
      </c>
      <c r="V396" s="47">
        <v>2</v>
      </c>
      <c r="W396" s="47" t="s">
        <v>207</v>
      </c>
      <c r="X396" s="59"/>
      <c r="Y396" s="59" t="s">
        <v>1247</v>
      </c>
      <c r="Z396" s="59" t="s">
        <v>707</v>
      </c>
      <c r="AA396" s="59" t="s">
        <v>96</v>
      </c>
      <c r="AB396" s="59" t="s">
        <v>689</v>
      </c>
      <c r="AC396" s="59" t="s">
        <v>208</v>
      </c>
      <c r="AD396" s="59" t="s">
        <v>208</v>
      </c>
      <c r="AE396" s="60" t="s">
        <v>4503</v>
      </c>
      <c r="AF396" s="59" t="s">
        <v>8637</v>
      </c>
      <c r="AG396" s="59" t="s">
        <v>8637</v>
      </c>
      <c r="AH396" s="59" t="s">
        <v>2844</v>
      </c>
      <c r="AI396" s="59" t="s">
        <v>8286</v>
      </c>
      <c r="AJ396" s="61">
        <v>25680</v>
      </c>
      <c r="AK396" s="60" t="s">
        <v>4504</v>
      </c>
      <c r="AL396" s="60" t="s">
        <v>602</v>
      </c>
      <c r="AM396" s="59" t="s">
        <v>800</v>
      </c>
      <c r="AN396" s="60"/>
      <c r="AO396" s="60"/>
      <c r="AP396" s="59" t="s">
        <v>4505</v>
      </c>
      <c r="AQ396" s="25" t="s">
        <v>1277</v>
      </c>
      <c r="AR396" s="60" t="s">
        <v>4506</v>
      </c>
      <c r="AS396" s="59" t="s">
        <v>2294</v>
      </c>
      <c r="AT396" s="59" t="s">
        <v>1090</v>
      </c>
      <c r="AU396" s="59" t="s">
        <v>111</v>
      </c>
      <c r="AV396" s="62"/>
      <c r="AW396" s="59" t="s">
        <v>8137</v>
      </c>
      <c r="AX396" s="59" t="s">
        <v>2844</v>
      </c>
      <c r="AY396" s="59" t="s">
        <v>90</v>
      </c>
      <c r="AZ396" s="126">
        <v>26560</v>
      </c>
      <c r="BA396" s="60" t="s">
        <v>4507</v>
      </c>
      <c r="BB396" s="60" t="s">
        <v>845</v>
      </c>
      <c r="BC396" s="59" t="s">
        <v>800</v>
      </c>
      <c r="BD396" s="60" t="s">
        <v>4508</v>
      </c>
      <c r="BE396" s="60"/>
      <c r="BF396" s="60"/>
      <c r="BG396" s="59" t="s">
        <v>4505</v>
      </c>
      <c r="BH396" s="60" t="s">
        <v>1277</v>
      </c>
      <c r="BI396" s="60" t="s">
        <v>4506</v>
      </c>
      <c r="BJ396" s="24" t="s">
        <v>2294</v>
      </c>
      <c r="BK396" s="59" t="s">
        <v>1090</v>
      </c>
      <c r="BL396" s="59" t="s">
        <v>156</v>
      </c>
      <c r="BM396" s="62"/>
      <c r="BN396" s="62"/>
      <c r="BO396" s="59"/>
      <c r="BP396" s="59"/>
      <c r="BQ396" s="77"/>
      <c r="BR396" s="60"/>
      <c r="BS396" s="60"/>
      <c r="BT396" s="59"/>
      <c r="BU396" s="60"/>
      <c r="BV396" s="60"/>
      <c r="BW396" s="59"/>
      <c r="BX396" s="60"/>
      <c r="BY396" s="60"/>
      <c r="BZ396" s="59"/>
      <c r="CA396" s="59"/>
      <c r="CB396" s="59"/>
      <c r="CC396" s="59"/>
      <c r="CD396" s="59"/>
      <c r="CE396" s="59" t="s">
        <v>7657</v>
      </c>
      <c r="CF396" s="60" t="s">
        <v>1277</v>
      </c>
      <c r="CG396" s="59" t="s">
        <v>7276</v>
      </c>
      <c r="CH396" s="59" t="s">
        <v>593</v>
      </c>
      <c r="CI396" s="59" t="s">
        <v>122</v>
      </c>
      <c r="CJ396" s="59" t="s">
        <v>111</v>
      </c>
      <c r="CK396" s="47"/>
      <c r="CL396" s="64" t="str">
        <f t="shared" ca="1" si="6"/>
        <v>21 Tahun 1 Bulan 25 Hari</v>
      </c>
      <c r="CM39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Perum Citra Mas RT/RW 01/15 Desa/Kelurahan Gunungmanik Kecamatan Tanjungsari Sumedang Jawa Barat </v>
      </c>
    </row>
    <row r="397" spans="1:91" ht="24.95" customHeight="1">
      <c r="A397" s="58">
        <f>SUBTOTAL(3,N$8:Table2[[#This Row],[Nama lengkap]])</f>
        <v>390</v>
      </c>
      <c r="B397" s="58" t="s">
        <v>86</v>
      </c>
      <c r="C397" s="58">
        <v>2019</v>
      </c>
      <c r="D397" s="58"/>
      <c r="E397" s="58">
        <v>6</v>
      </c>
      <c r="F397" s="58" t="s">
        <v>4489</v>
      </c>
      <c r="G397" s="32" t="s">
        <v>2513</v>
      </c>
      <c r="H397" s="32" t="s">
        <v>2513</v>
      </c>
      <c r="I397" s="32" t="s">
        <v>2513</v>
      </c>
      <c r="J397" s="32"/>
      <c r="K397" s="32"/>
      <c r="L397" s="32"/>
      <c r="M397" s="58">
        <v>19200201</v>
      </c>
      <c r="N397" s="24" t="s">
        <v>6161</v>
      </c>
      <c r="O397" s="24"/>
      <c r="P397" s="25" t="s">
        <v>4510</v>
      </c>
      <c r="Q397" s="25" t="s">
        <v>4511</v>
      </c>
      <c r="R397" s="60" t="s">
        <v>90</v>
      </c>
      <c r="S397" s="61" t="s">
        <v>4512</v>
      </c>
      <c r="T397" s="47" t="s">
        <v>92</v>
      </c>
      <c r="U397" s="47">
        <v>1</v>
      </c>
      <c r="V397" s="47">
        <v>2</v>
      </c>
      <c r="W397" s="47" t="s">
        <v>207</v>
      </c>
      <c r="X397" s="59"/>
      <c r="Y397" s="59" t="s">
        <v>1247</v>
      </c>
      <c r="Z397" s="59" t="s">
        <v>707</v>
      </c>
      <c r="AA397" s="59" t="s">
        <v>1141</v>
      </c>
      <c r="AB397" s="59" t="s">
        <v>689</v>
      </c>
      <c r="AC397" s="59" t="s">
        <v>208</v>
      </c>
      <c r="AD397" s="59" t="s">
        <v>208</v>
      </c>
      <c r="AE397" s="60" t="s">
        <v>4513</v>
      </c>
      <c r="AF397" s="59" t="s">
        <v>8638</v>
      </c>
      <c r="AG397" s="59" t="s">
        <v>8638</v>
      </c>
      <c r="AH397" s="59" t="s">
        <v>2844</v>
      </c>
      <c r="AI397" s="59" t="s">
        <v>135</v>
      </c>
      <c r="AJ397" s="61">
        <v>28076</v>
      </c>
      <c r="AK397" s="60" t="s">
        <v>4514</v>
      </c>
      <c r="AL397" s="60" t="s">
        <v>602</v>
      </c>
      <c r="AM397" s="59" t="s">
        <v>800</v>
      </c>
      <c r="AN397" s="60"/>
      <c r="AO397" s="60"/>
      <c r="AP397" s="59" t="s">
        <v>4488</v>
      </c>
      <c r="AQ397" s="25" t="s">
        <v>1356</v>
      </c>
      <c r="AR397" s="60" t="s">
        <v>3380</v>
      </c>
      <c r="AS397" s="59" t="s">
        <v>618</v>
      </c>
      <c r="AT397" s="59" t="s">
        <v>141</v>
      </c>
      <c r="AU397" s="59" t="s">
        <v>111</v>
      </c>
      <c r="AV397" s="62"/>
      <c r="AW397" s="59" t="s">
        <v>8138</v>
      </c>
      <c r="AX397" s="59" t="s">
        <v>2844</v>
      </c>
      <c r="AY397" s="59" t="s">
        <v>90</v>
      </c>
      <c r="AZ397" s="126">
        <v>29406</v>
      </c>
      <c r="BA397" s="60" t="s">
        <v>4515</v>
      </c>
      <c r="BB397" s="60" t="s">
        <v>845</v>
      </c>
      <c r="BC397" s="59" t="s">
        <v>700</v>
      </c>
      <c r="BD397" s="60" t="s">
        <v>4516</v>
      </c>
      <c r="BE397" s="60"/>
      <c r="BF397" s="60"/>
      <c r="BG397" s="59" t="s">
        <v>4488</v>
      </c>
      <c r="BH397" s="60" t="s">
        <v>1356</v>
      </c>
      <c r="BI397" s="60" t="s">
        <v>3380</v>
      </c>
      <c r="BJ397" s="24" t="s">
        <v>618</v>
      </c>
      <c r="BK397" s="59" t="s">
        <v>141</v>
      </c>
      <c r="BL397" s="59" t="s">
        <v>156</v>
      </c>
      <c r="BM397" s="62"/>
      <c r="BN397" s="62"/>
      <c r="BO397" s="59"/>
      <c r="BP397" s="59"/>
      <c r="BQ397" s="77"/>
      <c r="BR397" s="60"/>
      <c r="BS397" s="60"/>
      <c r="BT397" s="59"/>
      <c r="BU397" s="60"/>
      <c r="BV397" s="60"/>
      <c r="BW397" s="59"/>
      <c r="BX397" s="60"/>
      <c r="BY397" s="60"/>
      <c r="BZ397" s="59"/>
      <c r="CA397" s="59"/>
      <c r="CB397" s="59"/>
      <c r="CC397" s="59"/>
      <c r="CD397" s="59"/>
      <c r="CE397" s="59" t="s">
        <v>7358</v>
      </c>
      <c r="CF397" s="60" t="s">
        <v>1356</v>
      </c>
      <c r="CG397" s="59" t="s">
        <v>617</v>
      </c>
      <c r="CH397" s="59" t="s">
        <v>507</v>
      </c>
      <c r="CI397" s="59" t="s">
        <v>90</v>
      </c>
      <c r="CJ397" s="59" t="s">
        <v>111</v>
      </c>
      <c r="CK397" s="47"/>
      <c r="CL397" s="64" t="str">
        <f t="shared" ca="1" si="6"/>
        <v>22 Tahun 0 Bulan 11 Hari</v>
      </c>
      <c r="CM39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Kp.Citeureup RT/RW 03/11 Desa/Kelurahan Neglasari Kecamatan Banjaran Bandung Jawa Barat </v>
      </c>
    </row>
    <row r="398" spans="1:91" ht="24.95" customHeight="1">
      <c r="A398" s="58">
        <f>SUBTOTAL(3,N$8:Table2[[#This Row],[Nama lengkap]])</f>
        <v>391</v>
      </c>
      <c r="B398" s="58" t="s">
        <v>86</v>
      </c>
      <c r="C398" s="58">
        <v>2018</v>
      </c>
      <c r="D398" s="58"/>
      <c r="E398" s="58">
        <v>6</v>
      </c>
      <c r="F398" s="58" t="s">
        <v>4489</v>
      </c>
      <c r="G398" s="32" t="s">
        <v>2513</v>
      </c>
      <c r="H398" s="32" t="s">
        <v>2513</v>
      </c>
      <c r="I398" s="32" t="s">
        <v>2513</v>
      </c>
      <c r="J398" s="32"/>
      <c r="K398" s="32"/>
      <c r="L398" s="32"/>
      <c r="M398" s="58">
        <v>18190154</v>
      </c>
      <c r="N398" s="24" t="s">
        <v>6162</v>
      </c>
      <c r="O398" s="24"/>
      <c r="P398" s="25" t="s">
        <v>4518</v>
      </c>
      <c r="Q398" s="25" t="s">
        <v>4519</v>
      </c>
      <c r="R398" s="60" t="s">
        <v>6846</v>
      </c>
      <c r="S398" s="61" t="s">
        <v>4520</v>
      </c>
      <c r="T398" s="47" t="s">
        <v>92</v>
      </c>
      <c r="U398" s="47">
        <v>1</v>
      </c>
      <c r="V398" s="47">
        <v>4</v>
      </c>
      <c r="W398" s="47" t="s">
        <v>207</v>
      </c>
      <c r="X398" s="59"/>
      <c r="Y398" s="59" t="s">
        <v>1012</v>
      </c>
      <c r="Z398" s="59" t="s">
        <v>4521</v>
      </c>
      <c r="AA398" s="59" t="s">
        <v>96</v>
      </c>
      <c r="AB398" s="59" t="s">
        <v>689</v>
      </c>
      <c r="AC398" s="59" t="s">
        <v>208</v>
      </c>
      <c r="AD398" s="59" t="s">
        <v>208</v>
      </c>
      <c r="AE398" s="60" t="s">
        <v>4522</v>
      </c>
      <c r="AF398" s="59" t="s">
        <v>8639</v>
      </c>
      <c r="AG398" s="59" t="s">
        <v>8639</v>
      </c>
      <c r="AH398" s="59" t="s">
        <v>2844</v>
      </c>
      <c r="AI398" s="59" t="s">
        <v>90</v>
      </c>
      <c r="AJ398" s="61">
        <v>29512</v>
      </c>
      <c r="AK398" s="60" t="s">
        <v>4523</v>
      </c>
      <c r="AL398" s="60" t="s">
        <v>602</v>
      </c>
      <c r="AM398" s="59" t="s">
        <v>800</v>
      </c>
      <c r="AN398" s="60"/>
      <c r="AO398" s="60"/>
      <c r="AP398" s="59" t="s">
        <v>4524</v>
      </c>
      <c r="AQ398" s="25" t="s">
        <v>1017</v>
      </c>
      <c r="AR398" s="60" t="s">
        <v>4524</v>
      </c>
      <c r="AS398" s="59" t="s">
        <v>4525</v>
      </c>
      <c r="AT398" s="59" t="s">
        <v>1383</v>
      </c>
      <c r="AU398" s="59" t="s">
        <v>111</v>
      </c>
      <c r="AV398" s="62"/>
      <c r="AW398" s="59" t="s">
        <v>8139</v>
      </c>
      <c r="AX398" s="59" t="s">
        <v>2844</v>
      </c>
      <c r="AY398" s="59" t="s">
        <v>6846</v>
      </c>
      <c r="AZ398" s="126">
        <v>31516</v>
      </c>
      <c r="BA398" s="60" t="s">
        <v>4526</v>
      </c>
      <c r="BB398" s="60" t="s">
        <v>845</v>
      </c>
      <c r="BC398" s="59" t="s">
        <v>800</v>
      </c>
      <c r="BD398" s="60" t="s">
        <v>4527</v>
      </c>
      <c r="BE398" s="60"/>
      <c r="BF398" s="60"/>
      <c r="BG398" s="59" t="s">
        <v>4524</v>
      </c>
      <c r="BH398" s="60" t="s">
        <v>1017</v>
      </c>
      <c r="BI398" s="60" t="s">
        <v>4524</v>
      </c>
      <c r="BJ398" s="24" t="s">
        <v>4525</v>
      </c>
      <c r="BK398" s="59" t="s">
        <v>1383</v>
      </c>
      <c r="BL398" s="59" t="s">
        <v>156</v>
      </c>
      <c r="BM398" s="62"/>
      <c r="BN398" s="62"/>
      <c r="BO398" s="59"/>
      <c r="BP398" s="59"/>
      <c r="BQ398" s="77"/>
      <c r="BR398" s="60"/>
      <c r="BS398" s="60"/>
      <c r="BT398" s="59"/>
      <c r="BU398" s="60"/>
      <c r="BV398" s="60"/>
      <c r="BW398" s="59"/>
      <c r="BX398" s="60"/>
      <c r="BY398" s="60"/>
      <c r="BZ398" s="59"/>
      <c r="CA398" s="59"/>
      <c r="CB398" s="59"/>
      <c r="CC398" s="59"/>
      <c r="CD398" s="59"/>
      <c r="CE398" s="59" t="s">
        <v>7277</v>
      </c>
      <c r="CF398" s="60" t="s">
        <v>1017</v>
      </c>
      <c r="CG398" s="59" t="s">
        <v>7277</v>
      </c>
      <c r="CH398" s="59" t="s">
        <v>7278</v>
      </c>
      <c r="CI398" s="59" t="s">
        <v>6846</v>
      </c>
      <c r="CJ398" s="59" t="s">
        <v>111</v>
      </c>
      <c r="CK398" s="47"/>
      <c r="CL398" s="64" t="str">
        <f t="shared" ca="1" si="6"/>
        <v>19 Tahun 7 Bulan 21 Hari</v>
      </c>
      <c r="CM39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Bojong Rawalumbu RT/RW 01/04 Desa/Kelurahan Bojong Rawalumbu Kecamatan Rawalumbu Bekasi Jawa Barat </v>
      </c>
    </row>
    <row r="399" spans="1:91" ht="24.95" customHeight="1">
      <c r="A399" s="58">
        <f>SUBTOTAL(3,N$8:Table2[[#This Row],[Nama lengkap]])</f>
        <v>392</v>
      </c>
      <c r="B399" s="58" t="s">
        <v>86</v>
      </c>
      <c r="C399" s="58">
        <v>2018</v>
      </c>
      <c r="D399" s="58"/>
      <c r="E399" s="58">
        <v>6</v>
      </c>
      <c r="F399" s="58" t="s">
        <v>4489</v>
      </c>
      <c r="G399" s="32" t="s">
        <v>2513</v>
      </c>
      <c r="H399" s="32" t="s">
        <v>2513</v>
      </c>
      <c r="I399" s="32" t="s">
        <v>2513</v>
      </c>
      <c r="J399" s="32"/>
      <c r="K399" s="32"/>
      <c r="L399" s="32"/>
      <c r="M399" s="58">
        <v>18190158</v>
      </c>
      <c r="N399" s="24" t="s">
        <v>6163</v>
      </c>
      <c r="O399" s="24"/>
      <c r="P399" s="25" t="s">
        <v>8989</v>
      </c>
      <c r="Q399" s="25" t="s">
        <v>4529</v>
      </c>
      <c r="R399" s="60" t="s">
        <v>122</v>
      </c>
      <c r="S399" s="61" t="s">
        <v>4530</v>
      </c>
      <c r="T399" s="47" t="s">
        <v>92</v>
      </c>
      <c r="U399" s="47">
        <v>4</v>
      </c>
      <c r="V399" s="47">
        <v>5</v>
      </c>
      <c r="W399" s="47" t="s">
        <v>207</v>
      </c>
      <c r="X399" s="59"/>
      <c r="Y399" s="59" t="s">
        <v>793</v>
      </c>
      <c r="Z399" s="59" t="s">
        <v>707</v>
      </c>
      <c r="AA399" s="59" t="s">
        <v>96</v>
      </c>
      <c r="AB399" s="59"/>
      <c r="AC399" s="59" t="s">
        <v>208</v>
      </c>
      <c r="AD399" s="59" t="s">
        <v>208</v>
      </c>
      <c r="AE399" s="60" t="s">
        <v>4531</v>
      </c>
      <c r="AF399" s="60" t="s">
        <v>8640</v>
      </c>
      <c r="AG399" s="59" t="s">
        <v>8640</v>
      </c>
      <c r="AH399" s="59" t="s">
        <v>2844</v>
      </c>
      <c r="AI399" s="59" t="s">
        <v>6475</v>
      </c>
      <c r="AJ399" s="61">
        <v>23589</v>
      </c>
      <c r="AK399" s="60" t="s">
        <v>4532</v>
      </c>
      <c r="AL399" s="60" t="s">
        <v>5298</v>
      </c>
      <c r="AM399" s="59" t="s">
        <v>800</v>
      </c>
      <c r="AN399" s="60"/>
      <c r="AO399" s="60"/>
      <c r="AP399" s="59" t="s">
        <v>4533</v>
      </c>
      <c r="AQ399" s="25" t="s">
        <v>783</v>
      </c>
      <c r="AR399" s="60" t="s">
        <v>2134</v>
      </c>
      <c r="AS399" s="59" t="s">
        <v>1324</v>
      </c>
      <c r="AT399" s="59" t="s">
        <v>1090</v>
      </c>
      <c r="AU399" s="59" t="s">
        <v>111</v>
      </c>
      <c r="AV399" s="62"/>
      <c r="AW399" s="59" t="s">
        <v>8072</v>
      </c>
      <c r="AX399" s="59" t="s">
        <v>2844</v>
      </c>
      <c r="AY399" s="59" t="s">
        <v>6475</v>
      </c>
      <c r="AZ399" s="126">
        <v>25302</v>
      </c>
      <c r="BA399" s="60" t="s">
        <v>4534</v>
      </c>
      <c r="BB399" s="60" t="s">
        <v>845</v>
      </c>
      <c r="BC399" s="59" t="s">
        <v>800</v>
      </c>
      <c r="BD399" s="60" t="s">
        <v>4535</v>
      </c>
      <c r="BE399" s="60"/>
      <c r="BF399" s="60"/>
      <c r="BG399" s="59" t="s">
        <v>4533</v>
      </c>
      <c r="BH399" s="60" t="s">
        <v>783</v>
      </c>
      <c r="BI399" s="60" t="s">
        <v>2134</v>
      </c>
      <c r="BJ399" s="24" t="s">
        <v>1324</v>
      </c>
      <c r="BK399" s="59" t="s">
        <v>1090</v>
      </c>
      <c r="BL399" s="59" t="s">
        <v>156</v>
      </c>
      <c r="BM399" s="62"/>
      <c r="BN399" s="62"/>
      <c r="BO399" s="59"/>
      <c r="BP399" s="59"/>
      <c r="BQ399" s="77"/>
      <c r="BR399" s="60"/>
      <c r="BS399" s="60"/>
      <c r="BT399" s="59"/>
      <c r="BU399" s="60"/>
      <c r="BV399" s="60"/>
      <c r="BW399" s="59"/>
      <c r="BX399" s="60"/>
      <c r="BY399" s="60"/>
      <c r="BZ399" s="59"/>
      <c r="CA399" s="59"/>
      <c r="CB399" s="59"/>
      <c r="CC399" s="59"/>
      <c r="CD399" s="59"/>
      <c r="CE399" s="59" t="s">
        <v>7658</v>
      </c>
      <c r="CF399" s="60" t="s">
        <v>783</v>
      </c>
      <c r="CG399" s="59" t="s">
        <v>7013</v>
      </c>
      <c r="CH399" s="59" t="s">
        <v>134</v>
      </c>
      <c r="CI399" s="59" t="s">
        <v>122</v>
      </c>
      <c r="CJ399" s="59" t="s">
        <v>111</v>
      </c>
      <c r="CK399" s="47"/>
      <c r="CL399" s="64" t="str">
        <f t="shared" ca="1" si="6"/>
        <v>20 Tahun 2 Bulan 17 Hari</v>
      </c>
      <c r="CM39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Link.Cipeuteuy RT/RW 04/06 Desa/Kelurahan Situ Kecamatan Sumedang Utara Sumedang Jawa Barat </v>
      </c>
    </row>
    <row r="400" spans="1:91" ht="24.95" customHeight="1">
      <c r="A400" s="58">
        <f>SUBTOTAL(3,N$8:Table2[[#This Row],[Nama lengkap]])</f>
        <v>393</v>
      </c>
      <c r="B400" s="58" t="s">
        <v>86</v>
      </c>
      <c r="C400" s="58">
        <v>2018</v>
      </c>
      <c r="D400" s="58"/>
      <c r="E400" s="58">
        <v>6</v>
      </c>
      <c r="F400" s="58" t="s">
        <v>4489</v>
      </c>
      <c r="G400" s="32" t="s">
        <v>2513</v>
      </c>
      <c r="H400" s="32" t="s">
        <v>2513</v>
      </c>
      <c r="I400" s="32" t="s">
        <v>2513</v>
      </c>
      <c r="J400" s="32"/>
      <c r="K400" s="32"/>
      <c r="L400" s="32"/>
      <c r="M400" s="58">
        <v>18190171</v>
      </c>
      <c r="N400" s="24" t="s">
        <v>6164</v>
      </c>
      <c r="O400" s="24"/>
      <c r="P400" s="25" t="s">
        <v>4537</v>
      </c>
      <c r="Q400" s="25" t="s">
        <v>4538</v>
      </c>
      <c r="R400" s="60" t="s">
        <v>90</v>
      </c>
      <c r="S400" s="61" t="s">
        <v>4539</v>
      </c>
      <c r="T400" s="47" t="s">
        <v>92</v>
      </c>
      <c r="U400" s="47">
        <v>2</v>
      </c>
      <c r="V400" s="47">
        <v>3</v>
      </c>
      <c r="W400" s="47" t="s">
        <v>207</v>
      </c>
      <c r="X400" s="59"/>
      <c r="Y400" s="59" t="s">
        <v>4540</v>
      </c>
      <c r="Z400" s="59" t="s">
        <v>2992</v>
      </c>
      <c r="AA400" s="59" t="s">
        <v>96</v>
      </c>
      <c r="AB400" s="59"/>
      <c r="AC400" s="59" t="s">
        <v>208</v>
      </c>
      <c r="AD400" s="59" t="s">
        <v>208</v>
      </c>
      <c r="AE400" s="60" t="s">
        <v>4541</v>
      </c>
      <c r="AF400" s="60" t="s">
        <v>824</v>
      </c>
      <c r="AG400" s="59" t="s">
        <v>824</v>
      </c>
      <c r="AH400" s="59" t="s">
        <v>2844</v>
      </c>
      <c r="AI400" s="59" t="s">
        <v>90</v>
      </c>
      <c r="AJ400" s="61">
        <v>27664</v>
      </c>
      <c r="AK400" s="60" t="s">
        <v>4542</v>
      </c>
      <c r="AL400" s="60" t="s">
        <v>602</v>
      </c>
      <c r="AM400" s="59" t="s">
        <v>800</v>
      </c>
      <c r="AN400" s="60"/>
      <c r="AO400" s="60"/>
      <c r="AP400" s="59" t="s">
        <v>4543</v>
      </c>
      <c r="AQ400" s="25" t="s">
        <v>1254</v>
      </c>
      <c r="AR400" s="60" t="s">
        <v>4544</v>
      </c>
      <c r="AS400" s="59" t="s">
        <v>1529</v>
      </c>
      <c r="AT400" s="59" t="s">
        <v>141</v>
      </c>
      <c r="AU400" s="59" t="s">
        <v>111</v>
      </c>
      <c r="AV400" s="62"/>
      <c r="AW400" s="59" t="s">
        <v>8140</v>
      </c>
      <c r="AX400" s="59" t="s">
        <v>2844</v>
      </c>
      <c r="AY400" s="59" t="s">
        <v>90</v>
      </c>
      <c r="AZ400" s="126" t="s">
        <v>4545</v>
      </c>
      <c r="BA400" s="60" t="s">
        <v>4546</v>
      </c>
      <c r="BB400" s="60" t="s">
        <v>845</v>
      </c>
      <c r="BC400" s="59" t="s">
        <v>800</v>
      </c>
      <c r="BD400" s="60" t="s">
        <v>4547</v>
      </c>
      <c r="BE400" s="60"/>
      <c r="BF400" s="60"/>
      <c r="BG400" s="59" t="s">
        <v>4543</v>
      </c>
      <c r="BH400" s="60" t="s">
        <v>1254</v>
      </c>
      <c r="BI400" s="60" t="s">
        <v>4544</v>
      </c>
      <c r="BJ400" s="24" t="s">
        <v>1529</v>
      </c>
      <c r="BK400" s="59" t="s">
        <v>141</v>
      </c>
      <c r="BL400" s="59" t="s">
        <v>156</v>
      </c>
      <c r="BM400" s="62"/>
      <c r="BN400" s="62"/>
      <c r="BO400" s="59"/>
      <c r="BP400" s="59"/>
      <c r="BQ400" s="77"/>
      <c r="BR400" s="60"/>
      <c r="BS400" s="60"/>
      <c r="BT400" s="59"/>
      <c r="BU400" s="60"/>
      <c r="BV400" s="60"/>
      <c r="BW400" s="59"/>
      <c r="BX400" s="60"/>
      <c r="BY400" s="60"/>
      <c r="BZ400" s="59"/>
      <c r="CA400" s="59"/>
      <c r="CB400" s="59"/>
      <c r="CC400" s="59"/>
      <c r="CD400" s="59"/>
      <c r="CE400" s="59" t="s">
        <v>7659</v>
      </c>
      <c r="CF400" s="60" t="s">
        <v>1254</v>
      </c>
      <c r="CG400" s="59" t="s">
        <v>7279</v>
      </c>
      <c r="CH400" s="59" t="s">
        <v>4835</v>
      </c>
      <c r="CI400" s="59" t="s">
        <v>90</v>
      </c>
      <c r="CJ400" s="59" t="s">
        <v>111</v>
      </c>
      <c r="CK400" s="47"/>
      <c r="CL400" s="64" t="str">
        <f t="shared" ca="1" si="6"/>
        <v>20 Tahun 1 Bulan 14 Hari</v>
      </c>
      <c r="CM40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Perum Lebakwangi Asri Blok.D1 No.38 RT/RW 01/13 Desa/Kelurahan Lebakwangi Kecamatan Arjasari Bandung Jawa Barat </v>
      </c>
    </row>
    <row r="401" spans="1:91" ht="24.95" customHeight="1">
      <c r="A401" s="58">
        <f>SUBTOTAL(3,N$8:Table2[[#This Row],[Nama lengkap]])</f>
        <v>394</v>
      </c>
      <c r="B401" s="58" t="s">
        <v>86</v>
      </c>
      <c r="C401" s="58">
        <v>2018</v>
      </c>
      <c r="D401" s="58"/>
      <c r="E401" s="58">
        <v>6</v>
      </c>
      <c r="F401" s="58" t="s">
        <v>4489</v>
      </c>
      <c r="G401" s="32" t="s">
        <v>2513</v>
      </c>
      <c r="H401" s="32" t="s">
        <v>2513</v>
      </c>
      <c r="I401" s="32" t="s">
        <v>2513</v>
      </c>
      <c r="J401" s="32"/>
      <c r="K401" s="32"/>
      <c r="L401" s="32"/>
      <c r="M401" s="58">
        <v>18190173</v>
      </c>
      <c r="N401" s="24" t="s">
        <v>6165</v>
      </c>
      <c r="O401" s="24"/>
      <c r="P401" s="25" t="s">
        <v>4549</v>
      </c>
      <c r="Q401" s="25" t="s">
        <v>4550</v>
      </c>
      <c r="R401" s="60" t="s">
        <v>122</v>
      </c>
      <c r="S401" s="61" t="s">
        <v>4551</v>
      </c>
      <c r="T401" s="47" t="s">
        <v>92</v>
      </c>
      <c r="U401" s="47">
        <v>1</v>
      </c>
      <c r="V401" s="47">
        <v>1</v>
      </c>
      <c r="W401" s="47" t="s">
        <v>207</v>
      </c>
      <c r="X401" s="59"/>
      <c r="Y401" s="59"/>
      <c r="Z401" s="59"/>
      <c r="AA401" s="59" t="s">
        <v>96</v>
      </c>
      <c r="AB401" s="59" t="s">
        <v>689</v>
      </c>
      <c r="AC401" s="59" t="s">
        <v>208</v>
      </c>
      <c r="AD401" s="59" t="s">
        <v>208</v>
      </c>
      <c r="AE401" s="60" t="s">
        <v>4552</v>
      </c>
      <c r="AF401" s="59" t="s">
        <v>8641</v>
      </c>
      <c r="AG401" s="59" t="s">
        <v>8641</v>
      </c>
      <c r="AH401" s="59" t="s">
        <v>2844</v>
      </c>
      <c r="AI401" s="59" t="s">
        <v>90</v>
      </c>
      <c r="AJ401" s="61">
        <v>19644</v>
      </c>
      <c r="AK401" s="59" t="s">
        <v>4553</v>
      </c>
      <c r="AL401" s="59" t="s">
        <v>114</v>
      </c>
      <c r="AM401" s="59" t="s">
        <v>800</v>
      </c>
      <c r="AN401" s="59"/>
      <c r="AO401" s="59"/>
      <c r="AP401" s="59" t="s">
        <v>4554</v>
      </c>
      <c r="AQ401" s="47" t="s">
        <v>880</v>
      </c>
      <c r="AR401" s="59" t="s">
        <v>4555</v>
      </c>
      <c r="AS401" s="59" t="s">
        <v>2294</v>
      </c>
      <c r="AT401" s="59" t="s">
        <v>1090</v>
      </c>
      <c r="AU401" s="59" t="s">
        <v>111</v>
      </c>
      <c r="AV401" s="59"/>
      <c r="AW401" s="59" t="s">
        <v>8141</v>
      </c>
      <c r="AX401" s="59" t="s">
        <v>2844</v>
      </c>
      <c r="AY401" s="59" t="s">
        <v>122</v>
      </c>
      <c r="AZ401" s="126" t="s">
        <v>4556</v>
      </c>
      <c r="BA401" s="60" t="s">
        <v>4557</v>
      </c>
      <c r="BB401" s="60" t="s">
        <v>845</v>
      </c>
      <c r="BC401" s="59" t="s">
        <v>800</v>
      </c>
      <c r="BD401" s="60" t="s">
        <v>4558</v>
      </c>
      <c r="BE401" s="60"/>
      <c r="BF401" s="60"/>
      <c r="BG401" s="59" t="s">
        <v>4554</v>
      </c>
      <c r="BH401" s="60" t="s">
        <v>880</v>
      </c>
      <c r="BI401" s="60" t="s">
        <v>4555</v>
      </c>
      <c r="BJ401" s="24" t="s">
        <v>2294</v>
      </c>
      <c r="BK401" s="59" t="s">
        <v>1090</v>
      </c>
      <c r="BL401" s="59" t="s">
        <v>156</v>
      </c>
      <c r="BM401" s="62"/>
      <c r="BN401" s="62"/>
      <c r="BO401" s="59"/>
      <c r="BP401" s="59"/>
      <c r="BQ401" s="77"/>
      <c r="BR401" s="60"/>
      <c r="BS401" s="60"/>
      <c r="BT401" s="59"/>
      <c r="BU401" s="60"/>
      <c r="BV401" s="60"/>
      <c r="BW401" s="59"/>
      <c r="BX401" s="60"/>
      <c r="BY401" s="60"/>
      <c r="BZ401" s="59"/>
      <c r="CA401" s="59"/>
      <c r="CB401" s="59"/>
      <c r="CC401" s="59"/>
      <c r="CD401" s="59"/>
      <c r="CE401" s="59" t="s">
        <v>7660</v>
      </c>
      <c r="CF401" s="60" t="s">
        <v>880</v>
      </c>
      <c r="CG401" s="59" t="s">
        <v>7280</v>
      </c>
      <c r="CH401" s="59" t="s">
        <v>593</v>
      </c>
      <c r="CI401" s="59" t="s">
        <v>122</v>
      </c>
      <c r="CJ401" s="59" t="s">
        <v>111</v>
      </c>
      <c r="CK401" s="47"/>
      <c r="CL401" s="64" t="str">
        <f t="shared" ca="1" si="6"/>
        <v>20 Tahun 5 Bulan 21 Hari</v>
      </c>
      <c r="CM40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 Mariuk RT/RW 01/02 Desa/Kelurahan Margalumu Kecamatan Tanjungsari Sumedang Jawa Barat </v>
      </c>
    </row>
    <row r="402" spans="1:91" ht="24.95" customHeight="1">
      <c r="A402" s="58">
        <f>SUBTOTAL(3,N$8:Table2[[#This Row],[Nama lengkap]])</f>
        <v>395</v>
      </c>
      <c r="B402" s="58" t="s">
        <v>86</v>
      </c>
      <c r="C402" s="58">
        <v>2018</v>
      </c>
      <c r="D402" s="58"/>
      <c r="E402" s="58">
        <v>6</v>
      </c>
      <c r="F402" s="58" t="s">
        <v>4489</v>
      </c>
      <c r="G402" s="32" t="s">
        <v>2513</v>
      </c>
      <c r="H402" s="32" t="s">
        <v>2513</v>
      </c>
      <c r="I402" s="32" t="s">
        <v>2513</v>
      </c>
      <c r="J402" s="32"/>
      <c r="K402" s="32"/>
      <c r="L402" s="32"/>
      <c r="M402" s="58">
        <v>18190176</v>
      </c>
      <c r="N402" s="24" t="s">
        <v>6166</v>
      </c>
      <c r="O402" s="24"/>
      <c r="P402" s="25" t="s">
        <v>4560</v>
      </c>
      <c r="Q402" s="25" t="s">
        <v>4561</v>
      </c>
      <c r="R402" s="60" t="s">
        <v>122</v>
      </c>
      <c r="S402" s="61" t="s">
        <v>4562</v>
      </c>
      <c r="T402" s="47" t="s">
        <v>92</v>
      </c>
      <c r="U402" s="47">
        <v>3</v>
      </c>
      <c r="V402" s="47">
        <v>4</v>
      </c>
      <c r="W402" s="47" t="s">
        <v>207</v>
      </c>
      <c r="X402" s="59"/>
      <c r="Y402" s="59" t="s">
        <v>793</v>
      </c>
      <c r="Z402" s="59" t="s">
        <v>707</v>
      </c>
      <c r="AA402" s="59" t="s">
        <v>96</v>
      </c>
      <c r="AB402" s="59"/>
      <c r="AC402" s="59" t="s">
        <v>208</v>
      </c>
      <c r="AD402" s="59" t="s">
        <v>208</v>
      </c>
      <c r="AE402" s="60" t="s">
        <v>971</v>
      </c>
      <c r="AF402" s="60" t="s">
        <v>972</v>
      </c>
      <c r="AG402" s="59" t="s">
        <v>972</v>
      </c>
      <c r="AH402" s="59" t="s">
        <v>2844</v>
      </c>
      <c r="AI402" s="59" t="s">
        <v>122</v>
      </c>
      <c r="AJ402" s="61" t="s">
        <v>4563</v>
      </c>
      <c r="AK402" s="60" t="s">
        <v>973</v>
      </c>
      <c r="AL402" s="60" t="s">
        <v>602</v>
      </c>
      <c r="AM402" s="59" t="s">
        <v>800</v>
      </c>
      <c r="AN402" s="60"/>
      <c r="AO402" s="60"/>
      <c r="AP402" s="59" t="s">
        <v>3361</v>
      </c>
      <c r="AQ402" s="25" t="s">
        <v>198</v>
      </c>
      <c r="AR402" s="60" t="s">
        <v>3362</v>
      </c>
      <c r="AS402" s="59" t="s">
        <v>2173</v>
      </c>
      <c r="AT402" s="59" t="s">
        <v>1090</v>
      </c>
      <c r="AU402" s="59" t="s">
        <v>111</v>
      </c>
      <c r="AV402" s="62"/>
      <c r="AW402" s="59" t="s">
        <v>976</v>
      </c>
      <c r="AX402" s="59" t="s">
        <v>2844</v>
      </c>
      <c r="AY402" s="59" t="s">
        <v>977</v>
      </c>
      <c r="AZ402" s="126" t="s">
        <v>4564</v>
      </c>
      <c r="BA402" s="60" t="s">
        <v>978</v>
      </c>
      <c r="BB402" s="60" t="s">
        <v>845</v>
      </c>
      <c r="BC402" s="59" t="s">
        <v>700</v>
      </c>
      <c r="BD402" s="60" t="s">
        <v>4565</v>
      </c>
      <c r="BE402" s="60"/>
      <c r="BF402" s="60"/>
      <c r="BG402" s="59" t="s">
        <v>3361</v>
      </c>
      <c r="BH402" s="60" t="s">
        <v>198</v>
      </c>
      <c r="BI402" s="60" t="s">
        <v>3362</v>
      </c>
      <c r="BJ402" s="24" t="s">
        <v>2173</v>
      </c>
      <c r="BK402" s="59" t="s">
        <v>1090</v>
      </c>
      <c r="BL402" s="59" t="s">
        <v>156</v>
      </c>
      <c r="BM402" s="62"/>
      <c r="BN402" s="62"/>
      <c r="BO402" s="59"/>
      <c r="BP402" s="59"/>
      <c r="BQ402" s="77"/>
      <c r="BR402" s="60"/>
      <c r="BS402" s="60"/>
      <c r="BT402" s="59"/>
      <c r="BU402" s="60"/>
      <c r="BV402" s="60"/>
      <c r="BW402" s="59"/>
      <c r="BX402" s="60"/>
      <c r="BY402" s="60"/>
      <c r="BZ402" s="59"/>
      <c r="CA402" s="59"/>
      <c r="CB402" s="59"/>
      <c r="CC402" s="59"/>
      <c r="CD402" s="59"/>
      <c r="CE402" s="59" t="s">
        <v>974</v>
      </c>
      <c r="CF402" s="60" t="s">
        <v>198</v>
      </c>
      <c r="CG402" s="59" t="s">
        <v>975</v>
      </c>
      <c r="CH402" s="59" t="s">
        <v>561</v>
      </c>
      <c r="CI402" s="59" t="s">
        <v>122</v>
      </c>
      <c r="CJ402" s="59" t="s">
        <v>111</v>
      </c>
      <c r="CK402" s="47"/>
      <c r="CL402" s="64" t="str">
        <f t="shared" ca="1" si="6"/>
        <v>19 Tahun 9 Bulan 24 Hari</v>
      </c>
      <c r="CM40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Sirnagalih RT/RW 02/13 Desa/Kelurahan Mekargalih Kecamatan Jatinangor Sumedang Jawa Barat </v>
      </c>
    </row>
    <row r="403" spans="1:91" ht="24.95" customHeight="1">
      <c r="A403" s="58">
        <f>SUBTOTAL(3,N$8:Table2[[#This Row],[Nama lengkap]])</f>
        <v>396</v>
      </c>
      <c r="B403" s="58" t="s">
        <v>86</v>
      </c>
      <c r="C403" s="58">
        <v>2019</v>
      </c>
      <c r="D403" s="58"/>
      <c r="E403" s="58">
        <v>6</v>
      </c>
      <c r="F403" s="58" t="s">
        <v>4489</v>
      </c>
      <c r="G403" s="32" t="s">
        <v>2513</v>
      </c>
      <c r="H403" s="32" t="s">
        <v>2513</v>
      </c>
      <c r="I403" s="32" t="s">
        <v>2513</v>
      </c>
      <c r="J403" s="32"/>
      <c r="K403" s="32"/>
      <c r="L403" s="32"/>
      <c r="M403" s="58">
        <v>19200245</v>
      </c>
      <c r="N403" s="24" t="s">
        <v>6167</v>
      </c>
      <c r="O403" s="24"/>
      <c r="P403" s="25" t="s">
        <v>4566</v>
      </c>
      <c r="Q403" s="25" t="s">
        <v>4567</v>
      </c>
      <c r="R403" s="60" t="s">
        <v>3137</v>
      </c>
      <c r="S403" s="61" t="s">
        <v>3589</v>
      </c>
      <c r="T403" s="47" t="s">
        <v>92</v>
      </c>
      <c r="U403" s="47">
        <v>1</v>
      </c>
      <c r="V403" s="47">
        <v>1</v>
      </c>
      <c r="W403" s="47" t="s">
        <v>207</v>
      </c>
      <c r="X403" s="59"/>
      <c r="Y403" s="59" t="s">
        <v>4568</v>
      </c>
      <c r="Z403" s="59" t="s">
        <v>4569</v>
      </c>
      <c r="AA403" s="59" t="s">
        <v>96</v>
      </c>
      <c r="AB403" s="59" t="s">
        <v>689</v>
      </c>
      <c r="AC403" s="59" t="s">
        <v>208</v>
      </c>
      <c r="AD403" s="59" t="s">
        <v>208</v>
      </c>
      <c r="AE403" s="60" t="s">
        <v>4570</v>
      </c>
      <c r="AF403" s="60" t="s">
        <v>8642</v>
      </c>
      <c r="AG403" s="59" t="s">
        <v>8642</v>
      </c>
      <c r="AH403" s="59" t="s">
        <v>2844</v>
      </c>
      <c r="AI403" s="59" t="s">
        <v>90</v>
      </c>
      <c r="AJ403" s="61" t="s">
        <v>4571</v>
      </c>
      <c r="AK403" s="60" t="s">
        <v>4572</v>
      </c>
      <c r="AL403" s="60" t="s">
        <v>602</v>
      </c>
      <c r="AM403" s="59" t="s">
        <v>1820</v>
      </c>
      <c r="AN403" s="60"/>
      <c r="AO403" s="60"/>
      <c r="AP403" s="59" t="s">
        <v>4573</v>
      </c>
      <c r="AQ403" s="25" t="s">
        <v>1313</v>
      </c>
      <c r="AR403" s="60" t="s">
        <v>1680</v>
      </c>
      <c r="AS403" s="59" t="s">
        <v>1888</v>
      </c>
      <c r="AT403" s="59" t="s">
        <v>141</v>
      </c>
      <c r="AU403" s="59" t="s">
        <v>111</v>
      </c>
      <c r="AV403" s="62"/>
      <c r="AW403" s="59" t="s">
        <v>8142</v>
      </c>
      <c r="AX403" s="59" t="s">
        <v>2844</v>
      </c>
      <c r="AY403" s="59" t="s">
        <v>3137</v>
      </c>
      <c r="AZ403" s="126" t="s">
        <v>4574</v>
      </c>
      <c r="BA403" s="60" t="s">
        <v>4575</v>
      </c>
      <c r="BB403" s="60" t="s">
        <v>602</v>
      </c>
      <c r="BC403" s="59" t="s">
        <v>1820</v>
      </c>
      <c r="BD403" s="60" t="s">
        <v>4576</v>
      </c>
      <c r="BE403" s="60"/>
      <c r="BF403" s="60"/>
      <c r="BG403" s="59" t="s">
        <v>4573</v>
      </c>
      <c r="BH403" s="60" t="s">
        <v>1313</v>
      </c>
      <c r="BI403" s="60" t="s">
        <v>1680</v>
      </c>
      <c r="BJ403" s="24" t="s">
        <v>1888</v>
      </c>
      <c r="BK403" s="59" t="s">
        <v>141</v>
      </c>
      <c r="BL403" s="59" t="s">
        <v>156</v>
      </c>
      <c r="BM403" s="62"/>
      <c r="BN403" s="62"/>
      <c r="BO403" s="59"/>
      <c r="BP403" s="59"/>
      <c r="BQ403" s="77"/>
      <c r="BR403" s="60"/>
      <c r="BS403" s="60"/>
      <c r="BT403" s="59"/>
      <c r="BU403" s="60"/>
      <c r="BV403" s="60"/>
      <c r="BW403" s="59"/>
      <c r="BX403" s="60"/>
      <c r="BY403" s="60"/>
      <c r="BZ403" s="59"/>
      <c r="CA403" s="59"/>
      <c r="CB403" s="59"/>
      <c r="CC403" s="59"/>
      <c r="CD403" s="59"/>
      <c r="CE403" s="59" t="s">
        <v>7661</v>
      </c>
      <c r="CF403" s="60" t="s">
        <v>1313</v>
      </c>
      <c r="CG403" s="59" t="s">
        <v>7102</v>
      </c>
      <c r="CH403" s="59" t="s">
        <v>744</v>
      </c>
      <c r="CI403" s="59" t="s">
        <v>90</v>
      </c>
      <c r="CJ403" s="59" t="s">
        <v>111</v>
      </c>
      <c r="CK403" s="47"/>
      <c r="CL403" s="64" t="str">
        <f t="shared" ca="1" si="6"/>
        <v>18 Tahun 1 Bulan 8 Hari</v>
      </c>
      <c r="CM40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Perum Cijerah Ii Blok 19 Gg.Rukun Asih RT/RW 05/02 Desa/Kelurahan Gempolsari Kecamatan Bandung Kulon Bandung Jawa Barat </v>
      </c>
    </row>
    <row r="404" spans="1:91" ht="24.95" customHeight="1">
      <c r="A404" s="58">
        <f>SUBTOTAL(3,N$8:Table2[[#This Row],[Nama lengkap]])</f>
        <v>397</v>
      </c>
      <c r="B404" s="58" t="s">
        <v>86</v>
      </c>
      <c r="C404" s="58">
        <v>2018</v>
      </c>
      <c r="D404" s="58"/>
      <c r="E404" s="58">
        <v>6</v>
      </c>
      <c r="F404" s="58" t="s">
        <v>4489</v>
      </c>
      <c r="G404" s="32" t="s">
        <v>2513</v>
      </c>
      <c r="H404" s="32" t="s">
        <v>2513</v>
      </c>
      <c r="I404" s="32" t="s">
        <v>2513</v>
      </c>
      <c r="J404" s="32"/>
      <c r="K404" s="32"/>
      <c r="L404" s="32"/>
      <c r="M404" s="58">
        <v>18190181</v>
      </c>
      <c r="N404" s="24" t="s">
        <v>6168</v>
      </c>
      <c r="O404" s="24"/>
      <c r="P404" s="25" t="s">
        <v>4578</v>
      </c>
      <c r="Q404" s="25" t="s">
        <v>4579</v>
      </c>
      <c r="R404" s="60" t="s">
        <v>90</v>
      </c>
      <c r="S404" s="61" t="s">
        <v>4580</v>
      </c>
      <c r="T404" s="47" t="s">
        <v>92</v>
      </c>
      <c r="U404" s="47">
        <v>1</v>
      </c>
      <c r="V404" s="47">
        <v>3</v>
      </c>
      <c r="W404" s="47" t="s">
        <v>207</v>
      </c>
      <c r="X404" s="59"/>
      <c r="Y404" s="59" t="s">
        <v>4581</v>
      </c>
      <c r="Z404" s="59" t="s">
        <v>707</v>
      </c>
      <c r="AA404" s="59" t="s">
        <v>1141</v>
      </c>
      <c r="AB404" s="59" t="s">
        <v>689</v>
      </c>
      <c r="AC404" s="59" t="s">
        <v>208</v>
      </c>
      <c r="AD404" s="59" t="s">
        <v>208</v>
      </c>
      <c r="AE404" s="60" t="s">
        <v>4582</v>
      </c>
      <c r="AF404" s="60" t="s">
        <v>8643</v>
      </c>
      <c r="AG404" s="59" t="s">
        <v>8643</v>
      </c>
      <c r="AH404" s="59" t="s">
        <v>2844</v>
      </c>
      <c r="AI404" s="59" t="s">
        <v>90</v>
      </c>
      <c r="AJ404" s="61" t="s">
        <v>4583</v>
      </c>
      <c r="AK404" s="60" t="s">
        <v>4584</v>
      </c>
      <c r="AL404" s="60" t="s">
        <v>114</v>
      </c>
      <c r="AM404" s="59" t="s">
        <v>4585</v>
      </c>
      <c r="AN404" s="60"/>
      <c r="AO404" s="60"/>
      <c r="AP404" s="59" t="s">
        <v>4586</v>
      </c>
      <c r="AQ404" s="25" t="s">
        <v>1566</v>
      </c>
      <c r="AR404" s="60" t="s">
        <v>4587</v>
      </c>
      <c r="AS404" s="59" t="s">
        <v>1638</v>
      </c>
      <c r="AT404" s="59" t="s">
        <v>163</v>
      </c>
      <c r="AU404" s="59" t="s">
        <v>111</v>
      </c>
      <c r="AV404" s="62"/>
      <c r="AW404" s="59" t="s">
        <v>5995</v>
      </c>
      <c r="AX404" s="59" t="s">
        <v>2844</v>
      </c>
      <c r="AY404" s="59" t="s">
        <v>90</v>
      </c>
      <c r="AZ404" s="126" t="s">
        <v>4588</v>
      </c>
      <c r="BA404" s="60" t="s">
        <v>4589</v>
      </c>
      <c r="BB404" s="60" t="s">
        <v>819</v>
      </c>
      <c r="BC404" s="59" t="s">
        <v>1820</v>
      </c>
      <c r="BD404" s="60" t="s">
        <v>4590</v>
      </c>
      <c r="BE404" s="60"/>
      <c r="BF404" s="60"/>
      <c r="BG404" s="59" t="s">
        <v>4586</v>
      </c>
      <c r="BH404" s="60" t="s">
        <v>1566</v>
      </c>
      <c r="BI404" s="60" t="s">
        <v>4587</v>
      </c>
      <c r="BJ404" s="24" t="s">
        <v>1638</v>
      </c>
      <c r="BK404" s="59" t="s">
        <v>163</v>
      </c>
      <c r="BL404" s="59" t="s">
        <v>156</v>
      </c>
      <c r="BM404" s="62"/>
      <c r="BN404" s="62"/>
      <c r="BO404" s="59"/>
      <c r="BP404" s="59"/>
      <c r="BQ404" s="77"/>
      <c r="BR404" s="60"/>
      <c r="BS404" s="60"/>
      <c r="BT404" s="59"/>
      <c r="BU404" s="60"/>
      <c r="BV404" s="60"/>
      <c r="BW404" s="59"/>
      <c r="BX404" s="60"/>
      <c r="BY404" s="60"/>
      <c r="BZ404" s="59"/>
      <c r="CA404" s="59"/>
      <c r="CB404" s="59"/>
      <c r="CC404" s="59"/>
      <c r="CD404" s="59"/>
      <c r="CE404" s="59" t="s">
        <v>7662</v>
      </c>
      <c r="CF404" s="60" t="s">
        <v>1566</v>
      </c>
      <c r="CG404" s="59" t="s">
        <v>7281</v>
      </c>
      <c r="CH404" s="59" t="s">
        <v>6480</v>
      </c>
      <c r="CI404" s="59" t="s">
        <v>155</v>
      </c>
      <c r="CJ404" s="59" t="s">
        <v>111</v>
      </c>
      <c r="CK404" s="47"/>
      <c r="CL404" s="64" t="str">
        <f t="shared" ca="1" si="6"/>
        <v>22 Tahun 6 Bulan 7 Hari</v>
      </c>
      <c r="CM40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Kp.Cempaka RT/RW 05/01 Desa/Kelurahan Pataruman Kecamatan Cihampelas Bandung Barat Jawa Barat </v>
      </c>
    </row>
    <row r="405" spans="1:91" ht="24.95" customHeight="1">
      <c r="A405" s="58">
        <f>SUBTOTAL(3,N$8:Table2[[#This Row],[Nama lengkap]])</f>
        <v>398</v>
      </c>
      <c r="B405" s="58" t="s">
        <v>86</v>
      </c>
      <c r="C405" s="58">
        <v>2018</v>
      </c>
      <c r="D405" s="58"/>
      <c r="E405" s="58">
        <v>6</v>
      </c>
      <c r="F405" s="58" t="s">
        <v>4489</v>
      </c>
      <c r="G405" s="32" t="s">
        <v>2513</v>
      </c>
      <c r="H405" s="32" t="s">
        <v>2513</v>
      </c>
      <c r="I405" s="32" t="s">
        <v>2513</v>
      </c>
      <c r="J405" s="32"/>
      <c r="K405" s="32"/>
      <c r="L405" s="32"/>
      <c r="M405" s="58">
        <v>18190184</v>
      </c>
      <c r="N405" s="24" t="s">
        <v>6169</v>
      </c>
      <c r="O405" s="24"/>
      <c r="P405" s="25" t="s">
        <v>4592</v>
      </c>
      <c r="Q405" s="25" t="s">
        <v>4593</v>
      </c>
      <c r="R405" s="60" t="s">
        <v>90</v>
      </c>
      <c r="S405" s="61" t="s">
        <v>4594</v>
      </c>
      <c r="T405" s="47" t="s">
        <v>92</v>
      </c>
      <c r="U405" s="47">
        <v>7</v>
      </c>
      <c r="V405" s="47">
        <v>9</v>
      </c>
      <c r="W405" s="47" t="s">
        <v>207</v>
      </c>
      <c r="X405" s="59"/>
      <c r="Y405" s="59" t="s">
        <v>4595</v>
      </c>
      <c r="Z405" s="59" t="s">
        <v>688</v>
      </c>
      <c r="AA405" s="59" t="s">
        <v>96</v>
      </c>
      <c r="AB405" s="59" t="s">
        <v>689</v>
      </c>
      <c r="AC405" s="59" t="s">
        <v>208</v>
      </c>
      <c r="AD405" s="59" t="s">
        <v>208</v>
      </c>
      <c r="AE405" s="60" t="s">
        <v>4596</v>
      </c>
      <c r="AF405" s="60" t="s">
        <v>8644</v>
      </c>
      <c r="AG405" s="59" t="s">
        <v>8644</v>
      </c>
      <c r="AH405" s="59" t="s">
        <v>2844</v>
      </c>
      <c r="AI405" s="59" t="s">
        <v>90</v>
      </c>
      <c r="AJ405" s="61" t="s">
        <v>4597</v>
      </c>
      <c r="AK405" s="60" t="s">
        <v>4598</v>
      </c>
      <c r="AL405" s="60" t="s">
        <v>8262</v>
      </c>
      <c r="AM405" s="59" t="s">
        <v>800</v>
      </c>
      <c r="AN405" s="60" t="s">
        <v>4599</v>
      </c>
      <c r="AO405" s="60"/>
      <c r="AP405" s="59" t="s">
        <v>4600</v>
      </c>
      <c r="AQ405" s="25" t="s">
        <v>925</v>
      </c>
      <c r="AR405" s="60" t="s">
        <v>4601</v>
      </c>
      <c r="AS405" s="59" t="s">
        <v>3959</v>
      </c>
      <c r="AT405" s="59" t="s">
        <v>141</v>
      </c>
      <c r="AU405" s="59" t="s">
        <v>111</v>
      </c>
      <c r="AV405" s="62"/>
      <c r="AW405" s="59" t="s">
        <v>8143</v>
      </c>
      <c r="AX405" s="59" t="s">
        <v>2844</v>
      </c>
      <c r="AY405" s="59" t="s">
        <v>90</v>
      </c>
      <c r="AZ405" s="126" t="s">
        <v>4602</v>
      </c>
      <c r="BA405" s="60" t="s">
        <v>4603</v>
      </c>
      <c r="BB405" s="60" t="s">
        <v>845</v>
      </c>
      <c r="BC405" s="59" t="s">
        <v>693</v>
      </c>
      <c r="BD405" s="60"/>
      <c r="BE405" s="60"/>
      <c r="BF405" s="60"/>
      <c r="BG405" s="59" t="s">
        <v>4600</v>
      </c>
      <c r="BH405" s="60" t="s">
        <v>925</v>
      </c>
      <c r="BI405" s="60" t="s">
        <v>4601</v>
      </c>
      <c r="BJ405" s="24" t="s">
        <v>3959</v>
      </c>
      <c r="BK405" s="59" t="s">
        <v>141</v>
      </c>
      <c r="BL405" s="59" t="s">
        <v>156</v>
      </c>
      <c r="BM405" s="62"/>
      <c r="BN405" s="62"/>
      <c r="BO405" s="59"/>
      <c r="BP405" s="59"/>
      <c r="BQ405" s="77"/>
      <c r="BR405" s="60"/>
      <c r="BS405" s="60"/>
      <c r="BT405" s="59"/>
      <c r="BU405" s="60"/>
      <c r="BV405" s="60"/>
      <c r="BW405" s="59"/>
      <c r="BX405" s="60"/>
      <c r="BY405" s="60"/>
      <c r="BZ405" s="59"/>
      <c r="CA405" s="59"/>
      <c r="CB405" s="59"/>
      <c r="CC405" s="59"/>
      <c r="CD405" s="59"/>
      <c r="CE405" s="59" t="s">
        <v>7663</v>
      </c>
      <c r="CF405" s="60" t="s">
        <v>925</v>
      </c>
      <c r="CG405" s="59" t="s">
        <v>6994</v>
      </c>
      <c r="CH405" s="59" t="s">
        <v>7263</v>
      </c>
      <c r="CI405" s="59" t="s">
        <v>90</v>
      </c>
      <c r="CJ405" s="59" t="s">
        <v>111</v>
      </c>
      <c r="CK405" s="47"/>
      <c r="CL405" s="64" t="str">
        <f t="shared" ca="1" si="6"/>
        <v>21 Tahun 7 Bulan 20 Hari</v>
      </c>
      <c r="CM40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Gg.Blok Pasantren RT/RW 03/01 Desa/Kelurahan Cibaduyut Kecamatan Bojongloa Kidul Bandung Jawa Barat </v>
      </c>
    </row>
    <row r="406" spans="1:91" ht="24.95" customHeight="1">
      <c r="A406" s="58">
        <f>SUBTOTAL(3,N$8:Table2[[#This Row],[Nama lengkap]])</f>
        <v>399</v>
      </c>
      <c r="B406" s="58" t="s">
        <v>86</v>
      </c>
      <c r="C406" s="58">
        <v>2018</v>
      </c>
      <c r="D406" s="58"/>
      <c r="E406" s="58">
        <v>6</v>
      </c>
      <c r="F406" s="58" t="s">
        <v>4489</v>
      </c>
      <c r="G406" s="32" t="s">
        <v>2513</v>
      </c>
      <c r="H406" s="32" t="s">
        <v>2513</v>
      </c>
      <c r="I406" s="32" t="s">
        <v>2513</v>
      </c>
      <c r="J406" s="32"/>
      <c r="K406" s="32"/>
      <c r="L406" s="32"/>
      <c r="M406" s="58">
        <v>18190187</v>
      </c>
      <c r="N406" s="24" t="s">
        <v>6170</v>
      </c>
      <c r="O406" s="24"/>
      <c r="P406" s="25" t="s">
        <v>8990</v>
      </c>
      <c r="Q406" s="25" t="s">
        <v>4605</v>
      </c>
      <c r="R406" s="60" t="s">
        <v>90</v>
      </c>
      <c r="S406" s="61" t="s">
        <v>4606</v>
      </c>
      <c r="T406" s="47" t="s">
        <v>92</v>
      </c>
      <c r="U406" s="47">
        <v>3</v>
      </c>
      <c r="V406" s="47">
        <v>3</v>
      </c>
      <c r="W406" s="47" t="s">
        <v>207</v>
      </c>
      <c r="X406" s="59"/>
      <c r="Y406" s="59" t="s">
        <v>1012</v>
      </c>
      <c r="Z406" s="59" t="s">
        <v>3290</v>
      </c>
      <c r="AA406" s="59" t="s">
        <v>96</v>
      </c>
      <c r="AB406" s="59" t="s">
        <v>689</v>
      </c>
      <c r="AC406" s="59" t="s">
        <v>208</v>
      </c>
      <c r="AD406" s="59" t="s">
        <v>208</v>
      </c>
      <c r="AE406" s="60" t="s">
        <v>4607</v>
      </c>
      <c r="AF406" s="60" t="s">
        <v>8645</v>
      </c>
      <c r="AG406" s="59" t="s">
        <v>8645</v>
      </c>
      <c r="AH406" s="59" t="s">
        <v>2844</v>
      </c>
      <c r="AI406" s="59" t="s">
        <v>90</v>
      </c>
      <c r="AJ406" s="61" t="s">
        <v>4608</v>
      </c>
      <c r="AK406" s="60" t="s">
        <v>4609</v>
      </c>
      <c r="AL406" s="60" t="s">
        <v>114</v>
      </c>
      <c r="AM406" s="59" t="s">
        <v>693</v>
      </c>
      <c r="AN406" s="60"/>
      <c r="AO406" s="60"/>
      <c r="AP406" s="59" t="s">
        <v>4610</v>
      </c>
      <c r="AQ406" s="25" t="s">
        <v>1345</v>
      </c>
      <c r="AR406" s="60" t="s">
        <v>4611</v>
      </c>
      <c r="AS406" s="59" t="s">
        <v>154</v>
      </c>
      <c r="AT406" s="59" t="s">
        <v>163</v>
      </c>
      <c r="AU406" s="59" t="s">
        <v>111</v>
      </c>
      <c r="AV406" s="62"/>
      <c r="AW406" s="59" t="s">
        <v>8144</v>
      </c>
      <c r="AX406" s="59" t="s">
        <v>2844</v>
      </c>
      <c r="AY406" s="59" t="s">
        <v>90</v>
      </c>
      <c r="AZ406" s="126" t="s">
        <v>4612</v>
      </c>
      <c r="BA406" s="60" t="s">
        <v>4613</v>
      </c>
      <c r="BB406" s="60" t="s">
        <v>845</v>
      </c>
      <c r="BC406" s="59" t="s">
        <v>693</v>
      </c>
      <c r="BD406" s="60" t="s">
        <v>4614</v>
      </c>
      <c r="BE406" s="60"/>
      <c r="BF406" s="60"/>
      <c r="BG406" s="59" t="s">
        <v>4610</v>
      </c>
      <c r="BH406" s="60" t="s">
        <v>1345</v>
      </c>
      <c r="BI406" s="60" t="s">
        <v>4611</v>
      </c>
      <c r="BJ406" s="24" t="s">
        <v>154</v>
      </c>
      <c r="BK406" s="59" t="s">
        <v>163</v>
      </c>
      <c r="BL406" s="59" t="s">
        <v>156</v>
      </c>
      <c r="BM406" s="62"/>
      <c r="BN406" s="62"/>
      <c r="BO406" s="59"/>
      <c r="BP406" s="59"/>
      <c r="BQ406" s="77"/>
      <c r="BR406" s="60"/>
      <c r="BS406" s="60"/>
      <c r="BT406" s="59"/>
      <c r="BU406" s="60"/>
      <c r="BV406" s="60"/>
      <c r="BW406" s="59"/>
      <c r="BX406" s="60"/>
      <c r="BY406" s="60"/>
      <c r="BZ406" s="59"/>
      <c r="CA406" s="59"/>
      <c r="CB406" s="59"/>
      <c r="CC406" s="59"/>
      <c r="CD406" s="59"/>
      <c r="CE406" s="59" t="s">
        <v>7664</v>
      </c>
      <c r="CF406" s="60" t="s">
        <v>1345</v>
      </c>
      <c r="CG406" s="59" t="s">
        <v>7282</v>
      </c>
      <c r="CH406" s="59" t="s">
        <v>5244</v>
      </c>
      <c r="CI406" s="59" t="s">
        <v>155</v>
      </c>
      <c r="CJ406" s="59" t="s">
        <v>111</v>
      </c>
      <c r="CK406" s="47"/>
      <c r="CL406" s="64" t="str">
        <f t="shared" ca="1" si="6"/>
        <v>20 Tahun 11 Bulan 13 Hari</v>
      </c>
      <c r="CM40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Pamecelan RT/RW 03/14 Desa/Kelurahan Sujajaya Kecamatan Lembang Bandung Barat Jawa Barat </v>
      </c>
    </row>
    <row r="407" spans="1:91" ht="24.95" customHeight="1">
      <c r="A407" s="58">
        <f>SUBTOTAL(3,N$8:Table2[[#This Row],[Nama lengkap]])</f>
        <v>400</v>
      </c>
      <c r="B407" s="58" t="s">
        <v>86</v>
      </c>
      <c r="C407" s="58">
        <v>2018</v>
      </c>
      <c r="D407" s="58"/>
      <c r="E407" s="58">
        <v>6</v>
      </c>
      <c r="F407" s="58" t="s">
        <v>4489</v>
      </c>
      <c r="G407" s="32" t="s">
        <v>2513</v>
      </c>
      <c r="H407" s="32" t="s">
        <v>2513</v>
      </c>
      <c r="I407" s="32" t="s">
        <v>2513</v>
      </c>
      <c r="J407" s="32"/>
      <c r="K407" s="32"/>
      <c r="L407" s="32"/>
      <c r="M407" s="58">
        <v>18190190</v>
      </c>
      <c r="N407" s="24" t="s">
        <v>6171</v>
      </c>
      <c r="O407" s="24"/>
      <c r="P407" s="25" t="s">
        <v>4616</v>
      </c>
      <c r="Q407" s="25" t="s">
        <v>4617</v>
      </c>
      <c r="R407" s="60" t="s">
        <v>90</v>
      </c>
      <c r="S407" s="61" t="s">
        <v>4618</v>
      </c>
      <c r="T407" s="47" t="s">
        <v>92</v>
      </c>
      <c r="U407" s="47">
        <v>2</v>
      </c>
      <c r="V407" s="47">
        <v>1</v>
      </c>
      <c r="W407" s="47" t="s">
        <v>207</v>
      </c>
      <c r="X407" s="59"/>
      <c r="Y407" s="59" t="s">
        <v>4619</v>
      </c>
      <c r="Z407" s="59" t="s">
        <v>1776</v>
      </c>
      <c r="AA407" s="59" t="s">
        <v>1141</v>
      </c>
      <c r="AB407" s="59" t="s">
        <v>689</v>
      </c>
      <c r="AC407" s="59" t="s">
        <v>208</v>
      </c>
      <c r="AD407" s="59" t="s">
        <v>208</v>
      </c>
      <c r="AE407" s="60" t="s">
        <v>4620</v>
      </c>
      <c r="AF407" s="60" t="s">
        <v>8646</v>
      </c>
      <c r="AG407" s="59" t="s">
        <v>8646</v>
      </c>
      <c r="AH407" s="59" t="s">
        <v>2844</v>
      </c>
      <c r="AI407" s="59" t="s">
        <v>623</v>
      </c>
      <c r="AJ407" s="61" t="s">
        <v>4621</v>
      </c>
      <c r="AK407" s="60" t="s">
        <v>4622</v>
      </c>
      <c r="AL407" s="60" t="s">
        <v>914</v>
      </c>
      <c r="AM407" s="59" t="s">
        <v>800</v>
      </c>
      <c r="AN407" s="60"/>
      <c r="AO407" s="60"/>
      <c r="AP407" s="59" t="s">
        <v>4623</v>
      </c>
      <c r="AQ407" s="25" t="s">
        <v>880</v>
      </c>
      <c r="AR407" s="60" t="s">
        <v>263</v>
      </c>
      <c r="AS407" s="59" t="s">
        <v>263</v>
      </c>
      <c r="AT407" s="59" t="s">
        <v>163</v>
      </c>
      <c r="AU407" s="59" t="s">
        <v>111</v>
      </c>
      <c r="AV407" s="62"/>
      <c r="AW407" s="59" t="s">
        <v>8145</v>
      </c>
      <c r="AX407" s="59" t="s">
        <v>2844</v>
      </c>
      <c r="AY407" s="59" t="s">
        <v>90</v>
      </c>
      <c r="AZ407" s="126" t="s">
        <v>4624</v>
      </c>
      <c r="BA407" s="60" t="s">
        <v>4625</v>
      </c>
      <c r="BB407" s="60" t="s">
        <v>845</v>
      </c>
      <c r="BC407" s="59" t="s">
        <v>800</v>
      </c>
      <c r="BD407" s="60" t="s">
        <v>4626</v>
      </c>
      <c r="BE407" s="60"/>
      <c r="BF407" s="60"/>
      <c r="BG407" s="59" t="s">
        <v>4623</v>
      </c>
      <c r="BH407" s="60" t="s">
        <v>880</v>
      </c>
      <c r="BI407" s="60" t="s">
        <v>263</v>
      </c>
      <c r="BJ407" s="24" t="s">
        <v>263</v>
      </c>
      <c r="BK407" s="59" t="s">
        <v>163</v>
      </c>
      <c r="BL407" s="59" t="s">
        <v>156</v>
      </c>
      <c r="BM407" s="62"/>
      <c r="BN407" s="62"/>
      <c r="BO407" s="59"/>
      <c r="BP407" s="59"/>
      <c r="BQ407" s="77"/>
      <c r="BR407" s="60"/>
      <c r="BS407" s="60"/>
      <c r="BT407" s="59"/>
      <c r="BU407" s="60"/>
      <c r="BV407" s="60"/>
      <c r="BW407" s="59"/>
      <c r="BX407" s="60"/>
      <c r="BY407" s="60"/>
      <c r="BZ407" s="59"/>
      <c r="CA407" s="59"/>
      <c r="CB407" s="59"/>
      <c r="CC407" s="59"/>
      <c r="CD407" s="59"/>
      <c r="CE407" s="59" t="s">
        <v>7665</v>
      </c>
      <c r="CF407" s="60" t="s">
        <v>880</v>
      </c>
      <c r="CG407" s="59" t="s">
        <v>6984</v>
      </c>
      <c r="CH407" s="59" t="s">
        <v>6984</v>
      </c>
      <c r="CI407" s="59" t="s">
        <v>155</v>
      </c>
      <c r="CJ407" s="59" t="s">
        <v>111</v>
      </c>
      <c r="CK407" s="47"/>
      <c r="CL407" s="64" t="str">
        <f t="shared" ca="1" si="6"/>
        <v>23 Tahun 0 Bulan 28 Hari</v>
      </c>
      <c r="CM40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Gg.H.Hasan Ii RT/RW 01/02 Desa/Kelurahan Babakan Ciparay Kecamatan Babakan Ciparay Bandung Barat Jawa Barat </v>
      </c>
    </row>
    <row r="408" spans="1:91" ht="24.95" customHeight="1">
      <c r="A408" s="58">
        <f>SUBTOTAL(3,N$8:Table2[[#This Row],[Nama lengkap]])</f>
        <v>401</v>
      </c>
      <c r="B408" s="58" t="s">
        <v>86</v>
      </c>
      <c r="C408" s="58">
        <v>2017</v>
      </c>
      <c r="D408" s="58" t="s">
        <v>8936</v>
      </c>
      <c r="E408" s="58">
        <v>6</v>
      </c>
      <c r="F408" s="58" t="s">
        <v>4489</v>
      </c>
      <c r="G408" s="32" t="s">
        <v>2513</v>
      </c>
      <c r="H408" s="32" t="s">
        <v>2513</v>
      </c>
      <c r="I408" s="32" t="s">
        <v>2513</v>
      </c>
      <c r="J408" s="32"/>
      <c r="K408" s="32"/>
      <c r="L408" s="32"/>
      <c r="M408" s="58">
        <v>17180134</v>
      </c>
      <c r="N408" s="24" t="s">
        <v>6172</v>
      </c>
      <c r="O408" s="24"/>
      <c r="P408" s="25" t="s">
        <v>4628</v>
      </c>
      <c r="Q408" s="25" t="s">
        <v>4629</v>
      </c>
      <c r="R408" s="60" t="s">
        <v>122</v>
      </c>
      <c r="S408" s="61" t="s">
        <v>4630</v>
      </c>
      <c r="T408" s="47" t="s">
        <v>92</v>
      </c>
      <c r="U408" s="47">
        <v>1</v>
      </c>
      <c r="V408" s="47">
        <v>3</v>
      </c>
      <c r="W408" s="47" t="s">
        <v>207</v>
      </c>
      <c r="X408" s="59"/>
      <c r="Y408" s="59" t="s">
        <v>4494</v>
      </c>
      <c r="Z408" s="59" t="s">
        <v>4631</v>
      </c>
      <c r="AA408" s="59" t="s">
        <v>1141</v>
      </c>
      <c r="AB408" s="59" t="s">
        <v>689</v>
      </c>
      <c r="AC408" s="59" t="s">
        <v>208</v>
      </c>
      <c r="AD408" s="59" t="s">
        <v>208</v>
      </c>
      <c r="AE408" s="60" t="s">
        <v>4632</v>
      </c>
      <c r="AF408" s="60" t="s">
        <v>8647</v>
      </c>
      <c r="AG408" s="59" t="s">
        <v>8647</v>
      </c>
      <c r="AH408" s="59" t="s">
        <v>2844</v>
      </c>
      <c r="AI408" s="59" t="s">
        <v>122</v>
      </c>
      <c r="AJ408" s="61" t="s">
        <v>4633</v>
      </c>
      <c r="AK408" s="60" t="s">
        <v>4634</v>
      </c>
      <c r="AL408" s="60" t="s">
        <v>114</v>
      </c>
      <c r="AM408" s="59" t="s">
        <v>800</v>
      </c>
      <c r="AN408" s="60" t="s">
        <v>4635</v>
      </c>
      <c r="AO408" s="60"/>
      <c r="AP408" s="59" t="s">
        <v>4636</v>
      </c>
      <c r="AQ408" s="25" t="s">
        <v>756</v>
      </c>
      <c r="AR408" s="60" t="s">
        <v>2834</v>
      </c>
      <c r="AS408" s="59" t="s">
        <v>2173</v>
      </c>
      <c r="AT408" s="59" t="s">
        <v>1090</v>
      </c>
      <c r="AU408" s="59" t="s">
        <v>111</v>
      </c>
      <c r="AV408" s="62"/>
      <c r="AW408" s="59" t="s">
        <v>8146</v>
      </c>
      <c r="AX408" s="59" t="s">
        <v>2844</v>
      </c>
      <c r="AY408" s="59" t="s">
        <v>122</v>
      </c>
      <c r="AZ408" s="126" t="s">
        <v>4637</v>
      </c>
      <c r="BA408" s="60" t="s">
        <v>4638</v>
      </c>
      <c r="BB408" s="60" t="s">
        <v>845</v>
      </c>
      <c r="BC408" s="59" t="s">
        <v>149</v>
      </c>
      <c r="BD408" s="60" t="s">
        <v>4639</v>
      </c>
      <c r="BE408" s="60"/>
      <c r="BF408" s="60"/>
      <c r="BG408" s="59" t="s">
        <v>4636</v>
      </c>
      <c r="BH408" s="60" t="s">
        <v>756</v>
      </c>
      <c r="BI408" s="60" t="s">
        <v>2834</v>
      </c>
      <c r="BJ408" s="24" t="s">
        <v>2173</v>
      </c>
      <c r="BK408" s="59" t="s">
        <v>1090</v>
      </c>
      <c r="BL408" s="59" t="s">
        <v>156</v>
      </c>
      <c r="BM408" s="62"/>
      <c r="BN408" s="62"/>
      <c r="BO408" s="59"/>
      <c r="BP408" s="59"/>
      <c r="BQ408" s="77"/>
      <c r="BR408" s="60"/>
      <c r="BS408" s="60"/>
      <c r="BT408" s="59"/>
      <c r="BU408" s="60"/>
      <c r="BV408" s="60"/>
      <c r="BW408" s="59"/>
      <c r="BX408" s="60"/>
      <c r="BY408" s="60"/>
      <c r="BZ408" s="59"/>
      <c r="CA408" s="59"/>
      <c r="CB408" s="59"/>
      <c r="CC408" s="59"/>
      <c r="CD408" s="59"/>
      <c r="CE408" s="59" t="s">
        <v>7666</v>
      </c>
      <c r="CF408" s="60" t="s">
        <v>756</v>
      </c>
      <c r="CG408" s="59" t="s">
        <v>7202</v>
      </c>
      <c r="CH408" s="59" t="s">
        <v>561</v>
      </c>
      <c r="CI408" s="59" t="s">
        <v>122</v>
      </c>
      <c r="CJ408" s="59" t="s">
        <v>111</v>
      </c>
      <c r="CK408" s="47"/>
      <c r="CL408" s="64" t="str">
        <f t="shared" ca="1" si="6"/>
        <v>23 Tahun 2 Bulan 16 Hari</v>
      </c>
      <c r="CM40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Taraju RT/RW 02/09 Desa/Kelurahan Sayang Kecamatan Jatinangor Sumedang Jawa Barat </v>
      </c>
    </row>
    <row r="409" spans="1:91" ht="24.95" customHeight="1">
      <c r="A409" s="58">
        <f>SUBTOTAL(3,N$8:Table2[[#This Row],[Nama lengkap]])</f>
        <v>402</v>
      </c>
      <c r="B409" s="58" t="s">
        <v>86</v>
      </c>
      <c r="C409" s="58">
        <v>2017</v>
      </c>
      <c r="D409" s="58"/>
      <c r="E409" s="58">
        <v>6</v>
      </c>
      <c r="F409" s="58" t="s">
        <v>4489</v>
      </c>
      <c r="G409" s="32" t="s">
        <v>2513</v>
      </c>
      <c r="H409" s="32" t="s">
        <v>2513</v>
      </c>
      <c r="I409" s="32" t="s">
        <v>2513</v>
      </c>
      <c r="J409" s="32"/>
      <c r="K409" s="32"/>
      <c r="L409" s="32"/>
      <c r="M409" s="58">
        <v>17180141</v>
      </c>
      <c r="N409" s="40" t="s">
        <v>6173</v>
      </c>
      <c r="O409" s="40"/>
      <c r="P409" s="32" t="s">
        <v>4641</v>
      </c>
      <c r="Q409" s="32" t="s">
        <v>4642</v>
      </c>
      <c r="R409" s="67" t="s">
        <v>90</v>
      </c>
      <c r="S409" s="69" t="s">
        <v>4643</v>
      </c>
      <c r="T409" s="47" t="s">
        <v>92</v>
      </c>
      <c r="U409" s="58">
        <v>2</v>
      </c>
      <c r="V409" s="58">
        <v>2</v>
      </c>
      <c r="W409" s="47" t="s">
        <v>207</v>
      </c>
      <c r="X409" s="59"/>
      <c r="Y409" s="64" t="s">
        <v>1012</v>
      </c>
      <c r="Z409" s="64" t="s">
        <v>986</v>
      </c>
      <c r="AA409" s="64" t="s">
        <v>1141</v>
      </c>
      <c r="AB409" s="64" t="s">
        <v>689</v>
      </c>
      <c r="AC409" s="59" t="s">
        <v>208</v>
      </c>
      <c r="AD409" s="59" t="s">
        <v>208</v>
      </c>
      <c r="AE409" s="67" t="s">
        <v>4644</v>
      </c>
      <c r="AF409" s="64" t="s">
        <v>8648</v>
      </c>
      <c r="AG409" s="64" t="s">
        <v>8648</v>
      </c>
      <c r="AH409" s="64" t="s">
        <v>2844</v>
      </c>
      <c r="AI409" s="64" t="s">
        <v>90</v>
      </c>
      <c r="AJ409" s="69" t="s">
        <v>4645</v>
      </c>
      <c r="AK409" s="67" t="s">
        <v>4646</v>
      </c>
      <c r="AL409" s="64" t="s">
        <v>914</v>
      </c>
      <c r="AM409" s="64" t="s">
        <v>800</v>
      </c>
      <c r="AN409" s="67"/>
      <c r="AO409" s="64"/>
      <c r="AP409" s="64" t="s">
        <v>4647</v>
      </c>
      <c r="AQ409" s="32" t="s">
        <v>1161</v>
      </c>
      <c r="AR409" s="64" t="s">
        <v>263</v>
      </c>
      <c r="AS409" s="64" t="s">
        <v>263</v>
      </c>
      <c r="AT409" s="64" t="s">
        <v>141</v>
      </c>
      <c r="AU409" s="59" t="s">
        <v>111</v>
      </c>
      <c r="AV409" s="64"/>
      <c r="AW409" s="64" t="s">
        <v>8147</v>
      </c>
      <c r="AX409" s="64" t="s">
        <v>2844</v>
      </c>
      <c r="AY409" s="64" t="s">
        <v>90</v>
      </c>
      <c r="AZ409" s="125" t="s">
        <v>4648</v>
      </c>
      <c r="BA409" s="67" t="s">
        <v>4649</v>
      </c>
      <c r="BB409" s="64" t="s">
        <v>845</v>
      </c>
      <c r="BC409" s="64" t="s">
        <v>800</v>
      </c>
      <c r="BD409" s="67" t="s">
        <v>4650</v>
      </c>
      <c r="BE409" s="64"/>
      <c r="BF409" s="64"/>
      <c r="BG409" s="64" t="s">
        <v>4647</v>
      </c>
      <c r="BH409" s="67" t="s">
        <v>1161</v>
      </c>
      <c r="BI409" s="64" t="s">
        <v>263</v>
      </c>
      <c r="BJ409" s="40" t="s">
        <v>263</v>
      </c>
      <c r="BK409" s="64" t="s">
        <v>141</v>
      </c>
      <c r="BL409" s="64" t="s">
        <v>156</v>
      </c>
      <c r="BM409" s="64"/>
      <c r="BN409" s="64"/>
      <c r="BO409" s="64"/>
      <c r="BP409" s="64"/>
      <c r="BQ409" s="135"/>
      <c r="BR409" s="67"/>
      <c r="BS409" s="64"/>
      <c r="BT409" s="64"/>
      <c r="BU409" s="67"/>
      <c r="BV409" s="64"/>
      <c r="BW409" s="64"/>
      <c r="BX409" s="67"/>
      <c r="BY409" s="64"/>
      <c r="BZ409" s="64"/>
      <c r="CA409" s="64"/>
      <c r="CB409" s="64"/>
      <c r="CC409" s="64"/>
      <c r="CD409" s="64"/>
      <c r="CE409" s="64" t="s">
        <v>7667</v>
      </c>
      <c r="CF409" s="67" t="s">
        <v>1161</v>
      </c>
      <c r="CG409" s="64" t="s">
        <v>6984</v>
      </c>
      <c r="CH409" s="64" t="s">
        <v>6984</v>
      </c>
      <c r="CI409" s="64" t="s">
        <v>90</v>
      </c>
      <c r="CJ409" s="64" t="s">
        <v>111</v>
      </c>
      <c r="CK409" s="58"/>
      <c r="CL409" s="64" t="str">
        <f t="shared" ca="1" si="6"/>
        <v>25 Tahun 3 Bulan 27 Hari</v>
      </c>
      <c r="CM40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Gg.Hasan Ii RT/RW 01/07 Desa/Kelurahan Babakan Ciparay Kecamatan Babakan Ciparay Bandung Jawa Barat </v>
      </c>
    </row>
    <row r="410" spans="1:91" ht="24.95" customHeight="1">
      <c r="A410" s="58">
        <f>SUBTOTAL(3,N$8:Table2[[#This Row],[Nama lengkap]])</f>
        <v>403</v>
      </c>
      <c r="B410" s="58" t="s">
        <v>86</v>
      </c>
      <c r="C410" s="58">
        <v>2019</v>
      </c>
      <c r="D410" s="58"/>
      <c r="E410" s="58">
        <v>6</v>
      </c>
      <c r="F410" s="58" t="s">
        <v>4489</v>
      </c>
      <c r="G410" s="32" t="s">
        <v>2513</v>
      </c>
      <c r="H410" s="32" t="s">
        <v>2513</v>
      </c>
      <c r="I410" s="32" t="s">
        <v>2513</v>
      </c>
      <c r="J410" s="32"/>
      <c r="K410" s="32"/>
      <c r="L410" s="32"/>
      <c r="M410" s="58">
        <v>19200288</v>
      </c>
      <c r="N410" s="24" t="s">
        <v>6174</v>
      </c>
      <c r="O410" s="24"/>
      <c r="P410" s="25" t="s">
        <v>4652</v>
      </c>
      <c r="Q410" s="25" t="s">
        <v>4653</v>
      </c>
      <c r="R410" s="60" t="s">
        <v>90</v>
      </c>
      <c r="S410" s="61" t="s">
        <v>4654</v>
      </c>
      <c r="T410" s="47" t="s">
        <v>92</v>
      </c>
      <c r="U410" s="47">
        <v>1</v>
      </c>
      <c r="V410" s="47">
        <v>4</v>
      </c>
      <c r="W410" s="47" t="s">
        <v>207</v>
      </c>
      <c r="X410" s="59"/>
      <c r="Y410" s="59" t="s">
        <v>1012</v>
      </c>
      <c r="Z410" s="59" t="s">
        <v>4569</v>
      </c>
      <c r="AA410" s="59" t="s">
        <v>96</v>
      </c>
      <c r="AB410" s="59" t="s">
        <v>689</v>
      </c>
      <c r="AC410" s="59" t="s">
        <v>208</v>
      </c>
      <c r="AD410" s="59" t="s">
        <v>208</v>
      </c>
      <c r="AE410" s="60" t="s">
        <v>4655</v>
      </c>
      <c r="AF410" s="60" t="s">
        <v>8649</v>
      </c>
      <c r="AG410" s="59" t="s">
        <v>8649</v>
      </c>
      <c r="AH410" s="59" t="s">
        <v>2844</v>
      </c>
      <c r="AI410" s="59" t="s">
        <v>90</v>
      </c>
      <c r="AJ410" s="61" t="s">
        <v>4656</v>
      </c>
      <c r="AK410" s="60" t="s">
        <v>4657</v>
      </c>
      <c r="AL410" s="60" t="s">
        <v>602</v>
      </c>
      <c r="AM410" s="59" t="s">
        <v>700</v>
      </c>
      <c r="AN410" s="60"/>
      <c r="AO410" s="60"/>
      <c r="AP410" s="59" t="s">
        <v>4658</v>
      </c>
      <c r="AQ410" s="25" t="s">
        <v>1493</v>
      </c>
      <c r="AR410" s="60" t="s">
        <v>853</v>
      </c>
      <c r="AS410" s="59" t="s">
        <v>618</v>
      </c>
      <c r="AT410" s="59" t="s">
        <v>141</v>
      </c>
      <c r="AU410" s="59" t="s">
        <v>111</v>
      </c>
      <c r="AV410" s="62"/>
      <c r="AW410" s="59" t="s">
        <v>8148</v>
      </c>
      <c r="AX410" s="59" t="s">
        <v>2844</v>
      </c>
      <c r="AY410" s="59" t="s">
        <v>90</v>
      </c>
      <c r="AZ410" s="126" t="s">
        <v>4659</v>
      </c>
      <c r="BA410" s="60" t="s">
        <v>4660</v>
      </c>
      <c r="BB410" s="60" t="s">
        <v>602</v>
      </c>
      <c r="BC410" s="59" t="s">
        <v>700</v>
      </c>
      <c r="BD410" s="60" t="s">
        <v>4661</v>
      </c>
      <c r="BE410" s="60"/>
      <c r="BF410" s="60"/>
      <c r="BG410" s="59" t="s">
        <v>4658</v>
      </c>
      <c r="BH410" s="60" t="s">
        <v>1493</v>
      </c>
      <c r="BI410" s="60" t="s">
        <v>853</v>
      </c>
      <c r="BJ410" s="24" t="s">
        <v>618</v>
      </c>
      <c r="BK410" s="59" t="s">
        <v>141</v>
      </c>
      <c r="BL410" s="59" t="s">
        <v>156</v>
      </c>
      <c r="BM410" s="62"/>
      <c r="BN410" s="62"/>
      <c r="BO410" s="59"/>
      <c r="BP410" s="59"/>
      <c r="BQ410" s="77"/>
      <c r="BR410" s="60"/>
      <c r="BS410" s="60"/>
      <c r="BT410" s="59"/>
      <c r="BU410" s="60"/>
      <c r="BV410" s="60"/>
      <c r="BW410" s="59"/>
      <c r="BX410" s="60"/>
      <c r="BY410" s="60"/>
      <c r="BZ410" s="59"/>
      <c r="CA410" s="59"/>
      <c r="CB410" s="59"/>
      <c r="CC410" s="59"/>
      <c r="CD410" s="59"/>
      <c r="CE410" s="59" t="s">
        <v>7668</v>
      </c>
      <c r="CF410" s="60" t="s">
        <v>1493</v>
      </c>
      <c r="CG410" s="59" t="s">
        <v>7035</v>
      </c>
      <c r="CH410" s="59" t="s">
        <v>507</v>
      </c>
      <c r="CI410" s="59" t="s">
        <v>90</v>
      </c>
      <c r="CJ410" s="59" t="s">
        <v>111</v>
      </c>
      <c r="CK410" s="47"/>
      <c r="CL410" s="64" t="str">
        <f t="shared" ca="1" si="6"/>
        <v>19 Tahun 0 Bulan 27 Hari</v>
      </c>
      <c r="CM41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Kp.Sindangsari RT/RW 02/11 Desa/Kelurahan Banjaran Kulon Kecamatan Banjaran Bandung Jawa Barat </v>
      </c>
    </row>
    <row r="411" spans="1:91" ht="24.95" customHeight="1">
      <c r="A411" s="58">
        <f>SUBTOTAL(3,N$8:Table2[[#This Row],[Nama lengkap]])</f>
        <v>404</v>
      </c>
      <c r="B411" s="58" t="s">
        <v>86</v>
      </c>
      <c r="C411" s="58">
        <v>2017</v>
      </c>
      <c r="D411" s="58"/>
      <c r="E411" s="58">
        <v>6</v>
      </c>
      <c r="F411" s="58" t="s">
        <v>4489</v>
      </c>
      <c r="G411" s="32" t="s">
        <v>2513</v>
      </c>
      <c r="H411" s="32" t="s">
        <v>2513</v>
      </c>
      <c r="I411" s="32" t="s">
        <v>2513</v>
      </c>
      <c r="J411" s="32"/>
      <c r="K411" s="32"/>
      <c r="L411" s="32"/>
      <c r="M411" s="58">
        <v>17180143</v>
      </c>
      <c r="N411" s="24" t="s">
        <v>6175</v>
      </c>
      <c r="O411" s="24"/>
      <c r="P411" s="25" t="s">
        <v>4663</v>
      </c>
      <c r="Q411" s="25" t="s">
        <v>4664</v>
      </c>
      <c r="R411" s="59" t="s">
        <v>90</v>
      </c>
      <c r="S411" s="61" t="s">
        <v>4665</v>
      </c>
      <c r="T411" s="47" t="s">
        <v>92</v>
      </c>
      <c r="U411" s="47">
        <v>1</v>
      </c>
      <c r="V411" s="47">
        <v>1</v>
      </c>
      <c r="W411" s="47" t="s">
        <v>207</v>
      </c>
      <c r="X411" s="59"/>
      <c r="Y411" s="70" t="s">
        <v>1012</v>
      </c>
      <c r="Z411" s="59" t="s">
        <v>707</v>
      </c>
      <c r="AA411" s="59" t="s">
        <v>96</v>
      </c>
      <c r="AB411" s="59"/>
      <c r="AC411" s="59" t="s">
        <v>208</v>
      </c>
      <c r="AD411" s="59" t="s">
        <v>208</v>
      </c>
      <c r="AE411" s="60" t="s">
        <v>4666</v>
      </c>
      <c r="AF411" s="59" t="s">
        <v>8650</v>
      </c>
      <c r="AG411" s="59" t="s">
        <v>8650</v>
      </c>
      <c r="AH411" s="59" t="s">
        <v>2844</v>
      </c>
      <c r="AI411" s="59" t="s">
        <v>90</v>
      </c>
      <c r="AJ411" s="61" t="s">
        <v>4667</v>
      </c>
      <c r="AK411" s="75" t="s">
        <v>4668</v>
      </c>
      <c r="AL411" s="59" t="s">
        <v>602</v>
      </c>
      <c r="AM411" s="59" t="s">
        <v>800</v>
      </c>
      <c r="AN411" s="60"/>
      <c r="AO411" s="59"/>
      <c r="AP411" s="59" t="s">
        <v>4669</v>
      </c>
      <c r="AQ411" s="25" t="s">
        <v>1418</v>
      </c>
      <c r="AR411" s="59" t="s">
        <v>4670</v>
      </c>
      <c r="AS411" s="59" t="s">
        <v>618</v>
      </c>
      <c r="AT411" s="59" t="s">
        <v>141</v>
      </c>
      <c r="AU411" s="59" t="s">
        <v>111</v>
      </c>
      <c r="AV411" s="62"/>
      <c r="AW411" s="59" t="s">
        <v>8149</v>
      </c>
      <c r="AX411" s="59" t="s">
        <v>2844</v>
      </c>
      <c r="AY411" s="59" t="s">
        <v>90</v>
      </c>
      <c r="AZ411" s="126" t="s">
        <v>4671</v>
      </c>
      <c r="BA411" s="60" t="s">
        <v>4672</v>
      </c>
      <c r="BB411" s="59" t="s">
        <v>845</v>
      </c>
      <c r="BC411" s="59" t="s">
        <v>800</v>
      </c>
      <c r="BD411" s="60" t="s">
        <v>4673</v>
      </c>
      <c r="BE411" s="70"/>
      <c r="BF411" s="70"/>
      <c r="BG411" s="59" t="s">
        <v>4669</v>
      </c>
      <c r="BH411" s="60" t="s">
        <v>1418</v>
      </c>
      <c r="BI411" s="59" t="s">
        <v>4670</v>
      </c>
      <c r="BJ411" s="24" t="s">
        <v>618</v>
      </c>
      <c r="BK411" s="59" t="s">
        <v>141</v>
      </c>
      <c r="BL411" s="59" t="s">
        <v>156</v>
      </c>
      <c r="BM411" s="62"/>
      <c r="BN411" s="62"/>
      <c r="BO411" s="59"/>
      <c r="BP411" s="59"/>
      <c r="BQ411" s="77"/>
      <c r="BR411" s="60"/>
      <c r="BS411" s="59"/>
      <c r="BT411" s="59"/>
      <c r="BU411" s="60"/>
      <c r="BV411" s="59"/>
      <c r="BW411" s="59"/>
      <c r="BX411" s="60"/>
      <c r="BY411" s="59"/>
      <c r="BZ411" s="59"/>
      <c r="CA411" s="59"/>
      <c r="CB411" s="59"/>
      <c r="CC411" s="59"/>
      <c r="CD411" s="59"/>
      <c r="CE411" s="59" t="s">
        <v>7669</v>
      </c>
      <c r="CF411" s="60" t="s">
        <v>1418</v>
      </c>
      <c r="CG411" s="59" t="s">
        <v>7283</v>
      </c>
      <c r="CH411" s="59" t="s">
        <v>507</v>
      </c>
      <c r="CI411" s="59" t="s">
        <v>90</v>
      </c>
      <c r="CJ411" s="59" t="s">
        <v>111</v>
      </c>
      <c r="CK411" s="47"/>
      <c r="CL411" s="64" t="str">
        <f t="shared" ca="1" si="6"/>
        <v>21 Tahun 1 Bulan 3 Hari</v>
      </c>
      <c r="CM41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Kp.Muara RT/RW 02/01 Desa/Kelurahan Banjaran Wetan Kecamatan Banjaran Bandung Jawa Barat </v>
      </c>
    </row>
    <row r="412" spans="1:91" ht="24.95" customHeight="1">
      <c r="A412" s="58">
        <f>SUBTOTAL(3,N$8:Table2[[#This Row],[Nama lengkap]])</f>
        <v>405</v>
      </c>
      <c r="B412" s="58" t="s">
        <v>86</v>
      </c>
      <c r="C412" s="58">
        <v>2018</v>
      </c>
      <c r="D412" s="58"/>
      <c r="E412" s="58">
        <v>6</v>
      </c>
      <c r="F412" s="58" t="s">
        <v>4489</v>
      </c>
      <c r="G412" s="32" t="s">
        <v>2513</v>
      </c>
      <c r="H412" s="32" t="s">
        <v>2513</v>
      </c>
      <c r="I412" s="32" t="s">
        <v>2513</v>
      </c>
      <c r="J412" s="32"/>
      <c r="K412" s="32"/>
      <c r="L412" s="32"/>
      <c r="M412" s="58">
        <v>18190236</v>
      </c>
      <c r="N412" s="24" t="s">
        <v>6176</v>
      </c>
      <c r="O412" s="24"/>
      <c r="P412" s="25" t="s">
        <v>4675</v>
      </c>
      <c r="Q412" s="25" t="s">
        <v>4676</v>
      </c>
      <c r="R412" s="59" t="s">
        <v>90</v>
      </c>
      <c r="S412" s="61" t="s">
        <v>4677</v>
      </c>
      <c r="T412" s="47" t="s">
        <v>92</v>
      </c>
      <c r="U412" s="47">
        <v>2</v>
      </c>
      <c r="V412" s="47">
        <v>1</v>
      </c>
      <c r="W412" s="47" t="s">
        <v>207</v>
      </c>
      <c r="X412" s="59"/>
      <c r="Y412" s="59" t="s">
        <v>4678</v>
      </c>
      <c r="Z412" s="59" t="s">
        <v>4679</v>
      </c>
      <c r="AA412" s="59" t="s">
        <v>96</v>
      </c>
      <c r="AB412" s="59" t="s">
        <v>689</v>
      </c>
      <c r="AC412" s="59" t="s">
        <v>208</v>
      </c>
      <c r="AD412" s="59" t="s">
        <v>208</v>
      </c>
      <c r="AE412" s="60" t="s">
        <v>4680</v>
      </c>
      <c r="AF412" s="59" t="s">
        <v>8651</v>
      </c>
      <c r="AG412" s="59" t="s">
        <v>8651</v>
      </c>
      <c r="AH412" s="59" t="s">
        <v>2844</v>
      </c>
      <c r="AI412" s="59" t="s">
        <v>6475</v>
      </c>
      <c r="AJ412" s="61">
        <v>25751</v>
      </c>
      <c r="AK412" s="60" t="s">
        <v>4681</v>
      </c>
      <c r="AL412" s="59" t="s">
        <v>602</v>
      </c>
      <c r="AM412" s="59" t="s">
        <v>4682</v>
      </c>
      <c r="AN412" s="60"/>
      <c r="AO412" s="59"/>
      <c r="AP412" s="59" t="s">
        <v>4683</v>
      </c>
      <c r="AQ412" s="25" t="s">
        <v>3987</v>
      </c>
      <c r="AR412" s="59" t="s">
        <v>1460</v>
      </c>
      <c r="AS412" s="59" t="s">
        <v>1461</v>
      </c>
      <c r="AT412" s="59" t="s">
        <v>141</v>
      </c>
      <c r="AU412" s="59" t="s">
        <v>111</v>
      </c>
      <c r="AV412" s="62"/>
      <c r="AW412" s="59" t="s">
        <v>8150</v>
      </c>
      <c r="AX412" s="59" t="s">
        <v>2844</v>
      </c>
      <c r="AY412" s="59" t="s">
        <v>942</v>
      </c>
      <c r="AZ412" s="126">
        <v>27662</v>
      </c>
      <c r="BA412" s="60" t="s">
        <v>4684</v>
      </c>
      <c r="BB412" s="59" t="s">
        <v>845</v>
      </c>
      <c r="BC412" s="59" t="s">
        <v>4685</v>
      </c>
      <c r="BD412" s="60" t="s">
        <v>4686</v>
      </c>
      <c r="BE412" s="59"/>
      <c r="BF412" s="59"/>
      <c r="BG412" s="59" t="s">
        <v>4683</v>
      </c>
      <c r="BH412" s="60" t="s">
        <v>3987</v>
      </c>
      <c r="BI412" s="59" t="s">
        <v>1460</v>
      </c>
      <c r="BJ412" s="24" t="s">
        <v>1461</v>
      </c>
      <c r="BK412" s="59" t="s">
        <v>141</v>
      </c>
      <c r="BL412" s="59" t="s">
        <v>156</v>
      </c>
      <c r="BM412" s="62"/>
      <c r="BN412" s="62"/>
      <c r="BO412" s="59"/>
      <c r="BP412" s="59"/>
      <c r="BQ412" s="77"/>
      <c r="BR412" s="60"/>
      <c r="BS412" s="59"/>
      <c r="BT412" s="59"/>
      <c r="BU412" s="60"/>
      <c r="BV412" s="59"/>
      <c r="BW412" s="59"/>
      <c r="BX412" s="60"/>
      <c r="BY412" s="59"/>
      <c r="BZ412" s="59"/>
      <c r="CA412" s="59"/>
      <c r="CB412" s="59"/>
      <c r="CC412" s="59"/>
      <c r="CD412" s="59"/>
      <c r="CE412" s="59" t="s">
        <v>7670</v>
      </c>
      <c r="CF412" s="60" t="s">
        <v>3987</v>
      </c>
      <c r="CG412" s="59" t="s">
        <v>6829</v>
      </c>
      <c r="CH412" s="59" t="s">
        <v>6830</v>
      </c>
      <c r="CI412" s="59" t="s">
        <v>90</v>
      </c>
      <c r="CJ412" s="59" t="s">
        <v>111</v>
      </c>
      <c r="CK412" s="47"/>
      <c r="CL412" s="64" t="str">
        <f t="shared" ca="1" si="6"/>
        <v>20 Tahun 4 Bulan 28 Hari</v>
      </c>
      <c r="CM41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Preanger Regency Blok C No.1 RT/RW 05/06 Desa/Kelurahan Pasirwangi Kecamatan Ujungberung Bandung Jawa Barat </v>
      </c>
    </row>
    <row r="413" spans="1:91" ht="24.95" customHeight="1">
      <c r="A413" s="58">
        <f>SUBTOTAL(3,N$8:Table2[[#This Row],[Nama lengkap]])</f>
        <v>406</v>
      </c>
      <c r="B413" s="58" t="s">
        <v>86</v>
      </c>
      <c r="C413" s="58">
        <v>2018</v>
      </c>
      <c r="D413" s="58"/>
      <c r="E413" s="58">
        <v>6</v>
      </c>
      <c r="F413" s="58" t="s">
        <v>4489</v>
      </c>
      <c r="G413" s="32" t="s">
        <v>2513</v>
      </c>
      <c r="H413" s="32" t="s">
        <v>2513</v>
      </c>
      <c r="I413" s="32" t="s">
        <v>2513</v>
      </c>
      <c r="J413" s="32"/>
      <c r="K413" s="32"/>
      <c r="L413" s="32"/>
      <c r="M413" s="58">
        <v>18190202</v>
      </c>
      <c r="N413" s="24" t="s">
        <v>6177</v>
      </c>
      <c r="O413" s="24"/>
      <c r="P413" s="25" t="s">
        <v>4688</v>
      </c>
      <c r="Q413" s="25" t="s">
        <v>4689</v>
      </c>
      <c r="R413" s="59" t="s">
        <v>90</v>
      </c>
      <c r="S413" s="61" t="s">
        <v>4690</v>
      </c>
      <c r="T413" s="47" t="s">
        <v>92</v>
      </c>
      <c r="U413" s="47">
        <v>1</v>
      </c>
      <c r="V413" s="47">
        <v>2</v>
      </c>
      <c r="W413" s="47" t="s">
        <v>207</v>
      </c>
      <c r="X413" s="59"/>
      <c r="Y413" s="59" t="s">
        <v>1711</v>
      </c>
      <c r="Z413" s="59" t="s">
        <v>4691</v>
      </c>
      <c r="AA413" s="59" t="s">
        <v>1141</v>
      </c>
      <c r="AB413" s="59"/>
      <c r="AC413" s="59" t="s">
        <v>208</v>
      </c>
      <c r="AD413" s="59" t="s">
        <v>208</v>
      </c>
      <c r="AE413" s="60" t="s">
        <v>4692</v>
      </c>
      <c r="AF413" s="59" t="s">
        <v>8652</v>
      </c>
      <c r="AG413" s="59" t="s">
        <v>8652</v>
      </c>
      <c r="AH413" s="64" t="s">
        <v>2844</v>
      </c>
      <c r="AI413" s="59" t="s">
        <v>90</v>
      </c>
      <c r="AJ413" s="61">
        <v>27926</v>
      </c>
      <c r="AK413" s="60" t="s">
        <v>4693</v>
      </c>
      <c r="AL413" s="59" t="s">
        <v>602</v>
      </c>
      <c r="AM413" s="59" t="s">
        <v>4682</v>
      </c>
      <c r="AN413" s="60" t="s">
        <v>4694</v>
      </c>
      <c r="AO413" s="59"/>
      <c r="AP413" s="59" t="s">
        <v>4695</v>
      </c>
      <c r="AQ413" s="25" t="s">
        <v>1161</v>
      </c>
      <c r="AR413" s="59" t="s">
        <v>2123</v>
      </c>
      <c r="AS413" s="59" t="s">
        <v>4696</v>
      </c>
      <c r="AT413" s="59" t="s">
        <v>141</v>
      </c>
      <c r="AU413" s="59" t="s">
        <v>111</v>
      </c>
      <c r="AV413" s="62"/>
      <c r="AW413" s="59" t="s">
        <v>8151</v>
      </c>
      <c r="AX413" s="59" t="s">
        <v>2844</v>
      </c>
      <c r="AY413" s="59" t="s">
        <v>90</v>
      </c>
      <c r="AZ413" s="126">
        <v>30027</v>
      </c>
      <c r="BA413" s="60" t="s">
        <v>4697</v>
      </c>
      <c r="BB413" s="59" t="s">
        <v>845</v>
      </c>
      <c r="BC413" s="59" t="s">
        <v>149</v>
      </c>
      <c r="BD413" s="60" t="s">
        <v>4698</v>
      </c>
      <c r="BE413" s="59"/>
      <c r="BF413" s="59"/>
      <c r="BG413" s="59" t="s">
        <v>4695</v>
      </c>
      <c r="BH413" s="60" t="s">
        <v>1161</v>
      </c>
      <c r="BI413" s="59" t="s">
        <v>2123</v>
      </c>
      <c r="BJ413" s="24" t="s">
        <v>4696</v>
      </c>
      <c r="BK413" s="59" t="s">
        <v>141</v>
      </c>
      <c r="BL413" s="59" t="s">
        <v>156</v>
      </c>
      <c r="BM413" s="62"/>
      <c r="BN413" s="62"/>
      <c r="BO413" s="59"/>
      <c r="BP413" s="59"/>
      <c r="BQ413" s="77"/>
      <c r="BR413" s="60"/>
      <c r="BS413" s="59"/>
      <c r="BT413" s="59"/>
      <c r="BU413" s="60"/>
      <c r="BV413" s="59"/>
      <c r="BW413" s="59"/>
      <c r="BX413" s="60"/>
      <c r="BY413" s="59"/>
      <c r="BZ413" s="59"/>
      <c r="CA413" s="59"/>
      <c r="CB413" s="59"/>
      <c r="CC413" s="59"/>
      <c r="CD413" s="59"/>
      <c r="CE413" s="59" t="s">
        <v>7671</v>
      </c>
      <c r="CF413" s="60" t="s">
        <v>1161</v>
      </c>
      <c r="CG413" s="59" t="s">
        <v>7284</v>
      </c>
      <c r="CH413" s="59" t="s">
        <v>7285</v>
      </c>
      <c r="CI413" s="59" t="s">
        <v>90</v>
      </c>
      <c r="CJ413" s="59" t="s">
        <v>111</v>
      </c>
      <c r="CK413" s="47"/>
      <c r="CL413" s="64" t="str">
        <f t="shared" ca="1" si="6"/>
        <v>22 Tahun 9 Bulan 6 Hari</v>
      </c>
      <c r="CM41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Jl.Babakan Jati No.41 RT/RW 01/07 Desa/Kelurahan Gumuruh Kecamatan Batu Nunggal Bandung Jawa Barat </v>
      </c>
    </row>
    <row r="414" spans="1:91" ht="24.95" customHeight="1">
      <c r="A414" s="58">
        <f>SUBTOTAL(3,N$8:Table2[[#This Row],[Nama lengkap]])</f>
        <v>407</v>
      </c>
      <c r="B414" s="58" t="s">
        <v>86</v>
      </c>
      <c r="C414" s="58">
        <v>2017</v>
      </c>
      <c r="D414" s="58"/>
      <c r="E414" s="58">
        <v>6</v>
      </c>
      <c r="F414" s="58" t="s">
        <v>4489</v>
      </c>
      <c r="G414" s="32" t="s">
        <v>2513</v>
      </c>
      <c r="H414" s="32" t="s">
        <v>2513</v>
      </c>
      <c r="I414" s="32" t="s">
        <v>2513</v>
      </c>
      <c r="J414" s="32"/>
      <c r="K414" s="32"/>
      <c r="L414" s="32"/>
      <c r="M414" s="58">
        <v>17180149</v>
      </c>
      <c r="N414" s="24" t="s">
        <v>8865</v>
      </c>
      <c r="O414" s="24"/>
      <c r="P414" s="25" t="s">
        <v>4700</v>
      </c>
      <c r="Q414" s="25" t="s">
        <v>4701</v>
      </c>
      <c r="R414" s="59" t="s">
        <v>90</v>
      </c>
      <c r="S414" s="61" t="s">
        <v>4702</v>
      </c>
      <c r="T414" s="47" t="s">
        <v>92</v>
      </c>
      <c r="U414" s="47">
        <v>1</v>
      </c>
      <c r="V414" s="47">
        <v>4</v>
      </c>
      <c r="W414" s="47" t="s">
        <v>207</v>
      </c>
      <c r="X414" s="59"/>
      <c r="Y414" s="59" t="s">
        <v>793</v>
      </c>
      <c r="Z414" s="59" t="s">
        <v>986</v>
      </c>
      <c r="AA414" s="59" t="s">
        <v>96</v>
      </c>
      <c r="AB414" s="59"/>
      <c r="AC414" s="59" t="s">
        <v>208</v>
      </c>
      <c r="AD414" s="59" t="s">
        <v>208</v>
      </c>
      <c r="AE414" s="75" t="s">
        <v>4703</v>
      </c>
      <c r="AF414" s="59" t="s">
        <v>8653</v>
      </c>
      <c r="AG414" s="59" t="s">
        <v>8653</v>
      </c>
      <c r="AH414" s="59" t="s">
        <v>2844</v>
      </c>
      <c r="AI414" s="59" t="s">
        <v>90</v>
      </c>
      <c r="AJ414" s="61">
        <v>26884</v>
      </c>
      <c r="AK414" s="60" t="s">
        <v>4704</v>
      </c>
      <c r="AL414" s="59" t="s">
        <v>114</v>
      </c>
      <c r="AM414" s="59" t="s">
        <v>800</v>
      </c>
      <c r="AN414" s="60"/>
      <c r="AO414" s="59"/>
      <c r="AP414" s="59" t="s">
        <v>4705</v>
      </c>
      <c r="AQ414" s="25" t="s">
        <v>925</v>
      </c>
      <c r="AR414" s="59" t="s">
        <v>2834</v>
      </c>
      <c r="AS414" s="59" t="s">
        <v>2173</v>
      </c>
      <c r="AT414" s="59" t="s">
        <v>1090</v>
      </c>
      <c r="AU414" s="59" t="s">
        <v>111</v>
      </c>
      <c r="AV414" s="62"/>
      <c r="AW414" s="59" t="s">
        <v>8152</v>
      </c>
      <c r="AX414" s="59" t="s">
        <v>2844</v>
      </c>
      <c r="AY414" s="59" t="s">
        <v>90</v>
      </c>
      <c r="AZ414" s="126">
        <v>30415</v>
      </c>
      <c r="BA414" s="60" t="s">
        <v>4706</v>
      </c>
      <c r="BB414" s="59" t="s">
        <v>602</v>
      </c>
      <c r="BC414" s="59" t="s">
        <v>693</v>
      </c>
      <c r="BD414" s="60" t="s">
        <v>4707</v>
      </c>
      <c r="BE414" s="59"/>
      <c r="BF414" s="59"/>
      <c r="BG414" s="59" t="s">
        <v>4705</v>
      </c>
      <c r="BH414" s="60" t="s">
        <v>925</v>
      </c>
      <c r="BI414" s="59" t="s">
        <v>2834</v>
      </c>
      <c r="BJ414" s="24" t="s">
        <v>2173</v>
      </c>
      <c r="BK414" s="59" t="s">
        <v>1090</v>
      </c>
      <c r="BL414" s="59" t="s">
        <v>1938</v>
      </c>
      <c r="BM414" s="62"/>
      <c r="BN414" s="62"/>
      <c r="BO414" s="59"/>
      <c r="BP414" s="59"/>
      <c r="BQ414" s="137"/>
      <c r="BR414" s="60"/>
      <c r="BS414" s="59"/>
      <c r="BT414" s="59"/>
      <c r="BU414" s="60"/>
      <c r="BV414" s="59"/>
      <c r="BW414" s="59"/>
      <c r="BX414" s="60"/>
      <c r="BY414" s="59"/>
      <c r="BZ414" s="59"/>
      <c r="CA414" s="59"/>
      <c r="CB414" s="59"/>
      <c r="CC414" s="62"/>
      <c r="CD414" s="59"/>
      <c r="CE414" s="59" t="s">
        <v>7672</v>
      </c>
      <c r="CF414" s="60" t="s">
        <v>925</v>
      </c>
      <c r="CG414" s="59" t="s">
        <v>7202</v>
      </c>
      <c r="CH414" s="59" t="s">
        <v>561</v>
      </c>
      <c r="CI414" s="59" t="s">
        <v>122</v>
      </c>
      <c r="CJ414" s="59" t="s">
        <v>111</v>
      </c>
      <c r="CK414" s="47"/>
      <c r="CL414" s="64" t="str">
        <f t="shared" ca="1" si="6"/>
        <v>21 Tahun 0 Bulan 24 Hari</v>
      </c>
      <c r="CM41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Dangdeur Kulon RT/RW 03/01 Desa/Kelurahan Sayang Kecamatan Jatinangor Sumedang Jawa Barat </v>
      </c>
    </row>
    <row r="415" spans="1:91" ht="24.95" customHeight="1">
      <c r="A415" s="58">
        <f>SUBTOTAL(3,N$8:Table2[[#This Row],[Nama lengkap]])</f>
        <v>408</v>
      </c>
      <c r="B415" s="58" t="s">
        <v>86</v>
      </c>
      <c r="C415" s="58">
        <v>2018</v>
      </c>
      <c r="D415" s="58"/>
      <c r="E415" s="58">
        <v>6</v>
      </c>
      <c r="F415" s="58" t="s">
        <v>4489</v>
      </c>
      <c r="G415" s="32" t="s">
        <v>2513</v>
      </c>
      <c r="H415" s="32" t="s">
        <v>2513</v>
      </c>
      <c r="I415" s="32" t="s">
        <v>2513</v>
      </c>
      <c r="J415" s="32"/>
      <c r="K415" s="32"/>
      <c r="L415" s="32"/>
      <c r="M415" s="58">
        <v>18190206</v>
      </c>
      <c r="N415" s="24" t="s">
        <v>8866</v>
      </c>
      <c r="O415" s="24"/>
      <c r="P415" s="25" t="s">
        <v>4709</v>
      </c>
      <c r="Q415" s="25" t="s">
        <v>4710</v>
      </c>
      <c r="R415" s="59" t="s">
        <v>122</v>
      </c>
      <c r="S415" s="61" t="s">
        <v>4711</v>
      </c>
      <c r="T415" s="47" t="s">
        <v>92</v>
      </c>
      <c r="U415" s="47">
        <v>3</v>
      </c>
      <c r="V415" s="47">
        <v>3</v>
      </c>
      <c r="W415" s="47" t="s">
        <v>207</v>
      </c>
      <c r="X415" s="59"/>
      <c r="Y415" s="59" t="s">
        <v>4712</v>
      </c>
      <c r="Z415" s="59" t="s">
        <v>986</v>
      </c>
      <c r="AA415" s="59" t="s">
        <v>96</v>
      </c>
      <c r="AB415" s="59" t="s">
        <v>689</v>
      </c>
      <c r="AC415" s="59" t="s">
        <v>208</v>
      </c>
      <c r="AD415" s="59" t="s">
        <v>208</v>
      </c>
      <c r="AE415" s="60" t="s">
        <v>4713</v>
      </c>
      <c r="AF415" s="59" t="s">
        <v>8654</v>
      </c>
      <c r="AG415" s="59" t="s">
        <v>8654</v>
      </c>
      <c r="AH415" s="59" t="s">
        <v>2844</v>
      </c>
      <c r="AI415" s="59" t="s">
        <v>122</v>
      </c>
      <c r="AJ415" s="61">
        <v>23974</v>
      </c>
      <c r="AK415" s="60" t="s">
        <v>4714</v>
      </c>
      <c r="AL415" s="59" t="s">
        <v>8263</v>
      </c>
      <c r="AM415" s="59" t="s">
        <v>693</v>
      </c>
      <c r="AN415" s="60"/>
      <c r="AO415" s="59"/>
      <c r="AP415" s="59" t="s">
        <v>4715</v>
      </c>
      <c r="AQ415" s="25" t="s">
        <v>880</v>
      </c>
      <c r="AR415" s="59" t="s">
        <v>1752</v>
      </c>
      <c r="AS415" s="59" t="s">
        <v>1324</v>
      </c>
      <c r="AT415" s="59" t="s">
        <v>1090</v>
      </c>
      <c r="AU415" s="59" t="s">
        <v>111</v>
      </c>
      <c r="AV415" s="62"/>
      <c r="AW415" s="59" t="s">
        <v>8153</v>
      </c>
      <c r="AX415" s="59" t="s">
        <v>4716</v>
      </c>
      <c r="AY415" s="59" t="s">
        <v>122</v>
      </c>
      <c r="AZ415" s="126">
        <v>24459</v>
      </c>
      <c r="BA415" s="60" t="s">
        <v>4717</v>
      </c>
      <c r="BB415" s="59" t="s">
        <v>845</v>
      </c>
      <c r="BC415" s="59" t="s">
        <v>693</v>
      </c>
      <c r="BD415" s="60" t="s">
        <v>4718</v>
      </c>
      <c r="BE415" s="59"/>
      <c r="BF415" s="59"/>
      <c r="BG415" s="59" t="s">
        <v>4715</v>
      </c>
      <c r="BH415" s="60" t="s">
        <v>880</v>
      </c>
      <c r="BI415" s="59" t="s">
        <v>1752</v>
      </c>
      <c r="BJ415" s="24" t="s">
        <v>1324</v>
      </c>
      <c r="BK415" s="59" t="s">
        <v>1090</v>
      </c>
      <c r="BL415" s="59" t="s">
        <v>156</v>
      </c>
      <c r="BM415" s="62"/>
      <c r="BN415" s="62"/>
      <c r="BO415" s="59"/>
      <c r="BP415" s="59"/>
      <c r="BQ415" s="77"/>
      <c r="BR415" s="60"/>
      <c r="BS415" s="59"/>
      <c r="BT415" s="59"/>
      <c r="BU415" s="60"/>
      <c r="BV415" s="59"/>
      <c r="BW415" s="59"/>
      <c r="BX415" s="60"/>
      <c r="BY415" s="59"/>
      <c r="BZ415" s="59"/>
      <c r="CA415" s="59"/>
      <c r="CB415" s="59"/>
      <c r="CC415" s="59"/>
      <c r="CD415" s="59"/>
      <c r="CE415" s="59" t="s">
        <v>7673</v>
      </c>
      <c r="CF415" s="60" t="s">
        <v>880</v>
      </c>
      <c r="CG415" s="59" t="s">
        <v>7109</v>
      </c>
      <c r="CH415" s="59" t="s">
        <v>134</v>
      </c>
      <c r="CI415" s="59" t="s">
        <v>122</v>
      </c>
      <c r="CJ415" s="59" t="s">
        <v>111</v>
      </c>
      <c r="CK415" s="47"/>
      <c r="CL415" s="64" t="str">
        <f t="shared" ca="1" si="6"/>
        <v>19 Tahun 1 Bulan 0 Hari</v>
      </c>
      <c r="CM41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Suka Asih RT/RW 01/02 Desa/Kelurahan Jatihurip Kecamatan Sumedang Utara Sumedang Jawa Barat </v>
      </c>
    </row>
    <row r="416" spans="1:91" ht="24.95" customHeight="1">
      <c r="A416" s="58">
        <f>SUBTOTAL(3,N$8:Table2[[#This Row],[Nama lengkap]])</f>
        <v>409</v>
      </c>
      <c r="B416" s="58" t="s">
        <v>86</v>
      </c>
      <c r="C416" s="58">
        <v>2018</v>
      </c>
      <c r="D416" s="58"/>
      <c r="E416" s="58">
        <v>6</v>
      </c>
      <c r="F416" s="58" t="s">
        <v>4489</v>
      </c>
      <c r="G416" s="32" t="s">
        <v>2513</v>
      </c>
      <c r="H416" s="32" t="s">
        <v>2513</v>
      </c>
      <c r="I416" s="32" t="s">
        <v>2513</v>
      </c>
      <c r="J416" s="32"/>
      <c r="K416" s="32"/>
      <c r="L416" s="32"/>
      <c r="M416" s="58">
        <v>18190209</v>
      </c>
      <c r="N416" s="24" t="s">
        <v>8867</v>
      </c>
      <c r="O416" s="24"/>
      <c r="P416" s="25" t="s">
        <v>4720</v>
      </c>
      <c r="Q416" s="25" t="s">
        <v>4721</v>
      </c>
      <c r="R416" s="59" t="s">
        <v>122</v>
      </c>
      <c r="S416" s="61" t="s">
        <v>4722</v>
      </c>
      <c r="T416" s="47" t="s">
        <v>92</v>
      </c>
      <c r="U416" s="47">
        <v>4</v>
      </c>
      <c r="V416" s="47">
        <v>4</v>
      </c>
      <c r="W416" s="47" t="s">
        <v>207</v>
      </c>
      <c r="X416" s="59"/>
      <c r="Y416" s="59" t="s">
        <v>793</v>
      </c>
      <c r="Z416" s="59" t="s">
        <v>986</v>
      </c>
      <c r="AA416" s="59" t="s">
        <v>96</v>
      </c>
      <c r="AB416" s="59" t="s">
        <v>689</v>
      </c>
      <c r="AC416" s="59" t="s">
        <v>208</v>
      </c>
      <c r="AD416" s="59" t="s">
        <v>208</v>
      </c>
      <c r="AE416" s="60" t="s">
        <v>4723</v>
      </c>
      <c r="AF416" s="59" t="s">
        <v>8655</v>
      </c>
      <c r="AG416" s="59" t="s">
        <v>8656</v>
      </c>
      <c r="AH416" s="59" t="s">
        <v>1153</v>
      </c>
      <c r="AI416" s="59" t="s">
        <v>122</v>
      </c>
      <c r="AJ416" s="61">
        <v>21155</v>
      </c>
      <c r="AK416" s="60" t="s">
        <v>4724</v>
      </c>
      <c r="AL416" s="59" t="s">
        <v>914</v>
      </c>
      <c r="AM416" s="59" t="s">
        <v>4305</v>
      </c>
      <c r="AN416" s="60"/>
      <c r="AO416" s="59"/>
      <c r="AP416" s="59" t="s">
        <v>4725</v>
      </c>
      <c r="AQ416" s="25" t="s">
        <v>1441</v>
      </c>
      <c r="AR416" s="59" t="s">
        <v>1267</v>
      </c>
      <c r="AS416" s="59" t="s">
        <v>1267</v>
      </c>
      <c r="AT416" s="59" t="s">
        <v>1090</v>
      </c>
      <c r="AU416" s="59" t="s">
        <v>111</v>
      </c>
      <c r="AV416" s="62"/>
      <c r="AW416" s="59" t="s">
        <v>682</v>
      </c>
      <c r="AX416" s="59" t="s">
        <v>1153</v>
      </c>
      <c r="AY416" s="59" t="s">
        <v>122</v>
      </c>
      <c r="AZ416" s="126">
        <v>25180</v>
      </c>
      <c r="BA416" s="60" t="s">
        <v>4726</v>
      </c>
      <c r="BB416" s="59" t="s">
        <v>914</v>
      </c>
      <c r="BC416" s="59" t="s">
        <v>693</v>
      </c>
      <c r="BD416" s="60" t="s">
        <v>4727</v>
      </c>
      <c r="BE416" s="59"/>
      <c r="BF416" s="59"/>
      <c r="BG416" s="59" t="s">
        <v>4728</v>
      </c>
      <c r="BH416" s="60" t="s">
        <v>152</v>
      </c>
      <c r="BI416" s="59" t="s">
        <v>1752</v>
      </c>
      <c r="BJ416" s="24" t="s">
        <v>1324</v>
      </c>
      <c r="BK416" s="59" t="s">
        <v>2136</v>
      </c>
      <c r="BL416" s="59" t="s">
        <v>156</v>
      </c>
      <c r="BM416" s="62"/>
      <c r="BN416" s="62"/>
      <c r="BO416" s="59"/>
      <c r="BP416" s="59"/>
      <c r="BQ416" s="137"/>
      <c r="BR416" s="60"/>
      <c r="BS416" s="59"/>
      <c r="BT416" s="59"/>
      <c r="BU416" s="60"/>
      <c r="BV416" s="59"/>
      <c r="BW416" s="59"/>
      <c r="BX416" s="60"/>
      <c r="BY416" s="59"/>
      <c r="BZ416" s="59"/>
      <c r="CA416" s="59"/>
      <c r="CB416" s="59"/>
      <c r="CC416" s="62"/>
      <c r="CD416" s="59"/>
      <c r="CE416" s="59" t="s">
        <v>7674</v>
      </c>
      <c r="CF416" s="60" t="s">
        <v>1441</v>
      </c>
      <c r="CG416" s="59" t="s">
        <v>7064</v>
      </c>
      <c r="CH416" s="59" t="s">
        <v>7064</v>
      </c>
      <c r="CI416" s="59" t="s">
        <v>122</v>
      </c>
      <c r="CJ416" s="59" t="s">
        <v>111</v>
      </c>
      <c r="CK416" s="47"/>
      <c r="CL416" s="64" t="str">
        <f t="shared" ca="1" si="6"/>
        <v>18 Tahun 7 Bulan 7 Hari</v>
      </c>
      <c r="CM41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Ciwaru RT/RW 01/06 Desa/Kelurahan Cisarua Kecamatan Cisarua Sumedang Jawa Barat </v>
      </c>
    </row>
    <row r="417" spans="1:91" ht="24.95" customHeight="1">
      <c r="A417" s="58">
        <f>SUBTOTAL(3,N$8:Table2[[#This Row],[Nama lengkap]])</f>
        <v>410</v>
      </c>
      <c r="B417" s="58" t="s">
        <v>86</v>
      </c>
      <c r="C417" s="58">
        <v>2019</v>
      </c>
      <c r="D417" s="58"/>
      <c r="E417" s="58">
        <v>6</v>
      </c>
      <c r="F417" s="58" t="s">
        <v>4489</v>
      </c>
      <c r="G417" s="32" t="s">
        <v>2513</v>
      </c>
      <c r="H417" s="32" t="s">
        <v>2513</v>
      </c>
      <c r="I417" s="32" t="s">
        <v>2513</v>
      </c>
      <c r="J417" s="32"/>
      <c r="K417" s="32"/>
      <c r="L417" s="32"/>
      <c r="M417" s="58">
        <v>19200312</v>
      </c>
      <c r="N417" s="24" t="s">
        <v>6180</v>
      </c>
      <c r="O417" s="24"/>
      <c r="P417" s="25" t="s">
        <v>4730</v>
      </c>
      <c r="Q417" s="25" t="s">
        <v>4731</v>
      </c>
      <c r="R417" s="59" t="s">
        <v>90</v>
      </c>
      <c r="S417" s="61" t="s">
        <v>4732</v>
      </c>
      <c r="T417" s="47" t="s">
        <v>92</v>
      </c>
      <c r="U417" s="47">
        <v>3</v>
      </c>
      <c r="V417" s="47">
        <v>4</v>
      </c>
      <c r="W417" s="47" t="s">
        <v>207</v>
      </c>
      <c r="X417" s="59"/>
      <c r="Y417" s="59"/>
      <c r="Z417" s="59"/>
      <c r="AA417" s="59" t="s">
        <v>96</v>
      </c>
      <c r="AB417" s="59"/>
      <c r="AC417" s="59" t="s">
        <v>208</v>
      </c>
      <c r="AD417" s="59" t="s">
        <v>208</v>
      </c>
      <c r="AE417" s="60" t="s">
        <v>4733</v>
      </c>
      <c r="AF417" s="59" t="s">
        <v>8657</v>
      </c>
      <c r="AG417" s="59" t="s">
        <v>8657</v>
      </c>
      <c r="AH417" s="59" t="s">
        <v>2844</v>
      </c>
      <c r="AI417" s="59" t="s">
        <v>8283</v>
      </c>
      <c r="AJ417" s="61">
        <v>25788</v>
      </c>
      <c r="AK417" s="60" t="s">
        <v>4734</v>
      </c>
      <c r="AL417" s="59" t="s">
        <v>114</v>
      </c>
      <c r="AM417" s="59" t="s">
        <v>800</v>
      </c>
      <c r="AN417" s="60"/>
      <c r="AO417" s="59"/>
      <c r="AP417" s="59" t="s">
        <v>4735</v>
      </c>
      <c r="AQ417" s="25" t="s">
        <v>3053</v>
      </c>
      <c r="AR417" s="59" t="s">
        <v>4544</v>
      </c>
      <c r="AS417" s="59" t="s">
        <v>1529</v>
      </c>
      <c r="AT417" s="59" t="s">
        <v>141</v>
      </c>
      <c r="AU417" s="59" t="s">
        <v>111</v>
      </c>
      <c r="AV417" s="62"/>
      <c r="AW417" s="59" t="s">
        <v>8154</v>
      </c>
      <c r="AX417" s="59" t="s">
        <v>2844</v>
      </c>
      <c r="AY417" s="59" t="s">
        <v>90</v>
      </c>
      <c r="AZ417" s="126">
        <v>26816</v>
      </c>
      <c r="BA417" s="60" t="s">
        <v>4736</v>
      </c>
      <c r="BB417" s="59" t="s">
        <v>845</v>
      </c>
      <c r="BC417" s="59" t="s">
        <v>700</v>
      </c>
      <c r="BD417" s="60" t="s">
        <v>4737</v>
      </c>
      <c r="BE417" s="59"/>
      <c r="BF417" s="59"/>
      <c r="BG417" s="59" t="s">
        <v>4735</v>
      </c>
      <c r="BH417" s="60" t="s">
        <v>3053</v>
      </c>
      <c r="BI417" s="59" t="s">
        <v>4544</v>
      </c>
      <c r="BJ417" s="24" t="s">
        <v>1529</v>
      </c>
      <c r="BK417" s="59" t="s">
        <v>141</v>
      </c>
      <c r="BL417" s="59" t="s">
        <v>156</v>
      </c>
      <c r="BM417" s="62"/>
      <c r="BN417" s="62"/>
      <c r="BO417" s="59"/>
      <c r="BP417" s="59"/>
      <c r="BQ417" s="77"/>
      <c r="BR417" s="60"/>
      <c r="BS417" s="59"/>
      <c r="BT417" s="59"/>
      <c r="BU417" s="60"/>
      <c r="BV417" s="59"/>
      <c r="BW417" s="59"/>
      <c r="BX417" s="60"/>
      <c r="BY417" s="59"/>
      <c r="BZ417" s="59"/>
      <c r="CA417" s="59"/>
      <c r="CB417" s="59"/>
      <c r="CC417" s="59"/>
      <c r="CD417" s="59"/>
      <c r="CE417" s="59" t="s">
        <v>7675</v>
      </c>
      <c r="CF417" s="60" t="s">
        <v>3053</v>
      </c>
      <c r="CG417" s="59" t="s">
        <v>7279</v>
      </c>
      <c r="CH417" s="59" t="s">
        <v>4835</v>
      </c>
      <c r="CI417" s="59" t="s">
        <v>90</v>
      </c>
      <c r="CJ417" s="59" t="s">
        <v>111</v>
      </c>
      <c r="CK417" s="47"/>
      <c r="CL417" s="64" t="str">
        <f t="shared" ca="1" si="6"/>
        <v>19 Tahun 3 Bulan 18 Hari</v>
      </c>
      <c r="CM41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Pasirjati RT/RW 02/04 Desa/Kelurahan Lebakwangi Kecamatan Arjasari Bandung Jawa Barat </v>
      </c>
    </row>
    <row r="418" spans="1:91" ht="24.95" customHeight="1">
      <c r="A418" s="58">
        <f>SUBTOTAL(3,N$8:Table2[[#This Row],[Nama lengkap]])</f>
        <v>411</v>
      </c>
      <c r="B418" s="58" t="s">
        <v>86</v>
      </c>
      <c r="C418" s="58">
        <v>2018</v>
      </c>
      <c r="D418" s="58"/>
      <c r="E418" s="58">
        <v>6</v>
      </c>
      <c r="F418" s="58" t="s">
        <v>4489</v>
      </c>
      <c r="G418" s="32" t="s">
        <v>2513</v>
      </c>
      <c r="H418" s="32" t="s">
        <v>2513</v>
      </c>
      <c r="I418" s="32" t="s">
        <v>2513</v>
      </c>
      <c r="J418" s="32"/>
      <c r="K418" s="32"/>
      <c r="L418" s="32"/>
      <c r="M418" s="58">
        <v>18190213</v>
      </c>
      <c r="N418" s="24" t="s">
        <v>6181</v>
      </c>
      <c r="O418" s="24"/>
      <c r="P418" s="25" t="s">
        <v>4739</v>
      </c>
      <c r="Q418" s="25" t="s">
        <v>4740</v>
      </c>
      <c r="R418" s="59" t="s">
        <v>122</v>
      </c>
      <c r="S418" s="61" t="s">
        <v>4741</v>
      </c>
      <c r="T418" s="47" t="s">
        <v>92</v>
      </c>
      <c r="U418" s="47">
        <v>2</v>
      </c>
      <c r="V418" s="47">
        <v>5</v>
      </c>
      <c r="W418" s="47" t="s">
        <v>207</v>
      </c>
      <c r="X418" s="59"/>
      <c r="Y418" s="59" t="s">
        <v>793</v>
      </c>
      <c r="Z418" s="59"/>
      <c r="AA418" s="59" t="s">
        <v>96</v>
      </c>
      <c r="AB418" s="59" t="s">
        <v>689</v>
      </c>
      <c r="AC418" s="59" t="s">
        <v>208</v>
      </c>
      <c r="AD418" s="59" t="s">
        <v>208</v>
      </c>
      <c r="AE418" s="60" t="s">
        <v>4742</v>
      </c>
      <c r="AF418" s="59" t="s">
        <v>8658</v>
      </c>
      <c r="AG418" s="59" t="s">
        <v>8658</v>
      </c>
      <c r="AH418" s="59" t="s">
        <v>2844</v>
      </c>
      <c r="AI418" s="59" t="s">
        <v>90</v>
      </c>
      <c r="AJ418" s="61">
        <v>27085</v>
      </c>
      <c r="AK418" s="60" t="s">
        <v>4743</v>
      </c>
      <c r="AL418" s="59" t="s">
        <v>114</v>
      </c>
      <c r="AM418" s="59" t="s">
        <v>4744</v>
      </c>
      <c r="AN418" s="60"/>
      <c r="AO418" s="59"/>
      <c r="AP418" s="59" t="s">
        <v>3380</v>
      </c>
      <c r="AQ418" s="25" t="s">
        <v>1290</v>
      </c>
      <c r="AR418" s="59" t="s">
        <v>2834</v>
      </c>
      <c r="AS418" s="59" t="s">
        <v>2173</v>
      </c>
      <c r="AT418" s="59" t="s">
        <v>1090</v>
      </c>
      <c r="AU418" s="59" t="s">
        <v>111</v>
      </c>
      <c r="AV418" s="62"/>
      <c r="AW418" s="59" t="s">
        <v>8155</v>
      </c>
      <c r="AX418" s="59" t="s">
        <v>2844</v>
      </c>
      <c r="AY418" s="59" t="s">
        <v>122</v>
      </c>
      <c r="AZ418" s="126">
        <v>30371</v>
      </c>
      <c r="BA418" s="60" t="s">
        <v>4745</v>
      </c>
      <c r="BB418" s="59" t="s">
        <v>845</v>
      </c>
      <c r="BC418" s="59" t="s">
        <v>800</v>
      </c>
      <c r="BD418" s="60" t="s">
        <v>4746</v>
      </c>
      <c r="BE418" s="59"/>
      <c r="BF418" s="59"/>
      <c r="BG418" s="59" t="s">
        <v>3380</v>
      </c>
      <c r="BH418" s="60" t="s">
        <v>1290</v>
      </c>
      <c r="BI418" s="59" t="s">
        <v>2834</v>
      </c>
      <c r="BJ418" s="24" t="s">
        <v>2173</v>
      </c>
      <c r="BK418" s="59" t="s">
        <v>1090</v>
      </c>
      <c r="BL418" s="59" t="s">
        <v>1214</v>
      </c>
      <c r="BM418" s="62"/>
      <c r="BN418" s="62"/>
      <c r="BO418" s="59"/>
      <c r="BP418" s="59"/>
      <c r="BQ418" s="77"/>
      <c r="BR418" s="60"/>
      <c r="BS418" s="59"/>
      <c r="BT418" s="59"/>
      <c r="BU418" s="60"/>
      <c r="BV418" s="59"/>
      <c r="BW418" s="59"/>
      <c r="BX418" s="60"/>
      <c r="BY418" s="59"/>
      <c r="BZ418" s="59"/>
      <c r="CA418" s="59"/>
      <c r="CB418" s="59"/>
      <c r="CC418" s="59"/>
      <c r="CD418" s="59"/>
      <c r="CE418" s="59" t="s">
        <v>617</v>
      </c>
      <c r="CF418" s="60" t="s">
        <v>1290</v>
      </c>
      <c r="CG418" s="59" t="s">
        <v>7202</v>
      </c>
      <c r="CH418" s="59" t="s">
        <v>561</v>
      </c>
      <c r="CI418" s="59" t="s">
        <v>122</v>
      </c>
      <c r="CJ418" s="59" t="s">
        <v>111</v>
      </c>
      <c r="CK418" s="47"/>
      <c r="CL418" s="64" t="str">
        <f t="shared" ca="1" si="6"/>
        <v>20 Tahun 4 Bulan 10 Hari</v>
      </c>
      <c r="CM41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Neglasari RT/RW 03/03 Desa/Kelurahan Sayang Kecamatan Jatinangor Sumedang Jawa Barat </v>
      </c>
    </row>
    <row r="419" spans="1:91" ht="24.95" customHeight="1">
      <c r="A419" s="58">
        <f>SUBTOTAL(3,N$8:Table2[[#This Row],[Nama lengkap]])</f>
        <v>412</v>
      </c>
      <c r="B419" s="58" t="s">
        <v>86</v>
      </c>
      <c r="C419" s="58">
        <v>2018</v>
      </c>
      <c r="D419" s="58"/>
      <c r="E419" s="58">
        <v>6</v>
      </c>
      <c r="F419" s="58" t="s">
        <v>4489</v>
      </c>
      <c r="G419" s="32" t="s">
        <v>2513</v>
      </c>
      <c r="H419" s="32" t="s">
        <v>2513</v>
      </c>
      <c r="I419" s="32" t="s">
        <v>2513</v>
      </c>
      <c r="J419" s="32"/>
      <c r="K419" s="32"/>
      <c r="L419" s="32"/>
      <c r="M419" s="58">
        <v>18190214</v>
      </c>
      <c r="N419" s="24" t="s">
        <v>6182</v>
      </c>
      <c r="O419" s="24"/>
      <c r="P419" s="25" t="s">
        <v>4747</v>
      </c>
      <c r="Q419" s="25" t="s">
        <v>4748</v>
      </c>
      <c r="R419" s="59" t="s">
        <v>236</v>
      </c>
      <c r="S419" s="61" t="s">
        <v>4749</v>
      </c>
      <c r="T419" s="47" t="s">
        <v>92</v>
      </c>
      <c r="U419" s="47">
        <v>1</v>
      </c>
      <c r="V419" s="47">
        <v>1</v>
      </c>
      <c r="W419" s="47" t="s">
        <v>207</v>
      </c>
      <c r="X419" s="59"/>
      <c r="Y419" s="59" t="s">
        <v>793</v>
      </c>
      <c r="Z419" s="59" t="s">
        <v>4750</v>
      </c>
      <c r="AA419" s="59" t="s">
        <v>96</v>
      </c>
      <c r="AB419" s="59" t="s">
        <v>689</v>
      </c>
      <c r="AC419" s="59" t="s">
        <v>208</v>
      </c>
      <c r="AD419" s="59" t="s">
        <v>208</v>
      </c>
      <c r="AE419" s="60" t="s">
        <v>4751</v>
      </c>
      <c r="AF419" s="59" t="s">
        <v>8659</v>
      </c>
      <c r="AG419" s="59" t="s">
        <v>8659</v>
      </c>
      <c r="AH419" s="59" t="s">
        <v>2844</v>
      </c>
      <c r="AI419" s="59" t="s">
        <v>90</v>
      </c>
      <c r="AJ419" s="61">
        <v>29686</v>
      </c>
      <c r="AK419" s="60" t="s">
        <v>4752</v>
      </c>
      <c r="AL419" s="59" t="s">
        <v>5261</v>
      </c>
      <c r="AM419" s="59" t="s">
        <v>4753</v>
      </c>
      <c r="AN419" s="60"/>
      <c r="AO419" s="59"/>
      <c r="AP419" s="59" t="s">
        <v>4754</v>
      </c>
      <c r="AQ419" s="25" t="s">
        <v>4755</v>
      </c>
      <c r="AR419" s="59" t="s">
        <v>4756</v>
      </c>
      <c r="AS419" s="59" t="s">
        <v>2996</v>
      </c>
      <c r="AT419" s="59" t="s">
        <v>141</v>
      </c>
      <c r="AU419" s="59" t="s">
        <v>111</v>
      </c>
      <c r="AV419" s="62"/>
      <c r="AW419" s="59" t="s">
        <v>8156</v>
      </c>
      <c r="AX419" s="59" t="s">
        <v>2844</v>
      </c>
      <c r="AY419" s="59" t="s">
        <v>236</v>
      </c>
      <c r="AZ419" s="126" t="s">
        <v>4757</v>
      </c>
      <c r="BA419" s="60" t="s">
        <v>4758</v>
      </c>
      <c r="BB419" s="59" t="s">
        <v>845</v>
      </c>
      <c r="BC419" s="59" t="s">
        <v>4759</v>
      </c>
      <c r="BD419" s="60" t="s">
        <v>4760</v>
      </c>
      <c r="BE419" s="59"/>
      <c r="BF419" s="59"/>
      <c r="BG419" s="59" t="s">
        <v>4754</v>
      </c>
      <c r="BH419" s="60" t="s">
        <v>4755</v>
      </c>
      <c r="BI419" s="59" t="s">
        <v>4756</v>
      </c>
      <c r="BJ419" s="24" t="s">
        <v>2996</v>
      </c>
      <c r="BK419" s="59" t="s">
        <v>141</v>
      </c>
      <c r="BL419" s="59" t="s">
        <v>156</v>
      </c>
      <c r="BM419" s="62"/>
      <c r="BN419" s="62"/>
      <c r="BO419" s="59"/>
      <c r="BP419" s="59"/>
      <c r="BQ419" s="77"/>
      <c r="BR419" s="60"/>
      <c r="BS419" s="59"/>
      <c r="BT419" s="59"/>
      <c r="BU419" s="60"/>
      <c r="BV419" s="59"/>
      <c r="BW419" s="59"/>
      <c r="BX419" s="60"/>
      <c r="BY419" s="59"/>
      <c r="BZ419" s="59"/>
      <c r="CA419" s="59"/>
      <c r="CB419" s="59"/>
      <c r="CC419" s="59"/>
      <c r="CD419" s="59"/>
      <c r="CE419" s="59" t="s">
        <v>7676</v>
      </c>
      <c r="CF419" s="60" t="s">
        <v>4755</v>
      </c>
      <c r="CG419" s="59" t="s">
        <v>7286</v>
      </c>
      <c r="CH419" s="59" t="s">
        <v>7211</v>
      </c>
      <c r="CI419" s="59" t="s">
        <v>90</v>
      </c>
      <c r="CJ419" s="59" t="s">
        <v>111</v>
      </c>
      <c r="CK419" s="47"/>
      <c r="CL419" s="64" t="str">
        <f t="shared" ca="1" si="6"/>
        <v>19 Tahun 9 Bulan 21 Hari</v>
      </c>
      <c r="CM41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Kp.Rancamanyar RT/RW 04/10 Desa/Kelurahan Margamukti Kecamatan Pangalengan Bandung Jawa Barat </v>
      </c>
    </row>
    <row r="420" spans="1:91" ht="24.95" customHeight="1">
      <c r="A420" s="58">
        <f>SUBTOTAL(3,N$8:Table2[[#This Row],[Nama lengkap]])</f>
        <v>413</v>
      </c>
      <c r="B420" s="58" t="s">
        <v>86</v>
      </c>
      <c r="C420" s="58">
        <v>2018</v>
      </c>
      <c r="D420" s="58"/>
      <c r="E420" s="58">
        <v>6</v>
      </c>
      <c r="F420" s="58" t="s">
        <v>4489</v>
      </c>
      <c r="G420" s="32" t="s">
        <v>2513</v>
      </c>
      <c r="H420" s="32" t="s">
        <v>2513</v>
      </c>
      <c r="I420" s="32" t="s">
        <v>2513</v>
      </c>
      <c r="J420" s="32"/>
      <c r="K420" s="32"/>
      <c r="L420" s="32"/>
      <c r="M420" s="58">
        <v>18190215</v>
      </c>
      <c r="N420" s="24" t="s">
        <v>6183</v>
      </c>
      <c r="O420" s="24"/>
      <c r="P420" s="25" t="s">
        <v>4762</v>
      </c>
      <c r="Q420" s="25" t="s">
        <v>4763</v>
      </c>
      <c r="R420" s="59" t="s">
        <v>122</v>
      </c>
      <c r="S420" s="61" t="s">
        <v>4764</v>
      </c>
      <c r="T420" s="47" t="s">
        <v>92</v>
      </c>
      <c r="U420" s="47">
        <v>3</v>
      </c>
      <c r="V420" s="47">
        <v>3</v>
      </c>
      <c r="W420" s="47" t="s">
        <v>207</v>
      </c>
      <c r="X420" s="59"/>
      <c r="Y420" s="59" t="s">
        <v>793</v>
      </c>
      <c r="Z420" s="59" t="s">
        <v>4765</v>
      </c>
      <c r="AA420" s="59" t="s">
        <v>96</v>
      </c>
      <c r="AB420" s="59" t="s">
        <v>689</v>
      </c>
      <c r="AC420" s="59" t="s">
        <v>208</v>
      </c>
      <c r="AD420" s="59" t="s">
        <v>208</v>
      </c>
      <c r="AE420" s="60" t="s">
        <v>4766</v>
      </c>
      <c r="AF420" s="59" t="s">
        <v>8660</v>
      </c>
      <c r="AG420" s="59" t="s">
        <v>8660</v>
      </c>
      <c r="AH420" s="59" t="s">
        <v>2844</v>
      </c>
      <c r="AI420" s="59" t="s">
        <v>122</v>
      </c>
      <c r="AJ420" s="61">
        <v>25369</v>
      </c>
      <c r="AK420" s="60" t="s">
        <v>4767</v>
      </c>
      <c r="AL420" s="59" t="s">
        <v>114</v>
      </c>
      <c r="AM420" s="59" t="s">
        <v>4585</v>
      </c>
      <c r="AN420" s="60"/>
      <c r="AO420" s="59"/>
      <c r="AP420" s="59" t="s">
        <v>4768</v>
      </c>
      <c r="AQ420" s="25" t="s">
        <v>3228</v>
      </c>
      <c r="AR420" s="59" t="s">
        <v>1323</v>
      </c>
      <c r="AS420" s="59" t="s">
        <v>1324</v>
      </c>
      <c r="AT420" s="59" t="s">
        <v>1090</v>
      </c>
      <c r="AU420" s="59" t="s">
        <v>111</v>
      </c>
      <c r="AV420" s="59"/>
      <c r="AW420" s="59" t="s">
        <v>8157</v>
      </c>
      <c r="AX420" s="59" t="s">
        <v>2844</v>
      </c>
      <c r="AY420" s="59" t="s">
        <v>122</v>
      </c>
      <c r="AZ420" s="126">
        <v>25682</v>
      </c>
      <c r="BA420" s="60" t="s">
        <v>4769</v>
      </c>
      <c r="BB420" s="59" t="s">
        <v>845</v>
      </c>
      <c r="BC420" s="59" t="s">
        <v>4585</v>
      </c>
      <c r="BD420" s="60" t="s">
        <v>4770</v>
      </c>
      <c r="BE420" s="59"/>
      <c r="BF420" s="59"/>
      <c r="BG420" s="59" t="s">
        <v>4768</v>
      </c>
      <c r="BH420" s="60" t="s">
        <v>3228</v>
      </c>
      <c r="BI420" s="59" t="s">
        <v>1323</v>
      </c>
      <c r="BJ420" s="24" t="s">
        <v>1324</v>
      </c>
      <c r="BK420" s="59" t="s">
        <v>1090</v>
      </c>
      <c r="BL420" s="59" t="s">
        <v>156</v>
      </c>
      <c r="BM420" s="62"/>
      <c r="BN420" s="62"/>
      <c r="BO420" s="59"/>
      <c r="BP420" s="59"/>
      <c r="BQ420" s="77"/>
      <c r="BR420" s="60"/>
      <c r="BS420" s="59"/>
      <c r="BT420" s="59"/>
      <c r="BU420" s="60"/>
      <c r="BV420" s="59"/>
      <c r="BW420" s="59"/>
      <c r="BX420" s="60"/>
      <c r="BY420" s="59"/>
      <c r="BZ420" s="59"/>
      <c r="CA420" s="59"/>
      <c r="CB420" s="59"/>
      <c r="CC420" s="59"/>
      <c r="CD420" s="59"/>
      <c r="CE420" s="59" t="s">
        <v>7677</v>
      </c>
      <c r="CF420" s="60" t="s">
        <v>3228</v>
      </c>
      <c r="CG420" s="59" t="s">
        <v>7067</v>
      </c>
      <c r="CH420" s="59" t="s">
        <v>134</v>
      </c>
      <c r="CI420" s="59" t="s">
        <v>122</v>
      </c>
      <c r="CJ420" s="59" t="s">
        <v>111</v>
      </c>
      <c r="CK420" s="47"/>
      <c r="CL420" s="64" t="str">
        <f t="shared" ca="1" si="6"/>
        <v>19 Tahun 6 Bulan 11 Hari</v>
      </c>
      <c r="CM42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Lingk.Cipadung RT/RW 04/14 Desa/Kelurahan Kotakaler Kecamatan Sumedang Utara Sumedang Jawa Barat </v>
      </c>
    </row>
    <row r="421" spans="1:91" ht="24.95" customHeight="1">
      <c r="A421" s="58">
        <f>SUBTOTAL(3,N$8:Table2[[#This Row],[Nama lengkap]])</f>
        <v>414</v>
      </c>
      <c r="B421" s="58" t="s">
        <v>86</v>
      </c>
      <c r="C421" s="58">
        <v>2018</v>
      </c>
      <c r="D421" s="58" t="s">
        <v>8936</v>
      </c>
      <c r="E421" s="58">
        <v>6</v>
      </c>
      <c r="F421" s="58" t="s">
        <v>4489</v>
      </c>
      <c r="G421" s="32" t="s">
        <v>2513</v>
      </c>
      <c r="H421" s="32" t="s">
        <v>2513</v>
      </c>
      <c r="I421" s="32" t="s">
        <v>2513</v>
      </c>
      <c r="J421" s="32"/>
      <c r="K421" s="32"/>
      <c r="L421" s="32"/>
      <c r="M421" s="58">
        <v>18190216</v>
      </c>
      <c r="N421" s="24" t="s">
        <v>6184</v>
      </c>
      <c r="O421" s="24"/>
      <c r="P421" s="25" t="s">
        <v>4772</v>
      </c>
      <c r="Q421" s="25" t="s">
        <v>4773</v>
      </c>
      <c r="R421" s="59" t="s">
        <v>122</v>
      </c>
      <c r="S421" s="61" t="s">
        <v>4774</v>
      </c>
      <c r="T421" s="47" t="s">
        <v>92</v>
      </c>
      <c r="U421" s="47">
        <v>2</v>
      </c>
      <c r="V421" s="47">
        <v>3</v>
      </c>
      <c r="W421" s="47" t="s">
        <v>207</v>
      </c>
      <c r="X421" s="59"/>
      <c r="Y421" s="59" t="s">
        <v>1012</v>
      </c>
      <c r="Z421" s="59" t="s">
        <v>707</v>
      </c>
      <c r="AA421" s="59" t="s">
        <v>96</v>
      </c>
      <c r="AB421" s="59"/>
      <c r="AC421" s="59" t="s">
        <v>208</v>
      </c>
      <c r="AD421" s="59" t="s">
        <v>208</v>
      </c>
      <c r="AE421" s="75" t="s">
        <v>4775</v>
      </c>
      <c r="AF421" s="59" t="s">
        <v>8661</v>
      </c>
      <c r="AG421" s="59" t="s">
        <v>8661</v>
      </c>
      <c r="AH421" s="59" t="s">
        <v>2844</v>
      </c>
      <c r="AI421" s="59" t="s">
        <v>122</v>
      </c>
      <c r="AJ421" s="61">
        <v>28807</v>
      </c>
      <c r="AK421" s="60" t="s">
        <v>4776</v>
      </c>
      <c r="AL421" s="59" t="s">
        <v>914</v>
      </c>
      <c r="AM421" s="59" t="s">
        <v>693</v>
      </c>
      <c r="AN421" s="60"/>
      <c r="AO421" s="59"/>
      <c r="AP421" s="59" t="s">
        <v>4777</v>
      </c>
      <c r="AQ421" s="25" t="s">
        <v>4778</v>
      </c>
      <c r="AR421" s="59" t="s">
        <v>4779</v>
      </c>
      <c r="AS421" s="59" t="s">
        <v>2094</v>
      </c>
      <c r="AT421" s="59" t="s">
        <v>1090</v>
      </c>
      <c r="AU421" s="59" t="s">
        <v>111</v>
      </c>
      <c r="AV421" s="62"/>
      <c r="AW421" s="59" t="s">
        <v>8158</v>
      </c>
      <c r="AX421" s="59" t="s">
        <v>2844</v>
      </c>
      <c r="AY421" s="59" t="s">
        <v>122</v>
      </c>
      <c r="AZ421" s="126">
        <v>30749</v>
      </c>
      <c r="BA421" s="60" t="s">
        <v>4780</v>
      </c>
      <c r="BB421" s="59" t="s">
        <v>845</v>
      </c>
      <c r="BC421" s="59" t="s">
        <v>4781</v>
      </c>
      <c r="BD421" s="60" t="s">
        <v>4782</v>
      </c>
      <c r="BE421" s="59"/>
      <c r="BF421" s="59"/>
      <c r="BG421" s="59" t="s">
        <v>4777</v>
      </c>
      <c r="BH421" s="60" t="s">
        <v>4778</v>
      </c>
      <c r="BI421" s="59" t="s">
        <v>4779</v>
      </c>
      <c r="BJ421" s="24" t="s">
        <v>2094</v>
      </c>
      <c r="BK421" s="59" t="s">
        <v>1090</v>
      </c>
      <c r="BL421" s="59" t="s">
        <v>156</v>
      </c>
      <c r="BM421" s="62"/>
      <c r="BN421" s="62"/>
      <c r="BO421" s="59"/>
      <c r="BP421" s="59"/>
      <c r="BQ421" s="77"/>
      <c r="BR421" s="60"/>
      <c r="BS421" s="59"/>
      <c r="BT421" s="59"/>
      <c r="BU421" s="60"/>
      <c r="BV421" s="59"/>
      <c r="BW421" s="59"/>
      <c r="BX421" s="60"/>
      <c r="BY421" s="59"/>
      <c r="BZ421" s="59"/>
      <c r="CA421" s="59"/>
      <c r="CB421" s="59"/>
      <c r="CC421" s="59"/>
      <c r="CD421" s="59"/>
      <c r="CE421" s="59" t="s">
        <v>7678</v>
      </c>
      <c r="CF421" s="60" t="s">
        <v>4778</v>
      </c>
      <c r="CG421" s="59" t="s">
        <v>7287</v>
      </c>
      <c r="CH421" s="59" t="s">
        <v>7140</v>
      </c>
      <c r="CI421" s="59" t="s">
        <v>122</v>
      </c>
      <c r="CJ421" s="59" t="s">
        <v>111</v>
      </c>
      <c r="CK421" s="47"/>
      <c r="CL421" s="64" t="str">
        <f t="shared" ca="1" si="6"/>
        <v>20 Tahun 0 Bulan 10 Hari</v>
      </c>
      <c r="CM42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Cibulakan RT/RW 02/10 Desa/Kelurahan Pasir Biru Kecamatan Rancakalong Sumedang Jawa Barat </v>
      </c>
    </row>
    <row r="422" spans="1:91" ht="24.95" customHeight="1">
      <c r="A422" s="58">
        <f>SUBTOTAL(3,N$8:Table2[[#This Row],[Nama lengkap]])</f>
        <v>415</v>
      </c>
      <c r="B422" s="58" t="s">
        <v>86</v>
      </c>
      <c r="C422" s="58">
        <v>2018</v>
      </c>
      <c r="D422" s="58"/>
      <c r="E422" s="58">
        <v>6</v>
      </c>
      <c r="F422" s="58" t="s">
        <v>4489</v>
      </c>
      <c r="G422" s="32" t="s">
        <v>2513</v>
      </c>
      <c r="H422" s="32" t="s">
        <v>2513</v>
      </c>
      <c r="I422" s="32" t="s">
        <v>2513</v>
      </c>
      <c r="J422" s="32"/>
      <c r="K422" s="32"/>
      <c r="L422" s="32"/>
      <c r="M422" s="58">
        <v>18190240</v>
      </c>
      <c r="N422" s="24" t="s">
        <v>6185</v>
      </c>
      <c r="O422" s="24"/>
      <c r="P422" s="25" t="s">
        <v>4784</v>
      </c>
      <c r="Q422" s="25" t="s">
        <v>4785</v>
      </c>
      <c r="R422" s="59" t="s">
        <v>623</v>
      </c>
      <c r="S422" s="61" t="s">
        <v>4786</v>
      </c>
      <c r="T422" s="47" t="s">
        <v>92</v>
      </c>
      <c r="U422" s="47">
        <v>1</v>
      </c>
      <c r="V422" s="47">
        <v>2</v>
      </c>
      <c r="W422" s="47" t="s">
        <v>207</v>
      </c>
      <c r="X422" s="59"/>
      <c r="Y422" s="59" t="s">
        <v>1012</v>
      </c>
      <c r="Z422" s="59" t="s">
        <v>1776</v>
      </c>
      <c r="AA422" s="59" t="s">
        <v>1141</v>
      </c>
      <c r="AB422" s="59"/>
      <c r="AC422" s="59" t="s">
        <v>208</v>
      </c>
      <c r="AD422" s="59" t="s">
        <v>208</v>
      </c>
      <c r="AE422" s="60" t="s">
        <v>4787</v>
      </c>
      <c r="AF422" s="59" t="s">
        <v>8662</v>
      </c>
      <c r="AG422" s="59" t="s">
        <v>8662</v>
      </c>
      <c r="AH422" s="59" t="s">
        <v>2844</v>
      </c>
      <c r="AI422" s="59" t="s">
        <v>623</v>
      </c>
      <c r="AJ422" s="61">
        <v>26579</v>
      </c>
      <c r="AK422" s="60" t="s">
        <v>4788</v>
      </c>
      <c r="AL422" s="59" t="s">
        <v>914</v>
      </c>
      <c r="AM422" s="59" t="s">
        <v>693</v>
      </c>
      <c r="AN422" s="60"/>
      <c r="AO422" s="59"/>
      <c r="AP422" s="59" t="s">
        <v>4408</v>
      </c>
      <c r="AQ422" s="25" t="s">
        <v>3791</v>
      </c>
      <c r="AR422" s="59" t="s">
        <v>770</v>
      </c>
      <c r="AS422" s="59" t="s">
        <v>3455</v>
      </c>
      <c r="AT422" s="59" t="s">
        <v>1058</v>
      </c>
      <c r="AU422" s="59" t="s">
        <v>111</v>
      </c>
      <c r="AV422" s="62"/>
      <c r="AW422" s="59" t="s">
        <v>8159</v>
      </c>
      <c r="AX422" s="59" t="s">
        <v>2844</v>
      </c>
      <c r="AY422" s="59" t="s">
        <v>623</v>
      </c>
      <c r="AZ422" s="126">
        <v>30734</v>
      </c>
      <c r="BA422" s="60" t="s">
        <v>4789</v>
      </c>
      <c r="BB422" s="59" t="s">
        <v>845</v>
      </c>
      <c r="BC422" s="59" t="s">
        <v>4759</v>
      </c>
      <c r="BD422" s="60" t="s">
        <v>4790</v>
      </c>
      <c r="BE422" s="59"/>
      <c r="BF422" s="59"/>
      <c r="BG422" s="59" t="s">
        <v>4408</v>
      </c>
      <c r="BH422" s="60" t="s">
        <v>3791</v>
      </c>
      <c r="BI422" s="59" t="s">
        <v>770</v>
      </c>
      <c r="BJ422" s="24" t="s">
        <v>3455</v>
      </c>
      <c r="BK422" s="59" t="s">
        <v>1058</v>
      </c>
      <c r="BL422" s="59" t="s">
        <v>156</v>
      </c>
      <c r="BM422" s="62"/>
      <c r="BN422" s="62"/>
      <c r="BO422" s="59"/>
      <c r="BP422" s="59"/>
      <c r="BQ422" s="77"/>
      <c r="BR422" s="60"/>
      <c r="BS422" s="59"/>
      <c r="BT422" s="59"/>
      <c r="BU422" s="60"/>
      <c r="BV422" s="59"/>
      <c r="BW422" s="59"/>
      <c r="BX422" s="60"/>
      <c r="BY422" s="59"/>
      <c r="BZ422" s="59"/>
      <c r="CA422" s="59"/>
      <c r="CB422" s="59"/>
      <c r="CC422" s="59"/>
      <c r="CD422" s="59"/>
      <c r="CE422" s="59" t="s">
        <v>7650</v>
      </c>
      <c r="CF422" s="60" t="s">
        <v>3791</v>
      </c>
      <c r="CG422" s="59" t="s">
        <v>7029</v>
      </c>
      <c r="CH422" s="59" t="s">
        <v>7233</v>
      </c>
      <c r="CI422" s="59" t="s">
        <v>623</v>
      </c>
      <c r="CJ422" s="59" t="s">
        <v>111</v>
      </c>
      <c r="CK422" s="47"/>
      <c r="CL422" s="64" t="str">
        <f t="shared" ca="1" si="6"/>
        <v>22 Tahun 5 Bulan 28 Hari</v>
      </c>
      <c r="CM42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Kp.Bunisari RT/RW 02/14 Desa/Kelurahan Pasirhuni Kecamatan Ciawi Tasikmalaya Jawa Barat </v>
      </c>
    </row>
    <row r="423" spans="1:91" ht="24.95" customHeight="1">
      <c r="A423" s="58">
        <f>SUBTOTAL(3,N$8:Table2[[#This Row],[Nama lengkap]])</f>
        <v>416</v>
      </c>
      <c r="B423" s="58" t="s">
        <v>86</v>
      </c>
      <c r="C423" s="58">
        <v>2019</v>
      </c>
      <c r="D423" s="58"/>
      <c r="E423" s="58">
        <v>6</v>
      </c>
      <c r="F423" s="58" t="s">
        <v>4489</v>
      </c>
      <c r="G423" s="32" t="s">
        <v>2513</v>
      </c>
      <c r="H423" s="32" t="s">
        <v>2513</v>
      </c>
      <c r="I423" s="32" t="s">
        <v>2513</v>
      </c>
      <c r="J423" s="32"/>
      <c r="K423" s="32"/>
      <c r="L423" s="32"/>
      <c r="M423" s="58">
        <v>19200345</v>
      </c>
      <c r="N423" s="24" t="s">
        <v>6186</v>
      </c>
      <c r="O423" s="24"/>
      <c r="P423" s="25" t="s">
        <v>4792</v>
      </c>
      <c r="Q423" s="25" t="s">
        <v>4793</v>
      </c>
      <c r="R423" s="59" t="s">
        <v>942</v>
      </c>
      <c r="S423" s="61" t="s">
        <v>4794</v>
      </c>
      <c r="T423" s="47" t="s">
        <v>92</v>
      </c>
      <c r="U423" s="47">
        <v>1</v>
      </c>
      <c r="V423" s="47">
        <v>3</v>
      </c>
      <c r="W423" s="47" t="s">
        <v>207</v>
      </c>
      <c r="X423" s="59"/>
      <c r="Y423" s="59" t="s">
        <v>1524</v>
      </c>
      <c r="Z423" s="59" t="s">
        <v>688</v>
      </c>
      <c r="AA423" s="59" t="s">
        <v>96</v>
      </c>
      <c r="AB423" s="59"/>
      <c r="AC423" s="59" t="s">
        <v>208</v>
      </c>
      <c r="AD423" s="59" t="s">
        <v>208</v>
      </c>
      <c r="AE423" s="60" t="s">
        <v>4795</v>
      </c>
      <c r="AF423" s="59" t="s">
        <v>8663</v>
      </c>
      <c r="AG423" s="59" t="s">
        <v>8663</v>
      </c>
      <c r="AH423" s="59" t="s">
        <v>4716</v>
      </c>
      <c r="AI423" s="59" t="s">
        <v>942</v>
      </c>
      <c r="AJ423" s="61" t="s">
        <v>4796</v>
      </c>
      <c r="AK423" s="60" t="s">
        <v>4797</v>
      </c>
      <c r="AL423" s="59" t="s">
        <v>224</v>
      </c>
      <c r="AM423" s="59" t="s">
        <v>693</v>
      </c>
      <c r="AN423" s="60"/>
      <c r="AO423" s="59"/>
      <c r="AP423" s="59" t="s">
        <v>4798</v>
      </c>
      <c r="AQ423" s="25" t="s">
        <v>4799</v>
      </c>
      <c r="AR423" s="59" t="s">
        <v>4800</v>
      </c>
      <c r="AS423" s="59" t="s">
        <v>4801</v>
      </c>
      <c r="AT423" s="59" t="s">
        <v>934</v>
      </c>
      <c r="AU423" s="59" t="s">
        <v>111</v>
      </c>
      <c r="AV423" s="62"/>
      <c r="AW423" s="59" t="s">
        <v>8160</v>
      </c>
      <c r="AX423" s="59" t="s">
        <v>2844</v>
      </c>
      <c r="AY423" s="59" t="s">
        <v>942</v>
      </c>
      <c r="AZ423" s="126" t="s">
        <v>4802</v>
      </c>
      <c r="BA423" s="60" t="s">
        <v>4803</v>
      </c>
      <c r="BB423" s="59" t="s">
        <v>845</v>
      </c>
      <c r="BC423" s="59" t="s">
        <v>700</v>
      </c>
      <c r="BD423" s="60" t="s">
        <v>4804</v>
      </c>
      <c r="BE423" s="59"/>
      <c r="BF423" s="59"/>
      <c r="BG423" s="59" t="s">
        <v>4798</v>
      </c>
      <c r="BH423" s="60" t="s">
        <v>4799</v>
      </c>
      <c r="BI423" s="59" t="s">
        <v>4800</v>
      </c>
      <c r="BJ423" s="24" t="s">
        <v>4801</v>
      </c>
      <c r="BK423" s="59" t="s">
        <v>934</v>
      </c>
      <c r="BL423" s="59" t="s">
        <v>156</v>
      </c>
      <c r="BM423" s="62"/>
      <c r="BN423" s="62"/>
      <c r="BO423" s="59"/>
      <c r="BP423" s="59"/>
      <c r="BQ423" s="77"/>
      <c r="BR423" s="60"/>
      <c r="BS423" s="59"/>
      <c r="BT423" s="59"/>
      <c r="BU423" s="60"/>
      <c r="BV423" s="59"/>
      <c r="BW423" s="59"/>
      <c r="BX423" s="60"/>
      <c r="BY423" s="59"/>
      <c r="BZ423" s="59"/>
      <c r="CA423" s="59"/>
      <c r="CB423" s="59"/>
      <c r="CC423" s="59"/>
      <c r="CD423" s="59"/>
      <c r="CE423" s="59" t="s">
        <v>7679</v>
      </c>
      <c r="CF423" s="60" t="s">
        <v>4799</v>
      </c>
      <c r="CG423" s="59" t="s">
        <v>7288</v>
      </c>
      <c r="CH423" s="59" t="s">
        <v>7289</v>
      </c>
      <c r="CI423" s="59" t="s">
        <v>942</v>
      </c>
      <c r="CJ423" s="59" t="s">
        <v>111</v>
      </c>
      <c r="CK423" s="47"/>
      <c r="CL423" s="64" t="str">
        <f t="shared" ca="1" si="6"/>
        <v>18 Tahun 7 Bulan 9 Hari</v>
      </c>
      <c r="CM42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Kp.Ciwirangga RT/RW 11/04 Desa/Kelurahan Sanca Kecamatan Ciater Subang Jawa Barat </v>
      </c>
    </row>
    <row r="424" spans="1:91" ht="24.95" customHeight="1">
      <c r="A424" s="58">
        <f>SUBTOTAL(3,N$8:Table2[[#This Row],[Nama lengkap]])</f>
        <v>417</v>
      </c>
      <c r="B424" s="89" t="s">
        <v>86</v>
      </c>
      <c r="C424" s="89">
        <v>2025</v>
      </c>
      <c r="D424" s="89"/>
      <c r="E424" s="89" t="s">
        <v>6985</v>
      </c>
      <c r="F424" s="89" t="s">
        <v>6985</v>
      </c>
      <c r="G424" s="32" t="s">
        <v>2513</v>
      </c>
      <c r="H424" s="32" t="s">
        <v>2513</v>
      </c>
      <c r="I424" s="90" t="s">
        <v>2513</v>
      </c>
      <c r="J424" s="90"/>
      <c r="K424" s="90"/>
      <c r="L424" s="90"/>
      <c r="M424" s="89">
        <v>25260110</v>
      </c>
      <c r="N424" s="91" t="s">
        <v>6916</v>
      </c>
      <c r="O424" s="91"/>
      <c r="P424" s="32" t="s">
        <v>9932</v>
      </c>
      <c r="Q424" s="90" t="s">
        <v>6917</v>
      </c>
      <c r="R424" s="90" t="s">
        <v>90</v>
      </c>
      <c r="S424" s="101">
        <v>41455</v>
      </c>
      <c r="T424" s="47" t="s">
        <v>92</v>
      </c>
      <c r="U424" s="89" t="s">
        <v>6918</v>
      </c>
      <c r="V424" s="89">
        <v>2</v>
      </c>
      <c r="W424" s="47" t="s">
        <v>207</v>
      </c>
      <c r="X424" s="92" t="s">
        <v>6434</v>
      </c>
      <c r="Y424" s="92" t="s">
        <v>6919</v>
      </c>
      <c r="Z424" s="92" t="s">
        <v>6920</v>
      </c>
      <c r="AA424" s="92" t="s">
        <v>6451</v>
      </c>
      <c r="AB424" s="92" t="s">
        <v>97</v>
      </c>
      <c r="AC424" s="92" t="s">
        <v>98</v>
      </c>
      <c r="AD424" s="92" t="s">
        <v>98</v>
      </c>
      <c r="AE424" s="67" t="s">
        <v>9014</v>
      </c>
      <c r="AF424" s="93" t="s">
        <v>8664</v>
      </c>
      <c r="AG424" s="92" t="s">
        <v>8664</v>
      </c>
      <c r="AH424" s="92" t="s">
        <v>101</v>
      </c>
      <c r="AI424" s="92" t="s">
        <v>236</v>
      </c>
      <c r="AJ424" s="101">
        <v>28439</v>
      </c>
      <c r="AK424" s="93" t="s">
        <v>6921</v>
      </c>
      <c r="AL424" s="93" t="s">
        <v>602</v>
      </c>
      <c r="AM424" s="92" t="s">
        <v>149</v>
      </c>
      <c r="AN424" s="93">
        <v>8522704295</v>
      </c>
      <c r="AO424" s="93" t="s">
        <v>130</v>
      </c>
      <c r="AP424" s="92" t="s">
        <v>6922</v>
      </c>
      <c r="AQ424" s="90">
        <v>45690</v>
      </c>
      <c r="AR424" s="93" t="s">
        <v>6923</v>
      </c>
      <c r="AS424" s="92" t="s">
        <v>6924</v>
      </c>
      <c r="AT424" s="92" t="s">
        <v>90</v>
      </c>
      <c r="AU424" s="92" t="s">
        <v>318</v>
      </c>
      <c r="AV424" s="92">
        <v>40375</v>
      </c>
      <c r="AW424" s="92" t="s">
        <v>6925</v>
      </c>
      <c r="AX424" s="92" t="s">
        <v>101</v>
      </c>
      <c r="AY424" s="92" t="s">
        <v>6566</v>
      </c>
      <c r="AZ424" s="127">
        <v>29123</v>
      </c>
      <c r="BA424" s="93" t="s">
        <v>6926</v>
      </c>
      <c r="BB424" s="93" t="s">
        <v>428</v>
      </c>
      <c r="BC424" s="92" t="s">
        <v>149</v>
      </c>
      <c r="BD424" s="93">
        <v>85724985143</v>
      </c>
      <c r="BE424" s="93" t="s">
        <v>98</v>
      </c>
      <c r="BF424" s="67" t="s">
        <v>6448</v>
      </c>
      <c r="BG424" s="92"/>
      <c r="BH424" s="93"/>
      <c r="BI424" s="93"/>
      <c r="BJ424" s="91"/>
      <c r="BK424" s="92"/>
      <c r="BL424" s="92"/>
      <c r="BM424" s="92"/>
      <c r="BN424" s="64" t="s">
        <v>161</v>
      </c>
      <c r="BO424" s="92"/>
      <c r="BP424" s="92"/>
      <c r="BQ424" s="136"/>
      <c r="BR424" s="93"/>
      <c r="BS424" s="93"/>
      <c r="BT424" s="92"/>
      <c r="BU424" s="93"/>
      <c r="BV424" s="93"/>
      <c r="BW424" s="92"/>
      <c r="BX424" s="93"/>
      <c r="BY424" s="93"/>
      <c r="BZ424" s="92"/>
      <c r="CA424" s="92"/>
      <c r="CB424" s="92"/>
      <c r="CC424" s="92"/>
      <c r="CD424" s="92"/>
      <c r="CE424" s="64" t="s">
        <v>7680</v>
      </c>
      <c r="CF424" s="67" t="s">
        <v>852</v>
      </c>
      <c r="CG424" s="64" t="s">
        <v>7083</v>
      </c>
      <c r="CH424" s="92" t="s">
        <v>5444</v>
      </c>
      <c r="CI424" s="92" t="s">
        <v>90</v>
      </c>
      <c r="CJ424" s="92" t="s">
        <v>111</v>
      </c>
      <c r="CK424" s="89">
        <v>40375</v>
      </c>
      <c r="CL424" s="64" t="str">
        <f t="shared" ca="1" si="6"/>
        <v>12 Tahun 6 Bulan 24 Hari</v>
      </c>
      <c r="CM42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Cilebak RT/RW 002/002 Desa/Kelurahan Rancamanyar Kecamatan Baleendah Bandung Jawa Barat 40375</v>
      </c>
    </row>
    <row r="425" spans="1:91" ht="24.95" customHeight="1">
      <c r="A425" s="58">
        <f>SUBTOTAL(3,N$8:Table2[[#This Row],[Nama lengkap]])</f>
        <v>418</v>
      </c>
      <c r="B425" s="89" t="s">
        <v>86</v>
      </c>
      <c r="C425" s="89">
        <v>2025</v>
      </c>
      <c r="D425" s="89"/>
      <c r="E425" s="89" t="s">
        <v>6985</v>
      </c>
      <c r="F425" s="89" t="s">
        <v>6985</v>
      </c>
      <c r="G425" s="166" t="s">
        <v>8939</v>
      </c>
      <c r="H425" s="32"/>
      <c r="I425" s="90"/>
      <c r="J425" s="90"/>
      <c r="K425" s="90"/>
      <c r="L425" s="90"/>
      <c r="M425" s="89">
        <v>25260117</v>
      </c>
      <c r="N425" s="91" t="s">
        <v>6485</v>
      </c>
      <c r="O425" s="91"/>
      <c r="P425" s="90" t="s">
        <v>6486</v>
      </c>
      <c r="Q425" s="90" t="s">
        <v>6487</v>
      </c>
      <c r="R425" s="90" t="s">
        <v>122</v>
      </c>
      <c r="S425" s="101">
        <v>41393</v>
      </c>
      <c r="T425" s="47" t="s">
        <v>92</v>
      </c>
      <c r="U425" s="89">
        <v>3</v>
      </c>
      <c r="V425" s="89">
        <v>2</v>
      </c>
      <c r="W425" s="47" t="s">
        <v>207</v>
      </c>
      <c r="X425" s="92" t="s">
        <v>6434</v>
      </c>
      <c r="Y425" s="92" t="s">
        <v>94</v>
      </c>
      <c r="Z425" s="92" t="s">
        <v>819</v>
      </c>
      <c r="AA425" s="92" t="s">
        <v>6451</v>
      </c>
      <c r="AB425" s="92" t="s">
        <v>97</v>
      </c>
      <c r="AC425" s="92" t="s">
        <v>98</v>
      </c>
      <c r="AD425" s="92" t="s">
        <v>98</v>
      </c>
      <c r="AE425" s="93" t="s">
        <v>3300</v>
      </c>
      <c r="AF425" s="93" t="s">
        <v>6488</v>
      </c>
      <c r="AG425" s="92" t="s">
        <v>6488</v>
      </c>
      <c r="AH425" s="92" t="s">
        <v>101</v>
      </c>
      <c r="AI425" s="92" t="s">
        <v>122</v>
      </c>
      <c r="AJ425" s="101">
        <v>29803</v>
      </c>
      <c r="AK425" s="93" t="s">
        <v>3301</v>
      </c>
      <c r="AL425" s="93" t="s">
        <v>8264</v>
      </c>
      <c r="AM425" s="92" t="s">
        <v>149</v>
      </c>
      <c r="AN425" s="93" t="s">
        <v>6489</v>
      </c>
      <c r="AO425" s="93" t="s">
        <v>117</v>
      </c>
      <c r="AP425" s="92" t="s">
        <v>6490</v>
      </c>
      <c r="AQ425" s="90" t="s">
        <v>880</v>
      </c>
      <c r="AR425" s="93" t="s">
        <v>6491</v>
      </c>
      <c r="AS425" s="92" t="s">
        <v>6492</v>
      </c>
      <c r="AT425" s="92" t="s">
        <v>122</v>
      </c>
      <c r="AU425" s="92" t="s">
        <v>318</v>
      </c>
      <c r="AV425" s="92">
        <v>45351</v>
      </c>
      <c r="AW425" s="92" t="s">
        <v>6493</v>
      </c>
      <c r="AX425" s="92" t="s">
        <v>101</v>
      </c>
      <c r="AY425" s="92" t="s">
        <v>6494</v>
      </c>
      <c r="AZ425" s="127">
        <v>30065</v>
      </c>
      <c r="BA425" s="93" t="s">
        <v>3306</v>
      </c>
      <c r="BB425" s="93" t="s">
        <v>428</v>
      </c>
      <c r="BC425" s="92" t="s">
        <v>149</v>
      </c>
      <c r="BD425" s="93" t="s">
        <v>6495</v>
      </c>
      <c r="BE425" s="93" t="s">
        <v>98</v>
      </c>
      <c r="BF425" s="67" t="s">
        <v>6448</v>
      </c>
      <c r="BG425" s="92"/>
      <c r="BH425" s="93"/>
      <c r="BI425" s="93"/>
      <c r="BJ425" s="91"/>
      <c r="BK425" s="92"/>
      <c r="BL425" s="92"/>
      <c r="BM425" s="92"/>
      <c r="BN425" s="64" t="s">
        <v>6448</v>
      </c>
      <c r="BO425" s="92"/>
      <c r="BP425" s="92"/>
      <c r="BQ425" s="136"/>
      <c r="BR425" s="93"/>
      <c r="BS425" s="93"/>
      <c r="BT425" s="92"/>
      <c r="BU425" s="93"/>
      <c r="BV425" s="93"/>
      <c r="BW425" s="92"/>
      <c r="BX425" s="93"/>
      <c r="BY425" s="93"/>
      <c r="BZ425" s="92"/>
      <c r="CA425" s="92"/>
      <c r="CB425" s="92"/>
      <c r="CC425" s="92"/>
      <c r="CD425" s="92"/>
      <c r="CE425" s="64" t="s">
        <v>7681</v>
      </c>
      <c r="CF425" s="67" t="s">
        <v>880</v>
      </c>
      <c r="CG425" s="64" t="s">
        <v>6491</v>
      </c>
      <c r="CH425" s="92" t="s">
        <v>6945</v>
      </c>
      <c r="CI425" s="92" t="s">
        <v>122</v>
      </c>
      <c r="CJ425" s="92" t="s">
        <v>111</v>
      </c>
      <c r="CK425" s="89">
        <v>45351</v>
      </c>
      <c r="CL425" s="64" t="str">
        <f t="shared" ca="1" si="6"/>
        <v>12 Tahun 8 Bulan 25 Hari</v>
      </c>
      <c r="CM42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Sari Rasa RT/RW 01/02 Desa/Kelurahan Margamekar Kecamatan Sumedang Selatan Sumedang Jawa Barat 45351</v>
      </c>
    </row>
    <row r="426" spans="1:91" ht="24.95" customHeight="1">
      <c r="A426" s="58">
        <f>SUBTOTAL(3,N$8:Table2[[#This Row],[Nama lengkap]])</f>
        <v>419</v>
      </c>
      <c r="B426" s="89" t="s">
        <v>86</v>
      </c>
      <c r="C426" s="89">
        <v>2025</v>
      </c>
      <c r="D426" s="89"/>
      <c r="E426" s="89" t="s">
        <v>6985</v>
      </c>
      <c r="F426" s="89" t="s">
        <v>6985</v>
      </c>
      <c r="G426" s="32" t="s">
        <v>2513</v>
      </c>
      <c r="H426" s="32" t="s">
        <v>2513</v>
      </c>
      <c r="I426" s="90" t="s">
        <v>2513</v>
      </c>
      <c r="J426" s="90"/>
      <c r="K426" s="90"/>
      <c r="L426" s="90"/>
      <c r="M426" s="89">
        <v>25260111</v>
      </c>
      <c r="N426" s="91" t="s">
        <v>6927</v>
      </c>
      <c r="O426" s="91"/>
      <c r="P426" s="90" t="s">
        <v>8940</v>
      </c>
      <c r="Q426" s="90" t="s">
        <v>6928</v>
      </c>
      <c r="R426" s="90" t="s">
        <v>155</v>
      </c>
      <c r="S426" s="101">
        <v>41432</v>
      </c>
      <c r="T426" s="47" t="s">
        <v>92</v>
      </c>
      <c r="U426" s="89">
        <v>1</v>
      </c>
      <c r="V426" s="89">
        <v>1</v>
      </c>
      <c r="W426" s="47" t="s">
        <v>207</v>
      </c>
      <c r="X426" s="92" t="s">
        <v>6434</v>
      </c>
      <c r="Y426" s="92" t="s">
        <v>6929</v>
      </c>
      <c r="Z426" s="92" t="s">
        <v>6930</v>
      </c>
      <c r="AA426" s="92" t="s">
        <v>6451</v>
      </c>
      <c r="AB426" s="92" t="s">
        <v>97</v>
      </c>
      <c r="AC426" s="92" t="s">
        <v>98</v>
      </c>
      <c r="AD426" s="92" t="s">
        <v>98</v>
      </c>
      <c r="AE426" s="93" t="s">
        <v>9027</v>
      </c>
      <c r="AF426" s="93" t="s">
        <v>6931</v>
      </c>
      <c r="AG426" s="92" t="s">
        <v>6931</v>
      </c>
      <c r="AH426" s="92" t="s">
        <v>101</v>
      </c>
      <c r="AI426" s="92" t="s">
        <v>90</v>
      </c>
      <c r="AJ426" s="101">
        <v>31207</v>
      </c>
      <c r="AK426" s="93" t="s">
        <v>6932</v>
      </c>
      <c r="AL426" s="93" t="s">
        <v>8265</v>
      </c>
      <c r="AM426" s="92" t="s">
        <v>128</v>
      </c>
      <c r="AN426" s="93">
        <v>82216490440</v>
      </c>
      <c r="AO426" s="93" t="s">
        <v>117</v>
      </c>
      <c r="AP426" s="92" t="s">
        <v>6933</v>
      </c>
      <c r="AQ426" s="90">
        <v>45968</v>
      </c>
      <c r="AR426" s="93" t="s">
        <v>6934</v>
      </c>
      <c r="AS426" s="92" t="s">
        <v>6463</v>
      </c>
      <c r="AT426" s="92" t="s">
        <v>6935</v>
      </c>
      <c r="AU426" s="92" t="s">
        <v>318</v>
      </c>
      <c r="AV426" s="92">
        <v>40238</v>
      </c>
      <c r="AW426" s="92" t="s">
        <v>6936</v>
      </c>
      <c r="AX426" s="92" t="s">
        <v>101</v>
      </c>
      <c r="AY426" s="92" t="s">
        <v>90</v>
      </c>
      <c r="AZ426" s="127">
        <v>31330</v>
      </c>
      <c r="BA426" s="93" t="s">
        <v>6937</v>
      </c>
      <c r="BB426" s="93" t="s">
        <v>437</v>
      </c>
      <c r="BC426" s="92" t="s">
        <v>128</v>
      </c>
      <c r="BD426" s="93">
        <v>82216490422</v>
      </c>
      <c r="BE426" s="93" t="s">
        <v>117</v>
      </c>
      <c r="BF426" s="67" t="s">
        <v>6448</v>
      </c>
      <c r="BG426" s="92"/>
      <c r="BH426" s="93"/>
      <c r="BI426" s="93"/>
      <c r="BJ426" s="91"/>
      <c r="BK426" s="92"/>
      <c r="BL426" s="92"/>
      <c r="BM426" s="92"/>
      <c r="BN426" s="64" t="s">
        <v>161</v>
      </c>
      <c r="BO426" s="92"/>
      <c r="BP426" s="92"/>
      <c r="BQ426" s="136"/>
      <c r="BR426" s="93"/>
      <c r="BS426" s="93"/>
      <c r="BT426" s="92"/>
      <c r="BU426" s="93"/>
      <c r="BV426" s="93"/>
      <c r="BW426" s="92"/>
      <c r="BX426" s="93"/>
      <c r="BY426" s="93"/>
      <c r="BZ426" s="92"/>
      <c r="CA426" s="92"/>
      <c r="CB426" s="92"/>
      <c r="CC426" s="92"/>
      <c r="CD426" s="92"/>
      <c r="CE426" s="64" t="s">
        <v>6933</v>
      </c>
      <c r="CF426" s="67">
        <v>45968</v>
      </c>
      <c r="CG426" s="64" t="s">
        <v>6934</v>
      </c>
      <c r="CH426" s="92" t="s">
        <v>6463</v>
      </c>
      <c r="CI426" s="92" t="s">
        <v>6935</v>
      </c>
      <c r="CJ426" s="92" t="s">
        <v>111</v>
      </c>
      <c r="CK426" s="89">
        <v>40238</v>
      </c>
      <c r="CL426" s="64" t="str">
        <f t="shared" ca="1" si="6"/>
        <v>12 Tahun 7 Bulan 16 Hari</v>
      </c>
      <c r="CM42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Komplek Gading Tutuka 2 RT/RW 45968 Desa/Kelurahan Ciluncat Kecamatan Cangkuang Kabupaten Bandung Jawa Barat 40238</v>
      </c>
    </row>
    <row r="427" spans="1:91" ht="24.95" customHeight="1">
      <c r="A427" s="58">
        <f>SUBTOTAL(3,N$8:Table2[[#This Row],[Nama lengkap]])</f>
        <v>420</v>
      </c>
      <c r="B427" s="89" t="s">
        <v>86</v>
      </c>
      <c r="C427" s="89">
        <v>2025</v>
      </c>
      <c r="D427" s="89"/>
      <c r="E427" s="89" t="s">
        <v>6985</v>
      </c>
      <c r="F427" s="89" t="s">
        <v>6985</v>
      </c>
      <c r="G427" s="166"/>
      <c r="H427" s="32"/>
      <c r="I427" s="90"/>
      <c r="J427" s="90"/>
      <c r="K427" s="90"/>
      <c r="L427" s="90"/>
      <c r="M427" s="89">
        <v>25260114</v>
      </c>
      <c r="N427" s="91" t="s">
        <v>6449</v>
      </c>
      <c r="O427" s="91"/>
      <c r="P427" s="90"/>
      <c r="Q427" s="90" t="s">
        <v>6450</v>
      </c>
      <c r="R427" s="90" t="s">
        <v>90</v>
      </c>
      <c r="S427" s="101">
        <v>41157</v>
      </c>
      <c r="T427" s="47" t="s">
        <v>92</v>
      </c>
      <c r="U427" s="89">
        <v>1</v>
      </c>
      <c r="V427" s="89">
        <v>2</v>
      </c>
      <c r="W427" s="47" t="s">
        <v>207</v>
      </c>
      <c r="X427" s="92" t="s">
        <v>6434</v>
      </c>
      <c r="Y427" s="92" t="s">
        <v>94</v>
      </c>
      <c r="Z427" s="92" t="s">
        <v>255</v>
      </c>
      <c r="AA427" s="92" t="s">
        <v>6451</v>
      </c>
      <c r="AB427" s="92" t="s">
        <v>97</v>
      </c>
      <c r="AC427" s="92" t="s">
        <v>98</v>
      </c>
      <c r="AD427" s="92" t="s">
        <v>98</v>
      </c>
      <c r="AE427" s="93" t="s">
        <v>6452</v>
      </c>
      <c r="AF427" s="93" t="s">
        <v>6453</v>
      </c>
      <c r="AG427" s="92" t="s">
        <v>6454</v>
      </c>
      <c r="AH427" s="92" t="s">
        <v>1071</v>
      </c>
      <c r="AI427" s="92"/>
      <c r="AJ427" s="101"/>
      <c r="AK427" s="93"/>
      <c r="AL427" s="93"/>
      <c r="AM427" s="92"/>
      <c r="AN427" s="93"/>
      <c r="AO427" s="93"/>
      <c r="AP427" s="92"/>
      <c r="AQ427" s="90"/>
      <c r="AR427" s="93"/>
      <c r="AS427" s="92"/>
      <c r="AT427" s="92"/>
      <c r="AU427" s="92"/>
      <c r="AV427" s="92"/>
      <c r="AW427" s="64" t="s">
        <v>9943</v>
      </c>
      <c r="AX427" s="92" t="s">
        <v>101</v>
      </c>
      <c r="AY427" s="92" t="s">
        <v>90</v>
      </c>
      <c r="AZ427" s="127">
        <v>32339</v>
      </c>
      <c r="BA427" s="93" t="s">
        <v>6455</v>
      </c>
      <c r="BB427" s="93" t="s">
        <v>180</v>
      </c>
      <c r="BC427" s="92" t="s">
        <v>159</v>
      </c>
      <c r="BD427" s="93" t="s">
        <v>6456</v>
      </c>
      <c r="BE427" s="93" t="s">
        <v>315</v>
      </c>
      <c r="BF427" s="67" t="s">
        <v>6448</v>
      </c>
      <c r="BG427" s="92"/>
      <c r="BH427" s="93"/>
      <c r="BI427" s="93"/>
      <c r="BJ427" s="91"/>
      <c r="BK427" s="92"/>
      <c r="BL427" s="92"/>
      <c r="BM427" s="92"/>
      <c r="BN427" s="64" t="s">
        <v>6457</v>
      </c>
      <c r="BO427" s="92" t="s">
        <v>6458</v>
      </c>
      <c r="BP427" s="92" t="s">
        <v>90</v>
      </c>
      <c r="BQ427" s="136">
        <v>29385</v>
      </c>
      <c r="BR427" s="93" t="s">
        <v>6459</v>
      </c>
      <c r="BS427" s="93" t="s">
        <v>4822</v>
      </c>
      <c r="BT427" s="92" t="s">
        <v>149</v>
      </c>
      <c r="BU427" s="93" t="s">
        <v>6460</v>
      </c>
      <c r="BV427" s="93" t="s">
        <v>266</v>
      </c>
      <c r="BW427" s="92" t="s">
        <v>6461</v>
      </c>
      <c r="BX427" s="93" t="s">
        <v>3053</v>
      </c>
      <c r="BY427" s="93" t="s">
        <v>6462</v>
      </c>
      <c r="BZ427" s="92" t="s">
        <v>6463</v>
      </c>
      <c r="CA427" s="92" t="s">
        <v>90</v>
      </c>
      <c r="CB427" s="92" t="s">
        <v>318</v>
      </c>
      <c r="CC427" s="92">
        <v>40238</v>
      </c>
      <c r="CD427" s="92"/>
      <c r="CE427" s="64" t="s">
        <v>7682</v>
      </c>
      <c r="CF427" s="67" t="s">
        <v>3053</v>
      </c>
      <c r="CG427" s="64" t="s">
        <v>6462</v>
      </c>
      <c r="CH427" s="92" t="s">
        <v>6463</v>
      </c>
      <c r="CI427" s="92" t="s">
        <v>90</v>
      </c>
      <c r="CJ427" s="92" t="s">
        <v>111</v>
      </c>
      <c r="CK427" s="89">
        <v>40238</v>
      </c>
      <c r="CL427" s="64" t="str">
        <f t="shared" ca="1" si="6"/>
        <v>13 Tahun 4 Bulan 18 Hari</v>
      </c>
      <c r="CM42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Bumi Parahyangan Kencana Blok G 18 No 17 RT/RW 02/04 Desa/Kelurahan Pananjung Kecamatan Cangkuang Bandung Jawa Barat 40238</v>
      </c>
    </row>
    <row r="428" spans="1:91" ht="24.95" customHeight="1">
      <c r="A428" s="58">
        <f>SUBTOTAL(3,N$8:Table2[[#This Row],[Nama lengkap]])</f>
        <v>421</v>
      </c>
      <c r="B428" s="89" t="s">
        <v>86</v>
      </c>
      <c r="C428" s="89">
        <v>2025</v>
      </c>
      <c r="D428" s="89"/>
      <c r="E428" s="89" t="s">
        <v>4805</v>
      </c>
      <c r="F428" s="58" t="s">
        <v>6986</v>
      </c>
      <c r="G428" s="90" t="s">
        <v>2513</v>
      </c>
      <c r="H428" s="32" t="s">
        <v>2513</v>
      </c>
      <c r="I428" s="90" t="s">
        <v>2513</v>
      </c>
      <c r="J428" s="90"/>
      <c r="K428" s="90"/>
      <c r="L428" s="90"/>
      <c r="M428" s="89">
        <v>25260090</v>
      </c>
      <c r="N428" s="91" t="s">
        <v>6628</v>
      </c>
      <c r="O428" s="91"/>
      <c r="P428" s="90">
        <v>3123217589</v>
      </c>
      <c r="Q428" s="90" t="s">
        <v>6629</v>
      </c>
      <c r="R428" s="90" t="s">
        <v>90</v>
      </c>
      <c r="S428" s="101">
        <v>41214</v>
      </c>
      <c r="T428" s="47" t="s">
        <v>92</v>
      </c>
      <c r="U428" s="89">
        <v>3</v>
      </c>
      <c r="V428" s="89">
        <v>1</v>
      </c>
      <c r="W428" s="47" t="s">
        <v>207</v>
      </c>
      <c r="X428" s="92" t="s">
        <v>6434</v>
      </c>
      <c r="Y428" s="92" t="s">
        <v>6630</v>
      </c>
      <c r="Z428" s="92" t="s">
        <v>6631</v>
      </c>
      <c r="AA428" s="92" t="s">
        <v>6451</v>
      </c>
      <c r="AB428" s="92" t="s">
        <v>97</v>
      </c>
      <c r="AC428" s="92" t="s">
        <v>98</v>
      </c>
      <c r="AD428" s="92" t="s">
        <v>98</v>
      </c>
      <c r="AE428" s="93">
        <v>3204442704180010</v>
      </c>
      <c r="AF428" s="93" t="s">
        <v>6632</v>
      </c>
      <c r="AG428" s="92" t="s">
        <v>6632</v>
      </c>
      <c r="AH428" s="92" t="s">
        <v>101</v>
      </c>
      <c r="AI428" s="92" t="s">
        <v>90</v>
      </c>
      <c r="AJ428" s="101">
        <v>30712</v>
      </c>
      <c r="AK428" s="93" t="s">
        <v>6633</v>
      </c>
      <c r="AL428" s="93" t="s">
        <v>114</v>
      </c>
      <c r="AM428" s="92" t="s">
        <v>149</v>
      </c>
      <c r="AN428" s="93">
        <v>85156353821</v>
      </c>
      <c r="AO428" s="93" t="s">
        <v>117</v>
      </c>
      <c r="AP428" s="92" t="s">
        <v>6634</v>
      </c>
      <c r="AQ428" s="90">
        <v>41640</v>
      </c>
      <c r="AR428" s="93" t="s">
        <v>6635</v>
      </c>
      <c r="AS428" s="92" t="s">
        <v>6463</v>
      </c>
      <c r="AT428" s="92" t="s">
        <v>90</v>
      </c>
      <c r="AU428" s="92" t="s">
        <v>111</v>
      </c>
      <c r="AV428" s="92">
        <v>40238</v>
      </c>
      <c r="AW428" s="92" t="s">
        <v>6636</v>
      </c>
      <c r="AX428" s="92" t="s">
        <v>101</v>
      </c>
      <c r="AY428" s="92" t="s">
        <v>90</v>
      </c>
      <c r="AZ428" s="127">
        <v>31912</v>
      </c>
      <c r="BA428" s="93" t="s">
        <v>6637</v>
      </c>
      <c r="BB428" s="93" t="s">
        <v>428</v>
      </c>
      <c r="BC428" s="92" t="s">
        <v>149</v>
      </c>
      <c r="BD428" s="93">
        <v>85156353821</v>
      </c>
      <c r="BE428" s="93" t="s">
        <v>98</v>
      </c>
      <c r="BF428" s="67" t="s">
        <v>6448</v>
      </c>
      <c r="BG428" s="92"/>
      <c r="BH428" s="93"/>
      <c r="BI428" s="93"/>
      <c r="BJ428" s="91"/>
      <c r="BK428" s="92"/>
      <c r="BL428" s="92"/>
      <c r="BM428" s="92"/>
      <c r="BN428" s="64" t="s">
        <v>161</v>
      </c>
      <c r="BO428" s="92"/>
      <c r="BP428" s="92"/>
      <c r="BQ428" s="136"/>
      <c r="BR428" s="93"/>
      <c r="BS428" s="93"/>
      <c r="BT428" s="92"/>
      <c r="BU428" s="93"/>
      <c r="BV428" s="93"/>
      <c r="BW428" s="92"/>
      <c r="BX428" s="93"/>
      <c r="BY428" s="93"/>
      <c r="BZ428" s="92"/>
      <c r="CA428" s="92"/>
      <c r="CB428" s="92"/>
      <c r="CC428" s="92"/>
      <c r="CD428" s="92"/>
      <c r="CE428" s="64" t="s">
        <v>7684</v>
      </c>
      <c r="CF428" s="67">
        <v>41640</v>
      </c>
      <c r="CG428" s="64" t="s">
        <v>6635</v>
      </c>
      <c r="CH428" s="92" t="s">
        <v>6463</v>
      </c>
      <c r="CI428" s="92" t="s">
        <v>90</v>
      </c>
      <c r="CJ428" s="92" t="s">
        <v>111</v>
      </c>
      <c r="CK428" s="89">
        <v>40238</v>
      </c>
      <c r="CL428" s="64" t="str">
        <f t="shared" ca="1" si="6"/>
        <v>13 Tahun 2 Bulan 22 Hari</v>
      </c>
      <c r="CM42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Parahyangan Kencana Blok B2 No 25 RT/RW 41640 Desa/Kelurahan Nagrak Kecamatan Cangkuang Bandung Jawa Barat 40238</v>
      </c>
    </row>
    <row r="429" spans="1:91" ht="24.95" customHeight="1">
      <c r="A429" s="58">
        <f>SUBTOTAL(3,N$8:Table2[[#This Row],[Nama lengkap]])</f>
        <v>422</v>
      </c>
      <c r="B429" s="89" t="s">
        <v>86</v>
      </c>
      <c r="C429" s="89">
        <v>2025</v>
      </c>
      <c r="D429" s="89"/>
      <c r="E429" s="89" t="s">
        <v>4805</v>
      </c>
      <c r="F429" s="58" t="s">
        <v>6986</v>
      </c>
      <c r="G429" s="32" t="s">
        <v>2513</v>
      </c>
      <c r="H429" s="32" t="s">
        <v>2513</v>
      </c>
      <c r="I429" s="90" t="s">
        <v>2513</v>
      </c>
      <c r="J429" s="90"/>
      <c r="K429" s="90"/>
      <c r="L429" s="90"/>
      <c r="M429" s="89">
        <v>25260084</v>
      </c>
      <c r="N429" s="91" t="s">
        <v>6510</v>
      </c>
      <c r="O429" s="91"/>
      <c r="P429" s="90" t="s">
        <v>6511</v>
      </c>
      <c r="Q429" s="90" t="s">
        <v>6512</v>
      </c>
      <c r="R429" s="90" t="s">
        <v>942</v>
      </c>
      <c r="S429" s="101">
        <v>41330</v>
      </c>
      <c r="T429" s="47" t="s">
        <v>92</v>
      </c>
      <c r="U429" s="89">
        <v>3</v>
      </c>
      <c r="V429" s="89">
        <v>3</v>
      </c>
      <c r="W429" s="47" t="s">
        <v>207</v>
      </c>
      <c r="X429" s="92" t="s">
        <v>6434</v>
      </c>
      <c r="Y429" s="92" t="s">
        <v>94</v>
      </c>
      <c r="Z429" s="92" t="s">
        <v>810</v>
      </c>
      <c r="AA429" s="92" t="s">
        <v>6451</v>
      </c>
      <c r="AB429" s="92" t="s">
        <v>97</v>
      </c>
      <c r="AC429" s="92" t="s">
        <v>98</v>
      </c>
      <c r="AD429" s="92" t="s">
        <v>98</v>
      </c>
      <c r="AE429" s="93" t="s">
        <v>6513</v>
      </c>
      <c r="AF429" s="93" t="s">
        <v>6514</v>
      </c>
      <c r="AG429" s="92" t="s">
        <v>6514</v>
      </c>
      <c r="AH429" s="92" t="s">
        <v>101</v>
      </c>
      <c r="AI429" s="92" t="s">
        <v>942</v>
      </c>
      <c r="AJ429" s="101">
        <v>29560</v>
      </c>
      <c r="AK429" s="93" t="s">
        <v>6515</v>
      </c>
      <c r="AL429" s="93" t="s">
        <v>437</v>
      </c>
      <c r="AM429" s="92" t="s">
        <v>149</v>
      </c>
      <c r="AN429" s="93" t="s">
        <v>6516</v>
      </c>
      <c r="AO429" s="93" t="s">
        <v>117</v>
      </c>
      <c r="AP429" s="92" t="s">
        <v>6517</v>
      </c>
      <c r="AQ429" s="90" t="s">
        <v>6518</v>
      </c>
      <c r="AR429" s="93" t="s">
        <v>6517</v>
      </c>
      <c r="AS429" s="92" t="s">
        <v>6519</v>
      </c>
      <c r="AT429" s="92" t="s">
        <v>942</v>
      </c>
      <c r="AU429" s="92" t="s">
        <v>111</v>
      </c>
      <c r="AV429" s="92">
        <v>41281</v>
      </c>
      <c r="AW429" s="92" t="s">
        <v>6520</v>
      </c>
      <c r="AX429" s="92" t="s">
        <v>5031</v>
      </c>
      <c r="AY429" s="92"/>
      <c r="AZ429" s="127"/>
      <c r="BA429" s="93"/>
      <c r="BB429" s="93"/>
      <c r="BC429" s="92"/>
      <c r="BD429" s="93"/>
      <c r="BE429" s="93"/>
      <c r="BF429" s="67"/>
      <c r="BG429" s="92"/>
      <c r="BH429" s="93"/>
      <c r="BI429" s="93"/>
      <c r="BJ429" s="91"/>
      <c r="BK429" s="92"/>
      <c r="BL429" s="92"/>
      <c r="BM429" s="92"/>
      <c r="BN429" s="64" t="s">
        <v>6448</v>
      </c>
      <c r="BO429" s="92"/>
      <c r="BP429" s="92"/>
      <c r="BQ429" s="136"/>
      <c r="BR429" s="93"/>
      <c r="BS429" s="93"/>
      <c r="BT429" s="92"/>
      <c r="BU429" s="93"/>
      <c r="BV429" s="93"/>
      <c r="BW429" s="92"/>
      <c r="BX429" s="93"/>
      <c r="BY429" s="93"/>
      <c r="BZ429" s="92"/>
      <c r="CA429" s="92"/>
      <c r="CB429" s="92"/>
      <c r="CC429" s="92"/>
      <c r="CD429" s="92"/>
      <c r="CE429" s="64" t="s">
        <v>6517</v>
      </c>
      <c r="CF429" s="67" t="s">
        <v>6518</v>
      </c>
      <c r="CG429" s="64" t="s">
        <v>6517</v>
      </c>
      <c r="CH429" s="92" t="s">
        <v>6519</v>
      </c>
      <c r="CI429" s="92" t="s">
        <v>942</v>
      </c>
      <c r="CJ429" s="92" t="s">
        <v>111</v>
      </c>
      <c r="CK429" s="89">
        <v>41281</v>
      </c>
      <c r="CL429" s="64" t="str">
        <f t="shared" ca="1" si="6"/>
        <v>12 Tahun 10 Bulan 29 Hari</v>
      </c>
      <c r="CM42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Tambakan RT/RW 10/03 Desa/Kelurahan Tambakan Kecamatan Jalancagak Subang Jawa Barat 41281</v>
      </c>
    </row>
    <row r="430" spans="1:91" ht="24.95" customHeight="1">
      <c r="A430" s="58">
        <f>SUBTOTAL(3,N$8:Table2[[#This Row],[Nama lengkap]])</f>
        <v>423</v>
      </c>
      <c r="B430" s="89" t="s">
        <v>86</v>
      </c>
      <c r="C430" s="89">
        <v>2025</v>
      </c>
      <c r="D430" s="89"/>
      <c r="E430" s="89" t="s">
        <v>4805</v>
      </c>
      <c r="F430" s="58" t="s">
        <v>6986</v>
      </c>
      <c r="G430" s="32" t="s">
        <v>2513</v>
      </c>
      <c r="H430" s="32" t="s">
        <v>2513</v>
      </c>
      <c r="I430" s="90" t="s">
        <v>2513</v>
      </c>
      <c r="J430" s="90"/>
      <c r="K430" s="90"/>
      <c r="L430" s="90"/>
      <c r="M430" s="89">
        <v>25260030</v>
      </c>
      <c r="N430" s="91" t="s">
        <v>6762</v>
      </c>
      <c r="O430" s="91"/>
      <c r="P430" s="32" t="s">
        <v>9933</v>
      </c>
      <c r="Q430" s="90" t="s">
        <v>6763</v>
      </c>
      <c r="R430" s="90" t="s">
        <v>90</v>
      </c>
      <c r="S430" s="101">
        <v>40960</v>
      </c>
      <c r="T430" s="47" t="s">
        <v>92</v>
      </c>
      <c r="U430" s="89">
        <v>4</v>
      </c>
      <c r="V430" s="89">
        <v>3</v>
      </c>
      <c r="W430" s="47" t="s">
        <v>207</v>
      </c>
      <c r="X430" s="92" t="s">
        <v>6434</v>
      </c>
      <c r="Y430" s="92" t="s">
        <v>6764</v>
      </c>
      <c r="Z430" s="92" t="s">
        <v>255</v>
      </c>
      <c r="AA430" s="92" t="s">
        <v>6451</v>
      </c>
      <c r="AB430" s="92" t="s">
        <v>6765</v>
      </c>
      <c r="AC430" s="92" t="s">
        <v>6766</v>
      </c>
      <c r="AD430" s="92" t="s">
        <v>98</v>
      </c>
      <c r="AE430" s="93" t="s">
        <v>6767</v>
      </c>
      <c r="AF430" s="93" t="s">
        <v>8666</v>
      </c>
      <c r="AG430" s="92" t="s">
        <v>8666</v>
      </c>
      <c r="AH430" s="92" t="s">
        <v>1071</v>
      </c>
      <c r="AI430" s="92"/>
      <c r="AJ430" s="101"/>
      <c r="AK430" s="93"/>
      <c r="AL430" s="93"/>
      <c r="AM430" s="92"/>
      <c r="AN430" s="93"/>
      <c r="AO430" s="93"/>
      <c r="AP430" s="92"/>
      <c r="AQ430" s="90"/>
      <c r="AR430" s="93"/>
      <c r="AS430" s="92"/>
      <c r="AT430" s="92"/>
      <c r="AU430" s="92"/>
      <c r="AV430" s="92"/>
      <c r="AW430" s="92" t="s">
        <v>8161</v>
      </c>
      <c r="AX430" s="92" t="s">
        <v>101</v>
      </c>
      <c r="AY430" s="92" t="s">
        <v>122</v>
      </c>
      <c r="AZ430" s="127">
        <v>29009</v>
      </c>
      <c r="BA430" s="67" t="s">
        <v>9007</v>
      </c>
      <c r="BB430" s="93" t="s">
        <v>180</v>
      </c>
      <c r="BC430" s="92" t="s">
        <v>149</v>
      </c>
      <c r="BD430" s="67" t="s">
        <v>6769</v>
      </c>
      <c r="BE430" s="93" t="s">
        <v>548</v>
      </c>
      <c r="BF430" s="67" t="s">
        <v>6448</v>
      </c>
      <c r="BG430" s="92"/>
      <c r="BH430" s="93"/>
      <c r="BI430" s="93"/>
      <c r="BJ430" s="91"/>
      <c r="BK430" s="92"/>
      <c r="BL430" s="92"/>
      <c r="BM430" s="92"/>
      <c r="BN430" s="64" t="s">
        <v>6770</v>
      </c>
      <c r="BO430" s="92" t="s">
        <v>6771</v>
      </c>
      <c r="BP430" s="92" t="s">
        <v>6772</v>
      </c>
      <c r="BQ430" s="136">
        <v>29009</v>
      </c>
      <c r="BR430" s="93" t="s">
        <v>6768</v>
      </c>
      <c r="BS430" s="93" t="s">
        <v>298</v>
      </c>
      <c r="BT430" s="92" t="s">
        <v>149</v>
      </c>
      <c r="BU430" s="93" t="s">
        <v>6769</v>
      </c>
      <c r="BV430" s="93" t="s">
        <v>548</v>
      </c>
      <c r="BW430" s="92" t="s">
        <v>6773</v>
      </c>
      <c r="BX430" s="93" t="s">
        <v>1009</v>
      </c>
      <c r="BY430" s="93" t="s">
        <v>6774</v>
      </c>
      <c r="BZ430" s="92" t="s">
        <v>295</v>
      </c>
      <c r="CA430" s="92" t="s">
        <v>90</v>
      </c>
      <c r="CB430" s="92" t="s">
        <v>6775</v>
      </c>
      <c r="CC430" s="92">
        <v>40394</v>
      </c>
      <c r="CD430" s="92"/>
      <c r="CE430" s="64" t="s">
        <v>7685</v>
      </c>
      <c r="CF430" s="67" t="s">
        <v>1009</v>
      </c>
      <c r="CG430" s="64" t="s">
        <v>6774</v>
      </c>
      <c r="CH430" s="92" t="s">
        <v>295</v>
      </c>
      <c r="CI430" s="92" t="s">
        <v>90</v>
      </c>
      <c r="CJ430" s="92" t="s">
        <v>111</v>
      </c>
      <c r="CK430" s="89">
        <v>40394</v>
      </c>
      <c r="CL430" s="64" t="str">
        <f t="shared" ca="1" si="6"/>
        <v>13 Tahun 11 Bulan 2 Hari</v>
      </c>
      <c r="CM43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Pesantren RT/RW 03/02 Desa/Kelurahan Bojongloa Kecamatan Rancaekek Bandung Jawa Barat 40394</v>
      </c>
    </row>
    <row r="431" spans="1:91" ht="24.95" customHeight="1">
      <c r="A431" s="58">
        <f>SUBTOTAL(3,N$8:Table2[[#This Row],[Nama lengkap]])</f>
        <v>424</v>
      </c>
      <c r="B431" s="89" t="s">
        <v>86</v>
      </c>
      <c r="C431" s="89">
        <v>2025</v>
      </c>
      <c r="D431" s="89"/>
      <c r="E431" s="89" t="s">
        <v>4805</v>
      </c>
      <c r="F431" s="58" t="s">
        <v>6986</v>
      </c>
      <c r="G431" s="32" t="s">
        <v>2513</v>
      </c>
      <c r="H431" s="32" t="s">
        <v>2513</v>
      </c>
      <c r="I431" s="90" t="s">
        <v>2513</v>
      </c>
      <c r="J431" s="90"/>
      <c r="K431" s="90"/>
      <c r="L431" s="90"/>
      <c r="M431" s="89">
        <v>25260019</v>
      </c>
      <c r="N431" s="91" t="s">
        <v>6710</v>
      </c>
      <c r="O431" s="91"/>
      <c r="P431" s="32" t="s">
        <v>8942</v>
      </c>
      <c r="Q431" s="90" t="s">
        <v>6711</v>
      </c>
      <c r="R431" s="32" t="s">
        <v>90</v>
      </c>
      <c r="S431" s="101">
        <v>41170</v>
      </c>
      <c r="T431" s="47" t="s">
        <v>92</v>
      </c>
      <c r="U431" s="89" t="s">
        <v>534</v>
      </c>
      <c r="V431" s="89">
        <v>1</v>
      </c>
      <c r="W431" s="47" t="s">
        <v>207</v>
      </c>
      <c r="X431" s="92" t="s">
        <v>6434</v>
      </c>
      <c r="Y431" s="92" t="s">
        <v>6712</v>
      </c>
      <c r="Z431" s="92" t="s">
        <v>819</v>
      </c>
      <c r="AA431" s="92" t="s">
        <v>6451</v>
      </c>
      <c r="AB431" s="92" t="s">
        <v>97</v>
      </c>
      <c r="AC431" s="92" t="s">
        <v>98</v>
      </c>
      <c r="AD431" s="92" t="s">
        <v>98</v>
      </c>
      <c r="AE431" s="67" t="s">
        <v>9011</v>
      </c>
      <c r="AF431" s="93" t="s">
        <v>8667</v>
      </c>
      <c r="AG431" s="92" t="s">
        <v>8667</v>
      </c>
      <c r="AH431" s="92" t="s">
        <v>101</v>
      </c>
      <c r="AI431" s="64" t="s">
        <v>623</v>
      </c>
      <c r="AJ431" s="101">
        <v>28250</v>
      </c>
      <c r="AK431" s="93" t="s">
        <v>6713</v>
      </c>
      <c r="AL431" s="93" t="s">
        <v>114</v>
      </c>
      <c r="AM431" s="92" t="s">
        <v>149</v>
      </c>
      <c r="AN431" s="93">
        <v>81394522660</v>
      </c>
      <c r="AO431" s="93" t="s">
        <v>130</v>
      </c>
      <c r="AP431" s="92" t="s">
        <v>617</v>
      </c>
      <c r="AQ431" s="90">
        <v>45724</v>
      </c>
      <c r="AR431" s="93" t="s">
        <v>6714</v>
      </c>
      <c r="AS431" s="92" t="s">
        <v>507</v>
      </c>
      <c r="AT431" s="92" t="s">
        <v>90</v>
      </c>
      <c r="AU431" s="92" t="s">
        <v>318</v>
      </c>
      <c r="AV431" s="92">
        <v>40377</v>
      </c>
      <c r="AW431" s="92" t="s">
        <v>6715</v>
      </c>
      <c r="AX431" s="92" t="s">
        <v>101</v>
      </c>
      <c r="AY431" s="92" t="s">
        <v>90</v>
      </c>
      <c r="AZ431" s="127">
        <v>29063</v>
      </c>
      <c r="BA431" s="93" t="s">
        <v>6716</v>
      </c>
      <c r="BB431" s="93" t="s">
        <v>7776</v>
      </c>
      <c r="BC431" s="92" t="s">
        <v>159</v>
      </c>
      <c r="BD431" s="93">
        <v>85798109102</v>
      </c>
      <c r="BE431" s="93" t="s">
        <v>98</v>
      </c>
      <c r="BF431" s="67" t="s">
        <v>6448</v>
      </c>
      <c r="BG431" s="92"/>
      <c r="BH431" s="93"/>
      <c r="BI431" s="93"/>
      <c r="BJ431" s="91"/>
      <c r="BK431" s="92"/>
      <c r="BL431" s="92"/>
      <c r="BM431" s="92"/>
      <c r="BN431" s="64" t="s">
        <v>161</v>
      </c>
      <c r="BO431" s="92"/>
      <c r="BP431" s="92"/>
      <c r="BQ431" s="136"/>
      <c r="BR431" s="93"/>
      <c r="BS431" s="93"/>
      <c r="BT431" s="92"/>
      <c r="BU431" s="93"/>
      <c r="BV431" s="93"/>
      <c r="BW431" s="92"/>
      <c r="BX431" s="93"/>
      <c r="BY431" s="93"/>
      <c r="BZ431" s="92"/>
      <c r="CA431" s="92"/>
      <c r="CB431" s="92"/>
      <c r="CC431" s="92"/>
      <c r="CD431" s="92"/>
      <c r="CE431" s="64" t="s">
        <v>9012</v>
      </c>
      <c r="CF431" s="67" t="s">
        <v>9013</v>
      </c>
      <c r="CG431" s="64" t="s">
        <v>6714</v>
      </c>
      <c r="CH431" s="92" t="s">
        <v>507</v>
      </c>
      <c r="CI431" s="92" t="s">
        <v>90</v>
      </c>
      <c r="CJ431" s="92" t="s">
        <v>111</v>
      </c>
      <c r="CK431" s="89">
        <v>40377</v>
      </c>
      <c r="CL431" s="64" t="str">
        <f t="shared" ca="1" si="6"/>
        <v>13 Tahun 4 Bulan 5 Hari</v>
      </c>
      <c r="CM43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Neglasari RT/RW 008/003 Desa/Kelurahan Ciapus Kecamatan Banjaran Bandung Jawa Barat 40377</v>
      </c>
    </row>
    <row r="432" spans="1:91" ht="24.95" customHeight="1">
      <c r="A432" s="58">
        <f>SUBTOTAL(3,N$8:Table2[[#This Row],[Nama lengkap]])</f>
        <v>425</v>
      </c>
      <c r="B432" s="89" t="s">
        <v>86</v>
      </c>
      <c r="C432" s="89">
        <v>2025</v>
      </c>
      <c r="D432" s="89"/>
      <c r="E432" s="89" t="s">
        <v>4805</v>
      </c>
      <c r="F432" s="58" t="s">
        <v>6986</v>
      </c>
      <c r="G432" s="166" t="s">
        <v>8943</v>
      </c>
      <c r="H432" s="32"/>
      <c r="I432" s="90"/>
      <c r="J432" s="90"/>
      <c r="K432" s="90"/>
      <c r="L432" s="90"/>
      <c r="M432" s="89">
        <v>25260043</v>
      </c>
      <c r="N432" s="91" t="s">
        <v>6559</v>
      </c>
      <c r="O432" s="91"/>
      <c r="P432" s="90" t="s">
        <v>6560</v>
      </c>
      <c r="Q432" s="90" t="s">
        <v>6561</v>
      </c>
      <c r="R432" s="90" t="s">
        <v>6562</v>
      </c>
      <c r="S432" s="101">
        <v>41268</v>
      </c>
      <c r="T432" s="47" t="s">
        <v>92</v>
      </c>
      <c r="U432" s="89">
        <v>1</v>
      </c>
      <c r="V432" s="89">
        <v>2</v>
      </c>
      <c r="W432" s="47" t="s">
        <v>207</v>
      </c>
      <c r="X432" s="92" t="s">
        <v>6434</v>
      </c>
      <c r="Y432" s="92" t="s">
        <v>6563</v>
      </c>
      <c r="Z432" s="92" t="s">
        <v>6564</v>
      </c>
      <c r="AA432" s="92" t="s">
        <v>6451</v>
      </c>
      <c r="AB432" s="92" t="s">
        <v>97</v>
      </c>
      <c r="AC432" s="92" t="s">
        <v>98</v>
      </c>
      <c r="AD432" s="92" t="s">
        <v>98</v>
      </c>
      <c r="AE432" s="93" t="s">
        <v>6565</v>
      </c>
      <c r="AF432" s="93" t="s">
        <v>8365</v>
      </c>
      <c r="AG432" s="92" t="s">
        <v>8365</v>
      </c>
      <c r="AH432" s="92" t="s">
        <v>101</v>
      </c>
      <c r="AI432" s="92" t="s">
        <v>6566</v>
      </c>
      <c r="AJ432" s="101">
        <v>30350</v>
      </c>
      <c r="AK432" s="93" t="s">
        <v>1563</v>
      </c>
      <c r="AL432" s="93" t="s">
        <v>343</v>
      </c>
      <c r="AM432" s="92" t="s">
        <v>149</v>
      </c>
      <c r="AN432" s="93" t="s">
        <v>6567</v>
      </c>
      <c r="AO432" s="93" t="s">
        <v>117</v>
      </c>
      <c r="AP432" s="92" t="s">
        <v>6568</v>
      </c>
      <c r="AQ432" s="90" t="s">
        <v>1566</v>
      </c>
      <c r="AR432" s="93" t="s">
        <v>6569</v>
      </c>
      <c r="AS432" s="92" t="s">
        <v>6570</v>
      </c>
      <c r="AT432" s="92" t="s">
        <v>6570</v>
      </c>
      <c r="AU432" s="92" t="s">
        <v>630</v>
      </c>
      <c r="AV432" s="92">
        <v>41151</v>
      </c>
      <c r="AW432" s="92" t="s">
        <v>7884</v>
      </c>
      <c r="AX432" s="92" t="s">
        <v>101</v>
      </c>
      <c r="AY432" s="92" t="s">
        <v>6562</v>
      </c>
      <c r="AZ432" s="127">
        <v>32569</v>
      </c>
      <c r="BA432" s="93" t="s">
        <v>1568</v>
      </c>
      <c r="BB432" s="93" t="s">
        <v>428</v>
      </c>
      <c r="BC432" s="92" t="s">
        <v>149</v>
      </c>
      <c r="BD432" s="93" t="s">
        <v>6571</v>
      </c>
      <c r="BE432" s="93" t="s">
        <v>98</v>
      </c>
      <c r="BF432" s="67" t="s">
        <v>6448</v>
      </c>
      <c r="BG432" s="92"/>
      <c r="BH432" s="93"/>
      <c r="BI432" s="93"/>
      <c r="BJ432" s="91"/>
      <c r="BK432" s="92"/>
      <c r="BL432" s="92"/>
      <c r="BM432" s="92"/>
      <c r="BN432" s="64" t="s">
        <v>6448</v>
      </c>
      <c r="BO432" s="92"/>
      <c r="BP432" s="92"/>
      <c r="BQ432" s="136"/>
      <c r="BR432" s="93"/>
      <c r="BS432" s="93"/>
      <c r="BT432" s="92"/>
      <c r="BU432" s="93"/>
      <c r="BV432" s="93"/>
      <c r="BW432" s="92"/>
      <c r="BX432" s="93"/>
      <c r="BY432" s="93"/>
      <c r="BZ432" s="92"/>
      <c r="CA432" s="92"/>
      <c r="CB432" s="92"/>
      <c r="CC432" s="92"/>
      <c r="CD432" s="92"/>
      <c r="CE432" s="64" t="s">
        <v>7686</v>
      </c>
      <c r="CF432" s="67" t="s">
        <v>1566</v>
      </c>
      <c r="CG432" s="64" t="s">
        <v>7090</v>
      </c>
      <c r="CH432" s="92" t="s">
        <v>6562</v>
      </c>
      <c r="CI432" s="92" t="s">
        <v>6562</v>
      </c>
      <c r="CJ432" s="92" t="s">
        <v>111</v>
      </c>
      <c r="CK432" s="89">
        <v>41151</v>
      </c>
      <c r="CL432" s="64" t="str">
        <f t="shared" ca="1" si="6"/>
        <v>13 Tahun 0 Bulan 29 Hari</v>
      </c>
      <c r="CM43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Citalang RT/RW 05/01 Desa/Kelurahan Citalang Kecamatan Purwakarta Purwakarta Jawa Barat 41151</v>
      </c>
    </row>
    <row r="433" spans="1:91" ht="24.95" customHeight="1">
      <c r="A433" s="58">
        <f>SUBTOTAL(3,N$8:Table2[[#This Row],[Nama lengkap]])</f>
        <v>426</v>
      </c>
      <c r="B433" s="89" t="s">
        <v>86</v>
      </c>
      <c r="C433" s="89">
        <v>2025</v>
      </c>
      <c r="D433" s="89"/>
      <c r="E433" s="89" t="s">
        <v>4805</v>
      </c>
      <c r="F433" s="58" t="s">
        <v>6986</v>
      </c>
      <c r="G433" s="165" t="s">
        <v>93</v>
      </c>
      <c r="H433" s="32"/>
      <c r="I433" s="90"/>
      <c r="J433" s="90"/>
      <c r="K433" s="90"/>
      <c r="L433" s="90"/>
      <c r="M433" s="89">
        <v>25260082</v>
      </c>
      <c r="N433" s="91" t="s">
        <v>6470</v>
      </c>
      <c r="O433" s="91"/>
      <c r="P433" s="90" t="s">
        <v>9942</v>
      </c>
      <c r="Q433" s="90" t="s">
        <v>6471</v>
      </c>
      <c r="R433" s="90" t="s">
        <v>6472</v>
      </c>
      <c r="S433" s="101">
        <v>41273</v>
      </c>
      <c r="T433" s="47" t="s">
        <v>92</v>
      </c>
      <c r="U433" s="89">
        <v>1</v>
      </c>
      <c r="V433" s="89">
        <v>1</v>
      </c>
      <c r="W433" s="47" t="s">
        <v>207</v>
      </c>
      <c r="X433" s="92" t="s">
        <v>6434</v>
      </c>
      <c r="Y433" s="92" t="s">
        <v>6473</v>
      </c>
      <c r="Z433" s="92" t="s">
        <v>819</v>
      </c>
      <c r="AA433" s="92" t="s">
        <v>6451</v>
      </c>
      <c r="AB433" s="92" t="s">
        <v>97</v>
      </c>
      <c r="AC433" s="92" t="s">
        <v>98</v>
      </c>
      <c r="AD433" s="92" t="s">
        <v>98</v>
      </c>
      <c r="AE433" s="93" t="s">
        <v>6474</v>
      </c>
      <c r="AF433" s="93" t="s">
        <v>8668</v>
      </c>
      <c r="AG433" s="92" t="s">
        <v>8668</v>
      </c>
      <c r="AH433" s="92" t="s">
        <v>101</v>
      </c>
      <c r="AI433" s="92" t="s">
        <v>6475</v>
      </c>
      <c r="AJ433" s="101">
        <v>26522</v>
      </c>
      <c r="AK433" s="93" t="s">
        <v>6476</v>
      </c>
      <c r="AL433" s="93" t="s">
        <v>343</v>
      </c>
      <c r="AM433" s="92" t="s">
        <v>96</v>
      </c>
      <c r="AN433" s="93" t="s">
        <v>6477</v>
      </c>
      <c r="AO433" s="93" t="s">
        <v>315</v>
      </c>
      <c r="AP433" s="92" t="s">
        <v>6478</v>
      </c>
      <c r="AQ433" s="90" t="s">
        <v>2704</v>
      </c>
      <c r="AR433" s="93" t="s">
        <v>6479</v>
      </c>
      <c r="AS433" s="92" t="s">
        <v>6480</v>
      </c>
      <c r="AT433" s="92" t="s">
        <v>6481</v>
      </c>
      <c r="AU433" s="92" t="s">
        <v>318</v>
      </c>
      <c r="AV433" s="92">
        <v>40562</v>
      </c>
      <c r="AW433" s="92" t="s">
        <v>9941</v>
      </c>
      <c r="AX433" s="92" t="s">
        <v>101</v>
      </c>
      <c r="AY433" s="92" t="s">
        <v>6482</v>
      </c>
      <c r="AZ433" s="127">
        <v>32971</v>
      </c>
      <c r="BA433" s="93" t="s">
        <v>6483</v>
      </c>
      <c r="BB433" s="93" t="s">
        <v>845</v>
      </c>
      <c r="BC433" s="92" t="s">
        <v>96</v>
      </c>
      <c r="BD433" s="93" t="s">
        <v>6484</v>
      </c>
      <c r="BE433" s="93" t="s">
        <v>98</v>
      </c>
      <c r="BF433" s="67" t="s">
        <v>6448</v>
      </c>
      <c r="BG433" s="92"/>
      <c r="BH433" s="93"/>
      <c r="BI433" s="93"/>
      <c r="BJ433" s="91"/>
      <c r="BK433" s="92"/>
      <c r="BL433" s="92"/>
      <c r="BM433" s="92"/>
      <c r="BN433" s="64" t="s">
        <v>6448</v>
      </c>
      <c r="BO433" s="92"/>
      <c r="BP433" s="92"/>
      <c r="BQ433" s="136"/>
      <c r="BR433" s="93"/>
      <c r="BS433" s="93"/>
      <c r="BT433" s="92"/>
      <c r="BU433" s="93"/>
      <c r="BV433" s="93"/>
      <c r="BW433" s="92"/>
      <c r="BX433" s="93"/>
      <c r="BY433" s="93"/>
      <c r="BZ433" s="92"/>
      <c r="CA433" s="92"/>
      <c r="CB433" s="92"/>
      <c r="CC433" s="92"/>
      <c r="CD433" s="92"/>
      <c r="CE433" s="64" t="s">
        <v>7687</v>
      </c>
      <c r="CF433" s="67" t="s">
        <v>2704</v>
      </c>
      <c r="CG433" s="64" t="s">
        <v>6479</v>
      </c>
      <c r="CH433" s="92" t="s">
        <v>6480</v>
      </c>
      <c r="CI433" s="92" t="s">
        <v>155</v>
      </c>
      <c r="CJ433" s="92" t="s">
        <v>111</v>
      </c>
      <c r="CK433" s="89">
        <v>40562</v>
      </c>
      <c r="CL433" s="64" t="str">
        <f t="shared" ca="1" si="6"/>
        <v>13 Tahun 0 Bulan 24 Hari</v>
      </c>
      <c r="CM43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Gunung Dukuh RT/RW 04/03 Desa/Kelurahan Cipatik Kecamatan Cihampelas Bandung Barat Jawa Barat 40562</v>
      </c>
    </row>
    <row r="434" spans="1:91" ht="24.95" customHeight="1">
      <c r="A434" s="58">
        <f>SUBTOTAL(3,N$8:Table2[[#This Row],[Nama lengkap]])</f>
        <v>427</v>
      </c>
      <c r="B434" s="89" t="s">
        <v>86</v>
      </c>
      <c r="C434" s="89">
        <v>2025</v>
      </c>
      <c r="D434" s="89"/>
      <c r="E434" s="89" t="s">
        <v>4805</v>
      </c>
      <c r="F434" s="58" t="s">
        <v>6986</v>
      </c>
      <c r="G434" s="32" t="s">
        <v>2513</v>
      </c>
      <c r="H434" s="32" t="s">
        <v>2513</v>
      </c>
      <c r="I434" s="90" t="s">
        <v>2513</v>
      </c>
      <c r="J434" s="32"/>
      <c r="K434" s="32"/>
      <c r="L434" s="32"/>
      <c r="M434" s="89">
        <v>25260071</v>
      </c>
      <c r="N434" s="91" t="s">
        <v>6675</v>
      </c>
      <c r="O434" s="91"/>
      <c r="P434" s="90" t="s">
        <v>9015</v>
      </c>
      <c r="Q434" s="90" t="s">
        <v>6676</v>
      </c>
      <c r="R434" s="90" t="s">
        <v>492</v>
      </c>
      <c r="S434" s="101">
        <v>41151</v>
      </c>
      <c r="T434" s="47" t="s">
        <v>92</v>
      </c>
      <c r="U434" s="89">
        <v>2</v>
      </c>
      <c r="V434" s="89">
        <v>3</v>
      </c>
      <c r="W434" s="47" t="s">
        <v>207</v>
      </c>
      <c r="X434" s="92" t="s">
        <v>93</v>
      </c>
      <c r="Y434" s="92" t="s">
        <v>6677</v>
      </c>
      <c r="Z434" s="92" t="s">
        <v>6678</v>
      </c>
      <c r="AA434" s="92" t="s">
        <v>6451</v>
      </c>
      <c r="AB434" s="92" t="s">
        <v>97</v>
      </c>
      <c r="AC434" s="92" t="s">
        <v>98</v>
      </c>
      <c r="AD434" s="92" t="s">
        <v>98</v>
      </c>
      <c r="AE434" s="93" t="s">
        <v>9016</v>
      </c>
      <c r="AF434" s="93" t="s">
        <v>8669</v>
      </c>
      <c r="AG434" s="92" t="s">
        <v>8670</v>
      </c>
      <c r="AH434" s="92" t="s">
        <v>101</v>
      </c>
      <c r="AI434" s="92" t="s">
        <v>492</v>
      </c>
      <c r="AJ434" s="101">
        <v>27053</v>
      </c>
      <c r="AK434" s="93" t="s">
        <v>6679</v>
      </c>
      <c r="AL434" s="93" t="s">
        <v>602</v>
      </c>
      <c r="AM434" s="92" t="s">
        <v>149</v>
      </c>
      <c r="AN434" s="93">
        <v>92298310782</v>
      </c>
      <c r="AO434" s="93" t="s">
        <v>106</v>
      </c>
      <c r="AP434" s="92" t="s">
        <v>6680</v>
      </c>
      <c r="AQ434" s="90">
        <v>45820</v>
      </c>
      <c r="AR434" s="93" t="s">
        <v>6681</v>
      </c>
      <c r="AS434" s="92" t="s">
        <v>6682</v>
      </c>
      <c r="AT434" s="92" t="s">
        <v>492</v>
      </c>
      <c r="AU434" s="92" t="s">
        <v>111</v>
      </c>
      <c r="AV434" s="92">
        <v>41361</v>
      </c>
      <c r="AW434" s="92" t="s">
        <v>8162</v>
      </c>
      <c r="AX434" s="92" t="s">
        <v>101</v>
      </c>
      <c r="AY434" s="92" t="s">
        <v>492</v>
      </c>
      <c r="AZ434" s="127">
        <v>29138</v>
      </c>
      <c r="BA434" s="93" t="s">
        <v>6683</v>
      </c>
      <c r="BB434" s="93" t="s">
        <v>7777</v>
      </c>
      <c r="BC434" s="92" t="s">
        <v>128</v>
      </c>
      <c r="BD434" s="93">
        <v>82299216713</v>
      </c>
      <c r="BE434" s="93" t="s">
        <v>117</v>
      </c>
      <c r="BF434" s="67" t="s">
        <v>6448</v>
      </c>
      <c r="BG434" s="92"/>
      <c r="BH434" s="93"/>
      <c r="BI434" s="93"/>
      <c r="BJ434" s="91"/>
      <c r="BK434" s="92"/>
      <c r="BL434" s="92"/>
      <c r="BM434" s="92"/>
      <c r="BN434" s="64" t="s">
        <v>161</v>
      </c>
      <c r="BO434" s="92"/>
      <c r="BP434" s="92"/>
      <c r="BQ434" s="136"/>
      <c r="BR434" s="93"/>
      <c r="BS434" s="93"/>
      <c r="BT434" s="92"/>
      <c r="BU434" s="93"/>
      <c r="BV434" s="93"/>
      <c r="BW434" s="92"/>
      <c r="BX434" s="93"/>
      <c r="BY434" s="93"/>
      <c r="BZ434" s="92"/>
      <c r="CA434" s="92"/>
      <c r="CB434" s="92"/>
      <c r="CC434" s="92"/>
      <c r="CD434" s="92"/>
      <c r="CE434" s="64" t="s">
        <v>9017</v>
      </c>
      <c r="CF434" s="67" t="s">
        <v>9018</v>
      </c>
      <c r="CG434" s="64" t="s">
        <v>6681</v>
      </c>
      <c r="CH434" s="92" t="s">
        <v>6682</v>
      </c>
      <c r="CI434" s="92" t="s">
        <v>492</v>
      </c>
      <c r="CJ434" s="92" t="s">
        <v>111</v>
      </c>
      <c r="CK434" s="89">
        <v>41361</v>
      </c>
      <c r="CL434" s="64" t="str">
        <f t="shared" ca="1" si="6"/>
        <v>13 Tahun 4 Bulan 24 Hari</v>
      </c>
      <c r="CM43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Gempol Tengah RT/RW 012/006 Desa/Kelurahan Purwadana Kecamatan Telukjambe Timur Karawang Jawa Barat 41361</v>
      </c>
    </row>
    <row r="435" spans="1:91" ht="24.95" customHeight="1">
      <c r="A435" s="58">
        <f>SUBTOTAL(3,N$8:Table2[[#This Row],[Nama lengkap]])</f>
        <v>428</v>
      </c>
      <c r="B435" s="89" t="s">
        <v>86</v>
      </c>
      <c r="C435" s="89">
        <v>2025</v>
      </c>
      <c r="D435" s="89"/>
      <c r="E435" s="89" t="s">
        <v>4805</v>
      </c>
      <c r="F435" s="58" t="s">
        <v>6986</v>
      </c>
      <c r="G435" s="32" t="s">
        <v>2513</v>
      </c>
      <c r="H435" s="32" t="s">
        <v>2513</v>
      </c>
      <c r="I435" s="90" t="s">
        <v>2513</v>
      </c>
      <c r="J435" s="90"/>
      <c r="K435" s="90"/>
      <c r="L435" s="90"/>
      <c r="M435" s="89">
        <v>25260139</v>
      </c>
      <c r="N435" s="91" t="s">
        <v>8869</v>
      </c>
      <c r="O435" s="91"/>
      <c r="P435" s="90" t="s">
        <v>6955</v>
      </c>
      <c r="Q435" s="90" t="s">
        <v>6956</v>
      </c>
      <c r="R435" s="90" t="s">
        <v>90</v>
      </c>
      <c r="S435" s="101">
        <v>39981</v>
      </c>
      <c r="T435" s="47" t="s">
        <v>92</v>
      </c>
      <c r="U435" s="89">
        <v>3</v>
      </c>
      <c r="V435" s="89" t="s">
        <v>6957</v>
      </c>
      <c r="W435" s="47" t="s">
        <v>207</v>
      </c>
      <c r="X435" s="92" t="s">
        <v>6434</v>
      </c>
      <c r="Y435" s="92" t="s">
        <v>453</v>
      </c>
      <c r="Z435" s="92" t="s">
        <v>819</v>
      </c>
      <c r="AA435" s="92" t="s">
        <v>6437</v>
      </c>
      <c r="AB435" s="92" t="s">
        <v>529</v>
      </c>
      <c r="AC435" s="92" t="s">
        <v>98</v>
      </c>
      <c r="AD435" s="92" t="s">
        <v>98</v>
      </c>
      <c r="AE435" s="93" t="s">
        <v>6958</v>
      </c>
      <c r="AF435" s="93" t="s">
        <v>6959</v>
      </c>
      <c r="AG435" s="92" t="s">
        <v>6960</v>
      </c>
      <c r="AH435" s="92" t="s">
        <v>1071</v>
      </c>
      <c r="AI435" s="92"/>
      <c r="AJ435" s="101"/>
      <c r="AK435" s="93"/>
      <c r="AL435" s="93"/>
      <c r="AM435" s="92"/>
      <c r="AN435" s="93"/>
      <c r="AO435" s="93"/>
      <c r="AP435" s="92"/>
      <c r="AQ435" s="90"/>
      <c r="AR435" s="93"/>
      <c r="AS435" s="92"/>
      <c r="AT435" s="92"/>
      <c r="AU435" s="92"/>
      <c r="AV435" s="92"/>
      <c r="AW435" s="92" t="s">
        <v>6961</v>
      </c>
      <c r="AX435" s="92" t="s">
        <v>5031</v>
      </c>
      <c r="AY435" s="92"/>
      <c r="AZ435" s="127"/>
      <c r="BA435" s="93"/>
      <c r="BB435" s="93"/>
      <c r="BC435" s="92"/>
      <c r="BD435" s="93"/>
      <c r="BE435" s="93"/>
      <c r="BF435" s="67"/>
      <c r="BG435" s="92"/>
      <c r="BH435" s="93"/>
      <c r="BI435" s="93"/>
      <c r="BJ435" s="91"/>
      <c r="BK435" s="92"/>
      <c r="BL435" s="92"/>
      <c r="BM435" s="92"/>
      <c r="BN435" s="64" t="s">
        <v>6962</v>
      </c>
      <c r="BO435" s="92" t="s">
        <v>6959</v>
      </c>
      <c r="BP435" s="92" t="s">
        <v>90</v>
      </c>
      <c r="BQ435" s="136">
        <v>36755</v>
      </c>
      <c r="BR435" s="93" t="s">
        <v>6963</v>
      </c>
      <c r="BS435" s="93" t="s">
        <v>343</v>
      </c>
      <c r="BT435" s="92" t="s">
        <v>149</v>
      </c>
      <c r="BU435" s="93" t="s">
        <v>6964</v>
      </c>
      <c r="BV435" s="93" t="s">
        <v>266</v>
      </c>
      <c r="BW435" s="92" t="s">
        <v>6965</v>
      </c>
      <c r="BX435" s="93" t="s">
        <v>864</v>
      </c>
      <c r="BY435" s="93" t="s">
        <v>6966</v>
      </c>
      <c r="BZ435" s="92" t="s">
        <v>6967</v>
      </c>
      <c r="CA435" s="92" t="s">
        <v>90</v>
      </c>
      <c r="CB435" s="92" t="s">
        <v>111</v>
      </c>
      <c r="CC435" s="92">
        <v>40911</v>
      </c>
      <c r="CD435" s="92"/>
      <c r="CE435" s="64" t="s">
        <v>9000</v>
      </c>
      <c r="CF435" s="67" t="s">
        <v>864</v>
      </c>
      <c r="CG435" s="64" t="s">
        <v>6966</v>
      </c>
      <c r="CH435" s="92" t="s">
        <v>6967</v>
      </c>
      <c r="CI435" s="92" t="s">
        <v>90</v>
      </c>
      <c r="CJ435" s="92" t="s">
        <v>111</v>
      </c>
      <c r="CK435" s="89">
        <v>40911</v>
      </c>
      <c r="CL435" s="64" t="str">
        <f t="shared" ca="1" si="6"/>
        <v>16 Tahun 7 Bulan 6 Hari</v>
      </c>
      <c r="CM43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Saneke RT/RW 03/10 Desa/Kelurahan Pameuntasan Kecamatan Kutawaringin Bandung Jawa Barat 40911</v>
      </c>
    </row>
    <row r="436" spans="1:91" ht="24.95" customHeight="1">
      <c r="A436" s="58">
        <f>SUBTOTAL(3,N$8:Table2[[#This Row],[Nama lengkap]])</f>
        <v>429</v>
      </c>
      <c r="B436" s="89" t="s">
        <v>86</v>
      </c>
      <c r="C436" s="89">
        <v>2025</v>
      </c>
      <c r="D436" s="89"/>
      <c r="E436" s="89" t="s">
        <v>4805</v>
      </c>
      <c r="F436" s="58" t="s">
        <v>6986</v>
      </c>
      <c r="G436" s="32" t="s">
        <v>2513</v>
      </c>
      <c r="H436" s="32" t="s">
        <v>2513</v>
      </c>
      <c r="I436" s="90" t="s">
        <v>2513</v>
      </c>
      <c r="J436" s="90"/>
      <c r="K436" s="90"/>
      <c r="L436" s="90"/>
      <c r="M436" s="89">
        <v>25260087</v>
      </c>
      <c r="N436" s="91" t="s">
        <v>6745</v>
      </c>
      <c r="O436" s="91"/>
      <c r="P436" s="32" t="s">
        <v>9934</v>
      </c>
      <c r="Q436" s="90" t="s">
        <v>6746</v>
      </c>
      <c r="R436" s="90" t="s">
        <v>236</v>
      </c>
      <c r="S436" s="101">
        <v>41374</v>
      </c>
      <c r="T436" s="47" t="s">
        <v>92</v>
      </c>
      <c r="U436" s="89">
        <v>2</v>
      </c>
      <c r="V436" s="89">
        <v>1</v>
      </c>
      <c r="W436" s="47" t="s">
        <v>207</v>
      </c>
      <c r="X436" s="92" t="s">
        <v>6434</v>
      </c>
      <c r="Y436" s="92" t="s">
        <v>285</v>
      </c>
      <c r="Z436" s="92" t="s">
        <v>1985</v>
      </c>
      <c r="AA436" s="92" t="s">
        <v>6451</v>
      </c>
      <c r="AB436" s="92" t="s">
        <v>97</v>
      </c>
      <c r="AC436" s="92" t="s">
        <v>98</v>
      </c>
      <c r="AD436" s="92" t="s">
        <v>98</v>
      </c>
      <c r="AE436" s="93" t="s">
        <v>9019</v>
      </c>
      <c r="AF436" s="93" t="s">
        <v>8671</v>
      </c>
      <c r="AG436" s="92" t="s">
        <v>8671</v>
      </c>
      <c r="AH436" s="92" t="s">
        <v>101</v>
      </c>
      <c r="AI436" s="92" t="s">
        <v>236</v>
      </c>
      <c r="AJ436" s="101">
        <v>29754</v>
      </c>
      <c r="AK436" s="93" t="s">
        <v>6747</v>
      </c>
      <c r="AL436" s="93" t="s">
        <v>114</v>
      </c>
      <c r="AM436" s="92" t="s">
        <v>149</v>
      </c>
      <c r="AN436" s="93">
        <v>82213062065</v>
      </c>
      <c r="AO436" s="93" t="s">
        <v>130</v>
      </c>
      <c r="AP436" s="92" t="s">
        <v>6748</v>
      </c>
      <c r="AQ436" s="90">
        <v>45931</v>
      </c>
      <c r="AR436" s="93" t="s">
        <v>133</v>
      </c>
      <c r="AS436" s="92" t="s">
        <v>6749</v>
      </c>
      <c r="AT436" s="92" t="s">
        <v>236</v>
      </c>
      <c r="AU436" s="92" t="s">
        <v>318</v>
      </c>
      <c r="AV436" s="92">
        <v>44151</v>
      </c>
      <c r="AW436" s="92" t="s">
        <v>8163</v>
      </c>
      <c r="AX436" s="92" t="s">
        <v>101</v>
      </c>
      <c r="AY436" s="92" t="s">
        <v>236</v>
      </c>
      <c r="AZ436" s="127">
        <v>34768</v>
      </c>
      <c r="BA436" s="93" t="s">
        <v>6750</v>
      </c>
      <c r="BB436" s="93" t="s">
        <v>428</v>
      </c>
      <c r="BC436" s="92" t="s">
        <v>149</v>
      </c>
      <c r="BD436" s="93">
        <v>81389510314</v>
      </c>
      <c r="BE436" s="93" t="s">
        <v>98</v>
      </c>
      <c r="BF436" s="67" t="s">
        <v>6448</v>
      </c>
      <c r="BG436" s="92"/>
      <c r="BH436" s="93"/>
      <c r="BI436" s="93"/>
      <c r="BJ436" s="91"/>
      <c r="BK436" s="92"/>
      <c r="BL436" s="92"/>
      <c r="BM436" s="92"/>
      <c r="BN436" s="64" t="s">
        <v>161</v>
      </c>
      <c r="BO436" s="92"/>
      <c r="BP436" s="92"/>
      <c r="BQ436" s="136"/>
      <c r="BR436" s="93"/>
      <c r="BS436" s="93"/>
      <c r="BT436" s="92"/>
      <c r="BU436" s="93"/>
      <c r="BV436" s="93"/>
      <c r="BW436" s="92"/>
      <c r="BX436" s="93"/>
      <c r="BY436" s="93"/>
      <c r="BZ436" s="92"/>
      <c r="CA436" s="92"/>
      <c r="CB436" s="92"/>
      <c r="CC436" s="92"/>
      <c r="CD436" s="92"/>
      <c r="CE436" s="64" t="s">
        <v>7688</v>
      </c>
      <c r="CF436" s="67" t="s">
        <v>4810</v>
      </c>
      <c r="CG436" s="64" t="s">
        <v>133</v>
      </c>
      <c r="CH436" s="92" t="s">
        <v>7028</v>
      </c>
      <c r="CI436" s="92" t="s">
        <v>236</v>
      </c>
      <c r="CJ436" s="92" t="s">
        <v>111</v>
      </c>
      <c r="CK436" s="89">
        <v>44151</v>
      </c>
      <c r="CL436" s="64" t="str">
        <f t="shared" ca="1" si="6"/>
        <v>12 Tahun 9 Bulan 13 Hari</v>
      </c>
      <c r="CM43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Cibolerang RT/RW 001/010 Desa/Kelurahan Mekarjaya Kecamatan Tarogong Kaler Garut Jawa Barat 44151</v>
      </c>
    </row>
    <row r="437" spans="1:91" ht="24.95" customHeight="1">
      <c r="A437" s="58">
        <f>SUBTOTAL(3,N$8:Table2[[#This Row],[Nama lengkap]])</f>
        <v>430</v>
      </c>
      <c r="B437" s="89" t="s">
        <v>86</v>
      </c>
      <c r="C437" s="89">
        <v>2025</v>
      </c>
      <c r="D437" s="89"/>
      <c r="E437" s="89" t="s">
        <v>4805</v>
      </c>
      <c r="F437" s="58" t="s">
        <v>6986</v>
      </c>
      <c r="G437" s="32" t="s">
        <v>2513</v>
      </c>
      <c r="H437" s="32" t="s">
        <v>2513</v>
      </c>
      <c r="I437" s="90" t="s">
        <v>2513</v>
      </c>
      <c r="J437" s="90"/>
      <c r="K437" s="90"/>
      <c r="L437" s="90"/>
      <c r="M437" s="89">
        <v>25260088</v>
      </c>
      <c r="N437" s="91" t="s">
        <v>6665</v>
      </c>
      <c r="O437" s="91"/>
      <c r="P437" s="32" t="s">
        <v>8984</v>
      </c>
      <c r="Q437" s="90" t="s">
        <v>6666</v>
      </c>
      <c r="R437" s="90" t="s">
        <v>90</v>
      </c>
      <c r="S437" s="101">
        <v>41262</v>
      </c>
      <c r="T437" s="47" t="s">
        <v>92</v>
      </c>
      <c r="U437" s="89">
        <v>2</v>
      </c>
      <c r="V437" s="89">
        <v>1</v>
      </c>
      <c r="W437" s="47" t="s">
        <v>207</v>
      </c>
      <c r="X437" s="92" t="s">
        <v>303</v>
      </c>
      <c r="Y437" s="92" t="s">
        <v>143</v>
      </c>
      <c r="Z437" s="92" t="s">
        <v>6667</v>
      </c>
      <c r="AA437" s="92" t="s">
        <v>6451</v>
      </c>
      <c r="AB437" s="92" t="s">
        <v>97</v>
      </c>
      <c r="AC437" s="92" t="s">
        <v>98</v>
      </c>
      <c r="AD437" s="92" t="s">
        <v>98</v>
      </c>
      <c r="AE437" s="93" t="s">
        <v>9020</v>
      </c>
      <c r="AF437" s="93" t="s">
        <v>6668</v>
      </c>
      <c r="AG437" s="92" t="s">
        <v>6668</v>
      </c>
      <c r="AH437" s="92" t="s">
        <v>101</v>
      </c>
      <c r="AI437" s="92" t="s">
        <v>135</v>
      </c>
      <c r="AJ437" s="101">
        <v>30819</v>
      </c>
      <c r="AK437" s="93" t="s">
        <v>6669</v>
      </c>
      <c r="AL437" s="93" t="s">
        <v>914</v>
      </c>
      <c r="AM437" s="92" t="s">
        <v>149</v>
      </c>
      <c r="AN437" s="93">
        <v>81321558920</v>
      </c>
      <c r="AO437" s="93" t="s">
        <v>315</v>
      </c>
      <c r="AP437" s="92" t="s">
        <v>6670</v>
      </c>
      <c r="AQ437" s="90">
        <v>45721</v>
      </c>
      <c r="AR437" s="93" t="s">
        <v>6671</v>
      </c>
      <c r="AS437" s="92" t="s">
        <v>6672</v>
      </c>
      <c r="AT437" s="92" t="s">
        <v>90</v>
      </c>
      <c r="AU437" s="92" t="s">
        <v>111</v>
      </c>
      <c r="AV437" s="92">
        <v>40292</v>
      </c>
      <c r="AW437" s="92" t="s">
        <v>6673</v>
      </c>
      <c r="AX437" s="92" t="s">
        <v>101</v>
      </c>
      <c r="AY437" s="92" t="s">
        <v>135</v>
      </c>
      <c r="AZ437" s="127">
        <v>32493</v>
      </c>
      <c r="BA437" s="93" t="s">
        <v>6674</v>
      </c>
      <c r="BB437" s="93" t="s">
        <v>7778</v>
      </c>
      <c r="BC437" s="92" t="s">
        <v>149</v>
      </c>
      <c r="BD437" s="93">
        <v>87773177818</v>
      </c>
      <c r="BE437" s="93" t="s">
        <v>98</v>
      </c>
      <c r="BF437" s="67" t="s">
        <v>6448</v>
      </c>
      <c r="BG437" s="92"/>
      <c r="BH437" s="93"/>
      <c r="BI437" s="93"/>
      <c r="BJ437" s="91"/>
      <c r="BK437" s="92"/>
      <c r="BL437" s="92"/>
      <c r="BM437" s="92"/>
      <c r="BN437" s="64" t="s">
        <v>448</v>
      </c>
      <c r="BO437" s="92"/>
      <c r="BP437" s="92"/>
      <c r="BQ437" s="136"/>
      <c r="BR437" s="93"/>
      <c r="BS437" s="93"/>
      <c r="BT437" s="92"/>
      <c r="BU437" s="93"/>
      <c r="BV437" s="93"/>
      <c r="BW437" s="92"/>
      <c r="BX437" s="93"/>
      <c r="BY437" s="93"/>
      <c r="BZ437" s="92"/>
      <c r="CA437" s="92"/>
      <c r="CB437" s="92"/>
      <c r="CC437" s="92"/>
      <c r="CD437" s="92"/>
      <c r="CE437" s="64" t="s">
        <v>9022</v>
      </c>
      <c r="CF437" s="67" t="s">
        <v>9021</v>
      </c>
      <c r="CG437" s="64" t="s">
        <v>6671</v>
      </c>
      <c r="CH437" s="92" t="s">
        <v>6672</v>
      </c>
      <c r="CI437" s="92" t="s">
        <v>90</v>
      </c>
      <c r="CJ437" s="92" t="s">
        <v>111</v>
      </c>
      <c r="CK437" s="89">
        <v>40292</v>
      </c>
      <c r="CL437" s="64" t="str">
        <f t="shared" ca="1" si="6"/>
        <v>13 Tahun 1 Bulan 4 Hari</v>
      </c>
      <c r="CM43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Rancaloa RT/RW 005/003 Desa/Kelurahan Cipamokolan Kecamatan Rancasari Bandung Jawa Barat 40292</v>
      </c>
    </row>
    <row r="438" spans="1:91" ht="24.95" customHeight="1">
      <c r="A438" s="58">
        <f>SUBTOTAL(3,N$8:Table2[[#This Row],[Nama lengkap]])</f>
        <v>431</v>
      </c>
      <c r="B438" s="89" t="s">
        <v>86</v>
      </c>
      <c r="C438" s="89">
        <v>2025</v>
      </c>
      <c r="D438" s="89"/>
      <c r="E438" s="89" t="s">
        <v>4805</v>
      </c>
      <c r="F438" s="58" t="s">
        <v>6986</v>
      </c>
      <c r="G438" s="32" t="s">
        <v>2513</v>
      </c>
      <c r="H438" s="32" t="s">
        <v>2513</v>
      </c>
      <c r="I438" s="90" t="s">
        <v>2513</v>
      </c>
      <c r="J438" s="90"/>
      <c r="K438" s="90"/>
      <c r="L438" s="90"/>
      <c r="M438" s="89">
        <v>25260049</v>
      </c>
      <c r="N438" s="91" t="s">
        <v>6787</v>
      </c>
      <c r="O438" s="91"/>
      <c r="P438" s="90" t="s">
        <v>6788</v>
      </c>
      <c r="Q438" s="90" t="s">
        <v>6789</v>
      </c>
      <c r="R438" s="32" t="s">
        <v>90</v>
      </c>
      <c r="S438" s="101">
        <v>40159</v>
      </c>
      <c r="T438" s="47" t="s">
        <v>92</v>
      </c>
      <c r="U438" s="89">
        <v>3</v>
      </c>
      <c r="V438" s="89">
        <v>3</v>
      </c>
      <c r="W438" s="47" t="s">
        <v>207</v>
      </c>
      <c r="X438" s="92" t="s">
        <v>6434</v>
      </c>
      <c r="Y438" s="92" t="s">
        <v>6790</v>
      </c>
      <c r="Z438" s="92" t="s">
        <v>6791</v>
      </c>
      <c r="AA438" s="92" t="s">
        <v>6451</v>
      </c>
      <c r="AB438" s="92" t="s">
        <v>97</v>
      </c>
      <c r="AC438" s="92" t="s">
        <v>417</v>
      </c>
      <c r="AD438" s="92" t="s">
        <v>534</v>
      </c>
      <c r="AE438" s="93" t="s">
        <v>6792</v>
      </c>
      <c r="AF438" s="93" t="s">
        <v>8672</v>
      </c>
      <c r="AG438" s="92" t="s">
        <v>8672</v>
      </c>
      <c r="AH438" s="92" t="s">
        <v>101</v>
      </c>
      <c r="AI438" s="92" t="s">
        <v>90</v>
      </c>
      <c r="AJ438" s="101">
        <v>26520</v>
      </c>
      <c r="AK438" s="93" t="s">
        <v>6793</v>
      </c>
      <c r="AL438" s="93" t="s">
        <v>8266</v>
      </c>
      <c r="AM438" s="92" t="s">
        <v>159</v>
      </c>
      <c r="AN438" s="93" t="s">
        <v>6794</v>
      </c>
      <c r="AO438" s="93" t="s">
        <v>106</v>
      </c>
      <c r="AP438" s="92" t="s">
        <v>6795</v>
      </c>
      <c r="AQ438" s="90" t="s">
        <v>6796</v>
      </c>
      <c r="AR438" s="93" t="s">
        <v>6714</v>
      </c>
      <c r="AS438" s="92" t="s">
        <v>507</v>
      </c>
      <c r="AT438" s="92" t="s">
        <v>90</v>
      </c>
      <c r="AU438" s="92" t="s">
        <v>111</v>
      </c>
      <c r="AV438" s="92">
        <v>40377</v>
      </c>
      <c r="AW438" s="92" t="s">
        <v>8164</v>
      </c>
      <c r="AX438" s="92" t="s">
        <v>101</v>
      </c>
      <c r="AY438" s="92" t="s">
        <v>90</v>
      </c>
      <c r="AZ438" s="127">
        <v>26637</v>
      </c>
      <c r="BA438" s="93" t="s">
        <v>9023</v>
      </c>
      <c r="BB438" s="93" t="s">
        <v>428</v>
      </c>
      <c r="BC438" s="92" t="s">
        <v>6797</v>
      </c>
      <c r="BD438" s="93"/>
      <c r="BE438" s="93" t="s">
        <v>130</v>
      </c>
      <c r="BF438" s="67" t="s">
        <v>6448</v>
      </c>
      <c r="BG438" s="92"/>
      <c r="BH438" s="93"/>
      <c r="BI438" s="93"/>
      <c r="BJ438" s="91"/>
      <c r="BK438" s="92"/>
      <c r="BL438" s="92"/>
      <c r="BM438" s="92"/>
      <c r="BN438" s="64" t="s">
        <v>161</v>
      </c>
      <c r="BO438" s="92"/>
      <c r="BP438" s="92"/>
      <c r="BQ438" s="136"/>
      <c r="BR438" s="93"/>
      <c r="BS438" s="93"/>
      <c r="BT438" s="92"/>
      <c r="BU438" s="93"/>
      <c r="BV438" s="93"/>
      <c r="BW438" s="92"/>
      <c r="BX438" s="93"/>
      <c r="BY438" s="93"/>
      <c r="BZ438" s="92"/>
      <c r="CA438" s="92"/>
      <c r="CB438" s="92"/>
      <c r="CC438" s="92"/>
      <c r="CD438" s="92"/>
      <c r="CE438" s="64" t="s">
        <v>7601</v>
      </c>
      <c r="CF438" s="67" t="s">
        <v>9024</v>
      </c>
      <c r="CG438" s="64" t="s">
        <v>6714</v>
      </c>
      <c r="CH438" s="92" t="s">
        <v>507</v>
      </c>
      <c r="CI438" s="92" t="s">
        <v>90</v>
      </c>
      <c r="CJ438" s="92" t="s">
        <v>111</v>
      </c>
      <c r="CK438" s="89">
        <v>40377</v>
      </c>
      <c r="CL438" s="64" t="str">
        <f t="shared" ca="1" si="6"/>
        <v>16 Tahun 1 Bulan 11 Hari</v>
      </c>
      <c r="CM43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Kp.Neglasari RT/RW 007/003 Desa/Kelurahan Ciapus Kecamatan Banjaran Bandung Jawa Barat 40377</v>
      </c>
    </row>
    <row r="439" spans="1:91" ht="24.95" customHeight="1">
      <c r="A439" s="58">
        <f>SUBTOTAL(3,N$8:Table2[[#This Row],[Nama lengkap]])</f>
        <v>432</v>
      </c>
      <c r="B439" s="89" t="s">
        <v>86</v>
      </c>
      <c r="C439" s="89">
        <v>2025</v>
      </c>
      <c r="D439" s="89"/>
      <c r="E439" s="89" t="s">
        <v>4805</v>
      </c>
      <c r="F439" s="58" t="s">
        <v>6986</v>
      </c>
      <c r="G439" s="32" t="s">
        <v>2513</v>
      </c>
      <c r="H439" s="32" t="s">
        <v>2513</v>
      </c>
      <c r="I439" s="90" t="s">
        <v>2513</v>
      </c>
      <c r="J439" s="90"/>
      <c r="K439" s="90"/>
      <c r="L439" s="90"/>
      <c r="M439" s="89">
        <v>25260050</v>
      </c>
      <c r="N439" s="91" t="s">
        <v>6654</v>
      </c>
      <c r="O439" s="91"/>
      <c r="P439" s="90">
        <v>3131626572</v>
      </c>
      <c r="Q439" s="90" t="s">
        <v>6655</v>
      </c>
      <c r="R439" s="90" t="s">
        <v>90</v>
      </c>
      <c r="S439" s="101">
        <v>41397</v>
      </c>
      <c r="T439" s="47" t="s">
        <v>92</v>
      </c>
      <c r="U439" s="89">
        <v>4</v>
      </c>
      <c r="V439" s="89">
        <v>3</v>
      </c>
      <c r="W439" s="47" t="s">
        <v>207</v>
      </c>
      <c r="X439" s="92" t="s">
        <v>6434</v>
      </c>
      <c r="Y439" s="92" t="s">
        <v>94</v>
      </c>
      <c r="Z439" s="92" t="s">
        <v>6656</v>
      </c>
      <c r="AA439" s="92" t="s">
        <v>6451</v>
      </c>
      <c r="AB439" s="92" t="s">
        <v>97</v>
      </c>
      <c r="AC439" s="92" t="s">
        <v>98</v>
      </c>
      <c r="AD439" s="92" t="s">
        <v>98</v>
      </c>
      <c r="AE439" s="93" t="s">
        <v>9025</v>
      </c>
      <c r="AF439" s="93" t="s">
        <v>6657</v>
      </c>
      <c r="AG439" s="92" t="s">
        <v>6657</v>
      </c>
      <c r="AH439" s="92" t="s">
        <v>101</v>
      </c>
      <c r="AI439" s="92" t="s">
        <v>6658</v>
      </c>
      <c r="AJ439" s="101">
        <v>27153</v>
      </c>
      <c r="AK439" s="93" t="s">
        <v>6659</v>
      </c>
      <c r="AL439" s="93" t="s">
        <v>114</v>
      </c>
      <c r="AM439" s="92" t="s">
        <v>159</v>
      </c>
      <c r="AN439" s="93">
        <v>81313456793</v>
      </c>
      <c r="AO439" s="93" t="s">
        <v>117</v>
      </c>
      <c r="AP439" s="92" t="s">
        <v>6660</v>
      </c>
      <c r="AQ439" s="90">
        <v>45779</v>
      </c>
      <c r="AR439" s="93" t="s">
        <v>6661</v>
      </c>
      <c r="AS439" s="92" t="s">
        <v>6662</v>
      </c>
      <c r="AT439" s="92" t="s">
        <v>644</v>
      </c>
      <c r="AU439" s="92" t="s">
        <v>111</v>
      </c>
      <c r="AV439" s="92">
        <v>40134</v>
      </c>
      <c r="AW439" s="92" t="s">
        <v>6663</v>
      </c>
      <c r="AX439" s="92" t="s">
        <v>101</v>
      </c>
      <c r="AY439" s="92" t="s">
        <v>6658</v>
      </c>
      <c r="AZ439" s="127">
        <v>30039</v>
      </c>
      <c r="BA439" s="93" t="s">
        <v>6664</v>
      </c>
      <c r="BB439" s="93" t="s">
        <v>180</v>
      </c>
      <c r="BC439" s="92" t="s">
        <v>149</v>
      </c>
      <c r="BD439" s="93">
        <v>81220109011</v>
      </c>
      <c r="BE439" s="93" t="s">
        <v>98</v>
      </c>
      <c r="BF439" s="67" t="s">
        <v>6448</v>
      </c>
      <c r="BG439" s="92"/>
      <c r="BH439" s="93"/>
      <c r="BI439" s="93"/>
      <c r="BJ439" s="91"/>
      <c r="BK439" s="92"/>
      <c r="BL439" s="92"/>
      <c r="BM439" s="92"/>
      <c r="BN439" s="64" t="s">
        <v>161</v>
      </c>
      <c r="BO439" s="92"/>
      <c r="BP439" s="92"/>
      <c r="BQ439" s="136"/>
      <c r="BR439" s="93"/>
      <c r="BS439" s="93"/>
      <c r="BT439" s="92"/>
      <c r="BU439" s="93"/>
      <c r="BV439" s="93"/>
      <c r="BW439" s="92"/>
      <c r="BX439" s="93"/>
      <c r="BY439" s="93"/>
      <c r="BZ439" s="92"/>
      <c r="CA439" s="92"/>
      <c r="CB439" s="92"/>
      <c r="CC439" s="92"/>
      <c r="CD439" s="92"/>
      <c r="CE439" s="64" t="s">
        <v>7689</v>
      </c>
      <c r="CF439" s="67" t="s">
        <v>2497</v>
      </c>
      <c r="CG439" s="64" t="s">
        <v>6661</v>
      </c>
      <c r="CH439" s="92" t="s">
        <v>6662</v>
      </c>
      <c r="CI439" s="92" t="s">
        <v>644</v>
      </c>
      <c r="CJ439" s="92" t="s">
        <v>111</v>
      </c>
      <c r="CK439" s="89">
        <v>40134</v>
      </c>
      <c r="CL439" s="64" t="str">
        <f t="shared" ca="1" si="6"/>
        <v>12 Tahun 8 Bulan 20 Hari</v>
      </c>
      <c r="CM43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Jl.Sekeloa No.107 RT/RW 002/005 Desa/Kelurahan Sekeloa Kecamatan Coblong Kota Bandung Jawa Barat 40134</v>
      </c>
    </row>
    <row r="440" spans="1:91" ht="24.95" customHeight="1">
      <c r="A440" s="58">
        <f>SUBTOTAL(3,N$8:Table2[[#This Row],[Nama lengkap]])</f>
        <v>433</v>
      </c>
      <c r="B440" s="89" t="s">
        <v>86</v>
      </c>
      <c r="C440" s="89">
        <v>2025</v>
      </c>
      <c r="D440" s="89"/>
      <c r="E440" s="89" t="s">
        <v>4805</v>
      </c>
      <c r="F440" s="58" t="s">
        <v>6986</v>
      </c>
      <c r="G440" s="32" t="s">
        <v>2513</v>
      </c>
      <c r="H440" s="32" t="s">
        <v>2513</v>
      </c>
      <c r="I440" s="90" t="s">
        <v>2513</v>
      </c>
      <c r="J440" s="90"/>
      <c r="K440" s="90"/>
      <c r="L440" s="90"/>
      <c r="M440" s="89">
        <v>25260015</v>
      </c>
      <c r="N440" s="91" t="s">
        <v>6638</v>
      </c>
      <c r="O440" s="91"/>
      <c r="P440" s="90">
        <v>3139867465</v>
      </c>
      <c r="Q440" s="90" t="s">
        <v>6639</v>
      </c>
      <c r="R440" s="90" t="s">
        <v>90</v>
      </c>
      <c r="S440" s="101">
        <v>41412</v>
      </c>
      <c r="T440" s="47" t="s">
        <v>92</v>
      </c>
      <c r="U440" s="89">
        <v>5</v>
      </c>
      <c r="V440" s="89">
        <v>2</v>
      </c>
      <c r="W440" s="47" t="s">
        <v>207</v>
      </c>
      <c r="X440" s="92" t="s">
        <v>6434</v>
      </c>
      <c r="Y440" s="92" t="s">
        <v>94</v>
      </c>
      <c r="Z440" s="92" t="s">
        <v>819</v>
      </c>
      <c r="AA440" s="92" t="s">
        <v>6451</v>
      </c>
      <c r="AB440" s="92" t="s">
        <v>97</v>
      </c>
      <c r="AC440" s="92" t="s">
        <v>98</v>
      </c>
      <c r="AD440" s="92" t="s">
        <v>98</v>
      </c>
      <c r="AE440" s="93" t="s">
        <v>1351</v>
      </c>
      <c r="AF440" s="93" t="s">
        <v>6640</v>
      </c>
      <c r="AG440" s="92" t="s">
        <v>6640</v>
      </c>
      <c r="AH440" s="92" t="s">
        <v>101</v>
      </c>
      <c r="AI440" s="92" t="s">
        <v>90</v>
      </c>
      <c r="AJ440" s="101">
        <v>28294</v>
      </c>
      <c r="AK440" s="93" t="s">
        <v>1353</v>
      </c>
      <c r="AL440" s="93" t="s">
        <v>289</v>
      </c>
      <c r="AM440" s="92" t="s">
        <v>149</v>
      </c>
      <c r="AN440" s="93">
        <v>83820628903</v>
      </c>
      <c r="AO440" s="93" t="s">
        <v>315</v>
      </c>
      <c r="AP440" s="92" t="s">
        <v>6641</v>
      </c>
      <c r="AQ440" s="90">
        <v>45964</v>
      </c>
      <c r="AR440" s="93" t="s">
        <v>6642</v>
      </c>
      <c r="AS440" s="92" t="s">
        <v>4825</v>
      </c>
      <c r="AT440" s="92" t="s">
        <v>90</v>
      </c>
      <c r="AU440" s="92" t="s">
        <v>111</v>
      </c>
      <c r="AV440" s="92">
        <v>40395</v>
      </c>
      <c r="AW440" s="92" t="s">
        <v>6643</v>
      </c>
      <c r="AX440" s="92" t="s">
        <v>101</v>
      </c>
      <c r="AY440" s="92" t="s">
        <v>90</v>
      </c>
      <c r="AZ440" s="127">
        <v>32509</v>
      </c>
      <c r="BA440" s="93" t="s">
        <v>1360</v>
      </c>
      <c r="BB440" s="93" t="s">
        <v>180</v>
      </c>
      <c r="BC440" s="92" t="s">
        <v>96</v>
      </c>
      <c r="BD440" s="93">
        <v>83820628903</v>
      </c>
      <c r="BE440" s="93" t="s">
        <v>98</v>
      </c>
      <c r="BF440" s="67" t="s">
        <v>6448</v>
      </c>
      <c r="BG440" s="92"/>
      <c r="BH440" s="93"/>
      <c r="BI440" s="93"/>
      <c r="BJ440" s="91"/>
      <c r="BK440" s="92"/>
      <c r="BL440" s="92"/>
      <c r="BM440" s="92"/>
      <c r="BN440" s="64" t="s">
        <v>161</v>
      </c>
      <c r="BO440" s="92"/>
      <c r="BP440" s="92"/>
      <c r="BQ440" s="136"/>
      <c r="BR440" s="93"/>
      <c r="BS440" s="93"/>
      <c r="BT440" s="92"/>
      <c r="BU440" s="93"/>
      <c r="BV440" s="93"/>
      <c r="BW440" s="92"/>
      <c r="BX440" s="93"/>
      <c r="BY440" s="93"/>
      <c r="BZ440" s="92"/>
      <c r="CA440" s="92"/>
      <c r="CB440" s="92"/>
      <c r="CC440" s="92"/>
      <c r="CD440" s="92"/>
      <c r="CE440" s="64" t="s">
        <v>6641</v>
      </c>
      <c r="CF440" s="67" t="s">
        <v>9026</v>
      </c>
      <c r="CG440" s="64" t="s">
        <v>6642</v>
      </c>
      <c r="CH440" s="92" t="s">
        <v>4825</v>
      </c>
      <c r="CI440" s="92" t="s">
        <v>90</v>
      </c>
      <c r="CJ440" s="92" t="s">
        <v>111</v>
      </c>
      <c r="CK440" s="89">
        <v>40395</v>
      </c>
      <c r="CL440" s="64" t="str">
        <f t="shared" ca="1" si="6"/>
        <v>12 Tahun 8 Bulan 5 Hari</v>
      </c>
      <c r="CM44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Kampung Beor RT/RW 003/011 Desa/Kelurahan Babakan Peuteuy Kecamatan Cicalengka Bandung Jawa Barat 40395</v>
      </c>
    </row>
    <row r="441" spans="1:91" ht="24.95" customHeight="1">
      <c r="A441" s="58">
        <f>SUBTOTAL(3,N$8:Table2[[#This Row],[Nama lengkap]])</f>
        <v>434</v>
      </c>
      <c r="B441" s="89" t="s">
        <v>86</v>
      </c>
      <c r="C441" s="89">
        <v>2025</v>
      </c>
      <c r="D441" s="89"/>
      <c r="E441" s="89" t="s">
        <v>4805</v>
      </c>
      <c r="F441" s="58" t="s">
        <v>6986</v>
      </c>
      <c r="G441" s="166" t="s">
        <v>8941</v>
      </c>
      <c r="H441" s="32"/>
      <c r="I441" s="90"/>
      <c r="J441" s="90"/>
      <c r="K441" s="90"/>
      <c r="L441" s="90"/>
      <c r="M441" s="89">
        <v>25260103</v>
      </c>
      <c r="N441" s="91" t="s">
        <v>8870</v>
      </c>
      <c r="O441" s="91"/>
      <c r="P441" s="90">
        <v>138070106</v>
      </c>
      <c r="Q441" s="90" t="s">
        <v>6873</v>
      </c>
      <c r="R441" s="90" t="s">
        <v>122</v>
      </c>
      <c r="S441" s="101">
        <v>41324</v>
      </c>
      <c r="T441" s="47" t="s">
        <v>92</v>
      </c>
      <c r="U441" s="89" t="s">
        <v>6874</v>
      </c>
      <c r="V441" s="89">
        <v>3</v>
      </c>
      <c r="W441" s="47" t="s">
        <v>207</v>
      </c>
      <c r="X441" s="92" t="s">
        <v>432</v>
      </c>
      <c r="Y441" s="92" t="s">
        <v>143</v>
      </c>
      <c r="Z441" s="92" t="s">
        <v>810</v>
      </c>
      <c r="AA441" s="92" t="s">
        <v>6451</v>
      </c>
      <c r="AB441" s="92" t="s">
        <v>97</v>
      </c>
      <c r="AC441" s="92" t="s">
        <v>417</v>
      </c>
      <c r="AD441" s="92" t="s">
        <v>98</v>
      </c>
      <c r="AE441" s="93">
        <v>3.21118199060701E+16</v>
      </c>
      <c r="AF441" s="93" t="s">
        <v>6875</v>
      </c>
      <c r="AG441" s="92" t="s">
        <v>6875</v>
      </c>
      <c r="AH441" s="92" t="s">
        <v>101</v>
      </c>
      <c r="AI441" s="92" t="s">
        <v>122</v>
      </c>
      <c r="AJ441" s="101">
        <v>30286</v>
      </c>
      <c r="AK441" s="93" t="s">
        <v>2751</v>
      </c>
      <c r="AL441" s="93" t="s">
        <v>289</v>
      </c>
      <c r="AM441" s="92" t="s">
        <v>96</v>
      </c>
      <c r="AN441" s="93">
        <v>85135242830</v>
      </c>
      <c r="AO441" s="93" t="s">
        <v>548</v>
      </c>
      <c r="AP441" s="92" t="s">
        <v>6876</v>
      </c>
      <c r="AQ441" s="90">
        <v>45810</v>
      </c>
      <c r="AR441" s="93" t="s">
        <v>2753</v>
      </c>
      <c r="AS441" s="92" t="s">
        <v>1324</v>
      </c>
      <c r="AT441" s="92" t="s">
        <v>1090</v>
      </c>
      <c r="AU441" s="92" t="s">
        <v>156</v>
      </c>
      <c r="AV441" s="92">
        <v>45352</v>
      </c>
      <c r="AW441" s="92" t="s">
        <v>7987</v>
      </c>
      <c r="AX441" s="92" t="s">
        <v>101</v>
      </c>
      <c r="AY441" s="92" t="s">
        <v>236</v>
      </c>
      <c r="AZ441" s="127">
        <v>31608</v>
      </c>
      <c r="BA441" s="93" t="s">
        <v>2755</v>
      </c>
      <c r="BB441" s="93" t="s">
        <v>180</v>
      </c>
      <c r="BC441" s="92" t="s">
        <v>96</v>
      </c>
      <c r="BD441" s="93">
        <v>85135242830</v>
      </c>
      <c r="BE441" s="93" t="s">
        <v>98</v>
      </c>
      <c r="BF441" s="67" t="s">
        <v>6448</v>
      </c>
      <c r="BG441" s="92"/>
      <c r="BH441" s="93"/>
      <c r="BI441" s="93"/>
      <c r="BJ441" s="91"/>
      <c r="BK441" s="92"/>
      <c r="BL441" s="92"/>
      <c r="BM441" s="92"/>
      <c r="BN441" s="64" t="s">
        <v>161</v>
      </c>
      <c r="BO441" s="92"/>
      <c r="BP441" s="92"/>
      <c r="BQ441" s="136"/>
      <c r="BR441" s="93"/>
      <c r="BS441" s="93"/>
      <c r="BT441" s="92"/>
      <c r="BU441" s="93"/>
      <c r="BV441" s="93"/>
      <c r="BW441" s="92"/>
      <c r="BX441" s="93"/>
      <c r="BY441" s="93"/>
      <c r="BZ441" s="92"/>
      <c r="CA441" s="92"/>
      <c r="CB441" s="92"/>
      <c r="CC441" s="92"/>
      <c r="CD441" s="92"/>
      <c r="CE441" s="64" t="s">
        <v>7516</v>
      </c>
      <c r="CF441" s="67">
        <v>45810</v>
      </c>
      <c r="CG441" s="64" t="s">
        <v>7194</v>
      </c>
      <c r="CH441" s="92" t="s">
        <v>134</v>
      </c>
      <c r="CI441" s="92" t="s">
        <v>122</v>
      </c>
      <c r="CJ441" s="92" t="s">
        <v>111</v>
      </c>
      <c r="CK441" s="89">
        <v>45352</v>
      </c>
      <c r="CL441" s="64" t="str">
        <f t="shared" ca="1" si="6"/>
        <v>12 Tahun 11 Bulan 4 Hari</v>
      </c>
      <c r="CM44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Cibitung RT/RW 45810 Desa/Kelurahan Sirnamulya Kecamatan Sumedang Utara Sumedang Jawa Barat 45352</v>
      </c>
    </row>
    <row r="442" spans="1:91" ht="24.95" customHeight="1">
      <c r="A442" s="58">
        <f>SUBTOTAL(3,N$8:Table2[[#This Row],[Nama lengkap]])</f>
        <v>435</v>
      </c>
      <c r="B442" s="89" t="s">
        <v>86</v>
      </c>
      <c r="C442" s="89">
        <v>2025</v>
      </c>
      <c r="D442" s="89"/>
      <c r="E442" s="89" t="s">
        <v>4805</v>
      </c>
      <c r="F442" s="58" t="s">
        <v>6986</v>
      </c>
      <c r="G442" s="108" t="s">
        <v>2513</v>
      </c>
      <c r="H442" s="32" t="s">
        <v>2513</v>
      </c>
      <c r="I442" s="32" t="s">
        <v>2513</v>
      </c>
      <c r="J442" s="90"/>
      <c r="K442" s="90"/>
      <c r="L442" s="90"/>
      <c r="M442" s="89">
        <v>25260029</v>
      </c>
      <c r="N442" s="91" t="s">
        <v>6534</v>
      </c>
      <c r="O442" s="91"/>
      <c r="P442" s="90" t="s">
        <v>8983</v>
      </c>
      <c r="Q442" s="90" t="s">
        <v>6535</v>
      </c>
      <c r="R442" s="90" t="s">
        <v>90</v>
      </c>
      <c r="S442" s="101">
        <v>41150</v>
      </c>
      <c r="T442" s="47" t="s">
        <v>92</v>
      </c>
      <c r="U442" s="89">
        <v>2</v>
      </c>
      <c r="V442" s="89">
        <v>1</v>
      </c>
      <c r="W442" s="47" t="s">
        <v>207</v>
      </c>
      <c r="X442" s="92" t="s">
        <v>93</v>
      </c>
      <c r="Y442" s="92" t="s">
        <v>722</v>
      </c>
      <c r="Z442" s="92" t="s">
        <v>6536</v>
      </c>
      <c r="AA442" s="92" t="s">
        <v>6451</v>
      </c>
      <c r="AB442" s="92" t="s">
        <v>97</v>
      </c>
      <c r="AC442" s="92" t="s">
        <v>98</v>
      </c>
      <c r="AD442" s="92" t="s">
        <v>98</v>
      </c>
      <c r="AE442" s="93" t="s">
        <v>6537</v>
      </c>
      <c r="AF442" s="93" t="s">
        <v>6538</v>
      </c>
      <c r="AG442" s="92" t="s">
        <v>6538</v>
      </c>
      <c r="AH442" s="92" t="s">
        <v>101</v>
      </c>
      <c r="AI442" s="92" t="s">
        <v>90</v>
      </c>
      <c r="AJ442" s="101">
        <v>31687</v>
      </c>
      <c r="AK442" s="93" t="s">
        <v>6539</v>
      </c>
      <c r="AL442" s="93" t="s">
        <v>114</v>
      </c>
      <c r="AM442" s="92" t="s">
        <v>149</v>
      </c>
      <c r="AN442" s="67" t="s">
        <v>6540</v>
      </c>
      <c r="AO442" s="93" t="s">
        <v>117</v>
      </c>
      <c r="AP442" s="92" t="s">
        <v>6541</v>
      </c>
      <c r="AQ442" s="90" t="s">
        <v>3987</v>
      </c>
      <c r="AR442" s="93" t="s">
        <v>522</v>
      </c>
      <c r="AS442" s="92" t="s">
        <v>902</v>
      </c>
      <c r="AT442" s="92" t="s">
        <v>644</v>
      </c>
      <c r="AU442" s="92" t="s">
        <v>111</v>
      </c>
      <c r="AV442" s="92">
        <v>40614</v>
      </c>
      <c r="AW442" s="92" t="s">
        <v>6542</v>
      </c>
      <c r="AX442" s="92" t="s">
        <v>101</v>
      </c>
      <c r="AY442" s="92" t="s">
        <v>90</v>
      </c>
      <c r="AZ442" s="127">
        <v>31674</v>
      </c>
      <c r="BA442" s="93" t="s">
        <v>6543</v>
      </c>
      <c r="BB442" s="93" t="s">
        <v>428</v>
      </c>
      <c r="BC442" s="92" t="s">
        <v>149</v>
      </c>
      <c r="BD442" s="67" t="s">
        <v>6544</v>
      </c>
      <c r="BE442" s="93" t="s">
        <v>98</v>
      </c>
      <c r="BF442" s="67" t="s">
        <v>6448</v>
      </c>
      <c r="BG442" s="92"/>
      <c r="BH442" s="93"/>
      <c r="BI442" s="93"/>
      <c r="BJ442" s="91"/>
      <c r="BK442" s="92"/>
      <c r="BL442" s="92"/>
      <c r="BM442" s="92"/>
      <c r="BN442" s="64" t="s">
        <v>6448</v>
      </c>
      <c r="BO442" s="92"/>
      <c r="BP442" s="92"/>
      <c r="BQ442" s="136"/>
      <c r="BR442" s="93"/>
      <c r="BS442" s="93"/>
      <c r="BT442" s="92"/>
      <c r="BU442" s="93"/>
      <c r="BV442" s="93"/>
      <c r="BW442" s="92"/>
      <c r="BX442" s="93"/>
      <c r="BY442" s="93"/>
      <c r="BZ442" s="92"/>
      <c r="CA442" s="92"/>
      <c r="CB442" s="92"/>
      <c r="CC442" s="92"/>
      <c r="CD442" s="92"/>
      <c r="CE442" s="64" t="s">
        <v>6541</v>
      </c>
      <c r="CF442" s="67" t="s">
        <v>3987</v>
      </c>
      <c r="CG442" s="64" t="s">
        <v>522</v>
      </c>
      <c r="CH442" s="92" t="s">
        <v>902</v>
      </c>
      <c r="CI442" s="92" t="s">
        <v>644</v>
      </c>
      <c r="CJ442" s="92" t="s">
        <v>111</v>
      </c>
      <c r="CK442" s="89">
        <v>40614</v>
      </c>
      <c r="CL442" s="64" t="str">
        <f t="shared" ca="1" si="6"/>
        <v>13 Tahun 4 Bulan 25 Hari</v>
      </c>
      <c r="CM44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Cigagak No. 42 RT/RW 05/06 Desa/Kelurahan Cisurupan Kecamatan Cibiru Kota Bandung Jawa Barat 40614</v>
      </c>
    </row>
    <row r="443" spans="1:91" ht="24.95" customHeight="1">
      <c r="A443" s="58">
        <f>SUBTOTAL(3,N$8:Table2[[#This Row],[Nama lengkap]])</f>
        <v>436</v>
      </c>
      <c r="B443" s="89" t="s">
        <v>86</v>
      </c>
      <c r="C443" s="89">
        <v>2025</v>
      </c>
      <c r="D443" s="89"/>
      <c r="E443" s="89" t="s">
        <v>4805</v>
      </c>
      <c r="F443" s="58" t="s">
        <v>6986</v>
      </c>
      <c r="G443" s="32" t="s">
        <v>2513</v>
      </c>
      <c r="H443" s="32" t="s">
        <v>2513</v>
      </c>
      <c r="I443" s="90" t="s">
        <v>2513</v>
      </c>
      <c r="J443" s="90"/>
      <c r="K443" s="90"/>
      <c r="L443" s="90"/>
      <c r="M443" s="89">
        <v>25260020</v>
      </c>
      <c r="N443" s="91" t="s">
        <v>6717</v>
      </c>
      <c r="O443" s="91"/>
      <c r="P443" s="32" t="s">
        <v>8944</v>
      </c>
      <c r="Q443" s="90" t="s">
        <v>6718</v>
      </c>
      <c r="R443" s="90" t="s">
        <v>90</v>
      </c>
      <c r="S443" s="101">
        <v>41328</v>
      </c>
      <c r="T443" s="47" t="s">
        <v>92</v>
      </c>
      <c r="U443" s="89">
        <v>3</v>
      </c>
      <c r="V443" s="89">
        <v>1</v>
      </c>
      <c r="W443" s="47" t="s">
        <v>207</v>
      </c>
      <c r="X443" s="92" t="s">
        <v>6434</v>
      </c>
      <c r="Y443" s="92" t="s">
        <v>6719</v>
      </c>
      <c r="Z443" s="92" t="s">
        <v>6631</v>
      </c>
      <c r="AA443" s="92" t="s">
        <v>6451</v>
      </c>
      <c r="AB443" s="92" t="s">
        <v>97</v>
      </c>
      <c r="AC443" s="92" t="s">
        <v>98</v>
      </c>
      <c r="AD443" s="92" t="s">
        <v>98</v>
      </c>
      <c r="AE443" s="93" t="s">
        <v>9028</v>
      </c>
      <c r="AF443" s="93" t="s">
        <v>8673</v>
      </c>
      <c r="AG443" s="92" t="s">
        <v>8673</v>
      </c>
      <c r="AH443" s="92" t="s">
        <v>101</v>
      </c>
      <c r="AI443" s="92" t="s">
        <v>90</v>
      </c>
      <c r="AJ443" s="101">
        <v>32430</v>
      </c>
      <c r="AK443" s="93" t="s">
        <v>6720</v>
      </c>
      <c r="AL443" s="93" t="s">
        <v>8267</v>
      </c>
      <c r="AM443" s="92" t="s">
        <v>149</v>
      </c>
      <c r="AN443" s="93">
        <v>89630057184</v>
      </c>
      <c r="AO443" s="93" t="s">
        <v>130</v>
      </c>
      <c r="AP443" s="92" t="s">
        <v>6721</v>
      </c>
      <c r="AQ443" s="90">
        <v>45782</v>
      </c>
      <c r="AR443" s="93" t="s">
        <v>6722</v>
      </c>
      <c r="AS443" s="92" t="s">
        <v>6723</v>
      </c>
      <c r="AT443" s="92" t="s">
        <v>6724</v>
      </c>
      <c r="AU443" s="92" t="s">
        <v>630</v>
      </c>
      <c r="AV443" s="92">
        <v>40377</v>
      </c>
      <c r="AW443" s="92" t="s">
        <v>9029</v>
      </c>
      <c r="AX443" s="92" t="s">
        <v>101</v>
      </c>
      <c r="AY443" s="92" t="s">
        <v>90</v>
      </c>
      <c r="AZ443" s="127">
        <v>32711</v>
      </c>
      <c r="BA443" s="93" t="s">
        <v>6725</v>
      </c>
      <c r="BB443" s="93" t="s">
        <v>7779</v>
      </c>
      <c r="BC443" s="92" t="s">
        <v>149</v>
      </c>
      <c r="BD443" s="93" t="s">
        <v>6726</v>
      </c>
      <c r="BE443" s="93" t="s">
        <v>315</v>
      </c>
      <c r="BF443" s="67" t="s">
        <v>6532</v>
      </c>
      <c r="BG443" s="92" t="s">
        <v>6727</v>
      </c>
      <c r="BH443" s="93">
        <v>42461</v>
      </c>
      <c r="BI443" s="93" t="s">
        <v>6728</v>
      </c>
      <c r="BJ443" s="91" t="s">
        <v>5444</v>
      </c>
      <c r="BK443" s="92" t="s">
        <v>200</v>
      </c>
      <c r="BL443" s="92" t="s">
        <v>630</v>
      </c>
      <c r="BM443" s="92">
        <v>40375</v>
      </c>
      <c r="BN443" s="64" t="s">
        <v>161</v>
      </c>
      <c r="BO443" s="92"/>
      <c r="BP443" s="92"/>
      <c r="BQ443" s="136"/>
      <c r="BR443" s="93"/>
      <c r="BS443" s="93"/>
      <c r="BT443" s="92"/>
      <c r="BU443" s="93"/>
      <c r="BV443" s="93"/>
      <c r="BW443" s="92"/>
      <c r="BX443" s="93"/>
      <c r="BY443" s="93"/>
      <c r="BZ443" s="92"/>
      <c r="CA443" s="92"/>
      <c r="CB443" s="92"/>
      <c r="CC443" s="92"/>
      <c r="CD443" s="92"/>
      <c r="CE443" s="64" t="s">
        <v>9030</v>
      </c>
      <c r="CF443" s="67" t="s">
        <v>2340</v>
      </c>
      <c r="CG443" s="64" t="s">
        <v>6714</v>
      </c>
      <c r="CH443" s="92" t="s">
        <v>507</v>
      </c>
      <c r="CI443" s="92" t="s">
        <v>90</v>
      </c>
      <c r="CJ443" s="92" t="s">
        <v>111</v>
      </c>
      <c r="CK443" s="89">
        <v>40377</v>
      </c>
      <c r="CL443" s="64" t="str">
        <f t="shared" ca="1" si="6"/>
        <v>12 Tahun 11 Bulan 0 Hari</v>
      </c>
      <c r="CM44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Sukasari RT/RW 005/005 Desa/Kelurahan Ciapus Kecamatan Banjaran Bandung Jawa Barat 40377</v>
      </c>
    </row>
    <row r="444" spans="1:91" ht="24.95" customHeight="1">
      <c r="A444" s="58">
        <f>SUBTOTAL(3,N$8:Table2[[#This Row],[Nama lengkap]])</f>
        <v>437</v>
      </c>
      <c r="B444" s="89" t="s">
        <v>86</v>
      </c>
      <c r="C444" s="89">
        <v>2025</v>
      </c>
      <c r="D444" s="89"/>
      <c r="E444" s="89" t="s">
        <v>4805</v>
      </c>
      <c r="F444" s="58" t="s">
        <v>6986</v>
      </c>
      <c r="G444" s="32" t="s">
        <v>2513</v>
      </c>
      <c r="H444" s="32" t="s">
        <v>2513</v>
      </c>
      <c r="I444" s="90" t="s">
        <v>2513</v>
      </c>
      <c r="J444" s="90"/>
      <c r="K444" s="90"/>
      <c r="L444" s="90"/>
      <c r="M444" s="89">
        <v>25260036</v>
      </c>
      <c r="N444" s="91" t="s">
        <v>6603</v>
      </c>
      <c r="O444" s="91"/>
      <c r="P444" s="90" t="s">
        <v>6604</v>
      </c>
      <c r="Q444" s="90" t="s">
        <v>6605</v>
      </c>
      <c r="R444" s="90" t="s">
        <v>942</v>
      </c>
      <c r="S444" s="101">
        <v>40976</v>
      </c>
      <c r="T444" s="47" t="s">
        <v>92</v>
      </c>
      <c r="U444" s="89">
        <v>3</v>
      </c>
      <c r="V444" s="89">
        <v>2</v>
      </c>
      <c r="W444" s="47" t="s">
        <v>207</v>
      </c>
      <c r="X444" s="92" t="s">
        <v>6434</v>
      </c>
      <c r="Y444" s="92" t="s">
        <v>94</v>
      </c>
      <c r="Z444" s="92" t="s">
        <v>810</v>
      </c>
      <c r="AA444" s="92" t="s">
        <v>6451</v>
      </c>
      <c r="AB444" s="92" t="s">
        <v>97</v>
      </c>
      <c r="AC444" s="92" t="s">
        <v>98</v>
      </c>
      <c r="AD444" s="92" t="s">
        <v>98</v>
      </c>
      <c r="AE444" s="93" t="s">
        <v>6513</v>
      </c>
      <c r="AF444" s="93" t="s">
        <v>6514</v>
      </c>
      <c r="AG444" s="92" t="s">
        <v>6606</v>
      </c>
      <c r="AH444" s="92" t="s">
        <v>101</v>
      </c>
      <c r="AI444" s="92" t="s">
        <v>90</v>
      </c>
      <c r="AJ444" s="101">
        <v>30694</v>
      </c>
      <c r="AK444" s="93" t="s">
        <v>6607</v>
      </c>
      <c r="AL444" s="93" t="s">
        <v>602</v>
      </c>
      <c r="AM444" s="92" t="s">
        <v>413</v>
      </c>
      <c r="AN444" s="93" t="s">
        <v>6608</v>
      </c>
      <c r="AO444" s="93" t="s">
        <v>266</v>
      </c>
      <c r="AP444" s="92" t="s">
        <v>6609</v>
      </c>
      <c r="AQ444" s="90" t="s">
        <v>756</v>
      </c>
      <c r="AR444" s="93" t="s">
        <v>6610</v>
      </c>
      <c r="AS444" s="92" t="s">
        <v>6611</v>
      </c>
      <c r="AT444" s="92" t="s">
        <v>155</v>
      </c>
      <c r="AU444" s="92" t="s">
        <v>111</v>
      </c>
      <c r="AV444" s="92" t="s">
        <v>6612</v>
      </c>
      <c r="AW444" s="92" t="s">
        <v>6613</v>
      </c>
      <c r="AX444" s="92" t="s">
        <v>101</v>
      </c>
      <c r="AY444" s="92" t="s">
        <v>942</v>
      </c>
      <c r="AZ444" s="127">
        <v>31678</v>
      </c>
      <c r="BA444" s="93" t="s">
        <v>6614</v>
      </c>
      <c r="BB444" s="93" t="s">
        <v>6615</v>
      </c>
      <c r="BC444" s="92" t="s">
        <v>128</v>
      </c>
      <c r="BD444" s="93" t="s">
        <v>6616</v>
      </c>
      <c r="BE444" s="93" t="s">
        <v>266</v>
      </c>
      <c r="BF444" s="67" t="s">
        <v>6532</v>
      </c>
      <c r="BG444" s="92" t="s">
        <v>6517</v>
      </c>
      <c r="BH444" s="93" t="s">
        <v>6518</v>
      </c>
      <c r="BI444" s="93" t="s">
        <v>6517</v>
      </c>
      <c r="BJ444" s="91" t="s">
        <v>6519</v>
      </c>
      <c r="BK444" s="92" t="s">
        <v>942</v>
      </c>
      <c r="BL444" s="92" t="s">
        <v>111</v>
      </c>
      <c r="BM444" s="92" t="s">
        <v>6617</v>
      </c>
      <c r="BN444" s="64" t="s">
        <v>6457</v>
      </c>
      <c r="BO444" s="92" t="s">
        <v>6514</v>
      </c>
      <c r="BP444" s="92" t="s">
        <v>942</v>
      </c>
      <c r="BQ444" s="136">
        <v>29560</v>
      </c>
      <c r="BR444" s="93" t="s">
        <v>6515</v>
      </c>
      <c r="BS444" s="93" t="s">
        <v>602</v>
      </c>
      <c r="BT444" s="92" t="s">
        <v>149</v>
      </c>
      <c r="BU444" s="93" t="s">
        <v>6516</v>
      </c>
      <c r="BV444" s="93" t="s">
        <v>117</v>
      </c>
      <c r="BW444" s="92" t="s">
        <v>6517</v>
      </c>
      <c r="BX444" s="93" t="s">
        <v>6518</v>
      </c>
      <c r="BY444" s="93" t="s">
        <v>6517</v>
      </c>
      <c r="BZ444" s="92" t="s">
        <v>6519</v>
      </c>
      <c r="CA444" s="92" t="s">
        <v>942</v>
      </c>
      <c r="CB444" s="92" t="s">
        <v>111</v>
      </c>
      <c r="CC444" s="92">
        <v>41281</v>
      </c>
      <c r="CD444" s="92"/>
      <c r="CE444" s="64" t="s">
        <v>6517</v>
      </c>
      <c r="CF444" s="67" t="s">
        <v>9031</v>
      </c>
      <c r="CG444" s="64" t="s">
        <v>6517</v>
      </c>
      <c r="CH444" s="92" t="s">
        <v>6519</v>
      </c>
      <c r="CI444" s="92" t="s">
        <v>942</v>
      </c>
      <c r="CJ444" s="92" t="s">
        <v>111</v>
      </c>
      <c r="CK444" s="89">
        <v>41281</v>
      </c>
      <c r="CL444" s="64" t="str">
        <f t="shared" ca="1" si="6"/>
        <v>13 Tahun 10 Bulan 15 Hari</v>
      </c>
      <c r="CM44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Tambakan RT/RW 010/003 Desa/Kelurahan Tambakan Kecamatan Jalancagak Subang Jawa Barat 41281</v>
      </c>
    </row>
    <row r="445" spans="1:91" ht="24.95" customHeight="1">
      <c r="A445" s="58">
        <f>SUBTOTAL(3,N$8:Table2[[#This Row],[Nama lengkap]])</f>
        <v>438</v>
      </c>
      <c r="B445" s="89" t="s">
        <v>86</v>
      </c>
      <c r="C445" s="89">
        <v>2025</v>
      </c>
      <c r="D445" s="89"/>
      <c r="E445" s="89" t="s">
        <v>4805</v>
      </c>
      <c r="F445" s="58" t="s">
        <v>6986</v>
      </c>
      <c r="G445" s="32" t="s">
        <v>2513</v>
      </c>
      <c r="H445" s="32" t="s">
        <v>2513</v>
      </c>
      <c r="I445" s="90" t="s">
        <v>2513</v>
      </c>
      <c r="J445" s="90"/>
      <c r="K445" s="90"/>
      <c r="L445" s="90"/>
      <c r="M445" s="89">
        <v>25260045</v>
      </c>
      <c r="N445" s="91" t="s">
        <v>6526</v>
      </c>
      <c r="O445" s="91"/>
      <c r="P445" s="90" t="s">
        <v>6527</v>
      </c>
      <c r="Q445" s="90" t="s">
        <v>6528</v>
      </c>
      <c r="R445" s="90" t="s">
        <v>122</v>
      </c>
      <c r="S445" s="101">
        <v>41447</v>
      </c>
      <c r="T445" s="47" t="s">
        <v>92</v>
      </c>
      <c r="U445" s="89">
        <v>3</v>
      </c>
      <c r="V445" s="89">
        <v>4</v>
      </c>
      <c r="W445" s="47" t="s">
        <v>207</v>
      </c>
      <c r="X445" s="92" t="s">
        <v>432</v>
      </c>
      <c r="Y445" s="92" t="s">
        <v>94</v>
      </c>
      <c r="Z445" s="92" t="s">
        <v>819</v>
      </c>
      <c r="AA445" s="92" t="s">
        <v>6451</v>
      </c>
      <c r="AB445" s="92" t="s">
        <v>529</v>
      </c>
      <c r="AC445" s="92" t="s">
        <v>98</v>
      </c>
      <c r="AD445" s="92" t="s">
        <v>98</v>
      </c>
      <c r="AE445" s="93" t="s">
        <v>6529</v>
      </c>
      <c r="AF445" s="93" t="s">
        <v>8165</v>
      </c>
      <c r="AG445" s="92" t="s">
        <v>8674</v>
      </c>
      <c r="AH445" s="92" t="s">
        <v>1071</v>
      </c>
      <c r="AI445" s="92"/>
      <c r="AJ445" s="101"/>
      <c r="AK445" s="93"/>
      <c r="AL445" s="93"/>
      <c r="AM445" s="92"/>
      <c r="AN445" s="93"/>
      <c r="AO445" s="93"/>
      <c r="AP445" s="92"/>
      <c r="AQ445" s="90"/>
      <c r="AR445" s="93"/>
      <c r="AS445" s="92"/>
      <c r="AT445" s="92"/>
      <c r="AU445" s="92"/>
      <c r="AV445" s="92"/>
      <c r="AW445" s="92" t="s">
        <v>8165</v>
      </c>
      <c r="AX445" s="92" t="s">
        <v>101</v>
      </c>
      <c r="AY445" s="92" t="s">
        <v>90</v>
      </c>
      <c r="AZ445" s="127">
        <v>26251</v>
      </c>
      <c r="BA445" s="93" t="s">
        <v>6530</v>
      </c>
      <c r="BB445" s="93" t="s">
        <v>7780</v>
      </c>
      <c r="BC445" s="92" t="s">
        <v>149</v>
      </c>
      <c r="BD445" s="93" t="s">
        <v>6531</v>
      </c>
      <c r="BE445" s="93" t="s">
        <v>98</v>
      </c>
      <c r="BF445" s="67" t="s">
        <v>6532</v>
      </c>
      <c r="BG445" s="92"/>
      <c r="BH445" s="93" t="s">
        <v>1277</v>
      </c>
      <c r="BI445" s="93" t="s">
        <v>6533</v>
      </c>
      <c r="BJ445" s="91" t="s">
        <v>1518</v>
      </c>
      <c r="BK445" s="92" t="s">
        <v>122</v>
      </c>
      <c r="BL445" s="92" t="s">
        <v>111</v>
      </c>
      <c r="BM445" s="92">
        <v>45364</v>
      </c>
      <c r="BN445" s="64" t="s">
        <v>6448</v>
      </c>
      <c r="BO445" s="92"/>
      <c r="BP445" s="92"/>
      <c r="BQ445" s="136"/>
      <c r="BR445" s="93"/>
      <c r="BS445" s="93"/>
      <c r="BT445" s="92"/>
      <c r="BU445" s="93"/>
      <c r="BV445" s="93"/>
      <c r="BW445" s="92"/>
      <c r="BX445" s="93"/>
      <c r="BY445" s="93"/>
      <c r="BZ445" s="92"/>
      <c r="CA445" s="92"/>
      <c r="CB445" s="92"/>
      <c r="CC445" s="92"/>
      <c r="CD445" s="92"/>
      <c r="CE445" s="64" t="s">
        <v>9032</v>
      </c>
      <c r="CF445" s="67" t="s">
        <v>9033</v>
      </c>
      <c r="CG445" s="64" t="s">
        <v>6533</v>
      </c>
      <c r="CH445" s="92" t="s">
        <v>1518</v>
      </c>
      <c r="CI445" s="92" t="s">
        <v>122</v>
      </c>
      <c r="CJ445" s="92" t="s">
        <v>111</v>
      </c>
      <c r="CK445" s="89">
        <v>45364</v>
      </c>
      <c r="CL445" s="64" t="str">
        <f t="shared" ca="1" si="6"/>
        <v>12 Tahun 7 Bulan 1 Hari</v>
      </c>
      <c r="CM44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Perum SBG Blok C2 No. 43 RT/RW 002/015 Desa/Kelurahan Cihanjuang Kecamatan Cimanggung Sumedang Jawa Barat 45364</v>
      </c>
    </row>
    <row r="446" spans="1:91" ht="24.95" customHeight="1">
      <c r="A446" s="58">
        <f>SUBTOTAL(3,N$8:Table2[[#This Row],[Nama lengkap]])</f>
        <v>439</v>
      </c>
      <c r="B446" s="58" t="s">
        <v>86</v>
      </c>
      <c r="C446" s="58">
        <v>2024</v>
      </c>
      <c r="D446" s="58"/>
      <c r="E446" s="58" t="s">
        <v>4805</v>
      </c>
      <c r="F446" s="32" t="s">
        <v>6986</v>
      </c>
      <c r="G446" s="32" t="s">
        <v>2513</v>
      </c>
      <c r="H446" s="32" t="s">
        <v>2513</v>
      </c>
      <c r="I446" s="90" t="s">
        <v>2513</v>
      </c>
      <c r="J446" s="32"/>
      <c r="K446" s="32"/>
      <c r="L446" s="32"/>
      <c r="M446" s="58">
        <v>24250149</v>
      </c>
      <c r="N446" s="40" t="s">
        <v>6188</v>
      </c>
      <c r="O446" s="40"/>
      <c r="P446" s="32" t="s">
        <v>4828</v>
      </c>
      <c r="Q446" s="32" t="s">
        <v>4829</v>
      </c>
      <c r="R446" s="67" t="s">
        <v>90</v>
      </c>
      <c r="S446" s="69">
        <v>41065</v>
      </c>
      <c r="T446" s="47" t="s">
        <v>92</v>
      </c>
      <c r="U446" s="58">
        <v>3</v>
      </c>
      <c r="V446" s="58">
        <v>2</v>
      </c>
      <c r="W446" s="47" t="s">
        <v>207</v>
      </c>
      <c r="X446" s="64" t="s">
        <v>142</v>
      </c>
      <c r="Y446" s="64" t="s">
        <v>598</v>
      </c>
      <c r="Z446" s="64" t="s">
        <v>255</v>
      </c>
      <c r="AA446" s="64" t="s">
        <v>96</v>
      </c>
      <c r="AB446" s="64" t="s">
        <v>97</v>
      </c>
      <c r="AC446" s="64" t="s">
        <v>98</v>
      </c>
      <c r="AD446" s="64" t="s">
        <v>98</v>
      </c>
      <c r="AE446" s="67" t="s">
        <v>4830</v>
      </c>
      <c r="AF446" s="67" t="s">
        <v>8665</v>
      </c>
      <c r="AG446" s="64" t="s">
        <v>8665</v>
      </c>
      <c r="AH446" s="64" t="s">
        <v>101</v>
      </c>
      <c r="AI446" s="64" t="s">
        <v>90</v>
      </c>
      <c r="AJ446" s="69">
        <v>29764</v>
      </c>
      <c r="AK446" s="67" t="s">
        <v>4831</v>
      </c>
      <c r="AL446" s="67" t="s">
        <v>289</v>
      </c>
      <c r="AM446" s="64" t="s">
        <v>96</v>
      </c>
      <c r="AN446" s="67" t="s">
        <v>4832</v>
      </c>
      <c r="AO446" s="67" t="s">
        <v>130</v>
      </c>
      <c r="AP446" s="64" t="s">
        <v>4833</v>
      </c>
      <c r="AQ446" s="32" t="s">
        <v>1539</v>
      </c>
      <c r="AR446" s="67" t="s">
        <v>4834</v>
      </c>
      <c r="AS446" s="64" t="s">
        <v>4835</v>
      </c>
      <c r="AT446" s="64" t="s">
        <v>90</v>
      </c>
      <c r="AU446" s="64" t="s">
        <v>111</v>
      </c>
      <c r="AV446" s="64">
        <v>40379</v>
      </c>
      <c r="AW446" s="64" t="s">
        <v>8052</v>
      </c>
      <c r="AX446" s="64" t="s">
        <v>101</v>
      </c>
      <c r="AY446" s="64" t="s">
        <v>90</v>
      </c>
      <c r="AZ446" s="125">
        <v>30105</v>
      </c>
      <c r="BA446" s="67" t="s">
        <v>4836</v>
      </c>
      <c r="BB446" s="67" t="s">
        <v>428</v>
      </c>
      <c r="BC446" s="64" t="s">
        <v>96</v>
      </c>
      <c r="BD446" s="67" t="s">
        <v>4832</v>
      </c>
      <c r="BE446" s="67" t="s">
        <v>548</v>
      </c>
      <c r="BF446" s="67"/>
      <c r="BG446" s="64" t="s">
        <v>4833</v>
      </c>
      <c r="BH446" s="67" t="s">
        <v>1539</v>
      </c>
      <c r="BI446" s="67" t="s">
        <v>4834</v>
      </c>
      <c r="BJ446" s="40" t="s">
        <v>4835</v>
      </c>
      <c r="BK446" s="64" t="s">
        <v>90</v>
      </c>
      <c r="BL446" s="64" t="s">
        <v>111</v>
      </c>
      <c r="BM446" s="64" t="s">
        <v>3823</v>
      </c>
      <c r="BN446" s="64" t="s">
        <v>161</v>
      </c>
      <c r="BO446" s="64" t="s">
        <v>709</v>
      </c>
      <c r="BP446" s="64" t="s">
        <v>90</v>
      </c>
      <c r="BQ446" s="135">
        <v>29764</v>
      </c>
      <c r="BR446" s="67">
        <v>3204162706810000</v>
      </c>
      <c r="BS446" s="67" t="s">
        <v>289</v>
      </c>
      <c r="BT446" s="64" t="s">
        <v>96</v>
      </c>
      <c r="BU446" s="67">
        <v>83824148044</v>
      </c>
      <c r="BV446" s="67" t="s">
        <v>130</v>
      </c>
      <c r="BW446" s="64" t="s">
        <v>4833</v>
      </c>
      <c r="BX446" s="67">
        <v>45538</v>
      </c>
      <c r="BY446" s="67" t="s">
        <v>4834</v>
      </c>
      <c r="BZ446" s="64" t="s">
        <v>4835</v>
      </c>
      <c r="CA446" s="64" t="s">
        <v>90</v>
      </c>
      <c r="CB446" s="64" t="s">
        <v>111</v>
      </c>
      <c r="CC446" s="64">
        <v>40381</v>
      </c>
      <c r="CD446" s="64" t="s">
        <v>164</v>
      </c>
      <c r="CE446" s="64" t="s">
        <v>4833</v>
      </c>
      <c r="CF446" s="67" t="s">
        <v>1539</v>
      </c>
      <c r="CG446" s="64" t="s">
        <v>4834</v>
      </c>
      <c r="CH446" s="64" t="s">
        <v>4835</v>
      </c>
      <c r="CI446" s="64" t="s">
        <v>90</v>
      </c>
      <c r="CJ446" s="64" t="s">
        <v>111</v>
      </c>
      <c r="CK446" s="58">
        <v>40379</v>
      </c>
      <c r="CL446" s="64" t="str">
        <f t="shared" ca="1" si="6"/>
        <v>13 Tahun 7 Bulan 18 Hari</v>
      </c>
      <c r="CM44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Dangdeur RT/RW 03/09 Desa/Kelurahan Rancakole Kecamatan Arjasari Bandung Jawa Barat 40379</v>
      </c>
    </row>
    <row r="447" spans="1:91" ht="24.95" customHeight="1">
      <c r="A447" s="58">
        <f>SUBTOTAL(3,N$8:Table2[[#This Row],[Nama lengkap]])</f>
        <v>440</v>
      </c>
      <c r="B447" s="89" t="s">
        <v>86</v>
      </c>
      <c r="C447" s="89">
        <v>2025</v>
      </c>
      <c r="D447" s="89"/>
      <c r="E447" s="89" t="s">
        <v>4805</v>
      </c>
      <c r="F447" s="58" t="s">
        <v>6986</v>
      </c>
      <c r="G447" s="32" t="s">
        <v>2513</v>
      </c>
      <c r="H447" s="32" t="s">
        <v>2513</v>
      </c>
      <c r="I447" s="90" t="s">
        <v>2513</v>
      </c>
      <c r="J447" s="90"/>
      <c r="K447" s="90"/>
      <c r="L447" s="90"/>
      <c r="M447" s="89">
        <v>25260085</v>
      </c>
      <c r="N447" s="91" t="s">
        <v>6751</v>
      </c>
      <c r="O447" s="91"/>
      <c r="P447" s="90" t="s">
        <v>8945</v>
      </c>
      <c r="Q447" s="90" t="s">
        <v>6752</v>
      </c>
      <c r="R447" s="90" t="s">
        <v>236</v>
      </c>
      <c r="S447" s="101">
        <v>39650</v>
      </c>
      <c r="T447" s="47" t="s">
        <v>92</v>
      </c>
      <c r="U447" s="89">
        <v>3</v>
      </c>
      <c r="V447" s="89">
        <v>1</v>
      </c>
      <c r="W447" s="47" t="s">
        <v>207</v>
      </c>
      <c r="X447" s="92" t="s">
        <v>123</v>
      </c>
      <c r="Y447" s="92" t="s">
        <v>94</v>
      </c>
      <c r="Z447" s="92" t="s">
        <v>534</v>
      </c>
      <c r="AA447" s="92" t="s">
        <v>6451</v>
      </c>
      <c r="AB447" s="92" t="s">
        <v>97</v>
      </c>
      <c r="AC447" s="92" t="s">
        <v>98</v>
      </c>
      <c r="AD447" s="92" t="s">
        <v>98</v>
      </c>
      <c r="AE447" s="93" t="s">
        <v>9034</v>
      </c>
      <c r="AF447" s="93" t="s">
        <v>8675</v>
      </c>
      <c r="AG447" s="92" t="s">
        <v>8675</v>
      </c>
      <c r="AH447" s="92" t="s">
        <v>101</v>
      </c>
      <c r="AI447" s="92" t="s">
        <v>236</v>
      </c>
      <c r="AJ447" s="101">
        <v>28970</v>
      </c>
      <c r="AK447" s="93" t="s">
        <v>6753</v>
      </c>
      <c r="AL447" s="93" t="s">
        <v>114</v>
      </c>
      <c r="AM447" s="92" t="s">
        <v>96</v>
      </c>
      <c r="AN447" s="93">
        <v>85224999797</v>
      </c>
      <c r="AO447" s="93" t="s">
        <v>106</v>
      </c>
      <c r="AP447" s="92" t="s">
        <v>6754</v>
      </c>
      <c r="AQ447" s="90">
        <v>45902</v>
      </c>
      <c r="AR447" s="93" t="s">
        <v>6755</v>
      </c>
      <c r="AS447" s="92" t="s">
        <v>6749</v>
      </c>
      <c r="AT447" s="92" t="s">
        <v>236</v>
      </c>
      <c r="AU447" s="92" t="s">
        <v>318</v>
      </c>
      <c r="AV447" s="92">
        <v>44151</v>
      </c>
      <c r="AW447" s="92" t="s">
        <v>8166</v>
      </c>
      <c r="AX447" s="92" t="s">
        <v>101</v>
      </c>
      <c r="AY447" s="92" t="s">
        <v>90</v>
      </c>
      <c r="AZ447" s="127">
        <v>32032</v>
      </c>
      <c r="BA447" s="93" t="s">
        <v>6756</v>
      </c>
      <c r="BB447" s="93" t="s">
        <v>428</v>
      </c>
      <c r="BC447" s="92" t="s">
        <v>149</v>
      </c>
      <c r="BD447" s="93">
        <v>82129366902</v>
      </c>
      <c r="BE447" s="93" t="s">
        <v>98</v>
      </c>
      <c r="BF447" s="67" t="s">
        <v>6448</v>
      </c>
      <c r="BG447" s="92"/>
      <c r="BH447" s="93"/>
      <c r="BI447" s="93"/>
      <c r="BJ447" s="91"/>
      <c r="BK447" s="92"/>
      <c r="BL447" s="92"/>
      <c r="BM447" s="92"/>
      <c r="BN447" s="64" t="s">
        <v>161</v>
      </c>
      <c r="BO447" s="92"/>
      <c r="BP447" s="92"/>
      <c r="BQ447" s="136"/>
      <c r="BR447" s="93"/>
      <c r="BS447" s="93"/>
      <c r="BT447" s="92"/>
      <c r="BU447" s="93"/>
      <c r="BV447" s="93"/>
      <c r="BW447" s="92"/>
      <c r="BX447" s="93"/>
      <c r="BY447" s="93"/>
      <c r="BZ447" s="92"/>
      <c r="CA447" s="92"/>
      <c r="CB447" s="92"/>
      <c r="CC447" s="92"/>
      <c r="CD447" s="92"/>
      <c r="CE447" s="64" t="s">
        <v>9036</v>
      </c>
      <c r="CF447" s="67" t="s">
        <v>9035</v>
      </c>
      <c r="CG447" s="64" t="s">
        <v>6755</v>
      </c>
      <c r="CH447" s="92" t="s">
        <v>7028</v>
      </c>
      <c r="CI447" s="92" t="s">
        <v>236</v>
      </c>
      <c r="CJ447" s="92" t="s">
        <v>111</v>
      </c>
      <c r="CK447" s="89">
        <v>44151</v>
      </c>
      <c r="CL447" s="64" t="str">
        <f t="shared" ca="1" si="6"/>
        <v>17 Tahun 6 Bulan 2 Hari</v>
      </c>
      <c r="CM44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Perum Bumi Malayu Selaras Blok E No. 16 RT/RW 001/013 Desa/Kelurahan Sirnajaya Kecamatan Tarogong Kaler Garut Jawa Barat 44151</v>
      </c>
    </row>
    <row r="448" spans="1:91" ht="24.95" customHeight="1">
      <c r="A448" s="58">
        <f>SUBTOTAL(3,N$8:Table2[[#This Row],[Nama lengkap]])</f>
        <v>441</v>
      </c>
      <c r="B448" s="89" t="s">
        <v>86</v>
      </c>
      <c r="C448" s="89">
        <v>2025</v>
      </c>
      <c r="D448" s="89"/>
      <c r="E448" s="89" t="s">
        <v>4805</v>
      </c>
      <c r="F448" s="58" t="s">
        <v>6986</v>
      </c>
      <c r="G448" s="32" t="s">
        <v>2513</v>
      </c>
      <c r="H448" s="32" t="s">
        <v>2513</v>
      </c>
      <c r="I448" s="90" t="s">
        <v>2513</v>
      </c>
      <c r="J448" s="90"/>
      <c r="K448" s="90"/>
      <c r="L448" s="90"/>
      <c r="M448" s="89">
        <v>25260072</v>
      </c>
      <c r="N448" s="91" t="s">
        <v>6496</v>
      </c>
      <c r="O448" s="91"/>
      <c r="P448" s="90" t="s">
        <v>6497</v>
      </c>
      <c r="Q448" s="90" t="s">
        <v>6498</v>
      </c>
      <c r="R448" s="90" t="s">
        <v>90</v>
      </c>
      <c r="S448" s="101">
        <v>41186</v>
      </c>
      <c r="T448" s="47" t="s">
        <v>92</v>
      </c>
      <c r="U448" s="89">
        <v>1</v>
      </c>
      <c r="V448" s="89">
        <v>1</v>
      </c>
      <c r="W448" s="47" t="s">
        <v>207</v>
      </c>
      <c r="X448" s="92" t="s">
        <v>93</v>
      </c>
      <c r="Y448" s="92" t="s">
        <v>6499</v>
      </c>
      <c r="Z448" s="92" t="s">
        <v>836</v>
      </c>
      <c r="AA448" s="92" t="s">
        <v>6451</v>
      </c>
      <c r="AB448" s="92" t="s">
        <v>97</v>
      </c>
      <c r="AC448" s="92" t="s">
        <v>98</v>
      </c>
      <c r="AD448" s="92" t="s">
        <v>98</v>
      </c>
      <c r="AE448" s="93" t="s">
        <v>6500</v>
      </c>
      <c r="AF448" s="93" t="s">
        <v>6501</v>
      </c>
      <c r="AG448" s="92" t="s">
        <v>6501</v>
      </c>
      <c r="AH448" s="92" t="s">
        <v>101</v>
      </c>
      <c r="AI448" s="92" t="s">
        <v>122</v>
      </c>
      <c r="AJ448" s="101">
        <v>30528</v>
      </c>
      <c r="AK448" s="93" t="s">
        <v>6502</v>
      </c>
      <c r="AL448" s="93" t="s">
        <v>602</v>
      </c>
      <c r="AM448" s="92" t="s">
        <v>128</v>
      </c>
      <c r="AN448" s="93" t="s">
        <v>6503</v>
      </c>
      <c r="AO448" s="93" t="s">
        <v>117</v>
      </c>
      <c r="AP448" s="92" t="s">
        <v>6504</v>
      </c>
      <c r="AQ448" s="90" t="s">
        <v>6505</v>
      </c>
      <c r="AR448" s="93" t="s">
        <v>6506</v>
      </c>
      <c r="AS448" s="92" t="s">
        <v>6507</v>
      </c>
      <c r="AT448" s="92" t="s">
        <v>90</v>
      </c>
      <c r="AU448" s="92" t="s">
        <v>318</v>
      </c>
      <c r="AV448" s="92">
        <v>40232</v>
      </c>
      <c r="AW448" s="92" t="s">
        <v>8167</v>
      </c>
      <c r="AX448" s="92" t="s">
        <v>101</v>
      </c>
      <c r="AY448" s="92" t="s">
        <v>90</v>
      </c>
      <c r="AZ448" s="127">
        <v>30938</v>
      </c>
      <c r="BA448" s="93" t="s">
        <v>6508</v>
      </c>
      <c r="BB448" s="93" t="s">
        <v>428</v>
      </c>
      <c r="BC448" s="92" t="s">
        <v>128</v>
      </c>
      <c r="BD448" s="93" t="s">
        <v>6509</v>
      </c>
      <c r="BE448" s="93" t="s">
        <v>266</v>
      </c>
      <c r="BF448" s="67" t="s">
        <v>6448</v>
      </c>
      <c r="BG448" s="92"/>
      <c r="BH448" s="93"/>
      <c r="BI448" s="93"/>
      <c r="BJ448" s="91"/>
      <c r="BK448" s="92"/>
      <c r="BL448" s="92"/>
      <c r="BM448" s="92"/>
      <c r="BN448" s="64" t="s">
        <v>6448</v>
      </c>
      <c r="BO448" s="92"/>
      <c r="BP448" s="92"/>
      <c r="BQ448" s="136"/>
      <c r="BR448" s="93"/>
      <c r="BS448" s="93"/>
      <c r="BT448" s="92"/>
      <c r="BU448" s="93"/>
      <c r="BV448" s="93"/>
      <c r="BW448" s="92"/>
      <c r="BX448" s="93"/>
      <c r="BY448" s="93"/>
      <c r="BZ448" s="92"/>
      <c r="CA448" s="92"/>
      <c r="CB448" s="92"/>
      <c r="CC448" s="92"/>
      <c r="CD448" s="92"/>
      <c r="CE448" s="64" t="s">
        <v>9037</v>
      </c>
      <c r="CF448" s="67" t="s">
        <v>9018</v>
      </c>
      <c r="CG448" s="64" t="s">
        <v>7119</v>
      </c>
      <c r="CH448" s="92" t="s">
        <v>6995</v>
      </c>
      <c r="CI448" s="92" t="s">
        <v>644</v>
      </c>
      <c r="CJ448" s="92" t="s">
        <v>111</v>
      </c>
      <c r="CK448" s="89">
        <v>40232</v>
      </c>
      <c r="CL448" s="64" t="str">
        <f t="shared" ca="1" si="6"/>
        <v>13 Tahun 3 Bulan 19 Hari</v>
      </c>
      <c r="CM44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Terusan Pasirkoja Gg Abadi I RT/RW 012/006 Desa/Kelurahan Babakan Tarogong Kecamatan Bojongloa Kaler Kota Bandung Jawa Barat 40232</v>
      </c>
    </row>
    <row r="449" spans="1:91" ht="24.95" customHeight="1">
      <c r="A449" s="58">
        <f>SUBTOTAL(3,N$8:Table2[[#This Row],[Nama lengkap]])</f>
        <v>442</v>
      </c>
      <c r="B449" s="89" t="s">
        <v>86</v>
      </c>
      <c r="C449" s="89">
        <v>2025</v>
      </c>
      <c r="D449" s="89"/>
      <c r="E449" s="89" t="s">
        <v>4805</v>
      </c>
      <c r="F449" s="58" t="s">
        <v>6986</v>
      </c>
      <c r="G449" s="32" t="s">
        <v>2513</v>
      </c>
      <c r="H449" s="32" t="s">
        <v>2513</v>
      </c>
      <c r="I449" s="90" t="s">
        <v>2513</v>
      </c>
      <c r="J449" s="90"/>
      <c r="K449" s="90"/>
      <c r="L449" s="90"/>
      <c r="M449" s="89">
        <v>25260044</v>
      </c>
      <c r="N449" s="91" t="s">
        <v>6618</v>
      </c>
      <c r="O449" s="91"/>
      <c r="P449" s="90">
        <v>3133972324</v>
      </c>
      <c r="Q449" s="90" t="s">
        <v>6619</v>
      </c>
      <c r="R449" s="90" t="s">
        <v>122</v>
      </c>
      <c r="S449" s="101">
        <v>41358</v>
      </c>
      <c r="T449" s="47" t="s">
        <v>92</v>
      </c>
      <c r="U449" s="89">
        <v>1</v>
      </c>
      <c r="V449" s="89">
        <v>2</v>
      </c>
      <c r="W449" s="47" t="s">
        <v>207</v>
      </c>
      <c r="X449" s="92" t="s">
        <v>93</v>
      </c>
      <c r="Y449" s="92" t="s">
        <v>285</v>
      </c>
      <c r="Z449" s="92" t="s">
        <v>6620</v>
      </c>
      <c r="AA449" s="92" t="s">
        <v>6451</v>
      </c>
      <c r="AB449" s="92" t="s">
        <v>97</v>
      </c>
      <c r="AC449" s="92" t="s">
        <v>98</v>
      </c>
      <c r="AD449" s="92" t="s">
        <v>98</v>
      </c>
      <c r="AE449" s="93" t="s">
        <v>9038</v>
      </c>
      <c r="AF449" s="93" t="s">
        <v>6621</v>
      </c>
      <c r="AG449" s="92" t="s">
        <v>6621</v>
      </c>
      <c r="AH449" s="92" t="s">
        <v>101</v>
      </c>
      <c r="AI449" s="92" t="s">
        <v>623</v>
      </c>
      <c r="AJ449" s="101">
        <v>28311</v>
      </c>
      <c r="AK449" s="93" t="s">
        <v>6622</v>
      </c>
      <c r="AL449" s="93" t="s">
        <v>224</v>
      </c>
      <c r="AM449" s="92" t="s">
        <v>149</v>
      </c>
      <c r="AN449" s="93">
        <v>89656388523</v>
      </c>
      <c r="AO449" s="93" t="s">
        <v>315</v>
      </c>
      <c r="AP449" s="92" t="s">
        <v>6623</v>
      </c>
      <c r="AQ449" s="90">
        <v>45809</v>
      </c>
      <c r="AR449" s="93" t="s">
        <v>6624</v>
      </c>
      <c r="AS449" s="92" t="s">
        <v>6625</v>
      </c>
      <c r="AT449" s="92" t="s">
        <v>122</v>
      </c>
      <c r="AU449" s="92" t="s">
        <v>111</v>
      </c>
      <c r="AV449" s="92">
        <v>45356</v>
      </c>
      <c r="AW449" s="92" t="s">
        <v>6626</v>
      </c>
      <c r="AX449" s="92" t="s">
        <v>101</v>
      </c>
      <c r="AY449" s="92" t="s">
        <v>122</v>
      </c>
      <c r="AZ449" s="127">
        <v>29312</v>
      </c>
      <c r="BA449" s="93" t="s">
        <v>6627</v>
      </c>
      <c r="BB449" s="93" t="s">
        <v>819</v>
      </c>
      <c r="BC449" s="92" t="s">
        <v>128</v>
      </c>
      <c r="BD449" s="93">
        <v>81122335045</v>
      </c>
      <c r="BE449" s="93" t="s">
        <v>130</v>
      </c>
      <c r="BF449" s="67" t="s">
        <v>6448</v>
      </c>
      <c r="BG449" s="92"/>
      <c r="BH449" s="93"/>
      <c r="BI449" s="93"/>
      <c r="BJ449" s="91"/>
      <c r="BK449" s="92"/>
      <c r="BL449" s="92"/>
      <c r="BM449" s="92"/>
      <c r="BN449" s="64" t="s">
        <v>161</v>
      </c>
      <c r="BO449" s="92"/>
      <c r="BP449" s="92"/>
      <c r="BQ449" s="136"/>
      <c r="BR449" s="93"/>
      <c r="BS449" s="93"/>
      <c r="BT449" s="92"/>
      <c r="BU449" s="93"/>
      <c r="BV449" s="93"/>
      <c r="BW449" s="92"/>
      <c r="BX449" s="93"/>
      <c r="BY449" s="93"/>
      <c r="BZ449" s="92"/>
      <c r="CA449" s="92"/>
      <c r="CB449" s="92"/>
      <c r="CC449" s="92"/>
      <c r="CD449" s="92"/>
      <c r="CE449" s="64" t="s">
        <v>6623</v>
      </c>
      <c r="CF449" s="67">
        <v>45809</v>
      </c>
      <c r="CG449" s="64" t="s">
        <v>6624</v>
      </c>
      <c r="CH449" s="92" t="s">
        <v>6625</v>
      </c>
      <c r="CI449" s="92" t="s">
        <v>122</v>
      </c>
      <c r="CJ449" s="92" t="s">
        <v>111</v>
      </c>
      <c r="CK449" s="89">
        <v>45356</v>
      </c>
      <c r="CL449" s="64" t="str">
        <f t="shared" ca="1" si="6"/>
        <v>12 Tahun 9 Bulan 29 Hari</v>
      </c>
      <c r="CM44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Nagrak RT/RW 45809 Desa/Kelurahan Cikoneng Kulon Kecamatan Ganeas Sumedang Jawa Barat 45356</v>
      </c>
    </row>
    <row r="450" spans="1:91" ht="24.95" customHeight="1">
      <c r="A450" s="58">
        <f>SUBTOTAL(3,N$8:Table2[[#This Row],[Nama lengkap]])</f>
        <v>443</v>
      </c>
      <c r="B450" s="89" t="s">
        <v>86</v>
      </c>
      <c r="C450" s="89">
        <v>2025</v>
      </c>
      <c r="D450" s="89"/>
      <c r="E450" s="89" t="s">
        <v>4805</v>
      </c>
      <c r="F450" s="58" t="s">
        <v>6986</v>
      </c>
      <c r="G450" s="32" t="s">
        <v>2513</v>
      </c>
      <c r="H450" s="32" t="s">
        <v>2513</v>
      </c>
      <c r="I450" s="90" t="s">
        <v>2513</v>
      </c>
      <c r="J450" s="90"/>
      <c r="K450" s="90"/>
      <c r="L450" s="90"/>
      <c r="M450" s="89">
        <v>25260133</v>
      </c>
      <c r="N450" s="91" t="s">
        <v>6521</v>
      </c>
      <c r="O450" s="91"/>
      <c r="P450" s="90" t="s">
        <v>6522</v>
      </c>
      <c r="Q450" s="90" t="s">
        <v>6523</v>
      </c>
      <c r="R450" s="90" t="s">
        <v>456</v>
      </c>
      <c r="S450" s="101">
        <v>41177</v>
      </c>
      <c r="T450" s="47" t="s">
        <v>92</v>
      </c>
      <c r="U450" s="89">
        <v>1</v>
      </c>
      <c r="V450" s="89">
        <v>2</v>
      </c>
      <c r="W450" s="47" t="s">
        <v>207</v>
      </c>
      <c r="X450" s="92" t="s">
        <v>6434</v>
      </c>
      <c r="Y450" s="92" t="s">
        <v>775</v>
      </c>
      <c r="Z450" s="92" t="s">
        <v>688</v>
      </c>
      <c r="AA450" s="92" t="s">
        <v>6451</v>
      </c>
      <c r="AB450" s="92" t="s">
        <v>97</v>
      </c>
      <c r="AC450" s="92" t="s">
        <v>98</v>
      </c>
      <c r="AD450" s="92" t="s">
        <v>98</v>
      </c>
      <c r="AE450" s="93" t="s">
        <v>2109</v>
      </c>
      <c r="AF450" s="93" t="s">
        <v>8417</v>
      </c>
      <c r="AG450" s="92" t="s">
        <v>8417</v>
      </c>
      <c r="AH450" s="92" t="s">
        <v>101</v>
      </c>
      <c r="AI450" s="92" t="s">
        <v>456</v>
      </c>
      <c r="AJ450" s="101">
        <v>29354</v>
      </c>
      <c r="AK450" s="93" t="s">
        <v>2110</v>
      </c>
      <c r="AL450" s="93" t="s">
        <v>343</v>
      </c>
      <c r="AM450" s="92" t="s">
        <v>159</v>
      </c>
      <c r="AN450" s="93" t="s">
        <v>6524</v>
      </c>
      <c r="AO450" s="93" t="s">
        <v>266</v>
      </c>
      <c r="AP450" s="92" t="s">
        <v>6525</v>
      </c>
      <c r="AQ450" s="90" t="s">
        <v>1034</v>
      </c>
      <c r="AR450" s="93" t="s">
        <v>2112</v>
      </c>
      <c r="AS450" s="92" t="s">
        <v>2149</v>
      </c>
      <c r="AT450" s="92" t="s">
        <v>1165</v>
      </c>
      <c r="AU450" s="92" t="s">
        <v>156</v>
      </c>
      <c r="AV450" s="92">
        <v>40532</v>
      </c>
      <c r="AW450" s="92" t="s">
        <v>8168</v>
      </c>
      <c r="AX450" s="92" t="s">
        <v>101</v>
      </c>
      <c r="AY450" s="92" t="s">
        <v>90</v>
      </c>
      <c r="AZ450" s="127">
        <v>30446</v>
      </c>
      <c r="BA450" s="93" t="s">
        <v>2115</v>
      </c>
      <c r="BB450" s="93" t="s">
        <v>428</v>
      </c>
      <c r="BC450" s="92" t="s">
        <v>149</v>
      </c>
      <c r="BD450" s="93"/>
      <c r="BE450" s="93" t="s">
        <v>98</v>
      </c>
      <c r="BF450" s="67" t="s">
        <v>6448</v>
      </c>
      <c r="BG450" s="92"/>
      <c r="BH450" s="93"/>
      <c r="BI450" s="93"/>
      <c r="BJ450" s="91"/>
      <c r="BK450" s="92"/>
      <c r="BL450" s="92"/>
      <c r="BM450" s="92"/>
      <c r="BN450" s="64" t="s">
        <v>6448</v>
      </c>
      <c r="BO450" s="92"/>
      <c r="BP450" s="92"/>
      <c r="BQ450" s="136"/>
      <c r="BR450" s="93"/>
      <c r="BS450" s="93"/>
      <c r="BT450" s="92"/>
      <c r="BU450" s="93"/>
      <c r="BV450" s="93"/>
      <c r="BW450" s="92"/>
      <c r="BX450" s="93"/>
      <c r="BY450" s="93"/>
      <c r="BZ450" s="92"/>
      <c r="CA450" s="92"/>
      <c r="CB450" s="92"/>
      <c r="CC450" s="92"/>
      <c r="CD450" s="92"/>
      <c r="CE450" s="64" t="s">
        <v>9039</v>
      </c>
      <c r="CF450" s="67" t="s">
        <v>2340</v>
      </c>
      <c r="CG450" s="64" t="s">
        <v>7141</v>
      </c>
      <c r="CH450" s="92" t="s">
        <v>6859</v>
      </c>
      <c r="CI450" s="92" t="s">
        <v>456</v>
      </c>
      <c r="CJ450" s="92" t="s">
        <v>111</v>
      </c>
      <c r="CK450" s="89">
        <v>40532</v>
      </c>
      <c r="CL450" s="64" t="str">
        <f t="shared" ca="1" si="6"/>
        <v>13 Tahun 3 Bulan 29 Hari</v>
      </c>
      <c r="CM45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Kerkof No 198 RT/RW 005/005 Desa/Kelurahan Leuwigajah Kecamatan Cimahi Selatan Cimahi Jawa Barat 40532</v>
      </c>
    </row>
    <row r="451" spans="1:91" ht="24.95" customHeight="1">
      <c r="A451" s="58">
        <f>SUBTOTAL(3,N$8:Table2[[#This Row],[Nama lengkap]])</f>
        <v>444</v>
      </c>
      <c r="B451" s="89" t="s">
        <v>86</v>
      </c>
      <c r="C451" s="89">
        <v>2025</v>
      </c>
      <c r="D451" s="89"/>
      <c r="E451" s="89" t="s">
        <v>4805</v>
      </c>
      <c r="F451" s="58" t="s">
        <v>6986</v>
      </c>
      <c r="G451" s="32" t="s">
        <v>2513</v>
      </c>
      <c r="H451" s="32" t="s">
        <v>2513</v>
      </c>
      <c r="I451" s="90" t="s">
        <v>2513</v>
      </c>
      <c r="J451" s="90"/>
      <c r="K451" s="90"/>
      <c r="L451" s="90"/>
      <c r="M451" s="89">
        <v>25260046</v>
      </c>
      <c r="N451" s="91" t="s">
        <v>6644</v>
      </c>
      <c r="O451" s="91"/>
      <c r="P451" s="90">
        <v>3123287758</v>
      </c>
      <c r="Q451" s="90" t="s">
        <v>6645</v>
      </c>
      <c r="R451" s="90" t="s">
        <v>90</v>
      </c>
      <c r="S451" s="101">
        <v>41184</v>
      </c>
      <c r="T451" s="47" t="s">
        <v>92</v>
      </c>
      <c r="U451" s="89">
        <v>2</v>
      </c>
      <c r="V451" s="89">
        <v>1</v>
      </c>
      <c r="W451" s="47" t="s">
        <v>207</v>
      </c>
      <c r="X451" s="92" t="s">
        <v>6434</v>
      </c>
      <c r="Y451" s="92" t="s">
        <v>94</v>
      </c>
      <c r="Z451" s="92" t="s">
        <v>356</v>
      </c>
      <c r="AA451" s="92" t="s">
        <v>6451</v>
      </c>
      <c r="AB451" s="92" t="s">
        <v>97</v>
      </c>
      <c r="AC451" s="92" t="s">
        <v>98</v>
      </c>
      <c r="AD451" s="92" t="s">
        <v>98</v>
      </c>
      <c r="AE451" s="93" t="s">
        <v>9040</v>
      </c>
      <c r="AF451" s="93" t="s">
        <v>6646</v>
      </c>
      <c r="AG451" s="92" t="s">
        <v>6646</v>
      </c>
      <c r="AH451" s="92" t="s">
        <v>101</v>
      </c>
      <c r="AI451" s="92" t="s">
        <v>90</v>
      </c>
      <c r="AJ451" s="101">
        <v>30776</v>
      </c>
      <c r="AK451" s="93" t="s">
        <v>6647</v>
      </c>
      <c r="AL451" s="93" t="s">
        <v>602</v>
      </c>
      <c r="AM451" s="92" t="s">
        <v>149</v>
      </c>
      <c r="AN451" s="93">
        <v>89531881016</v>
      </c>
      <c r="AO451" s="93" t="s">
        <v>315</v>
      </c>
      <c r="AP451" s="92" t="s">
        <v>6648</v>
      </c>
      <c r="AQ451" s="90">
        <v>45812</v>
      </c>
      <c r="AR451" s="93" t="s">
        <v>6649</v>
      </c>
      <c r="AS451" s="92" t="s">
        <v>6650</v>
      </c>
      <c r="AT451" s="92" t="s">
        <v>6651</v>
      </c>
      <c r="AU451" s="92" t="s">
        <v>318</v>
      </c>
      <c r="AV451" s="92">
        <v>40239</v>
      </c>
      <c r="AW451" s="92" t="s">
        <v>6652</v>
      </c>
      <c r="AX451" s="92" t="s">
        <v>101</v>
      </c>
      <c r="AY451" s="92" t="s">
        <v>90</v>
      </c>
      <c r="AZ451" s="127">
        <v>31193</v>
      </c>
      <c r="BA451" s="93" t="s">
        <v>6653</v>
      </c>
      <c r="BB451" s="93" t="s">
        <v>428</v>
      </c>
      <c r="BC451" s="92" t="s">
        <v>149</v>
      </c>
      <c r="BD451" s="93">
        <v>89531881016</v>
      </c>
      <c r="BE451" s="93" t="s">
        <v>98</v>
      </c>
      <c r="BF451" s="67" t="s">
        <v>6448</v>
      </c>
      <c r="BG451" s="92"/>
      <c r="BH451" s="93"/>
      <c r="BI451" s="93"/>
      <c r="BJ451" s="91"/>
      <c r="BK451" s="92"/>
      <c r="BL451" s="92"/>
      <c r="BM451" s="92"/>
      <c r="BN451" s="64" t="s">
        <v>161</v>
      </c>
      <c r="BO451" s="92"/>
      <c r="BP451" s="92"/>
      <c r="BQ451" s="136"/>
      <c r="BR451" s="93"/>
      <c r="BS451" s="93"/>
      <c r="BT451" s="92"/>
      <c r="BU451" s="93"/>
      <c r="BV451" s="93"/>
      <c r="BW451" s="92"/>
      <c r="BX451" s="93"/>
      <c r="BY451" s="93"/>
      <c r="BZ451" s="92"/>
      <c r="CA451" s="92"/>
      <c r="CB451" s="92"/>
      <c r="CC451" s="92"/>
      <c r="CD451" s="92"/>
      <c r="CE451" s="64" t="s">
        <v>9041</v>
      </c>
      <c r="CF451" s="67" t="s">
        <v>9042</v>
      </c>
      <c r="CG451" s="64" t="s">
        <v>7290</v>
      </c>
      <c r="CH451" s="92" t="s">
        <v>6650</v>
      </c>
      <c r="CI451" s="92" t="s">
        <v>90</v>
      </c>
      <c r="CJ451" s="92" t="s">
        <v>111</v>
      </c>
      <c r="CK451" s="89">
        <v>40239</v>
      </c>
      <c r="CL451" s="64" t="str">
        <f t="shared" ca="1" si="6"/>
        <v>13 Tahun 3 Bulan 21 Hari</v>
      </c>
      <c r="CM45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Citamiang Kaler RT/RW 004/006 Desa/Kelurahan Cangkuang Kulon Kecamatan Dayeuhkolot Bandung Jawa Barat 40239</v>
      </c>
    </row>
    <row r="452" spans="1:91" ht="24.95" customHeight="1">
      <c r="A452" s="58">
        <f>SUBTOTAL(3,N$8:Table2[[#This Row],[Nama lengkap]])</f>
        <v>445</v>
      </c>
      <c r="B452" s="89" t="s">
        <v>86</v>
      </c>
      <c r="C452" s="89">
        <v>2025</v>
      </c>
      <c r="D452" s="89"/>
      <c r="E452" s="89" t="s">
        <v>4805</v>
      </c>
      <c r="F452" s="58" t="s">
        <v>6986</v>
      </c>
      <c r="G452" s="32" t="s">
        <v>2513</v>
      </c>
      <c r="H452" s="32" t="s">
        <v>2513</v>
      </c>
      <c r="I452" s="90" t="s">
        <v>2513</v>
      </c>
      <c r="J452" s="90"/>
      <c r="K452" s="90"/>
      <c r="L452" s="90"/>
      <c r="M452" s="89">
        <v>25260053</v>
      </c>
      <c r="N452" s="91" t="s">
        <v>6776</v>
      </c>
      <c r="O452" s="91"/>
      <c r="P452" s="90" t="s">
        <v>6777</v>
      </c>
      <c r="Q452" s="90" t="s">
        <v>6778</v>
      </c>
      <c r="R452" s="90" t="s">
        <v>122</v>
      </c>
      <c r="S452" s="101">
        <v>41209</v>
      </c>
      <c r="T452" s="47" t="s">
        <v>92</v>
      </c>
      <c r="U452" s="89">
        <v>1</v>
      </c>
      <c r="V452" s="89">
        <v>2</v>
      </c>
      <c r="W452" s="47" t="s">
        <v>207</v>
      </c>
      <c r="X452" s="92" t="s">
        <v>432</v>
      </c>
      <c r="Y452" s="92" t="s">
        <v>94</v>
      </c>
      <c r="Z452" s="92" t="s">
        <v>6779</v>
      </c>
      <c r="AA452" s="92" t="s">
        <v>6451</v>
      </c>
      <c r="AB452" s="92" t="s">
        <v>97</v>
      </c>
      <c r="AC452" s="92" t="s">
        <v>98</v>
      </c>
      <c r="AD452" s="92" t="s">
        <v>98</v>
      </c>
      <c r="AE452" s="93" t="s">
        <v>6780</v>
      </c>
      <c r="AF452" s="93" t="s">
        <v>8676</v>
      </c>
      <c r="AG452" s="92" t="s">
        <v>8676</v>
      </c>
      <c r="AH452" s="92" t="s">
        <v>101</v>
      </c>
      <c r="AI452" s="92" t="s">
        <v>122</v>
      </c>
      <c r="AJ452" s="101">
        <v>30922</v>
      </c>
      <c r="AK452" s="93" t="s">
        <v>6781</v>
      </c>
      <c r="AL452" s="93" t="s">
        <v>343</v>
      </c>
      <c r="AM452" s="92" t="s">
        <v>149</v>
      </c>
      <c r="AN452" s="93" t="s">
        <v>6782</v>
      </c>
      <c r="AO452" s="93" t="s">
        <v>130</v>
      </c>
      <c r="AP452" s="92" t="s">
        <v>6783</v>
      </c>
      <c r="AQ452" s="90" t="s">
        <v>880</v>
      </c>
      <c r="AR452" s="93" t="s">
        <v>6784</v>
      </c>
      <c r="AS452" s="92" t="s">
        <v>6625</v>
      </c>
      <c r="AT452" s="92" t="s">
        <v>122</v>
      </c>
      <c r="AU452" s="92" t="s">
        <v>318</v>
      </c>
      <c r="AV452" s="92">
        <v>45356</v>
      </c>
      <c r="AW452" s="92" t="s">
        <v>8169</v>
      </c>
      <c r="AX452" s="92" t="s">
        <v>101</v>
      </c>
      <c r="AY452" s="92" t="s">
        <v>122</v>
      </c>
      <c r="AZ452" s="127">
        <v>32508</v>
      </c>
      <c r="BA452" s="93" t="s">
        <v>6785</v>
      </c>
      <c r="BB452" s="93" t="s">
        <v>428</v>
      </c>
      <c r="BC452" s="92" t="s">
        <v>149</v>
      </c>
      <c r="BD452" s="93" t="s">
        <v>6786</v>
      </c>
      <c r="BE452" s="93" t="s">
        <v>98</v>
      </c>
      <c r="BF452" s="67" t="s">
        <v>6448</v>
      </c>
      <c r="BG452" s="92"/>
      <c r="BH452" s="93"/>
      <c r="BI452" s="93"/>
      <c r="BJ452" s="91"/>
      <c r="BK452" s="92"/>
      <c r="BL452" s="92"/>
      <c r="BM452" s="92"/>
      <c r="BN452" s="64" t="s">
        <v>161</v>
      </c>
      <c r="BO452" s="92"/>
      <c r="BP452" s="92"/>
      <c r="BQ452" s="136"/>
      <c r="BR452" s="93"/>
      <c r="BS452" s="93"/>
      <c r="BT452" s="92"/>
      <c r="BU452" s="93"/>
      <c r="BV452" s="93"/>
      <c r="BW452" s="92"/>
      <c r="BX452" s="93"/>
      <c r="BY452" s="93"/>
      <c r="BZ452" s="92"/>
      <c r="CA452" s="92"/>
      <c r="CB452" s="92"/>
      <c r="CC452" s="92"/>
      <c r="CD452" s="92"/>
      <c r="CE452" s="64" t="s">
        <v>7690</v>
      </c>
      <c r="CF452" s="67" t="s">
        <v>174</v>
      </c>
      <c r="CG452" s="64" t="s">
        <v>6784</v>
      </c>
      <c r="CH452" s="92" t="s">
        <v>6625</v>
      </c>
      <c r="CI452" s="92" t="s">
        <v>122</v>
      </c>
      <c r="CJ452" s="92" t="s">
        <v>111</v>
      </c>
      <c r="CK452" s="89">
        <v>45356</v>
      </c>
      <c r="CL452" s="64" t="str">
        <f t="shared" ca="1" si="6"/>
        <v>13 Tahun 2 Bulan 27 Hari</v>
      </c>
      <c r="CM45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Cikondang RT/RW 001/002 Desa/Kelurahan Cikondang Kecamatan Ganeas Sumedang Jawa Barat 45356</v>
      </c>
    </row>
    <row r="453" spans="1:91" ht="24.95" customHeight="1">
      <c r="A453" s="58">
        <f>SUBTOTAL(3,N$8:Table2[[#This Row],[Nama lengkap]])</f>
        <v>446</v>
      </c>
      <c r="B453" s="89" t="s">
        <v>86</v>
      </c>
      <c r="C453" s="89">
        <v>2025</v>
      </c>
      <c r="D453" s="89"/>
      <c r="E453" s="89" t="s">
        <v>4805</v>
      </c>
      <c r="F453" s="58" t="s">
        <v>6986</v>
      </c>
      <c r="G453" s="90" t="s">
        <v>2513</v>
      </c>
      <c r="H453" s="32" t="s">
        <v>2513</v>
      </c>
      <c r="I453" s="90" t="s">
        <v>2513</v>
      </c>
      <c r="J453" s="90"/>
      <c r="K453" s="90"/>
      <c r="L453" s="90"/>
      <c r="M453" s="89">
        <v>25260100</v>
      </c>
      <c r="N453" s="91" t="s">
        <v>6702</v>
      </c>
      <c r="O453" s="91"/>
      <c r="P453" s="90" t="s">
        <v>9003</v>
      </c>
      <c r="Q453" s="90" t="s">
        <v>6703</v>
      </c>
      <c r="R453" s="90" t="s">
        <v>122</v>
      </c>
      <c r="S453" s="101">
        <v>41149</v>
      </c>
      <c r="T453" s="47" t="s">
        <v>92</v>
      </c>
      <c r="U453" s="89">
        <v>2</v>
      </c>
      <c r="V453" s="89">
        <v>2</v>
      </c>
      <c r="W453" s="47" t="s">
        <v>207</v>
      </c>
      <c r="X453" s="92" t="s">
        <v>123</v>
      </c>
      <c r="Y453" s="92" t="s">
        <v>94</v>
      </c>
      <c r="Z453" s="92" t="s">
        <v>819</v>
      </c>
      <c r="AA453" s="92" t="s">
        <v>6451</v>
      </c>
      <c r="AB453" s="92" t="s">
        <v>97</v>
      </c>
      <c r="AC453" s="92" t="s">
        <v>98</v>
      </c>
      <c r="AD453" s="92" t="s">
        <v>98</v>
      </c>
      <c r="AE453" s="67" t="s">
        <v>4958</v>
      </c>
      <c r="AF453" s="93" t="s">
        <v>6704</v>
      </c>
      <c r="AG453" s="92" t="s">
        <v>6704</v>
      </c>
      <c r="AH453" s="92" t="s">
        <v>101</v>
      </c>
      <c r="AI453" s="92" t="s">
        <v>122</v>
      </c>
      <c r="AJ453" s="101">
        <v>28895</v>
      </c>
      <c r="AK453" s="93" t="s">
        <v>6705</v>
      </c>
      <c r="AL453" s="93" t="s">
        <v>437</v>
      </c>
      <c r="AM453" s="92" t="s">
        <v>96</v>
      </c>
      <c r="AN453" s="93" t="s">
        <v>6706</v>
      </c>
      <c r="AO453" s="93" t="s">
        <v>266</v>
      </c>
      <c r="AP453" s="92" t="s">
        <v>6707</v>
      </c>
      <c r="AQ453" s="90">
        <v>43191</v>
      </c>
      <c r="AR453" s="93" t="s">
        <v>1518</v>
      </c>
      <c r="AS453" s="92" t="s">
        <v>1518</v>
      </c>
      <c r="AT453" s="92" t="s">
        <v>122</v>
      </c>
      <c r="AU453" s="92" t="s">
        <v>111</v>
      </c>
      <c r="AV453" s="92">
        <v>45364</v>
      </c>
      <c r="AW453" s="92" t="s">
        <v>6708</v>
      </c>
      <c r="AX453" s="92" t="s">
        <v>101</v>
      </c>
      <c r="AY453" s="92" t="s">
        <v>122</v>
      </c>
      <c r="AZ453" s="127">
        <v>30531</v>
      </c>
      <c r="BA453" s="93" t="s">
        <v>4960</v>
      </c>
      <c r="BB453" s="93" t="s">
        <v>428</v>
      </c>
      <c r="BC453" s="92" t="s">
        <v>159</v>
      </c>
      <c r="BD453" s="93" t="s">
        <v>6709</v>
      </c>
      <c r="BE453" s="93" t="s">
        <v>98</v>
      </c>
      <c r="BF453" s="67" t="s">
        <v>6448</v>
      </c>
      <c r="BG453" s="92"/>
      <c r="BH453" s="93"/>
      <c r="BI453" s="93"/>
      <c r="BJ453" s="91"/>
      <c r="BK453" s="92"/>
      <c r="BL453" s="92"/>
      <c r="BM453" s="92"/>
      <c r="BN453" s="64" t="s">
        <v>161</v>
      </c>
      <c r="BO453" s="92"/>
      <c r="BP453" s="92"/>
      <c r="BQ453" s="136"/>
      <c r="BR453" s="93"/>
      <c r="BS453" s="93"/>
      <c r="BT453" s="92"/>
      <c r="BU453" s="93"/>
      <c r="BV453" s="93"/>
      <c r="BW453" s="92"/>
      <c r="BX453" s="93"/>
      <c r="BY453" s="93"/>
      <c r="BZ453" s="92"/>
      <c r="CA453" s="92"/>
      <c r="CB453" s="92"/>
      <c r="CC453" s="92"/>
      <c r="CD453" s="92"/>
      <c r="CE453" s="64" t="s">
        <v>6707</v>
      </c>
      <c r="CF453" s="67" t="s">
        <v>9927</v>
      </c>
      <c r="CG453" s="64" t="s">
        <v>1518</v>
      </c>
      <c r="CH453" s="92" t="s">
        <v>1518</v>
      </c>
      <c r="CI453" s="92" t="s">
        <v>122</v>
      </c>
      <c r="CJ453" s="92" t="s">
        <v>111</v>
      </c>
      <c r="CK453" s="89">
        <v>45364</v>
      </c>
      <c r="CL453" s="64" t="str">
        <f t="shared" ca="1" si="6"/>
        <v>13 Tahun 4 Bulan 26 Hari</v>
      </c>
      <c r="CM45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Pasir Muncang RT/RW 004/018 Desa/Kelurahan Cimanggung Kecamatan Cimanggung Sumedang Jawa Barat 45364</v>
      </c>
    </row>
    <row r="454" spans="1:91" ht="24.95" customHeight="1">
      <c r="A454" s="58">
        <f>SUBTOTAL(3,N$8:Table2[[#This Row],[Nama lengkap]])</f>
        <v>447</v>
      </c>
      <c r="B454" s="58" t="s">
        <v>86</v>
      </c>
      <c r="C454" s="58">
        <v>2024</v>
      </c>
      <c r="D454" s="58"/>
      <c r="E454" s="58" t="s">
        <v>4805</v>
      </c>
      <c r="F454" s="58" t="s">
        <v>6987</v>
      </c>
      <c r="G454" s="32" t="s">
        <v>2513</v>
      </c>
      <c r="H454" s="32" t="s">
        <v>2513</v>
      </c>
      <c r="I454" s="90" t="s">
        <v>2513</v>
      </c>
      <c r="J454" s="32"/>
      <c r="K454" s="32"/>
      <c r="L454" s="32"/>
      <c r="M454" s="58">
        <v>24250143</v>
      </c>
      <c r="N454" s="40" t="s">
        <v>8868</v>
      </c>
      <c r="O454" s="40"/>
      <c r="P454" s="32" t="s">
        <v>4806</v>
      </c>
      <c r="Q454" s="32" t="s">
        <v>4807</v>
      </c>
      <c r="R454" s="67" t="s">
        <v>90</v>
      </c>
      <c r="S454" s="69">
        <v>40631</v>
      </c>
      <c r="T454" s="47" t="s">
        <v>92</v>
      </c>
      <c r="U454" s="58">
        <v>2</v>
      </c>
      <c r="V454" s="58">
        <v>2</v>
      </c>
      <c r="W454" s="47" t="s">
        <v>207</v>
      </c>
      <c r="X454" s="64" t="s">
        <v>142</v>
      </c>
      <c r="Y454" s="64" t="s">
        <v>94</v>
      </c>
      <c r="Z454" s="64" t="s">
        <v>255</v>
      </c>
      <c r="AA454" s="64" t="s">
        <v>96</v>
      </c>
      <c r="AB454" s="64" t="s">
        <v>97</v>
      </c>
      <c r="AC454" s="64" t="s">
        <v>417</v>
      </c>
      <c r="AD454" s="64" t="s">
        <v>98</v>
      </c>
      <c r="AE454" s="67" t="s">
        <v>2041</v>
      </c>
      <c r="AF454" s="67" t="s">
        <v>8410</v>
      </c>
      <c r="AG454" s="64" t="s">
        <v>8410</v>
      </c>
      <c r="AH454" s="64" t="s">
        <v>101</v>
      </c>
      <c r="AI454" s="64" t="s">
        <v>90</v>
      </c>
      <c r="AJ454" s="69">
        <v>29587</v>
      </c>
      <c r="AK454" s="67" t="s">
        <v>2043</v>
      </c>
      <c r="AL454" s="67" t="s">
        <v>4808</v>
      </c>
      <c r="AM454" s="64" t="s">
        <v>96</v>
      </c>
      <c r="AN454" s="67">
        <v>82114430717</v>
      </c>
      <c r="AO454" s="67" t="s">
        <v>117</v>
      </c>
      <c r="AP454" s="64" t="s">
        <v>4809</v>
      </c>
      <c r="AQ454" s="32" t="s">
        <v>4810</v>
      </c>
      <c r="AR454" s="67" t="s">
        <v>1482</v>
      </c>
      <c r="AS454" s="64" t="s">
        <v>1019</v>
      </c>
      <c r="AT454" s="64" t="s">
        <v>141</v>
      </c>
      <c r="AU454" s="64" t="s">
        <v>156</v>
      </c>
      <c r="AV454" s="64">
        <v>40911</v>
      </c>
      <c r="AW454" s="64" t="s">
        <v>4811</v>
      </c>
      <c r="AX454" s="64" t="s">
        <v>4812</v>
      </c>
      <c r="AY454" s="64"/>
      <c r="AZ454" s="125"/>
      <c r="BA454" s="67"/>
      <c r="BB454" s="67"/>
      <c r="BC454" s="64"/>
      <c r="BD454" s="67"/>
      <c r="BE454" s="67"/>
      <c r="BF454" s="67"/>
      <c r="BG454" s="64"/>
      <c r="BH454" s="67"/>
      <c r="BI454" s="67"/>
      <c r="BJ454" s="40"/>
      <c r="BK454" s="64"/>
      <c r="BL454" s="64"/>
      <c r="BM454" s="64"/>
      <c r="BN454" s="64" t="s">
        <v>161</v>
      </c>
      <c r="BO454" s="64" t="s">
        <v>4813</v>
      </c>
      <c r="BP454" s="64" t="s">
        <v>4814</v>
      </c>
      <c r="BQ454" s="135">
        <v>35982</v>
      </c>
      <c r="BR454" s="67" t="s">
        <v>4815</v>
      </c>
      <c r="BS454" s="67" t="s">
        <v>158</v>
      </c>
      <c r="BT454" s="64" t="s">
        <v>159</v>
      </c>
      <c r="BU454" s="67">
        <v>81384714138</v>
      </c>
      <c r="BV454" s="67"/>
      <c r="BW454" s="64" t="s">
        <v>4809</v>
      </c>
      <c r="BX454" s="67" t="s">
        <v>4810</v>
      </c>
      <c r="BY454" s="67" t="s">
        <v>1482</v>
      </c>
      <c r="BZ454" s="64" t="s">
        <v>1019</v>
      </c>
      <c r="CA454" s="64" t="s">
        <v>141</v>
      </c>
      <c r="CB454" s="64" t="s">
        <v>156</v>
      </c>
      <c r="CC454" s="64">
        <v>40911</v>
      </c>
      <c r="CD454" s="64" t="s">
        <v>402</v>
      </c>
      <c r="CE454" s="64" t="s">
        <v>7683</v>
      </c>
      <c r="CF454" s="67" t="s">
        <v>4810</v>
      </c>
      <c r="CG454" s="64" t="s">
        <v>7081</v>
      </c>
      <c r="CH454" s="64" t="s">
        <v>6967</v>
      </c>
      <c r="CI454" s="64" t="s">
        <v>90</v>
      </c>
      <c r="CJ454" s="64" t="s">
        <v>111</v>
      </c>
      <c r="CK454" s="58">
        <v>40911</v>
      </c>
      <c r="CL454" s="64" t="str">
        <f t="shared" ca="1" si="6"/>
        <v>14 Tahun 9 Bulan 25 Hari</v>
      </c>
      <c r="CM45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Kp.Pasir Kelapa RT/RW 001/010 Desa/Kelurahan Jatisari Kecamatan Kutawaringin Bandung Jawa Barat 40911</v>
      </c>
    </row>
    <row r="455" spans="1:91" ht="24.95" customHeight="1">
      <c r="A455" s="58">
        <f>SUBTOTAL(3,N$8:Table2[[#This Row],[Nama lengkap]])</f>
        <v>448</v>
      </c>
      <c r="B455" s="89" t="s">
        <v>86</v>
      </c>
      <c r="C455" s="89">
        <v>2025</v>
      </c>
      <c r="D455" s="89"/>
      <c r="E455" s="89" t="s">
        <v>4805</v>
      </c>
      <c r="F455" s="58" t="s">
        <v>6987</v>
      </c>
      <c r="G455" s="32" t="s">
        <v>2513</v>
      </c>
      <c r="H455" s="32" t="s">
        <v>2513</v>
      </c>
      <c r="I455" s="90" t="s">
        <v>2513</v>
      </c>
      <c r="J455" s="90"/>
      <c r="K455" s="90"/>
      <c r="L455" s="90"/>
      <c r="M455" s="89">
        <v>25260125</v>
      </c>
      <c r="N455" s="91" t="s">
        <v>8871</v>
      </c>
      <c r="O455" s="91"/>
      <c r="P455" s="90" t="s">
        <v>6890</v>
      </c>
      <c r="Q455" s="90" t="s">
        <v>6891</v>
      </c>
      <c r="R455" s="90" t="s">
        <v>3137</v>
      </c>
      <c r="S455" s="101">
        <v>41287</v>
      </c>
      <c r="T455" s="47" t="s">
        <v>92</v>
      </c>
      <c r="U455" s="89">
        <v>1</v>
      </c>
      <c r="V455" s="89">
        <v>1</v>
      </c>
      <c r="W455" s="47" t="s">
        <v>207</v>
      </c>
      <c r="X455" s="92" t="s">
        <v>6434</v>
      </c>
      <c r="Y455" s="92" t="s">
        <v>6892</v>
      </c>
      <c r="Z455" s="92" t="s">
        <v>6893</v>
      </c>
      <c r="AA455" s="92" t="s">
        <v>6451</v>
      </c>
      <c r="AB455" s="92" t="s">
        <v>529</v>
      </c>
      <c r="AC455" s="92" t="s">
        <v>534</v>
      </c>
      <c r="AD455" s="92" t="s">
        <v>534</v>
      </c>
      <c r="AE455" s="67" t="s">
        <v>9008</v>
      </c>
      <c r="AF455" s="93" t="s">
        <v>8677</v>
      </c>
      <c r="AG455" s="92" t="s">
        <v>8677</v>
      </c>
      <c r="AH455" s="92" t="s">
        <v>101</v>
      </c>
      <c r="AI455" s="92" t="s">
        <v>90</v>
      </c>
      <c r="AJ455" s="101">
        <v>33234</v>
      </c>
      <c r="AK455" s="93" t="s">
        <v>6894</v>
      </c>
      <c r="AL455" s="93" t="s">
        <v>289</v>
      </c>
      <c r="AM455" s="92" t="s">
        <v>149</v>
      </c>
      <c r="AN455" s="67" t="s">
        <v>6895</v>
      </c>
      <c r="AO455" s="93" t="s">
        <v>130</v>
      </c>
      <c r="AP455" s="92" t="s">
        <v>6896</v>
      </c>
      <c r="AQ455" s="90" t="s">
        <v>6897</v>
      </c>
      <c r="AR455" s="93" t="s">
        <v>6898</v>
      </c>
      <c r="AS455" s="92" t="s">
        <v>5444</v>
      </c>
      <c r="AT455" s="92" t="s">
        <v>90</v>
      </c>
      <c r="AU455" s="92" t="s">
        <v>156</v>
      </c>
      <c r="AV455" s="92">
        <v>40375</v>
      </c>
      <c r="AW455" s="92" t="s">
        <v>8170</v>
      </c>
      <c r="AX455" s="92" t="s">
        <v>6899</v>
      </c>
      <c r="AY455" s="92"/>
      <c r="AZ455" s="127"/>
      <c r="BA455" s="93"/>
      <c r="BB455" s="93"/>
      <c r="BC455" s="92"/>
      <c r="BD455" s="93"/>
      <c r="BE455" s="93"/>
      <c r="BF455" s="67"/>
      <c r="BG455" s="92"/>
      <c r="BH455" s="93"/>
      <c r="BI455" s="93"/>
      <c r="BJ455" s="91"/>
      <c r="BK455" s="92"/>
      <c r="BL455" s="92"/>
      <c r="BM455" s="92"/>
      <c r="BN455" s="64" t="s">
        <v>161</v>
      </c>
      <c r="BO455" s="92"/>
      <c r="BP455" s="92"/>
      <c r="BQ455" s="136"/>
      <c r="BR455" s="93"/>
      <c r="BS455" s="93"/>
      <c r="BT455" s="92"/>
      <c r="BU455" s="93"/>
      <c r="BV455" s="93"/>
      <c r="BW455" s="92"/>
      <c r="BX455" s="93"/>
      <c r="BY455" s="93"/>
      <c r="BZ455" s="92"/>
      <c r="CA455" s="92"/>
      <c r="CB455" s="92"/>
      <c r="CC455" s="92"/>
      <c r="CD455" s="92"/>
      <c r="CE455" s="64" t="s">
        <v>9009</v>
      </c>
      <c r="CF455" s="67" t="s">
        <v>9010</v>
      </c>
      <c r="CG455" s="64" t="s">
        <v>6898</v>
      </c>
      <c r="CH455" s="92" t="s">
        <v>5444</v>
      </c>
      <c r="CI455" s="92" t="s">
        <v>90</v>
      </c>
      <c r="CJ455" s="92" t="s">
        <v>111</v>
      </c>
      <c r="CK455" s="89">
        <v>40375</v>
      </c>
      <c r="CL455" s="64" t="str">
        <f t="shared" ca="1" si="6"/>
        <v>13 Tahun 0 Bulan 10 Hari</v>
      </c>
      <c r="CM45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Muara RT/RW 005/007 Desa/Kelurahan Andir Kecamatan Baleendah Bandung Jawa Barat 40375</v>
      </c>
    </row>
    <row r="456" spans="1:91" ht="24.95" customHeight="1">
      <c r="A456" s="58">
        <f>SUBTOTAL(3,N$8:Table2[[#This Row],[Nama lengkap]])</f>
        <v>449</v>
      </c>
      <c r="B456" s="58" t="s">
        <v>86</v>
      </c>
      <c r="C456" s="58">
        <v>2024</v>
      </c>
      <c r="D456" s="58"/>
      <c r="E456" s="58" t="s">
        <v>4805</v>
      </c>
      <c r="F456" s="58" t="s">
        <v>6987</v>
      </c>
      <c r="G456" s="32" t="s">
        <v>2513</v>
      </c>
      <c r="H456" s="32" t="s">
        <v>2513</v>
      </c>
      <c r="I456" s="90" t="s">
        <v>2513</v>
      </c>
      <c r="J456" s="32"/>
      <c r="K456" s="32"/>
      <c r="L456" s="32"/>
      <c r="M456" s="58">
        <v>24250136</v>
      </c>
      <c r="N456" s="40" t="s">
        <v>6187</v>
      </c>
      <c r="O456" s="40"/>
      <c r="P456" s="32" t="s">
        <v>4816</v>
      </c>
      <c r="Q456" s="32" t="s">
        <v>4817</v>
      </c>
      <c r="R456" s="67" t="s">
        <v>90</v>
      </c>
      <c r="S456" s="69">
        <v>40831</v>
      </c>
      <c r="T456" s="47" t="s">
        <v>92</v>
      </c>
      <c r="U456" s="58">
        <v>3</v>
      </c>
      <c r="V456" s="58">
        <v>4</v>
      </c>
      <c r="W456" s="47" t="s">
        <v>207</v>
      </c>
      <c r="X456" s="64" t="s">
        <v>123</v>
      </c>
      <c r="Y456" s="64" t="s">
        <v>124</v>
      </c>
      <c r="Z456" s="64" t="s">
        <v>4818</v>
      </c>
      <c r="AA456" s="64" t="s">
        <v>96</v>
      </c>
      <c r="AB456" s="64" t="s">
        <v>97</v>
      </c>
      <c r="AC456" s="64" t="s">
        <v>98</v>
      </c>
      <c r="AD456" s="64" t="s">
        <v>98</v>
      </c>
      <c r="AE456" s="67" t="s">
        <v>4819</v>
      </c>
      <c r="AF456" s="67" t="s">
        <v>4820</v>
      </c>
      <c r="AG456" s="64" t="s">
        <v>4820</v>
      </c>
      <c r="AH456" s="64" t="s">
        <v>101</v>
      </c>
      <c r="AI456" s="64" t="s">
        <v>90</v>
      </c>
      <c r="AJ456" s="69">
        <v>26933</v>
      </c>
      <c r="AK456" s="67" t="s">
        <v>4821</v>
      </c>
      <c r="AL456" s="67" t="s">
        <v>289</v>
      </c>
      <c r="AM456" s="64" t="s">
        <v>149</v>
      </c>
      <c r="AN456" s="67">
        <v>891394222891</v>
      </c>
      <c r="AO456" s="67" t="s">
        <v>315</v>
      </c>
      <c r="AP456" s="64" t="s">
        <v>4823</v>
      </c>
      <c r="AQ456" s="32" t="s">
        <v>756</v>
      </c>
      <c r="AR456" s="67" t="s">
        <v>4824</v>
      </c>
      <c r="AS456" s="64" t="s">
        <v>4825</v>
      </c>
      <c r="AT456" s="64" t="s">
        <v>90</v>
      </c>
      <c r="AU456" s="64" t="s">
        <v>111</v>
      </c>
      <c r="AV456" s="64">
        <v>410395</v>
      </c>
      <c r="AW456" s="64" t="s">
        <v>4826</v>
      </c>
      <c r="AX456" s="64" t="s">
        <v>101</v>
      </c>
      <c r="AY456" s="64" t="s">
        <v>90</v>
      </c>
      <c r="AZ456" s="125">
        <v>27549</v>
      </c>
      <c r="BA456" s="67" t="s">
        <v>4827</v>
      </c>
      <c r="BB456" s="67" t="s">
        <v>428</v>
      </c>
      <c r="BC456" s="64" t="s">
        <v>159</v>
      </c>
      <c r="BD456" s="67">
        <v>895606168840</v>
      </c>
      <c r="BE456" s="67" t="s">
        <v>98</v>
      </c>
      <c r="BF456" s="67"/>
      <c r="BG456" s="64" t="s">
        <v>4823</v>
      </c>
      <c r="BH456" s="67" t="s">
        <v>756</v>
      </c>
      <c r="BI456" s="67" t="s">
        <v>4824</v>
      </c>
      <c r="BJ456" s="40" t="s">
        <v>4825</v>
      </c>
      <c r="BK456" s="64" t="s">
        <v>90</v>
      </c>
      <c r="BL456" s="64" t="s">
        <v>111</v>
      </c>
      <c r="BM456" s="64">
        <v>410395</v>
      </c>
      <c r="BN456" s="64" t="s">
        <v>161</v>
      </c>
      <c r="BO456" s="64" t="s">
        <v>4820</v>
      </c>
      <c r="BP456" s="64"/>
      <c r="BQ456" s="135"/>
      <c r="BR456" s="67"/>
      <c r="BS456" s="67"/>
      <c r="BT456" s="64"/>
      <c r="BU456" s="67">
        <v>895606168840</v>
      </c>
      <c r="BV456" s="67"/>
      <c r="BW456" s="64"/>
      <c r="BX456" s="67"/>
      <c r="BY456" s="67"/>
      <c r="BZ456" s="64"/>
      <c r="CA456" s="64"/>
      <c r="CB456" s="64"/>
      <c r="CC456" s="64"/>
      <c r="CD456" s="64"/>
      <c r="CE456" s="64" t="s">
        <v>4823</v>
      </c>
      <c r="CF456" s="67" t="s">
        <v>756</v>
      </c>
      <c r="CG456" s="64" t="s">
        <v>4824</v>
      </c>
      <c r="CH456" s="64" t="s">
        <v>4825</v>
      </c>
      <c r="CI456" s="64" t="s">
        <v>90</v>
      </c>
      <c r="CJ456" s="64" t="s">
        <v>111</v>
      </c>
      <c r="CK456" s="58">
        <v>410395</v>
      </c>
      <c r="CL456" s="64" t="str">
        <f t="shared" ref="CL456:CL519" ca="1" si="7">DATEDIF(S456,NOW(),"Y")&amp;" Tahun " &amp;DATEDIF(S456,NOW(),"YM")&amp;" Bulan " &amp;DATEDIF(S456,NOW(),"MD")&amp;" Hari"</f>
        <v>14 Tahun 3 Bulan 8 Hari</v>
      </c>
      <c r="CM45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Babakan Stasion Cicalengka RT/RW 02/09 Desa/Kelurahan Panenjoan Kecamatan Cicalengka Bandung Jawa Barat 410395</v>
      </c>
    </row>
    <row r="457" spans="1:91" ht="24.95" customHeight="1">
      <c r="A457" s="58">
        <f>SUBTOTAL(3,N$8:Table2[[#This Row],[Nama lengkap]])</f>
        <v>450</v>
      </c>
      <c r="B457" s="89" t="s">
        <v>86</v>
      </c>
      <c r="C457" s="89">
        <v>2025</v>
      </c>
      <c r="D457" s="89"/>
      <c r="E457" s="89" t="s">
        <v>4805</v>
      </c>
      <c r="F457" s="58" t="s">
        <v>6987</v>
      </c>
      <c r="G457" s="32" t="s">
        <v>2513</v>
      </c>
      <c r="H457" s="32" t="s">
        <v>2513</v>
      </c>
      <c r="I457" s="90" t="s">
        <v>2513</v>
      </c>
      <c r="J457" s="90"/>
      <c r="K457" s="90"/>
      <c r="L457" s="90"/>
      <c r="M457" s="89">
        <v>25260104</v>
      </c>
      <c r="N457" s="91" t="s">
        <v>6882</v>
      </c>
      <c r="O457" s="91"/>
      <c r="P457" s="90" t="s">
        <v>8946</v>
      </c>
      <c r="Q457" s="90" t="s">
        <v>6883</v>
      </c>
      <c r="R457" s="90" t="s">
        <v>122</v>
      </c>
      <c r="S457" s="101">
        <v>41294</v>
      </c>
      <c r="T457" s="47" t="s">
        <v>92</v>
      </c>
      <c r="U457" s="89">
        <v>2</v>
      </c>
      <c r="V457" s="89">
        <v>2</v>
      </c>
      <c r="W457" s="47" t="s">
        <v>207</v>
      </c>
      <c r="X457" s="92" t="s">
        <v>123</v>
      </c>
      <c r="Y457" s="92" t="s">
        <v>94</v>
      </c>
      <c r="Z457" s="92" t="s">
        <v>819</v>
      </c>
      <c r="AA457" s="92" t="s">
        <v>6451</v>
      </c>
      <c r="AB457" s="92" t="s">
        <v>97</v>
      </c>
      <c r="AC457" s="92" t="s">
        <v>98</v>
      </c>
      <c r="AD457" s="92" t="s">
        <v>98</v>
      </c>
      <c r="AE457" s="93" t="s">
        <v>9043</v>
      </c>
      <c r="AF457" s="93" t="s">
        <v>6884</v>
      </c>
      <c r="AG457" s="92" t="s">
        <v>6884</v>
      </c>
      <c r="AH457" s="92" t="s">
        <v>101</v>
      </c>
      <c r="AI457" s="92" t="s">
        <v>122</v>
      </c>
      <c r="AJ457" s="101">
        <v>30324</v>
      </c>
      <c r="AK457" s="93" t="s">
        <v>9044</v>
      </c>
      <c r="AL457" s="93" t="s">
        <v>6885</v>
      </c>
      <c r="AM457" s="92" t="s">
        <v>128</v>
      </c>
      <c r="AN457" s="93">
        <v>81312333162</v>
      </c>
      <c r="AO457" s="93" t="s">
        <v>266</v>
      </c>
      <c r="AP457" s="92" t="s">
        <v>6886</v>
      </c>
      <c r="AQ457" s="90">
        <v>45780</v>
      </c>
      <c r="AR457" s="93" t="s">
        <v>6887</v>
      </c>
      <c r="AS457" s="92" t="s">
        <v>134</v>
      </c>
      <c r="AT457" s="92" t="s">
        <v>122</v>
      </c>
      <c r="AU457" s="92" t="s">
        <v>111</v>
      </c>
      <c r="AV457" s="92">
        <v>45322</v>
      </c>
      <c r="AW457" s="92" t="s">
        <v>6888</v>
      </c>
      <c r="AX457" s="92" t="s">
        <v>101</v>
      </c>
      <c r="AY457" s="92" t="s">
        <v>6472</v>
      </c>
      <c r="AZ457" s="127">
        <v>29811</v>
      </c>
      <c r="BA457" s="93" t="s">
        <v>6889</v>
      </c>
      <c r="BB457" s="93" t="s">
        <v>819</v>
      </c>
      <c r="BC457" s="92" t="s">
        <v>128</v>
      </c>
      <c r="BD457" s="93">
        <v>85320141753</v>
      </c>
      <c r="BE457" s="93" t="s">
        <v>130</v>
      </c>
      <c r="BF457" s="67" t="s">
        <v>6448</v>
      </c>
      <c r="BG457" s="92"/>
      <c r="BH457" s="93"/>
      <c r="BI457" s="93"/>
      <c r="BJ457" s="91"/>
      <c r="BK457" s="92"/>
      <c r="BL457" s="92"/>
      <c r="BM457" s="92"/>
      <c r="BN457" s="64" t="s">
        <v>161</v>
      </c>
      <c r="BO457" s="92"/>
      <c r="BP457" s="92"/>
      <c r="BQ457" s="136"/>
      <c r="BR457" s="93"/>
      <c r="BS457" s="93"/>
      <c r="BT457" s="92"/>
      <c r="BU457" s="93"/>
      <c r="BV457" s="93"/>
      <c r="BW457" s="92"/>
      <c r="BX457" s="93"/>
      <c r="BY457" s="93"/>
      <c r="BZ457" s="92"/>
      <c r="CA457" s="92"/>
      <c r="CB457" s="92"/>
      <c r="CC457" s="92"/>
      <c r="CD457" s="92"/>
      <c r="CE457" s="64" t="s">
        <v>6886</v>
      </c>
      <c r="CF457" s="67" t="s">
        <v>828</v>
      </c>
      <c r="CG457" s="64" t="s">
        <v>7067</v>
      </c>
      <c r="CH457" s="92" t="s">
        <v>134</v>
      </c>
      <c r="CI457" s="92" t="s">
        <v>122</v>
      </c>
      <c r="CJ457" s="92" t="s">
        <v>111</v>
      </c>
      <c r="CK457" s="89">
        <v>45322</v>
      </c>
      <c r="CL457" s="64" t="str">
        <f t="shared" ca="1" si="7"/>
        <v>13 Tahun 0 Bulan 3 Hari</v>
      </c>
      <c r="CM45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Lingk. Pasar Inpres RT/RW 003/005 Desa/Kelurahan Kotakaler Kecamatan Sumedang Utara Sumedang Jawa Barat 45322</v>
      </c>
    </row>
    <row r="458" spans="1:91" ht="24.95" customHeight="1">
      <c r="A458" s="58">
        <f>SUBTOTAL(3,N$8:Table2[[#This Row],[Nama lengkap]])</f>
        <v>451</v>
      </c>
      <c r="B458" s="89" t="s">
        <v>86</v>
      </c>
      <c r="C458" s="89">
        <v>2025</v>
      </c>
      <c r="D458" s="89"/>
      <c r="E458" s="89" t="s">
        <v>4805</v>
      </c>
      <c r="F458" s="58" t="s">
        <v>6987</v>
      </c>
      <c r="G458" s="32" t="s">
        <v>2513</v>
      </c>
      <c r="H458" s="32" t="s">
        <v>2513</v>
      </c>
      <c r="I458" s="90" t="s">
        <v>2513</v>
      </c>
      <c r="J458" s="32"/>
      <c r="K458" s="32"/>
      <c r="L458" s="32"/>
      <c r="M458" s="89">
        <v>25260093</v>
      </c>
      <c r="N458" s="91" t="s">
        <v>6862</v>
      </c>
      <c r="O458" s="91"/>
      <c r="P458" s="90">
        <v>3124986589</v>
      </c>
      <c r="Q458" s="90" t="s">
        <v>6863</v>
      </c>
      <c r="R458" s="90" t="s">
        <v>90</v>
      </c>
      <c r="S458" s="101">
        <v>41030</v>
      </c>
      <c r="T458" s="47" t="s">
        <v>92</v>
      </c>
      <c r="U458" s="89">
        <v>1</v>
      </c>
      <c r="V458" s="89">
        <v>1</v>
      </c>
      <c r="W458" s="47" t="s">
        <v>207</v>
      </c>
      <c r="X458" s="92" t="s">
        <v>303</v>
      </c>
      <c r="Y458" s="92" t="s">
        <v>6790</v>
      </c>
      <c r="Z458" s="92" t="s">
        <v>255</v>
      </c>
      <c r="AA458" s="92" t="s">
        <v>6451</v>
      </c>
      <c r="AB458" s="92" t="s">
        <v>97</v>
      </c>
      <c r="AC458" s="92" t="s">
        <v>98</v>
      </c>
      <c r="AD458" s="92" t="s">
        <v>98</v>
      </c>
      <c r="AE458" s="93" t="s">
        <v>9045</v>
      </c>
      <c r="AF458" s="93" t="s">
        <v>8678</v>
      </c>
      <c r="AG458" s="92" t="s">
        <v>8678</v>
      </c>
      <c r="AH458" s="92" t="s">
        <v>101</v>
      </c>
      <c r="AI458" s="92" t="s">
        <v>90</v>
      </c>
      <c r="AJ458" s="101">
        <v>32864</v>
      </c>
      <c r="AK458" s="93" t="s">
        <v>6864</v>
      </c>
      <c r="AL458" s="93" t="s">
        <v>8251</v>
      </c>
      <c r="AM458" s="92" t="s">
        <v>149</v>
      </c>
      <c r="AN458" s="93">
        <v>88229350903</v>
      </c>
      <c r="AO458" s="93" t="s">
        <v>117</v>
      </c>
      <c r="AP458" s="92" t="s">
        <v>6865</v>
      </c>
      <c r="AQ458" s="90">
        <v>45748</v>
      </c>
      <c r="AR458" s="93" t="s">
        <v>6866</v>
      </c>
      <c r="AS458" s="92" t="s">
        <v>6611</v>
      </c>
      <c r="AT458" s="92" t="s">
        <v>155</v>
      </c>
      <c r="AU458" s="92" t="s">
        <v>111</v>
      </c>
      <c r="AV458" s="92">
        <v>40552</v>
      </c>
      <c r="AW458" s="92" t="s">
        <v>8171</v>
      </c>
      <c r="AX458" s="92" t="s">
        <v>101</v>
      </c>
      <c r="AY458" s="92" t="s">
        <v>90</v>
      </c>
      <c r="AZ458" s="127">
        <v>32736</v>
      </c>
      <c r="BA458" s="93" t="s">
        <v>6867</v>
      </c>
      <c r="BB458" s="93" t="s">
        <v>428</v>
      </c>
      <c r="BC458" s="92" t="s">
        <v>149</v>
      </c>
      <c r="BD458" s="93">
        <v>88971547047</v>
      </c>
      <c r="BE458" s="93" t="s">
        <v>266</v>
      </c>
      <c r="BF458" s="67" t="s">
        <v>6448</v>
      </c>
      <c r="BG458" s="92"/>
      <c r="BH458" s="93"/>
      <c r="BI458" s="93"/>
      <c r="BJ458" s="91"/>
      <c r="BK458" s="92"/>
      <c r="BL458" s="92"/>
      <c r="BM458" s="92"/>
      <c r="BN458" s="64" t="s">
        <v>161</v>
      </c>
      <c r="BO458" s="92"/>
      <c r="BP458" s="92"/>
      <c r="BQ458" s="136"/>
      <c r="BR458" s="93"/>
      <c r="BS458" s="93"/>
      <c r="BT458" s="92"/>
      <c r="BU458" s="93"/>
      <c r="BV458" s="93"/>
      <c r="BW458" s="92"/>
      <c r="BX458" s="93"/>
      <c r="BY458" s="93"/>
      <c r="BZ458" s="92"/>
      <c r="CA458" s="92"/>
      <c r="CB458" s="92"/>
      <c r="CC458" s="92"/>
      <c r="CD458" s="92"/>
      <c r="CE458" s="64" t="s">
        <v>9047</v>
      </c>
      <c r="CF458" s="67" t="s">
        <v>9046</v>
      </c>
      <c r="CG458" s="64" t="s">
        <v>7171</v>
      </c>
      <c r="CH458" s="92" t="s">
        <v>6611</v>
      </c>
      <c r="CI458" s="92" t="s">
        <v>155</v>
      </c>
      <c r="CJ458" s="92" t="s">
        <v>111</v>
      </c>
      <c r="CK458" s="89">
        <v>40552</v>
      </c>
      <c r="CL458" s="64" t="str">
        <f t="shared" ca="1" si="7"/>
        <v>13 Tahun 8 Bulan 22 Hari</v>
      </c>
      <c r="CM45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Jln. Bunisari No.35A RT/RW 001/004 Desa/Kelurahan Gadobangkong Kecamatan Ngamprah Bandung Barat Jawa Barat 40552</v>
      </c>
    </row>
    <row r="459" spans="1:91" ht="24.95" customHeight="1">
      <c r="A459" s="58">
        <f>SUBTOTAL(3,N$8:Table2[[#This Row],[Nama lengkap]])</f>
        <v>452</v>
      </c>
      <c r="B459" s="89" t="s">
        <v>86</v>
      </c>
      <c r="C459" s="89">
        <v>2025</v>
      </c>
      <c r="D459" s="89"/>
      <c r="E459" s="89" t="s">
        <v>4805</v>
      </c>
      <c r="F459" s="58" t="s">
        <v>6987</v>
      </c>
      <c r="G459" s="166" t="s">
        <v>8947</v>
      </c>
      <c r="H459" s="32"/>
      <c r="I459" s="90"/>
      <c r="J459" s="90"/>
      <c r="K459" s="90"/>
      <c r="L459" s="90"/>
      <c r="M459" s="89">
        <v>25260118</v>
      </c>
      <c r="N459" s="91" t="s">
        <v>6851</v>
      </c>
      <c r="O459" s="91"/>
      <c r="P459" s="90">
        <v>35411378</v>
      </c>
      <c r="Q459" s="90" t="s">
        <v>6852</v>
      </c>
      <c r="R459" s="90" t="s">
        <v>456</v>
      </c>
      <c r="S459" s="101">
        <v>40067</v>
      </c>
      <c r="T459" s="47" t="s">
        <v>92</v>
      </c>
      <c r="U459" s="89">
        <v>2</v>
      </c>
      <c r="V459" s="89">
        <v>2</v>
      </c>
      <c r="W459" s="47" t="s">
        <v>207</v>
      </c>
      <c r="X459" s="92" t="s">
        <v>93</v>
      </c>
      <c r="Y459" s="92" t="s">
        <v>94</v>
      </c>
      <c r="Z459" s="92" t="s">
        <v>6853</v>
      </c>
      <c r="AA459" s="92" t="s">
        <v>6451</v>
      </c>
      <c r="AB459" s="92" t="s">
        <v>97</v>
      </c>
      <c r="AC459" s="92" t="s">
        <v>98</v>
      </c>
      <c r="AD459" s="92" t="s">
        <v>98</v>
      </c>
      <c r="AE459" s="93">
        <v>3277011007070000</v>
      </c>
      <c r="AF459" s="93" t="s">
        <v>6854</v>
      </c>
      <c r="AG459" s="92" t="s">
        <v>6854</v>
      </c>
      <c r="AH459" s="92" t="s">
        <v>101</v>
      </c>
      <c r="AI459" s="92" t="s">
        <v>456</v>
      </c>
      <c r="AJ459" s="101">
        <v>27967</v>
      </c>
      <c r="AK459" s="93" t="s">
        <v>6855</v>
      </c>
      <c r="AL459" s="93" t="s">
        <v>7782</v>
      </c>
      <c r="AM459" s="92" t="s">
        <v>6797</v>
      </c>
      <c r="AN459" s="93" t="s">
        <v>6856</v>
      </c>
      <c r="AO459" s="93" t="s">
        <v>106</v>
      </c>
      <c r="AP459" s="92" t="s">
        <v>6857</v>
      </c>
      <c r="AQ459" s="90">
        <v>45901</v>
      </c>
      <c r="AR459" s="93" t="s">
        <v>6858</v>
      </c>
      <c r="AS459" s="92" t="s">
        <v>6859</v>
      </c>
      <c r="AT459" s="92" t="s">
        <v>456</v>
      </c>
      <c r="AU459" s="92" t="s">
        <v>111</v>
      </c>
      <c r="AV459" s="92">
        <v>40532</v>
      </c>
      <c r="AW459" s="92" t="s">
        <v>6860</v>
      </c>
      <c r="AX459" s="92" t="s">
        <v>101</v>
      </c>
      <c r="AY459" s="92" t="s">
        <v>90</v>
      </c>
      <c r="AZ459" s="127">
        <v>29445</v>
      </c>
      <c r="BA459" s="93" t="s">
        <v>6861</v>
      </c>
      <c r="BB459" s="93" t="s">
        <v>845</v>
      </c>
      <c r="BC459" s="92" t="s">
        <v>128</v>
      </c>
      <c r="BD459" s="93">
        <v>85294300070</v>
      </c>
      <c r="BE459" s="93" t="s">
        <v>266</v>
      </c>
      <c r="BF459" s="67" t="s">
        <v>6448</v>
      </c>
      <c r="BG459" s="92"/>
      <c r="BH459" s="93"/>
      <c r="BI459" s="93"/>
      <c r="BJ459" s="91"/>
      <c r="BK459" s="92"/>
      <c r="BL459" s="92"/>
      <c r="BM459" s="92"/>
      <c r="BN459" s="64" t="s">
        <v>161</v>
      </c>
      <c r="BO459" s="92"/>
      <c r="BP459" s="92"/>
      <c r="BQ459" s="136"/>
      <c r="BR459" s="93"/>
      <c r="BS459" s="93"/>
      <c r="BT459" s="92"/>
      <c r="BU459" s="93"/>
      <c r="BV459" s="93"/>
      <c r="BW459" s="92"/>
      <c r="BX459" s="93"/>
      <c r="BY459" s="93"/>
      <c r="BZ459" s="92"/>
      <c r="CA459" s="92"/>
      <c r="CB459" s="92"/>
      <c r="CC459" s="92"/>
      <c r="CD459" s="92"/>
      <c r="CE459" s="64" t="s">
        <v>6857</v>
      </c>
      <c r="CF459" s="67">
        <v>45901</v>
      </c>
      <c r="CG459" s="64" t="s">
        <v>6858</v>
      </c>
      <c r="CH459" s="92" t="s">
        <v>6859</v>
      </c>
      <c r="CI459" s="92" t="s">
        <v>456</v>
      </c>
      <c r="CJ459" s="92" t="s">
        <v>111</v>
      </c>
      <c r="CK459" s="89">
        <v>40532</v>
      </c>
      <c r="CL459" s="64" t="str">
        <f t="shared" ca="1" si="7"/>
        <v>16 Tahun 4 Bulan 12 Hari</v>
      </c>
      <c r="CM45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Kerkof No. 93 RT/RW 45901 Desa/Kelurahan Leuwigakah Kecamatan Cimahi Selatan Cimahi Jawa Barat 40532</v>
      </c>
    </row>
    <row r="460" spans="1:91" ht="24.95" customHeight="1">
      <c r="A460" s="58">
        <f>SUBTOTAL(3,N$8:Table2[[#This Row],[Nama lengkap]])</f>
        <v>453</v>
      </c>
      <c r="B460" s="89" t="s">
        <v>86</v>
      </c>
      <c r="C460" s="89">
        <v>2025</v>
      </c>
      <c r="D460" s="89"/>
      <c r="E460" s="89" t="s">
        <v>4805</v>
      </c>
      <c r="F460" s="58" t="s">
        <v>6987</v>
      </c>
      <c r="G460" s="32" t="s">
        <v>2513</v>
      </c>
      <c r="H460" s="32" t="s">
        <v>2513</v>
      </c>
      <c r="I460" s="90" t="s">
        <v>2513</v>
      </c>
      <c r="J460" s="90"/>
      <c r="K460" s="90"/>
      <c r="L460" s="90"/>
      <c r="M460" s="89">
        <v>25260115</v>
      </c>
      <c r="N460" s="91" t="s">
        <v>6693</v>
      </c>
      <c r="O460" s="91"/>
      <c r="P460" s="90" t="s">
        <v>8948</v>
      </c>
      <c r="Q460" s="90" t="s">
        <v>6694</v>
      </c>
      <c r="R460" s="90" t="s">
        <v>456</v>
      </c>
      <c r="S460" s="101">
        <v>41237</v>
      </c>
      <c r="T460" s="47" t="s">
        <v>92</v>
      </c>
      <c r="U460" s="89">
        <v>3</v>
      </c>
      <c r="V460" s="89">
        <v>1</v>
      </c>
      <c r="W460" s="47" t="s">
        <v>207</v>
      </c>
      <c r="X460" s="92" t="s">
        <v>303</v>
      </c>
      <c r="Y460" s="92" t="s">
        <v>6695</v>
      </c>
      <c r="Z460" s="92" t="s">
        <v>255</v>
      </c>
      <c r="AA460" s="92" t="s">
        <v>6451</v>
      </c>
      <c r="AB460" s="92" t="s">
        <v>97</v>
      </c>
      <c r="AC460" s="92" t="s">
        <v>98</v>
      </c>
      <c r="AD460" s="92" t="s">
        <v>98</v>
      </c>
      <c r="AE460" s="93" t="s">
        <v>9048</v>
      </c>
      <c r="AF460" s="93" t="s">
        <v>6696</v>
      </c>
      <c r="AG460" s="92" t="s">
        <v>6696</v>
      </c>
      <c r="AH460" s="92" t="s">
        <v>101</v>
      </c>
      <c r="AI460" s="92" t="s">
        <v>90</v>
      </c>
      <c r="AJ460" s="101">
        <v>32102</v>
      </c>
      <c r="AK460" s="93" t="s">
        <v>6697</v>
      </c>
      <c r="AL460" s="93" t="s">
        <v>289</v>
      </c>
      <c r="AM460" s="92" t="s">
        <v>149</v>
      </c>
      <c r="AN460" s="93">
        <v>85795599425</v>
      </c>
      <c r="AO460" s="93" t="s">
        <v>266</v>
      </c>
      <c r="AP460" s="92" t="s">
        <v>6698</v>
      </c>
      <c r="AQ460" s="90">
        <v>45905</v>
      </c>
      <c r="AR460" s="93" t="s">
        <v>6699</v>
      </c>
      <c r="AS460" s="92" t="s">
        <v>6700</v>
      </c>
      <c r="AT460" s="92" t="s">
        <v>456</v>
      </c>
      <c r="AU460" s="92" t="s">
        <v>318</v>
      </c>
      <c r="AV460" s="92">
        <v>40534</v>
      </c>
      <c r="AW460" s="92" t="s">
        <v>9049</v>
      </c>
      <c r="AX460" s="92" t="s">
        <v>101</v>
      </c>
      <c r="AY460" s="92" t="s">
        <v>90</v>
      </c>
      <c r="AZ460" s="127">
        <v>33044</v>
      </c>
      <c r="BA460" s="93" t="s">
        <v>6701</v>
      </c>
      <c r="BB460" s="93" t="s">
        <v>428</v>
      </c>
      <c r="BC460" s="92" t="s">
        <v>149</v>
      </c>
      <c r="BD460" s="93">
        <v>85798580109</v>
      </c>
      <c r="BE460" s="93" t="s">
        <v>98</v>
      </c>
      <c r="BF460" s="67" t="s">
        <v>6448</v>
      </c>
      <c r="BG460" s="92"/>
      <c r="BH460" s="93"/>
      <c r="BI460" s="93"/>
      <c r="BJ460" s="91"/>
      <c r="BK460" s="92"/>
      <c r="BL460" s="92"/>
      <c r="BM460" s="92"/>
      <c r="BN460" s="64" t="s">
        <v>161</v>
      </c>
      <c r="BO460" s="92"/>
      <c r="BP460" s="92"/>
      <c r="BQ460" s="136"/>
      <c r="BR460" s="93"/>
      <c r="BS460" s="93"/>
      <c r="BT460" s="92"/>
      <c r="BU460" s="93"/>
      <c r="BV460" s="93"/>
      <c r="BW460" s="92"/>
      <c r="BX460" s="93"/>
      <c r="BY460" s="93"/>
      <c r="BZ460" s="92"/>
      <c r="CA460" s="92"/>
      <c r="CB460" s="92"/>
      <c r="CC460" s="92"/>
      <c r="CD460" s="92"/>
      <c r="CE460" s="64" t="s">
        <v>9050</v>
      </c>
      <c r="CF460" s="67" t="s">
        <v>2282</v>
      </c>
      <c r="CG460" s="64" t="s">
        <v>6699</v>
      </c>
      <c r="CH460" s="92" t="s">
        <v>6859</v>
      </c>
      <c r="CI460" s="92" t="s">
        <v>456</v>
      </c>
      <c r="CJ460" s="92" t="s">
        <v>111</v>
      </c>
      <c r="CK460" s="89">
        <v>40534</v>
      </c>
      <c r="CL460" s="64" t="str">
        <f t="shared" ca="1" si="7"/>
        <v>13 Tahun 1 Bulan 30 Hari</v>
      </c>
      <c r="CM46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Gg. Bumi Sari II Blok Cisegel RT/RW 005/009 Desa/Kelurahan Melong Kecamatan Cimahi Selatan Cimahi Jawa Barat 40534</v>
      </c>
    </row>
    <row r="461" spans="1:91" ht="24.95" customHeight="1">
      <c r="A461" s="58">
        <f>SUBTOTAL(3,N$8:Table2[[#This Row],[Nama lengkap]])</f>
        <v>454</v>
      </c>
      <c r="B461" s="89" t="s">
        <v>86</v>
      </c>
      <c r="C461" s="89">
        <v>2025</v>
      </c>
      <c r="D461" s="89"/>
      <c r="E461" s="89" t="s">
        <v>4805</v>
      </c>
      <c r="F461" s="58" t="s">
        <v>6987</v>
      </c>
      <c r="G461" s="166" t="s">
        <v>8949</v>
      </c>
      <c r="H461" s="32"/>
      <c r="I461" s="90"/>
      <c r="J461" s="90"/>
      <c r="K461" s="90"/>
      <c r="L461" s="90"/>
      <c r="M461" s="89">
        <v>25260102</v>
      </c>
      <c r="N461" s="91" t="s">
        <v>6572</v>
      </c>
      <c r="O461" s="91"/>
      <c r="P461" s="90" t="s">
        <v>6573</v>
      </c>
      <c r="Q461" s="90" t="s">
        <v>6574</v>
      </c>
      <c r="R461" s="90" t="s">
        <v>90</v>
      </c>
      <c r="S461" s="101">
        <v>41132</v>
      </c>
      <c r="T461" s="47" t="s">
        <v>92</v>
      </c>
      <c r="U461" s="89" t="s">
        <v>6575</v>
      </c>
      <c r="V461" s="89">
        <v>2</v>
      </c>
      <c r="W461" s="47" t="s">
        <v>207</v>
      </c>
      <c r="X461" s="92" t="s">
        <v>123</v>
      </c>
      <c r="Y461" s="92" t="s">
        <v>598</v>
      </c>
      <c r="Z461" s="92" t="s">
        <v>255</v>
      </c>
      <c r="AA461" s="92" t="s">
        <v>6451</v>
      </c>
      <c r="AB461" s="92" t="s">
        <v>97</v>
      </c>
      <c r="AC461" s="92" t="s">
        <v>98</v>
      </c>
      <c r="AD461" s="92" t="s">
        <v>98</v>
      </c>
      <c r="AE461" s="93" t="s">
        <v>6576</v>
      </c>
      <c r="AF461" s="93" t="s">
        <v>6577</v>
      </c>
      <c r="AG461" s="92" t="s">
        <v>6577</v>
      </c>
      <c r="AH461" s="92" t="s">
        <v>101</v>
      </c>
      <c r="AI461" s="92" t="s">
        <v>90</v>
      </c>
      <c r="AJ461" s="101">
        <v>31641</v>
      </c>
      <c r="AK461" s="93" t="s">
        <v>6578</v>
      </c>
      <c r="AL461" s="93" t="s">
        <v>114</v>
      </c>
      <c r="AM461" s="92" t="s">
        <v>96</v>
      </c>
      <c r="AN461" s="93" t="s">
        <v>6579</v>
      </c>
      <c r="AO461" s="93" t="s">
        <v>130</v>
      </c>
      <c r="AP461" s="92" t="s">
        <v>6580</v>
      </c>
      <c r="AQ461" s="90" t="s">
        <v>6554</v>
      </c>
      <c r="AR461" s="93" t="s">
        <v>6581</v>
      </c>
      <c r="AS461" s="92" t="s">
        <v>6582</v>
      </c>
      <c r="AT461" s="92" t="s">
        <v>644</v>
      </c>
      <c r="AU461" s="92" t="s">
        <v>111</v>
      </c>
      <c r="AV461" s="92" t="s">
        <v>6583</v>
      </c>
      <c r="AW461" s="92" t="s">
        <v>6584</v>
      </c>
      <c r="AX461" s="92" t="s">
        <v>101</v>
      </c>
      <c r="AY461" s="92" t="s">
        <v>90</v>
      </c>
      <c r="AZ461" s="127">
        <v>30621</v>
      </c>
      <c r="BA461" s="93" t="s">
        <v>6585</v>
      </c>
      <c r="BB461" s="93" t="s">
        <v>428</v>
      </c>
      <c r="BC461" s="92" t="s">
        <v>149</v>
      </c>
      <c r="BD461" s="93" t="s">
        <v>6586</v>
      </c>
      <c r="BE461" s="93" t="s">
        <v>98</v>
      </c>
      <c r="BF461" s="67" t="s">
        <v>6448</v>
      </c>
      <c r="BG461" s="92"/>
      <c r="BH461" s="93"/>
      <c r="BI461" s="93"/>
      <c r="BJ461" s="91"/>
      <c r="BK461" s="92"/>
      <c r="BL461" s="92"/>
      <c r="BM461" s="92"/>
      <c r="BN461" s="64" t="s">
        <v>161</v>
      </c>
      <c r="BO461" s="92"/>
      <c r="BP461" s="92"/>
      <c r="BQ461" s="136"/>
      <c r="BR461" s="93"/>
      <c r="BS461" s="93"/>
      <c r="BT461" s="92"/>
      <c r="BU461" s="93"/>
      <c r="BV461" s="93"/>
      <c r="BW461" s="92"/>
      <c r="BX461" s="93"/>
      <c r="BY461" s="93"/>
      <c r="BZ461" s="92"/>
      <c r="CA461" s="92"/>
      <c r="CB461" s="92"/>
      <c r="CC461" s="92"/>
      <c r="CD461" s="92"/>
      <c r="CE461" s="64" t="s">
        <v>7691</v>
      </c>
      <c r="CF461" s="67" t="s">
        <v>6554</v>
      </c>
      <c r="CG461" s="64" t="s">
        <v>6581</v>
      </c>
      <c r="CH461" s="92" t="s">
        <v>6582</v>
      </c>
      <c r="CI461" s="92" t="s">
        <v>644</v>
      </c>
      <c r="CJ461" s="92" t="s">
        <v>111</v>
      </c>
      <c r="CK461" s="89" t="s">
        <v>6583</v>
      </c>
      <c r="CL461" s="64" t="str">
        <f t="shared" ca="1" si="7"/>
        <v>13 Tahun 5 Bulan 12 Hari</v>
      </c>
      <c r="CM46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Jln.Bojong Raya Gg.H.Sanusi RT/RW 09/01 Desa/Kelurahan Kelurahan Caringin Kecamatan Kecamatan Bandung Kulon Kota Bandung Jawa Barat 40212</v>
      </c>
    </row>
    <row r="462" spans="1:91" ht="24.95" customHeight="1">
      <c r="A462" s="58">
        <f>SUBTOTAL(3,N$8:Table2[[#This Row],[Nama lengkap]])</f>
        <v>455</v>
      </c>
      <c r="B462" s="89" t="s">
        <v>86</v>
      </c>
      <c r="C462" s="89">
        <v>2025</v>
      </c>
      <c r="D462" s="89"/>
      <c r="E462" s="89" t="s">
        <v>4805</v>
      </c>
      <c r="F462" s="58" t="s">
        <v>6987</v>
      </c>
      <c r="G462" s="166" t="s">
        <v>8950</v>
      </c>
      <c r="H462" s="32"/>
      <c r="I462" s="90"/>
      <c r="J462" s="90"/>
      <c r="K462" s="90"/>
      <c r="L462" s="90"/>
      <c r="M462" s="89">
        <v>25260108</v>
      </c>
      <c r="N462" s="91" t="s">
        <v>6587</v>
      </c>
      <c r="O462" s="91"/>
      <c r="P462" s="90" t="s">
        <v>6588</v>
      </c>
      <c r="Q462" s="90" t="s">
        <v>6589</v>
      </c>
      <c r="R462" s="90" t="s">
        <v>90</v>
      </c>
      <c r="S462" s="101">
        <v>41144</v>
      </c>
      <c r="T462" s="47" t="s">
        <v>92</v>
      </c>
      <c r="U462" s="89">
        <v>2</v>
      </c>
      <c r="V462" s="89">
        <v>1</v>
      </c>
      <c r="W462" s="47" t="s">
        <v>207</v>
      </c>
      <c r="X462" s="92" t="s">
        <v>123</v>
      </c>
      <c r="Y462" s="92" t="s">
        <v>6590</v>
      </c>
      <c r="Z462" s="92" t="s">
        <v>6591</v>
      </c>
      <c r="AA462" s="92" t="s">
        <v>6451</v>
      </c>
      <c r="AB462" s="92" t="s">
        <v>97</v>
      </c>
      <c r="AC462" s="92" t="s">
        <v>98</v>
      </c>
      <c r="AD462" s="92" t="s">
        <v>98</v>
      </c>
      <c r="AE462" s="93" t="s">
        <v>6592</v>
      </c>
      <c r="AF462" s="93" t="s">
        <v>6593</v>
      </c>
      <c r="AG462" s="92" t="s">
        <v>6593</v>
      </c>
      <c r="AH462" s="92" t="s">
        <v>101</v>
      </c>
      <c r="AI462" s="92" t="s">
        <v>6593</v>
      </c>
      <c r="AJ462" s="101">
        <v>31068</v>
      </c>
      <c r="AK462" s="93" t="s">
        <v>6594</v>
      </c>
      <c r="AL462" s="93" t="s">
        <v>602</v>
      </c>
      <c r="AM462" s="92" t="s">
        <v>149</v>
      </c>
      <c r="AN462" s="93" t="s">
        <v>6595</v>
      </c>
      <c r="AO462" s="93" t="s">
        <v>130</v>
      </c>
      <c r="AP462" s="92" t="s">
        <v>6596</v>
      </c>
      <c r="AQ462" s="90" t="s">
        <v>6597</v>
      </c>
      <c r="AR462" s="93" t="s">
        <v>6598</v>
      </c>
      <c r="AS462" s="92" t="s">
        <v>6599</v>
      </c>
      <c r="AT462" s="92" t="s">
        <v>6600</v>
      </c>
      <c r="AU462" s="92" t="s">
        <v>630</v>
      </c>
      <c r="AV462" s="92">
        <v>40379</v>
      </c>
      <c r="AW462" s="92" t="s">
        <v>8172</v>
      </c>
      <c r="AX462" s="92" t="s">
        <v>101</v>
      </c>
      <c r="AY462" s="92" t="s">
        <v>90</v>
      </c>
      <c r="AZ462" s="127">
        <v>31353</v>
      </c>
      <c r="BA462" s="93" t="s">
        <v>6601</v>
      </c>
      <c r="BB462" s="93" t="s">
        <v>428</v>
      </c>
      <c r="BC462" s="92" t="s">
        <v>149</v>
      </c>
      <c r="BD462" s="93" t="s">
        <v>6602</v>
      </c>
      <c r="BE462" s="93" t="s">
        <v>98</v>
      </c>
      <c r="BF462" s="67" t="s">
        <v>6448</v>
      </c>
      <c r="BG462" s="92"/>
      <c r="BH462" s="93"/>
      <c r="BI462" s="93"/>
      <c r="BJ462" s="91"/>
      <c r="BK462" s="92"/>
      <c r="BL462" s="92"/>
      <c r="BM462" s="92"/>
      <c r="BN462" s="64" t="s">
        <v>161</v>
      </c>
      <c r="BO462" s="92"/>
      <c r="BP462" s="92"/>
      <c r="BQ462" s="136"/>
      <c r="BR462" s="93"/>
      <c r="BS462" s="93"/>
      <c r="BT462" s="92"/>
      <c r="BU462" s="93"/>
      <c r="BV462" s="93"/>
      <c r="BW462" s="92"/>
      <c r="BX462" s="93"/>
      <c r="BY462" s="93"/>
      <c r="BZ462" s="92"/>
      <c r="CA462" s="92"/>
      <c r="CB462" s="92"/>
      <c r="CC462" s="92"/>
      <c r="CD462" s="92"/>
      <c r="CE462" s="64" t="s">
        <v>9001</v>
      </c>
      <c r="CF462" s="67" t="s">
        <v>6597</v>
      </c>
      <c r="CG462" s="64" t="s">
        <v>7086</v>
      </c>
      <c r="CH462" s="92" t="s">
        <v>4835</v>
      </c>
      <c r="CI462" s="92" t="s">
        <v>90</v>
      </c>
      <c r="CJ462" s="92" t="s">
        <v>111</v>
      </c>
      <c r="CK462" s="89">
        <v>40379</v>
      </c>
      <c r="CL462" s="64" t="str">
        <f t="shared" ca="1" si="7"/>
        <v>13 Tahun 5 Bulan 0 Hari</v>
      </c>
      <c r="CM46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Kampung Kebon Kalapa RT/RW 3/3 Desa/Kelurahan Batukarut Kecamatan Arjasari Bandung Jawa Barat 40379</v>
      </c>
    </row>
    <row r="463" spans="1:91" ht="24.95" customHeight="1">
      <c r="A463" s="58">
        <f>SUBTOTAL(3,N$8:Table2[[#This Row],[Nama lengkap]])</f>
        <v>456</v>
      </c>
      <c r="B463" s="89" t="s">
        <v>86</v>
      </c>
      <c r="C463" s="89">
        <v>2025</v>
      </c>
      <c r="D463" s="89"/>
      <c r="E463" s="89" t="s">
        <v>4805</v>
      </c>
      <c r="F463" s="58" t="s">
        <v>6987</v>
      </c>
      <c r="G463" s="165" t="s">
        <v>8951</v>
      </c>
      <c r="H463" s="32"/>
      <c r="I463" s="90"/>
      <c r="J463" s="90"/>
      <c r="K463" s="90"/>
      <c r="L463" s="90"/>
      <c r="M463" s="89">
        <v>25260107</v>
      </c>
      <c r="N463" s="91" t="s">
        <v>6911</v>
      </c>
      <c r="O463" s="91"/>
      <c r="P463" s="90">
        <v>3133872105</v>
      </c>
      <c r="Q463" s="90" t="s">
        <v>6912</v>
      </c>
      <c r="R463" s="90" t="s">
        <v>122</v>
      </c>
      <c r="S463" s="101">
        <v>41371</v>
      </c>
      <c r="T463" s="47" t="s">
        <v>92</v>
      </c>
      <c r="U463" s="89">
        <v>2</v>
      </c>
      <c r="V463" s="89">
        <v>2</v>
      </c>
      <c r="W463" s="47" t="s">
        <v>207</v>
      </c>
      <c r="X463" s="92" t="s">
        <v>93</v>
      </c>
      <c r="Y463" s="92" t="s">
        <v>6499</v>
      </c>
      <c r="Z463" s="92" t="s">
        <v>819</v>
      </c>
      <c r="AA463" s="92" t="s">
        <v>6451</v>
      </c>
      <c r="AB463" s="92" t="s">
        <v>97</v>
      </c>
      <c r="AC463" s="92" t="s">
        <v>98</v>
      </c>
      <c r="AD463" s="92" t="s">
        <v>98</v>
      </c>
      <c r="AE463" s="93">
        <v>3211181103090000</v>
      </c>
      <c r="AF463" s="93" t="s">
        <v>6913</v>
      </c>
      <c r="AG463" s="92" t="s">
        <v>6913</v>
      </c>
      <c r="AH463" s="92" t="s">
        <v>101</v>
      </c>
      <c r="AI463" s="92" t="s">
        <v>122</v>
      </c>
      <c r="AJ463" s="101">
        <v>31002</v>
      </c>
      <c r="AK463" s="93" t="s">
        <v>6914</v>
      </c>
      <c r="AL463" s="93" t="s">
        <v>343</v>
      </c>
      <c r="AM463" s="92" t="s">
        <v>149</v>
      </c>
      <c r="AN463" s="93">
        <v>83195790446</v>
      </c>
      <c r="AO463" s="93" t="s">
        <v>130</v>
      </c>
      <c r="AP463" s="92" t="s">
        <v>122</v>
      </c>
      <c r="AQ463" s="90">
        <v>45811</v>
      </c>
      <c r="AR463" s="93" t="s">
        <v>6760</v>
      </c>
      <c r="AS463" s="92" t="s">
        <v>134</v>
      </c>
      <c r="AT463" s="92" t="s">
        <v>122</v>
      </c>
      <c r="AU463" s="92" t="s">
        <v>111</v>
      </c>
      <c r="AV463" s="92">
        <v>45321</v>
      </c>
      <c r="AW463" s="92" t="s">
        <v>8173</v>
      </c>
      <c r="AX463" s="92" t="s">
        <v>101</v>
      </c>
      <c r="AY463" s="92" t="s">
        <v>122</v>
      </c>
      <c r="AZ463" s="127">
        <v>31376</v>
      </c>
      <c r="BA463" s="93" t="s">
        <v>6915</v>
      </c>
      <c r="BB463" s="93" t="s">
        <v>428</v>
      </c>
      <c r="BC463" s="92" t="s">
        <v>149</v>
      </c>
      <c r="BD463" s="93">
        <v>83825908087</v>
      </c>
      <c r="BE463" s="93" t="s">
        <v>98</v>
      </c>
      <c r="BF463" s="67" t="s">
        <v>6448</v>
      </c>
      <c r="BG463" s="92"/>
      <c r="BH463" s="93"/>
      <c r="BI463" s="93"/>
      <c r="BJ463" s="91"/>
      <c r="BK463" s="92"/>
      <c r="BL463" s="92"/>
      <c r="BM463" s="92"/>
      <c r="BN463" s="64" t="s">
        <v>161</v>
      </c>
      <c r="BO463" s="92"/>
      <c r="BP463" s="92"/>
      <c r="BQ463" s="136"/>
      <c r="BR463" s="93"/>
      <c r="BS463" s="93"/>
      <c r="BT463" s="92"/>
      <c r="BU463" s="93"/>
      <c r="BV463" s="93"/>
      <c r="BW463" s="92"/>
      <c r="BX463" s="93"/>
      <c r="BY463" s="93"/>
      <c r="BZ463" s="92"/>
      <c r="CA463" s="92"/>
      <c r="CB463" s="92"/>
      <c r="CC463" s="92"/>
      <c r="CD463" s="92"/>
      <c r="CE463" s="64" t="s">
        <v>122</v>
      </c>
      <c r="CF463" s="67">
        <v>45811</v>
      </c>
      <c r="CG463" s="64" t="s">
        <v>6760</v>
      </c>
      <c r="CH463" s="92" t="s">
        <v>134</v>
      </c>
      <c r="CI463" s="92" t="s">
        <v>122</v>
      </c>
      <c r="CJ463" s="92" t="s">
        <v>111</v>
      </c>
      <c r="CK463" s="89">
        <v>45321</v>
      </c>
      <c r="CL463" s="64" t="str">
        <f t="shared" ca="1" si="7"/>
        <v>12 Tahun 9 Bulan 16 Hari</v>
      </c>
      <c r="CM46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Sumedang RT/RW 45811 Desa/Kelurahan Rancamulya Kecamatan Sumedang Utara Sumedang Jawa Barat 45321</v>
      </c>
    </row>
    <row r="464" spans="1:91" ht="24.95" customHeight="1">
      <c r="A464" s="58">
        <f>SUBTOTAL(3,N$8:Table2[[#This Row],[Nama lengkap]])</f>
        <v>457</v>
      </c>
      <c r="B464" s="89" t="s">
        <v>86</v>
      </c>
      <c r="C464" s="89">
        <v>2025</v>
      </c>
      <c r="D464" s="89"/>
      <c r="E464" s="89" t="s">
        <v>4805</v>
      </c>
      <c r="F464" s="58" t="s">
        <v>6987</v>
      </c>
      <c r="G464" s="32" t="s">
        <v>2513</v>
      </c>
      <c r="H464" s="32" t="s">
        <v>2513</v>
      </c>
      <c r="I464" s="90" t="s">
        <v>2513</v>
      </c>
      <c r="J464" s="32"/>
      <c r="K464" s="32"/>
      <c r="L464" s="32"/>
      <c r="M464" s="89">
        <v>25260091</v>
      </c>
      <c r="N464" s="91" t="s">
        <v>6798</v>
      </c>
      <c r="O464" s="91"/>
      <c r="P464" s="90">
        <v>3128835074</v>
      </c>
      <c r="Q464" s="90" t="s">
        <v>6799</v>
      </c>
      <c r="R464" s="90" t="s">
        <v>90</v>
      </c>
      <c r="S464" s="101">
        <v>41267</v>
      </c>
      <c r="T464" s="47" t="s">
        <v>92</v>
      </c>
      <c r="U464" s="89">
        <v>3</v>
      </c>
      <c r="V464" s="89">
        <v>3</v>
      </c>
      <c r="W464" s="47" t="s">
        <v>207</v>
      </c>
      <c r="X464" s="92" t="s">
        <v>6434</v>
      </c>
      <c r="Y464" s="92" t="s">
        <v>6800</v>
      </c>
      <c r="Z464" s="92" t="s">
        <v>255</v>
      </c>
      <c r="AA464" s="92" t="s">
        <v>6451</v>
      </c>
      <c r="AB464" s="92" t="s">
        <v>97</v>
      </c>
      <c r="AC464" s="92" t="s">
        <v>98</v>
      </c>
      <c r="AD464" s="92" t="s">
        <v>98</v>
      </c>
      <c r="AE464" s="93" t="s">
        <v>9051</v>
      </c>
      <c r="AF464" s="93" t="s">
        <v>8679</v>
      </c>
      <c r="AG464" s="92" t="s">
        <v>8679</v>
      </c>
      <c r="AH464" s="92" t="s">
        <v>101</v>
      </c>
      <c r="AI464" s="92" t="s">
        <v>90</v>
      </c>
      <c r="AJ464" s="101">
        <v>25411</v>
      </c>
      <c r="AK464" s="93" t="s">
        <v>6801</v>
      </c>
      <c r="AL464" s="93" t="s">
        <v>589</v>
      </c>
      <c r="AM464" s="92" t="s">
        <v>96</v>
      </c>
      <c r="AN464" s="93">
        <v>81394504272</v>
      </c>
      <c r="AO464" s="93" t="s">
        <v>117</v>
      </c>
      <c r="AP464" s="92" t="s">
        <v>6802</v>
      </c>
      <c r="AQ464" s="90">
        <v>45840</v>
      </c>
      <c r="AR464" s="93" t="s">
        <v>6803</v>
      </c>
      <c r="AS464" s="92" t="s">
        <v>6803</v>
      </c>
      <c r="AT464" s="92" t="s">
        <v>200</v>
      </c>
      <c r="AU464" s="92" t="s">
        <v>245</v>
      </c>
      <c r="AV464" s="92">
        <v>40384</v>
      </c>
      <c r="AW464" s="92" t="s">
        <v>8174</v>
      </c>
      <c r="AX464" s="92" t="s">
        <v>101</v>
      </c>
      <c r="AY464" s="92" t="s">
        <v>90</v>
      </c>
      <c r="AZ464" s="127">
        <v>28355</v>
      </c>
      <c r="BA464" s="93" t="s">
        <v>6804</v>
      </c>
      <c r="BB464" s="93" t="s">
        <v>428</v>
      </c>
      <c r="BC464" s="92" t="s">
        <v>96</v>
      </c>
      <c r="BD464" s="93">
        <v>85221822311</v>
      </c>
      <c r="BE464" s="93" t="s">
        <v>98</v>
      </c>
      <c r="BF464" s="67" t="s">
        <v>6448</v>
      </c>
      <c r="BG464" s="92"/>
      <c r="BH464" s="93"/>
      <c r="BI464" s="93"/>
      <c r="BJ464" s="91"/>
      <c r="BK464" s="92"/>
      <c r="BL464" s="92"/>
      <c r="BM464" s="92"/>
      <c r="BN464" s="64" t="s">
        <v>448</v>
      </c>
      <c r="BO464" s="92"/>
      <c r="BP464" s="92"/>
      <c r="BQ464" s="136"/>
      <c r="BR464" s="93"/>
      <c r="BS464" s="93"/>
      <c r="BT464" s="92"/>
      <c r="BU464" s="93"/>
      <c r="BV464" s="93"/>
      <c r="BW464" s="92"/>
      <c r="BX464" s="93"/>
      <c r="BY464" s="93"/>
      <c r="BZ464" s="92"/>
      <c r="CA464" s="92"/>
      <c r="CB464" s="92"/>
      <c r="CC464" s="92"/>
      <c r="CD464" s="92"/>
      <c r="CE464" s="64" t="s">
        <v>7692</v>
      </c>
      <c r="CF464" s="67" t="s">
        <v>9052</v>
      </c>
      <c r="CG464" s="64" t="s">
        <v>7291</v>
      </c>
      <c r="CH464" s="92" t="s">
        <v>7291</v>
      </c>
      <c r="CI464" s="92" t="s">
        <v>90</v>
      </c>
      <c r="CJ464" s="92" t="s">
        <v>313</v>
      </c>
      <c r="CK464" s="89">
        <v>40384</v>
      </c>
      <c r="CL464" s="64" t="str">
        <f t="shared" ca="1" si="7"/>
        <v>13 Tahun 0 Bulan 30 Hari</v>
      </c>
      <c r="CM46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Kp.Patrol RT/RW 002/007 Desa/Kelurahan Ibun Kecamatan Ibun Bandung Jawabarat 40384</v>
      </c>
    </row>
    <row r="465" spans="1:91" ht="24.95" customHeight="1">
      <c r="A465" s="58">
        <f>SUBTOTAL(3,N$8:Table2[[#This Row],[Nama lengkap]])</f>
        <v>458</v>
      </c>
      <c r="B465" s="89" t="s">
        <v>86</v>
      </c>
      <c r="C465" s="89">
        <v>2025</v>
      </c>
      <c r="D465" s="89"/>
      <c r="E465" s="89" t="s">
        <v>4805</v>
      </c>
      <c r="F465" s="58" t="s">
        <v>6987</v>
      </c>
      <c r="G465" s="165" t="s">
        <v>93</v>
      </c>
      <c r="H465" s="32"/>
      <c r="I465" s="90"/>
      <c r="J465" s="90"/>
      <c r="K465" s="90"/>
      <c r="L465" s="90"/>
      <c r="M465" s="89">
        <v>25260052</v>
      </c>
      <c r="N465" s="91" t="s">
        <v>6545</v>
      </c>
      <c r="O465" s="91"/>
      <c r="P465" s="90" t="s">
        <v>9940</v>
      </c>
      <c r="Q465" s="90" t="s">
        <v>6546</v>
      </c>
      <c r="R465" s="90" t="s">
        <v>90</v>
      </c>
      <c r="S465" s="101">
        <v>41178</v>
      </c>
      <c r="T465" s="47" t="s">
        <v>92</v>
      </c>
      <c r="U465" s="89">
        <v>2</v>
      </c>
      <c r="V465" s="89">
        <v>2</v>
      </c>
      <c r="W465" s="47" t="s">
        <v>207</v>
      </c>
      <c r="X465" s="92" t="s">
        <v>93</v>
      </c>
      <c r="Y465" s="92" t="s">
        <v>285</v>
      </c>
      <c r="Z465" s="92" t="s">
        <v>6547</v>
      </c>
      <c r="AA465" s="92" t="s">
        <v>6451</v>
      </c>
      <c r="AB465" s="92" t="s">
        <v>97</v>
      </c>
      <c r="AC465" s="92" t="s">
        <v>98</v>
      </c>
      <c r="AD465" s="92" t="s">
        <v>98</v>
      </c>
      <c r="AE465" s="93" t="s">
        <v>6548</v>
      </c>
      <c r="AF465" s="93" t="s">
        <v>6549</v>
      </c>
      <c r="AG465" s="92" t="s">
        <v>6549</v>
      </c>
      <c r="AH465" s="92" t="s">
        <v>101</v>
      </c>
      <c r="AI465" s="92" t="s">
        <v>90</v>
      </c>
      <c r="AJ465" s="101">
        <v>28495</v>
      </c>
      <c r="AK465" s="93" t="s">
        <v>6550</v>
      </c>
      <c r="AL465" s="93" t="s">
        <v>6551</v>
      </c>
      <c r="AM465" s="92" t="s">
        <v>413</v>
      </c>
      <c r="AN465" s="93" t="s">
        <v>6552</v>
      </c>
      <c r="AO465" s="93" t="s">
        <v>117</v>
      </c>
      <c r="AP465" s="92" t="s">
        <v>6553</v>
      </c>
      <c r="AQ465" s="90" t="s">
        <v>6554</v>
      </c>
      <c r="AR465" s="93" t="s">
        <v>6555</v>
      </c>
      <c r="AS465" s="92" t="s">
        <v>744</v>
      </c>
      <c r="AT465" s="92" t="s">
        <v>90</v>
      </c>
      <c r="AU465" s="92" t="s">
        <v>111</v>
      </c>
      <c r="AV465" s="92">
        <v>40212</v>
      </c>
      <c r="AW465" s="92" t="s">
        <v>6556</v>
      </c>
      <c r="AX465" s="92" t="s">
        <v>101</v>
      </c>
      <c r="AY465" s="92" t="s">
        <v>90</v>
      </c>
      <c r="AZ465" s="127">
        <v>30198</v>
      </c>
      <c r="BA465" s="93" t="s">
        <v>6557</v>
      </c>
      <c r="BB465" s="93" t="s">
        <v>428</v>
      </c>
      <c r="BC465" s="92" t="s">
        <v>149</v>
      </c>
      <c r="BD465" s="93" t="s">
        <v>6558</v>
      </c>
      <c r="BE465" s="93" t="s">
        <v>98</v>
      </c>
      <c r="BF465" s="67" t="s">
        <v>6448</v>
      </c>
      <c r="BG465" s="92"/>
      <c r="BH465" s="93"/>
      <c r="BI465" s="93"/>
      <c r="BJ465" s="91"/>
      <c r="BK465" s="92"/>
      <c r="BL465" s="92"/>
      <c r="BM465" s="92"/>
      <c r="BN465" s="64" t="s">
        <v>6448</v>
      </c>
      <c r="BO465" s="92"/>
      <c r="BP465" s="92"/>
      <c r="BQ465" s="136"/>
      <c r="BR465" s="93"/>
      <c r="BS465" s="93"/>
      <c r="BT465" s="92"/>
      <c r="BU465" s="93"/>
      <c r="BV465" s="93"/>
      <c r="BW465" s="92"/>
      <c r="BX465" s="93"/>
      <c r="BY465" s="93"/>
      <c r="BZ465" s="92"/>
      <c r="CA465" s="92"/>
      <c r="CB465" s="92"/>
      <c r="CC465" s="92"/>
      <c r="CD465" s="92"/>
      <c r="CE465" s="64" t="s">
        <v>6553</v>
      </c>
      <c r="CF465" s="67" t="s">
        <v>6554</v>
      </c>
      <c r="CG465" s="64" t="s">
        <v>6555</v>
      </c>
      <c r="CH465" s="92" t="s">
        <v>744</v>
      </c>
      <c r="CI465" s="92" t="s">
        <v>90</v>
      </c>
      <c r="CJ465" s="92" t="s">
        <v>111</v>
      </c>
      <c r="CK465" s="89">
        <v>40212</v>
      </c>
      <c r="CL465" s="64" t="str">
        <f t="shared" ca="1" si="7"/>
        <v>13 Tahun 3 Bulan 28 Hari</v>
      </c>
      <c r="CM46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Bojong Raya Gg. H. Sanusi No. 14 RT/RW 09/01 Desa/Kelurahan Caringin Kecamatan Bandung Kulon Bandung Jawa Barat 40212</v>
      </c>
    </row>
    <row r="466" spans="1:91" ht="24.95" customHeight="1">
      <c r="A466" s="58">
        <f>SUBTOTAL(3,N$8:Table2[[#This Row],[Nama lengkap]])</f>
        <v>459</v>
      </c>
      <c r="B466" s="89" t="s">
        <v>86</v>
      </c>
      <c r="C466" s="89">
        <v>2025</v>
      </c>
      <c r="D466" s="89"/>
      <c r="E466" s="89" t="s">
        <v>4805</v>
      </c>
      <c r="F466" s="58" t="s">
        <v>6987</v>
      </c>
      <c r="G466" s="166" t="s">
        <v>8953</v>
      </c>
      <c r="H466" s="32"/>
      <c r="I466" s="90"/>
      <c r="J466" s="90"/>
      <c r="K466" s="90"/>
      <c r="L466" s="90"/>
      <c r="M466" s="89">
        <v>25260105</v>
      </c>
      <c r="N466" s="91" t="s">
        <v>6735</v>
      </c>
      <c r="O466" s="91"/>
      <c r="P466" s="90" t="s">
        <v>8952</v>
      </c>
      <c r="Q466" s="90" t="s">
        <v>6736</v>
      </c>
      <c r="R466" s="90" t="s">
        <v>3137</v>
      </c>
      <c r="S466" s="101">
        <v>40412</v>
      </c>
      <c r="T466" s="47" t="s">
        <v>92</v>
      </c>
      <c r="U466" s="89">
        <v>3</v>
      </c>
      <c r="V466" s="89">
        <v>1</v>
      </c>
      <c r="W466" s="47" t="s">
        <v>207</v>
      </c>
      <c r="X466" s="92" t="s">
        <v>6434</v>
      </c>
      <c r="Y466" s="92" t="s">
        <v>6737</v>
      </c>
      <c r="Z466" s="92" t="s">
        <v>810</v>
      </c>
      <c r="AA466" s="92" t="s">
        <v>6451</v>
      </c>
      <c r="AB466" s="92" t="s">
        <v>97</v>
      </c>
      <c r="AC466" s="92" t="s">
        <v>98</v>
      </c>
      <c r="AD466" s="92" t="s">
        <v>98</v>
      </c>
      <c r="AE466" s="93">
        <v>3275102303120000</v>
      </c>
      <c r="AF466" s="93" t="s">
        <v>8680</v>
      </c>
      <c r="AG466" s="92" t="s">
        <v>8680</v>
      </c>
      <c r="AH466" s="92" t="s">
        <v>101</v>
      </c>
      <c r="AI466" s="92" t="s">
        <v>3137</v>
      </c>
      <c r="AJ466" s="101">
        <v>30580</v>
      </c>
      <c r="AK466" s="93" t="s">
        <v>6738</v>
      </c>
      <c r="AL466" s="93" t="s">
        <v>6739</v>
      </c>
      <c r="AM466" s="92" t="s">
        <v>149</v>
      </c>
      <c r="AN466" s="93">
        <v>895345001990</v>
      </c>
      <c r="AO466" s="93" t="s">
        <v>130</v>
      </c>
      <c r="AP466" s="92" t="s">
        <v>6740</v>
      </c>
      <c r="AQ466" s="90">
        <v>45778</v>
      </c>
      <c r="AR466" s="93" t="s">
        <v>6741</v>
      </c>
      <c r="AS466" s="92" t="s">
        <v>6741</v>
      </c>
      <c r="AT466" s="92" t="s">
        <v>6742</v>
      </c>
      <c r="AU466" s="92" t="s">
        <v>313</v>
      </c>
      <c r="AV466" s="92">
        <v>17433</v>
      </c>
      <c r="AW466" s="92" t="s">
        <v>8175</v>
      </c>
      <c r="AX466" s="92" t="s">
        <v>101</v>
      </c>
      <c r="AY466" s="92" t="s">
        <v>236</v>
      </c>
      <c r="AZ466" s="127">
        <v>31587</v>
      </c>
      <c r="BA466" s="93" t="s">
        <v>6743</v>
      </c>
      <c r="BB466" s="93" t="s">
        <v>428</v>
      </c>
      <c r="BC466" s="92" t="s">
        <v>149</v>
      </c>
      <c r="BD466" s="93">
        <v>895383097058</v>
      </c>
      <c r="BE466" s="93" t="s">
        <v>130</v>
      </c>
      <c r="BF466" s="67" t="s">
        <v>6448</v>
      </c>
      <c r="BG466" s="92"/>
      <c r="BH466" s="93"/>
      <c r="BI466" s="93"/>
      <c r="BJ466" s="91"/>
      <c r="BK466" s="92"/>
      <c r="BL466" s="92"/>
      <c r="BM466" s="92"/>
      <c r="BN466" s="64" t="s">
        <v>161</v>
      </c>
      <c r="BO466" s="92"/>
      <c r="BP466" s="92"/>
      <c r="BQ466" s="136"/>
      <c r="BR466" s="93"/>
      <c r="BS466" s="93"/>
      <c r="BT466" s="92"/>
      <c r="BU466" s="93"/>
      <c r="BV466" s="93"/>
      <c r="BW466" s="92"/>
      <c r="BX466" s="93"/>
      <c r="BY466" s="93"/>
      <c r="BZ466" s="92"/>
      <c r="CA466" s="92"/>
      <c r="CB466" s="92"/>
      <c r="CC466" s="92"/>
      <c r="CD466" s="92"/>
      <c r="CE466" s="64" t="s">
        <v>7693</v>
      </c>
      <c r="CF466" s="67">
        <v>45778</v>
      </c>
      <c r="CG466" s="64" t="s">
        <v>6741</v>
      </c>
      <c r="CH466" s="92" t="s">
        <v>6741</v>
      </c>
      <c r="CI466" s="92" t="s">
        <v>6744</v>
      </c>
      <c r="CJ466" s="92" t="s">
        <v>111</v>
      </c>
      <c r="CK466" s="89">
        <v>17433</v>
      </c>
      <c r="CL466" s="64" t="str">
        <f t="shared" ca="1" si="7"/>
        <v>15 Tahun 5 Bulan 1 Hari</v>
      </c>
      <c r="CM46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 Sawo Raya RT/RW 45778 Desa/Kelurahan Jatisampurna Kecamatan Jatisampurna Kota Bekasi Jawa Barat 17433</v>
      </c>
    </row>
    <row r="467" spans="1:91" ht="24.95" customHeight="1">
      <c r="A467" s="58">
        <f>SUBTOTAL(3,N$8:Table2[[#This Row],[Nama lengkap]])</f>
        <v>460</v>
      </c>
      <c r="B467" s="89" t="s">
        <v>86</v>
      </c>
      <c r="C467" s="89">
        <v>2025</v>
      </c>
      <c r="D467" s="89"/>
      <c r="E467" s="89" t="s">
        <v>4805</v>
      </c>
      <c r="F467" s="58" t="s">
        <v>6987</v>
      </c>
      <c r="G467" s="166" t="s">
        <v>8954</v>
      </c>
      <c r="H467" s="32"/>
      <c r="I467" s="90"/>
      <c r="J467" s="90"/>
      <c r="K467" s="90"/>
      <c r="L467" s="90"/>
      <c r="M467" s="89">
        <v>25260073</v>
      </c>
      <c r="N467" s="91" t="s">
        <v>6805</v>
      </c>
      <c r="O467" s="91"/>
      <c r="P467" s="90">
        <v>104197896</v>
      </c>
      <c r="Q467" s="90" t="s">
        <v>6806</v>
      </c>
      <c r="R467" s="90" t="s">
        <v>456</v>
      </c>
      <c r="S467" s="101">
        <v>40281</v>
      </c>
      <c r="T467" s="47" t="s">
        <v>92</v>
      </c>
      <c r="U467" s="89">
        <v>3</v>
      </c>
      <c r="V467" s="89">
        <v>3</v>
      </c>
      <c r="W467" s="47" t="s">
        <v>207</v>
      </c>
      <c r="X467" s="92" t="s">
        <v>303</v>
      </c>
      <c r="Y467" s="92" t="s">
        <v>94</v>
      </c>
      <c r="Z467" s="92" t="s">
        <v>6807</v>
      </c>
      <c r="AA467" s="92" t="s">
        <v>6437</v>
      </c>
      <c r="AB467" s="92" t="s">
        <v>97</v>
      </c>
      <c r="AC467" s="92" t="s">
        <v>98</v>
      </c>
      <c r="AD467" s="92" t="s">
        <v>98</v>
      </c>
      <c r="AE467" s="93">
        <v>3277032911061510</v>
      </c>
      <c r="AF467" s="93" t="s">
        <v>6808</v>
      </c>
      <c r="AG467" s="92" t="s">
        <v>6808</v>
      </c>
      <c r="AH467" s="92" t="s">
        <v>101</v>
      </c>
      <c r="AI467" s="92" t="s">
        <v>90</v>
      </c>
      <c r="AJ467" s="101">
        <v>27871</v>
      </c>
      <c r="AK467" s="93" t="s">
        <v>6809</v>
      </c>
      <c r="AL467" s="93" t="s">
        <v>114</v>
      </c>
      <c r="AM467" s="92" t="s">
        <v>149</v>
      </c>
      <c r="AN467" s="93">
        <v>82115399264</v>
      </c>
      <c r="AO467" s="93" t="s">
        <v>117</v>
      </c>
      <c r="AP467" s="92" t="s">
        <v>6810</v>
      </c>
      <c r="AQ467" s="90">
        <v>45809</v>
      </c>
      <c r="AR467" s="93" t="s">
        <v>6811</v>
      </c>
      <c r="AS467" s="92" t="s">
        <v>6812</v>
      </c>
      <c r="AT467" s="92" t="s">
        <v>456</v>
      </c>
      <c r="AU467" s="92" t="s">
        <v>111</v>
      </c>
      <c r="AV467" s="92">
        <v>40514</v>
      </c>
      <c r="AW467" s="92" t="s">
        <v>6813</v>
      </c>
      <c r="AX467" s="92" t="s">
        <v>101</v>
      </c>
      <c r="AY467" s="92" t="s">
        <v>90</v>
      </c>
      <c r="AZ467" s="127">
        <v>28350</v>
      </c>
      <c r="BA467" s="93" t="s">
        <v>6814</v>
      </c>
      <c r="BB467" s="93" t="s">
        <v>428</v>
      </c>
      <c r="BC467" s="92" t="s">
        <v>149</v>
      </c>
      <c r="BD467" s="93">
        <v>81322873809</v>
      </c>
      <c r="BE467" s="93" t="s">
        <v>266</v>
      </c>
      <c r="BF467" s="67" t="s">
        <v>6448</v>
      </c>
      <c r="BG467" s="92"/>
      <c r="BH467" s="93"/>
      <c r="BI467" s="93"/>
      <c r="BJ467" s="91"/>
      <c r="BK467" s="92"/>
      <c r="BL467" s="92"/>
      <c r="BM467" s="92"/>
      <c r="BN467" s="64" t="s">
        <v>161</v>
      </c>
      <c r="BO467" s="92"/>
      <c r="BP467" s="92"/>
      <c r="BQ467" s="136"/>
      <c r="BR467" s="93"/>
      <c r="BS467" s="93"/>
      <c r="BT467" s="92"/>
      <c r="BU467" s="93"/>
      <c r="BV467" s="93"/>
      <c r="BW467" s="92"/>
      <c r="BX467" s="93"/>
      <c r="BY467" s="93"/>
      <c r="BZ467" s="92"/>
      <c r="CA467" s="92"/>
      <c r="CB467" s="92"/>
      <c r="CC467" s="92"/>
      <c r="CD467" s="92"/>
      <c r="CE467" s="64" t="s">
        <v>7694</v>
      </c>
      <c r="CF467" s="67">
        <v>45809</v>
      </c>
      <c r="CG467" s="64" t="s">
        <v>6811</v>
      </c>
      <c r="CH467" s="92" t="s">
        <v>6812</v>
      </c>
      <c r="CI467" s="92" t="s">
        <v>456</v>
      </c>
      <c r="CJ467" s="92" t="s">
        <v>111</v>
      </c>
      <c r="CK467" s="89">
        <v>40514</v>
      </c>
      <c r="CL467" s="64" t="str">
        <f t="shared" ca="1" si="7"/>
        <v>15 Tahun 9 Bulan 10 Hari</v>
      </c>
      <c r="CM46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 Babakan Loa No 35 RT/RW 45809 Desa/Kelurahan Pasirkaliki Kecamatan Cimahi Utara Cimahi Jawa Barat 40514</v>
      </c>
    </row>
    <row r="468" spans="1:91" ht="24.95" customHeight="1">
      <c r="A468" s="58">
        <f>SUBTOTAL(3,N$8:Table2[[#This Row],[Nama lengkap]])</f>
        <v>461</v>
      </c>
      <c r="B468" s="89" t="s">
        <v>86</v>
      </c>
      <c r="C468" s="89">
        <v>2025</v>
      </c>
      <c r="D468" s="89"/>
      <c r="E468" s="89" t="s">
        <v>4805</v>
      </c>
      <c r="F468" s="58" t="s">
        <v>6987</v>
      </c>
      <c r="G468" s="32" t="s">
        <v>2513</v>
      </c>
      <c r="H468" s="32" t="s">
        <v>2513</v>
      </c>
      <c r="I468" s="90" t="s">
        <v>2513</v>
      </c>
      <c r="J468" s="90"/>
      <c r="K468" s="90"/>
      <c r="L468" s="90"/>
      <c r="M468" s="89">
        <v>25260094</v>
      </c>
      <c r="N468" s="91" t="s">
        <v>6684</v>
      </c>
      <c r="O468" s="91"/>
      <c r="P468" s="90" t="s">
        <v>8955</v>
      </c>
      <c r="Q468" s="90" t="s">
        <v>6685</v>
      </c>
      <c r="R468" s="90" t="s">
        <v>122</v>
      </c>
      <c r="S468" s="101">
        <v>41395</v>
      </c>
      <c r="T468" s="47" t="s">
        <v>92</v>
      </c>
      <c r="U468" s="89">
        <v>1</v>
      </c>
      <c r="V468" s="89">
        <v>2</v>
      </c>
      <c r="W468" s="47" t="s">
        <v>207</v>
      </c>
      <c r="X468" s="92" t="s">
        <v>6434</v>
      </c>
      <c r="Y468" s="92" t="s">
        <v>6686</v>
      </c>
      <c r="Z468" s="92" t="s">
        <v>6687</v>
      </c>
      <c r="AA468" s="92" t="s">
        <v>6451</v>
      </c>
      <c r="AB468" s="92" t="s">
        <v>97</v>
      </c>
      <c r="AC468" s="92" t="s">
        <v>98</v>
      </c>
      <c r="AD468" s="92" t="s">
        <v>98</v>
      </c>
      <c r="AE468" s="93" t="s">
        <v>3984</v>
      </c>
      <c r="AF468" s="93" t="s">
        <v>6417</v>
      </c>
      <c r="AG468" s="92" t="s">
        <v>6417</v>
      </c>
      <c r="AH468" s="92" t="s">
        <v>101</v>
      </c>
      <c r="AI468" s="92" t="s">
        <v>90</v>
      </c>
      <c r="AJ468" s="101">
        <v>28609</v>
      </c>
      <c r="AK468" s="93" t="s">
        <v>3985</v>
      </c>
      <c r="AL468" s="93" t="s">
        <v>8249</v>
      </c>
      <c r="AM468" s="92" t="s">
        <v>149</v>
      </c>
      <c r="AN468" s="93">
        <v>85222227372</v>
      </c>
      <c r="AO468" s="93" t="s">
        <v>106</v>
      </c>
      <c r="AP468" s="92" t="s">
        <v>6688</v>
      </c>
      <c r="AQ468" s="90">
        <v>45813</v>
      </c>
      <c r="AR468" s="93" t="s">
        <v>6689</v>
      </c>
      <c r="AS468" s="92" t="s">
        <v>6690</v>
      </c>
      <c r="AT468" s="92" t="s">
        <v>6691</v>
      </c>
      <c r="AU468" s="92" t="s">
        <v>156</v>
      </c>
      <c r="AV468" s="92">
        <v>45364</v>
      </c>
      <c r="AW468" s="92" t="s">
        <v>8091</v>
      </c>
      <c r="AX468" s="92" t="s">
        <v>101</v>
      </c>
      <c r="AY468" s="92" t="s">
        <v>122</v>
      </c>
      <c r="AZ468" s="127">
        <v>30870</v>
      </c>
      <c r="BA468" s="93" t="s">
        <v>3989</v>
      </c>
      <c r="BB468" s="93" t="s">
        <v>180</v>
      </c>
      <c r="BC468" s="92" t="s">
        <v>149</v>
      </c>
      <c r="BD468" s="93" t="s">
        <v>6692</v>
      </c>
      <c r="BE468" s="93" t="s">
        <v>98</v>
      </c>
      <c r="BF468" s="67" t="s">
        <v>6448</v>
      </c>
      <c r="BG468" s="92"/>
      <c r="BH468" s="93"/>
      <c r="BI468" s="93"/>
      <c r="BJ468" s="91"/>
      <c r="BK468" s="92"/>
      <c r="BL468" s="92"/>
      <c r="BM468" s="92"/>
      <c r="BN468" s="64" t="s">
        <v>161</v>
      </c>
      <c r="BO468" s="92"/>
      <c r="BP468" s="92"/>
      <c r="BQ468" s="136"/>
      <c r="BR468" s="93"/>
      <c r="BS468" s="93"/>
      <c r="BT468" s="92"/>
      <c r="BU468" s="93"/>
      <c r="BV468" s="93"/>
      <c r="BW468" s="92"/>
      <c r="BX468" s="93"/>
      <c r="BY468" s="93"/>
      <c r="BZ468" s="92"/>
      <c r="CA468" s="92"/>
      <c r="CB468" s="92"/>
      <c r="CC468" s="92"/>
      <c r="CD468" s="92"/>
      <c r="CE468" s="64" t="s">
        <v>7695</v>
      </c>
      <c r="CF468" s="67" t="s">
        <v>9053</v>
      </c>
      <c r="CG468" s="64" t="s">
        <v>7292</v>
      </c>
      <c r="CH468" s="92" t="s">
        <v>7293</v>
      </c>
      <c r="CI468" s="92" t="s">
        <v>122</v>
      </c>
      <c r="CJ468" s="92" t="s">
        <v>111</v>
      </c>
      <c r="CK468" s="89">
        <v>45364</v>
      </c>
      <c r="CL468" s="64" t="str">
        <f t="shared" ca="1" si="7"/>
        <v>12 Tahun 8 Bulan 22 Hari</v>
      </c>
      <c r="CM46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Dsn. Manabaya RT/RW 005/006 Desa/Kelurahan Ds. Sindangpakuon Kecamatan Kec. Cimanggung Sumedang Jawa Barat 45364</v>
      </c>
    </row>
    <row r="469" spans="1:91" ht="24.95" customHeight="1">
      <c r="A469" s="58">
        <f>SUBTOTAL(3,N$8:Table2[[#This Row],[Nama lengkap]])</f>
        <v>462</v>
      </c>
      <c r="B469" s="89" t="s">
        <v>86</v>
      </c>
      <c r="C469" s="89">
        <v>2025</v>
      </c>
      <c r="D469" s="89"/>
      <c r="E469" s="89" t="s">
        <v>4805</v>
      </c>
      <c r="F469" s="58" t="s">
        <v>6987</v>
      </c>
      <c r="G469" s="32" t="s">
        <v>2513</v>
      </c>
      <c r="H469" s="32" t="s">
        <v>2513</v>
      </c>
      <c r="I469" s="90" t="s">
        <v>2513</v>
      </c>
      <c r="J469" s="90"/>
      <c r="K469" s="90"/>
      <c r="L469" s="90"/>
      <c r="M469" s="89">
        <v>25260106</v>
      </c>
      <c r="N469" s="91" t="s">
        <v>6729</v>
      </c>
      <c r="O469" s="91"/>
      <c r="P469" s="32" t="s">
        <v>9935</v>
      </c>
      <c r="Q469" s="90" t="s">
        <v>6730</v>
      </c>
      <c r="R469" s="90" t="s">
        <v>122</v>
      </c>
      <c r="S469" s="101">
        <v>41154</v>
      </c>
      <c r="T469" s="47" t="s">
        <v>92</v>
      </c>
      <c r="U469" s="89">
        <v>1</v>
      </c>
      <c r="V469" s="89">
        <v>2</v>
      </c>
      <c r="W469" s="47" t="s">
        <v>207</v>
      </c>
      <c r="X469" s="92" t="s">
        <v>432</v>
      </c>
      <c r="Y469" s="92" t="s">
        <v>6499</v>
      </c>
      <c r="Z469" s="92" t="s">
        <v>819</v>
      </c>
      <c r="AA469" s="92" t="s">
        <v>6451</v>
      </c>
      <c r="AB469" s="92" t="s">
        <v>97</v>
      </c>
      <c r="AC469" s="92" t="s">
        <v>98</v>
      </c>
      <c r="AD469" s="92" t="s">
        <v>98</v>
      </c>
      <c r="AE469" s="93" t="s">
        <v>3916</v>
      </c>
      <c r="AF469" s="93" t="s">
        <v>6731</v>
      </c>
      <c r="AG469" s="92" t="s">
        <v>6731</v>
      </c>
      <c r="AH469" s="92" t="s">
        <v>101</v>
      </c>
      <c r="AI469" s="92" t="s">
        <v>122</v>
      </c>
      <c r="AJ469" s="101">
        <v>28035</v>
      </c>
      <c r="AK469" s="93" t="s">
        <v>3917</v>
      </c>
      <c r="AL469" s="93" t="s">
        <v>6732</v>
      </c>
      <c r="AM469" s="92" t="s">
        <v>96</v>
      </c>
      <c r="AN469" s="93">
        <v>82147892413</v>
      </c>
      <c r="AO469" s="93" t="s">
        <v>130</v>
      </c>
      <c r="AP469" s="92" t="s">
        <v>6733</v>
      </c>
      <c r="AQ469" s="90">
        <v>43101</v>
      </c>
      <c r="AR469" s="93" t="s">
        <v>1518</v>
      </c>
      <c r="AS469" s="92" t="s">
        <v>1518</v>
      </c>
      <c r="AT469" s="92" t="s">
        <v>122</v>
      </c>
      <c r="AU469" s="92" t="s">
        <v>318</v>
      </c>
      <c r="AV469" s="92">
        <v>45364</v>
      </c>
      <c r="AW469" s="92" t="s">
        <v>6734</v>
      </c>
      <c r="AX469" s="92" t="s">
        <v>101</v>
      </c>
      <c r="AY469" s="92" t="s">
        <v>942</v>
      </c>
      <c r="AZ469" s="127">
        <v>29047</v>
      </c>
      <c r="BA469" s="93" t="s">
        <v>3921</v>
      </c>
      <c r="BB469" s="93" t="s">
        <v>7781</v>
      </c>
      <c r="BC469" s="92" t="s">
        <v>159</v>
      </c>
      <c r="BD469" s="93">
        <v>82126150751</v>
      </c>
      <c r="BE469" s="93" t="s">
        <v>98</v>
      </c>
      <c r="BF469" s="67" t="s">
        <v>6448</v>
      </c>
      <c r="BG469" s="92"/>
      <c r="BH469" s="93"/>
      <c r="BI469" s="93"/>
      <c r="BJ469" s="91"/>
      <c r="BK469" s="92"/>
      <c r="BL469" s="92"/>
      <c r="BM469" s="92"/>
      <c r="BN469" s="64" t="s">
        <v>161</v>
      </c>
      <c r="BO469" s="92"/>
      <c r="BP469" s="92"/>
      <c r="BQ469" s="136"/>
      <c r="BR469" s="93"/>
      <c r="BS469" s="93"/>
      <c r="BT469" s="92"/>
      <c r="BU469" s="93"/>
      <c r="BV469" s="93"/>
      <c r="BW469" s="92"/>
      <c r="BX469" s="93"/>
      <c r="BY469" s="93"/>
      <c r="BZ469" s="92"/>
      <c r="CA469" s="92"/>
      <c r="CB469" s="92"/>
      <c r="CC469" s="92"/>
      <c r="CD469" s="92"/>
      <c r="CE469" s="64" t="s">
        <v>6733</v>
      </c>
      <c r="CF469" s="67" t="s">
        <v>9054</v>
      </c>
      <c r="CG469" s="64" t="s">
        <v>1518</v>
      </c>
      <c r="CH469" s="92" t="s">
        <v>1518</v>
      </c>
      <c r="CI469" s="92" t="s">
        <v>122</v>
      </c>
      <c r="CJ469" s="92" t="s">
        <v>111</v>
      </c>
      <c r="CK469" s="89">
        <v>45364</v>
      </c>
      <c r="CL469" s="64" t="str">
        <f t="shared" ca="1" si="7"/>
        <v>13 Tahun 4 Bulan 21 Hari</v>
      </c>
      <c r="CM46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Dusun. Pasirmuncang RT/RW 001/018 Desa/Kelurahan Cimanggung Kecamatan Cimanggung Sumedang Jawa Barat 45364</v>
      </c>
    </row>
    <row r="470" spans="1:91" ht="24.95" customHeight="1">
      <c r="A470" s="58">
        <f>SUBTOTAL(3,N$8:Table2[[#This Row],[Nama lengkap]])</f>
        <v>463</v>
      </c>
      <c r="B470" s="89" t="s">
        <v>86</v>
      </c>
      <c r="C470" s="89">
        <v>2025</v>
      </c>
      <c r="D470" s="89"/>
      <c r="E470" s="89" t="s">
        <v>4805</v>
      </c>
      <c r="F470" s="58" t="s">
        <v>6987</v>
      </c>
      <c r="G470" s="166" t="s">
        <v>8956</v>
      </c>
      <c r="H470" s="32"/>
      <c r="I470" s="90"/>
      <c r="J470" s="90"/>
      <c r="K470" s="90"/>
      <c r="L470" s="90"/>
      <c r="M470" s="89">
        <v>25260092</v>
      </c>
      <c r="N470" s="91" t="s">
        <v>6823</v>
      </c>
      <c r="O470" s="91"/>
      <c r="P470" s="90">
        <v>3133343366</v>
      </c>
      <c r="Q470" s="90" t="s">
        <v>6824</v>
      </c>
      <c r="R470" s="90" t="s">
        <v>90</v>
      </c>
      <c r="S470" s="101">
        <v>41359</v>
      </c>
      <c r="T470" s="47" t="s">
        <v>92</v>
      </c>
      <c r="U470" s="89">
        <v>4</v>
      </c>
      <c r="V470" s="89">
        <v>4</v>
      </c>
      <c r="W470" s="47" t="s">
        <v>207</v>
      </c>
      <c r="X470" s="92" t="s">
        <v>6434</v>
      </c>
      <c r="Y470" s="92" t="s">
        <v>598</v>
      </c>
      <c r="Z470" s="92" t="s">
        <v>6825</v>
      </c>
      <c r="AA470" s="92" t="s">
        <v>6451</v>
      </c>
      <c r="AB470" s="92" t="s">
        <v>97</v>
      </c>
      <c r="AC470" s="92" t="s">
        <v>98</v>
      </c>
      <c r="AD470" s="92" t="s">
        <v>98</v>
      </c>
      <c r="AE470" s="93">
        <v>3273261110106810</v>
      </c>
      <c r="AF470" s="93" t="s">
        <v>6826</v>
      </c>
      <c r="AG470" s="92" t="s">
        <v>6826</v>
      </c>
      <c r="AH470" s="92" t="s">
        <v>101</v>
      </c>
      <c r="AI470" s="92" t="s">
        <v>90</v>
      </c>
      <c r="AJ470" s="101">
        <v>26527</v>
      </c>
      <c r="AK470" s="93" t="s">
        <v>6827</v>
      </c>
      <c r="AL470" s="93" t="s">
        <v>289</v>
      </c>
      <c r="AM470" s="92" t="s">
        <v>96</v>
      </c>
      <c r="AN470" s="93">
        <v>87872862935</v>
      </c>
      <c r="AO470" s="93" t="s">
        <v>130</v>
      </c>
      <c r="AP470" s="92" t="s">
        <v>6828</v>
      </c>
      <c r="AQ470" s="90">
        <v>45901</v>
      </c>
      <c r="AR470" s="93" t="s">
        <v>6829</v>
      </c>
      <c r="AS470" s="92" t="s">
        <v>6830</v>
      </c>
      <c r="AT470" s="92" t="s">
        <v>90</v>
      </c>
      <c r="AU470" s="92" t="s">
        <v>111</v>
      </c>
      <c r="AV470" s="92">
        <v>40618</v>
      </c>
      <c r="AW470" s="92" t="s">
        <v>6831</v>
      </c>
      <c r="AX470" s="92" t="s">
        <v>101</v>
      </c>
      <c r="AY470" s="92" t="s">
        <v>90</v>
      </c>
      <c r="AZ470" s="127">
        <v>26848</v>
      </c>
      <c r="BA470" s="93" t="s">
        <v>6832</v>
      </c>
      <c r="BB470" s="93" t="s">
        <v>428</v>
      </c>
      <c r="BC470" s="92" t="s">
        <v>96</v>
      </c>
      <c r="BD470" s="93">
        <v>87872862935</v>
      </c>
      <c r="BE470" s="93" t="s">
        <v>98</v>
      </c>
      <c r="BF470" s="67" t="s">
        <v>6448</v>
      </c>
      <c r="BG470" s="92"/>
      <c r="BH470" s="93"/>
      <c r="BI470" s="93"/>
      <c r="BJ470" s="91"/>
      <c r="BK470" s="92"/>
      <c r="BL470" s="92"/>
      <c r="BM470" s="92"/>
      <c r="BN470" s="64" t="s">
        <v>161</v>
      </c>
      <c r="BO470" s="92"/>
      <c r="BP470" s="92"/>
      <c r="BQ470" s="136"/>
      <c r="BR470" s="93"/>
      <c r="BS470" s="93"/>
      <c r="BT470" s="92"/>
      <c r="BU470" s="93"/>
      <c r="BV470" s="93"/>
      <c r="BW470" s="92"/>
      <c r="BX470" s="93"/>
      <c r="BY470" s="93"/>
      <c r="BZ470" s="92"/>
      <c r="CA470" s="92"/>
      <c r="CB470" s="92"/>
      <c r="CC470" s="92"/>
      <c r="CD470" s="92"/>
      <c r="CE470" s="64" t="s">
        <v>7696</v>
      </c>
      <c r="CF470" s="67">
        <v>45901</v>
      </c>
      <c r="CG470" s="64" t="s">
        <v>6829</v>
      </c>
      <c r="CH470" s="92" t="s">
        <v>6830</v>
      </c>
      <c r="CI470" s="92" t="s">
        <v>90</v>
      </c>
      <c r="CJ470" s="92" t="s">
        <v>111</v>
      </c>
      <c r="CK470" s="89">
        <v>40618</v>
      </c>
      <c r="CL470" s="64" t="str">
        <f t="shared" ca="1" si="7"/>
        <v>12 Tahun 9 Bulan 28 Hari</v>
      </c>
      <c r="CM47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Tanjakan Panjang RT/RW 45901 Desa/Kelurahan Pasirwangi Kecamatan Ujungberung Bandung Jawa Barat 40618</v>
      </c>
    </row>
    <row r="471" spans="1:91" ht="24.95" customHeight="1">
      <c r="A471" s="58">
        <f>SUBTOTAL(3,N$8:Table2[[#This Row],[Nama lengkap]])</f>
        <v>464</v>
      </c>
      <c r="B471" s="89" t="s">
        <v>86</v>
      </c>
      <c r="C471" s="89">
        <v>2025</v>
      </c>
      <c r="D471" s="89"/>
      <c r="E471" s="89" t="s">
        <v>4805</v>
      </c>
      <c r="F471" s="58" t="s">
        <v>6987</v>
      </c>
      <c r="G471" s="32" t="s">
        <v>2513</v>
      </c>
      <c r="H471" s="32" t="s">
        <v>2513</v>
      </c>
      <c r="I471" s="90" t="s">
        <v>2513</v>
      </c>
      <c r="J471" s="90"/>
      <c r="K471" s="90"/>
      <c r="L471" s="90"/>
      <c r="M471" s="89">
        <v>25260079</v>
      </c>
      <c r="N471" s="91" t="s">
        <v>8872</v>
      </c>
      <c r="O471" s="91"/>
      <c r="P471" s="90">
        <v>3096744241</v>
      </c>
      <c r="Q471" s="90" t="s">
        <v>6877</v>
      </c>
      <c r="R471" s="90" t="s">
        <v>942</v>
      </c>
      <c r="S471" s="101">
        <v>40079</v>
      </c>
      <c r="T471" s="47" t="s">
        <v>92</v>
      </c>
      <c r="U471" s="89">
        <v>8</v>
      </c>
      <c r="V471" s="89">
        <v>7</v>
      </c>
      <c r="W471" s="47" t="s">
        <v>207</v>
      </c>
      <c r="X471" s="92" t="s">
        <v>432</v>
      </c>
      <c r="Y471" s="92" t="s">
        <v>6878</v>
      </c>
      <c r="Z471" s="92" t="s">
        <v>1042</v>
      </c>
      <c r="AA471" s="92" t="s">
        <v>6451</v>
      </c>
      <c r="AB471" s="92" t="s">
        <v>97</v>
      </c>
      <c r="AC471" s="92" t="s">
        <v>98</v>
      </c>
      <c r="AD471" s="92" t="s">
        <v>98</v>
      </c>
      <c r="AE471" s="93" t="s">
        <v>9055</v>
      </c>
      <c r="AF471" s="93" t="s">
        <v>8681</v>
      </c>
      <c r="AG471" s="92" t="s">
        <v>8681</v>
      </c>
      <c r="AH471" s="92" t="s">
        <v>101</v>
      </c>
      <c r="AI471" s="92" t="s">
        <v>942</v>
      </c>
      <c r="AJ471" s="101">
        <v>26095</v>
      </c>
      <c r="AK471" s="93" t="s">
        <v>6879</v>
      </c>
      <c r="AL471" s="93" t="s">
        <v>114</v>
      </c>
      <c r="AM471" s="92" t="s">
        <v>149</v>
      </c>
      <c r="AN471" s="93">
        <v>87721226672</v>
      </c>
      <c r="AO471" s="93" t="s">
        <v>117</v>
      </c>
      <c r="AP471" s="92" t="s">
        <v>6880</v>
      </c>
      <c r="AQ471" s="90">
        <v>45665</v>
      </c>
      <c r="AR471" s="93" t="s">
        <v>1843</v>
      </c>
      <c r="AS471" s="92" t="s">
        <v>1843</v>
      </c>
      <c r="AT471" s="92" t="s">
        <v>934</v>
      </c>
      <c r="AU471" s="92" t="s">
        <v>156</v>
      </c>
      <c r="AV471" s="92">
        <v>41281</v>
      </c>
      <c r="AW471" s="92" t="s">
        <v>8176</v>
      </c>
      <c r="AX471" s="92" t="s">
        <v>101</v>
      </c>
      <c r="AY471" s="92" t="s">
        <v>942</v>
      </c>
      <c r="AZ471" s="127">
        <v>28929</v>
      </c>
      <c r="BA471" s="93" t="s">
        <v>6881</v>
      </c>
      <c r="BB471" s="93" t="s">
        <v>428</v>
      </c>
      <c r="BC471" s="92" t="s">
        <v>96</v>
      </c>
      <c r="BD471" s="93">
        <v>85318626536</v>
      </c>
      <c r="BE471" s="93" t="s">
        <v>117</v>
      </c>
      <c r="BF471" s="67" t="s">
        <v>6448</v>
      </c>
      <c r="BG471" s="92"/>
      <c r="BH471" s="93"/>
      <c r="BI471" s="93"/>
      <c r="BJ471" s="91"/>
      <c r="BK471" s="92"/>
      <c r="BL471" s="92"/>
      <c r="BM471" s="92"/>
      <c r="BN471" s="64" t="s">
        <v>161</v>
      </c>
      <c r="BO471" s="92"/>
      <c r="BP471" s="92"/>
      <c r="BQ471" s="136"/>
      <c r="BR471" s="93"/>
      <c r="BS471" s="93"/>
      <c r="BT471" s="92"/>
      <c r="BU471" s="93"/>
      <c r="BV471" s="93"/>
      <c r="BW471" s="92"/>
      <c r="BX471" s="93"/>
      <c r="BY471" s="93"/>
      <c r="BZ471" s="92"/>
      <c r="CA471" s="92"/>
      <c r="CB471" s="92"/>
      <c r="CC471" s="92"/>
      <c r="CD471" s="92"/>
      <c r="CE471" s="64" t="s">
        <v>6519</v>
      </c>
      <c r="CF471" s="67" t="s">
        <v>9056</v>
      </c>
      <c r="CG471" s="64" t="s">
        <v>6519</v>
      </c>
      <c r="CH471" s="92" t="s">
        <v>6519</v>
      </c>
      <c r="CI471" s="92" t="s">
        <v>942</v>
      </c>
      <c r="CJ471" s="92" t="s">
        <v>111</v>
      </c>
      <c r="CK471" s="89">
        <v>41281</v>
      </c>
      <c r="CL471" s="64" t="str">
        <f t="shared" ca="1" si="7"/>
        <v>16 Tahun 4 Bulan 0 Hari</v>
      </c>
      <c r="CM47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Jalancagak RT/RW 008/001 Desa/Kelurahan Jalancagak Kecamatan Jalancagak Subang Jawa Barat 41281</v>
      </c>
    </row>
    <row r="472" spans="1:91" ht="24.95" customHeight="1">
      <c r="A472" s="58">
        <f>SUBTOTAL(3,N$8:Table2[[#This Row],[Nama lengkap]])</f>
        <v>465</v>
      </c>
      <c r="B472" s="89" t="s">
        <v>86</v>
      </c>
      <c r="C472" s="89">
        <v>2025</v>
      </c>
      <c r="D472" s="89"/>
      <c r="E472" s="89" t="s">
        <v>4805</v>
      </c>
      <c r="F472" s="58" t="s">
        <v>6987</v>
      </c>
      <c r="G472" s="32" t="s">
        <v>2513</v>
      </c>
      <c r="H472" s="32" t="s">
        <v>2513</v>
      </c>
      <c r="I472" s="90" t="s">
        <v>2513</v>
      </c>
      <c r="J472" s="90"/>
      <c r="K472" s="90"/>
      <c r="L472" s="90"/>
      <c r="M472" s="89">
        <v>25260124</v>
      </c>
      <c r="N472" s="91" t="s">
        <v>6431</v>
      </c>
      <c r="O472" s="91"/>
      <c r="P472" s="90" t="s">
        <v>6432</v>
      </c>
      <c r="Q472" s="90" t="s">
        <v>6433</v>
      </c>
      <c r="R472" s="90" t="s">
        <v>492</v>
      </c>
      <c r="S472" s="101">
        <v>40312</v>
      </c>
      <c r="T472" s="47" t="s">
        <v>92</v>
      </c>
      <c r="U472" s="89">
        <v>3</v>
      </c>
      <c r="V472" s="89">
        <v>2</v>
      </c>
      <c r="W472" s="47" t="s">
        <v>207</v>
      </c>
      <c r="X472" s="92" t="s">
        <v>6434</v>
      </c>
      <c r="Y472" s="92" t="s">
        <v>6435</v>
      </c>
      <c r="Z472" s="92" t="s">
        <v>6436</v>
      </c>
      <c r="AA472" s="92" t="s">
        <v>6437</v>
      </c>
      <c r="AB472" s="92" t="s">
        <v>97</v>
      </c>
      <c r="AC472" s="92" t="s">
        <v>6438</v>
      </c>
      <c r="AD472" s="92" t="s">
        <v>98</v>
      </c>
      <c r="AE472" s="93" t="s">
        <v>6439</v>
      </c>
      <c r="AF472" s="93" t="s">
        <v>8682</v>
      </c>
      <c r="AG472" s="92" t="s">
        <v>8682</v>
      </c>
      <c r="AH472" s="92" t="s">
        <v>101</v>
      </c>
      <c r="AI472" s="92" t="s">
        <v>623</v>
      </c>
      <c r="AJ472" s="101">
        <v>28592</v>
      </c>
      <c r="AK472" s="93" t="s">
        <v>6440</v>
      </c>
      <c r="AL472" s="93" t="s">
        <v>602</v>
      </c>
      <c r="AM472" s="92" t="s">
        <v>149</v>
      </c>
      <c r="AN472" s="93" t="s">
        <v>6441</v>
      </c>
      <c r="AO472" s="93" t="s">
        <v>117</v>
      </c>
      <c r="AP472" s="92" t="s">
        <v>6442</v>
      </c>
      <c r="AQ472" s="90" t="s">
        <v>6443</v>
      </c>
      <c r="AR472" s="93" t="s">
        <v>6444</v>
      </c>
      <c r="AS472" s="92" t="s">
        <v>6445</v>
      </c>
      <c r="AT472" s="92" t="s">
        <v>492</v>
      </c>
      <c r="AU472" s="92" t="s">
        <v>318</v>
      </c>
      <c r="AV472" s="92">
        <v>41371</v>
      </c>
      <c r="AW472" s="92" t="s">
        <v>8177</v>
      </c>
      <c r="AX472" s="92" t="s">
        <v>101</v>
      </c>
      <c r="AY472" s="92" t="s">
        <v>492</v>
      </c>
      <c r="AZ472" s="127">
        <v>31384</v>
      </c>
      <c r="BA472" s="93" t="s">
        <v>6446</v>
      </c>
      <c r="BB472" s="93" t="s">
        <v>428</v>
      </c>
      <c r="BC472" s="92" t="s">
        <v>159</v>
      </c>
      <c r="BD472" s="93" t="s">
        <v>6447</v>
      </c>
      <c r="BE472" s="93" t="s">
        <v>98</v>
      </c>
      <c r="BF472" s="67" t="s">
        <v>6448</v>
      </c>
      <c r="BG472" s="92"/>
      <c r="BH472" s="93"/>
      <c r="BI472" s="93"/>
      <c r="BJ472" s="91"/>
      <c r="BK472" s="92"/>
      <c r="BL472" s="92"/>
      <c r="BM472" s="92"/>
      <c r="BN472" s="64" t="s">
        <v>6448</v>
      </c>
      <c r="BO472" s="92"/>
      <c r="BP472" s="92"/>
      <c r="BQ472" s="136"/>
      <c r="BR472" s="93"/>
      <c r="BS472" s="93"/>
      <c r="BT472" s="92"/>
      <c r="BU472" s="93"/>
      <c r="BV472" s="93"/>
      <c r="BW472" s="92"/>
      <c r="BX472" s="93"/>
      <c r="BY472" s="93"/>
      <c r="BZ472" s="92"/>
      <c r="CA472" s="92"/>
      <c r="CB472" s="92"/>
      <c r="CC472" s="92"/>
      <c r="CD472" s="92"/>
      <c r="CE472" s="64" t="s">
        <v>9057</v>
      </c>
      <c r="CF472" s="67" t="s">
        <v>9058</v>
      </c>
      <c r="CG472" s="64" t="s">
        <v>9059</v>
      </c>
      <c r="CH472" s="92" t="s">
        <v>7796</v>
      </c>
      <c r="CI472" s="92" t="s">
        <v>492</v>
      </c>
      <c r="CJ472" s="92" t="s">
        <v>111</v>
      </c>
      <c r="CK472" s="89">
        <v>41371</v>
      </c>
      <c r="CL472" s="64" t="str">
        <f t="shared" ca="1" si="7"/>
        <v>15 Tahun 8 Bulan 9 Hari</v>
      </c>
      <c r="CM47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Pacogreg RT/RW 015/005 Desa/Kelurahan Cilewo Kecamatan Telagasari Karawang Jawa Barat 41371</v>
      </c>
    </row>
    <row r="473" spans="1:91" ht="24.95" customHeight="1">
      <c r="A473" s="58">
        <f>SUBTOTAL(3,N$8:Table2[[#This Row],[Nama lengkap]])</f>
        <v>466</v>
      </c>
      <c r="B473" s="89" t="s">
        <v>86</v>
      </c>
      <c r="C473" s="89">
        <v>2025</v>
      </c>
      <c r="D473" s="89"/>
      <c r="E473" s="89" t="s">
        <v>4805</v>
      </c>
      <c r="F473" s="58" t="s">
        <v>6987</v>
      </c>
      <c r="G473" s="166" t="s">
        <v>8957</v>
      </c>
      <c r="H473" s="32"/>
      <c r="I473" s="90"/>
      <c r="J473" s="90"/>
      <c r="K473" s="90"/>
      <c r="L473" s="90"/>
      <c r="M473" s="89">
        <v>25260095</v>
      </c>
      <c r="N473" s="91" t="s">
        <v>8873</v>
      </c>
      <c r="O473" s="91"/>
      <c r="P473" s="32" t="s">
        <v>6868</v>
      </c>
      <c r="Q473" s="90" t="s">
        <v>6869</v>
      </c>
      <c r="R473" s="90" t="s">
        <v>122</v>
      </c>
      <c r="S473" s="101">
        <v>41422</v>
      </c>
      <c r="T473" s="47" t="s">
        <v>92</v>
      </c>
      <c r="U473" s="89">
        <v>1</v>
      </c>
      <c r="V473" s="89">
        <v>1</v>
      </c>
      <c r="W473" s="47" t="s">
        <v>207</v>
      </c>
      <c r="X473" s="92" t="s">
        <v>93</v>
      </c>
      <c r="Y473" s="92" t="s">
        <v>1524</v>
      </c>
      <c r="Z473" s="92" t="s">
        <v>707</v>
      </c>
      <c r="AA473" s="92" t="s">
        <v>6451</v>
      </c>
      <c r="AB473" s="92" t="s">
        <v>97</v>
      </c>
      <c r="AC473" s="92" t="s">
        <v>98</v>
      </c>
      <c r="AD473" s="92" t="s">
        <v>98</v>
      </c>
      <c r="AE473" s="93">
        <v>3211171010120000</v>
      </c>
      <c r="AF473" s="93" t="s">
        <v>8683</v>
      </c>
      <c r="AG473" s="92" t="s">
        <v>8683</v>
      </c>
      <c r="AH473" s="92" t="s">
        <v>101</v>
      </c>
      <c r="AI473" s="92" t="s">
        <v>122</v>
      </c>
      <c r="AJ473" s="101">
        <v>30321</v>
      </c>
      <c r="AK473" s="93" t="s">
        <v>6870</v>
      </c>
      <c r="AL473" s="93" t="s">
        <v>7782</v>
      </c>
      <c r="AM473" s="92" t="s">
        <v>128</v>
      </c>
      <c r="AN473" s="93" t="s">
        <v>6871</v>
      </c>
      <c r="AO473" s="93" t="s">
        <v>117</v>
      </c>
      <c r="AP473" s="92" t="s">
        <v>4341</v>
      </c>
      <c r="AQ473" s="90">
        <v>45750</v>
      </c>
      <c r="AR473" s="93" t="s">
        <v>4341</v>
      </c>
      <c r="AS473" s="92" t="s">
        <v>1101</v>
      </c>
      <c r="AT473" s="92" t="s">
        <v>1090</v>
      </c>
      <c r="AU473" s="92" t="s">
        <v>156</v>
      </c>
      <c r="AV473" s="92">
        <v>45315</v>
      </c>
      <c r="AW473" s="92" t="s">
        <v>8178</v>
      </c>
      <c r="AX473" s="92" t="s">
        <v>101</v>
      </c>
      <c r="AY473" s="92" t="s">
        <v>90</v>
      </c>
      <c r="AZ473" s="127">
        <v>32359</v>
      </c>
      <c r="BA473" s="93" t="s">
        <v>6872</v>
      </c>
      <c r="BB473" s="93" t="s">
        <v>428</v>
      </c>
      <c r="BC473" s="92" t="s">
        <v>149</v>
      </c>
      <c r="BD473" s="93">
        <v>82321019715</v>
      </c>
      <c r="BE473" s="93" t="s">
        <v>98</v>
      </c>
      <c r="BF473" s="67" t="s">
        <v>6448</v>
      </c>
      <c r="BG473" s="92"/>
      <c r="BH473" s="93"/>
      <c r="BI473" s="93"/>
      <c r="BJ473" s="91"/>
      <c r="BK473" s="92"/>
      <c r="BL473" s="92"/>
      <c r="BM473" s="92"/>
      <c r="BN473" s="64" t="s">
        <v>161</v>
      </c>
      <c r="BO473" s="92"/>
      <c r="BP473" s="92"/>
      <c r="BQ473" s="136"/>
      <c r="BR473" s="93"/>
      <c r="BS473" s="93"/>
      <c r="BT473" s="92"/>
      <c r="BU473" s="93"/>
      <c r="BV473" s="93"/>
      <c r="BW473" s="92"/>
      <c r="BX473" s="93"/>
      <c r="BY473" s="93"/>
      <c r="BZ473" s="92"/>
      <c r="CA473" s="92"/>
      <c r="CB473" s="92"/>
      <c r="CC473" s="92"/>
      <c r="CD473" s="92"/>
      <c r="CE473" s="64" t="s">
        <v>7273</v>
      </c>
      <c r="CF473" s="67">
        <v>45750</v>
      </c>
      <c r="CG473" s="64" t="s">
        <v>7273</v>
      </c>
      <c r="CH473" s="92" t="s">
        <v>6945</v>
      </c>
      <c r="CI473" s="92" t="s">
        <v>122</v>
      </c>
      <c r="CJ473" s="92" t="s">
        <v>111</v>
      </c>
      <c r="CK473" s="89">
        <v>45315</v>
      </c>
      <c r="CL473" s="64" t="str">
        <f t="shared" ca="1" si="7"/>
        <v>12 Tahun 7 Bulan 26 Hari</v>
      </c>
      <c r="CM47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Cipameungpeuk RT/RW 45750 Desa/Kelurahan Cipameungpeuk Kecamatan Sumedang Selatan Sumedang Jawa Barat 45315</v>
      </c>
    </row>
    <row r="474" spans="1:91" ht="24.95" customHeight="1">
      <c r="A474" s="58">
        <f>SUBTOTAL(3,N$8:Table2[[#This Row],[Nama lengkap]])</f>
        <v>467</v>
      </c>
      <c r="B474" s="89" t="s">
        <v>86</v>
      </c>
      <c r="C474" s="89">
        <v>2025</v>
      </c>
      <c r="D474" s="89"/>
      <c r="E474" s="89" t="s">
        <v>4805</v>
      </c>
      <c r="F474" s="58" t="s">
        <v>6987</v>
      </c>
      <c r="G474" s="32" t="s">
        <v>2513</v>
      </c>
      <c r="H474" s="32" t="s">
        <v>2513</v>
      </c>
      <c r="I474" s="90" t="s">
        <v>2513</v>
      </c>
      <c r="J474" s="90"/>
      <c r="K474" s="90"/>
      <c r="L474" s="90"/>
      <c r="M474" s="89">
        <v>25260136</v>
      </c>
      <c r="N474" s="91" t="s">
        <v>3673</v>
      </c>
      <c r="O474" s="91"/>
      <c r="P474" s="90">
        <v>3122423166</v>
      </c>
      <c r="Q474" s="90" t="s">
        <v>6947</v>
      </c>
      <c r="R474" s="90" t="s">
        <v>122</v>
      </c>
      <c r="S474" s="101">
        <v>41227</v>
      </c>
      <c r="T474" s="47" t="s">
        <v>92</v>
      </c>
      <c r="U474" s="89">
        <v>2</v>
      </c>
      <c r="V474" s="89">
        <v>1</v>
      </c>
      <c r="W474" s="47" t="s">
        <v>207</v>
      </c>
      <c r="X474" s="92" t="s">
        <v>6434</v>
      </c>
      <c r="Y474" s="92" t="s">
        <v>6948</v>
      </c>
      <c r="Z474" s="92" t="s">
        <v>6631</v>
      </c>
      <c r="AA474" s="92" t="s">
        <v>6451</v>
      </c>
      <c r="AB474" s="92" t="s">
        <v>97</v>
      </c>
      <c r="AC474" s="92" t="s">
        <v>98</v>
      </c>
      <c r="AD474" s="92" t="s">
        <v>98</v>
      </c>
      <c r="AE474" s="93" t="s">
        <v>9060</v>
      </c>
      <c r="AF474" s="93" t="s">
        <v>6949</v>
      </c>
      <c r="AG474" s="92" t="s">
        <v>6949</v>
      </c>
      <c r="AH474" s="92" t="s">
        <v>101</v>
      </c>
      <c r="AI474" s="92" t="s">
        <v>942</v>
      </c>
      <c r="AJ474" s="101">
        <v>31469</v>
      </c>
      <c r="AK474" s="93" t="s">
        <v>6950</v>
      </c>
      <c r="AL474" s="93" t="s">
        <v>114</v>
      </c>
      <c r="AM474" s="92" t="s">
        <v>96</v>
      </c>
      <c r="AN474" s="93">
        <v>85797850578</v>
      </c>
      <c r="AO474" s="93" t="s">
        <v>266</v>
      </c>
      <c r="AP474" s="92" t="s">
        <v>6951</v>
      </c>
      <c r="AQ474" s="90">
        <v>45660</v>
      </c>
      <c r="AR474" s="93" t="s">
        <v>6952</v>
      </c>
      <c r="AS474" s="92" t="s">
        <v>6953</v>
      </c>
      <c r="AT474" s="92" t="s">
        <v>6772</v>
      </c>
      <c r="AU474" s="92" t="s">
        <v>318</v>
      </c>
      <c r="AV474" s="92">
        <v>45362</v>
      </c>
      <c r="AW474" s="92" t="s">
        <v>8179</v>
      </c>
      <c r="AX474" s="92" t="s">
        <v>101</v>
      </c>
      <c r="AY474" s="92" t="s">
        <v>122</v>
      </c>
      <c r="AZ474" s="127">
        <v>29768</v>
      </c>
      <c r="BA474" s="93" t="s">
        <v>6954</v>
      </c>
      <c r="BB474" s="93" t="s">
        <v>428</v>
      </c>
      <c r="BC474" s="92" t="s">
        <v>96</v>
      </c>
      <c r="BD474" s="93">
        <v>85797850578</v>
      </c>
      <c r="BE474" s="93" t="s">
        <v>548</v>
      </c>
      <c r="BF474" s="67" t="s">
        <v>6448</v>
      </c>
      <c r="BG474" s="92"/>
      <c r="BH474" s="93"/>
      <c r="BI474" s="93"/>
      <c r="BJ474" s="91"/>
      <c r="BK474" s="92"/>
      <c r="BL474" s="92"/>
      <c r="BM474" s="92"/>
      <c r="BN474" s="64" t="s">
        <v>448</v>
      </c>
      <c r="BO474" s="92"/>
      <c r="BP474" s="92"/>
      <c r="BQ474" s="136"/>
      <c r="BR474" s="93"/>
      <c r="BS474" s="93"/>
      <c r="BT474" s="92"/>
      <c r="BU474" s="93"/>
      <c r="BV474" s="93"/>
      <c r="BW474" s="92"/>
      <c r="BX474" s="93"/>
      <c r="BY474" s="93"/>
      <c r="BZ474" s="92"/>
      <c r="CA474" s="92"/>
      <c r="CB474" s="92"/>
      <c r="CC474" s="92"/>
      <c r="CD474" s="92"/>
      <c r="CE474" s="64" t="s">
        <v>7697</v>
      </c>
      <c r="CF474" s="67" t="s">
        <v>2349</v>
      </c>
      <c r="CG474" s="64" t="s">
        <v>592</v>
      </c>
      <c r="CH474" s="92" t="s">
        <v>593</v>
      </c>
      <c r="CI474" s="92" t="s">
        <v>122</v>
      </c>
      <c r="CJ474" s="92" t="s">
        <v>111</v>
      </c>
      <c r="CK474" s="89">
        <v>45362</v>
      </c>
      <c r="CL474" s="64" t="str">
        <f t="shared" ca="1" si="7"/>
        <v>13 Tahun 2 Bulan 9 Hari</v>
      </c>
      <c r="CM47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Pagaden RT/RW 003/001 Desa/Kelurahan Margajaya Kecamatan Tanjungsari Sumedang Jawa Barat 45362</v>
      </c>
    </row>
    <row r="475" spans="1:91" ht="24.95" customHeight="1">
      <c r="A475" s="58">
        <f>SUBTOTAL(3,N$8:Table2[[#This Row],[Nama lengkap]])</f>
        <v>468</v>
      </c>
      <c r="B475" s="89" t="s">
        <v>86</v>
      </c>
      <c r="C475" s="89">
        <v>2025</v>
      </c>
      <c r="D475" s="89"/>
      <c r="E475" s="89" t="s">
        <v>4805</v>
      </c>
      <c r="F475" s="58" t="s">
        <v>6987</v>
      </c>
      <c r="G475" s="32" t="s">
        <v>2513</v>
      </c>
      <c r="H475" s="32" t="s">
        <v>2513</v>
      </c>
      <c r="I475" s="90" t="s">
        <v>2513</v>
      </c>
      <c r="J475" s="90"/>
      <c r="K475" s="90"/>
      <c r="L475" s="90"/>
      <c r="M475" s="89">
        <v>25260120</v>
      </c>
      <c r="N475" s="91" t="s">
        <v>6074</v>
      </c>
      <c r="O475" s="91"/>
      <c r="P475" s="90" t="s">
        <v>6464</v>
      </c>
      <c r="Q475" s="90" t="s">
        <v>6465</v>
      </c>
      <c r="R475" s="90" t="s">
        <v>122</v>
      </c>
      <c r="S475" s="101">
        <v>41273</v>
      </c>
      <c r="T475" s="47" t="s">
        <v>92</v>
      </c>
      <c r="U475" s="89">
        <v>4</v>
      </c>
      <c r="V475" s="89">
        <v>3</v>
      </c>
      <c r="W475" s="47" t="s">
        <v>207</v>
      </c>
      <c r="X475" s="92" t="s">
        <v>6434</v>
      </c>
      <c r="Y475" s="92" t="s">
        <v>6466</v>
      </c>
      <c r="Z475" s="92" t="s">
        <v>819</v>
      </c>
      <c r="AA475" s="92" t="s">
        <v>6451</v>
      </c>
      <c r="AB475" s="92" t="s">
        <v>97</v>
      </c>
      <c r="AC475" s="92" t="s">
        <v>98</v>
      </c>
      <c r="AD475" s="92" t="s">
        <v>98</v>
      </c>
      <c r="AE475" s="93" t="s">
        <v>2830</v>
      </c>
      <c r="AF475" s="93" t="s">
        <v>8486</v>
      </c>
      <c r="AG475" s="92" t="s">
        <v>8486</v>
      </c>
      <c r="AH475" s="92" t="s">
        <v>101</v>
      </c>
      <c r="AI475" s="92" t="s">
        <v>122</v>
      </c>
      <c r="AJ475" s="101">
        <v>26865</v>
      </c>
      <c r="AK475" s="93" t="s">
        <v>2832</v>
      </c>
      <c r="AL475" s="93" t="s">
        <v>224</v>
      </c>
      <c r="AM475" s="92" t="s">
        <v>149</v>
      </c>
      <c r="AN475" s="93" t="s">
        <v>9061</v>
      </c>
      <c r="AO475" s="93" t="s">
        <v>117</v>
      </c>
      <c r="AP475" s="92" t="s">
        <v>6467</v>
      </c>
      <c r="AQ475" s="90" t="s">
        <v>783</v>
      </c>
      <c r="AR475" s="93" t="s">
        <v>6468</v>
      </c>
      <c r="AS475" s="92" t="s">
        <v>2173</v>
      </c>
      <c r="AT475" s="92" t="s">
        <v>1090</v>
      </c>
      <c r="AU475" s="92" t="s">
        <v>156</v>
      </c>
      <c r="AV475" s="92">
        <v>45363</v>
      </c>
      <c r="AW475" s="92" t="s">
        <v>7995</v>
      </c>
      <c r="AX475" s="92" t="s">
        <v>101</v>
      </c>
      <c r="AY475" s="92" t="s">
        <v>90</v>
      </c>
      <c r="AZ475" s="127">
        <v>29763</v>
      </c>
      <c r="BA475" s="93" t="s">
        <v>2836</v>
      </c>
      <c r="BB475" s="93" t="s">
        <v>428</v>
      </c>
      <c r="BC475" s="92" t="s">
        <v>149</v>
      </c>
      <c r="BD475" s="93" t="s">
        <v>6469</v>
      </c>
      <c r="BE475" s="93" t="s">
        <v>117</v>
      </c>
      <c r="BF475" s="67" t="s">
        <v>6448</v>
      </c>
      <c r="BG475" s="92"/>
      <c r="BH475" s="93"/>
      <c r="BI475" s="93"/>
      <c r="BJ475" s="91"/>
      <c r="BK475" s="92"/>
      <c r="BL475" s="92"/>
      <c r="BM475" s="92"/>
      <c r="BN475" s="64" t="s">
        <v>6448</v>
      </c>
      <c r="BO475" s="92"/>
      <c r="BP475" s="92"/>
      <c r="BQ475" s="136"/>
      <c r="BR475" s="93"/>
      <c r="BS475" s="93"/>
      <c r="BT475" s="92"/>
      <c r="BU475" s="93"/>
      <c r="BV475" s="93"/>
      <c r="BW475" s="92"/>
      <c r="BX475" s="93"/>
      <c r="BY475" s="93"/>
      <c r="BZ475" s="92"/>
      <c r="CA475" s="92"/>
      <c r="CB475" s="92"/>
      <c r="CC475" s="92"/>
      <c r="CD475" s="92"/>
      <c r="CE475" s="64" t="s">
        <v>7524</v>
      </c>
      <c r="CF475" s="67" t="s">
        <v>9042</v>
      </c>
      <c r="CG475" s="64" t="s">
        <v>7202</v>
      </c>
      <c r="CH475" s="92" t="s">
        <v>561</v>
      </c>
      <c r="CI475" s="92" t="s">
        <v>122</v>
      </c>
      <c r="CJ475" s="92" t="s">
        <v>111</v>
      </c>
      <c r="CK475" s="89">
        <v>45363</v>
      </c>
      <c r="CL475" s="64" t="str">
        <f t="shared" ca="1" si="7"/>
        <v>13 Tahun 0 Bulan 24 Hari</v>
      </c>
      <c r="CM47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Sayang RT/RW 004/006 Desa/Kelurahan Sayang Kecamatan Jatinangor Sumedang Jawa Barat 45363</v>
      </c>
    </row>
    <row r="476" spans="1:91" ht="24.95" customHeight="1">
      <c r="A476" s="58">
        <f>SUBTOTAL(3,N$8:Table2[[#This Row],[Nama lengkap]])</f>
        <v>469</v>
      </c>
      <c r="B476" s="89" t="s">
        <v>86</v>
      </c>
      <c r="C476" s="89">
        <v>2025</v>
      </c>
      <c r="D476" s="89"/>
      <c r="E476" s="89" t="s">
        <v>4805</v>
      </c>
      <c r="F476" s="58" t="s">
        <v>6987</v>
      </c>
      <c r="G476" s="166" t="s">
        <v>8958</v>
      </c>
      <c r="H476" s="32"/>
      <c r="I476" s="90"/>
      <c r="J476" s="90"/>
      <c r="K476" s="90"/>
      <c r="L476" s="90"/>
      <c r="M476" s="89">
        <v>25260138</v>
      </c>
      <c r="N476" s="91" t="s">
        <v>6938</v>
      </c>
      <c r="O476" s="91"/>
      <c r="P476" s="90">
        <v>3126567862</v>
      </c>
      <c r="Q476" s="90" t="s">
        <v>6939</v>
      </c>
      <c r="R476" s="90" t="s">
        <v>122</v>
      </c>
      <c r="S476" s="101">
        <v>41206</v>
      </c>
      <c r="T476" s="47" t="s">
        <v>92</v>
      </c>
      <c r="U476" s="89" t="s">
        <v>6940</v>
      </c>
      <c r="V476" s="89">
        <v>5</v>
      </c>
      <c r="W476" s="47" t="s">
        <v>207</v>
      </c>
      <c r="X476" s="92" t="s">
        <v>6434</v>
      </c>
      <c r="Y476" s="92" t="s">
        <v>94</v>
      </c>
      <c r="Z476" s="92" t="s">
        <v>810</v>
      </c>
      <c r="AA476" s="92" t="s">
        <v>6451</v>
      </c>
      <c r="AB476" s="92" t="s">
        <v>97</v>
      </c>
      <c r="AC476" s="92" t="s">
        <v>98</v>
      </c>
      <c r="AD476" s="92" t="s">
        <v>98</v>
      </c>
      <c r="AE476" s="93">
        <v>3211172203064360</v>
      </c>
      <c r="AF476" s="93" t="s">
        <v>6941</v>
      </c>
      <c r="AG476" s="92" t="s">
        <v>6941</v>
      </c>
      <c r="AH476" s="92" t="s">
        <v>101</v>
      </c>
      <c r="AI476" s="92" t="s">
        <v>942</v>
      </c>
      <c r="AJ476" s="101">
        <v>25041</v>
      </c>
      <c r="AK476" s="93" t="s">
        <v>6942</v>
      </c>
      <c r="AL476" s="93" t="s">
        <v>7774</v>
      </c>
      <c r="AM476" s="92" t="s">
        <v>128</v>
      </c>
      <c r="AN476" s="93">
        <v>82119355899</v>
      </c>
      <c r="AO476" s="93" t="s">
        <v>117</v>
      </c>
      <c r="AP476" s="92" t="s">
        <v>6943</v>
      </c>
      <c r="AQ476" s="90">
        <v>110</v>
      </c>
      <c r="AR476" s="93" t="s">
        <v>6944</v>
      </c>
      <c r="AS476" s="92" t="s">
        <v>6945</v>
      </c>
      <c r="AT476" s="92" t="s">
        <v>122</v>
      </c>
      <c r="AU476" s="92" t="s">
        <v>111</v>
      </c>
      <c r="AV476" s="92">
        <v>463211</v>
      </c>
      <c r="AW476" s="92" t="s">
        <v>8180</v>
      </c>
      <c r="AX476" s="92" t="s">
        <v>101</v>
      </c>
      <c r="AY476" s="92" t="s">
        <v>122</v>
      </c>
      <c r="AZ476" s="127">
        <v>26482</v>
      </c>
      <c r="BA476" s="93" t="s">
        <v>6946</v>
      </c>
      <c r="BB476" s="93" t="s">
        <v>428</v>
      </c>
      <c r="BC476" s="92" t="s">
        <v>128</v>
      </c>
      <c r="BD476" s="93">
        <v>87746174601</v>
      </c>
      <c r="BE476" s="93" t="s">
        <v>548</v>
      </c>
      <c r="BF476" s="67" t="s">
        <v>6448</v>
      </c>
      <c r="BG476" s="92"/>
      <c r="BH476" s="93"/>
      <c r="BI476" s="93"/>
      <c r="BJ476" s="91"/>
      <c r="BK476" s="92"/>
      <c r="BL476" s="92"/>
      <c r="BM476" s="92"/>
      <c r="BN476" s="64" t="s">
        <v>161</v>
      </c>
      <c r="BO476" s="92"/>
      <c r="BP476" s="92"/>
      <c r="BQ476" s="136"/>
      <c r="BR476" s="93"/>
      <c r="BS476" s="93"/>
      <c r="BT476" s="92"/>
      <c r="BU476" s="93"/>
      <c r="BV476" s="93"/>
      <c r="BW476" s="92"/>
      <c r="BX476" s="93"/>
      <c r="BY476" s="93"/>
      <c r="BZ476" s="92"/>
      <c r="CA476" s="92"/>
      <c r="CB476" s="92"/>
      <c r="CC476" s="92"/>
      <c r="CD476" s="92"/>
      <c r="CE476" s="64" t="s">
        <v>7698</v>
      </c>
      <c r="CF476" s="67">
        <v>110</v>
      </c>
      <c r="CG476" s="64" t="s">
        <v>7246</v>
      </c>
      <c r="CH476" s="92" t="s">
        <v>6945</v>
      </c>
      <c r="CI476" s="92" t="s">
        <v>122</v>
      </c>
      <c r="CJ476" s="92" t="s">
        <v>111</v>
      </c>
      <c r="CK476" s="89">
        <v>463211</v>
      </c>
      <c r="CL476" s="64" t="str">
        <f t="shared" ca="1" si="7"/>
        <v>13 Tahun 2 Bulan 30 Hari</v>
      </c>
      <c r="CM47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Lingkungan Kaum RT/RW 110 Desa/Kelurahan Regol Wetan Kecamatan Sumedang Selatan Sumedang Jawa Barat 463211</v>
      </c>
    </row>
    <row r="477" spans="1:91" ht="24.95" customHeight="1">
      <c r="A477" s="58">
        <f>SUBTOTAL(3,N$8:Table2[[#This Row],[Nama lengkap]])</f>
        <v>470</v>
      </c>
      <c r="B477" s="89" t="s">
        <v>86</v>
      </c>
      <c r="C477" s="89">
        <v>2025</v>
      </c>
      <c r="D477" s="89"/>
      <c r="E477" s="89" t="s">
        <v>4805</v>
      </c>
      <c r="F477" s="58" t="s">
        <v>6987</v>
      </c>
      <c r="G477" s="166" t="s">
        <v>8959</v>
      </c>
      <c r="H477" s="32"/>
      <c r="I477" s="90"/>
      <c r="J477" s="90"/>
      <c r="K477" s="90"/>
      <c r="L477" s="90"/>
      <c r="M477" s="89">
        <v>25260076</v>
      </c>
      <c r="N477" s="105" t="s">
        <v>8874</v>
      </c>
      <c r="O477" s="105"/>
      <c r="P477" s="90">
        <v>3122066234</v>
      </c>
      <c r="Q477" s="90" t="s">
        <v>6815</v>
      </c>
      <c r="R477" s="90" t="s">
        <v>6562</v>
      </c>
      <c r="S477" s="101">
        <v>41460</v>
      </c>
      <c r="T477" s="47" t="s">
        <v>92</v>
      </c>
      <c r="U477" s="89">
        <v>1</v>
      </c>
      <c r="V477" s="89">
        <v>1</v>
      </c>
      <c r="W477" s="47" t="s">
        <v>207</v>
      </c>
      <c r="X477" s="92" t="s">
        <v>6434</v>
      </c>
      <c r="Y477" s="92" t="s">
        <v>94</v>
      </c>
      <c r="Z477" s="92" t="s">
        <v>6816</v>
      </c>
      <c r="AA477" s="92" t="s">
        <v>6451</v>
      </c>
      <c r="AB477" s="92" t="s">
        <v>97</v>
      </c>
      <c r="AC477" s="92" t="s">
        <v>98</v>
      </c>
      <c r="AD477" s="92" t="s">
        <v>98</v>
      </c>
      <c r="AE477" s="93">
        <v>3214032511140000</v>
      </c>
      <c r="AF477" s="93" t="s">
        <v>6817</v>
      </c>
      <c r="AG477" s="92" t="s">
        <v>6817</v>
      </c>
      <c r="AH477" s="92" t="s">
        <v>101</v>
      </c>
      <c r="AI477" s="92" t="s">
        <v>6562</v>
      </c>
      <c r="AJ477" s="101">
        <v>32235</v>
      </c>
      <c r="AK477" s="93" t="s">
        <v>6818</v>
      </c>
      <c r="AL477" s="93" t="s">
        <v>343</v>
      </c>
      <c r="AM477" s="92" t="s">
        <v>149</v>
      </c>
      <c r="AN477" s="93">
        <v>87720362203</v>
      </c>
      <c r="AO477" s="93" t="s">
        <v>106</v>
      </c>
      <c r="AP477" s="92" t="s">
        <v>6819</v>
      </c>
      <c r="AQ477" s="90">
        <v>45890</v>
      </c>
      <c r="AR477" s="93" t="s">
        <v>6820</v>
      </c>
      <c r="AS477" s="92" t="s">
        <v>6821</v>
      </c>
      <c r="AT477" s="92" t="s">
        <v>6562</v>
      </c>
      <c r="AU477" s="92" t="s">
        <v>318</v>
      </c>
      <c r="AV477" s="92">
        <v>41152</v>
      </c>
      <c r="AW477" s="92"/>
      <c r="AX477" s="92" t="s">
        <v>101</v>
      </c>
      <c r="AY477" s="92" t="s">
        <v>6562</v>
      </c>
      <c r="AZ477" s="127">
        <v>34216</v>
      </c>
      <c r="BA477" s="93" t="s">
        <v>6822</v>
      </c>
      <c r="BB477" s="93" t="s">
        <v>428</v>
      </c>
      <c r="BC477" s="92" t="s">
        <v>149</v>
      </c>
      <c r="BD477" s="93">
        <v>87728712632</v>
      </c>
      <c r="BE477" s="93" t="s">
        <v>98</v>
      </c>
      <c r="BF477" s="67" t="s">
        <v>6448</v>
      </c>
      <c r="BG477" s="92"/>
      <c r="BH477" s="93"/>
      <c r="BI477" s="93"/>
      <c r="BJ477" s="91"/>
      <c r="BK477" s="92"/>
      <c r="BL477" s="92"/>
      <c r="BM477" s="92"/>
      <c r="BN477" s="64" t="s">
        <v>161</v>
      </c>
      <c r="BO477" s="92"/>
      <c r="BP477" s="92"/>
      <c r="BQ477" s="136"/>
      <c r="BR477" s="93"/>
      <c r="BS477" s="93"/>
      <c r="BT477" s="92"/>
      <c r="BU477" s="93"/>
      <c r="BV477" s="93"/>
      <c r="BW477" s="92"/>
      <c r="BX477" s="93"/>
      <c r="BY477" s="93"/>
      <c r="BZ477" s="92"/>
      <c r="CA477" s="92"/>
      <c r="CB477" s="92"/>
      <c r="CC477" s="92"/>
      <c r="CD477" s="92"/>
      <c r="CE477" s="64" t="s">
        <v>6819</v>
      </c>
      <c r="CF477" s="67">
        <v>45890</v>
      </c>
      <c r="CG477" s="64" t="s">
        <v>6820</v>
      </c>
      <c r="CH477" s="92" t="s">
        <v>6821</v>
      </c>
      <c r="CI477" s="92" t="s">
        <v>6562</v>
      </c>
      <c r="CJ477" s="92" t="s">
        <v>111</v>
      </c>
      <c r="CK477" s="89">
        <v>41152</v>
      </c>
      <c r="CL477" s="64" t="str">
        <f t="shared" ca="1" si="7"/>
        <v>12 Tahun 6 Bulan 18 Hari</v>
      </c>
      <c r="CM47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Kp.Tegalnangklak RT/RW 45890 Desa/Kelurahan Bunder Kecamatan Jatiluhur Purwakarta Jawa Barat 41152</v>
      </c>
    </row>
    <row r="478" spans="1:91" ht="24.95" customHeight="1">
      <c r="A478" s="58">
        <f>SUBTOTAL(3,N$8:Table2[[#This Row],[Nama lengkap]])</f>
        <v>471</v>
      </c>
      <c r="B478" s="89" t="s">
        <v>86</v>
      </c>
      <c r="C478" s="89">
        <v>2025</v>
      </c>
      <c r="D478" s="89"/>
      <c r="E478" s="89" t="s">
        <v>4805</v>
      </c>
      <c r="F478" s="58" t="s">
        <v>6987</v>
      </c>
      <c r="G478" s="32" t="s">
        <v>2513</v>
      </c>
      <c r="H478" s="32" t="s">
        <v>2513</v>
      </c>
      <c r="I478" s="90" t="s">
        <v>2513</v>
      </c>
      <c r="J478" s="90"/>
      <c r="K478" s="90"/>
      <c r="L478" s="90"/>
      <c r="M478" s="89">
        <v>25260101</v>
      </c>
      <c r="N478" s="91" t="s">
        <v>6833</v>
      </c>
      <c r="O478" s="91"/>
      <c r="P478" s="90" t="s">
        <v>7008</v>
      </c>
      <c r="Q478" s="90" t="s">
        <v>6834</v>
      </c>
      <c r="R478" s="90" t="s">
        <v>90</v>
      </c>
      <c r="S478" s="101">
        <v>39978</v>
      </c>
      <c r="T478" s="47" t="s">
        <v>92</v>
      </c>
      <c r="U478" s="89">
        <v>2</v>
      </c>
      <c r="V478" s="89">
        <v>1</v>
      </c>
      <c r="W478" s="47" t="s">
        <v>207</v>
      </c>
      <c r="X478" s="92" t="s">
        <v>93</v>
      </c>
      <c r="Y478" s="92" t="s">
        <v>6835</v>
      </c>
      <c r="Z478" s="92" t="s">
        <v>6836</v>
      </c>
      <c r="AA478" s="92" t="s">
        <v>6451</v>
      </c>
      <c r="AB478" s="92" t="s">
        <v>97</v>
      </c>
      <c r="AC478" s="92" t="s">
        <v>6837</v>
      </c>
      <c r="AD478" s="92" t="s">
        <v>98</v>
      </c>
      <c r="AE478" s="93" t="s">
        <v>9004</v>
      </c>
      <c r="AF478" s="93" t="s">
        <v>6838</v>
      </c>
      <c r="AG478" s="92" t="s">
        <v>6838</v>
      </c>
      <c r="AH478" s="92" t="s">
        <v>101</v>
      </c>
      <c r="AI478" s="92" t="s">
        <v>6839</v>
      </c>
      <c r="AJ478" s="101">
        <v>30195</v>
      </c>
      <c r="AK478" s="93" t="s">
        <v>9005</v>
      </c>
      <c r="AL478" s="93" t="s">
        <v>114</v>
      </c>
      <c r="AM478" s="92" t="s">
        <v>149</v>
      </c>
      <c r="AN478" s="93">
        <v>81221686666</v>
      </c>
      <c r="AO478" s="93" t="s">
        <v>106</v>
      </c>
      <c r="AP478" s="92" t="s">
        <v>6840</v>
      </c>
      <c r="AQ478" s="90">
        <v>43497</v>
      </c>
      <c r="AR478" s="93" t="s">
        <v>6841</v>
      </c>
      <c r="AS478" s="92" t="s">
        <v>110</v>
      </c>
      <c r="AT478" s="92" t="s">
        <v>90</v>
      </c>
      <c r="AU478" s="92" t="s">
        <v>111</v>
      </c>
      <c r="AV478" s="92">
        <v>40921</v>
      </c>
      <c r="AW478" s="92" t="s">
        <v>6842</v>
      </c>
      <c r="AX478" s="92" t="s">
        <v>101</v>
      </c>
      <c r="AY478" s="92" t="s">
        <v>388</v>
      </c>
      <c r="AZ478" s="69">
        <v>30122</v>
      </c>
      <c r="BA478" s="93" t="s">
        <v>6843</v>
      </c>
      <c r="BB478" s="93" t="s">
        <v>845</v>
      </c>
      <c r="BC478" s="92" t="s">
        <v>128</v>
      </c>
      <c r="BD478" s="93">
        <v>8170865800</v>
      </c>
      <c r="BE478" s="93" t="s">
        <v>106</v>
      </c>
      <c r="BF478" s="67" t="s">
        <v>6448</v>
      </c>
      <c r="BG478" s="92"/>
      <c r="BH478" s="93"/>
      <c r="BI478" s="93"/>
      <c r="BJ478" s="91"/>
      <c r="BK478" s="92"/>
      <c r="BL478" s="92"/>
      <c r="BM478" s="92"/>
      <c r="BN478" s="64" t="s">
        <v>161</v>
      </c>
      <c r="BO478" s="92"/>
      <c r="BP478" s="92"/>
      <c r="BQ478" s="136"/>
      <c r="BR478" s="93"/>
      <c r="BS478" s="93"/>
      <c r="BT478" s="92"/>
      <c r="BU478" s="93"/>
      <c r="BV478" s="93"/>
      <c r="BW478" s="92"/>
      <c r="BX478" s="93"/>
      <c r="BY478" s="93"/>
      <c r="BZ478" s="92"/>
      <c r="CA478" s="92"/>
      <c r="CB478" s="92"/>
      <c r="CC478" s="92"/>
      <c r="CD478" s="92"/>
      <c r="CE478" s="64" t="s">
        <v>6840</v>
      </c>
      <c r="CF478" s="67" t="s">
        <v>9006</v>
      </c>
      <c r="CG478" s="64" t="s">
        <v>6841</v>
      </c>
      <c r="CH478" s="92" t="s">
        <v>110</v>
      </c>
      <c r="CI478" s="92" t="s">
        <v>90</v>
      </c>
      <c r="CJ478" s="92" t="s">
        <v>111</v>
      </c>
      <c r="CK478" s="89">
        <v>40921</v>
      </c>
      <c r="CL478" s="64" t="str">
        <f t="shared" ca="1" si="7"/>
        <v>16 Tahun 7 Bulan 9 Hari</v>
      </c>
      <c r="CM47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 Ciborerang No.47 RT/RW 02/19 Desa/Kelurahan Sangkanhurip Kecamatan Katapang Bandung Jawa Barat 40921</v>
      </c>
    </row>
    <row r="479" spans="1:91" ht="24.95" hidden="1" customHeight="1">
      <c r="A479" s="89">
        <f>SUBTOTAL(3,N$8:Table2[[#This Row],[Nama lengkap]])</f>
        <v>471</v>
      </c>
      <c r="B479" s="58" t="s">
        <v>9913</v>
      </c>
      <c r="C479" s="89"/>
      <c r="D479" s="89"/>
      <c r="E479" s="89"/>
      <c r="F479" s="89"/>
      <c r="G479" s="166"/>
      <c r="H479" s="32"/>
      <c r="I479" s="90"/>
      <c r="J479" s="32"/>
      <c r="K479" s="32"/>
      <c r="L479" s="32"/>
      <c r="M479" s="89"/>
      <c r="N479" s="91" t="s">
        <v>9065</v>
      </c>
      <c r="O479" s="24"/>
      <c r="P479" s="90"/>
      <c r="Q479" s="90" t="s">
        <v>9419</v>
      </c>
      <c r="R479" s="91" t="s">
        <v>122</v>
      </c>
      <c r="S479" s="101"/>
      <c r="T479" s="142"/>
      <c r="U479" s="89"/>
      <c r="V479" s="89"/>
      <c r="W479" s="141"/>
      <c r="X479" s="92"/>
      <c r="Y479" s="92"/>
      <c r="Z479" s="92"/>
      <c r="AA479" s="92" t="s">
        <v>795</v>
      </c>
      <c r="AB479" s="92"/>
      <c r="AC479" s="92"/>
      <c r="AD479" s="92"/>
      <c r="AE479" s="93" t="s">
        <v>9326</v>
      </c>
      <c r="AF479" s="91"/>
      <c r="AG479" s="91" t="s">
        <v>9524</v>
      </c>
      <c r="AH479" s="91"/>
      <c r="AI479" s="92"/>
      <c r="AJ479" s="101"/>
      <c r="AK479" s="90" t="s">
        <v>9726</v>
      </c>
      <c r="AL479" s="93" t="s">
        <v>224</v>
      </c>
      <c r="AM479" s="91"/>
      <c r="AN479" s="93"/>
      <c r="AO479" s="92"/>
      <c r="AP479" s="93" t="s">
        <v>9186</v>
      </c>
      <c r="AQ479" s="90"/>
      <c r="AR479" s="89" t="s">
        <v>7127</v>
      </c>
      <c r="AS479" s="93" t="s">
        <v>7128</v>
      </c>
      <c r="AT479" s="92" t="s">
        <v>122</v>
      </c>
      <c r="AU479" s="92" t="s">
        <v>111</v>
      </c>
      <c r="AV479" s="92"/>
      <c r="AW479" s="92" t="s">
        <v>9622</v>
      </c>
      <c r="AX479" s="91"/>
      <c r="AY479" s="91"/>
      <c r="AZ479" s="127"/>
      <c r="BA479" s="143" t="s">
        <v>9817</v>
      </c>
      <c r="BB479" s="101" t="s">
        <v>216</v>
      </c>
      <c r="BC479" s="93"/>
      <c r="BD479" s="143"/>
      <c r="BE479" s="92"/>
      <c r="BF479" s="67"/>
      <c r="BG479" s="93" t="s">
        <v>9186</v>
      </c>
      <c r="BH479" s="93"/>
      <c r="BI479" s="91" t="s">
        <v>7127</v>
      </c>
      <c r="BJ479" s="91" t="s">
        <v>7128</v>
      </c>
      <c r="BK479" s="93" t="s">
        <v>122</v>
      </c>
      <c r="BL479" s="91" t="s">
        <v>111</v>
      </c>
      <c r="BM479" s="92"/>
      <c r="BN479" s="64"/>
      <c r="BO479" s="92"/>
      <c r="BP479" s="92"/>
      <c r="BQ479" s="136"/>
      <c r="BR479" s="93"/>
      <c r="BS479" s="92"/>
      <c r="BT479" s="93"/>
      <c r="BU479" s="93"/>
      <c r="BV479" s="92"/>
      <c r="BW479" s="92"/>
      <c r="BX479" s="93"/>
      <c r="BY479" s="92"/>
      <c r="BZ479" s="92"/>
      <c r="CA479" s="93"/>
      <c r="CB479" s="92"/>
      <c r="CC479" s="92"/>
      <c r="CD479" s="92"/>
      <c r="CE479" s="64" t="s">
        <v>9186</v>
      </c>
      <c r="CF479" s="67"/>
      <c r="CG479" s="40" t="s">
        <v>7127</v>
      </c>
      <c r="CH479" s="92" t="s">
        <v>7128</v>
      </c>
      <c r="CI479" s="91" t="s">
        <v>122</v>
      </c>
      <c r="CJ479" s="91" t="s">
        <v>111</v>
      </c>
      <c r="CK479" s="89"/>
      <c r="CL479" s="91" t="str">
        <f t="shared" ca="1" si="7"/>
        <v>126 Tahun 0 Bulan 23 Hari</v>
      </c>
      <c r="CM479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Sukabakti RT/RW  Desa/Kelurahan Sukarapih Kecamatan Sukasari Sumedang Jawa Barat </v>
      </c>
    </row>
    <row r="480" spans="1:91" ht="24.95" hidden="1" customHeight="1">
      <c r="A480" s="89">
        <f>SUBTOTAL(3,N$8:Table2[[#This Row],[Nama lengkap]])</f>
        <v>471</v>
      </c>
      <c r="B480" s="58" t="s">
        <v>9913</v>
      </c>
      <c r="C480" s="89"/>
      <c r="D480" s="89"/>
      <c r="E480" s="89"/>
      <c r="F480" s="89"/>
      <c r="G480" s="166"/>
      <c r="H480" s="32"/>
      <c r="I480" s="90"/>
      <c r="J480" s="32"/>
      <c r="K480" s="32"/>
      <c r="L480" s="32"/>
      <c r="M480" s="89"/>
      <c r="N480" s="91" t="s">
        <v>9076</v>
      </c>
      <c r="O480" s="24"/>
      <c r="P480" s="90"/>
      <c r="Q480" s="90" t="s">
        <v>9428</v>
      </c>
      <c r="R480" s="91" t="s">
        <v>90</v>
      </c>
      <c r="S480" s="101"/>
      <c r="T480" s="142"/>
      <c r="U480" s="89"/>
      <c r="V480" s="89"/>
      <c r="W480" s="141"/>
      <c r="X480" s="92" t="s">
        <v>123</v>
      </c>
      <c r="Y480" s="92"/>
      <c r="Z480" s="92"/>
      <c r="AA480" s="92" t="s">
        <v>96</v>
      </c>
      <c r="AB480" s="92"/>
      <c r="AC480" s="92"/>
      <c r="AD480" s="92"/>
      <c r="AE480" s="93" t="s">
        <v>9335</v>
      </c>
      <c r="AF480" s="91"/>
      <c r="AG480" s="91" t="s">
        <v>9533</v>
      </c>
      <c r="AH480" s="91"/>
      <c r="AI480" s="92"/>
      <c r="AJ480" s="101"/>
      <c r="AK480" s="90" t="s">
        <v>9428</v>
      </c>
      <c r="AL480" s="93" t="s">
        <v>289</v>
      </c>
      <c r="AM480" s="91"/>
      <c r="AN480" s="93"/>
      <c r="AO480" s="92"/>
      <c r="AP480" s="93" t="s">
        <v>9198</v>
      </c>
      <c r="AQ480" s="90"/>
      <c r="AR480" s="89" t="s">
        <v>7086</v>
      </c>
      <c r="AS480" s="93" t="s">
        <v>4835</v>
      </c>
      <c r="AT480" s="92" t="s">
        <v>90</v>
      </c>
      <c r="AU480" s="92" t="s">
        <v>313</v>
      </c>
      <c r="AV480" s="92"/>
      <c r="AW480" s="92" t="s">
        <v>9630</v>
      </c>
      <c r="AX480" s="91"/>
      <c r="AY480" s="91"/>
      <c r="AZ480" s="127"/>
      <c r="BA480" s="143" t="s">
        <v>9826</v>
      </c>
      <c r="BB480" s="101" t="s">
        <v>216</v>
      </c>
      <c r="BC480" s="93"/>
      <c r="BD480" s="143"/>
      <c r="BE480" s="92"/>
      <c r="BF480" s="67"/>
      <c r="BG480" s="93" t="s">
        <v>9198</v>
      </c>
      <c r="BH480" s="93"/>
      <c r="BI480" s="91" t="s">
        <v>7086</v>
      </c>
      <c r="BJ480" s="91" t="s">
        <v>4835</v>
      </c>
      <c r="BK480" s="93" t="s">
        <v>90</v>
      </c>
      <c r="BL480" s="91" t="s">
        <v>313</v>
      </c>
      <c r="BM480" s="92"/>
      <c r="BN480" s="64"/>
      <c r="BO480" s="92"/>
      <c r="BP480" s="92"/>
      <c r="BQ480" s="136"/>
      <c r="BR480" s="93"/>
      <c r="BS480" s="92"/>
      <c r="BT480" s="93"/>
      <c r="BU480" s="93"/>
      <c r="BV480" s="92"/>
      <c r="BW480" s="92"/>
      <c r="BX480" s="93"/>
      <c r="BY480" s="92"/>
      <c r="BZ480" s="92"/>
      <c r="CA480" s="93"/>
      <c r="CB480" s="92"/>
      <c r="CC480" s="92"/>
      <c r="CD480" s="92"/>
      <c r="CE480" s="64" t="s">
        <v>9198</v>
      </c>
      <c r="CF480" s="67" t="s">
        <v>890</v>
      </c>
      <c r="CG480" s="40" t="s">
        <v>7086</v>
      </c>
      <c r="CH480" s="92" t="s">
        <v>4835</v>
      </c>
      <c r="CI480" s="91" t="s">
        <v>90</v>
      </c>
      <c r="CJ480" s="91" t="s">
        <v>313</v>
      </c>
      <c r="CK480" s="89"/>
      <c r="CL480" s="91" t="str">
        <f t="shared" ca="1" si="7"/>
        <v>126 Tahun 0 Bulan 23 Hari</v>
      </c>
      <c r="CM480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Nambo RT/RW 002/001 Desa/Kelurahan Batukarut Kecamatan Arjasari Bandung Jawabarat </v>
      </c>
    </row>
    <row r="481" spans="1:91" ht="24.95" hidden="1" customHeight="1">
      <c r="A481" s="89">
        <f>SUBTOTAL(3,N$8:Table2[[#This Row],[Nama lengkap]])</f>
        <v>471</v>
      </c>
      <c r="B481" s="58" t="s">
        <v>9913</v>
      </c>
      <c r="C481" s="89"/>
      <c r="D481" s="89"/>
      <c r="E481" s="89"/>
      <c r="F481" s="89"/>
      <c r="G481" s="166"/>
      <c r="H481" s="32"/>
      <c r="I481" s="90"/>
      <c r="J481" s="32"/>
      <c r="K481" s="32"/>
      <c r="L481" s="32"/>
      <c r="M481" s="89"/>
      <c r="N481" s="91" t="s">
        <v>9088</v>
      </c>
      <c r="O481" s="24"/>
      <c r="P481" s="90"/>
      <c r="Q481" s="90" t="s">
        <v>9440</v>
      </c>
      <c r="R481" s="91" t="s">
        <v>122</v>
      </c>
      <c r="S481" s="101"/>
      <c r="T481" s="142"/>
      <c r="U481" s="89"/>
      <c r="V481" s="89"/>
      <c r="W481" s="141"/>
      <c r="X481" s="92"/>
      <c r="Y481" s="92"/>
      <c r="Z481" s="92"/>
      <c r="AA481" s="92" t="s">
        <v>9316</v>
      </c>
      <c r="AB481" s="92"/>
      <c r="AC481" s="92"/>
      <c r="AD481" s="92"/>
      <c r="AE481" s="93" t="s">
        <v>9345</v>
      </c>
      <c r="AF481" s="91"/>
      <c r="AG481" s="91" t="s">
        <v>9543</v>
      </c>
      <c r="AH481" s="91"/>
      <c r="AI481" s="92"/>
      <c r="AJ481" s="101"/>
      <c r="AK481" s="90" t="s">
        <v>9743</v>
      </c>
      <c r="AL481" s="93" t="s">
        <v>8255</v>
      </c>
      <c r="AM481" s="91"/>
      <c r="AN481" s="93"/>
      <c r="AO481" s="92"/>
      <c r="AP481" s="93" t="s">
        <v>9210</v>
      </c>
      <c r="AQ481" s="90"/>
      <c r="AR481" s="89" t="s">
        <v>7110</v>
      </c>
      <c r="AS481" s="93" t="s">
        <v>7111</v>
      </c>
      <c r="AT481" s="92" t="s">
        <v>6772</v>
      </c>
      <c r="AU481" s="92" t="s">
        <v>313</v>
      </c>
      <c r="AV481" s="92"/>
      <c r="AW481" s="92" t="s">
        <v>9640</v>
      </c>
      <c r="AX481" s="91"/>
      <c r="AY481" s="91"/>
      <c r="AZ481" s="127"/>
      <c r="BA481" s="143" t="s">
        <v>9835</v>
      </c>
      <c r="BB481" s="101" t="s">
        <v>216</v>
      </c>
      <c r="BC481" s="93"/>
      <c r="BD481" s="143"/>
      <c r="BE481" s="92"/>
      <c r="BF481" s="67"/>
      <c r="BG481" s="93" t="s">
        <v>9210</v>
      </c>
      <c r="BH481" s="93"/>
      <c r="BI481" s="91" t="s">
        <v>7110</v>
      </c>
      <c r="BJ481" s="91" t="s">
        <v>7111</v>
      </c>
      <c r="BK481" s="93" t="s">
        <v>6772</v>
      </c>
      <c r="BL481" s="91" t="s">
        <v>313</v>
      </c>
      <c r="BM481" s="92"/>
      <c r="BN481" s="64"/>
      <c r="BO481" s="92"/>
      <c r="BP481" s="92"/>
      <c r="BQ481" s="136"/>
      <c r="BR481" s="93"/>
      <c r="BS481" s="92"/>
      <c r="BT481" s="93"/>
      <c r="BU481" s="93"/>
      <c r="BV481" s="92"/>
      <c r="BW481" s="92"/>
      <c r="BX481" s="93"/>
      <c r="BY481" s="92"/>
      <c r="BZ481" s="92"/>
      <c r="CA481" s="93"/>
      <c r="CB481" s="92"/>
      <c r="CC481" s="92"/>
      <c r="CD481" s="92"/>
      <c r="CE481" s="64" t="s">
        <v>9210</v>
      </c>
      <c r="CF481" s="67"/>
      <c r="CG481" s="40" t="s">
        <v>7110</v>
      </c>
      <c r="CH481" s="92" t="s">
        <v>7111</v>
      </c>
      <c r="CI481" s="91" t="s">
        <v>6772</v>
      </c>
      <c r="CJ481" s="91" t="s">
        <v>313</v>
      </c>
      <c r="CK481" s="89"/>
      <c r="CL481" s="91" t="str">
        <f t="shared" ca="1" si="7"/>
        <v>126 Tahun 0 Bulan 23 Hari</v>
      </c>
      <c r="CM481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 Pangkalan RT/RW  Desa/Kelurahan Kirisik Kecamatan Jatinunggal sumedang Jawabarat </v>
      </c>
    </row>
    <row r="482" spans="1:91" ht="24.95" hidden="1" customHeight="1">
      <c r="A482" s="89">
        <f>SUBTOTAL(3,N$8:Table2[[#This Row],[Nama lengkap]])</f>
        <v>471</v>
      </c>
      <c r="B482" s="58" t="s">
        <v>9913</v>
      </c>
      <c r="C482" s="89"/>
      <c r="D482" s="89"/>
      <c r="E482" s="89"/>
      <c r="F482" s="89"/>
      <c r="G482" s="166"/>
      <c r="H482" s="32"/>
      <c r="I482" s="90"/>
      <c r="J482" s="32"/>
      <c r="K482" s="32"/>
      <c r="L482" s="32"/>
      <c r="M482" s="89"/>
      <c r="N482" s="91" t="s">
        <v>9081</v>
      </c>
      <c r="O482" s="24"/>
      <c r="P482" s="90"/>
      <c r="Q482" s="90" t="s">
        <v>9433</v>
      </c>
      <c r="R482" s="91" t="s">
        <v>7129</v>
      </c>
      <c r="S482" s="101"/>
      <c r="T482" s="142"/>
      <c r="U482" s="89"/>
      <c r="V482" s="89"/>
      <c r="W482" s="141"/>
      <c r="X482" s="92" t="s">
        <v>432</v>
      </c>
      <c r="Y482" s="92"/>
      <c r="Z482" s="92"/>
      <c r="AA482" s="92" t="s">
        <v>1141</v>
      </c>
      <c r="AB482" s="92"/>
      <c r="AC482" s="92"/>
      <c r="AD482" s="92"/>
      <c r="AE482" s="93" t="s">
        <v>9339</v>
      </c>
      <c r="AF482" s="91"/>
      <c r="AG482" s="91" t="s">
        <v>9537</v>
      </c>
      <c r="AH482" s="91"/>
      <c r="AI482" s="92"/>
      <c r="AJ482" s="101"/>
      <c r="AK482" s="90" t="s">
        <v>9738</v>
      </c>
      <c r="AL482" s="93" t="s">
        <v>574</v>
      </c>
      <c r="AM482" s="91"/>
      <c r="AN482" s="93"/>
      <c r="AO482" s="92"/>
      <c r="AP482" s="93" t="s">
        <v>9203</v>
      </c>
      <c r="AQ482" s="90"/>
      <c r="AR482" s="89" t="s">
        <v>7145</v>
      </c>
      <c r="AS482" s="93" t="s">
        <v>6700</v>
      </c>
      <c r="AT482" s="92" t="s">
        <v>6358</v>
      </c>
      <c r="AU482" s="92" t="s">
        <v>313</v>
      </c>
      <c r="AV482" s="92"/>
      <c r="AW482" s="92" t="s">
        <v>9634</v>
      </c>
      <c r="AX482" s="91"/>
      <c r="AY482" s="91"/>
      <c r="AZ482" s="127"/>
      <c r="BA482" s="143" t="s">
        <v>9830</v>
      </c>
      <c r="BB482" s="101" t="s">
        <v>216</v>
      </c>
      <c r="BC482" s="93"/>
      <c r="BD482" s="143"/>
      <c r="BE482" s="92"/>
      <c r="BF482" s="67"/>
      <c r="BG482" s="93" t="s">
        <v>9203</v>
      </c>
      <c r="BH482" s="93"/>
      <c r="BI482" s="91" t="s">
        <v>7145</v>
      </c>
      <c r="BJ482" s="91" t="s">
        <v>6700</v>
      </c>
      <c r="BK482" s="93" t="s">
        <v>6358</v>
      </c>
      <c r="BL482" s="91" t="s">
        <v>313</v>
      </c>
      <c r="BM482" s="92"/>
      <c r="BN482" s="64"/>
      <c r="BO482" s="92"/>
      <c r="BP482" s="92"/>
      <c r="BQ482" s="136"/>
      <c r="BR482" s="93"/>
      <c r="BS482" s="92"/>
      <c r="BT482" s="93"/>
      <c r="BU482" s="93"/>
      <c r="BV482" s="92"/>
      <c r="BW482" s="92"/>
      <c r="BX482" s="93"/>
      <c r="BY482" s="92"/>
      <c r="BZ482" s="92"/>
      <c r="CA482" s="93"/>
      <c r="CB482" s="92"/>
      <c r="CC482" s="92"/>
      <c r="CD482" s="92"/>
      <c r="CE482" s="64" t="s">
        <v>9203</v>
      </c>
      <c r="CF482" s="67"/>
      <c r="CG482" s="40" t="s">
        <v>7145</v>
      </c>
      <c r="CH482" s="92" t="s">
        <v>6700</v>
      </c>
      <c r="CI482" s="91" t="s">
        <v>6358</v>
      </c>
      <c r="CJ482" s="91" t="s">
        <v>313</v>
      </c>
      <c r="CK482" s="89"/>
      <c r="CL482" s="91" t="str">
        <f t="shared" ca="1" si="7"/>
        <v>126 Tahun 0 Bulan 23 Hari</v>
      </c>
      <c r="CM482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 Kebon kopi RT/RW  Desa/Kelurahan Cibeureum Kecamatan Cimahi selatan Kota Cimahi Jawabarat </v>
      </c>
    </row>
    <row r="483" spans="1:91" ht="24.95" hidden="1" customHeight="1">
      <c r="A483" s="89">
        <f>SUBTOTAL(3,N$8:Table2[[#This Row],[Nama lengkap]])</f>
        <v>471</v>
      </c>
      <c r="B483" s="58" t="s">
        <v>9913</v>
      </c>
      <c r="C483" s="89"/>
      <c r="D483" s="89"/>
      <c r="E483" s="89"/>
      <c r="F483" s="89"/>
      <c r="G483" s="166"/>
      <c r="H483" s="32"/>
      <c r="I483" s="90"/>
      <c r="J483" s="32"/>
      <c r="K483" s="32"/>
      <c r="L483" s="32"/>
      <c r="M483" s="89"/>
      <c r="N483" s="91" t="s">
        <v>9082</v>
      </c>
      <c r="O483" s="24"/>
      <c r="P483" s="90"/>
      <c r="Q483" s="90" t="s">
        <v>9434</v>
      </c>
      <c r="R483" s="91" t="s">
        <v>7129</v>
      </c>
      <c r="S483" s="101"/>
      <c r="T483" s="142"/>
      <c r="U483" s="89"/>
      <c r="V483" s="89"/>
      <c r="W483" s="141"/>
      <c r="X483" s="92" t="s">
        <v>432</v>
      </c>
      <c r="Y483" s="92"/>
      <c r="Z483" s="92"/>
      <c r="AA483" s="92" t="s">
        <v>96</v>
      </c>
      <c r="AB483" s="92"/>
      <c r="AC483" s="92"/>
      <c r="AD483" s="92"/>
      <c r="AE483" s="93" t="s">
        <v>9340</v>
      </c>
      <c r="AF483" s="91"/>
      <c r="AG483" s="91" t="s">
        <v>9538</v>
      </c>
      <c r="AH483" s="91"/>
      <c r="AI483" s="92"/>
      <c r="AJ483" s="101"/>
      <c r="AK483" s="90" t="s">
        <v>9739</v>
      </c>
      <c r="AL483" s="93" t="s">
        <v>574</v>
      </c>
      <c r="AM483" s="91"/>
      <c r="AN483" s="93"/>
      <c r="AO483" s="92"/>
      <c r="AP483" s="93" t="s">
        <v>9204</v>
      </c>
      <c r="AQ483" s="90"/>
      <c r="AR483" s="89" t="s">
        <v>9205</v>
      </c>
      <c r="AS483" s="93" t="s">
        <v>7105</v>
      </c>
      <c r="AT483" s="92" t="s">
        <v>90</v>
      </c>
      <c r="AU483" s="92" t="s">
        <v>313</v>
      </c>
      <c r="AV483" s="92"/>
      <c r="AW483" s="92" t="s">
        <v>9635</v>
      </c>
      <c r="AX483" s="91"/>
      <c r="AY483" s="91"/>
      <c r="AZ483" s="127"/>
      <c r="BA483" s="143" t="s">
        <v>9831</v>
      </c>
      <c r="BB483" s="101" t="s">
        <v>216</v>
      </c>
      <c r="BC483" s="93"/>
      <c r="BD483" s="143"/>
      <c r="BE483" s="92"/>
      <c r="BF483" s="67"/>
      <c r="BG483" s="93" t="s">
        <v>9204</v>
      </c>
      <c r="BH483" s="93"/>
      <c r="BI483" s="91" t="s">
        <v>9205</v>
      </c>
      <c r="BJ483" s="91" t="s">
        <v>7105</v>
      </c>
      <c r="BK483" s="93" t="s">
        <v>90</v>
      </c>
      <c r="BL483" s="91" t="s">
        <v>313</v>
      </c>
      <c r="BM483" s="92"/>
      <c r="BN483" s="64"/>
      <c r="BO483" s="92"/>
      <c r="BP483" s="92"/>
      <c r="BQ483" s="136"/>
      <c r="BR483" s="93"/>
      <c r="BS483" s="92"/>
      <c r="BT483" s="93"/>
      <c r="BU483" s="93"/>
      <c r="BV483" s="92"/>
      <c r="BW483" s="92"/>
      <c r="BX483" s="93"/>
      <c r="BY483" s="92"/>
      <c r="BZ483" s="92"/>
      <c r="CA483" s="93"/>
      <c r="CB483" s="92"/>
      <c r="CC483" s="92"/>
      <c r="CD483" s="92"/>
      <c r="CE483" s="64" t="s">
        <v>9204</v>
      </c>
      <c r="CF483" s="67"/>
      <c r="CG483" s="40" t="s">
        <v>9205</v>
      </c>
      <c r="CH483" s="92" t="s">
        <v>7105</v>
      </c>
      <c r="CI483" s="91" t="s">
        <v>90</v>
      </c>
      <c r="CJ483" s="91" t="s">
        <v>313</v>
      </c>
      <c r="CK483" s="89"/>
      <c r="CL483" s="91" t="str">
        <f t="shared" ca="1" si="7"/>
        <v>126 Tahun 0 Bulan 23 Hari</v>
      </c>
      <c r="CM483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Parakansaat RT/RW  Desa/Kelurahan Cisaranten endah Kecamatan Arcamanik Bandung Jawabarat </v>
      </c>
    </row>
    <row r="484" spans="1:91" ht="24.95" hidden="1" customHeight="1">
      <c r="A484" s="89">
        <f>SUBTOTAL(3,N$8:Table2[[#This Row],[Nama lengkap]])</f>
        <v>471</v>
      </c>
      <c r="B484" s="58" t="s">
        <v>9913</v>
      </c>
      <c r="C484" s="89"/>
      <c r="D484" s="89"/>
      <c r="E484" s="89"/>
      <c r="F484" s="89"/>
      <c r="G484" s="166"/>
      <c r="H484" s="32"/>
      <c r="I484" s="90"/>
      <c r="J484" s="32"/>
      <c r="K484" s="32"/>
      <c r="L484" s="32"/>
      <c r="M484" s="89"/>
      <c r="N484" s="91" t="s">
        <v>9064</v>
      </c>
      <c r="O484" s="24"/>
      <c r="P484" s="90"/>
      <c r="Q484" s="90" t="s">
        <v>9418</v>
      </c>
      <c r="R484" s="91" t="s">
        <v>9168</v>
      </c>
      <c r="S484" s="101"/>
      <c r="T484" s="142"/>
      <c r="U484" s="89"/>
      <c r="V484" s="89"/>
      <c r="W484" s="141"/>
      <c r="X484" s="92" t="s">
        <v>432</v>
      </c>
      <c r="Y484" s="92"/>
      <c r="Z484" s="92"/>
      <c r="AA484" s="92" t="s">
        <v>96</v>
      </c>
      <c r="AB484" s="92"/>
      <c r="AC484" s="92"/>
      <c r="AD484" s="92"/>
      <c r="AE484" s="93" t="s">
        <v>9325</v>
      </c>
      <c r="AF484" s="91"/>
      <c r="AG484" s="91" t="s">
        <v>9523</v>
      </c>
      <c r="AH484" s="91"/>
      <c r="AI484" s="92"/>
      <c r="AJ484" s="101"/>
      <c r="AK484" s="90" t="s">
        <v>9725</v>
      </c>
      <c r="AL484" s="93" t="s">
        <v>114</v>
      </c>
      <c r="AM484" s="91"/>
      <c r="AN484" s="93"/>
      <c r="AO484" s="92"/>
      <c r="AP484" s="93" t="s">
        <v>9185</v>
      </c>
      <c r="AQ484" s="90"/>
      <c r="AR484" s="89" t="s">
        <v>7013</v>
      </c>
      <c r="AS484" s="93" t="s">
        <v>134</v>
      </c>
      <c r="AT484" s="92" t="s">
        <v>122</v>
      </c>
      <c r="AU484" s="92" t="s">
        <v>111</v>
      </c>
      <c r="AV484" s="92"/>
      <c r="AW484" s="92" t="s">
        <v>9621</v>
      </c>
      <c r="AX484" s="91"/>
      <c r="AY484" s="91"/>
      <c r="AZ484" s="127"/>
      <c r="BA484" s="143"/>
      <c r="BB484" s="101"/>
      <c r="BC484" s="93"/>
      <c r="BD484" s="143"/>
      <c r="BE484" s="92"/>
      <c r="BF484" s="67"/>
      <c r="BG484" s="93" t="s">
        <v>9185</v>
      </c>
      <c r="BH484" s="93"/>
      <c r="BI484" s="91" t="s">
        <v>7013</v>
      </c>
      <c r="BJ484" s="91" t="s">
        <v>134</v>
      </c>
      <c r="BK484" s="93" t="s">
        <v>122</v>
      </c>
      <c r="BL484" s="91" t="s">
        <v>111</v>
      </c>
      <c r="BM484" s="92"/>
      <c r="BN484" s="64"/>
      <c r="BO484" s="92"/>
      <c r="BP484" s="92"/>
      <c r="BQ484" s="136"/>
      <c r="BR484" s="93"/>
      <c r="BS484" s="92"/>
      <c r="BT484" s="93"/>
      <c r="BU484" s="93"/>
      <c r="BV484" s="92"/>
      <c r="BW484" s="92"/>
      <c r="BX484" s="93"/>
      <c r="BY484" s="92"/>
      <c r="BZ484" s="92"/>
      <c r="CA484" s="93"/>
      <c r="CB484" s="92"/>
      <c r="CC484" s="92"/>
      <c r="CD484" s="92"/>
      <c r="CE484" s="64" t="s">
        <v>9185</v>
      </c>
      <c r="CF484" s="67"/>
      <c r="CG484" s="40" t="s">
        <v>7013</v>
      </c>
      <c r="CH484" s="92" t="s">
        <v>134</v>
      </c>
      <c r="CI484" s="91" t="s">
        <v>122</v>
      </c>
      <c r="CJ484" s="91" t="s">
        <v>111</v>
      </c>
      <c r="CK484" s="89"/>
      <c r="CL484" s="91" t="str">
        <f t="shared" ca="1" si="7"/>
        <v>126 Tahun 0 Bulan 23 Hari</v>
      </c>
      <c r="CM484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Jln parigi lama Link Kertaraharja RT/RW  Desa/Kelurahan Situ Kecamatan Sumedang Utara Sumedang Jawa Barat </v>
      </c>
    </row>
    <row r="485" spans="1:91" ht="24.95" hidden="1" customHeight="1">
      <c r="A485" s="89">
        <f>SUBTOTAL(3,N$8:Table2[[#This Row],[Nama lengkap]])</f>
        <v>471</v>
      </c>
      <c r="B485" s="58" t="s">
        <v>9913</v>
      </c>
      <c r="C485" s="89"/>
      <c r="D485" s="89"/>
      <c r="E485" s="89"/>
      <c r="F485" s="89"/>
      <c r="G485" s="166"/>
      <c r="H485" s="32"/>
      <c r="I485" s="90"/>
      <c r="J485" s="32"/>
      <c r="K485" s="32"/>
      <c r="L485" s="32"/>
      <c r="M485" s="89"/>
      <c r="N485" s="91" t="s">
        <v>9086</v>
      </c>
      <c r="O485" s="24"/>
      <c r="P485" s="90"/>
      <c r="Q485" s="90" t="s">
        <v>9438</v>
      </c>
      <c r="R485" s="91" t="s">
        <v>90</v>
      </c>
      <c r="S485" s="101"/>
      <c r="T485" s="142"/>
      <c r="U485" s="89"/>
      <c r="V485" s="89"/>
      <c r="W485" s="141"/>
      <c r="X485" s="92" t="s">
        <v>303</v>
      </c>
      <c r="Y485" s="92"/>
      <c r="Z485" s="92"/>
      <c r="AA485" s="92" t="s">
        <v>1141</v>
      </c>
      <c r="AB485" s="92"/>
      <c r="AC485" s="92"/>
      <c r="AD485" s="92"/>
      <c r="AE485" s="93" t="s">
        <v>4392</v>
      </c>
      <c r="AF485" s="91"/>
      <c r="AG485" s="91" t="s">
        <v>6422</v>
      </c>
      <c r="AH485" s="91"/>
      <c r="AI485" s="92"/>
      <c r="AJ485" s="101"/>
      <c r="AK485" s="90" t="s">
        <v>9741</v>
      </c>
      <c r="AL485" s="93" t="s">
        <v>602</v>
      </c>
      <c r="AM485" s="91"/>
      <c r="AN485" s="93"/>
      <c r="AO485" s="92"/>
      <c r="AP485" s="93" t="s">
        <v>7649</v>
      </c>
      <c r="AQ485" s="90"/>
      <c r="AR485" s="89" t="s">
        <v>7276</v>
      </c>
      <c r="AS485" s="93" t="s">
        <v>593</v>
      </c>
      <c r="AT485" s="92" t="s">
        <v>6772</v>
      </c>
      <c r="AU485" s="92" t="s">
        <v>313</v>
      </c>
      <c r="AV485" s="92"/>
      <c r="AW485" s="92" t="s">
        <v>8130</v>
      </c>
      <c r="AX485" s="91"/>
      <c r="AY485" s="91"/>
      <c r="AZ485" s="127"/>
      <c r="BA485" s="143" t="s">
        <v>4398</v>
      </c>
      <c r="BB485" s="101" t="s">
        <v>216</v>
      </c>
      <c r="BC485" s="93"/>
      <c r="BD485" s="143"/>
      <c r="BE485" s="92"/>
      <c r="BF485" s="67"/>
      <c r="BG485" s="93" t="s">
        <v>7649</v>
      </c>
      <c r="BH485" s="93"/>
      <c r="BI485" s="91" t="s">
        <v>7276</v>
      </c>
      <c r="BJ485" s="91" t="s">
        <v>593</v>
      </c>
      <c r="BK485" s="93" t="s">
        <v>6772</v>
      </c>
      <c r="BL485" s="91" t="s">
        <v>313</v>
      </c>
      <c r="BM485" s="92"/>
      <c r="BN485" s="64"/>
      <c r="BO485" s="92"/>
      <c r="BP485" s="92"/>
      <c r="BQ485" s="136"/>
      <c r="BR485" s="93"/>
      <c r="BS485" s="92"/>
      <c r="BT485" s="93"/>
      <c r="BU485" s="93"/>
      <c r="BV485" s="92"/>
      <c r="BW485" s="92"/>
      <c r="BX485" s="93"/>
      <c r="BY485" s="92"/>
      <c r="BZ485" s="92"/>
      <c r="CA485" s="93"/>
      <c r="CB485" s="92"/>
      <c r="CC485" s="92"/>
      <c r="CD485" s="92"/>
      <c r="CE485" s="64" t="s">
        <v>7649</v>
      </c>
      <c r="CF485" s="67"/>
      <c r="CG485" s="40" t="s">
        <v>7276</v>
      </c>
      <c r="CH485" s="92" t="s">
        <v>593</v>
      </c>
      <c r="CI485" s="91" t="s">
        <v>6772</v>
      </c>
      <c r="CJ485" s="91" t="s">
        <v>313</v>
      </c>
      <c r="CK485" s="89"/>
      <c r="CL485" s="91" t="str">
        <f t="shared" ca="1" si="7"/>
        <v>126 Tahun 0 Bulan 23 Hari</v>
      </c>
      <c r="CM485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Perum Citramas RT/RW  Desa/Kelurahan Gunungmanik Kecamatan Tanjungsari sumedang Jawabarat </v>
      </c>
    </row>
    <row r="486" spans="1:91" ht="24.95" customHeight="1">
      <c r="A486" s="58">
        <f>SUBTOTAL(3,N$8:Table2[[#This Row],[Nama lengkap]])</f>
        <v>472</v>
      </c>
      <c r="B486" s="58" t="s">
        <v>86</v>
      </c>
      <c r="C486" s="89">
        <v>2025</v>
      </c>
      <c r="D486" s="89"/>
      <c r="E486" s="89" t="s">
        <v>4805</v>
      </c>
      <c r="F486" s="89"/>
      <c r="G486" s="165" t="s">
        <v>93</v>
      </c>
      <c r="H486" s="32"/>
      <c r="I486" s="90"/>
      <c r="J486" s="90"/>
      <c r="K486" s="90"/>
      <c r="L486" s="90"/>
      <c r="M486" s="89">
        <v>25260142</v>
      </c>
      <c r="N486" s="91" t="s">
        <v>6968</v>
      </c>
      <c r="O486" s="91"/>
      <c r="P486" s="90" t="s">
        <v>6969</v>
      </c>
      <c r="Q486" s="90" t="s">
        <v>6970</v>
      </c>
      <c r="R486" s="90" t="s">
        <v>90</v>
      </c>
      <c r="S486" s="101">
        <v>41231</v>
      </c>
      <c r="T486" s="47" t="s">
        <v>92</v>
      </c>
      <c r="U486" s="89">
        <v>4</v>
      </c>
      <c r="V486" s="89">
        <v>1</v>
      </c>
      <c r="W486" s="47" t="s">
        <v>207</v>
      </c>
      <c r="X486" s="92" t="s">
        <v>6434</v>
      </c>
      <c r="Y486" s="92" t="s">
        <v>722</v>
      </c>
      <c r="Z486" s="92" t="s">
        <v>6971</v>
      </c>
      <c r="AA486" s="92" t="s">
        <v>6451</v>
      </c>
      <c r="AB486" s="92" t="s">
        <v>97</v>
      </c>
      <c r="AC486" s="92" t="s">
        <v>98</v>
      </c>
      <c r="AD486" s="92" t="s">
        <v>98</v>
      </c>
      <c r="AE486" s="93" t="s">
        <v>6972</v>
      </c>
      <c r="AF486" s="93" t="s">
        <v>6974</v>
      </c>
      <c r="AG486" s="92" t="s">
        <v>6973</v>
      </c>
      <c r="AH486" s="64" t="s">
        <v>778</v>
      </c>
      <c r="AI486" s="92"/>
      <c r="AJ486" s="101"/>
      <c r="AK486" s="93"/>
      <c r="AL486" s="93"/>
      <c r="AM486" s="92"/>
      <c r="AN486" s="93"/>
      <c r="AO486" s="93"/>
      <c r="AP486" s="92"/>
      <c r="AQ486" s="90"/>
      <c r="AR486" s="93"/>
      <c r="AS486" s="92"/>
      <c r="AT486" s="92"/>
      <c r="AU486" s="92"/>
      <c r="AV486" s="92"/>
      <c r="AW486" s="92" t="s">
        <v>6974</v>
      </c>
      <c r="AX486" s="92" t="s">
        <v>101</v>
      </c>
      <c r="AY486" s="92" t="s">
        <v>90</v>
      </c>
      <c r="AZ486" s="127">
        <v>32659</v>
      </c>
      <c r="BA486" s="93" t="s">
        <v>6975</v>
      </c>
      <c r="BB486" s="93" t="s">
        <v>114</v>
      </c>
      <c r="BC486" s="92" t="s">
        <v>128</v>
      </c>
      <c r="BD486" s="93" t="s">
        <v>6976</v>
      </c>
      <c r="BE486" s="93" t="s">
        <v>106</v>
      </c>
      <c r="BF486" s="67" t="s">
        <v>6532</v>
      </c>
      <c r="BG486" s="92" t="s">
        <v>6977</v>
      </c>
      <c r="BH486" s="93" t="s">
        <v>2815</v>
      </c>
      <c r="BI486" s="93" t="s">
        <v>6978</v>
      </c>
      <c r="BJ486" s="91" t="s">
        <v>833</v>
      </c>
      <c r="BK486" s="92" t="s">
        <v>644</v>
      </c>
      <c r="BL486" s="92" t="s">
        <v>111</v>
      </c>
      <c r="BM486" s="92">
        <v>40255</v>
      </c>
      <c r="BN486" s="64" t="s">
        <v>6910</v>
      </c>
      <c r="BO486" s="92" t="s">
        <v>6979</v>
      </c>
      <c r="BP486" s="92" t="s">
        <v>90</v>
      </c>
      <c r="BQ486" s="136">
        <v>29259</v>
      </c>
      <c r="BR486" s="93" t="s">
        <v>6980</v>
      </c>
      <c r="BS486" s="93" t="s">
        <v>114</v>
      </c>
      <c r="BT486" s="92" t="s">
        <v>96</v>
      </c>
      <c r="BU486" s="93" t="s">
        <v>6981</v>
      </c>
      <c r="BV486" s="93" t="s">
        <v>106</v>
      </c>
      <c r="BW486" s="92" t="s">
        <v>6982</v>
      </c>
      <c r="BX486" s="93" t="s">
        <v>1122</v>
      </c>
      <c r="BY486" s="93" t="s">
        <v>6983</v>
      </c>
      <c r="BZ486" s="92" t="s">
        <v>6984</v>
      </c>
      <c r="CA486" s="92" t="s">
        <v>644</v>
      </c>
      <c r="CB486" s="92" t="s">
        <v>111</v>
      </c>
      <c r="CC486" s="92">
        <v>40222</v>
      </c>
      <c r="CD486" s="92"/>
      <c r="CE486" s="64"/>
      <c r="CF486" s="67"/>
      <c r="CG486" s="64"/>
      <c r="CH486" s="92"/>
      <c r="CI486" s="92"/>
      <c r="CJ486" s="92"/>
      <c r="CK486" s="89"/>
      <c r="CL486" s="64" t="str">
        <f t="shared" ca="1" si="7"/>
        <v>13 Tahun 2 Bulan 5 Hari</v>
      </c>
      <c r="CM48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RT/RW  Desa/Kelurahan  Kecamatan    </v>
      </c>
    </row>
    <row r="487" spans="1:91" ht="24.95" hidden="1" customHeight="1">
      <c r="A487" s="58">
        <f>SUBTOTAL(3,N$8:Table2[[#This Row],[Nama lengkap]])</f>
        <v>472</v>
      </c>
      <c r="B487" s="58" t="s">
        <v>4837</v>
      </c>
      <c r="C487" s="58">
        <v>2016</v>
      </c>
      <c r="D487" s="58"/>
      <c r="E487" s="58">
        <v>7</v>
      </c>
      <c r="F487" s="58">
        <v>7</v>
      </c>
      <c r="G487" s="165"/>
      <c r="H487" s="32"/>
      <c r="I487" s="32"/>
      <c r="J487" s="32"/>
      <c r="K487" s="32"/>
      <c r="L487" s="32"/>
      <c r="M487" s="58">
        <v>16170087</v>
      </c>
      <c r="N487" s="24" t="s">
        <v>8875</v>
      </c>
      <c r="O487" s="24"/>
      <c r="P487" s="25" t="s">
        <v>9914</v>
      </c>
      <c r="Q487" s="25" t="s">
        <v>4839</v>
      </c>
      <c r="R487" s="60" t="s">
        <v>122</v>
      </c>
      <c r="S487" s="61" t="s">
        <v>4840</v>
      </c>
      <c r="T487" s="47" t="s">
        <v>92</v>
      </c>
      <c r="U487" s="47">
        <v>2</v>
      </c>
      <c r="V487" s="47">
        <v>4</v>
      </c>
      <c r="W487" s="47" t="s">
        <v>207</v>
      </c>
      <c r="X487" s="59"/>
      <c r="Y487" s="59" t="s">
        <v>4841</v>
      </c>
      <c r="Z487" s="59" t="s">
        <v>4361</v>
      </c>
      <c r="AA487" s="59" t="s">
        <v>96</v>
      </c>
      <c r="AB487" s="59" t="s">
        <v>4842</v>
      </c>
      <c r="AC487" s="59" t="s">
        <v>208</v>
      </c>
      <c r="AD487" s="59" t="s">
        <v>208</v>
      </c>
      <c r="AE487" s="60" t="s">
        <v>2288</v>
      </c>
      <c r="AF487" s="60" t="s">
        <v>8433</v>
      </c>
      <c r="AG487" s="59" t="s">
        <v>8433</v>
      </c>
      <c r="AH487" s="59" t="s">
        <v>2844</v>
      </c>
      <c r="AI487" s="59" t="s">
        <v>122</v>
      </c>
      <c r="AJ487" s="61">
        <v>28087</v>
      </c>
      <c r="AK487" s="60" t="s">
        <v>2290</v>
      </c>
      <c r="AL487" s="60" t="s">
        <v>114</v>
      </c>
      <c r="AM487" s="59" t="s">
        <v>693</v>
      </c>
      <c r="AN487" s="60" t="s">
        <v>4843</v>
      </c>
      <c r="AO487" s="60" t="s">
        <v>4844</v>
      </c>
      <c r="AP487" s="59" t="s">
        <v>2291</v>
      </c>
      <c r="AQ487" s="25" t="s">
        <v>1441</v>
      </c>
      <c r="AR487" s="60" t="s">
        <v>2293</v>
      </c>
      <c r="AS487" s="59" t="s">
        <v>2294</v>
      </c>
      <c r="AT487" s="59" t="s">
        <v>1090</v>
      </c>
      <c r="AU487" s="59" t="s">
        <v>111</v>
      </c>
      <c r="AV487" s="62"/>
      <c r="AW487" s="59" t="s">
        <v>7944</v>
      </c>
      <c r="AX487" s="59" t="s">
        <v>2844</v>
      </c>
      <c r="AY487" s="59" t="s">
        <v>122</v>
      </c>
      <c r="AZ487" s="126">
        <v>29077</v>
      </c>
      <c r="BA487" s="60" t="s">
        <v>2296</v>
      </c>
      <c r="BB487" s="60" t="s">
        <v>845</v>
      </c>
      <c r="BC487" s="59" t="s">
        <v>700</v>
      </c>
      <c r="BD487" s="60" t="s">
        <v>4845</v>
      </c>
      <c r="BE487" s="60"/>
      <c r="BF487" s="60"/>
      <c r="BG487" s="59" t="s">
        <v>2291</v>
      </c>
      <c r="BH487" s="60" t="s">
        <v>1441</v>
      </c>
      <c r="BI487" s="60" t="s">
        <v>2293</v>
      </c>
      <c r="BJ487" s="24" t="s">
        <v>2294</v>
      </c>
      <c r="BK487" s="59" t="s">
        <v>1090</v>
      </c>
      <c r="BL487" s="59" t="s">
        <v>156</v>
      </c>
      <c r="BM487" s="62"/>
      <c r="BN487" s="62"/>
      <c r="BO487" s="59"/>
      <c r="BP487" s="59"/>
      <c r="BQ487" s="77"/>
      <c r="BR487" s="60"/>
      <c r="BS487" s="60"/>
      <c r="BT487" s="59"/>
      <c r="BU487" s="60"/>
      <c r="BV487" s="60"/>
      <c r="BW487" s="59"/>
      <c r="BX487" s="60"/>
      <c r="BY487" s="60"/>
      <c r="BZ487" s="59"/>
      <c r="CA487" s="59"/>
      <c r="CB487" s="59"/>
      <c r="CC487" s="59"/>
      <c r="CD487" s="59"/>
      <c r="CE487" s="59" t="s">
        <v>7477</v>
      </c>
      <c r="CF487" s="60" t="s">
        <v>1441</v>
      </c>
      <c r="CG487" s="59" t="s">
        <v>7161</v>
      </c>
      <c r="CH487" s="59" t="s">
        <v>593</v>
      </c>
      <c r="CI487" s="59" t="s">
        <v>122</v>
      </c>
      <c r="CJ487" s="59" t="s">
        <v>111</v>
      </c>
      <c r="CK487" s="47"/>
      <c r="CL487" s="64" t="str">
        <f t="shared" ca="1" si="7"/>
        <v>21 Tahun 10 Bulan 11 Hari</v>
      </c>
      <c r="CM48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Pasir Angin RT/RW 01/06 Desa/Kelurahan Margaluyu Kecamatan Tanjungsari Sumedang Jawa Barat </v>
      </c>
    </row>
    <row r="488" spans="1:91" ht="24.95" hidden="1" customHeight="1">
      <c r="A488" s="58">
        <f>SUBTOTAL(3,N$8:Table2[[#This Row],[Nama lengkap]])</f>
        <v>472</v>
      </c>
      <c r="B488" s="58" t="s">
        <v>4837</v>
      </c>
      <c r="C488" s="58">
        <v>2017</v>
      </c>
      <c r="D488" s="58" t="s">
        <v>8936</v>
      </c>
      <c r="E488" s="58">
        <v>7</v>
      </c>
      <c r="F488" s="58">
        <v>7</v>
      </c>
      <c r="G488" s="165"/>
      <c r="H488" s="32"/>
      <c r="I488" s="32"/>
      <c r="J488" s="32"/>
      <c r="K488" s="32"/>
      <c r="L488" s="32"/>
      <c r="M488" s="58">
        <v>17180105</v>
      </c>
      <c r="N488" s="24" t="s">
        <v>5781</v>
      </c>
      <c r="O488" s="24"/>
      <c r="P488" s="25" t="s">
        <v>4847</v>
      </c>
      <c r="Q488" s="25" t="s">
        <v>4848</v>
      </c>
      <c r="R488" s="60" t="s">
        <v>90</v>
      </c>
      <c r="S488" s="61" t="s">
        <v>4849</v>
      </c>
      <c r="T488" s="47" t="s">
        <v>92</v>
      </c>
      <c r="U488" s="47">
        <v>1</v>
      </c>
      <c r="V488" s="47">
        <v>2</v>
      </c>
      <c r="W488" s="47" t="s">
        <v>207</v>
      </c>
      <c r="X488" s="59"/>
      <c r="Y488" s="59" t="s">
        <v>1012</v>
      </c>
      <c r="Z488" s="59" t="s">
        <v>4850</v>
      </c>
      <c r="AA488" s="59" t="s">
        <v>96</v>
      </c>
      <c r="AB488" s="59" t="s">
        <v>4842</v>
      </c>
      <c r="AC488" s="59" t="s">
        <v>208</v>
      </c>
      <c r="AD488" s="59" t="s">
        <v>208</v>
      </c>
      <c r="AE488" s="60" t="s">
        <v>4851</v>
      </c>
      <c r="AF488" s="60" t="s">
        <v>8684</v>
      </c>
      <c r="AG488" s="59" t="s">
        <v>8684</v>
      </c>
      <c r="AH488" s="59" t="s">
        <v>2844</v>
      </c>
      <c r="AI488" s="59" t="s">
        <v>90</v>
      </c>
      <c r="AJ488" s="61">
        <v>31833</v>
      </c>
      <c r="AK488" s="60" t="s">
        <v>4852</v>
      </c>
      <c r="AL488" s="60" t="s">
        <v>602</v>
      </c>
      <c r="AM488" s="59" t="s">
        <v>149</v>
      </c>
      <c r="AN488" s="60" t="s">
        <v>4853</v>
      </c>
      <c r="AO488" s="60"/>
      <c r="AP488" s="59" t="s">
        <v>4854</v>
      </c>
      <c r="AQ488" s="25" t="s">
        <v>4755</v>
      </c>
      <c r="AR488" s="60" t="s">
        <v>2768</v>
      </c>
      <c r="AS488" s="59" t="s">
        <v>2161</v>
      </c>
      <c r="AT488" s="59" t="s">
        <v>141</v>
      </c>
      <c r="AU488" s="59" t="s">
        <v>111</v>
      </c>
      <c r="AV488" s="62"/>
      <c r="AW488" s="59" t="s">
        <v>8181</v>
      </c>
      <c r="AX488" s="59" t="s">
        <v>2844</v>
      </c>
      <c r="AY488" s="59" t="s">
        <v>90</v>
      </c>
      <c r="AZ488" s="126">
        <v>31955</v>
      </c>
      <c r="BA488" s="60" t="s">
        <v>4855</v>
      </c>
      <c r="BB488" s="60" t="s">
        <v>845</v>
      </c>
      <c r="BC488" s="59" t="s">
        <v>4682</v>
      </c>
      <c r="BD488" s="60" t="s">
        <v>4856</v>
      </c>
      <c r="BE488" s="60"/>
      <c r="BF488" s="60"/>
      <c r="BG488" s="59" t="s">
        <v>4854</v>
      </c>
      <c r="BH488" s="60" t="s">
        <v>4755</v>
      </c>
      <c r="BI488" s="60" t="s">
        <v>2768</v>
      </c>
      <c r="BJ488" s="24" t="s">
        <v>2161</v>
      </c>
      <c r="BK488" s="59" t="s">
        <v>141</v>
      </c>
      <c r="BL488" s="59" t="s">
        <v>156</v>
      </c>
      <c r="BM488" s="62"/>
      <c r="BN488" s="62"/>
      <c r="BO488" s="59"/>
      <c r="BP488" s="59"/>
      <c r="BQ488" s="77"/>
      <c r="BR488" s="60"/>
      <c r="BS488" s="60"/>
      <c r="BT488" s="59"/>
      <c r="BU488" s="60"/>
      <c r="BV488" s="60"/>
      <c r="BW488" s="59"/>
      <c r="BX488" s="60"/>
      <c r="BY488" s="60"/>
      <c r="BZ488" s="59"/>
      <c r="CA488" s="59"/>
      <c r="CB488" s="59"/>
      <c r="CC488" s="59"/>
      <c r="CD488" s="59"/>
      <c r="CE488" s="59" t="s">
        <v>7699</v>
      </c>
      <c r="CF488" s="60" t="s">
        <v>4755</v>
      </c>
      <c r="CG488" s="59" t="s">
        <v>7294</v>
      </c>
      <c r="CH488" s="59" t="s">
        <v>7248</v>
      </c>
      <c r="CI488" s="59" t="s">
        <v>90</v>
      </c>
      <c r="CJ488" s="59" t="s">
        <v>111</v>
      </c>
      <c r="CK488" s="47"/>
      <c r="CL488" s="64" t="str">
        <f t="shared" ca="1" si="7"/>
        <v>20 Tahun 6 Bulan 30 Hari</v>
      </c>
      <c r="CM48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Jl.Rd.Ganda Ii No.49 RT/RW 04/10 Desa/Kelurahan Sukaraja Kecamatan Cicendo Bandung Jawa Barat </v>
      </c>
    </row>
    <row r="489" spans="1:91" ht="24.95" hidden="1" customHeight="1">
      <c r="A489" s="58">
        <f>SUBTOTAL(3,N$8:Table2[[#This Row],[Nama lengkap]])</f>
        <v>472</v>
      </c>
      <c r="B489" s="58" t="s">
        <v>4837</v>
      </c>
      <c r="C489" s="58">
        <v>2016</v>
      </c>
      <c r="D489" s="58"/>
      <c r="E489" s="58">
        <v>7</v>
      </c>
      <c r="F489" s="58">
        <v>7</v>
      </c>
      <c r="G489" s="165"/>
      <c r="H489" s="32"/>
      <c r="I489" s="32"/>
      <c r="J489" s="32"/>
      <c r="K489" s="32"/>
      <c r="L489" s="32"/>
      <c r="M489" s="58">
        <v>16170096</v>
      </c>
      <c r="N489" s="24" t="s">
        <v>5782</v>
      </c>
      <c r="O489" s="24"/>
      <c r="P489" s="25" t="s">
        <v>4858</v>
      </c>
      <c r="Q489" s="25" t="s">
        <v>4859</v>
      </c>
      <c r="R489" s="60" t="s">
        <v>90</v>
      </c>
      <c r="S489" s="61" t="s">
        <v>3828</v>
      </c>
      <c r="T489" s="47" t="s">
        <v>92</v>
      </c>
      <c r="U489" s="47">
        <v>1</v>
      </c>
      <c r="V489" s="47">
        <v>4</v>
      </c>
      <c r="W489" s="47" t="s">
        <v>207</v>
      </c>
      <c r="X489" s="59"/>
      <c r="Y489" s="59" t="s">
        <v>1385</v>
      </c>
      <c r="Z489" s="59" t="s">
        <v>1205</v>
      </c>
      <c r="AA489" s="59" t="s">
        <v>96</v>
      </c>
      <c r="AB489" s="59" t="s">
        <v>4842</v>
      </c>
      <c r="AC489" s="59" t="s">
        <v>208</v>
      </c>
      <c r="AD489" s="59" t="s">
        <v>208</v>
      </c>
      <c r="AE489" s="60" t="s">
        <v>4860</v>
      </c>
      <c r="AF489" s="60" t="s">
        <v>8455</v>
      </c>
      <c r="AG489" s="59" t="s">
        <v>8455</v>
      </c>
      <c r="AH489" s="59" t="s">
        <v>2844</v>
      </c>
      <c r="AI489" s="59" t="s">
        <v>90</v>
      </c>
      <c r="AJ489" s="61">
        <v>28866</v>
      </c>
      <c r="AK489" s="60" t="s">
        <v>4861</v>
      </c>
      <c r="AL489" s="60" t="s">
        <v>602</v>
      </c>
      <c r="AM489" s="59" t="s">
        <v>800</v>
      </c>
      <c r="AN489" s="60" t="s">
        <v>4862</v>
      </c>
      <c r="AO489" s="60"/>
      <c r="AP489" s="59" t="s">
        <v>4863</v>
      </c>
      <c r="AQ489" s="25" t="s">
        <v>521</v>
      </c>
      <c r="AR489" s="60" t="s">
        <v>2498</v>
      </c>
      <c r="AS489" s="59" t="s">
        <v>1063</v>
      </c>
      <c r="AT489" s="59" t="s">
        <v>141</v>
      </c>
      <c r="AU489" s="59" t="s">
        <v>111</v>
      </c>
      <c r="AV489" s="62"/>
      <c r="AW489" s="59" t="s">
        <v>7965</v>
      </c>
      <c r="AX489" s="59" t="s">
        <v>2844</v>
      </c>
      <c r="AY489" s="59" t="s">
        <v>90</v>
      </c>
      <c r="AZ489" s="126">
        <v>30055</v>
      </c>
      <c r="BA489" s="60" t="s">
        <v>4864</v>
      </c>
      <c r="BB489" s="60" t="s">
        <v>7770</v>
      </c>
      <c r="BC489" s="59" t="s">
        <v>700</v>
      </c>
      <c r="BD489" s="60" t="s">
        <v>4865</v>
      </c>
      <c r="BE489" s="60"/>
      <c r="BF489" s="60"/>
      <c r="BG489" s="59" t="s">
        <v>4866</v>
      </c>
      <c r="BH489" s="60" t="s">
        <v>521</v>
      </c>
      <c r="BI489" s="60" t="s">
        <v>2498</v>
      </c>
      <c r="BJ489" s="24" t="s">
        <v>1063</v>
      </c>
      <c r="BK489" s="59" t="s">
        <v>2017</v>
      </c>
      <c r="BL489" s="59" t="s">
        <v>156</v>
      </c>
      <c r="BM489" s="62"/>
      <c r="BN489" s="62"/>
      <c r="BO489" s="59"/>
      <c r="BP489" s="59"/>
      <c r="BQ489" s="77"/>
      <c r="BR489" s="60"/>
      <c r="BS489" s="60"/>
      <c r="BT489" s="59"/>
      <c r="BU489" s="60"/>
      <c r="BV489" s="60"/>
      <c r="BW489" s="59"/>
      <c r="BX489" s="60"/>
      <c r="BY489" s="60"/>
      <c r="BZ489" s="59"/>
      <c r="CA489" s="59"/>
      <c r="CB489" s="59"/>
      <c r="CC489" s="59"/>
      <c r="CD489" s="59"/>
      <c r="CE489" s="59" t="s">
        <v>7700</v>
      </c>
      <c r="CF489" s="60" t="s">
        <v>521</v>
      </c>
      <c r="CG489" s="59" t="s">
        <v>7177</v>
      </c>
      <c r="CH489" s="59" t="s">
        <v>295</v>
      </c>
      <c r="CI489" s="59" t="s">
        <v>90</v>
      </c>
      <c r="CJ489" s="59" t="s">
        <v>111</v>
      </c>
      <c r="CK489" s="47"/>
      <c r="CL489" s="64" t="str">
        <f t="shared" ca="1" si="7"/>
        <v>21 Tahun 3 Bulan 7 Hari</v>
      </c>
      <c r="CM48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Ciparanje  RT/RW 02/05 Desa/Kelurahan Sangiang Kecamatan Rancaekek Bandung Jawa Barat </v>
      </c>
    </row>
    <row r="490" spans="1:91" ht="24.95" hidden="1" customHeight="1">
      <c r="A490" s="58">
        <f>SUBTOTAL(3,N$8:Table2[[#This Row],[Nama lengkap]])</f>
        <v>472</v>
      </c>
      <c r="B490" s="58" t="s">
        <v>4837</v>
      </c>
      <c r="C490" s="58">
        <v>2017</v>
      </c>
      <c r="D490" s="58"/>
      <c r="E490" s="58">
        <v>7</v>
      </c>
      <c r="F490" s="58">
        <v>7</v>
      </c>
      <c r="G490" s="165"/>
      <c r="H490" s="32"/>
      <c r="I490" s="32"/>
      <c r="J490" s="32"/>
      <c r="K490" s="32"/>
      <c r="L490" s="32"/>
      <c r="M490" s="58">
        <v>17180112</v>
      </c>
      <c r="N490" s="24" t="s">
        <v>8876</v>
      </c>
      <c r="O490" s="24"/>
      <c r="P490" s="25" t="s">
        <v>4868</v>
      </c>
      <c r="Q490" s="25" t="s">
        <v>4869</v>
      </c>
      <c r="R490" s="60" t="s">
        <v>122</v>
      </c>
      <c r="S490" s="61" t="s">
        <v>4870</v>
      </c>
      <c r="T490" s="47" t="s">
        <v>92</v>
      </c>
      <c r="U490" s="47">
        <v>3</v>
      </c>
      <c r="V490" s="47">
        <v>3</v>
      </c>
      <c r="W490" s="47" t="s">
        <v>207</v>
      </c>
      <c r="X490" s="59"/>
      <c r="Y490" s="59" t="s">
        <v>4871</v>
      </c>
      <c r="Z490" s="59" t="s">
        <v>986</v>
      </c>
      <c r="AA490" s="59" t="s">
        <v>96</v>
      </c>
      <c r="AB490" s="59" t="s">
        <v>4842</v>
      </c>
      <c r="AC490" s="59" t="s">
        <v>208</v>
      </c>
      <c r="AD490" s="59" t="s">
        <v>208</v>
      </c>
      <c r="AE490" s="60" t="s">
        <v>4872</v>
      </c>
      <c r="AF490" s="60" t="s">
        <v>8685</v>
      </c>
      <c r="AG490" s="59" t="s">
        <v>8685</v>
      </c>
      <c r="AH490" s="59" t="s">
        <v>2844</v>
      </c>
      <c r="AI490" s="59" t="s">
        <v>942</v>
      </c>
      <c r="AJ490" s="61">
        <v>25852</v>
      </c>
      <c r="AK490" s="60" t="s">
        <v>4873</v>
      </c>
      <c r="AL490" s="60" t="s">
        <v>602</v>
      </c>
      <c r="AM490" s="59" t="s">
        <v>693</v>
      </c>
      <c r="AN490" s="60" t="s">
        <v>4874</v>
      </c>
      <c r="AO490" s="60"/>
      <c r="AP490" s="59" t="s">
        <v>4875</v>
      </c>
      <c r="AQ490" s="25" t="s">
        <v>1122</v>
      </c>
      <c r="AR490" s="60" t="s">
        <v>2834</v>
      </c>
      <c r="AS490" s="59" t="s">
        <v>2173</v>
      </c>
      <c r="AT490" s="59" t="s">
        <v>1090</v>
      </c>
      <c r="AU490" s="59" t="s">
        <v>111</v>
      </c>
      <c r="AV490" s="62"/>
      <c r="AW490" s="59" t="s">
        <v>8182</v>
      </c>
      <c r="AX490" s="59" t="s">
        <v>2844</v>
      </c>
      <c r="AY490" s="59" t="s">
        <v>388</v>
      </c>
      <c r="AZ490" s="126">
        <v>25785</v>
      </c>
      <c r="BA490" s="60" t="s">
        <v>4876</v>
      </c>
      <c r="BB490" s="60" t="s">
        <v>845</v>
      </c>
      <c r="BC490" s="59" t="s">
        <v>700</v>
      </c>
      <c r="BD490" s="60"/>
      <c r="BE490" s="60"/>
      <c r="BF490" s="60"/>
      <c r="BG490" s="59" t="s">
        <v>4875</v>
      </c>
      <c r="BH490" s="60" t="s">
        <v>1122</v>
      </c>
      <c r="BI490" s="60" t="s">
        <v>2834</v>
      </c>
      <c r="BJ490" s="24" t="s">
        <v>2173</v>
      </c>
      <c r="BK490" s="59" t="s">
        <v>141</v>
      </c>
      <c r="BL490" s="59" t="s">
        <v>4877</v>
      </c>
      <c r="BM490" s="62"/>
      <c r="BN490" s="62"/>
      <c r="BO490" s="59"/>
      <c r="BP490" s="59"/>
      <c r="BQ490" s="77"/>
      <c r="BR490" s="60"/>
      <c r="BS490" s="60"/>
      <c r="BT490" s="59"/>
      <c r="BU490" s="60"/>
      <c r="BV490" s="60"/>
      <c r="BW490" s="59"/>
      <c r="BX490" s="60"/>
      <c r="BY490" s="60"/>
      <c r="BZ490" s="59"/>
      <c r="CA490" s="59"/>
      <c r="CB490" s="59"/>
      <c r="CC490" s="59"/>
      <c r="CD490" s="59"/>
      <c r="CE490" s="59" t="s">
        <v>7701</v>
      </c>
      <c r="CF490" s="60" t="s">
        <v>1122</v>
      </c>
      <c r="CG490" s="59" t="s">
        <v>7202</v>
      </c>
      <c r="CH490" s="59" t="s">
        <v>561</v>
      </c>
      <c r="CI490" s="59" t="s">
        <v>122</v>
      </c>
      <c r="CJ490" s="59" t="s">
        <v>111</v>
      </c>
      <c r="CK490" s="47"/>
      <c r="CL490" s="64" t="str">
        <f t="shared" ca="1" si="7"/>
        <v>21 Tahun 7 Bulan 15 Hari</v>
      </c>
      <c r="CM49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 Kolonel Ahmad Syam RT/RW 03/07 Desa/Kelurahan Sayang Kecamatan Jatinangor Sumedang Jawa Barat </v>
      </c>
    </row>
    <row r="491" spans="1:91" ht="24.95" hidden="1" customHeight="1">
      <c r="A491" s="58">
        <f>SUBTOTAL(3,N$8:Table2[[#This Row],[Nama lengkap]])</f>
        <v>472</v>
      </c>
      <c r="B491" s="58" t="s">
        <v>4837</v>
      </c>
      <c r="C491" s="58">
        <v>2017</v>
      </c>
      <c r="D491" s="58"/>
      <c r="E491" s="58">
        <v>7</v>
      </c>
      <c r="F491" s="58">
        <v>7</v>
      </c>
      <c r="G491" s="165"/>
      <c r="H491" s="32"/>
      <c r="I491" s="32"/>
      <c r="J491" s="32"/>
      <c r="K491" s="32"/>
      <c r="L491" s="32"/>
      <c r="M491" s="58">
        <v>17180118</v>
      </c>
      <c r="N491" s="24" t="s">
        <v>8877</v>
      </c>
      <c r="O491" s="24"/>
      <c r="P491" s="25" t="s">
        <v>4879</v>
      </c>
      <c r="Q491" s="25" t="s">
        <v>4880</v>
      </c>
      <c r="R491" s="60" t="s">
        <v>122</v>
      </c>
      <c r="S491" s="61" t="s">
        <v>4881</v>
      </c>
      <c r="T491" s="47" t="s">
        <v>92</v>
      </c>
      <c r="U491" s="47">
        <v>1</v>
      </c>
      <c r="V491" s="47">
        <v>3</v>
      </c>
      <c r="W491" s="47" t="s">
        <v>207</v>
      </c>
      <c r="X491" s="59"/>
      <c r="Y491" s="59"/>
      <c r="Z491" s="59"/>
      <c r="AA491" s="59" t="s">
        <v>96</v>
      </c>
      <c r="AB491" s="59" t="s">
        <v>4842</v>
      </c>
      <c r="AC491" s="59" t="s">
        <v>208</v>
      </c>
      <c r="AD491" s="59" t="s">
        <v>208</v>
      </c>
      <c r="AE491" s="60" t="s">
        <v>4882</v>
      </c>
      <c r="AF491" s="60" t="s">
        <v>8686</v>
      </c>
      <c r="AG491" s="59" t="s">
        <v>8686</v>
      </c>
      <c r="AH491" s="59" t="s">
        <v>2844</v>
      </c>
      <c r="AI491" s="59" t="s">
        <v>90</v>
      </c>
      <c r="AJ491" s="61">
        <v>29117</v>
      </c>
      <c r="AK491" s="59" t="s">
        <v>4883</v>
      </c>
      <c r="AL491" s="59" t="s">
        <v>114</v>
      </c>
      <c r="AM491" s="59" t="s">
        <v>800</v>
      </c>
      <c r="AN491" s="59"/>
      <c r="AO491" s="59"/>
      <c r="AP491" s="59" t="s">
        <v>4884</v>
      </c>
      <c r="AQ491" s="47" t="s">
        <v>925</v>
      </c>
      <c r="AR491" s="59" t="s">
        <v>3192</v>
      </c>
      <c r="AS491" s="59" t="s">
        <v>2294</v>
      </c>
      <c r="AT491" s="59" t="s">
        <v>1090</v>
      </c>
      <c r="AU491" s="59" t="s">
        <v>111</v>
      </c>
      <c r="AV491" s="59"/>
      <c r="AW491" s="59" t="s">
        <v>8183</v>
      </c>
      <c r="AX491" s="59" t="s">
        <v>2844</v>
      </c>
      <c r="AY491" s="59" t="s">
        <v>122</v>
      </c>
      <c r="AZ491" s="126">
        <v>30077</v>
      </c>
      <c r="BA491" s="60" t="s">
        <v>4885</v>
      </c>
      <c r="BB491" s="60" t="s">
        <v>845</v>
      </c>
      <c r="BC491" s="59" t="s">
        <v>4886</v>
      </c>
      <c r="BD491" s="60" t="s">
        <v>4887</v>
      </c>
      <c r="BE491" s="60"/>
      <c r="BF491" s="60"/>
      <c r="BG491" s="59" t="s">
        <v>4884</v>
      </c>
      <c r="BH491" s="60" t="s">
        <v>1009</v>
      </c>
      <c r="BI491" s="60" t="s">
        <v>3192</v>
      </c>
      <c r="BJ491" s="24" t="s">
        <v>2294</v>
      </c>
      <c r="BK491" s="59" t="s">
        <v>1090</v>
      </c>
      <c r="BL491" s="59" t="s">
        <v>1214</v>
      </c>
      <c r="BM491" s="62"/>
      <c r="BN491" s="62"/>
      <c r="BO491" s="59"/>
      <c r="BP491" s="59"/>
      <c r="BQ491" s="77"/>
      <c r="BR491" s="60"/>
      <c r="BS491" s="60"/>
      <c r="BT491" s="59"/>
      <c r="BU491" s="60"/>
      <c r="BV491" s="60"/>
      <c r="BW491" s="59"/>
      <c r="BX491" s="60"/>
      <c r="BY491" s="60"/>
      <c r="BZ491" s="59"/>
      <c r="CA491" s="59"/>
      <c r="CB491" s="59"/>
      <c r="CC491" s="59"/>
      <c r="CD491" s="59"/>
      <c r="CE491" s="59" t="s">
        <v>7702</v>
      </c>
      <c r="CF491" s="60" t="s">
        <v>925</v>
      </c>
      <c r="CG491" s="59" t="s">
        <v>7219</v>
      </c>
      <c r="CH491" s="59" t="s">
        <v>593</v>
      </c>
      <c r="CI491" s="59" t="s">
        <v>122</v>
      </c>
      <c r="CJ491" s="59" t="s">
        <v>111</v>
      </c>
      <c r="CK491" s="47"/>
      <c r="CL491" s="64" t="str">
        <f t="shared" ca="1" si="7"/>
        <v>21 Tahun 1 Bulan 28 Hari</v>
      </c>
      <c r="CM49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 Pagaden RT/RW 03/01 Desa/Kelurahan Marga Jaya Kecamatan Tanjungsari Sumedang Jawa Barat </v>
      </c>
    </row>
    <row r="492" spans="1:91" ht="24.95" hidden="1" customHeight="1">
      <c r="A492" s="58">
        <f>SUBTOTAL(3,N$8:Table2[[#This Row],[Nama lengkap]])</f>
        <v>472</v>
      </c>
      <c r="B492" s="58" t="s">
        <v>4837</v>
      </c>
      <c r="C492" s="58">
        <v>2017</v>
      </c>
      <c r="D492" s="58"/>
      <c r="E492" s="58">
        <v>7</v>
      </c>
      <c r="F492" s="58">
        <v>7</v>
      </c>
      <c r="G492" s="165"/>
      <c r="H492" s="32"/>
      <c r="I492" s="32"/>
      <c r="J492" s="32"/>
      <c r="K492" s="32"/>
      <c r="L492" s="32"/>
      <c r="M492" s="58">
        <v>17180119</v>
      </c>
      <c r="N492" s="24" t="s">
        <v>8878</v>
      </c>
      <c r="O492" s="24"/>
      <c r="P492" s="25" t="s">
        <v>4889</v>
      </c>
      <c r="Q492" s="25" t="s">
        <v>4890</v>
      </c>
      <c r="R492" s="60" t="s">
        <v>236</v>
      </c>
      <c r="S492" s="61" t="s">
        <v>4891</v>
      </c>
      <c r="T492" s="47" t="s">
        <v>92</v>
      </c>
      <c r="U492" s="47">
        <v>3</v>
      </c>
      <c r="V492" s="47">
        <v>6</v>
      </c>
      <c r="W492" s="47" t="s">
        <v>207</v>
      </c>
      <c r="X492" s="59"/>
      <c r="Y492" s="59" t="s">
        <v>4892</v>
      </c>
      <c r="Z492" s="59" t="s">
        <v>688</v>
      </c>
      <c r="AA492" s="59" t="s">
        <v>96</v>
      </c>
      <c r="AB492" s="59" t="s">
        <v>4842</v>
      </c>
      <c r="AC492" s="59" t="s">
        <v>208</v>
      </c>
      <c r="AD492" s="59" t="s">
        <v>208</v>
      </c>
      <c r="AE492" s="60" t="s">
        <v>4893</v>
      </c>
      <c r="AF492" s="60" t="s">
        <v>8687</v>
      </c>
      <c r="AG492" s="59" t="s">
        <v>8687</v>
      </c>
      <c r="AH492" s="59" t="s">
        <v>2844</v>
      </c>
      <c r="AI492" s="59" t="s">
        <v>236</v>
      </c>
      <c r="AJ492" s="61">
        <v>27037</v>
      </c>
      <c r="AK492" s="60" t="s">
        <v>4894</v>
      </c>
      <c r="AL492" s="60" t="s">
        <v>8262</v>
      </c>
      <c r="AM492" s="59" t="s">
        <v>800</v>
      </c>
      <c r="AN492" s="60"/>
      <c r="AO492" s="60"/>
      <c r="AP492" s="59" t="s">
        <v>4895</v>
      </c>
      <c r="AQ492" s="25" t="s">
        <v>1017</v>
      </c>
      <c r="AR492" s="60" t="s">
        <v>4896</v>
      </c>
      <c r="AS492" s="59" t="s">
        <v>4897</v>
      </c>
      <c r="AT492" s="59" t="s">
        <v>512</v>
      </c>
      <c r="AU492" s="59" t="s">
        <v>111</v>
      </c>
      <c r="AV492" s="62"/>
      <c r="AW492" s="59" t="s">
        <v>8184</v>
      </c>
      <c r="AX492" s="59" t="s">
        <v>2844</v>
      </c>
      <c r="AY492" s="59" t="s">
        <v>236</v>
      </c>
      <c r="AZ492" s="126">
        <v>29779</v>
      </c>
      <c r="BA492" s="60" t="s">
        <v>4898</v>
      </c>
      <c r="BB492" s="60" t="s">
        <v>845</v>
      </c>
      <c r="BC492" s="59" t="s">
        <v>4886</v>
      </c>
      <c r="BD492" s="60" t="s">
        <v>4899</v>
      </c>
      <c r="BE492" s="60"/>
      <c r="BF492" s="60"/>
      <c r="BG492" s="59" t="s">
        <v>4900</v>
      </c>
      <c r="BH492" s="60" t="s">
        <v>1017</v>
      </c>
      <c r="BI492" s="60" t="s">
        <v>4896</v>
      </c>
      <c r="BJ492" s="24" t="s">
        <v>4897</v>
      </c>
      <c r="BK492" s="59" t="s">
        <v>512</v>
      </c>
      <c r="BL492" s="59" t="s">
        <v>156</v>
      </c>
      <c r="BM492" s="62"/>
      <c r="BN492" s="62"/>
      <c r="BO492" s="59"/>
      <c r="BP492" s="59"/>
      <c r="BQ492" s="77"/>
      <c r="BR492" s="60"/>
      <c r="BS492" s="60"/>
      <c r="BT492" s="59"/>
      <c r="BU492" s="60"/>
      <c r="BV492" s="60"/>
      <c r="BW492" s="59"/>
      <c r="BX492" s="60"/>
      <c r="BY492" s="60"/>
      <c r="BZ492" s="59"/>
      <c r="CA492" s="59"/>
      <c r="CB492" s="59"/>
      <c r="CC492" s="59"/>
      <c r="CD492" s="59"/>
      <c r="CE492" s="59" t="s">
        <v>7703</v>
      </c>
      <c r="CF492" s="60" t="s">
        <v>1017</v>
      </c>
      <c r="CG492" s="59" t="s">
        <v>7295</v>
      </c>
      <c r="CH492" s="59" t="s">
        <v>7296</v>
      </c>
      <c r="CI492" s="59" t="s">
        <v>236</v>
      </c>
      <c r="CJ492" s="59" t="s">
        <v>111</v>
      </c>
      <c r="CK492" s="47"/>
      <c r="CL492" s="64" t="str">
        <f t="shared" ca="1" si="7"/>
        <v>21 Tahun 9 Bulan 5 Hari</v>
      </c>
      <c r="CM49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Kp.Pangkalan RT/RW 01/04 Desa/Kelurahan Sindangratu Kecamatan Wanaraja Garut Jawa Barat </v>
      </c>
    </row>
    <row r="493" spans="1:91" ht="24.95" hidden="1" customHeight="1">
      <c r="A493" s="58">
        <f>SUBTOTAL(3,N$8:Table2[[#This Row],[Nama lengkap]])</f>
        <v>472</v>
      </c>
      <c r="B493" s="58" t="s">
        <v>4837</v>
      </c>
      <c r="C493" s="58">
        <v>2017</v>
      </c>
      <c r="D493" s="58"/>
      <c r="E493" s="58">
        <v>7</v>
      </c>
      <c r="F493" s="58">
        <v>7</v>
      </c>
      <c r="G493" s="165"/>
      <c r="H493" s="32"/>
      <c r="I493" s="32"/>
      <c r="J493" s="32"/>
      <c r="K493" s="32"/>
      <c r="L493" s="32"/>
      <c r="M493" s="58">
        <v>17180120</v>
      </c>
      <c r="N493" s="24" t="s">
        <v>5786</v>
      </c>
      <c r="O493" s="24"/>
      <c r="P493" s="25" t="s">
        <v>4879</v>
      </c>
      <c r="Q493" s="25" t="s">
        <v>4902</v>
      </c>
      <c r="R493" s="60" t="s">
        <v>122</v>
      </c>
      <c r="S493" s="61" t="s">
        <v>4903</v>
      </c>
      <c r="T493" s="47" t="s">
        <v>92</v>
      </c>
      <c r="U493" s="47">
        <v>1</v>
      </c>
      <c r="V493" s="47">
        <v>4</v>
      </c>
      <c r="W493" s="47" t="s">
        <v>207</v>
      </c>
      <c r="X493" s="59"/>
      <c r="Y493" s="59"/>
      <c r="Z493" s="59"/>
      <c r="AA493" s="59" t="s">
        <v>96</v>
      </c>
      <c r="AB493" s="59" t="s">
        <v>3129</v>
      </c>
      <c r="AC493" s="59" t="s">
        <v>208</v>
      </c>
      <c r="AD493" s="59" t="s">
        <v>208</v>
      </c>
      <c r="AE493" s="60" t="s">
        <v>4904</v>
      </c>
      <c r="AF493" s="60" t="s">
        <v>8688</v>
      </c>
      <c r="AG493" s="59" t="s">
        <v>8688</v>
      </c>
      <c r="AH493" s="59" t="s">
        <v>2844</v>
      </c>
      <c r="AI493" s="59" t="s">
        <v>122</v>
      </c>
      <c r="AJ493" s="61">
        <v>22032</v>
      </c>
      <c r="AK493" s="60" t="s">
        <v>4905</v>
      </c>
      <c r="AL493" s="60" t="s">
        <v>8254</v>
      </c>
      <c r="AM493" s="59" t="s">
        <v>149</v>
      </c>
      <c r="AN493" s="60"/>
      <c r="AO493" s="60"/>
      <c r="AP493" s="59" t="s">
        <v>4906</v>
      </c>
      <c r="AQ493" s="25" t="s">
        <v>815</v>
      </c>
      <c r="AR493" s="60" t="s">
        <v>2105</v>
      </c>
      <c r="AS493" s="59" t="s">
        <v>1101</v>
      </c>
      <c r="AT493" s="59" t="s">
        <v>1090</v>
      </c>
      <c r="AU493" s="59" t="s">
        <v>111</v>
      </c>
      <c r="AV493" s="62"/>
      <c r="AW493" s="59" t="s">
        <v>8185</v>
      </c>
      <c r="AX493" s="59" t="s">
        <v>2844</v>
      </c>
      <c r="AY493" s="59" t="s">
        <v>122</v>
      </c>
      <c r="AZ493" s="126">
        <v>19611</v>
      </c>
      <c r="BA493" s="60" t="s">
        <v>4907</v>
      </c>
      <c r="BB493" s="60" t="s">
        <v>845</v>
      </c>
      <c r="BC493" s="59" t="s">
        <v>4886</v>
      </c>
      <c r="BD493" s="60" t="s">
        <v>4908</v>
      </c>
      <c r="BE493" s="60"/>
      <c r="BF493" s="60"/>
      <c r="BG493" s="59" t="s">
        <v>4906</v>
      </c>
      <c r="BH493" s="60" t="s">
        <v>815</v>
      </c>
      <c r="BI493" s="60" t="s">
        <v>2105</v>
      </c>
      <c r="BJ493" s="24" t="s">
        <v>1101</v>
      </c>
      <c r="BK493" s="59" t="s">
        <v>1090</v>
      </c>
      <c r="BL493" s="59" t="s">
        <v>156</v>
      </c>
      <c r="BM493" s="62"/>
      <c r="BN493" s="62"/>
      <c r="BO493" s="59"/>
      <c r="BP493" s="59"/>
      <c r="BQ493" s="77"/>
      <c r="BR493" s="60"/>
      <c r="BS493" s="60"/>
      <c r="BT493" s="59"/>
      <c r="BU493" s="60"/>
      <c r="BV493" s="60"/>
      <c r="BW493" s="59"/>
      <c r="BX493" s="60"/>
      <c r="BY493" s="60"/>
      <c r="BZ493" s="59"/>
      <c r="CA493" s="59"/>
      <c r="CB493" s="59"/>
      <c r="CC493" s="59"/>
      <c r="CD493" s="59"/>
      <c r="CE493" s="59" t="s">
        <v>7704</v>
      </c>
      <c r="CF493" s="60" t="s">
        <v>815</v>
      </c>
      <c r="CG493" s="59" t="s">
        <v>6491</v>
      </c>
      <c r="CH493" s="59" t="s">
        <v>6945</v>
      </c>
      <c r="CI493" s="59" t="s">
        <v>122</v>
      </c>
      <c r="CJ493" s="59" t="s">
        <v>111</v>
      </c>
      <c r="CK493" s="47"/>
      <c r="CL493" s="64" t="str">
        <f t="shared" ca="1" si="7"/>
        <v>20 Tahun 5 Bulan 18 Hari</v>
      </c>
      <c r="CM49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Margacinta RT/RW 01/03 Desa/Kelurahan Margamekar Kecamatan Sumedang Selatan Sumedang Jawa Barat </v>
      </c>
    </row>
    <row r="494" spans="1:91" ht="24.95" hidden="1" customHeight="1">
      <c r="A494" s="58">
        <f>SUBTOTAL(3,N$8:Table2[[#This Row],[Nama lengkap]])</f>
        <v>472</v>
      </c>
      <c r="B494" s="58" t="s">
        <v>4837</v>
      </c>
      <c r="C494" s="58">
        <v>2017</v>
      </c>
      <c r="D494" s="58"/>
      <c r="E494" s="58">
        <v>7</v>
      </c>
      <c r="F494" s="58">
        <v>7</v>
      </c>
      <c r="G494" s="165"/>
      <c r="H494" s="32"/>
      <c r="I494" s="32"/>
      <c r="J494" s="32"/>
      <c r="K494" s="32"/>
      <c r="L494" s="32"/>
      <c r="M494" s="58">
        <v>17180122</v>
      </c>
      <c r="N494" s="24" t="s">
        <v>8879</v>
      </c>
      <c r="O494" s="24"/>
      <c r="P494" s="25" t="s">
        <v>4910</v>
      </c>
      <c r="Q494" s="25" t="s">
        <v>4911</v>
      </c>
      <c r="R494" s="60" t="s">
        <v>122</v>
      </c>
      <c r="S494" s="61" t="s">
        <v>4912</v>
      </c>
      <c r="T494" s="47" t="s">
        <v>92</v>
      </c>
      <c r="U494" s="47">
        <v>1</v>
      </c>
      <c r="V494" s="47">
        <v>3</v>
      </c>
      <c r="W494" s="47" t="s">
        <v>207</v>
      </c>
      <c r="X494" s="59"/>
      <c r="Y494" s="59"/>
      <c r="Z494" s="59"/>
      <c r="AA494" s="59" t="s">
        <v>96</v>
      </c>
      <c r="AB494" s="59" t="s">
        <v>4842</v>
      </c>
      <c r="AC494" s="59" t="s">
        <v>208</v>
      </c>
      <c r="AD494" s="59" t="s">
        <v>208</v>
      </c>
      <c r="AE494" s="60" t="s">
        <v>4913</v>
      </c>
      <c r="AF494" s="60" t="s">
        <v>8682</v>
      </c>
      <c r="AG494" s="59" t="s">
        <v>8682</v>
      </c>
      <c r="AH494" s="59" t="s">
        <v>2844</v>
      </c>
      <c r="AI494" s="59" t="s">
        <v>122</v>
      </c>
      <c r="AJ494" s="61">
        <v>30831</v>
      </c>
      <c r="AK494" s="60" t="s">
        <v>4914</v>
      </c>
      <c r="AL494" s="60" t="s">
        <v>114</v>
      </c>
      <c r="AM494" s="59" t="s">
        <v>700</v>
      </c>
      <c r="AN494" s="60"/>
      <c r="AO494" s="60"/>
      <c r="AP494" s="59" t="s">
        <v>4915</v>
      </c>
      <c r="AQ494" s="25" t="s">
        <v>1017</v>
      </c>
      <c r="AR494" s="60" t="s">
        <v>3238</v>
      </c>
      <c r="AS494" s="59" t="s">
        <v>3238</v>
      </c>
      <c r="AT494" s="59" t="s">
        <v>1090</v>
      </c>
      <c r="AU494" s="59" t="s">
        <v>111</v>
      </c>
      <c r="AV494" s="62"/>
      <c r="AW494" s="59" t="s">
        <v>8186</v>
      </c>
      <c r="AX494" s="59" t="s">
        <v>2844</v>
      </c>
      <c r="AY494" s="59" t="s">
        <v>122</v>
      </c>
      <c r="AZ494" s="126">
        <v>31289</v>
      </c>
      <c r="BA494" s="60" t="s">
        <v>4916</v>
      </c>
      <c r="BB494" s="60" t="s">
        <v>845</v>
      </c>
      <c r="BC494" s="59" t="s">
        <v>700</v>
      </c>
      <c r="BD494" s="60" t="s">
        <v>4917</v>
      </c>
      <c r="BE494" s="60"/>
      <c r="BF494" s="60"/>
      <c r="BG494" s="59" t="s">
        <v>4915</v>
      </c>
      <c r="BH494" s="60" t="s">
        <v>1017</v>
      </c>
      <c r="BI494" s="60" t="s">
        <v>3238</v>
      </c>
      <c r="BJ494" s="24" t="s">
        <v>3238</v>
      </c>
      <c r="BK494" s="59" t="s">
        <v>1090</v>
      </c>
      <c r="BL494" s="59" t="s">
        <v>1214</v>
      </c>
      <c r="BM494" s="62"/>
      <c r="BN494" s="62"/>
      <c r="BO494" s="59"/>
      <c r="BP494" s="59"/>
      <c r="BQ494" s="77"/>
      <c r="BR494" s="60"/>
      <c r="BS494" s="60"/>
      <c r="BT494" s="59"/>
      <c r="BU494" s="60"/>
      <c r="BV494" s="60"/>
      <c r="BW494" s="59"/>
      <c r="BX494" s="60"/>
      <c r="BY494" s="60"/>
      <c r="BZ494" s="59"/>
      <c r="CA494" s="59"/>
      <c r="CB494" s="59"/>
      <c r="CC494" s="59"/>
      <c r="CD494" s="59"/>
      <c r="CE494" s="59" t="s">
        <v>7705</v>
      </c>
      <c r="CF494" s="60" t="s">
        <v>1017</v>
      </c>
      <c r="CG494" s="59" t="s">
        <v>882</v>
      </c>
      <c r="CH494" s="59" t="s">
        <v>882</v>
      </c>
      <c r="CI494" s="59" t="s">
        <v>122</v>
      </c>
      <c r="CJ494" s="59" t="s">
        <v>111</v>
      </c>
      <c r="CK494" s="47"/>
      <c r="CL494" s="64" t="str">
        <f t="shared" ca="1" si="7"/>
        <v>21 Tahun 4 Bulan 6 Hari</v>
      </c>
      <c r="CM49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 Boma RT/RW 01/04 Desa/Kelurahan Pamulihan Kecamatan Pamulihan Sumedang Jawa Barat </v>
      </c>
    </row>
    <row r="495" spans="1:91" ht="24.95" hidden="1" customHeight="1">
      <c r="A495" s="58">
        <f>SUBTOTAL(3,N$8:Table2[[#This Row],[Nama lengkap]])</f>
        <v>472</v>
      </c>
      <c r="B495" s="58" t="s">
        <v>4837</v>
      </c>
      <c r="C495" s="58">
        <v>2017</v>
      </c>
      <c r="D495" s="58"/>
      <c r="E495" s="58">
        <v>7</v>
      </c>
      <c r="F495" s="58">
        <v>7</v>
      </c>
      <c r="G495" s="165"/>
      <c r="H495" s="32"/>
      <c r="I495" s="32"/>
      <c r="J495" s="32"/>
      <c r="K495" s="32"/>
      <c r="L495" s="32"/>
      <c r="M495" s="58">
        <v>17180126</v>
      </c>
      <c r="N495" s="24" t="s">
        <v>5788</v>
      </c>
      <c r="O495" s="24"/>
      <c r="P495" s="25" t="s">
        <v>4919</v>
      </c>
      <c r="Q495" s="25" t="s">
        <v>4920</v>
      </c>
      <c r="R495" s="60" t="s">
        <v>456</v>
      </c>
      <c r="S495" s="61" t="s">
        <v>4261</v>
      </c>
      <c r="T495" s="47" t="s">
        <v>92</v>
      </c>
      <c r="U495" s="47">
        <v>2</v>
      </c>
      <c r="V495" s="47">
        <v>3</v>
      </c>
      <c r="W495" s="47" t="s">
        <v>207</v>
      </c>
      <c r="X495" s="59"/>
      <c r="Y495" s="59" t="s">
        <v>4921</v>
      </c>
      <c r="Z495" s="59" t="s">
        <v>688</v>
      </c>
      <c r="AA495" s="59" t="s">
        <v>96</v>
      </c>
      <c r="AB495" s="59" t="s">
        <v>4842</v>
      </c>
      <c r="AC495" s="59" t="s">
        <v>208</v>
      </c>
      <c r="AD495" s="59" t="s">
        <v>208</v>
      </c>
      <c r="AE495" s="60" t="s">
        <v>4922</v>
      </c>
      <c r="AF495" s="60" t="s">
        <v>8689</v>
      </c>
      <c r="AG495" s="59" t="s">
        <v>8689</v>
      </c>
      <c r="AH495" s="59" t="s">
        <v>2844</v>
      </c>
      <c r="AI495" s="59" t="s">
        <v>90</v>
      </c>
      <c r="AJ495" s="61">
        <v>28108</v>
      </c>
      <c r="AK495" s="60" t="s">
        <v>4923</v>
      </c>
      <c r="AL495" s="60" t="s">
        <v>8254</v>
      </c>
      <c r="AM495" s="59" t="s">
        <v>149</v>
      </c>
      <c r="AN495" s="60" t="s">
        <v>4924</v>
      </c>
      <c r="AO495" s="60"/>
      <c r="AP495" s="59" t="s">
        <v>4925</v>
      </c>
      <c r="AQ495" s="25" t="s">
        <v>925</v>
      </c>
      <c r="AR495" s="60" t="s">
        <v>1752</v>
      </c>
      <c r="AS495" s="59" t="s">
        <v>1324</v>
      </c>
      <c r="AT495" s="59" t="s">
        <v>1090</v>
      </c>
      <c r="AU495" s="59" t="s">
        <v>111</v>
      </c>
      <c r="AV495" s="62"/>
      <c r="AW495" s="59" t="s">
        <v>8187</v>
      </c>
      <c r="AX495" s="59" t="s">
        <v>2844</v>
      </c>
      <c r="AY495" s="59" t="s">
        <v>90</v>
      </c>
      <c r="AZ495" s="126">
        <v>29363</v>
      </c>
      <c r="BA495" s="60" t="s">
        <v>4926</v>
      </c>
      <c r="BB495" s="60" t="s">
        <v>845</v>
      </c>
      <c r="BC495" s="59" t="s">
        <v>4682</v>
      </c>
      <c r="BD495" s="60" t="s">
        <v>4927</v>
      </c>
      <c r="BE495" s="60"/>
      <c r="BF495" s="60"/>
      <c r="BG495" s="59" t="s">
        <v>4925</v>
      </c>
      <c r="BH495" s="60" t="s">
        <v>1009</v>
      </c>
      <c r="BI495" s="60" t="s">
        <v>1752</v>
      </c>
      <c r="BJ495" s="24" t="s">
        <v>1324</v>
      </c>
      <c r="BK495" s="59" t="s">
        <v>1090</v>
      </c>
      <c r="BL495" s="59" t="s">
        <v>156</v>
      </c>
      <c r="BM495" s="62"/>
      <c r="BN495" s="62"/>
      <c r="BO495" s="59"/>
      <c r="BP495" s="59"/>
      <c r="BQ495" s="77"/>
      <c r="BR495" s="60"/>
      <c r="BS495" s="60"/>
      <c r="BT495" s="59"/>
      <c r="BU495" s="60"/>
      <c r="BV495" s="60"/>
      <c r="BW495" s="59"/>
      <c r="BX495" s="60"/>
      <c r="BY495" s="60"/>
      <c r="BZ495" s="59"/>
      <c r="CA495" s="59"/>
      <c r="CB495" s="59"/>
      <c r="CC495" s="59"/>
      <c r="CD495" s="59"/>
      <c r="CE495" s="59" t="s">
        <v>7706</v>
      </c>
      <c r="CF495" s="60" t="s">
        <v>925</v>
      </c>
      <c r="CG495" s="59" t="s">
        <v>7109</v>
      </c>
      <c r="CH495" s="59" t="s">
        <v>134</v>
      </c>
      <c r="CI495" s="59" t="s">
        <v>122</v>
      </c>
      <c r="CJ495" s="59" t="s">
        <v>111</v>
      </c>
      <c r="CK495" s="47"/>
      <c r="CL495" s="64" t="str">
        <f t="shared" ca="1" si="7"/>
        <v>21 Tahun 1 Bulan 14 Hari</v>
      </c>
      <c r="CM49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Perum Jatihurip Blok 7 RT/RW 03/01 Desa/Kelurahan Jatihurip Kecamatan Sumedang Utara Sumedang Jawa Barat </v>
      </c>
    </row>
    <row r="496" spans="1:91" ht="24.95" hidden="1" customHeight="1">
      <c r="A496" s="58">
        <f>SUBTOTAL(3,N$8:Table2[[#This Row],[Nama lengkap]])</f>
        <v>472</v>
      </c>
      <c r="B496" s="58" t="s">
        <v>4837</v>
      </c>
      <c r="C496" s="58">
        <v>2018</v>
      </c>
      <c r="D496" s="58"/>
      <c r="E496" s="58">
        <v>7</v>
      </c>
      <c r="F496" s="58">
        <v>7</v>
      </c>
      <c r="G496" s="165"/>
      <c r="H496" s="32"/>
      <c r="I496" s="32"/>
      <c r="J496" s="32"/>
      <c r="K496" s="32"/>
      <c r="L496" s="32"/>
      <c r="M496" s="58">
        <v>18190241</v>
      </c>
      <c r="N496" s="104" t="s">
        <v>5789</v>
      </c>
      <c r="O496" s="24"/>
      <c r="P496" s="25" t="s">
        <v>4929</v>
      </c>
      <c r="Q496" s="25" t="s">
        <v>4930</v>
      </c>
      <c r="R496" s="60" t="s">
        <v>90</v>
      </c>
      <c r="S496" s="61" t="s">
        <v>4931</v>
      </c>
      <c r="T496" s="47" t="s">
        <v>92</v>
      </c>
      <c r="U496" s="47">
        <v>4</v>
      </c>
      <c r="V496" s="47">
        <v>7</v>
      </c>
      <c r="W496" s="47" t="s">
        <v>207</v>
      </c>
      <c r="X496" s="59"/>
      <c r="Y496" s="59" t="s">
        <v>2039</v>
      </c>
      <c r="Z496" s="59" t="s">
        <v>4932</v>
      </c>
      <c r="AA496" s="59" t="s">
        <v>753</v>
      </c>
      <c r="AB496" s="59" t="s">
        <v>4842</v>
      </c>
      <c r="AC496" s="59" t="s">
        <v>208</v>
      </c>
      <c r="AD496" s="59" t="s">
        <v>208</v>
      </c>
      <c r="AE496" s="60" t="s">
        <v>4933</v>
      </c>
      <c r="AF496" s="60" t="s">
        <v>8690</v>
      </c>
      <c r="AG496" s="59" t="s">
        <v>8690</v>
      </c>
      <c r="AH496" s="59" t="s">
        <v>1153</v>
      </c>
      <c r="AI496" s="59" t="s">
        <v>977</v>
      </c>
      <c r="AJ496" s="61">
        <v>24515</v>
      </c>
      <c r="AK496" s="25" t="s">
        <v>4934</v>
      </c>
      <c r="AL496" s="25" t="s">
        <v>7774</v>
      </c>
      <c r="AM496" s="25" t="s">
        <v>4935</v>
      </c>
      <c r="AN496" s="25" t="s">
        <v>4936</v>
      </c>
      <c r="AO496" s="25"/>
      <c r="AP496" s="25" t="s">
        <v>4937</v>
      </c>
      <c r="AQ496" s="25" t="s">
        <v>3791</v>
      </c>
      <c r="AR496" s="25" t="s">
        <v>4938</v>
      </c>
      <c r="AS496" s="25" t="s">
        <v>2672</v>
      </c>
      <c r="AT496" s="25" t="s">
        <v>141</v>
      </c>
      <c r="AU496" s="59" t="s">
        <v>111</v>
      </c>
      <c r="AV496" s="25"/>
      <c r="AW496" s="59" t="s">
        <v>8188</v>
      </c>
      <c r="AX496" s="59" t="s">
        <v>1153</v>
      </c>
      <c r="AY496" s="59" t="s">
        <v>90</v>
      </c>
      <c r="AZ496" s="126">
        <v>28060</v>
      </c>
      <c r="BA496" s="60" t="s">
        <v>4939</v>
      </c>
      <c r="BB496" s="60" t="s">
        <v>7770</v>
      </c>
      <c r="BC496" s="59" t="s">
        <v>4940</v>
      </c>
      <c r="BD496" s="60"/>
      <c r="BE496" s="60"/>
      <c r="BF496" s="60"/>
      <c r="BG496" s="59" t="s">
        <v>4941</v>
      </c>
      <c r="BH496" s="60" t="s">
        <v>1615</v>
      </c>
      <c r="BI496" s="60" t="s">
        <v>4942</v>
      </c>
      <c r="BJ496" s="24" t="s">
        <v>4943</v>
      </c>
      <c r="BK496" s="59" t="s">
        <v>1693</v>
      </c>
      <c r="BL496" s="59" t="s">
        <v>1214</v>
      </c>
      <c r="BM496" s="62"/>
      <c r="BN496" s="62"/>
      <c r="BO496" s="59"/>
      <c r="BP496" s="59"/>
      <c r="BQ496" s="77"/>
      <c r="BR496" s="60"/>
      <c r="BS496" s="60"/>
      <c r="BT496" s="59"/>
      <c r="BU496" s="60"/>
      <c r="BV496" s="60"/>
      <c r="BW496" s="59"/>
      <c r="BX496" s="60"/>
      <c r="BY496" s="60"/>
      <c r="BZ496" s="59"/>
      <c r="CA496" s="59"/>
      <c r="CB496" s="59"/>
      <c r="CC496" s="59"/>
      <c r="CD496" s="59"/>
      <c r="CE496" s="59" t="s">
        <v>7707</v>
      </c>
      <c r="CF496" s="60" t="s">
        <v>3791</v>
      </c>
      <c r="CG496" s="59" t="s">
        <v>7297</v>
      </c>
      <c r="CH496" s="59" t="s">
        <v>312</v>
      </c>
      <c r="CI496" s="59" t="s">
        <v>90</v>
      </c>
      <c r="CJ496" s="59" t="s">
        <v>111</v>
      </c>
      <c r="CK496" s="47"/>
      <c r="CL496" s="64" t="str">
        <f t="shared" ca="1" si="7"/>
        <v>25 Tahun 8 Bulan 6 Hari</v>
      </c>
      <c r="CM49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Nagrak RT/RW 02/14 Desa/Kelurahan Margamulya Kecamatan Pasirjambu Bandung Jawa Barat </v>
      </c>
    </row>
    <row r="497" spans="1:91" ht="24.95" hidden="1" customHeight="1">
      <c r="A497" s="58">
        <f>SUBTOTAL(3,N$8:Table2[[#This Row],[Nama lengkap]])</f>
        <v>472</v>
      </c>
      <c r="B497" s="58" t="s">
        <v>4837</v>
      </c>
      <c r="C497" s="58">
        <v>2017</v>
      </c>
      <c r="D497" s="58"/>
      <c r="E497" s="58">
        <v>7</v>
      </c>
      <c r="F497" s="58">
        <v>7</v>
      </c>
      <c r="G497" s="165"/>
      <c r="H497" s="32"/>
      <c r="I497" s="32"/>
      <c r="J497" s="32"/>
      <c r="K497" s="32"/>
      <c r="L497" s="32"/>
      <c r="M497" s="58">
        <v>17180135</v>
      </c>
      <c r="N497" s="24" t="s">
        <v>5790</v>
      </c>
      <c r="O497" s="24"/>
      <c r="P497" s="25" t="s">
        <v>4945</v>
      </c>
      <c r="Q497" s="25" t="s">
        <v>4946</v>
      </c>
      <c r="R497" s="60" t="s">
        <v>122</v>
      </c>
      <c r="S497" s="61" t="s">
        <v>4299</v>
      </c>
      <c r="T497" s="47" t="s">
        <v>92</v>
      </c>
      <c r="U497" s="47">
        <v>1</v>
      </c>
      <c r="V497" s="47">
        <v>3</v>
      </c>
      <c r="W497" s="47" t="s">
        <v>207</v>
      </c>
      <c r="X497" s="59"/>
      <c r="Y497" s="59" t="s">
        <v>1012</v>
      </c>
      <c r="Z497" s="59" t="s">
        <v>688</v>
      </c>
      <c r="AA497" s="59" t="s">
        <v>96</v>
      </c>
      <c r="AB497" s="59" t="s">
        <v>4842</v>
      </c>
      <c r="AC497" s="59" t="s">
        <v>208</v>
      </c>
      <c r="AD497" s="59" t="s">
        <v>208</v>
      </c>
      <c r="AE497" s="60" t="s">
        <v>4947</v>
      </c>
      <c r="AF497" s="60" t="s">
        <v>8691</v>
      </c>
      <c r="AG497" s="59" t="s">
        <v>8691</v>
      </c>
      <c r="AH497" s="59" t="s">
        <v>2844</v>
      </c>
      <c r="AI497" s="59" t="s">
        <v>122</v>
      </c>
      <c r="AJ497" s="61">
        <v>28888</v>
      </c>
      <c r="AK497" s="60" t="s">
        <v>4948</v>
      </c>
      <c r="AL497" s="60" t="s">
        <v>602</v>
      </c>
      <c r="AM497" s="59" t="s">
        <v>149</v>
      </c>
      <c r="AN497" s="60" t="s">
        <v>4949</v>
      </c>
      <c r="AO497" s="60"/>
      <c r="AP497" s="59" t="s">
        <v>4950</v>
      </c>
      <c r="AQ497" s="25" t="s">
        <v>3340</v>
      </c>
      <c r="AR497" s="60" t="s">
        <v>4951</v>
      </c>
      <c r="AS497" s="59" t="s">
        <v>2294</v>
      </c>
      <c r="AT497" s="59" t="s">
        <v>1090</v>
      </c>
      <c r="AU497" s="59" t="s">
        <v>111</v>
      </c>
      <c r="AV497" s="62"/>
      <c r="AW497" s="59" t="s">
        <v>8189</v>
      </c>
      <c r="AX497" s="59" t="s">
        <v>2844</v>
      </c>
      <c r="AY497" s="59" t="s">
        <v>122</v>
      </c>
      <c r="AZ497" s="126">
        <v>30735</v>
      </c>
      <c r="BA497" s="60" t="s">
        <v>4952</v>
      </c>
      <c r="BB497" s="60" t="s">
        <v>845</v>
      </c>
      <c r="BC497" s="59" t="s">
        <v>4682</v>
      </c>
      <c r="BD497" s="60" t="s">
        <v>4953</v>
      </c>
      <c r="BE497" s="60"/>
      <c r="BF497" s="60"/>
      <c r="BG497" s="59" t="s">
        <v>4950</v>
      </c>
      <c r="BH497" s="60" t="s">
        <v>3340</v>
      </c>
      <c r="BI497" s="60" t="s">
        <v>4951</v>
      </c>
      <c r="BJ497" s="24" t="s">
        <v>2294</v>
      </c>
      <c r="BK497" s="59" t="s">
        <v>1090</v>
      </c>
      <c r="BL497" s="59" t="s">
        <v>156</v>
      </c>
      <c r="BM497" s="62"/>
      <c r="BN497" s="62"/>
      <c r="BO497" s="59"/>
      <c r="BP497" s="59"/>
      <c r="BQ497" s="77"/>
      <c r="BR497" s="60"/>
      <c r="BS497" s="60"/>
      <c r="BT497" s="59"/>
      <c r="BU497" s="60"/>
      <c r="BV497" s="60"/>
      <c r="BW497" s="59"/>
      <c r="BX497" s="60"/>
      <c r="BY497" s="60"/>
      <c r="BZ497" s="59"/>
      <c r="CA497" s="59"/>
      <c r="CB497" s="59"/>
      <c r="CC497" s="59"/>
      <c r="CD497" s="59"/>
      <c r="CE497" s="59" t="s">
        <v>7708</v>
      </c>
      <c r="CF497" s="60" t="s">
        <v>3340</v>
      </c>
      <c r="CG497" s="59" t="s">
        <v>7037</v>
      </c>
      <c r="CH497" s="59" t="s">
        <v>593</v>
      </c>
      <c r="CI497" s="59" t="s">
        <v>122</v>
      </c>
      <c r="CJ497" s="59" t="s">
        <v>111</v>
      </c>
      <c r="CK497" s="47"/>
      <c r="CL497" s="64" t="str">
        <f t="shared" ca="1" si="7"/>
        <v>20 Tahun 11 Bulan 23 Hari</v>
      </c>
      <c r="CM49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Cikandang RT/RW 03/08 Desa/Kelurahan Cinanjung Kecamatan Tanjungsari Sumedang Jawa Barat </v>
      </c>
    </row>
    <row r="498" spans="1:91" ht="24.95" hidden="1" customHeight="1">
      <c r="A498" s="58">
        <f>SUBTOTAL(3,N$8:Table2[[#This Row],[Nama lengkap]])</f>
        <v>472</v>
      </c>
      <c r="B498" s="58" t="s">
        <v>4837</v>
      </c>
      <c r="C498" s="58">
        <v>2017</v>
      </c>
      <c r="D498" s="58"/>
      <c r="E498" s="58">
        <v>7</v>
      </c>
      <c r="F498" s="58">
        <v>7</v>
      </c>
      <c r="G498" s="165"/>
      <c r="H498" s="32"/>
      <c r="I498" s="32"/>
      <c r="J498" s="32"/>
      <c r="K498" s="32"/>
      <c r="L498" s="32"/>
      <c r="M498" s="58">
        <v>17180136</v>
      </c>
      <c r="N498" s="104" t="s">
        <v>5791</v>
      </c>
      <c r="O498" s="24"/>
      <c r="P498" s="25" t="s">
        <v>4955</v>
      </c>
      <c r="Q498" s="25" t="s">
        <v>4956</v>
      </c>
      <c r="R498" s="60" t="s">
        <v>122</v>
      </c>
      <c r="S498" s="61" t="s">
        <v>4957</v>
      </c>
      <c r="T498" s="47" t="s">
        <v>92</v>
      </c>
      <c r="U498" s="47">
        <v>1</v>
      </c>
      <c r="V498" s="47">
        <v>2</v>
      </c>
      <c r="W498" s="47" t="s">
        <v>207</v>
      </c>
      <c r="X498" s="59"/>
      <c r="Y498" s="59" t="s">
        <v>1012</v>
      </c>
      <c r="Z498" s="59" t="s">
        <v>688</v>
      </c>
      <c r="AA498" s="59" t="s">
        <v>1141</v>
      </c>
      <c r="AB498" s="59" t="s">
        <v>4842</v>
      </c>
      <c r="AC498" s="59" t="s">
        <v>208</v>
      </c>
      <c r="AD498" s="59" t="s">
        <v>208</v>
      </c>
      <c r="AE498" s="60" t="s">
        <v>4958</v>
      </c>
      <c r="AF498" s="60" t="s">
        <v>6704</v>
      </c>
      <c r="AG498" s="59" t="s">
        <v>6704</v>
      </c>
      <c r="AH498" s="59" t="s">
        <v>2844</v>
      </c>
      <c r="AI498" s="59" t="s">
        <v>122</v>
      </c>
      <c r="AJ498" s="61">
        <v>28895</v>
      </c>
      <c r="AK498" s="60" t="s">
        <v>4959</v>
      </c>
      <c r="AL498" s="60" t="s">
        <v>602</v>
      </c>
      <c r="AM498" s="59" t="s">
        <v>800</v>
      </c>
      <c r="AN498" s="60">
        <v>82115383275</v>
      </c>
      <c r="AO498" s="60"/>
      <c r="AP498" s="59" t="s">
        <v>3918</v>
      </c>
      <c r="AQ498" s="25" t="s">
        <v>4356</v>
      </c>
      <c r="AR498" s="60" t="s">
        <v>1626</v>
      </c>
      <c r="AS498" s="59" t="s">
        <v>1626</v>
      </c>
      <c r="AT498" s="59" t="s">
        <v>1090</v>
      </c>
      <c r="AU498" s="59" t="s">
        <v>111</v>
      </c>
      <c r="AV498" s="62"/>
      <c r="AW498" s="59" t="s">
        <v>6708</v>
      </c>
      <c r="AX498" s="59" t="s">
        <v>2844</v>
      </c>
      <c r="AY498" s="59" t="s">
        <v>122</v>
      </c>
      <c r="AZ498" s="126">
        <v>30531</v>
      </c>
      <c r="BA498" s="60" t="s">
        <v>4960</v>
      </c>
      <c r="BB498" s="60" t="s">
        <v>602</v>
      </c>
      <c r="BC498" s="59" t="s">
        <v>4940</v>
      </c>
      <c r="BD498" s="60" t="s">
        <v>4961</v>
      </c>
      <c r="BE498" s="60"/>
      <c r="BF498" s="60"/>
      <c r="BG498" s="59" t="s">
        <v>3918</v>
      </c>
      <c r="BH498" s="60" t="s">
        <v>4356</v>
      </c>
      <c r="BI498" s="60" t="s">
        <v>1626</v>
      </c>
      <c r="BJ498" s="24" t="s">
        <v>1626</v>
      </c>
      <c r="BK498" s="59" t="s">
        <v>1090</v>
      </c>
      <c r="BL498" s="59" t="s">
        <v>156</v>
      </c>
      <c r="BM498" s="62"/>
      <c r="BN498" s="62"/>
      <c r="BO498" s="59"/>
      <c r="BP498" s="59"/>
      <c r="BQ498" s="77"/>
      <c r="BR498" s="60"/>
      <c r="BS498" s="60"/>
      <c r="BT498" s="59"/>
      <c r="BU498" s="60"/>
      <c r="BV498" s="60"/>
      <c r="BW498" s="59"/>
      <c r="BX498" s="60"/>
      <c r="BY498" s="60"/>
      <c r="BZ498" s="59"/>
      <c r="CA498" s="59"/>
      <c r="CB498" s="59"/>
      <c r="CC498" s="59"/>
      <c r="CD498" s="59"/>
      <c r="CE498" s="59" t="s">
        <v>6707</v>
      </c>
      <c r="CF498" s="60" t="s">
        <v>4356</v>
      </c>
      <c r="CG498" s="59" t="s">
        <v>1518</v>
      </c>
      <c r="CH498" s="59" t="s">
        <v>1518</v>
      </c>
      <c r="CI498" s="59" t="s">
        <v>122</v>
      </c>
      <c r="CJ498" s="59" t="s">
        <v>111</v>
      </c>
      <c r="CK498" s="47"/>
      <c r="CL498" s="64" t="str">
        <f t="shared" ca="1" si="7"/>
        <v>23 Tahun 7 Bulan 17 Hari</v>
      </c>
      <c r="CM49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Pasir Muncang RT/RW 04/18 Desa/Kelurahan Cimanggung Kecamatan Cimanggung Sumedang Jawa Barat </v>
      </c>
    </row>
    <row r="499" spans="1:91" ht="24.95" hidden="1" customHeight="1">
      <c r="A499" s="58">
        <f>SUBTOTAL(3,N$8:Table2[[#This Row],[Nama lengkap]])</f>
        <v>472</v>
      </c>
      <c r="B499" s="58" t="s">
        <v>4837</v>
      </c>
      <c r="C499" s="58">
        <v>2018</v>
      </c>
      <c r="D499" s="58"/>
      <c r="E499" s="58">
        <v>7</v>
      </c>
      <c r="F499" s="58">
        <v>7</v>
      </c>
      <c r="G499" s="165"/>
      <c r="H499" s="32"/>
      <c r="I499" s="32"/>
      <c r="J499" s="32"/>
      <c r="K499" s="32"/>
      <c r="L499" s="32"/>
      <c r="M499" s="58">
        <v>18190234</v>
      </c>
      <c r="N499" s="24" t="s">
        <v>5792</v>
      </c>
      <c r="O499" s="24"/>
      <c r="P499" s="25" t="s">
        <v>4963</v>
      </c>
      <c r="Q499" s="25" t="s">
        <v>4964</v>
      </c>
      <c r="R499" s="60" t="s">
        <v>6472</v>
      </c>
      <c r="S499" s="61" t="s">
        <v>4965</v>
      </c>
      <c r="T499" s="47" t="s">
        <v>92</v>
      </c>
      <c r="U499" s="47">
        <v>1</v>
      </c>
      <c r="V499" s="47">
        <v>3</v>
      </c>
      <c r="W499" s="47" t="s">
        <v>207</v>
      </c>
      <c r="X499" s="59"/>
      <c r="Y499" s="59" t="s">
        <v>1610</v>
      </c>
      <c r="Z499" s="59" t="s">
        <v>688</v>
      </c>
      <c r="AA499" s="59" t="s">
        <v>96</v>
      </c>
      <c r="AB499" s="59" t="s">
        <v>4842</v>
      </c>
      <c r="AC499" s="59" t="s">
        <v>208</v>
      </c>
      <c r="AD499" s="59" t="s">
        <v>208</v>
      </c>
      <c r="AE499" s="60" t="s">
        <v>4966</v>
      </c>
      <c r="AF499" s="60" t="s">
        <v>8692</v>
      </c>
      <c r="AG499" s="59" t="s">
        <v>8692</v>
      </c>
      <c r="AH499" s="59" t="s">
        <v>2844</v>
      </c>
      <c r="AI499" s="59" t="s">
        <v>6472</v>
      </c>
      <c r="AJ499" s="61">
        <v>28650</v>
      </c>
      <c r="AK499" s="60" t="s">
        <v>4967</v>
      </c>
      <c r="AL499" s="60" t="s">
        <v>114</v>
      </c>
      <c r="AM499" s="59" t="s">
        <v>700</v>
      </c>
      <c r="AN499" s="60" t="s">
        <v>4968</v>
      </c>
      <c r="AO499" s="60"/>
      <c r="AP499" s="59" t="s">
        <v>4969</v>
      </c>
      <c r="AQ499" s="25" t="s">
        <v>1842</v>
      </c>
      <c r="AR499" s="60" t="s">
        <v>4970</v>
      </c>
      <c r="AS499" s="59" t="s">
        <v>4971</v>
      </c>
      <c r="AT499" s="59" t="s">
        <v>651</v>
      </c>
      <c r="AU499" s="59" t="s">
        <v>111</v>
      </c>
      <c r="AV499" s="62"/>
      <c r="AW499" s="59" t="s">
        <v>8190</v>
      </c>
      <c r="AX499" s="59" t="s">
        <v>2844</v>
      </c>
      <c r="AY499" s="59" t="s">
        <v>6472</v>
      </c>
      <c r="AZ499" s="126">
        <v>31327</v>
      </c>
      <c r="BA499" s="60" t="s">
        <v>4972</v>
      </c>
      <c r="BB499" s="60" t="s">
        <v>845</v>
      </c>
      <c r="BC499" s="59" t="s">
        <v>700</v>
      </c>
      <c r="BD499" s="60" t="s">
        <v>4973</v>
      </c>
      <c r="BE499" s="60"/>
      <c r="BF499" s="60"/>
      <c r="BG499" s="59" t="s">
        <v>4969</v>
      </c>
      <c r="BH499" s="60" t="s">
        <v>1842</v>
      </c>
      <c r="BI499" s="60" t="s">
        <v>4970</v>
      </c>
      <c r="BJ499" s="24" t="s">
        <v>4971</v>
      </c>
      <c r="BK499" s="59" t="s">
        <v>651</v>
      </c>
      <c r="BL499" s="59" t="s">
        <v>156</v>
      </c>
      <c r="BM499" s="62"/>
      <c r="BN499" s="62"/>
      <c r="BO499" s="59"/>
      <c r="BP499" s="59"/>
      <c r="BQ499" s="77"/>
      <c r="BR499" s="60"/>
      <c r="BS499" s="60"/>
      <c r="BT499" s="59"/>
      <c r="BU499" s="60"/>
      <c r="BV499" s="60"/>
      <c r="BW499" s="59"/>
      <c r="BX499" s="60"/>
      <c r="BY499" s="60"/>
      <c r="BZ499" s="59"/>
      <c r="CA499" s="59"/>
      <c r="CB499" s="59"/>
      <c r="CC499" s="59"/>
      <c r="CD499" s="59"/>
      <c r="CE499" s="59" t="s">
        <v>7709</v>
      </c>
      <c r="CF499" s="60" t="s">
        <v>1842</v>
      </c>
      <c r="CG499" s="59" t="s">
        <v>7298</v>
      </c>
      <c r="CH499" s="59" t="s">
        <v>7299</v>
      </c>
      <c r="CI499" s="59" t="s">
        <v>6472</v>
      </c>
      <c r="CJ499" s="59" t="s">
        <v>111</v>
      </c>
      <c r="CK499" s="47"/>
      <c r="CL499" s="64" t="str">
        <f t="shared" ca="1" si="7"/>
        <v>21 Tahun 4 Bulan 25 Hari</v>
      </c>
      <c r="CM49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Sukapulang RT/RW 14/04 Desa/Kelurahan Kepuh Kecamatan Lemahsugih Majalengka Jawa Barat </v>
      </c>
    </row>
    <row r="500" spans="1:91" ht="24.95" hidden="1" customHeight="1">
      <c r="A500" s="58">
        <f>SUBTOTAL(3,N$8:Table2[[#This Row],[Nama lengkap]])</f>
        <v>472</v>
      </c>
      <c r="B500" s="58" t="s">
        <v>4837</v>
      </c>
      <c r="C500" s="58">
        <v>2017</v>
      </c>
      <c r="D500" s="58"/>
      <c r="E500" s="58">
        <v>7</v>
      </c>
      <c r="F500" s="58">
        <v>7</v>
      </c>
      <c r="G500" s="165"/>
      <c r="H500" s="32"/>
      <c r="I500" s="32"/>
      <c r="J500" s="32"/>
      <c r="K500" s="32"/>
      <c r="L500" s="32"/>
      <c r="M500" s="58">
        <v>17180151</v>
      </c>
      <c r="N500" s="24" t="s">
        <v>8880</v>
      </c>
      <c r="O500" s="24"/>
      <c r="P500" s="63" t="s">
        <v>4975</v>
      </c>
      <c r="Q500" s="25" t="s">
        <v>4976</v>
      </c>
      <c r="R500" s="60" t="s">
        <v>456</v>
      </c>
      <c r="S500" s="61" t="s">
        <v>4977</v>
      </c>
      <c r="T500" s="47" t="s">
        <v>92</v>
      </c>
      <c r="U500" s="47">
        <v>4</v>
      </c>
      <c r="V500" s="47">
        <v>4</v>
      </c>
      <c r="W500" s="47" t="s">
        <v>207</v>
      </c>
      <c r="X500" s="59"/>
      <c r="Y500" s="59" t="s">
        <v>706</v>
      </c>
      <c r="Z500" s="59" t="s">
        <v>4978</v>
      </c>
      <c r="AA500" s="59" t="s">
        <v>96</v>
      </c>
      <c r="AB500" s="59" t="s">
        <v>4842</v>
      </c>
      <c r="AC500" s="59" t="s">
        <v>208</v>
      </c>
      <c r="AD500" s="59" t="s">
        <v>208</v>
      </c>
      <c r="AE500" s="60" t="s">
        <v>4979</v>
      </c>
      <c r="AF500" s="59" t="s">
        <v>8693</v>
      </c>
      <c r="AG500" s="59" t="s">
        <v>8693</v>
      </c>
      <c r="AH500" s="59" t="s">
        <v>2844</v>
      </c>
      <c r="AI500" s="59" t="s">
        <v>456</v>
      </c>
      <c r="AJ500" s="61">
        <v>22917</v>
      </c>
      <c r="AK500" s="60" t="s">
        <v>4980</v>
      </c>
      <c r="AL500" s="60" t="s">
        <v>114</v>
      </c>
      <c r="AM500" s="59" t="s">
        <v>800</v>
      </c>
      <c r="AN500" s="60" t="s">
        <v>4981</v>
      </c>
      <c r="AO500" s="60"/>
      <c r="AP500" s="59" t="s">
        <v>4982</v>
      </c>
      <c r="AQ500" s="25" t="s">
        <v>4983</v>
      </c>
      <c r="AR500" s="60" t="s">
        <v>4984</v>
      </c>
      <c r="AS500" s="59" t="s">
        <v>2149</v>
      </c>
      <c r="AT500" s="59" t="s">
        <v>4985</v>
      </c>
      <c r="AU500" s="59" t="s">
        <v>111</v>
      </c>
      <c r="AV500" s="62"/>
      <c r="AW500" s="59" t="s">
        <v>8191</v>
      </c>
      <c r="AX500" s="59" t="s">
        <v>2844</v>
      </c>
      <c r="AY500" s="59" t="s">
        <v>7804</v>
      </c>
      <c r="AZ500" s="126">
        <v>25561</v>
      </c>
      <c r="BA500" s="60" t="s">
        <v>4986</v>
      </c>
      <c r="BB500" s="60" t="s">
        <v>845</v>
      </c>
      <c r="BC500" s="59" t="s">
        <v>4940</v>
      </c>
      <c r="BD500" s="60" t="s">
        <v>4987</v>
      </c>
      <c r="BE500" s="60"/>
      <c r="BF500" s="60"/>
      <c r="BG500" s="59" t="s">
        <v>4982</v>
      </c>
      <c r="BH500" s="60" t="s">
        <v>4983</v>
      </c>
      <c r="BI500" s="60" t="s">
        <v>4984</v>
      </c>
      <c r="BJ500" s="24" t="s">
        <v>2149</v>
      </c>
      <c r="BK500" s="59" t="s">
        <v>1165</v>
      </c>
      <c r="BL500" s="59" t="s">
        <v>156</v>
      </c>
      <c r="BM500" s="62"/>
      <c r="BN500" s="62"/>
      <c r="BO500" s="59"/>
      <c r="BP500" s="59"/>
      <c r="BQ500" s="77"/>
      <c r="BR500" s="60"/>
      <c r="BS500" s="60"/>
      <c r="BT500" s="59"/>
      <c r="BU500" s="60"/>
      <c r="BV500" s="60"/>
      <c r="BW500" s="59"/>
      <c r="BX500" s="60"/>
      <c r="BY500" s="60"/>
      <c r="BZ500" s="59"/>
      <c r="CA500" s="59"/>
      <c r="CB500" s="59"/>
      <c r="CC500" s="59"/>
      <c r="CD500" s="59"/>
      <c r="CE500" s="59" t="s">
        <v>7710</v>
      </c>
      <c r="CF500" s="60" t="s">
        <v>4983</v>
      </c>
      <c r="CG500" s="59" t="s">
        <v>6699</v>
      </c>
      <c r="CH500" s="59" t="s">
        <v>6859</v>
      </c>
      <c r="CI500" s="59" t="s">
        <v>7300</v>
      </c>
      <c r="CJ500" s="59" t="s">
        <v>111</v>
      </c>
      <c r="CK500" s="47"/>
      <c r="CL500" s="64" t="str">
        <f t="shared" ca="1" si="7"/>
        <v>21 Tahun 0 Bulan 10 Hari</v>
      </c>
      <c r="CM50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Jln Foker 3 06 RT/RW 03/23 Desa/Kelurahan Melong Kecamatan Cimahi Selatan  Cimahi Jawa Barat </v>
      </c>
    </row>
    <row r="501" spans="1:91" ht="24.95" hidden="1" customHeight="1">
      <c r="A501" s="58">
        <f>SUBTOTAL(3,N$8:Table2[[#This Row],[Nama lengkap]])</f>
        <v>472</v>
      </c>
      <c r="B501" s="58" t="s">
        <v>4837</v>
      </c>
      <c r="C501" s="58">
        <v>2017</v>
      </c>
      <c r="D501" s="58"/>
      <c r="E501" s="58">
        <v>7</v>
      </c>
      <c r="F501" s="58">
        <v>7</v>
      </c>
      <c r="G501" s="165"/>
      <c r="H501" s="32"/>
      <c r="I501" s="32"/>
      <c r="J501" s="32"/>
      <c r="K501" s="32"/>
      <c r="L501" s="32"/>
      <c r="M501" s="58">
        <v>17180154</v>
      </c>
      <c r="N501" s="24" t="s">
        <v>5794</v>
      </c>
      <c r="O501" s="24"/>
      <c r="P501" s="25" t="s">
        <v>4989</v>
      </c>
      <c r="Q501" s="25" t="s">
        <v>4990</v>
      </c>
      <c r="R501" s="60" t="s">
        <v>122</v>
      </c>
      <c r="S501" s="61" t="s">
        <v>4991</v>
      </c>
      <c r="T501" s="47" t="s">
        <v>92</v>
      </c>
      <c r="U501" s="47">
        <v>1</v>
      </c>
      <c r="V501" s="47">
        <v>3</v>
      </c>
      <c r="W501" s="47" t="s">
        <v>207</v>
      </c>
      <c r="X501" s="59"/>
      <c r="Y501" s="59" t="s">
        <v>4992</v>
      </c>
      <c r="Z501" s="59" t="s">
        <v>688</v>
      </c>
      <c r="AA501" s="59" t="s">
        <v>96</v>
      </c>
      <c r="AB501" s="59" t="s">
        <v>4842</v>
      </c>
      <c r="AC501" s="59" t="s">
        <v>208</v>
      </c>
      <c r="AD501" s="59" t="s">
        <v>208</v>
      </c>
      <c r="AE501" s="60" t="s">
        <v>4993</v>
      </c>
      <c r="AF501" s="60" t="s">
        <v>8694</v>
      </c>
      <c r="AG501" s="59" t="s">
        <v>8694</v>
      </c>
      <c r="AH501" s="59" t="s">
        <v>2844</v>
      </c>
      <c r="AI501" s="59" t="s">
        <v>90</v>
      </c>
      <c r="AJ501" s="61">
        <v>27520</v>
      </c>
      <c r="AK501" s="60" t="s">
        <v>4994</v>
      </c>
      <c r="AL501" s="60" t="s">
        <v>602</v>
      </c>
      <c r="AM501" s="59" t="s">
        <v>800</v>
      </c>
      <c r="AN501" s="60"/>
      <c r="AO501" s="60" t="s">
        <v>4995</v>
      </c>
      <c r="AP501" s="59" t="s">
        <v>4996</v>
      </c>
      <c r="AQ501" s="25" t="s">
        <v>4997</v>
      </c>
      <c r="AR501" s="60" t="s">
        <v>1781</v>
      </c>
      <c r="AS501" s="59" t="s">
        <v>1101</v>
      </c>
      <c r="AT501" s="59" t="s">
        <v>1090</v>
      </c>
      <c r="AU501" s="59" t="s">
        <v>111</v>
      </c>
      <c r="AV501" s="62"/>
      <c r="AW501" s="59" t="s">
        <v>8192</v>
      </c>
      <c r="AX501" s="59" t="s">
        <v>2844</v>
      </c>
      <c r="AY501" s="59" t="s">
        <v>122</v>
      </c>
      <c r="AZ501" s="126">
        <v>29990</v>
      </c>
      <c r="BA501" s="60" t="s">
        <v>4998</v>
      </c>
      <c r="BB501" s="60" t="s">
        <v>845</v>
      </c>
      <c r="BC501" s="59" t="s">
        <v>4940</v>
      </c>
      <c r="BD501" s="60" t="s">
        <v>4999</v>
      </c>
      <c r="BE501" s="60"/>
      <c r="BF501" s="60"/>
      <c r="BG501" s="59" t="s">
        <v>4996</v>
      </c>
      <c r="BH501" s="60" t="s">
        <v>4997</v>
      </c>
      <c r="BI501" s="60" t="s">
        <v>1781</v>
      </c>
      <c r="BJ501" s="24" t="s">
        <v>1101</v>
      </c>
      <c r="BK501" s="59" t="s">
        <v>1090</v>
      </c>
      <c r="BL501" s="59" t="s">
        <v>156</v>
      </c>
      <c r="BM501" s="62"/>
      <c r="BN501" s="62"/>
      <c r="BO501" s="59"/>
      <c r="BP501" s="59"/>
      <c r="BQ501" s="77"/>
      <c r="BR501" s="60"/>
      <c r="BS501" s="60"/>
      <c r="BT501" s="59"/>
      <c r="BU501" s="60"/>
      <c r="BV501" s="60"/>
      <c r="BW501" s="59"/>
      <c r="BX501" s="60"/>
      <c r="BY501" s="60"/>
      <c r="BZ501" s="59"/>
      <c r="CA501" s="59"/>
      <c r="CB501" s="59"/>
      <c r="CC501" s="59"/>
      <c r="CD501" s="59"/>
      <c r="CE501" s="59" t="s">
        <v>7711</v>
      </c>
      <c r="CF501" s="60" t="s">
        <v>4997</v>
      </c>
      <c r="CG501" s="59" t="s">
        <v>7114</v>
      </c>
      <c r="CH501" s="59" t="s">
        <v>6945</v>
      </c>
      <c r="CI501" s="59" t="s">
        <v>122</v>
      </c>
      <c r="CJ501" s="59" t="s">
        <v>111</v>
      </c>
      <c r="CK501" s="47"/>
      <c r="CL501" s="64" t="str">
        <f t="shared" ca="1" si="7"/>
        <v>21 Tahun 0 Bulan 25 Hari</v>
      </c>
      <c r="CM50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Lingkungan Burujul RT/RW 03/16 Desa/Kelurahan Kotakulon Kecamatan Sumedang Selatan Sumedang Jawa Barat </v>
      </c>
    </row>
    <row r="502" spans="1:91" ht="24.95" hidden="1" customHeight="1">
      <c r="A502" s="58">
        <f>SUBTOTAL(3,N$8:Table2[[#This Row],[Nama lengkap]])</f>
        <v>472</v>
      </c>
      <c r="B502" s="58" t="s">
        <v>4837</v>
      </c>
      <c r="C502" s="58">
        <v>2017</v>
      </c>
      <c r="D502" s="58"/>
      <c r="E502" s="58">
        <v>7</v>
      </c>
      <c r="F502" s="58">
        <v>7</v>
      </c>
      <c r="G502" s="165"/>
      <c r="H502" s="32"/>
      <c r="I502" s="32"/>
      <c r="J502" s="32"/>
      <c r="K502" s="32"/>
      <c r="L502" s="32"/>
      <c r="M502" s="58">
        <v>17180156</v>
      </c>
      <c r="N502" s="24" t="s">
        <v>5795</v>
      </c>
      <c r="O502" s="24"/>
      <c r="P502" s="25" t="s">
        <v>5001</v>
      </c>
      <c r="Q502" s="25" t="s">
        <v>5002</v>
      </c>
      <c r="R502" s="60" t="s">
        <v>90</v>
      </c>
      <c r="S502" s="61" t="s">
        <v>5003</v>
      </c>
      <c r="T502" s="47" t="s">
        <v>92</v>
      </c>
      <c r="U502" s="47">
        <v>1</v>
      </c>
      <c r="V502" s="47">
        <v>2</v>
      </c>
      <c r="W502" s="47" t="s">
        <v>207</v>
      </c>
      <c r="X502" s="59"/>
      <c r="Y502" s="59" t="s">
        <v>5004</v>
      </c>
      <c r="Z502" s="59" t="s">
        <v>688</v>
      </c>
      <c r="AA502" s="59" t="s">
        <v>96</v>
      </c>
      <c r="AB502" s="59" t="s">
        <v>4842</v>
      </c>
      <c r="AC502" s="59" t="s">
        <v>208</v>
      </c>
      <c r="AD502" s="59" t="s">
        <v>208</v>
      </c>
      <c r="AE502" s="60" t="s">
        <v>5005</v>
      </c>
      <c r="AF502" s="60" t="s">
        <v>8695</v>
      </c>
      <c r="AG502" s="59" t="s">
        <v>8695</v>
      </c>
      <c r="AH502" s="59" t="s">
        <v>2844</v>
      </c>
      <c r="AI502" s="59" t="s">
        <v>90</v>
      </c>
      <c r="AJ502" s="61">
        <v>27937</v>
      </c>
      <c r="AK502" s="60" t="s">
        <v>5002</v>
      </c>
      <c r="AL502" s="60" t="s">
        <v>602</v>
      </c>
      <c r="AM502" s="59" t="s">
        <v>5006</v>
      </c>
      <c r="AN502" s="60"/>
      <c r="AO502" s="60"/>
      <c r="AP502" s="59" t="s">
        <v>5007</v>
      </c>
      <c r="AQ502" s="25" t="s">
        <v>152</v>
      </c>
      <c r="AR502" s="60" t="s">
        <v>5008</v>
      </c>
      <c r="AS502" s="59" t="s">
        <v>5009</v>
      </c>
      <c r="AT502" s="59" t="s">
        <v>141</v>
      </c>
      <c r="AU502" s="59" t="s">
        <v>111</v>
      </c>
      <c r="AV502" s="62"/>
      <c r="AW502" s="59" t="s">
        <v>8193</v>
      </c>
      <c r="AX502" s="59" t="s">
        <v>2844</v>
      </c>
      <c r="AY502" s="59" t="s">
        <v>90</v>
      </c>
      <c r="AZ502" s="126">
        <v>28765</v>
      </c>
      <c r="BA502" s="60" t="s">
        <v>5010</v>
      </c>
      <c r="BB502" s="60" t="s">
        <v>845</v>
      </c>
      <c r="BC502" s="59" t="s">
        <v>5006</v>
      </c>
      <c r="BD502" s="60" t="s">
        <v>5011</v>
      </c>
      <c r="BE502" s="60"/>
      <c r="BF502" s="60"/>
      <c r="BG502" s="59" t="s">
        <v>5007</v>
      </c>
      <c r="BH502" s="60" t="s">
        <v>152</v>
      </c>
      <c r="BI502" s="60" t="s">
        <v>5008</v>
      </c>
      <c r="BJ502" s="24" t="s">
        <v>5012</v>
      </c>
      <c r="BK502" s="59" t="s">
        <v>141</v>
      </c>
      <c r="BL502" s="59" t="s">
        <v>156</v>
      </c>
      <c r="BM502" s="62"/>
      <c r="BN502" s="62"/>
      <c r="BO502" s="59"/>
      <c r="BP502" s="59"/>
      <c r="BQ502" s="77"/>
      <c r="BR502" s="60"/>
      <c r="BS502" s="60"/>
      <c r="BT502" s="59"/>
      <c r="BU502" s="60"/>
      <c r="BV502" s="60"/>
      <c r="BW502" s="59"/>
      <c r="BX502" s="60"/>
      <c r="BY502" s="60"/>
      <c r="BZ502" s="59"/>
      <c r="CA502" s="59"/>
      <c r="CB502" s="59"/>
      <c r="CC502" s="59"/>
      <c r="CD502" s="59"/>
      <c r="CE502" s="59" t="s">
        <v>7712</v>
      </c>
      <c r="CF502" s="60" t="s">
        <v>152</v>
      </c>
      <c r="CG502" s="59" t="s">
        <v>7301</v>
      </c>
      <c r="CH502" s="59" t="s">
        <v>6650</v>
      </c>
      <c r="CI502" s="59" t="s">
        <v>90</v>
      </c>
      <c r="CJ502" s="59" t="s">
        <v>111</v>
      </c>
      <c r="CK502" s="47"/>
      <c r="CL502" s="64" t="str">
        <f t="shared" ca="1" si="7"/>
        <v>19 Tahun 9 Bulan 13 Hari</v>
      </c>
      <c r="CM50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 Guriang Hilir RT/RW 02/03 Desa/Kelurahan Cangkuang Wetan Kecamatan Dayeuhkolot Bandung Jawa Barat </v>
      </c>
    </row>
    <row r="503" spans="1:91" ht="24.95" hidden="1" customHeight="1">
      <c r="A503" s="58">
        <f>SUBTOTAL(3,N$8:Table2[[#This Row],[Nama lengkap]])</f>
        <v>472</v>
      </c>
      <c r="B503" s="58" t="s">
        <v>4837</v>
      </c>
      <c r="C503" s="58">
        <v>2017</v>
      </c>
      <c r="D503" s="58"/>
      <c r="E503" s="58">
        <v>7</v>
      </c>
      <c r="F503" s="58">
        <v>7</v>
      </c>
      <c r="G503" s="165"/>
      <c r="H503" s="32"/>
      <c r="I503" s="32"/>
      <c r="J503" s="32"/>
      <c r="K503" s="32"/>
      <c r="L503" s="32"/>
      <c r="M503" s="58">
        <v>17180159</v>
      </c>
      <c r="N503" s="24" t="s">
        <v>8881</v>
      </c>
      <c r="O503" s="24"/>
      <c r="P503" s="25" t="s">
        <v>5014</v>
      </c>
      <c r="Q503" s="25" t="s">
        <v>5015</v>
      </c>
      <c r="R503" s="60" t="s">
        <v>90</v>
      </c>
      <c r="S503" s="61" t="s">
        <v>5016</v>
      </c>
      <c r="T503" s="47" t="s">
        <v>92</v>
      </c>
      <c r="U503" s="47">
        <v>1</v>
      </c>
      <c r="V503" s="47">
        <v>1</v>
      </c>
      <c r="W503" s="47" t="s">
        <v>207</v>
      </c>
      <c r="X503" s="59"/>
      <c r="Y503" s="59" t="s">
        <v>5017</v>
      </c>
      <c r="Z503" s="59" t="s">
        <v>688</v>
      </c>
      <c r="AA503" s="59" t="s">
        <v>96</v>
      </c>
      <c r="AB503" s="59" t="s">
        <v>5018</v>
      </c>
      <c r="AC503" s="59" t="s">
        <v>208</v>
      </c>
      <c r="AD503" s="59" t="s">
        <v>208</v>
      </c>
      <c r="AE503" s="60" t="s">
        <v>5019</v>
      </c>
      <c r="AF503" s="60" t="s">
        <v>8696</v>
      </c>
      <c r="AG503" s="59" t="s">
        <v>5020</v>
      </c>
      <c r="AH503" s="59" t="s">
        <v>2844</v>
      </c>
      <c r="AI503" s="59" t="s">
        <v>5021</v>
      </c>
      <c r="AJ503" s="61">
        <v>29244</v>
      </c>
      <c r="AK503" s="60" t="s">
        <v>5022</v>
      </c>
      <c r="AL503" s="60" t="s">
        <v>602</v>
      </c>
      <c r="AM503" s="59" t="s">
        <v>5023</v>
      </c>
      <c r="AN503" s="60" t="s">
        <v>5024</v>
      </c>
      <c r="AO503" s="60"/>
      <c r="AP503" s="59" t="s">
        <v>5025</v>
      </c>
      <c r="AQ503" s="25" t="s">
        <v>5026</v>
      </c>
      <c r="AR503" s="60" t="s">
        <v>5027</v>
      </c>
      <c r="AS503" s="59" t="s">
        <v>5028</v>
      </c>
      <c r="AT503" s="59" t="s">
        <v>5029</v>
      </c>
      <c r="AU503" s="59" t="s">
        <v>5030</v>
      </c>
      <c r="AV503" s="62"/>
      <c r="AW503" s="59" t="s">
        <v>8194</v>
      </c>
      <c r="AX503" s="59" t="s">
        <v>5031</v>
      </c>
      <c r="AY503" s="59"/>
      <c r="AZ503" s="129" t="s">
        <v>984</v>
      </c>
      <c r="BA503" s="59" t="s">
        <v>984</v>
      </c>
      <c r="BB503" s="59"/>
      <c r="BC503" s="59" t="s">
        <v>984</v>
      </c>
      <c r="BD503" s="59" t="s">
        <v>984</v>
      </c>
      <c r="BE503" s="59" t="s">
        <v>984</v>
      </c>
      <c r="BF503" s="59"/>
      <c r="BG503" s="59" t="s">
        <v>984</v>
      </c>
      <c r="BH503" s="59" t="s">
        <v>984</v>
      </c>
      <c r="BI503" s="59" t="s">
        <v>984</v>
      </c>
      <c r="BJ503" s="24" t="s">
        <v>984</v>
      </c>
      <c r="BK503" s="59" t="s">
        <v>984</v>
      </c>
      <c r="BL503" s="59" t="s">
        <v>984</v>
      </c>
      <c r="BM503" s="59" t="s">
        <v>984</v>
      </c>
      <c r="BN503" s="59"/>
      <c r="BO503" s="59"/>
      <c r="BP503" s="59"/>
      <c r="BQ503" s="77"/>
      <c r="BR503" s="60"/>
      <c r="BS503" s="60"/>
      <c r="BT503" s="59"/>
      <c r="BU503" s="60"/>
      <c r="BV503" s="60"/>
      <c r="BW503" s="59"/>
      <c r="BX503" s="60"/>
      <c r="BY503" s="60"/>
      <c r="BZ503" s="59"/>
      <c r="CA503" s="59"/>
      <c r="CB503" s="59"/>
      <c r="CC503" s="59"/>
      <c r="CD503" s="59"/>
      <c r="CE503" s="59" t="s">
        <v>9002</v>
      </c>
      <c r="CF503" s="60" t="s">
        <v>5026</v>
      </c>
      <c r="CG503" s="59" t="s">
        <v>7302</v>
      </c>
      <c r="CH503" s="59" t="s">
        <v>7303</v>
      </c>
      <c r="CI503" s="59" t="s">
        <v>7304</v>
      </c>
      <c r="CJ503" s="59" t="s">
        <v>7305</v>
      </c>
      <c r="CK503" s="47"/>
      <c r="CL503" s="64" t="str">
        <f t="shared" ca="1" si="7"/>
        <v>20 Tahun 2 Bulan 9 Hari</v>
      </c>
      <c r="CM50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Mangir Tengah RT/RW 03/ Desa/Kelurahan Manggir Tengah Kecamatan Sendangsari Pajangkalan Bantul  Yogyakarta </v>
      </c>
    </row>
    <row r="504" spans="1:91" ht="24.95" hidden="1" customHeight="1">
      <c r="A504" s="89">
        <f>SUBTOTAL(3,N$8:Table2[[#This Row],[Nama lengkap]])</f>
        <v>472</v>
      </c>
      <c r="B504" s="58" t="s">
        <v>9912</v>
      </c>
      <c r="C504" s="89"/>
      <c r="D504" s="89"/>
      <c r="E504" s="89"/>
      <c r="F504" s="89"/>
      <c r="G504" s="166"/>
      <c r="H504" s="32"/>
      <c r="I504" s="90"/>
      <c r="J504" s="32"/>
      <c r="K504" s="32"/>
      <c r="L504" s="32"/>
      <c r="M504" s="89"/>
      <c r="N504" s="91" t="s">
        <v>9074</v>
      </c>
      <c r="O504" s="24"/>
      <c r="P504" s="90"/>
      <c r="Q504" s="90" t="s">
        <v>9426</v>
      </c>
      <c r="R504" s="91" t="s">
        <v>135</v>
      </c>
      <c r="S504" s="101"/>
      <c r="T504" s="142"/>
      <c r="U504" s="89"/>
      <c r="V504" s="89"/>
      <c r="W504" s="141"/>
      <c r="X504" s="92"/>
      <c r="Y504" s="92"/>
      <c r="Z504" s="92"/>
      <c r="AA504" s="92" t="s">
        <v>149</v>
      </c>
      <c r="AB504" s="92"/>
      <c r="AC504" s="92"/>
      <c r="AD504" s="92"/>
      <c r="AE504" s="93" t="s">
        <v>9334</v>
      </c>
      <c r="AF504" s="91"/>
      <c r="AG504" s="91" t="s">
        <v>9531</v>
      </c>
      <c r="AH504" s="91"/>
      <c r="AI504" s="92"/>
      <c r="AJ504" s="101"/>
      <c r="AK504" s="90" t="s">
        <v>9733</v>
      </c>
      <c r="AL504" s="93" t="s">
        <v>103</v>
      </c>
      <c r="AM504" s="91"/>
      <c r="AN504" s="93"/>
      <c r="AO504" s="92"/>
      <c r="AP504" s="93" t="s">
        <v>9195</v>
      </c>
      <c r="AQ504" s="90"/>
      <c r="AR504" s="89" t="s">
        <v>7202</v>
      </c>
      <c r="AS504" s="93" t="s">
        <v>561</v>
      </c>
      <c r="AT504" s="92" t="s">
        <v>6772</v>
      </c>
      <c r="AU504" s="92" t="s">
        <v>313</v>
      </c>
      <c r="AV504" s="92"/>
      <c r="AW504" s="92" t="s">
        <v>9628</v>
      </c>
      <c r="AX504" s="91"/>
      <c r="AY504" s="91"/>
      <c r="AZ504" s="127"/>
      <c r="BA504" s="143" t="s">
        <v>9824</v>
      </c>
      <c r="BB504" s="101" t="s">
        <v>216</v>
      </c>
      <c r="BC504" s="93"/>
      <c r="BD504" s="143"/>
      <c r="BE504" s="92"/>
      <c r="BF504" s="67"/>
      <c r="BG504" s="93" t="s">
        <v>9195</v>
      </c>
      <c r="BH504" s="93"/>
      <c r="BI504" s="91" t="s">
        <v>7202</v>
      </c>
      <c r="BJ504" s="91" t="s">
        <v>561</v>
      </c>
      <c r="BK504" s="93" t="s">
        <v>6772</v>
      </c>
      <c r="BL504" s="91" t="s">
        <v>313</v>
      </c>
      <c r="BM504" s="92"/>
      <c r="BN504" s="64"/>
      <c r="BO504" s="92"/>
      <c r="BP504" s="92"/>
      <c r="BQ504" s="136"/>
      <c r="BR504" s="93"/>
      <c r="BS504" s="92"/>
      <c r="BT504" s="93"/>
      <c r="BU504" s="93"/>
      <c r="BV504" s="92"/>
      <c r="BW504" s="92"/>
      <c r="BX504" s="93"/>
      <c r="BY504" s="92"/>
      <c r="BZ504" s="92"/>
      <c r="CA504" s="93"/>
      <c r="CB504" s="92"/>
      <c r="CC504" s="92"/>
      <c r="CD504" s="92"/>
      <c r="CE504" s="64" t="s">
        <v>9195</v>
      </c>
      <c r="CF504" s="67"/>
      <c r="CG504" s="40" t="s">
        <v>7202</v>
      </c>
      <c r="CH504" s="92" t="s">
        <v>561</v>
      </c>
      <c r="CI504" s="91" t="s">
        <v>6772</v>
      </c>
      <c r="CJ504" s="91" t="s">
        <v>313</v>
      </c>
      <c r="CK504" s="89"/>
      <c r="CL504" s="91" t="str">
        <f t="shared" ca="1" si="7"/>
        <v>126 Tahun 0 Bulan 23 Hari</v>
      </c>
      <c r="CM504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 Kol Achmad Syam RT/RW  Desa/Kelurahan Sayang Kecamatan Jatinangor sumedang Jawabarat </v>
      </c>
    </row>
    <row r="505" spans="1:91" ht="24.95" hidden="1" customHeight="1">
      <c r="A505" s="89">
        <f>SUBTOTAL(3,N$8:Table2[[#This Row],[Nama lengkap]])</f>
        <v>472</v>
      </c>
      <c r="B505" s="58" t="s">
        <v>9912</v>
      </c>
      <c r="C505" s="89"/>
      <c r="D505" s="89"/>
      <c r="E505" s="89"/>
      <c r="F505" s="89"/>
      <c r="G505" s="166"/>
      <c r="H505" s="32"/>
      <c r="I505" s="90"/>
      <c r="J505" s="32"/>
      <c r="K505" s="32"/>
      <c r="L505" s="32"/>
      <c r="M505" s="89"/>
      <c r="N505" s="91" t="s">
        <v>9075</v>
      </c>
      <c r="O505" s="24"/>
      <c r="P505" s="90"/>
      <c r="Q505" s="90" t="s">
        <v>9427</v>
      </c>
      <c r="R505" s="91" t="s">
        <v>7129</v>
      </c>
      <c r="S505" s="101"/>
      <c r="T505" s="142"/>
      <c r="U505" s="89"/>
      <c r="V505" s="89"/>
      <c r="W505" s="141"/>
      <c r="X505" s="92"/>
      <c r="Y505" s="92"/>
      <c r="Z505" s="92"/>
      <c r="AA505" s="92" t="s">
        <v>96</v>
      </c>
      <c r="AB505" s="92"/>
      <c r="AC505" s="92"/>
      <c r="AD505" s="92"/>
      <c r="AE505" s="93"/>
      <c r="AF505" s="91"/>
      <c r="AG505" s="91" t="s">
        <v>9532</v>
      </c>
      <c r="AH505" s="91"/>
      <c r="AI505" s="92"/>
      <c r="AJ505" s="101"/>
      <c r="AK505" s="90" t="s">
        <v>9734</v>
      </c>
      <c r="AL505" s="93" t="s">
        <v>289</v>
      </c>
      <c r="AM505" s="91"/>
      <c r="AN505" s="93"/>
      <c r="AO505" s="92"/>
      <c r="AP505" s="93" t="s">
        <v>9196</v>
      </c>
      <c r="AQ505" s="90"/>
      <c r="AR505" s="89" t="s">
        <v>9197</v>
      </c>
      <c r="AS505" s="93" t="s">
        <v>7190</v>
      </c>
      <c r="AT505" s="92" t="s">
        <v>644</v>
      </c>
      <c r="AU505" s="92" t="s">
        <v>313</v>
      </c>
      <c r="AV505" s="92"/>
      <c r="AW505" s="92" t="s">
        <v>9629</v>
      </c>
      <c r="AX505" s="91"/>
      <c r="AY505" s="91"/>
      <c r="AZ505" s="127"/>
      <c r="BA505" s="143" t="s">
        <v>9825</v>
      </c>
      <c r="BB505" s="101" t="s">
        <v>216</v>
      </c>
      <c r="BC505" s="93"/>
      <c r="BD505" s="143"/>
      <c r="BE505" s="92"/>
      <c r="BF505" s="67"/>
      <c r="BG505" s="93" t="s">
        <v>9196</v>
      </c>
      <c r="BH505" s="93"/>
      <c r="BI505" s="91" t="s">
        <v>9197</v>
      </c>
      <c r="BJ505" s="91" t="s">
        <v>7190</v>
      </c>
      <c r="BK505" s="93" t="s">
        <v>644</v>
      </c>
      <c r="BL505" s="91" t="s">
        <v>313</v>
      </c>
      <c r="BM505" s="92"/>
      <c r="BN505" s="64"/>
      <c r="BO505" s="92"/>
      <c r="BP505" s="92"/>
      <c r="BQ505" s="136"/>
      <c r="BR505" s="93"/>
      <c r="BS505" s="92"/>
      <c r="BT505" s="93"/>
      <c r="BU505" s="93"/>
      <c r="BV505" s="92"/>
      <c r="BW505" s="92"/>
      <c r="BX505" s="93"/>
      <c r="BY505" s="92"/>
      <c r="BZ505" s="92"/>
      <c r="CA505" s="93"/>
      <c r="CB505" s="92"/>
      <c r="CC505" s="92"/>
      <c r="CD505" s="92"/>
      <c r="CE505" s="64" t="s">
        <v>9196</v>
      </c>
      <c r="CF505" s="67"/>
      <c r="CG505" s="40" t="s">
        <v>9197</v>
      </c>
      <c r="CH505" s="92" t="s">
        <v>7190</v>
      </c>
      <c r="CI505" s="91" t="s">
        <v>644</v>
      </c>
      <c r="CJ505" s="91" t="s">
        <v>313</v>
      </c>
      <c r="CK505" s="89"/>
      <c r="CL505" s="91" t="str">
        <f t="shared" ca="1" si="7"/>
        <v>126 Tahun 0 Bulan 23 Hari</v>
      </c>
      <c r="CM505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Kampung Pesantren RT/RW  Desa/Kelurahan Mekar Rahayu Kecamatan Margaasih Kota Bandung Jawabarat </v>
      </c>
    </row>
    <row r="506" spans="1:91" ht="24.95" hidden="1" customHeight="1">
      <c r="A506" s="89">
        <f>SUBTOTAL(3,N$8:Table2[[#This Row],[Nama lengkap]])</f>
        <v>472</v>
      </c>
      <c r="B506" s="58" t="s">
        <v>9912</v>
      </c>
      <c r="C506" s="89"/>
      <c r="D506" s="89"/>
      <c r="E506" s="89"/>
      <c r="F506" s="89"/>
      <c r="G506" s="166"/>
      <c r="H506" s="32"/>
      <c r="I506" s="90"/>
      <c r="J506" s="32"/>
      <c r="K506" s="32"/>
      <c r="L506" s="32"/>
      <c r="M506" s="89"/>
      <c r="N506" s="91" t="s">
        <v>9066</v>
      </c>
      <c r="O506" s="24"/>
      <c r="P506" s="90"/>
      <c r="Q506" s="90" t="s">
        <v>9420</v>
      </c>
      <c r="R506" s="91" t="s">
        <v>90</v>
      </c>
      <c r="S506" s="101"/>
      <c r="T506" s="142"/>
      <c r="U506" s="89"/>
      <c r="V506" s="89"/>
      <c r="W506" s="141"/>
      <c r="X506" s="92" t="s">
        <v>123</v>
      </c>
      <c r="Y506" s="92"/>
      <c r="Z506" s="92"/>
      <c r="AA506" s="92" t="s">
        <v>753</v>
      </c>
      <c r="AB506" s="92"/>
      <c r="AC506" s="92"/>
      <c r="AD506" s="92"/>
      <c r="AE506" s="93" t="s">
        <v>9327</v>
      </c>
      <c r="AF506" s="91"/>
      <c r="AG506" s="91" t="s">
        <v>9525</v>
      </c>
      <c r="AH506" s="91"/>
      <c r="AI506" s="92"/>
      <c r="AJ506" s="101"/>
      <c r="AK506" s="90" t="s">
        <v>9727</v>
      </c>
      <c r="AL506" s="93" t="s">
        <v>9713</v>
      </c>
      <c r="AM506" s="91"/>
      <c r="AN506" s="93"/>
      <c r="AO506" s="92"/>
      <c r="AP506" s="93" t="s">
        <v>9187</v>
      </c>
      <c r="AQ506" s="90"/>
      <c r="AR506" s="89" t="s">
        <v>7030</v>
      </c>
      <c r="AS506" s="93" t="s">
        <v>7030</v>
      </c>
      <c r="AT506" s="92" t="s">
        <v>90</v>
      </c>
      <c r="AU506" s="92" t="s">
        <v>111</v>
      </c>
      <c r="AV506" s="92"/>
      <c r="AW506" s="92" t="s">
        <v>9623</v>
      </c>
      <c r="AX506" s="91"/>
      <c r="AY506" s="91"/>
      <c r="AZ506" s="127"/>
      <c r="BA506" s="143" t="s">
        <v>9818</v>
      </c>
      <c r="BB506" s="101" t="s">
        <v>9713</v>
      </c>
      <c r="BC506" s="93"/>
      <c r="BD506" s="143"/>
      <c r="BE506" s="92"/>
      <c r="BF506" s="67"/>
      <c r="BG506" s="93" t="s">
        <v>9187</v>
      </c>
      <c r="BH506" s="93"/>
      <c r="BI506" s="91" t="s">
        <v>7030</v>
      </c>
      <c r="BJ506" s="91" t="s">
        <v>7030</v>
      </c>
      <c r="BK506" s="93" t="s">
        <v>90</v>
      </c>
      <c r="BL506" s="91" t="s">
        <v>111</v>
      </c>
      <c r="BM506" s="92"/>
      <c r="BN506" s="64"/>
      <c r="BO506" s="92"/>
      <c r="BP506" s="92"/>
      <c r="BQ506" s="136"/>
      <c r="BR506" s="93"/>
      <c r="BS506" s="92"/>
      <c r="BT506" s="93"/>
      <c r="BU506" s="93"/>
      <c r="BV506" s="92"/>
      <c r="BW506" s="92"/>
      <c r="BX506" s="93"/>
      <c r="BY506" s="92"/>
      <c r="BZ506" s="92"/>
      <c r="CA506" s="93"/>
      <c r="CB506" s="92"/>
      <c r="CC506" s="92"/>
      <c r="CD506" s="92"/>
      <c r="CE506" s="64" t="s">
        <v>9187</v>
      </c>
      <c r="CF506" s="67"/>
      <c r="CG506" s="40" t="s">
        <v>7030</v>
      </c>
      <c r="CH506" s="92" t="s">
        <v>7030</v>
      </c>
      <c r="CI506" s="91" t="s">
        <v>90</v>
      </c>
      <c r="CJ506" s="91" t="s">
        <v>111</v>
      </c>
      <c r="CK506" s="89"/>
      <c r="CL506" s="91" t="str">
        <f t="shared" ca="1" si="7"/>
        <v>126 Tahun 0 Bulan 23 Hari</v>
      </c>
      <c r="CM506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Tinggarjaya RT/RW  Desa/Kelurahan Cimaung Kecamatan Cimaung Bandung Jawa Barat </v>
      </c>
    </row>
    <row r="507" spans="1:91" ht="24.95" hidden="1" customHeight="1">
      <c r="A507" s="89">
        <f>SUBTOTAL(3,N$8:Table2[[#This Row],[Nama lengkap]])</f>
        <v>472</v>
      </c>
      <c r="B507" s="58" t="s">
        <v>9912</v>
      </c>
      <c r="C507" s="89"/>
      <c r="D507" s="89"/>
      <c r="E507" s="89"/>
      <c r="F507" s="89"/>
      <c r="G507" s="166"/>
      <c r="H507" s="32"/>
      <c r="I507" s="90"/>
      <c r="J507" s="32"/>
      <c r="K507" s="32"/>
      <c r="L507" s="32"/>
      <c r="M507" s="89"/>
      <c r="N507" s="91" t="s">
        <v>9077</v>
      </c>
      <c r="O507" s="24"/>
      <c r="P507" s="90"/>
      <c r="Q507" s="90" t="s">
        <v>9429</v>
      </c>
      <c r="R507" s="91" t="s">
        <v>6566</v>
      </c>
      <c r="S507" s="101"/>
      <c r="T507" s="142"/>
      <c r="U507" s="89"/>
      <c r="V507" s="89"/>
      <c r="W507" s="141"/>
      <c r="X507" s="92" t="s">
        <v>432</v>
      </c>
      <c r="Y507" s="92"/>
      <c r="Z507" s="92"/>
      <c r="AA507" s="92" t="s">
        <v>1141</v>
      </c>
      <c r="AB507" s="92"/>
      <c r="AC507" s="92"/>
      <c r="AD507" s="92"/>
      <c r="AE507" s="93" t="s">
        <v>9336</v>
      </c>
      <c r="AF507" s="91"/>
      <c r="AG507" s="91" t="s">
        <v>9534</v>
      </c>
      <c r="AH507" s="91"/>
      <c r="AI507" s="92"/>
      <c r="AJ507" s="101"/>
      <c r="AK507" s="90" t="s">
        <v>9735</v>
      </c>
      <c r="AL507" s="93" t="s">
        <v>8255</v>
      </c>
      <c r="AM507" s="91"/>
      <c r="AN507" s="93"/>
      <c r="AO507" s="92"/>
      <c r="AP507" s="93" t="s">
        <v>9199</v>
      </c>
      <c r="AQ507" s="90"/>
      <c r="AR507" s="89" t="s">
        <v>6944</v>
      </c>
      <c r="AS507" s="93" t="s">
        <v>7150</v>
      </c>
      <c r="AT507" s="92" t="s">
        <v>6772</v>
      </c>
      <c r="AU507" s="92" t="s">
        <v>313</v>
      </c>
      <c r="AV507" s="92"/>
      <c r="AW507" s="92" t="s">
        <v>9631</v>
      </c>
      <c r="AX507" s="91"/>
      <c r="AY507" s="91"/>
      <c r="AZ507" s="127"/>
      <c r="BA507" s="143" t="s">
        <v>9827</v>
      </c>
      <c r="BB507" s="101" t="s">
        <v>216</v>
      </c>
      <c r="BC507" s="93"/>
      <c r="BD507" s="143"/>
      <c r="BE507" s="92"/>
      <c r="BF507" s="67"/>
      <c r="BG507" s="93" t="s">
        <v>9199</v>
      </c>
      <c r="BH507" s="93"/>
      <c r="BI507" s="91" t="s">
        <v>6944</v>
      </c>
      <c r="BJ507" s="91" t="s">
        <v>7150</v>
      </c>
      <c r="BK507" s="93" t="s">
        <v>6772</v>
      </c>
      <c r="BL507" s="91" t="s">
        <v>313</v>
      </c>
      <c r="BM507" s="92"/>
      <c r="BN507" s="64"/>
      <c r="BO507" s="92"/>
      <c r="BP507" s="92"/>
      <c r="BQ507" s="136"/>
      <c r="BR507" s="93"/>
      <c r="BS507" s="92"/>
      <c r="BT507" s="93"/>
      <c r="BU507" s="93"/>
      <c r="BV507" s="92"/>
      <c r="BW507" s="92"/>
      <c r="BX507" s="93"/>
      <c r="BY507" s="92"/>
      <c r="BZ507" s="92"/>
      <c r="CA507" s="93"/>
      <c r="CB507" s="92"/>
      <c r="CC507" s="92"/>
      <c r="CD507" s="92"/>
      <c r="CE507" s="64" t="s">
        <v>9199</v>
      </c>
      <c r="CF507" s="67"/>
      <c r="CG507" s="40" t="s">
        <v>6944</v>
      </c>
      <c r="CH507" s="92" t="s">
        <v>7150</v>
      </c>
      <c r="CI507" s="91" t="s">
        <v>6772</v>
      </c>
      <c r="CJ507" s="91" t="s">
        <v>313</v>
      </c>
      <c r="CK507" s="89"/>
      <c r="CL507" s="91" t="str">
        <f t="shared" ca="1" si="7"/>
        <v>126 Tahun 0 Bulan 23 Hari</v>
      </c>
      <c r="CM507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Geusan Ulun RT/RW  Desa/Kelurahan Regol wetan Kecamatan Sumedang Selatan  sumedang Jawabarat </v>
      </c>
    </row>
    <row r="508" spans="1:91" ht="24.95" hidden="1" customHeight="1">
      <c r="A508" s="89">
        <f>SUBTOTAL(3,N$8:Table2[[#This Row],[Nama lengkap]])</f>
        <v>472</v>
      </c>
      <c r="B508" s="58" t="s">
        <v>9912</v>
      </c>
      <c r="C508" s="89"/>
      <c r="D508" s="89"/>
      <c r="E508" s="89"/>
      <c r="F508" s="89"/>
      <c r="G508" s="166"/>
      <c r="H508" s="32"/>
      <c r="I508" s="90"/>
      <c r="J508" s="32"/>
      <c r="K508" s="32"/>
      <c r="L508" s="32"/>
      <c r="M508" s="89"/>
      <c r="N508" s="91" t="s">
        <v>9062</v>
      </c>
      <c r="O508" s="24"/>
      <c r="P508" s="90"/>
      <c r="Q508" s="90" t="s">
        <v>9416</v>
      </c>
      <c r="R508" s="91" t="s">
        <v>90</v>
      </c>
      <c r="S508" s="101"/>
      <c r="T508" s="142"/>
      <c r="U508" s="89"/>
      <c r="V508" s="89"/>
      <c r="W508" s="141"/>
      <c r="X508" s="92" t="s">
        <v>303</v>
      </c>
      <c r="Y508" s="92"/>
      <c r="Z508" s="92"/>
      <c r="AA508" s="92" t="s">
        <v>96</v>
      </c>
      <c r="AB508" s="92"/>
      <c r="AC508" s="92"/>
      <c r="AD508" s="92"/>
      <c r="AE508" s="93" t="s">
        <v>9323</v>
      </c>
      <c r="AF508" s="91"/>
      <c r="AG508" s="91" t="s">
        <v>8626</v>
      </c>
      <c r="AH508" s="91"/>
      <c r="AI508" s="92"/>
      <c r="AJ508" s="101"/>
      <c r="AK508" s="90" t="s">
        <v>4418</v>
      </c>
      <c r="AL508" s="93" t="s">
        <v>114</v>
      </c>
      <c r="AM508" s="91"/>
      <c r="AN508" s="93"/>
      <c r="AO508" s="92"/>
      <c r="AP508" s="93" t="s">
        <v>9182</v>
      </c>
      <c r="AQ508" s="90"/>
      <c r="AR508" s="89" t="s">
        <v>7254</v>
      </c>
      <c r="AS508" s="93" t="s">
        <v>4835</v>
      </c>
      <c r="AT508" s="92" t="s">
        <v>90</v>
      </c>
      <c r="AU508" s="92" t="s">
        <v>111</v>
      </c>
      <c r="AV508" s="92"/>
      <c r="AW508" s="92" t="s">
        <v>9619</v>
      </c>
      <c r="AX508" s="91"/>
      <c r="AY508" s="91"/>
      <c r="AZ508" s="127"/>
      <c r="BA508" s="143" t="s">
        <v>4418</v>
      </c>
      <c r="BB508" s="101" t="s">
        <v>216</v>
      </c>
      <c r="BC508" s="93"/>
      <c r="BD508" s="143"/>
      <c r="BE508" s="92"/>
      <c r="BF508" s="67"/>
      <c r="BG508" s="93" t="s">
        <v>9182</v>
      </c>
      <c r="BH508" s="93"/>
      <c r="BI508" s="91" t="s">
        <v>7254</v>
      </c>
      <c r="BJ508" s="91" t="s">
        <v>4835</v>
      </c>
      <c r="BK508" s="93" t="s">
        <v>90</v>
      </c>
      <c r="BL508" s="91" t="s">
        <v>111</v>
      </c>
      <c r="BM508" s="92"/>
      <c r="BN508" s="64"/>
      <c r="BO508" s="92"/>
      <c r="BP508" s="92"/>
      <c r="BQ508" s="136"/>
      <c r="BR508" s="93"/>
      <c r="BS508" s="92"/>
      <c r="BT508" s="93"/>
      <c r="BU508" s="93"/>
      <c r="BV508" s="92"/>
      <c r="BW508" s="92"/>
      <c r="BX508" s="93"/>
      <c r="BY508" s="92"/>
      <c r="BZ508" s="92"/>
      <c r="CA508" s="93"/>
      <c r="CB508" s="92"/>
      <c r="CC508" s="92"/>
      <c r="CD508" s="92"/>
      <c r="CE508" s="64" t="s">
        <v>9182</v>
      </c>
      <c r="CF508" s="67"/>
      <c r="CG508" s="40" t="s">
        <v>7254</v>
      </c>
      <c r="CH508" s="92" t="s">
        <v>4835</v>
      </c>
      <c r="CI508" s="91" t="s">
        <v>90</v>
      </c>
      <c r="CJ508" s="91" t="s">
        <v>111</v>
      </c>
      <c r="CK508" s="89"/>
      <c r="CL508" s="91" t="str">
        <f t="shared" ca="1" si="7"/>
        <v>126 Tahun 0 Bulan 23 Hari</v>
      </c>
      <c r="CM508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Cijengkol Rt 01/01 RT/RW  Desa/Kelurahan Mangunjaya Kecamatan Arjasari Bandung Jawa Barat </v>
      </c>
    </row>
    <row r="509" spans="1:91" ht="24.95" hidden="1" customHeight="1">
      <c r="A509" s="89">
        <f>SUBTOTAL(3,N$8:Table2[[#This Row],[Nama lengkap]])</f>
        <v>472</v>
      </c>
      <c r="B509" s="58" t="s">
        <v>9912</v>
      </c>
      <c r="C509" s="89"/>
      <c r="D509" s="89"/>
      <c r="E509" s="89"/>
      <c r="F509" s="89"/>
      <c r="G509" s="166"/>
      <c r="H509" s="32"/>
      <c r="I509" s="90"/>
      <c r="J509" s="32"/>
      <c r="K509" s="32"/>
      <c r="L509" s="32"/>
      <c r="M509" s="89"/>
      <c r="N509" s="91" t="s">
        <v>9078</v>
      </c>
      <c r="O509" s="24"/>
      <c r="P509" s="90" t="s">
        <v>9920</v>
      </c>
      <c r="Q509" s="90" t="s">
        <v>9430</v>
      </c>
      <c r="R509" s="91" t="s">
        <v>7129</v>
      </c>
      <c r="S509" s="101"/>
      <c r="T509" s="142"/>
      <c r="U509" s="89"/>
      <c r="V509" s="89"/>
      <c r="W509" s="141"/>
      <c r="X509" s="92" t="s">
        <v>303</v>
      </c>
      <c r="Y509" s="92"/>
      <c r="Z509" s="92"/>
      <c r="AA509" s="92" t="s">
        <v>96</v>
      </c>
      <c r="AB509" s="92"/>
      <c r="AC509" s="92"/>
      <c r="AD509" s="92"/>
      <c r="AE509" s="93" t="s">
        <v>9337</v>
      </c>
      <c r="AF509" s="91"/>
      <c r="AG509" s="91" t="s">
        <v>9535</v>
      </c>
      <c r="AH509" s="91"/>
      <c r="AI509" s="92"/>
      <c r="AJ509" s="101"/>
      <c r="AK509" s="90" t="s">
        <v>9736</v>
      </c>
      <c r="AL509" s="93" t="s">
        <v>8255</v>
      </c>
      <c r="AM509" s="91"/>
      <c r="AN509" s="93"/>
      <c r="AO509" s="92"/>
      <c r="AP509" s="93" t="s">
        <v>7607</v>
      </c>
      <c r="AQ509" s="90"/>
      <c r="AR509" s="89" t="s">
        <v>7081</v>
      </c>
      <c r="AS509" s="93" t="s">
        <v>6967</v>
      </c>
      <c r="AT509" s="92" t="s">
        <v>90</v>
      </c>
      <c r="AU509" s="92" t="s">
        <v>313</v>
      </c>
      <c r="AV509" s="92"/>
      <c r="AW509" s="92" t="s">
        <v>9632</v>
      </c>
      <c r="AX509" s="91"/>
      <c r="AY509" s="91"/>
      <c r="AZ509" s="127"/>
      <c r="BA509" s="143" t="s">
        <v>9828</v>
      </c>
      <c r="BB509" s="101" t="s">
        <v>216</v>
      </c>
      <c r="BC509" s="93"/>
      <c r="BD509" s="143"/>
      <c r="BE509" s="92"/>
      <c r="BF509" s="67"/>
      <c r="BG509" s="93" t="s">
        <v>7607</v>
      </c>
      <c r="BH509" s="93"/>
      <c r="BI509" s="91" t="s">
        <v>7081</v>
      </c>
      <c r="BJ509" s="91" t="s">
        <v>6967</v>
      </c>
      <c r="BK509" s="93" t="s">
        <v>90</v>
      </c>
      <c r="BL509" s="91" t="s">
        <v>313</v>
      </c>
      <c r="BM509" s="92"/>
      <c r="BN509" s="64"/>
      <c r="BO509" s="92"/>
      <c r="BP509" s="92"/>
      <c r="BQ509" s="136"/>
      <c r="BR509" s="93"/>
      <c r="BS509" s="92"/>
      <c r="BT509" s="93"/>
      <c r="BU509" s="93"/>
      <c r="BV509" s="92"/>
      <c r="BW509" s="92"/>
      <c r="BX509" s="93"/>
      <c r="BY509" s="92"/>
      <c r="BZ509" s="92"/>
      <c r="CA509" s="93"/>
      <c r="CB509" s="92"/>
      <c r="CC509" s="92"/>
      <c r="CD509" s="92"/>
      <c r="CE509" s="64" t="s">
        <v>7607</v>
      </c>
      <c r="CF509" s="67" t="s">
        <v>2323</v>
      </c>
      <c r="CG509" s="40" t="s">
        <v>7081</v>
      </c>
      <c r="CH509" s="92" t="s">
        <v>6967</v>
      </c>
      <c r="CI509" s="91" t="s">
        <v>90</v>
      </c>
      <c r="CJ509" s="91" t="s">
        <v>313</v>
      </c>
      <c r="CK509" s="89"/>
      <c r="CL509" s="91" t="str">
        <f t="shared" ca="1" si="7"/>
        <v>126 Tahun 0 Bulan 23 Hari</v>
      </c>
      <c r="CM509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Mekarjaya RT/RW 002/008 Desa/Kelurahan Jatisari Kecamatan Kutawaringin Bandung Jawabarat </v>
      </c>
    </row>
    <row r="510" spans="1:91" ht="24.95" hidden="1" customHeight="1">
      <c r="A510" s="89">
        <f>SUBTOTAL(3,N$8:Table2[[#This Row],[Nama lengkap]])</f>
        <v>472</v>
      </c>
      <c r="B510" s="58" t="s">
        <v>9912</v>
      </c>
      <c r="C510" s="89"/>
      <c r="D510" s="89"/>
      <c r="E510" s="89"/>
      <c r="F510" s="89"/>
      <c r="G510" s="166"/>
      <c r="H510" s="32"/>
      <c r="I510" s="90"/>
      <c r="J510" s="32"/>
      <c r="K510" s="32"/>
      <c r="L510" s="32"/>
      <c r="M510" s="89"/>
      <c r="N510" s="91" t="s">
        <v>9067</v>
      </c>
      <c r="O510" s="24"/>
      <c r="P510" s="90"/>
      <c r="Q510" s="90" t="s">
        <v>9421</v>
      </c>
      <c r="R510" s="91" t="s">
        <v>90</v>
      </c>
      <c r="S510" s="101"/>
      <c r="T510" s="142"/>
      <c r="U510" s="89"/>
      <c r="V510" s="89"/>
      <c r="W510" s="141"/>
      <c r="X510" s="92"/>
      <c r="Y510" s="92"/>
      <c r="Z510" s="92"/>
      <c r="AA510" s="92" t="s">
        <v>96</v>
      </c>
      <c r="AB510" s="92"/>
      <c r="AC510" s="92"/>
      <c r="AD510" s="92"/>
      <c r="AE510" s="93" t="s">
        <v>9328</v>
      </c>
      <c r="AF510" s="91"/>
      <c r="AG510" s="91" t="s">
        <v>9526</v>
      </c>
      <c r="AH510" s="91"/>
      <c r="AI510" s="92"/>
      <c r="AJ510" s="101"/>
      <c r="AK510" s="90" t="s">
        <v>9728</v>
      </c>
      <c r="AL510" s="93" t="s">
        <v>602</v>
      </c>
      <c r="AM510" s="91"/>
      <c r="AN510" s="93"/>
      <c r="AO510" s="92"/>
      <c r="AP510" s="93" t="s">
        <v>9188</v>
      </c>
      <c r="AQ510" s="90"/>
      <c r="AR510" s="89" t="s">
        <v>7121</v>
      </c>
      <c r="AS510" s="93" t="s">
        <v>110</v>
      </c>
      <c r="AT510" s="92" t="s">
        <v>90</v>
      </c>
      <c r="AU510" s="92" t="s">
        <v>111</v>
      </c>
      <c r="AV510" s="92"/>
      <c r="AW510" s="92" t="s">
        <v>9624</v>
      </c>
      <c r="AX510" s="91"/>
      <c r="AY510" s="91"/>
      <c r="AZ510" s="127"/>
      <c r="BA510" s="143" t="s">
        <v>9819</v>
      </c>
      <c r="BB510" s="101" t="s">
        <v>216</v>
      </c>
      <c r="BC510" s="93"/>
      <c r="BD510" s="143"/>
      <c r="BE510" s="92"/>
      <c r="BF510" s="67"/>
      <c r="BG510" s="93" t="s">
        <v>9188</v>
      </c>
      <c r="BH510" s="93"/>
      <c r="BI510" s="91" t="s">
        <v>7121</v>
      </c>
      <c r="BJ510" s="91" t="s">
        <v>110</v>
      </c>
      <c r="BK510" s="93" t="s">
        <v>90</v>
      </c>
      <c r="BL510" s="91" t="s">
        <v>111</v>
      </c>
      <c r="BM510" s="92"/>
      <c r="BN510" s="64"/>
      <c r="BO510" s="92"/>
      <c r="BP510" s="92"/>
      <c r="BQ510" s="136"/>
      <c r="BR510" s="93"/>
      <c r="BS510" s="92"/>
      <c r="BT510" s="93"/>
      <c r="BU510" s="93"/>
      <c r="BV510" s="92"/>
      <c r="BW510" s="92"/>
      <c r="BX510" s="93"/>
      <c r="BY510" s="92"/>
      <c r="BZ510" s="92"/>
      <c r="CA510" s="93"/>
      <c r="CB510" s="92"/>
      <c r="CC510" s="92"/>
      <c r="CD510" s="92"/>
      <c r="CE510" s="64" t="s">
        <v>9188</v>
      </c>
      <c r="CF510" s="67"/>
      <c r="CG510" s="40" t="s">
        <v>7121</v>
      </c>
      <c r="CH510" s="92" t="s">
        <v>110</v>
      </c>
      <c r="CI510" s="91" t="s">
        <v>90</v>
      </c>
      <c r="CJ510" s="91" t="s">
        <v>111</v>
      </c>
      <c r="CK510" s="89"/>
      <c r="CL510" s="91" t="str">
        <f t="shared" ca="1" si="7"/>
        <v>126 Tahun 0 Bulan 23 Hari</v>
      </c>
      <c r="CM510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Cedok RT/RW  Desa/Kelurahan Pangauban Kecamatan Katapang Bandung Jawa Barat </v>
      </c>
    </row>
    <row r="511" spans="1:91" ht="24.95" hidden="1" customHeight="1">
      <c r="A511" s="89">
        <f>SUBTOTAL(3,N$8:Table2[[#This Row],[Nama lengkap]])</f>
        <v>472</v>
      </c>
      <c r="B511" s="58" t="s">
        <v>9912</v>
      </c>
      <c r="C511" s="89"/>
      <c r="D511" s="89"/>
      <c r="E511" s="89"/>
      <c r="F511" s="89"/>
      <c r="G511" s="166"/>
      <c r="H511" s="32"/>
      <c r="I511" s="90"/>
      <c r="J511" s="32"/>
      <c r="K511" s="32"/>
      <c r="L511" s="32"/>
      <c r="M511" s="89"/>
      <c r="N511" s="91" t="s">
        <v>9063</v>
      </c>
      <c r="O511" s="24"/>
      <c r="P511" s="90"/>
      <c r="Q511" s="90" t="s">
        <v>9417</v>
      </c>
      <c r="R511" s="91" t="s">
        <v>90</v>
      </c>
      <c r="S511" s="101"/>
      <c r="T511" s="142"/>
      <c r="U511" s="89"/>
      <c r="V511" s="89"/>
      <c r="W511" s="141"/>
      <c r="X511" s="92" t="s">
        <v>432</v>
      </c>
      <c r="Y511" s="92"/>
      <c r="Z511" s="92"/>
      <c r="AA511" s="92" t="s">
        <v>96</v>
      </c>
      <c r="AB511" s="92"/>
      <c r="AC511" s="92"/>
      <c r="AD511" s="92"/>
      <c r="AE511" s="93" t="s">
        <v>9324</v>
      </c>
      <c r="AF511" s="91"/>
      <c r="AG511" s="91" t="s">
        <v>9522</v>
      </c>
      <c r="AH511" s="91"/>
      <c r="AI511" s="92"/>
      <c r="AJ511" s="101"/>
      <c r="AK511" s="90" t="s">
        <v>9724</v>
      </c>
      <c r="AL511" s="93" t="s">
        <v>114</v>
      </c>
      <c r="AM511" s="91"/>
      <c r="AN511" s="93"/>
      <c r="AO511" s="92"/>
      <c r="AP511" s="93" t="s">
        <v>9183</v>
      </c>
      <c r="AQ511" s="90"/>
      <c r="AR511" s="89" t="s">
        <v>9184</v>
      </c>
      <c r="AS511" s="93" t="s">
        <v>833</v>
      </c>
      <c r="AT511" s="92" t="s">
        <v>90</v>
      </c>
      <c r="AU511" s="92" t="s">
        <v>111</v>
      </c>
      <c r="AV511" s="92"/>
      <c r="AW511" s="92" t="s">
        <v>9620</v>
      </c>
      <c r="AX511" s="91"/>
      <c r="AY511" s="91"/>
      <c r="AZ511" s="127"/>
      <c r="BA511" s="143" t="s">
        <v>9816</v>
      </c>
      <c r="BB511" s="101" t="s">
        <v>216</v>
      </c>
      <c r="BC511" s="93"/>
      <c r="BD511" s="143"/>
      <c r="BE511" s="92"/>
      <c r="BF511" s="67"/>
      <c r="BG511" s="93" t="s">
        <v>9183</v>
      </c>
      <c r="BH511" s="93"/>
      <c r="BI511" s="91" t="s">
        <v>9184</v>
      </c>
      <c r="BJ511" s="91" t="s">
        <v>833</v>
      </c>
      <c r="BK511" s="93" t="s">
        <v>90</v>
      </c>
      <c r="BL511" s="91" t="s">
        <v>111</v>
      </c>
      <c r="BM511" s="92"/>
      <c r="BN511" s="64"/>
      <c r="BO511" s="92"/>
      <c r="BP511" s="92"/>
      <c r="BQ511" s="136"/>
      <c r="BR511" s="93"/>
      <c r="BS511" s="92"/>
      <c r="BT511" s="93"/>
      <c r="BU511" s="93"/>
      <c r="BV511" s="92"/>
      <c r="BW511" s="92"/>
      <c r="BX511" s="93"/>
      <c r="BY511" s="92"/>
      <c r="BZ511" s="92"/>
      <c r="CA511" s="93"/>
      <c r="CB511" s="92"/>
      <c r="CC511" s="92"/>
      <c r="CD511" s="92"/>
      <c r="CE511" s="64" t="s">
        <v>9183</v>
      </c>
      <c r="CF511" s="67"/>
      <c r="CG511" s="40" t="s">
        <v>9184</v>
      </c>
      <c r="CH511" s="92" t="s">
        <v>833</v>
      </c>
      <c r="CI511" s="91" t="s">
        <v>90</v>
      </c>
      <c r="CJ511" s="91" t="s">
        <v>111</v>
      </c>
      <c r="CK511" s="89"/>
      <c r="CL511" s="91" t="str">
        <f t="shared" ca="1" si="7"/>
        <v>126 Tahun 0 Bulan 23 Hari</v>
      </c>
      <c r="CM511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 mengger girang  RT/RW  Desa/Kelurahan Pasir Luyu Kecamatan Regol Bandung Jawa Barat </v>
      </c>
    </row>
    <row r="512" spans="1:91" ht="24.95" hidden="1" customHeight="1">
      <c r="A512" s="89">
        <f>SUBTOTAL(3,N$8:Table2[[#This Row],[Nama lengkap]])</f>
        <v>472</v>
      </c>
      <c r="B512" s="58" t="s">
        <v>9912</v>
      </c>
      <c r="C512" s="89"/>
      <c r="D512" s="89"/>
      <c r="E512" s="89"/>
      <c r="F512" s="89"/>
      <c r="G512" s="166"/>
      <c r="H512" s="32"/>
      <c r="I512" s="90"/>
      <c r="J512" s="32"/>
      <c r="K512" s="32"/>
      <c r="L512" s="32"/>
      <c r="M512" s="89"/>
      <c r="N512" s="91" t="s">
        <v>9068</v>
      </c>
      <c r="O512" s="24"/>
      <c r="P512" s="90"/>
      <c r="Q512" s="90" t="s">
        <v>9919</v>
      </c>
      <c r="R512" s="91" t="s">
        <v>122</v>
      </c>
      <c r="S512" s="101"/>
      <c r="T512" s="142"/>
      <c r="U512" s="89"/>
      <c r="V512" s="89"/>
      <c r="W512" s="141"/>
      <c r="X512" s="92" t="s">
        <v>123</v>
      </c>
      <c r="Y512" s="92"/>
      <c r="Z512" s="92"/>
      <c r="AA512" s="92" t="s">
        <v>96</v>
      </c>
      <c r="AB512" s="92"/>
      <c r="AC512" s="92"/>
      <c r="AD512" s="92"/>
      <c r="AE512" s="93" t="s">
        <v>9329</v>
      </c>
      <c r="AF512" s="91"/>
      <c r="AG512" s="91" t="s">
        <v>9527</v>
      </c>
      <c r="AH512" s="91"/>
      <c r="AI512" s="92"/>
      <c r="AJ512" s="101"/>
      <c r="AK512" s="90" t="s">
        <v>9729</v>
      </c>
      <c r="AL512" s="93" t="s">
        <v>9714</v>
      </c>
      <c r="AM512" s="91"/>
      <c r="AN512" s="93"/>
      <c r="AO512" s="92"/>
      <c r="AP512" s="93" t="s">
        <v>9189</v>
      </c>
      <c r="AQ512" s="90"/>
      <c r="AR512" s="89" t="s">
        <v>9190</v>
      </c>
      <c r="AS512" s="93" t="s">
        <v>6945</v>
      </c>
      <c r="AT512" s="92" t="s">
        <v>122</v>
      </c>
      <c r="AU512" s="92" t="s">
        <v>111</v>
      </c>
      <c r="AV512" s="92"/>
      <c r="AW512" s="92" t="s">
        <v>9625</v>
      </c>
      <c r="AX512" s="91"/>
      <c r="AY512" s="91"/>
      <c r="AZ512" s="127"/>
      <c r="BA512" s="143" t="s">
        <v>9820</v>
      </c>
      <c r="BB512" s="101" t="s">
        <v>216</v>
      </c>
      <c r="BC512" s="93"/>
      <c r="BD512" s="143"/>
      <c r="BE512" s="92"/>
      <c r="BF512" s="67"/>
      <c r="BG512" s="93" t="s">
        <v>9189</v>
      </c>
      <c r="BH512" s="93"/>
      <c r="BI512" s="91" t="s">
        <v>9190</v>
      </c>
      <c r="BJ512" s="91" t="s">
        <v>6945</v>
      </c>
      <c r="BK512" s="93" t="s">
        <v>122</v>
      </c>
      <c r="BL512" s="91" t="s">
        <v>111</v>
      </c>
      <c r="BM512" s="92"/>
      <c r="BN512" s="64"/>
      <c r="BO512" s="92"/>
      <c r="BP512" s="92"/>
      <c r="BQ512" s="136"/>
      <c r="BR512" s="93"/>
      <c r="BS512" s="92"/>
      <c r="BT512" s="93"/>
      <c r="BU512" s="93"/>
      <c r="BV512" s="92"/>
      <c r="BW512" s="92"/>
      <c r="BX512" s="93"/>
      <c r="BY512" s="92"/>
      <c r="BZ512" s="92"/>
      <c r="CA512" s="93"/>
      <c r="CB512" s="92"/>
      <c r="CC512" s="92"/>
      <c r="CD512" s="92"/>
      <c r="CE512" s="64" t="s">
        <v>9189</v>
      </c>
      <c r="CF512" s="67"/>
      <c r="CG512" s="40" t="s">
        <v>9190</v>
      </c>
      <c r="CH512" s="92" t="s">
        <v>6945</v>
      </c>
      <c r="CI512" s="91" t="s">
        <v>122</v>
      </c>
      <c r="CJ512" s="91" t="s">
        <v>111</v>
      </c>
      <c r="CK512" s="89"/>
      <c r="CL512" s="91" t="str">
        <f t="shared" ca="1" si="7"/>
        <v>126 Tahun 0 Bulan 23 Hari</v>
      </c>
      <c r="CM512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 Darangdan Kebon Rt 02/15 RT/RW  Desa/Kelurahan Kota Kulon  Kecamatan Sumedang Selatan Sumedang Jawa Barat </v>
      </c>
    </row>
    <row r="513" spans="1:91" ht="24.95" hidden="1" customHeight="1">
      <c r="A513" s="89">
        <f>SUBTOTAL(3,N$8:Table2[[#This Row],[Nama lengkap]])</f>
        <v>472</v>
      </c>
      <c r="B513" s="58" t="s">
        <v>9912</v>
      </c>
      <c r="C513" s="89"/>
      <c r="D513" s="89"/>
      <c r="E513" s="89"/>
      <c r="F513" s="89"/>
      <c r="G513" s="166"/>
      <c r="H513" s="32"/>
      <c r="I513" s="90"/>
      <c r="J513" s="32"/>
      <c r="K513" s="32"/>
      <c r="L513" s="32"/>
      <c r="M513" s="89"/>
      <c r="N513" s="91" t="s">
        <v>9069</v>
      </c>
      <c r="O513" s="24"/>
      <c r="P513" s="90"/>
      <c r="Q513" s="90" t="s">
        <v>9422</v>
      </c>
      <c r="R513" s="91" t="s">
        <v>7129</v>
      </c>
      <c r="S513" s="101"/>
      <c r="T513" s="142"/>
      <c r="U513" s="89"/>
      <c r="V513" s="89"/>
      <c r="W513" s="141"/>
      <c r="X513" s="92"/>
      <c r="Y513" s="92"/>
      <c r="Z513" s="92"/>
      <c r="AA513" s="92" t="s">
        <v>96</v>
      </c>
      <c r="AB513" s="92"/>
      <c r="AC513" s="92"/>
      <c r="AD513" s="92"/>
      <c r="AE513" s="93" t="s">
        <v>9330</v>
      </c>
      <c r="AF513" s="91"/>
      <c r="AG513" s="91" t="s">
        <v>9528</v>
      </c>
      <c r="AH513" s="91"/>
      <c r="AI513" s="92"/>
      <c r="AJ513" s="101"/>
      <c r="AK513" s="90" t="s">
        <v>9730</v>
      </c>
      <c r="AL513" s="93" t="s">
        <v>114</v>
      </c>
      <c r="AM513" s="91"/>
      <c r="AN513" s="93"/>
      <c r="AO513" s="92"/>
      <c r="AP513" s="93" t="s">
        <v>9191</v>
      </c>
      <c r="AQ513" s="90"/>
      <c r="AR513" s="89" t="s">
        <v>7163</v>
      </c>
      <c r="AS513" s="93" t="s">
        <v>4835</v>
      </c>
      <c r="AT513" s="92" t="s">
        <v>90</v>
      </c>
      <c r="AU513" s="92" t="s">
        <v>111</v>
      </c>
      <c r="AV513" s="92"/>
      <c r="AW513" s="92" t="s">
        <v>9626</v>
      </c>
      <c r="AX513" s="91"/>
      <c r="AY513" s="91"/>
      <c r="AZ513" s="127"/>
      <c r="BA513" s="143" t="s">
        <v>9821</v>
      </c>
      <c r="BB513" s="101" t="s">
        <v>216</v>
      </c>
      <c r="BC513" s="93"/>
      <c r="BD513" s="143"/>
      <c r="BE513" s="92"/>
      <c r="BF513" s="67"/>
      <c r="BG513" s="93" t="s">
        <v>9191</v>
      </c>
      <c r="BH513" s="93"/>
      <c r="BI513" s="91" t="s">
        <v>7163</v>
      </c>
      <c r="BJ513" s="91" t="s">
        <v>4835</v>
      </c>
      <c r="BK513" s="93" t="s">
        <v>90</v>
      </c>
      <c r="BL513" s="91" t="s">
        <v>111</v>
      </c>
      <c r="BM513" s="92"/>
      <c r="BN513" s="64"/>
      <c r="BO513" s="92"/>
      <c r="BP513" s="92"/>
      <c r="BQ513" s="136"/>
      <c r="BR513" s="93"/>
      <c r="BS513" s="92"/>
      <c r="BT513" s="93"/>
      <c r="BU513" s="93"/>
      <c r="BV513" s="92"/>
      <c r="BW513" s="92"/>
      <c r="BX513" s="93"/>
      <c r="BY513" s="92"/>
      <c r="BZ513" s="92"/>
      <c r="CA513" s="93"/>
      <c r="CB513" s="92"/>
      <c r="CC513" s="92"/>
      <c r="CD513" s="92"/>
      <c r="CE513" s="64" t="s">
        <v>9191</v>
      </c>
      <c r="CF513" s="67"/>
      <c r="CG513" s="40" t="s">
        <v>7163</v>
      </c>
      <c r="CH513" s="92" t="s">
        <v>4835</v>
      </c>
      <c r="CI513" s="91" t="s">
        <v>90</v>
      </c>
      <c r="CJ513" s="91" t="s">
        <v>111</v>
      </c>
      <c r="CK513" s="89"/>
      <c r="CL513" s="91" t="str">
        <f t="shared" ca="1" si="7"/>
        <v>126 Tahun 0 Bulan 23 Hari</v>
      </c>
      <c r="CM513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Cimomplo Rt01/08 RT/RW  Desa/Kelurahan Wargaluyu Kecamatan Arjasari Bandung Jawa Barat </v>
      </c>
    </row>
    <row r="514" spans="1:91" ht="24.95" hidden="1" customHeight="1">
      <c r="A514" s="89">
        <f>SUBTOTAL(3,N$8:Table2[[#This Row],[Nama lengkap]])</f>
        <v>472</v>
      </c>
      <c r="B514" s="58" t="s">
        <v>9912</v>
      </c>
      <c r="C514" s="89"/>
      <c r="D514" s="89"/>
      <c r="E514" s="89"/>
      <c r="F514" s="89"/>
      <c r="G514" s="166"/>
      <c r="H514" s="32"/>
      <c r="I514" s="90"/>
      <c r="J514" s="32"/>
      <c r="K514" s="32"/>
      <c r="L514" s="32"/>
      <c r="M514" s="89"/>
      <c r="N514" s="91" t="s">
        <v>9070</v>
      </c>
      <c r="O514" s="24"/>
      <c r="P514" s="90"/>
      <c r="Q514" s="90" t="s">
        <v>9423</v>
      </c>
      <c r="R514" s="91" t="s">
        <v>90</v>
      </c>
      <c r="S514" s="101"/>
      <c r="T514" s="142"/>
      <c r="U514" s="89"/>
      <c r="V514" s="89"/>
      <c r="W514" s="141"/>
      <c r="X514" s="92" t="s">
        <v>432</v>
      </c>
      <c r="Y514" s="92"/>
      <c r="Z514" s="92"/>
      <c r="AA514" s="92" t="s">
        <v>1141</v>
      </c>
      <c r="AB514" s="92"/>
      <c r="AC514" s="92"/>
      <c r="AD514" s="92"/>
      <c r="AE514" s="93" t="s">
        <v>9331</v>
      </c>
      <c r="AF514" s="91"/>
      <c r="AG514" s="91" t="s">
        <v>9529</v>
      </c>
      <c r="AH514" s="91"/>
      <c r="AI514" s="92"/>
      <c r="AJ514" s="101"/>
      <c r="AK514" s="90" t="s">
        <v>9731</v>
      </c>
      <c r="AL514" s="93" t="s">
        <v>114</v>
      </c>
      <c r="AM514" s="91"/>
      <c r="AN514" s="93"/>
      <c r="AO514" s="92"/>
      <c r="AP514" s="93" t="s">
        <v>9192</v>
      </c>
      <c r="AQ514" s="90"/>
      <c r="AR514" s="89" t="s">
        <v>7051</v>
      </c>
      <c r="AS514" s="93" t="s">
        <v>7039</v>
      </c>
      <c r="AT514" s="92" t="s">
        <v>90</v>
      </c>
      <c r="AU514" s="92" t="s">
        <v>111</v>
      </c>
      <c r="AV514" s="92"/>
      <c r="AW514" s="92" t="s">
        <v>9627</v>
      </c>
      <c r="AX514" s="91"/>
      <c r="AY514" s="91"/>
      <c r="AZ514" s="127"/>
      <c r="BA514" s="143" t="s">
        <v>9822</v>
      </c>
      <c r="BB514" s="101" t="s">
        <v>216</v>
      </c>
      <c r="BC514" s="93"/>
      <c r="BD514" s="143"/>
      <c r="BE514" s="92"/>
      <c r="BF514" s="67"/>
      <c r="BG514" s="93" t="s">
        <v>9192</v>
      </c>
      <c r="BH514" s="93"/>
      <c r="BI514" s="91" t="s">
        <v>7051</v>
      </c>
      <c r="BJ514" s="91" t="s">
        <v>7039</v>
      </c>
      <c r="BK514" s="93" t="s">
        <v>90</v>
      </c>
      <c r="BL514" s="91" t="s">
        <v>111</v>
      </c>
      <c r="BM514" s="92"/>
      <c r="BN514" s="64"/>
      <c r="BO514" s="92"/>
      <c r="BP514" s="92"/>
      <c r="BQ514" s="136"/>
      <c r="BR514" s="93"/>
      <c r="BS514" s="92"/>
      <c r="BT514" s="93"/>
      <c r="BU514" s="93"/>
      <c r="BV514" s="92"/>
      <c r="BW514" s="92"/>
      <c r="BX514" s="93"/>
      <c r="BY514" s="92"/>
      <c r="BZ514" s="92"/>
      <c r="CA514" s="93"/>
      <c r="CB514" s="92"/>
      <c r="CC514" s="92"/>
      <c r="CD514" s="92"/>
      <c r="CE514" s="64" t="s">
        <v>9192</v>
      </c>
      <c r="CF514" s="67"/>
      <c r="CG514" s="40" t="s">
        <v>7051</v>
      </c>
      <c r="CH514" s="92" t="s">
        <v>7039</v>
      </c>
      <c r="CI514" s="91" t="s">
        <v>90</v>
      </c>
      <c r="CJ514" s="91" t="s">
        <v>111</v>
      </c>
      <c r="CK514" s="89"/>
      <c r="CL514" s="91" t="str">
        <f t="shared" ca="1" si="7"/>
        <v>126 Tahun 0 Bulan 23 Hari</v>
      </c>
      <c r="CM514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Cigembreng  RT/RW  Desa/Kelurahan Pamekaran Kecamatan Soreang Bandung Jawa Barat </v>
      </c>
    </row>
    <row r="515" spans="1:91" ht="24.95" hidden="1" customHeight="1">
      <c r="A515" s="89">
        <f>SUBTOTAL(3,N$8:Table2[[#This Row],[Nama lengkap]])</f>
        <v>472</v>
      </c>
      <c r="B515" s="58" t="s">
        <v>9912</v>
      </c>
      <c r="C515" s="89"/>
      <c r="D515" s="89"/>
      <c r="E515" s="89"/>
      <c r="F515" s="89"/>
      <c r="G515" s="166"/>
      <c r="H515" s="32"/>
      <c r="I515" s="90"/>
      <c r="J515" s="32"/>
      <c r="K515" s="32"/>
      <c r="L515" s="32"/>
      <c r="M515" s="89"/>
      <c r="N515" s="91" t="s">
        <v>9079</v>
      </c>
      <c r="O515" s="24"/>
      <c r="P515" s="90"/>
      <c r="Q515" s="90" t="s">
        <v>9431</v>
      </c>
      <c r="R515" s="91" t="s">
        <v>7129</v>
      </c>
      <c r="S515" s="101"/>
      <c r="T515" s="142"/>
      <c r="U515" s="89"/>
      <c r="V515" s="89"/>
      <c r="W515" s="141"/>
      <c r="X515" s="92"/>
      <c r="Y515" s="92"/>
      <c r="Z515" s="92"/>
      <c r="AA515" s="92" t="s">
        <v>96</v>
      </c>
      <c r="AB515" s="92"/>
      <c r="AC515" s="92"/>
      <c r="AD515" s="92"/>
      <c r="AE515" s="93" t="s">
        <v>4026</v>
      </c>
      <c r="AF515" s="91"/>
      <c r="AG515" s="91" t="s">
        <v>8591</v>
      </c>
      <c r="AH515" s="91"/>
      <c r="AI515" s="92"/>
      <c r="AJ515" s="101"/>
      <c r="AK515" s="90" t="s">
        <v>4027</v>
      </c>
      <c r="AL515" s="93" t="s">
        <v>574</v>
      </c>
      <c r="AM515" s="91"/>
      <c r="AN515" s="93"/>
      <c r="AO515" s="92"/>
      <c r="AP515" s="93" t="s">
        <v>9200</v>
      </c>
      <c r="AQ515" s="90"/>
      <c r="AR515" s="89" t="s">
        <v>6635</v>
      </c>
      <c r="AS515" s="93" t="s">
        <v>6463</v>
      </c>
      <c r="AT515" s="92" t="s">
        <v>90</v>
      </c>
      <c r="AU515" s="92" t="s">
        <v>313</v>
      </c>
      <c r="AV515" s="92"/>
      <c r="AW515" s="92" t="s">
        <v>8095</v>
      </c>
      <c r="AX515" s="91"/>
      <c r="AY515" s="91"/>
      <c r="AZ515" s="127"/>
      <c r="BA515" s="143" t="s">
        <v>4030</v>
      </c>
      <c r="BB515" s="101" t="s">
        <v>216</v>
      </c>
      <c r="BC515" s="93"/>
      <c r="BD515" s="143"/>
      <c r="BE515" s="92"/>
      <c r="BF515" s="67"/>
      <c r="BG515" s="93" t="s">
        <v>9200</v>
      </c>
      <c r="BH515" s="93"/>
      <c r="BI515" s="91" t="s">
        <v>6635</v>
      </c>
      <c r="BJ515" s="91" t="s">
        <v>6463</v>
      </c>
      <c r="BK515" s="93" t="s">
        <v>90</v>
      </c>
      <c r="BL515" s="91" t="s">
        <v>313</v>
      </c>
      <c r="BM515" s="92"/>
      <c r="BN515" s="64"/>
      <c r="BO515" s="92"/>
      <c r="BP515" s="92"/>
      <c r="BQ515" s="136"/>
      <c r="BR515" s="93"/>
      <c r="BS515" s="92"/>
      <c r="BT515" s="93"/>
      <c r="BU515" s="93"/>
      <c r="BV515" s="92"/>
      <c r="BW515" s="92"/>
      <c r="BX515" s="93"/>
      <c r="BY515" s="92"/>
      <c r="BZ515" s="92"/>
      <c r="CA515" s="93"/>
      <c r="CB515" s="92"/>
      <c r="CC515" s="92"/>
      <c r="CD515" s="92"/>
      <c r="CE515" s="64" t="s">
        <v>9200</v>
      </c>
      <c r="CF515" s="67"/>
      <c r="CG515" s="40" t="s">
        <v>6635</v>
      </c>
      <c r="CH515" s="92" t="s">
        <v>6463</v>
      </c>
      <c r="CI515" s="91" t="s">
        <v>90</v>
      </c>
      <c r="CJ515" s="91" t="s">
        <v>313</v>
      </c>
      <c r="CK515" s="89"/>
      <c r="CL515" s="91" t="str">
        <f t="shared" ca="1" si="7"/>
        <v>126 Tahun 0 Bulan 23 Hari</v>
      </c>
      <c r="CM515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Sukamanah RT/RW  Desa/Kelurahan Nagrak Kecamatan Cangkuang Bandung Jawabarat </v>
      </c>
    </row>
    <row r="516" spans="1:91" ht="24.95" hidden="1" customHeight="1">
      <c r="A516" s="89">
        <f>SUBTOTAL(3,N$8:Table2[[#This Row],[Nama lengkap]])</f>
        <v>472</v>
      </c>
      <c r="B516" s="58" t="s">
        <v>9912</v>
      </c>
      <c r="C516" s="89"/>
      <c r="D516" s="89"/>
      <c r="E516" s="89"/>
      <c r="F516" s="89"/>
      <c r="G516" s="166"/>
      <c r="H516" s="32"/>
      <c r="I516" s="90"/>
      <c r="J516" s="32"/>
      <c r="K516" s="32"/>
      <c r="L516" s="32"/>
      <c r="M516" s="89"/>
      <c r="N516" s="91" t="s">
        <v>9080</v>
      </c>
      <c r="O516" s="24"/>
      <c r="P516" s="90"/>
      <c r="Q516" s="90" t="s">
        <v>9432</v>
      </c>
      <c r="R516" s="91" t="s">
        <v>7129</v>
      </c>
      <c r="S516" s="101"/>
      <c r="T516" s="141"/>
      <c r="U516" s="89"/>
      <c r="V516" s="89"/>
      <c r="W516" s="141"/>
      <c r="X516" s="91"/>
      <c r="Y516" s="91"/>
      <c r="Z516" s="91"/>
      <c r="AA516" s="91" t="s">
        <v>96</v>
      </c>
      <c r="AB516" s="91"/>
      <c r="AC516" s="91"/>
      <c r="AD516" s="91"/>
      <c r="AE516" s="143" t="s">
        <v>9338</v>
      </c>
      <c r="AF516" s="91"/>
      <c r="AG516" s="91" t="s">
        <v>9536</v>
      </c>
      <c r="AH516" s="91"/>
      <c r="AI516" s="91"/>
      <c r="AJ516" s="101"/>
      <c r="AK516" s="143" t="s">
        <v>9737</v>
      </c>
      <c r="AL516" s="91" t="s">
        <v>289</v>
      </c>
      <c r="AM516" s="91"/>
      <c r="AN516" s="143"/>
      <c r="AO516" s="91"/>
      <c r="AP516" s="91" t="s">
        <v>9201</v>
      </c>
      <c r="AQ516" s="90"/>
      <c r="AR516" s="91" t="s">
        <v>9202</v>
      </c>
      <c r="AS516" s="91" t="s">
        <v>6967</v>
      </c>
      <c r="AT516" s="91" t="s">
        <v>90</v>
      </c>
      <c r="AU516" s="91" t="s">
        <v>313</v>
      </c>
      <c r="AV516" s="91"/>
      <c r="AW516" s="91" t="s">
        <v>9633</v>
      </c>
      <c r="AX516" s="91"/>
      <c r="AY516" s="91"/>
      <c r="AZ516" s="127"/>
      <c r="BA516" s="143" t="s">
        <v>9829</v>
      </c>
      <c r="BB516" s="91" t="s">
        <v>216</v>
      </c>
      <c r="BC516" s="91"/>
      <c r="BD516" s="143"/>
      <c r="BE516" s="91"/>
      <c r="BF516" s="31"/>
      <c r="BG516" s="91" t="s">
        <v>9201</v>
      </c>
      <c r="BH516" s="143"/>
      <c r="BI516" s="91" t="s">
        <v>9202</v>
      </c>
      <c r="BJ516" s="91" t="s">
        <v>6967</v>
      </c>
      <c r="BK516" s="91" t="s">
        <v>90</v>
      </c>
      <c r="BL516" s="91" t="s">
        <v>313</v>
      </c>
      <c r="BM516" s="91"/>
      <c r="BN516" s="40"/>
      <c r="BO516" s="91"/>
      <c r="BP516" s="91"/>
      <c r="BQ516" s="144"/>
      <c r="BR516" s="143"/>
      <c r="BS516" s="91"/>
      <c r="BT516" s="91"/>
      <c r="BU516" s="143"/>
      <c r="BV516" s="91"/>
      <c r="BW516" s="91"/>
      <c r="BX516" s="143"/>
      <c r="BY516" s="91"/>
      <c r="BZ516" s="91"/>
      <c r="CA516" s="91"/>
      <c r="CB516" s="91"/>
      <c r="CC516" s="91"/>
      <c r="CD516" s="91"/>
      <c r="CE516" s="40" t="s">
        <v>9201</v>
      </c>
      <c r="CF516" s="31"/>
      <c r="CG516" s="40" t="s">
        <v>9202</v>
      </c>
      <c r="CH516" s="91" t="s">
        <v>6967</v>
      </c>
      <c r="CI516" s="91" t="s">
        <v>90</v>
      </c>
      <c r="CJ516" s="91" t="s">
        <v>313</v>
      </c>
      <c r="CK516" s="89"/>
      <c r="CL516" s="91" t="str">
        <f t="shared" ca="1" si="7"/>
        <v>126 Tahun 0 Bulan 23 Hari</v>
      </c>
      <c r="CM516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Puncak Mulya RT/RW  Desa/Kelurahan Suka Mulya Kecamatan Kutawaringin Bandung Jawabarat </v>
      </c>
    </row>
    <row r="517" spans="1:91" ht="24.95" hidden="1" customHeight="1">
      <c r="A517" s="89">
        <f>SUBTOTAL(3,N$8:Table2[[#This Row],[Nama lengkap]])</f>
        <v>472</v>
      </c>
      <c r="B517" s="58" t="s">
        <v>9912</v>
      </c>
      <c r="C517" s="89"/>
      <c r="D517" s="89"/>
      <c r="E517" s="89"/>
      <c r="F517" s="89"/>
      <c r="G517" s="166"/>
      <c r="H517" s="32"/>
      <c r="I517" s="90"/>
      <c r="J517" s="32"/>
      <c r="K517" s="32"/>
      <c r="L517" s="32"/>
      <c r="M517" s="89"/>
      <c r="N517" s="91" t="s">
        <v>9083</v>
      </c>
      <c r="O517" s="24"/>
      <c r="P517" s="90"/>
      <c r="Q517" s="90" t="s">
        <v>9435</v>
      </c>
      <c r="R517" s="91" t="s">
        <v>7129</v>
      </c>
      <c r="S517" s="101"/>
      <c r="T517" s="142"/>
      <c r="U517" s="89"/>
      <c r="V517" s="89"/>
      <c r="W517" s="141"/>
      <c r="X517" s="92"/>
      <c r="Y517" s="92"/>
      <c r="Z517" s="92"/>
      <c r="AA517" s="92" t="s">
        <v>96</v>
      </c>
      <c r="AB517" s="92"/>
      <c r="AC517" s="92"/>
      <c r="AD517" s="92"/>
      <c r="AE517" s="93" t="s">
        <v>9341</v>
      </c>
      <c r="AF517" s="91"/>
      <c r="AG517" s="91" t="s">
        <v>9539</v>
      </c>
      <c r="AH517" s="91"/>
      <c r="AI517" s="92"/>
      <c r="AJ517" s="101"/>
      <c r="AK517" s="90"/>
      <c r="AL517" s="93"/>
      <c r="AM517" s="91"/>
      <c r="AN517" s="93"/>
      <c r="AO517" s="92"/>
      <c r="AP517" s="93" t="s">
        <v>9206</v>
      </c>
      <c r="AQ517" s="90"/>
      <c r="AR517" s="89" t="s">
        <v>7172</v>
      </c>
      <c r="AS517" s="93" t="s">
        <v>6995</v>
      </c>
      <c r="AT517" s="92" t="s">
        <v>90</v>
      </c>
      <c r="AU517" s="92" t="s">
        <v>313</v>
      </c>
      <c r="AV517" s="92"/>
      <c r="AW517" s="92" t="s">
        <v>9636</v>
      </c>
      <c r="AX517" s="91"/>
      <c r="AY517" s="91"/>
      <c r="AZ517" s="127"/>
      <c r="BA517" s="143" t="s">
        <v>9832</v>
      </c>
      <c r="BB517" s="101" t="s">
        <v>216</v>
      </c>
      <c r="BC517" s="93"/>
      <c r="BD517" s="143"/>
      <c r="BE517" s="92"/>
      <c r="BF517" s="67"/>
      <c r="BG517" s="93" t="s">
        <v>9206</v>
      </c>
      <c r="BH517" s="93"/>
      <c r="BI517" s="91" t="s">
        <v>7172</v>
      </c>
      <c r="BJ517" s="91" t="s">
        <v>6995</v>
      </c>
      <c r="BK517" s="93" t="s">
        <v>90</v>
      </c>
      <c r="BL517" s="91" t="s">
        <v>313</v>
      </c>
      <c r="BM517" s="92"/>
      <c r="BN517" s="64"/>
      <c r="BO517" s="92"/>
      <c r="BP517" s="92"/>
      <c r="BQ517" s="136"/>
      <c r="BR517" s="93"/>
      <c r="BS517" s="92"/>
      <c r="BT517" s="93"/>
      <c r="BU517" s="93"/>
      <c r="BV517" s="92"/>
      <c r="BW517" s="92"/>
      <c r="BX517" s="93"/>
      <c r="BY517" s="92"/>
      <c r="BZ517" s="92"/>
      <c r="CA517" s="93"/>
      <c r="CB517" s="92"/>
      <c r="CC517" s="92"/>
      <c r="CD517" s="92"/>
      <c r="CE517" s="64" t="s">
        <v>9206</v>
      </c>
      <c r="CF517" s="67"/>
      <c r="CG517" s="40" t="s">
        <v>7172</v>
      </c>
      <c r="CH517" s="92" t="s">
        <v>6995</v>
      </c>
      <c r="CI517" s="91" t="s">
        <v>90</v>
      </c>
      <c r="CJ517" s="91" t="s">
        <v>313</v>
      </c>
      <c r="CK517" s="89"/>
      <c r="CL517" s="91" t="str">
        <f t="shared" ca="1" si="7"/>
        <v>126 Tahun 0 Bulan 23 Hari</v>
      </c>
      <c r="CM517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 Kopo RT/RW  Desa/Kelurahan Babakan Asih Kecamatan Bojongloa Kaler Bandung Jawabarat </v>
      </c>
    </row>
    <row r="518" spans="1:91" ht="24.95" hidden="1" customHeight="1">
      <c r="A518" s="89">
        <f>SUBTOTAL(3,N$8:Table2[[#This Row],[Nama lengkap]])</f>
        <v>472</v>
      </c>
      <c r="B518" s="58" t="s">
        <v>9912</v>
      </c>
      <c r="C518" s="89"/>
      <c r="D518" s="89"/>
      <c r="E518" s="89"/>
      <c r="F518" s="89"/>
      <c r="G518" s="166"/>
      <c r="H518" s="32"/>
      <c r="I518" s="90"/>
      <c r="J518" s="32"/>
      <c r="K518" s="32"/>
      <c r="L518" s="32"/>
      <c r="M518" s="89"/>
      <c r="N518" s="91" t="s">
        <v>9084</v>
      </c>
      <c r="O518" s="24"/>
      <c r="P518" s="90"/>
      <c r="Q518" s="90" t="s">
        <v>9436</v>
      </c>
      <c r="R518" s="91" t="s">
        <v>7144</v>
      </c>
      <c r="S518" s="101"/>
      <c r="T518" s="142"/>
      <c r="U518" s="89"/>
      <c r="V518" s="89"/>
      <c r="W518" s="141"/>
      <c r="X518" s="92"/>
      <c r="Y518" s="92"/>
      <c r="Z518" s="92"/>
      <c r="AA518" s="92" t="s">
        <v>96</v>
      </c>
      <c r="AB518" s="92"/>
      <c r="AC518" s="92"/>
      <c r="AD518" s="92"/>
      <c r="AE518" s="93" t="s">
        <v>9342</v>
      </c>
      <c r="AF518" s="91"/>
      <c r="AG518" s="91" t="s">
        <v>9540</v>
      </c>
      <c r="AH518" s="91"/>
      <c r="AI518" s="92"/>
      <c r="AJ518" s="101"/>
      <c r="AK518" s="90" t="s">
        <v>6942</v>
      </c>
      <c r="AL518" s="93" t="s">
        <v>103</v>
      </c>
      <c r="AM518" s="91"/>
      <c r="AN518" s="93"/>
      <c r="AO518" s="92"/>
      <c r="AP518" s="93" t="s">
        <v>9207</v>
      </c>
      <c r="AQ518" s="90"/>
      <c r="AR518" s="89" t="s">
        <v>6944</v>
      </c>
      <c r="AS518" s="93" t="s">
        <v>7150</v>
      </c>
      <c r="AT518" s="92" t="s">
        <v>6772</v>
      </c>
      <c r="AU518" s="92" t="s">
        <v>313</v>
      </c>
      <c r="AV518" s="92"/>
      <c r="AW518" s="92" t="s">
        <v>9637</v>
      </c>
      <c r="AX518" s="91"/>
      <c r="AY518" s="91"/>
      <c r="AZ518" s="127"/>
      <c r="BA518" s="143" t="s">
        <v>6946</v>
      </c>
      <c r="BB518" s="101" t="s">
        <v>216</v>
      </c>
      <c r="BC518" s="93"/>
      <c r="BD518" s="143"/>
      <c r="BE518" s="92"/>
      <c r="BF518" s="67"/>
      <c r="BG518" s="93" t="s">
        <v>9207</v>
      </c>
      <c r="BH518" s="93"/>
      <c r="BI518" s="91" t="s">
        <v>6944</v>
      </c>
      <c r="BJ518" s="91" t="s">
        <v>7150</v>
      </c>
      <c r="BK518" s="93" t="s">
        <v>6772</v>
      </c>
      <c r="BL518" s="91" t="s">
        <v>313</v>
      </c>
      <c r="BM518" s="92"/>
      <c r="BN518" s="64"/>
      <c r="BO518" s="92"/>
      <c r="BP518" s="92"/>
      <c r="BQ518" s="136"/>
      <c r="BR518" s="93"/>
      <c r="BS518" s="92"/>
      <c r="BT518" s="93"/>
      <c r="BU518" s="93"/>
      <c r="BV518" s="92"/>
      <c r="BW518" s="92"/>
      <c r="BX518" s="93"/>
      <c r="BY518" s="92"/>
      <c r="BZ518" s="92"/>
      <c r="CA518" s="93"/>
      <c r="CB518" s="92"/>
      <c r="CC518" s="92"/>
      <c r="CD518" s="92"/>
      <c r="CE518" s="64" t="s">
        <v>9207</v>
      </c>
      <c r="CF518" s="67"/>
      <c r="CG518" s="40" t="s">
        <v>6944</v>
      </c>
      <c r="CH518" s="92" t="s">
        <v>7150</v>
      </c>
      <c r="CI518" s="91" t="s">
        <v>6772</v>
      </c>
      <c r="CJ518" s="91" t="s">
        <v>313</v>
      </c>
      <c r="CK518" s="89"/>
      <c r="CL518" s="91" t="str">
        <f t="shared" ca="1" si="7"/>
        <v>126 Tahun 0 Bulan 23 Hari</v>
      </c>
      <c r="CM518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Linkg Kaum No 11 RT/RW  Desa/Kelurahan Regol wetan Kecamatan Sumedang Selatan  sumedang Jawabarat </v>
      </c>
    </row>
    <row r="519" spans="1:91" ht="24.95" hidden="1" customHeight="1">
      <c r="A519" s="89">
        <f>SUBTOTAL(3,N$8:Table2[[#This Row],[Nama lengkap]])</f>
        <v>472</v>
      </c>
      <c r="B519" s="58" t="s">
        <v>9912</v>
      </c>
      <c r="C519" s="89"/>
      <c r="D519" s="89"/>
      <c r="E519" s="89"/>
      <c r="F519" s="89"/>
      <c r="G519" s="166"/>
      <c r="H519" s="32"/>
      <c r="I519" s="90"/>
      <c r="J519" s="32"/>
      <c r="K519" s="32"/>
      <c r="L519" s="32"/>
      <c r="M519" s="89"/>
      <c r="N519" s="91" t="s">
        <v>9071</v>
      </c>
      <c r="O519" s="24"/>
      <c r="P519" s="90"/>
      <c r="Q519" s="90" t="s">
        <v>9424</v>
      </c>
      <c r="R519" s="91" t="s">
        <v>122</v>
      </c>
      <c r="S519" s="101"/>
      <c r="T519" s="142"/>
      <c r="U519" s="89"/>
      <c r="V519" s="89"/>
      <c r="W519" s="141"/>
      <c r="X519" s="92"/>
      <c r="Y519" s="92"/>
      <c r="Z519" s="92"/>
      <c r="AA519" s="92" t="s">
        <v>4181</v>
      </c>
      <c r="AB519" s="92"/>
      <c r="AC519" s="92"/>
      <c r="AD519" s="92"/>
      <c r="AE519" s="93" t="s">
        <v>9332</v>
      </c>
      <c r="AF519" s="91"/>
      <c r="AG519" s="91" t="s">
        <v>8660</v>
      </c>
      <c r="AH519" s="91"/>
      <c r="AI519" s="92"/>
      <c r="AJ519" s="101"/>
      <c r="AK519" s="90" t="s">
        <v>9732</v>
      </c>
      <c r="AL519" s="93" t="s">
        <v>114</v>
      </c>
      <c r="AM519" s="91"/>
      <c r="AN519" s="93"/>
      <c r="AO519" s="92"/>
      <c r="AP519" s="93" t="s">
        <v>9193</v>
      </c>
      <c r="AQ519" s="90"/>
      <c r="AR519" s="89" t="s">
        <v>7067</v>
      </c>
      <c r="AS519" s="93" t="s">
        <v>134</v>
      </c>
      <c r="AT519" s="92" t="s">
        <v>122</v>
      </c>
      <c r="AU519" s="92" t="s">
        <v>111</v>
      </c>
      <c r="AV519" s="92"/>
      <c r="AW519" s="92" t="s">
        <v>8157</v>
      </c>
      <c r="AX519" s="91"/>
      <c r="AY519" s="91"/>
      <c r="AZ519" s="127"/>
      <c r="BA519" s="143" t="s">
        <v>9823</v>
      </c>
      <c r="BB519" s="101" t="s">
        <v>216</v>
      </c>
      <c r="BC519" s="93"/>
      <c r="BD519" s="143"/>
      <c r="BE519" s="92"/>
      <c r="BF519" s="67"/>
      <c r="BG519" s="93" t="s">
        <v>9193</v>
      </c>
      <c r="BH519" s="93"/>
      <c r="BI519" s="91" t="s">
        <v>7067</v>
      </c>
      <c r="BJ519" s="91" t="s">
        <v>134</v>
      </c>
      <c r="BK519" s="93" t="s">
        <v>122</v>
      </c>
      <c r="BL519" s="91" t="s">
        <v>111</v>
      </c>
      <c r="BM519" s="92"/>
      <c r="BN519" s="64"/>
      <c r="BO519" s="92"/>
      <c r="BP519" s="92"/>
      <c r="BQ519" s="136"/>
      <c r="BR519" s="93"/>
      <c r="BS519" s="92"/>
      <c r="BT519" s="93"/>
      <c r="BU519" s="93"/>
      <c r="BV519" s="92"/>
      <c r="BW519" s="92"/>
      <c r="BX519" s="93"/>
      <c r="BY519" s="92"/>
      <c r="BZ519" s="92"/>
      <c r="CA519" s="93"/>
      <c r="CB519" s="92"/>
      <c r="CC519" s="92"/>
      <c r="CD519" s="92"/>
      <c r="CE519" s="64" t="s">
        <v>9193</v>
      </c>
      <c r="CF519" s="67"/>
      <c r="CG519" s="40" t="s">
        <v>7067</v>
      </c>
      <c r="CH519" s="92" t="s">
        <v>134</v>
      </c>
      <c r="CI519" s="91" t="s">
        <v>122</v>
      </c>
      <c r="CJ519" s="91" t="s">
        <v>111</v>
      </c>
      <c r="CK519" s="89"/>
      <c r="CL519" s="91" t="str">
        <f t="shared" ca="1" si="7"/>
        <v>126 Tahun 0 Bulan 23 Hari</v>
      </c>
      <c r="CM519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Lingk Cipadung RT/RW  Desa/Kelurahan Kotakaler Kecamatan Sumedang Utara Sumedang Jawa Barat </v>
      </c>
    </row>
    <row r="520" spans="1:91" ht="24.95" hidden="1" customHeight="1">
      <c r="A520" s="89">
        <f>SUBTOTAL(3,N$8:Table2[[#This Row],[Nama lengkap]])</f>
        <v>472</v>
      </c>
      <c r="B520" s="58" t="s">
        <v>9912</v>
      </c>
      <c r="C520" s="89"/>
      <c r="D520" s="89"/>
      <c r="E520" s="89"/>
      <c r="F520" s="89"/>
      <c r="G520" s="166"/>
      <c r="H520" s="32"/>
      <c r="I520" s="90"/>
      <c r="J520" s="32"/>
      <c r="K520" s="32"/>
      <c r="L520" s="32"/>
      <c r="M520" s="89"/>
      <c r="N520" s="91" t="s">
        <v>9072</v>
      </c>
      <c r="O520" s="24"/>
      <c r="P520" s="90"/>
      <c r="Q520" s="90" t="s">
        <v>9425</v>
      </c>
      <c r="R520" s="91" t="s">
        <v>90</v>
      </c>
      <c r="S520" s="101"/>
      <c r="T520" s="142"/>
      <c r="U520" s="89"/>
      <c r="V520" s="89"/>
      <c r="W520" s="141"/>
      <c r="X520" s="92" t="s">
        <v>123</v>
      </c>
      <c r="Y520" s="92"/>
      <c r="Z520" s="92"/>
      <c r="AA520" s="92" t="s">
        <v>96</v>
      </c>
      <c r="AB520" s="92"/>
      <c r="AC520" s="92"/>
      <c r="AD520" s="92"/>
      <c r="AE520" s="93" t="s">
        <v>9333</v>
      </c>
      <c r="AF520" s="91"/>
      <c r="AG520" s="91" t="s">
        <v>9530</v>
      </c>
      <c r="AH520" s="91"/>
      <c r="AI520" s="92"/>
      <c r="AJ520" s="101"/>
      <c r="AK520" s="90" t="s">
        <v>3679</v>
      </c>
      <c r="AL520" s="93" t="s">
        <v>114</v>
      </c>
      <c r="AM520" s="91"/>
      <c r="AN520" s="93"/>
      <c r="AO520" s="92"/>
      <c r="AP520" s="93" t="s">
        <v>9194</v>
      </c>
      <c r="AQ520" s="90"/>
      <c r="AR520" s="89" t="s">
        <v>7132</v>
      </c>
      <c r="AS520" s="93" t="s">
        <v>507</v>
      </c>
      <c r="AT520" s="92" t="s">
        <v>90</v>
      </c>
      <c r="AU520" s="92" t="s">
        <v>111</v>
      </c>
      <c r="AV520" s="92"/>
      <c r="AW520" s="92" t="s">
        <v>8065</v>
      </c>
      <c r="AX520" s="91"/>
      <c r="AY520" s="91"/>
      <c r="AZ520" s="127"/>
      <c r="BA520" s="143" t="s">
        <v>3682</v>
      </c>
      <c r="BB520" s="101" t="s">
        <v>216</v>
      </c>
      <c r="BC520" s="93"/>
      <c r="BD520" s="143"/>
      <c r="BE520" s="92"/>
      <c r="BF520" s="67"/>
      <c r="BG520" s="93" t="s">
        <v>9194</v>
      </c>
      <c r="BH520" s="93"/>
      <c r="BI520" s="91" t="s">
        <v>7132</v>
      </c>
      <c r="BJ520" s="91" t="s">
        <v>507</v>
      </c>
      <c r="BK520" s="93" t="s">
        <v>90</v>
      </c>
      <c r="BL520" s="91" t="s">
        <v>111</v>
      </c>
      <c r="BM520" s="92"/>
      <c r="BN520" s="64"/>
      <c r="BO520" s="92"/>
      <c r="BP520" s="92"/>
      <c r="BQ520" s="136"/>
      <c r="BR520" s="93"/>
      <c r="BS520" s="92"/>
      <c r="BT520" s="93"/>
      <c r="BU520" s="93"/>
      <c r="BV520" s="92"/>
      <c r="BW520" s="92"/>
      <c r="BX520" s="93"/>
      <c r="BY520" s="92"/>
      <c r="BZ520" s="92"/>
      <c r="CA520" s="93"/>
      <c r="CB520" s="92"/>
      <c r="CC520" s="92"/>
      <c r="CD520" s="92"/>
      <c r="CE520" s="64" t="s">
        <v>9194</v>
      </c>
      <c r="CF520" s="67"/>
      <c r="CG520" s="40" t="s">
        <v>7132</v>
      </c>
      <c r="CH520" s="92" t="s">
        <v>507</v>
      </c>
      <c r="CI520" s="91" t="s">
        <v>90</v>
      </c>
      <c r="CJ520" s="91" t="s">
        <v>111</v>
      </c>
      <c r="CK520" s="89"/>
      <c r="CL520" s="91" t="str">
        <f t="shared" ref="CL520:CL583" ca="1" si="8">DATEDIF(S520,NOW(),"Y")&amp;" Tahun " &amp;DATEDIF(S520,NOW(),"YM")&amp;" Bulan " &amp;DATEDIF(S520,NOW(),"MD")&amp;" Hari"</f>
        <v>126 Tahun 0 Bulan 23 Hari</v>
      </c>
      <c r="CM520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kamasan  RT/RW  Desa/Kelurahan Kamasan Kecamatan Banjaran Bandung Jawa Barat </v>
      </c>
    </row>
    <row r="521" spans="1:91" ht="24.95" hidden="1" customHeight="1">
      <c r="A521" s="89">
        <f>SUBTOTAL(3,N$8:Table2[[#This Row],[Nama lengkap]])</f>
        <v>472</v>
      </c>
      <c r="B521" s="58" t="s">
        <v>9912</v>
      </c>
      <c r="C521" s="89"/>
      <c r="D521" s="89"/>
      <c r="E521" s="89"/>
      <c r="F521" s="89"/>
      <c r="G521" s="166"/>
      <c r="H521" s="32"/>
      <c r="I521" s="90"/>
      <c r="J521" s="32"/>
      <c r="K521" s="32"/>
      <c r="L521" s="32"/>
      <c r="M521" s="89"/>
      <c r="N521" s="91" t="s">
        <v>9085</v>
      </c>
      <c r="O521" s="24"/>
      <c r="P521" s="90"/>
      <c r="Q521" s="90" t="s">
        <v>9437</v>
      </c>
      <c r="R521" s="91" t="s">
        <v>122</v>
      </c>
      <c r="S521" s="101"/>
      <c r="T521" s="142"/>
      <c r="U521" s="89"/>
      <c r="V521" s="89"/>
      <c r="W521" s="141"/>
      <c r="X521" s="92" t="s">
        <v>303</v>
      </c>
      <c r="Y521" s="92"/>
      <c r="Z521" s="92"/>
      <c r="AA521" s="92" t="s">
        <v>1141</v>
      </c>
      <c r="AB521" s="92"/>
      <c r="AC521" s="92"/>
      <c r="AD521" s="92"/>
      <c r="AE521" s="93" t="s">
        <v>9343</v>
      </c>
      <c r="AF521" s="91"/>
      <c r="AG521" s="91" t="s">
        <v>9541</v>
      </c>
      <c r="AH521" s="91"/>
      <c r="AI521" s="92"/>
      <c r="AJ521" s="101"/>
      <c r="AK521" s="90" t="s">
        <v>9740</v>
      </c>
      <c r="AL521" s="93" t="s">
        <v>8255</v>
      </c>
      <c r="AM521" s="91"/>
      <c r="AN521" s="93"/>
      <c r="AO521" s="92"/>
      <c r="AP521" s="93" t="s">
        <v>9208</v>
      </c>
      <c r="AQ521" s="90"/>
      <c r="AR521" s="89" t="s">
        <v>9209</v>
      </c>
      <c r="AS521" s="93" t="s">
        <v>561</v>
      </c>
      <c r="AT521" s="92" t="s">
        <v>6772</v>
      </c>
      <c r="AU521" s="92" t="s">
        <v>313</v>
      </c>
      <c r="AV521" s="92"/>
      <c r="AW521" s="92" t="s">
        <v>9638</v>
      </c>
      <c r="AX521" s="91"/>
      <c r="AY521" s="91"/>
      <c r="AZ521" s="127"/>
      <c r="BA521" s="143" t="s">
        <v>9833</v>
      </c>
      <c r="BB521" s="101" t="s">
        <v>216</v>
      </c>
      <c r="BC521" s="93"/>
      <c r="BD521" s="143"/>
      <c r="BE521" s="92"/>
      <c r="BF521" s="67"/>
      <c r="BG521" s="93" t="s">
        <v>9208</v>
      </c>
      <c r="BH521" s="93"/>
      <c r="BI521" s="91" t="s">
        <v>9209</v>
      </c>
      <c r="BJ521" s="91" t="s">
        <v>561</v>
      </c>
      <c r="BK521" s="93" t="s">
        <v>6772</v>
      </c>
      <c r="BL521" s="91" t="s">
        <v>313</v>
      </c>
      <c r="BM521" s="92"/>
      <c r="BN521" s="64"/>
      <c r="BO521" s="92"/>
      <c r="BP521" s="92"/>
      <c r="BQ521" s="136"/>
      <c r="BR521" s="93"/>
      <c r="BS521" s="92"/>
      <c r="BT521" s="93"/>
      <c r="BU521" s="93"/>
      <c r="BV521" s="92"/>
      <c r="BW521" s="92"/>
      <c r="BX521" s="93"/>
      <c r="BY521" s="92"/>
      <c r="BZ521" s="92"/>
      <c r="CA521" s="93"/>
      <c r="CB521" s="92"/>
      <c r="CC521" s="92"/>
      <c r="CD521" s="92"/>
      <c r="CE521" s="64" t="s">
        <v>9208</v>
      </c>
      <c r="CF521" s="67"/>
      <c r="CG521" s="40" t="s">
        <v>9209</v>
      </c>
      <c r="CH521" s="92" t="s">
        <v>561</v>
      </c>
      <c r="CI521" s="91" t="s">
        <v>6772</v>
      </c>
      <c r="CJ521" s="91" t="s">
        <v>313</v>
      </c>
      <c r="CK521" s="89"/>
      <c r="CL521" s="91" t="str">
        <f t="shared" ca="1" si="8"/>
        <v>126 Tahun 0 Bulan 23 Hari</v>
      </c>
      <c r="CM521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 Sayang Rt 02/07 RT/RW  Desa/Kelurahan Sayanng Kecamatan Jatinangor sumedang Jawabarat </v>
      </c>
    </row>
    <row r="522" spans="1:91" ht="24.95" hidden="1" customHeight="1">
      <c r="A522" s="89">
        <f>SUBTOTAL(3,N$8:Table2[[#This Row],[Nama lengkap]])</f>
        <v>472</v>
      </c>
      <c r="B522" s="58" t="s">
        <v>9912</v>
      </c>
      <c r="C522" s="89"/>
      <c r="D522" s="89"/>
      <c r="E522" s="89"/>
      <c r="F522" s="89"/>
      <c r="G522" s="166"/>
      <c r="H522" s="32"/>
      <c r="I522" s="90"/>
      <c r="J522" s="32"/>
      <c r="K522" s="32"/>
      <c r="L522" s="32"/>
      <c r="M522" s="89"/>
      <c r="N522" s="91" t="s">
        <v>9087</v>
      </c>
      <c r="O522" s="24"/>
      <c r="P522" s="90"/>
      <c r="Q522" s="90" t="s">
        <v>9439</v>
      </c>
      <c r="R522" s="91" t="s">
        <v>122</v>
      </c>
      <c r="S522" s="101"/>
      <c r="T522" s="142"/>
      <c r="U522" s="89"/>
      <c r="V522" s="89"/>
      <c r="W522" s="141"/>
      <c r="X522" s="92"/>
      <c r="Y522" s="92"/>
      <c r="Z522" s="92"/>
      <c r="AA522" s="92" t="s">
        <v>96</v>
      </c>
      <c r="AB522" s="92"/>
      <c r="AC522" s="92"/>
      <c r="AD522" s="92"/>
      <c r="AE522" s="93" t="s">
        <v>9344</v>
      </c>
      <c r="AF522" s="91"/>
      <c r="AG522" s="91" t="s">
        <v>9542</v>
      </c>
      <c r="AH522" s="91"/>
      <c r="AI522" s="92"/>
      <c r="AJ522" s="101"/>
      <c r="AK522" s="90" t="s">
        <v>9742</v>
      </c>
      <c r="AL522" s="93" t="s">
        <v>914</v>
      </c>
      <c r="AM522" s="91"/>
      <c r="AN522" s="93"/>
      <c r="AO522" s="92"/>
      <c r="AP522" s="93" t="s">
        <v>7660</v>
      </c>
      <c r="AQ522" s="90"/>
      <c r="AR522" s="89" t="s">
        <v>7161</v>
      </c>
      <c r="AS522" s="93" t="s">
        <v>593</v>
      </c>
      <c r="AT522" s="92" t="s">
        <v>6772</v>
      </c>
      <c r="AU522" s="92" t="s">
        <v>313</v>
      </c>
      <c r="AV522" s="92"/>
      <c r="AW522" s="92" t="s">
        <v>9639</v>
      </c>
      <c r="AX522" s="91"/>
      <c r="AY522" s="91"/>
      <c r="AZ522" s="127"/>
      <c r="BA522" s="143" t="s">
        <v>9834</v>
      </c>
      <c r="BB522" s="101" t="s">
        <v>216</v>
      </c>
      <c r="BC522" s="93"/>
      <c r="BD522" s="143"/>
      <c r="BE522" s="92"/>
      <c r="BF522" s="67"/>
      <c r="BG522" s="93" t="s">
        <v>7660</v>
      </c>
      <c r="BH522" s="93"/>
      <c r="BI522" s="91" t="s">
        <v>7161</v>
      </c>
      <c r="BJ522" s="91" t="s">
        <v>593</v>
      </c>
      <c r="BK522" s="93" t="s">
        <v>6772</v>
      </c>
      <c r="BL522" s="91" t="s">
        <v>313</v>
      </c>
      <c r="BM522" s="92"/>
      <c r="BN522" s="64"/>
      <c r="BO522" s="92"/>
      <c r="BP522" s="92"/>
      <c r="BQ522" s="136"/>
      <c r="BR522" s="93"/>
      <c r="BS522" s="92"/>
      <c r="BT522" s="93"/>
      <c r="BU522" s="93"/>
      <c r="BV522" s="92"/>
      <c r="BW522" s="92"/>
      <c r="BX522" s="93"/>
      <c r="BY522" s="92"/>
      <c r="BZ522" s="92"/>
      <c r="CA522" s="93"/>
      <c r="CB522" s="92"/>
      <c r="CC522" s="92"/>
      <c r="CD522" s="92"/>
      <c r="CE522" s="64" t="s">
        <v>7660</v>
      </c>
      <c r="CF522" s="67"/>
      <c r="CG522" s="40" t="s">
        <v>7161</v>
      </c>
      <c r="CH522" s="92" t="s">
        <v>593</v>
      </c>
      <c r="CI522" s="91" t="s">
        <v>6772</v>
      </c>
      <c r="CJ522" s="91" t="s">
        <v>313</v>
      </c>
      <c r="CK522" s="89"/>
      <c r="CL522" s="91" t="str">
        <f t="shared" ca="1" si="8"/>
        <v>126 Tahun 0 Bulan 23 Hari</v>
      </c>
      <c r="CM522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 Mariuk RT/RW  Desa/Kelurahan Margaluyu Kecamatan Tanjungsari sumedang Jawabarat </v>
      </c>
    </row>
    <row r="523" spans="1:91" ht="24.95" hidden="1" customHeight="1">
      <c r="A523" s="89">
        <f>SUBTOTAL(3,N$8:Table2[[#This Row],[Nama lengkap]])</f>
        <v>472</v>
      </c>
      <c r="B523" s="58" t="s">
        <v>9912</v>
      </c>
      <c r="C523" s="89"/>
      <c r="D523" s="89"/>
      <c r="E523" s="89"/>
      <c r="F523" s="89"/>
      <c r="G523" s="166"/>
      <c r="H523" s="32"/>
      <c r="I523" s="90"/>
      <c r="J523" s="32"/>
      <c r="K523" s="32"/>
      <c r="L523" s="32"/>
      <c r="M523" s="89"/>
      <c r="N523" s="91" t="s">
        <v>9073</v>
      </c>
      <c r="O523" s="24"/>
      <c r="P523" s="90"/>
      <c r="Q523" s="90"/>
      <c r="R523" s="91"/>
      <c r="S523" s="101"/>
      <c r="T523" s="142"/>
      <c r="U523" s="89"/>
      <c r="V523" s="89"/>
      <c r="W523" s="141"/>
      <c r="X523" s="92"/>
      <c r="Y523" s="92"/>
      <c r="Z523" s="92"/>
      <c r="AA523" s="92"/>
      <c r="AB523" s="92"/>
      <c r="AC523" s="92"/>
      <c r="AD523" s="92"/>
      <c r="AE523" s="93"/>
      <c r="AF523" s="91"/>
      <c r="AG523" s="91"/>
      <c r="AH523" s="91"/>
      <c r="AI523" s="92"/>
      <c r="AJ523" s="101"/>
      <c r="AK523" s="90"/>
      <c r="AL523" s="93"/>
      <c r="AM523" s="91"/>
      <c r="AN523" s="93"/>
      <c r="AO523" s="92"/>
      <c r="AP523" s="93"/>
      <c r="AQ523" s="90"/>
      <c r="AR523" s="89"/>
      <c r="AS523" s="93"/>
      <c r="AT523" s="92"/>
      <c r="AU523" s="92"/>
      <c r="AV523" s="92"/>
      <c r="AW523" s="92"/>
      <c r="AX523" s="91"/>
      <c r="AY523" s="91"/>
      <c r="AZ523" s="127"/>
      <c r="BA523" s="143"/>
      <c r="BB523" s="101"/>
      <c r="BC523" s="93"/>
      <c r="BD523" s="143"/>
      <c r="BE523" s="92"/>
      <c r="BF523" s="67"/>
      <c r="BG523" s="93"/>
      <c r="BH523" s="93"/>
      <c r="BI523" s="91"/>
      <c r="BJ523" s="91"/>
      <c r="BK523" s="93"/>
      <c r="BL523" s="91"/>
      <c r="BM523" s="92"/>
      <c r="BN523" s="64"/>
      <c r="BO523" s="92"/>
      <c r="BP523" s="92"/>
      <c r="BQ523" s="136"/>
      <c r="BR523" s="93"/>
      <c r="BS523" s="92"/>
      <c r="BT523" s="93"/>
      <c r="BU523" s="93"/>
      <c r="BV523" s="92"/>
      <c r="BW523" s="92"/>
      <c r="BX523" s="93"/>
      <c r="BY523" s="92"/>
      <c r="BZ523" s="92"/>
      <c r="CA523" s="93"/>
      <c r="CB523" s="92"/>
      <c r="CC523" s="92"/>
      <c r="CD523" s="92"/>
      <c r="CE523" s="64"/>
      <c r="CF523" s="67"/>
      <c r="CG523" s="40"/>
      <c r="CH523" s="92"/>
      <c r="CI523" s="91"/>
      <c r="CJ523" s="91"/>
      <c r="CK523" s="89"/>
      <c r="CL523" s="91" t="str">
        <f t="shared" ca="1" si="8"/>
        <v>126 Tahun 0 Bulan 23 Hari</v>
      </c>
      <c r="CM523" s="160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RT/RW  Desa/Kelurahan  Kecamatan    </v>
      </c>
    </row>
    <row r="524" spans="1:91" ht="24.95" hidden="1" customHeight="1">
      <c r="A524" s="58">
        <f>SUBTOTAL(3,N$8:Table2[[#This Row],[Nama lengkap]])</f>
        <v>472</v>
      </c>
      <c r="B524" s="58" t="s">
        <v>5032</v>
      </c>
      <c r="C524" s="58">
        <v>2024</v>
      </c>
      <c r="D524" s="58"/>
      <c r="E524" s="58"/>
      <c r="F524" s="58" t="s">
        <v>87</v>
      </c>
      <c r="G524" s="165"/>
      <c r="H524" s="32"/>
      <c r="I524" s="32"/>
      <c r="J524" s="32"/>
      <c r="K524" s="32"/>
      <c r="L524" s="32"/>
      <c r="M524" s="58">
        <v>24250054</v>
      </c>
      <c r="N524" s="40" t="s">
        <v>5814</v>
      </c>
      <c r="O524" s="40"/>
      <c r="P524" s="32" t="s">
        <v>373</v>
      </c>
      <c r="Q524" s="32" t="s">
        <v>374</v>
      </c>
      <c r="R524" s="67" t="s">
        <v>90</v>
      </c>
      <c r="S524" s="69">
        <v>39841</v>
      </c>
      <c r="T524" s="47" t="s">
        <v>92</v>
      </c>
      <c r="U524" s="58">
        <v>2</v>
      </c>
      <c r="V524" s="58">
        <v>1</v>
      </c>
      <c r="W524" s="47" t="s">
        <v>207</v>
      </c>
      <c r="X524" s="64" t="s">
        <v>142</v>
      </c>
      <c r="Y524" s="64" t="s">
        <v>143</v>
      </c>
      <c r="Z524" s="64" t="s">
        <v>270</v>
      </c>
      <c r="AA524" s="64" t="s">
        <v>159</v>
      </c>
      <c r="AB524" s="64" t="s">
        <v>97</v>
      </c>
      <c r="AC524" s="64" t="s">
        <v>98</v>
      </c>
      <c r="AD524" s="64" t="s">
        <v>98</v>
      </c>
      <c r="AE524" s="67" t="s">
        <v>375</v>
      </c>
      <c r="AF524" s="64" t="s">
        <v>8697</v>
      </c>
      <c r="AG524" s="64" t="s">
        <v>8697</v>
      </c>
      <c r="AH524" s="64" t="s">
        <v>101</v>
      </c>
      <c r="AI524" s="64" t="s">
        <v>90</v>
      </c>
      <c r="AJ524" s="69">
        <v>28456</v>
      </c>
      <c r="AK524" s="67" t="s">
        <v>377</v>
      </c>
      <c r="AL524" s="67" t="s">
        <v>289</v>
      </c>
      <c r="AM524" s="64" t="s">
        <v>149</v>
      </c>
      <c r="AN524" s="67" t="s">
        <v>378</v>
      </c>
      <c r="AO524" s="67" t="s">
        <v>315</v>
      </c>
      <c r="AP524" s="64" t="s">
        <v>379</v>
      </c>
      <c r="AQ524" s="32" t="s">
        <v>380</v>
      </c>
      <c r="AR524" s="67" t="s">
        <v>381</v>
      </c>
      <c r="AS524" s="64" t="s">
        <v>382</v>
      </c>
      <c r="AT524" s="64" t="s">
        <v>141</v>
      </c>
      <c r="AU524" s="64" t="s">
        <v>156</v>
      </c>
      <c r="AV524" s="64">
        <v>40382</v>
      </c>
      <c r="AW524" s="64" t="s">
        <v>8195</v>
      </c>
      <c r="AX524" s="64" t="s">
        <v>101</v>
      </c>
      <c r="AY524" s="64" t="s">
        <v>90</v>
      </c>
      <c r="AZ524" s="125">
        <v>30964</v>
      </c>
      <c r="BA524" s="67" t="s">
        <v>383</v>
      </c>
      <c r="BB524" s="67" t="s">
        <v>180</v>
      </c>
      <c r="BC524" s="64" t="s">
        <v>149</v>
      </c>
      <c r="BD524" s="67" t="s">
        <v>384</v>
      </c>
      <c r="BE524" s="67" t="s">
        <v>98</v>
      </c>
      <c r="BF524" s="67"/>
      <c r="BG524" s="64" t="s">
        <v>379</v>
      </c>
      <c r="BH524" s="67" t="s">
        <v>380</v>
      </c>
      <c r="BI524" s="67" t="s">
        <v>381</v>
      </c>
      <c r="BJ524" s="40" t="s">
        <v>382</v>
      </c>
      <c r="BK524" s="64" t="s">
        <v>141</v>
      </c>
      <c r="BL524" s="64" t="s">
        <v>156</v>
      </c>
      <c r="BM524" s="64">
        <v>40382</v>
      </c>
      <c r="BN524" s="64" t="s">
        <v>161</v>
      </c>
      <c r="BO524" s="64" t="s">
        <v>376</v>
      </c>
      <c r="BP524" s="64" t="s">
        <v>141</v>
      </c>
      <c r="BQ524" s="135">
        <v>28456</v>
      </c>
      <c r="BR524" s="67">
        <v>3204332711770000</v>
      </c>
      <c r="BS524" s="67" t="s">
        <v>211</v>
      </c>
      <c r="BT524" s="64" t="s">
        <v>149</v>
      </c>
      <c r="BU524" s="67">
        <v>82117447046</v>
      </c>
      <c r="BV524" s="67" t="s">
        <v>266</v>
      </c>
      <c r="BW524" s="64" t="s">
        <v>385</v>
      </c>
      <c r="BX524" s="67">
        <v>45629</v>
      </c>
      <c r="BY524" s="67" t="s">
        <v>381</v>
      </c>
      <c r="BZ524" s="64" t="s">
        <v>382</v>
      </c>
      <c r="CA524" s="64" t="s">
        <v>141</v>
      </c>
      <c r="CB524" s="64" t="s">
        <v>156</v>
      </c>
      <c r="CC524" s="64">
        <v>40382</v>
      </c>
      <c r="CD524" s="64" t="s">
        <v>164</v>
      </c>
      <c r="CE524" s="64" t="s">
        <v>7620</v>
      </c>
      <c r="CF524" s="67" t="s">
        <v>380</v>
      </c>
      <c r="CG524" s="64" t="s">
        <v>7306</v>
      </c>
      <c r="CH524" s="64" t="s">
        <v>7307</v>
      </c>
      <c r="CI524" s="64" t="s">
        <v>90</v>
      </c>
      <c r="CJ524" s="64" t="s">
        <v>111</v>
      </c>
      <c r="CK524" s="58">
        <v>40382</v>
      </c>
      <c r="CL524" s="64" t="str">
        <f t="shared" ca="1" si="8"/>
        <v>16 Tahun 11 Bulan 26 Hari</v>
      </c>
      <c r="CM52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Kp.Sukamanah RT/RW 03/12 Desa/Kelurahan Majakerta Kecamatan Majalaya Bandung Jawa Barat 40382</v>
      </c>
    </row>
    <row r="525" spans="1:91" ht="24.95" hidden="1" customHeight="1">
      <c r="A525" s="58">
        <f>SUBTOTAL(3,N$8:Table2[[#This Row],[Nama lengkap]])</f>
        <v>472</v>
      </c>
      <c r="B525" s="58" t="s">
        <v>5032</v>
      </c>
      <c r="C525" s="58">
        <v>2022</v>
      </c>
      <c r="D525" s="58"/>
      <c r="E525" s="58">
        <v>1</v>
      </c>
      <c r="F525" s="58" t="s">
        <v>582</v>
      </c>
      <c r="G525" s="165"/>
      <c r="H525" s="32"/>
      <c r="I525" s="32"/>
      <c r="J525" s="32"/>
      <c r="K525" s="32"/>
      <c r="L525" s="32"/>
      <c r="M525" s="58">
        <v>22230195</v>
      </c>
      <c r="N525" s="24" t="s">
        <v>5838</v>
      </c>
      <c r="O525" s="24"/>
      <c r="P525" s="25" t="s">
        <v>703</v>
      </c>
      <c r="Q525" s="25" t="s">
        <v>704</v>
      </c>
      <c r="R525" s="60" t="s">
        <v>236</v>
      </c>
      <c r="S525" s="61" t="s">
        <v>705</v>
      </c>
      <c r="T525" s="47" t="s">
        <v>92</v>
      </c>
      <c r="U525" s="47">
        <v>1</v>
      </c>
      <c r="V525" s="47">
        <v>2</v>
      </c>
      <c r="W525" s="47" t="s">
        <v>207</v>
      </c>
      <c r="X525" s="59" t="s">
        <v>123</v>
      </c>
      <c r="Y525" s="59" t="s">
        <v>706</v>
      </c>
      <c r="Z525" s="59" t="s">
        <v>707</v>
      </c>
      <c r="AA525" s="59" t="s">
        <v>96</v>
      </c>
      <c r="AB525" s="59" t="s">
        <v>689</v>
      </c>
      <c r="AC525" s="59" t="s">
        <v>208</v>
      </c>
      <c r="AD525" s="59" t="s">
        <v>208</v>
      </c>
      <c r="AE525" s="60" t="s">
        <v>708</v>
      </c>
      <c r="AF525" s="60" t="s">
        <v>8665</v>
      </c>
      <c r="AG525" s="59" t="s">
        <v>8665</v>
      </c>
      <c r="AH525" s="59" t="s">
        <v>691</v>
      </c>
      <c r="AI525" s="59" t="s">
        <v>236</v>
      </c>
      <c r="AJ525" s="61">
        <v>30901</v>
      </c>
      <c r="AK525" s="60" t="s">
        <v>710</v>
      </c>
      <c r="AL525" s="60" t="s">
        <v>114</v>
      </c>
      <c r="AM525" s="59" t="s">
        <v>700</v>
      </c>
      <c r="AN525" s="60"/>
      <c r="AO525" s="60"/>
      <c r="AP525" s="59" t="s">
        <v>711</v>
      </c>
      <c r="AQ525" s="25" t="s">
        <v>712</v>
      </c>
      <c r="AR525" s="60" t="s">
        <v>713</v>
      </c>
      <c r="AS525" s="59" t="s">
        <v>714</v>
      </c>
      <c r="AT525" s="59" t="s">
        <v>141</v>
      </c>
      <c r="AU525" s="59" t="s">
        <v>111</v>
      </c>
      <c r="AV525" s="62">
        <v>40286</v>
      </c>
      <c r="AW525" s="59" t="s">
        <v>8056</v>
      </c>
      <c r="AX525" s="59" t="s">
        <v>691</v>
      </c>
      <c r="AY525" s="59" t="s">
        <v>236</v>
      </c>
      <c r="AZ525" s="126" t="s">
        <v>715</v>
      </c>
      <c r="BA525" s="60" t="s">
        <v>716</v>
      </c>
      <c r="BB525" s="60" t="s">
        <v>845</v>
      </c>
      <c r="BC525" s="59" t="s">
        <v>693</v>
      </c>
      <c r="BD525" s="60"/>
      <c r="BE525" s="60"/>
      <c r="BF525" s="60"/>
      <c r="BG525" s="59" t="s">
        <v>717</v>
      </c>
      <c r="BH525" s="60" t="s">
        <v>712</v>
      </c>
      <c r="BI525" s="60" t="s">
        <v>713</v>
      </c>
      <c r="BJ525" s="24" t="s">
        <v>714</v>
      </c>
      <c r="BK525" s="59" t="s">
        <v>141</v>
      </c>
      <c r="BL525" s="59" t="s">
        <v>156</v>
      </c>
      <c r="BM525" s="24" t="s">
        <v>718</v>
      </c>
      <c r="BN525" s="24"/>
      <c r="BO525" s="59" t="s">
        <v>719</v>
      </c>
      <c r="BP525" s="59"/>
      <c r="BQ525" s="77"/>
      <c r="BR525" s="60"/>
      <c r="BS525" s="60"/>
      <c r="BT525" s="59"/>
      <c r="BU525" s="60"/>
      <c r="BV525" s="60"/>
      <c r="BW525" s="59"/>
      <c r="BX525" s="60"/>
      <c r="BY525" s="60"/>
      <c r="BZ525" s="59"/>
      <c r="CA525" s="59"/>
      <c r="CB525" s="59"/>
      <c r="CC525" s="59"/>
      <c r="CD525" s="59"/>
      <c r="CE525" s="59" t="s">
        <v>7713</v>
      </c>
      <c r="CF525" s="60" t="s">
        <v>712</v>
      </c>
      <c r="CG525" s="59" t="s">
        <v>7308</v>
      </c>
      <c r="CH525" s="59" t="s">
        <v>7082</v>
      </c>
      <c r="CI525" s="59" t="s">
        <v>90</v>
      </c>
      <c r="CJ525" s="59" t="s">
        <v>111</v>
      </c>
      <c r="CK525" s="47">
        <v>40286</v>
      </c>
      <c r="CL525" s="64" t="str">
        <f t="shared" ca="1" si="8"/>
        <v>18 Tahun 8 Bulan 28 Hari</v>
      </c>
      <c r="CM52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Jl.Rancabolang No .79 RT/RW 04/04 Desa/Kelurahan Sekejati Kecamatan Buahbatu Bandung Jawa Barat 40286</v>
      </c>
    </row>
    <row r="526" spans="1:91" ht="24.95" hidden="1" customHeight="1">
      <c r="A526" s="58">
        <f>SUBTOTAL(3,N$8:Table2[[#This Row],[Nama lengkap]])</f>
        <v>472</v>
      </c>
      <c r="B526" s="58" t="s">
        <v>5032</v>
      </c>
      <c r="C526" s="58">
        <v>2021</v>
      </c>
      <c r="D526" s="58"/>
      <c r="E526" s="58"/>
      <c r="F526" s="58" t="s">
        <v>979</v>
      </c>
      <c r="G526" s="165"/>
      <c r="H526" s="32"/>
      <c r="I526" s="32"/>
      <c r="J526" s="32"/>
      <c r="K526" s="32"/>
      <c r="L526" s="32"/>
      <c r="M526" s="58">
        <v>21220162</v>
      </c>
      <c r="N526" s="24" t="s">
        <v>8882</v>
      </c>
      <c r="O526" s="24"/>
      <c r="P526" s="25" t="s">
        <v>8976</v>
      </c>
      <c r="Q526" s="25" t="s">
        <v>1105</v>
      </c>
      <c r="R526" s="60" t="s">
        <v>90</v>
      </c>
      <c r="S526" s="61" t="s">
        <v>1106</v>
      </c>
      <c r="T526" s="47" t="s">
        <v>92</v>
      </c>
      <c r="U526" s="47">
        <v>1</v>
      </c>
      <c r="V526" s="47">
        <v>1</v>
      </c>
      <c r="W526" s="47" t="s">
        <v>207</v>
      </c>
      <c r="X526" s="59"/>
      <c r="Y526" s="63" t="s">
        <v>707</v>
      </c>
      <c r="Z526" s="59" t="s">
        <v>707</v>
      </c>
      <c r="AA526" s="63" t="s">
        <v>1107</v>
      </c>
      <c r="AB526" s="65" t="s">
        <v>689</v>
      </c>
      <c r="AC526" s="65" t="s">
        <v>208</v>
      </c>
      <c r="AD526" s="65" t="s">
        <v>208</v>
      </c>
      <c r="AE526" s="10" t="s">
        <v>1108</v>
      </c>
      <c r="AF526" s="11" t="s">
        <v>8698</v>
      </c>
      <c r="AG526" s="11" t="s">
        <v>8698</v>
      </c>
      <c r="AH526" s="65" t="s">
        <v>691</v>
      </c>
      <c r="AI526" s="11" t="s">
        <v>90</v>
      </c>
      <c r="AJ526" s="132" t="s">
        <v>1109</v>
      </c>
      <c r="AK526" s="10" t="s">
        <v>1110</v>
      </c>
      <c r="AL526" s="11" t="s">
        <v>114</v>
      </c>
      <c r="AM526" s="11" t="s">
        <v>800</v>
      </c>
      <c r="AN526" s="60"/>
      <c r="AO526" s="60"/>
      <c r="AP526" s="59" t="s">
        <v>1111</v>
      </c>
      <c r="AQ526" s="25" t="s">
        <v>667</v>
      </c>
      <c r="AR526" s="11" t="s">
        <v>1112</v>
      </c>
      <c r="AS526" s="11" t="s">
        <v>263</v>
      </c>
      <c r="AT526" s="11" t="s">
        <v>141</v>
      </c>
      <c r="AU526" s="59" t="s">
        <v>111</v>
      </c>
      <c r="AV526" s="62"/>
      <c r="AW526" s="59" t="s">
        <v>8196</v>
      </c>
      <c r="AX526" s="59" t="s">
        <v>691</v>
      </c>
      <c r="AY526" s="59" t="s">
        <v>90</v>
      </c>
      <c r="AZ526" s="126" t="s">
        <v>1113</v>
      </c>
      <c r="BA526" s="60" t="s">
        <v>1114</v>
      </c>
      <c r="BB526" s="67" t="s">
        <v>845</v>
      </c>
      <c r="BC526" s="60" t="s">
        <v>800</v>
      </c>
      <c r="BD526" s="60"/>
      <c r="BE526" s="60"/>
      <c r="BF526" s="60"/>
      <c r="BG526" s="59" t="s">
        <v>1111</v>
      </c>
      <c r="BH526" s="25" t="s">
        <v>667</v>
      </c>
      <c r="BI526" s="11" t="s">
        <v>1112</v>
      </c>
      <c r="BJ526" s="14" t="s">
        <v>263</v>
      </c>
      <c r="BK526" s="11" t="s">
        <v>141</v>
      </c>
      <c r="BL526" s="11" t="s">
        <v>156</v>
      </c>
      <c r="BM526" s="24"/>
      <c r="BN526" s="24"/>
      <c r="BO526" s="59"/>
      <c r="BP526" s="59"/>
      <c r="BQ526" s="77"/>
      <c r="BR526" s="60"/>
      <c r="BS526" s="60"/>
      <c r="BT526" s="59"/>
      <c r="BU526" s="60"/>
      <c r="BV526" s="60"/>
      <c r="BW526" s="59"/>
      <c r="BX526" s="60"/>
      <c r="BY526" s="60"/>
      <c r="BZ526" s="59"/>
      <c r="CA526" s="59"/>
      <c r="CB526" s="59"/>
      <c r="CC526" s="59"/>
      <c r="CD526" s="59"/>
      <c r="CE526" s="59" t="s">
        <v>7714</v>
      </c>
      <c r="CF526" s="60" t="s">
        <v>667</v>
      </c>
      <c r="CG526" s="59" t="s">
        <v>6983</v>
      </c>
      <c r="CH526" s="59" t="s">
        <v>6984</v>
      </c>
      <c r="CI526" s="59" t="s">
        <v>90</v>
      </c>
      <c r="CJ526" s="59" t="s">
        <v>111</v>
      </c>
      <c r="CK526" s="47"/>
      <c r="CL526" s="64" t="str">
        <f t="shared" ca="1" si="8"/>
        <v>18 Tahun 2 Bulan 30 Hari</v>
      </c>
      <c r="CM52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Kp.Situ Aksan RT/RW 04/05 Desa/Kelurahan Babakan Kecamatan Babakan Ciparay Bandung Jawa Barat </v>
      </c>
    </row>
    <row r="527" spans="1:91" ht="24.95" hidden="1" customHeight="1">
      <c r="A527" s="58">
        <f>SUBTOTAL(3,N$8:Table2[[#This Row],[Nama lengkap]])</f>
        <v>472</v>
      </c>
      <c r="B527" s="58" t="s">
        <v>5032</v>
      </c>
      <c r="C527" s="58">
        <v>2022</v>
      </c>
      <c r="D527" s="58" t="s">
        <v>6430</v>
      </c>
      <c r="E527" s="58">
        <v>2</v>
      </c>
      <c r="F527" s="58" t="s">
        <v>979</v>
      </c>
      <c r="G527" s="165" t="s">
        <v>9952</v>
      </c>
      <c r="H527" s="32"/>
      <c r="I527" s="32"/>
      <c r="J527" s="32"/>
      <c r="K527" s="32"/>
      <c r="L527" s="32"/>
      <c r="M527" s="58">
        <v>22230035</v>
      </c>
      <c r="N527" s="24" t="s">
        <v>5898</v>
      </c>
      <c r="O527" s="24"/>
      <c r="P527" s="25" t="s">
        <v>1406</v>
      </c>
      <c r="Q527" s="25" t="s">
        <v>1407</v>
      </c>
      <c r="R527" s="60" t="s">
        <v>90</v>
      </c>
      <c r="S527" s="61" t="s">
        <v>1408</v>
      </c>
      <c r="T527" s="47" t="s">
        <v>92</v>
      </c>
      <c r="U527" s="47">
        <v>1</v>
      </c>
      <c r="V527" s="47">
        <v>2</v>
      </c>
      <c r="W527" s="47" t="s">
        <v>207</v>
      </c>
      <c r="X527" s="59" t="s">
        <v>984</v>
      </c>
      <c r="Y527" s="59" t="s">
        <v>999</v>
      </c>
      <c r="Z527" s="59" t="s">
        <v>986</v>
      </c>
      <c r="AA527" s="59" t="s">
        <v>96</v>
      </c>
      <c r="AB527" s="59" t="s">
        <v>689</v>
      </c>
      <c r="AC527" s="59" t="s">
        <v>208</v>
      </c>
      <c r="AD527" s="59" t="s">
        <v>208</v>
      </c>
      <c r="AE527" s="60" t="s">
        <v>1409</v>
      </c>
      <c r="AF527" s="60" t="s">
        <v>8352</v>
      </c>
      <c r="AG527" s="59" t="s">
        <v>8352</v>
      </c>
      <c r="AH527" s="59" t="s">
        <v>691</v>
      </c>
      <c r="AI527" s="59" t="s">
        <v>90</v>
      </c>
      <c r="AJ527" s="61">
        <v>29759</v>
      </c>
      <c r="AK527" s="60" t="s">
        <v>1410</v>
      </c>
      <c r="AL527" s="60" t="s">
        <v>602</v>
      </c>
      <c r="AM527" s="59" t="s">
        <v>800</v>
      </c>
      <c r="AN527" s="60" t="s">
        <v>1411</v>
      </c>
      <c r="AO527" s="60"/>
      <c r="AP527" s="59" t="s">
        <v>1061</v>
      </c>
      <c r="AQ527" s="25" t="s">
        <v>521</v>
      </c>
      <c r="AR527" s="60" t="s">
        <v>1062</v>
      </c>
      <c r="AS527" s="59" t="s">
        <v>1063</v>
      </c>
      <c r="AT527" s="59" t="s">
        <v>141</v>
      </c>
      <c r="AU527" s="59" t="s">
        <v>111</v>
      </c>
      <c r="AV527" s="62">
        <v>40394</v>
      </c>
      <c r="AW527" s="59" t="s">
        <v>7872</v>
      </c>
      <c r="AX527" s="59" t="s">
        <v>691</v>
      </c>
      <c r="AY527" s="59" t="s">
        <v>236</v>
      </c>
      <c r="AZ527" s="126">
        <v>32357</v>
      </c>
      <c r="BA527" s="60" t="s">
        <v>1412</v>
      </c>
      <c r="BB527" s="60" t="s">
        <v>845</v>
      </c>
      <c r="BC527" s="59" t="s">
        <v>700</v>
      </c>
      <c r="BD527" s="60" t="s">
        <v>1411</v>
      </c>
      <c r="BE527" s="60"/>
      <c r="BF527" s="60"/>
      <c r="BG527" s="59" t="s">
        <v>1061</v>
      </c>
      <c r="BH527" s="60" t="s">
        <v>521</v>
      </c>
      <c r="BI527" s="60" t="s">
        <v>1062</v>
      </c>
      <c r="BJ527" s="24" t="s">
        <v>1063</v>
      </c>
      <c r="BK527" s="59" t="s">
        <v>141</v>
      </c>
      <c r="BL527" s="59" t="s">
        <v>1214</v>
      </c>
      <c r="BM527" s="24">
        <v>40394</v>
      </c>
      <c r="BN527" s="24"/>
      <c r="BO527" s="59"/>
      <c r="BP527" s="59"/>
      <c r="BQ527" s="77"/>
      <c r="BR527" s="60"/>
      <c r="BS527" s="60"/>
      <c r="BT527" s="59"/>
      <c r="BU527" s="60"/>
      <c r="BV527" s="60"/>
      <c r="BW527" s="59"/>
      <c r="BX527" s="60"/>
      <c r="BY527" s="60"/>
      <c r="BZ527" s="59"/>
      <c r="CA527" s="59"/>
      <c r="CB527" s="59"/>
      <c r="CC527" s="59"/>
      <c r="CD527" s="59"/>
      <c r="CE527" s="59" t="s">
        <v>7381</v>
      </c>
      <c r="CF527" s="60" t="s">
        <v>521</v>
      </c>
      <c r="CG527" s="59" t="s">
        <v>6774</v>
      </c>
      <c r="CH527" s="59" t="s">
        <v>295</v>
      </c>
      <c r="CI527" s="59" t="s">
        <v>90</v>
      </c>
      <c r="CJ527" s="59" t="s">
        <v>111</v>
      </c>
      <c r="CK527" s="47">
        <v>40394</v>
      </c>
      <c r="CL527" s="64" t="str">
        <f t="shared" ca="1" si="8"/>
        <v>15 Tahun 0 Bulan 1 Hari</v>
      </c>
      <c r="CM52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Kp.Kaum RT/RW 02/05 Desa/Kelurahan Bojongloa Kecamatan Rancaekek Bandung Jawa Barat 40394</v>
      </c>
    </row>
    <row r="528" spans="1:91" ht="24.95" hidden="1" customHeight="1">
      <c r="A528" s="58">
        <f>SUBTOTAL(3,N$8:Table2[[#This Row],[Nama lengkap]])</f>
        <v>472</v>
      </c>
      <c r="B528" s="58" t="s">
        <v>5032</v>
      </c>
      <c r="C528" s="58">
        <v>2024</v>
      </c>
      <c r="D528" s="58" t="s">
        <v>6430</v>
      </c>
      <c r="E528" s="58"/>
      <c r="F528" s="58" t="s">
        <v>1433</v>
      </c>
      <c r="G528" s="165"/>
      <c r="H528" s="32"/>
      <c r="I528" s="32"/>
      <c r="J528" s="32"/>
      <c r="K528" s="32"/>
      <c r="L528" s="32"/>
      <c r="M528" s="58">
        <v>24250047</v>
      </c>
      <c r="N528" s="40" t="s">
        <v>6191</v>
      </c>
      <c r="O528" s="40"/>
      <c r="P528" s="32" t="s">
        <v>1508</v>
      </c>
      <c r="Q528" s="32" t="s">
        <v>1509</v>
      </c>
      <c r="R528" s="67" t="s">
        <v>90</v>
      </c>
      <c r="S528" s="69">
        <v>39880</v>
      </c>
      <c r="T528" s="47" t="s">
        <v>92</v>
      </c>
      <c r="U528" s="58" t="s">
        <v>337</v>
      </c>
      <c r="V528" s="58" t="s">
        <v>337</v>
      </c>
      <c r="W528" s="47" t="s">
        <v>207</v>
      </c>
      <c r="X528" s="64" t="s">
        <v>93</v>
      </c>
      <c r="Y528" s="64" t="s">
        <v>1510</v>
      </c>
      <c r="Z528" s="64" t="s">
        <v>1511</v>
      </c>
      <c r="AA528" s="64" t="s">
        <v>159</v>
      </c>
      <c r="AB528" s="64" t="s">
        <v>97</v>
      </c>
      <c r="AC528" s="64" t="s">
        <v>98</v>
      </c>
      <c r="AD528" s="64" t="s">
        <v>98</v>
      </c>
      <c r="AE528" s="67" t="s">
        <v>1512</v>
      </c>
      <c r="AF528" s="67" t="s">
        <v>1513</v>
      </c>
      <c r="AG528" s="64" t="s">
        <v>1513</v>
      </c>
      <c r="AH528" s="64" t="s">
        <v>101</v>
      </c>
      <c r="AI528" s="64" t="s">
        <v>90</v>
      </c>
      <c r="AJ528" s="69">
        <v>31038</v>
      </c>
      <c r="AK528" s="67" t="s">
        <v>1514</v>
      </c>
      <c r="AL528" s="67" t="s">
        <v>602</v>
      </c>
      <c r="AM528" s="64" t="s">
        <v>149</v>
      </c>
      <c r="AN528" s="67" t="s">
        <v>1515</v>
      </c>
      <c r="AO528" s="67" t="s">
        <v>117</v>
      </c>
      <c r="AP528" s="64" t="s">
        <v>1516</v>
      </c>
      <c r="AQ528" s="32" t="s">
        <v>1517</v>
      </c>
      <c r="AR528" s="67" t="s">
        <v>1518</v>
      </c>
      <c r="AS528" s="64" t="s">
        <v>1518</v>
      </c>
      <c r="AT528" s="64" t="s">
        <v>122</v>
      </c>
      <c r="AU528" s="64" t="s">
        <v>318</v>
      </c>
      <c r="AV528" s="64">
        <v>40615</v>
      </c>
      <c r="AW528" s="64" t="s">
        <v>1519</v>
      </c>
      <c r="AX528" s="64" t="s">
        <v>101</v>
      </c>
      <c r="AY528" s="64" t="s">
        <v>90</v>
      </c>
      <c r="AZ528" s="125">
        <v>31315</v>
      </c>
      <c r="BA528" s="67" t="s">
        <v>1520</v>
      </c>
      <c r="BB528" s="67" t="s">
        <v>428</v>
      </c>
      <c r="BC528" s="64" t="s">
        <v>159</v>
      </c>
      <c r="BD528" s="67">
        <v>82315250090</v>
      </c>
      <c r="BE528" s="67" t="s">
        <v>98</v>
      </c>
      <c r="BF528" s="67"/>
      <c r="BG528" s="64" t="s">
        <v>1516</v>
      </c>
      <c r="BH528" s="67" t="s">
        <v>1517</v>
      </c>
      <c r="BI528" s="67" t="s">
        <v>1518</v>
      </c>
      <c r="BJ528" s="40" t="s">
        <v>1518</v>
      </c>
      <c r="BK528" s="64" t="s">
        <v>122</v>
      </c>
      <c r="BL528" s="64" t="s">
        <v>313</v>
      </c>
      <c r="BM528" s="64">
        <v>45364</v>
      </c>
      <c r="BN528" s="64" t="s">
        <v>161</v>
      </c>
      <c r="BO528" s="64" t="s">
        <v>1513</v>
      </c>
      <c r="BP528" s="64"/>
      <c r="BQ528" s="135"/>
      <c r="BR528" s="67"/>
      <c r="BS528" s="67"/>
      <c r="BT528" s="64"/>
      <c r="BU528" s="67">
        <v>81221921400</v>
      </c>
      <c r="BV528" s="67"/>
      <c r="BW528" s="64"/>
      <c r="BX528" s="67"/>
      <c r="BY528" s="67"/>
      <c r="BZ528" s="64"/>
      <c r="CA528" s="64"/>
      <c r="CB528" s="64"/>
      <c r="CC528" s="64"/>
      <c r="CD528" s="64"/>
      <c r="CE528" s="64" t="s">
        <v>7715</v>
      </c>
      <c r="CF528" s="67" t="s">
        <v>1517</v>
      </c>
      <c r="CG528" s="64" t="s">
        <v>1518</v>
      </c>
      <c r="CH528" s="64" t="s">
        <v>1518</v>
      </c>
      <c r="CI528" s="64" t="s">
        <v>122</v>
      </c>
      <c r="CJ528" s="64" t="s">
        <v>111</v>
      </c>
      <c r="CK528" s="58">
        <v>40615</v>
      </c>
      <c r="CL528" s="64" t="str">
        <f t="shared" ca="1" si="8"/>
        <v>16 Tahun 10 Bulan 15 Hari</v>
      </c>
      <c r="CM52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Jalan Parakan Muncang Perumahan Villa Bumi Asri Blok F3 No.142 RT/RW 06/03 Desa/Kelurahan Cimanggung Kecamatan Cimanggung Sumedang Jawa Barat 40615</v>
      </c>
    </row>
    <row r="529" spans="1:91" ht="24.95" hidden="1" customHeight="1">
      <c r="A529" s="58">
        <f>SUBTOTAL(3,N$8:Table2[[#This Row],[Nama lengkap]])</f>
        <v>472</v>
      </c>
      <c r="B529" s="58" t="s">
        <v>5032</v>
      </c>
      <c r="C529" s="58">
        <v>2023</v>
      </c>
      <c r="D529" s="58" t="s">
        <v>6430</v>
      </c>
      <c r="E529" s="58"/>
      <c r="F529" s="58" t="s">
        <v>1433</v>
      </c>
      <c r="G529" s="165"/>
      <c r="H529" s="32"/>
      <c r="I529" s="32"/>
      <c r="J529" s="32"/>
      <c r="K529" s="32"/>
      <c r="L529" s="32"/>
      <c r="M529" s="58">
        <v>23240025</v>
      </c>
      <c r="N529" s="24" t="s">
        <v>8883</v>
      </c>
      <c r="O529" s="24"/>
      <c r="P529" s="25"/>
      <c r="Q529" s="25" t="s">
        <v>1825</v>
      </c>
      <c r="R529" s="60" t="s">
        <v>6472</v>
      </c>
      <c r="S529" s="61" t="s">
        <v>1826</v>
      </c>
      <c r="T529" s="47" t="s">
        <v>92</v>
      </c>
      <c r="U529" s="47">
        <v>6</v>
      </c>
      <c r="V529" s="47">
        <v>5</v>
      </c>
      <c r="W529" s="47" t="s">
        <v>207</v>
      </c>
      <c r="X529" s="59" t="s">
        <v>123</v>
      </c>
      <c r="Y529" s="59" t="s">
        <v>1524</v>
      </c>
      <c r="Z529" s="59" t="s">
        <v>1042</v>
      </c>
      <c r="AA529" s="59" t="s">
        <v>96</v>
      </c>
      <c r="AB529" s="59" t="s">
        <v>689</v>
      </c>
      <c r="AC529" s="59" t="s">
        <v>208</v>
      </c>
      <c r="AD529" s="59" t="s">
        <v>208</v>
      </c>
      <c r="AE529" s="60" t="s">
        <v>1827</v>
      </c>
      <c r="AF529" s="60" t="s">
        <v>8699</v>
      </c>
      <c r="AG529" s="59" t="s">
        <v>8699</v>
      </c>
      <c r="AH529" s="59" t="s">
        <v>691</v>
      </c>
      <c r="AI529" s="59" t="s">
        <v>6472</v>
      </c>
      <c r="AJ529" s="61" t="s">
        <v>1828</v>
      </c>
      <c r="AK529" s="60" t="s">
        <v>1829</v>
      </c>
      <c r="AL529" s="60" t="s">
        <v>114</v>
      </c>
      <c r="AM529" s="59" t="s">
        <v>700</v>
      </c>
      <c r="AN529" s="60"/>
      <c r="AO529" s="60"/>
      <c r="AP529" s="59" t="s">
        <v>1830</v>
      </c>
      <c r="AQ529" s="25" t="s">
        <v>1831</v>
      </c>
      <c r="AR529" s="60" t="s">
        <v>1832</v>
      </c>
      <c r="AS529" s="59" t="s">
        <v>651</v>
      </c>
      <c r="AT529" s="59" t="s">
        <v>651</v>
      </c>
      <c r="AU529" s="59" t="s">
        <v>111</v>
      </c>
      <c r="AV529" s="62">
        <v>45412</v>
      </c>
      <c r="AW529" s="59" t="s">
        <v>8197</v>
      </c>
      <c r="AX529" s="59" t="s">
        <v>691</v>
      </c>
      <c r="AY529" s="59" t="s">
        <v>942</v>
      </c>
      <c r="AZ529" s="126">
        <v>25028</v>
      </c>
      <c r="BA529" s="60" t="s">
        <v>1833</v>
      </c>
      <c r="BB529" s="60" t="s">
        <v>845</v>
      </c>
      <c r="BC529" s="59" t="s">
        <v>1834</v>
      </c>
      <c r="BD529" s="60"/>
      <c r="BE529" s="60"/>
      <c r="BF529" s="60"/>
      <c r="BG529" s="59" t="s">
        <v>1830</v>
      </c>
      <c r="BH529" s="60" t="s">
        <v>1831</v>
      </c>
      <c r="BI529" s="60" t="s">
        <v>1832</v>
      </c>
      <c r="BJ529" s="24" t="s">
        <v>651</v>
      </c>
      <c r="BK529" s="59" t="s">
        <v>651</v>
      </c>
      <c r="BL529" s="59" t="s">
        <v>156</v>
      </c>
      <c r="BM529" s="24">
        <v>45412</v>
      </c>
      <c r="BN529" s="24"/>
      <c r="BO529" s="59" t="s">
        <v>701</v>
      </c>
      <c r="BP529" s="59"/>
      <c r="BQ529" s="77"/>
      <c r="BR529" s="60"/>
      <c r="BS529" s="60"/>
      <c r="BT529" s="59"/>
      <c r="BU529" s="60"/>
      <c r="BV529" s="60"/>
      <c r="BW529" s="59"/>
      <c r="BX529" s="60"/>
      <c r="BY529" s="60"/>
      <c r="BZ529" s="59"/>
      <c r="CA529" s="59"/>
      <c r="CB529" s="59"/>
      <c r="CC529" s="59"/>
      <c r="CD529" s="59"/>
      <c r="CE529" s="59" t="s">
        <v>7716</v>
      </c>
      <c r="CF529" s="60" t="s">
        <v>1831</v>
      </c>
      <c r="CG529" s="59" t="s">
        <v>7309</v>
      </c>
      <c r="CH529" s="59" t="s">
        <v>6472</v>
      </c>
      <c r="CI529" s="59" t="s">
        <v>6472</v>
      </c>
      <c r="CJ529" s="59" t="s">
        <v>111</v>
      </c>
      <c r="CK529" s="47">
        <v>45412</v>
      </c>
      <c r="CL529" s="64" t="str">
        <f t="shared" ca="1" si="8"/>
        <v>14 Tahun 10 Bulan 29 Hari</v>
      </c>
      <c r="CM52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Lingk.Margaluyu RT/RW 23/08 Desa/Kelurahan Cicurug Kecamatan Majalengka Majalengka Jawa Barat 45412</v>
      </c>
    </row>
    <row r="530" spans="1:91" ht="24.95" hidden="1" customHeight="1">
      <c r="A530" s="58">
        <f>SUBTOTAL(3,N$8:Table2[[#This Row],[Nama lengkap]])</f>
        <v>472</v>
      </c>
      <c r="B530" s="58" t="s">
        <v>5032</v>
      </c>
      <c r="C530" s="58">
        <v>2022</v>
      </c>
      <c r="D530" s="58"/>
      <c r="E530" s="58"/>
      <c r="F530" s="58" t="s">
        <v>1845</v>
      </c>
      <c r="G530" s="165"/>
      <c r="H530" s="32"/>
      <c r="I530" s="32"/>
      <c r="J530" s="32"/>
      <c r="K530" s="32"/>
      <c r="L530" s="32"/>
      <c r="M530" s="58">
        <v>22230144</v>
      </c>
      <c r="N530" s="24" t="s">
        <v>5948</v>
      </c>
      <c r="O530" s="24"/>
      <c r="P530" s="25"/>
      <c r="Q530" s="25" t="s">
        <v>1954</v>
      </c>
      <c r="R530" s="60" t="s">
        <v>90</v>
      </c>
      <c r="S530" s="61" t="s">
        <v>1955</v>
      </c>
      <c r="T530" s="47" t="s">
        <v>92</v>
      </c>
      <c r="U530" s="47">
        <v>2</v>
      </c>
      <c r="V530" s="47">
        <v>2</v>
      </c>
      <c r="W530" s="47" t="s">
        <v>207</v>
      </c>
      <c r="X530" s="59" t="s">
        <v>123</v>
      </c>
      <c r="Y530" s="59" t="s">
        <v>706</v>
      </c>
      <c r="Z530" s="59" t="s">
        <v>1150</v>
      </c>
      <c r="AA530" s="59" t="s">
        <v>1956</v>
      </c>
      <c r="AB530" s="59" t="s">
        <v>1151</v>
      </c>
      <c r="AC530" s="59" t="s">
        <v>208</v>
      </c>
      <c r="AD530" s="59" t="s">
        <v>208</v>
      </c>
      <c r="AE530" s="60" t="s">
        <v>1957</v>
      </c>
      <c r="AF530" s="60" t="s">
        <v>5403</v>
      </c>
      <c r="AG530" s="59" t="s">
        <v>8700</v>
      </c>
      <c r="AH530" s="59" t="s">
        <v>1153</v>
      </c>
      <c r="AI530" s="59"/>
      <c r="AJ530" s="61"/>
      <c r="AK530" s="60"/>
      <c r="AL530" s="60"/>
      <c r="AM530" s="59"/>
      <c r="AN530" s="60"/>
      <c r="AO530" s="60"/>
      <c r="AP530" s="59"/>
      <c r="AQ530" s="25"/>
      <c r="AR530" s="60"/>
      <c r="AS530" s="59"/>
      <c r="AT530" s="59"/>
      <c r="AU530" s="59" t="s">
        <v>111</v>
      </c>
      <c r="AV530" s="62"/>
      <c r="AW530" s="59" t="s">
        <v>5403</v>
      </c>
      <c r="AX530" s="59" t="s">
        <v>1153</v>
      </c>
      <c r="AY530" s="59" t="s">
        <v>90</v>
      </c>
      <c r="AZ530" s="126">
        <v>30565</v>
      </c>
      <c r="BA530" s="60" t="s">
        <v>1958</v>
      </c>
      <c r="BB530" s="60" t="s">
        <v>845</v>
      </c>
      <c r="BC530" s="59" t="s">
        <v>1959</v>
      </c>
      <c r="BD530" s="60" t="s">
        <v>1960</v>
      </c>
      <c r="BE530" s="60"/>
      <c r="BF530" s="60"/>
      <c r="BG530" s="59" t="s">
        <v>1961</v>
      </c>
      <c r="BH530" s="60" t="s">
        <v>1962</v>
      </c>
      <c r="BI530" s="60" t="s">
        <v>1963</v>
      </c>
      <c r="BJ530" s="24" t="s">
        <v>1888</v>
      </c>
      <c r="BK530" s="59" t="s">
        <v>1706</v>
      </c>
      <c r="BL530" s="59" t="s">
        <v>156</v>
      </c>
      <c r="BM530" s="62"/>
      <c r="BN530" s="62"/>
      <c r="BO530" s="59" t="s">
        <v>719</v>
      </c>
      <c r="BP530" s="59"/>
      <c r="BQ530" s="77"/>
      <c r="BR530" s="60"/>
      <c r="BS530" s="60"/>
      <c r="BT530" s="59"/>
      <c r="BU530" s="60"/>
      <c r="BV530" s="60"/>
      <c r="BW530" s="59"/>
      <c r="BX530" s="60"/>
      <c r="BY530" s="60"/>
      <c r="BZ530" s="59"/>
      <c r="CA530" s="59"/>
      <c r="CB530" s="59"/>
      <c r="CC530" s="59"/>
      <c r="CD530" s="59"/>
      <c r="CE530" s="59" t="s">
        <v>7717</v>
      </c>
      <c r="CF530" s="60" t="s">
        <v>1962</v>
      </c>
      <c r="CG530" s="59" t="s">
        <v>7310</v>
      </c>
      <c r="CH530" s="59" t="s">
        <v>744</v>
      </c>
      <c r="CI530" s="59" t="s">
        <v>644</v>
      </c>
      <c r="CJ530" s="59" t="s">
        <v>111</v>
      </c>
      <c r="CK530" s="47"/>
      <c r="CL530" s="64" t="str">
        <f t="shared" ca="1" si="8"/>
        <v>14 Tahun 8 Bulan 1 Hari</v>
      </c>
      <c r="CM53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Jl.Cibuntu Sayuran RT/RW 06/07 Desa/Kelurahan Warung Muncang Kecamatan Bandung Kulon Kota Bandung Jawa Barat </v>
      </c>
    </row>
    <row r="531" spans="1:91" ht="24.95" hidden="1" customHeight="1">
      <c r="A531" s="58">
        <f>SUBTOTAL(3,N$8:Table2[[#This Row],[Nama lengkap]])</f>
        <v>472</v>
      </c>
      <c r="B531" s="58" t="s">
        <v>5032</v>
      </c>
      <c r="C531" s="58">
        <v>2020</v>
      </c>
      <c r="D531" s="58"/>
      <c r="E531" s="58"/>
      <c r="F531" s="58" t="s">
        <v>1845</v>
      </c>
      <c r="G531" s="165"/>
      <c r="H531" s="32"/>
      <c r="I531" s="32"/>
      <c r="J531" s="32"/>
      <c r="K531" s="32"/>
      <c r="L531" s="32"/>
      <c r="M531" s="58">
        <v>20210157</v>
      </c>
      <c r="N531" s="24" t="s">
        <v>8884</v>
      </c>
      <c r="O531" s="24"/>
      <c r="P531" s="25" t="s">
        <v>2152</v>
      </c>
      <c r="Q531" s="25" t="s">
        <v>2153</v>
      </c>
      <c r="R531" s="60" t="s">
        <v>90</v>
      </c>
      <c r="S531" s="61" t="s">
        <v>2154</v>
      </c>
      <c r="T531" s="47" t="s">
        <v>92</v>
      </c>
      <c r="U531" s="47">
        <v>1</v>
      </c>
      <c r="V531" s="47">
        <v>7</v>
      </c>
      <c r="W531" s="47" t="s">
        <v>207</v>
      </c>
      <c r="X531" s="59" t="s">
        <v>303</v>
      </c>
      <c r="Y531" s="59" t="s">
        <v>687</v>
      </c>
      <c r="Z531" s="59" t="s">
        <v>688</v>
      </c>
      <c r="AA531" s="59" t="s">
        <v>96</v>
      </c>
      <c r="AB531" s="59" t="s">
        <v>689</v>
      </c>
      <c r="AC531" s="59" t="s">
        <v>208</v>
      </c>
      <c r="AD531" s="59" t="s">
        <v>208</v>
      </c>
      <c r="AE531" s="60" t="s">
        <v>2155</v>
      </c>
      <c r="AF531" s="60" t="s">
        <v>8701</v>
      </c>
      <c r="AG531" s="59" t="s">
        <v>8701</v>
      </c>
      <c r="AH531" s="59" t="s">
        <v>691</v>
      </c>
      <c r="AI531" s="59" t="s">
        <v>90</v>
      </c>
      <c r="AJ531" s="61">
        <v>25390</v>
      </c>
      <c r="AK531" s="60" t="s">
        <v>2156</v>
      </c>
      <c r="AL531" s="60" t="s">
        <v>289</v>
      </c>
      <c r="AM531" s="59" t="s">
        <v>800</v>
      </c>
      <c r="AN531" s="60" t="s">
        <v>2157</v>
      </c>
      <c r="AO531" s="60"/>
      <c r="AP531" s="59" t="s">
        <v>2158</v>
      </c>
      <c r="AQ531" s="25" t="s">
        <v>2159</v>
      </c>
      <c r="AR531" s="60" t="s">
        <v>2160</v>
      </c>
      <c r="AS531" s="59" t="s">
        <v>2161</v>
      </c>
      <c r="AT531" s="59" t="s">
        <v>1706</v>
      </c>
      <c r="AU531" s="59" t="s">
        <v>111</v>
      </c>
      <c r="AV531" s="62">
        <v>40174</v>
      </c>
      <c r="AW531" s="59" t="s">
        <v>8198</v>
      </c>
      <c r="AX531" s="59" t="s">
        <v>691</v>
      </c>
      <c r="AY531" s="59" t="s">
        <v>236</v>
      </c>
      <c r="AZ531" s="126" t="s">
        <v>2162</v>
      </c>
      <c r="BA531" s="60" t="s">
        <v>2163</v>
      </c>
      <c r="BB531" s="60" t="s">
        <v>845</v>
      </c>
      <c r="BC531" s="59" t="s">
        <v>800</v>
      </c>
      <c r="BD531" s="60" t="s">
        <v>2164</v>
      </c>
      <c r="BE531" s="60"/>
      <c r="BF531" s="60"/>
      <c r="BG531" s="59" t="s">
        <v>2158</v>
      </c>
      <c r="BH531" s="60" t="s">
        <v>2159</v>
      </c>
      <c r="BI531" s="60" t="s">
        <v>2160</v>
      </c>
      <c r="BJ531" s="24" t="s">
        <v>2161</v>
      </c>
      <c r="BK531" s="59" t="s">
        <v>1706</v>
      </c>
      <c r="BL531" s="59" t="s">
        <v>156</v>
      </c>
      <c r="BM531" s="62" t="s">
        <v>1664</v>
      </c>
      <c r="BN531" s="62"/>
      <c r="BO531" s="59" t="s">
        <v>719</v>
      </c>
      <c r="BP531" s="59"/>
      <c r="BQ531" s="77"/>
      <c r="BR531" s="60"/>
      <c r="BS531" s="60"/>
      <c r="BT531" s="59"/>
      <c r="BU531" s="60"/>
      <c r="BV531" s="60"/>
      <c r="BW531" s="59"/>
      <c r="BX531" s="60"/>
      <c r="BY531" s="60"/>
      <c r="BZ531" s="59"/>
      <c r="CA531" s="59"/>
      <c r="CB531" s="59"/>
      <c r="CC531" s="59"/>
      <c r="CD531" s="59"/>
      <c r="CE531" s="59" t="s">
        <v>7718</v>
      </c>
      <c r="CF531" s="60" t="s">
        <v>2159</v>
      </c>
      <c r="CG531" s="59" t="s">
        <v>7247</v>
      </c>
      <c r="CH531" s="59" t="s">
        <v>7248</v>
      </c>
      <c r="CI531" s="59" t="s">
        <v>644</v>
      </c>
      <c r="CJ531" s="59" t="s">
        <v>111</v>
      </c>
      <c r="CK531" s="47">
        <v>40174</v>
      </c>
      <c r="CL531" s="64" t="str">
        <f t="shared" ca="1" si="8"/>
        <v>17 Tahun 10 Bulan 2 Hari</v>
      </c>
      <c r="CM53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Cicukang Ii/72 RT/RW 05/07 Desa/Kelurahan Husen Sastranegara Kecamatan Cicendo Kota Bandung Jawa Barat 40174</v>
      </c>
    </row>
    <row r="532" spans="1:91" ht="24.95" hidden="1" customHeight="1">
      <c r="A532" s="58">
        <f>SUBTOTAL(3,N$8:Table2[[#This Row],[Nama lengkap]])</f>
        <v>472</v>
      </c>
      <c r="B532" s="58" t="s">
        <v>5032</v>
      </c>
      <c r="C532" s="58">
        <v>2022</v>
      </c>
      <c r="D532" s="58"/>
      <c r="E532" s="58">
        <v>3</v>
      </c>
      <c r="F532" s="58" t="s">
        <v>2199</v>
      </c>
      <c r="G532" s="165"/>
      <c r="H532" s="32"/>
      <c r="I532" s="32"/>
      <c r="J532" s="32"/>
      <c r="K532" s="32"/>
      <c r="L532" s="32"/>
      <c r="M532" s="58">
        <v>22230102</v>
      </c>
      <c r="N532" s="24" t="s">
        <v>8885</v>
      </c>
      <c r="O532" s="24"/>
      <c r="P532" s="25" t="s">
        <v>2484</v>
      </c>
      <c r="Q532" s="25" t="s">
        <v>2485</v>
      </c>
      <c r="R532" s="60" t="s">
        <v>90</v>
      </c>
      <c r="S532" s="61" t="s">
        <v>2486</v>
      </c>
      <c r="T532" s="47" t="s">
        <v>92</v>
      </c>
      <c r="U532" s="47">
        <v>1</v>
      </c>
      <c r="V532" s="47">
        <v>2</v>
      </c>
      <c r="W532" s="47" t="s">
        <v>207</v>
      </c>
      <c r="X532" s="59" t="s">
        <v>984</v>
      </c>
      <c r="Y532" s="65" t="s">
        <v>1247</v>
      </c>
      <c r="Z532" s="59" t="s">
        <v>1985</v>
      </c>
      <c r="AA532" s="65" t="s">
        <v>96</v>
      </c>
      <c r="AB532" s="65" t="s">
        <v>689</v>
      </c>
      <c r="AC532" s="65" t="s">
        <v>208</v>
      </c>
      <c r="AD532" s="65" t="s">
        <v>208</v>
      </c>
      <c r="AE532" s="66" t="s">
        <v>2487</v>
      </c>
      <c r="AF532" s="65" t="s">
        <v>8702</v>
      </c>
      <c r="AG532" s="65" t="s">
        <v>8702</v>
      </c>
      <c r="AH532" s="65" t="s">
        <v>691</v>
      </c>
      <c r="AI532" s="65" t="s">
        <v>90</v>
      </c>
      <c r="AJ532" s="133">
        <v>31971</v>
      </c>
      <c r="AK532" s="66" t="s">
        <v>2488</v>
      </c>
      <c r="AL532" s="65" t="s">
        <v>289</v>
      </c>
      <c r="AM532" s="65" t="s">
        <v>693</v>
      </c>
      <c r="AN532" s="60"/>
      <c r="AO532" s="60"/>
      <c r="AP532" s="59" t="s">
        <v>2489</v>
      </c>
      <c r="AQ532" s="25" t="s">
        <v>828</v>
      </c>
      <c r="AR532" s="65" t="s">
        <v>153</v>
      </c>
      <c r="AS532" s="65" t="s">
        <v>154</v>
      </c>
      <c r="AT532" s="65" t="s">
        <v>163</v>
      </c>
      <c r="AU532" s="59" t="s">
        <v>111</v>
      </c>
      <c r="AV532" s="62">
        <v>40391</v>
      </c>
      <c r="AW532" s="59" t="s">
        <v>8199</v>
      </c>
      <c r="AX532" s="59" t="s">
        <v>691</v>
      </c>
      <c r="AY532" s="59" t="s">
        <v>90</v>
      </c>
      <c r="AZ532" s="126">
        <v>33420</v>
      </c>
      <c r="BA532" s="60" t="s">
        <v>2490</v>
      </c>
      <c r="BB532" s="67" t="s">
        <v>845</v>
      </c>
      <c r="BC532" s="60" t="s">
        <v>693</v>
      </c>
      <c r="BD532" s="60"/>
      <c r="BE532" s="60"/>
      <c r="BF532" s="60"/>
      <c r="BG532" s="59" t="s">
        <v>2489</v>
      </c>
      <c r="BH532" s="25" t="s">
        <v>828</v>
      </c>
      <c r="BI532" s="65" t="s">
        <v>153</v>
      </c>
      <c r="BJ532" s="68" t="s">
        <v>154</v>
      </c>
      <c r="BK532" s="65" t="s">
        <v>163</v>
      </c>
      <c r="BL532" s="65" t="s">
        <v>156</v>
      </c>
      <c r="BM532" s="24">
        <v>40391</v>
      </c>
      <c r="BN532" s="24"/>
      <c r="BO532" s="59" t="s">
        <v>701</v>
      </c>
      <c r="BP532" s="59"/>
      <c r="BQ532" s="77"/>
      <c r="BR532" s="60"/>
      <c r="BS532" s="60"/>
      <c r="BT532" s="59"/>
      <c r="BU532" s="60"/>
      <c r="BV532" s="60"/>
      <c r="BW532" s="59"/>
      <c r="BX532" s="60"/>
      <c r="BY532" s="60"/>
      <c r="BZ532" s="59"/>
      <c r="CA532" s="59"/>
      <c r="CB532" s="59"/>
      <c r="CC532" s="59"/>
      <c r="CD532" s="59"/>
      <c r="CE532" s="59" t="s">
        <v>7554</v>
      </c>
      <c r="CF532" s="60" t="s">
        <v>828</v>
      </c>
      <c r="CG532" s="59" t="s">
        <v>7009</v>
      </c>
      <c r="CH532" s="59" t="s">
        <v>5244</v>
      </c>
      <c r="CI532" s="59" t="s">
        <v>155</v>
      </c>
      <c r="CJ532" s="59" t="s">
        <v>111</v>
      </c>
      <c r="CK532" s="47">
        <v>40391</v>
      </c>
      <c r="CL532" s="64" t="str">
        <f t="shared" ca="1" si="8"/>
        <v>15 Tahun 10 Bulan 13 Hari</v>
      </c>
      <c r="CM53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Kp.Pamecelan RT/RW 003/005 Desa/Kelurahan Sukajaya Kecamatan Lembang Bandung Barat Jawa Barat 40391</v>
      </c>
    </row>
    <row r="533" spans="1:91" ht="24.95" hidden="1" customHeight="1">
      <c r="A533" s="58">
        <f>SUBTOTAL(3,N$8:Table2[[#This Row],[Nama lengkap]])</f>
        <v>472</v>
      </c>
      <c r="B533" s="32" t="s">
        <v>5032</v>
      </c>
      <c r="C533" s="58">
        <v>2021</v>
      </c>
      <c r="D533" s="58"/>
      <c r="E533" s="58">
        <v>4</v>
      </c>
      <c r="F533" s="58" t="s">
        <v>2512</v>
      </c>
      <c r="G533" s="165"/>
      <c r="H533" s="32"/>
      <c r="I533" s="32"/>
      <c r="J533" s="32"/>
      <c r="K533" s="32"/>
      <c r="L533" s="32"/>
      <c r="M533" s="58">
        <v>21220136</v>
      </c>
      <c r="N533" s="24" t="s">
        <v>8886</v>
      </c>
      <c r="O533" s="24"/>
      <c r="P533" s="25" t="s">
        <v>2719</v>
      </c>
      <c r="Q533" s="25" t="s">
        <v>2720</v>
      </c>
      <c r="R533" s="60" t="s">
        <v>90</v>
      </c>
      <c r="S533" s="61" t="s">
        <v>2721</v>
      </c>
      <c r="T533" s="47" t="s">
        <v>92</v>
      </c>
      <c r="U533" s="47">
        <v>1</v>
      </c>
      <c r="V533" s="47">
        <v>1</v>
      </c>
      <c r="W533" s="47" t="s">
        <v>207</v>
      </c>
      <c r="X533" s="59" t="s">
        <v>984</v>
      </c>
      <c r="Y533" s="59" t="s">
        <v>2722</v>
      </c>
      <c r="Z533" s="59" t="s">
        <v>1093</v>
      </c>
      <c r="AA533" s="59" t="s">
        <v>96</v>
      </c>
      <c r="AB533" s="59" t="s">
        <v>689</v>
      </c>
      <c r="AC533" s="59" t="s">
        <v>208</v>
      </c>
      <c r="AD533" s="59" t="s">
        <v>208</v>
      </c>
      <c r="AE533" s="60" t="s">
        <v>2723</v>
      </c>
      <c r="AF533" s="60" t="s">
        <v>6419</v>
      </c>
      <c r="AG533" s="59" t="s">
        <v>6419</v>
      </c>
      <c r="AH533" s="59" t="s">
        <v>691</v>
      </c>
      <c r="AI533" s="59" t="s">
        <v>90</v>
      </c>
      <c r="AJ533" s="61">
        <v>32634</v>
      </c>
      <c r="AK533" s="60" t="s">
        <v>2724</v>
      </c>
      <c r="AL533" s="60" t="s">
        <v>289</v>
      </c>
      <c r="AM533" s="59" t="s">
        <v>693</v>
      </c>
      <c r="AN533" s="60"/>
      <c r="AO533" s="60"/>
      <c r="AP533" s="59" t="s">
        <v>2725</v>
      </c>
      <c r="AQ533" s="25" t="s">
        <v>1161</v>
      </c>
      <c r="AR533" s="60" t="s">
        <v>1018</v>
      </c>
      <c r="AS533" s="59" t="s">
        <v>1019</v>
      </c>
      <c r="AT533" s="59" t="s">
        <v>141</v>
      </c>
      <c r="AU533" s="59" t="s">
        <v>111</v>
      </c>
      <c r="AV533" s="62">
        <v>40951</v>
      </c>
      <c r="AW533" s="59" t="s">
        <v>8200</v>
      </c>
      <c r="AX533" s="59" t="s">
        <v>691</v>
      </c>
      <c r="AY533" s="59" t="s">
        <v>90</v>
      </c>
      <c r="AZ533" s="126">
        <v>33606</v>
      </c>
      <c r="BA533" s="60" t="s">
        <v>2726</v>
      </c>
      <c r="BB533" s="60" t="s">
        <v>845</v>
      </c>
      <c r="BC533" s="59" t="s">
        <v>2557</v>
      </c>
      <c r="BD533" s="60"/>
      <c r="BE533" s="60"/>
      <c r="BF533" s="60"/>
      <c r="BG533" s="59" t="s">
        <v>2725</v>
      </c>
      <c r="BH533" s="60" t="s">
        <v>1161</v>
      </c>
      <c r="BI533" s="60" t="s">
        <v>1018</v>
      </c>
      <c r="BJ533" s="24" t="s">
        <v>1019</v>
      </c>
      <c r="BK533" s="59" t="s">
        <v>141</v>
      </c>
      <c r="BL533" s="59" t="s">
        <v>156</v>
      </c>
      <c r="BM533" s="62"/>
      <c r="BN533" s="62"/>
      <c r="BO533" s="59"/>
      <c r="BP533" s="59"/>
      <c r="BQ533" s="77"/>
      <c r="BR533" s="60"/>
      <c r="BS533" s="60"/>
      <c r="BT533" s="59"/>
      <c r="BU533" s="60"/>
      <c r="BV533" s="60"/>
      <c r="BW533" s="59"/>
      <c r="BX533" s="60"/>
      <c r="BY533" s="60"/>
      <c r="BZ533" s="59"/>
      <c r="CA533" s="59"/>
      <c r="CB533" s="59"/>
      <c r="CC533" s="59"/>
      <c r="CD533" s="59"/>
      <c r="CE533" s="59" t="s">
        <v>7719</v>
      </c>
      <c r="CF533" s="60" t="s">
        <v>1161</v>
      </c>
      <c r="CG533" s="59" t="s">
        <v>7044</v>
      </c>
      <c r="CH533" s="59" t="s">
        <v>6967</v>
      </c>
      <c r="CI533" s="59" t="s">
        <v>90</v>
      </c>
      <c r="CJ533" s="59" t="s">
        <v>111</v>
      </c>
      <c r="CK533" s="47">
        <v>40951</v>
      </c>
      <c r="CL533" s="64" t="str">
        <f t="shared" ca="1" si="8"/>
        <v>16 Tahun 7 Bulan 26 Hari</v>
      </c>
      <c r="CM53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Kmp.Puncak Mulya RT/RW 01/07 Desa/Kelurahan Sukamulya Kecamatan Kutawaringin Bandung Jawa Barat 40951</v>
      </c>
    </row>
    <row r="534" spans="1:91" ht="24.95" hidden="1" customHeight="1">
      <c r="A534" s="58">
        <f>SUBTOTAL(3,N$8:Table2[[#This Row],[Nama lengkap]])</f>
        <v>472</v>
      </c>
      <c r="B534" s="32" t="s">
        <v>5032</v>
      </c>
      <c r="C534" s="58">
        <v>2020</v>
      </c>
      <c r="D534" s="58"/>
      <c r="E534" s="58"/>
      <c r="F534" s="58" t="s">
        <v>2512</v>
      </c>
      <c r="G534" s="165"/>
      <c r="H534" s="32"/>
      <c r="I534" s="32"/>
      <c r="J534" s="32"/>
      <c r="K534" s="32"/>
      <c r="L534" s="32"/>
      <c r="M534" s="58">
        <v>20210234</v>
      </c>
      <c r="N534" s="24" t="s">
        <v>6024</v>
      </c>
      <c r="O534" s="24"/>
      <c r="P534" s="25" t="s">
        <v>5103</v>
      </c>
      <c r="Q534" s="25" t="s">
        <v>5104</v>
      </c>
      <c r="R534" s="60" t="s">
        <v>7129</v>
      </c>
      <c r="S534" s="61" t="s">
        <v>5105</v>
      </c>
      <c r="T534" s="47" t="s">
        <v>92</v>
      </c>
      <c r="U534" s="47">
        <v>2</v>
      </c>
      <c r="V534" s="47">
        <v>1</v>
      </c>
      <c r="W534" s="47" t="s">
        <v>207</v>
      </c>
      <c r="X534" s="59" t="s">
        <v>984</v>
      </c>
      <c r="Y534" s="59" t="s">
        <v>984</v>
      </c>
      <c r="Z534" s="59" t="s">
        <v>984</v>
      </c>
      <c r="AA534" s="59" t="s">
        <v>96</v>
      </c>
      <c r="AB534" s="59" t="s">
        <v>689</v>
      </c>
      <c r="AC534" s="59" t="s">
        <v>208</v>
      </c>
      <c r="AD534" s="59" t="s">
        <v>208</v>
      </c>
      <c r="AE534" s="60" t="s">
        <v>5106</v>
      </c>
      <c r="AF534" s="60" t="s">
        <v>6421</v>
      </c>
      <c r="AG534" s="59" t="s">
        <v>6421</v>
      </c>
      <c r="AH534" s="59" t="s">
        <v>691</v>
      </c>
      <c r="AI534" s="59" t="s">
        <v>90</v>
      </c>
      <c r="AJ534" s="61">
        <v>29342</v>
      </c>
      <c r="AK534" s="60" t="s">
        <v>5107</v>
      </c>
      <c r="AL534" s="60" t="s">
        <v>8255</v>
      </c>
      <c r="AM534" s="59" t="s">
        <v>700</v>
      </c>
      <c r="AN534" s="60"/>
      <c r="AO534" s="60"/>
      <c r="AP534" s="59" t="s">
        <v>2521</v>
      </c>
      <c r="AQ534" s="25" t="s">
        <v>1418</v>
      </c>
      <c r="AR534" s="60" t="s">
        <v>1256</v>
      </c>
      <c r="AS534" s="59" t="s">
        <v>2522</v>
      </c>
      <c r="AT534" s="59" t="s">
        <v>163</v>
      </c>
      <c r="AU534" s="59" t="s">
        <v>111</v>
      </c>
      <c r="AV534" s="62">
        <v>40553</v>
      </c>
      <c r="AW534" s="59" t="s">
        <v>8201</v>
      </c>
      <c r="AX534" s="59" t="s">
        <v>691</v>
      </c>
      <c r="AY534" s="59" t="s">
        <v>90</v>
      </c>
      <c r="AZ534" s="126">
        <v>29957</v>
      </c>
      <c r="BA534" s="60" t="s">
        <v>5108</v>
      </c>
      <c r="BB534" s="60" t="s">
        <v>845</v>
      </c>
      <c r="BC534" s="59" t="s">
        <v>700</v>
      </c>
      <c r="BD534" s="60"/>
      <c r="BE534" s="60"/>
      <c r="BF534" s="60"/>
      <c r="BG534" s="59" t="s">
        <v>2521</v>
      </c>
      <c r="BH534" s="60" t="s">
        <v>1369</v>
      </c>
      <c r="BI534" s="60" t="s">
        <v>1256</v>
      </c>
      <c r="BJ534" s="24" t="s">
        <v>2522</v>
      </c>
      <c r="BK534" s="59" t="s">
        <v>163</v>
      </c>
      <c r="BL534" s="59" t="s">
        <v>1938</v>
      </c>
      <c r="BM534" s="24">
        <v>40553</v>
      </c>
      <c r="BN534" s="24"/>
      <c r="BO534" s="59" t="s">
        <v>701</v>
      </c>
      <c r="BP534" s="59"/>
      <c r="BQ534" s="77"/>
      <c r="BR534" s="60"/>
      <c r="BS534" s="60"/>
      <c r="BT534" s="59"/>
      <c r="BU534" s="60"/>
      <c r="BV534" s="60"/>
      <c r="BW534" s="59"/>
      <c r="BX534" s="60"/>
      <c r="BY534" s="60"/>
      <c r="BZ534" s="59"/>
      <c r="CA534" s="59"/>
      <c r="CB534" s="59"/>
      <c r="CC534" s="59"/>
      <c r="CD534" s="59"/>
      <c r="CE534" s="59" t="s">
        <v>7498</v>
      </c>
      <c r="CF534" s="60" t="s">
        <v>1418</v>
      </c>
      <c r="CG534" s="59" t="s">
        <v>7062</v>
      </c>
      <c r="CH534" s="59" t="s">
        <v>7180</v>
      </c>
      <c r="CI534" s="59" t="s">
        <v>155</v>
      </c>
      <c r="CJ534" s="59" t="s">
        <v>111</v>
      </c>
      <c r="CK534" s="47">
        <v>40553</v>
      </c>
      <c r="CL534" s="64" t="str">
        <f t="shared" ca="1" si="8"/>
        <v>17 Tahun 9 Bulan 30 Hari</v>
      </c>
      <c r="CM53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Kp.Cipeundeuy RT/RW 02/01 Desa/Kelurahan Cipeundeuy Kecamatan Padalarang Bandung Barat Jawa Barat 40553</v>
      </c>
    </row>
    <row r="535" spans="1:91" ht="24.95" hidden="1" customHeight="1">
      <c r="A535" s="58">
        <f>SUBTOTAL(3,N$8:Table2[[#This Row],[Nama lengkap]])</f>
        <v>472</v>
      </c>
      <c r="B535" s="58" t="s">
        <v>5032</v>
      </c>
      <c r="C535" s="58">
        <v>2021</v>
      </c>
      <c r="D535" s="58"/>
      <c r="E535" s="58">
        <v>4</v>
      </c>
      <c r="F535" s="58" t="s">
        <v>2512</v>
      </c>
      <c r="G535" s="165"/>
      <c r="H535" s="32"/>
      <c r="I535" s="32"/>
      <c r="J535" s="32"/>
      <c r="K535" s="32"/>
      <c r="L535" s="32"/>
      <c r="M535" s="58">
        <v>21220074</v>
      </c>
      <c r="N535" s="24" t="s">
        <v>8887</v>
      </c>
      <c r="O535" s="24"/>
      <c r="P535" s="25" t="s">
        <v>9951</v>
      </c>
      <c r="Q535" s="25" t="s">
        <v>2886</v>
      </c>
      <c r="R535" s="60" t="s">
        <v>90</v>
      </c>
      <c r="S535" s="61" t="s">
        <v>2887</v>
      </c>
      <c r="T535" s="47" t="s">
        <v>92</v>
      </c>
      <c r="U535" s="47">
        <v>1</v>
      </c>
      <c r="V535" s="47">
        <v>2</v>
      </c>
      <c r="W535" s="47" t="s">
        <v>207</v>
      </c>
      <c r="X535" s="59"/>
      <c r="Y535" s="59"/>
      <c r="Z535" s="59" t="s">
        <v>1093</v>
      </c>
      <c r="AA535" s="59"/>
      <c r="AB535" s="59" t="s">
        <v>689</v>
      </c>
      <c r="AC535" s="59" t="s">
        <v>208</v>
      </c>
      <c r="AD535" s="59" t="s">
        <v>208</v>
      </c>
      <c r="AE535" s="60" t="s">
        <v>2888</v>
      </c>
      <c r="AF535" s="60" t="s">
        <v>8703</v>
      </c>
      <c r="AG535" s="59" t="s">
        <v>8703</v>
      </c>
      <c r="AH535" s="59" t="s">
        <v>691</v>
      </c>
      <c r="AI535" s="59" t="s">
        <v>90</v>
      </c>
      <c r="AJ535" s="61">
        <v>32429</v>
      </c>
      <c r="AK535" s="60" t="s">
        <v>2889</v>
      </c>
      <c r="AL535" s="60" t="s">
        <v>602</v>
      </c>
      <c r="AM535" s="59" t="s">
        <v>800</v>
      </c>
      <c r="AN535" s="60"/>
      <c r="AO535" s="60"/>
      <c r="AP535" s="59" t="s">
        <v>2890</v>
      </c>
      <c r="AQ535" s="25" t="s">
        <v>2891</v>
      </c>
      <c r="AR535" s="60" t="s">
        <v>2892</v>
      </c>
      <c r="AS535" s="59" t="s">
        <v>1495</v>
      </c>
      <c r="AT535" s="59" t="s">
        <v>141</v>
      </c>
      <c r="AU535" s="59" t="s">
        <v>111</v>
      </c>
      <c r="AV535" s="62">
        <v>40375</v>
      </c>
      <c r="AW535" s="59" t="s">
        <v>8202</v>
      </c>
      <c r="AX535" s="59"/>
      <c r="AY535" s="59" t="s">
        <v>90</v>
      </c>
      <c r="AZ535" s="126">
        <v>32576</v>
      </c>
      <c r="BA535" s="60" t="s">
        <v>2893</v>
      </c>
      <c r="BB535" s="60" t="s">
        <v>845</v>
      </c>
      <c r="BC535" s="59" t="s">
        <v>700</v>
      </c>
      <c r="BD535" s="60"/>
      <c r="BE535" s="60"/>
      <c r="BF535" s="60"/>
      <c r="BG535" s="59" t="s">
        <v>2890</v>
      </c>
      <c r="BH535" s="60" t="s">
        <v>2891</v>
      </c>
      <c r="BI535" s="60" t="s">
        <v>2894</v>
      </c>
      <c r="BJ535" s="24" t="s">
        <v>1495</v>
      </c>
      <c r="BK535" s="59" t="s">
        <v>141</v>
      </c>
      <c r="BL535" s="59" t="s">
        <v>156</v>
      </c>
      <c r="BM535" s="24">
        <v>40375</v>
      </c>
      <c r="BN535" s="24"/>
      <c r="BO535" s="59"/>
      <c r="BP535" s="59"/>
      <c r="BQ535" s="77"/>
      <c r="BR535" s="60"/>
      <c r="BS535" s="60"/>
      <c r="BT535" s="59"/>
      <c r="BU535" s="60"/>
      <c r="BV535" s="60"/>
      <c r="BW535" s="59"/>
      <c r="BX535" s="60"/>
      <c r="BY535" s="60"/>
      <c r="BZ535" s="59"/>
      <c r="CA535" s="59"/>
      <c r="CB535" s="59"/>
      <c r="CC535" s="59"/>
      <c r="CD535" s="59"/>
      <c r="CE535" s="59" t="s">
        <v>7720</v>
      </c>
      <c r="CF535" s="60" t="s">
        <v>2891</v>
      </c>
      <c r="CG535" s="59" t="s">
        <v>7311</v>
      </c>
      <c r="CH535" s="59" t="s">
        <v>5444</v>
      </c>
      <c r="CI535" s="59" t="s">
        <v>90</v>
      </c>
      <c r="CJ535" s="59" t="s">
        <v>111</v>
      </c>
      <c r="CK535" s="47">
        <v>40375</v>
      </c>
      <c r="CL535" s="64" t="str">
        <f t="shared" ca="1" si="8"/>
        <v>16 Tahun 1 Bulan 17 Hari</v>
      </c>
      <c r="CM53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Komp.Bumi Sari Indah Ii. Blok.W-42 RT/RW 03/22 Desa/Kelurahan Manggahang Kecamatan Baleendah Bandung Jawa Barat 40375</v>
      </c>
    </row>
    <row r="536" spans="1:91" ht="24.95" hidden="1" customHeight="1">
      <c r="A536" s="58">
        <f>SUBTOTAL(3,N$8:Table2[[#This Row],[Nama lengkap]])</f>
        <v>472</v>
      </c>
      <c r="B536" s="58" t="s">
        <v>5032</v>
      </c>
      <c r="C536" s="58">
        <v>2021</v>
      </c>
      <c r="D536" s="58"/>
      <c r="E536" s="58">
        <v>4</v>
      </c>
      <c r="F536" s="58" t="s">
        <v>2512</v>
      </c>
      <c r="G536" s="165"/>
      <c r="H536" s="32"/>
      <c r="I536" s="32"/>
      <c r="J536" s="32"/>
      <c r="K536" s="32"/>
      <c r="L536" s="32"/>
      <c r="M536" s="58">
        <v>21220026</v>
      </c>
      <c r="N536" s="24" t="s">
        <v>8888</v>
      </c>
      <c r="O536" s="24"/>
      <c r="P536" s="25" t="s">
        <v>2906</v>
      </c>
      <c r="Q536" s="25" t="s">
        <v>2907</v>
      </c>
      <c r="R536" s="60" t="s">
        <v>122</v>
      </c>
      <c r="S536" s="61" t="s">
        <v>2908</v>
      </c>
      <c r="T536" s="47" t="s">
        <v>92</v>
      </c>
      <c r="U536" s="47">
        <v>3</v>
      </c>
      <c r="V536" s="47">
        <v>2</v>
      </c>
      <c r="W536" s="47" t="s">
        <v>207</v>
      </c>
      <c r="X536" s="59"/>
      <c r="Y536" s="59"/>
      <c r="Z536" s="59"/>
      <c r="AA536" s="59" t="s">
        <v>96</v>
      </c>
      <c r="AB536" s="59" t="s">
        <v>1151</v>
      </c>
      <c r="AC536" s="59" t="s">
        <v>208</v>
      </c>
      <c r="AD536" s="59" t="s">
        <v>208</v>
      </c>
      <c r="AE536" s="60" t="s">
        <v>2909</v>
      </c>
      <c r="AF536" s="60"/>
      <c r="AG536" s="59" t="s">
        <v>8704</v>
      </c>
      <c r="AH536" s="59" t="s">
        <v>1071</v>
      </c>
      <c r="AI536" s="59"/>
      <c r="AJ536" s="61"/>
      <c r="AK536" s="60"/>
      <c r="AL536" s="60"/>
      <c r="AM536" s="59"/>
      <c r="AN536" s="60"/>
      <c r="AO536" s="60"/>
      <c r="AP536" s="59"/>
      <c r="AQ536" s="25"/>
      <c r="AR536" s="60"/>
      <c r="AS536" s="59"/>
      <c r="AT536" s="59"/>
      <c r="AU536" s="59" t="s">
        <v>111</v>
      </c>
      <c r="AV536" s="62"/>
      <c r="AW536" s="59" t="s">
        <v>8203</v>
      </c>
      <c r="AX536" s="59"/>
      <c r="AY536" s="59" t="s">
        <v>122</v>
      </c>
      <c r="AZ536" s="126">
        <v>18773</v>
      </c>
      <c r="BA536" s="60" t="s">
        <v>2910</v>
      </c>
      <c r="BB536" s="60" t="s">
        <v>914</v>
      </c>
      <c r="BC536" s="59" t="s">
        <v>700</v>
      </c>
      <c r="BD536" s="60"/>
      <c r="BE536" s="60"/>
      <c r="BF536" s="60"/>
      <c r="BG536" s="59" t="s">
        <v>2911</v>
      </c>
      <c r="BH536" s="60" t="s">
        <v>815</v>
      </c>
      <c r="BI536" s="60" t="s">
        <v>2912</v>
      </c>
      <c r="BJ536" s="24" t="s">
        <v>1626</v>
      </c>
      <c r="BK536" s="59" t="s">
        <v>1090</v>
      </c>
      <c r="BL536" s="59" t="s">
        <v>156</v>
      </c>
      <c r="BM536" s="24">
        <v>45364</v>
      </c>
      <c r="BN536" s="24"/>
      <c r="BO536" s="59"/>
      <c r="BP536" s="59"/>
      <c r="BQ536" s="77"/>
      <c r="BR536" s="60"/>
      <c r="BS536" s="60"/>
      <c r="BT536" s="59"/>
      <c r="BU536" s="60"/>
      <c r="BV536" s="60"/>
      <c r="BW536" s="59"/>
      <c r="BX536" s="60"/>
      <c r="BY536" s="60"/>
      <c r="BZ536" s="59"/>
      <c r="CA536" s="59"/>
      <c r="CB536" s="59"/>
      <c r="CC536" s="59"/>
      <c r="CD536" s="59"/>
      <c r="CE536" s="59" t="s">
        <v>7721</v>
      </c>
      <c r="CF536" s="60" t="s">
        <v>815</v>
      </c>
      <c r="CG536" s="60" t="s">
        <v>7312</v>
      </c>
      <c r="CH536" s="24" t="s">
        <v>1518</v>
      </c>
      <c r="CI536" s="59" t="s">
        <v>122</v>
      </c>
      <c r="CJ536" s="59" t="s">
        <v>111</v>
      </c>
      <c r="CK536" s="47">
        <v>45364</v>
      </c>
      <c r="CL536" s="64" t="str">
        <f t="shared" ca="1" si="8"/>
        <v>20 Tahun 5 Bulan 4 Hari</v>
      </c>
      <c r="CM53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Cicabe RT/RW 01/03 Desa/Kelurahan Sindanggalih Kecamatan Cimanggung Sumedang Jawa Barat 45364</v>
      </c>
    </row>
    <row r="537" spans="1:91" ht="24.95" hidden="1" customHeight="1">
      <c r="A537" s="58">
        <f>SUBTOTAL(3,N$8:Table2[[#This Row],[Nama lengkap]])</f>
        <v>472</v>
      </c>
      <c r="B537" s="58" t="s">
        <v>5032</v>
      </c>
      <c r="C537" s="58">
        <v>2020</v>
      </c>
      <c r="D537" s="58"/>
      <c r="E537" s="58">
        <v>4</v>
      </c>
      <c r="F537" s="58" t="s">
        <v>2925</v>
      </c>
      <c r="G537" s="165"/>
      <c r="H537" s="32"/>
      <c r="I537" s="32"/>
      <c r="J537" s="32"/>
      <c r="K537" s="32"/>
      <c r="L537" s="32"/>
      <c r="M537" s="84">
        <v>20210260</v>
      </c>
      <c r="N537" s="24" t="s">
        <v>6043</v>
      </c>
      <c r="O537" s="24"/>
      <c r="P537" s="25" t="s">
        <v>2951</v>
      </c>
      <c r="Q537" s="25" t="s">
        <v>2952</v>
      </c>
      <c r="R537" s="60" t="s">
        <v>90</v>
      </c>
      <c r="S537" s="61" t="s">
        <v>2953</v>
      </c>
      <c r="T537" s="47" t="s">
        <v>92</v>
      </c>
      <c r="U537" s="47">
        <v>1</v>
      </c>
      <c r="V537" s="47">
        <v>1</v>
      </c>
      <c r="W537" s="47" t="s">
        <v>207</v>
      </c>
      <c r="X537" s="59"/>
      <c r="Y537" s="59" t="s">
        <v>1247</v>
      </c>
      <c r="Z537" s="59" t="s">
        <v>986</v>
      </c>
      <c r="AA537" s="59" t="s">
        <v>1141</v>
      </c>
      <c r="AB537" s="59" t="s">
        <v>689</v>
      </c>
      <c r="AC537" s="59" t="s">
        <v>208</v>
      </c>
      <c r="AD537" s="59" t="s">
        <v>208</v>
      </c>
      <c r="AE537" s="60" t="s">
        <v>2954</v>
      </c>
      <c r="AF537" s="60" t="s">
        <v>8705</v>
      </c>
      <c r="AG537" s="59" t="s">
        <v>8705</v>
      </c>
      <c r="AH537" s="59" t="s">
        <v>691</v>
      </c>
      <c r="AI537" s="59" t="s">
        <v>90</v>
      </c>
      <c r="AJ537" s="61">
        <v>29135</v>
      </c>
      <c r="AK537" s="60" t="s">
        <v>2955</v>
      </c>
      <c r="AL537" s="60" t="s">
        <v>602</v>
      </c>
      <c r="AM537" s="59" t="s">
        <v>800</v>
      </c>
      <c r="AN537" s="60" t="s">
        <v>2956</v>
      </c>
      <c r="AO537" s="60"/>
      <c r="AP537" s="59" t="s">
        <v>2957</v>
      </c>
      <c r="AQ537" s="25" t="s">
        <v>1052</v>
      </c>
      <c r="AR537" s="60" t="s">
        <v>1616</v>
      </c>
      <c r="AS537" s="59" t="s">
        <v>1336</v>
      </c>
      <c r="AT537" s="59" t="s">
        <v>141</v>
      </c>
      <c r="AU537" s="59" t="s">
        <v>111</v>
      </c>
      <c r="AV537" s="62">
        <v>40265</v>
      </c>
      <c r="AW537" s="59" t="s">
        <v>8204</v>
      </c>
      <c r="AX537" s="59" t="s">
        <v>691</v>
      </c>
      <c r="AY537" s="59" t="s">
        <v>90</v>
      </c>
      <c r="AZ537" s="126">
        <v>29168</v>
      </c>
      <c r="BA537" s="60" t="s">
        <v>2958</v>
      </c>
      <c r="BB537" s="60" t="s">
        <v>845</v>
      </c>
      <c r="BC537" s="59" t="s">
        <v>700</v>
      </c>
      <c r="BD537" s="60" t="s">
        <v>2956</v>
      </c>
      <c r="BE537" s="60"/>
      <c r="BF537" s="60"/>
      <c r="BG537" s="59" t="s">
        <v>2957</v>
      </c>
      <c r="BH537" s="25" t="s">
        <v>1052</v>
      </c>
      <c r="BI537" s="60" t="s">
        <v>1616</v>
      </c>
      <c r="BJ537" s="59" t="s">
        <v>1336</v>
      </c>
      <c r="BK537" s="59" t="s">
        <v>141</v>
      </c>
      <c r="BL537" s="59" t="s">
        <v>111</v>
      </c>
      <c r="BM537" s="62">
        <v>40265</v>
      </c>
      <c r="BN537" s="62"/>
      <c r="BO537" s="59" t="s">
        <v>701</v>
      </c>
      <c r="BP537" s="59"/>
      <c r="BQ537" s="77"/>
      <c r="BR537" s="60"/>
      <c r="BS537" s="60"/>
      <c r="BT537" s="59"/>
      <c r="BU537" s="60"/>
      <c r="BV537" s="60"/>
      <c r="BW537" s="59"/>
      <c r="BX537" s="60"/>
      <c r="BY537" s="60"/>
      <c r="BZ537" s="59"/>
      <c r="CA537" s="59"/>
      <c r="CB537" s="59"/>
      <c r="CC537" s="59"/>
      <c r="CD537" s="59"/>
      <c r="CE537" s="59" t="s">
        <v>7722</v>
      </c>
      <c r="CF537" s="60" t="s">
        <v>1052</v>
      </c>
      <c r="CG537" s="59" t="s">
        <v>7096</v>
      </c>
      <c r="CH537" s="59" t="s">
        <v>7069</v>
      </c>
      <c r="CI537" s="59" t="s">
        <v>90</v>
      </c>
      <c r="CJ537" s="59" t="s">
        <v>111</v>
      </c>
      <c r="CK537" s="47">
        <v>40265</v>
      </c>
      <c r="CL537" s="64" t="str">
        <f t="shared" ca="1" si="8"/>
        <v>20 Tahun 6 Bulan 0 Hari</v>
      </c>
      <c r="CM53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Jl.Cijagra I Gg.I No.50 RT/RW 04/02 Desa/Kelurahan Cijagra Kecamatan Lengkong Bandung Jawa Barat 40265</v>
      </c>
    </row>
    <row r="538" spans="1:91" ht="24.95" hidden="1" customHeight="1">
      <c r="A538" s="58">
        <f>SUBTOTAL(3,N$8:Table2[[#This Row],[Nama lengkap]])</f>
        <v>472</v>
      </c>
      <c r="B538" s="58" t="s">
        <v>5032</v>
      </c>
      <c r="C538" s="58">
        <v>2021</v>
      </c>
      <c r="D538" s="58"/>
      <c r="E538" s="58">
        <v>4</v>
      </c>
      <c r="F538" s="58" t="s">
        <v>2925</v>
      </c>
      <c r="G538" s="165"/>
      <c r="H538" s="32"/>
      <c r="I538" s="32"/>
      <c r="J538" s="32"/>
      <c r="K538" s="32"/>
      <c r="L538" s="32"/>
      <c r="M538" s="58">
        <v>21220076</v>
      </c>
      <c r="N538" s="24" t="s">
        <v>8889</v>
      </c>
      <c r="O538" s="24"/>
      <c r="P538" s="25" t="s">
        <v>3065</v>
      </c>
      <c r="Q538" s="25" t="s">
        <v>3066</v>
      </c>
      <c r="R538" s="60" t="s">
        <v>90</v>
      </c>
      <c r="S538" s="61" t="s">
        <v>3067</v>
      </c>
      <c r="T538" s="47" t="s">
        <v>92</v>
      </c>
      <c r="U538" s="47">
        <v>5</v>
      </c>
      <c r="V538" s="47">
        <v>4</v>
      </c>
      <c r="W538" s="47" t="s">
        <v>207</v>
      </c>
      <c r="X538" s="59"/>
      <c r="Y538" s="59" t="s">
        <v>1068</v>
      </c>
      <c r="Z538" s="59" t="s">
        <v>1150</v>
      </c>
      <c r="AA538" s="59" t="s">
        <v>96</v>
      </c>
      <c r="AB538" s="59" t="s">
        <v>689</v>
      </c>
      <c r="AC538" s="59" t="s">
        <v>208</v>
      </c>
      <c r="AD538" s="59" t="s">
        <v>208</v>
      </c>
      <c r="AE538" s="60" t="s">
        <v>3068</v>
      </c>
      <c r="AF538" s="60" t="s">
        <v>8706</v>
      </c>
      <c r="AG538" s="59" t="s">
        <v>8706</v>
      </c>
      <c r="AH538" s="59" t="s">
        <v>1071</v>
      </c>
      <c r="AI538" s="59" t="s">
        <v>90</v>
      </c>
      <c r="AJ538" s="61"/>
      <c r="AK538" s="60" t="s">
        <v>3069</v>
      </c>
      <c r="AL538" s="60" t="s">
        <v>114</v>
      </c>
      <c r="AM538" s="59" t="s">
        <v>800</v>
      </c>
      <c r="AN538" s="60"/>
      <c r="AO538" s="60"/>
      <c r="AP538" s="59" t="s">
        <v>3070</v>
      </c>
      <c r="AQ538" s="25" t="s">
        <v>3071</v>
      </c>
      <c r="AR538" s="60" t="s">
        <v>3072</v>
      </c>
      <c r="AS538" s="59" t="s">
        <v>618</v>
      </c>
      <c r="AT538" s="59" t="s">
        <v>141</v>
      </c>
      <c r="AU538" s="59" t="s">
        <v>111</v>
      </c>
      <c r="AV538" s="62"/>
      <c r="AW538" s="59" t="s">
        <v>8205</v>
      </c>
      <c r="AX538" s="59" t="s">
        <v>1071</v>
      </c>
      <c r="AY538" s="59" t="s">
        <v>90</v>
      </c>
      <c r="AZ538" s="126" t="s">
        <v>1664</v>
      </c>
      <c r="BA538" s="60" t="s">
        <v>3073</v>
      </c>
      <c r="BB538" s="60" t="s">
        <v>845</v>
      </c>
      <c r="BC538" s="59" t="s">
        <v>1820</v>
      </c>
      <c r="BD538" s="60"/>
      <c r="BE538" s="60"/>
      <c r="BF538" s="60"/>
      <c r="BG538" s="59" t="s">
        <v>3070</v>
      </c>
      <c r="BH538" s="60" t="s">
        <v>3071</v>
      </c>
      <c r="BI538" s="60" t="s">
        <v>3072</v>
      </c>
      <c r="BJ538" s="24" t="s">
        <v>618</v>
      </c>
      <c r="BK538" s="59" t="s">
        <v>141</v>
      </c>
      <c r="BL538" s="59" t="s">
        <v>156</v>
      </c>
      <c r="BM538" s="24"/>
      <c r="BN538" s="24"/>
      <c r="BO538" s="59"/>
      <c r="BP538" s="59"/>
      <c r="BQ538" s="77"/>
      <c r="BR538" s="60"/>
      <c r="BS538" s="60"/>
      <c r="BT538" s="59"/>
      <c r="BU538" s="60"/>
      <c r="BV538" s="60"/>
      <c r="BW538" s="59"/>
      <c r="BX538" s="60"/>
      <c r="BY538" s="60"/>
      <c r="BZ538" s="59"/>
      <c r="CA538" s="59"/>
      <c r="CB538" s="59"/>
      <c r="CC538" s="59"/>
      <c r="CD538" s="59"/>
      <c r="CE538" s="59" t="s">
        <v>7723</v>
      </c>
      <c r="CF538" s="60" t="s">
        <v>3071</v>
      </c>
      <c r="CG538" s="59" t="s">
        <v>7313</v>
      </c>
      <c r="CH538" s="59" t="s">
        <v>507</v>
      </c>
      <c r="CI538" s="59" t="s">
        <v>90</v>
      </c>
      <c r="CJ538" s="59" t="s">
        <v>111</v>
      </c>
      <c r="CK538" s="47"/>
      <c r="CL538" s="64" t="str">
        <f t="shared" ca="1" si="8"/>
        <v>17 Tahun 5 Bulan 17 Hari</v>
      </c>
      <c r="CM53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Damar Mas Regency Cluster Malabar Barat Iii 0.7 RT/RW 05/12 Desa/Kelurahan Kemasan Kecamatan Banjaran Bandung Jawa Barat </v>
      </c>
    </row>
    <row r="539" spans="1:91" ht="24.95" hidden="1" customHeight="1">
      <c r="A539" s="58">
        <f>SUBTOTAL(3,N$8:Table2[[#This Row],[Nama lengkap]])</f>
        <v>472</v>
      </c>
      <c r="B539" s="58" t="s">
        <v>5032</v>
      </c>
      <c r="C539" s="58">
        <v>2019</v>
      </c>
      <c r="D539" s="58" t="s">
        <v>6430</v>
      </c>
      <c r="E539" s="58">
        <v>5</v>
      </c>
      <c r="F539" s="58" t="s">
        <v>3320</v>
      </c>
      <c r="G539" s="165" t="s">
        <v>8986</v>
      </c>
      <c r="H539" s="32"/>
      <c r="I539" s="32"/>
      <c r="J539" s="32"/>
      <c r="K539" s="32"/>
      <c r="L539" s="32"/>
      <c r="M539" s="58">
        <v>19200229</v>
      </c>
      <c r="N539" s="24" t="s">
        <v>3457</v>
      </c>
      <c r="O539" s="24"/>
      <c r="P539" s="25" t="s">
        <v>3458</v>
      </c>
      <c r="Q539" s="25" t="s">
        <v>3459</v>
      </c>
      <c r="R539" s="60" t="s">
        <v>236</v>
      </c>
      <c r="S539" s="61" t="s">
        <v>3460</v>
      </c>
      <c r="T539" s="47" t="s">
        <v>92</v>
      </c>
      <c r="U539" s="47">
        <v>1</v>
      </c>
      <c r="V539" s="47">
        <v>1</v>
      </c>
      <c r="W539" s="47" t="s">
        <v>207</v>
      </c>
      <c r="X539" s="59"/>
      <c r="Y539" s="59" t="s">
        <v>1385</v>
      </c>
      <c r="Z539" s="59" t="s">
        <v>3461</v>
      </c>
      <c r="AA539" s="59" t="s">
        <v>96</v>
      </c>
      <c r="AB539" s="59" t="s">
        <v>689</v>
      </c>
      <c r="AC539" s="59" t="s">
        <v>208</v>
      </c>
      <c r="AD539" s="59" t="s">
        <v>208</v>
      </c>
      <c r="AE539" s="60" t="s">
        <v>3462</v>
      </c>
      <c r="AF539" s="60" t="s">
        <v>8707</v>
      </c>
      <c r="AG539" s="59" t="s">
        <v>8707</v>
      </c>
      <c r="AH539" s="59" t="s">
        <v>691</v>
      </c>
      <c r="AI539" s="59" t="s">
        <v>236</v>
      </c>
      <c r="AJ539" s="61" t="s">
        <v>3463</v>
      </c>
      <c r="AK539" s="60" t="s">
        <v>3464</v>
      </c>
      <c r="AL539" s="60" t="s">
        <v>114</v>
      </c>
      <c r="AM539" s="59" t="s">
        <v>800</v>
      </c>
      <c r="AN539" s="60"/>
      <c r="AO539" s="60"/>
      <c r="AP539" s="59" t="s">
        <v>3465</v>
      </c>
      <c r="AQ539" s="25" t="s">
        <v>880</v>
      </c>
      <c r="AR539" s="60" t="s">
        <v>696</v>
      </c>
      <c r="AS539" s="59" t="s">
        <v>697</v>
      </c>
      <c r="AT539" s="59" t="s">
        <v>512</v>
      </c>
      <c r="AU539" s="59" t="s">
        <v>111</v>
      </c>
      <c r="AV539" s="62">
        <v>44353</v>
      </c>
      <c r="AW539" s="59" t="s">
        <v>8206</v>
      </c>
      <c r="AX539" s="59" t="s">
        <v>691</v>
      </c>
      <c r="AY539" s="59" t="s">
        <v>236</v>
      </c>
      <c r="AZ539" s="126" t="s">
        <v>3466</v>
      </c>
      <c r="BA539" s="60" t="s">
        <v>3467</v>
      </c>
      <c r="BB539" s="60" t="s">
        <v>845</v>
      </c>
      <c r="BC539" s="59" t="s">
        <v>800</v>
      </c>
      <c r="BD539" s="60"/>
      <c r="BE539" s="60"/>
      <c r="BF539" s="60"/>
      <c r="BG539" s="59" t="s">
        <v>3465</v>
      </c>
      <c r="BH539" s="60" t="s">
        <v>880</v>
      </c>
      <c r="BI539" s="60" t="s">
        <v>696</v>
      </c>
      <c r="BJ539" s="24" t="s">
        <v>697</v>
      </c>
      <c r="BK539" s="59" t="s">
        <v>512</v>
      </c>
      <c r="BL539" s="59" t="s">
        <v>156</v>
      </c>
      <c r="BM539" s="24">
        <v>44153</v>
      </c>
      <c r="BN539" s="24"/>
      <c r="BO539" s="59" t="s">
        <v>701</v>
      </c>
      <c r="BP539" s="59"/>
      <c r="BQ539" s="77"/>
      <c r="BR539" s="60"/>
      <c r="BS539" s="60"/>
      <c r="BT539" s="59"/>
      <c r="BU539" s="60"/>
      <c r="BV539" s="60"/>
      <c r="BW539" s="59"/>
      <c r="BX539" s="60"/>
      <c r="BY539" s="60"/>
      <c r="BZ539" s="59"/>
      <c r="CA539" s="59"/>
      <c r="CB539" s="59"/>
      <c r="CC539" s="59"/>
      <c r="CD539" s="59"/>
      <c r="CE539" s="59" t="s">
        <v>7601</v>
      </c>
      <c r="CF539" s="60" t="s">
        <v>880</v>
      </c>
      <c r="CG539" s="59" t="s">
        <v>7025</v>
      </c>
      <c r="CH539" s="59" t="s">
        <v>7010</v>
      </c>
      <c r="CI539" s="59" t="s">
        <v>236</v>
      </c>
      <c r="CJ539" s="59" t="s">
        <v>111</v>
      </c>
      <c r="CK539" s="47">
        <v>44353</v>
      </c>
      <c r="CL539" s="64" t="str">
        <f t="shared" ca="1" si="8"/>
        <v>19 Tahun 3 Bulan 9 Hari</v>
      </c>
      <c r="CM53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Kp.Neglasari RT/RW 01/02 Desa/Kelurahan Talagasari Kecamatan Kadungora Garut Jawa Barat 44353</v>
      </c>
    </row>
    <row r="540" spans="1:91" ht="24.95" hidden="1" customHeight="1">
      <c r="A540" s="58">
        <f>SUBTOTAL(3,N$8:Table2[[#This Row],[Nama lengkap]])</f>
        <v>472</v>
      </c>
      <c r="B540" s="58" t="s">
        <v>5032</v>
      </c>
      <c r="C540" s="58">
        <v>2019</v>
      </c>
      <c r="D540" s="58"/>
      <c r="E540" s="58">
        <v>5</v>
      </c>
      <c r="F540" s="58" t="s">
        <v>3783</v>
      </c>
      <c r="G540" s="165"/>
      <c r="H540" s="32"/>
      <c r="I540" s="32"/>
      <c r="J540" s="32"/>
      <c r="K540" s="32"/>
      <c r="L540" s="32"/>
      <c r="M540" s="58">
        <v>19200373</v>
      </c>
      <c r="N540" s="31" t="s">
        <v>8890</v>
      </c>
      <c r="O540" s="31"/>
      <c r="P540" s="32" t="s">
        <v>3794</v>
      </c>
      <c r="Q540" s="32" t="s">
        <v>3795</v>
      </c>
      <c r="R540" s="64" t="s">
        <v>90</v>
      </c>
      <c r="S540" s="69" t="s">
        <v>3796</v>
      </c>
      <c r="T540" s="47" t="s">
        <v>92</v>
      </c>
      <c r="U540" s="58">
        <v>3</v>
      </c>
      <c r="V540" s="58">
        <v>2</v>
      </c>
      <c r="W540" s="47" t="s">
        <v>207</v>
      </c>
      <c r="X540" s="64" t="s">
        <v>123</v>
      </c>
      <c r="Y540" s="64" t="s">
        <v>3569</v>
      </c>
      <c r="Z540" s="64" t="s">
        <v>1874</v>
      </c>
      <c r="AA540" s="64" t="s">
        <v>96</v>
      </c>
      <c r="AB540" s="64" t="s">
        <v>689</v>
      </c>
      <c r="AC540" s="64" t="s">
        <v>208</v>
      </c>
      <c r="AD540" s="64" t="s">
        <v>208</v>
      </c>
      <c r="AE540" s="67" t="s">
        <v>3797</v>
      </c>
      <c r="AF540" s="67" t="s">
        <v>8708</v>
      </c>
      <c r="AG540" s="67" t="s">
        <v>8708</v>
      </c>
      <c r="AH540" s="64" t="s">
        <v>691</v>
      </c>
      <c r="AI540" s="64" t="s">
        <v>90</v>
      </c>
      <c r="AJ540" s="69">
        <v>26395</v>
      </c>
      <c r="AK540" s="67" t="s">
        <v>3798</v>
      </c>
      <c r="AL540" s="64" t="s">
        <v>114</v>
      </c>
      <c r="AM540" s="67" t="s">
        <v>700</v>
      </c>
      <c r="AN540" s="67"/>
      <c r="AO540" s="64"/>
      <c r="AP540" s="64" t="s">
        <v>3799</v>
      </c>
      <c r="AQ540" s="32" t="s">
        <v>756</v>
      </c>
      <c r="AR540" s="64" t="s">
        <v>3007</v>
      </c>
      <c r="AS540" s="64" t="s">
        <v>2996</v>
      </c>
      <c r="AT540" s="64" t="s">
        <v>141</v>
      </c>
      <c r="AU540" s="59" t="s">
        <v>111</v>
      </c>
      <c r="AV540" s="67" t="s">
        <v>3800</v>
      </c>
      <c r="AW540" s="67" t="s">
        <v>8207</v>
      </c>
      <c r="AX540" s="64" t="s">
        <v>691</v>
      </c>
      <c r="AY540" s="64" t="s">
        <v>90</v>
      </c>
      <c r="AZ540" s="125">
        <v>27170</v>
      </c>
      <c r="BA540" s="67" t="s">
        <v>3801</v>
      </c>
      <c r="BB540" s="64" t="s">
        <v>845</v>
      </c>
      <c r="BC540" s="67" t="s">
        <v>3802</v>
      </c>
      <c r="BD540" s="67"/>
      <c r="BE540" s="64"/>
      <c r="BF540" s="64"/>
      <c r="BG540" s="64" t="s">
        <v>3799</v>
      </c>
      <c r="BH540" s="67" t="s">
        <v>756</v>
      </c>
      <c r="BI540" s="64" t="s">
        <v>3007</v>
      </c>
      <c r="BJ540" s="40" t="s">
        <v>2996</v>
      </c>
      <c r="BK540" s="64" t="s">
        <v>141</v>
      </c>
      <c r="BL540" s="67" t="s">
        <v>156</v>
      </c>
      <c r="BM540" s="67" t="s">
        <v>3800</v>
      </c>
      <c r="BN540" s="67"/>
      <c r="BO540" s="64" t="s">
        <v>701</v>
      </c>
      <c r="BP540" s="64"/>
      <c r="BQ540" s="135"/>
      <c r="BR540" s="67"/>
      <c r="BS540" s="64"/>
      <c r="BT540" s="67"/>
      <c r="BU540" s="67"/>
      <c r="BV540" s="64"/>
      <c r="BW540" s="64"/>
      <c r="BX540" s="67"/>
      <c r="BY540" s="64"/>
      <c r="BZ540" s="64"/>
      <c r="CA540" s="64"/>
      <c r="CB540" s="64"/>
      <c r="CC540" s="64"/>
      <c r="CD540" s="64"/>
      <c r="CE540" s="64" t="s">
        <v>7724</v>
      </c>
      <c r="CF540" s="67" t="s">
        <v>756</v>
      </c>
      <c r="CG540" s="64" t="s">
        <v>7212</v>
      </c>
      <c r="CH540" s="64" t="s">
        <v>7211</v>
      </c>
      <c r="CI540" s="64" t="s">
        <v>90</v>
      </c>
      <c r="CJ540" s="64" t="s">
        <v>111</v>
      </c>
      <c r="CK540" s="58" t="s">
        <v>3800</v>
      </c>
      <c r="CL540" s="64" t="str">
        <f t="shared" ca="1" si="8"/>
        <v>18 Tahun 1 Bulan 27 Hari</v>
      </c>
      <c r="CM54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Kp.Mekarbakti RT/RW 02/09 Desa/Kelurahan Tribaktimulya Kecamatan Pangalengan Bandung Jawa Barat 40378</v>
      </c>
    </row>
    <row r="541" spans="1:91" ht="24.95" hidden="1" customHeight="1">
      <c r="A541" s="58">
        <f>SUBTOTAL(3,N$8:Table2[[#This Row],[Nama lengkap]])</f>
        <v>472</v>
      </c>
      <c r="B541" s="58" t="s">
        <v>5032</v>
      </c>
      <c r="C541" s="58">
        <v>2019</v>
      </c>
      <c r="D541" s="58"/>
      <c r="E541" s="58">
        <v>5</v>
      </c>
      <c r="F541" s="58" t="s">
        <v>3783</v>
      </c>
      <c r="G541" s="165" t="s">
        <v>8986</v>
      </c>
      <c r="H541" s="32"/>
      <c r="I541" s="32"/>
      <c r="J541" s="32"/>
      <c r="K541" s="32"/>
      <c r="L541" s="32"/>
      <c r="M541" s="58">
        <v>19200200</v>
      </c>
      <c r="N541" s="31" t="s">
        <v>8891</v>
      </c>
      <c r="O541" s="31"/>
      <c r="P541" s="32" t="s">
        <v>3847</v>
      </c>
      <c r="Q541" s="32" t="s">
        <v>3848</v>
      </c>
      <c r="R541" s="64" t="s">
        <v>236</v>
      </c>
      <c r="S541" s="69" t="s">
        <v>3849</v>
      </c>
      <c r="T541" s="47" t="s">
        <v>92</v>
      </c>
      <c r="U541" s="58">
        <v>5</v>
      </c>
      <c r="V541" s="58">
        <v>5</v>
      </c>
      <c r="W541" s="47" t="s">
        <v>207</v>
      </c>
      <c r="X541" s="59" t="s">
        <v>123</v>
      </c>
      <c r="Y541" s="64"/>
      <c r="Z541" s="64"/>
      <c r="AA541" s="64" t="s">
        <v>1028</v>
      </c>
      <c r="AB541" s="64" t="s">
        <v>1467</v>
      </c>
      <c r="AC541" s="64" t="s">
        <v>208</v>
      </c>
      <c r="AD541" s="64" t="s">
        <v>208</v>
      </c>
      <c r="AE541" s="67" t="s">
        <v>750</v>
      </c>
      <c r="AF541" s="67" t="s">
        <v>751</v>
      </c>
      <c r="AG541" s="67" t="s">
        <v>751</v>
      </c>
      <c r="AH541" s="64" t="s">
        <v>691</v>
      </c>
      <c r="AI541" s="64" t="s">
        <v>236</v>
      </c>
      <c r="AJ541" s="69">
        <v>25661</v>
      </c>
      <c r="AK541" s="67" t="s">
        <v>752</v>
      </c>
      <c r="AL541" s="64" t="s">
        <v>602</v>
      </c>
      <c r="AM541" s="67" t="s">
        <v>800</v>
      </c>
      <c r="AN541" s="67"/>
      <c r="AO541" s="64"/>
      <c r="AP541" s="64" t="s">
        <v>3850</v>
      </c>
      <c r="AQ541" s="32" t="s">
        <v>756</v>
      </c>
      <c r="AR541" s="64" t="s">
        <v>757</v>
      </c>
      <c r="AS541" s="64" t="s">
        <v>758</v>
      </c>
      <c r="AT541" s="64" t="s">
        <v>512</v>
      </c>
      <c r="AU541" s="59" t="s">
        <v>111</v>
      </c>
      <c r="AV541" s="67" t="s">
        <v>3851</v>
      </c>
      <c r="AW541" s="67" t="s">
        <v>7828</v>
      </c>
      <c r="AX541" s="64" t="s">
        <v>691</v>
      </c>
      <c r="AY541" s="64" t="s">
        <v>236</v>
      </c>
      <c r="AZ541" s="125">
        <v>26893</v>
      </c>
      <c r="BA541" s="67" t="s">
        <v>759</v>
      </c>
      <c r="BB541" s="64" t="s">
        <v>845</v>
      </c>
      <c r="BC541" s="67" t="s">
        <v>800</v>
      </c>
      <c r="BD541" s="67"/>
      <c r="BE541" s="64"/>
      <c r="BF541" s="64"/>
      <c r="BG541" s="64" t="s">
        <v>3850</v>
      </c>
      <c r="BH541" s="67" t="s">
        <v>756</v>
      </c>
      <c r="BI541" s="64" t="s">
        <v>757</v>
      </c>
      <c r="BJ541" s="40" t="s">
        <v>758</v>
      </c>
      <c r="BK541" s="64" t="s">
        <v>512</v>
      </c>
      <c r="BL541" s="67" t="s">
        <v>156</v>
      </c>
      <c r="BM541" s="67" t="s">
        <v>3851</v>
      </c>
      <c r="BN541" s="67"/>
      <c r="BO541" s="64" t="s">
        <v>701</v>
      </c>
      <c r="BP541" s="64"/>
      <c r="BQ541" s="135"/>
      <c r="BR541" s="67"/>
      <c r="BS541" s="64"/>
      <c r="BT541" s="67"/>
      <c r="BU541" s="67"/>
      <c r="BV541" s="64"/>
      <c r="BW541" s="64"/>
      <c r="BX541" s="67"/>
      <c r="BY541" s="64"/>
      <c r="BZ541" s="64"/>
      <c r="CA541" s="64"/>
      <c r="CB541" s="64"/>
      <c r="CC541" s="64"/>
      <c r="CD541" s="64"/>
      <c r="CE541" s="64" t="s">
        <v>7725</v>
      </c>
      <c r="CF541" s="67" t="s">
        <v>756</v>
      </c>
      <c r="CG541" s="64" t="s">
        <v>6755</v>
      </c>
      <c r="CH541" s="64" t="s">
        <v>7028</v>
      </c>
      <c r="CI541" s="64" t="s">
        <v>236</v>
      </c>
      <c r="CJ541" s="64" t="s">
        <v>111</v>
      </c>
      <c r="CK541" s="58" t="s">
        <v>3851</v>
      </c>
      <c r="CL541" s="64" t="str">
        <f t="shared" ca="1" si="8"/>
        <v>22 Tahun 0 Bulan 3 Hari</v>
      </c>
      <c r="CM54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Perum Bumi Malayu Asri Blok G.23 RT/RW 02/09 Desa/Kelurahan Sirnajaya Kecamatan Tarogong Kaler Garut Jawa Barat 44151</v>
      </c>
    </row>
    <row r="542" spans="1:91" ht="24.95" hidden="1" customHeight="1">
      <c r="A542" s="58">
        <f>SUBTOTAL(3,N$8:Table2[[#This Row],[Nama lengkap]])</f>
        <v>472</v>
      </c>
      <c r="B542" s="58" t="s">
        <v>5032</v>
      </c>
      <c r="C542" s="58">
        <v>2018</v>
      </c>
      <c r="D542" s="58"/>
      <c r="E542" s="58">
        <v>6</v>
      </c>
      <c r="F542" s="58" t="s">
        <v>4192</v>
      </c>
      <c r="G542" s="165"/>
      <c r="H542" s="32"/>
      <c r="I542" s="32"/>
      <c r="J542" s="32"/>
      <c r="K542" s="32"/>
      <c r="L542" s="32"/>
      <c r="M542" s="58">
        <v>18190207</v>
      </c>
      <c r="N542" s="24" t="s">
        <v>8892</v>
      </c>
      <c r="O542" s="24"/>
      <c r="P542" s="25" t="s">
        <v>4425</v>
      </c>
      <c r="Q542" s="25" t="s">
        <v>4426</v>
      </c>
      <c r="R542" s="60" t="s">
        <v>122</v>
      </c>
      <c r="S542" s="61" t="s">
        <v>3357</v>
      </c>
      <c r="T542" s="47" t="s">
        <v>92</v>
      </c>
      <c r="U542" s="47">
        <v>5</v>
      </c>
      <c r="V542" s="47">
        <v>11</v>
      </c>
      <c r="W542" s="47" t="s">
        <v>207</v>
      </c>
      <c r="X542" s="59"/>
      <c r="Y542" s="59"/>
      <c r="Z542" s="59" t="s">
        <v>4427</v>
      </c>
      <c r="AA542" s="59" t="s">
        <v>96</v>
      </c>
      <c r="AB542" s="59" t="s">
        <v>689</v>
      </c>
      <c r="AC542" s="59" t="s">
        <v>208</v>
      </c>
      <c r="AD542" s="59" t="s">
        <v>208</v>
      </c>
      <c r="AE542" s="60" t="s">
        <v>4428</v>
      </c>
      <c r="AF542" s="60" t="s">
        <v>8709</v>
      </c>
      <c r="AG542" s="59" t="s">
        <v>8709</v>
      </c>
      <c r="AH542" s="59" t="s">
        <v>2844</v>
      </c>
      <c r="AI542" s="59" t="s">
        <v>122</v>
      </c>
      <c r="AJ542" s="61" t="s">
        <v>4429</v>
      </c>
      <c r="AK542" s="60" t="s">
        <v>4430</v>
      </c>
      <c r="AL542" s="60" t="s">
        <v>7775</v>
      </c>
      <c r="AM542" s="59" t="s">
        <v>1820</v>
      </c>
      <c r="AN542" s="60" t="s">
        <v>4431</v>
      </c>
      <c r="AO542" s="60"/>
      <c r="AP542" s="59" t="s">
        <v>4432</v>
      </c>
      <c r="AQ542" s="25" t="s">
        <v>783</v>
      </c>
      <c r="AR542" s="60" t="s">
        <v>4056</v>
      </c>
      <c r="AS542" s="59" t="s">
        <v>1324</v>
      </c>
      <c r="AT542" s="59" t="s">
        <v>1090</v>
      </c>
      <c r="AU542" s="59" t="s">
        <v>111</v>
      </c>
      <c r="AV542" s="62"/>
      <c r="AW542" s="59" t="s">
        <v>7820</v>
      </c>
      <c r="AX542" s="59" t="s">
        <v>2844</v>
      </c>
      <c r="AY542" s="59" t="s">
        <v>122</v>
      </c>
      <c r="AZ542" s="126" t="s">
        <v>4433</v>
      </c>
      <c r="BA542" s="60" t="s">
        <v>4434</v>
      </c>
      <c r="BB542" s="60" t="s">
        <v>845</v>
      </c>
      <c r="BC542" s="59" t="s">
        <v>800</v>
      </c>
      <c r="BD542" s="60" t="s">
        <v>4435</v>
      </c>
      <c r="BE542" s="60"/>
      <c r="BF542" s="60"/>
      <c r="BG542" s="59" t="s">
        <v>4432</v>
      </c>
      <c r="BH542" s="60" t="s">
        <v>783</v>
      </c>
      <c r="BI542" s="60" t="s">
        <v>4056</v>
      </c>
      <c r="BJ542" s="24" t="s">
        <v>1324</v>
      </c>
      <c r="BK542" s="59" t="s">
        <v>1090</v>
      </c>
      <c r="BL542" s="59" t="s">
        <v>156</v>
      </c>
      <c r="BM542" s="62"/>
      <c r="BN542" s="62"/>
      <c r="BO542" s="59"/>
      <c r="BP542" s="59"/>
      <c r="BQ542" s="77"/>
      <c r="BR542" s="60"/>
      <c r="BS542" s="60"/>
      <c r="BT542" s="59"/>
      <c r="BU542" s="60"/>
      <c r="BV542" s="60"/>
      <c r="BW542" s="59"/>
      <c r="BX542" s="60"/>
      <c r="BY542" s="60"/>
      <c r="BZ542" s="59"/>
      <c r="CA542" s="59"/>
      <c r="CB542" s="59"/>
      <c r="CC542" s="59"/>
      <c r="CD542" s="59"/>
      <c r="CE542" s="59" t="s">
        <v>7726</v>
      </c>
      <c r="CF542" s="60" t="s">
        <v>783</v>
      </c>
      <c r="CG542" s="59" t="s">
        <v>6760</v>
      </c>
      <c r="CH542" s="59" t="s">
        <v>134</v>
      </c>
      <c r="CI542" s="59" t="s">
        <v>122</v>
      </c>
      <c r="CJ542" s="59" t="s">
        <v>111</v>
      </c>
      <c r="CK542" s="47"/>
      <c r="CL542" s="64" t="str">
        <f t="shared" ca="1" si="8"/>
        <v>20 Tahun 8 Bulan 7 Hari</v>
      </c>
      <c r="CM54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Cisero RT/RW 04/06 Desa/Kelurahan Rancamulya Kecamatan Sumedang Utara Sumedang Jawa Barat </v>
      </c>
    </row>
    <row r="543" spans="1:91" ht="24.95" hidden="1" customHeight="1">
      <c r="A543" s="58">
        <f>SUBTOTAL(3,N$8:Table2[[#This Row],[Nama lengkap]])</f>
        <v>472</v>
      </c>
      <c r="B543" s="32" t="s">
        <v>5032</v>
      </c>
      <c r="C543" s="58">
        <v>2021</v>
      </c>
      <c r="D543" s="58"/>
      <c r="E543" s="58"/>
      <c r="F543" s="58"/>
      <c r="G543" s="165"/>
      <c r="H543" s="32"/>
      <c r="I543" s="32"/>
      <c r="J543" s="32"/>
      <c r="K543" s="32"/>
      <c r="L543" s="32"/>
      <c r="M543" s="58">
        <v>21220031</v>
      </c>
      <c r="N543" s="24" t="s">
        <v>8893</v>
      </c>
      <c r="O543" s="24"/>
      <c r="P543" s="25" t="s">
        <v>5050</v>
      </c>
      <c r="Q543" s="25" t="s">
        <v>5051</v>
      </c>
      <c r="R543" s="60" t="s">
        <v>90</v>
      </c>
      <c r="S543" s="61" t="s">
        <v>5052</v>
      </c>
      <c r="T543" s="47" t="s">
        <v>92</v>
      </c>
      <c r="U543" s="47">
        <v>2</v>
      </c>
      <c r="V543" s="47">
        <v>2</v>
      </c>
      <c r="W543" s="47" t="s">
        <v>207</v>
      </c>
      <c r="X543" s="59" t="s">
        <v>984</v>
      </c>
      <c r="Y543" s="59" t="s">
        <v>5053</v>
      </c>
      <c r="Z543" s="59" t="s">
        <v>1042</v>
      </c>
      <c r="AA543" s="59" t="s">
        <v>96</v>
      </c>
      <c r="AB543" s="59" t="s">
        <v>689</v>
      </c>
      <c r="AC543" s="59" t="s">
        <v>208</v>
      </c>
      <c r="AD543" s="59" t="s">
        <v>208</v>
      </c>
      <c r="AE543" s="60" t="s">
        <v>5054</v>
      </c>
      <c r="AF543" s="60" t="s">
        <v>8710</v>
      </c>
      <c r="AG543" s="59" t="s">
        <v>8710</v>
      </c>
      <c r="AH543" s="59" t="s">
        <v>691</v>
      </c>
      <c r="AI543" s="59" t="s">
        <v>90</v>
      </c>
      <c r="AJ543" s="61">
        <v>27227</v>
      </c>
      <c r="AK543" s="60" t="s">
        <v>5055</v>
      </c>
      <c r="AL543" s="60" t="s">
        <v>114</v>
      </c>
      <c r="AM543" s="59" t="s">
        <v>800</v>
      </c>
      <c r="AN543" s="60" t="s">
        <v>5056</v>
      </c>
      <c r="AO543" s="60"/>
      <c r="AP543" s="59" t="s">
        <v>5057</v>
      </c>
      <c r="AQ543" s="25" t="s">
        <v>1122</v>
      </c>
      <c r="AR543" s="60" t="s">
        <v>5058</v>
      </c>
      <c r="AS543" s="59" t="s">
        <v>2006</v>
      </c>
      <c r="AT543" s="59" t="s">
        <v>163</v>
      </c>
      <c r="AU543" s="59" t="s">
        <v>156</v>
      </c>
      <c r="AV543" s="62">
        <v>40559</v>
      </c>
      <c r="AW543" s="59" t="s">
        <v>8208</v>
      </c>
      <c r="AX543" s="59" t="s">
        <v>691</v>
      </c>
      <c r="AY543" s="59" t="s">
        <v>90</v>
      </c>
      <c r="AZ543" s="126">
        <v>30968</v>
      </c>
      <c r="BA543" s="60" t="s">
        <v>5059</v>
      </c>
      <c r="BB543" s="60" t="s">
        <v>845</v>
      </c>
      <c r="BC543" s="59" t="s">
        <v>693</v>
      </c>
      <c r="BD543" s="60" t="s">
        <v>5060</v>
      </c>
      <c r="BE543" s="60"/>
      <c r="BF543" s="60"/>
      <c r="BG543" s="59" t="s">
        <v>5057</v>
      </c>
      <c r="BH543" s="60" t="s">
        <v>1122</v>
      </c>
      <c r="BI543" s="60" t="s">
        <v>5058</v>
      </c>
      <c r="BJ543" s="24" t="s">
        <v>2006</v>
      </c>
      <c r="BK543" s="59" t="s">
        <v>163</v>
      </c>
      <c r="BL543" s="59" t="s">
        <v>156</v>
      </c>
      <c r="BM543" s="24">
        <v>40559</v>
      </c>
      <c r="BN543" s="24"/>
      <c r="BO543" s="59"/>
      <c r="BP543" s="59"/>
      <c r="BQ543" s="77"/>
      <c r="BR543" s="60"/>
      <c r="BS543" s="60"/>
      <c r="BT543" s="59"/>
      <c r="BU543" s="60"/>
      <c r="BV543" s="60"/>
      <c r="BW543" s="59"/>
      <c r="BX543" s="60"/>
      <c r="BY543" s="60"/>
      <c r="BZ543" s="59"/>
      <c r="CA543" s="59"/>
      <c r="CB543" s="59"/>
      <c r="CC543" s="59"/>
      <c r="CD543" s="59"/>
      <c r="CE543" s="59" t="s">
        <v>7727</v>
      </c>
      <c r="CF543" s="60" t="s">
        <v>1122</v>
      </c>
      <c r="CG543" s="59" t="s">
        <v>7314</v>
      </c>
      <c r="CH543" s="59" t="s">
        <v>7131</v>
      </c>
      <c r="CI543" s="59" t="s">
        <v>155</v>
      </c>
      <c r="CJ543" s="59" t="s">
        <v>111</v>
      </c>
      <c r="CK543" s="47">
        <v>40559</v>
      </c>
      <c r="CL543" s="64" t="str">
        <f t="shared" ca="1" si="8"/>
        <v>16 Tahun 8 Bulan 29 Hari</v>
      </c>
      <c r="CM54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Kp.Pangsor RT/RW 03/07 Desa/Kelurahan Cigugur Girang Kecamatan Parongpong Bandung Barat Jawa Barat 40559</v>
      </c>
    </row>
    <row r="544" spans="1:91" ht="24.95" hidden="1" customHeight="1">
      <c r="A544" s="58">
        <f>SUBTOTAL(3,N$8:Table2[[#This Row],[Nama lengkap]])</f>
        <v>472</v>
      </c>
      <c r="B544" s="32" t="s">
        <v>5032</v>
      </c>
      <c r="C544" s="58">
        <v>2024</v>
      </c>
      <c r="D544" s="58"/>
      <c r="E544" s="58"/>
      <c r="F544" s="58"/>
      <c r="G544" s="165"/>
      <c r="H544" s="32"/>
      <c r="I544" s="32"/>
      <c r="J544" s="32"/>
      <c r="K544" s="32"/>
      <c r="L544" s="32"/>
      <c r="M544" s="58">
        <v>24250157</v>
      </c>
      <c r="N544" s="31" t="s">
        <v>8894</v>
      </c>
      <c r="O544" s="31"/>
      <c r="P544" s="32" t="s">
        <v>5109</v>
      </c>
      <c r="Q544" s="32" t="s">
        <v>5110</v>
      </c>
      <c r="R544" s="64" t="s">
        <v>90</v>
      </c>
      <c r="S544" s="69">
        <v>40945</v>
      </c>
      <c r="T544" s="47" t="s">
        <v>92</v>
      </c>
      <c r="U544" s="58">
        <v>2</v>
      </c>
      <c r="V544" s="58">
        <v>1</v>
      </c>
      <c r="W544" s="47" t="s">
        <v>207</v>
      </c>
      <c r="X544" s="64" t="s">
        <v>432</v>
      </c>
      <c r="Y544" s="64" t="s">
        <v>143</v>
      </c>
      <c r="Z544" s="64" t="s">
        <v>255</v>
      </c>
      <c r="AA544" s="64" t="s">
        <v>96</v>
      </c>
      <c r="AB544" s="64" t="s">
        <v>97</v>
      </c>
      <c r="AC544" s="64" t="s">
        <v>98</v>
      </c>
      <c r="AD544" s="64" t="s">
        <v>98</v>
      </c>
      <c r="AE544" s="67" t="s">
        <v>5111</v>
      </c>
      <c r="AF544" s="67" t="s">
        <v>8711</v>
      </c>
      <c r="AG544" s="67" t="s">
        <v>8711</v>
      </c>
      <c r="AH544" s="64" t="s">
        <v>101</v>
      </c>
      <c r="AI544" s="64" t="s">
        <v>90</v>
      </c>
      <c r="AJ544" s="69">
        <v>29108</v>
      </c>
      <c r="AK544" s="67" t="s">
        <v>5113</v>
      </c>
      <c r="AL544" s="64" t="s">
        <v>114</v>
      </c>
      <c r="AM544" s="67" t="s">
        <v>171</v>
      </c>
      <c r="AN544" s="67" t="s">
        <v>5114</v>
      </c>
      <c r="AO544" s="64" t="s">
        <v>130</v>
      </c>
      <c r="AP544" s="64" t="s">
        <v>5115</v>
      </c>
      <c r="AQ544" s="32" t="s">
        <v>132</v>
      </c>
      <c r="AR544" s="64" t="s">
        <v>5116</v>
      </c>
      <c r="AS544" s="64" t="s">
        <v>329</v>
      </c>
      <c r="AT544" s="64" t="s">
        <v>90</v>
      </c>
      <c r="AU544" s="64" t="s">
        <v>318</v>
      </c>
      <c r="AV544" s="67">
        <v>40367</v>
      </c>
      <c r="AW544" s="67" t="s">
        <v>8209</v>
      </c>
      <c r="AX544" s="64" t="s">
        <v>101</v>
      </c>
      <c r="AY544" s="64" t="s">
        <v>90</v>
      </c>
      <c r="AZ544" s="125">
        <v>31400</v>
      </c>
      <c r="BA544" s="67" t="s">
        <v>5117</v>
      </c>
      <c r="BB544" s="64" t="s">
        <v>7782</v>
      </c>
      <c r="BC544" s="67" t="s">
        <v>171</v>
      </c>
      <c r="BD544" s="67" t="s">
        <v>5118</v>
      </c>
      <c r="BE544" s="64" t="s">
        <v>130</v>
      </c>
      <c r="BF544" s="64"/>
      <c r="BG544" s="64" t="s">
        <v>5119</v>
      </c>
      <c r="BH544" s="67" t="s">
        <v>132</v>
      </c>
      <c r="BI544" s="64" t="s">
        <v>5116</v>
      </c>
      <c r="BJ544" s="40" t="s">
        <v>329</v>
      </c>
      <c r="BK544" s="64" t="s">
        <v>90</v>
      </c>
      <c r="BL544" s="67" t="s">
        <v>318</v>
      </c>
      <c r="BM544" s="67">
        <v>40367</v>
      </c>
      <c r="BN544" s="67" t="s">
        <v>161</v>
      </c>
      <c r="BO544" s="64" t="s">
        <v>5112</v>
      </c>
      <c r="BP544" s="64" t="s">
        <v>90</v>
      </c>
      <c r="BQ544" s="135">
        <v>29108</v>
      </c>
      <c r="BR544" s="67">
        <v>3204342410120020</v>
      </c>
      <c r="BS544" s="64" t="s">
        <v>114</v>
      </c>
      <c r="BT544" s="67" t="s">
        <v>171</v>
      </c>
      <c r="BU544" s="67">
        <v>81220344545</v>
      </c>
      <c r="BV544" s="64" t="s">
        <v>117</v>
      </c>
      <c r="BW544" s="64" t="s">
        <v>5119</v>
      </c>
      <c r="BX544" s="67">
        <v>45566</v>
      </c>
      <c r="BY544" s="64" t="s">
        <v>5116</v>
      </c>
      <c r="BZ544" s="64" t="s">
        <v>329</v>
      </c>
      <c r="CA544" s="64" t="s">
        <v>90</v>
      </c>
      <c r="CB544" s="64" t="s">
        <v>318</v>
      </c>
      <c r="CC544" s="64">
        <v>40367</v>
      </c>
      <c r="CD544" s="64" t="s">
        <v>164</v>
      </c>
      <c r="CE544" s="64" t="s">
        <v>7728</v>
      </c>
      <c r="CF544" s="67" t="s">
        <v>132</v>
      </c>
      <c r="CG544" s="64" t="s">
        <v>5116</v>
      </c>
      <c r="CH544" s="64" t="s">
        <v>329</v>
      </c>
      <c r="CI544" s="64" t="s">
        <v>90</v>
      </c>
      <c r="CJ544" s="64" t="s">
        <v>111</v>
      </c>
      <c r="CK544" s="58">
        <v>40367</v>
      </c>
      <c r="CL544" s="64" t="str">
        <f t="shared" ca="1" si="8"/>
        <v>13 Tahun 11 Bulan 17 Hari</v>
      </c>
      <c r="CM54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Paneureusan RT/RW 01/10 Desa/Kelurahan Langensari Kecamatan Solokanjeruk Bandung Jawa Barat 40367</v>
      </c>
    </row>
    <row r="545" spans="1:91" ht="24.95" hidden="1" customHeight="1">
      <c r="A545" s="58">
        <f>SUBTOTAL(3,N$8:Table2[[#This Row],[Nama lengkap]])</f>
        <v>472</v>
      </c>
      <c r="B545" s="32" t="s">
        <v>5032</v>
      </c>
      <c r="C545" s="58" t="s">
        <v>5041</v>
      </c>
      <c r="D545" s="58"/>
      <c r="E545" s="58"/>
      <c r="F545" s="58"/>
      <c r="G545" s="165"/>
      <c r="H545" s="32"/>
      <c r="I545" s="32"/>
      <c r="J545" s="32"/>
      <c r="K545" s="32"/>
      <c r="L545" s="32"/>
      <c r="M545" s="58"/>
      <c r="N545" s="31" t="s">
        <v>8895</v>
      </c>
      <c r="O545" s="31"/>
      <c r="P545" s="32" t="s">
        <v>5121</v>
      </c>
      <c r="Q545" s="32" t="s">
        <v>5122</v>
      </c>
      <c r="R545" s="64" t="s">
        <v>122</v>
      </c>
      <c r="S545" s="69" t="s">
        <v>5123</v>
      </c>
      <c r="T545" s="47" t="s">
        <v>92</v>
      </c>
      <c r="U545" s="58">
        <v>1</v>
      </c>
      <c r="V545" s="58">
        <v>3</v>
      </c>
      <c r="W545" s="47" t="s">
        <v>207</v>
      </c>
      <c r="X545" s="64"/>
      <c r="Y545" s="64" t="s">
        <v>1524</v>
      </c>
      <c r="Z545" s="64" t="s">
        <v>986</v>
      </c>
      <c r="AA545" s="64" t="s">
        <v>96</v>
      </c>
      <c r="AB545" s="64" t="s">
        <v>689</v>
      </c>
      <c r="AC545" s="64" t="s">
        <v>208</v>
      </c>
      <c r="AD545" s="64" t="s">
        <v>208</v>
      </c>
      <c r="AE545" s="67" t="s">
        <v>5124</v>
      </c>
      <c r="AF545" s="67" t="s">
        <v>8712</v>
      </c>
      <c r="AG545" s="67" t="s">
        <v>8712</v>
      </c>
      <c r="AH545" s="64" t="s">
        <v>691</v>
      </c>
      <c r="AI545" s="64" t="s">
        <v>90</v>
      </c>
      <c r="AJ545" s="69">
        <v>29366</v>
      </c>
      <c r="AK545" s="67" t="s">
        <v>5125</v>
      </c>
      <c r="AL545" s="64" t="s">
        <v>114</v>
      </c>
      <c r="AM545" s="67" t="s">
        <v>800</v>
      </c>
      <c r="AN545" s="67"/>
      <c r="AO545" s="64"/>
      <c r="AP545" s="64" t="s">
        <v>5126</v>
      </c>
      <c r="AQ545" s="32" t="s">
        <v>152</v>
      </c>
      <c r="AR545" s="64" t="s">
        <v>2912</v>
      </c>
      <c r="AS545" s="64" t="s">
        <v>1626</v>
      </c>
      <c r="AT545" s="64" t="s">
        <v>1090</v>
      </c>
      <c r="AU545" s="59" t="s">
        <v>111</v>
      </c>
      <c r="AV545" s="67" t="s">
        <v>3920</v>
      </c>
      <c r="AW545" s="67" t="s">
        <v>8210</v>
      </c>
      <c r="AX545" s="64" t="s">
        <v>691</v>
      </c>
      <c r="AY545" s="64" t="s">
        <v>135</v>
      </c>
      <c r="AZ545" s="125">
        <v>31547</v>
      </c>
      <c r="BA545" s="67" t="s">
        <v>5127</v>
      </c>
      <c r="BB545" s="64" t="s">
        <v>602</v>
      </c>
      <c r="BC545" s="67" t="s">
        <v>5128</v>
      </c>
      <c r="BD545" s="67"/>
      <c r="BE545" s="64"/>
      <c r="BF545" s="64"/>
      <c r="BG545" s="64" t="s">
        <v>5126</v>
      </c>
      <c r="BH545" s="67" t="s">
        <v>152</v>
      </c>
      <c r="BI545" s="64" t="s">
        <v>2912</v>
      </c>
      <c r="BJ545" s="40" t="s">
        <v>1626</v>
      </c>
      <c r="BK545" s="64" t="s">
        <v>1090</v>
      </c>
      <c r="BL545" s="67" t="s">
        <v>156</v>
      </c>
      <c r="BM545" s="67" t="s">
        <v>3920</v>
      </c>
      <c r="BN545" s="67"/>
      <c r="BO545" s="64" t="s">
        <v>701</v>
      </c>
      <c r="BP545" s="64"/>
      <c r="BQ545" s="135"/>
      <c r="BR545" s="67"/>
      <c r="BS545" s="64"/>
      <c r="BT545" s="67"/>
      <c r="BU545" s="67"/>
      <c r="BV545" s="64"/>
      <c r="BW545" s="64"/>
      <c r="BX545" s="67"/>
      <c r="BY545" s="64"/>
      <c r="BZ545" s="64"/>
      <c r="CA545" s="64"/>
      <c r="CB545" s="64"/>
      <c r="CC545" s="64"/>
      <c r="CD545" s="64"/>
      <c r="CE545" s="64" t="s">
        <v>7729</v>
      </c>
      <c r="CF545" s="67" t="s">
        <v>152</v>
      </c>
      <c r="CG545" s="64" t="s">
        <v>7312</v>
      </c>
      <c r="CH545" s="64" t="s">
        <v>1518</v>
      </c>
      <c r="CI545" s="64" t="s">
        <v>122</v>
      </c>
      <c r="CJ545" s="64" t="s">
        <v>111</v>
      </c>
      <c r="CK545" s="58" t="s">
        <v>3920</v>
      </c>
      <c r="CL545" s="64" t="str">
        <f t="shared" ca="1" si="8"/>
        <v>18 Tahun 5 Bulan 25 Hari</v>
      </c>
      <c r="CM54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Bangkir RT/RW 02/03 Desa/Kelurahan Sindanggalih Kecamatan Cimanggung Sumedang Jawa Barat 45364</v>
      </c>
    </row>
    <row r="546" spans="1:91" ht="24.95" hidden="1" customHeight="1">
      <c r="A546" s="58">
        <f>SUBTOTAL(3,N$8:Table2[[#This Row],[Nama lengkap]])</f>
        <v>472</v>
      </c>
      <c r="B546" s="32" t="s">
        <v>5032</v>
      </c>
      <c r="C546" s="58" t="s">
        <v>5041</v>
      </c>
      <c r="D546" s="58"/>
      <c r="E546" s="58"/>
      <c r="F546" s="58"/>
      <c r="G546" s="165"/>
      <c r="H546" s="32"/>
      <c r="I546" s="32"/>
      <c r="J546" s="32"/>
      <c r="K546" s="32"/>
      <c r="L546" s="32"/>
      <c r="M546" s="58"/>
      <c r="N546" s="24" t="s">
        <v>5129</v>
      </c>
      <c r="O546" s="24"/>
      <c r="P546" s="25" t="s">
        <v>5130</v>
      </c>
      <c r="Q546" s="25" t="s">
        <v>5131</v>
      </c>
      <c r="R546" s="60" t="s">
        <v>122</v>
      </c>
      <c r="S546" s="61" t="s">
        <v>5132</v>
      </c>
      <c r="T546" s="47" t="s">
        <v>92</v>
      </c>
      <c r="U546" s="47">
        <v>2</v>
      </c>
      <c r="V546" s="47">
        <v>3</v>
      </c>
      <c r="W546" s="47" t="s">
        <v>207</v>
      </c>
      <c r="X546" s="59"/>
      <c r="Y546" s="59"/>
      <c r="Z546" s="59"/>
      <c r="AA546" s="59" t="s">
        <v>96</v>
      </c>
      <c r="AB546" s="59"/>
      <c r="AC546" s="59" t="s">
        <v>208</v>
      </c>
      <c r="AD546" s="59" t="s">
        <v>208</v>
      </c>
      <c r="AE546" s="60" t="s">
        <v>5133</v>
      </c>
      <c r="AF546" s="60" t="s">
        <v>8713</v>
      </c>
      <c r="AG546" s="59" t="s">
        <v>8713</v>
      </c>
      <c r="AH546" s="59" t="s">
        <v>691</v>
      </c>
      <c r="AI546" s="59" t="s">
        <v>388</v>
      </c>
      <c r="AJ546" s="69" t="s">
        <v>5134</v>
      </c>
      <c r="AK546" s="60" t="s">
        <v>5135</v>
      </c>
      <c r="AL546" s="60" t="s">
        <v>114</v>
      </c>
      <c r="AM546" s="59" t="s">
        <v>700</v>
      </c>
      <c r="AN546" s="60"/>
      <c r="AO546" s="60"/>
      <c r="AP546" s="59" t="s">
        <v>5136</v>
      </c>
      <c r="AQ546" s="25" t="s">
        <v>756</v>
      </c>
      <c r="AR546" s="60" t="s">
        <v>2753</v>
      </c>
      <c r="AS546" s="59" t="s">
        <v>1324</v>
      </c>
      <c r="AT546" s="59" t="s">
        <v>1090</v>
      </c>
      <c r="AU546" s="59" t="s">
        <v>156</v>
      </c>
      <c r="AV546" s="62">
        <v>45352</v>
      </c>
      <c r="AW546" s="59" t="s">
        <v>8211</v>
      </c>
      <c r="AX546" s="59" t="s">
        <v>691</v>
      </c>
      <c r="AY546" s="59" t="s">
        <v>122</v>
      </c>
      <c r="AZ546" s="126" t="s">
        <v>5137</v>
      </c>
      <c r="BA546" s="60" t="s">
        <v>5138</v>
      </c>
      <c r="BB546" s="60" t="s">
        <v>845</v>
      </c>
      <c r="BC546" s="59" t="s">
        <v>693</v>
      </c>
      <c r="BD546" s="60"/>
      <c r="BE546" s="60"/>
      <c r="BF546" s="60"/>
      <c r="BG546" s="59" t="s">
        <v>5136</v>
      </c>
      <c r="BH546" s="60" t="s">
        <v>756</v>
      </c>
      <c r="BI546" s="60" t="s">
        <v>2753</v>
      </c>
      <c r="BJ546" s="24" t="s">
        <v>1324</v>
      </c>
      <c r="BK546" s="59" t="s">
        <v>1090</v>
      </c>
      <c r="BL546" s="59" t="s">
        <v>156</v>
      </c>
      <c r="BM546" s="24">
        <v>45352</v>
      </c>
      <c r="BN546" s="24"/>
      <c r="BO546" s="59" t="s">
        <v>701</v>
      </c>
      <c r="BP546" s="59"/>
      <c r="BQ546" s="77"/>
      <c r="BR546" s="60"/>
      <c r="BS546" s="60"/>
      <c r="BT546" s="59"/>
      <c r="BU546" s="60"/>
      <c r="BV546" s="60"/>
      <c r="BW546" s="59"/>
      <c r="BX546" s="60"/>
      <c r="BY546" s="60"/>
      <c r="BZ546" s="59"/>
      <c r="CA546" s="59"/>
      <c r="CB546" s="59"/>
      <c r="CC546" s="59"/>
      <c r="CD546" s="59"/>
      <c r="CE546" s="59" t="s">
        <v>7730</v>
      </c>
      <c r="CF546" s="60" t="s">
        <v>756</v>
      </c>
      <c r="CG546" s="59" t="s">
        <v>7194</v>
      </c>
      <c r="CH546" s="59" t="s">
        <v>134</v>
      </c>
      <c r="CI546" s="59" t="s">
        <v>122</v>
      </c>
      <c r="CJ546" s="59" t="s">
        <v>111</v>
      </c>
      <c r="CK546" s="47">
        <v>45352</v>
      </c>
      <c r="CL546" s="64" t="str">
        <f t="shared" ca="1" si="8"/>
        <v>21 Tahun 5 Bulan 9 Hari</v>
      </c>
      <c r="CM54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Kadupugur RT/RW 02/09 Desa/Kelurahan Sirnamulya Kecamatan Sumedang Utara Sumedang Jawa Barat 45352</v>
      </c>
    </row>
    <row r="547" spans="1:91" ht="24.95" hidden="1" customHeight="1">
      <c r="A547" s="58">
        <f>SUBTOTAL(3,N$8:Table2[[#This Row],[Nama lengkap]])</f>
        <v>472</v>
      </c>
      <c r="B547" s="32" t="s">
        <v>5032</v>
      </c>
      <c r="C547" s="58">
        <v>2024</v>
      </c>
      <c r="D547" s="58"/>
      <c r="E547" s="58"/>
      <c r="F547" s="58"/>
      <c r="G547" s="165"/>
      <c r="H547" s="32"/>
      <c r="I547" s="32"/>
      <c r="J547" s="32"/>
      <c r="K547" s="32"/>
      <c r="L547" s="32"/>
      <c r="M547" s="58">
        <v>24250165</v>
      </c>
      <c r="N547" s="31" t="s">
        <v>8896</v>
      </c>
      <c r="O547" s="31"/>
      <c r="P547" s="32" t="s">
        <v>5139</v>
      </c>
      <c r="Q547" s="32" t="s">
        <v>5140</v>
      </c>
      <c r="R547" s="64" t="s">
        <v>8287</v>
      </c>
      <c r="S547" s="69">
        <v>39884</v>
      </c>
      <c r="T547" s="47" t="s">
        <v>92</v>
      </c>
      <c r="U547" s="58">
        <v>2</v>
      </c>
      <c r="V547" s="58">
        <v>1</v>
      </c>
      <c r="W547" s="47" t="s">
        <v>207</v>
      </c>
      <c r="X547" s="64"/>
      <c r="Y547" s="64"/>
      <c r="Z547" s="64"/>
      <c r="AA547" s="64" t="s">
        <v>191</v>
      </c>
      <c r="AB547" s="64" t="s">
        <v>97</v>
      </c>
      <c r="AC547" s="64" t="s">
        <v>98</v>
      </c>
      <c r="AD547" s="64" t="s">
        <v>98</v>
      </c>
      <c r="AE547" s="67" t="s">
        <v>5141</v>
      </c>
      <c r="AF547" s="67" t="s">
        <v>5142</v>
      </c>
      <c r="AG547" s="67" t="s">
        <v>5142</v>
      </c>
      <c r="AH547" s="64" t="s">
        <v>101</v>
      </c>
      <c r="AI547" s="64" t="s">
        <v>8287</v>
      </c>
      <c r="AJ547" s="69">
        <v>25538</v>
      </c>
      <c r="AK547" s="67" t="s">
        <v>5143</v>
      </c>
      <c r="AL547" s="64" t="s">
        <v>114</v>
      </c>
      <c r="AM547" s="67" t="s">
        <v>196</v>
      </c>
      <c r="AN547" s="67" t="s">
        <v>5144</v>
      </c>
      <c r="AO547" s="64"/>
      <c r="AP547" s="64" t="s">
        <v>5145</v>
      </c>
      <c r="AQ547" s="32" t="s">
        <v>521</v>
      </c>
      <c r="AR547" s="64" t="s">
        <v>5146</v>
      </c>
      <c r="AS547" s="64" t="s">
        <v>5147</v>
      </c>
      <c r="AT547" s="64" t="s">
        <v>5148</v>
      </c>
      <c r="AU547" s="64" t="s">
        <v>111</v>
      </c>
      <c r="AV547" s="67">
        <v>45475</v>
      </c>
      <c r="AW547" s="67" t="s">
        <v>5149</v>
      </c>
      <c r="AX547" s="64" t="s">
        <v>101</v>
      </c>
      <c r="AY547" s="64" t="s">
        <v>6472</v>
      </c>
      <c r="AZ547" s="125">
        <v>28624</v>
      </c>
      <c r="BA547" s="67" t="s">
        <v>5150</v>
      </c>
      <c r="BB547" s="64" t="s">
        <v>845</v>
      </c>
      <c r="BC547" s="67" t="s">
        <v>159</v>
      </c>
      <c r="BD547" s="67" t="s">
        <v>5144</v>
      </c>
      <c r="BE547" s="64"/>
      <c r="BF547" s="64"/>
      <c r="BG547" s="64" t="s">
        <v>5145</v>
      </c>
      <c r="BH547" s="67" t="s">
        <v>521</v>
      </c>
      <c r="BI547" s="64" t="s">
        <v>5146</v>
      </c>
      <c r="BJ547" s="40" t="s">
        <v>5147</v>
      </c>
      <c r="BK547" s="64" t="s">
        <v>5148</v>
      </c>
      <c r="BL547" s="67" t="s">
        <v>111</v>
      </c>
      <c r="BM547" s="67">
        <v>45475</v>
      </c>
      <c r="BN547" s="67"/>
      <c r="BO547" s="64"/>
      <c r="BP547" s="64"/>
      <c r="BQ547" s="135"/>
      <c r="BR547" s="67"/>
      <c r="BS547" s="64"/>
      <c r="BT547" s="67"/>
      <c r="BU547" s="67"/>
      <c r="BV547" s="64"/>
      <c r="BW547" s="64"/>
      <c r="BX547" s="67"/>
      <c r="BY547" s="64"/>
      <c r="BZ547" s="64"/>
      <c r="CA547" s="64"/>
      <c r="CB547" s="64"/>
      <c r="CC547" s="64"/>
      <c r="CD547" s="64"/>
      <c r="CE547" s="64" t="s">
        <v>5145</v>
      </c>
      <c r="CF547" s="67" t="s">
        <v>521</v>
      </c>
      <c r="CG547" s="64" t="s">
        <v>7315</v>
      </c>
      <c r="CH547" s="64" t="s">
        <v>7316</v>
      </c>
      <c r="CI547" s="64" t="s">
        <v>6472</v>
      </c>
      <c r="CJ547" s="64" t="s">
        <v>111</v>
      </c>
      <c r="CK547" s="58">
        <v>45475</v>
      </c>
      <c r="CL547" s="64" t="str">
        <f t="shared" ca="1" si="8"/>
        <v>16 Tahun 10 Bulan 11 Hari</v>
      </c>
      <c r="CM54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Blok Linggawangi RT/RW 02/05 Desa/Kelurahan Waringin Kecamatan Palasah Majalengka Jawa Barat 45475</v>
      </c>
    </row>
    <row r="548" spans="1:91" ht="24.95" hidden="1" customHeight="1">
      <c r="A548" s="58">
        <f>SUBTOTAL(3,N$8:Table2[[#This Row],[Nama lengkap]])</f>
        <v>472</v>
      </c>
      <c r="B548" s="32" t="s">
        <v>5032</v>
      </c>
      <c r="C548" s="58">
        <v>2022</v>
      </c>
      <c r="D548" s="58"/>
      <c r="E548" s="58"/>
      <c r="F548" s="58"/>
      <c r="G548" s="165"/>
      <c r="H548" s="32"/>
      <c r="I548" s="32"/>
      <c r="J548" s="32"/>
      <c r="K548" s="32"/>
      <c r="L548" s="32"/>
      <c r="M548" s="58">
        <v>22230013</v>
      </c>
      <c r="N548" s="24" t="s">
        <v>8897</v>
      </c>
      <c r="O548" s="24"/>
      <c r="P548" s="25" t="s">
        <v>5151</v>
      </c>
      <c r="Q548" s="25" t="s">
        <v>5152</v>
      </c>
      <c r="R548" s="60" t="s">
        <v>90</v>
      </c>
      <c r="S548" s="61" t="s">
        <v>5153</v>
      </c>
      <c r="T548" s="47" t="s">
        <v>92</v>
      </c>
      <c r="U548" s="47">
        <v>1</v>
      </c>
      <c r="V548" s="47">
        <v>2</v>
      </c>
      <c r="W548" s="47" t="s">
        <v>207</v>
      </c>
      <c r="X548" s="59" t="s">
        <v>123</v>
      </c>
      <c r="Y548" s="59" t="s">
        <v>1012</v>
      </c>
      <c r="Z548" s="59" t="s">
        <v>986</v>
      </c>
      <c r="AA548" s="59" t="s">
        <v>96</v>
      </c>
      <c r="AB548" s="59" t="s">
        <v>5154</v>
      </c>
      <c r="AC548" s="59" t="s">
        <v>208</v>
      </c>
      <c r="AD548" s="59" t="s">
        <v>208</v>
      </c>
      <c r="AE548" s="60" t="s">
        <v>5155</v>
      </c>
      <c r="AF548" s="60" t="s">
        <v>8714</v>
      </c>
      <c r="AG548" s="60" t="s">
        <v>8714</v>
      </c>
      <c r="AH548" s="59" t="s">
        <v>1153</v>
      </c>
      <c r="AI548" s="59"/>
      <c r="AJ548" s="61"/>
      <c r="AK548" s="60"/>
      <c r="AL548" s="60"/>
      <c r="AM548" s="59"/>
      <c r="AN548" s="60"/>
      <c r="AO548" s="60"/>
      <c r="AP548" s="59"/>
      <c r="AQ548" s="25"/>
      <c r="AR548" s="60"/>
      <c r="AS548" s="59"/>
      <c r="AT548" s="59"/>
      <c r="AU548" s="59" t="s">
        <v>111</v>
      </c>
      <c r="AV548" s="62"/>
      <c r="AW548" s="59" t="s">
        <v>8212</v>
      </c>
      <c r="AX548" s="59" t="s">
        <v>1153</v>
      </c>
      <c r="AY548" s="59" t="s">
        <v>90</v>
      </c>
      <c r="AZ548" s="126">
        <v>31172</v>
      </c>
      <c r="BA548" s="60" t="s">
        <v>5156</v>
      </c>
      <c r="BB548" s="60" t="s">
        <v>602</v>
      </c>
      <c r="BC548" s="59"/>
      <c r="BD548" s="60"/>
      <c r="BE548" s="60"/>
      <c r="BF548" s="60"/>
      <c r="BG548" s="59" t="s">
        <v>5157</v>
      </c>
      <c r="BH548" s="60" t="s">
        <v>2815</v>
      </c>
      <c r="BI548" s="60" t="s">
        <v>5158</v>
      </c>
      <c r="BJ548" s="24" t="s">
        <v>2083</v>
      </c>
      <c r="BK548" s="59" t="s">
        <v>141</v>
      </c>
      <c r="BL548" s="59" t="s">
        <v>156</v>
      </c>
      <c r="BM548" s="62"/>
      <c r="BN548" s="62" t="s">
        <v>5159</v>
      </c>
      <c r="BO548" s="59" t="s">
        <v>5160</v>
      </c>
      <c r="BP548" s="59" t="s">
        <v>141</v>
      </c>
      <c r="BQ548" s="77" t="s">
        <v>5161</v>
      </c>
      <c r="BR548" s="60" t="s">
        <v>5162</v>
      </c>
      <c r="BS548" s="60" t="s">
        <v>307</v>
      </c>
      <c r="BT548" s="59" t="s">
        <v>800</v>
      </c>
      <c r="BU548" s="60"/>
      <c r="BV548" s="60"/>
      <c r="BW548" s="59" t="s">
        <v>5163</v>
      </c>
      <c r="BX548" s="60" t="s">
        <v>2815</v>
      </c>
      <c r="BY548" s="60" t="s">
        <v>5158</v>
      </c>
      <c r="BZ548" s="59" t="s">
        <v>2083</v>
      </c>
      <c r="CA548" s="59" t="s">
        <v>1706</v>
      </c>
      <c r="CB548" s="59" t="s">
        <v>156</v>
      </c>
      <c r="CC548" s="59">
        <v>40282</v>
      </c>
      <c r="CD548" s="59"/>
      <c r="CE548" s="59" t="s">
        <v>7731</v>
      </c>
      <c r="CF548" s="60" t="s">
        <v>2815</v>
      </c>
      <c r="CG548" s="59" t="s">
        <v>7317</v>
      </c>
      <c r="CH548" s="59" t="s">
        <v>7138</v>
      </c>
      <c r="CI548" s="59" t="s">
        <v>90</v>
      </c>
      <c r="CJ548" s="88" t="s">
        <v>111</v>
      </c>
      <c r="CK548" s="47"/>
      <c r="CL548" s="64" t="str">
        <f t="shared" ca="1" si="8"/>
        <v>16 Tahun 2 Bulan 7 Hari</v>
      </c>
      <c r="CM54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Gg Karamat RT/RW 06/01 Desa/Kelurahan Cicaheum Kecamatan Kiaracondong Bandung Jawa Barat </v>
      </c>
    </row>
    <row r="549" spans="1:91" ht="24.95" hidden="1" customHeight="1">
      <c r="A549" s="58">
        <f>SUBTOTAL(3,N$8:Table2[[#This Row],[Nama lengkap]])</f>
        <v>472</v>
      </c>
      <c r="B549" s="32" t="s">
        <v>5032</v>
      </c>
      <c r="C549" s="58" t="s">
        <v>5041</v>
      </c>
      <c r="D549" s="58"/>
      <c r="E549" s="58"/>
      <c r="F549" s="58"/>
      <c r="G549" s="165"/>
      <c r="H549" s="32"/>
      <c r="I549" s="32"/>
      <c r="J549" s="32"/>
      <c r="K549" s="32"/>
      <c r="L549" s="32"/>
      <c r="M549" s="58"/>
      <c r="N549" s="31" t="s">
        <v>8898</v>
      </c>
      <c r="O549" s="31"/>
      <c r="P549" s="32" t="s">
        <v>5165</v>
      </c>
      <c r="Q549" s="32" t="s">
        <v>5166</v>
      </c>
      <c r="R549" s="64" t="s">
        <v>6846</v>
      </c>
      <c r="S549" s="69" t="s">
        <v>5167</v>
      </c>
      <c r="T549" s="47" t="s">
        <v>92</v>
      </c>
      <c r="U549" s="58">
        <v>3</v>
      </c>
      <c r="V549" s="58">
        <v>3</v>
      </c>
      <c r="W549" s="47" t="s">
        <v>207</v>
      </c>
      <c r="X549" s="59" t="s">
        <v>3817</v>
      </c>
      <c r="Y549" s="64" t="s">
        <v>3569</v>
      </c>
      <c r="Z549" s="64" t="s">
        <v>4361</v>
      </c>
      <c r="AA549" s="64" t="s">
        <v>1028</v>
      </c>
      <c r="AB549" s="64"/>
      <c r="AC549" s="64" t="s">
        <v>208</v>
      </c>
      <c r="AD549" s="64" t="s">
        <v>208</v>
      </c>
      <c r="AE549" s="67" t="s">
        <v>5168</v>
      </c>
      <c r="AF549" s="67" t="s">
        <v>8715</v>
      </c>
      <c r="AG549" s="67" t="s">
        <v>8715</v>
      </c>
      <c r="AH549" s="64" t="s">
        <v>691</v>
      </c>
      <c r="AI549" s="64" t="s">
        <v>6846</v>
      </c>
      <c r="AJ549" s="69">
        <v>25478</v>
      </c>
      <c r="AK549" s="67" t="s">
        <v>5169</v>
      </c>
      <c r="AL549" s="64" t="s">
        <v>114</v>
      </c>
      <c r="AM549" s="67" t="s">
        <v>800</v>
      </c>
      <c r="AN549" s="67"/>
      <c r="AO549" s="64"/>
      <c r="AP549" s="64" t="s">
        <v>4383</v>
      </c>
      <c r="AQ549" s="32" t="s">
        <v>925</v>
      </c>
      <c r="AR549" s="64" t="s">
        <v>5170</v>
      </c>
      <c r="AS549" s="64" t="s">
        <v>1393</v>
      </c>
      <c r="AT549" s="64" t="s">
        <v>1383</v>
      </c>
      <c r="AU549" s="59" t="s">
        <v>111</v>
      </c>
      <c r="AV549" s="67" t="s">
        <v>5171</v>
      </c>
      <c r="AW549" s="67" t="s">
        <v>8213</v>
      </c>
      <c r="AX549" s="64" t="s">
        <v>691</v>
      </c>
      <c r="AY549" s="64" t="s">
        <v>6846</v>
      </c>
      <c r="AZ549" s="125">
        <v>27384</v>
      </c>
      <c r="BA549" s="67" t="s">
        <v>5172</v>
      </c>
      <c r="BB549" s="64" t="s">
        <v>114</v>
      </c>
      <c r="BC549" s="67" t="s">
        <v>800</v>
      </c>
      <c r="BD549" s="67"/>
      <c r="BE549" s="64"/>
      <c r="BF549" s="64"/>
      <c r="BG549" s="64" t="s">
        <v>4383</v>
      </c>
      <c r="BH549" s="67" t="s">
        <v>925</v>
      </c>
      <c r="BI549" s="64" t="s">
        <v>5170</v>
      </c>
      <c r="BJ549" s="40" t="s">
        <v>1393</v>
      </c>
      <c r="BK549" s="64" t="s">
        <v>1383</v>
      </c>
      <c r="BL549" s="67" t="s">
        <v>156</v>
      </c>
      <c r="BM549" s="67" t="s">
        <v>5171</v>
      </c>
      <c r="BN549" s="67"/>
      <c r="BO549" s="64" t="s">
        <v>701</v>
      </c>
      <c r="BP549" s="64"/>
      <c r="BQ549" s="135"/>
      <c r="BR549" s="67"/>
      <c r="BS549" s="64"/>
      <c r="BT549" s="67"/>
      <c r="BU549" s="67"/>
      <c r="BV549" s="64"/>
      <c r="BW549" s="64"/>
      <c r="BX549" s="67"/>
      <c r="BY549" s="64"/>
      <c r="BZ549" s="64"/>
      <c r="CA549" s="64"/>
      <c r="CB549" s="64"/>
      <c r="CC549" s="64"/>
      <c r="CD549" s="64"/>
      <c r="CE549" s="64" t="s">
        <v>7648</v>
      </c>
      <c r="CF549" s="67" t="s">
        <v>925</v>
      </c>
      <c r="CG549" s="64" t="s">
        <v>7318</v>
      </c>
      <c r="CH549" s="64" t="s">
        <v>7073</v>
      </c>
      <c r="CI549" s="64" t="s">
        <v>6846</v>
      </c>
      <c r="CJ549" s="64" t="s">
        <v>111</v>
      </c>
      <c r="CK549" s="58" t="s">
        <v>5171</v>
      </c>
      <c r="CL549" s="64" t="str">
        <f t="shared" ca="1" si="8"/>
        <v>21 Tahun 1 Bulan 20 Hari</v>
      </c>
      <c r="CM54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Leuweung Malang RT/RW 03/01 Desa/Kelurahan Suka Resmi Kecamatan Cikarang Selatan Bekasi Jawa Barat 17530</v>
      </c>
    </row>
    <row r="550" spans="1:91" ht="24.95" hidden="1" customHeight="1">
      <c r="A550" s="58">
        <f>SUBTOTAL(3,N$8:Table2[[#This Row],[Nama lengkap]])</f>
        <v>472</v>
      </c>
      <c r="B550" s="32" t="s">
        <v>5032</v>
      </c>
      <c r="C550" s="58" t="s">
        <v>5041</v>
      </c>
      <c r="D550" s="58"/>
      <c r="E550" s="58"/>
      <c r="F550" s="58"/>
      <c r="G550" s="165"/>
      <c r="H550" s="32"/>
      <c r="I550" s="32"/>
      <c r="J550" s="32"/>
      <c r="K550" s="32"/>
      <c r="L550" s="32"/>
      <c r="M550" s="58"/>
      <c r="N550" s="24" t="s">
        <v>8899</v>
      </c>
      <c r="O550" s="24"/>
      <c r="P550" s="25" t="s">
        <v>5174</v>
      </c>
      <c r="Q550" s="25" t="s">
        <v>5175</v>
      </c>
      <c r="R550" s="60" t="s">
        <v>90</v>
      </c>
      <c r="S550" s="61" t="s">
        <v>5176</v>
      </c>
      <c r="T550" s="47" t="s">
        <v>92</v>
      </c>
      <c r="U550" s="47">
        <v>1</v>
      </c>
      <c r="V550" s="47">
        <v>4</v>
      </c>
      <c r="W550" s="47" t="s">
        <v>207</v>
      </c>
      <c r="X550" s="59"/>
      <c r="Y550" s="59"/>
      <c r="Z550" s="59"/>
      <c r="AA550" s="59" t="s">
        <v>5177</v>
      </c>
      <c r="AB550" s="59"/>
      <c r="AC550" s="59" t="s">
        <v>208</v>
      </c>
      <c r="AD550" s="59" t="s">
        <v>208</v>
      </c>
      <c r="AE550" s="60" t="s">
        <v>5178</v>
      </c>
      <c r="AF550" s="60" t="s">
        <v>8554</v>
      </c>
      <c r="AG550" s="59" t="s">
        <v>8554</v>
      </c>
      <c r="AH550" s="59" t="s">
        <v>2844</v>
      </c>
      <c r="AI550" s="59" t="s">
        <v>122</v>
      </c>
      <c r="AJ550" s="61">
        <v>26791</v>
      </c>
      <c r="AK550" s="60" t="s">
        <v>5179</v>
      </c>
      <c r="AL550" s="60" t="s">
        <v>8268</v>
      </c>
      <c r="AM550" s="59" t="s">
        <v>700</v>
      </c>
      <c r="AN550" s="60"/>
      <c r="AO550" s="60"/>
      <c r="AP550" s="59" t="s">
        <v>5180</v>
      </c>
      <c r="AQ550" s="25" t="s">
        <v>2159</v>
      </c>
      <c r="AR550" s="60" t="s">
        <v>1655</v>
      </c>
      <c r="AS550" s="59" t="s">
        <v>1124</v>
      </c>
      <c r="AT550" s="59" t="s">
        <v>141</v>
      </c>
      <c r="AU550" s="59" t="s">
        <v>111</v>
      </c>
      <c r="AV550" s="62"/>
      <c r="AW550" s="59" t="s">
        <v>8214</v>
      </c>
      <c r="AX550" s="59" t="s">
        <v>2844</v>
      </c>
      <c r="AY550" s="59" t="s">
        <v>90</v>
      </c>
      <c r="AZ550" s="126">
        <v>26952</v>
      </c>
      <c r="BA550" s="60" t="s">
        <v>5181</v>
      </c>
      <c r="BB550" s="60" t="s">
        <v>845</v>
      </c>
      <c r="BC550" s="59" t="s">
        <v>700</v>
      </c>
      <c r="BD550" s="60" t="s">
        <v>5182</v>
      </c>
      <c r="BE550" s="60"/>
      <c r="BF550" s="60"/>
      <c r="BG550" s="59" t="s">
        <v>5180</v>
      </c>
      <c r="BH550" s="60" t="s">
        <v>2159</v>
      </c>
      <c r="BI550" s="60" t="s">
        <v>1655</v>
      </c>
      <c r="BJ550" s="24" t="s">
        <v>1124</v>
      </c>
      <c r="BK550" s="59" t="s">
        <v>141</v>
      </c>
      <c r="BL550" s="59" t="s">
        <v>156</v>
      </c>
      <c r="BM550" s="62"/>
      <c r="BN550" s="62"/>
      <c r="BO550" s="59"/>
      <c r="BP550" s="59"/>
      <c r="BQ550" s="77"/>
      <c r="BR550" s="60"/>
      <c r="BS550" s="60"/>
      <c r="BT550" s="59"/>
      <c r="BU550" s="60"/>
      <c r="BV550" s="60"/>
      <c r="BW550" s="59"/>
      <c r="BX550" s="60"/>
      <c r="BY550" s="60"/>
      <c r="BZ550" s="59"/>
      <c r="CA550" s="59"/>
      <c r="CB550" s="59"/>
      <c r="CC550" s="59"/>
      <c r="CD550" s="59"/>
      <c r="CE550" s="59" t="s">
        <v>7732</v>
      </c>
      <c r="CF550" s="60" t="s">
        <v>2159</v>
      </c>
      <c r="CG550" s="59" t="s">
        <v>7100</v>
      </c>
      <c r="CH550" s="59" t="s">
        <v>7050</v>
      </c>
      <c r="CI550" s="59" t="s">
        <v>90</v>
      </c>
      <c r="CJ550" s="59" t="s">
        <v>111</v>
      </c>
      <c r="CK550" s="47"/>
      <c r="CL550" s="64" t="str">
        <f t="shared" ca="1" si="8"/>
        <v>21 Tahun 4 Bulan 23 Hari</v>
      </c>
      <c r="CM55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Kp.Cijambe RT/RW 05/07 Desa/Kelurahan Cinunuk Kecamatan Cileunyi Bandung Jawa Barat </v>
      </c>
    </row>
    <row r="551" spans="1:91" ht="24.95" hidden="1" customHeight="1">
      <c r="A551" s="58">
        <f>SUBTOTAL(3,N$8:Table2[[#This Row],[Nama lengkap]])</f>
        <v>472</v>
      </c>
      <c r="B551" s="32" t="s">
        <v>5032</v>
      </c>
      <c r="C551" s="58" t="s">
        <v>5041</v>
      </c>
      <c r="D551" s="58"/>
      <c r="E551" s="58"/>
      <c r="F551" s="58"/>
      <c r="G551" s="165"/>
      <c r="H551" s="32"/>
      <c r="I551" s="32"/>
      <c r="J551" s="32"/>
      <c r="K551" s="32"/>
      <c r="L551" s="32"/>
      <c r="M551" s="58"/>
      <c r="N551" s="24" t="s">
        <v>8900</v>
      </c>
      <c r="O551" s="24"/>
      <c r="P551" s="25" t="s">
        <v>5183</v>
      </c>
      <c r="Q551" s="25" t="s">
        <v>5184</v>
      </c>
      <c r="R551" s="60" t="s">
        <v>7319</v>
      </c>
      <c r="S551" s="61" t="s">
        <v>5186</v>
      </c>
      <c r="T551" s="47" t="s">
        <v>92</v>
      </c>
      <c r="U551" s="47">
        <v>1</v>
      </c>
      <c r="V551" s="47">
        <v>1</v>
      </c>
      <c r="W551" s="47" t="s">
        <v>207</v>
      </c>
      <c r="X551" s="59" t="s">
        <v>984</v>
      </c>
      <c r="Y551" s="65" t="s">
        <v>2039</v>
      </c>
      <c r="Z551" s="59" t="s">
        <v>1042</v>
      </c>
      <c r="AA551" s="65"/>
      <c r="AB551" s="65" t="s">
        <v>689</v>
      </c>
      <c r="AC551" s="65" t="s">
        <v>208</v>
      </c>
      <c r="AD551" s="65" t="s">
        <v>208</v>
      </c>
      <c r="AE551" s="66" t="s">
        <v>5187</v>
      </c>
      <c r="AF551" s="65" t="s">
        <v>8716</v>
      </c>
      <c r="AG551" s="65" t="s">
        <v>8716</v>
      </c>
      <c r="AH551" s="65" t="s">
        <v>691</v>
      </c>
      <c r="AI551" s="65" t="s">
        <v>8288</v>
      </c>
      <c r="AJ551" s="133">
        <v>24231</v>
      </c>
      <c r="AK551" s="66" t="s">
        <v>5188</v>
      </c>
      <c r="AL551" s="65" t="s">
        <v>114</v>
      </c>
      <c r="AM551" s="65" t="s">
        <v>800</v>
      </c>
      <c r="AN551" s="60"/>
      <c r="AO551" s="60"/>
      <c r="AP551" s="59" t="s">
        <v>5189</v>
      </c>
      <c r="AQ551" s="25"/>
      <c r="AR551" s="65" t="s">
        <v>5185</v>
      </c>
      <c r="AS551" s="65" t="s">
        <v>5190</v>
      </c>
      <c r="AT551" s="65" t="s">
        <v>5191</v>
      </c>
      <c r="AU551" s="65" t="s">
        <v>5192</v>
      </c>
      <c r="AV551" s="62"/>
      <c r="AW551" s="59" t="s">
        <v>8215</v>
      </c>
      <c r="AX551" s="59" t="s">
        <v>691</v>
      </c>
      <c r="AY551" s="59" t="s">
        <v>7805</v>
      </c>
      <c r="AZ551" s="126">
        <v>27728</v>
      </c>
      <c r="BA551" s="60" t="s">
        <v>5193</v>
      </c>
      <c r="BB551" s="67" t="s">
        <v>845</v>
      </c>
      <c r="BC551" s="60" t="s">
        <v>700</v>
      </c>
      <c r="BD551" s="60"/>
      <c r="BE551" s="60"/>
      <c r="BF551" s="60"/>
      <c r="BG551" s="59" t="s">
        <v>5189</v>
      </c>
      <c r="BH551" s="25"/>
      <c r="BI551" s="65" t="s">
        <v>5185</v>
      </c>
      <c r="BJ551" s="68" t="s">
        <v>5190</v>
      </c>
      <c r="BK551" s="65" t="s">
        <v>5191</v>
      </c>
      <c r="BL551" s="65" t="s">
        <v>5192</v>
      </c>
      <c r="BM551" s="62"/>
      <c r="BN551" s="62"/>
      <c r="BO551" s="59"/>
      <c r="BP551" s="59"/>
      <c r="BQ551" s="77"/>
      <c r="BR551" s="60"/>
      <c r="BS551" s="60"/>
      <c r="BT551" s="59"/>
      <c r="BU551" s="60"/>
      <c r="BV551" s="60"/>
      <c r="BW551" s="59"/>
      <c r="BX551" s="60"/>
      <c r="BY551" s="60"/>
      <c r="BZ551" s="59"/>
      <c r="CA551" s="59"/>
      <c r="CB551" s="59"/>
      <c r="CC551" s="59"/>
      <c r="CD551" s="59"/>
      <c r="CE551" s="59" t="s">
        <v>7733</v>
      </c>
      <c r="CF551" s="60"/>
      <c r="CG551" s="59" t="s">
        <v>7319</v>
      </c>
      <c r="CH551" s="59" t="s">
        <v>7320</v>
      </c>
      <c r="CI551" s="59" t="s">
        <v>7321</v>
      </c>
      <c r="CJ551" s="59" t="s">
        <v>7322</v>
      </c>
      <c r="CK551" s="47"/>
      <c r="CL551" s="64" t="str">
        <f t="shared" ca="1" si="8"/>
        <v>15 Tahun 7 Bulan 10 Hari</v>
      </c>
      <c r="CM55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Huta Iii Sahkuda Bayu RT/RW  Desa/Kelurahan Sahkuda Bayu Kecamatan Gunung Malela Simalungun Sumatera Utara </v>
      </c>
    </row>
    <row r="552" spans="1:91" ht="24.95" hidden="1" customHeight="1">
      <c r="A552" s="58">
        <f>SUBTOTAL(3,N$8:Table2[[#This Row],[Nama lengkap]])</f>
        <v>472</v>
      </c>
      <c r="B552" s="32" t="s">
        <v>5032</v>
      </c>
      <c r="C552" s="58" t="s">
        <v>5041</v>
      </c>
      <c r="D552" s="58"/>
      <c r="E552" s="58"/>
      <c r="F552" s="58"/>
      <c r="G552" s="165"/>
      <c r="H552" s="32"/>
      <c r="I552" s="32"/>
      <c r="J552" s="32"/>
      <c r="K552" s="32"/>
      <c r="L552" s="32"/>
      <c r="M552" s="58"/>
      <c r="N552" s="24" t="s">
        <v>8901</v>
      </c>
      <c r="O552" s="24"/>
      <c r="P552" s="25"/>
      <c r="Q552" s="25" t="s">
        <v>5195</v>
      </c>
      <c r="R552" s="60" t="s">
        <v>90</v>
      </c>
      <c r="S552" s="61" t="s">
        <v>5196</v>
      </c>
      <c r="T552" s="47" t="s">
        <v>92</v>
      </c>
      <c r="U552" s="47">
        <v>1</v>
      </c>
      <c r="V552" s="47">
        <v>3</v>
      </c>
      <c r="W552" s="47" t="s">
        <v>207</v>
      </c>
      <c r="X552" s="59"/>
      <c r="Y552" s="59" t="s">
        <v>3260</v>
      </c>
      <c r="Z552" s="59" t="s">
        <v>1093</v>
      </c>
      <c r="AA552" s="59" t="s">
        <v>753</v>
      </c>
      <c r="AB552" s="59"/>
      <c r="AC552" s="59" t="s">
        <v>208</v>
      </c>
      <c r="AD552" s="59" t="s">
        <v>208</v>
      </c>
      <c r="AE552" s="60" t="s">
        <v>5197</v>
      </c>
      <c r="AF552" s="60" t="s">
        <v>8717</v>
      </c>
      <c r="AG552" s="59" t="s">
        <v>8717</v>
      </c>
      <c r="AH552" s="59" t="s">
        <v>2844</v>
      </c>
      <c r="AI552" s="59" t="s">
        <v>90</v>
      </c>
      <c r="AJ552" s="61">
        <v>26984</v>
      </c>
      <c r="AK552" s="60" t="s">
        <v>5198</v>
      </c>
      <c r="AL552" s="60" t="s">
        <v>114</v>
      </c>
      <c r="AM552" s="59" t="s">
        <v>800</v>
      </c>
      <c r="AN552" s="60"/>
      <c r="AO552" s="60"/>
      <c r="AP552" s="59" t="s">
        <v>5199</v>
      </c>
      <c r="AQ552" s="25" t="s">
        <v>3340</v>
      </c>
      <c r="AR552" s="60" t="s">
        <v>1291</v>
      </c>
      <c r="AS552" s="59" t="s">
        <v>1292</v>
      </c>
      <c r="AT552" s="59" t="s">
        <v>141</v>
      </c>
      <c r="AU552" s="59" t="s">
        <v>111</v>
      </c>
      <c r="AV552" s="62"/>
      <c r="AW552" s="59" t="s">
        <v>8216</v>
      </c>
      <c r="AX552" s="59" t="s">
        <v>5031</v>
      </c>
      <c r="AY552" s="59"/>
      <c r="AZ552" s="129" t="s">
        <v>984</v>
      </c>
      <c r="BA552" s="59" t="s">
        <v>984</v>
      </c>
      <c r="BB552" s="59"/>
      <c r="BC552" s="59" t="s">
        <v>984</v>
      </c>
      <c r="BD552" s="60" t="s">
        <v>5200</v>
      </c>
      <c r="BE552" s="60" t="s">
        <v>984</v>
      </c>
      <c r="BF552" s="60"/>
      <c r="BG552" s="60" t="s">
        <v>984</v>
      </c>
      <c r="BH552" s="60" t="s">
        <v>984</v>
      </c>
      <c r="BI552" s="60" t="s">
        <v>984</v>
      </c>
      <c r="BJ552" s="35" t="s">
        <v>984</v>
      </c>
      <c r="BK552" s="60" t="s">
        <v>984</v>
      </c>
      <c r="BL552" s="60" t="s">
        <v>984</v>
      </c>
      <c r="BM552" s="60" t="s">
        <v>984</v>
      </c>
      <c r="BN552" s="60"/>
      <c r="BO552" s="59"/>
      <c r="BP552" s="59"/>
      <c r="BQ552" s="77"/>
      <c r="BR552" s="60"/>
      <c r="BS552" s="60"/>
      <c r="BT552" s="59"/>
      <c r="BU552" s="60"/>
      <c r="BV552" s="60"/>
      <c r="BW552" s="59"/>
      <c r="BX552" s="60"/>
      <c r="BY552" s="60"/>
      <c r="BZ552" s="59"/>
      <c r="CA552" s="59"/>
      <c r="CB552" s="59"/>
      <c r="CC552" s="59"/>
      <c r="CD552" s="59"/>
      <c r="CE552" s="59" t="s">
        <v>7734</v>
      </c>
      <c r="CF552" s="60" t="s">
        <v>3340</v>
      </c>
      <c r="CG552" s="59" t="s">
        <v>6671</v>
      </c>
      <c r="CH552" s="59" t="s">
        <v>6672</v>
      </c>
      <c r="CI552" s="59" t="s">
        <v>90</v>
      </c>
      <c r="CJ552" s="59" t="s">
        <v>111</v>
      </c>
      <c r="CK552" s="47"/>
      <c r="CL552" s="64" t="str">
        <f t="shared" ca="1" si="8"/>
        <v>24 Tahun 9 Bulan 5 Hari</v>
      </c>
      <c r="CM55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Rancaloa RT/RW 03/08 Desa/Kelurahan Cipamokolan Kecamatan Rancasari Bandung Jawa Barat </v>
      </c>
    </row>
    <row r="553" spans="1:91" ht="24.95" hidden="1" customHeight="1">
      <c r="A553" s="58">
        <f>SUBTOTAL(3,N$8:Table2[[#This Row],[Nama lengkap]])</f>
        <v>472</v>
      </c>
      <c r="B553" s="32" t="s">
        <v>5032</v>
      </c>
      <c r="C553" s="58" t="s">
        <v>5041</v>
      </c>
      <c r="D553" s="58"/>
      <c r="E553" s="58"/>
      <c r="F553" s="58"/>
      <c r="G553" s="165"/>
      <c r="H553" s="32"/>
      <c r="I553" s="32"/>
      <c r="J553" s="32"/>
      <c r="K553" s="32"/>
      <c r="L553" s="32"/>
      <c r="M553" s="58"/>
      <c r="N553" s="24" t="s">
        <v>8902</v>
      </c>
      <c r="O553" s="24"/>
      <c r="P553" s="25" t="s">
        <v>5201</v>
      </c>
      <c r="Q553" s="25" t="s">
        <v>5202</v>
      </c>
      <c r="R553" s="60" t="s">
        <v>7129</v>
      </c>
      <c r="S553" s="61" t="s">
        <v>5203</v>
      </c>
      <c r="T553" s="47" t="s">
        <v>92</v>
      </c>
      <c r="U553" s="47">
        <v>2</v>
      </c>
      <c r="V553" s="47">
        <v>3</v>
      </c>
      <c r="W553" s="47" t="s">
        <v>207</v>
      </c>
      <c r="X553" s="59" t="s">
        <v>984</v>
      </c>
      <c r="Y553" s="59" t="s">
        <v>1247</v>
      </c>
      <c r="Z553" s="59" t="s">
        <v>1591</v>
      </c>
      <c r="AA553" s="59" t="s">
        <v>96</v>
      </c>
      <c r="AB553" s="59" t="s">
        <v>689</v>
      </c>
      <c r="AC553" s="59" t="s">
        <v>208</v>
      </c>
      <c r="AD553" s="59" t="s">
        <v>208</v>
      </c>
      <c r="AE553" s="60" t="s">
        <v>5204</v>
      </c>
      <c r="AF553" s="60" t="s">
        <v>8718</v>
      </c>
      <c r="AG553" s="59" t="s">
        <v>8718</v>
      </c>
      <c r="AH553" s="59" t="s">
        <v>691</v>
      </c>
      <c r="AI553" s="59" t="s">
        <v>90</v>
      </c>
      <c r="AJ553" s="61">
        <v>25522</v>
      </c>
      <c r="AK553" s="60" t="s">
        <v>5205</v>
      </c>
      <c r="AL553" s="60" t="s">
        <v>8255</v>
      </c>
      <c r="AM553" s="59" t="s">
        <v>1728</v>
      </c>
      <c r="AN553" s="60"/>
      <c r="AO553" s="60"/>
      <c r="AP553" s="59" t="s">
        <v>5206</v>
      </c>
      <c r="AQ553" s="25" t="s">
        <v>1566</v>
      </c>
      <c r="AR553" s="60" t="s">
        <v>5207</v>
      </c>
      <c r="AS553" s="59" t="s">
        <v>4148</v>
      </c>
      <c r="AT553" s="59" t="s">
        <v>1706</v>
      </c>
      <c r="AU553" s="59" t="s">
        <v>111</v>
      </c>
      <c r="AV553" s="62"/>
      <c r="AW553" s="59" t="s">
        <v>8217</v>
      </c>
      <c r="AX553" s="59" t="s">
        <v>691</v>
      </c>
      <c r="AY553" s="59" t="s">
        <v>90</v>
      </c>
      <c r="AZ553" s="126">
        <v>26300</v>
      </c>
      <c r="BA553" s="60" t="s">
        <v>5208</v>
      </c>
      <c r="BB553" s="60" t="s">
        <v>845</v>
      </c>
      <c r="BC553" s="59" t="s">
        <v>2807</v>
      </c>
      <c r="BD553" s="60"/>
      <c r="BE553" s="60"/>
      <c r="BF553" s="60"/>
      <c r="BG553" s="59" t="s">
        <v>5206</v>
      </c>
      <c r="BH553" s="60" t="s">
        <v>1313</v>
      </c>
      <c r="BI553" s="60" t="s">
        <v>5207</v>
      </c>
      <c r="BJ553" s="24" t="s">
        <v>4148</v>
      </c>
      <c r="BK553" s="59" t="s">
        <v>1706</v>
      </c>
      <c r="BL553" s="59" t="s">
        <v>1938</v>
      </c>
      <c r="BM553" s="24">
        <v>40971</v>
      </c>
      <c r="BN553" s="24"/>
      <c r="BO553" s="59"/>
      <c r="BP553" s="59"/>
      <c r="BQ553" s="77"/>
      <c r="BR553" s="60"/>
      <c r="BS553" s="60"/>
      <c r="BT553" s="59"/>
      <c r="BU553" s="60"/>
      <c r="BV553" s="60"/>
      <c r="BW553" s="59"/>
      <c r="BX553" s="60"/>
      <c r="BY553" s="60"/>
      <c r="BZ553" s="59"/>
      <c r="CA553" s="59"/>
      <c r="CB553" s="59"/>
      <c r="CC553" s="59"/>
      <c r="CD553" s="59"/>
      <c r="CE553" s="59" t="s">
        <v>7735</v>
      </c>
      <c r="CF553" s="60" t="s">
        <v>1566</v>
      </c>
      <c r="CG553" s="59" t="s">
        <v>643</v>
      </c>
      <c r="CH553" s="59" t="s">
        <v>446</v>
      </c>
      <c r="CI553" s="59" t="s">
        <v>644</v>
      </c>
      <c r="CJ553" s="59" t="s">
        <v>111</v>
      </c>
      <c r="CK553" s="47"/>
      <c r="CL553" s="64" t="str">
        <f t="shared" ca="1" si="8"/>
        <v>16 Tahun 5 Bulan 18 Hari</v>
      </c>
      <c r="CM553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 Ah. Nasution Sukawangi 2/171 RT/RW 05/01 Desa/Kelurahan Pasir Impun Kecamatan Mandalajati Kota Bandung Jawa Barat </v>
      </c>
    </row>
    <row r="554" spans="1:91" ht="24.95" hidden="1" customHeight="1">
      <c r="A554" s="58">
        <f>SUBTOTAL(3,N$8:Table2[[#This Row],[Nama lengkap]])</f>
        <v>472</v>
      </c>
      <c r="B554" s="32" t="s">
        <v>5032</v>
      </c>
      <c r="C554" s="58" t="s">
        <v>5041</v>
      </c>
      <c r="D554" s="58"/>
      <c r="E554" s="58"/>
      <c r="F554" s="58"/>
      <c r="G554" s="165"/>
      <c r="H554" s="32"/>
      <c r="I554" s="32"/>
      <c r="J554" s="32"/>
      <c r="K554" s="32"/>
      <c r="L554" s="32"/>
      <c r="M554" s="58"/>
      <c r="N554" s="24" t="s">
        <v>8903</v>
      </c>
      <c r="O554" s="24"/>
      <c r="P554" s="25"/>
      <c r="Q554" s="25" t="s">
        <v>5210</v>
      </c>
      <c r="R554" s="60" t="s">
        <v>90</v>
      </c>
      <c r="S554" s="61" t="s">
        <v>5211</v>
      </c>
      <c r="T554" s="47" t="s">
        <v>92</v>
      </c>
      <c r="U554" s="47">
        <v>4</v>
      </c>
      <c r="V554" s="47">
        <v>3</v>
      </c>
      <c r="W554" s="47" t="s">
        <v>207</v>
      </c>
      <c r="X554" s="59"/>
      <c r="Y554" s="59" t="s">
        <v>1012</v>
      </c>
      <c r="Z554" s="59" t="s">
        <v>688</v>
      </c>
      <c r="AA554" s="59" t="s">
        <v>96</v>
      </c>
      <c r="AB554" s="59" t="s">
        <v>689</v>
      </c>
      <c r="AC554" s="59" t="s">
        <v>208</v>
      </c>
      <c r="AD554" s="59" t="s">
        <v>208</v>
      </c>
      <c r="AE554" s="60" t="s">
        <v>5212</v>
      </c>
      <c r="AF554" s="60" t="s">
        <v>8218</v>
      </c>
      <c r="AG554" s="59" t="s">
        <v>8719</v>
      </c>
      <c r="AH554" s="59" t="s">
        <v>1071</v>
      </c>
      <c r="AI554" s="59"/>
      <c r="AJ554" s="61"/>
      <c r="AK554" s="60"/>
      <c r="AL554" s="60"/>
      <c r="AM554" s="59"/>
      <c r="AN554" s="60"/>
      <c r="AO554" s="60"/>
      <c r="AP554" s="59"/>
      <c r="AQ554" s="25"/>
      <c r="AR554" s="60"/>
      <c r="AS554" s="59"/>
      <c r="AT554" s="59"/>
      <c r="AU554" s="59" t="s">
        <v>111</v>
      </c>
      <c r="AV554" s="62"/>
      <c r="AW554" s="59" t="s">
        <v>8218</v>
      </c>
      <c r="AX554" s="59" t="s">
        <v>691</v>
      </c>
      <c r="AY554" s="59" t="s">
        <v>90</v>
      </c>
      <c r="AZ554" s="126">
        <v>24592</v>
      </c>
      <c r="BA554" s="60" t="s">
        <v>5213</v>
      </c>
      <c r="BB554" s="60" t="s">
        <v>845</v>
      </c>
      <c r="BC554" s="59" t="s">
        <v>693</v>
      </c>
      <c r="BD554" s="60"/>
      <c r="BE554" s="60"/>
      <c r="BF554" s="60"/>
      <c r="BG554" s="59" t="s">
        <v>5214</v>
      </c>
      <c r="BH554" s="60" t="s">
        <v>769</v>
      </c>
      <c r="BI554" s="60" t="s">
        <v>5215</v>
      </c>
      <c r="BJ554" s="24" t="s">
        <v>771</v>
      </c>
      <c r="BK554" s="59" t="s">
        <v>141</v>
      </c>
      <c r="BL554" s="59" t="s">
        <v>156</v>
      </c>
      <c r="BM554" s="62"/>
      <c r="BN554" s="62"/>
      <c r="BO554" s="59"/>
      <c r="BP554" s="59"/>
      <c r="BQ554" s="77"/>
      <c r="BR554" s="60"/>
      <c r="BS554" s="60"/>
      <c r="BT554" s="59"/>
      <c r="BU554" s="60"/>
      <c r="BV554" s="60"/>
      <c r="BW554" s="59"/>
      <c r="BX554" s="60"/>
      <c r="BY554" s="60"/>
      <c r="BZ554" s="59"/>
      <c r="CA554" s="59"/>
      <c r="CB554" s="59"/>
      <c r="CC554" s="59"/>
      <c r="CD554" s="59"/>
      <c r="CE554" s="59" t="s">
        <v>7736</v>
      </c>
      <c r="CF554" s="60" t="s">
        <v>769</v>
      </c>
      <c r="CG554" s="59" t="s">
        <v>7323</v>
      </c>
      <c r="CH554" s="59" t="s">
        <v>7030</v>
      </c>
      <c r="CI554" s="59" t="s">
        <v>90</v>
      </c>
      <c r="CJ554" s="59" t="s">
        <v>111</v>
      </c>
      <c r="CK554" s="47"/>
      <c r="CL554" s="64" t="str">
        <f t="shared" ca="1" si="8"/>
        <v>19 Tahun 3 Bulan 17 Hari</v>
      </c>
      <c r="CM554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Kp.Campaka RT/RW 04/07 Desa/Kelurahan Campakmulya Kecamatan Cimaung Bandung Jawa Barat </v>
      </c>
    </row>
    <row r="555" spans="1:91" ht="24.95" hidden="1" customHeight="1">
      <c r="A555" s="58">
        <f>SUBTOTAL(3,N$8:Table2[[#This Row],[Nama lengkap]])</f>
        <v>472</v>
      </c>
      <c r="B555" s="32" t="s">
        <v>5032</v>
      </c>
      <c r="C555" s="58" t="s">
        <v>5041</v>
      </c>
      <c r="D555" s="58"/>
      <c r="E555" s="58"/>
      <c r="F555" s="58"/>
      <c r="G555" s="165"/>
      <c r="H555" s="32"/>
      <c r="I555" s="32"/>
      <c r="J555" s="32"/>
      <c r="K555" s="32"/>
      <c r="L555" s="32"/>
      <c r="M555" s="58"/>
      <c r="N555" s="24" t="s">
        <v>8904</v>
      </c>
      <c r="O555" s="24"/>
      <c r="P555" s="25" t="s">
        <v>5216</v>
      </c>
      <c r="Q555" s="25" t="s">
        <v>5217</v>
      </c>
      <c r="R555" s="60" t="s">
        <v>236</v>
      </c>
      <c r="S555" s="61" t="s">
        <v>5218</v>
      </c>
      <c r="T555" s="47" t="s">
        <v>92</v>
      </c>
      <c r="U555" s="47">
        <v>2</v>
      </c>
      <c r="V555" s="47">
        <v>3</v>
      </c>
      <c r="W555" s="47" t="s">
        <v>207</v>
      </c>
      <c r="X555" s="59" t="s">
        <v>984</v>
      </c>
      <c r="Y555" s="59" t="s">
        <v>1247</v>
      </c>
      <c r="Z555" s="59" t="s">
        <v>2930</v>
      </c>
      <c r="AA555" s="59" t="s">
        <v>1141</v>
      </c>
      <c r="AB555" s="59" t="s">
        <v>1151</v>
      </c>
      <c r="AC555" s="59" t="s">
        <v>208</v>
      </c>
      <c r="AD555" s="59" t="s">
        <v>208</v>
      </c>
      <c r="AE555" s="60" t="s">
        <v>5219</v>
      </c>
      <c r="AF555" s="60" t="s">
        <v>8720</v>
      </c>
      <c r="AG555" s="59" t="s">
        <v>8720</v>
      </c>
      <c r="AH555" s="59" t="s">
        <v>691</v>
      </c>
      <c r="AI555" s="59" t="s">
        <v>236</v>
      </c>
      <c r="AJ555" s="61">
        <v>25853</v>
      </c>
      <c r="AK555" s="60" t="s">
        <v>5220</v>
      </c>
      <c r="AL555" s="60" t="s">
        <v>914</v>
      </c>
      <c r="AM555" s="59" t="s">
        <v>693</v>
      </c>
      <c r="AN555" s="60"/>
      <c r="AO555" s="60"/>
      <c r="AP555" s="59" t="s">
        <v>5221</v>
      </c>
      <c r="AQ555" s="25" t="s">
        <v>1865</v>
      </c>
      <c r="AR555" s="60" t="s">
        <v>1671</v>
      </c>
      <c r="AS555" s="59" t="s">
        <v>5222</v>
      </c>
      <c r="AT555" s="59" t="s">
        <v>512</v>
      </c>
      <c r="AU555" s="59" t="s">
        <v>1938</v>
      </c>
      <c r="AV555" s="62">
        <v>44151</v>
      </c>
      <c r="AW555" s="59" t="s">
        <v>8183</v>
      </c>
      <c r="AX555" s="59" t="s">
        <v>691</v>
      </c>
      <c r="AY555" s="59" t="s">
        <v>236</v>
      </c>
      <c r="AZ555" s="126">
        <v>28245</v>
      </c>
      <c r="BA555" s="60" t="s">
        <v>5223</v>
      </c>
      <c r="BB555" s="60" t="s">
        <v>845</v>
      </c>
      <c r="BC555" s="59" t="s">
        <v>700</v>
      </c>
      <c r="BD555" s="60"/>
      <c r="BE555" s="60"/>
      <c r="BF555" s="60"/>
      <c r="BG555" s="59" t="s">
        <v>5221</v>
      </c>
      <c r="BH555" s="60" t="s">
        <v>1865</v>
      </c>
      <c r="BI555" s="60" t="s">
        <v>1671</v>
      </c>
      <c r="BJ555" s="24" t="s">
        <v>5222</v>
      </c>
      <c r="BK555" s="59" t="s">
        <v>512</v>
      </c>
      <c r="BL555" s="59" t="s">
        <v>1938</v>
      </c>
      <c r="BM555" s="24">
        <v>44152</v>
      </c>
      <c r="BN555" s="24"/>
      <c r="BO555" s="59"/>
      <c r="BP555" s="59"/>
      <c r="BQ555" s="77"/>
      <c r="BR555" s="60"/>
      <c r="BS555" s="60"/>
      <c r="BT555" s="59"/>
      <c r="BU555" s="60"/>
      <c r="BV555" s="60"/>
      <c r="BW555" s="59"/>
      <c r="BX555" s="60"/>
      <c r="BY555" s="60"/>
      <c r="BZ555" s="59"/>
      <c r="CA555" s="59"/>
      <c r="CB555" s="59"/>
      <c r="CC555" s="59"/>
      <c r="CD555" s="59"/>
      <c r="CE555" s="59" t="s">
        <v>7737</v>
      </c>
      <c r="CF555" s="60" t="s">
        <v>1865</v>
      </c>
      <c r="CG555" s="59" t="s">
        <v>133</v>
      </c>
      <c r="CH555" s="59" t="s">
        <v>7324</v>
      </c>
      <c r="CI555" s="59" t="s">
        <v>236</v>
      </c>
      <c r="CJ555" s="59" t="s">
        <v>7126</v>
      </c>
      <c r="CK555" s="47">
        <v>44151</v>
      </c>
      <c r="CL555" s="64" t="str">
        <f t="shared" ca="1" si="8"/>
        <v>21 Tahun 9 Bulan 15 Hari</v>
      </c>
      <c r="CM555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Kp.Cikendi RT/RW 02/12 Desa/Kelurahan Mekarjaya Kecamatan Tarogong Kaler  Garut Jawa Barat  44151</v>
      </c>
    </row>
    <row r="556" spans="1:91" ht="24.95" hidden="1" customHeight="1">
      <c r="A556" s="58">
        <f>SUBTOTAL(3,N$8:Table2[[#This Row],[Nama lengkap]])</f>
        <v>472</v>
      </c>
      <c r="B556" s="32" t="s">
        <v>5032</v>
      </c>
      <c r="C556" s="58" t="s">
        <v>5041</v>
      </c>
      <c r="D556" s="58"/>
      <c r="E556" s="58"/>
      <c r="F556" s="58"/>
      <c r="G556" s="165"/>
      <c r="H556" s="32"/>
      <c r="I556" s="32"/>
      <c r="J556" s="32"/>
      <c r="K556" s="32"/>
      <c r="L556" s="32"/>
      <c r="M556" s="58"/>
      <c r="N556" s="24" t="s">
        <v>5224</v>
      </c>
      <c r="O556" s="24"/>
      <c r="P556" s="25" t="s">
        <v>5225</v>
      </c>
      <c r="Q556" s="25" t="s">
        <v>5226</v>
      </c>
      <c r="R556" s="60" t="s">
        <v>456</v>
      </c>
      <c r="S556" s="61" t="s">
        <v>5227</v>
      </c>
      <c r="T556" s="47" t="s">
        <v>92</v>
      </c>
      <c r="U556" s="47">
        <v>2</v>
      </c>
      <c r="V556" s="47">
        <v>2</v>
      </c>
      <c r="W556" s="47" t="s">
        <v>207</v>
      </c>
      <c r="X556" s="59"/>
      <c r="Y556" s="59"/>
      <c r="Z556" s="59"/>
      <c r="AA556" s="59" t="s">
        <v>96</v>
      </c>
      <c r="AB556" s="59"/>
      <c r="AC556" s="59" t="s">
        <v>208</v>
      </c>
      <c r="AD556" s="59" t="s">
        <v>208</v>
      </c>
      <c r="AE556" s="60" t="s">
        <v>5228</v>
      </c>
      <c r="AF556" s="59" t="s">
        <v>8721</v>
      </c>
      <c r="AG556" s="59"/>
      <c r="AH556" s="59"/>
      <c r="AI556" s="59"/>
      <c r="AJ556" s="61"/>
      <c r="AK556" s="60"/>
      <c r="AL556" s="60"/>
      <c r="AM556" s="59"/>
      <c r="AN556" s="60"/>
      <c r="AO556" s="60"/>
      <c r="AP556" s="59" t="s">
        <v>5230</v>
      </c>
      <c r="AQ556" s="25" t="s">
        <v>5231</v>
      </c>
      <c r="AR556" s="60" t="s">
        <v>2148</v>
      </c>
      <c r="AS556" s="59" t="s">
        <v>2149</v>
      </c>
      <c r="AT556" s="59" t="s">
        <v>1165</v>
      </c>
      <c r="AU556" s="59" t="s">
        <v>156</v>
      </c>
      <c r="AV556" s="62">
        <v>40535</v>
      </c>
      <c r="AW556" s="59" t="s">
        <v>8219</v>
      </c>
      <c r="AX556" s="59" t="s">
        <v>691</v>
      </c>
      <c r="AY556" s="59" t="s">
        <v>7806</v>
      </c>
      <c r="AZ556" s="126" t="s">
        <v>5232</v>
      </c>
      <c r="BA556" s="60" t="s">
        <v>5233</v>
      </c>
      <c r="BB556" s="60" t="s">
        <v>845</v>
      </c>
      <c r="BC556" s="59" t="s">
        <v>800</v>
      </c>
      <c r="BD556" s="60"/>
      <c r="BE556" s="60"/>
      <c r="BF556" s="60"/>
      <c r="BG556" s="59" t="s">
        <v>5230</v>
      </c>
      <c r="BH556" s="60" t="s">
        <v>5231</v>
      </c>
      <c r="BI556" s="60" t="s">
        <v>2148</v>
      </c>
      <c r="BJ556" s="24" t="s">
        <v>2149</v>
      </c>
      <c r="BK556" s="59" t="s">
        <v>1165</v>
      </c>
      <c r="BL556" s="59" t="s">
        <v>156</v>
      </c>
      <c r="BM556" s="24">
        <v>40535</v>
      </c>
      <c r="BN556" s="24"/>
      <c r="BO556" s="59" t="s">
        <v>5229</v>
      </c>
      <c r="BP556" s="59" t="s">
        <v>141</v>
      </c>
      <c r="BQ556" s="61" t="s">
        <v>5234</v>
      </c>
      <c r="BR556" s="60" t="s">
        <v>5235</v>
      </c>
      <c r="BS556" s="60" t="s">
        <v>307</v>
      </c>
      <c r="BT556" s="59" t="s">
        <v>700</v>
      </c>
      <c r="BU556" s="60"/>
      <c r="BV556" s="60"/>
      <c r="BW556" s="59"/>
      <c r="BX556" s="60"/>
      <c r="BY556" s="60"/>
      <c r="BZ556" s="59"/>
      <c r="CA556" s="59"/>
      <c r="CB556" s="59"/>
      <c r="CC556" s="59"/>
      <c r="CD556" s="59"/>
      <c r="CE556" s="59" t="s">
        <v>7738</v>
      </c>
      <c r="CF556" s="60" t="s">
        <v>5231</v>
      </c>
      <c r="CG556" s="59" t="s">
        <v>7145</v>
      </c>
      <c r="CH556" s="59" t="s">
        <v>6859</v>
      </c>
      <c r="CI556" s="59" t="s">
        <v>456</v>
      </c>
      <c r="CJ556" s="59" t="s">
        <v>111</v>
      </c>
      <c r="CK556" s="47">
        <v>40535</v>
      </c>
      <c r="CL556" s="64" t="str">
        <f t="shared" ca="1" si="8"/>
        <v>18 Tahun 0 Bulan 18 Hari</v>
      </c>
      <c r="CM556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Gg H Arsad RT/RW 04/24 Desa/Kelurahan Cibeureum Kecamatan Cimahi Selatan Cimahi Jawa Barat 40535</v>
      </c>
    </row>
    <row r="557" spans="1:91" ht="24.95" hidden="1" customHeight="1">
      <c r="A557" s="58">
        <f>SUBTOTAL(3,N$8:Table2[[#This Row],[Nama lengkap]])</f>
        <v>472</v>
      </c>
      <c r="B557" s="32" t="s">
        <v>5032</v>
      </c>
      <c r="C557" s="58" t="s">
        <v>5041</v>
      </c>
      <c r="D557" s="58"/>
      <c r="E557" s="58"/>
      <c r="F557" s="58"/>
      <c r="G557" s="165"/>
      <c r="H557" s="32"/>
      <c r="I557" s="32"/>
      <c r="J557" s="32"/>
      <c r="K557" s="32"/>
      <c r="L557" s="32"/>
      <c r="M557" s="58"/>
      <c r="N557" s="24" t="s">
        <v>8905</v>
      </c>
      <c r="O557" s="24"/>
      <c r="P557" s="25"/>
      <c r="Q557" s="25"/>
      <c r="R557" s="60"/>
      <c r="S557" s="61"/>
      <c r="T557" s="47" t="s">
        <v>92</v>
      </c>
      <c r="U557" s="47"/>
      <c r="V557" s="47"/>
      <c r="W557" s="47" t="s">
        <v>207</v>
      </c>
      <c r="X557" s="59"/>
      <c r="Y557" s="59"/>
      <c r="Z557" s="59"/>
      <c r="AA557" s="59"/>
      <c r="AB557" s="59"/>
      <c r="AC557" s="59" t="s">
        <v>208</v>
      </c>
      <c r="AD557" s="59" t="s">
        <v>208</v>
      </c>
      <c r="AE557" s="60"/>
      <c r="AF557" s="60"/>
      <c r="AG557" s="59"/>
      <c r="AH557" s="59"/>
      <c r="AI557" s="59"/>
      <c r="AJ557" s="61"/>
      <c r="AK557" s="60"/>
      <c r="AL557" s="60"/>
      <c r="AM557" s="59"/>
      <c r="AN557" s="60"/>
      <c r="AO557" s="60"/>
      <c r="AP557" s="59"/>
      <c r="AQ557" s="25"/>
      <c r="AR557" s="60"/>
      <c r="AS557" s="59"/>
      <c r="AT557" s="59"/>
      <c r="AU557" s="59"/>
      <c r="AV557" s="62"/>
      <c r="AW557" s="59"/>
      <c r="AX557" s="59"/>
      <c r="AY557" s="59"/>
      <c r="AZ557" s="126"/>
      <c r="BA557" s="60"/>
      <c r="BB557" s="60"/>
      <c r="BC557" s="59"/>
      <c r="BD557" s="60"/>
      <c r="BE557" s="60"/>
      <c r="BF557" s="60"/>
      <c r="BG557" s="59"/>
      <c r="BH557" s="60"/>
      <c r="BI557" s="60"/>
      <c r="BJ557" s="24"/>
      <c r="BK557" s="59"/>
      <c r="BL557" s="59"/>
      <c r="BM557" s="24">
        <v>40218</v>
      </c>
      <c r="BN557" s="24"/>
      <c r="BO557" s="59"/>
      <c r="BP557" s="59"/>
      <c r="BQ557" s="77"/>
      <c r="BR557" s="60"/>
      <c r="BS557" s="60"/>
      <c r="BT557" s="59"/>
      <c r="BU557" s="60"/>
      <c r="BV557" s="60"/>
      <c r="BW557" s="59"/>
      <c r="BX557" s="60"/>
      <c r="BY557" s="60"/>
      <c r="BZ557" s="59"/>
      <c r="CA557" s="59"/>
      <c r="CB557" s="59"/>
      <c r="CC557" s="59"/>
      <c r="CD557" s="59"/>
      <c r="CE557" s="59"/>
      <c r="CF557" s="60"/>
      <c r="CG557" s="59"/>
      <c r="CH557" s="59"/>
      <c r="CI557" s="59"/>
      <c r="CJ557" s="59"/>
      <c r="CK557" s="47"/>
      <c r="CL557" s="64" t="str">
        <f t="shared" ca="1" si="8"/>
        <v>126 Tahun 0 Bulan 23 Hari</v>
      </c>
      <c r="CM557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RT/RW  Desa/Kelurahan  Kecamatan    </v>
      </c>
    </row>
    <row r="558" spans="1:91" ht="24.95" hidden="1" customHeight="1">
      <c r="A558" s="58">
        <f>SUBTOTAL(3,N$8:Table2[[#This Row],[Nama lengkap]])</f>
        <v>472</v>
      </c>
      <c r="B558" s="32" t="s">
        <v>5032</v>
      </c>
      <c r="C558" s="58">
        <v>2024</v>
      </c>
      <c r="D558" s="58"/>
      <c r="E558" s="58"/>
      <c r="F558" s="58"/>
      <c r="G558" s="165"/>
      <c r="H558" s="32"/>
      <c r="I558" s="32"/>
      <c r="J558" s="32"/>
      <c r="K558" s="32"/>
      <c r="L558" s="32"/>
      <c r="M558" s="58">
        <v>24250083</v>
      </c>
      <c r="N558" s="40" t="s">
        <v>8906</v>
      </c>
      <c r="O558" s="40"/>
      <c r="P558" s="32">
        <v>118764818</v>
      </c>
      <c r="Q558" s="32" t="s">
        <v>5236</v>
      </c>
      <c r="R558" s="67" t="s">
        <v>90</v>
      </c>
      <c r="S558" s="69">
        <v>40699</v>
      </c>
      <c r="T558" s="47" t="s">
        <v>92</v>
      </c>
      <c r="U558" s="58">
        <v>1</v>
      </c>
      <c r="V558" s="58">
        <v>2</v>
      </c>
      <c r="W558" s="47" t="s">
        <v>207</v>
      </c>
      <c r="X558" s="64" t="s">
        <v>142</v>
      </c>
      <c r="Y558" s="64" t="s">
        <v>94</v>
      </c>
      <c r="Z558" s="64" t="s">
        <v>95</v>
      </c>
      <c r="AA558" s="64" t="s">
        <v>96</v>
      </c>
      <c r="AB558" s="64" t="s">
        <v>97</v>
      </c>
      <c r="AC558" s="64" t="s">
        <v>98</v>
      </c>
      <c r="AD558" s="64" t="s">
        <v>98</v>
      </c>
      <c r="AE558" s="67" t="s">
        <v>5237</v>
      </c>
      <c r="AF558" s="67" t="s">
        <v>5239</v>
      </c>
      <c r="AG558" s="64" t="s">
        <v>5239</v>
      </c>
      <c r="AH558" s="64" t="s">
        <v>101</v>
      </c>
      <c r="AI558" s="64" t="s">
        <v>90</v>
      </c>
      <c r="AJ558" s="69">
        <v>32174</v>
      </c>
      <c r="AK558" s="67" t="s">
        <v>5240</v>
      </c>
      <c r="AL558" s="67" t="s">
        <v>289</v>
      </c>
      <c r="AM558" s="64" t="s">
        <v>96</v>
      </c>
      <c r="AN558" s="67">
        <v>85722139157</v>
      </c>
      <c r="AO558" s="67" t="s">
        <v>130</v>
      </c>
      <c r="AP558" s="64" t="s">
        <v>5241</v>
      </c>
      <c r="AQ558" s="32" t="s">
        <v>5242</v>
      </c>
      <c r="AR558" s="67" t="s">
        <v>5243</v>
      </c>
      <c r="AS558" s="64" t="s">
        <v>5244</v>
      </c>
      <c r="AT558" s="64" t="s">
        <v>155</v>
      </c>
      <c r="AU558" s="64" t="s">
        <v>111</v>
      </c>
      <c r="AV558" s="64">
        <v>40391</v>
      </c>
      <c r="AW558" s="64" t="s">
        <v>5245</v>
      </c>
      <c r="AX558" s="64" t="s">
        <v>101</v>
      </c>
      <c r="AY558" s="64" t="s">
        <v>90</v>
      </c>
      <c r="AZ558" s="125">
        <v>33903</v>
      </c>
      <c r="BA558" s="67" t="s">
        <v>5246</v>
      </c>
      <c r="BB558" s="67" t="s">
        <v>428</v>
      </c>
      <c r="BC558" s="64" t="s">
        <v>159</v>
      </c>
      <c r="BD558" s="67">
        <v>85722139157</v>
      </c>
      <c r="BE558" s="67" t="s">
        <v>98</v>
      </c>
      <c r="BF558" s="67"/>
      <c r="BG558" s="64" t="s">
        <v>5241</v>
      </c>
      <c r="BH558" s="67" t="s">
        <v>5242</v>
      </c>
      <c r="BI558" s="67" t="s">
        <v>5243</v>
      </c>
      <c r="BJ558" s="40" t="s">
        <v>5244</v>
      </c>
      <c r="BK558" s="64" t="s">
        <v>155</v>
      </c>
      <c r="BL558" s="64" t="s">
        <v>111</v>
      </c>
      <c r="BM558" s="64">
        <v>40391</v>
      </c>
      <c r="BN558" s="64" t="s">
        <v>161</v>
      </c>
      <c r="BO558" s="64" t="s">
        <v>5238</v>
      </c>
      <c r="BP558" s="64" t="s">
        <v>90</v>
      </c>
      <c r="BQ558" s="135">
        <v>32174</v>
      </c>
      <c r="BR558" s="67">
        <v>3217010102880010</v>
      </c>
      <c r="BS558" s="67" t="s">
        <v>4822</v>
      </c>
      <c r="BT558" s="64" t="s">
        <v>96</v>
      </c>
      <c r="BU558" s="67">
        <v>85722139157</v>
      </c>
      <c r="BV558" s="67" t="s">
        <v>266</v>
      </c>
      <c r="BW558" s="64" t="s">
        <v>5241</v>
      </c>
      <c r="BX558" s="67" t="s">
        <v>5242</v>
      </c>
      <c r="BY558" s="67" t="s">
        <v>5243</v>
      </c>
      <c r="BZ558" s="64" t="s">
        <v>5244</v>
      </c>
      <c r="CA558" s="64" t="s">
        <v>155</v>
      </c>
      <c r="CB558" s="64" t="s">
        <v>111</v>
      </c>
      <c r="CC558" s="64">
        <v>40391</v>
      </c>
      <c r="CD558" s="64" t="s">
        <v>164</v>
      </c>
      <c r="CE558" s="64" t="s">
        <v>7739</v>
      </c>
      <c r="CF558" s="67" t="s">
        <v>5242</v>
      </c>
      <c r="CG558" s="64" t="s">
        <v>5243</v>
      </c>
      <c r="CH558" s="64" t="s">
        <v>5244</v>
      </c>
      <c r="CI558" s="64" t="s">
        <v>155</v>
      </c>
      <c r="CJ558" s="64" t="s">
        <v>111</v>
      </c>
      <c r="CK558" s="58">
        <v>40391</v>
      </c>
      <c r="CL558" s="64" t="str">
        <f t="shared" ca="1" si="8"/>
        <v>14 Tahun 7 Bulan 18 Hari</v>
      </c>
      <c r="CM558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Pasirwangi RT/RW RT 04 RW 11 Desa/Kelurahan Gudang Kahuripan Kecamatan Lembang Bandung Barat Jawa Barat 40391</v>
      </c>
    </row>
    <row r="559" spans="1:91" ht="24.95" hidden="1" customHeight="1">
      <c r="A559" s="58">
        <f>SUBTOTAL(3,N$8:Table2[[#This Row],[Nama lengkap]])</f>
        <v>472</v>
      </c>
      <c r="B559" s="32" t="s">
        <v>5032</v>
      </c>
      <c r="C559" s="58" t="s">
        <v>5041</v>
      </c>
      <c r="D559" s="58"/>
      <c r="E559" s="58"/>
      <c r="F559" s="58"/>
      <c r="G559" s="165"/>
      <c r="H559" s="32"/>
      <c r="I559" s="32"/>
      <c r="J559" s="32"/>
      <c r="K559" s="32"/>
      <c r="L559" s="32"/>
      <c r="M559" s="58"/>
      <c r="N559" s="24" t="s">
        <v>8907</v>
      </c>
      <c r="O559" s="24"/>
      <c r="P559" s="25"/>
      <c r="Q559" s="25" t="s">
        <v>5247</v>
      </c>
      <c r="R559" s="60" t="s">
        <v>7129</v>
      </c>
      <c r="S559" s="61" t="s">
        <v>5248</v>
      </c>
      <c r="T559" s="47" t="s">
        <v>92</v>
      </c>
      <c r="U559" s="47">
        <v>3</v>
      </c>
      <c r="V559" s="47">
        <v>4</v>
      </c>
      <c r="W559" s="47" t="s">
        <v>207</v>
      </c>
      <c r="X559" s="59"/>
      <c r="Y559" s="59"/>
      <c r="Z559" s="59"/>
      <c r="AA559" s="59" t="s">
        <v>96</v>
      </c>
      <c r="AB559" s="59"/>
      <c r="AC559" s="59" t="s">
        <v>208</v>
      </c>
      <c r="AD559" s="59" t="s">
        <v>208</v>
      </c>
      <c r="AE559" s="60" t="s">
        <v>5249</v>
      </c>
      <c r="AF559" s="60" t="s">
        <v>8722</v>
      </c>
      <c r="AG559" s="59" t="s">
        <v>8722</v>
      </c>
      <c r="AH559" s="59" t="s">
        <v>691</v>
      </c>
      <c r="AI559" s="59" t="s">
        <v>90</v>
      </c>
      <c r="AJ559" s="61" t="s">
        <v>5250</v>
      </c>
      <c r="AK559" s="60" t="s">
        <v>5251</v>
      </c>
      <c r="AL559" s="60" t="s">
        <v>8255</v>
      </c>
      <c r="AM559" s="59" t="s">
        <v>693</v>
      </c>
      <c r="AN559" s="60"/>
      <c r="AO559" s="60"/>
      <c r="AP559" s="59" t="s">
        <v>5252</v>
      </c>
      <c r="AQ559" s="25" t="s">
        <v>1493</v>
      </c>
      <c r="AR559" s="60" t="s">
        <v>3155</v>
      </c>
      <c r="AS559" s="59" t="s">
        <v>1019</v>
      </c>
      <c r="AT559" s="59" t="s">
        <v>141</v>
      </c>
      <c r="AU559" s="59" t="s">
        <v>156</v>
      </c>
      <c r="AV559" s="62">
        <v>40971</v>
      </c>
      <c r="AW559" s="59" t="s">
        <v>8220</v>
      </c>
      <c r="AX559" s="59" t="s">
        <v>691</v>
      </c>
      <c r="AY559" s="59" t="s">
        <v>90</v>
      </c>
      <c r="AZ559" s="126" t="s">
        <v>5253</v>
      </c>
      <c r="BA559" s="60" t="s">
        <v>5254</v>
      </c>
      <c r="BB559" s="60" t="s">
        <v>845</v>
      </c>
      <c r="BC559" s="59" t="s">
        <v>2557</v>
      </c>
      <c r="BD559" s="60"/>
      <c r="BE559" s="60"/>
      <c r="BF559" s="60"/>
      <c r="BG559" s="59" t="s">
        <v>5252</v>
      </c>
      <c r="BH559" s="60" t="s">
        <v>1493</v>
      </c>
      <c r="BI559" s="60" t="s">
        <v>3155</v>
      </c>
      <c r="BJ559" s="24" t="s">
        <v>1019</v>
      </c>
      <c r="BK559" s="59" t="s">
        <v>141</v>
      </c>
      <c r="BL559" s="59" t="s">
        <v>156</v>
      </c>
      <c r="BM559" s="24">
        <v>45353</v>
      </c>
      <c r="BN559" s="24"/>
      <c r="BO559" s="59"/>
      <c r="BP559" s="59"/>
      <c r="BQ559" s="77"/>
      <c r="BR559" s="60"/>
      <c r="BS559" s="60"/>
      <c r="BT559" s="59"/>
      <c r="BU559" s="60"/>
      <c r="BV559" s="60"/>
      <c r="BW559" s="59"/>
      <c r="BX559" s="60"/>
      <c r="BY559" s="60"/>
      <c r="BZ559" s="59"/>
      <c r="CA559" s="59"/>
      <c r="CB559" s="59"/>
      <c r="CC559" s="59"/>
      <c r="CD559" s="59"/>
      <c r="CE559" s="59" t="s">
        <v>7740</v>
      </c>
      <c r="CF559" s="60" t="s">
        <v>1493</v>
      </c>
      <c r="CG559" s="59" t="s">
        <v>7007</v>
      </c>
      <c r="CH559" s="59" t="s">
        <v>6967</v>
      </c>
      <c r="CI559" s="59" t="s">
        <v>90</v>
      </c>
      <c r="CJ559" s="59" t="s">
        <v>111</v>
      </c>
      <c r="CK559" s="47">
        <v>40971</v>
      </c>
      <c r="CL559" s="64" t="str">
        <f t="shared" ca="1" si="8"/>
        <v>16 Tahun 9 Bulan 10 Hari</v>
      </c>
      <c r="CM559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Kmp Ciharuman RT/RW 02/11 Desa/Kelurahan Jelegong Kecamatan Kutawaringin Bandung Jawa Barat 40971</v>
      </c>
    </row>
    <row r="560" spans="1:91" ht="24.95" hidden="1" customHeight="1">
      <c r="A560" s="58">
        <f>SUBTOTAL(3,N$8:Table2[[#This Row],[Nama lengkap]])</f>
        <v>472</v>
      </c>
      <c r="B560" s="32" t="s">
        <v>5032</v>
      </c>
      <c r="C560" s="58">
        <v>2024</v>
      </c>
      <c r="D560" s="58"/>
      <c r="E560" s="58"/>
      <c r="F560" s="58"/>
      <c r="G560" s="165"/>
      <c r="H560" s="32"/>
      <c r="I560" s="32"/>
      <c r="J560" s="32"/>
      <c r="K560" s="32"/>
      <c r="L560" s="32"/>
      <c r="M560" s="58">
        <v>24250142</v>
      </c>
      <c r="N560" s="31" t="s">
        <v>8908</v>
      </c>
      <c r="O560" s="31"/>
      <c r="P560" s="32" t="s">
        <v>5255</v>
      </c>
      <c r="Q560" s="32" t="s">
        <v>5256</v>
      </c>
      <c r="R560" s="64" t="s">
        <v>90</v>
      </c>
      <c r="S560" s="69">
        <v>40973</v>
      </c>
      <c r="T560" s="47" t="s">
        <v>92</v>
      </c>
      <c r="U560" s="58">
        <v>3</v>
      </c>
      <c r="V560" s="58">
        <v>2</v>
      </c>
      <c r="W560" s="47" t="s">
        <v>207</v>
      </c>
      <c r="X560" s="64"/>
      <c r="Y560" s="64" t="s">
        <v>143</v>
      </c>
      <c r="Z560" s="64" t="s">
        <v>270</v>
      </c>
      <c r="AA560" s="64" t="s">
        <v>96</v>
      </c>
      <c r="AB560" s="64" t="s">
        <v>97</v>
      </c>
      <c r="AC560" s="64" t="s">
        <v>98</v>
      </c>
      <c r="AD560" s="64" t="s">
        <v>98</v>
      </c>
      <c r="AE560" s="67" t="s">
        <v>5257</v>
      </c>
      <c r="AF560" s="67" t="s">
        <v>5258</v>
      </c>
      <c r="AG560" s="67" t="s">
        <v>5258</v>
      </c>
      <c r="AH560" s="64" t="s">
        <v>101</v>
      </c>
      <c r="AI560" s="64" t="s">
        <v>90</v>
      </c>
      <c r="AJ560" s="69">
        <v>25338</v>
      </c>
      <c r="AK560" s="67" t="s">
        <v>5260</v>
      </c>
      <c r="AL560" s="64" t="s">
        <v>5261</v>
      </c>
      <c r="AM560" s="67" t="s">
        <v>159</v>
      </c>
      <c r="AN560" s="67" t="s">
        <v>5262</v>
      </c>
      <c r="AO560" s="64" t="s">
        <v>117</v>
      </c>
      <c r="AP560" s="64" t="s">
        <v>326</v>
      </c>
      <c r="AQ560" s="32" t="s">
        <v>5263</v>
      </c>
      <c r="AR560" s="64" t="s">
        <v>328</v>
      </c>
      <c r="AS560" s="64" t="s">
        <v>329</v>
      </c>
      <c r="AT560" s="64" t="s">
        <v>90</v>
      </c>
      <c r="AU560" s="64" t="s">
        <v>318</v>
      </c>
      <c r="AV560" s="67">
        <v>40382</v>
      </c>
      <c r="AW560" s="67" t="s">
        <v>8221</v>
      </c>
      <c r="AX560" s="64" t="s">
        <v>101</v>
      </c>
      <c r="AY560" s="64" t="s">
        <v>90</v>
      </c>
      <c r="AZ560" s="125">
        <v>31523</v>
      </c>
      <c r="BA560" s="67" t="s">
        <v>5264</v>
      </c>
      <c r="BB560" s="64" t="s">
        <v>7783</v>
      </c>
      <c r="BC560" s="67" t="s">
        <v>159</v>
      </c>
      <c r="BD560" s="67" t="s">
        <v>5265</v>
      </c>
      <c r="BE560" s="64" t="s">
        <v>98</v>
      </c>
      <c r="BF560" s="64"/>
      <c r="BG560" s="64" t="s">
        <v>326</v>
      </c>
      <c r="BH560" s="67" t="s">
        <v>5263</v>
      </c>
      <c r="BI560" s="64" t="s">
        <v>328</v>
      </c>
      <c r="BJ560" s="40" t="s">
        <v>329</v>
      </c>
      <c r="BK560" s="64" t="s">
        <v>90</v>
      </c>
      <c r="BL560" s="67" t="s">
        <v>318</v>
      </c>
      <c r="BM560" s="67">
        <v>40382</v>
      </c>
      <c r="BN560" s="67"/>
      <c r="BO560" s="64" t="s">
        <v>5259</v>
      </c>
      <c r="BP560" s="64"/>
      <c r="BQ560" s="135"/>
      <c r="BR560" s="67"/>
      <c r="BS560" s="64"/>
      <c r="BT560" s="67"/>
      <c r="BU560" s="67">
        <v>895340077500</v>
      </c>
      <c r="BV560" s="64"/>
      <c r="BW560" s="64"/>
      <c r="BX560" s="67"/>
      <c r="BY560" s="64"/>
      <c r="BZ560" s="64"/>
      <c r="CA560" s="64"/>
      <c r="CB560" s="64"/>
      <c r="CC560" s="64"/>
      <c r="CD560" s="64"/>
      <c r="CE560" s="64" t="s">
        <v>7351</v>
      </c>
      <c r="CF560" s="67" t="s">
        <v>5263</v>
      </c>
      <c r="CG560" s="64" t="s">
        <v>328</v>
      </c>
      <c r="CH560" s="64" t="s">
        <v>329</v>
      </c>
      <c r="CI560" s="64" t="s">
        <v>90</v>
      </c>
      <c r="CJ560" s="64" t="s">
        <v>111</v>
      </c>
      <c r="CK560" s="58">
        <v>40382</v>
      </c>
      <c r="CL560" s="64" t="str">
        <f t="shared" ca="1" si="8"/>
        <v>13 Tahun 10 Bulan 18 Hari</v>
      </c>
      <c r="CM560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Boncel RT/RW 04/011 Desa/Kelurahan Bojongemas Kecamatan Solokanjeruk Bandung Jawa Barat 40382</v>
      </c>
    </row>
    <row r="561" spans="1:91" ht="24.95" hidden="1" customHeight="1">
      <c r="A561" s="58">
        <f>SUBTOTAL(3,N$8:Table2[[#This Row],[Nama lengkap]])</f>
        <v>472</v>
      </c>
      <c r="B561" s="38" t="s">
        <v>5032</v>
      </c>
      <c r="C561" s="94">
        <v>2019</v>
      </c>
      <c r="D561" s="94"/>
      <c r="E561" s="94"/>
      <c r="F561" s="94"/>
      <c r="G561" s="167"/>
      <c r="H561" s="38"/>
      <c r="I561" s="38"/>
      <c r="J561" s="38"/>
      <c r="K561" s="38"/>
      <c r="L561" s="38"/>
      <c r="M561" s="94"/>
      <c r="N561" s="37" t="s">
        <v>8909</v>
      </c>
      <c r="O561" s="37"/>
      <c r="P561" s="38" t="s">
        <v>5266</v>
      </c>
      <c r="Q561" s="38" t="s">
        <v>5267</v>
      </c>
      <c r="R561" s="156" t="s">
        <v>122</v>
      </c>
      <c r="S561" s="161" t="s">
        <v>5268</v>
      </c>
      <c r="T561" s="47" t="s">
        <v>92</v>
      </c>
      <c r="U561" s="94">
        <v>4</v>
      </c>
      <c r="V561" s="94">
        <v>5</v>
      </c>
      <c r="W561" s="47" t="s">
        <v>207</v>
      </c>
      <c r="X561" s="98"/>
      <c r="Y561" s="156"/>
      <c r="Z561" s="156" t="s">
        <v>5269</v>
      </c>
      <c r="AA561" s="156" t="s">
        <v>753</v>
      </c>
      <c r="AB561" s="156" t="s">
        <v>5270</v>
      </c>
      <c r="AC561" s="156" t="s">
        <v>208</v>
      </c>
      <c r="AD561" s="156" t="s">
        <v>208</v>
      </c>
      <c r="AE561" s="155" t="s">
        <v>5271</v>
      </c>
      <c r="AF561" s="155" t="s">
        <v>8723</v>
      </c>
      <c r="AG561" s="155" t="s">
        <v>8723</v>
      </c>
      <c r="AH561" s="156" t="s">
        <v>2844</v>
      </c>
      <c r="AI561" s="156" t="s">
        <v>122</v>
      </c>
      <c r="AJ561" s="161">
        <v>21583</v>
      </c>
      <c r="AK561" s="155" t="s">
        <v>5272</v>
      </c>
      <c r="AL561" s="156" t="s">
        <v>114</v>
      </c>
      <c r="AM561" s="155" t="s">
        <v>96</v>
      </c>
      <c r="AN561" s="155" t="s">
        <v>5273</v>
      </c>
      <c r="AO561" s="156"/>
      <c r="AP561" s="156" t="s">
        <v>5274</v>
      </c>
      <c r="AQ561" s="38" t="s">
        <v>1161</v>
      </c>
      <c r="AR561" s="156" t="s">
        <v>1752</v>
      </c>
      <c r="AS561" s="156" t="s">
        <v>1324</v>
      </c>
      <c r="AT561" s="156" t="s">
        <v>1090</v>
      </c>
      <c r="AU561" s="156" t="s">
        <v>1214</v>
      </c>
      <c r="AV561" s="155"/>
      <c r="AW561" s="155" t="s">
        <v>8222</v>
      </c>
      <c r="AX561" s="156" t="s">
        <v>2844</v>
      </c>
      <c r="AY561" s="156" t="s">
        <v>623</v>
      </c>
      <c r="AZ561" s="162">
        <v>23899</v>
      </c>
      <c r="BA561" s="155" t="s">
        <v>5275</v>
      </c>
      <c r="BB561" s="156" t="s">
        <v>845</v>
      </c>
      <c r="BC561" s="155" t="s">
        <v>4940</v>
      </c>
      <c r="BD561" s="155" t="s">
        <v>5273</v>
      </c>
      <c r="BE561" s="156"/>
      <c r="BF561" s="156"/>
      <c r="BG561" s="156" t="s">
        <v>5274</v>
      </c>
      <c r="BH561" s="155" t="s">
        <v>1161</v>
      </c>
      <c r="BI561" s="156" t="s">
        <v>1752</v>
      </c>
      <c r="BJ561" s="41" t="s">
        <v>1324</v>
      </c>
      <c r="BK561" s="156" t="s">
        <v>1090</v>
      </c>
      <c r="BL561" s="155" t="s">
        <v>1214</v>
      </c>
      <c r="BM561" s="37"/>
      <c r="BN561" s="37"/>
      <c r="BO561" s="156"/>
      <c r="BP561" s="156"/>
      <c r="BQ561" s="163"/>
      <c r="BR561" s="155"/>
      <c r="BS561" s="156"/>
      <c r="BT561" s="155"/>
      <c r="BU561" s="155"/>
      <c r="BV561" s="156"/>
      <c r="BW561" s="156"/>
      <c r="BX561" s="155"/>
      <c r="BY561" s="156"/>
      <c r="BZ561" s="156"/>
      <c r="CA561" s="156"/>
      <c r="CB561" s="156"/>
      <c r="CC561" s="156"/>
      <c r="CD561" s="156"/>
      <c r="CE561" s="156" t="s">
        <v>7741</v>
      </c>
      <c r="CF561" s="155" t="s">
        <v>1161</v>
      </c>
      <c r="CG561" s="156" t="s">
        <v>7109</v>
      </c>
      <c r="CH561" s="156" t="s">
        <v>134</v>
      </c>
      <c r="CI561" s="156" t="s">
        <v>122</v>
      </c>
      <c r="CJ561" s="156" t="s">
        <v>313</v>
      </c>
      <c r="CK561" s="94"/>
      <c r="CL561" s="64" t="str">
        <f t="shared" ca="1" si="8"/>
        <v>24 Tahun 8 Bulan 18 Hari</v>
      </c>
      <c r="CM561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Sukahurip RT/RW 01/07 Desa/Kelurahan Jatihurip Kecamatan Sumedang Utara Sumedang Jawabarat </v>
      </c>
    </row>
    <row r="562" spans="1:91" ht="24.95" hidden="1" customHeight="1">
      <c r="A562" s="58">
        <f>SUBTOTAL(3,N$8:Table2[[#This Row],[Nama lengkap]])</f>
        <v>472</v>
      </c>
      <c r="B562" s="38" t="s">
        <v>5032</v>
      </c>
      <c r="C562" s="94">
        <v>2023</v>
      </c>
      <c r="D562" s="94"/>
      <c r="E562" s="94"/>
      <c r="F562" s="94"/>
      <c r="G562" s="167"/>
      <c r="H562" s="38"/>
      <c r="I562" s="38"/>
      <c r="J562" s="38"/>
      <c r="K562" s="38"/>
      <c r="L562" s="38"/>
      <c r="M562" s="94">
        <v>23240070</v>
      </c>
      <c r="N562" s="95" t="s">
        <v>8910</v>
      </c>
      <c r="O562" s="95"/>
      <c r="P562" s="96" t="s">
        <v>5277</v>
      </c>
      <c r="Q562" s="96" t="s">
        <v>5278</v>
      </c>
      <c r="R562" s="97" t="s">
        <v>90</v>
      </c>
      <c r="S562" s="99" t="s">
        <v>5279</v>
      </c>
      <c r="T562" s="47" t="s">
        <v>92</v>
      </c>
      <c r="U562" s="50">
        <v>1</v>
      </c>
      <c r="V562" s="50">
        <v>2</v>
      </c>
      <c r="W562" s="47" t="s">
        <v>207</v>
      </c>
      <c r="X562" s="98" t="s">
        <v>303</v>
      </c>
      <c r="Y562" s="98" t="s">
        <v>793</v>
      </c>
      <c r="Z562" s="98" t="s">
        <v>1895</v>
      </c>
      <c r="AA562" s="98" t="s">
        <v>1028</v>
      </c>
      <c r="AB562" s="98" t="s">
        <v>1151</v>
      </c>
      <c r="AC562" s="98" t="s">
        <v>208</v>
      </c>
      <c r="AD562" s="98" t="s">
        <v>208</v>
      </c>
      <c r="AE562" s="97" t="s">
        <v>5280</v>
      </c>
      <c r="AF562" s="97" t="s">
        <v>8724</v>
      </c>
      <c r="AG562" s="98" t="s">
        <v>8724</v>
      </c>
      <c r="AH562" s="98" t="s">
        <v>691</v>
      </c>
      <c r="AI562" s="98" t="s">
        <v>90</v>
      </c>
      <c r="AJ562" s="99" t="s">
        <v>5281</v>
      </c>
      <c r="AK562" s="97" t="s">
        <v>5282</v>
      </c>
      <c r="AL562" s="97" t="s">
        <v>8269</v>
      </c>
      <c r="AM562" s="98" t="s">
        <v>800</v>
      </c>
      <c r="AN562" s="97"/>
      <c r="AO562" s="97"/>
      <c r="AP562" s="98" t="s">
        <v>5283</v>
      </c>
      <c r="AQ562" s="96" t="s">
        <v>3053</v>
      </c>
      <c r="AR562" s="97" t="s">
        <v>1671</v>
      </c>
      <c r="AS562" s="98" t="s">
        <v>1292</v>
      </c>
      <c r="AT562" s="98" t="s">
        <v>141</v>
      </c>
      <c r="AU562" s="98" t="s">
        <v>111</v>
      </c>
      <c r="AV562" s="100"/>
      <c r="AW562" s="98" t="s">
        <v>8223</v>
      </c>
      <c r="AX562" s="98" t="s">
        <v>691</v>
      </c>
      <c r="AY562" s="98" t="s">
        <v>90</v>
      </c>
      <c r="AZ562" s="130">
        <v>29744</v>
      </c>
      <c r="BA562" s="97" t="s">
        <v>5284</v>
      </c>
      <c r="BB562" s="97" t="s">
        <v>845</v>
      </c>
      <c r="BC562" s="98" t="s">
        <v>800</v>
      </c>
      <c r="BD562" s="97"/>
      <c r="BE562" s="97"/>
      <c r="BF562" s="97"/>
      <c r="BG562" s="98" t="s">
        <v>5283</v>
      </c>
      <c r="BH562" s="97" t="s">
        <v>3053</v>
      </c>
      <c r="BI562" s="97" t="s">
        <v>1671</v>
      </c>
      <c r="BJ562" s="95" t="s">
        <v>1292</v>
      </c>
      <c r="BK562" s="98" t="s">
        <v>141</v>
      </c>
      <c r="BL562" s="98" t="s">
        <v>156</v>
      </c>
      <c r="BM562" s="95" t="s">
        <v>1664</v>
      </c>
      <c r="BN562" s="95"/>
      <c r="BO562" s="98" t="s">
        <v>719</v>
      </c>
      <c r="BP562" s="98"/>
      <c r="BQ562" s="138"/>
      <c r="BR562" s="97"/>
      <c r="BS562" s="97"/>
      <c r="BT562" s="98"/>
      <c r="BU562" s="97"/>
      <c r="BV562" s="97"/>
      <c r="BW562" s="98"/>
      <c r="BX562" s="97"/>
      <c r="BY562" s="97"/>
      <c r="BZ562" s="98"/>
      <c r="CA562" s="98"/>
      <c r="CB562" s="98"/>
      <c r="CC562" s="98"/>
      <c r="CD562" s="98"/>
      <c r="CE562" s="98" t="s">
        <v>7742</v>
      </c>
      <c r="CF562" s="97" t="s">
        <v>3053</v>
      </c>
      <c r="CG562" s="98" t="s">
        <v>133</v>
      </c>
      <c r="CH562" s="98" t="s">
        <v>6672</v>
      </c>
      <c r="CI562" s="98" t="s">
        <v>90</v>
      </c>
      <c r="CJ562" s="98" t="s">
        <v>111</v>
      </c>
      <c r="CK562" s="50"/>
      <c r="CL562" s="64" t="str">
        <f t="shared" ca="1" si="8"/>
        <v>18 Tahun 4 Bulan 11 Hari</v>
      </c>
      <c r="CM562" s="121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Jl.Swadaya RT/RW 02/04 Desa/Kelurahan Mekarjaya Kecamatan Rancasari Bandung Jawa Barat </v>
      </c>
    </row>
    <row r="563" spans="1:91" ht="24.95" hidden="1" customHeight="1">
      <c r="A563" s="58">
        <f>SUBTOTAL(3,N$8:Table2[[#This Row],[Nama lengkap]])</f>
        <v>472</v>
      </c>
      <c r="B563" s="32" t="s">
        <v>5032</v>
      </c>
      <c r="C563" s="58" t="s">
        <v>5041</v>
      </c>
      <c r="D563" s="58"/>
      <c r="E563" s="58"/>
      <c r="F563" s="58"/>
      <c r="G563" s="165"/>
      <c r="H563" s="32"/>
      <c r="I563" s="32"/>
      <c r="J563" s="38"/>
      <c r="K563" s="38"/>
      <c r="L563" s="38"/>
      <c r="M563" s="58"/>
      <c r="N563" s="24" t="s">
        <v>8911</v>
      </c>
      <c r="O563" s="95"/>
      <c r="P563" s="25"/>
      <c r="Q563" s="25"/>
      <c r="R563" s="60"/>
      <c r="S563" s="61"/>
      <c r="T563" s="47" t="s">
        <v>92</v>
      </c>
      <c r="U563" s="47"/>
      <c r="V563" s="47"/>
      <c r="W563" s="47" t="s">
        <v>207</v>
      </c>
      <c r="X563" s="59"/>
      <c r="Y563" s="63"/>
      <c r="Z563" s="59"/>
      <c r="AA563" s="63"/>
      <c r="AB563" s="65" t="s">
        <v>689</v>
      </c>
      <c r="AC563" s="65" t="s">
        <v>208</v>
      </c>
      <c r="AD563" s="65" t="s">
        <v>208</v>
      </c>
      <c r="AE563" s="10"/>
      <c r="AF563" s="11"/>
      <c r="AG563" s="11"/>
      <c r="AH563" s="65" t="s">
        <v>691</v>
      </c>
      <c r="AI563" s="11"/>
      <c r="AJ563" s="132"/>
      <c r="AK563" s="10"/>
      <c r="AL563" s="11"/>
      <c r="AM563" s="11"/>
      <c r="AN563" s="60"/>
      <c r="AO563" s="60"/>
      <c r="AP563" s="59"/>
      <c r="AQ563" s="25"/>
      <c r="AR563" s="11"/>
      <c r="AS563" s="11"/>
      <c r="AT563" s="11"/>
      <c r="AU563" s="11"/>
      <c r="AV563" s="62"/>
      <c r="AW563" s="59"/>
      <c r="AX563" s="59"/>
      <c r="AY563" s="59"/>
      <c r="AZ563" s="126"/>
      <c r="BA563" s="60"/>
      <c r="BB563" s="60"/>
      <c r="BC563" s="60"/>
      <c r="BD563" s="60"/>
      <c r="BE563" s="60"/>
      <c r="BF563" s="60"/>
      <c r="BG563" s="59"/>
      <c r="BH563" s="25"/>
      <c r="BI563" s="11"/>
      <c r="BJ563" s="14"/>
      <c r="BK563" s="11"/>
      <c r="BL563" s="11"/>
      <c r="BM563" s="62"/>
      <c r="BN563" s="62"/>
      <c r="BO563" s="59"/>
      <c r="BP563" s="59"/>
      <c r="BQ563" s="77"/>
      <c r="BR563" s="60"/>
      <c r="BS563" s="60"/>
      <c r="BT563" s="59"/>
      <c r="BU563" s="60"/>
      <c r="BV563" s="60"/>
      <c r="BW563" s="59"/>
      <c r="BX563" s="60"/>
      <c r="BY563" s="60"/>
      <c r="BZ563" s="59"/>
      <c r="CA563" s="59"/>
      <c r="CB563" s="59"/>
      <c r="CC563" s="59"/>
      <c r="CD563" s="59"/>
      <c r="CE563" s="59"/>
      <c r="CF563" s="60"/>
      <c r="CG563" s="59"/>
      <c r="CH563" s="59"/>
      <c r="CI563" s="59"/>
      <c r="CJ563" s="59"/>
      <c r="CK563" s="47"/>
      <c r="CL563" s="64" t="str">
        <f t="shared" ca="1" si="8"/>
        <v>126 Tahun 0 Bulan 23 Hari</v>
      </c>
      <c r="CM563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RT/RW  Desa/Kelurahan  Kecamatan    </v>
      </c>
    </row>
    <row r="564" spans="1:91" ht="24.95" hidden="1" customHeight="1">
      <c r="A564" s="58">
        <f>SUBTOTAL(3,N$8:Table2[[#This Row],[Nama lengkap]])</f>
        <v>472</v>
      </c>
      <c r="B564" s="32" t="s">
        <v>5032</v>
      </c>
      <c r="C564" s="58" t="s">
        <v>5041</v>
      </c>
      <c r="D564" s="58"/>
      <c r="E564" s="58"/>
      <c r="F564" s="58"/>
      <c r="G564" s="165"/>
      <c r="H564" s="32"/>
      <c r="I564" s="32"/>
      <c r="J564" s="139"/>
      <c r="K564" s="139"/>
      <c r="L564" s="139"/>
      <c r="M564" s="58"/>
      <c r="N564" s="24" t="s">
        <v>5285</v>
      </c>
      <c r="O564" s="140"/>
      <c r="P564" s="25" t="s">
        <v>5286</v>
      </c>
      <c r="Q564" s="25" t="s">
        <v>5287</v>
      </c>
      <c r="R564" s="59" t="s">
        <v>6846</v>
      </c>
      <c r="S564" s="61" t="s">
        <v>5288</v>
      </c>
      <c r="T564" s="47" t="s">
        <v>92</v>
      </c>
      <c r="U564" s="47">
        <v>2</v>
      </c>
      <c r="V564" s="47">
        <v>3</v>
      </c>
      <c r="W564" s="47" t="s">
        <v>207</v>
      </c>
      <c r="X564" s="59"/>
      <c r="Y564" s="59"/>
      <c r="Z564" s="59"/>
      <c r="AA564" s="59" t="s">
        <v>1141</v>
      </c>
      <c r="AB564" s="59" t="s">
        <v>689</v>
      </c>
      <c r="AC564" s="59" t="s">
        <v>208</v>
      </c>
      <c r="AD564" s="59" t="s">
        <v>208</v>
      </c>
      <c r="AE564" s="60" t="s">
        <v>5289</v>
      </c>
      <c r="AF564" s="59" t="s">
        <v>8725</v>
      </c>
      <c r="AG564" s="59" t="s">
        <v>8725</v>
      </c>
      <c r="AH564" s="59" t="s">
        <v>691</v>
      </c>
      <c r="AI564" s="59" t="s">
        <v>122</v>
      </c>
      <c r="AJ564" s="61" t="s">
        <v>5290</v>
      </c>
      <c r="AK564" s="60" t="s">
        <v>5291</v>
      </c>
      <c r="AL564" s="59" t="s">
        <v>114</v>
      </c>
      <c r="AM564" s="59" t="s">
        <v>800</v>
      </c>
      <c r="AN564" s="60"/>
      <c r="AO564" s="59"/>
      <c r="AP564" s="59" t="s">
        <v>5292</v>
      </c>
      <c r="AQ564" s="25" t="s">
        <v>5293</v>
      </c>
      <c r="AR564" s="59" t="s">
        <v>2852</v>
      </c>
      <c r="AS564" s="59" t="s">
        <v>1324</v>
      </c>
      <c r="AT564" s="59" t="s">
        <v>1090</v>
      </c>
      <c r="AU564" s="59" t="s">
        <v>156</v>
      </c>
      <c r="AV564" s="62"/>
      <c r="AW564" s="59" t="s">
        <v>5294</v>
      </c>
      <c r="AX564" s="59"/>
      <c r="AY564" s="59"/>
      <c r="AZ564" s="126"/>
      <c r="BA564" s="60"/>
      <c r="BB564" s="59"/>
      <c r="BC564" s="59"/>
      <c r="BD564" s="60"/>
      <c r="BE564" s="59"/>
      <c r="BF564" s="59"/>
      <c r="BG564" s="59" t="s">
        <v>5292</v>
      </c>
      <c r="BH564" s="60" t="s">
        <v>5293</v>
      </c>
      <c r="BI564" s="59" t="s">
        <v>2852</v>
      </c>
      <c r="BJ564" s="24" t="s">
        <v>1324</v>
      </c>
      <c r="BK564" s="59" t="s">
        <v>1090</v>
      </c>
      <c r="BL564" s="59" t="s">
        <v>156</v>
      </c>
      <c r="BM564" s="24"/>
      <c r="BN564" s="24"/>
      <c r="BO564" s="59" t="s">
        <v>5295</v>
      </c>
      <c r="BP564" s="59" t="s">
        <v>122</v>
      </c>
      <c r="BQ564" s="77" t="s">
        <v>5296</v>
      </c>
      <c r="BR564" s="60" t="s">
        <v>5297</v>
      </c>
      <c r="BS564" s="59" t="s">
        <v>5298</v>
      </c>
      <c r="BT564" s="59" t="s">
        <v>149</v>
      </c>
      <c r="BU564" s="60"/>
      <c r="BV564" s="59"/>
      <c r="BW564" s="59"/>
      <c r="BX564" s="60"/>
      <c r="BY564" s="59"/>
      <c r="BZ564" s="59"/>
      <c r="CA564" s="59"/>
      <c r="CB564" s="59"/>
      <c r="CC564" s="59"/>
      <c r="CD564" s="59"/>
      <c r="CE564" s="59" t="s">
        <v>7743</v>
      </c>
      <c r="CF564" s="60" t="s">
        <v>5293</v>
      </c>
      <c r="CG564" s="59" t="s">
        <v>7203</v>
      </c>
      <c r="CH564" s="59" t="s">
        <v>134</v>
      </c>
      <c r="CI564" s="59" t="s">
        <v>122</v>
      </c>
      <c r="CJ564" s="59" t="s">
        <v>111</v>
      </c>
      <c r="CK564" s="47"/>
      <c r="CL564" s="64" t="str">
        <f t="shared" ca="1" si="8"/>
        <v>20 Tahun 5 Bulan 23 Hari</v>
      </c>
      <c r="CM564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Perum Sindang Taman RT/RW 08/05 Desa/Kelurahan Jatimulya Kecamatan Sumedang Utara Sumedang Jawa Barat </v>
      </c>
    </row>
    <row r="565" spans="1:91" ht="24.95" hidden="1" customHeight="1">
      <c r="A565" s="58">
        <f>SUBTOTAL(3,N$8:Table2[[#This Row],[Nama lengkap]])</f>
        <v>472</v>
      </c>
      <c r="B565" s="32" t="s">
        <v>5032</v>
      </c>
      <c r="C565" s="58" t="s">
        <v>5041</v>
      </c>
      <c r="D565" s="58"/>
      <c r="E565" s="58"/>
      <c r="F565" s="58"/>
      <c r="G565" s="165"/>
      <c r="H565" s="32"/>
      <c r="I565" s="32"/>
      <c r="J565" s="139"/>
      <c r="K565" s="139"/>
      <c r="L565" s="139"/>
      <c r="M565" s="58"/>
      <c r="N565" s="24" t="s">
        <v>5299</v>
      </c>
      <c r="O565" s="140"/>
      <c r="P565" s="25" t="s">
        <v>5300</v>
      </c>
      <c r="Q565" s="25" t="s">
        <v>5301</v>
      </c>
      <c r="R565" s="59" t="s">
        <v>122</v>
      </c>
      <c r="S565" s="61" t="s">
        <v>5302</v>
      </c>
      <c r="T565" s="47" t="s">
        <v>92</v>
      </c>
      <c r="U565" s="47">
        <v>1</v>
      </c>
      <c r="V565" s="47">
        <v>2</v>
      </c>
      <c r="W565" s="47" t="s">
        <v>207</v>
      </c>
      <c r="X565" s="59" t="s">
        <v>123</v>
      </c>
      <c r="Y565" s="59" t="s">
        <v>1012</v>
      </c>
      <c r="Z565" s="59" t="s">
        <v>707</v>
      </c>
      <c r="AA565" s="59" t="s">
        <v>96</v>
      </c>
      <c r="AB565" s="59" t="s">
        <v>689</v>
      </c>
      <c r="AC565" s="59" t="s">
        <v>208</v>
      </c>
      <c r="AD565" s="59" t="s">
        <v>208</v>
      </c>
      <c r="AE565" s="60" t="s">
        <v>5303</v>
      </c>
      <c r="AF565" s="59" t="s">
        <v>8726</v>
      </c>
      <c r="AG565" s="59" t="s">
        <v>8726</v>
      </c>
      <c r="AH565" s="59" t="s">
        <v>691</v>
      </c>
      <c r="AI565" s="59" t="s">
        <v>122</v>
      </c>
      <c r="AJ565" s="61" t="s">
        <v>5304</v>
      </c>
      <c r="AK565" s="60" t="s">
        <v>5305</v>
      </c>
      <c r="AL565" s="59" t="s">
        <v>114</v>
      </c>
      <c r="AM565" s="59" t="s">
        <v>800</v>
      </c>
      <c r="AN565" s="60"/>
      <c r="AO565" s="59"/>
      <c r="AP565" s="59" t="s">
        <v>5306</v>
      </c>
      <c r="AQ565" s="25" t="s">
        <v>152</v>
      </c>
      <c r="AR565" s="59" t="s">
        <v>2294</v>
      </c>
      <c r="AS565" s="59" t="s">
        <v>2294</v>
      </c>
      <c r="AT565" s="59" t="s">
        <v>1090</v>
      </c>
      <c r="AU565" s="59" t="s">
        <v>111</v>
      </c>
      <c r="AV565" s="62">
        <v>45362</v>
      </c>
      <c r="AW565" s="59" t="s">
        <v>8224</v>
      </c>
      <c r="AX565" s="59" t="s">
        <v>691</v>
      </c>
      <c r="AY565" s="59" t="s">
        <v>6472</v>
      </c>
      <c r="AZ565" s="126" t="s">
        <v>5307</v>
      </c>
      <c r="BA565" s="60" t="s">
        <v>5308</v>
      </c>
      <c r="BB565" s="59" t="s">
        <v>602</v>
      </c>
      <c r="BC565" s="59" t="s">
        <v>800</v>
      </c>
      <c r="BD565" s="60"/>
      <c r="BE565" s="59"/>
      <c r="BF565" s="59"/>
      <c r="BG565" s="59" t="s">
        <v>5306</v>
      </c>
      <c r="BH565" s="60" t="s">
        <v>152</v>
      </c>
      <c r="BI565" s="59" t="s">
        <v>2294</v>
      </c>
      <c r="BJ565" s="24" t="s">
        <v>2294</v>
      </c>
      <c r="BK565" s="59" t="s">
        <v>1090</v>
      </c>
      <c r="BL565" s="59" t="s">
        <v>156</v>
      </c>
      <c r="BM565" s="24">
        <v>45362</v>
      </c>
      <c r="BN565" s="24"/>
      <c r="BO565" s="59" t="s">
        <v>701</v>
      </c>
      <c r="BP565" s="59"/>
      <c r="BQ565" s="137"/>
      <c r="BR565" s="60"/>
      <c r="BS565" s="59"/>
      <c r="BT565" s="59"/>
      <c r="BU565" s="60"/>
      <c r="BV565" s="59"/>
      <c r="BW565" s="59"/>
      <c r="BX565" s="60"/>
      <c r="BY565" s="59"/>
      <c r="BZ565" s="59"/>
      <c r="CA565" s="59"/>
      <c r="CB565" s="59"/>
      <c r="CC565" s="62"/>
      <c r="CD565" s="59"/>
      <c r="CE565" s="59" t="s">
        <v>7744</v>
      </c>
      <c r="CF565" s="60" t="s">
        <v>152</v>
      </c>
      <c r="CG565" s="59" t="s">
        <v>593</v>
      </c>
      <c r="CH565" s="59" t="s">
        <v>593</v>
      </c>
      <c r="CI565" s="59" t="s">
        <v>122</v>
      </c>
      <c r="CJ565" s="59" t="s">
        <v>111</v>
      </c>
      <c r="CK565" s="47">
        <v>45362</v>
      </c>
      <c r="CL565" s="64" t="str">
        <f t="shared" ca="1" si="8"/>
        <v>18 Tahun 5 Bulan 1 Hari</v>
      </c>
      <c r="CM565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Pamagersari RT/RW 02/03 Desa/Kelurahan Tanjungsari Kecamatan Tanjungsari Sumedang Jawa Barat 45362</v>
      </c>
    </row>
    <row r="566" spans="1:91" ht="24.95" hidden="1" customHeight="1">
      <c r="A566" s="58">
        <f>SUBTOTAL(3,N$8:Table2[[#This Row],[Nama lengkap]])</f>
        <v>472</v>
      </c>
      <c r="B566" s="32" t="s">
        <v>5032</v>
      </c>
      <c r="C566" s="58" t="s">
        <v>5041</v>
      </c>
      <c r="D566" s="58"/>
      <c r="E566" s="58"/>
      <c r="F566" s="58"/>
      <c r="G566" s="165"/>
      <c r="H566" s="32"/>
      <c r="I566" s="32"/>
      <c r="J566" s="139"/>
      <c r="K566" s="139"/>
      <c r="L566" s="139"/>
      <c r="M566" s="58"/>
      <c r="N566" s="24" t="s">
        <v>8912</v>
      </c>
      <c r="O566" s="140"/>
      <c r="P566" s="25" t="s">
        <v>5309</v>
      </c>
      <c r="Q566" s="25" t="s">
        <v>9938</v>
      </c>
      <c r="R566" s="60" t="s">
        <v>122</v>
      </c>
      <c r="S566" s="61" t="s">
        <v>5310</v>
      </c>
      <c r="T566" s="47" t="s">
        <v>92</v>
      </c>
      <c r="U566" s="47">
        <v>2</v>
      </c>
      <c r="V566" s="47">
        <v>2</v>
      </c>
      <c r="W566" s="47" t="s">
        <v>207</v>
      </c>
      <c r="X566" s="59"/>
      <c r="Y566" s="59" t="s">
        <v>793</v>
      </c>
      <c r="Z566" s="59" t="s">
        <v>1205</v>
      </c>
      <c r="AA566" s="59" t="s">
        <v>96</v>
      </c>
      <c r="AB566" s="59" t="s">
        <v>689</v>
      </c>
      <c r="AC566" s="59" t="s">
        <v>208</v>
      </c>
      <c r="AD566" s="59" t="s">
        <v>208</v>
      </c>
      <c r="AE566" s="60" t="s">
        <v>5311</v>
      </c>
      <c r="AF566" s="60" t="s">
        <v>8727</v>
      </c>
      <c r="AG566" s="59" t="s">
        <v>8727</v>
      </c>
      <c r="AH566" s="59" t="s">
        <v>691</v>
      </c>
      <c r="AI566" s="59" t="s">
        <v>122</v>
      </c>
      <c r="AJ566" s="61">
        <v>27535</v>
      </c>
      <c r="AK566" s="60" t="s">
        <v>5312</v>
      </c>
      <c r="AL566" s="60" t="s">
        <v>114</v>
      </c>
      <c r="AM566" s="59" t="s">
        <v>693</v>
      </c>
      <c r="AN566" s="60"/>
      <c r="AO566" s="60"/>
      <c r="AP566" s="59" t="s">
        <v>5313</v>
      </c>
      <c r="AQ566" s="25" t="s">
        <v>1810</v>
      </c>
      <c r="AR566" s="60" t="s">
        <v>1100</v>
      </c>
      <c r="AS566" s="59" t="s">
        <v>1101</v>
      </c>
      <c r="AT566" s="59" t="s">
        <v>1090</v>
      </c>
      <c r="AU566" s="59" t="s">
        <v>156</v>
      </c>
      <c r="AV566" s="62">
        <v>45351</v>
      </c>
      <c r="AW566" s="59" t="s">
        <v>8225</v>
      </c>
      <c r="AX566" s="59" t="s">
        <v>691</v>
      </c>
      <c r="AY566" s="59" t="s">
        <v>122</v>
      </c>
      <c r="AZ566" s="126">
        <v>29432</v>
      </c>
      <c r="BA566" s="60" t="s">
        <v>5314</v>
      </c>
      <c r="BB566" s="60" t="s">
        <v>845</v>
      </c>
      <c r="BC566" s="59" t="s">
        <v>700</v>
      </c>
      <c r="BD566" s="60"/>
      <c r="BE566" s="60"/>
      <c r="BF566" s="60"/>
      <c r="BG566" s="59" t="s">
        <v>5315</v>
      </c>
      <c r="BH566" s="60" t="s">
        <v>1810</v>
      </c>
      <c r="BI566" s="60" t="s">
        <v>1100</v>
      </c>
      <c r="BJ566" s="24" t="s">
        <v>1101</v>
      </c>
      <c r="BK566" s="59" t="s">
        <v>1090</v>
      </c>
      <c r="BL566" s="59" t="s">
        <v>156</v>
      </c>
      <c r="BM566" s="24">
        <v>45351</v>
      </c>
      <c r="BN566" s="24"/>
      <c r="BO566" s="59" t="s">
        <v>719</v>
      </c>
      <c r="BP566" s="59"/>
      <c r="BQ566" s="77"/>
      <c r="BR566" s="60"/>
      <c r="BS566" s="60"/>
      <c r="BT566" s="59"/>
      <c r="BU566" s="60"/>
      <c r="BV566" s="60"/>
      <c r="BW566" s="59"/>
      <c r="BX566" s="60"/>
      <c r="BY566" s="60"/>
      <c r="BZ566" s="59"/>
      <c r="CA566" s="59"/>
      <c r="CB566" s="59"/>
      <c r="CC566" s="59"/>
      <c r="CD566" s="59"/>
      <c r="CE566" s="59" t="s">
        <v>7745</v>
      </c>
      <c r="CF566" s="60" t="s">
        <v>1810</v>
      </c>
      <c r="CG566" s="59" t="s">
        <v>7048</v>
      </c>
      <c r="CH566" s="59" t="s">
        <v>6945</v>
      </c>
      <c r="CI566" s="59" t="s">
        <v>122</v>
      </c>
      <c r="CJ566" s="59" t="s">
        <v>111</v>
      </c>
      <c r="CK566" s="47">
        <v>45351</v>
      </c>
      <c r="CL566" s="64" t="str">
        <f t="shared" ca="1" si="8"/>
        <v>18 Tahun 2 Bulan 2 Hari</v>
      </c>
      <c r="CM566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Cijonje RT/RW 05/03 Desa/Kelurahan Gunasari Kecamatan Sumedang Selatan Sumedang Jawa Barat 45351</v>
      </c>
    </row>
    <row r="567" spans="1:91" ht="24.95" hidden="1" customHeight="1">
      <c r="A567" s="58">
        <f>SUBTOTAL(3,N$8:Table2[[#This Row],[Nama lengkap]])</f>
        <v>472</v>
      </c>
      <c r="B567" s="32" t="s">
        <v>5032</v>
      </c>
      <c r="C567" s="58" t="s">
        <v>5041</v>
      </c>
      <c r="D567" s="58"/>
      <c r="E567" s="58"/>
      <c r="F567" s="58"/>
      <c r="G567" s="165"/>
      <c r="H567" s="32"/>
      <c r="I567" s="32"/>
      <c r="J567" s="139"/>
      <c r="K567" s="139"/>
      <c r="L567" s="139"/>
      <c r="M567" s="58"/>
      <c r="N567" s="31" t="s">
        <v>8913</v>
      </c>
      <c r="O567" s="158"/>
      <c r="P567" s="32" t="s">
        <v>5317</v>
      </c>
      <c r="Q567" s="32" t="s">
        <v>5318</v>
      </c>
      <c r="R567" s="64" t="s">
        <v>3137</v>
      </c>
      <c r="S567" s="69" t="s">
        <v>5319</v>
      </c>
      <c r="T567" s="47" t="s">
        <v>92</v>
      </c>
      <c r="U567" s="58">
        <v>1</v>
      </c>
      <c r="V567" s="58"/>
      <c r="W567" s="47" t="s">
        <v>207</v>
      </c>
      <c r="X567" s="59"/>
      <c r="Y567" s="64"/>
      <c r="Z567" s="64"/>
      <c r="AA567" s="64" t="s">
        <v>753</v>
      </c>
      <c r="AB567" s="64"/>
      <c r="AC567" s="64" t="s">
        <v>208</v>
      </c>
      <c r="AD567" s="64" t="s">
        <v>208</v>
      </c>
      <c r="AE567" s="67" t="s">
        <v>5320</v>
      </c>
      <c r="AF567" s="67" t="s">
        <v>8728</v>
      </c>
      <c r="AG567" s="67" t="s">
        <v>8728</v>
      </c>
      <c r="AH567" s="64" t="s">
        <v>691</v>
      </c>
      <c r="AI567" s="64" t="s">
        <v>3137</v>
      </c>
      <c r="AJ567" s="69">
        <v>22478</v>
      </c>
      <c r="AK567" s="67" t="s">
        <v>5321</v>
      </c>
      <c r="AL567" s="64" t="s">
        <v>224</v>
      </c>
      <c r="AM567" s="67" t="s">
        <v>693</v>
      </c>
      <c r="AN567" s="67"/>
      <c r="AO567" s="64"/>
      <c r="AP567" s="64" t="s">
        <v>5322</v>
      </c>
      <c r="AQ567" s="32" t="s">
        <v>604</v>
      </c>
      <c r="AR567" s="64" t="s">
        <v>5323</v>
      </c>
      <c r="AS567" s="64" t="s">
        <v>5324</v>
      </c>
      <c r="AT567" s="64" t="s">
        <v>273</v>
      </c>
      <c r="AU567" s="59" t="s">
        <v>111</v>
      </c>
      <c r="AV567" s="67" t="s">
        <v>5325</v>
      </c>
      <c r="AW567" s="67" t="s">
        <v>8226</v>
      </c>
      <c r="AX567" s="64" t="s">
        <v>691</v>
      </c>
      <c r="AY567" s="64" t="s">
        <v>3137</v>
      </c>
      <c r="AZ567" s="125">
        <v>23352</v>
      </c>
      <c r="BA567" s="67" t="s">
        <v>5326</v>
      </c>
      <c r="BB567" s="64" t="s">
        <v>845</v>
      </c>
      <c r="BC567" s="67" t="s">
        <v>693</v>
      </c>
      <c r="BD567" s="67"/>
      <c r="BE567" s="64"/>
      <c r="BF567" s="64"/>
      <c r="BG567" s="64" t="s">
        <v>5322</v>
      </c>
      <c r="BH567" s="67" t="s">
        <v>604</v>
      </c>
      <c r="BI567" s="64" t="s">
        <v>5323</v>
      </c>
      <c r="BJ567" s="40" t="s">
        <v>5324</v>
      </c>
      <c r="BK567" s="64" t="s">
        <v>273</v>
      </c>
      <c r="BL567" s="67" t="s">
        <v>156</v>
      </c>
      <c r="BM567" s="67" t="s">
        <v>5325</v>
      </c>
      <c r="BN567" s="67"/>
      <c r="BO567" s="64" t="s">
        <v>701</v>
      </c>
      <c r="BP567" s="64"/>
      <c r="BQ567" s="135"/>
      <c r="BR567" s="67"/>
      <c r="BS567" s="64"/>
      <c r="BT567" s="67"/>
      <c r="BU567" s="67"/>
      <c r="BV567" s="64"/>
      <c r="BW567" s="64"/>
      <c r="BX567" s="67"/>
      <c r="BY567" s="64"/>
      <c r="BZ567" s="64"/>
      <c r="CA567" s="64"/>
      <c r="CB567" s="64"/>
      <c r="CC567" s="64"/>
      <c r="CD567" s="64"/>
      <c r="CE567" s="64" t="s">
        <v>7746</v>
      </c>
      <c r="CF567" s="67" t="s">
        <v>604</v>
      </c>
      <c r="CG567" s="64" t="s">
        <v>7325</v>
      </c>
      <c r="CH567" s="64" t="s">
        <v>7326</v>
      </c>
      <c r="CI567" s="64" t="s">
        <v>3137</v>
      </c>
      <c r="CJ567" s="64" t="s">
        <v>111</v>
      </c>
      <c r="CK567" s="58" t="s">
        <v>5325</v>
      </c>
      <c r="CL567" s="64" t="str">
        <f t="shared" ca="1" si="8"/>
        <v>26 Tahun 0 Bulan 18 Hari</v>
      </c>
      <c r="CM567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Kp.Ciparay Hilir RT/RW 03/04 Desa/Kelurahan Bungbangsari Kecamatan Takokak Cianjur Jawa Barat 43265</v>
      </c>
    </row>
    <row r="568" spans="1:91" ht="24.95" hidden="1" customHeight="1">
      <c r="A568" s="58">
        <f>SUBTOTAL(3,N$8:Table2[[#This Row],[Nama lengkap]])</f>
        <v>472</v>
      </c>
      <c r="B568" s="32" t="s">
        <v>5032</v>
      </c>
      <c r="C568" s="58">
        <v>2023</v>
      </c>
      <c r="D568" s="58"/>
      <c r="E568" s="58"/>
      <c r="F568" s="58"/>
      <c r="G568" s="165"/>
      <c r="H568" s="32"/>
      <c r="I568" s="32"/>
      <c r="J568" s="139"/>
      <c r="K568" s="139"/>
      <c r="L568" s="139"/>
      <c r="M568" s="58">
        <v>23240033</v>
      </c>
      <c r="N568" s="24" t="s">
        <v>8914</v>
      </c>
      <c r="O568" s="140"/>
      <c r="P568" s="25" t="s">
        <v>5061</v>
      </c>
      <c r="Q568" s="25" t="s">
        <v>5062</v>
      </c>
      <c r="R568" s="60" t="s">
        <v>90</v>
      </c>
      <c r="S568" s="61" t="s">
        <v>1966</v>
      </c>
      <c r="T568" s="47" t="s">
        <v>92</v>
      </c>
      <c r="U568" s="47">
        <v>5</v>
      </c>
      <c r="V568" s="47">
        <v>5</v>
      </c>
      <c r="W568" s="47" t="s">
        <v>207</v>
      </c>
      <c r="X568" s="59" t="s">
        <v>984</v>
      </c>
      <c r="Y568" s="59" t="s">
        <v>984</v>
      </c>
      <c r="Z568" s="59" t="s">
        <v>984</v>
      </c>
      <c r="AA568" s="59" t="s">
        <v>1141</v>
      </c>
      <c r="AB568" s="59" t="s">
        <v>689</v>
      </c>
      <c r="AC568" s="59" t="s">
        <v>208</v>
      </c>
      <c r="AD568" s="59" t="s">
        <v>208</v>
      </c>
      <c r="AE568" s="60" t="s">
        <v>5063</v>
      </c>
      <c r="AF568" s="60" t="s">
        <v>8729</v>
      </c>
      <c r="AG568" s="59" t="s">
        <v>8729</v>
      </c>
      <c r="AH568" s="59" t="s">
        <v>691</v>
      </c>
      <c r="AI568" s="59" t="s">
        <v>90</v>
      </c>
      <c r="AJ568" s="61">
        <v>21105</v>
      </c>
      <c r="AK568" s="60" t="s">
        <v>5064</v>
      </c>
      <c r="AL568" s="60" t="s">
        <v>8270</v>
      </c>
      <c r="AM568" s="59" t="s">
        <v>96</v>
      </c>
      <c r="AN568" s="60" t="s">
        <v>5065</v>
      </c>
      <c r="AO568" s="60"/>
      <c r="AP568" s="59" t="s">
        <v>5066</v>
      </c>
      <c r="AQ568" s="25" t="s">
        <v>1290</v>
      </c>
      <c r="AR568" s="60" t="s">
        <v>5067</v>
      </c>
      <c r="AS568" s="59" t="s">
        <v>1529</v>
      </c>
      <c r="AT568" s="59" t="s">
        <v>141</v>
      </c>
      <c r="AU568" s="59" t="s">
        <v>156</v>
      </c>
      <c r="AV568" s="62">
        <v>40379</v>
      </c>
      <c r="AW568" s="59" t="s">
        <v>8227</v>
      </c>
      <c r="AX568" s="59" t="s">
        <v>691</v>
      </c>
      <c r="AY568" s="59" t="s">
        <v>90</v>
      </c>
      <c r="AZ568" s="126">
        <v>23568</v>
      </c>
      <c r="BA568" s="60" t="s">
        <v>5068</v>
      </c>
      <c r="BB568" s="60" t="s">
        <v>845</v>
      </c>
      <c r="BC568" s="59" t="s">
        <v>96</v>
      </c>
      <c r="BD568" s="60" t="s">
        <v>5065</v>
      </c>
      <c r="BE568" s="60"/>
      <c r="BF568" s="60"/>
      <c r="BG568" s="59" t="s">
        <v>5066</v>
      </c>
      <c r="BH568" s="60" t="s">
        <v>1290</v>
      </c>
      <c r="BI568" s="60" t="s">
        <v>5067</v>
      </c>
      <c r="BJ568" s="24" t="s">
        <v>1529</v>
      </c>
      <c r="BK568" s="59" t="s">
        <v>141</v>
      </c>
      <c r="BL568" s="59" t="s">
        <v>156</v>
      </c>
      <c r="BM568" s="24">
        <v>40379</v>
      </c>
      <c r="BN568" s="24"/>
      <c r="BO568" s="59"/>
      <c r="BP568" s="59"/>
      <c r="BQ568" s="77"/>
      <c r="BR568" s="60"/>
      <c r="BS568" s="60"/>
      <c r="BT568" s="59"/>
      <c r="BU568" s="60"/>
      <c r="BV568" s="60"/>
      <c r="BW568" s="59"/>
      <c r="BX568" s="60"/>
      <c r="BY568" s="60"/>
      <c r="BZ568" s="59"/>
      <c r="CA568" s="59"/>
      <c r="CB568" s="59"/>
      <c r="CC568" s="59"/>
      <c r="CD568" s="59"/>
      <c r="CE568" s="59" t="s">
        <v>7747</v>
      </c>
      <c r="CF568" s="60" t="s">
        <v>1290</v>
      </c>
      <c r="CG568" s="59" t="s">
        <v>7327</v>
      </c>
      <c r="CH568" s="59" t="s">
        <v>4835</v>
      </c>
      <c r="CI568" s="59" t="s">
        <v>90</v>
      </c>
      <c r="CJ568" s="59" t="s">
        <v>111</v>
      </c>
      <c r="CK568" s="47">
        <v>40379</v>
      </c>
      <c r="CL568" s="64" t="str">
        <f t="shared" ca="1" si="8"/>
        <v>16 Tahun 9 Bulan 6 Hari</v>
      </c>
      <c r="CM568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Kadumanis  RT/RW 03/03 Desa/Kelurahan Baros Kecamatan Arjasari Bandung Jawa Barat 40379</v>
      </c>
    </row>
    <row r="569" spans="1:91" ht="24.95" hidden="1" customHeight="1">
      <c r="A569" s="58">
        <f>SUBTOTAL(3,N$8:Table2[[#This Row],[Nama lengkap]])</f>
        <v>472</v>
      </c>
      <c r="B569" s="32" t="s">
        <v>5032</v>
      </c>
      <c r="C569" s="58">
        <v>2022</v>
      </c>
      <c r="D569" s="58"/>
      <c r="E569" s="58"/>
      <c r="F569" s="58"/>
      <c r="G569" s="165"/>
      <c r="H569" s="32"/>
      <c r="I569" s="32"/>
      <c r="J569" s="139"/>
      <c r="K569" s="139"/>
      <c r="L569" s="139"/>
      <c r="M569" s="58">
        <v>22230104</v>
      </c>
      <c r="N569" s="24" t="s">
        <v>8915</v>
      </c>
      <c r="O569" s="140"/>
      <c r="P569" s="25" t="s">
        <v>5327</v>
      </c>
      <c r="Q569" s="25" t="s">
        <v>5328</v>
      </c>
      <c r="R569" s="60" t="s">
        <v>122</v>
      </c>
      <c r="S569" s="61" t="s">
        <v>5329</v>
      </c>
      <c r="T569" s="47" t="s">
        <v>92</v>
      </c>
      <c r="U569" s="47">
        <v>1</v>
      </c>
      <c r="V569" s="47">
        <v>2</v>
      </c>
      <c r="W569" s="47" t="s">
        <v>207</v>
      </c>
      <c r="X569" s="59" t="s">
        <v>93</v>
      </c>
      <c r="Y569" s="59" t="s">
        <v>1056</v>
      </c>
      <c r="Z569" s="59" t="s">
        <v>986</v>
      </c>
      <c r="AA569" s="59" t="s">
        <v>96</v>
      </c>
      <c r="AB569" s="59" t="s">
        <v>689</v>
      </c>
      <c r="AC569" s="59" t="s">
        <v>208</v>
      </c>
      <c r="AD569" s="59" t="s">
        <v>208</v>
      </c>
      <c r="AE569" s="60" t="s">
        <v>5330</v>
      </c>
      <c r="AF569" s="60" t="s">
        <v>8730</v>
      </c>
      <c r="AG569" s="59" t="s">
        <v>8730</v>
      </c>
      <c r="AH569" s="59" t="s">
        <v>691</v>
      </c>
      <c r="AI569" s="59" t="s">
        <v>122</v>
      </c>
      <c r="AJ569" s="61" t="s">
        <v>5331</v>
      </c>
      <c r="AK569" s="60" t="s">
        <v>5332</v>
      </c>
      <c r="AL569" s="60" t="s">
        <v>114</v>
      </c>
      <c r="AM569" s="59" t="s">
        <v>693</v>
      </c>
      <c r="AN569" s="60" t="s">
        <v>5333</v>
      </c>
      <c r="AO569" s="60"/>
      <c r="AP569" s="59" t="s">
        <v>5334</v>
      </c>
      <c r="AQ569" s="25" t="s">
        <v>5335</v>
      </c>
      <c r="AR569" s="60" t="s">
        <v>5336</v>
      </c>
      <c r="AS569" s="59" t="s">
        <v>5337</v>
      </c>
      <c r="AT569" s="59" t="s">
        <v>1090</v>
      </c>
      <c r="AU569" s="59" t="s">
        <v>111</v>
      </c>
      <c r="AV569" s="62" t="s">
        <v>5338</v>
      </c>
      <c r="AW569" s="59" t="s">
        <v>8228</v>
      </c>
      <c r="AX569" s="59" t="s">
        <v>691</v>
      </c>
      <c r="AY569" s="59" t="s">
        <v>122</v>
      </c>
      <c r="AZ569" s="126">
        <v>33214</v>
      </c>
      <c r="BA569" s="60" t="s">
        <v>5339</v>
      </c>
      <c r="BB569" s="60" t="s">
        <v>845</v>
      </c>
      <c r="BC569" s="59" t="s">
        <v>700</v>
      </c>
      <c r="BD569" s="60" t="s">
        <v>5333</v>
      </c>
      <c r="BE569" s="60"/>
      <c r="BF569" s="60"/>
      <c r="BG569" s="59" t="s">
        <v>5334</v>
      </c>
      <c r="BH569" s="60" t="s">
        <v>5335</v>
      </c>
      <c r="BI569" s="60" t="s">
        <v>5336</v>
      </c>
      <c r="BJ569" s="24" t="s">
        <v>5337</v>
      </c>
      <c r="BK569" s="59" t="s">
        <v>1090</v>
      </c>
      <c r="BL569" s="59" t="s">
        <v>1214</v>
      </c>
      <c r="BM569" s="24" t="s">
        <v>5338</v>
      </c>
      <c r="BN569" s="24"/>
      <c r="BO569" s="59"/>
      <c r="BP569" s="59"/>
      <c r="BQ569" s="77"/>
      <c r="BR569" s="60"/>
      <c r="BS569" s="60"/>
      <c r="BT569" s="59"/>
      <c r="BU569" s="60"/>
      <c r="BV569" s="60"/>
      <c r="BW569" s="59"/>
      <c r="BX569" s="60"/>
      <c r="BY569" s="60"/>
      <c r="BZ569" s="59"/>
      <c r="CA569" s="59"/>
      <c r="CB569" s="59"/>
      <c r="CC569" s="59"/>
      <c r="CD569" s="59"/>
      <c r="CE569" s="59" t="s">
        <v>7748</v>
      </c>
      <c r="CF569" s="60" t="s">
        <v>5335</v>
      </c>
      <c r="CG569" s="59" t="s">
        <v>7328</v>
      </c>
      <c r="CH569" s="59" t="s">
        <v>7329</v>
      </c>
      <c r="CI569" s="59" t="s">
        <v>122</v>
      </c>
      <c r="CJ569" s="59" t="s">
        <v>111</v>
      </c>
      <c r="CK569" s="47" t="s">
        <v>5338</v>
      </c>
      <c r="CL569" s="64" t="str">
        <f t="shared" ca="1" si="8"/>
        <v>16 Tahun 7 Bulan 3 Hari</v>
      </c>
      <c r="CM569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Dusun Darmawangi RT/RW 10/04 Desa/Kelurahan Darmawangi Kecamatan Tomo Sumedang Jawa Barat 45382</v>
      </c>
    </row>
    <row r="570" spans="1:91" ht="24.95" hidden="1" customHeight="1">
      <c r="A570" s="58">
        <f>SUBTOTAL(3,N$8:Table2[[#This Row],[Nama lengkap]])</f>
        <v>472</v>
      </c>
      <c r="B570" s="32" t="s">
        <v>5032</v>
      </c>
      <c r="C570" s="58" t="s">
        <v>5041</v>
      </c>
      <c r="D570" s="58"/>
      <c r="E570" s="58"/>
      <c r="F570" s="58"/>
      <c r="G570" s="165"/>
      <c r="H570" s="32"/>
      <c r="I570" s="32"/>
      <c r="J570" s="139"/>
      <c r="K570" s="139"/>
      <c r="L570" s="139"/>
      <c r="M570" s="58"/>
      <c r="N570" s="24" t="s">
        <v>8916</v>
      </c>
      <c r="O570" s="140"/>
      <c r="P570" s="25"/>
      <c r="Q570" s="25"/>
      <c r="R570" s="60"/>
      <c r="S570" s="61"/>
      <c r="T570" s="47" t="s">
        <v>92</v>
      </c>
      <c r="U570" s="47"/>
      <c r="V570" s="47"/>
      <c r="W570" s="47" t="s">
        <v>207</v>
      </c>
      <c r="X570" s="59"/>
      <c r="Y570" s="59"/>
      <c r="Z570" s="59"/>
      <c r="AA570" s="59"/>
      <c r="AB570" s="59"/>
      <c r="AC570" s="59" t="s">
        <v>208</v>
      </c>
      <c r="AD570" s="59" t="s">
        <v>208</v>
      </c>
      <c r="AE570" s="60"/>
      <c r="AF570" s="60"/>
      <c r="AG570" s="59"/>
      <c r="AH570" s="59"/>
      <c r="AI570" s="59"/>
      <c r="AJ570" s="61"/>
      <c r="AK570" s="60"/>
      <c r="AL570" s="60"/>
      <c r="AM570" s="59"/>
      <c r="AN570" s="60"/>
      <c r="AO570" s="60"/>
      <c r="AP570" s="59"/>
      <c r="AQ570" s="25"/>
      <c r="AR570" s="60"/>
      <c r="AS570" s="59"/>
      <c r="AT570" s="59"/>
      <c r="AU570" s="59" t="s">
        <v>3131</v>
      </c>
      <c r="AV570" s="62"/>
      <c r="AW570" s="59"/>
      <c r="AX570" s="59"/>
      <c r="AY570" s="59"/>
      <c r="AZ570" s="126"/>
      <c r="BA570" s="60"/>
      <c r="BB570" s="60"/>
      <c r="BC570" s="59"/>
      <c r="BD570" s="60"/>
      <c r="BE570" s="60"/>
      <c r="BF570" s="60"/>
      <c r="BG570" s="59"/>
      <c r="BH570" s="60"/>
      <c r="BI570" s="60"/>
      <c r="BJ570" s="24"/>
      <c r="BK570" s="59"/>
      <c r="BL570" s="59"/>
      <c r="BM570" s="24">
        <v>40374</v>
      </c>
      <c r="BN570" s="24"/>
      <c r="BO570" s="59"/>
      <c r="BP570" s="59"/>
      <c r="BQ570" s="77"/>
      <c r="BR570" s="60"/>
      <c r="BS570" s="60"/>
      <c r="BT570" s="59"/>
      <c r="BU570" s="60"/>
      <c r="BV570" s="60"/>
      <c r="BW570" s="59"/>
      <c r="BX570" s="60"/>
      <c r="BY570" s="60"/>
      <c r="BZ570" s="59"/>
      <c r="CA570" s="59"/>
      <c r="CB570" s="59"/>
      <c r="CC570" s="59"/>
      <c r="CD570" s="59"/>
      <c r="CE570" s="59"/>
      <c r="CF570" s="60"/>
      <c r="CG570" s="59"/>
      <c r="CH570" s="59"/>
      <c r="CI570" s="59"/>
      <c r="CJ570" s="59" t="s">
        <v>123</v>
      </c>
      <c r="CK570" s="47"/>
      <c r="CL570" s="64" t="str">
        <f t="shared" ca="1" si="8"/>
        <v>126 Tahun 0 Bulan 23 Hari</v>
      </c>
      <c r="CM570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RT/RW  Desa/Kelurahan  Kecamatan   O </v>
      </c>
    </row>
    <row r="571" spans="1:91" ht="24.95" hidden="1" customHeight="1">
      <c r="A571" s="58">
        <f>SUBTOTAL(3,N$8:Table2[[#This Row],[Nama lengkap]])</f>
        <v>472</v>
      </c>
      <c r="B571" s="32" t="s">
        <v>5032</v>
      </c>
      <c r="C571" s="58" t="s">
        <v>5041</v>
      </c>
      <c r="D571" s="58"/>
      <c r="E571" s="58"/>
      <c r="F571" s="58"/>
      <c r="G571" s="165"/>
      <c r="H571" s="32"/>
      <c r="I571" s="32"/>
      <c r="J571" s="139"/>
      <c r="K571" s="139"/>
      <c r="L571" s="139"/>
      <c r="M571" s="58"/>
      <c r="N571" s="24" t="s">
        <v>8917</v>
      </c>
      <c r="O571" s="140"/>
      <c r="P571" s="25"/>
      <c r="Q571" s="25"/>
      <c r="R571" s="60"/>
      <c r="S571" s="61"/>
      <c r="T571" s="47" t="s">
        <v>92</v>
      </c>
      <c r="U571" s="47"/>
      <c r="V571" s="47"/>
      <c r="W571" s="47" t="s">
        <v>207</v>
      </c>
      <c r="X571" s="59"/>
      <c r="Y571" s="59"/>
      <c r="Z571" s="59"/>
      <c r="AA571" s="59"/>
      <c r="AB571" s="59"/>
      <c r="AC571" s="59" t="s">
        <v>208</v>
      </c>
      <c r="AD571" s="59" t="s">
        <v>208</v>
      </c>
      <c r="AE571" s="60"/>
      <c r="AF571" s="60"/>
      <c r="AG571" s="59"/>
      <c r="AH571" s="59"/>
      <c r="AI571" s="59"/>
      <c r="AJ571" s="61"/>
      <c r="AK571" s="60"/>
      <c r="AL571" s="60"/>
      <c r="AM571" s="59"/>
      <c r="AN571" s="60"/>
      <c r="AO571" s="60"/>
      <c r="AP571" s="59"/>
      <c r="AQ571" s="25"/>
      <c r="AR571" s="60"/>
      <c r="AS571" s="59"/>
      <c r="AT571" s="59"/>
      <c r="AU571" s="59"/>
      <c r="AV571" s="62"/>
      <c r="AW571" s="59"/>
      <c r="AX571" s="59"/>
      <c r="AY571" s="59"/>
      <c r="AZ571" s="126"/>
      <c r="BA571" s="60"/>
      <c r="BB571" s="60"/>
      <c r="BC571" s="59"/>
      <c r="BD571" s="60"/>
      <c r="BE571" s="60"/>
      <c r="BF571" s="60"/>
      <c r="BG571" s="59"/>
      <c r="BH571" s="60"/>
      <c r="BI571" s="60"/>
      <c r="BJ571" s="24"/>
      <c r="BK571" s="59"/>
      <c r="BL571" s="59"/>
      <c r="BM571" s="24">
        <v>40376</v>
      </c>
      <c r="BN571" s="24"/>
      <c r="BO571" s="59"/>
      <c r="BP571" s="59"/>
      <c r="BQ571" s="77"/>
      <c r="BR571" s="60"/>
      <c r="BS571" s="60"/>
      <c r="BT571" s="59"/>
      <c r="BU571" s="60"/>
      <c r="BV571" s="60"/>
      <c r="BW571" s="59"/>
      <c r="BX571" s="60"/>
      <c r="BY571" s="60"/>
      <c r="BZ571" s="59"/>
      <c r="CA571" s="59"/>
      <c r="CB571" s="59"/>
      <c r="CC571" s="59"/>
      <c r="CD571" s="59"/>
      <c r="CE571" s="59"/>
      <c r="CF571" s="60"/>
      <c r="CG571" s="59"/>
      <c r="CH571" s="59"/>
      <c r="CI571" s="59"/>
      <c r="CJ571" s="59"/>
      <c r="CK571" s="47"/>
      <c r="CL571" s="64" t="str">
        <f t="shared" ca="1" si="8"/>
        <v>126 Tahun 0 Bulan 23 Hari</v>
      </c>
      <c r="CM571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RT/RW  Desa/Kelurahan  Kecamatan    </v>
      </c>
    </row>
    <row r="572" spans="1:91" ht="24.95" hidden="1" customHeight="1">
      <c r="A572" s="58">
        <f>SUBTOTAL(3,N$8:Table2[[#This Row],[Nama lengkap]])</f>
        <v>472</v>
      </c>
      <c r="B572" s="32" t="s">
        <v>5032</v>
      </c>
      <c r="C572" s="58" t="s">
        <v>5041</v>
      </c>
      <c r="D572" s="58"/>
      <c r="E572" s="58"/>
      <c r="F572" s="58"/>
      <c r="G572" s="165"/>
      <c r="H572" s="32"/>
      <c r="I572" s="32"/>
      <c r="J572" s="139"/>
      <c r="K572" s="139"/>
      <c r="L572" s="139"/>
      <c r="M572" s="58"/>
      <c r="N572" s="24" t="s">
        <v>8918</v>
      </c>
      <c r="O572" s="140"/>
      <c r="P572" s="25"/>
      <c r="Q572" s="25" t="s">
        <v>5069</v>
      </c>
      <c r="R572" s="60" t="s">
        <v>90</v>
      </c>
      <c r="S572" s="61" t="s">
        <v>5070</v>
      </c>
      <c r="T572" s="47" t="s">
        <v>92</v>
      </c>
      <c r="U572" s="47"/>
      <c r="V572" s="47"/>
      <c r="W572" s="47" t="s">
        <v>207</v>
      </c>
      <c r="X572" s="59"/>
      <c r="Y572" s="59"/>
      <c r="Z572" s="59"/>
      <c r="AA572" s="59" t="s">
        <v>1107</v>
      </c>
      <c r="AB572" s="59"/>
      <c r="AC572" s="59" t="s">
        <v>208</v>
      </c>
      <c r="AD572" s="59" t="s">
        <v>208</v>
      </c>
      <c r="AE572" s="60" t="s">
        <v>5071</v>
      </c>
      <c r="AF572" s="60" t="s">
        <v>8731</v>
      </c>
      <c r="AG572" s="59" t="s">
        <v>8731</v>
      </c>
      <c r="AH572" s="59" t="s">
        <v>691</v>
      </c>
      <c r="AI572" s="59" t="s">
        <v>90</v>
      </c>
      <c r="AJ572" s="61" t="s">
        <v>5072</v>
      </c>
      <c r="AK572" s="60" t="s">
        <v>5073</v>
      </c>
      <c r="AL572" s="60" t="s">
        <v>289</v>
      </c>
      <c r="AM572" s="59" t="s">
        <v>693</v>
      </c>
      <c r="AN572" s="60"/>
      <c r="AO572" s="60"/>
      <c r="AP572" s="59" t="s">
        <v>5074</v>
      </c>
      <c r="AQ572" s="25" t="s">
        <v>1566</v>
      </c>
      <c r="AR572" s="60" t="s">
        <v>5075</v>
      </c>
      <c r="AS572" s="59" t="s">
        <v>1063</v>
      </c>
      <c r="AT572" s="59" t="s">
        <v>141</v>
      </c>
      <c r="AU572" s="59" t="s">
        <v>156</v>
      </c>
      <c r="AV572" s="62">
        <v>40394</v>
      </c>
      <c r="AW572" s="59" t="s">
        <v>8229</v>
      </c>
      <c r="AX572" s="59"/>
      <c r="AY572" s="59" t="s">
        <v>7807</v>
      </c>
      <c r="AZ572" s="126">
        <v>31052</v>
      </c>
      <c r="BA572" s="60" t="s">
        <v>5076</v>
      </c>
      <c r="BB572" s="60" t="s">
        <v>845</v>
      </c>
      <c r="BC572" s="59" t="s">
        <v>800</v>
      </c>
      <c r="BD572" s="60"/>
      <c r="BE572" s="60"/>
      <c r="BF572" s="60"/>
      <c r="BG572" s="59" t="s">
        <v>5074</v>
      </c>
      <c r="BH572" s="60" t="s">
        <v>1313</v>
      </c>
      <c r="BI572" s="60" t="s">
        <v>5075</v>
      </c>
      <c r="BJ572" s="24" t="s">
        <v>1063</v>
      </c>
      <c r="BK572" s="59" t="s">
        <v>141</v>
      </c>
      <c r="BL572" s="59" t="s">
        <v>156</v>
      </c>
      <c r="BM572" s="24">
        <v>40394</v>
      </c>
      <c r="BN572" s="24"/>
      <c r="BO572" s="59"/>
      <c r="BP572" s="59"/>
      <c r="BQ572" s="77"/>
      <c r="BR572" s="60"/>
      <c r="BS572" s="60"/>
      <c r="BT572" s="59"/>
      <c r="BU572" s="60"/>
      <c r="BV572" s="60"/>
      <c r="BW572" s="59"/>
      <c r="BX572" s="60"/>
      <c r="BY572" s="60"/>
      <c r="BZ572" s="59"/>
      <c r="CA572" s="59"/>
      <c r="CB572" s="59"/>
      <c r="CC572" s="59"/>
      <c r="CD572" s="59"/>
      <c r="CE572" s="59" t="s">
        <v>7749</v>
      </c>
      <c r="CF572" s="60" t="s">
        <v>1566</v>
      </c>
      <c r="CG572" s="59" t="s">
        <v>7330</v>
      </c>
      <c r="CH572" s="59" t="s">
        <v>295</v>
      </c>
      <c r="CI572" s="59" t="s">
        <v>90</v>
      </c>
      <c r="CJ572" s="59" t="s">
        <v>111</v>
      </c>
      <c r="CK572" s="47">
        <v>40394</v>
      </c>
      <c r="CL572" s="64" t="str">
        <f t="shared" ca="1" si="8"/>
        <v>19 Tahun 1 Bulan 24 Hari</v>
      </c>
      <c r="CM572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Rancabango RT/RW 05/01 Desa/Kelurahan Tegal Sumedang Kecamatan Rancaekek Bandung Jawa Barat 40394</v>
      </c>
    </row>
    <row r="573" spans="1:91" ht="24.95" hidden="1" customHeight="1">
      <c r="A573" s="58">
        <f>SUBTOTAL(3,N$8:Table2[[#This Row],[Nama lengkap]])</f>
        <v>472</v>
      </c>
      <c r="B573" s="32" t="s">
        <v>5032</v>
      </c>
      <c r="C573" s="58">
        <v>2021</v>
      </c>
      <c r="D573" s="58"/>
      <c r="E573" s="58"/>
      <c r="F573" s="58"/>
      <c r="G573" s="165"/>
      <c r="H573" s="32"/>
      <c r="I573" s="32"/>
      <c r="J573" s="139"/>
      <c r="K573" s="139"/>
      <c r="L573" s="139"/>
      <c r="M573" s="58">
        <v>21220148</v>
      </c>
      <c r="N573" s="24" t="s">
        <v>8919</v>
      </c>
      <c r="O573" s="140"/>
      <c r="P573" s="25"/>
      <c r="Q573" s="25" t="s">
        <v>5341</v>
      </c>
      <c r="R573" s="60" t="s">
        <v>90</v>
      </c>
      <c r="S573" s="61" t="s">
        <v>5342</v>
      </c>
      <c r="T573" s="47" t="s">
        <v>92</v>
      </c>
      <c r="U573" s="47">
        <v>1</v>
      </c>
      <c r="V573" s="47">
        <v>3</v>
      </c>
      <c r="W573" s="47" t="s">
        <v>207</v>
      </c>
      <c r="X573" s="59"/>
      <c r="Y573" s="63" t="s">
        <v>688</v>
      </c>
      <c r="Z573" s="59" t="s">
        <v>1140</v>
      </c>
      <c r="AA573" s="63" t="s">
        <v>1141</v>
      </c>
      <c r="AB573" s="65" t="s">
        <v>689</v>
      </c>
      <c r="AC573" s="65" t="s">
        <v>208</v>
      </c>
      <c r="AD573" s="65" t="s">
        <v>208</v>
      </c>
      <c r="AE573" s="10" t="s">
        <v>5343</v>
      </c>
      <c r="AF573" s="11" t="s">
        <v>8732</v>
      </c>
      <c r="AG573" s="11" t="s">
        <v>8732</v>
      </c>
      <c r="AH573" s="65" t="s">
        <v>691</v>
      </c>
      <c r="AI573" s="11" t="s">
        <v>8289</v>
      </c>
      <c r="AJ573" s="132" t="s">
        <v>5344</v>
      </c>
      <c r="AK573" s="10" t="s">
        <v>5345</v>
      </c>
      <c r="AL573" s="11" t="s">
        <v>114</v>
      </c>
      <c r="AM573" s="11" t="s">
        <v>800</v>
      </c>
      <c r="AN573" s="60"/>
      <c r="AO573" s="60"/>
      <c r="AP573" s="59" t="s">
        <v>5346</v>
      </c>
      <c r="AQ573" s="25" t="s">
        <v>667</v>
      </c>
      <c r="AR573" s="11" t="s">
        <v>5008</v>
      </c>
      <c r="AS573" s="11" t="s">
        <v>5009</v>
      </c>
      <c r="AT573" s="11" t="s">
        <v>141</v>
      </c>
      <c r="AU573" s="59" t="s">
        <v>111</v>
      </c>
      <c r="AV573" s="62"/>
      <c r="AW573" s="59" t="s">
        <v>8230</v>
      </c>
      <c r="AX573" s="59" t="s">
        <v>691</v>
      </c>
      <c r="AY573" s="59" t="s">
        <v>90</v>
      </c>
      <c r="AZ573" s="126" t="s">
        <v>5347</v>
      </c>
      <c r="BA573" s="60" t="s">
        <v>5348</v>
      </c>
      <c r="BB573" s="67" t="s">
        <v>845</v>
      </c>
      <c r="BC573" s="60" t="s">
        <v>800</v>
      </c>
      <c r="BD573" s="60"/>
      <c r="BE573" s="60"/>
      <c r="BF573" s="60"/>
      <c r="BG573" s="59" t="s">
        <v>5346</v>
      </c>
      <c r="BH573" s="25" t="s">
        <v>667</v>
      </c>
      <c r="BI573" s="11" t="s">
        <v>5008</v>
      </c>
      <c r="BJ573" s="14" t="s">
        <v>5009</v>
      </c>
      <c r="BK573" s="11" t="s">
        <v>141</v>
      </c>
      <c r="BL573" s="11" t="s">
        <v>156</v>
      </c>
      <c r="BM573" s="62"/>
      <c r="BN573" s="62"/>
      <c r="BO573" s="59"/>
      <c r="BP573" s="59"/>
      <c r="BQ573" s="77"/>
      <c r="BR573" s="60"/>
      <c r="BS573" s="60"/>
      <c r="BT573" s="59"/>
      <c r="BU573" s="60"/>
      <c r="BV573" s="60"/>
      <c r="BW573" s="59"/>
      <c r="BX573" s="60"/>
      <c r="BY573" s="60"/>
      <c r="BZ573" s="59"/>
      <c r="CA573" s="59"/>
      <c r="CB573" s="59"/>
      <c r="CC573" s="59"/>
      <c r="CD573" s="59"/>
      <c r="CE573" s="59" t="s">
        <v>7750</v>
      </c>
      <c r="CF573" s="60" t="s">
        <v>667</v>
      </c>
      <c r="CG573" s="59" t="s">
        <v>7301</v>
      </c>
      <c r="CH573" s="59" t="s">
        <v>6650</v>
      </c>
      <c r="CI573" s="59" t="s">
        <v>90</v>
      </c>
      <c r="CJ573" s="59" t="s">
        <v>111</v>
      </c>
      <c r="CK573" s="47"/>
      <c r="CL573" s="64" t="str">
        <f t="shared" ca="1" si="8"/>
        <v>20 Tahun 7 Bulan 1 Hari</v>
      </c>
      <c r="CM573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Ciguriang Hilir RT/RW 04/05 Desa/Kelurahan Cangkuang Wetan Kecamatan Dayeuhkolot Bandung Jawa Barat </v>
      </c>
    </row>
    <row r="574" spans="1:91" ht="24.95" hidden="1" customHeight="1">
      <c r="A574" s="58">
        <f>SUBTOTAL(3,N$8:Table2[[#This Row],[Nama lengkap]])</f>
        <v>472</v>
      </c>
      <c r="B574" s="32" t="s">
        <v>5032</v>
      </c>
      <c r="C574" s="58" t="s">
        <v>5041</v>
      </c>
      <c r="D574" s="58"/>
      <c r="E574" s="58"/>
      <c r="F574" s="58"/>
      <c r="G574" s="165"/>
      <c r="H574" s="32"/>
      <c r="I574" s="32"/>
      <c r="J574" s="139"/>
      <c r="K574" s="139"/>
      <c r="L574" s="139"/>
      <c r="M574" s="58"/>
      <c r="N574" s="24" t="s">
        <v>8920</v>
      </c>
      <c r="O574" s="140"/>
      <c r="P574" s="25"/>
      <c r="Q574" s="25" t="s">
        <v>5349</v>
      </c>
      <c r="R574" s="60" t="s">
        <v>90</v>
      </c>
      <c r="S574" s="61" t="s">
        <v>5350</v>
      </c>
      <c r="T574" s="47" t="s">
        <v>92</v>
      </c>
      <c r="U574" s="47">
        <v>1</v>
      </c>
      <c r="V574" s="47">
        <v>4</v>
      </c>
      <c r="W574" s="47" t="s">
        <v>207</v>
      </c>
      <c r="X574" s="59"/>
      <c r="Y574" s="59"/>
      <c r="Z574" s="59"/>
      <c r="AA574" s="59" t="s">
        <v>1141</v>
      </c>
      <c r="AB574" s="59"/>
      <c r="AC574" s="59" t="s">
        <v>208</v>
      </c>
      <c r="AD574" s="59" t="s">
        <v>208</v>
      </c>
      <c r="AE574" s="60" t="s">
        <v>5351</v>
      </c>
      <c r="AF574" s="60" t="s">
        <v>8231</v>
      </c>
      <c r="AG574" s="59" t="s">
        <v>8733</v>
      </c>
      <c r="AH574" s="59" t="s">
        <v>5352</v>
      </c>
      <c r="AI574" s="59"/>
      <c r="AJ574" s="61"/>
      <c r="AK574" s="60"/>
      <c r="AL574" s="60"/>
      <c r="AM574" s="59"/>
      <c r="AN574" s="60"/>
      <c r="AO574" s="60"/>
      <c r="AP574" s="59"/>
      <c r="AQ574" s="25"/>
      <c r="AR574" s="60"/>
      <c r="AS574" s="59"/>
      <c r="AT574" s="59"/>
      <c r="AU574" s="59"/>
      <c r="AV574" s="62">
        <v>40911</v>
      </c>
      <c r="AW574" s="59" t="s">
        <v>8231</v>
      </c>
      <c r="AX574" s="59" t="s">
        <v>2781</v>
      </c>
      <c r="AY574" s="59" t="s">
        <v>90</v>
      </c>
      <c r="AZ574" s="126">
        <v>31451</v>
      </c>
      <c r="BA574" s="60" t="s">
        <v>5353</v>
      </c>
      <c r="BB574" s="60" t="s">
        <v>845</v>
      </c>
      <c r="BC574" s="59" t="s">
        <v>700</v>
      </c>
      <c r="BD574" s="60"/>
      <c r="BE574" s="60"/>
      <c r="BF574" s="60"/>
      <c r="BG574" s="59" t="s">
        <v>5354</v>
      </c>
      <c r="BH574" s="60" t="s">
        <v>1430</v>
      </c>
      <c r="BI574" s="60" t="s">
        <v>955</v>
      </c>
      <c r="BJ574" s="24" t="s">
        <v>955</v>
      </c>
      <c r="BK574" s="59" t="s">
        <v>141</v>
      </c>
      <c r="BL574" s="59" t="s">
        <v>1938</v>
      </c>
      <c r="BM574" s="24">
        <v>40911</v>
      </c>
      <c r="BN574" s="24"/>
      <c r="BO574" s="59"/>
      <c r="BP574" s="59"/>
      <c r="BQ574" s="77"/>
      <c r="BR574" s="60"/>
      <c r="BS574" s="60"/>
      <c r="BT574" s="59"/>
      <c r="BU574" s="60"/>
      <c r="BV574" s="60"/>
      <c r="BW574" s="59"/>
      <c r="BX574" s="60"/>
      <c r="BY574" s="60"/>
      <c r="BZ574" s="59"/>
      <c r="CA574" s="59"/>
      <c r="CB574" s="59"/>
      <c r="CC574" s="59"/>
      <c r="CD574" s="59"/>
      <c r="CE574" s="59" t="s">
        <v>7751</v>
      </c>
      <c r="CF574" s="60" t="s">
        <v>1430</v>
      </c>
      <c r="CG574" s="60" t="s">
        <v>7039</v>
      </c>
      <c r="CH574" s="24" t="s">
        <v>7039</v>
      </c>
      <c r="CI574" s="59" t="s">
        <v>90</v>
      </c>
      <c r="CJ574" s="59" t="s">
        <v>7126</v>
      </c>
      <c r="CK574" s="47">
        <v>40911</v>
      </c>
      <c r="CL574" s="64" t="str">
        <f t="shared" ca="1" si="8"/>
        <v>20 Tahun 9 Bulan 17 Hari</v>
      </c>
      <c r="CM574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Jl.Bojong Cihaur  RT/RW 02/08 Desa/Kelurahan Soreang Kecamatan Soreang Bandung Jawa Barat  40911</v>
      </c>
    </row>
    <row r="575" spans="1:91" ht="24.95" hidden="1" customHeight="1">
      <c r="A575" s="58">
        <f>SUBTOTAL(3,N$8:Table2[[#This Row],[Nama lengkap]])</f>
        <v>472</v>
      </c>
      <c r="B575" s="32" t="s">
        <v>5032</v>
      </c>
      <c r="C575" s="58">
        <v>2020</v>
      </c>
      <c r="D575" s="58"/>
      <c r="E575" s="58"/>
      <c r="F575" s="58"/>
      <c r="G575" s="165"/>
      <c r="H575" s="32"/>
      <c r="I575" s="32"/>
      <c r="J575" s="139"/>
      <c r="K575" s="139"/>
      <c r="L575" s="139"/>
      <c r="M575" s="58">
        <v>20210172</v>
      </c>
      <c r="N575" s="24" t="s">
        <v>8921</v>
      </c>
      <c r="O575" s="140"/>
      <c r="P575" s="25" t="s">
        <v>8977</v>
      </c>
      <c r="Q575" s="25" t="s">
        <v>5356</v>
      </c>
      <c r="R575" s="60" t="s">
        <v>122</v>
      </c>
      <c r="S575" s="61" t="s">
        <v>5357</v>
      </c>
      <c r="T575" s="47" t="s">
        <v>92</v>
      </c>
      <c r="U575" s="47">
        <v>2</v>
      </c>
      <c r="V575" s="47">
        <v>3</v>
      </c>
      <c r="W575" s="47" t="s">
        <v>207</v>
      </c>
      <c r="X575" s="59"/>
      <c r="Y575" s="59"/>
      <c r="Z575" s="59"/>
      <c r="AA575" s="63" t="s">
        <v>96</v>
      </c>
      <c r="AB575" s="65" t="s">
        <v>689</v>
      </c>
      <c r="AC575" s="65" t="s">
        <v>208</v>
      </c>
      <c r="AD575" s="65" t="s">
        <v>208</v>
      </c>
      <c r="AE575" s="10" t="s">
        <v>5358</v>
      </c>
      <c r="AF575" s="11" t="s">
        <v>8043</v>
      </c>
      <c r="AG575" s="11" t="s">
        <v>8043</v>
      </c>
      <c r="AH575" s="65" t="s">
        <v>691</v>
      </c>
      <c r="AI575" s="11" t="s">
        <v>122</v>
      </c>
      <c r="AJ575" s="132">
        <v>26090</v>
      </c>
      <c r="AK575" s="10" t="s">
        <v>5359</v>
      </c>
      <c r="AL575" s="11" t="s">
        <v>914</v>
      </c>
      <c r="AM575" s="11" t="s">
        <v>700</v>
      </c>
      <c r="AN575" s="60"/>
      <c r="AO575" s="60"/>
      <c r="AP575" s="59" t="s">
        <v>5360</v>
      </c>
      <c r="AQ575" s="25" t="s">
        <v>152</v>
      </c>
      <c r="AR575" s="11" t="s">
        <v>5361</v>
      </c>
      <c r="AS575" s="11" t="s">
        <v>1324</v>
      </c>
      <c r="AT575" s="11" t="s">
        <v>1090</v>
      </c>
      <c r="AU575" s="59" t="s">
        <v>111</v>
      </c>
      <c r="AV575" s="62"/>
      <c r="AW575" s="59" t="s">
        <v>8232</v>
      </c>
      <c r="AX575" s="59" t="s">
        <v>691</v>
      </c>
      <c r="AY575" s="59" t="s">
        <v>122</v>
      </c>
      <c r="AZ575" s="126">
        <v>30820</v>
      </c>
      <c r="BA575" s="60" t="s">
        <v>5362</v>
      </c>
      <c r="BB575" s="67" t="s">
        <v>845</v>
      </c>
      <c r="BC575" s="60" t="s">
        <v>5363</v>
      </c>
      <c r="BD575" s="60"/>
      <c r="BE575" s="60"/>
      <c r="BF575" s="60"/>
      <c r="BG575" s="59" t="s">
        <v>5360</v>
      </c>
      <c r="BH575" s="25" t="s">
        <v>152</v>
      </c>
      <c r="BI575" s="11" t="s">
        <v>5361</v>
      </c>
      <c r="BJ575" s="14" t="s">
        <v>1324</v>
      </c>
      <c r="BK575" s="11" t="s">
        <v>1090</v>
      </c>
      <c r="BL575" s="11" t="s">
        <v>156</v>
      </c>
      <c r="BM575" s="62"/>
      <c r="BN575" s="62"/>
      <c r="BO575" s="59"/>
      <c r="BP575" s="59"/>
      <c r="BQ575" s="77"/>
      <c r="BR575" s="60"/>
      <c r="BS575" s="60"/>
      <c r="BT575" s="59"/>
      <c r="BU575" s="60"/>
      <c r="BV575" s="60"/>
      <c r="BW575" s="59"/>
      <c r="BX575" s="60"/>
      <c r="BY575" s="60"/>
      <c r="BZ575" s="59"/>
      <c r="CA575" s="59"/>
      <c r="CB575" s="59"/>
      <c r="CC575" s="59"/>
      <c r="CD575" s="59"/>
      <c r="CE575" s="59" t="s">
        <v>7752</v>
      </c>
      <c r="CF575" s="60" t="s">
        <v>152</v>
      </c>
      <c r="CG575" s="59" t="s">
        <v>7331</v>
      </c>
      <c r="CH575" s="59" t="s">
        <v>134</v>
      </c>
      <c r="CI575" s="59" t="s">
        <v>122</v>
      </c>
      <c r="CJ575" s="59" t="s">
        <v>111</v>
      </c>
      <c r="CK575" s="47"/>
      <c r="CL575" s="64" t="str">
        <f t="shared" ca="1" si="8"/>
        <v>18 Tahun 6 Bulan 7 Hari</v>
      </c>
      <c r="CM575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Dsn.Cijolang RT/RW 02/03 Desa/Kelurahan Citengah Kecamatan Sumedang Utara Sumedang Jawa Barat </v>
      </c>
    </row>
    <row r="576" spans="1:91" ht="24.95" hidden="1" customHeight="1">
      <c r="A576" s="58">
        <f>SUBTOTAL(3,N$8:Table2[[#This Row],[Nama lengkap]])</f>
        <v>472</v>
      </c>
      <c r="B576" s="32" t="s">
        <v>5032</v>
      </c>
      <c r="C576" s="58" t="s">
        <v>5041</v>
      </c>
      <c r="D576" s="58"/>
      <c r="E576" s="58"/>
      <c r="F576" s="58"/>
      <c r="G576" s="165"/>
      <c r="H576" s="32"/>
      <c r="I576" s="32"/>
      <c r="J576" s="139"/>
      <c r="K576" s="139"/>
      <c r="L576" s="139"/>
      <c r="M576" s="58"/>
      <c r="N576" s="24" t="s">
        <v>8922</v>
      </c>
      <c r="O576" s="140"/>
      <c r="P576" s="25" t="s">
        <v>5365</v>
      </c>
      <c r="Q576" s="25" t="s">
        <v>5366</v>
      </c>
      <c r="R576" s="60" t="s">
        <v>122</v>
      </c>
      <c r="S576" s="61" t="s">
        <v>5367</v>
      </c>
      <c r="T576" s="47" t="s">
        <v>92</v>
      </c>
      <c r="U576" s="47">
        <v>2</v>
      </c>
      <c r="V576" s="47">
        <v>2</v>
      </c>
      <c r="W576" s="47" t="s">
        <v>207</v>
      </c>
      <c r="X576" s="59"/>
      <c r="Y576" s="59"/>
      <c r="Z576" s="59"/>
      <c r="AA576" s="59" t="s">
        <v>96</v>
      </c>
      <c r="AB576" s="59" t="s">
        <v>689</v>
      </c>
      <c r="AC576" s="59" t="s">
        <v>208</v>
      </c>
      <c r="AD576" s="59" t="s">
        <v>208</v>
      </c>
      <c r="AE576" s="60" t="s">
        <v>5368</v>
      </c>
      <c r="AF576" s="59" t="s">
        <v>8734</v>
      </c>
      <c r="AG576" s="59" t="s">
        <v>8734</v>
      </c>
      <c r="AH576" s="59" t="s">
        <v>2844</v>
      </c>
      <c r="AI576" s="59" t="s">
        <v>122</v>
      </c>
      <c r="AJ576" s="61" t="s">
        <v>5369</v>
      </c>
      <c r="AK576" s="60" t="s">
        <v>5370</v>
      </c>
      <c r="AL576" s="60" t="s">
        <v>114</v>
      </c>
      <c r="AM576" s="59" t="s">
        <v>800</v>
      </c>
      <c r="AN576" s="60"/>
      <c r="AO576" s="60"/>
      <c r="AP576" s="59" t="s">
        <v>3351</v>
      </c>
      <c r="AQ576" s="25" t="s">
        <v>152</v>
      </c>
      <c r="AR576" s="60" t="s">
        <v>2293</v>
      </c>
      <c r="AS576" s="59" t="s">
        <v>2294</v>
      </c>
      <c r="AT576" s="59" t="s">
        <v>1090</v>
      </c>
      <c r="AU576" s="59" t="s">
        <v>111</v>
      </c>
      <c r="AV576" s="62"/>
      <c r="AW576" s="59" t="s">
        <v>8233</v>
      </c>
      <c r="AX576" s="59" t="s">
        <v>2844</v>
      </c>
      <c r="AY576" s="59" t="s">
        <v>122</v>
      </c>
      <c r="AZ576" s="126" t="s">
        <v>5371</v>
      </c>
      <c r="BA576" s="60" t="s">
        <v>5372</v>
      </c>
      <c r="BB576" s="60" t="s">
        <v>845</v>
      </c>
      <c r="BC576" s="59" t="s">
        <v>700</v>
      </c>
      <c r="BD576" s="60" t="s">
        <v>5373</v>
      </c>
      <c r="BE576" s="60"/>
      <c r="BF576" s="60"/>
      <c r="BG576" s="59" t="s">
        <v>3351</v>
      </c>
      <c r="BH576" s="60" t="s">
        <v>152</v>
      </c>
      <c r="BI576" s="60" t="s">
        <v>2293</v>
      </c>
      <c r="BJ576" s="24" t="s">
        <v>2294</v>
      </c>
      <c r="BK576" s="59" t="s">
        <v>1090</v>
      </c>
      <c r="BL576" s="59" t="s">
        <v>156</v>
      </c>
      <c r="BM576" s="62"/>
      <c r="BN576" s="62"/>
      <c r="BO576" s="59"/>
      <c r="BP576" s="59"/>
      <c r="BQ576" s="77"/>
      <c r="BR576" s="60"/>
      <c r="BS576" s="60"/>
      <c r="BT576" s="59"/>
      <c r="BU576" s="60"/>
      <c r="BV576" s="60"/>
      <c r="BW576" s="59"/>
      <c r="BX576" s="60"/>
      <c r="BY576" s="60"/>
      <c r="BZ576" s="59"/>
      <c r="CA576" s="59"/>
      <c r="CB576" s="59"/>
      <c r="CC576" s="59"/>
      <c r="CD576" s="59"/>
      <c r="CE576" s="59" t="s">
        <v>7565</v>
      </c>
      <c r="CF576" s="60" t="s">
        <v>152</v>
      </c>
      <c r="CG576" s="59" t="s">
        <v>7161</v>
      </c>
      <c r="CH576" s="59" t="s">
        <v>593</v>
      </c>
      <c r="CI576" s="59" t="s">
        <v>122</v>
      </c>
      <c r="CJ576" s="59" t="s">
        <v>111</v>
      </c>
      <c r="CK576" s="47"/>
      <c r="CL576" s="64" t="str">
        <f t="shared" ca="1" si="8"/>
        <v>21 Tahun 2 Bulan 6 Hari</v>
      </c>
      <c r="CM576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Mariuk RT/RW 02/03 Desa/Kelurahan Margaluyu Kecamatan Tanjungsari Sumedang Jawa Barat </v>
      </c>
    </row>
    <row r="577" spans="1:91" ht="24.95" hidden="1" customHeight="1">
      <c r="A577" s="58">
        <f>SUBTOTAL(3,N$8:Table2[[#This Row],[Nama lengkap]])</f>
        <v>472</v>
      </c>
      <c r="B577" s="32" t="s">
        <v>5032</v>
      </c>
      <c r="C577" s="58">
        <v>2020</v>
      </c>
      <c r="D577" s="58"/>
      <c r="E577" s="58"/>
      <c r="F577" s="58"/>
      <c r="G577" s="165"/>
      <c r="H577" s="32"/>
      <c r="I577" s="32"/>
      <c r="J577" s="139"/>
      <c r="K577" s="139"/>
      <c r="L577" s="139"/>
      <c r="M577" s="58">
        <v>20210159</v>
      </c>
      <c r="N577" s="24" t="s">
        <v>8923</v>
      </c>
      <c r="O577" s="140"/>
      <c r="P577" s="25"/>
      <c r="Q577" s="25" t="s">
        <v>5374</v>
      </c>
      <c r="R577" s="60" t="s">
        <v>90</v>
      </c>
      <c r="S577" s="61" t="s">
        <v>5375</v>
      </c>
      <c r="T577" s="47" t="s">
        <v>92</v>
      </c>
      <c r="U577" s="47">
        <v>3</v>
      </c>
      <c r="V577" s="47">
        <v>4</v>
      </c>
      <c r="W577" s="47" t="s">
        <v>207</v>
      </c>
      <c r="X577" s="59"/>
      <c r="Y577" s="59"/>
      <c r="Z577" s="59"/>
      <c r="AA577" s="63" t="s">
        <v>96</v>
      </c>
      <c r="AB577" s="65" t="s">
        <v>689</v>
      </c>
      <c r="AC577" s="65" t="s">
        <v>208</v>
      </c>
      <c r="AD577" s="65" t="s">
        <v>208</v>
      </c>
      <c r="AE577" s="10" t="s">
        <v>5376</v>
      </c>
      <c r="AF577" s="11" t="s">
        <v>8735</v>
      </c>
      <c r="AG577" s="11" t="s">
        <v>8735</v>
      </c>
      <c r="AH577" s="65" t="s">
        <v>691</v>
      </c>
      <c r="AI577" s="11" t="s">
        <v>7803</v>
      </c>
      <c r="AJ577" s="132" t="s">
        <v>5377</v>
      </c>
      <c r="AK577" s="10" t="s">
        <v>5378</v>
      </c>
      <c r="AL577" s="11" t="s">
        <v>602</v>
      </c>
      <c r="AM577" s="11" t="s">
        <v>693</v>
      </c>
      <c r="AN577" s="60"/>
      <c r="AO577" s="60"/>
      <c r="AP577" s="59" t="s">
        <v>5379</v>
      </c>
      <c r="AQ577" s="25" t="s">
        <v>3183</v>
      </c>
      <c r="AR577" s="11" t="s">
        <v>5380</v>
      </c>
      <c r="AS577" s="11" t="s">
        <v>1937</v>
      </c>
      <c r="AT577" s="11" t="s">
        <v>141</v>
      </c>
      <c r="AU577" s="59" t="s">
        <v>111</v>
      </c>
      <c r="AV577" s="62"/>
      <c r="AW577" s="59" t="s">
        <v>8234</v>
      </c>
      <c r="AX577" s="59" t="s">
        <v>691</v>
      </c>
      <c r="AY577" s="59" t="s">
        <v>7808</v>
      </c>
      <c r="AZ577" s="126" t="s">
        <v>3393</v>
      </c>
      <c r="BA577" s="60" t="s">
        <v>5381</v>
      </c>
      <c r="BB577" s="67" t="s">
        <v>845</v>
      </c>
      <c r="BC577" s="60" t="s">
        <v>693</v>
      </c>
      <c r="BD577" s="60"/>
      <c r="BE577" s="60"/>
      <c r="BF577" s="60"/>
      <c r="BG577" s="59" t="s">
        <v>5379</v>
      </c>
      <c r="BH577" s="25" t="s">
        <v>3183</v>
      </c>
      <c r="BI577" s="11" t="s">
        <v>5380</v>
      </c>
      <c r="BJ577" s="14" t="s">
        <v>1937</v>
      </c>
      <c r="BK577" s="11" t="s">
        <v>141</v>
      </c>
      <c r="BL577" s="11" t="s">
        <v>156</v>
      </c>
      <c r="BM577" s="62"/>
      <c r="BN577" s="62"/>
      <c r="BO577" s="59"/>
      <c r="BP577" s="59"/>
      <c r="BQ577" s="77"/>
      <c r="BR577" s="60"/>
      <c r="BS577" s="60"/>
      <c r="BT577" s="59"/>
      <c r="BU577" s="60"/>
      <c r="BV577" s="60"/>
      <c r="BW577" s="59"/>
      <c r="BX577" s="60"/>
      <c r="BY577" s="60"/>
      <c r="BZ577" s="59"/>
      <c r="CA577" s="59"/>
      <c r="CB577" s="59"/>
      <c r="CC577" s="59"/>
      <c r="CD577" s="59"/>
      <c r="CE577" s="59" t="s">
        <v>7753</v>
      </c>
      <c r="CF577" s="60" t="s">
        <v>3183</v>
      </c>
      <c r="CG577" s="59" t="s">
        <v>7332</v>
      </c>
      <c r="CH577" s="59" t="s">
        <v>7125</v>
      </c>
      <c r="CI577" s="59" t="s">
        <v>90</v>
      </c>
      <c r="CJ577" s="59" t="s">
        <v>111</v>
      </c>
      <c r="CK577" s="47"/>
      <c r="CL577" s="64" t="str">
        <f t="shared" ca="1" si="8"/>
        <v>18 Tahun 1 Bulan 11 Hari</v>
      </c>
      <c r="CM577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Gg. Pak Elas  RT/RW 04/08 Desa/Kelurahan Cipedes Kecamatan Sukajadi Bandung Jawa Barat </v>
      </c>
    </row>
    <row r="578" spans="1:91" ht="24.95" hidden="1" customHeight="1">
      <c r="A578" s="58">
        <f>SUBTOTAL(3,N$8:Table2[[#This Row],[Nama lengkap]])</f>
        <v>472</v>
      </c>
      <c r="B578" s="32" t="s">
        <v>5032</v>
      </c>
      <c r="C578" s="58" t="s">
        <v>5041</v>
      </c>
      <c r="D578" s="58"/>
      <c r="E578" s="58"/>
      <c r="F578" s="58"/>
      <c r="G578" s="165"/>
      <c r="H578" s="32"/>
      <c r="I578" s="32"/>
      <c r="J578" s="139"/>
      <c r="K578" s="139"/>
      <c r="L578" s="139"/>
      <c r="M578" s="58"/>
      <c r="N578" s="24" t="s">
        <v>8924</v>
      </c>
      <c r="O578" s="140"/>
      <c r="P578" s="25" t="s">
        <v>5382</v>
      </c>
      <c r="Q578" s="25" t="s">
        <v>5383</v>
      </c>
      <c r="R578" s="60" t="s">
        <v>122</v>
      </c>
      <c r="S578" s="61" t="s">
        <v>5384</v>
      </c>
      <c r="T578" s="47" t="s">
        <v>92</v>
      </c>
      <c r="U578" s="47">
        <v>1</v>
      </c>
      <c r="V578" s="47">
        <v>2</v>
      </c>
      <c r="W578" s="47" t="s">
        <v>207</v>
      </c>
      <c r="X578" s="59"/>
      <c r="Y578" s="59"/>
      <c r="Z578" s="59"/>
      <c r="AA578" s="59" t="s">
        <v>5385</v>
      </c>
      <c r="AB578" s="59"/>
      <c r="AC578" s="59" t="s">
        <v>208</v>
      </c>
      <c r="AD578" s="59" t="s">
        <v>208</v>
      </c>
      <c r="AE578" s="60" t="s">
        <v>5386</v>
      </c>
      <c r="AF578" s="60" t="s">
        <v>8736</v>
      </c>
      <c r="AG578" s="59" t="s">
        <v>8736</v>
      </c>
      <c r="AH578" s="59" t="s">
        <v>2781</v>
      </c>
      <c r="AI578" s="59" t="s">
        <v>435</v>
      </c>
      <c r="AJ578" s="61" t="s">
        <v>5387</v>
      </c>
      <c r="AK578" s="60" t="s">
        <v>5388</v>
      </c>
      <c r="AL578" s="60" t="s">
        <v>8255</v>
      </c>
      <c r="AM578" s="59" t="s">
        <v>700</v>
      </c>
      <c r="AN578" s="60"/>
      <c r="AO578" s="60"/>
      <c r="AP578" s="59" t="s">
        <v>5389</v>
      </c>
      <c r="AQ578" s="25" t="s">
        <v>880</v>
      </c>
      <c r="AR578" s="60" t="s">
        <v>1752</v>
      </c>
      <c r="AS578" s="59" t="s">
        <v>1324</v>
      </c>
      <c r="AT578" s="59" t="s">
        <v>1090</v>
      </c>
      <c r="AU578" s="59" t="s">
        <v>111</v>
      </c>
      <c r="AV578" s="62">
        <v>45352</v>
      </c>
      <c r="AW578" s="59" t="s">
        <v>8235</v>
      </c>
      <c r="AX578" s="59" t="s">
        <v>2781</v>
      </c>
      <c r="AY578" s="59" t="s">
        <v>122</v>
      </c>
      <c r="AZ578" s="126">
        <v>33119</v>
      </c>
      <c r="BA578" s="60" t="s">
        <v>5390</v>
      </c>
      <c r="BB578" s="60" t="s">
        <v>845</v>
      </c>
      <c r="BC578" s="59" t="s">
        <v>700</v>
      </c>
      <c r="BD578" s="60"/>
      <c r="BE578" s="60"/>
      <c r="BF578" s="60"/>
      <c r="BG578" s="59" t="s">
        <v>5389</v>
      </c>
      <c r="BH578" s="60" t="s">
        <v>880</v>
      </c>
      <c r="BI578" s="60" t="s">
        <v>1752</v>
      </c>
      <c r="BJ578" s="24" t="s">
        <v>1324</v>
      </c>
      <c r="BK578" s="59" t="s">
        <v>1090</v>
      </c>
      <c r="BL578" s="59" t="s">
        <v>156</v>
      </c>
      <c r="BM578" s="24">
        <v>40223</v>
      </c>
      <c r="BN578" s="24"/>
      <c r="BO578" s="59"/>
      <c r="BP578" s="59"/>
      <c r="BQ578" s="77"/>
      <c r="BR578" s="60"/>
      <c r="BS578" s="60"/>
      <c r="BT578" s="59"/>
      <c r="BU578" s="60"/>
      <c r="BV578" s="60"/>
      <c r="BW578" s="59"/>
      <c r="BX578" s="60"/>
      <c r="BY578" s="60"/>
      <c r="BZ578" s="59"/>
      <c r="CA578" s="59"/>
      <c r="CB578" s="59"/>
      <c r="CC578" s="59"/>
      <c r="CD578" s="59"/>
      <c r="CE578" s="59" t="s">
        <v>7754</v>
      </c>
      <c r="CF578" s="60" t="s">
        <v>880</v>
      </c>
      <c r="CG578" s="59" t="s">
        <v>7109</v>
      </c>
      <c r="CH578" s="59" t="s">
        <v>134</v>
      </c>
      <c r="CI578" s="59" t="s">
        <v>122</v>
      </c>
      <c r="CJ578" s="59" t="s">
        <v>111</v>
      </c>
      <c r="CK578" s="47">
        <v>45352</v>
      </c>
      <c r="CL578" s="64" t="str">
        <f t="shared" ca="1" si="8"/>
        <v>16 Tahun 11 Bulan 27 Hari</v>
      </c>
      <c r="CM578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Dsn.Sukkasih RT/RW 01/02 Desa/Kelurahan Jatihurip Kecamatan Sumedang Utara Sumedang Jawa Barat 45352</v>
      </c>
    </row>
    <row r="579" spans="1:91" ht="24.95" hidden="1" customHeight="1">
      <c r="A579" s="58">
        <f>SUBTOTAL(3,N$8:Table2[[#This Row],[Nama lengkap]])</f>
        <v>472</v>
      </c>
      <c r="B579" s="32" t="s">
        <v>5032</v>
      </c>
      <c r="C579" s="58" t="s">
        <v>5041</v>
      </c>
      <c r="D579" s="58"/>
      <c r="E579" s="58"/>
      <c r="F579" s="58"/>
      <c r="G579" s="165"/>
      <c r="H579" s="32"/>
      <c r="I579" s="32"/>
      <c r="J579" s="139"/>
      <c r="K579" s="139"/>
      <c r="L579" s="139"/>
      <c r="M579" s="58"/>
      <c r="N579" s="24" t="s">
        <v>8925</v>
      </c>
      <c r="O579" s="140"/>
      <c r="P579" s="25"/>
      <c r="Q579" s="25" t="s">
        <v>5042</v>
      </c>
      <c r="R579" s="60" t="s">
        <v>90</v>
      </c>
      <c r="S579" s="61" t="s">
        <v>5043</v>
      </c>
      <c r="T579" s="47" t="s">
        <v>92</v>
      </c>
      <c r="U579" s="47">
        <v>1</v>
      </c>
      <c r="V579" s="47">
        <v>2</v>
      </c>
      <c r="W579" s="47" t="s">
        <v>207</v>
      </c>
      <c r="X579" s="59"/>
      <c r="Y579" s="59"/>
      <c r="Z579" s="59"/>
      <c r="AA579" s="59" t="s">
        <v>96</v>
      </c>
      <c r="AB579" s="59" t="s">
        <v>689</v>
      </c>
      <c r="AC579" s="59" t="s">
        <v>208</v>
      </c>
      <c r="AD579" s="59" t="s">
        <v>208</v>
      </c>
      <c r="AE579" s="60" t="s">
        <v>5044</v>
      </c>
      <c r="AF579" s="60" t="s">
        <v>8737</v>
      </c>
      <c r="AG579" s="59" t="s">
        <v>8737</v>
      </c>
      <c r="AH579" s="59" t="s">
        <v>691</v>
      </c>
      <c r="AI579" s="59" t="s">
        <v>90</v>
      </c>
      <c r="AJ579" s="61">
        <v>26790</v>
      </c>
      <c r="AK579" s="60" t="s">
        <v>5045</v>
      </c>
      <c r="AL579" s="60" t="s">
        <v>602</v>
      </c>
      <c r="AM579" s="59" t="s">
        <v>5046</v>
      </c>
      <c r="AN579" s="60"/>
      <c r="AO579" s="60"/>
      <c r="AP579" s="59" t="s">
        <v>5047</v>
      </c>
      <c r="AQ579" s="25" t="s">
        <v>769</v>
      </c>
      <c r="AR579" s="60" t="s">
        <v>2060</v>
      </c>
      <c r="AS579" s="59" t="s">
        <v>1006</v>
      </c>
      <c r="AT579" s="59" t="s">
        <v>1706</v>
      </c>
      <c r="AU579" s="59" t="s">
        <v>1938</v>
      </c>
      <c r="AV579" s="62">
        <v>40233</v>
      </c>
      <c r="AW579" s="59" t="s">
        <v>8236</v>
      </c>
      <c r="AX579" s="59" t="s">
        <v>691</v>
      </c>
      <c r="AY579" s="59" t="s">
        <v>90</v>
      </c>
      <c r="AZ579" s="126" t="s">
        <v>5048</v>
      </c>
      <c r="BA579" s="60" t="s">
        <v>5049</v>
      </c>
      <c r="BB579" s="60" t="s">
        <v>845</v>
      </c>
      <c r="BC579" s="59" t="s">
        <v>2557</v>
      </c>
      <c r="BD579" s="60"/>
      <c r="BE579" s="60"/>
      <c r="BF579" s="60"/>
      <c r="BG579" s="59" t="s">
        <v>5047</v>
      </c>
      <c r="BH579" s="60" t="s">
        <v>769</v>
      </c>
      <c r="BI579" s="60" t="s">
        <v>2060</v>
      </c>
      <c r="BJ579" s="24" t="s">
        <v>1006</v>
      </c>
      <c r="BK579" s="59" t="s">
        <v>1706</v>
      </c>
      <c r="BL579" s="59" t="s">
        <v>1938</v>
      </c>
      <c r="BM579" s="62" t="s">
        <v>1664</v>
      </c>
      <c r="BN579" s="62"/>
      <c r="BO579" s="59"/>
      <c r="BP579" s="59"/>
      <c r="BQ579" s="77"/>
      <c r="BR579" s="60"/>
      <c r="BS579" s="60"/>
      <c r="BT579" s="59"/>
      <c r="BU579" s="60"/>
      <c r="BV579" s="60"/>
      <c r="BW579" s="59"/>
      <c r="BX579" s="60"/>
      <c r="BY579" s="60"/>
      <c r="BZ579" s="59"/>
      <c r="CA579" s="59"/>
      <c r="CB579" s="59"/>
      <c r="CC579" s="59"/>
      <c r="CD579" s="59"/>
      <c r="CE579" s="59" t="s">
        <v>7755</v>
      </c>
      <c r="CF579" s="60" t="s">
        <v>769</v>
      </c>
      <c r="CG579" s="59" t="s">
        <v>7134</v>
      </c>
      <c r="CH579" s="59" t="s">
        <v>6995</v>
      </c>
      <c r="CI579" s="59" t="s">
        <v>644</v>
      </c>
      <c r="CJ579" s="59" t="s">
        <v>7126</v>
      </c>
      <c r="CK579" s="47">
        <v>40233</v>
      </c>
      <c r="CL579" s="64" t="str">
        <f t="shared" ca="1" si="8"/>
        <v>18 Tahun 7 Bulan 0 Hari</v>
      </c>
      <c r="CM579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Jl.Kopo Citarik Barat RT/RW 04/07 Desa/Kelurahan Kopo Kecamatan Bojongloa Kaler Kota Bandung Jawa Barat  40233</v>
      </c>
    </row>
    <row r="580" spans="1:91" ht="24.95" hidden="1" customHeight="1">
      <c r="A580" s="58">
        <f>SUBTOTAL(3,N$8:Table2[[#This Row],[Nama lengkap]])</f>
        <v>472</v>
      </c>
      <c r="B580" s="32" t="s">
        <v>5032</v>
      </c>
      <c r="C580" s="58">
        <v>2024</v>
      </c>
      <c r="D580" s="58"/>
      <c r="E580" s="58"/>
      <c r="F580" s="58"/>
      <c r="G580" s="165"/>
      <c r="H580" s="32"/>
      <c r="I580" s="32"/>
      <c r="J580" s="139"/>
      <c r="K580" s="139"/>
      <c r="L580" s="139"/>
      <c r="M580" s="58">
        <v>24250095</v>
      </c>
      <c r="N580" s="40" t="s">
        <v>8926</v>
      </c>
      <c r="O580" s="159"/>
      <c r="P580" s="32" t="s">
        <v>5391</v>
      </c>
      <c r="Q580" s="32" t="s">
        <v>5392</v>
      </c>
      <c r="R580" s="67" t="s">
        <v>90</v>
      </c>
      <c r="S580" s="69">
        <v>41076</v>
      </c>
      <c r="T580" s="47" t="s">
        <v>92</v>
      </c>
      <c r="U580" s="58">
        <v>2</v>
      </c>
      <c r="V580" s="58">
        <v>1</v>
      </c>
      <c r="W580" s="47" t="s">
        <v>207</v>
      </c>
      <c r="X580" s="64" t="s">
        <v>123</v>
      </c>
      <c r="Y580" s="64" t="s">
        <v>94</v>
      </c>
      <c r="Z580" s="64" t="s">
        <v>5393</v>
      </c>
      <c r="AA580" s="64" t="s">
        <v>96</v>
      </c>
      <c r="AB580" s="64" t="s">
        <v>97</v>
      </c>
      <c r="AC580" s="64" t="s">
        <v>98</v>
      </c>
      <c r="AD580" s="64" t="s">
        <v>98</v>
      </c>
      <c r="AE580" s="67" t="s">
        <v>5394</v>
      </c>
      <c r="AF580" s="67" t="s">
        <v>5395</v>
      </c>
      <c r="AG580" s="64" t="s">
        <v>5395</v>
      </c>
      <c r="AH580" s="64" t="s">
        <v>101</v>
      </c>
      <c r="AI580" s="64" t="s">
        <v>90</v>
      </c>
      <c r="AJ580" s="69">
        <v>28868</v>
      </c>
      <c r="AK580" s="67" t="s">
        <v>5397</v>
      </c>
      <c r="AL580" s="67" t="s">
        <v>5398</v>
      </c>
      <c r="AM580" s="64" t="s">
        <v>96</v>
      </c>
      <c r="AN580" s="67">
        <v>87785338750</v>
      </c>
      <c r="AO580" s="67" t="s">
        <v>266</v>
      </c>
      <c r="AP580" s="64" t="s">
        <v>5399</v>
      </c>
      <c r="AQ580" s="32" t="s">
        <v>5400</v>
      </c>
      <c r="AR580" s="67" t="s">
        <v>5401</v>
      </c>
      <c r="AS580" s="64" t="s">
        <v>5402</v>
      </c>
      <c r="AT580" s="64" t="s">
        <v>90</v>
      </c>
      <c r="AU580" s="64" t="s">
        <v>111</v>
      </c>
      <c r="AV580" s="64">
        <v>40198</v>
      </c>
      <c r="AW580" s="64" t="s">
        <v>5403</v>
      </c>
      <c r="AX580" s="64" t="s">
        <v>101</v>
      </c>
      <c r="AY580" s="64" t="s">
        <v>90</v>
      </c>
      <c r="AZ580" s="125">
        <v>31599</v>
      </c>
      <c r="BA580" s="67" t="s">
        <v>5404</v>
      </c>
      <c r="BB580" s="67" t="s">
        <v>428</v>
      </c>
      <c r="BC580" s="64" t="s">
        <v>96</v>
      </c>
      <c r="BD580" s="67">
        <v>83813275320</v>
      </c>
      <c r="BE580" s="67" t="s">
        <v>98</v>
      </c>
      <c r="BF580" s="67"/>
      <c r="BG580" s="64" t="s">
        <v>5399</v>
      </c>
      <c r="BH580" s="67" t="s">
        <v>5400</v>
      </c>
      <c r="BI580" s="67" t="s">
        <v>5401</v>
      </c>
      <c r="BJ580" s="40" t="s">
        <v>5402</v>
      </c>
      <c r="BK580" s="64" t="s">
        <v>90</v>
      </c>
      <c r="BL580" s="64" t="s">
        <v>111</v>
      </c>
      <c r="BM580" s="64">
        <v>40198</v>
      </c>
      <c r="BN580" s="64"/>
      <c r="BO580" s="64" t="s">
        <v>5396</v>
      </c>
      <c r="BP580" s="64" t="s">
        <v>90</v>
      </c>
      <c r="BQ580" s="135">
        <v>28868</v>
      </c>
      <c r="BR580" s="67">
        <v>320406130179000</v>
      </c>
      <c r="BS580" s="67" t="s">
        <v>5398</v>
      </c>
      <c r="BT580" s="64" t="s">
        <v>96</v>
      </c>
      <c r="BU580" s="67">
        <v>87785338750</v>
      </c>
      <c r="BV580" s="67" t="s">
        <v>266</v>
      </c>
      <c r="BW580" s="64" t="s">
        <v>5399</v>
      </c>
      <c r="BX580" s="67">
        <v>45567</v>
      </c>
      <c r="BY580" s="67" t="s">
        <v>5401</v>
      </c>
      <c r="BZ580" s="64" t="s">
        <v>5402</v>
      </c>
      <c r="CA580" s="64" t="s">
        <v>90</v>
      </c>
      <c r="CB580" s="64" t="s">
        <v>111</v>
      </c>
      <c r="CC580" s="64">
        <v>40198</v>
      </c>
      <c r="CD580" s="64"/>
      <c r="CE580" s="64" t="s">
        <v>7756</v>
      </c>
      <c r="CF580" s="67" t="s">
        <v>5400</v>
      </c>
      <c r="CG580" s="64" t="s">
        <v>5401</v>
      </c>
      <c r="CH580" s="64" t="s">
        <v>5402</v>
      </c>
      <c r="CI580" s="64" t="s">
        <v>90</v>
      </c>
      <c r="CJ580" s="64" t="s">
        <v>111</v>
      </c>
      <c r="CK580" s="58">
        <v>40198</v>
      </c>
      <c r="CL580" s="64" t="str">
        <f t="shared" ca="1" si="8"/>
        <v>13 Tahun 7 Bulan 7 Hari</v>
      </c>
      <c r="CM580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 Ciharegem RT/RW 02 / 10 Desa/Kelurahan Ciburial Kecamatan Cimenyan Bandung Jawa Barat 40198</v>
      </c>
    </row>
    <row r="581" spans="1:91" ht="24.95" hidden="1" customHeight="1">
      <c r="A581" s="58">
        <f>SUBTOTAL(3,N$8:Table2[[#This Row],[Nama lengkap]])</f>
        <v>472</v>
      </c>
      <c r="B581" s="32" t="s">
        <v>5032</v>
      </c>
      <c r="C581" s="58" t="s">
        <v>5041</v>
      </c>
      <c r="D581" s="58"/>
      <c r="E581" s="58"/>
      <c r="F581" s="58"/>
      <c r="G581" s="165"/>
      <c r="H581" s="32"/>
      <c r="I581" s="32"/>
      <c r="J581" s="139"/>
      <c r="K581" s="139"/>
      <c r="L581" s="139"/>
      <c r="M581" s="58"/>
      <c r="N581" s="24" t="s">
        <v>8927</v>
      </c>
      <c r="O581" s="140"/>
      <c r="P581" s="25" t="s">
        <v>5406</v>
      </c>
      <c r="Q581" s="25" t="s">
        <v>5407</v>
      </c>
      <c r="R581" s="59" t="s">
        <v>90</v>
      </c>
      <c r="S581" s="61" t="s">
        <v>5408</v>
      </c>
      <c r="T581" s="47" t="s">
        <v>92</v>
      </c>
      <c r="U581" s="47">
        <v>2</v>
      </c>
      <c r="V581" s="47">
        <v>3</v>
      </c>
      <c r="W581" s="47" t="s">
        <v>207</v>
      </c>
      <c r="X581" s="59"/>
      <c r="Y581" s="59" t="s">
        <v>1012</v>
      </c>
      <c r="Z581" s="59" t="s">
        <v>1042</v>
      </c>
      <c r="AA581" s="59" t="s">
        <v>96</v>
      </c>
      <c r="AB581" s="59" t="s">
        <v>689</v>
      </c>
      <c r="AC581" s="59" t="s">
        <v>208</v>
      </c>
      <c r="AD581" s="59" t="s">
        <v>208</v>
      </c>
      <c r="AE581" s="60" t="s">
        <v>5409</v>
      </c>
      <c r="AF581" s="59" t="s">
        <v>8738</v>
      </c>
      <c r="AG581" s="59" t="s">
        <v>8738</v>
      </c>
      <c r="AH581" s="59" t="s">
        <v>691</v>
      </c>
      <c r="AI581" s="59" t="s">
        <v>90</v>
      </c>
      <c r="AJ581" s="61">
        <v>27344</v>
      </c>
      <c r="AK581" s="60" t="s">
        <v>5410</v>
      </c>
      <c r="AL581" s="59" t="s">
        <v>602</v>
      </c>
      <c r="AM581" s="59" t="s">
        <v>800</v>
      </c>
      <c r="AN581" s="60"/>
      <c r="AO581" s="59"/>
      <c r="AP581" s="59" t="s">
        <v>5411</v>
      </c>
      <c r="AQ581" s="25" t="s">
        <v>2704</v>
      </c>
      <c r="AR581" s="59" t="s">
        <v>5412</v>
      </c>
      <c r="AS581" s="59" t="s">
        <v>2161</v>
      </c>
      <c r="AT581" s="59" t="s">
        <v>141</v>
      </c>
      <c r="AU581" s="59" t="s">
        <v>111</v>
      </c>
      <c r="AV581" s="62">
        <v>40174</v>
      </c>
      <c r="AW581" s="59" t="s">
        <v>8237</v>
      </c>
      <c r="AX581" s="59" t="s">
        <v>691</v>
      </c>
      <c r="AY581" s="59" t="s">
        <v>90</v>
      </c>
      <c r="AZ581" s="126" t="s">
        <v>5413</v>
      </c>
      <c r="BA581" s="60" t="s">
        <v>5414</v>
      </c>
      <c r="BB581" s="59" t="s">
        <v>845</v>
      </c>
      <c r="BC581" s="59" t="s">
        <v>800</v>
      </c>
      <c r="BD581" s="60"/>
      <c r="BE581" s="59"/>
      <c r="BF581" s="59"/>
      <c r="BG581" s="59" t="s">
        <v>5411</v>
      </c>
      <c r="BH581" s="60" t="s">
        <v>2704</v>
      </c>
      <c r="BI581" s="59" t="s">
        <v>2160</v>
      </c>
      <c r="BJ581" s="24" t="s">
        <v>2161</v>
      </c>
      <c r="BK581" s="59" t="s">
        <v>141</v>
      </c>
      <c r="BL581" s="59" t="s">
        <v>156</v>
      </c>
      <c r="BM581" s="24">
        <v>40174</v>
      </c>
      <c r="BN581" s="24"/>
      <c r="BO581" s="59" t="s">
        <v>701</v>
      </c>
      <c r="BP581" s="59"/>
      <c r="BQ581" s="77"/>
      <c r="BR581" s="60"/>
      <c r="BS581" s="59"/>
      <c r="BT581" s="59"/>
      <c r="BU581" s="60"/>
      <c r="BV581" s="59"/>
      <c r="BW581" s="59"/>
      <c r="BX581" s="60"/>
      <c r="BY581" s="59"/>
      <c r="BZ581" s="59"/>
      <c r="CA581" s="59"/>
      <c r="CB581" s="59"/>
      <c r="CC581" s="59"/>
      <c r="CD581" s="59"/>
      <c r="CE581" s="59" t="s">
        <v>7757</v>
      </c>
      <c r="CF581" s="60" t="s">
        <v>2704</v>
      </c>
      <c r="CG581" s="59" t="s">
        <v>7333</v>
      </c>
      <c r="CH581" s="59" t="s">
        <v>7248</v>
      </c>
      <c r="CI581" s="59" t="s">
        <v>90</v>
      </c>
      <c r="CJ581" s="59" t="s">
        <v>111</v>
      </c>
      <c r="CK581" s="47">
        <v>40174</v>
      </c>
      <c r="CL581" s="64" t="str">
        <f t="shared" ca="1" si="8"/>
        <v>18 Tahun 10 Bulan 9 Hari</v>
      </c>
      <c r="CM581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Jl.Pajajaran Dlm No.115/72 RT/RW 04/03 Desa/Kelurahan  Husen Sastranegara Kecamatan Cicendo Bandung Jawa Barat 40174</v>
      </c>
    </row>
    <row r="582" spans="1:91" ht="24.95" hidden="1" customHeight="1">
      <c r="A582" s="58">
        <f>SUBTOTAL(3,N$8:Table2[[#This Row],[Nama lengkap]])</f>
        <v>472</v>
      </c>
      <c r="B582" s="32" t="s">
        <v>5032</v>
      </c>
      <c r="C582" s="58" t="s">
        <v>5041</v>
      </c>
      <c r="D582" s="58"/>
      <c r="E582" s="58"/>
      <c r="F582" s="58"/>
      <c r="G582" s="165"/>
      <c r="H582" s="32"/>
      <c r="I582" s="32"/>
      <c r="J582" s="139"/>
      <c r="K582" s="139"/>
      <c r="L582" s="139"/>
      <c r="M582" s="58"/>
      <c r="N582" s="24" t="s">
        <v>8928</v>
      </c>
      <c r="O582" s="140"/>
      <c r="P582" s="25"/>
      <c r="Q582" s="25" t="s">
        <v>5416</v>
      </c>
      <c r="R582" s="60" t="s">
        <v>90</v>
      </c>
      <c r="S582" s="61" t="s">
        <v>5417</v>
      </c>
      <c r="T582" s="47" t="s">
        <v>92</v>
      </c>
      <c r="U582" s="47">
        <v>4</v>
      </c>
      <c r="V582" s="47">
        <v>4</v>
      </c>
      <c r="W582" s="47" t="s">
        <v>207</v>
      </c>
      <c r="X582" s="59"/>
      <c r="Y582" s="59" t="s">
        <v>4124</v>
      </c>
      <c r="Z582" s="59" t="s">
        <v>1183</v>
      </c>
      <c r="AA582" s="59" t="s">
        <v>1141</v>
      </c>
      <c r="AB582" s="59" t="s">
        <v>689</v>
      </c>
      <c r="AC582" s="59" t="s">
        <v>208</v>
      </c>
      <c r="AD582" s="59" t="s">
        <v>208</v>
      </c>
      <c r="AE582" s="60" t="s">
        <v>5418</v>
      </c>
      <c r="AF582" s="60" t="s">
        <v>8739</v>
      </c>
      <c r="AG582" s="59" t="s">
        <v>8739</v>
      </c>
      <c r="AH582" s="59" t="s">
        <v>691</v>
      </c>
      <c r="AI582" s="59" t="s">
        <v>90</v>
      </c>
      <c r="AJ582" s="61">
        <v>24991</v>
      </c>
      <c r="AK582" s="60" t="s">
        <v>5419</v>
      </c>
      <c r="AL582" s="60" t="s">
        <v>289</v>
      </c>
      <c r="AM582" s="59" t="s">
        <v>700</v>
      </c>
      <c r="AN582" s="60"/>
      <c r="AO582" s="60"/>
      <c r="AP582" s="59" t="s">
        <v>5420</v>
      </c>
      <c r="AQ582" s="25" t="s">
        <v>1441</v>
      </c>
      <c r="AR582" s="60" t="s">
        <v>1419</v>
      </c>
      <c r="AS582" s="59" t="s">
        <v>618</v>
      </c>
      <c r="AT582" s="59" t="s">
        <v>141</v>
      </c>
      <c r="AU582" s="59" t="s">
        <v>111</v>
      </c>
      <c r="AV582" s="62"/>
      <c r="AW582" s="59" t="s">
        <v>8238</v>
      </c>
      <c r="AX582" s="59" t="s">
        <v>691</v>
      </c>
      <c r="AY582" s="59" t="s">
        <v>90</v>
      </c>
      <c r="AZ582" s="126" t="s">
        <v>5421</v>
      </c>
      <c r="BA582" s="60" t="s">
        <v>5422</v>
      </c>
      <c r="BB582" s="60" t="s">
        <v>845</v>
      </c>
      <c r="BC582" s="59" t="s">
        <v>800</v>
      </c>
      <c r="BD582" s="60"/>
      <c r="BE582" s="60"/>
      <c r="BF582" s="60"/>
      <c r="BG582" s="59" t="s">
        <v>5420</v>
      </c>
      <c r="BH582" s="60" t="s">
        <v>1441</v>
      </c>
      <c r="BI582" s="60" t="s">
        <v>1419</v>
      </c>
      <c r="BJ582" s="24" t="s">
        <v>618</v>
      </c>
      <c r="BK582" s="59" t="s">
        <v>141</v>
      </c>
      <c r="BL582" s="59" t="s">
        <v>156</v>
      </c>
      <c r="BM582" s="24"/>
      <c r="BN582" s="24"/>
      <c r="BO582" s="59"/>
      <c r="BP582" s="59"/>
      <c r="BQ582" s="77"/>
      <c r="BR582" s="60"/>
      <c r="BS582" s="60"/>
      <c r="BT582" s="59"/>
      <c r="BU582" s="60"/>
      <c r="BV582" s="60"/>
      <c r="BW582" s="59"/>
      <c r="BX582" s="60"/>
      <c r="BY582" s="60"/>
      <c r="BZ582" s="59"/>
      <c r="CA582" s="59"/>
      <c r="CB582" s="59"/>
      <c r="CC582" s="59"/>
      <c r="CD582" s="59"/>
      <c r="CE582" s="59" t="s">
        <v>7758</v>
      </c>
      <c r="CF582" s="60" t="s">
        <v>1441</v>
      </c>
      <c r="CG582" s="59" t="s">
        <v>7076</v>
      </c>
      <c r="CH582" s="59" t="s">
        <v>507</v>
      </c>
      <c r="CI582" s="59" t="s">
        <v>90</v>
      </c>
      <c r="CJ582" s="59" t="s">
        <v>111</v>
      </c>
      <c r="CK582" s="47"/>
      <c r="CL582" s="64" t="str">
        <f t="shared" ca="1" si="8"/>
        <v>20 Tahun 11 Bulan 4 Hari</v>
      </c>
      <c r="CM582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Bojong RT/RW 01/06 Desa/Kelurahan Sindangpanon Kecamatan Banjaran Bandung Jawa Barat </v>
      </c>
    </row>
    <row r="583" spans="1:91" ht="24.95" hidden="1" customHeight="1">
      <c r="A583" s="58">
        <f>SUBTOTAL(3,N$8:Table2[[#This Row],[Nama lengkap]])</f>
        <v>472</v>
      </c>
      <c r="B583" s="32" t="s">
        <v>5032</v>
      </c>
      <c r="C583" s="58">
        <v>2016</v>
      </c>
      <c r="D583" s="58"/>
      <c r="E583" s="58"/>
      <c r="F583" s="58"/>
      <c r="G583" s="165"/>
      <c r="H583" s="32"/>
      <c r="I583" s="32"/>
      <c r="J583" s="139"/>
      <c r="K583" s="139"/>
      <c r="L583" s="139"/>
      <c r="M583" s="58">
        <v>16170127</v>
      </c>
      <c r="N583" s="24" t="s">
        <v>8929</v>
      </c>
      <c r="O583" s="140"/>
      <c r="P583" s="25" t="s">
        <v>5077</v>
      </c>
      <c r="Q583" s="25" t="s">
        <v>5078</v>
      </c>
      <c r="R583" s="60" t="s">
        <v>122</v>
      </c>
      <c r="S583" s="61" t="s">
        <v>5079</v>
      </c>
      <c r="T583" s="47" t="s">
        <v>92</v>
      </c>
      <c r="U583" s="47">
        <v>1</v>
      </c>
      <c r="V583" s="47">
        <v>3</v>
      </c>
      <c r="W583" s="47" t="s">
        <v>207</v>
      </c>
      <c r="X583" s="59"/>
      <c r="Y583" s="59"/>
      <c r="Z583" s="59"/>
      <c r="AA583" s="59" t="s">
        <v>96</v>
      </c>
      <c r="AB583" s="59" t="s">
        <v>4842</v>
      </c>
      <c r="AC583" s="59" t="s">
        <v>208</v>
      </c>
      <c r="AD583" s="59" t="s">
        <v>208</v>
      </c>
      <c r="AE583" s="60" t="s">
        <v>5080</v>
      </c>
      <c r="AF583" s="60" t="s">
        <v>8740</v>
      </c>
      <c r="AG583" s="59" t="s">
        <v>8740</v>
      </c>
      <c r="AH583" s="59" t="s">
        <v>2844</v>
      </c>
      <c r="AI583" s="59" t="s">
        <v>122</v>
      </c>
      <c r="AJ583" s="61">
        <v>28012</v>
      </c>
      <c r="AK583" s="60" t="s">
        <v>5081</v>
      </c>
      <c r="AL583" s="60" t="s">
        <v>114</v>
      </c>
      <c r="AM583" s="59" t="s">
        <v>5006</v>
      </c>
      <c r="AN583" s="60"/>
      <c r="AO583" s="60"/>
      <c r="AP583" s="59" t="s">
        <v>5082</v>
      </c>
      <c r="AQ583" s="25" t="s">
        <v>925</v>
      </c>
      <c r="AR583" s="60" t="s">
        <v>5083</v>
      </c>
      <c r="AS583" s="59" t="s">
        <v>1101</v>
      </c>
      <c r="AT583" s="59" t="s">
        <v>1090</v>
      </c>
      <c r="AU583" s="59" t="s">
        <v>156</v>
      </c>
      <c r="AV583" s="62"/>
      <c r="AW583" s="59" t="s">
        <v>8239</v>
      </c>
      <c r="AX583" s="59" t="s">
        <v>2844</v>
      </c>
      <c r="AY583" s="59" t="s">
        <v>122</v>
      </c>
      <c r="AZ583" s="126" t="s">
        <v>5084</v>
      </c>
      <c r="BA583" s="60" t="s">
        <v>5085</v>
      </c>
      <c r="BB583" s="60" t="s">
        <v>845</v>
      </c>
      <c r="BC583" s="59" t="s">
        <v>4940</v>
      </c>
      <c r="BD583" s="60" t="s">
        <v>5086</v>
      </c>
      <c r="BE583" s="60"/>
      <c r="BF583" s="60"/>
      <c r="BG583" s="59" t="s">
        <v>5082</v>
      </c>
      <c r="BH583" s="60" t="s">
        <v>1009</v>
      </c>
      <c r="BI583" s="60" t="s">
        <v>153</v>
      </c>
      <c r="BJ583" s="24" t="s">
        <v>1101</v>
      </c>
      <c r="BK583" s="59" t="s">
        <v>1090</v>
      </c>
      <c r="BL583" s="59" t="s">
        <v>156</v>
      </c>
      <c r="BM583" s="62"/>
      <c r="BN583" s="62"/>
      <c r="BO583" s="59"/>
      <c r="BP583" s="59"/>
      <c r="BQ583" s="77"/>
      <c r="BR583" s="60"/>
      <c r="BS583" s="60"/>
      <c r="BT583" s="59"/>
      <c r="BU583" s="60"/>
      <c r="BV583" s="60"/>
      <c r="BW583" s="59"/>
      <c r="BX583" s="60"/>
      <c r="BY583" s="60"/>
      <c r="BZ583" s="59"/>
      <c r="CA583" s="59"/>
      <c r="CB583" s="59"/>
      <c r="CC583" s="59"/>
      <c r="CD583" s="59"/>
      <c r="CE583" s="59" t="s">
        <v>7759</v>
      </c>
      <c r="CF583" s="60" t="s">
        <v>925</v>
      </c>
      <c r="CG583" s="59" t="s">
        <v>7334</v>
      </c>
      <c r="CH583" s="59" t="s">
        <v>6945</v>
      </c>
      <c r="CI583" s="59" t="s">
        <v>122</v>
      </c>
      <c r="CJ583" s="59" t="s">
        <v>111</v>
      </c>
      <c r="CK583" s="47"/>
      <c r="CL583" s="64" t="str">
        <f t="shared" ca="1" si="8"/>
        <v>21 Tahun 8 Bulan 11 Hari</v>
      </c>
      <c r="CM583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Babakan Regol RT/RW 03/01 Desa/Kelurahan Suka Jaya Kecamatan Sumedang Selatan Sumedang Jawa Barat </v>
      </c>
    </row>
    <row r="584" spans="1:91" ht="24.95" hidden="1" customHeight="1">
      <c r="A584" s="58">
        <f>SUBTOTAL(3,N$8:Table2[[#This Row],[Nama lengkap]])</f>
        <v>472</v>
      </c>
      <c r="B584" s="32" t="s">
        <v>5032</v>
      </c>
      <c r="C584" s="58" t="s">
        <v>5041</v>
      </c>
      <c r="D584" s="58"/>
      <c r="E584" s="58"/>
      <c r="F584" s="58"/>
      <c r="G584" s="165"/>
      <c r="H584" s="32"/>
      <c r="I584" s="32"/>
      <c r="J584" s="139"/>
      <c r="K584" s="139"/>
      <c r="L584" s="139"/>
      <c r="M584" s="58"/>
      <c r="N584" s="24" t="s">
        <v>8930</v>
      </c>
      <c r="O584" s="140"/>
      <c r="P584" s="25" t="s">
        <v>5087</v>
      </c>
      <c r="Q584" s="25" t="s">
        <v>5088</v>
      </c>
      <c r="R584" s="60" t="s">
        <v>90</v>
      </c>
      <c r="S584" s="61" t="s">
        <v>5089</v>
      </c>
      <c r="T584" s="47" t="s">
        <v>92</v>
      </c>
      <c r="U584" s="47"/>
      <c r="V584" s="47"/>
      <c r="W584" s="47" t="s">
        <v>207</v>
      </c>
      <c r="X584" s="59" t="s">
        <v>984</v>
      </c>
      <c r="Y584" s="59" t="s">
        <v>984</v>
      </c>
      <c r="Z584" s="59" t="s">
        <v>984</v>
      </c>
      <c r="AA584" s="59" t="s">
        <v>96</v>
      </c>
      <c r="AB584" s="59"/>
      <c r="AC584" s="59" t="s">
        <v>208</v>
      </c>
      <c r="AD584" s="59" t="s">
        <v>208</v>
      </c>
      <c r="AE584" s="60" t="s">
        <v>5090</v>
      </c>
      <c r="AF584" s="60" t="s">
        <v>8741</v>
      </c>
      <c r="AG584" s="59" t="s">
        <v>8741</v>
      </c>
      <c r="AH584" s="59" t="s">
        <v>691</v>
      </c>
      <c r="AI584" s="59" t="s">
        <v>90</v>
      </c>
      <c r="AJ584" s="61">
        <v>32754</v>
      </c>
      <c r="AK584" s="60" t="s">
        <v>5091</v>
      </c>
      <c r="AL584" s="60" t="s">
        <v>289</v>
      </c>
      <c r="AM584" s="59" t="s">
        <v>800</v>
      </c>
      <c r="AN584" s="60"/>
      <c r="AO584" s="60"/>
      <c r="AP584" s="59" t="s">
        <v>2773</v>
      </c>
      <c r="AQ584" s="25" t="s">
        <v>213</v>
      </c>
      <c r="AR584" s="60" t="s">
        <v>2774</v>
      </c>
      <c r="AS584" s="59" t="s">
        <v>3617</v>
      </c>
      <c r="AT584" s="59" t="s">
        <v>141</v>
      </c>
      <c r="AU584" s="59" t="s">
        <v>156</v>
      </c>
      <c r="AV584" s="62">
        <v>40376</v>
      </c>
      <c r="AW584" s="59" t="s">
        <v>8240</v>
      </c>
      <c r="AX584" s="59" t="s">
        <v>691</v>
      </c>
      <c r="AY584" s="59" t="s">
        <v>90</v>
      </c>
      <c r="AZ584" s="126" t="s">
        <v>5092</v>
      </c>
      <c r="BA584" s="60" t="s">
        <v>5093</v>
      </c>
      <c r="BB584" s="60" t="s">
        <v>845</v>
      </c>
      <c r="BC584" s="59" t="s">
        <v>800</v>
      </c>
      <c r="BD584" s="60"/>
      <c r="BE584" s="60"/>
      <c r="BF584" s="60"/>
      <c r="BG584" s="59" t="s">
        <v>2773</v>
      </c>
      <c r="BH584" s="60" t="s">
        <v>213</v>
      </c>
      <c r="BI584" s="60" t="s">
        <v>2774</v>
      </c>
      <c r="BJ584" s="24" t="s">
        <v>3617</v>
      </c>
      <c r="BK584" s="59" t="s">
        <v>141</v>
      </c>
      <c r="BL584" s="59" t="s">
        <v>156</v>
      </c>
      <c r="BM584" s="24">
        <v>40376</v>
      </c>
      <c r="BN584" s="24"/>
      <c r="BO584" s="59"/>
      <c r="BP584" s="59"/>
      <c r="BQ584" s="77"/>
      <c r="BR584" s="60"/>
      <c r="BS584" s="60"/>
      <c r="BT584" s="59"/>
      <c r="BU584" s="60"/>
      <c r="BV584" s="60"/>
      <c r="BW584" s="59"/>
      <c r="BX584" s="60"/>
      <c r="BY584" s="60"/>
      <c r="BZ584" s="59"/>
      <c r="CA584" s="59"/>
      <c r="CB584" s="59"/>
      <c r="CC584" s="59"/>
      <c r="CD584" s="59"/>
      <c r="CE584" s="59" t="s">
        <v>7518</v>
      </c>
      <c r="CF584" s="60" t="s">
        <v>213</v>
      </c>
      <c r="CG584" s="59" t="s">
        <v>7196</v>
      </c>
      <c r="CH584" s="59" t="s">
        <v>892</v>
      </c>
      <c r="CI584" s="59" t="s">
        <v>90</v>
      </c>
      <c r="CJ584" s="59" t="s">
        <v>111</v>
      </c>
      <c r="CK584" s="47">
        <v>40376</v>
      </c>
      <c r="CL584" s="64" t="str">
        <f t="shared" ref="CL584:CL647" ca="1" si="9">DATEDIF(S584,NOW(),"Y")&amp;" Tahun " &amp;DATEDIF(S584,NOW(),"YM")&amp;" Bulan " &amp;DATEDIF(S584,NOW(),"MD")&amp;" Hari"</f>
        <v>14 Tahun 10 Bulan 15 Hari</v>
      </c>
      <c r="CM584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Kp.Babakan Mekar RT/RW 01/14 Desa/Kelurahan Langonsari Kecamatan Pameungpeuk Bandung Jawa Barat 40376</v>
      </c>
    </row>
    <row r="585" spans="1:91" ht="24.95" hidden="1" customHeight="1">
      <c r="A585" s="58">
        <f>SUBTOTAL(3,N$8:Table2[[#This Row],[Nama lengkap]])</f>
        <v>472</v>
      </c>
      <c r="B585" s="32" t="s">
        <v>5032</v>
      </c>
      <c r="C585" s="58" t="s">
        <v>5041</v>
      </c>
      <c r="D585" s="58"/>
      <c r="E585" s="58"/>
      <c r="F585" s="58"/>
      <c r="G585" s="165"/>
      <c r="H585" s="32"/>
      <c r="I585" s="32"/>
      <c r="J585" s="139"/>
      <c r="K585" s="139"/>
      <c r="L585" s="139"/>
      <c r="M585" s="58"/>
      <c r="N585" s="31" t="s">
        <v>8931</v>
      </c>
      <c r="O585" s="158"/>
      <c r="P585" s="32" t="s">
        <v>5423</v>
      </c>
      <c r="Q585" s="32" t="s">
        <v>5424</v>
      </c>
      <c r="R585" s="64" t="s">
        <v>122</v>
      </c>
      <c r="S585" s="69" t="s">
        <v>5425</v>
      </c>
      <c r="T585" s="47" t="s">
        <v>92</v>
      </c>
      <c r="U585" s="58">
        <v>5</v>
      </c>
      <c r="V585" s="58">
        <v>5</v>
      </c>
      <c r="W585" s="47" t="s">
        <v>207</v>
      </c>
      <c r="X585" s="59"/>
      <c r="Y585" s="64"/>
      <c r="Z585" s="64" t="s">
        <v>986</v>
      </c>
      <c r="AA585" s="64" t="s">
        <v>96</v>
      </c>
      <c r="AB585" s="64" t="s">
        <v>5426</v>
      </c>
      <c r="AC585" s="59" t="s">
        <v>208</v>
      </c>
      <c r="AD585" s="59" t="s">
        <v>208</v>
      </c>
      <c r="AE585" s="67" t="s">
        <v>5427</v>
      </c>
      <c r="AF585" s="67" t="s">
        <v>8742</v>
      </c>
      <c r="AG585" s="67" t="s">
        <v>8742</v>
      </c>
      <c r="AH585" s="64" t="s">
        <v>2844</v>
      </c>
      <c r="AI585" s="64" t="s">
        <v>122</v>
      </c>
      <c r="AJ585" s="69" t="s">
        <v>5428</v>
      </c>
      <c r="AK585" s="67" t="s">
        <v>5429</v>
      </c>
      <c r="AL585" s="64"/>
      <c r="AM585" s="67" t="s">
        <v>4305</v>
      </c>
      <c r="AN585" s="67"/>
      <c r="AO585" s="64"/>
      <c r="AP585" s="64" t="s">
        <v>5430</v>
      </c>
      <c r="AQ585" s="32" t="s">
        <v>521</v>
      </c>
      <c r="AR585" s="64" t="s">
        <v>1626</v>
      </c>
      <c r="AS585" s="64" t="s">
        <v>1626</v>
      </c>
      <c r="AT585" s="64" t="s">
        <v>1090</v>
      </c>
      <c r="AU585" s="64" t="s">
        <v>156</v>
      </c>
      <c r="AV585" s="67"/>
      <c r="AW585" s="67" t="s">
        <v>8241</v>
      </c>
      <c r="AX585" s="64" t="s">
        <v>2844</v>
      </c>
      <c r="AY585" s="64" t="s">
        <v>122</v>
      </c>
      <c r="AZ585" s="125" t="s">
        <v>5431</v>
      </c>
      <c r="BA585" s="67" t="s">
        <v>5432</v>
      </c>
      <c r="BB585" s="64" t="s">
        <v>845</v>
      </c>
      <c r="BC585" s="67" t="s">
        <v>4305</v>
      </c>
      <c r="BD585" s="67" t="s">
        <v>5433</v>
      </c>
      <c r="BE585" s="64"/>
      <c r="BF585" s="64"/>
      <c r="BG585" s="64" t="s">
        <v>5430</v>
      </c>
      <c r="BH585" s="67" t="s">
        <v>521</v>
      </c>
      <c r="BI585" s="64" t="s">
        <v>1626</v>
      </c>
      <c r="BJ585" s="40" t="s">
        <v>1626</v>
      </c>
      <c r="BK585" s="64" t="s">
        <v>1090</v>
      </c>
      <c r="BL585" s="67" t="s">
        <v>156</v>
      </c>
      <c r="BM585" s="31"/>
      <c r="BN585" s="31"/>
      <c r="BO585" s="64"/>
      <c r="BP585" s="64"/>
      <c r="BQ585" s="135"/>
      <c r="BR585" s="67"/>
      <c r="BS585" s="64"/>
      <c r="BT585" s="67"/>
      <c r="BU585" s="67"/>
      <c r="BV585" s="64"/>
      <c r="BW585" s="64"/>
      <c r="BX585" s="67"/>
      <c r="BY585" s="64"/>
      <c r="BZ585" s="64"/>
      <c r="CA585" s="64"/>
      <c r="CB585" s="64"/>
      <c r="CC585" s="64"/>
      <c r="CD585" s="64"/>
      <c r="CE585" s="64" t="s">
        <v>7760</v>
      </c>
      <c r="CF585" s="67" t="s">
        <v>521</v>
      </c>
      <c r="CG585" s="64" t="s">
        <v>1518</v>
      </c>
      <c r="CH585" s="64" t="s">
        <v>1518</v>
      </c>
      <c r="CI585" s="64" t="s">
        <v>122</v>
      </c>
      <c r="CJ585" s="64" t="s">
        <v>111</v>
      </c>
      <c r="CK585" s="58"/>
      <c r="CL585" s="64" t="str">
        <f t="shared" ca="1" si="9"/>
        <v>20 Tahun 5 Bulan 9 Hari</v>
      </c>
      <c r="CM585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Cinangka RT/RW 02/05 Desa/Kelurahan Cimanggung Kecamatan Cimanggung Sumedang Jawa Barat </v>
      </c>
    </row>
    <row r="586" spans="1:91" ht="24.95" hidden="1" customHeight="1">
      <c r="A586" s="58">
        <f>SUBTOTAL(3,N$8:Table2[[#This Row],[Nama lengkap]])</f>
        <v>472</v>
      </c>
      <c r="B586" s="32" t="s">
        <v>5032</v>
      </c>
      <c r="C586" s="58" t="s">
        <v>5041</v>
      </c>
      <c r="D586" s="58"/>
      <c r="E586" s="58"/>
      <c r="F586" s="58"/>
      <c r="G586" s="165"/>
      <c r="H586" s="32"/>
      <c r="I586" s="32"/>
      <c r="J586" s="139"/>
      <c r="K586" s="139"/>
      <c r="L586" s="139"/>
      <c r="M586" s="58"/>
      <c r="N586" s="24" t="s">
        <v>8932</v>
      </c>
      <c r="O586" s="140"/>
      <c r="P586" s="25" t="s">
        <v>5095</v>
      </c>
      <c r="Q586" s="25" t="s">
        <v>5096</v>
      </c>
      <c r="R586" s="60" t="s">
        <v>122</v>
      </c>
      <c r="S586" s="61" t="s">
        <v>5097</v>
      </c>
      <c r="T586" s="47" t="s">
        <v>92</v>
      </c>
      <c r="U586" s="47">
        <v>1</v>
      </c>
      <c r="V586" s="47">
        <v>2</v>
      </c>
      <c r="W586" s="47" t="s">
        <v>207</v>
      </c>
      <c r="X586" s="59" t="s">
        <v>432</v>
      </c>
      <c r="Y586" s="59" t="s">
        <v>1711</v>
      </c>
      <c r="Z586" s="59" t="s">
        <v>986</v>
      </c>
      <c r="AA586" s="59" t="s">
        <v>753</v>
      </c>
      <c r="AB586" s="59" t="s">
        <v>689</v>
      </c>
      <c r="AC586" s="59" t="s">
        <v>208</v>
      </c>
      <c r="AD586" s="59" t="s">
        <v>208</v>
      </c>
      <c r="AE586" s="60" t="s">
        <v>5098</v>
      </c>
      <c r="AF586" s="60" t="s">
        <v>8743</v>
      </c>
      <c r="AG586" s="59" t="s">
        <v>8743</v>
      </c>
      <c r="AH586" s="59" t="s">
        <v>691</v>
      </c>
      <c r="AI586" s="59" t="s">
        <v>8282</v>
      </c>
      <c r="AJ586" s="61">
        <v>29162</v>
      </c>
      <c r="AK586" s="60" t="s">
        <v>5099</v>
      </c>
      <c r="AL586" s="60" t="s">
        <v>602</v>
      </c>
      <c r="AM586" s="59" t="s">
        <v>1728</v>
      </c>
      <c r="AN586" s="60"/>
      <c r="AO586" s="60"/>
      <c r="AP586" s="59" t="s">
        <v>5100</v>
      </c>
      <c r="AQ586" s="25" t="s">
        <v>1241</v>
      </c>
      <c r="AR586" s="60" t="s">
        <v>2134</v>
      </c>
      <c r="AS586" s="59" t="s">
        <v>1324</v>
      </c>
      <c r="AT586" s="59" t="s">
        <v>1090</v>
      </c>
      <c r="AU586" s="59" t="s">
        <v>111</v>
      </c>
      <c r="AV586" s="62">
        <v>45323</v>
      </c>
      <c r="AW586" s="59" t="s">
        <v>8242</v>
      </c>
      <c r="AX586" s="59" t="s">
        <v>691</v>
      </c>
      <c r="AY586" s="59" t="s">
        <v>122</v>
      </c>
      <c r="AZ586" s="126">
        <v>30415</v>
      </c>
      <c r="BA586" s="60" t="s">
        <v>5101</v>
      </c>
      <c r="BB586" s="60" t="s">
        <v>845</v>
      </c>
      <c r="BC586" s="59" t="s">
        <v>1728</v>
      </c>
      <c r="BD586" s="60" t="s">
        <v>5102</v>
      </c>
      <c r="BE586" s="60"/>
      <c r="BF586" s="60"/>
      <c r="BG586" s="59" t="s">
        <v>5100</v>
      </c>
      <c r="BH586" s="60" t="s">
        <v>1241</v>
      </c>
      <c r="BI586" s="60" t="s">
        <v>2134</v>
      </c>
      <c r="BJ586" s="24" t="s">
        <v>1324</v>
      </c>
      <c r="BK586" s="59" t="s">
        <v>1090</v>
      </c>
      <c r="BL586" s="59" t="s">
        <v>1214</v>
      </c>
      <c r="BM586" s="62"/>
      <c r="BN586" s="62"/>
      <c r="BO586" s="59" t="s">
        <v>701</v>
      </c>
      <c r="BP586" s="59"/>
      <c r="BQ586" s="77"/>
      <c r="BR586" s="60"/>
      <c r="BS586" s="60"/>
      <c r="BT586" s="59"/>
      <c r="BU586" s="60"/>
      <c r="BV586" s="60"/>
      <c r="BW586" s="59"/>
      <c r="BX586" s="60"/>
      <c r="BY586" s="60"/>
      <c r="BZ586" s="59"/>
      <c r="CA586" s="59"/>
      <c r="CB586" s="59"/>
      <c r="CC586" s="59"/>
      <c r="CD586" s="59"/>
      <c r="CE586" s="59" t="s">
        <v>7761</v>
      </c>
      <c r="CF586" s="60" t="s">
        <v>1241</v>
      </c>
      <c r="CG586" s="59" t="s">
        <v>7013</v>
      </c>
      <c r="CH586" s="59" t="s">
        <v>134</v>
      </c>
      <c r="CI586" s="59" t="s">
        <v>122</v>
      </c>
      <c r="CJ586" s="59" t="s">
        <v>111</v>
      </c>
      <c r="CK586" s="47">
        <v>45323</v>
      </c>
      <c r="CL586" s="64" t="str">
        <f t="shared" ca="1" si="9"/>
        <v>21 Tahun 0 Bulan 7 Hari</v>
      </c>
      <c r="CM586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Lingk.Margajaya RT/RW 02/18 Desa/Kelurahan Situ Kecamatan Sumedang Utara Sumedang Jawa Barat 45323</v>
      </c>
    </row>
    <row r="587" spans="1:91" ht="24.95" hidden="1" customHeight="1">
      <c r="A587" s="58">
        <f>SUBTOTAL(3,N$8:Table2[[#This Row],[Nama lengkap]])</f>
        <v>472</v>
      </c>
      <c r="B587" s="32" t="s">
        <v>5032</v>
      </c>
      <c r="C587" s="58">
        <v>2024</v>
      </c>
      <c r="D587" s="58"/>
      <c r="E587" s="58"/>
      <c r="F587" s="58"/>
      <c r="G587" s="165"/>
      <c r="H587" s="32"/>
      <c r="I587" s="32"/>
      <c r="J587" s="139"/>
      <c r="K587" s="139"/>
      <c r="L587" s="139"/>
      <c r="M587" s="58">
        <v>24250159</v>
      </c>
      <c r="N587" s="40" t="s">
        <v>8933</v>
      </c>
      <c r="O587" s="159"/>
      <c r="P587" s="32" t="s">
        <v>5434</v>
      </c>
      <c r="Q587" s="32" t="s">
        <v>5435</v>
      </c>
      <c r="R587" s="67" t="s">
        <v>90</v>
      </c>
      <c r="S587" s="69">
        <v>39972</v>
      </c>
      <c r="T587" s="47" t="s">
        <v>92</v>
      </c>
      <c r="U587" s="58">
        <v>1</v>
      </c>
      <c r="V587" s="58">
        <v>2</v>
      </c>
      <c r="W587" s="47" t="s">
        <v>207</v>
      </c>
      <c r="X587" s="64" t="s">
        <v>123</v>
      </c>
      <c r="Y587" s="64" t="s">
        <v>143</v>
      </c>
      <c r="Z587" s="64" t="s">
        <v>114</v>
      </c>
      <c r="AA587" s="64" t="s">
        <v>159</v>
      </c>
      <c r="AB587" s="64" t="s">
        <v>97</v>
      </c>
      <c r="AC587" s="64" t="s">
        <v>98</v>
      </c>
      <c r="AD587" s="64" t="s">
        <v>98</v>
      </c>
      <c r="AE587" s="67" t="s">
        <v>5436</v>
      </c>
      <c r="AF587" s="67" t="s">
        <v>8744</v>
      </c>
      <c r="AG587" s="64" t="s">
        <v>8744</v>
      </c>
      <c r="AH587" s="64" t="s">
        <v>101</v>
      </c>
      <c r="AI587" s="64" t="s">
        <v>90</v>
      </c>
      <c r="AJ587" s="69">
        <v>31713</v>
      </c>
      <c r="AK587" s="67" t="s">
        <v>5438</v>
      </c>
      <c r="AL587" s="67" t="s">
        <v>8271</v>
      </c>
      <c r="AM587" s="64" t="s">
        <v>159</v>
      </c>
      <c r="AN587" s="67" t="s">
        <v>5440</v>
      </c>
      <c r="AO587" s="67" t="s">
        <v>106</v>
      </c>
      <c r="AP587" s="64" t="s">
        <v>5441</v>
      </c>
      <c r="AQ587" s="32" t="s">
        <v>5442</v>
      </c>
      <c r="AR587" s="67" t="s">
        <v>5443</v>
      </c>
      <c r="AS587" s="64" t="s">
        <v>5444</v>
      </c>
      <c r="AT587" s="64" t="s">
        <v>90</v>
      </c>
      <c r="AU587" s="64" t="s">
        <v>318</v>
      </c>
      <c r="AV587" s="64">
        <v>40375</v>
      </c>
      <c r="AW587" s="64" t="s">
        <v>5445</v>
      </c>
      <c r="AX587" s="64" t="s">
        <v>101</v>
      </c>
      <c r="AY587" s="64" t="s">
        <v>90</v>
      </c>
      <c r="AZ587" s="125">
        <v>32345</v>
      </c>
      <c r="BA587" s="67" t="s">
        <v>5446</v>
      </c>
      <c r="BB587" s="67" t="s">
        <v>441</v>
      </c>
      <c r="BC587" s="64" t="s">
        <v>159</v>
      </c>
      <c r="BD587" s="67" t="s">
        <v>5447</v>
      </c>
      <c r="BE587" s="67" t="s">
        <v>106</v>
      </c>
      <c r="BF587" s="67"/>
      <c r="BG587" s="64" t="s">
        <v>5448</v>
      </c>
      <c r="BH587" s="67" t="s">
        <v>5442</v>
      </c>
      <c r="BI587" s="67" t="s">
        <v>5443</v>
      </c>
      <c r="BJ587" s="40" t="s">
        <v>5444</v>
      </c>
      <c r="BK587" s="64" t="s">
        <v>90</v>
      </c>
      <c r="BL587" s="64" t="s">
        <v>318</v>
      </c>
      <c r="BM587" s="64">
        <v>40375</v>
      </c>
      <c r="BN587" s="64" t="s">
        <v>161</v>
      </c>
      <c r="BO587" s="64" t="s">
        <v>5437</v>
      </c>
      <c r="BP587" s="64" t="s">
        <v>90</v>
      </c>
      <c r="BQ587" s="135" t="s">
        <v>5449</v>
      </c>
      <c r="BR587" s="67">
        <v>3204322810860010</v>
      </c>
      <c r="BS587" s="67" t="s">
        <v>5439</v>
      </c>
      <c r="BT587" s="64" t="s">
        <v>159</v>
      </c>
      <c r="BU587" s="67">
        <v>81323692078</v>
      </c>
      <c r="BV587" s="67" t="s">
        <v>106</v>
      </c>
      <c r="BW587" s="64" t="s">
        <v>5450</v>
      </c>
      <c r="BX587" s="67">
        <v>41306</v>
      </c>
      <c r="BY587" s="67" t="s">
        <v>5443</v>
      </c>
      <c r="BZ587" s="64" t="s">
        <v>5444</v>
      </c>
      <c r="CA587" s="64" t="s">
        <v>90</v>
      </c>
      <c r="CB587" s="64" t="s">
        <v>318</v>
      </c>
      <c r="CC587" s="64">
        <v>40375</v>
      </c>
      <c r="CD587" s="64" t="s">
        <v>164</v>
      </c>
      <c r="CE587" s="64" t="s">
        <v>7762</v>
      </c>
      <c r="CF587" s="67" t="s">
        <v>5442</v>
      </c>
      <c r="CG587" s="64" t="s">
        <v>5443</v>
      </c>
      <c r="CH587" s="64" t="s">
        <v>5444</v>
      </c>
      <c r="CI587" s="64" t="s">
        <v>90</v>
      </c>
      <c r="CJ587" s="64" t="s">
        <v>111</v>
      </c>
      <c r="CK587" s="58">
        <v>40375</v>
      </c>
      <c r="CL587" s="64" t="str">
        <f t="shared" ca="1" si="9"/>
        <v>16 Tahun 7 Bulan 15 Hari</v>
      </c>
      <c r="CM587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Kpn Sukajadi/ Citunggul RT/RW 02/013 Desa/Kelurahan Jelekong Kecamatan Baleendah Bandung Jawa Barat 40375</v>
      </c>
    </row>
    <row r="588" spans="1:91" ht="24.95" hidden="1" customHeight="1">
      <c r="A588" s="89">
        <f>SUBTOTAL(3,N$8:Table2[[#This Row],[Nama lengkap]])</f>
        <v>472</v>
      </c>
      <c r="B588" s="58" t="s">
        <v>5032</v>
      </c>
      <c r="C588" s="89"/>
      <c r="D588" s="89"/>
      <c r="E588" s="89"/>
      <c r="F588" s="89"/>
      <c r="G588" s="166"/>
      <c r="H588" s="32"/>
      <c r="I588" s="90"/>
      <c r="J588" s="139"/>
      <c r="K588" s="139"/>
      <c r="L588" s="139"/>
      <c r="M588" s="89">
        <v>18190223</v>
      </c>
      <c r="N588" s="91" t="s">
        <v>9167</v>
      </c>
      <c r="O588" s="140"/>
      <c r="P588" s="90"/>
      <c r="Q588" s="90" t="s">
        <v>9521</v>
      </c>
      <c r="R588" s="91" t="s">
        <v>9172</v>
      </c>
      <c r="S588" s="101"/>
      <c r="T588" s="142"/>
      <c r="U588" s="89"/>
      <c r="V588" s="89"/>
      <c r="W588" s="141"/>
      <c r="X588" s="92" t="s">
        <v>93</v>
      </c>
      <c r="Y588" s="92"/>
      <c r="Z588" s="92"/>
      <c r="AA588" s="92" t="s">
        <v>5023</v>
      </c>
      <c r="AB588" s="92"/>
      <c r="AC588" s="92"/>
      <c r="AD588" s="92"/>
      <c r="AE588" s="93" t="s">
        <v>9415</v>
      </c>
      <c r="AF588" s="91"/>
      <c r="AG588" s="91" t="s">
        <v>9617</v>
      </c>
      <c r="AH588" s="91"/>
      <c r="AI588" s="92"/>
      <c r="AJ588" s="101"/>
      <c r="AK588" s="90" t="s">
        <v>9814</v>
      </c>
      <c r="AL588" s="93" t="s">
        <v>114</v>
      </c>
      <c r="AM588" s="91"/>
      <c r="AN588" s="93"/>
      <c r="AO588" s="92"/>
      <c r="AP588" s="93" t="s">
        <v>7096</v>
      </c>
      <c r="AQ588" s="90"/>
      <c r="AR588" s="89" t="s">
        <v>7096</v>
      </c>
      <c r="AS588" s="93" t="s">
        <v>7069</v>
      </c>
      <c r="AT588" s="92" t="s">
        <v>90</v>
      </c>
      <c r="AU588" s="92" t="s">
        <v>111</v>
      </c>
      <c r="AV588" s="92"/>
      <c r="AW588" s="92" t="s">
        <v>9711</v>
      </c>
      <c r="AX588" s="91"/>
      <c r="AY588" s="91"/>
      <c r="AZ588" s="127"/>
      <c r="BA588" s="143" t="s">
        <v>9910</v>
      </c>
      <c r="BB588" s="101" t="s">
        <v>602</v>
      </c>
      <c r="BC588" s="93"/>
      <c r="BD588" s="143"/>
      <c r="BE588" s="92"/>
      <c r="BF588" s="67"/>
      <c r="BG588" s="93" t="s">
        <v>7096</v>
      </c>
      <c r="BH588" s="93"/>
      <c r="BI588" s="91" t="s">
        <v>7096</v>
      </c>
      <c r="BJ588" s="91" t="s">
        <v>7069</v>
      </c>
      <c r="BK588" s="93" t="s">
        <v>90</v>
      </c>
      <c r="BL588" s="91" t="s">
        <v>111</v>
      </c>
      <c r="BM588" s="92"/>
      <c r="BN588" s="64"/>
      <c r="BO588" s="92"/>
      <c r="BP588" s="92"/>
      <c r="BQ588" s="136"/>
      <c r="BR588" s="93"/>
      <c r="BS588" s="92"/>
      <c r="BT588" s="93"/>
      <c r="BU588" s="93"/>
      <c r="BV588" s="92"/>
      <c r="BW588" s="92"/>
      <c r="BX588" s="93"/>
      <c r="BY588" s="92"/>
      <c r="BZ588" s="92"/>
      <c r="CA588" s="93"/>
      <c r="CB588" s="92"/>
      <c r="CC588" s="92"/>
      <c r="CD588" s="92"/>
      <c r="CE588" s="64" t="s">
        <v>7096</v>
      </c>
      <c r="CF588" s="67"/>
      <c r="CG588" s="40" t="s">
        <v>7096</v>
      </c>
      <c r="CH588" s="92" t="s">
        <v>7069</v>
      </c>
      <c r="CI588" s="91" t="s">
        <v>90</v>
      </c>
      <c r="CJ588" s="91" t="s">
        <v>111</v>
      </c>
      <c r="CK588" s="89"/>
      <c r="CL588" s="91" t="str">
        <f t="shared" ca="1" si="9"/>
        <v>126 Tahun 0 Bulan 23 Hari</v>
      </c>
      <c r="CM58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Cijagra RT/RW  Desa/Kelurahan Cijagra Kecamatan Lengkong Bandung Jawa Barat </v>
      </c>
    </row>
    <row r="589" spans="1:91" ht="24.95" hidden="1" customHeight="1">
      <c r="A589" s="58">
        <f>SUBTOTAL(3,N$8:Table2[[#This Row],[Nama lengkap]])</f>
        <v>472</v>
      </c>
      <c r="B589" s="32" t="s">
        <v>5032</v>
      </c>
      <c r="C589" s="58">
        <v>2021</v>
      </c>
      <c r="D589" s="58"/>
      <c r="E589" s="58"/>
      <c r="F589" s="58"/>
      <c r="G589" s="165"/>
      <c r="H589" s="32"/>
      <c r="I589" s="32"/>
      <c r="J589" s="139"/>
      <c r="K589" s="139"/>
      <c r="L589" s="139"/>
      <c r="M589" s="84">
        <v>21220044</v>
      </c>
      <c r="N589" s="24" t="s">
        <v>8934</v>
      </c>
      <c r="O589" s="140"/>
      <c r="P589" s="25" t="s">
        <v>5452</v>
      </c>
      <c r="Q589" s="25" t="s">
        <v>5453</v>
      </c>
      <c r="R589" s="60" t="s">
        <v>388</v>
      </c>
      <c r="S589" s="61" t="s">
        <v>5454</v>
      </c>
      <c r="T589" s="47" t="s">
        <v>92</v>
      </c>
      <c r="U589" s="47">
        <v>1</v>
      </c>
      <c r="V589" s="47">
        <v>3</v>
      </c>
      <c r="W589" s="47" t="s">
        <v>207</v>
      </c>
      <c r="X589" s="59" t="s">
        <v>984</v>
      </c>
      <c r="Y589" s="59" t="s">
        <v>793</v>
      </c>
      <c r="Z589" s="59" t="s">
        <v>4361</v>
      </c>
      <c r="AA589" s="59" t="s">
        <v>1028</v>
      </c>
      <c r="AB589" s="59" t="s">
        <v>689</v>
      </c>
      <c r="AC589" s="59" t="s">
        <v>208</v>
      </c>
      <c r="AD589" s="59" t="s">
        <v>208</v>
      </c>
      <c r="AE589" s="60" t="s">
        <v>5455</v>
      </c>
      <c r="AF589" s="60" t="s">
        <v>6429</v>
      </c>
      <c r="AG589" s="59" t="s">
        <v>6429</v>
      </c>
      <c r="AH589" s="59" t="s">
        <v>691</v>
      </c>
      <c r="AI589" s="59" t="s">
        <v>90</v>
      </c>
      <c r="AJ589" s="61" t="s">
        <v>5456</v>
      </c>
      <c r="AK589" s="60" t="s">
        <v>5457</v>
      </c>
      <c r="AL589" s="60" t="s">
        <v>8255</v>
      </c>
      <c r="AM589" s="59" t="s">
        <v>5458</v>
      </c>
      <c r="AN589" s="60" t="s">
        <v>5459</v>
      </c>
      <c r="AO589" s="60"/>
      <c r="AP589" s="59" t="s">
        <v>5460</v>
      </c>
      <c r="AQ589" s="25" t="s">
        <v>1009</v>
      </c>
      <c r="AR589" s="60" t="s">
        <v>5461</v>
      </c>
      <c r="AS589" s="59" t="s">
        <v>5462</v>
      </c>
      <c r="AT589" s="59" t="s">
        <v>2178</v>
      </c>
      <c r="AU589" s="59" t="s">
        <v>2185</v>
      </c>
      <c r="AV589" s="62">
        <v>15710</v>
      </c>
      <c r="AW589" s="59" t="s">
        <v>8243</v>
      </c>
      <c r="AX589" s="59" t="s">
        <v>691</v>
      </c>
      <c r="AY589" s="59" t="s">
        <v>388</v>
      </c>
      <c r="AZ589" s="126" t="s">
        <v>5463</v>
      </c>
      <c r="BA589" s="60" t="s">
        <v>5464</v>
      </c>
      <c r="BB589" s="60" t="s">
        <v>845</v>
      </c>
      <c r="BC589" s="59" t="s">
        <v>1728</v>
      </c>
      <c r="BD589" s="60" t="s">
        <v>5459</v>
      </c>
      <c r="BE589" s="60"/>
      <c r="BF589" s="60"/>
      <c r="BG589" s="59" t="s">
        <v>5460</v>
      </c>
      <c r="BH589" s="25" t="s">
        <v>1009</v>
      </c>
      <c r="BI589" s="60" t="s">
        <v>5461</v>
      </c>
      <c r="BJ589" s="59" t="s">
        <v>5462</v>
      </c>
      <c r="BK589" s="59" t="s">
        <v>2178</v>
      </c>
      <c r="BL589" s="59" t="s">
        <v>2185</v>
      </c>
      <c r="BM589" s="62">
        <v>15710</v>
      </c>
      <c r="BN589" s="62"/>
      <c r="BO589" s="59" t="s">
        <v>719</v>
      </c>
      <c r="BP589" s="59"/>
      <c r="BQ589" s="77"/>
      <c r="BR589" s="60"/>
      <c r="BS589" s="60"/>
      <c r="BT589" s="59"/>
      <c r="BU589" s="60"/>
      <c r="BV589" s="60"/>
      <c r="BW589" s="59"/>
      <c r="BX589" s="60"/>
      <c r="BY589" s="60"/>
      <c r="BZ589" s="59"/>
      <c r="CA589" s="59"/>
      <c r="CB589" s="59"/>
      <c r="CC589" s="59"/>
      <c r="CD589" s="59"/>
      <c r="CE589" s="59" t="s">
        <v>7763</v>
      </c>
      <c r="CF589" s="60" t="s">
        <v>1009</v>
      </c>
      <c r="CG589" s="59" t="s">
        <v>7335</v>
      </c>
      <c r="CH589" s="59" t="s">
        <v>7336</v>
      </c>
      <c r="CI589" s="59" t="s">
        <v>7148</v>
      </c>
      <c r="CJ589" s="59" t="s">
        <v>7149</v>
      </c>
      <c r="CK589" s="47">
        <v>15710</v>
      </c>
      <c r="CL589" s="64" t="str">
        <f t="shared" ca="1" si="9"/>
        <v>19 Tahun 7 Bulan 14 Hari</v>
      </c>
      <c r="CM589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Kp.Bunut  RT/RW 03/02 Desa/Kelurahan Pasir Jaya Kecamatan Cikupa Tangerang Banten 15710</v>
      </c>
    </row>
    <row r="590" spans="1:91" ht="24.95" hidden="1" customHeight="1">
      <c r="A590" s="58">
        <f>SUBTOTAL(3,N$8:Table2[[#This Row],[Nama lengkap]])</f>
        <v>472</v>
      </c>
      <c r="B590" s="32" t="s">
        <v>5032</v>
      </c>
      <c r="C590" s="58" t="s">
        <v>5041</v>
      </c>
      <c r="D590" s="58"/>
      <c r="E590" s="58"/>
      <c r="F590" s="58"/>
      <c r="G590" s="165"/>
      <c r="H590" s="32"/>
      <c r="I590" s="32"/>
      <c r="J590" s="139"/>
      <c r="K590" s="139"/>
      <c r="L590" s="139"/>
      <c r="M590" s="58"/>
      <c r="N590" s="24" t="s">
        <v>8935</v>
      </c>
      <c r="O590" s="140"/>
      <c r="P590" s="25"/>
      <c r="Q590" s="25" t="s">
        <v>5465</v>
      </c>
      <c r="R590" s="60" t="s">
        <v>6839</v>
      </c>
      <c r="S590" s="61" t="s">
        <v>5466</v>
      </c>
      <c r="T590" s="47" t="s">
        <v>92</v>
      </c>
      <c r="U590" s="47">
        <v>1</v>
      </c>
      <c r="V590" s="47">
        <v>4</v>
      </c>
      <c r="W590" s="47" t="s">
        <v>207</v>
      </c>
      <c r="X590" s="59"/>
      <c r="Y590" s="59"/>
      <c r="Z590" s="59"/>
      <c r="AA590" s="59"/>
      <c r="AB590" s="59"/>
      <c r="AC590" s="59" t="s">
        <v>208</v>
      </c>
      <c r="AD590" s="59" t="s">
        <v>208</v>
      </c>
      <c r="AE590" s="60" t="s">
        <v>5467</v>
      </c>
      <c r="AF590" s="60" t="s">
        <v>8745</v>
      </c>
      <c r="AG590" s="59" t="s">
        <v>8745</v>
      </c>
      <c r="AH590" s="59" t="s">
        <v>2781</v>
      </c>
      <c r="AI590" s="59" t="s">
        <v>90</v>
      </c>
      <c r="AJ590" s="61" t="s">
        <v>5468</v>
      </c>
      <c r="AK590" s="60" t="s">
        <v>5469</v>
      </c>
      <c r="AL590" s="60" t="s">
        <v>602</v>
      </c>
      <c r="AM590" s="59" t="s">
        <v>5470</v>
      </c>
      <c r="AN590" s="60"/>
      <c r="AO590" s="60"/>
      <c r="AP590" s="59" t="s">
        <v>5471</v>
      </c>
      <c r="AQ590" s="25" t="s">
        <v>5472</v>
      </c>
      <c r="AR590" s="60" t="s">
        <v>5473</v>
      </c>
      <c r="AS590" s="59" t="s">
        <v>5474</v>
      </c>
      <c r="AT590" s="59" t="s">
        <v>141</v>
      </c>
      <c r="AU590" s="59" t="s">
        <v>156</v>
      </c>
      <c r="AV590" s="62">
        <v>40227</v>
      </c>
      <c r="AW590" s="59" t="s">
        <v>8244</v>
      </c>
      <c r="AX590" s="59" t="s">
        <v>2781</v>
      </c>
      <c r="AY590" s="59" t="s">
        <v>6839</v>
      </c>
      <c r="AZ590" s="126" t="s">
        <v>5475</v>
      </c>
      <c r="BA590" s="60" t="s">
        <v>5476</v>
      </c>
      <c r="BB590" s="60" t="s">
        <v>845</v>
      </c>
      <c r="BC590" s="59" t="s">
        <v>1820</v>
      </c>
      <c r="BD590" s="60"/>
      <c r="BE590" s="60"/>
      <c r="BF590" s="60"/>
      <c r="BG590" s="59" t="s">
        <v>5471</v>
      </c>
      <c r="BH590" s="60" t="s">
        <v>5472</v>
      </c>
      <c r="BI590" s="60" t="s">
        <v>5473</v>
      </c>
      <c r="BJ590" s="24" t="s">
        <v>994</v>
      </c>
      <c r="BK590" s="59" t="s">
        <v>141</v>
      </c>
      <c r="BL590" s="59" t="s">
        <v>156</v>
      </c>
      <c r="BM590" s="24" t="s">
        <v>1664</v>
      </c>
      <c r="BN590" s="24"/>
      <c r="BO590" s="59"/>
      <c r="BP590" s="59"/>
      <c r="BQ590" s="77"/>
      <c r="BR590" s="60"/>
      <c r="BS590" s="60"/>
      <c r="BT590" s="59"/>
      <c r="BU590" s="60"/>
      <c r="BV590" s="60"/>
      <c r="BW590" s="59"/>
      <c r="BX590" s="60"/>
      <c r="BY590" s="60"/>
      <c r="BZ590" s="59"/>
      <c r="CA590" s="59"/>
      <c r="CB590" s="59"/>
      <c r="CC590" s="59"/>
      <c r="CD590" s="59"/>
      <c r="CE590" s="59" t="s">
        <v>7764</v>
      </c>
      <c r="CF590" s="60" t="s">
        <v>5472</v>
      </c>
      <c r="CG590" s="59" t="s">
        <v>7337</v>
      </c>
      <c r="CH590" s="59" t="s">
        <v>7338</v>
      </c>
      <c r="CI590" s="59" t="s">
        <v>90</v>
      </c>
      <c r="CJ590" s="59" t="s">
        <v>111</v>
      </c>
      <c r="CK590" s="47">
        <v>40227</v>
      </c>
      <c r="CL590" s="64" t="str">
        <f t="shared" ca="1" si="9"/>
        <v>18 Tahun 3 Bulan 12 Hari</v>
      </c>
      <c r="CM590" s="64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>Kp.Cilisung Gg.Sukamanah Iv No.12 RT/RW 01/16 Desa/Kelurahan Sukamenak Kecamatan Maegahayu Bandung Jawa Barat 40227</v>
      </c>
    </row>
    <row r="591" spans="1:91" ht="24.95" hidden="1" customHeight="1">
      <c r="A591" s="89">
        <f>SUBTOTAL(3,N$8:Table2[[#This Row],[Nama lengkap]])</f>
        <v>472</v>
      </c>
      <c r="B591" s="89"/>
      <c r="C591" s="89"/>
      <c r="D591" s="89"/>
      <c r="E591" s="89"/>
      <c r="F591" s="89"/>
      <c r="G591" s="166"/>
      <c r="H591" s="32"/>
      <c r="I591" s="90"/>
      <c r="J591" s="139"/>
      <c r="K591" s="139"/>
      <c r="L591" s="139"/>
      <c r="M591" s="89">
        <v>16170080</v>
      </c>
      <c r="N591" s="91" t="s">
        <v>9128</v>
      </c>
      <c r="O591" s="140"/>
      <c r="P591" s="164" t="s">
        <v>9922</v>
      </c>
      <c r="Q591" s="90" t="s">
        <v>9480</v>
      </c>
      <c r="R591" s="91" t="s">
        <v>9176</v>
      </c>
      <c r="S591" s="101"/>
      <c r="T591" s="142"/>
      <c r="U591" s="89"/>
      <c r="V591" s="89"/>
      <c r="W591" s="141"/>
      <c r="X591" s="92" t="s">
        <v>93</v>
      </c>
      <c r="Y591" s="92"/>
      <c r="Z591" s="92"/>
      <c r="AA591" s="92" t="s">
        <v>96</v>
      </c>
      <c r="AB591" s="92"/>
      <c r="AC591" s="92"/>
      <c r="AD591" s="92"/>
      <c r="AE591" s="93" t="s">
        <v>9380</v>
      </c>
      <c r="AF591" s="91"/>
      <c r="AG591" s="91" t="s">
        <v>9577</v>
      </c>
      <c r="AH591" s="91"/>
      <c r="AI591" s="92"/>
      <c r="AJ591" s="101"/>
      <c r="AK591" s="90" t="s">
        <v>9778</v>
      </c>
      <c r="AL591" s="93" t="s">
        <v>4822</v>
      </c>
      <c r="AM591" s="91"/>
      <c r="AN591" s="93"/>
      <c r="AO591" s="92"/>
      <c r="AP591" s="93" t="s">
        <v>9267</v>
      </c>
      <c r="AQ591" s="90"/>
      <c r="AR591" s="89" t="s">
        <v>7077</v>
      </c>
      <c r="AS591" s="93" t="s">
        <v>295</v>
      </c>
      <c r="AT591" s="92" t="s">
        <v>90</v>
      </c>
      <c r="AU591" s="92" t="s">
        <v>111</v>
      </c>
      <c r="AV591" s="92"/>
      <c r="AW591" s="92" t="s">
        <v>9674</v>
      </c>
      <c r="AX591" s="91"/>
      <c r="AY591" s="91"/>
      <c r="AZ591" s="127"/>
      <c r="BA591" s="143" t="s">
        <v>9871</v>
      </c>
      <c r="BB591" s="101" t="s">
        <v>216</v>
      </c>
      <c r="BC591" s="93"/>
      <c r="BD591" s="143"/>
      <c r="BE591" s="92"/>
      <c r="BF591" s="67"/>
      <c r="BG591" s="93" t="s">
        <v>9267</v>
      </c>
      <c r="BH591" s="93"/>
      <c r="BI591" s="91" t="s">
        <v>7077</v>
      </c>
      <c r="BJ591" s="91" t="s">
        <v>295</v>
      </c>
      <c r="BK591" s="93" t="s">
        <v>90</v>
      </c>
      <c r="BL591" s="91" t="s">
        <v>111</v>
      </c>
      <c r="BM591" s="92"/>
      <c r="BN591" s="64"/>
      <c r="BO591" s="92"/>
      <c r="BP591" s="92"/>
      <c r="BQ591" s="136"/>
      <c r="BR591" s="93"/>
      <c r="BS591" s="92"/>
      <c r="BT591" s="93"/>
      <c r="BU591" s="93"/>
      <c r="BV591" s="92"/>
      <c r="BW591" s="92"/>
      <c r="BX591" s="93"/>
      <c r="BY591" s="92"/>
      <c r="BZ591" s="92"/>
      <c r="CA591" s="93"/>
      <c r="CB591" s="92"/>
      <c r="CC591" s="92"/>
      <c r="CD591" s="92"/>
      <c r="CE591" s="64" t="s">
        <v>9267</v>
      </c>
      <c r="CF591" s="67"/>
      <c r="CG591" s="40" t="s">
        <v>7077</v>
      </c>
      <c r="CH591" s="92" t="s">
        <v>295</v>
      </c>
      <c r="CI591" s="91" t="s">
        <v>90</v>
      </c>
      <c r="CJ591" s="91" t="s">
        <v>111</v>
      </c>
      <c r="CK591" s="89"/>
      <c r="CL591" s="91" t="str">
        <f t="shared" ca="1" si="9"/>
        <v>126 Tahun 0 Bulan 23 Hari</v>
      </c>
      <c r="CM59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GG Letnan Adun RT/RW  Desa/Kelurahan Rancaekek Kulon Kecamatan Rancaekek Bandung Jawa Barat </v>
      </c>
    </row>
    <row r="592" spans="1:91" ht="24.95" hidden="1" customHeight="1">
      <c r="A592" s="89">
        <f>SUBTOTAL(3,N$8:Table2[[#This Row],[Nama lengkap]])</f>
        <v>472</v>
      </c>
      <c r="B592" s="89"/>
      <c r="C592" s="89"/>
      <c r="D592" s="89"/>
      <c r="E592" s="89"/>
      <c r="F592" s="89"/>
      <c r="G592" s="166"/>
      <c r="H592" s="32"/>
      <c r="I592" s="90"/>
      <c r="J592" s="139"/>
      <c r="K592" s="139"/>
      <c r="L592" s="139"/>
      <c r="M592" s="89">
        <v>16170081</v>
      </c>
      <c r="N592" s="91" t="s">
        <v>9129</v>
      </c>
      <c r="O592" s="140"/>
      <c r="P592" s="90" t="s">
        <v>9923</v>
      </c>
      <c r="Q592" s="90" t="s">
        <v>9481</v>
      </c>
      <c r="R592" s="91" t="s">
        <v>9172</v>
      </c>
      <c r="S592" s="101"/>
      <c r="T592" s="142"/>
      <c r="U592" s="89"/>
      <c r="V592" s="89"/>
      <c r="W592" s="141"/>
      <c r="X592" s="92" t="s">
        <v>123</v>
      </c>
      <c r="Y592" s="92"/>
      <c r="Z592" s="92"/>
      <c r="AA592" s="92" t="s">
        <v>96</v>
      </c>
      <c r="AB592" s="92"/>
      <c r="AC592" s="92"/>
      <c r="AD592" s="92"/>
      <c r="AE592" s="93" t="s">
        <v>9381</v>
      </c>
      <c r="AF592" s="91"/>
      <c r="AG592" s="91" t="s">
        <v>9578</v>
      </c>
      <c r="AH592" s="91"/>
      <c r="AI592" s="92"/>
      <c r="AJ592" s="101"/>
      <c r="AK592" s="90" t="s">
        <v>9779</v>
      </c>
      <c r="AL592" s="93" t="s">
        <v>103</v>
      </c>
      <c r="AM592" s="91"/>
      <c r="AN592" s="93"/>
      <c r="AO592" s="92"/>
      <c r="AP592" s="93" t="s">
        <v>9268</v>
      </c>
      <c r="AQ592" s="90"/>
      <c r="AR592" s="89" t="s">
        <v>7123</v>
      </c>
      <c r="AS592" s="93" t="s">
        <v>7123</v>
      </c>
      <c r="AT592" s="92" t="s">
        <v>90</v>
      </c>
      <c r="AU592" s="92" t="s">
        <v>111</v>
      </c>
      <c r="AV592" s="92"/>
      <c r="AW592" s="92" t="s">
        <v>9675</v>
      </c>
      <c r="AX592" s="91"/>
      <c r="AY592" s="91"/>
      <c r="AZ592" s="127"/>
      <c r="BA592" s="143" t="s">
        <v>9872</v>
      </c>
      <c r="BB592" s="101" t="s">
        <v>216</v>
      </c>
      <c r="BC592" s="93"/>
      <c r="BD592" s="143"/>
      <c r="BE592" s="92"/>
      <c r="BF592" s="67"/>
      <c r="BG592" s="93" t="s">
        <v>9268</v>
      </c>
      <c r="BH592" s="93"/>
      <c r="BI592" s="91" t="s">
        <v>7123</v>
      </c>
      <c r="BJ592" s="91" t="s">
        <v>7123</v>
      </c>
      <c r="BK592" s="93" t="s">
        <v>90</v>
      </c>
      <c r="BL592" s="91" t="s">
        <v>111</v>
      </c>
      <c r="BM592" s="92"/>
      <c r="BN592" s="64"/>
      <c r="BO592" s="92"/>
      <c r="BP592" s="92"/>
      <c r="BQ592" s="136"/>
      <c r="BR592" s="93"/>
      <c r="BS592" s="92"/>
      <c r="BT592" s="93"/>
      <c r="BU592" s="93"/>
      <c r="BV592" s="92"/>
      <c r="BW592" s="92"/>
      <c r="BX592" s="93"/>
      <c r="BY592" s="92"/>
      <c r="BZ592" s="92"/>
      <c r="CA592" s="93"/>
      <c r="CB592" s="92"/>
      <c r="CC592" s="92"/>
      <c r="CD592" s="92"/>
      <c r="CE592" s="64" t="s">
        <v>9268</v>
      </c>
      <c r="CF592" s="67"/>
      <c r="CG592" s="40" t="s">
        <v>9924</v>
      </c>
      <c r="CH592" s="92" t="s">
        <v>7123</v>
      </c>
      <c r="CI592" s="91" t="s">
        <v>90</v>
      </c>
      <c r="CJ592" s="91" t="s">
        <v>111</v>
      </c>
      <c r="CK592" s="89"/>
      <c r="CL592" s="91" t="str">
        <f t="shared" ca="1" si="9"/>
        <v>126 Tahun 0 Bulan 23 Hari</v>
      </c>
      <c r="CM59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Jln. Cicalengka RT/RW  Desa/Kelurahan Antapani Kidul Kecamatan Antapani Bandung Jawa Barat </v>
      </c>
    </row>
    <row r="593" spans="1:91" ht="24.95" hidden="1" customHeight="1">
      <c r="A593" s="145">
        <f>SUBTOTAL(3,N$8:Table2[[#This Row],[Nama lengkap]])</f>
        <v>472</v>
      </c>
      <c r="B593" s="145"/>
      <c r="C593" s="145"/>
      <c r="D593" s="145"/>
      <c r="E593" s="145"/>
      <c r="F593" s="145"/>
      <c r="G593" s="168"/>
      <c r="H593" s="38"/>
      <c r="I593" s="146"/>
      <c r="J593" s="139"/>
      <c r="K593" s="139"/>
      <c r="L593" s="139"/>
      <c r="M593" s="145">
        <v>15160111</v>
      </c>
      <c r="N593" s="147" t="s">
        <v>9155</v>
      </c>
      <c r="O593" s="140"/>
      <c r="P593" s="146"/>
      <c r="Q593" s="146" t="s">
        <v>9506</v>
      </c>
      <c r="R593" s="147" t="s">
        <v>9172</v>
      </c>
      <c r="S593" s="148"/>
      <c r="T593" s="149"/>
      <c r="U593" s="145"/>
      <c r="V593" s="145"/>
      <c r="W593" s="150"/>
      <c r="X593" s="151" t="s">
        <v>984</v>
      </c>
      <c r="Y593" s="151"/>
      <c r="Z593" s="151"/>
      <c r="AA593" s="151" t="s">
        <v>9320</v>
      </c>
      <c r="AB593" s="151"/>
      <c r="AC593" s="151"/>
      <c r="AD593" s="151"/>
      <c r="AE593" s="152" t="s">
        <v>9403</v>
      </c>
      <c r="AF593" s="147"/>
      <c r="AG593" s="147" t="s">
        <v>9601</v>
      </c>
      <c r="AH593" s="147"/>
      <c r="AI593" s="151"/>
      <c r="AJ593" s="148"/>
      <c r="AK593" s="146" t="s">
        <v>9800</v>
      </c>
      <c r="AL593" s="152" t="s">
        <v>9718</v>
      </c>
      <c r="AM593" s="147"/>
      <c r="AN593" s="152"/>
      <c r="AO593" s="151"/>
      <c r="AP593" s="152" t="s">
        <v>9293</v>
      </c>
      <c r="AQ593" s="146"/>
      <c r="AR593" s="145" t="s">
        <v>7077</v>
      </c>
      <c r="AS593" s="152" t="s">
        <v>295</v>
      </c>
      <c r="AT593" s="151" t="s">
        <v>90</v>
      </c>
      <c r="AU593" s="151" t="s">
        <v>111</v>
      </c>
      <c r="AV593" s="151"/>
      <c r="AW593" s="151" t="s">
        <v>9699</v>
      </c>
      <c r="AX593" s="147"/>
      <c r="AY593" s="147"/>
      <c r="AZ593" s="153"/>
      <c r="BA593" s="154" t="s">
        <v>9894</v>
      </c>
      <c r="BB593" s="148" t="s">
        <v>216</v>
      </c>
      <c r="BC593" s="152"/>
      <c r="BD593" s="154"/>
      <c r="BE593" s="151"/>
      <c r="BF593" s="155"/>
      <c r="BG593" s="152" t="s">
        <v>9293</v>
      </c>
      <c r="BH593" s="152"/>
      <c r="BI593" s="147" t="s">
        <v>7077</v>
      </c>
      <c r="BJ593" s="147" t="s">
        <v>295</v>
      </c>
      <c r="BK593" s="152" t="s">
        <v>90</v>
      </c>
      <c r="BL593" s="147" t="s">
        <v>111</v>
      </c>
      <c r="BM593" s="151"/>
      <c r="BN593" s="156"/>
      <c r="BO593" s="151"/>
      <c r="BP593" s="151"/>
      <c r="BQ593" s="157"/>
      <c r="BR593" s="152"/>
      <c r="BS593" s="151"/>
      <c r="BT593" s="152"/>
      <c r="BU593" s="152"/>
      <c r="BV593" s="151"/>
      <c r="BW593" s="151"/>
      <c r="BX593" s="152"/>
      <c r="BY593" s="151"/>
      <c r="BZ593" s="151"/>
      <c r="CA593" s="152"/>
      <c r="CB593" s="151"/>
      <c r="CC593" s="151"/>
      <c r="CD593" s="151"/>
      <c r="CE593" s="156" t="s">
        <v>9293</v>
      </c>
      <c r="CF593" s="155"/>
      <c r="CG593" s="41" t="s">
        <v>7077</v>
      </c>
      <c r="CH593" s="151" t="s">
        <v>295</v>
      </c>
      <c r="CI593" s="147" t="s">
        <v>90</v>
      </c>
      <c r="CJ593" s="147" t="s">
        <v>111</v>
      </c>
      <c r="CK593" s="145"/>
      <c r="CL593" s="147" t="str">
        <f t="shared" ca="1" si="9"/>
        <v>126 Tahun 0 Bulan 23 Hari</v>
      </c>
      <c r="CM593" s="145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 Letnan Adun  RT/RW  Desa/Kelurahan Rancaekek Kulon Kecamatan Rancaekek Bandung Jawa Barat </v>
      </c>
    </row>
    <row r="594" spans="1:91" ht="24.95" hidden="1" customHeight="1">
      <c r="A594" s="89">
        <f>SUBTOTAL(3,N$8:Table2[[#This Row],[Nama lengkap]])</f>
        <v>472</v>
      </c>
      <c r="B594" s="89"/>
      <c r="C594" s="89"/>
      <c r="D594" s="89"/>
      <c r="E594" s="89"/>
      <c r="F594" s="89"/>
      <c r="G594" s="166"/>
      <c r="H594" s="32"/>
      <c r="I594" s="90"/>
      <c r="J594" s="38"/>
      <c r="K594" s="38"/>
      <c r="L594" s="38"/>
      <c r="M594" s="89">
        <v>15160063</v>
      </c>
      <c r="N594" s="91" t="s">
        <v>9089</v>
      </c>
      <c r="O594" s="95"/>
      <c r="P594" s="90"/>
      <c r="Q594" s="90" t="s">
        <v>9441</v>
      </c>
      <c r="R594" s="91" t="s">
        <v>9169</v>
      </c>
      <c r="S594" s="101"/>
      <c r="T594" s="142"/>
      <c r="U594" s="89"/>
      <c r="V594" s="89"/>
      <c r="W594" s="141"/>
      <c r="X594" s="92" t="s">
        <v>432</v>
      </c>
      <c r="Y594" s="92"/>
      <c r="Z594" s="92"/>
      <c r="AA594" s="92" t="s">
        <v>3003</v>
      </c>
      <c r="AB594" s="92"/>
      <c r="AC594" s="92"/>
      <c r="AD594" s="92"/>
      <c r="AE594" s="93" t="s">
        <v>9346</v>
      </c>
      <c r="AF594" s="91"/>
      <c r="AG594" s="91" t="s">
        <v>9544</v>
      </c>
      <c r="AH594" s="91"/>
      <c r="AI594" s="92"/>
      <c r="AJ594" s="101"/>
      <c r="AK594" s="90" t="s">
        <v>9744</v>
      </c>
      <c r="AL594" s="93" t="s">
        <v>114</v>
      </c>
      <c r="AM594" s="91"/>
      <c r="AN594" s="93"/>
      <c r="AO594" s="92"/>
      <c r="AP594" s="93" t="s">
        <v>9211</v>
      </c>
      <c r="AQ594" s="90"/>
      <c r="AR594" s="89" t="s">
        <v>9212</v>
      </c>
      <c r="AS594" s="93" t="s">
        <v>9213</v>
      </c>
      <c r="AT594" s="92" t="s">
        <v>8282</v>
      </c>
      <c r="AU594" s="92" t="s">
        <v>9214</v>
      </c>
      <c r="AV594" s="92"/>
      <c r="AW594" s="92" t="s">
        <v>9641</v>
      </c>
      <c r="AX594" s="91"/>
      <c r="AY594" s="91"/>
      <c r="AZ594" s="127"/>
      <c r="BA594" s="143" t="s">
        <v>9836</v>
      </c>
      <c r="BB594" s="101" t="s">
        <v>216</v>
      </c>
      <c r="BC594" s="93"/>
      <c r="BD594" s="143"/>
      <c r="BE594" s="92"/>
      <c r="BF594" s="67"/>
      <c r="BG594" s="93" t="s">
        <v>9211</v>
      </c>
      <c r="BH594" s="93"/>
      <c r="BI594" s="91" t="s">
        <v>9212</v>
      </c>
      <c r="BJ594" s="91" t="s">
        <v>9213</v>
      </c>
      <c r="BK594" s="93" t="s">
        <v>8282</v>
      </c>
      <c r="BL594" s="91" t="s">
        <v>9214</v>
      </c>
      <c r="BM594" s="92"/>
      <c r="BN594" s="64"/>
      <c r="BO594" s="92"/>
      <c r="BP594" s="92"/>
      <c r="BQ594" s="136"/>
      <c r="BR594" s="93"/>
      <c r="BS594" s="92"/>
      <c r="BT594" s="93"/>
      <c r="BU594" s="93"/>
      <c r="BV594" s="92"/>
      <c r="BW594" s="92"/>
      <c r="BX594" s="93"/>
      <c r="BY594" s="92"/>
      <c r="BZ594" s="92"/>
      <c r="CA594" s="93"/>
      <c r="CB594" s="92"/>
      <c r="CC594" s="92"/>
      <c r="CD594" s="92"/>
      <c r="CE594" s="64" t="s">
        <v>9211</v>
      </c>
      <c r="CF594" s="67"/>
      <c r="CG594" s="40" t="s">
        <v>9212</v>
      </c>
      <c r="CH594" s="92" t="s">
        <v>9213</v>
      </c>
      <c r="CI594" s="91" t="s">
        <v>8282</v>
      </c>
      <c r="CJ594" s="91" t="s">
        <v>9214</v>
      </c>
      <c r="CK594" s="89"/>
      <c r="CL594" s="91" t="str">
        <f t="shared" ca="1" si="9"/>
        <v>126 Tahun 0 Bulan 23 Hari</v>
      </c>
      <c r="CM59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Zainul Arifin RT/RW  Desa/Kelurahan Kidul Dalem Kecamatan Klojen Malang Jawa Timur </v>
      </c>
    </row>
    <row r="595" spans="1:91" ht="24.95" hidden="1" customHeight="1">
      <c r="A595" s="89">
        <f>SUBTOTAL(3,N$8:Table2[[#This Row],[Nama lengkap]])</f>
        <v>472</v>
      </c>
      <c r="B595" s="89"/>
      <c r="C595" s="89"/>
      <c r="D595" s="89"/>
      <c r="E595" s="89"/>
      <c r="F595" s="89"/>
      <c r="G595" s="166"/>
      <c r="H595" s="32"/>
      <c r="I595" s="90"/>
      <c r="J595" s="139"/>
      <c r="K595" s="139"/>
      <c r="L595" s="139"/>
      <c r="M595" s="89">
        <v>15160059</v>
      </c>
      <c r="N595" s="91" t="s">
        <v>9090</v>
      </c>
      <c r="O595" s="140"/>
      <c r="P595" s="90"/>
      <c r="Q595" s="90" t="s">
        <v>9442</v>
      </c>
      <c r="R595" s="91" t="s">
        <v>9170</v>
      </c>
      <c r="S595" s="101"/>
      <c r="T595" s="142"/>
      <c r="U595" s="89"/>
      <c r="V595" s="89"/>
      <c r="W595" s="141"/>
      <c r="X595" s="92" t="s">
        <v>123</v>
      </c>
      <c r="Y595" s="92"/>
      <c r="Z595" s="92"/>
      <c r="AA595" s="92" t="s">
        <v>1028</v>
      </c>
      <c r="AB595" s="92"/>
      <c r="AC595" s="92"/>
      <c r="AD595" s="92"/>
      <c r="AE595" s="93" t="s">
        <v>9347</v>
      </c>
      <c r="AF595" s="91"/>
      <c r="AG595" s="91" t="s">
        <v>9545</v>
      </c>
      <c r="AH595" s="91"/>
      <c r="AI595" s="92"/>
      <c r="AJ595" s="101"/>
      <c r="AK595" s="90" t="s">
        <v>9745</v>
      </c>
      <c r="AL595" s="93" t="s">
        <v>9715</v>
      </c>
      <c r="AM595" s="91"/>
      <c r="AN595" s="93"/>
      <c r="AO595" s="92"/>
      <c r="AP595" s="93" t="s">
        <v>7647</v>
      </c>
      <c r="AQ595" s="90"/>
      <c r="AR595" s="89" t="s">
        <v>592</v>
      </c>
      <c r="AS595" s="93" t="s">
        <v>593</v>
      </c>
      <c r="AT595" s="92" t="s">
        <v>122</v>
      </c>
      <c r="AU595" s="92" t="s">
        <v>111</v>
      </c>
      <c r="AV595" s="92"/>
      <c r="AW595" s="92" t="s">
        <v>9642</v>
      </c>
      <c r="AX595" s="91"/>
      <c r="AY595" s="91"/>
      <c r="AZ595" s="127"/>
      <c r="BA595" s="143" t="s">
        <v>9837</v>
      </c>
      <c r="BB595" s="101" t="s">
        <v>216</v>
      </c>
      <c r="BC595" s="93"/>
      <c r="BD595" s="143"/>
      <c r="BE595" s="92"/>
      <c r="BF595" s="67"/>
      <c r="BG595" s="93" t="s">
        <v>7647</v>
      </c>
      <c r="BH595" s="93"/>
      <c r="BI595" s="91" t="s">
        <v>592</v>
      </c>
      <c r="BJ595" s="91" t="s">
        <v>593</v>
      </c>
      <c r="BK595" s="93" t="s">
        <v>122</v>
      </c>
      <c r="BL595" s="91" t="s">
        <v>111</v>
      </c>
      <c r="BM595" s="92"/>
      <c r="BN595" s="64"/>
      <c r="BO595" s="92"/>
      <c r="BP595" s="92"/>
      <c r="BQ595" s="136"/>
      <c r="BR595" s="93"/>
      <c r="BS595" s="92"/>
      <c r="BT595" s="93"/>
      <c r="BU595" s="93"/>
      <c r="BV595" s="92"/>
      <c r="BW595" s="92"/>
      <c r="BX595" s="93"/>
      <c r="BY595" s="92"/>
      <c r="BZ595" s="92"/>
      <c r="CA595" s="93"/>
      <c r="CB595" s="92"/>
      <c r="CC595" s="92"/>
      <c r="CD595" s="92"/>
      <c r="CE595" s="64" t="s">
        <v>7647</v>
      </c>
      <c r="CF595" s="67"/>
      <c r="CG595" s="40" t="s">
        <v>592</v>
      </c>
      <c r="CH595" s="92" t="s">
        <v>593</v>
      </c>
      <c r="CI595" s="91" t="s">
        <v>122</v>
      </c>
      <c r="CJ595" s="91" t="s">
        <v>111</v>
      </c>
      <c r="CK595" s="89"/>
      <c r="CL595" s="91" t="str">
        <f t="shared" ca="1" si="9"/>
        <v>126 Tahun 0 Bulan 23 Hari</v>
      </c>
      <c r="CM59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Pagaden RT/RW  Desa/Kelurahan Margajaya Kecamatan Tanjungsari Sumedang Jawa Barat </v>
      </c>
    </row>
    <row r="596" spans="1:91" ht="24.95" hidden="1" customHeight="1">
      <c r="A596" s="89">
        <f>SUBTOTAL(3,N$8:Table2[[#This Row],[Nama lengkap]])</f>
        <v>472</v>
      </c>
      <c r="B596" s="89"/>
      <c r="C596" s="89"/>
      <c r="D596" s="89"/>
      <c r="E596" s="89"/>
      <c r="F596" s="89"/>
      <c r="G596" s="166"/>
      <c r="H596" s="32"/>
      <c r="I596" s="90"/>
      <c r="J596" s="139"/>
      <c r="K596" s="139"/>
      <c r="L596" s="139"/>
      <c r="M596" s="89">
        <v>16170083</v>
      </c>
      <c r="N596" s="91" t="s">
        <v>9101</v>
      </c>
      <c r="O596" s="140"/>
      <c r="P596" s="90"/>
      <c r="Q596" s="90"/>
      <c r="R596" s="91"/>
      <c r="S596" s="101"/>
      <c r="T596" s="142"/>
      <c r="U596" s="89"/>
      <c r="V596" s="89"/>
      <c r="W596" s="141"/>
      <c r="X596" s="92"/>
      <c r="Y596" s="92"/>
      <c r="Z596" s="92"/>
      <c r="AA596" s="92"/>
      <c r="AB596" s="92"/>
      <c r="AC596" s="92"/>
      <c r="AD596" s="92"/>
      <c r="AE596" s="93"/>
      <c r="AF596" s="91"/>
      <c r="AG596" s="91"/>
      <c r="AH596" s="91"/>
      <c r="AI596" s="92"/>
      <c r="AJ596" s="101"/>
      <c r="AK596" s="90"/>
      <c r="AL596" s="93"/>
      <c r="AM596" s="91"/>
      <c r="AN596" s="93"/>
      <c r="AO596" s="92"/>
      <c r="AP596" s="93"/>
      <c r="AQ596" s="90"/>
      <c r="AR596" s="89"/>
      <c r="AS596" s="93"/>
      <c r="AT596" s="92"/>
      <c r="AU596" s="92"/>
      <c r="AV596" s="92"/>
      <c r="AW596" s="92"/>
      <c r="AX596" s="91"/>
      <c r="AY596" s="91"/>
      <c r="AZ596" s="127"/>
      <c r="BA596" s="143"/>
      <c r="BB596" s="101"/>
      <c r="BC596" s="93"/>
      <c r="BD596" s="143"/>
      <c r="BE596" s="92"/>
      <c r="BF596" s="67"/>
      <c r="BG596" s="93"/>
      <c r="BH596" s="93"/>
      <c r="BI596" s="91"/>
      <c r="BJ596" s="91"/>
      <c r="BK596" s="93"/>
      <c r="BL596" s="91"/>
      <c r="BM596" s="92"/>
      <c r="BN596" s="64"/>
      <c r="BO596" s="92"/>
      <c r="BP596" s="92"/>
      <c r="BQ596" s="136"/>
      <c r="BR596" s="93"/>
      <c r="BS596" s="92"/>
      <c r="BT596" s="93"/>
      <c r="BU596" s="93"/>
      <c r="BV596" s="92"/>
      <c r="BW596" s="92"/>
      <c r="BX596" s="93"/>
      <c r="BY596" s="92"/>
      <c r="BZ596" s="92"/>
      <c r="CA596" s="93"/>
      <c r="CB596" s="92"/>
      <c r="CC596" s="92"/>
      <c r="CD596" s="92"/>
      <c r="CE596" s="64"/>
      <c r="CF596" s="67"/>
      <c r="CG596" s="40"/>
      <c r="CH596" s="92"/>
      <c r="CI596" s="91"/>
      <c r="CJ596" s="91"/>
      <c r="CK596" s="89"/>
      <c r="CL596" s="91" t="str">
        <f t="shared" ca="1" si="9"/>
        <v>126 Tahun 0 Bulan 23 Hari</v>
      </c>
      <c r="CM59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RT/RW  Desa/Kelurahan  Kecamatan    </v>
      </c>
    </row>
    <row r="597" spans="1:91" ht="24.95" hidden="1" customHeight="1">
      <c r="A597" s="89">
        <f>SUBTOTAL(3,N$8:Table2[[#This Row],[Nama lengkap]])</f>
        <v>472</v>
      </c>
      <c r="B597" s="89"/>
      <c r="C597" s="89"/>
      <c r="D597" s="89"/>
      <c r="E597" s="89"/>
      <c r="F597" s="89"/>
      <c r="G597" s="166"/>
      <c r="H597" s="32"/>
      <c r="I597" s="90"/>
      <c r="J597" s="139"/>
      <c r="K597" s="139"/>
      <c r="L597" s="139"/>
      <c r="M597" s="89">
        <v>16170086</v>
      </c>
      <c r="N597" s="91" t="s">
        <v>9130</v>
      </c>
      <c r="O597" s="140"/>
      <c r="P597" s="90"/>
      <c r="Q597" s="90" t="s">
        <v>9482</v>
      </c>
      <c r="R597" s="91" t="s">
        <v>9176</v>
      </c>
      <c r="S597" s="101"/>
      <c r="T597" s="142"/>
      <c r="U597" s="89"/>
      <c r="V597" s="89"/>
      <c r="W597" s="141"/>
      <c r="X597" s="92" t="s">
        <v>432</v>
      </c>
      <c r="Y597" s="92"/>
      <c r="Z597" s="92"/>
      <c r="AA597" s="92" t="s">
        <v>795</v>
      </c>
      <c r="AB597" s="92"/>
      <c r="AC597" s="92"/>
      <c r="AD597" s="92"/>
      <c r="AE597" s="93" t="s">
        <v>9382</v>
      </c>
      <c r="AF597" s="91"/>
      <c r="AG597" s="91" t="s">
        <v>9579</v>
      </c>
      <c r="AH597" s="91"/>
      <c r="AI597" s="92"/>
      <c r="AJ597" s="101"/>
      <c r="AK597" s="90" t="s">
        <v>9780</v>
      </c>
      <c r="AL597" s="93" t="s">
        <v>4822</v>
      </c>
      <c r="AM597" s="91"/>
      <c r="AN597" s="93"/>
      <c r="AO597" s="92"/>
      <c r="AP597" s="93" t="s">
        <v>9269</v>
      </c>
      <c r="AQ597" s="90"/>
      <c r="AR597" s="89" t="s">
        <v>7172</v>
      </c>
      <c r="AS597" s="93" t="s">
        <v>9270</v>
      </c>
      <c r="AT597" s="92" t="s">
        <v>90</v>
      </c>
      <c r="AU597" s="92" t="s">
        <v>111</v>
      </c>
      <c r="AV597" s="92"/>
      <c r="AW597" s="92" t="s">
        <v>9676</v>
      </c>
      <c r="AX597" s="91"/>
      <c r="AY597" s="91"/>
      <c r="AZ597" s="127"/>
      <c r="BA597" s="143" t="s">
        <v>9873</v>
      </c>
      <c r="BB597" s="101" t="s">
        <v>216</v>
      </c>
      <c r="BC597" s="93"/>
      <c r="BD597" s="143"/>
      <c r="BE597" s="92"/>
      <c r="BF597" s="67"/>
      <c r="BG597" s="93" t="s">
        <v>9269</v>
      </c>
      <c r="BH597" s="93"/>
      <c r="BI597" s="91" t="s">
        <v>7172</v>
      </c>
      <c r="BJ597" s="91" t="s">
        <v>9270</v>
      </c>
      <c r="BK597" s="93" t="s">
        <v>90</v>
      </c>
      <c r="BL597" s="91" t="s">
        <v>111</v>
      </c>
      <c r="BM597" s="92"/>
      <c r="BN597" s="64"/>
      <c r="BO597" s="92"/>
      <c r="BP597" s="92"/>
      <c r="BQ597" s="136"/>
      <c r="BR597" s="93"/>
      <c r="BS597" s="92"/>
      <c r="BT597" s="93"/>
      <c r="BU597" s="93"/>
      <c r="BV597" s="92"/>
      <c r="BW597" s="92"/>
      <c r="BX597" s="93"/>
      <c r="BY597" s="92"/>
      <c r="BZ597" s="92"/>
      <c r="CA597" s="93"/>
      <c r="CB597" s="92"/>
      <c r="CC597" s="92"/>
      <c r="CD597" s="92"/>
      <c r="CE597" s="64" t="s">
        <v>9269</v>
      </c>
      <c r="CF597" s="67"/>
      <c r="CG597" s="40" t="s">
        <v>7172</v>
      </c>
      <c r="CH597" s="92" t="s">
        <v>9270</v>
      </c>
      <c r="CI597" s="91" t="s">
        <v>90</v>
      </c>
      <c r="CJ597" s="91" t="s">
        <v>111</v>
      </c>
      <c r="CK597" s="89"/>
      <c r="CL597" s="91" t="str">
        <f t="shared" ca="1" si="9"/>
        <v>126 Tahun 0 Bulan 23 Hari</v>
      </c>
      <c r="CM59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 Kopo RT/RW  Desa/Kelurahan Babakan Asih Kecamatan Bojong Loa kaler Bandung Jawa Barat </v>
      </c>
    </row>
    <row r="598" spans="1:91" ht="24.95" hidden="1" customHeight="1">
      <c r="A598" s="89">
        <f>SUBTOTAL(3,N$8:Table2[[#This Row],[Nama lengkap]])</f>
        <v>472</v>
      </c>
      <c r="B598" s="89"/>
      <c r="C598" s="89"/>
      <c r="D598" s="89"/>
      <c r="E598" s="89"/>
      <c r="F598" s="89"/>
      <c r="G598" s="166"/>
      <c r="H598" s="32"/>
      <c r="I598" s="90"/>
      <c r="J598" s="139"/>
      <c r="K598" s="139"/>
      <c r="L598" s="139"/>
      <c r="M598" s="89">
        <v>17180103</v>
      </c>
      <c r="N598" s="91" t="s">
        <v>9131</v>
      </c>
      <c r="O598" s="140"/>
      <c r="P598" s="90"/>
      <c r="Q598" s="90" t="s">
        <v>9483</v>
      </c>
      <c r="R598" s="91" t="s">
        <v>9170</v>
      </c>
      <c r="S598" s="101"/>
      <c r="T598" s="142"/>
      <c r="U598" s="89"/>
      <c r="V598" s="89"/>
      <c r="W598" s="141"/>
      <c r="X598" s="92" t="s">
        <v>432</v>
      </c>
      <c r="Y598" s="92"/>
      <c r="Z598" s="92"/>
      <c r="AA598" s="92" t="s">
        <v>9317</v>
      </c>
      <c r="AB598" s="92"/>
      <c r="AC598" s="92"/>
      <c r="AD598" s="92"/>
      <c r="AE598" s="93" t="s">
        <v>9383</v>
      </c>
      <c r="AF598" s="91"/>
      <c r="AG598" s="91" t="s">
        <v>9580</v>
      </c>
      <c r="AH598" s="91"/>
      <c r="AI598" s="92"/>
      <c r="AJ598" s="101"/>
      <c r="AK598" s="90" t="s">
        <v>9781</v>
      </c>
      <c r="AL598" s="93" t="s">
        <v>5398</v>
      </c>
      <c r="AM598" s="91"/>
      <c r="AN598" s="93"/>
      <c r="AO598" s="92"/>
      <c r="AP598" s="93" t="s">
        <v>9271</v>
      </c>
      <c r="AQ598" s="90"/>
      <c r="AR598" s="89" t="s">
        <v>9272</v>
      </c>
      <c r="AS598" s="93" t="s">
        <v>410</v>
      </c>
      <c r="AT598" s="92" t="s">
        <v>122</v>
      </c>
      <c r="AU598" s="92" t="s">
        <v>111</v>
      </c>
      <c r="AV598" s="92"/>
      <c r="AW598" s="92" t="s">
        <v>9677</v>
      </c>
      <c r="AX598" s="91"/>
      <c r="AY598" s="91"/>
      <c r="AZ598" s="127"/>
      <c r="BA598" s="143" t="s">
        <v>9874</v>
      </c>
      <c r="BB598" s="101" t="s">
        <v>216</v>
      </c>
      <c r="BC598" s="93"/>
      <c r="BD598" s="143"/>
      <c r="BE598" s="92"/>
      <c r="BF598" s="67"/>
      <c r="BG598" s="93" t="s">
        <v>9271</v>
      </c>
      <c r="BH598" s="93"/>
      <c r="BI598" s="91" t="s">
        <v>9272</v>
      </c>
      <c r="BJ598" s="91" t="s">
        <v>410</v>
      </c>
      <c r="BK598" s="93" t="s">
        <v>122</v>
      </c>
      <c r="BL598" s="91" t="s">
        <v>111</v>
      </c>
      <c r="BM598" s="92"/>
      <c r="BN598" s="64"/>
      <c r="BO598" s="92"/>
      <c r="BP598" s="92"/>
      <c r="BQ598" s="136"/>
      <c r="BR598" s="93"/>
      <c r="BS598" s="92"/>
      <c r="BT598" s="93"/>
      <c r="BU598" s="93"/>
      <c r="BV598" s="92"/>
      <c r="BW598" s="92"/>
      <c r="BX598" s="93"/>
      <c r="BY598" s="92"/>
      <c r="BZ598" s="92"/>
      <c r="CA598" s="93"/>
      <c r="CB598" s="92"/>
      <c r="CC598" s="92"/>
      <c r="CD598" s="92"/>
      <c r="CE598" s="64" t="s">
        <v>9271</v>
      </c>
      <c r="CF598" s="67"/>
      <c r="CG598" s="40" t="s">
        <v>9272</v>
      </c>
      <c r="CH598" s="92" t="s">
        <v>410</v>
      </c>
      <c r="CI598" s="91" t="s">
        <v>122</v>
      </c>
      <c r="CJ598" s="91" t="s">
        <v>111</v>
      </c>
      <c r="CK598" s="89"/>
      <c r="CL598" s="91" t="str">
        <f t="shared" ca="1" si="9"/>
        <v>126 Tahun 0 Bulan 23 Hari</v>
      </c>
      <c r="CM59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Parugpug kaler RT/RW  Desa/Kelurahan Cijambe Kecamatan Paseh Sumedang Jawa Barat </v>
      </c>
    </row>
    <row r="599" spans="1:91" ht="24.95" hidden="1" customHeight="1">
      <c r="A599" s="89">
        <f>SUBTOTAL(3,N$8:Table2[[#This Row],[Nama lengkap]])</f>
        <v>472</v>
      </c>
      <c r="B599" s="89"/>
      <c r="C599" s="89"/>
      <c r="D599" s="89"/>
      <c r="E599" s="89"/>
      <c r="F599" s="89"/>
      <c r="G599" s="166"/>
      <c r="H599" s="32"/>
      <c r="I599" s="90"/>
      <c r="J599" s="139"/>
      <c r="K599" s="139"/>
      <c r="L599" s="139"/>
      <c r="M599" s="89">
        <v>16170084</v>
      </c>
      <c r="N599" s="91" t="s">
        <v>9156</v>
      </c>
      <c r="O599" s="140"/>
      <c r="P599" s="90"/>
      <c r="Q599" s="90" t="s">
        <v>9507</v>
      </c>
      <c r="R599" s="91" t="s">
        <v>9172</v>
      </c>
      <c r="S599" s="101"/>
      <c r="T599" s="142"/>
      <c r="U599" s="89"/>
      <c r="V599" s="89"/>
      <c r="W599" s="141"/>
      <c r="X599" s="92" t="s">
        <v>984</v>
      </c>
      <c r="Y599" s="92"/>
      <c r="Z599" s="92"/>
      <c r="AA599" s="92" t="s">
        <v>1141</v>
      </c>
      <c r="AB599" s="92"/>
      <c r="AC599" s="92"/>
      <c r="AD599" s="92"/>
      <c r="AE599" s="93" t="s">
        <v>9404</v>
      </c>
      <c r="AF599" s="91"/>
      <c r="AG599" s="91" t="s">
        <v>9602</v>
      </c>
      <c r="AH599" s="91"/>
      <c r="AI599" s="92"/>
      <c r="AJ599" s="101"/>
      <c r="AK599" s="90" t="s">
        <v>9801</v>
      </c>
      <c r="AL599" s="93" t="s">
        <v>602</v>
      </c>
      <c r="AM599" s="91"/>
      <c r="AN599" s="93"/>
      <c r="AO599" s="92"/>
      <c r="AP599" s="93" t="s">
        <v>9294</v>
      </c>
      <c r="AQ599" s="90"/>
      <c r="AR599" s="89" t="s">
        <v>7162</v>
      </c>
      <c r="AS599" s="93" t="s">
        <v>507</v>
      </c>
      <c r="AT599" s="92" t="s">
        <v>90</v>
      </c>
      <c r="AU599" s="92" t="s">
        <v>111</v>
      </c>
      <c r="AV599" s="92"/>
      <c r="AW599" s="92" t="s">
        <v>9700</v>
      </c>
      <c r="AX599" s="91"/>
      <c r="AY599" s="91"/>
      <c r="AZ599" s="127"/>
      <c r="BA599" s="143" t="s">
        <v>9895</v>
      </c>
      <c r="BB599" s="101" t="s">
        <v>216</v>
      </c>
      <c r="BC599" s="93"/>
      <c r="BD599" s="143"/>
      <c r="BE599" s="92"/>
      <c r="BF599" s="67"/>
      <c r="BG599" s="93" t="s">
        <v>9294</v>
      </c>
      <c r="BH599" s="93"/>
      <c r="BI599" s="91" t="s">
        <v>7162</v>
      </c>
      <c r="BJ599" s="91" t="s">
        <v>507</v>
      </c>
      <c r="BK599" s="93" t="s">
        <v>90</v>
      </c>
      <c r="BL599" s="91" t="s">
        <v>111</v>
      </c>
      <c r="BM599" s="92"/>
      <c r="BN599" s="64"/>
      <c r="BO599" s="92"/>
      <c r="BP599" s="92"/>
      <c r="BQ599" s="136"/>
      <c r="BR599" s="93"/>
      <c r="BS599" s="92"/>
      <c r="BT599" s="93"/>
      <c r="BU599" s="93"/>
      <c r="BV599" s="92"/>
      <c r="BW599" s="92"/>
      <c r="BX599" s="93"/>
      <c r="BY599" s="92"/>
      <c r="BZ599" s="92"/>
      <c r="CA599" s="93"/>
      <c r="CB599" s="92"/>
      <c r="CC599" s="92"/>
      <c r="CD599" s="92"/>
      <c r="CE599" s="64" t="s">
        <v>9294</v>
      </c>
      <c r="CF599" s="67"/>
      <c r="CG599" s="40" t="s">
        <v>7162</v>
      </c>
      <c r="CH599" s="92" t="s">
        <v>507</v>
      </c>
      <c r="CI599" s="91" t="s">
        <v>90</v>
      </c>
      <c r="CJ599" s="91" t="s">
        <v>111</v>
      </c>
      <c r="CK599" s="89"/>
      <c r="CL599" s="91" t="str">
        <f t="shared" ca="1" si="9"/>
        <v>126 Tahun 0 Bulan 23 Hari</v>
      </c>
      <c r="CM599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Pangakalan RT/RW  Desa/Kelurahan Tarajusari Kecamatan Banjaran Bandung Jawa Barat </v>
      </c>
    </row>
    <row r="600" spans="1:91" ht="24.95" hidden="1" customHeight="1">
      <c r="A600" s="89">
        <f>SUBTOTAL(3,N$8:Table2[[#This Row],[Nama lengkap]])</f>
        <v>472</v>
      </c>
      <c r="B600" s="89"/>
      <c r="C600" s="89"/>
      <c r="D600" s="89"/>
      <c r="E600" s="89"/>
      <c r="F600" s="89"/>
      <c r="G600" s="166"/>
      <c r="H600" s="32"/>
      <c r="I600" s="90"/>
      <c r="J600" s="139"/>
      <c r="K600" s="139"/>
      <c r="L600" s="139"/>
      <c r="M600" s="89">
        <v>16170087</v>
      </c>
      <c r="N600" s="91" t="s">
        <v>5780</v>
      </c>
      <c r="O600" s="140"/>
      <c r="P600" s="90"/>
      <c r="Q600" s="90" t="s">
        <v>4839</v>
      </c>
      <c r="R600" s="91" t="s">
        <v>9170</v>
      </c>
      <c r="S600" s="101"/>
      <c r="T600" s="142"/>
      <c r="U600" s="89"/>
      <c r="V600" s="89"/>
      <c r="W600" s="141"/>
      <c r="X600" s="92" t="s">
        <v>984</v>
      </c>
      <c r="Y600" s="92"/>
      <c r="Z600" s="92"/>
      <c r="AA600" s="92" t="s">
        <v>96</v>
      </c>
      <c r="AB600" s="92"/>
      <c r="AC600" s="92"/>
      <c r="AD600" s="92"/>
      <c r="AE600" s="93" t="s">
        <v>2288</v>
      </c>
      <c r="AF600" s="91"/>
      <c r="AG600" s="91" t="s">
        <v>8433</v>
      </c>
      <c r="AH600" s="91"/>
      <c r="AI600" s="92"/>
      <c r="AJ600" s="101"/>
      <c r="AK600" s="90" t="s">
        <v>2290</v>
      </c>
      <c r="AL600" s="93" t="s">
        <v>114</v>
      </c>
      <c r="AM600" s="91"/>
      <c r="AN600" s="93"/>
      <c r="AO600" s="92"/>
      <c r="AP600" s="93" t="s">
        <v>9295</v>
      </c>
      <c r="AQ600" s="90"/>
      <c r="AR600" s="89" t="s">
        <v>7161</v>
      </c>
      <c r="AS600" s="93" t="s">
        <v>593</v>
      </c>
      <c r="AT600" s="92" t="s">
        <v>122</v>
      </c>
      <c r="AU600" s="92" t="s">
        <v>111</v>
      </c>
      <c r="AV600" s="92"/>
      <c r="AW600" s="92" t="s">
        <v>7944</v>
      </c>
      <c r="AX600" s="91"/>
      <c r="AY600" s="91"/>
      <c r="AZ600" s="127"/>
      <c r="BA600" s="143" t="s">
        <v>2296</v>
      </c>
      <c r="BB600" s="101" t="s">
        <v>216</v>
      </c>
      <c r="BC600" s="93"/>
      <c r="BD600" s="143"/>
      <c r="BE600" s="92"/>
      <c r="BF600" s="67"/>
      <c r="BG600" s="93" t="s">
        <v>9295</v>
      </c>
      <c r="BH600" s="93"/>
      <c r="BI600" s="91" t="s">
        <v>7161</v>
      </c>
      <c r="BJ600" s="91" t="s">
        <v>593</v>
      </c>
      <c r="BK600" s="93" t="s">
        <v>122</v>
      </c>
      <c r="BL600" s="91" t="s">
        <v>111</v>
      </c>
      <c r="BM600" s="92"/>
      <c r="BN600" s="64"/>
      <c r="BO600" s="92"/>
      <c r="BP600" s="92"/>
      <c r="BQ600" s="136"/>
      <c r="BR600" s="93"/>
      <c r="BS600" s="92"/>
      <c r="BT600" s="93"/>
      <c r="BU600" s="93"/>
      <c r="BV600" s="92"/>
      <c r="BW600" s="92"/>
      <c r="BX600" s="93"/>
      <c r="BY600" s="92"/>
      <c r="BZ600" s="92"/>
      <c r="CA600" s="93"/>
      <c r="CB600" s="92"/>
      <c r="CC600" s="92"/>
      <c r="CD600" s="92"/>
      <c r="CE600" s="64" t="s">
        <v>9295</v>
      </c>
      <c r="CF600" s="67"/>
      <c r="CG600" s="40" t="s">
        <v>7161</v>
      </c>
      <c r="CH600" s="92" t="s">
        <v>593</v>
      </c>
      <c r="CI600" s="91" t="s">
        <v>122</v>
      </c>
      <c r="CJ600" s="91" t="s">
        <v>111</v>
      </c>
      <c r="CK600" s="89"/>
      <c r="CL600" s="91" t="str">
        <f t="shared" ca="1" si="9"/>
        <v>126 Tahun 0 Bulan 23 Hari</v>
      </c>
      <c r="CM600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Pasir Agin RT/RW  Desa/Kelurahan Margaluyu Kecamatan Tanjungsari Sumedang Jawa Barat </v>
      </c>
    </row>
    <row r="601" spans="1:91" ht="24.95" hidden="1" customHeight="1">
      <c r="A601" s="89">
        <f>SUBTOTAL(3,N$8:Table2[[#This Row],[Nama lengkap]])</f>
        <v>472</v>
      </c>
      <c r="B601" s="89"/>
      <c r="C601" s="89"/>
      <c r="D601" s="89"/>
      <c r="E601" s="89"/>
      <c r="F601" s="89"/>
      <c r="G601" s="166"/>
      <c r="H601" s="32"/>
      <c r="I601" s="90"/>
      <c r="J601" s="139"/>
      <c r="K601" s="139"/>
      <c r="L601" s="139"/>
      <c r="M601" s="89">
        <v>16170090</v>
      </c>
      <c r="N601" s="91" t="s">
        <v>9132</v>
      </c>
      <c r="O601" s="140"/>
      <c r="P601" s="90"/>
      <c r="Q601" s="90" t="s">
        <v>9484</v>
      </c>
      <c r="R601" s="91" t="s">
        <v>9170</v>
      </c>
      <c r="S601" s="101"/>
      <c r="T601" s="142"/>
      <c r="U601" s="89"/>
      <c r="V601" s="89"/>
      <c r="W601" s="141"/>
      <c r="X601" s="92" t="s">
        <v>984</v>
      </c>
      <c r="Y601" s="92"/>
      <c r="Z601" s="92"/>
      <c r="AA601" s="92" t="s">
        <v>1141</v>
      </c>
      <c r="AB601" s="92"/>
      <c r="AC601" s="92"/>
      <c r="AD601" s="92"/>
      <c r="AE601" s="93" t="s">
        <v>9384</v>
      </c>
      <c r="AF601" s="91"/>
      <c r="AG601" s="91" t="s">
        <v>9581</v>
      </c>
      <c r="AH601" s="91"/>
      <c r="AI601" s="92"/>
      <c r="AJ601" s="101"/>
      <c r="AK601" s="90" t="s">
        <v>9782</v>
      </c>
      <c r="AL601" s="93" t="s">
        <v>5398</v>
      </c>
      <c r="AM601" s="91"/>
      <c r="AN601" s="93"/>
      <c r="AO601" s="92"/>
      <c r="AP601" s="93" t="s">
        <v>7630</v>
      </c>
      <c r="AQ601" s="90"/>
      <c r="AR601" s="89" t="s">
        <v>7268</v>
      </c>
      <c r="AS601" s="93" t="s">
        <v>7140</v>
      </c>
      <c r="AT601" s="92" t="s">
        <v>122</v>
      </c>
      <c r="AU601" s="92" t="s">
        <v>111</v>
      </c>
      <c r="AV601" s="92"/>
      <c r="AW601" s="92" t="s">
        <v>9678</v>
      </c>
      <c r="AX601" s="91"/>
      <c r="AY601" s="91"/>
      <c r="AZ601" s="127"/>
      <c r="BA601" s="143" t="s">
        <v>9875</v>
      </c>
      <c r="BB601" s="101" t="s">
        <v>216</v>
      </c>
      <c r="BC601" s="93"/>
      <c r="BD601" s="143"/>
      <c r="BE601" s="92"/>
      <c r="BF601" s="67"/>
      <c r="BG601" s="93" t="s">
        <v>7630</v>
      </c>
      <c r="BH601" s="93"/>
      <c r="BI601" s="91" t="s">
        <v>7268</v>
      </c>
      <c r="BJ601" s="91" t="s">
        <v>7140</v>
      </c>
      <c r="BK601" s="93" t="s">
        <v>122</v>
      </c>
      <c r="BL601" s="91" t="s">
        <v>111</v>
      </c>
      <c r="BM601" s="92"/>
      <c r="BN601" s="64"/>
      <c r="BO601" s="92"/>
      <c r="BP601" s="92"/>
      <c r="BQ601" s="136"/>
      <c r="BR601" s="93"/>
      <c r="BS601" s="92"/>
      <c r="BT601" s="93"/>
      <c r="BU601" s="93"/>
      <c r="BV601" s="92"/>
      <c r="BW601" s="92"/>
      <c r="BX601" s="93"/>
      <c r="BY601" s="92"/>
      <c r="BZ601" s="92"/>
      <c r="CA601" s="93"/>
      <c r="CB601" s="92"/>
      <c r="CC601" s="92"/>
      <c r="CD601" s="92"/>
      <c r="CE601" s="64" t="s">
        <v>7630</v>
      </c>
      <c r="CF601" s="67"/>
      <c r="CG601" s="40" t="s">
        <v>7268</v>
      </c>
      <c r="CH601" s="92" t="s">
        <v>7140</v>
      </c>
      <c r="CI601" s="91" t="s">
        <v>122</v>
      </c>
      <c r="CJ601" s="91" t="s">
        <v>111</v>
      </c>
      <c r="CK601" s="89"/>
      <c r="CL601" s="91" t="str">
        <f t="shared" ca="1" si="9"/>
        <v>126 Tahun 0 Bulan 23 Hari</v>
      </c>
      <c r="CM60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Cibungur RT/RW  Desa/Kelurahan Cibungur Kecamatan Rancakalong Sumedang Jawa Barat </v>
      </c>
    </row>
    <row r="602" spans="1:91" ht="24.95" hidden="1" customHeight="1">
      <c r="A602" s="89">
        <f>SUBTOTAL(3,N$8:Table2[[#This Row],[Nama lengkap]])</f>
        <v>472</v>
      </c>
      <c r="B602" s="89"/>
      <c r="C602" s="89"/>
      <c r="D602" s="89"/>
      <c r="E602" s="89"/>
      <c r="F602" s="89"/>
      <c r="G602" s="166"/>
      <c r="H602" s="32"/>
      <c r="I602" s="90"/>
      <c r="J602" s="139"/>
      <c r="K602" s="139"/>
      <c r="L602" s="139"/>
      <c r="M602" s="89">
        <v>17180105</v>
      </c>
      <c r="N602" s="91" t="s">
        <v>5781</v>
      </c>
      <c r="O602" s="140"/>
      <c r="P602" s="90"/>
      <c r="Q602" s="90" t="s">
        <v>4848</v>
      </c>
      <c r="R602" s="91" t="s">
        <v>9172</v>
      </c>
      <c r="S602" s="101"/>
      <c r="T602" s="142"/>
      <c r="U602" s="89"/>
      <c r="V602" s="89"/>
      <c r="W602" s="141"/>
      <c r="X602" s="92" t="s">
        <v>303</v>
      </c>
      <c r="Y602" s="92"/>
      <c r="Z602" s="92"/>
      <c r="AA602" s="92" t="s">
        <v>96</v>
      </c>
      <c r="AB602" s="92"/>
      <c r="AC602" s="92"/>
      <c r="AD602" s="92"/>
      <c r="AE602" s="93" t="s">
        <v>4851</v>
      </c>
      <c r="AF602" s="91"/>
      <c r="AG602" s="91" t="s">
        <v>9603</v>
      </c>
      <c r="AH602" s="91"/>
      <c r="AI602" s="92"/>
      <c r="AJ602" s="101"/>
      <c r="AK602" s="90" t="s">
        <v>9802</v>
      </c>
      <c r="AL602" s="93" t="s">
        <v>602</v>
      </c>
      <c r="AM602" s="91"/>
      <c r="AN602" s="93"/>
      <c r="AO602" s="92"/>
      <c r="AP602" s="93" t="s">
        <v>7294</v>
      </c>
      <c r="AQ602" s="90"/>
      <c r="AR602" s="89" t="s">
        <v>7294</v>
      </c>
      <c r="AS602" s="93" t="s">
        <v>7248</v>
      </c>
      <c r="AT602" s="92" t="s">
        <v>644</v>
      </c>
      <c r="AU602" s="92" t="s">
        <v>111</v>
      </c>
      <c r="AV602" s="92"/>
      <c r="AW602" s="92" t="s">
        <v>8181</v>
      </c>
      <c r="AX602" s="91"/>
      <c r="AY602" s="91"/>
      <c r="AZ602" s="127"/>
      <c r="BA602" s="143" t="s">
        <v>4855</v>
      </c>
      <c r="BB602" s="101" t="s">
        <v>216</v>
      </c>
      <c r="BC602" s="93"/>
      <c r="BD602" s="143"/>
      <c r="BE602" s="92"/>
      <c r="BF602" s="67"/>
      <c r="BG602" s="93" t="s">
        <v>7294</v>
      </c>
      <c r="BH602" s="93"/>
      <c r="BI602" s="91" t="s">
        <v>7294</v>
      </c>
      <c r="BJ602" s="91" t="s">
        <v>7248</v>
      </c>
      <c r="BK602" s="93" t="s">
        <v>644</v>
      </c>
      <c r="BL602" s="91" t="s">
        <v>111</v>
      </c>
      <c r="BM602" s="92"/>
      <c r="BN602" s="64"/>
      <c r="BO602" s="92"/>
      <c r="BP602" s="92"/>
      <c r="BQ602" s="136"/>
      <c r="BR602" s="93"/>
      <c r="BS602" s="92"/>
      <c r="BT602" s="93"/>
      <c r="BU602" s="93"/>
      <c r="BV602" s="92"/>
      <c r="BW602" s="92"/>
      <c r="BX602" s="93"/>
      <c r="BY602" s="92"/>
      <c r="BZ602" s="92"/>
      <c r="CA602" s="93"/>
      <c r="CB602" s="92"/>
      <c r="CC602" s="92"/>
      <c r="CD602" s="92"/>
      <c r="CE602" s="64" t="s">
        <v>7294</v>
      </c>
      <c r="CF602" s="67"/>
      <c r="CG602" s="40" t="s">
        <v>7294</v>
      </c>
      <c r="CH602" s="92" t="s">
        <v>7248</v>
      </c>
      <c r="CI602" s="91" t="s">
        <v>644</v>
      </c>
      <c r="CJ602" s="91" t="s">
        <v>111</v>
      </c>
      <c r="CK602" s="89"/>
      <c r="CL602" s="91" t="str">
        <f t="shared" ca="1" si="9"/>
        <v>126 Tahun 0 Bulan 23 Hari</v>
      </c>
      <c r="CM60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Sukaraja RT/RW  Desa/Kelurahan Sukaraja Kecamatan Cicendo Kota Bandung Jawa Barat </v>
      </c>
    </row>
    <row r="603" spans="1:91" ht="24.95" hidden="1" customHeight="1">
      <c r="A603" s="89">
        <f>SUBTOTAL(3,N$8:Table2[[#This Row],[Nama lengkap]])</f>
        <v>472</v>
      </c>
      <c r="B603" s="89"/>
      <c r="C603" s="89"/>
      <c r="D603" s="89"/>
      <c r="E603" s="89"/>
      <c r="F603" s="89"/>
      <c r="G603" s="166"/>
      <c r="H603" s="32"/>
      <c r="I603" s="90"/>
      <c r="J603" s="139"/>
      <c r="K603" s="139"/>
      <c r="L603" s="139"/>
      <c r="M603" s="89">
        <v>17180106</v>
      </c>
      <c r="N603" s="91" t="s">
        <v>9133</v>
      </c>
      <c r="O603" s="140"/>
      <c r="P603" s="90"/>
      <c r="Q603" s="90" t="s">
        <v>9485</v>
      </c>
      <c r="R603" s="91" t="s">
        <v>9177</v>
      </c>
      <c r="S603" s="101"/>
      <c r="T603" s="142"/>
      <c r="U603" s="89"/>
      <c r="V603" s="89"/>
      <c r="W603" s="141"/>
      <c r="X603" s="92" t="s">
        <v>432</v>
      </c>
      <c r="Y603" s="92"/>
      <c r="Z603" s="92"/>
      <c r="AA603" s="92" t="s">
        <v>795</v>
      </c>
      <c r="AB603" s="92"/>
      <c r="AC603" s="92"/>
      <c r="AD603" s="92"/>
      <c r="AE603" s="93" t="s">
        <v>9385</v>
      </c>
      <c r="AF603" s="91"/>
      <c r="AG603" s="91" t="s">
        <v>9582</v>
      </c>
      <c r="AH603" s="91"/>
      <c r="AI603" s="92"/>
      <c r="AJ603" s="101"/>
      <c r="AK603" s="90" t="s">
        <v>9783</v>
      </c>
      <c r="AL603" s="93" t="s">
        <v>914</v>
      </c>
      <c r="AM603" s="91"/>
      <c r="AN603" s="93"/>
      <c r="AO603" s="92"/>
      <c r="AP603" s="93" t="s">
        <v>7046</v>
      </c>
      <c r="AQ603" s="90"/>
      <c r="AR603" s="89" t="s">
        <v>7046</v>
      </c>
      <c r="AS603" s="93" t="s">
        <v>6898</v>
      </c>
      <c r="AT603" s="92" t="s">
        <v>644</v>
      </c>
      <c r="AU603" s="92" t="s">
        <v>111</v>
      </c>
      <c r="AV603" s="92"/>
      <c r="AW603" s="92" t="s">
        <v>9679</v>
      </c>
      <c r="AX603" s="91"/>
      <c r="AY603" s="91"/>
      <c r="AZ603" s="127"/>
      <c r="BA603" s="143" t="s">
        <v>9876</v>
      </c>
      <c r="BB603" s="101" t="s">
        <v>216</v>
      </c>
      <c r="BC603" s="93"/>
      <c r="BD603" s="143"/>
      <c r="BE603" s="92"/>
      <c r="BF603" s="67"/>
      <c r="BG603" s="93" t="s">
        <v>7046</v>
      </c>
      <c r="BH603" s="93"/>
      <c r="BI603" s="91" t="s">
        <v>7046</v>
      </c>
      <c r="BJ603" s="91" t="s">
        <v>6898</v>
      </c>
      <c r="BK603" s="93" t="s">
        <v>644</v>
      </c>
      <c r="BL603" s="91" t="s">
        <v>111</v>
      </c>
      <c r="BM603" s="92"/>
      <c r="BN603" s="64"/>
      <c r="BO603" s="92"/>
      <c r="BP603" s="92"/>
      <c r="BQ603" s="136"/>
      <c r="BR603" s="93"/>
      <c r="BS603" s="92"/>
      <c r="BT603" s="93"/>
      <c r="BU603" s="93"/>
      <c r="BV603" s="92"/>
      <c r="BW603" s="92"/>
      <c r="BX603" s="93"/>
      <c r="BY603" s="92"/>
      <c r="BZ603" s="92"/>
      <c r="CA603" s="93"/>
      <c r="CB603" s="92"/>
      <c r="CC603" s="92"/>
      <c r="CD603" s="92"/>
      <c r="CE603" s="64" t="s">
        <v>7046</v>
      </c>
      <c r="CF603" s="67"/>
      <c r="CG603" s="40" t="s">
        <v>7046</v>
      </c>
      <c r="CH603" s="92" t="s">
        <v>6898</v>
      </c>
      <c r="CI603" s="91" t="s">
        <v>644</v>
      </c>
      <c r="CJ603" s="91" t="s">
        <v>111</v>
      </c>
      <c r="CK603" s="89"/>
      <c r="CL603" s="91" t="str">
        <f t="shared" ca="1" si="9"/>
        <v>126 Tahun 0 Bulan 23 Hari</v>
      </c>
      <c r="CM603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Ciroyom RT/RW  Desa/Kelurahan Ciroyom Kecamatan Andir Kota Bandung Jawa Barat </v>
      </c>
    </row>
    <row r="604" spans="1:91" ht="24.95" hidden="1" customHeight="1">
      <c r="A604" s="89">
        <f>SUBTOTAL(3,N$8:Table2[[#This Row],[Nama lengkap]])</f>
        <v>472</v>
      </c>
      <c r="B604" s="89"/>
      <c r="C604" s="89"/>
      <c r="D604" s="89"/>
      <c r="E604" s="89"/>
      <c r="F604" s="89"/>
      <c r="G604" s="166"/>
      <c r="H604" s="32"/>
      <c r="I604" s="90"/>
      <c r="J604" s="139"/>
      <c r="K604" s="139"/>
      <c r="L604" s="139"/>
      <c r="M604" s="89">
        <v>16170092</v>
      </c>
      <c r="N604" s="91" t="s">
        <v>9134</v>
      </c>
      <c r="O604" s="140"/>
      <c r="P604" s="90"/>
      <c r="Q604" s="90" t="s">
        <v>9486</v>
      </c>
      <c r="R604" s="91" t="s">
        <v>9173</v>
      </c>
      <c r="S604" s="101"/>
      <c r="T604" s="142"/>
      <c r="U604" s="89"/>
      <c r="V604" s="89"/>
      <c r="W604" s="141"/>
      <c r="X604" s="92" t="s">
        <v>93</v>
      </c>
      <c r="Y604" s="92"/>
      <c r="Z604" s="92"/>
      <c r="AA604" s="92" t="s">
        <v>9318</v>
      </c>
      <c r="AB604" s="92"/>
      <c r="AC604" s="92"/>
      <c r="AD604" s="92"/>
      <c r="AE604" s="93" t="s">
        <v>9386</v>
      </c>
      <c r="AF604" s="91"/>
      <c r="AG604" s="91" t="s">
        <v>9583</v>
      </c>
      <c r="AH604" s="91"/>
      <c r="AI604" s="92"/>
      <c r="AJ604" s="101"/>
      <c r="AK604" s="90" t="s">
        <v>9784</v>
      </c>
      <c r="AL604" s="93" t="s">
        <v>8267</v>
      </c>
      <c r="AM604" s="91"/>
      <c r="AN604" s="93"/>
      <c r="AO604" s="92"/>
      <c r="AP604" s="93" t="s">
        <v>9273</v>
      </c>
      <c r="AQ604" s="90"/>
      <c r="AR604" s="89" t="s">
        <v>9274</v>
      </c>
      <c r="AS604" s="93" t="s">
        <v>892</v>
      </c>
      <c r="AT604" s="92" t="s">
        <v>90</v>
      </c>
      <c r="AU604" s="92" t="s">
        <v>111</v>
      </c>
      <c r="AV604" s="92"/>
      <c r="AW604" s="92" t="s">
        <v>9680</v>
      </c>
      <c r="AX604" s="91"/>
      <c r="AY604" s="91"/>
      <c r="AZ604" s="127"/>
      <c r="BA604" s="143" t="s">
        <v>9877</v>
      </c>
      <c r="BB604" s="101" t="s">
        <v>216</v>
      </c>
      <c r="BC604" s="93"/>
      <c r="BD604" s="143"/>
      <c r="BE604" s="92"/>
      <c r="BF604" s="67"/>
      <c r="BG604" s="93" t="s">
        <v>9273</v>
      </c>
      <c r="BH604" s="93"/>
      <c r="BI604" s="91" t="s">
        <v>9274</v>
      </c>
      <c r="BJ604" s="91" t="s">
        <v>892</v>
      </c>
      <c r="BK604" s="93" t="s">
        <v>90</v>
      </c>
      <c r="BL604" s="91" t="s">
        <v>111</v>
      </c>
      <c r="BM604" s="92"/>
      <c r="BN604" s="64"/>
      <c r="BO604" s="92"/>
      <c r="BP604" s="92"/>
      <c r="BQ604" s="136"/>
      <c r="BR604" s="93"/>
      <c r="BS604" s="92"/>
      <c r="BT604" s="93"/>
      <c r="BU604" s="93"/>
      <c r="BV604" s="92"/>
      <c r="BW604" s="92"/>
      <c r="BX604" s="93"/>
      <c r="BY604" s="92"/>
      <c r="BZ604" s="92"/>
      <c r="CA604" s="93"/>
      <c r="CB604" s="92"/>
      <c r="CC604" s="92"/>
      <c r="CD604" s="92"/>
      <c r="CE604" s="64" t="s">
        <v>9273</v>
      </c>
      <c r="CF604" s="67"/>
      <c r="CG604" s="40" t="s">
        <v>9274</v>
      </c>
      <c r="CH604" s="92" t="s">
        <v>892</v>
      </c>
      <c r="CI604" s="91" t="s">
        <v>90</v>
      </c>
      <c r="CJ604" s="91" t="s">
        <v>111</v>
      </c>
      <c r="CK604" s="89"/>
      <c r="CL604" s="91" t="str">
        <f t="shared" ca="1" si="9"/>
        <v>126 Tahun 0 Bulan 23 Hari</v>
      </c>
      <c r="CM60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Bojong RT/RW  Desa/Kelurahan Bojongmanggi Kecamatan Pameungpeuk Bandung Jawa Barat </v>
      </c>
    </row>
    <row r="605" spans="1:91" ht="24.95" hidden="1" customHeight="1">
      <c r="A605" s="89">
        <f>SUBTOTAL(3,N$8:Table2[[#This Row],[Nama lengkap]])</f>
        <v>472</v>
      </c>
      <c r="B605" s="89"/>
      <c r="C605" s="89"/>
      <c r="D605" s="89"/>
      <c r="E605" s="89"/>
      <c r="F605" s="89"/>
      <c r="G605" s="166"/>
      <c r="H605" s="32"/>
      <c r="I605" s="90"/>
      <c r="J605" s="139"/>
      <c r="K605" s="139"/>
      <c r="L605" s="139"/>
      <c r="M605" s="89">
        <v>16170093</v>
      </c>
      <c r="N605" s="91" t="s">
        <v>9157</v>
      </c>
      <c r="O605" s="140"/>
      <c r="P605" s="90"/>
      <c r="Q605" s="90" t="s">
        <v>9508</v>
      </c>
      <c r="R605" s="91" t="s">
        <v>9180</v>
      </c>
      <c r="S605" s="101"/>
      <c r="T605" s="142"/>
      <c r="U605" s="89"/>
      <c r="V605" s="89"/>
      <c r="W605" s="141"/>
      <c r="X605" s="92" t="s">
        <v>984</v>
      </c>
      <c r="Y605" s="92"/>
      <c r="Z605" s="92"/>
      <c r="AA605" s="92" t="s">
        <v>96</v>
      </c>
      <c r="AB605" s="92"/>
      <c r="AC605" s="92"/>
      <c r="AD605" s="92"/>
      <c r="AE605" s="93" t="s">
        <v>9405</v>
      </c>
      <c r="AF605" s="91"/>
      <c r="AG605" s="91" t="s">
        <v>9604</v>
      </c>
      <c r="AH605" s="91"/>
      <c r="AI605" s="92"/>
      <c r="AJ605" s="101"/>
      <c r="AK605" s="90" t="s">
        <v>9803</v>
      </c>
      <c r="AL605" s="93" t="s">
        <v>602</v>
      </c>
      <c r="AM605" s="91"/>
      <c r="AN605" s="93"/>
      <c r="AO605" s="92"/>
      <c r="AP605" s="93" t="s">
        <v>9296</v>
      </c>
      <c r="AQ605" s="90"/>
      <c r="AR605" s="89" t="s">
        <v>9297</v>
      </c>
      <c r="AS605" s="93" t="s">
        <v>9297</v>
      </c>
      <c r="AT605" s="92" t="s">
        <v>6846</v>
      </c>
      <c r="AU605" s="92" t="s">
        <v>111</v>
      </c>
      <c r="AV605" s="92"/>
      <c r="AW605" s="92" t="s">
        <v>9701</v>
      </c>
      <c r="AX605" s="91"/>
      <c r="AY605" s="91"/>
      <c r="AZ605" s="127"/>
      <c r="BA605" s="143" t="s">
        <v>9896</v>
      </c>
      <c r="BB605" s="101" t="s">
        <v>216</v>
      </c>
      <c r="BC605" s="93"/>
      <c r="BD605" s="143"/>
      <c r="BE605" s="92"/>
      <c r="BF605" s="67"/>
      <c r="BG605" s="93" t="s">
        <v>9296</v>
      </c>
      <c r="BH605" s="93"/>
      <c r="BI605" s="91" t="s">
        <v>9297</v>
      </c>
      <c r="BJ605" s="91" t="s">
        <v>9297</v>
      </c>
      <c r="BK605" s="93" t="s">
        <v>6846</v>
      </c>
      <c r="BL605" s="91" t="s">
        <v>111</v>
      </c>
      <c r="BM605" s="92"/>
      <c r="BN605" s="64"/>
      <c r="BO605" s="92"/>
      <c r="BP605" s="92"/>
      <c r="BQ605" s="136"/>
      <c r="BR605" s="93"/>
      <c r="BS605" s="92"/>
      <c r="BT605" s="93"/>
      <c r="BU605" s="93"/>
      <c r="BV605" s="92"/>
      <c r="BW605" s="92"/>
      <c r="BX605" s="93"/>
      <c r="BY605" s="92"/>
      <c r="BZ605" s="92"/>
      <c r="CA605" s="93"/>
      <c r="CB605" s="92"/>
      <c r="CC605" s="92"/>
      <c r="CD605" s="92"/>
      <c r="CE605" s="64" t="s">
        <v>9296</v>
      </c>
      <c r="CF605" s="67"/>
      <c r="CG605" s="40" t="s">
        <v>9297</v>
      </c>
      <c r="CH605" s="92" t="s">
        <v>9297</v>
      </c>
      <c r="CI605" s="91" t="s">
        <v>6846</v>
      </c>
      <c r="CJ605" s="91" t="s">
        <v>111</v>
      </c>
      <c r="CK605" s="89"/>
      <c r="CL605" s="91" t="str">
        <f t="shared" ca="1" si="9"/>
        <v>126 Tahun 0 Bulan 23 Hari</v>
      </c>
      <c r="CM60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Perum The Residence RT/RW  Desa/Kelurahan Tambun Utara Kecamatan Tambun Utara Bekasi Jawa Barat </v>
      </c>
    </row>
    <row r="606" spans="1:91" ht="24.95" hidden="1" customHeight="1">
      <c r="A606" s="89">
        <f>SUBTOTAL(3,N$8:Table2[[#This Row],[Nama lengkap]])</f>
        <v>472</v>
      </c>
      <c r="B606" s="89"/>
      <c r="C606" s="89"/>
      <c r="D606" s="89"/>
      <c r="E606" s="89"/>
      <c r="F606" s="89"/>
      <c r="G606" s="166"/>
      <c r="H606" s="32"/>
      <c r="I606" s="90"/>
      <c r="J606" s="139"/>
      <c r="K606" s="139"/>
      <c r="L606" s="139"/>
      <c r="M606" s="89">
        <v>18190157</v>
      </c>
      <c r="N606" s="91" t="s">
        <v>9158</v>
      </c>
      <c r="O606" s="140"/>
      <c r="P606" s="90"/>
      <c r="Q606" s="90" t="s">
        <v>9509</v>
      </c>
      <c r="R606" s="91" t="s">
        <v>9170</v>
      </c>
      <c r="S606" s="101"/>
      <c r="T606" s="142"/>
      <c r="U606" s="89"/>
      <c r="V606" s="89"/>
      <c r="W606" s="141"/>
      <c r="X606" s="92" t="s">
        <v>303</v>
      </c>
      <c r="Y606" s="92"/>
      <c r="Z606" s="92"/>
      <c r="AA606" s="92" t="s">
        <v>1141</v>
      </c>
      <c r="AB606" s="92"/>
      <c r="AC606" s="92"/>
      <c r="AD606" s="92"/>
      <c r="AE606" s="93" t="s">
        <v>9406</v>
      </c>
      <c r="AF606" s="91"/>
      <c r="AG606" s="91" t="s">
        <v>9605</v>
      </c>
      <c r="AH606" s="91"/>
      <c r="AI606" s="92"/>
      <c r="AJ606" s="101"/>
      <c r="AK606" s="90" t="s">
        <v>9804</v>
      </c>
      <c r="AL606" s="93" t="s">
        <v>114</v>
      </c>
      <c r="AM606" s="91"/>
      <c r="AN606" s="93"/>
      <c r="AO606" s="92"/>
      <c r="AP606" s="93" t="s">
        <v>9298</v>
      </c>
      <c r="AQ606" s="90"/>
      <c r="AR606" s="89" t="s">
        <v>7267</v>
      </c>
      <c r="AS606" s="93" t="s">
        <v>882</v>
      </c>
      <c r="AT606" s="92" t="s">
        <v>122</v>
      </c>
      <c r="AU606" s="92" t="s">
        <v>111</v>
      </c>
      <c r="AV606" s="92"/>
      <c r="AW606" s="92" t="s">
        <v>9702</v>
      </c>
      <c r="AX606" s="91"/>
      <c r="AY606" s="91"/>
      <c r="AZ606" s="127"/>
      <c r="BA606" s="143" t="s">
        <v>9897</v>
      </c>
      <c r="BB606" s="101" t="s">
        <v>216</v>
      </c>
      <c r="BC606" s="93"/>
      <c r="BD606" s="143"/>
      <c r="BE606" s="92"/>
      <c r="BF606" s="67"/>
      <c r="BG606" s="93" t="s">
        <v>9298</v>
      </c>
      <c r="BH606" s="93"/>
      <c r="BI606" s="91" t="s">
        <v>7267</v>
      </c>
      <c r="BJ606" s="91" t="s">
        <v>882</v>
      </c>
      <c r="BK606" s="93" t="s">
        <v>122</v>
      </c>
      <c r="BL606" s="91" t="s">
        <v>111</v>
      </c>
      <c r="BM606" s="92"/>
      <c r="BN606" s="64"/>
      <c r="BO606" s="92"/>
      <c r="BP606" s="92"/>
      <c r="BQ606" s="136"/>
      <c r="BR606" s="93"/>
      <c r="BS606" s="92"/>
      <c r="BT606" s="93"/>
      <c r="BU606" s="93"/>
      <c r="BV606" s="92"/>
      <c r="BW606" s="92"/>
      <c r="BX606" s="93"/>
      <c r="BY606" s="92"/>
      <c r="BZ606" s="92"/>
      <c r="CA606" s="93"/>
      <c r="CB606" s="92"/>
      <c r="CC606" s="92"/>
      <c r="CD606" s="92"/>
      <c r="CE606" s="64" t="s">
        <v>9298</v>
      </c>
      <c r="CF606" s="67"/>
      <c r="CG606" s="40" t="s">
        <v>7267</v>
      </c>
      <c r="CH606" s="92" t="s">
        <v>882</v>
      </c>
      <c r="CI606" s="91" t="s">
        <v>122</v>
      </c>
      <c r="CJ606" s="91" t="s">
        <v>111</v>
      </c>
      <c r="CK606" s="89"/>
      <c r="CL606" s="91" t="str">
        <f t="shared" ca="1" si="9"/>
        <v>126 Tahun 0 Bulan 23 Hari</v>
      </c>
      <c r="CM60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Babakan Anjun RT/RW  Desa/Kelurahan Cilembu Kecamatan Pamulihan Sumedang Jawa Barat </v>
      </c>
    </row>
    <row r="607" spans="1:91" ht="24.95" hidden="1" customHeight="1">
      <c r="A607" s="89">
        <f>SUBTOTAL(3,N$8:Table2[[#This Row],[Nama lengkap]])</f>
        <v>472</v>
      </c>
      <c r="B607" s="89"/>
      <c r="C607" s="89"/>
      <c r="D607" s="89"/>
      <c r="E607" s="89"/>
      <c r="F607" s="89"/>
      <c r="G607" s="166"/>
      <c r="H607" s="32"/>
      <c r="I607" s="90"/>
      <c r="J607" s="139"/>
      <c r="K607" s="139"/>
      <c r="L607" s="139"/>
      <c r="M607" s="89">
        <v>17180109</v>
      </c>
      <c r="N607" s="91" t="s">
        <v>9159</v>
      </c>
      <c r="O607" s="140"/>
      <c r="P607" s="90"/>
      <c r="Q607" s="90" t="s">
        <v>9510</v>
      </c>
      <c r="R607" s="91" t="s">
        <v>9172</v>
      </c>
      <c r="S607" s="101"/>
      <c r="T607" s="142"/>
      <c r="U607" s="89"/>
      <c r="V607" s="89"/>
      <c r="W607" s="141"/>
      <c r="X607" s="92" t="s">
        <v>123</v>
      </c>
      <c r="Y607" s="92"/>
      <c r="Z607" s="92"/>
      <c r="AA607" s="92" t="s">
        <v>1141</v>
      </c>
      <c r="AB607" s="92"/>
      <c r="AC607" s="92"/>
      <c r="AD607" s="92"/>
      <c r="AE607" s="93" t="s">
        <v>9407</v>
      </c>
      <c r="AF607" s="91"/>
      <c r="AG607" s="91" t="s">
        <v>9606</v>
      </c>
      <c r="AH607" s="91"/>
      <c r="AI607" s="92"/>
      <c r="AJ607" s="101"/>
      <c r="AK607" s="90" t="s">
        <v>9805</v>
      </c>
      <c r="AL607" s="93" t="s">
        <v>114</v>
      </c>
      <c r="AM607" s="91"/>
      <c r="AN607" s="93"/>
      <c r="AO607" s="92"/>
      <c r="AP607" s="93" t="s">
        <v>9266</v>
      </c>
      <c r="AQ607" s="90"/>
      <c r="AR607" s="89" t="s">
        <v>9266</v>
      </c>
      <c r="AS607" s="93" t="s">
        <v>7263</v>
      </c>
      <c r="AT607" s="92" t="s">
        <v>644</v>
      </c>
      <c r="AU607" s="92" t="s">
        <v>111</v>
      </c>
      <c r="AV607" s="92"/>
      <c r="AW607" s="92" t="s">
        <v>9703</v>
      </c>
      <c r="AX607" s="91"/>
      <c r="AY607" s="91"/>
      <c r="AZ607" s="127"/>
      <c r="BA607" s="143" t="s">
        <v>9898</v>
      </c>
      <c r="BB607" s="101" t="s">
        <v>216</v>
      </c>
      <c r="BC607" s="93"/>
      <c r="BD607" s="143"/>
      <c r="BE607" s="92"/>
      <c r="BF607" s="67"/>
      <c r="BG607" s="93" t="s">
        <v>9266</v>
      </c>
      <c r="BH607" s="93"/>
      <c r="BI607" s="91" t="s">
        <v>9266</v>
      </c>
      <c r="BJ607" s="91" t="s">
        <v>7263</v>
      </c>
      <c r="BK607" s="93" t="s">
        <v>644</v>
      </c>
      <c r="BL607" s="91" t="s">
        <v>111</v>
      </c>
      <c r="BM607" s="92"/>
      <c r="BN607" s="64"/>
      <c r="BO607" s="92"/>
      <c r="BP607" s="92"/>
      <c r="BQ607" s="136"/>
      <c r="BR607" s="93"/>
      <c r="BS607" s="92"/>
      <c r="BT607" s="93"/>
      <c r="BU607" s="93"/>
      <c r="BV607" s="92"/>
      <c r="BW607" s="92"/>
      <c r="BX607" s="93"/>
      <c r="BY607" s="92"/>
      <c r="BZ607" s="92"/>
      <c r="CA607" s="93"/>
      <c r="CB607" s="92"/>
      <c r="CC607" s="92"/>
      <c r="CD607" s="92"/>
      <c r="CE607" s="64" t="s">
        <v>9266</v>
      </c>
      <c r="CF607" s="67"/>
      <c r="CG607" s="40" t="s">
        <v>9266</v>
      </c>
      <c r="CH607" s="92" t="s">
        <v>7263</v>
      </c>
      <c r="CI607" s="91" t="s">
        <v>644</v>
      </c>
      <c r="CJ607" s="91" t="s">
        <v>111</v>
      </c>
      <c r="CK607" s="89"/>
      <c r="CL607" s="91" t="str">
        <f t="shared" ca="1" si="9"/>
        <v>126 Tahun 0 Bulan 23 Hari</v>
      </c>
      <c r="CM60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Situsaeur RT/RW  Desa/Kelurahan Situsaeur Kecamatan Bojongloa Kidul Kota Bandung Jawa Barat </v>
      </c>
    </row>
    <row r="608" spans="1:91" ht="24.95" hidden="1" customHeight="1">
      <c r="A608" s="89">
        <f>SUBTOTAL(3,N$8:Table2[[#This Row],[Nama lengkap]])</f>
        <v>472</v>
      </c>
      <c r="B608" s="89"/>
      <c r="C608" s="89"/>
      <c r="D608" s="89"/>
      <c r="E608" s="89"/>
      <c r="F608" s="89"/>
      <c r="G608" s="166"/>
      <c r="H608" s="32"/>
      <c r="I608" s="90"/>
      <c r="J608" s="139"/>
      <c r="K608" s="139"/>
      <c r="L608" s="139"/>
      <c r="M608" s="89">
        <v>16170096</v>
      </c>
      <c r="N608" s="91" t="s">
        <v>5782</v>
      </c>
      <c r="O608" s="140"/>
      <c r="P608" s="90"/>
      <c r="Q608" s="90" t="s">
        <v>4859</v>
      </c>
      <c r="R608" s="91" t="s">
        <v>9172</v>
      </c>
      <c r="S608" s="101"/>
      <c r="T608" s="142"/>
      <c r="U608" s="89"/>
      <c r="V608" s="89"/>
      <c r="W608" s="141"/>
      <c r="X608" s="92" t="s">
        <v>984</v>
      </c>
      <c r="Y608" s="92"/>
      <c r="Z608" s="92"/>
      <c r="AA608" s="92" t="s">
        <v>96</v>
      </c>
      <c r="AB608" s="92"/>
      <c r="AC608" s="92"/>
      <c r="AD608" s="92"/>
      <c r="AE608" s="93" t="s">
        <v>4860</v>
      </c>
      <c r="AF608" s="91"/>
      <c r="AG608" s="91" t="s">
        <v>8455</v>
      </c>
      <c r="AH608" s="91"/>
      <c r="AI608" s="92"/>
      <c r="AJ608" s="101"/>
      <c r="AK608" s="90" t="s">
        <v>4861</v>
      </c>
      <c r="AL608" s="93" t="s">
        <v>9719</v>
      </c>
      <c r="AM608" s="91"/>
      <c r="AN608" s="93"/>
      <c r="AO608" s="92"/>
      <c r="AP608" s="93" t="s">
        <v>9299</v>
      </c>
      <c r="AQ608" s="90"/>
      <c r="AR608" s="89" t="s">
        <v>7177</v>
      </c>
      <c r="AS608" s="93" t="s">
        <v>295</v>
      </c>
      <c r="AT608" s="92" t="s">
        <v>90</v>
      </c>
      <c r="AU608" s="92" t="s">
        <v>111</v>
      </c>
      <c r="AV608" s="92"/>
      <c r="AW608" s="92" t="s">
        <v>7965</v>
      </c>
      <c r="AX608" s="91"/>
      <c r="AY608" s="91"/>
      <c r="AZ608" s="127"/>
      <c r="BA608" s="143" t="s">
        <v>4864</v>
      </c>
      <c r="BB608" s="101" t="s">
        <v>216</v>
      </c>
      <c r="BC608" s="93"/>
      <c r="BD608" s="143"/>
      <c r="BE608" s="92"/>
      <c r="BF608" s="67"/>
      <c r="BG608" s="93" t="s">
        <v>9299</v>
      </c>
      <c r="BH608" s="93"/>
      <c r="BI608" s="91" t="s">
        <v>7177</v>
      </c>
      <c r="BJ608" s="91" t="s">
        <v>295</v>
      </c>
      <c r="BK608" s="93" t="s">
        <v>90</v>
      </c>
      <c r="BL608" s="91" t="s">
        <v>111</v>
      </c>
      <c r="BM608" s="92"/>
      <c r="BN608" s="64"/>
      <c r="BO608" s="92"/>
      <c r="BP608" s="92"/>
      <c r="BQ608" s="136"/>
      <c r="BR608" s="93"/>
      <c r="BS608" s="92"/>
      <c r="BT608" s="93"/>
      <c r="BU608" s="93"/>
      <c r="BV608" s="92"/>
      <c r="BW608" s="92"/>
      <c r="BX608" s="93"/>
      <c r="BY608" s="92"/>
      <c r="BZ608" s="92"/>
      <c r="CA608" s="93"/>
      <c r="CB608" s="92"/>
      <c r="CC608" s="92"/>
      <c r="CD608" s="92"/>
      <c r="CE608" s="64" t="s">
        <v>9299</v>
      </c>
      <c r="CF608" s="67"/>
      <c r="CG608" s="40" t="s">
        <v>7177</v>
      </c>
      <c r="CH608" s="92" t="s">
        <v>295</v>
      </c>
      <c r="CI608" s="91" t="s">
        <v>90</v>
      </c>
      <c r="CJ608" s="91" t="s">
        <v>111</v>
      </c>
      <c r="CK608" s="89"/>
      <c r="CL608" s="91" t="str">
        <f t="shared" ca="1" si="9"/>
        <v>126 Tahun 0 Bulan 23 Hari</v>
      </c>
      <c r="CM60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Ciparanje RT/RW  Desa/Kelurahan Sangiang Kecamatan Rancaekek Bandung Jawa Barat </v>
      </c>
    </row>
    <row r="609" spans="1:91" ht="24.95" hidden="1" customHeight="1">
      <c r="A609" s="89">
        <f>SUBTOTAL(3,N$8:Table2[[#This Row],[Nama lengkap]])</f>
        <v>472</v>
      </c>
      <c r="B609" s="89"/>
      <c r="C609" s="89"/>
      <c r="D609" s="89"/>
      <c r="E609" s="89"/>
      <c r="F609" s="89"/>
      <c r="G609" s="166"/>
      <c r="H609" s="32"/>
      <c r="I609" s="90"/>
      <c r="J609" s="139"/>
      <c r="K609" s="139"/>
      <c r="L609" s="139"/>
      <c r="M609" s="89">
        <v>15160065</v>
      </c>
      <c r="N609" s="91" t="s">
        <v>9102</v>
      </c>
      <c r="O609" s="140"/>
      <c r="P609" s="90"/>
      <c r="Q609" s="90" t="s">
        <v>9453</v>
      </c>
      <c r="R609" s="91" t="s">
        <v>9170</v>
      </c>
      <c r="S609" s="101"/>
      <c r="T609" s="142"/>
      <c r="U609" s="89"/>
      <c r="V609" s="89"/>
      <c r="W609" s="141"/>
      <c r="X609" s="92" t="s">
        <v>984</v>
      </c>
      <c r="Y609" s="92"/>
      <c r="Z609" s="92"/>
      <c r="AA609" s="92" t="s">
        <v>96</v>
      </c>
      <c r="AB609" s="92"/>
      <c r="AC609" s="92"/>
      <c r="AD609" s="92"/>
      <c r="AE609" s="93" t="s">
        <v>9356</v>
      </c>
      <c r="AF609" s="91"/>
      <c r="AG609" s="91" t="s">
        <v>9553</v>
      </c>
      <c r="AH609" s="91"/>
      <c r="AI609" s="92"/>
      <c r="AJ609" s="101"/>
      <c r="AK609" s="90" t="s">
        <v>9753</v>
      </c>
      <c r="AL609" s="93" t="s">
        <v>114</v>
      </c>
      <c r="AM609" s="91"/>
      <c r="AN609" s="93"/>
      <c r="AO609" s="92"/>
      <c r="AP609" s="93" t="s">
        <v>9230</v>
      </c>
      <c r="AQ609" s="90"/>
      <c r="AR609" s="89" t="s">
        <v>9231</v>
      </c>
      <c r="AS609" s="93" t="s">
        <v>7013</v>
      </c>
      <c r="AT609" s="92" t="s">
        <v>122</v>
      </c>
      <c r="AU609" s="92" t="s">
        <v>111</v>
      </c>
      <c r="AV609" s="92"/>
      <c r="AW609" s="92" t="s">
        <v>9650</v>
      </c>
      <c r="AX609" s="91"/>
      <c r="AY609" s="91"/>
      <c r="AZ609" s="127"/>
      <c r="BA609" s="143" t="s">
        <v>9846</v>
      </c>
      <c r="BB609" s="101" t="s">
        <v>216</v>
      </c>
      <c r="BC609" s="93"/>
      <c r="BD609" s="143"/>
      <c r="BE609" s="92"/>
      <c r="BF609" s="67"/>
      <c r="BG609" s="93" t="s">
        <v>9230</v>
      </c>
      <c r="BH609" s="93"/>
      <c r="BI609" s="91" t="s">
        <v>9231</v>
      </c>
      <c r="BJ609" s="91" t="s">
        <v>7013</v>
      </c>
      <c r="BK609" s="93" t="s">
        <v>122</v>
      </c>
      <c r="BL609" s="91" t="s">
        <v>111</v>
      </c>
      <c r="BM609" s="92"/>
      <c r="BN609" s="64"/>
      <c r="BO609" s="92"/>
      <c r="BP609" s="92"/>
      <c r="BQ609" s="136"/>
      <c r="BR609" s="93"/>
      <c r="BS609" s="92"/>
      <c r="BT609" s="93"/>
      <c r="BU609" s="93"/>
      <c r="BV609" s="92"/>
      <c r="BW609" s="92"/>
      <c r="BX609" s="93"/>
      <c r="BY609" s="92"/>
      <c r="BZ609" s="92"/>
      <c r="CA609" s="93"/>
      <c r="CB609" s="92"/>
      <c r="CC609" s="92"/>
      <c r="CD609" s="92"/>
      <c r="CE609" s="64" t="s">
        <v>9230</v>
      </c>
      <c r="CF609" s="67"/>
      <c r="CG609" s="40" t="s">
        <v>9231</v>
      </c>
      <c r="CH609" s="92" t="s">
        <v>7013</v>
      </c>
      <c r="CI609" s="91" t="s">
        <v>122</v>
      </c>
      <c r="CJ609" s="91" t="s">
        <v>111</v>
      </c>
      <c r="CK609" s="89"/>
      <c r="CL609" s="91" t="str">
        <f t="shared" ca="1" si="9"/>
        <v>126 Tahun 0 Bulan 23 Hari</v>
      </c>
      <c r="CM609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Link Pangaduan Heubel RT/RW  Desa/Kelurahan Pangaduan Heubeul Kecamatan Situ Sumedang Jawa Barat </v>
      </c>
    </row>
    <row r="610" spans="1:91" ht="24.95" hidden="1" customHeight="1">
      <c r="A610" s="89">
        <f>SUBTOTAL(3,N$8:Table2[[#This Row],[Nama lengkap]])</f>
        <v>472</v>
      </c>
      <c r="B610" s="89"/>
      <c r="C610" s="89"/>
      <c r="D610" s="89"/>
      <c r="E610" s="89"/>
      <c r="F610" s="89"/>
      <c r="G610" s="166"/>
      <c r="H610" s="32"/>
      <c r="I610" s="90"/>
      <c r="J610" s="139"/>
      <c r="K610" s="139"/>
      <c r="L610" s="139"/>
      <c r="M610" s="89">
        <v>15160066</v>
      </c>
      <c r="N610" s="91" t="s">
        <v>9103</v>
      </c>
      <c r="O610" s="140"/>
      <c r="P610" s="90"/>
      <c r="Q610" s="90" t="s">
        <v>9454</v>
      </c>
      <c r="R610" s="91" t="s">
        <v>9172</v>
      </c>
      <c r="S610" s="101"/>
      <c r="T610" s="142"/>
      <c r="U610" s="89"/>
      <c r="V610" s="89"/>
      <c r="W610" s="141"/>
      <c r="X610" s="92" t="s">
        <v>123</v>
      </c>
      <c r="Y610" s="92"/>
      <c r="Z610" s="92"/>
      <c r="AA610" s="92" t="s">
        <v>96</v>
      </c>
      <c r="AB610" s="92"/>
      <c r="AC610" s="92"/>
      <c r="AD610" s="92"/>
      <c r="AE610" s="93" t="s">
        <v>9357</v>
      </c>
      <c r="AF610" s="91"/>
      <c r="AG610" s="91" t="s">
        <v>9554</v>
      </c>
      <c r="AH610" s="91"/>
      <c r="AI610" s="92"/>
      <c r="AJ610" s="101"/>
      <c r="AK610" s="90" t="s">
        <v>9754</v>
      </c>
      <c r="AL610" s="93" t="s">
        <v>114</v>
      </c>
      <c r="AM610" s="91"/>
      <c r="AN610" s="93"/>
      <c r="AO610" s="92"/>
      <c r="AP610" s="93" t="s">
        <v>9232</v>
      </c>
      <c r="AQ610" s="90"/>
      <c r="AR610" s="89" t="s">
        <v>9198</v>
      </c>
      <c r="AS610" s="93" t="s">
        <v>9233</v>
      </c>
      <c r="AT610" s="92" t="s">
        <v>90</v>
      </c>
      <c r="AU610" s="92" t="s">
        <v>111</v>
      </c>
      <c r="AV610" s="92"/>
      <c r="AW610" s="92" t="s">
        <v>9651</v>
      </c>
      <c r="AX610" s="91"/>
      <c r="AY610" s="91"/>
      <c r="AZ610" s="127"/>
      <c r="BA610" s="143" t="s">
        <v>9847</v>
      </c>
      <c r="BB610" s="101" t="s">
        <v>216</v>
      </c>
      <c r="BC610" s="93"/>
      <c r="BD610" s="143"/>
      <c r="BE610" s="92"/>
      <c r="BF610" s="67"/>
      <c r="BG610" s="93" t="s">
        <v>9232</v>
      </c>
      <c r="BH610" s="93"/>
      <c r="BI610" s="91" t="s">
        <v>9198</v>
      </c>
      <c r="BJ610" s="91" t="s">
        <v>9233</v>
      </c>
      <c r="BK610" s="93" t="s">
        <v>90</v>
      </c>
      <c r="BL610" s="91" t="s">
        <v>111</v>
      </c>
      <c r="BM610" s="92"/>
      <c r="BN610" s="64"/>
      <c r="BO610" s="92"/>
      <c r="BP610" s="92"/>
      <c r="BQ610" s="136"/>
      <c r="BR610" s="93"/>
      <c r="BS610" s="92"/>
      <c r="BT610" s="93"/>
      <c r="BU610" s="93"/>
      <c r="BV610" s="92"/>
      <c r="BW610" s="92"/>
      <c r="BX610" s="93"/>
      <c r="BY610" s="92"/>
      <c r="BZ610" s="92"/>
      <c r="CA610" s="93"/>
      <c r="CB610" s="92"/>
      <c r="CC610" s="92"/>
      <c r="CD610" s="92"/>
      <c r="CE610" s="64" t="s">
        <v>9232</v>
      </c>
      <c r="CF610" s="67"/>
      <c r="CG610" s="40" t="s">
        <v>9198</v>
      </c>
      <c r="CH610" s="92" t="s">
        <v>9233</v>
      </c>
      <c r="CI610" s="91" t="s">
        <v>90</v>
      </c>
      <c r="CJ610" s="91" t="s">
        <v>111</v>
      </c>
      <c r="CK610" s="89"/>
      <c r="CL610" s="91" t="str">
        <f t="shared" ca="1" si="9"/>
        <v>126 Tahun 0 Bulan 23 Hari</v>
      </c>
      <c r="CM610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Nambo RT/RW  Desa/Kelurahan Nambo Kecamatan Batu Karut Bandung Jawa Barat </v>
      </c>
    </row>
    <row r="611" spans="1:91" ht="24.95" hidden="1" customHeight="1">
      <c r="A611" s="89">
        <f>SUBTOTAL(3,N$8:Table2[[#This Row],[Nama lengkap]])</f>
        <v>472</v>
      </c>
      <c r="B611" s="89"/>
      <c r="C611" s="89"/>
      <c r="D611" s="89"/>
      <c r="E611" s="89"/>
      <c r="F611" s="89"/>
      <c r="G611" s="166"/>
      <c r="H611" s="32"/>
      <c r="I611" s="90"/>
      <c r="J611" s="139"/>
      <c r="K611" s="139"/>
      <c r="L611" s="139"/>
      <c r="M611" s="89">
        <v>15160067</v>
      </c>
      <c r="N611" s="91" t="s">
        <v>9104</v>
      </c>
      <c r="O611" s="140"/>
      <c r="P611" s="90"/>
      <c r="Q611" s="90" t="s">
        <v>9455</v>
      </c>
      <c r="R611" s="91" t="s">
        <v>9173</v>
      </c>
      <c r="S611" s="101"/>
      <c r="T611" s="142"/>
      <c r="U611" s="89"/>
      <c r="V611" s="89"/>
      <c r="W611" s="141"/>
      <c r="X611" s="92" t="s">
        <v>984</v>
      </c>
      <c r="Y611" s="92"/>
      <c r="Z611" s="92"/>
      <c r="AA611" s="92" t="s">
        <v>96</v>
      </c>
      <c r="AB611" s="92"/>
      <c r="AC611" s="92"/>
      <c r="AD611" s="92"/>
      <c r="AE611" s="93" t="s">
        <v>9358</v>
      </c>
      <c r="AF611" s="91"/>
      <c r="AG611" s="91" t="s">
        <v>9555</v>
      </c>
      <c r="AH611" s="91"/>
      <c r="AI611" s="92"/>
      <c r="AJ611" s="101"/>
      <c r="AK611" s="90" t="s">
        <v>9755</v>
      </c>
      <c r="AL611" s="93" t="s">
        <v>114</v>
      </c>
      <c r="AM611" s="91"/>
      <c r="AN611" s="93"/>
      <c r="AO611" s="92"/>
      <c r="AP611" s="93" t="s">
        <v>9234</v>
      </c>
      <c r="AQ611" s="90"/>
      <c r="AR611" s="89" t="s">
        <v>9234</v>
      </c>
      <c r="AS611" s="93" t="s">
        <v>9235</v>
      </c>
      <c r="AT611" s="92" t="s">
        <v>6472</v>
      </c>
      <c r="AU611" s="92" t="s">
        <v>111</v>
      </c>
      <c r="AV611" s="92"/>
      <c r="AW611" s="92" t="s">
        <v>9652</v>
      </c>
      <c r="AX611" s="91"/>
      <c r="AY611" s="91"/>
      <c r="AZ611" s="127"/>
      <c r="BA611" s="143" t="s">
        <v>9848</v>
      </c>
      <c r="BB611" s="101" t="s">
        <v>216</v>
      </c>
      <c r="BC611" s="93"/>
      <c r="BD611" s="143"/>
      <c r="BE611" s="92"/>
      <c r="BF611" s="67"/>
      <c r="BG611" s="93" t="s">
        <v>9234</v>
      </c>
      <c r="BH611" s="93"/>
      <c r="BI611" s="91" t="s">
        <v>9234</v>
      </c>
      <c r="BJ611" s="91" t="s">
        <v>9235</v>
      </c>
      <c r="BK611" s="93" t="s">
        <v>6472</v>
      </c>
      <c r="BL611" s="91" t="s">
        <v>111</v>
      </c>
      <c r="BM611" s="92"/>
      <c r="BN611" s="64"/>
      <c r="BO611" s="92"/>
      <c r="BP611" s="92"/>
      <c r="BQ611" s="136"/>
      <c r="BR611" s="93"/>
      <c r="BS611" s="92"/>
      <c r="BT611" s="93"/>
      <c r="BU611" s="93"/>
      <c r="BV611" s="92"/>
      <c r="BW611" s="92"/>
      <c r="BX611" s="93"/>
      <c r="BY611" s="92"/>
      <c r="BZ611" s="92"/>
      <c r="CA611" s="93"/>
      <c r="CB611" s="92"/>
      <c r="CC611" s="92"/>
      <c r="CD611" s="92"/>
      <c r="CE611" s="64" t="s">
        <v>9234</v>
      </c>
      <c r="CF611" s="67"/>
      <c r="CG611" s="40" t="s">
        <v>9234</v>
      </c>
      <c r="CH611" s="92" t="s">
        <v>9235</v>
      </c>
      <c r="CI611" s="91" t="s">
        <v>6472</v>
      </c>
      <c r="CJ611" s="91" t="s">
        <v>111</v>
      </c>
      <c r="CK611" s="89"/>
      <c r="CL611" s="91" t="str">
        <f t="shared" ca="1" si="9"/>
        <v>126 Tahun 0 Bulan 23 Hari</v>
      </c>
      <c r="CM61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Kirapandak RT/RW  Desa/Kelurahan Kirapandak Kecamatan Panyingkiran Majalengka Jawa Barat </v>
      </c>
    </row>
    <row r="612" spans="1:91" ht="24.95" hidden="1" customHeight="1">
      <c r="A612" s="89">
        <f>SUBTOTAL(3,N$8:Table2[[#This Row],[Nama lengkap]])</f>
        <v>472</v>
      </c>
      <c r="B612" s="89"/>
      <c r="C612" s="89"/>
      <c r="D612" s="89"/>
      <c r="E612" s="89"/>
      <c r="F612" s="89"/>
      <c r="G612" s="166"/>
      <c r="H612" s="32"/>
      <c r="I612" s="90"/>
      <c r="J612" s="139"/>
      <c r="K612" s="139"/>
      <c r="L612" s="139"/>
      <c r="M612" s="89">
        <v>17180112</v>
      </c>
      <c r="N612" s="91" t="s">
        <v>5783</v>
      </c>
      <c r="O612" s="140"/>
      <c r="P612" s="90"/>
      <c r="Q612" s="90" t="s">
        <v>9511</v>
      </c>
      <c r="R612" s="91" t="s">
        <v>9181</v>
      </c>
      <c r="S612" s="101"/>
      <c r="T612" s="142"/>
      <c r="U612" s="89"/>
      <c r="V612" s="89"/>
      <c r="W612" s="141"/>
      <c r="X612" s="92" t="s">
        <v>123</v>
      </c>
      <c r="Y612" s="92"/>
      <c r="Z612" s="92"/>
      <c r="AA612" s="92" t="s">
        <v>9321</v>
      </c>
      <c r="AB612" s="92"/>
      <c r="AC612" s="92"/>
      <c r="AD612" s="92"/>
      <c r="AE612" s="93" t="s">
        <v>4872</v>
      </c>
      <c r="AF612" s="91"/>
      <c r="AG612" s="91" t="s">
        <v>8685</v>
      </c>
      <c r="AH612" s="91"/>
      <c r="AI612" s="92"/>
      <c r="AJ612" s="101"/>
      <c r="AK612" s="90" t="s">
        <v>9806</v>
      </c>
      <c r="AL612" s="93" t="s">
        <v>602</v>
      </c>
      <c r="AM612" s="91"/>
      <c r="AN612" s="93"/>
      <c r="AO612" s="92"/>
      <c r="AP612" s="93" t="s">
        <v>7202</v>
      </c>
      <c r="AQ612" s="90"/>
      <c r="AR612" s="89" t="s">
        <v>7202</v>
      </c>
      <c r="AS612" s="93" t="s">
        <v>561</v>
      </c>
      <c r="AT612" s="92" t="s">
        <v>122</v>
      </c>
      <c r="AU612" s="92" t="s">
        <v>111</v>
      </c>
      <c r="AV612" s="92"/>
      <c r="AW612" s="92" t="s">
        <v>8182</v>
      </c>
      <c r="AX612" s="91"/>
      <c r="AY612" s="91"/>
      <c r="AZ612" s="127"/>
      <c r="BA612" s="143" t="s">
        <v>9899</v>
      </c>
      <c r="BB612" s="101" t="s">
        <v>216</v>
      </c>
      <c r="BC612" s="93"/>
      <c r="BD612" s="143"/>
      <c r="BE612" s="92"/>
      <c r="BF612" s="67"/>
      <c r="BG612" s="93" t="s">
        <v>7202</v>
      </c>
      <c r="BH612" s="93"/>
      <c r="BI612" s="91" t="s">
        <v>7202</v>
      </c>
      <c r="BJ612" s="91" t="s">
        <v>561</v>
      </c>
      <c r="BK612" s="93" t="s">
        <v>122</v>
      </c>
      <c r="BL612" s="91" t="s">
        <v>111</v>
      </c>
      <c r="BM612" s="92"/>
      <c r="BN612" s="64"/>
      <c r="BO612" s="92"/>
      <c r="BP612" s="92"/>
      <c r="BQ612" s="136"/>
      <c r="BR612" s="93"/>
      <c r="BS612" s="92"/>
      <c r="BT612" s="93"/>
      <c r="BU612" s="93"/>
      <c r="BV612" s="92"/>
      <c r="BW612" s="92"/>
      <c r="BX612" s="93"/>
      <c r="BY612" s="92"/>
      <c r="BZ612" s="92"/>
      <c r="CA612" s="93"/>
      <c r="CB612" s="92"/>
      <c r="CC612" s="92"/>
      <c r="CD612" s="92"/>
      <c r="CE612" s="64" t="s">
        <v>7202</v>
      </c>
      <c r="CF612" s="67"/>
      <c r="CG612" s="40" t="s">
        <v>7202</v>
      </c>
      <c r="CH612" s="92" t="s">
        <v>561</v>
      </c>
      <c r="CI612" s="91" t="s">
        <v>122</v>
      </c>
      <c r="CJ612" s="91" t="s">
        <v>111</v>
      </c>
      <c r="CK612" s="89"/>
      <c r="CL612" s="91" t="str">
        <f t="shared" ca="1" si="9"/>
        <v>126 Tahun 0 Bulan 23 Hari</v>
      </c>
      <c r="CM61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Sayang RT/RW  Desa/Kelurahan Sayang Kecamatan Jatinangor Sumedang Jawa Barat </v>
      </c>
    </row>
    <row r="613" spans="1:91" ht="24.95" hidden="1" customHeight="1">
      <c r="A613" s="89">
        <f>SUBTOTAL(3,N$8:Table2[[#This Row],[Nama lengkap]])</f>
        <v>472</v>
      </c>
      <c r="B613" s="89"/>
      <c r="C613" s="89"/>
      <c r="D613" s="89"/>
      <c r="E613" s="89"/>
      <c r="F613" s="89"/>
      <c r="G613" s="166"/>
      <c r="H613" s="32"/>
      <c r="I613" s="90"/>
      <c r="J613" s="139"/>
      <c r="K613" s="139"/>
      <c r="L613" s="139"/>
      <c r="M613" s="89">
        <v>15160070</v>
      </c>
      <c r="N613" s="91" t="s">
        <v>9105</v>
      </c>
      <c r="O613" s="140"/>
      <c r="P613" s="90"/>
      <c r="Q613" s="90" t="s">
        <v>9456</v>
      </c>
      <c r="R613" s="91" t="s">
        <v>9170</v>
      </c>
      <c r="S613" s="101"/>
      <c r="T613" s="142"/>
      <c r="U613" s="89"/>
      <c r="V613" s="89"/>
      <c r="W613" s="141"/>
      <c r="X613" s="92" t="s">
        <v>984</v>
      </c>
      <c r="Y613" s="92"/>
      <c r="Z613" s="92"/>
      <c r="AA613" s="92" t="s">
        <v>96</v>
      </c>
      <c r="AB613" s="92"/>
      <c r="AC613" s="92"/>
      <c r="AD613" s="92"/>
      <c r="AE613" s="93" t="s">
        <v>4157</v>
      </c>
      <c r="AF613" s="91"/>
      <c r="AG613" s="91" t="s">
        <v>8603</v>
      </c>
      <c r="AH613" s="91"/>
      <c r="AI613" s="92"/>
      <c r="AJ613" s="101"/>
      <c r="AK613" s="90" t="s">
        <v>4158</v>
      </c>
      <c r="AL613" s="93" t="s">
        <v>114</v>
      </c>
      <c r="AM613" s="91"/>
      <c r="AN613" s="93"/>
      <c r="AO613" s="92"/>
      <c r="AP613" s="93" t="s">
        <v>7630</v>
      </c>
      <c r="AQ613" s="90"/>
      <c r="AR613" s="89" t="s">
        <v>7268</v>
      </c>
      <c r="AS613" s="93" t="s">
        <v>7140</v>
      </c>
      <c r="AT613" s="92" t="s">
        <v>122</v>
      </c>
      <c r="AU613" s="92" t="s">
        <v>111</v>
      </c>
      <c r="AV613" s="92"/>
      <c r="AW613" s="92" t="s">
        <v>9653</v>
      </c>
      <c r="AX613" s="91"/>
      <c r="AY613" s="91"/>
      <c r="AZ613" s="127"/>
      <c r="BA613" s="143" t="s">
        <v>4161</v>
      </c>
      <c r="BB613" s="101" t="s">
        <v>216</v>
      </c>
      <c r="BC613" s="93"/>
      <c r="BD613" s="143"/>
      <c r="BE613" s="92"/>
      <c r="BF613" s="67"/>
      <c r="BG613" s="93" t="s">
        <v>7630</v>
      </c>
      <c r="BH613" s="93"/>
      <c r="BI613" s="91" t="s">
        <v>7268</v>
      </c>
      <c r="BJ613" s="91" t="s">
        <v>7140</v>
      </c>
      <c r="BK613" s="93" t="s">
        <v>122</v>
      </c>
      <c r="BL613" s="91" t="s">
        <v>111</v>
      </c>
      <c r="BM613" s="92"/>
      <c r="BN613" s="64"/>
      <c r="BO613" s="92"/>
      <c r="BP613" s="92"/>
      <c r="BQ613" s="136"/>
      <c r="BR613" s="93"/>
      <c r="BS613" s="92"/>
      <c r="BT613" s="93"/>
      <c r="BU613" s="93"/>
      <c r="BV613" s="92"/>
      <c r="BW613" s="92"/>
      <c r="BX613" s="93"/>
      <c r="BY613" s="92"/>
      <c r="BZ613" s="92"/>
      <c r="CA613" s="93"/>
      <c r="CB613" s="92"/>
      <c r="CC613" s="92"/>
      <c r="CD613" s="92"/>
      <c r="CE613" s="64" t="s">
        <v>7630</v>
      </c>
      <c r="CF613" s="67"/>
      <c r="CG613" s="40" t="s">
        <v>7268</v>
      </c>
      <c r="CH613" s="92" t="s">
        <v>7140</v>
      </c>
      <c r="CI613" s="91" t="s">
        <v>122</v>
      </c>
      <c r="CJ613" s="91" t="s">
        <v>111</v>
      </c>
      <c r="CK613" s="89"/>
      <c r="CL613" s="91" t="str">
        <f t="shared" ca="1" si="9"/>
        <v>126 Tahun 0 Bulan 23 Hari</v>
      </c>
      <c r="CM613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Cibungur RT/RW  Desa/Kelurahan Cibungur Kecamatan Rancakalong Sumedang Jawa Barat </v>
      </c>
    </row>
    <row r="614" spans="1:91" ht="24.95" hidden="1" customHeight="1">
      <c r="A614" s="89">
        <f>SUBTOTAL(3,N$8:Table2[[#This Row],[Nama lengkap]])</f>
        <v>472</v>
      </c>
      <c r="B614" s="89"/>
      <c r="C614" s="89"/>
      <c r="D614" s="89"/>
      <c r="E614" s="89"/>
      <c r="F614" s="89"/>
      <c r="G614" s="166"/>
      <c r="H614" s="32"/>
      <c r="I614" s="90"/>
      <c r="J614" s="139"/>
      <c r="K614" s="139"/>
      <c r="L614" s="139"/>
      <c r="M614" s="89">
        <v>17180113</v>
      </c>
      <c r="N614" s="91" t="s">
        <v>9135</v>
      </c>
      <c r="O614" s="140"/>
      <c r="P614" s="90"/>
      <c r="Q614" s="90" t="s">
        <v>9487</v>
      </c>
      <c r="R614" s="91" t="s">
        <v>9176</v>
      </c>
      <c r="S614" s="101"/>
      <c r="T614" s="142"/>
      <c r="U614" s="89"/>
      <c r="V614" s="89"/>
      <c r="W614" s="141"/>
      <c r="X614" s="92" t="s">
        <v>984</v>
      </c>
      <c r="Y614" s="92"/>
      <c r="Z614" s="92"/>
      <c r="AA614" s="92" t="s">
        <v>753</v>
      </c>
      <c r="AB614" s="92"/>
      <c r="AC614" s="92"/>
      <c r="AD614" s="92"/>
      <c r="AE614" s="93" t="s">
        <v>9387</v>
      </c>
      <c r="AF614" s="91"/>
      <c r="AG614" s="91" t="s">
        <v>9584</v>
      </c>
      <c r="AH614" s="91"/>
      <c r="AI614" s="92"/>
      <c r="AJ614" s="101"/>
      <c r="AK614" s="90" t="s">
        <v>9785</v>
      </c>
      <c r="AL614" s="93" t="s">
        <v>114</v>
      </c>
      <c r="AM614" s="91"/>
      <c r="AN614" s="93"/>
      <c r="AO614" s="92"/>
      <c r="AP614" s="93" t="s">
        <v>9275</v>
      </c>
      <c r="AQ614" s="90"/>
      <c r="AR614" s="89" t="s">
        <v>9276</v>
      </c>
      <c r="AS614" s="93" t="s">
        <v>9277</v>
      </c>
      <c r="AT614" s="92" t="s">
        <v>3137</v>
      </c>
      <c r="AU614" s="92" t="s">
        <v>111</v>
      </c>
      <c r="AV614" s="92"/>
      <c r="AW614" s="92" t="s">
        <v>9681</v>
      </c>
      <c r="AX614" s="91"/>
      <c r="AY614" s="91"/>
      <c r="AZ614" s="127"/>
      <c r="BA614" s="143" t="s">
        <v>9878</v>
      </c>
      <c r="BB614" s="101" t="s">
        <v>216</v>
      </c>
      <c r="BC614" s="93"/>
      <c r="BD614" s="143"/>
      <c r="BE614" s="92"/>
      <c r="BF614" s="67"/>
      <c r="BG614" s="93" t="s">
        <v>9275</v>
      </c>
      <c r="BH614" s="93"/>
      <c r="BI614" s="91" t="s">
        <v>9276</v>
      </c>
      <c r="BJ614" s="91" t="s">
        <v>9277</v>
      </c>
      <c r="BK614" s="93" t="s">
        <v>3137</v>
      </c>
      <c r="BL614" s="91" t="s">
        <v>111</v>
      </c>
      <c r="BM614" s="92"/>
      <c r="BN614" s="64"/>
      <c r="BO614" s="92"/>
      <c r="BP614" s="92"/>
      <c r="BQ614" s="136"/>
      <c r="BR614" s="93"/>
      <c r="BS614" s="92"/>
      <c r="BT614" s="93"/>
      <c r="BU614" s="93"/>
      <c r="BV614" s="92"/>
      <c r="BW614" s="92"/>
      <c r="BX614" s="93"/>
      <c r="BY614" s="92"/>
      <c r="BZ614" s="92"/>
      <c r="CA614" s="93"/>
      <c r="CB614" s="92"/>
      <c r="CC614" s="92"/>
      <c r="CD614" s="92"/>
      <c r="CE614" s="64" t="s">
        <v>9275</v>
      </c>
      <c r="CF614" s="67"/>
      <c r="CG614" s="40" t="s">
        <v>9276</v>
      </c>
      <c r="CH614" s="92" t="s">
        <v>9277</v>
      </c>
      <c r="CI614" s="91" t="s">
        <v>3137</v>
      </c>
      <c r="CJ614" s="91" t="s">
        <v>111</v>
      </c>
      <c r="CK614" s="89"/>
      <c r="CL614" s="91" t="str">
        <f t="shared" ca="1" si="9"/>
        <v>126 Tahun 0 Bulan 23 Hari</v>
      </c>
      <c r="CM61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Sagatan RT/RW  Desa/Kelurahan Ramasari Kecamatan Haurwangi Cianjur Jawa Barat </v>
      </c>
    </row>
    <row r="615" spans="1:91" ht="24.95" hidden="1" customHeight="1">
      <c r="A615" s="89">
        <f>SUBTOTAL(3,N$8:Table2[[#This Row],[Nama lengkap]])</f>
        <v>472</v>
      </c>
      <c r="B615" s="89"/>
      <c r="C615" s="89"/>
      <c r="D615" s="89"/>
      <c r="E615" s="89"/>
      <c r="F615" s="89"/>
      <c r="G615" s="166"/>
      <c r="H615" s="32"/>
      <c r="I615" s="90"/>
      <c r="J615" s="139"/>
      <c r="K615" s="139"/>
      <c r="L615" s="139"/>
      <c r="M615" s="89">
        <v>14150075</v>
      </c>
      <c r="N615" s="91" t="s">
        <v>9091</v>
      </c>
      <c r="O615" s="140"/>
      <c r="P615" s="90"/>
      <c r="Q615" s="90" t="s">
        <v>9443</v>
      </c>
      <c r="R615" s="91" t="s">
        <v>9171</v>
      </c>
      <c r="S615" s="101"/>
      <c r="T615" s="142"/>
      <c r="U615" s="89"/>
      <c r="V615" s="89"/>
      <c r="W615" s="141"/>
      <c r="X615" s="92" t="s">
        <v>984</v>
      </c>
      <c r="Y615" s="92"/>
      <c r="Z615" s="92"/>
      <c r="AA615" s="92"/>
      <c r="AB615" s="92"/>
      <c r="AC615" s="92"/>
      <c r="AD615" s="92"/>
      <c r="AE615" s="93" t="s">
        <v>9348</v>
      </c>
      <c r="AF615" s="91"/>
      <c r="AG615" s="91" t="s">
        <v>9546</v>
      </c>
      <c r="AH615" s="91"/>
      <c r="AI615" s="92"/>
      <c r="AJ615" s="101"/>
      <c r="AK615" s="90" t="s">
        <v>9746</v>
      </c>
      <c r="AL615" s="93" t="s">
        <v>114</v>
      </c>
      <c r="AM615" s="91"/>
      <c r="AN615" s="93"/>
      <c r="AO615" s="92"/>
      <c r="AP615" s="93" t="s">
        <v>9215</v>
      </c>
      <c r="AQ615" s="90"/>
      <c r="AR615" s="89" t="s">
        <v>9216</v>
      </c>
      <c r="AS615" s="93" t="s">
        <v>9217</v>
      </c>
      <c r="AT615" s="92" t="s">
        <v>6566</v>
      </c>
      <c r="AU615" s="92" t="s">
        <v>111</v>
      </c>
      <c r="AV615" s="92"/>
      <c r="AW615" s="92" t="s">
        <v>9643</v>
      </c>
      <c r="AX615" s="91"/>
      <c r="AY615" s="91"/>
      <c r="AZ615" s="127"/>
      <c r="BA615" s="143" t="s">
        <v>9838</v>
      </c>
      <c r="BB615" s="101" t="s">
        <v>216</v>
      </c>
      <c r="BC615" s="93"/>
      <c r="BD615" s="143"/>
      <c r="BE615" s="92"/>
      <c r="BF615" s="67"/>
      <c r="BG615" s="93" t="s">
        <v>9215</v>
      </c>
      <c r="BH615" s="93"/>
      <c r="BI615" s="91" t="s">
        <v>9216</v>
      </c>
      <c r="BJ615" s="91" t="s">
        <v>9217</v>
      </c>
      <c r="BK615" s="93" t="s">
        <v>6566</v>
      </c>
      <c r="BL615" s="91" t="s">
        <v>111</v>
      </c>
      <c r="BM615" s="92"/>
      <c r="BN615" s="64"/>
      <c r="BO615" s="92"/>
      <c r="BP615" s="92"/>
      <c r="BQ615" s="136"/>
      <c r="BR615" s="93"/>
      <c r="BS615" s="92"/>
      <c r="BT615" s="93"/>
      <c r="BU615" s="93"/>
      <c r="BV615" s="92"/>
      <c r="BW615" s="92"/>
      <c r="BX615" s="93"/>
      <c r="BY615" s="92"/>
      <c r="BZ615" s="92"/>
      <c r="CA615" s="93"/>
      <c r="CB615" s="92"/>
      <c r="CC615" s="92"/>
      <c r="CD615" s="92"/>
      <c r="CE615" s="64" t="s">
        <v>9215</v>
      </c>
      <c r="CF615" s="67"/>
      <c r="CG615" s="40" t="s">
        <v>9216</v>
      </c>
      <c r="CH615" s="92" t="s">
        <v>9217</v>
      </c>
      <c r="CI615" s="91" t="s">
        <v>6566</v>
      </c>
      <c r="CJ615" s="91" t="s">
        <v>111</v>
      </c>
      <c r="CK615" s="89"/>
      <c r="CL615" s="91" t="str">
        <f t="shared" ca="1" si="9"/>
        <v>126 Tahun 0 Bulan 23 Hari</v>
      </c>
      <c r="CM61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Sekeleo RT/RW  Desa/Kelurahan Cimayang Kecamatan Pamijahan Bogor Jawa Barat </v>
      </c>
    </row>
    <row r="616" spans="1:91" ht="24.95" hidden="1" customHeight="1">
      <c r="A616" s="89">
        <f>SUBTOTAL(3,N$8:Table2[[#This Row],[Nama lengkap]])</f>
        <v>472</v>
      </c>
      <c r="B616" s="89"/>
      <c r="C616" s="89"/>
      <c r="D616" s="89"/>
      <c r="E616" s="89"/>
      <c r="F616" s="89"/>
      <c r="G616" s="166"/>
      <c r="H616" s="32"/>
      <c r="I616" s="90"/>
      <c r="J616" s="139"/>
      <c r="K616" s="139"/>
      <c r="L616" s="139"/>
      <c r="M616" s="89">
        <v>16170098</v>
      </c>
      <c r="N616" s="91" t="s">
        <v>9106</v>
      </c>
      <c r="O616" s="140"/>
      <c r="P616" s="90"/>
      <c r="Q616" s="90" t="s">
        <v>9457</v>
      </c>
      <c r="R616" s="91" t="s">
        <v>9172</v>
      </c>
      <c r="S616" s="101"/>
      <c r="T616" s="142"/>
      <c r="U616" s="89"/>
      <c r="V616" s="89"/>
      <c r="W616" s="141"/>
      <c r="X616" s="92" t="s">
        <v>123</v>
      </c>
      <c r="Y616" s="92"/>
      <c r="Z616" s="92"/>
      <c r="AA616" s="92" t="s">
        <v>9317</v>
      </c>
      <c r="AB616" s="92"/>
      <c r="AC616" s="92"/>
      <c r="AD616" s="92"/>
      <c r="AE616" s="93" t="s">
        <v>9359</v>
      </c>
      <c r="AF616" s="91"/>
      <c r="AG616" s="91" t="s">
        <v>9556</v>
      </c>
      <c r="AH616" s="91"/>
      <c r="AI616" s="92"/>
      <c r="AJ616" s="101"/>
      <c r="AK616" s="90" t="s">
        <v>9756</v>
      </c>
      <c r="AL616" s="93" t="s">
        <v>114</v>
      </c>
      <c r="AM616" s="91"/>
      <c r="AN616" s="93"/>
      <c r="AO616" s="92"/>
      <c r="AP616" s="93" t="s">
        <v>9236</v>
      </c>
      <c r="AQ616" s="90"/>
      <c r="AR616" s="89" t="s">
        <v>9237</v>
      </c>
      <c r="AS616" s="93" t="s">
        <v>9238</v>
      </c>
      <c r="AT616" s="92" t="s">
        <v>644</v>
      </c>
      <c r="AU616" s="92" t="s">
        <v>111</v>
      </c>
      <c r="AV616" s="92"/>
      <c r="AW616" s="92" t="s">
        <v>9654</v>
      </c>
      <c r="AX616" s="91"/>
      <c r="AY616" s="91"/>
      <c r="AZ616" s="127"/>
      <c r="BA616" s="143" t="s">
        <v>9849</v>
      </c>
      <c r="BB616" s="101" t="s">
        <v>216</v>
      </c>
      <c r="BC616" s="93"/>
      <c r="BD616" s="143"/>
      <c r="BE616" s="92"/>
      <c r="BF616" s="67"/>
      <c r="BG616" s="93" t="s">
        <v>9236</v>
      </c>
      <c r="BH616" s="93"/>
      <c r="BI616" s="91" t="s">
        <v>9237</v>
      </c>
      <c r="BJ616" s="91" t="s">
        <v>9238</v>
      </c>
      <c r="BK616" s="93" t="s">
        <v>644</v>
      </c>
      <c r="BL616" s="91" t="s">
        <v>111</v>
      </c>
      <c r="BM616" s="92"/>
      <c r="BN616" s="64"/>
      <c r="BO616" s="92"/>
      <c r="BP616" s="92"/>
      <c r="BQ616" s="136"/>
      <c r="BR616" s="93"/>
      <c r="BS616" s="92"/>
      <c r="BT616" s="93"/>
      <c r="BU616" s="93"/>
      <c r="BV616" s="92"/>
      <c r="BW616" s="92"/>
      <c r="BX616" s="93"/>
      <c r="BY616" s="92"/>
      <c r="BZ616" s="92"/>
      <c r="CA616" s="93"/>
      <c r="CB616" s="92"/>
      <c r="CC616" s="92"/>
      <c r="CD616" s="92"/>
      <c r="CE616" s="64" t="s">
        <v>9236</v>
      </c>
      <c r="CF616" s="67"/>
      <c r="CG616" s="40" t="s">
        <v>9237</v>
      </c>
      <c r="CH616" s="92" t="s">
        <v>9238</v>
      </c>
      <c r="CI616" s="91" t="s">
        <v>644</v>
      </c>
      <c r="CJ616" s="91" t="s">
        <v>111</v>
      </c>
      <c r="CK616" s="89"/>
      <c r="CL616" s="91" t="str">
        <f t="shared" ca="1" si="9"/>
        <v>126 Tahun 0 Bulan 23 Hari</v>
      </c>
      <c r="CM61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Sasak Gantung RT/RW  Desa/Kelurahan Balonggede Kecamatan Regol   Kota Bandung Jawa Barat </v>
      </c>
    </row>
    <row r="617" spans="1:91" ht="24.95" hidden="1" customHeight="1">
      <c r="A617" s="89">
        <f>SUBTOTAL(3,N$8:Table2[[#This Row],[Nama lengkap]])</f>
        <v>472</v>
      </c>
      <c r="B617" s="89"/>
      <c r="C617" s="89"/>
      <c r="D617" s="89"/>
      <c r="E617" s="89"/>
      <c r="F617" s="89"/>
      <c r="G617" s="166"/>
      <c r="H617" s="32"/>
      <c r="I617" s="90"/>
      <c r="J617" s="139"/>
      <c r="K617" s="139"/>
      <c r="L617" s="139"/>
      <c r="M617" s="89">
        <v>17180114</v>
      </c>
      <c r="N617" s="91" t="s">
        <v>9136</v>
      </c>
      <c r="O617" s="140"/>
      <c r="P617" s="90" t="s">
        <v>9921</v>
      </c>
      <c r="Q617" s="90" t="s">
        <v>9488</v>
      </c>
      <c r="R617" s="91" t="s">
        <v>9170</v>
      </c>
      <c r="S617" s="101"/>
      <c r="T617" s="142"/>
      <c r="U617" s="89"/>
      <c r="V617" s="89"/>
      <c r="W617" s="141"/>
      <c r="X617" s="92" t="s">
        <v>93</v>
      </c>
      <c r="Y617" s="92"/>
      <c r="Z617" s="92"/>
      <c r="AA617" s="92" t="s">
        <v>96</v>
      </c>
      <c r="AB617" s="92"/>
      <c r="AC617" s="92"/>
      <c r="AD617" s="92"/>
      <c r="AE617" s="93" t="s">
        <v>9388</v>
      </c>
      <c r="AF617" s="91"/>
      <c r="AG617" s="91" t="s">
        <v>9585</v>
      </c>
      <c r="AH617" s="91"/>
      <c r="AI617" s="92"/>
      <c r="AJ617" s="101"/>
      <c r="AK617" s="90" t="s">
        <v>9786</v>
      </c>
      <c r="AL617" s="93" t="s">
        <v>114</v>
      </c>
      <c r="AM617" s="91"/>
      <c r="AN617" s="93"/>
      <c r="AO617" s="92"/>
      <c r="AP617" s="93" t="s">
        <v>9278</v>
      </c>
      <c r="AQ617" s="90"/>
      <c r="AR617" s="89" t="s">
        <v>9279</v>
      </c>
      <c r="AS617" s="93" t="s">
        <v>6625</v>
      </c>
      <c r="AT617" s="92" t="s">
        <v>122</v>
      </c>
      <c r="AU617" s="92" t="s">
        <v>111</v>
      </c>
      <c r="AV617" s="92"/>
      <c r="AW617" s="92" t="s">
        <v>9682</v>
      </c>
      <c r="AX617" s="91"/>
      <c r="AY617" s="91"/>
      <c r="AZ617" s="127"/>
      <c r="BA617" s="143" t="s">
        <v>9879</v>
      </c>
      <c r="BB617" s="101" t="s">
        <v>216</v>
      </c>
      <c r="BC617" s="93"/>
      <c r="BD617" s="143"/>
      <c r="BE617" s="92"/>
      <c r="BF617" s="67"/>
      <c r="BG617" s="93" t="s">
        <v>9278</v>
      </c>
      <c r="BH617" s="93"/>
      <c r="BI617" s="91" t="s">
        <v>9279</v>
      </c>
      <c r="BJ617" s="91" t="s">
        <v>6625</v>
      </c>
      <c r="BK617" s="93" t="s">
        <v>122</v>
      </c>
      <c r="BL617" s="91" t="s">
        <v>111</v>
      </c>
      <c r="BM617" s="92"/>
      <c r="BN617" s="64"/>
      <c r="BO617" s="92"/>
      <c r="BP617" s="92"/>
      <c r="BQ617" s="136"/>
      <c r="BR617" s="93"/>
      <c r="BS617" s="92"/>
      <c r="BT617" s="93"/>
      <c r="BU617" s="93"/>
      <c r="BV617" s="92"/>
      <c r="BW617" s="92"/>
      <c r="BX617" s="93"/>
      <c r="BY617" s="92"/>
      <c r="BZ617" s="92"/>
      <c r="CA617" s="93"/>
      <c r="CB617" s="92"/>
      <c r="CC617" s="92"/>
      <c r="CD617" s="92"/>
      <c r="CE617" s="64" t="s">
        <v>9278</v>
      </c>
      <c r="CF617" s="67"/>
      <c r="CG617" s="40" t="s">
        <v>9279</v>
      </c>
      <c r="CH617" s="92" t="s">
        <v>6625</v>
      </c>
      <c r="CI617" s="91" t="s">
        <v>122</v>
      </c>
      <c r="CJ617" s="91" t="s">
        <v>111</v>
      </c>
      <c r="CK617" s="89"/>
      <c r="CL617" s="91" t="str">
        <f t="shared" ca="1" si="9"/>
        <v>126 Tahun 0 Bulan 23 Hari</v>
      </c>
      <c r="CM61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Cileuweung RT/RW  Desa/Kelurahan Sukawening Kecamatan Ganeas Sumedang Jawa Barat </v>
      </c>
    </row>
    <row r="618" spans="1:91" ht="24.95" hidden="1" customHeight="1">
      <c r="A618" s="89">
        <f>SUBTOTAL(3,N$8:Table2[[#This Row],[Nama lengkap]])</f>
        <v>472</v>
      </c>
      <c r="B618" s="89"/>
      <c r="C618" s="89"/>
      <c r="D618" s="89"/>
      <c r="E618" s="89"/>
      <c r="F618" s="89"/>
      <c r="G618" s="166"/>
      <c r="H618" s="32"/>
      <c r="I618" s="90"/>
      <c r="J618" s="139"/>
      <c r="K618" s="139"/>
      <c r="L618" s="139"/>
      <c r="M618" s="89">
        <v>16170099</v>
      </c>
      <c r="N618" s="91" t="s">
        <v>9137</v>
      </c>
      <c r="O618" s="140"/>
      <c r="P618" s="90"/>
      <c r="Q618" s="90" t="s">
        <v>9489</v>
      </c>
      <c r="R618" s="91" t="s">
        <v>9176</v>
      </c>
      <c r="S618" s="101"/>
      <c r="T618" s="142"/>
      <c r="U618" s="89"/>
      <c r="V618" s="89"/>
      <c r="W618" s="141"/>
      <c r="X618" s="92" t="s">
        <v>123</v>
      </c>
      <c r="Y618" s="92"/>
      <c r="Z618" s="92"/>
      <c r="AA618" s="92" t="s">
        <v>96</v>
      </c>
      <c r="AB618" s="92"/>
      <c r="AC618" s="92"/>
      <c r="AD618" s="92"/>
      <c r="AE618" s="93" t="s">
        <v>9389</v>
      </c>
      <c r="AF618" s="91"/>
      <c r="AG618" s="91" t="s">
        <v>9586</v>
      </c>
      <c r="AH618" s="91"/>
      <c r="AI618" s="92"/>
      <c r="AJ618" s="101"/>
      <c r="AK618" s="90" t="s">
        <v>9787</v>
      </c>
      <c r="AL618" s="93" t="s">
        <v>984</v>
      </c>
      <c r="AM618" s="91"/>
      <c r="AN618" s="93"/>
      <c r="AO618" s="92"/>
      <c r="AP618" s="93" t="s">
        <v>7076</v>
      </c>
      <c r="AQ618" s="90"/>
      <c r="AR618" s="89" t="s">
        <v>7076</v>
      </c>
      <c r="AS618" s="93" t="s">
        <v>507</v>
      </c>
      <c r="AT618" s="92" t="s">
        <v>90</v>
      </c>
      <c r="AU618" s="92" t="s">
        <v>111</v>
      </c>
      <c r="AV618" s="92"/>
      <c r="AW618" s="92" t="s">
        <v>9683</v>
      </c>
      <c r="AX618" s="91"/>
      <c r="AY618" s="91"/>
      <c r="AZ618" s="127"/>
      <c r="BA618" s="143" t="s">
        <v>9880</v>
      </c>
      <c r="BB618" s="101" t="s">
        <v>216</v>
      </c>
      <c r="BC618" s="93"/>
      <c r="BD618" s="143"/>
      <c r="BE618" s="92"/>
      <c r="BF618" s="67"/>
      <c r="BG618" s="93" t="s">
        <v>7076</v>
      </c>
      <c r="BH618" s="93"/>
      <c r="BI618" s="91" t="s">
        <v>7076</v>
      </c>
      <c r="BJ618" s="91" t="s">
        <v>507</v>
      </c>
      <c r="BK618" s="93" t="s">
        <v>90</v>
      </c>
      <c r="BL618" s="91" t="s">
        <v>111</v>
      </c>
      <c r="BM618" s="92"/>
      <c r="BN618" s="64"/>
      <c r="BO618" s="92"/>
      <c r="BP618" s="92"/>
      <c r="BQ618" s="136"/>
      <c r="BR618" s="93"/>
      <c r="BS618" s="92"/>
      <c r="BT618" s="93"/>
      <c r="BU618" s="93"/>
      <c r="BV618" s="92"/>
      <c r="BW618" s="92"/>
      <c r="BX618" s="93"/>
      <c r="BY618" s="92"/>
      <c r="BZ618" s="92"/>
      <c r="CA618" s="93"/>
      <c r="CB618" s="92"/>
      <c r="CC618" s="92"/>
      <c r="CD618" s="92"/>
      <c r="CE618" s="64" t="s">
        <v>7076</v>
      </c>
      <c r="CF618" s="67"/>
      <c r="CG618" s="40" t="s">
        <v>7076</v>
      </c>
      <c r="CH618" s="92" t="s">
        <v>507</v>
      </c>
      <c r="CI618" s="91" t="s">
        <v>90</v>
      </c>
      <c r="CJ618" s="91" t="s">
        <v>111</v>
      </c>
      <c r="CK618" s="89"/>
      <c r="CL618" s="91" t="str">
        <f t="shared" ca="1" si="9"/>
        <v>126 Tahun 0 Bulan 23 Hari</v>
      </c>
      <c r="CM61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Sindangpanon RT/RW  Desa/Kelurahan Sindangpanon Kecamatan Banjaran Bandung Jawa Barat </v>
      </c>
    </row>
    <row r="619" spans="1:91" ht="24.95" hidden="1" customHeight="1">
      <c r="A619" s="89">
        <f>SUBTOTAL(3,N$8:Table2[[#This Row],[Nama lengkap]])</f>
        <v>472</v>
      </c>
      <c r="B619" s="89"/>
      <c r="C619" s="89"/>
      <c r="D619" s="89"/>
      <c r="E619" s="89"/>
      <c r="F619" s="89"/>
      <c r="G619" s="166"/>
      <c r="H619" s="32"/>
      <c r="I619" s="90"/>
      <c r="J619" s="139"/>
      <c r="K619" s="139"/>
      <c r="L619" s="139"/>
      <c r="M619" s="89">
        <v>16170100</v>
      </c>
      <c r="N619" s="91" t="s">
        <v>9138</v>
      </c>
      <c r="O619" s="140"/>
      <c r="P619" s="90"/>
      <c r="Q619" s="90" t="s">
        <v>9490</v>
      </c>
      <c r="R619" s="91" t="s">
        <v>9170</v>
      </c>
      <c r="S619" s="101"/>
      <c r="T619" s="142"/>
      <c r="U619" s="89"/>
      <c r="V619" s="89"/>
      <c r="W619" s="141"/>
      <c r="X619" s="92" t="s">
        <v>984</v>
      </c>
      <c r="Y619" s="92"/>
      <c r="Z619" s="92"/>
      <c r="AA619" s="92" t="s">
        <v>96</v>
      </c>
      <c r="AB619" s="92"/>
      <c r="AC619" s="92"/>
      <c r="AD619" s="92"/>
      <c r="AE619" s="93" t="s">
        <v>9390</v>
      </c>
      <c r="AF619" s="91"/>
      <c r="AG619" s="91" t="s">
        <v>9587</v>
      </c>
      <c r="AH619" s="91"/>
      <c r="AI619" s="92"/>
      <c r="AJ619" s="101"/>
      <c r="AK619" s="90" t="s">
        <v>9788</v>
      </c>
      <c r="AL619" s="93" t="s">
        <v>914</v>
      </c>
      <c r="AM619" s="91"/>
      <c r="AN619" s="93"/>
      <c r="AO619" s="92"/>
      <c r="AP619" s="93" t="s">
        <v>9280</v>
      </c>
      <c r="AQ619" s="90"/>
      <c r="AR619" s="89" t="s">
        <v>593</v>
      </c>
      <c r="AS619" s="93" t="s">
        <v>593</v>
      </c>
      <c r="AT619" s="92" t="s">
        <v>122</v>
      </c>
      <c r="AU619" s="92" t="s">
        <v>111</v>
      </c>
      <c r="AV619" s="92"/>
      <c r="AW619" s="92" t="s">
        <v>9684</v>
      </c>
      <c r="AX619" s="91"/>
      <c r="AY619" s="91"/>
      <c r="AZ619" s="127"/>
      <c r="BA619" s="143" t="s">
        <v>9881</v>
      </c>
      <c r="BB619" s="101" t="s">
        <v>216</v>
      </c>
      <c r="BC619" s="93"/>
      <c r="BD619" s="143"/>
      <c r="BE619" s="92"/>
      <c r="BF619" s="67"/>
      <c r="BG619" s="93" t="s">
        <v>9280</v>
      </c>
      <c r="BH619" s="93"/>
      <c r="BI619" s="91" t="s">
        <v>593</v>
      </c>
      <c r="BJ619" s="91" t="s">
        <v>593</v>
      </c>
      <c r="BK619" s="93" t="s">
        <v>122</v>
      </c>
      <c r="BL619" s="91" t="s">
        <v>111</v>
      </c>
      <c r="BM619" s="92"/>
      <c r="BN619" s="64"/>
      <c r="BO619" s="92"/>
      <c r="BP619" s="92"/>
      <c r="BQ619" s="136"/>
      <c r="BR619" s="93"/>
      <c r="BS619" s="92"/>
      <c r="BT619" s="93"/>
      <c r="BU619" s="93"/>
      <c r="BV619" s="92"/>
      <c r="BW619" s="92"/>
      <c r="BX619" s="93"/>
      <c r="BY619" s="92"/>
      <c r="BZ619" s="92"/>
      <c r="CA619" s="93"/>
      <c r="CB619" s="92"/>
      <c r="CC619" s="92"/>
      <c r="CD619" s="92"/>
      <c r="CE619" s="64" t="s">
        <v>9280</v>
      </c>
      <c r="CF619" s="67"/>
      <c r="CG619" s="40" t="s">
        <v>593</v>
      </c>
      <c r="CH619" s="92" t="s">
        <v>593</v>
      </c>
      <c r="CI619" s="91" t="s">
        <v>122</v>
      </c>
      <c r="CJ619" s="91" t="s">
        <v>111</v>
      </c>
      <c r="CK619" s="89"/>
      <c r="CL619" s="91" t="str">
        <f t="shared" ca="1" si="9"/>
        <v>126 Tahun 0 Bulan 23 Hari</v>
      </c>
      <c r="CM619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Babakan Situ RT/RW  Desa/Kelurahan Tanjungsari Kecamatan Tanjungsari Sumedang Jawa Barat </v>
      </c>
    </row>
    <row r="620" spans="1:91" ht="24.95" hidden="1" customHeight="1">
      <c r="A620" s="89">
        <f>SUBTOTAL(3,N$8:Table2[[#This Row],[Nama lengkap]])</f>
        <v>472</v>
      </c>
      <c r="B620" s="89"/>
      <c r="C620" s="89"/>
      <c r="D620" s="89"/>
      <c r="E620" s="89"/>
      <c r="F620" s="89"/>
      <c r="G620" s="166"/>
      <c r="H620" s="32"/>
      <c r="I620" s="90"/>
      <c r="J620" s="139"/>
      <c r="K620" s="139"/>
      <c r="L620" s="139"/>
      <c r="M620" s="89">
        <v>18190169</v>
      </c>
      <c r="N620" s="91" t="s">
        <v>9160</v>
      </c>
      <c r="O620" s="140"/>
      <c r="P620" s="90"/>
      <c r="Q620" s="90" t="s">
        <v>9512</v>
      </c>
      <c r="R620" s="91" t="s">
        <v>9172</v>
      </c>
      <c r="S620" s="101"/>
      <c r="T620" s="142"/>
      <c r="U620" s="89"/>
      <c r="V620" s="89"/>
      <c r="W620" s="141"/>
      <c r="X620" s="92" t="s">
        <v>432</v>
      </c>
      <c r="Y620" s="92"/>
      <c r="Z620" s="92"/>
      <c r="AA620" s="92" t="s">
        <v>1141</v>
      </c>
      <c r="AB620" s="92"/>
      <c r="AC620" s="92"/>
      <c r="AD620" s="92"/>
      <c r="AE620" s="93" t="s">
        <v>9408</v>
      </c>
      <c r="AF620" s="91"/>
      <c r="AG620" s="91" t="s">
        <v>8346</v>
      </c>
      <c r="AH620" s="91"/>
      <c r="AI620" s="92"/>
      <c r="AJ620" s="101"/>
      <c r="AK620" s="90" t="s">
        <v>9807</v>
      </c>
      <c r="AL620" s="93" t="s">
        <v>289</v>
      </c>
      <c r="AM620" s="91"/>
      <c r="AN620" s="93"/>
      <c r="AO620" s="92"/>
      <c r="AP620" s="93" t="s">
        <v>9300</v>
      </c>
      <c r="AQ620" s="90"/>
      <c r="AR620" s="89" t="s">
        <v>7051</v>
      </c>
      <c r="AS620" s="93" t="s">
        <v>7039</v>
      </c>
      <c r="AT620" s="92" t="s">
        <v>90</v>
      </c>
      <c r="AU620" s="92" t="s">
        <v>111</v>
      </c>
      <c r="AV620" s="92"/>
      <c r="AW620" s="92" t="s">
        <v>9704</v>
      </c>
      <c r="AX620" s="91"/>
      <c r="AY620" s="91"/>
      <c r="AZ620" s="127"/>
      <c r="BA620" s="143" t="s">
        <v>9900</v>
      </c>
      <c r="BB620" s="101" t="s">
        <v>216</v>
      </c>
      <c r="BC620" s="93"/>
      <c r="BD620" s="143"/>
      <c r="BE620" s="92"/>
      <c r="BF620" s="67"/>
      <c r="BG620" s="93" t="s">
        <v>9300</v>
      </c>
      <c r="BH620" s="93"/>
      <c r="BI620" s="91" t="s">
        <v>7051</v>
      </c>
      <c r="BJ620" s="91" t="s">
        <v>7039</v>
      </c>
      <c r="BK620" s="93" t="s">
        <v>90</v>
      </c>
      <c r="BL620" s="91" t="s">
        <v>111</v>
      </c>
      <c r="BM620" s="92"/>
      <c r="BN620" s="64"/>
      <c r="BO620" s="92"/>
      <c r="BP620" s="92"/>
      <c r="BQ620" s="136"/>
      <c r="BR620" s="93"/>
      <c r="BS620" s="92"/>
      <c r="BT620" s="93"/>
      <c r="BU620" s="93"/>
      <c r="BV620" s="92"/>
      <c r="BW620" s="92"/>
      <c r="BX620" s="93"/>
      <c r="BY620" s="92"/>
      <c r="BZ620" s="92"/>
      <c r="CA620" s="93"/>
      <c r="CB620" s="92"/>
      <c r="CC620" s="92"/>
      <c r="CD620" s="92"/>
      <c r="CE620" s="64" t="s">
        <v>9300</v>
      </c>
      <c r="CF620" s="67"/>
      <c r="CG620" s="40" t="s">
        <v>7051</v>
      </c>
      <c r="CH620" s="92" t="s">
        <v>7039</v>
      </c>
      <c r="CI620" s="91" t="s">
        <v>90</v>
      </c>
      <c r="CJ620" s="91" t="s">
        <v>111</v>
      </c>
      <c r="CK620" s="89"/>
      <c r="CL620" s="91" t="str">
        <f t="shared" ca="1" si="9"/>
        <v>126 Tahun 0 Bulan 23 Hari</v>
      </c>
      <c r="CM620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Babakan Desa RT/RW  Desa/Kelurahan Pamekaran Kecamatan Soreang Bandung Jawa Barat </v>
      </c>
    </row>
    <row r="621" spans="1:91" ht="24.95" hidden="1" customHeight="1">
      <c r="A621" s="89">
        <f>SUBTOTAL(3,N$8:Table2[[#This Row],[Nama lengkap]])</f>
        <v>472</v>
      </c>
      <c r="B621" s="89"/>
      <c r="C621" s="89"/>
      <c r="D621" s="89"/>
      <c r="E621" s="89"/>
      <c r="F621" s="89"/>
      <c r="G621" s="166"/>
      <c r="H621" s="32"/>
      <c r="I621" s="90"/>
      <c r="J621" s="139"/>
      <c r="K621" s="139"/>
      <c r="L621" s="139"/>
      <c r="M621" s="89">
        <v>15160071</v>
      </c>
      <c r="N621" s="91" t="s">
        <v>9092</v>
      </c>
      <c r="O621" s="140"/>
      <c r="P621" s="90"/>
      <c r="Q621" s="90" t="s">
        <v>9444</v>
      </c>
      <c r="R621" s="91" t="s">
        <v>9172</v>
      </c>
      <c r="S621" s="101"/>
      <c r="T621" s="142"/>
      <c r="U621" s="89"/>
      <c r="V621" s="89"/>
      <c r="W621" s="141"/>
      <c r="X621" s="92" t="s">
        <v>984</v>
      </c>
      <c r="Y621" s="92"/>
      <c r="Z621" s="92"/>
      <c r="AA621" s="92" t="s">
        <v>1141</v>
      </c>
      <c r="AB621" s="92"/>
      <c r="AC621" s="92"/>
      <c r="AD621" s="92"/>
      <c r="AE621" s="93" t="s">
        <v>9349</v>
      </c>
      <c r="AF621" s="91"/>
      <c r="AG621" s="91" t="s">
        <v>9547</v>
      </c>
      <c r="AH621" s="91"/>
      <c r="AI621" s="92"/>
      <c r="AJ621" s="101"/>
      <c r="AK621" s="90" t="s">
        <v>984</v>
      </c>
      <c r="AL621" s="93" t="s">
        <v>984</v>
      </c>
      <c r="AM621" s="91"/>
      <c r="AN621" s="93"/>
      <c r="AO621" s="92"/>
      <c r="AP621" s="93" t="s">
        <v>9218</v>
      </c>
      <c r="AQ621" s="90"/>
      <c r="AR621" s="89" t="s">
        <v>7284</v>
      </c>
      <c r="AS621" s="93" t="s">
        <v>7285</v>
      </c>
      <c r="AT621" s="92" t="s">
        <v>644</v>
      </c>
      <c r="AU621" s="92" t="s">
        <v>111</v>
      </c>
      <c r="AV621" s="92"/>
      <c r="AW621" s="92" t="s">
        <v>9644</v>
      </c>
      <c r="AX621" s="91"/>
      <c r="AY621" s="91"/>
      <c r="AZ621" s="127"/>
      <c r="BA621" s="143" t="s">
        <v>9839</v>
      </c>
      <c r="BB621" s="101" t="s">
        <v>114</v>
      </c>
      <c r="BC621" s="93"/>
      <c r="BD621" s="143"/>
      <c r="BE621" s="92"/>
      <c r="BF621" s="67"/>
      <c r="BG621" s="93" t="s">
        <v>9218</v>
      </c>
      <c r="BH621" s="93"/>
      <c r="BI621" s="91" t="s">
        <v>7284</v>
      </c>
      <c r="BJ621" s="91" t="s">
        <v>7285</v>
      </c>
      <c r="BK621" s="93" t="s">
        <v>644</v>
      </c>
      <c r="BL621" s="91" t="s">
        <v>111</v>
      </c>
      <c r="BM621" s="92"/>
      <c r="BN621" s="64"/>
      <c r="BO621" s="92"/>
      <c r="BP621" s="92"/>
      <c r="BQ621" s="136"/>
      <c r="BR621" s="93"/>
      <c r="BS621" s="92"/>
      <c r="BT621" s="93"/>
      <c r="BU621" s="93"/>
      <c r="BV621" s="92"/>
      <c r="BW621" s="92"/>
      <c r="BX621" s="93"/>
      <c r="BY621" s="92"/>
      <c r="BZ621" s="92"/>
      <c r="CA621" s="93"/>
      <c r="CB621" s="92"/>
      <c r="CC621" s="92"/>
      <c r="CD621" s="92"/>
      <c r="CE621" s="64" t="s">
        <v>9218</v>
      </c>
      <c r="CF621" s="67"/>
      <c r="CG621" s="40" t="s">
        <v>7284</v>
      </c>
      <c r="CH621" s="92" t="s">
        <v>7285</v>
      </c>
      <c r="CI621" s="91" t="s">
        <v>644</v>
      </c>
      <c r="CJ621" s="91" t="s">
        <v>111</v>
      </c>
      <c r="CK621" s="89"/>
      <c r="CL621" s="91" t="str">
        <f t="shared" ca="1" si="9"/>
        <v>126 Tahun 0 Bulan 23 Hari</v>
      </c>
      <c r="CM62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Babakan Jati Mulya RT/RW  Desa/Kelurahan Gumuruh Kecamatan Batu Nunggal Kota Bandung Jawa Barat </v>
      </c>
    </row>
    <row r="622" spans="1:91" ht="24.95" hidden="1" customHeight="1">
      <c r="A622" s="89">
        <f>SUBTOTAL(3,N$8:Table2[[#This Row],[Nama lengkap]])</f>
        <v>472</v>
      </c>
      <c r="B622" s="89"/>
      <c r="C622" s="89"/>
      <c r="D622" s="89"/>
      <c r="E622" s="89"/>
      <c r="F622" s="89"/>
      <c r="G622" s="166"/>
      <c r="H622" s="32"/>
      <c r="I622" s="90"/>
      <c r="J622" s="139"/>
      <c r="K622" s="139"/>
      <c r="L622" s="139"/>
      <c r="M622" s="89">
        <v>17180118</v>
      </c>
      <c r="N622" s="91" t="s">
        <v>8877</v>
      </c>
      <c r="O622" s="140"/>
      <c r="P622" s="90"/>
      <c r="Q622" s="90" t="s">
        <v>4880</v>
      </c>
      <c r="R622" s="91" t="s">
        <v>9172</v>
      </c>
      <c r="S622" s="101"/>
      <c r="T622" s="142"/>
      <c r="U622" s="89"/>
      <c r="V622" s="89"/>
      <c r="W622" s="141"/>
      <c r="X622" s="92" t="s">
        <v>303</v>
      </c>
      <c r="Y622" s="92"/>
      <c r="Z622" s="92"/>
      <c r="AA622" s="92" t="s">
        <v>96</v>
      </c>
      <c r="AB622" s="92"/>
      <c r="AC622" s="92"/>
      <c r="AD622" s="92"/>
      <c r="AE622" s="93" t="s">
        <v>4882</v>
      </c>
      <c r="AF622" s="91"/>
      <c r="AG622" s="91" t="s">
        <v>8686</v>
      </c>
      <c r="AH622" s="91"/>
      <c r="AI622" s="92"/>
      <c r="AJ622" s="101"/>
      <c r="AK622" s="90" t="s">
        <v>4883</v>
      </c>
      <c r="AL622" s="93" t="s">
        <v>9720</v>
      </c>
      <c r="AM622" s="91"/>
      <c r="AN622" s="93"/>
      <c r="AO622" s="92"/>
      <c r="AP622" s="93" t="s">
        <v>7697</v>
      </c>
      <c r="AQ622" s="90"/>
      <c r="AR622" s="89" t="s">
        <v>592</v>
      </c>
      <c r="AS622" s="93" t="s">
        <v>593</v>
      </c>
      <c r="AT622" s="92" t="s">
        <v>122</v>
      </c>
      <c r="AU622" s="92" t="s">
        <v>111</v>
      </c>
      <c r="AV622" s="92"/>
      <c r="AW622" s="92" t="s">
        <v>8183</v>
      </c>
      <c r="AX622" s="91"/>
      <c r="AY622" s="91"/>
      <c r="AZ622" s="127"/>
      <c r="BA622" s="143" t="s">
        <v>9901</v>
      </c>
      <c r="BB622" s="101" t="s">
        <v>216</v>
      </c>
      <c r="BC622" s="93"/>
      <c r="BD622" s="143"/>
      <c r="BE622" s="92"/>
      <c r="BF622" s="67"/>
      <c r="BG622" s="93" t="s">
        <v>7697</v>
      </c>
      <c r="BH622" s="93"/>
      <c r="BI622" s="91" t="s">
        <v>592</v>
      </c>
      <c r="BJ622" s="91" t="s">
        <v>593</v>
      </c>
      <c r="BK622" s="93" t="s">
        <v>122</v>
      </c>
      <c r="BL622" s="91" t="s">
        <v>111</v>
      </c>
      <c r="BM622" s="92"/>
      <c r="BN622" s="64"/>
      <c r="BO622" s="92"/>
      <c r="BP622" s="92"/>
      <c r="BQ622" s="136"/>
      <c r="BR622" s="93"/>
      <c r="BS622" s="92"/>
      <c r="BT622" s="93"/>
      <c r="BU622" s="93"/>
      <c r="BV622" s="92"/>
      <c r="BW622" s="92"/>
      <c r="BX622" s="93"/>
      <c r="BY622" s="92"/>
      <c r="BZ622" s="92"/>
      <c r="CA622" s="93"/>
      <c r="CB622" s="92"/>
      <c r="CC622" s="92"/>
      <c r="CD622" s="92"/>
      <c r="CE622" s="64" t="s">
        <v>7697</v>
      </c>
      <c r="CF622" s="67"/>
      <c r="CG622" s="40" t="s">
        <v>592</v>
      </c>
      <c r="CH622" s="92" t="s">
        <v>593</v>
      </c>
      <c r="CI622" s="91" t="s">
        <v>122</v>
      </c>
      <c r="CJ622" s="91" t="s">
        <v>111</v>
      </c>
      <c r="CK622" s="89"/>
      <c r="CL622" s="91" t="str">
        <f t="shared" ca="1" si="9"/>
        <v>126 Tahun 0 Bulan 23 Hari</v>
      </c>
      <c r="CM62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Pagaden RT/RW  Desa/Kelurahan Margajaya Kecamatan Tanjungsari Sumedang Jawa Barat </v>
      </c>
    </row>
    <row r="623" spans="1:91" ht="24.95" hidden="1" customHeight="1">
      <c r="A623" s="89">
        <f>SUBTOTAL(3,N$8:Table2[[#This Row],[Nama lengkap]])</f>
        <v>472</v>
      </c>
      <c r="B623" s="89"/>
      <c r="C623" s="89"/>
      <c r="D623" s="89"/>
      <c r="E623" s="89"/>
      <c r="F623" s="89"/>
      <c r="G623" s="166"/>
      <c r="H623" s="32"/>
      <c r="I623" s="90"/>
      <c r="J623" s="139"/>
      <c r="K623" s="139"/>
      <c r="L623" s="139"/>
      <c r="M623" s="89">
        <v>17180119</v>
      </c>
      <c r="N623" s="91" t="s">
        <v>5785</v>
      </c>
      <c r="O623" s="140"/>
      <c r="P623" s="90"/>
      <c r="Q623" s="90" t="s">
        <v>4890</v>
      </c>
      <c r="R623" s="91" t="s">
        <v>9174</v>
      </c>
      <c r="S623" s="101"/>
      <c r="T623" s="142"/>
      <c r="U623" s="89"/>
      <c r="V623" s="89"/>
      <c r="W623" s="141"/>
      <c r="X623" s="92" t="s">
        <v>984</v>
      </c>
      <c r="Y623" s="92"/>
      <c r="Z623" s="92"/>
      <c r="AA623" s="92" t="s">
        <v>96</v>
      </c>
      <c r="AB623" s="92"/>
      <c r="AC623" s="92"/>
      <c r="AD623" s="92"/>
      <c r="AE623" s="93" t="s">
        <v>4893</v>
      </c>
      <c r="AF623" s="91"/>
      <c r="AG623" s="91" t="s">
        <v>8687</v>
      </c>
      <c r="AH623" s="91"/>
      <c r="AI623" s="92"/>
      <c r="AJ623" s="101"/>
      <c r="AK623" s="90" t="s">
        <v>4894</v>
      </c>
      <c r="AL623" s="93" t="s">
        <v>9721</v>
      </c>
      <c r="AM623" s="91"/>
      <c r="AN623" s="93"/>
      <c r="AO623" s="92"/>
      <c r="AP623" s="93" t="s">
        <v>9301</v>
      </c>
      <c r="AQ623" s="90"/>
      <c r="AR623" s="89" t="s">
        <v>7295</v>
      </c>
      <c r="AS623" s="93" t="s">
        <v>7296</v>
      </c>
      <c r="AT623" s="92" t="s">
        <v>236</v>
      </c>
      <c r="AU623" s="92" t="s">
        <v>111</v>
      </c>
      <c r="AV623" s="92"/>
      <c r="AW623" s="92" t="s">
        <v>8184</v>
      </c>
      <c r="AX623" s="91"/>
      <c r="AY623" s="91"/>
      <c r="AZ623" s="127"/>
      <c r="BA623" s="143" t="s">
        <v>4898</v>
      </c>
      <c r="BB623" s="101" t="s">
        <v>216</v>
      </c>
      <c r="BC623" s="93"/>
      <c r="BD623" s="143"/>
      <c r="BE623" s="92"/>
      <c r="BF623" s="67"/>
      <c r="BG623" s="93" t="s">
        <v>9301</v>
      </c>
      <c r="BH623" s="93"/>
      <c r="BI623" s="91" t="s">
        <v>7295</v>
      </c>
      <c r="BJ623" s="91" t="s">
        <v>7296</v>
      </c>
      <c r="BK623" s="93" t="s">
        <v>236</v>
      </c>
      <c r="BL623" s="91" t="s">
        <v>111</v>
      </c>
      <c r="BM623" s="92"/>
      <c r="BN623" s="64"/>
      <c r="BO623" s="92"/>
      <c r="BP623" s="92"/>
      <c r="BQ623" s="136"/>
      <c r="BR623" s="93"/>
      <c r="BS623" s="92"/>
      <c r="BT623" s="93"/>
      <c r="BU623" s="93"/>
      <c r="BV623" s="92"/>
      <c r="BW623" s="92"/>
      <c r="BX623" s="93"/>
      <c r="BY623" s="92"/>
      <c r="BZ623" s="92"/>
      <c r="CA623" s="93"/>
      <c r="CB623" s="92"/>
      <c r="CC623" s="92"/>
      <c r="CD623" s="92"/>
      <c r="CE623" s="64" t="s">
        <v>9301</v>
      </c>
      <c r="CF623" s="67"/>
      <c r="CG623" s="40" t="s">
        <v>7295</v>
      </c>
      <c r="CH623" s="92" t="s">
        <v>7296</v>
      </c>
      <c r="CI623" s="91" t="s">
        <v>236</v>
      </c>
      <c r="CJ623" s="91" t="s">
        <v>111</v>
      </c>
      <c r="CK623" s="89"/>
      <c r="CL623" s="91" t="str">
        <f t="shared" ca="1" si="9"/>
        <v>126 Tahun 0 Bulan 23 Hari</v>
      </c>
      <c r="CM623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Pangkalan RT/RW  Desa/Kelurahan Sindangratu Kecamatan Wanaraja Garut Jawa Barat </v>
      </c>
    </row>
    <row r="624" spans="1:91" ht="24.95" hidden="1" customHeight="1">
      <c r="A624" s="89">
        <f>SUBTOTAL(3,N$8:Table2[[#This Row],[Nama lengkap]])</f>
        <v>472</v>
      </c>
      <c r="B624" s="89"/>
      <c r="C624" s="89"/>
      <c r="D624" s="89"/>
      <c r="E624" s="89"/>
      <c r="F624" s="89"/>
      <c r="G624" s="166"/>
      <c r="H624" s="32"/>
      <c r="I624" s="90"/>
      <c r="J624" s="139"/>
      <c r="K624" s="139"/>
      <c r="L624" s="139"/>
      <c r="M624" s="89">
        <v>17180120</v>
      </c>
      <c r="N624" s="91" t="s">
        <v>5786</v>
      </c>
      <c r="O624" s="140"/>
      <c r="P624" s="90"/>
      <c r="Q624" s="90" t="s">
        <v>4902</v>
      </c>
      <c r="R624" s="91" t="s">
        <v>9181</v>
      </c>
      <c r="S624" s="101"/>
      <c r="T624" s="142"/>
      <c r="U624" s="89"/>
      <c r="V624" s="89"/>
      <c r="W624" s="141"/>
      <c r="X624" s="92" t="s">
        <v>984</v>
      </c>
      <c r="Y624" s="92"/>
      <c r="Z624" s="92"/>
      <c r="AA624" s="92" t="s">
        <v>9322</v>
      </c>
      <c r="AB624" s="92"/>
      <c r="AC624" s="92"/>
      <c r="AD624" s="92"/>
      <c r="AE624" s="93" t="s">
        <v>4904</v>
      </c>
      <c r="AF624" s="91"/>
      <c r="AG624" s="91" t="s">
        <v>9607</v>
      </c>
      <c r="AH624" s="91"/>
      <c r="AI624" s="92"/>
      <c r="AJ624" s="101"/>
      <c r="AK624" s="90" t="s">
        <v>4905</v>
      </c>
      <c r="AL624" s="93" t="s">
        <v>8249</v>
      </c>
      <c r="AM624" s="91"/>
      <c r="AN624" s="93"/>
      <c r="AO624" s="92"/>
      <c r="AP624" s="93" t="s">
        <v>9302</v>
      </c>
      <c r="AQ624" s="90"/>
      <c r="AR624" s="89" t="s">
        <v>6491</v>
      </c>
      <c r="AS624" s="93" t="s">
        <v>6945</v>
      </c>
      <c r="AT624" s="92" t="s">
        <v>122</v>
      </c>
      <c r="AU624" s="92" t="s">
        <v>111</v>
      </c>
      <c r="AV624" s="92"/>
      <c r="AW624" s="92" t="s">
        <v>8185</v>
      </c>
      <c r="AX624" s="91"/>
      <c r="AY624" s="91"/>
      <c r="AZ624" s="127"/>
      <c r="BA624" s="143" t="s">
        <v>4907</v>
      </c>
      <c r="BB624" s="101" t="s">
        <v>216</v>
      </c>
      <c r="BC624" s="93"/>
      <c r="BD624" s="143"/>
      <c r="BE624" s="92"/>
      <c r="BF624" s="67"/>
      <c r="BG624" s="93" t="s">
        <v>9302</v>
      </c>
      <c r="BH624" s="93"/>
      <c r="BI624" s="91" t="s">
        <v>6491</v>
      </c>
      <c r="BJ624" s="91" t="s">
        <v>6945</v>
      </c>
      <c r="BK624" s="93" t="s">
        <v>122</v>
      </c>
      <c r="BL624" s="91" t="s">
        <v>111</v>
      </c>
      <c r="BM624" s="92"/>
      <c r="BN624" s="64"/>
      <c r="BO624" s="92"/>
      <c r="BP624" s="92"/>
      <c r="BQ624" s="136"/>
      <c r="BR624" s="93"/>
      <c r="BS624" s="92"/>
      <c r="BT624" s="93"/>
      <c r="BU624" s="93"/>
      <c r="BV624" s="92"/>
      <c r="BW624" s="92"/>
      <c r="BX624" s="93"/>
      <c r="BY624" s="92"/>
      <c r="BZ624" s="92"/>
      <c r="CA624" s="93"/>
      <c r="CB624" s="92"/>
      <c r="CC624" s="92"/>
      <c r="CD624" s="92"/>
      <c r="CE624" s="64" t="s">
        <v>9302</v>
      </c>
      <c r="CF624" s="67"/>
      <c r="CG624" s="40" t="s">
        <v>6491</v>
      </c>
      <c r="CH624" s="92" t="s">
        <v>6945</v>
      </c>
      <c r="CI624" s="91" t="s">
        <v>122</v>
      </c>
      <c r="CJ624" s="91" t="s">
        <v>111</v>
      </c>
      <c r="CK624" s="89"/>
      <c r="CL624" s="91" t="str">
        <f t="shared" ca="1" si="9"/>
        <v>126 Tahun 0 Bulan 23 Hari</v>
      </c>
      <c r="CM62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Margacinta RT/RW  Desa/Kelurahan Margamekar Kecamatan Sumedang Selatan Sumedang Jawa Barat </v>
      </c>
    </row>
    <row r="625" spans="1:91" ht="24.95" hidden="1" customHeight="1">
      <c r="A625" s="89">
        <f>SUBTOTAL(3,N$8:Table2[[#This Row],[Nama lengkap]])</f>
        <v>472</v>
      </c>
      <c r="B625" s="89"/>
      <c r="C625" s="89"/>
      <c r="D625" s="89"/>
      <c r="E625" s="89"/>
      <c r="F625" s="89"/>
      <c r="G625" s="166"/>
      <c r="H625" s="32"/>
      <c r="I625" s="90"/>
      <c r="J625" s="139"/>
      <c r="K625" s="139"/>
      <c r="L625" s="139"/>
      <c r="M625" s="89">
        <v>16170101</v>
      </c>
      <c r="N625" s="91" t="s">
        <v>9139</v>
      </c>
      <c r="O625" s="140"/>
      <c r="P625" s="90"/>
      <c r="Q625" s="90" t="s">
        <v>9491</v>
      </c>
      <c r="R625" s="91" t="s">
        <v>9170</v>
      </c>
      <c r="S625" s="101"/>
      <c r="T625" s="142"/>
      <c r="U625" s="89"/>
      <c r="V625" s="89"/>
      <c r="W625" s="141"/>
      <c r="X625" s="92" t="s">
        <v>432</v>
      </c>
      <c r="Y625" s="92"/>
      <c r="Z625" s="92"/>
      <c r="AA625" s="92" t="s">
        <v>96</v>
      </c>
      <c r="AB625" s="92"/>
      <c r="AC625" s="92"/>
      <c r="AD625" s="92"/>
      <c r="AE625" s="93" t="s">
        <v>9391</v>
      </c>
      <c r="AF625" s="91"/>
      <c r="AG625" s="91" t="s">
        <v>9588</v>
      </c>
      <c r="AH625" s="91"/>
      <c r="AI625" s="92"/>
      <c r="AJ625" s="101"/>
      <c r="AK625" s="90" t="s">
        <v>9789</v>
      </c>
      <c r="AL625" s="93" t="s">
        <v>5298</v>
      </c>
      <c r="AM625" s="91"/>
      <c r="AN625" s="93"/>
      <c r="AO625" s="92"/>
      <c r="AP625" s="93" t="s">
        <v>7698</v>
      </c>
      <c r="AQ625" s="90"/>
      <c r="AR625" s="89" t="s">
        <v>7246</v>
      </c>
      <c r="AS625" s="93" t="s">
        <v>6945</v>
      </c>
      <c r="AT625" s="92" t="s">
        <v>122</v>
      </c>
      <c r="AU625" s="92" t="s">
        <v>111</v>
      </c>
      <c r="AV625" s="92"/>
      <c r="AW625" s="92" t="s">
        <v>9685</v>
      </c>
      <c r="AX625" s="91"/>
      <c r="AY625" s="91"/>
      <c r="AZ625" s="127"/>
      <c r="BA625" s="143" t="s">
        <v>9882</v>
      </c>
      <c r="BB625" s="101" t="s">
        <v>216</v>
      </c>
      <c r="BC625" s="93"/>
      <c r="BD625" s="143"/>
      <c r="BE625" s="92"/>
      <c r="BF625" s="67"/>
      <c r="BG625" s="93" t="s">
        <v>7698</v>
      </c>
      <c r="BH625" s="93"/>
      <c r="BI625" s="91" t="s">
        <v>7246</v>
      </c>
      <c r="BJ625" s="91" t="s">
        <v>6945</v>
      </c>
      <c r="BK625" s="93" t="s">
        <v>122</v>
      </c>
      <c r="BL625" s="91" t="s">
        <v>111</v>
      </c>
      <c r="BM625" s="92"/>
      <c r="BN625" s="64"/>
      <c r="BO625" s="92"/>
      <c r="BP625" s="92"/>
      <c r="BQ625" s="136"/>
      <c r="BR625" s="93"/>
      <c r="BS625" s="92"/>
      <c r="BT625" s="93"/>
      <c r="BU625" s="93"/>
      <c r="BV625" s="92"/>
      <c r="BW625" s="92"/>
      <c r="BX625" s="93"/>
      <c r="BY625" s="92"/>
      <c r="BZ625" s="92"/>
      <c r="CA625" s="93"/>
      <c r="CB625" s="92"/>
      <c r="CC625" s="92"/>
      <c r="CD625" s="92"/>
      <c r="CE625" s="64" t="s">
        <v>7698</v>
      </c>
      <c r="CF625" s="67"/>
      <c r="CG625" s="40" t="s">
        <v>7246</v>
      </c>
      <c r="CH625" s="92" t="s">
        <v>6945</v>
      </c>
      <c r="CI625" s="91" t="s">
        <v>122</v>
      </c>
      <c r="CJ625" s="91" t="s">
        <v>111</v>
      </c>
      <c r="CK625" s="89"/>
      <c r="CL625" s="91" t="str">
        <f t="shared" ca="1" si="9"/>
        <v>126 Tahun 0 Bulan 23 Hari</v>
      </c>
      <c r="CM62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Lingkungan Kaum RT/RW  Desa/Kelurahan Regol Wetan Kecamatan Sumedang Selatan Sumedang Jawa Barat </v>
      </c>
    </row>
    <row r="626" spans="1:91" ht="24.95" hidden="1" customHeight="1">
      <c r="A626" s="89">
        <f>SUBTOTAL(3,N$8:Table2[[#This Row],[Nama lengkap]])</f>
        <v>472</v>
      </c>
      <c r="B626" s="89"/>
      <c r="C626" s="89"/>
      <c r="D626" s="89"/>
      <c r="E626" s="89"/>
      <c r="F626" s="89"/>
      <c r="G626" s="166"/>
      <c r="H626" s="32"/>
      <c r="I626" s="90"/>
      <c r="J626" s="139"/>
      <c r="K626" s="139"/>
      <c r="L626" s="139"/>
      <c r="M626" s="89">
        <v>16170103</v>
      </c>
      <c r="N626" s="91" t="s">
        <v>9140</v>
      </c>
      <c r="O626" s="140"/>
      <c r="P626" s="90"/>
      <c r="Q626" s="90" t="s">
        <v>9492</v>
      </c>
      <c r="R626" s="91" t="s">
        <v>9173</v>
      </c>
      <c r="S626" s="101"/>
      <c r="T626" s="142"/>
      <c r="U626" s="89"/>
      <c r="V626" s="89"/>
      <c r="W626" s="141"/>
      <c r="X626" s="92" t="s">
        <v>303</v>
      </c>
      <c r="Y626" s="92"/>
      <c r="Z626" s="92"/>
      <c r="AA626" s="92" t="s">
        <v>96</v>
      </c>
      <c r="AB626" s="92"/>
      <c r="AC626" s="92"/>
      <c r="AD626" s="92"/>
      <c r="AE626" s="93" t="s">
        <v>9392</v>
      </c>
      <c r="AF626" s="91"/>
      <c r="AG626" s="91" t="s">
        <v>9589</v>
      </c>
      <c r="AH626" s="91"/>
      <c r="AI626" s="92"/>
      <c r="AJ626" s="101"/>
      <c r="AK626" s="90" t="s">
        <v>9790</v>
      </c>
      <c r="AL626" s="93" t="s">
        <v>602</v>
      </c>
      <c r="AM626" s="91"/>
      <c r="AN626" s="93"/>
      <c r="AO626" s="92"/>
      <c r="AP626" s="93" t="s">
        <v>9281</v>
      </c>
      <c r="AQ626" s="90"/>
      <c r="AR626" s="89" t="s">
        <v>6699</v>
      </c>
      <c r="AS626" s="93" t="s">
        <v>6859</v>
      </c>
      <c r="AT626" s="92" t="s">
        <v>6358</v>
      </c>
      <c r="AU626" s="92" t="s">
        <v>111</v>
      </c>
      <c r="AV626" s="92"/>
      <c r="AW626" s="92" t="s">
        <v>9686</v>
      </c>
      <c r="AX626" s="91"/>
      <c r="AY626" s="91"/>
      <c r="AZ626" s="127"/>
      <c r="BA626" s="143" t="s">
        <v>9883</v>
      </c>
      <c r="BB626" s="101" t="s">
        <v>216</v>
      </c>
      <c r="BC626" s="93"/>
      <c r="BD626" s="143"/>
      <c r="BE626" s="92"/>
      <c r="BF626" s="67"/>
      <c r="BG626" s="93" t="s">
        <v>9281</v>
      </c>
      <c r="BH626" s="93"/>
      <c r="BI626" s="91" t="s">
        <v>6699</v>
      </c>
      <c r="BJ626" s="91" t="s">
        <v>6859</v>
      </c>
      <c r="BK626" s="93" t="s">
        <v>6358</v>
      </c>
      <c r="BL626" s="91" t="s">
        <v>111</v>
      </c>
      <c r="BM626" s="92"/>
      <c r="BN626" s="64"/>
      <c r="BO626" s="92"/>
      <c r="BP626" s="92"/>
      <c r="BQ626" s="136"/>
      <c r="BR626" s="93"/>
      <c r="BS626" s="92"/>
      <c r="BT626" s="93"/>
      <c r="BU626" s="93"/>
      <c r="BV626" s="92"/>
      <c r="BW626" s="92"/>
      <c r="BX626" s="93"/>
      <c r="BY626" s="92"/>
      <c r="BZ626" s="92"/>
      <c r="CA626" s="93"/>
      <c r="CB626" s="92"/>
      <c r="CC626" s="92"/>
      <c r="CD626" s="92"/>
      <c r="CE626" s="64" t="s">
        <v>9281</v>
      </c>
      <c r="CF626" s="67"/>
      <c r="CG626" s="40" t="s">
        <v>6699</v>
      </c>
      <c r="CH626" s="92" t="s">
        <v>6859</v>
      </c>
      <c r="CI626" s="91" t="s">
        <v>6358</v>
      </c>
      <c r="CJ626" s="91" t="s">
        <v>111</v>
      </c>
      <c r="CK626" s="89"/>
      <c r="CL626" s="91" t="str">
        <f t="shared" ca="1" si="9"/>
        <v>126 Tahun 0 Bulan 23 Hari</v>
      </c>
      <c r="CM62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Melong Asih Blok 10 NO 62 RT/RW  Desa/Kelurahan Melong Kecamatan Cimahi Selatan Kota Cimahi Jawa Barat </v>
      </c>
    </row>
    <row r="627" spans="1:91" ht="24.95" hidden="1" customHeight="1">
      <c r="A627" s="89">
        <f>SUBTOTAL(3,N$8:Table2[[#This Row],[Nama lengkap]])</f>
        <v>472</v>
      </c>
      <c r="B627" s="89"/>
      <c r="C627" s="89"/>
      <c r="D627" s="89"/>
      <c r="E627" s="89"/>
      <c r="F627" s="89"/>
      <c r="G627" s="166"/>
      <c r="H627" s="32"/>
      <c r="I627" s="90"/>
      <c r="J627" s="139"/>
      <c r="K627" s="139"/>
      <c r="L627" s="139"/>
      <c r="M627" s="89">
        <v>17180122</v>
      </c>
      <c r="N627" s="91" t="s">
        <v>5787</v>
      </c>
      <c r="O627" s="140"/>
      <c r="P627" s="90"/>
      <c r="Q627" s="90" t="s">
        <v>4911</v>
      </c>
      <c r="R627" s="91" t="s">
        <v>9181</v>
      </c>
      <c r="S627" s="101"/>
      <c r="T627" s="142"/>
      <c r="U627" s="89"/>
      <c r="V627" s="89"/>
      <c r="W627" s="141"/>
      <c r="X627" s="92" t="s">
        <v>123</v>
      </c>
      <c r="Y627" s="92"/>
      <c r="Z627" s="92"/>
      <c r="AA627" s="92" t="s">
        <v>96</v>
      </c>
      <c r="AB627" s="92"/>
      <c r="AC627" s="92"/>
      <c r="AD627" s="92"/>
      <c r="AE627" s="93" t="s">
        <v>4913</v>
      </c>
      <c r="AF627" s="91"/>
      <c r="AG627" s="91" t="s">
        <v>8682</v>
      </c>
      <c r="AH627" s="91"/>
      <c r="AI627" s="92"/>
      <c r="AJ627" s="101"/>
      <c r="AK627" s="90" t="s">
        <v>4914</v>
      </c>
      <c r="AL627" s="93" t="s">
        <v>114</v>
      </c>
      <c r="AM627" s="91"/>
      <c r="AN627" s="93"/>
      <c r="AO627" s="92"/>
      <c r="AP627" s="93" t="s">
        <v>9288</v>
      </c>
      <c r="AQ627" s="90"/>
      <c r="AR627" s="89" t="s">
        <v>882</v>
      </c>
      <c r="AS627" s="93" t="s">
        <v>882</v>
      </c>
      <c r="AT627" s="92" t="s">
        <v>122</v>
      </c>
      <c r="AU627" s="92" t="s">
        <v>111</v>
      </c>
      <c r="AV627" s="92"/>
      <c r="AW627" s="92" t="s">
        <v>8186</v>
      </c>
      <c r="AX627" s="91"/>
      <c r="AY627" s="91"/>
      <c r="AZ627" s="127"/>
      <c r="BA627" s="143" t="s">
        <v>4916</v>
      </c>
      <c r="BB627" s="101" t="s">
        <v>216</v>
      </c>
      <c r="BC627" s="93"/>
      <c r="BD627" s="143"/>
      <c r="BE627" s="92"/>
      <c r="BF627" s="67"/>
      <c r="BG627" s="93" t="s">
        <v>9288</v>
      </c>
      <c r="BH627" s="93"/>
      <c r="BI627" s="91" t="s">
        <v>882</v>
      </c>
      <c r="BJ627" s="91" t="s">
        <v>882</v>
      </c>
      <c r="BK627" s="93" t="s">
        <v>122</v>
      </c>
      <c r="BL627" s="91" t="s">
        <v>111</v>
      </c>
      <c r="BM627" s="92"/>
      <c r="BN627" s="64"/>
      <c r="BO627" s="92"/>
      <c r="BP627" s="92"/>
      <c r="BQ627" s="136"/>
      <c r="BR627" s="93"/>
      <c r="BS627" s="92"/>
      <c r="BT627" s="93"/>
      <c r="BU627" s="93"/>
      <c r="BV627" s="92"/>
      <c r="BW627" s="92"/>
      <c r="BX627" s="93"/>
      <c r="BY627" s="92"/>
      <c r="BZ627" s="92"/>
      <c r="CA627" s="93"/>
      <c r="CB627" s="92"/>
      <c r="CC627" s="92"/>
      <c r="CD627" s="92"/>
      <c r="CE627" s="64" t="s">
        <v>9288</v>
      </c>
      <c r="CF627" s="67"/>
      <c r="CG627" s="40" t="s">
        <v>882</v>
      </c>
      <c r="CH627" s="92" t="s">
        <v>882</v>
      </c>
      <c r="CI627" s="91" t="s">
        <v>122</v>
      </c>
      <c r="CJ627" s="91" t="s">
        <v>111</v>
      </c>
      <c r="CK627" s="89"/>
      <c r="CL627" s="91" t="str">
        <f t="shared" ca="1" si="9"/>
        <v>126 Tahun 0 Bulan 23 Hari</v>
      </c>
      <c r="CM62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Boma RT/RW  Desa/Kelurahan Pamulihan Kecamatan Pamulihan Sumedang Jawa Barat </v>
      </c>
    </row>
    <row r="628" spans="1:91" ht="24.95" hidden="1" customHeight="1">
      <c r="A628" s="89">
        <f>SUBTOTAL(3,N$8:Table2[[#This Row],[Nama lengkap]])</f>
        <v>472</v>
      </c>
      <c r="B628" s="89"/>
      <c r="C628" s="89"/>
      <c r="D628" s="89"/>
      <c r="E628" s="89"/>
      <c r="F628" s="89"/>
      <c r="G628" s="166"/>
      <c r="H628" s="32"/>
      <c r="I628" s="90"/>
      <c r="J628" s="139"/>
      <c r="K628" s="139"/>
      <c r="L628" s="139"/>
      <c r="M628" s="89">
        <v>15160073</v>
      </c>
      <c r="N628" s="91" t="s">
        <v>9107</v>
      </c>
      <c r="O628" s="140"/>
      <c r="P628" s="90"/>
      <c r="Q628" s="90" t="s">
        <v>9458</v>
      </c>
      <c r="R628" s="91" t="s">
        <v>9172</v>
      </c>
      <c r="S628" s="101"/>
      <c r="T628" s="142"/>
      <c r="U628" s="89"/>
      <c r="V628" s="89"/>
      <c r="W628" s="141"/>
      <c r="X628" s="92" t="s">
        <v>303</v>
      </c>
      <c r="Y628" s="92"/>
      <c r="Z628" s="92"/>
      <c r="AA628" s="92" t="s">
        <v>96</v>
      </c>
      <c r="AB628" s="92"/>
      <c r="AC628" s="92"/>
      <c r="AD628" s="92"/>
      <c r="AE628" s="93" t="s">
        <v>9360</v>
      </c>
      <c r="AF628" s="91"/>
      <c r="AG628" s="91" t="s">
        <v>9557</v>
      </c>
      <c r="AH628" s="91"/>
      <c r="AI628" s="92"/>
      <c r="AJ628" s="101"/>
      <c r="AK628" s="90" t="s">
        <v>9757</v>
      </c>
      <c r="AL628" s="93" t="s">
        <v>602</v>
      </c>
      <c r="AM628" s="91"/>
      <c r="AN628" s="93"/>
      <c r="AO628" s="92"/>
      <c r="AP628" s="93" t="s">
        <v>9239</v>
      </c>
      <c r="AQ628" s="90"/>
      <c r="AR628" s="89" t="s">
        <v>9240</v>
      </c>
      <c r="AS628" s="93" t="s">
        <v>7050</v>
      </c>
      <c r="AT628" s="92" t="s">
        <v>90</v>
      </c>
      <c r="AU628" s="92" t="s">
        <v>111</v>
      </c>
      <c r="AV628" s="92"/>
      <c r="AW628" s="92" t="s">
        <v>9655</v>
      </c>
      <c r="AX628" s="91"/>
      <c r="AY628" s="91"/>
      <c r="AZ628" s="127"/>
      <c r="BA628" s="143" t="s">
        <v>9850</v>
      </c>
      <c r="BB628" s="101" t="s">
        <v>216</v>
      </c>
      <c r="BC628" s="93"/>
      <c r="BD628" s="143"/>
      <c r="BE628" s="92"/>
      <c r="BF628" s="67"/>
      <c r="BG628" s="93" t="s">
        <v>9239</v>
      </c>
      <c r="BH628" s="93"/>
      <c r="BI628" s="91" t="s">
        <v>9240</v>
      </c>
      <c r="BJ628" s="91" t="s">
        <v>7050</v>
      </c>
      <c r="BK628" s="93" t="s">
        <v>90</v>
      </c>
      <c r="BL628" s="91" t="s">
        <v>111</v>
      </c>
      <c r="BM628" s="92"/>
      <c r="BN628" s="64"/>
      <c r="BO628" s="92"/>
      <c r="BP628" s="92"/>
      <c r="BQ628" s="136"/>
      <c r="BR628" s="93"/>
      <c r="BS628" s="92"/>
      <c r="BT628" s="93"/>
      <c r="BU628" s="93"/>
      <c r="BV628" s="92"/>
      <c r="BW628" s="92"/>
      <c r="BX628" s="93"/>
      <c r="BY628" s="92"/>
      <c r="BZ628" s="92"/>
      <c r="CA628" s="93"/>
      <c r="CB628" s="92"/>
      <c r="CC628" s="92"/>
      <c r="CD628" s="92"/>
      <c r="CE628" s="64" t="s">
        <v>9239</v>
      </c>
      <c r="CF628" s="67"/>
      <c r="CG628" s="40" t="s">
        <v>9240</v>
      </c>
      <c r="CH628" s="92" t="s">
        <v>7050</v>
      </c>
      <c r="CI628" s="91" t="s">
        <v>90</v>
      </c>
      <c r="CJ628" s="91" t="s">
        <v>111</v>
      </c>
      <c r="CK628" s="89"/>
      <c r="CL628" s="91" t="str">
        <f t="shared" ca="1" si="9"/>
        <v>126 Tahun 0 Bulan 23 Hari</v>
      </c>
      <c r="CM62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Pasir Kawung Endah RT/RW  Desa/Kelurahan Cimekar Kecamatan Cileunyi Bandung Jawa Barat </v>
      </c>
    </row>
    <row r="629" spans="1:91" ht="24.95" hidden="1" customHeight="1">
      <c r="A629" s="89">
        <f>SUBTOTAL(3,N$8:Table2[[#This Row],[Nama lengkap]])</f>
        <v>472</v>
      </c>
      <c r="B629" s="89"/>
      <c r="C629" s="89"/>
      <c r="D629" s="89"/>
      <c r="E629" s="89"/>
      <c r="F629" s="89"/>
      <c r="G629" s="166"/>
      <c r="H629" s="32"/>
      <c r="I629" s="90"/>
      <c r="J629" s="139"/>
      <c r="K629" s="139"/>
      <c r="L629" s="139"/>
      <c r="M629" s="89">
        <v>16170105</v>
      </c>
      <c r="N629" s="91" t="s">
        <v>9162</v>
      </c>
      <c r="O629" s="140"/>
      <c r="P629" s="90"/>
      <c r="Q629" s="90" t="s">
        <v>9514</v>
      </c>
      <c r="R629" s="91" t="s">
        <v>122</v>
      </c>
      <c r="S629" s="101"/>
      <c r="T629" s="142"/>
      <c r="U629" s="89"/>
      <c r="V629" s="89"/>
      <c r="W629" s="141"/>
      <c r="X629" s="92" t="s">
        <v>984</v>
      </c>
      <c r="Y629" s="92"/>
      <c r="Z629" s="92"/>
      <c r="AA629" s="92" t="s">
        <v>96</v>
      </c>
      <c r="AB629" s="92"/>
      <c r="AC629" s="92"/>
      <c r="AD629" s="92"/>
      <c r="AE629" s="93" t="s">
        <v>9410</v>
      </c>
      <c r="AF629" s="91"/>
      <c r="AG629" s="91" t="s">
        <v>9609</v>
      </c>
      <c r="AH629" s="91"/>
      <c r="AI629" s="92"/>
      <c r="AJ629" s="101"/>
      <c r="AK629" s="90" t="s">
        <v>9809</v>
      </c>
      <c r="AL629" s="93" t="s">
        <v>114</v>
      </c>
      <c r="AM629" s="91"/>
      <c r="AN629" s="93"/>
      <c r="AO629" s="92"/>
      <c r="AP629" s="93" t="s">
        <v>7479</v>
      </c>
      <c r="AQ629" s="90"/>
      <c r="AR629" s="89" t="s">
        <v>7161</v>
      </c>
      <c r="AS629" s="93" t="s">
        <v>593</v>
      </c>
      <c r="AT629" s="92" t="s">
        <v>122</v>
      </c>
      <c r="AU629" s="92" t="s">
        <v>111</v>
      </c>
      <c r="AV629" s="92"/>
      <c r="AW629" s="92" t="s">
        <v>8198</v>
      </c>
      <c r="AX629" s="91"/>
      <c r="AY629" s="91"/>
      <c r="AZ629" s="127"/>
      <c r="BA629" s="143" t="s">
        <v>9903</v>
      </c>
      <c r="BB629" s="101" t="s">
        <v>216</v>
      </c>
      <c r="BC629" s="93"/>
      <c r="BD629" s="143"/>
      <c r="BE629" s="92"/>
      <c r="BF629" s="67"/>
      <c r="BG629" s="93" t="s">
        <v>7479</v>
      </c>
      <c r="BH629" s="93"/>
      <c r="BI629" s="91" t="s">
        <v>7161</v>
      </c>
      <c r="BJ629" s="91" t="s">
        <v>593</v>
      </c>
      <c r="BK629" s="93" t="s">
        <v>122</v>
      </c>
      <c r="BL629" s="91" t="s">
        <v>111</v>
      </c>
      <c r="BM629" s="92"/>
      <c r="BN629" s="64"/>
      <c r="BO629" s="92"/>
      <c r="BP629" s="92"/>
      <c r="BQ629" s="136"/>
      <c r="BR629" s="93"/>
      <c r="BS629" s="92"/>
      <c r="BT629" s="93"/>
      <c r="BU629" s="93"/>
      <c r="BV629" s="92"/>
      <c r="BW629" s="92"/>
      <c r="BX629" s="93"/>
      <c r="BY629" s="92"/>
      <c r="BZ629" s="92"/>
      <c r="CA629" s="93"/>
      <c r="CB629" s="92"/>
      <c r="CC629" s="92"/>
      <c r="CD629" s="92"/>
      <c r="CE629" s="64" t="s">
        <v>7479</v>
      </c>
      <c r="CF629" s="67"/>
      <c r="CG629" s="40" t="s">
        <v>7161</v>
      </c>
      <c r="CH629" s="92" t="s">
        <v>593</v>
      </c>
      <c r="CI629" s="91" t="s">
        <v>122</v>
      </c>
      <c r="CJ629" s="91" t="s">
        <v>111</v>
      </c>
      <c r="CK629" s="89"/>
      <c r="CL629" s="91" t="str">
        <f t="shared" ca="1" si="9"/>
        <v>126 Tahun 0 Bulan 23 Hari</v>
      </c>
      <c r="CM629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Cijolang RT/RW  Desa/Kelurahan Margaluyu Kecamatan Tanjungsari Sumedang Jawa Barat </v>
      </c>
    </row>
    <row r="630" spans="1:91" ht="24.95" hidden="1" customHeight="1">
      <c r="A630" s="89">
        <f>SUBTOTAL(3,N$8:Table2[[#This Row],[Nama lengkap]])</f>
        <v>472</v>
      </c>
      <c r="B630" s="89"/>
      <c r="C630" s="89"/>
      <c r="D630" s="89"/>
      <c r="E630" s="89"/>
      <c r="F630" s="89"/>
      <c r="G630" s="166"/>
      <c r="H630" s="32"/>
      <c r="I630" s="90"/>
      <c r="J630" s="139"/>
      <c r="K630" s="139"/>
      <c r="L630" s="139"/>
      <c r="M630" s="89">
        <v>16170106</v>
      </c>
      <c r="N630" s="91" t="s">
        <v>9141</v>
      </c>
      <c r="O630" s="140"/>
      <c r="P630" s="90"/>
      <c r="Q630" s="90" t="s">
        <v>9493</v>
      </c>
      <c r="R630" s="91" t="s">
        <v>9172</v>
      </c>
      <c r="S630" s="101"/>
      <c r="T630" s="142"/>
      <c r="U630" s="89"/>
      <c r="V630" s="89"/>
      <c r="W630" s="141"/>
      <c r="X630" s="92" t="s">
        <v>93</v>
      </c>
      <c r="Y630" s="92"/>
      <c r="Z630" s="92"/>
      <c r="AA630" s="92" t="s">
        <v>96</v>
      </c>
      <c r="AB630" s="92"/>
      <c r="AC630" s="92"/>
      <c r="AD630" s="92"/>
      <c r="AE630" s="93" t="s">
        <v>1777</v>
      </c>
      <c r="AF630" s="91"/>
      <c r="AG630" s="91" t="s">
        <v>8387</v>
      </c>
      <c r="AH630" s="91"/>
      <c r="AI630" s="92"/>
      <c r="AJ630" s="101"/>
      <c r="AK630" s="90" t="s">
        <v>1778</v>
      </c>
      <c r="AL630" s="93" t="s">
        <v>602</v>
      </c>
      <c r="AM630" s="91"/>
      <c r="AN630" s="93"/>
      <c r="AO630" s="92"/>
      <c r="AP630" s="93" t="s">
        <v>9282</v>
      </c>
      <c r="AQ630" s="90"/>
      <c r="AR630" s="89" t="s">
        <v>917</v>
      </c>
      <c r="AS630" s="93" t="s">
        <v>6492</v>
      </c>
      <c r="AT630" s="92" t="s">
        <v>6772</v>
      </c>
      <c r="AU630" s="92" t="s">
        <v>111</v>
      </c>
      <c r="AV630" s="92"/>
      <c r="AW630" s="92" t="s">
        <v>9687</v>
      </c>
      <c r="AX630" s="91"/>
      <c r="AY630" s="91"/>
      <c r="AZ630" s="127"/>
      <c r="BA630" s="143" t="s">
        <v>1782</v>
      </c>
      <c r="BB630" s="101" t="s">
        <v>216</v>
      </c>
      <c r="BC630" s="93"/>
      <c r="BD630" s="143"/>
      <c r="BE630" s="92"/>
      <c r="BF630" s="67"/>
      <c r="BG630" s="93" t="s">
        <v>9282</v>
      </c>
      <c r="BH630" s="93"/>
      <c r="BI630" s="91" t="s">
        <v>917</v>
      </c>
      <c r="BJ630" s="91" t="s">
        <v>6492</v>
      </c>
      <c r="BK630" s="93" t="s">
        <v>6772</v>
      </c>
      <c r="BL630" s="91" t="s">
        <v>111</v>
      </c>
      <c r="BM630" s="92"/>
      <c r="BN630" s="64"/>
      <c r="BO630" s="92"/>
      <c r="BP630" s="92"/>
      <c r="BQ630" s="136"/>
      <c r="BR630" s="93"/>
      <c r="BS630" s="92"/>
      <c r="BT630" s="93"/>
      <c r="BU630" s="93"/>
      <c r="BV630" s="92"/>
      <c r="BW630" s="92"/>
      <c r="BX630" s="93"/>
      <c r="BY630" s="92"/>
      <c r="BZ630" s="92"/>
      <c r="CA630" s="93"/>
      <c r="CB630" s="92"/>
      <c r="CC630" s="92"/>
      <c r="CD630" s="92"/>
      <c r="CE630" s="64" t="s">
        <v>9282</v>
      </c>
      <c r="CF630" s="67"/>
      <c r="CG630" s="40" t="s">
        <v>917</v>
      </c>
      <c r="CH630" s="92" t="s">
        <v>6492</v>
      </c>
      <c r="CI630" s="91" t="s">
        <v>6772</v>
      </c>
      <c r="CJ630" s="91" t="s">
        <v>111</v>
      </c>
      <c r="CK630" s="89"/>
      <c r="CL630" s="91" t="str">
        <f t="shared" ca="1" si="9"/>
        <v>126 Tahun 0 Bulan 23 Hari</v>
      </c>
      <c r="CM630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linka Darangdan RT/RW  Desa/Kelurahan Kota Kaler Kecamatan Sumedang selatan sumedang Jawa Barat </v>
      </c>
    </row>
    <row r="631" spans="1:91" ht="24.95" hidden="1" customHeight="1">
      <c r="A631" s="89">
        <f>SUBTOTAL(3,N$8:Table2[[#This Row],[Nama lengkap]])</f>
        <v>472</v>
      </c>
      <c r="B631" s="89"/>
      <c r="C631" s="89"/>
      <c r="D631" s="89"/>
      <c r="E631" s="89"/>
      <c r="F631" s="89"/>
      <c r="G631" s="166"/>
      <c r="H631" s="32"/>
      <c r="I631" s="90"/>
      <c r="J631" s="139"/>
      <c r="K631" s="139"/>
      <c r="L631" s="139"/>
      <c r="M631" s="89">
        <v>17180125</v>
      </c>
      <c r="N631" s="91" t="s">
        <v>9161</v>
      </c>
      <c r="O631" s="140"/>
      <c r="P631" s="90"/>
      <c r="Q631" s="90" t="s">
        <v>9513</v>
      </c>
      <c r="R631" s="91" t="s">
        <v>9172</v>
      </c>
      <c r="S631" s="101"/>
      <c r="T631" s="142"/>
      <c r="U631" s="89"/>
      <c r="V631" s="89"/>
      <c r="W631" s="141"/>
      <c r="X631" s="92" t="s">
        <v>984</v>
      </c>
      <c r="Y631" s="92"/>
      <c r="Z631" s="92"/>
      <c r="AA631" s="92" t="s">
        <v>96</v>
      </c>
      <c r="AB631" s="92"/>
      <c r="AC631" s="92"/>
      <c r="AD631" s="92"/>
      <c r="AE631" s="93" t="s">
        <v>9409</v>
      </c>
      <c r="AF631" s="91"/>
      <c r="AG631" s="91" t="s">
        <v>9608</v>
      </c>
      <c r="AH631" s="91"/>
      <c r="AI631" s="92"/>
      <c r="AJ631" s="101"/>
      <c r="AK631" s="90" t="s">
        <v>9808</v>
      </c>
      <c r="AL631" s="93" t="s">
        <v>114</v>
      </c>
      <c r="AM631" s="91"/>
      <c r="AN631" s="93"/>
      <c r="AO631" s="92"/>
      <c r="AP631" s="93" t="s">
        <v>9303</v>
      </c>
      <c r="AQ631" s="90"/>
      <c r="AR631" s="89" t="s">
        <v>592</v>
      </c>
      <c r="AS631" s="93" t="s">
        <v>6611</v>
      </c>
      <c r="AT631" s="92" t="s">
        <v>155</v>
      </c>
      <c r="AU631" s="92" t="s">
        <v>111</v>
      </c>
      <c r="AV631" s="92"/>
      <c r="AW631" s="92" t="s">
        <v>9705</v>
      </c>
      <c r="AX631" s="91"/>
      <c r="AY631" s="91"/>
      <c r="AZ631" s="127"/>
      <c r="BA631" s="143" t="s">
        <v>9902</v>
      </c>
      <c r="BB631" s="101" t="s">
        <v>216</v>
      </c>
      <c r="BC631" s="93"/>
      <c r="BD631" s="143"/>
      <c r="BE631" s="92"/>
      <c r="BF631" s="67"/>
      <c r="BG631" s="93" t="s">
        <v>9303</v>
      </c>
      <c r="BH631" s="93"/>
      <c r="BI631" s="91" t="s">
        <v>592</v>
      </c>
      <c r="BJ631" s="91" t="s">
        <v>6611</v>
      </c>
      <c r="BK631" s="93" t="s">
        <v>155</v>
      </c>
      <c r="BL631" s="91" t="s">
        <v>111</v>
      </c>
      <c r="BM631" s="92"/>
      <c r="BN631" s="64"/>
      <c r="BO631" s="92"/>
      <c r="BP631" s="92"/>
      <c r="BQ631" s="136"/>
      <c r="BR631" s="93"/>
      <c r="BS631" s="92"/>
      <c r="BT631" s="93"/>
      <c r="BU631" s="93"/>
      <c r="BV631" s="92"/>
      <c r="BW631" s="92"/>
      <c r="BX631" s="93"/>
      <c r="BY631" s="92"/>
      <c r="BZ631" s="92"/>
      <c r="CA631" s="93"/>
      <c r="CB631" s="92"/>
      <c r="CC631" s="92"/>
      <c r="CD631" s="92"/>
      <c r="CE631" s="64" t="s">
        <v>9303</v>
      </c>
      <c r="CF631" s="67"/>
      <c r="CG631" s="40" t="s">
        <v>592</v>
      </c>
      <c r="CH631" s="92" t="s">
        <v>6611</v>
      </c>
      <c r="CI631" s="91" t="s">
        <v>155</v>
      </c>
      <c r="CJ631" s="91" t="s">
        <v>111</v>
      </c>
      <c r="CK631" s="89"/>
      <c r="CL631" s="91" t="str">
        <f t="shared" ca="1" si="9"/>
        <v>126 Tahun 0 Bulan 23 Hari</v>
      </c>
      <c r="CM63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Caringin, Babakan RT/RW  Desa/Kelurahan Margajaya Kecamatan Ngamprah Bandung Barat Jawa Barat </v>
      </c>
    </row>
    <row r="632" spans="1:91" ht="24.95" hidden="1" customHeight="1">
      <c r="A632" s="89">
        <f>SUBTOTAL(3,N$8:Table2[[#This Row],[Nama lengkap]])</f>
        <v>472</v>
      </c>
      <c r="B632" s="89"/>
      <c r="C632" s="89"/>
      <c r="D632" s="89"/>
      <c r="E632" s="89"/>
      <c r="F632" s="89"/>
      <c r="G632" s="166"/>
      <c r="H632" s="32"/>
      <c r="I632" s="90"/>
      <c r="J632" s="139"/>
      <c r="K632" s="139"/>
      <c r="L632" s="139"/>
      <c r="M632" s="89">
        <v>15160076</v>
      </c>
      <c r="N632" s="91" t="s">
        <v>9108</v>
      </c>
      <c r="O632" s="140"/>
      <c r="P632" s="90"/>
      <c r="Q632" s="90" t="s">
        <v>9459</v>
      </c>
      <c r="R632" s="91" t="s">
        <v>9172</v>
      </c>
      <c r="S632" s="101"/>
      <c r="T632" s="142"/>
      <c r="U632" s="89"/>
      <c r="V632" s="89"/>
      <c r="W632" s="141"/>
      <c r="X632" s="92" t="s">
        <v>93</v>
      </c>
      <c r="Y632" s="92"/>
      <c r="Z632" s="92"/>
      <c r="AA632" s="92" t="s">
        <v>96</v>
      </c>
      <c r="AB632" s="92"/>
      <c r="AC632" s="92"/>
      <c r="AD632" s="92"/>
      <c r="AE632" s="93" t="s">
        <v>9361</v>
      </c>
      <c r="AF632" s="91"/>
      <c r="AG632" s="91" t="s">
        <v>9558</v>
      </c>
      <c r="AH632" s="91"/>
      <c r="AI632" s="92"/>
      <c r="AJ632" s="101"/>
      <c r="AK632" s="90" t="s">
        <v>9758</v>
      </c>
      <c r="AL632" s="93" t="s">
        <v>343</v>
      </c>
      <c r="AM632" s="91"/>
      <c r="AN632" s="93"/>
      <c r="AO632" s="92"/>
      <c r="AP632" s="93" t="s">
        <v>9241</v>
      </c>
      <c r="AQ632" s="90"/>
      <c r="AR632" s="89" t="s">
        <v>9242</v>
      </c>
      <c r="AS632" s="93" t="s">
        <v>7248</v>
      </c>
      <c r="AT632" s="92" t="s">
        <v>644</v>
      </c>
      <c r="AU632" s="92" t="s">
        <v>111</v>
      </c>
      <c r="AV632" s="92"/>
      <c r="AW632" s="92" t="s">
        <v>9656</v>
      </c>
      <c r="AX632" s="91"/>
      <c r="AY632" s="91"/>
      <c r="AZ632" s="127"/>
      <c r="BA632" s="143" t="s">
        <v>9851</v>
      </c>
      <c r="BB632" s="101" t="s">
        <v>216</v>
      </c>
      <c r="BC632" s="93"/>
      <c r="BD632" s="143"/>
      <c r="BE632" s="92"/>
      <c r="BF632" s="67"/>
      <c r="BG632" s="93" t="s">
        <v>9241</v>
      </c>
      <c r="BH632" s="93"/>
      <c r="BI632" s="91" t="s">
        <v>9242</v>
      </c>
      <c r="BJ632" s="91" t="s">
        <v>7248</v>
      </c>
      <c r="BK632" s="93" t="s">
        <v>644</v>
      </c>
      <c r="BL632" s="91" t="s">
        <v>111</v>
      </c>
      <c r="BM632" s="92"/>
      <c r="BN632" s="64"/>
      <c r="BO632" s="92"/>
      <c r="BP632" s="92"/>
      <c r="BQ632" s="136"/>
      <c r="BR632" s="93"/>
      <c r="BS632" s="92"/>
      <c r="BT632" s="93"/>
      <c r="BU632" s="93"/>
      <c r="BV632" s="92"/>
      <c r="BW632" s="92"/>
      <c r="BX632" s="93"/>
      <c r="BY632" s="92"/>
      <c r="BZ632" s="92"/>
      <c r="CA632" s="93"/>
      <c r="CB632" s="92"/>
      <c r="CC632" s="92"/>
      <c r="CD632" s="92"/>
      <c r="CE632" s="64" t="s">
        <v>9241</v>
      </c>
      <c r="CF632" s="67"/>
      <c r="CG632" s="40" t="s">
        <v>9242</v>
      </c>
      <c r="CH632" s="92" t="s">
        <v>7248</v>
      </c>
      <c r="CI632" s="91" t="s">
        <v>644</v>
      </c>
      <c r="CJ632" s="91" t="s">
        <v>111</v>
      </c>
      <c r="CK632" s="89"/>
      <c r="CL632" s="91" t="str">
        <f t="shared" ca="1" si="9"/>
        <v>126 Tahun 0 Bulan 23 Hari</v>
      </c>
      <c r="CM63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Citepus RT/RW  Desa/Kelurahan Pajajaran Kecamatan Cicendo Kota Bandung Jawa Barat </v>
      </c>
    </row>
    <row r="633" spans="1:91" ht="24.95" hidden="1" customHeight="1">
      <c r="A633" s="89">
        <f>SUBTOTAL(3,N$8:Table2[[#This Row],[Nama lengkap]])</f>
        <v>472</v>
      </c>
      <c r="B633" s="89"/>
      <c r="C633" s="89"/>
      <c r="D633" s="89"/>
      <c r="E633" s="89"/>
      <c r="F633" s="89"/>
      <c r="G633" s="166"/>
      <c r="H633" s="32"/>
      <c r="I633" s="90"/>
      <c r="J633" s="139"/>
      <c r="K633" s="139"/>
      <c r="L633" s="139"/>
      <c r="M633" s="89">
        <v>17180126</v>
      </c>
      <c r="N633" s="91" t="s">
        <v>5788</v>
      </c>
      <c r="O633" s="140"/>
      <c r="P633" s="90"/>
      <c r="Q633" s="90" t="s">
        <v>4920</v>
      </c>
      <c r="R633" s="91" t="s">
        <v>9177</v>
      </c>
      <c r="S633" s="101"/>
      <c r="T633" s="142"/>
      <c r="U633" s="89"/>
      <c r="V633" s="89"/>
      <c r="W633" s="141"/>
      <c r="X633" s="92" t="s">
        <v>984</v>
      </c>
      <c r="Y633" s="92"/>
      <c r="Z633" s="92"/>
      <c r="AA633" s="92" t="s">
        <v>96</v>
      </c>
      <c r="AB633" s="92"/>
      <c r="AC633" s="92"/>
      <c r="AD633" s="92"/>
      <c r="AE633" s="93" t="s">
        <v>4922</v>
      </c>
      <c r="AF633" s="91"/>
      <c r="AG633" s="91" t="s">
        <v>8689</v>
      </c>
      <c r="AH633" s="91"/>
      <c r="AI633" s="92"/>
      <c r="AJ633" s="101"/>
      <c r="AK633" s="90" t="s">
        <v>4923</v>
      </c>
      <c r="AL633" s="93" t="s">
        <v>9722</v>
      </c>
      <c r="AM633" s="91"/>
      <c r="AN633" s="93"/>
      <c r="AO633" s="92"/>
      <c r="AP633" s="93" t="s">
        <v>9304</v>
      </c>
      <c r="AQ633" s="90"/>
      <c r="AR633" s="89" t="s">
        <v>9305</v>
      </c>
      <c r="AS633" s="93" t="s">
        <v>6611</v>
      </c>
      <c r="AT633" s="92" t="s">
        <v>155</v>
      </c>
      <c r="AU633" s="92" t="s">
        <v>111</v>
      </c>
      <c r="AV633" s="92"/>
      <c r="AW633" s="92" t="s">
        <v>8187</v>
      </c>
      <c r="AX633" s="91"/>
      <c r="AY633" s="91"/>
      <c r="AZ633" s="127"/>
      <c r="BA633" s="143" t="s">
        <v>4926</v>
      </c>
      <c r="BB633" s="101" t="s">
        <v>216</v>
      </c>
      <c r="BC633" s="93"/>
      <c r="BD633" s="143"/>
      <c r="BE633" s="92"/>
      <c r="BF633" s="67"/>
      <c r="BG633" s="93" t="s">
        <v>9304</v>
      </c>
      <c r="BH633" s="93"/>
      <c r="BI633" s="91" t="s">
        <v>9305</v>
      </c>
      <c r="BJ633" s="91" t="s">
        <v>6611</v>
      </c>
      <c r="BK633" s="93" t="s">
        <v>155</v>
      </c>
      <c r="BL633" s="91" t="s">
        <v>111</v>
      </c>
      <c r="BM633" s="92"/>
      <c r="BN633" s="64"/>
      <c r="BO633" s="92"/>
      <c r="BP633" s="92"/>
      <c r="BQ633" s="136"/>
      <c r="BR633" s="93"/>
      <c r="BS633" s="92"/>
      <c r="BT633" s="93"/>
      <c r="BU633" s="93"/>
      <c r="BV633" s="92"/>
      <c r="BW633" s="92"/>
      <c r="BX633" s="93"/>
      <c r="BY633" s="92"/>
      <c r="BZ633" s="92"/>
      <c r="CA633" s="93"/>
      <c r="CB633" s="92"/>
      <c r="CC633" s="92"/>
      <c r="CD633" s="92"/>
      <c r="CE633" s="64" t="s">
        <v>9304</v>
      </c>
      <c r="CF633" s="67"/>
      <c r="CG633" s="40" t="s">
        <v>9305</v>
      </c>
      <c r="CH633" s="92" t="s">
        <v>6611</v>
      </c>
      <c r="CI633" s="91" t="s">
        <v>155</v>
      </c>
      <c r="CJ633" s="91" t="s">
        <v>111</v>
      </c>
      <c r="CK633" s="89"/>
      <c r="CL633" s="91" t="str">
        <f t="shared" ca="1" si="9"/>
        <v>126 Tahun 0 Bulan 23 Hari</v>
      </c>
      <c r="CM633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Graha Bukit Raya RT/RW  Desa/Kelurahan Cilame Kecamatan Ngamprah Bandung Barat Jawa Barat </v>
      </c>
    </row>
    <row r="634" spans="1:91" ht="24.95" hidden="1" customHeight="1">
      <c r="A634" s="89">
        <f>SUBTOTAL(3,N$8:Table2[[#This Row],[Nama lengkap]])</f>
        <v>472</v>
      </c>
      <c r="B634" s="89"/>
      <c r="C634" s="89"/>
      <c r="D634" s="89"/>
      <c r="E634" s="89"/>
      <c r="F634" s="89"/>
      <c r="G634" s="166"/>
      <c r="H634" s="32"/>
      <c r="I634" s="90"/>
      <c r="J634" s="139"/>
      <c r="K634" s="139"/>
      <c r="L634" s="139"/>
      <c r="M634" s="89">
        <v>16170109</v>
      </c>
      <c r="N634" s="91" t="s">
        <v>9142</v>
      </c>
      <c r="O634" s="140"/>
      <c r="P634" s="90" t="s">
        <v>9915</v>
      </c>
      <c r="Q634" s="90" t="s">
        <v>9494</v>
      </c>
      <c r="R634" s="91" t="s">
        <v>9170</v>
      </c>
      <c r="S634" s="101"/>
      <c r="T634" s="142"/>
      <c r="U634" s="89"/>
      <c r="V634" s="89"/>
      <c r="W634" s="141"/>
      <c r="X634" s="92" t="s">
        <v>123</v>
      </c>
      <c r="Y634" s="92"/>
      <c r="Z634" s="92"/>
      <c r="AA634" s="92" t="s">
        <v>1141</v>
      </c>
      <c r="AB634" s="92"/>
      <c r="AC634" s="92"/>
      <c r="AD634" s="92"/>
      <c r="AE634" s="93" t="s">
        <v>9393</v>
      </c>
      <c r="AF634" s="91"/>
      <c r="AG634" s="91" t="s">
        <v>8533</v>
      </c>
      <c r="AH634" s="91"/>
      <c r="AI634" s="92"/>
      <c r="AJ634" s="101"/>
      <c r="AK634" s="90" t="s">
        <v>9791</v>
      </c>
      <c r="AL634" s="93" t="s">
        <v>602</v>
      </c>
      <c r="AM634" s="91"/>
      <c r="AN634" s="93"/>
      <c r="AO634" s="92"/>
      <c r="AP634" s="93" t="s">
        <v>9283</v>
      </c>
      <c r="AQ634" s="90"/>
      <c r="AR634" s="89" t="s">
        <v>9284</v>
      </c>
      <c r="AS634" s="93" t="s">
        <v>7248</v>
      </c>
      <c r="AT634" s="92" t="s">
        <v>90</v>
      </c>
      <c r="AU634" s="92" t="s">
        <v>111</v>
      </c>
      <c r="AV634" s="92"/>
      <c r="AW634" s="92" t="s">
        <v>9688</v>
      </c>
      <c r="AX634" s="91"/>
      <c r="AY634" s="91"/>
      <c r="AZ634" s="127"/>
      <c r="BA634" s="143" t="s">
        <v>9884</v>
      </c>
      <c r="BB634" s="101" t="s">
        <v>216</v>
      </c>
      <c r="BC634" s="93"/>
      <c r="BD634" s="143"/>
      <c r="BE634" s="92"/>
      <c r="BF634" s="67"/>
      <c r="BG634" s="93" t="s">
        <v>9283</v>
      </c>
      <c r="BH634" s="93"/>
      <c r="BI634" s="91" t="s">
        <v>9284</v>
      </c>
      <c r="BJ634" s="91" t="s">
        <v>7248</v>
      </c>
      <c r="BK634" s="93" t="s">
        <v>90</v>
      </c>
      <c r="BL634" s="91" t="s">
        <v>111</v>
      </c>
      <c r="BM634" s="92"/>
      <c r="BN634" s="64"/>
      <c r="BO634" s="92"/>
      <c r="BP634" s="92"/>
      <c r="BQ634" s="136"/>
      <c r="BR634" s="93"/>
      <c r="BS634" s="92"/>
      <c r="BT634" s="93"/>
      <c r="BU634" s="93"/>
      <c r="BV634" s="92"/>
      <c r="BW634" s="92"/>
      <c r="BX634" s="93"/>
      <c r="BY634" s="92"/>
      <c r="BZ634" s="92"/>
      <c r="CA634" s="93"/>
      <c r="CB634" s="92"/>
      <c r="CC634" s="92"/>
      <c r="CD634" s="92"/>
      <c r="CE634" s="64" t="s">
        <v>9283</v>
      </c>
      <c r="CF634" s="67"/>
      <c r="CG634" s="40" t="s">
        <v>9284</v>
      </c>
      <c r="CH634" s="92" t="s">
        <v>7248</v>
      </c>
      <c r="CI634" s="91" t="s">
        <v>90</v>
      </c>
      <c r="CJ634" s="91" t="s">
        <v>111</v>
      </c>
      <c r="CK634" s="89"/>
      <c r="CL634" s="91" t="str">
        <f t="shared" ca="1" si="9"/>
        <v>126 Tahun 0 Bulan 23 Hari</v>
      </c>
      <c r="CM63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Cicukang RT/RW  Desa/Kelurahan Husen sastranegara Kecamatan Cicendo Bandung Jawa Barat </v>
      </c>
    </row>
    <row r="635" spans="1:91" ht="24.95" hidden="1" customHeight="1">
      <c r="A635" s="89">
        <f>SUBTOTAL(3,N$8:Table2[[#This Row],[Nama lengkap]])</f>
        <v>472</v>
      </c>
      <c r="B635" s="89"/>
      <c r="C635" s="89"/>
      <c r="D635" s="89"/>
      <c r="E635" s="89"/>
      <c r="F635" s="89"/>
      <c r="G635" s="166"/>
      <c r="H635" s="32"/>
      <c r="I635" s="90"/>
      <c r="J635" s="139"/>
      <c r="K635" s="139"/>
      <c r="L635" s="139"/>
      <c r="M635" s="89">
        <v>17180131</v>
      </c>
      <c r="N635" s="91" t="s">
        <v>9143</v>
      </c>
      <c r="O635" s="140"/>
      <c r="P635" s="90"/>
      <c r="Q635" s="90" t="s">
        <v>9495</v>
      </c>
      <c r="R635" s="91" t="s">
        <v>9176</v>
      </c>
      <c r="S635" s="101"/>
      <c r="T635" s="142"/>
      <c r="U635" s="89"/>
      <c r="V635" s="89"/>
      <c r="W635" s="141"/>
      <c r="X635" s="92" t="s">
        <v>123</v>
      </c>
      <c r="Y635" s="92"/>
      <c r="Z635" s="92"/>
      <c r="AA635" s="92" t="s">
        <v>1141</v>
      </c>
      <c r="AB635" s="92"/>
      <c r="AC635" s="92"/>
      <c r="AD635" s="92"/>
      <c r="AE635" s="93" t="s">
        <v>9394</v>
      </c>
      <c r="AF635" s="91"/>
      <c r="AG635" s="91" t="s">
        <v>9590</v>
      </c>
      <c r="AH635" s="91"/>
      <c r="AI635" s="92"/>
      <c r="AJ635" s="101"/>
      <c r="AK635" s="90" t="s">
        <v>9792</v>
      </c>
      <c r="AL635" s="93" t="s">
        <v>114</v>
      </c>
      <c r="AM635" s="91"/>
      <c r="AN635" s="93"/>
      <c r="AO635" s="92"/>
      <c r="AP635" s="93" t="s">
        <v>9285</v>
      </c>
      <c r="AQ635" s="90"/>
      <c r="AR635" s="89" t="s">
        <v>7097</v>
      </c>
      <c r="AS635" s="93" t="s">
        <v>1518</v>
      </c>
      <c r="AT635" s="92" t="s">
        <v>122</v>
      </c>
      <c r="AU635" s="92" t="s">
        <v>111</v>
      </c>
      <c r="AV635" s="92"/>
      <c r="AW635" s="92" t="s">
        <v>9689</v>
      </c>
      <c r="AX635" s="91"/>
      <c r="AY635" s="91"/>
      <c r="AZ635" s="127"/>
      <c r="BA635" s="143" t="s">
        <v>9885</v>
      </c>
      <c r="BB635" s="101" t="s">
        <v>216</v>
      </c>
      <c r="BC635" s="93"/>
      <c r="BD635" s="143"/>
      <c r="BE635" s="92"/>
      <c r="BF635" s="67"/>
      <c r="BG635" s="93" t="s">
        <v>9285</v>
      </c>
      <c r="BH635" s="93"/>
      <c r="BI635" s="91" t="s">
        <v>7097</v>
      </c>
      <c r="BJ635" s="91" t="s">
        <v>1518</v>
      </c>
      <c r="BK635" s="93" t="s">
        <v>122</v>
      </c>
      <c r="BL635" s="91" t="s">
        <v>111</v>
      </c>
      <c r="BM635" s="92"/>
      <c r="BN635" s="64"/>
      <c r="BO635" s="92"/>
      <c r="BP635" s="92"/>
      <c r="BQ635" s="136"/>
      <c r="BR635" s="93"/>
      <c r="BS635" s="92"/>
      <c r="BT635" s="93"/>
      <c r="BU635" s="93"/>
      <c r="BV635" s="92"/>
      <c r="BW635" s="92"/>
      <c r="BX635" s="93"/>
      <c r="BY635" s="92"/>
      <c r="BZ635" s="92"/>
      <c r="CA635" s="93"/>
      <c r="CB635" s="92"/>
      <c r="CC635" s="92"/>
      <c r="CD635" s="92"/>
      <c r="CE635" s="64" t="s">
        <v>9285</v>
      </c>
      <c r="CF635" s="67"/>
      <c r="CG635" s="40" t="s">
        <v>7097</v>
      </c>
      <c r="CH635" s="92" t="s">
        <v>1518</v>
      </c>
      <c r="CI635" s="91" t="s">
        <v>122</v>
      </c>
      <c r="CJ635" s="91" t="s">
        <v>111</v>
      </c>
      <c r="CK635" s="89"/>
      <c r="CL635" s="91" t="str">
        <f t="shared" ca="1" si="9"/>
        <v>126 Tahun 0 Bulan 23 Hari</v>
      </c>
      <c r="CM63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Parakanmuncang RT/RW  Desa/Kelurahan Sindangpakuon Kecamatan Cimanggung Sumedang Jawa Barat </v>
      </c>
    </row>
    <row r="636" spans="1:91" ht="24.95" hidden="1" customHeight="1">
      <c r="A636" s="89">
        <f>SUBTOTAL(3,N$8:Table2[[#This Row],[Nama lengkap]])</f>
        <v>472</v>
      </c>
      <c r="B636" s="89"/>
      <c r="C636" s="89"/>
      <c r="D636" s="89"/>
      <c r="E636" s="89"/>
      <c r="F636" s="89"/>
      <c r="G636" s="166"/>
      <c r="H636" s="32"/>
      <c r="I636" s="90"/>
      <c r="J636" s="139"/>
      <c r="K636" s="139"/>
      <c r="L636" s="139"/>
      <c r="M636" s="89">
        <v>15160077</v>
      </c>
      <c r="N636" s="91" t="s">
        <v>9127</v>
      </c>
      <c r="O636" s="140"/>
      <c r="P636" s="90"/>
      <c r="Q636" s="90" t="s">
        <v>9479</v>
      </c>
      <c r="R636" s="91" t="s">
        <v>9172</v>
      </c>
      <c r="S636" s="101"/>
      <c r="T636" s="142"/>
      <c r="U636" s="89"/>
      <c r="V636" s="89"/>
      <c r="W636" s="141"/>
      <c r="X636" s="92" t="s">
        <v>93</v>
      </c>
      <c r="Y636" s="92"/>
      <c r="Z636" s="92"/>
      <c r="AA636" s="92" t="s">
        <v>1141</v>
      </c>
      <c r="AB636" s="92"/>
      <c r="AC636" s="92"/>
      <c r="AD636" s="92"/>
      <c r="AE636" s="93" t="s">
        <v>9379</v>
      </c>
      <c r="AF636" s="91"/>
      <c r="AG636" s="91" t="s">
        <v>9576</v>
      </c>
      <c r="AH636" s="91"/>
      <c r="AI636" s="92"/>
      <c r="AJ636" s="101"/>
      <c r="AK636" s="90" t="s">
        <v>9777</v>
      </c>
      <c r="AL636" s="93" t="s">
        <v>343</v>
      </c>
      <c r="AM636" s="91"/>
      <c r="AN636" s="93"/>
      <c r="AO636" s="92"/>
      <c r="AP636" s="93" t="s">
        <v>9265</v>
      </c>
      <c r="AQ636" s="90"/>
      <c r="AR636" s="89" t="s">
        <v>9266</v>
      </c>
      <c r="AS636" s="93" t="s">
        <v>7263</v>
      </c>
      <c r="AT636" s="92" t="s">
        <v>644</v>
      </c>
      <c r="AU636" s="92" t="s">
        <v>111</v>
      </c>
      <c r="AV636" s="92"/>
      <c r="AW636" s="92" t="s">
        <v>9673</v>
      </c>
      <c r="AX636" s="91"/>
      <c r="AY636" s="91"/>
      <c r="AZ636" s="127"/>
      <c r="BA636" s="143" t="s">
        <v>9870</v>
      </c>
      <c r="BB636" s="101" t="s">
        <v>216</v>
      </c>
      <c r="BC636" s="93"/>
      <c r="BD636" s="143"/>
      <c r="BE636" s="92"/>
      <c r="BF636" s="67"/>
      <c r="BG636" s="93" t="s">
        <v>9265</v>
      </c>
      <c r="BH636" s="93"/>
      <c r="BI636" s="91" t="s">
        <v>9266</v>
      </c>
      <c r="BJ636" s="91" t="s">
        <v>7263</v>
      </c>
      <c r="BK636" s="93" t="s">
        <v>644</v>
      </c>
      <c r="BL636" s="91" t="s">
        <v>111</v>
      </c>
      <c r="BM636" s="92"/>
      <c r="BN636" s="64"/>
      <c r="BO636" s="92"/>
      <c r="BP636" s="92"/>
      <c r="BQ636" s="136"/>
      <c r="BR636" s="93"/>
      <c r="BS636" s="92"/>
      <c r="BT636" s="93"/>
      <c r="BU636" s="93"/>
      <c r="BV636" s="92"/>
      <c r="BW636" s="92"/>
      <c r="BX636" s="93"/>
      <c r="BY636" s="92"/>
      <c r="BZ636" s="92"/>
      <c r="CA636" s="93"/>
      <c r="CB636" s="92"/>
      <c r="CC636" s="92"/>
      <c r="CD636" s="92"/>
      <c r="CE636" s="64" t="s">
        <v>9265</v>
      </c>
      <c r="CF636" s="67"/>
      <c r="CG636" s="40" t="s">
        <v>9266</v>
      </c>
      <c r="CH636" s="92" t="s">
        <v>7263</v>
      </c>
      <c r="CI636" s="91" t="s">
        <v>644</v>
      </c>
      <c r="CJ636" s="91" t="s">
        <v>111</v>
      </c>
      <c r="CK636" s="89"/>
      <c r="CL636" s="91" t="str">
        <f t="shared" ca="1" si="9"/>
        <v>126 Tahun 0 Bulan 23 Hari</v>
      </c>
      <c r="CM63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Jln. Kopo No 195 RT/RW  Desa/Kelurahan Situsaeur Kecamatan Bojongloa Kidul Kota Bandung Jawa Barat </v>
      </c>
    </row>
    <row r="637" spans="1:91" ht="24.95" hidden="1" customHeight="1">
      <c r="A637" s="89">
        <f>SUBTOTAL(3,N$8:Table2[[#This Row],[Nama lengkap]])</f>
        <v>472</v>
      </c>
      <c r="B637" s="89"/>
      <c r="C637" s="89"/>
      <c r="D637" s="89"/>
      <c r="E637" s="89"/>
      <c r="F637" s="89"/>
      <c r="G637" s="166"/>
      <c r="H637" s="32"/>
      <c r="I637" s="90"/>
      <c r="J637" s="139"/>
      <c r="K637" s="139"/>
      <c r="L637" s="139"/>
      <c r="M637" s="89">
        <v>15160078</v>
      </c>
      <c r="N637" s="91" t="s">
        <v>9093</v>
      </c>
      <c r="O637" s="140"/>
      <c r="P637" s="90"/>
      <c r="Q637" s="90" t="s">
        <v>9445</v>
      </c>
      <c r="R637" s="91" t="s">
        <v>9172</v>
      </c>
      <c r="S637" s="101"/>
      <c r="T637" s="142"/>
      <c r="U637" s="89"/>
      <c r="V637" s="89"/>
      <c r="W637" s="141"/>
      <c r="X637" s="92" t="s">
        <v>123</v>
      </c>
      <c r="Y637" s="92"/>
      <c r="Z637" s="92"/>
      <c r="AA637" s="92" t="s">
        <v>1141</v>
      </c>
      <c r="AB637" s="92"/>
      <c r="AC637" s="92"/>
      <c r="AD637" s="92"/>
      <c r="AE637" s="93" t="s">
        <v>1376</v>
      </c>
      <c r="AF637" s="91"/>
      <c r="AG637" s="91" t="s">
        <v>8349</v>
      </c>
      <c r="AH637" s="91"/>
      <c r="AI637" s="92"/>
      <c r="AJ637" s="101"/>
      <c r="AK637" s="90" t="s">
        <v>1377</v>
      </c>
      <c r="AL637" s="93" t="s">
        <v>602</v>
      </c>
      <c r="AM637" s="91"/>
      <c r="AN637" s="93"/>
      <c r="AO637" s="92"/>
      <c r="AP637" s="93" t="s">
        <v>9219</v>
      </c>
      <c r="AQ637" s="90"/>
      <c r="AR637" s="89" t="s">
        <v>6714</v>
      </c>
      <c r="AS637" s="93" t="s">
        <v>507</v>
      </c>
      <c r="AT637" s="92" t="s">
        <v>90</v>
      </c>
      <c r="AU637" s="92" t="s">
        <v>111</v>
      </c>
      <c r="AV637" s="92"/>
      <c r="AW637" s="92" t="s">
        <v>7869</v>
      </c>
      <c r="AX637" s="91"/>
      <c r="AY637" s="91"/>
      <c r="AZ637" s="127"/>
      <c r="BA637" s="143" t="s">
        <v>1381</v>
      </c>
      <c r="BB637" s="101" t="s">
        <v>602</v>
      </c>
      <c r="BC637" s="93"/>
      <c r="BD637" s="143"/>
      <c r="BE637" s="92"/>
      <c r="BF637" s="67"/>
      <c r="BG637" s="93" t="s">
        <v>9219</v>
      </c>
      <c r="BH637" s="93"/>
      <c r="BI637" s="91" t="s">
        <v>6714</v>
      </c>
      <c r="BJ637" s="91" t="s">
        <v>507</v>
      </c>
      <c r="BK637" s="93" t="s">
        <v>90</v>
      </c>
      <c r="BL637" s="91" t="s">
        <v>111</v>
      </c>
      <c r="BM637" s="92"/>
      <c r="BN637" s="64"/>
      <c r="BO637" s="92"/>
      <c r="BP637" s="92"/>
      <c r="BQ637" s="136"/>
      <c r="BR637" s="93"/>
      <c r="BS637" s="92"/>
      <c r="BT637" s="93"/>
      <c r="BU637" s="93"/>
      <c r="BV637" s="92"/>
      <c r="BW637" s="92"/>
      <c r="BX637" s="93"/>
      <c r="BY637" s="92"/>
      <c r="BZ637" s="92"/>
      <c r="CA637" s="93"/>
      <c r="CB637" s="92"/>
      <c r="CC637" s="92"/>
      <c r="CD637" s="92"/>
      <c r="CE637" s="64" t="s">
        <v>9219</v>
      </c>
      <c r="CF637" s="67"/>
      <c r="CG637" s="40" t="s">
        <v>6714</v>
      </c>
      <c r="CH637" s="92" t="s">
        <v>507</v>
      </c>
      <c r="CI637" s="91" t="s">
        <v>90</v>
      </c>
      <c r="CJ637" s="91" t="s">
        <v>111</v>
      </c>
      <c r="CK637" s="89"/>
      <c r="CL637" s="91" t="str">
        <f t="shared" ca="1" si="9"/>
        <v>126 Tahun 0 Bulan 23 Hari</v>
      </c>
      <c r="CM63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Ciapus RT/RW  Desa/Kelurahan Ciapus Kecamatan Banjaran Bandung Jawa Barat </v>
      </c>
    </row>
    <row r="638" spans="1:91" ht="24.95" hidden="1" customHeight="1">
      <c r="A638" s="89">
        <f>SUBTOTAL(3,N$8:Table2[[#This Row],[Nama lengkap]])</f>
        <v>472</v>
      </c>
      <c r="B638" s="89"/>
      <c r="C638" s="89"/>
      <c r="D638" s="89"/>
      <c r="E638" s="89"/>
      <c r="F638" s="89"/>
      <c r="G638" s="166"/>
      <c r="H638" s="32"/>
      <c r="I638" s="90"/>
      <c r="J638" s="139"/>
      <c r="K638" s="139"/>
      <c r="L638" s="139"/>
      <c r="M638" s="89">
        <v>15160079</v>
      </c>
      <c r="N638" s="91" t="s">
        <v>9094</v>
      </c>
      <c r="O638" s="140"/>
      <c r="P638" s="90"/>
      <c r="Q638" s="90" t="s">
        <v>9446</v>
      </c>
      <c r="R638" s="91" t="s">
        <v>9172</v>
      </c>
      <c r="S638" s="101"/>
      <c r="T638" s="142"/>
      <c r="U638" s="89"/>
      <c r="V638" s="89"/>
      <c r="W638" s="141"/>
      <c r="X638" s="92" t="s">
        <v>984</v>
      </c>
      <c r="Y638" s="92"/>
      <c r="Z638" s="92"/>
      <c r="AA638" s="92" t="s">
        <v>1141</v>
      </c>
      <c r="AB638" s="92"/>
      <c r="AC638" s="92"/>
      <c r="AD638" s="92"/>
      <c r="AE638" s="93" t="s">
        <v>9350</v>
      </c>
      <c r="AF638" s="91"/>
      <c r="AG638" s="91" t="s">
        <v>9548</v>
      </c>
      <c r="AH638" s="91"/>
      <c r="AI638" s="92"/>
      <c r="AJ638" s="101"/>
      <c r="AK638" s="90" t="s">
        <v>9747</v>
      </c>
      <c r="AL638" s="93" t="s">
        <v>602</v>
      </c>
      <c r="AM638" s="91"/>
      <c r="AN638" s="93"/>
      <c r="AO638" s="92"/>
      <c r="AP638" s="93" t="s">
        <v>9220</v>
      </c>
      <c r="AQ638" s="90"/>
      <c r="AR638" s="89" t="s">
        <v>9221</v>
      </c>
      <c r="AS638" s="93" t="s">
        <v>6859</v>
      </c>
      <c r="AT638" s="92" t="s">
        <v>456</v>
      </c>
      <c r="AU638" s="92" t="s">
        <v>111</v>
      </c>
      <c r="AV638" s="92"/>
      <c r="AW638" s="92" t="s">
        <v>9645</v>
      </c>
      <c r="AX638" s="91"/>
      <c r="AY638" s="91"/>
      <c r="AZ638" s="127"/>
      <c r="BA638" s="143" t="s">
        <v>9840</v>
      </c>
      <c r="BB638" s="101" t="s">
        <v>216</v>
      </c>
      <c r="BC638" s="93"/>
      <c r="BD638" s="143"/>
      <c r="BE638" s="92"/>
      <c r="BF638" s="67"/>
      <c r="BG638" s="93" t="s">
        <v>9220</v>
      </c>
      <c r="BH638" s="93"/>
      <c r="BI638" s="91" t="s">
        <v>9221</v>
      </c>
      <c r="BJ638" s="91" t="s">
        <v>6859</v>
      </c>
      <c r="BK638" s="93" t="s">
        <v>456</v>
      </c>
      <c r="BL638" s="91" t="s">
        <v>111</v>
      </c>
      <c r="BM638" s="92"/>
      <c r="BN638" s="64"/>
      <c r="BO638" s="92"/>
      <c r="BP638" s="92"/>
      <c r="BQ638" s="136"/>
      <c r="BR638" s="93"/>
      <c r="BS638" s="92"/>
      <c r="BT638" s="93"/>
      <c r="BU638" s="93"/>
      <c r="BV638" s="92"/>
      <c r="BW638" s="92"/>
      <c r="BX638" s="93"/>
      <c r="BY638" s="92"/>
      <c r="BZ638" s="92"/>
      <c r="CA638" s="93"/>
      <c r="CB638" s="92"/>
      <c r="CC638" s="92"/>
      <c r="CD638" s="92"/>
      <c r="CE638" s="64" t="s">
        <v>9220</v>
      </c>
      <c r="CF638" s="67"/>
      <c r="CG638" s="40" t="s">
        <v>9221</v>
      </c>
      <c r="CH638" s="92" t="s">
        <v>6859</v>
      </c>
      <c r="CI638" s="91" t="s">
        <v>456</v>
      </c>
      <c r="CJ638" s="91" t="s">
        <v>111</v>
      </c>
      <c r="CK638" s="89"/>
      <c r="CL638" s="91" t="str">
        <f t="shared" ca="1" si="9"/>
        <v>126 Tahun 0 Bulan 23 Hari</v>
      </c>
      <c r="CM63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Saradan Rt/Rw 004/003 RT/RW  Desa/Kelurahan Leuwi Gajah Kecamatan Cimahi Selatan Cimahi Jawa Barat </v>
      </c>
    </row>
    <row r="639" spans="1:91" ht="24.95" hidden="1" customHeight="1">
      <c r="A639" s="89">
        <f>SUBTOTAL(3,N$8:Table2[[#This Row],[Nama lengkap]])</f>
        <v>472</v>
      </c>
      <c r="B639" s="89"/>
      <c r="C639" s="89"/>
      <c r="D639" s="89"/>
      <c r="E639" s="89"/>
      <c r="F639" s="89"/>
      <c r="G639" s="166"/>
      <c r="H639" s="32"/>
      <c r="I639" s="90"/>
      <c r="J639" s="139"/>
      <c r="K639" s="139"/>
      <c r="L639" s="139"/>
      <c r="M639" s="89">
        <v>14150065</v>
      </c>
      <c r="N639" s="91" t="s">
        <v>9109</v>
      </c>
      <c r="O639" s="140"/>
      <c r="P639" s="90"/>
      <c r="Q639" s="90" t="s">
        <v>9460</v>
      </c>
      <c r="R639" s="91" t="s">
        <v>9172</v>
      </c>
      <c r="S639" s="101"/>
      <c r="T639" s="142"/>
      <c r="U639" s="89"/>
      <c r="V639" s="89"/>
      <c r="W639" s="141"/>
      <c r="X639" s="92" t="s">
        <v>984</v>
      </c>
      <c r="Y639" s="92"/>
      <c r="Z639" s="92"/>
      <c r="AA639" s="92" t="s">
        <v>96</v>
      </c>
      <c r="AB639" s="92"/>
      <c r="AC639" s="92"/>
      <c r="AD639" s="92"/>
      <c r="AE639" s="93" t="s">
        <v>9362</v>
      </c>
      <c r="AF639" s="91"/>
      <c r="AG639" s="91" t="s">
        <v>8431</v>
      </c>
      <c r="AH639" s="91"/>
      <c r="AI639" s="92"/>
      <c r="AJ639" s="101"/>
      <c r="AK639" s="90" t="s">
        <v>9759</v>
      </c>
      <c r="AL639" s="93" t="s">
        <v>114</v>
      </c>
      <c r="AM639" s="91"/>
      <c r="AN639" s="93"/>
      <c r="AO639" s="92"/>
      <c r="AP639" s="93" t="s">
        <v>9243</v>
      </c>
      <c r="AQ639" s="90"/>
      <c r="AR639" s="89" t="s">
        <v>9244</v>
      </c>
      <c r="AS639" s="93" t="s">
        <v>7248</v>
      </c>
      <c r="AT639" s="92" t="s">
        <v>90</v>
      </c>
      <c r="AU639" s="92" t="s">
        <v>111</v>
      </c>
      <c r="AV639" s="92"/>
      <c r="AW639" s="92" t="s">
        <v>9657</v>
      </c>
      <c r="AX639" s="91"/>
      <c r="AY639" s="91"/>
      <c r="AZ639" s="127"/>
      <c r="BA639" s="143" t="s">
        <v>9852</v>
      </c>
      <c r="BB639" s="101" t="s">
        <v>216</v>
      </c>
      <c r="BC639" s="93"/>
      <c r="BD639" s="143"/>
      <c r="BE639" s="92"/>
      <c r="BF639" s="67"/>
      <c r="BG639" s="93" t="s">
        <v>9243</v>
      </c>
      <c r="BH639" s="93"/>
      <c r="BI639" s="91" t="s">
        <v>9244</v>
      </c>
      <c r="BJ639" s="91" t="s">
        <v>7248</v>
      </c>
      <c r="BK639" s="93" t="s">
        <v>90</v>
      </c>
      <c r="BL639" s="91" t="s">
        <v>111</v>
      </c>
      <c r="BM639" s="92"/>
      <c r="BN639" s="64"/>
      <c r="BO639" s="92"/>
      <c r="BP639" s="92"/>
      <c r="BQ639" s="136"/>
      <c r="BR639" s="93"/>
      <c r="BS639" s="92"/>
      <c r="BT639" s="93"/>
      <c r="BU639" s="93"/>
      <c r="BV639" s="92"/>
      <c r="BW639" s="92"/>
      <c r="BX639" s="93"/>
      <c r="BY639" s="92"/>
      <c r="BZ639" s="92"/>
      <c r="CA639" s="93"/>
      <c r="CB639" s="92"/>
      <c r="CC639" s="92"/>
      <c r="CD639" s="92"/>
      <c r="CE639" s="64" t="s">
        <v>9243</v>
      </c>
      <c r="CF639" s="67"/>
      <c r="CG639" s="40" t="s">
        <v>9244</v>
      </c>
      <c r="CH639" s="92" t="s">
        <v>7248</v>
      </c>
      <c r="CI639" s="91" t="s">
        <v>90</v>
      </c>
      <c r="CJ639" s="91" t="s">
        <v>111</v>
      </c>
      <c r="CK639" s="89"/>
      <c r="CL639" s="91" t="str">
        <f t="shared" ca="1" si="9"/>
        <v>126 Tahun 0 Bulan 23 Hari</v>
      </c>
      <c r="CM639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Jln. Pajajaran dlm no 115/72 RT/RW  Desa/Kelurahan Husen Sastra Negara Kecamatan Cicendo Bandung Jawa Barat </v>
      </c>
    </row>
    <row r="640" spans="1:91" ht="24.95" hidden="1" customHeight="1">
      <c r="A640" s="89">
        <f>SUBTOTAL(3,N$8:Table2[[#This Row],[Nama lengkap]])</f>
        <v>472</v>
      </c>
      <c r="B640" s="89"/>
      <c r="C640" s="89"/>
      <c r="D640" s="89"/>
      <c r="E640" s="89"/>
      <c r="F640" s="89"/>
      <c r="G640" s="166"/>
      <c r="H640" s="32"/>
      <c r="I640" s="90"/>
      <c r="J640" s="139"/>
      <c r="K640" s="139"/>
      <c r="L640" s="139"/>
      <c r="M640" s="89">
        <v>18190241</v>
      </c>
      <c r="N640" s="91" t="s">
        <v>5789</v>
      </c>
      <c r="O640" s="140"/>
      <c r="P640" s="90"/>
      <c r="Q640" s="90" t="s">
        <v>4930</v>
      </c>
      <c r="R640" s="91" t="s">
        <v>9172</v>
      </c>
      <c r="S640" s="101"/>
      <c r="T640" s="142"/>
      <c r="U640" s="89"/>
      <c r="V640" s="89"/>
      <c r="W640" s="141"/>
      <c r="X640" s="92" t="s">
        <v>93</v>
      </c>
      <c r="Y640" s="92"/>
      <c r="Z640" s="92"/>
      <c r="AA640" s="92" t="s">
        <v>3003</v>
      </c>
      <c r="AB640" s="92"/>
      <c r="AC640" s="92"/>
      <c r="AD640" s="92"/>
      <c r="AE640" s="93" t="s">
        <v>4933</v>
      </c>
      <c r="AF640" s="91"/>
      <c r="AG640" s="91" t="s">
        <v>9610</v>
      </c>
      <c r="AH640" s="91"/>
      <c r="AI640" s="92"/>
      <c r="AJ640" s="101"/>
      <c r="AK640" s="90" t="s">
        <v>4934</v>
      </c>
      <c r="AL640" s="93" t="s">
        <v>7774</v>
      </c>
      <c r="AM640" s="91"/>
      <c r="AN640" s="93"/>
      <c r="AO640" s="92"/>
      <c r="AP640" s="93" t="s">
        <v>6635</v>
      </c>
      <c r="AQ640" s="90"/>
      <c r="AR640" s="89" t="s">
        <v>7297</v>
      </c>
      <c r="AS640" s="93" t="s">
        <v>7214</v>
      </c>
      <c r="AT640" s="92" t="s">
        <v>90</v>
      </c>
      <c r="AU640" s="92" t="s">
        <v>111</v>
      </c>
      <c r="AV640" s="92"/>
      <c r="AW640" s="92" t="s">
        <v>9706</v>
      </c>
      <c r="AX640" s="91"/>
      <c r="AY640" s="91"/>
      <c r="AZ640" s="127"/>
      <c r="BA640" s="143" t="s">
        <v>9904</v>
      </c>
      <c r="BB640" s="101" t="s">
        <v>216</v>
      </c>
      <c r="BC640" s="93"/>
      <c r="BD640" s="143"/>
      <c r="BE640" s="92"/>
      <c r="BF640" s="67"/>
      <c r="BG640" s="93" t="s">
        <v>6635</v>
      </c>
      <c r="BH640" s="93"/>
      <c r="BI640" s="91" t="s">
        <v>7297</v>
      </c>
      <c r="BJ640" s="91" t="s">
        <v>7214</v>
      </c>
      <c r="BK640" s="93" t="s">
        <v>90</v>
      </c>
      <c r="BL640" s="91" t="s">
        <v>111</v>
      </c>
      <c r="BM640" s="92"/>
      <c r="BN640" s="64"/>
      <c r="BO640" s="92"/>
      <c r="BP640" s="92"/>
      <c r="BQ640" s="136"/>
      <c r="BR640" s="93"/>
      <c r="BS640" s="92"/>
      <c r="BT640" s="93"/>
      <c r="BU640" s="93"/>
      <c r="BV640" s="92"/>
      <c r="BW640" s="92"/>
      <c r="BX640" s="93"/>
      <c r="BY640" s="92"/>
      <c r="BZ640" s="92"/>
      <c r="CA640" s="93"/>
      <c r="CB640" s="92"/>
      <c r="CC640" s="92"/>
      <c r="CD640" s="92"/>
      <c r="CE640" s="64" t="s">
        <v>6635</v>
      </c>
      <c r="CF640" s="67"/>
      <c r="CG640" s="40" t="s">
        <v>7297</v>
      </c>
      <c r="CH640" s="92" t="s">
        <v>7214</v>
      </c>
      <c r="CI640" s="91" t="s">
        <v>90</v>
      </c>
      <c r="CJ640" s="91" t="s">
        <v>111</v>
      </c>
      <c r="CK640" s="89"/>
      <c r="CL640" s="91" t="str">
        <f t="shared" ca="1" si="9"/>
        <v>126 Tahun 0 Bulan 23 Hari</v>
      </c>
      <c r="CM640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Nagrak RT/RW  Desa/Kelurahan Margamulya Kecamatan Pasir Jambu Bandung Jawa Barat </v>
      </c>
    </row>
    <row r="641" spans="1:91" ht="24.95" hidden="1" customHeight="1">
      <c r="A641" s="89">
        <f>SUBTOTAL(3,N$8:Table2[[#This Row],[Nama lengkap]])</f>
        <v>472</v>
      </c>
      <c r="B641" s="89"/>
      <c r="C641" s="89"/>
      <c r="D641" s="89"/>
      <c r="E641" s="89"/>
      <c r="F641" s="89"/>
      <c r="G641" s="166"/>
      <c r="H641" s="32"/>
      <c r="I641" s="90"/>
      <c r="J641" s="139"/>
      <c r="K641" s="139"/>
      <c r="L641" s="139"/>
      <c r="M641" s="89">
        <v>17180133</v>
      </c>
      <c r="N641" s="91" t="s">
        <v>9163</v>
      </c>
      <c r="O641" s="140"/>
      <c r="P641" s="90"/>
      <c r="Q641" s="90" t="s">
        <v>9515</v>
      </c>
      <c r="R641" s="91" t="s">
        <v>9172</v>
      </c>
      <c r="S641" s="101"/>
      <c r="T641" s="142"/>
      <c r="U641" s="89"/>
      <c r="V641" s="89"/>
      <c r="W641" s="141"/>
      <c r="X641" s="92"/>
      <c r="Y641" s="92"/>
      <c r="Z641" s="92"/>
      <c r="AA641" s="92" t="s">
        <v>96</v>
      </c>
      <c r="AB641" s="92"/>
      <c r="AC641" s="92"/>
      <c r="AD641" s="92"/>
      <c r="AE641" s="93" t="s">
        <v>9411</v>
      </c>
      <c r="AF641" s="91"/>
      <c r="AG641" s="91" t="s">
        <v>9611</v>
      </c>
      <c r="AH641" s="91"/>
      <c r="AI641" s="92"/>
      <c r="AJ641" s="101"/>
      <c r="AK641" s="90" t="s">
        <v>9810</v>
      </c>
      <c r="AL641" s="93" t="s">
        <v>289</v>
      </c>
      <c r="AM641" s="91"/>
      <c r="AN641" s="93"/>
      <c r="AO641" s="92"/>
      <c r="AP641" s="93" t="s">
        <v>9306</v>
      </c>
      <c r="AQ641" s="90"/>
      <c r="AR641" s="89" t="s">
        <v>7007</v>
      </c>
      <c r="AS641" s="93" t="s">
        <v>6967</v>
      </c>
      <c r="AT641" s="92" t="s">
        <v>9307</v>
      </c>
      <c r="AU641" s="92" t="s">
        <v>111</v>
      </c>
      <c r="AV641" s="92"/>
      <c r="AW641" s="92" t="s">
        <v>9707</v>
      </c>
      <c r="AX641" s="91"/>
      <c r="AY641" s="91"/>
      <c r="AZ641" s="127"/>
      <c r="BA641" s="143" t="s">
        <v>9905</v>
      </c>
      <c r="BB641" s="101" t="s">
        <v>216</v>
      </c>
      <c r="BC641" s="93"/>
      <c r="BD641" s="143"/>
      <c r="BE641" s="92"/>
      <c r="BF641" s="67"/>
      <c r="BG641" s="93" t="s">
        <v>9306</v>
      </c>
      <c r="BH641" s="93"/>
      <c r="BI641" s="91" t="s">
        <v>7007</v>
      </c>
      <c r="BJ641" s="91" t="s">
        <v>6967</v>
      </c>
      <c r="BK641" s="93" t="s">
        <v>9307</v>
      </c>
      <c r="BL641" s="91" t="s">
        <v>111</v>
      </c>
      <c r="BM641" s="92"/>
      <c r="BN641" s="64"/>
      <c r="BO641" s="92"/>
      <c r="BP641" s="92"/>
      <c r="BQ641" s="136"/>
      <c r="BR641" s="93"/>
      <c r="BS641" s="92"/>
      <c r="BT641" s="93"/>
      <c r="BU641" s="93"/>
      <c r="BV641" s="92"/>
      <c r="BW641" s="92"/>
      <c r="BX641" s="93"/>
      <c r="BY641" s="92"/>
      <c r="BZ641" s="92"/>
      <c r="CA641" s="93"/>
      <c r="CB641" s="92"/>
      <c r="CC641" s="92"/>
      <c r="CD641" s="92"/>
      <c r="CE641" s="64" t="s">
        <v>9306</v>
      </c>
      <c r="CF641" s="67"/>
      <c r="CG641" s="40" t="s">
        <v>7007</v>
      </c>
      <c r="CH641" s="92" t="s">
        <v>6967</v>
      </c>
      <c r="CI641" s="91" t="s">
        <v>9307</v>
      </c>
      <c r="CJ641" s="91" t="s">
        <v>111</v>
      </c>
      <c r="CK641" s="89"/>
      <c r="CL641" s="91" t="str">
        <f t="shared" ca="1" si="9"/>
        <v>126 Tahun 0 Bulan 23 Hari</v>
      </c>
      <c r="CM64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Ciharuman RT/RW  Desa/Kelurahan Jelegong Kecamatan Kutawaringin Bnadung Jawa Barat </v>
      </c>
    </row>
    <row r="642" spans="1:91" ht="24.95" hidden="1" customHeight="1">
      <c r="A642" s="89">
        <f>SUBTOTAL(3,N$8:Table2[[#This Row],[Nama lengkap]])</f>
        <v>472</v>
      </c>
      <c r="B642" s="89"/>
      <c r="C642" s="89"/>
      <c r="D642" s="89"/>
      <c r="E642" s="89"/>
      <c r="F642" s="89"/>
      <c r="G642" s="166"/>
      <c r="H642" s="32"/>
      <c r="I642" s="90"/>
      <c r="J642" s="139"/>
      <c r="K642" s="139"/>
      <c r="L642" s="139"/>
      <c r="M642" s="89">
        <v>16170112</v>
      </c>
      <c r="N642" s="91" t="s">
        <v>9144</v>
      </c>
      <c r="O642" s="140"/>
      <c r="P642" s="90"/>
      <c r="Q642" s="90"/>
      <c r="R642" s="91" t="s">
        <v>9178</v>
      </c>
      <c r="S642" s="101"/>
      <c r="T642" s="142"/>
      <c r="U642" s="89"/>
      <c r="V642" s="89"/>
      <c r="W642" s="141"/>
      <c r="X642" s="92" t="s">
        <v>984</v>
      </c>
      <c r="Y642" s="92"/>
      <c r="Z642" s="92"/>
      <c r="AA642" s="92" t="s">
        <v>1141</v>
      </c>
      <c r="AB642" s="92"/>
      <c r="AC642" s="92"/>
      <c r="AD642" s="92"/>
      <c r="AE642" s="93"/>
      <c r="AF642" s="91"/>
      <c r="AG642" s="91"/>
      <c r="AH642" s="91"/>
      <c r="AI642" s="92"/>
      <c r="AJ642" s="101"/>
      <c r="AK642" s="90"/>
      <c r="AL642" s="93"/>
      <c r="AM642" s="91"/>
      <c r="AN642" s="93"/>
      <c r="AO642" s="92"/>
      <c r="AP642" s="93"/>
      <c r="AQ642" s="90"/>
      <c r="AR642" s="89"/>
      <c r="AS642" s="93"/>
      <c r="AT642" s="92"/>
      <c r="AU642" s="92"/>
      <c r="AV642" s="92"/>
      <c r="AW642" s="92"/>
      <c r="AX642" s="91"/>
      <c r="AY642" s="91"/>
      <c r="AZ642" s="127"/>
      <c r="BA642" s="143"/>
      <c r="BB642" s="101"/>
      <c r="BC642" s="93"/>
      <c r="BD642" s="143"/>
      <c r="BE642" s="92"/>
      <c r="BF642" s="67"/>
      <c r="BG642" s="93"/>
      <c r="BH642" s="93"/>
      <c r="BI642" s="91"/>
      <c r="BJ642" s="91"/>
      <c r="BK642" s="93"/>
      <c r="BL642" s="91"/>
      <c r="BM642" s="92"/>
      <c r="BN642" s="64"/>
      <c r="BO642" s="92"/>
      <c r="BP642" s="92"/>
      <c r="BQ642" s="136"/>
      <c r="BR642" s="93"/>
      <c r="BS642" s="92"/>
      <c r="BT642" s="93"/>
      <c r="BU642" s="93"/>
      <c r="BV642" s="92"/>
      <c r="BW642" s="92"/>
      <c r="BX642" s="93"/>
      <c r="BY642" s="92"/>
      <c r="BZ642" s="92"/>
      <c r="CA642" s="93"/>
      <c r="CB642" s="92"/>
      <c r="CC642" s="92"/>
      <c r="CD642" s="92"/>
      <c r="CE642" s="64"/>
      <c r="CF642" s="67"/>
      <c r="CG642" s="40"/>
      <c r="CH642" s="92"/>
      <c r="CI642" s="91"/>
      <c r="CJ642" s="91"/>
      <c r="CK642" s="89"/>
      <c r="CL642" s="91" t="str">
        <f t="shared" ca="1" si="9"/>
        <v>126 Tahun 0 Bulan 23 Hari</v>
      </c>
      <c r="CM64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 RT/RW  Desa/Kelurahan  Kecamatan    </v>
      </c>
    </row>
    <row r="643" spans="1:91" ht="24.95" hidden="1" customHeight="1">
      <c r="A643" s="89">
        <f>SUBTOTAL(3,N$8:Table2[[#This Row],[Nama lengkap]])</f>
        <v>472</v>
      </c>
      <c r="B643" s="89"/>
      <c r="C643" s="89"/>
      <c r="D643" s="89"/>
      <c r="E643" s="89"/>
      <c r="F643" s="89"/>
      <c r="G643" s="166"/>
      <c r="H643" s="32"/>
      <c r="I643" s="90"/>
      <c r="J643" s="139"/>
      <c r="K643" s="139"/>
      <c r="L643" s="139"/>
      <c r="M643" s="89">
        <v>16170113</v>
      </c>
      <c r="N643" s="91" t="s">
        <v>9110</v>
      </c>
      <c r="O643" s="140"/>
      <c r="P643" s="90"/>
      <c r="Q643" s="90" t="s">
        <v>9461</v>
      </c>
      <c r="R643" s="91" t="s">
        <v>9172</v>
      </c>
      <c r="S643" s="101"/>
      <c r="T643" s="142"/>
      <c r="U643" s="89"/>
      <c r="V643" s="89"/>
      <c r="W643" s="141"/>
      <c r="X643" s="92" t="s">
        <v>123</v>
      </c>
      <c r="Y643" s="92"/>
      <c r="Z643" s="92"/>
      <c r="AA643" s="92" t="s">
        <v>1141</v>
      </c>
      <c r="AB643" s="92"/>
      <c r="AC643" s="92"/>
      <c r="AD643" s="92"/>
      <c r="AE643" s="93" t="s">
        <v>9363</v>
      </c>
      <c r="AF643" s="91"/>
      <c r="AG643" s="91" t="s">
        <v>9559</v>
      </c>
      <c r="AH643" s="91"/>
      <c r="AI643" s="92"/>
      <c r="AJ643" s="101"/>
      <c r="AK643" s="90" t="s">
        <v>9760</v>
      </c>
      <c r="AL643" s="93" t="s">
        <v>103</v>
      </c>
      <c r="AM643" s="91"/>
      <c r="AN643" s="93"/>
      <c r="AO643" s="92"/>
      <c r="AP643" s="93" t="s">
        <v>9245</v>
      </c>
      <c r="AQ643" s="90"/>
      <c r="AR643" s="89" t="s">
        <v>7051</v>
      </c>
      <c r="AS643" s="93" t="s">
        <v>7039</v>
      </c>
      <c r="AT643" s="92" t="s">
        <v>90</v>
      </c>
      <c r="AU643" s="92" t="s">
        <v>111</v>
      </c>
      <c r="AV643" s="92"/>
      <c r="AW643" s="92" t="s">
        <v>8069</v>
      </c>
      <c r="AX643" s="91"/>
      <c r="AY643" s="91"/>
      <c r="AZ643" s="127"/>
      <c r="BA643" s="143" t="s">
        <v>9853</v>
      </c>
      <c r="BB643" s="101" t="s">
        <v>216</v>
      </c>
      <c r="BC643" s="93"/>
      <c r="BD643" s="143"/>
      <c r="BE643" s="92"/>
      <c r="BF643" s="67"/>
      <c r="BG643" s="93" t="s">
        <v>9245</v>
      </c>
      <c r="BH643" s="93"/>
      <c r="BI643" s="91" t="s">
        <v>7051</v>
      </c>
      <c r="BJ643" s="91" t="s">
        <v>7039</v>
      </c>
      <c r="BK643" s="93" t="s">
        <v>90</v>
      </c>
      <c r="BL643" s="91" t="s">
        <v>111</v>
      </c>
      <c r="BM643" s="92"/>
      <c r="BN643" s="64"/>
      <c r="BO643" s="92"/>
      <c r="BP643" s="92"/>
      <c r="BQ643" s="136"/>
      <c r="BR643" s="93"/>
      <c r="BS643" s="92"/>
      <c r="BT643" s="93"/>
      <c r="BU643" s="93"/>
      <c r="BV643" s="92"/>
      <c r="BW643" s="92"/>
      <c r="BX643" s="93"/>
      <c r="BY643" s="92"/>
      <c r="BZ643" s="92"/>
      <c r="CA643" s="93"/>
      <c r="CB643" s="92"/>
      <c r="CC643" s="92"/>
      <c r="CD643" s="92"/>
      <c r="CE643" s="64" t="s">
        <v>9245</v>
      </c>
      <c r="CF643" s="67"/>
      <c r="CG643" s="40" t="s">
        <v>7051</v>
      </c>
      <c r="CH643" s="92" t="s">
        <v>7039</v>
      </c>
      <c r="CI643" s="91" t="s">
        <v>90</v>
      </c>
      <c r="CJ643" s="91" t="s">
        <v>111</v>
      </c>
      <c r="CK643" s="89"/>
      <c r="CL643" s="91" t="str">
        <f t="shared" ca="1" si="9"/>
        <v>126 Tahun 0 Bulan 23 Hari</v>
      </c>
      <c r="CM643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Cigembreng RT/RW  Desa/Kelurahan Pamekaran Kecamatan Soreang Bandung Jawa Barat </v>
      </c>
    </row>
    <row r="644" spans="1:91" ht="24.95" hidden="1" customHeight="1">
      <c r="A644" s="89">
        <f>SUBTOTAL(3,N$8:Table2[[#This Row],[Nama lengkap]])</f>
        <v>472</v>
      </c>
      <c r="B644" s="89"/>
      <c r="C644" s="89"/>
      <c r="D644" s="89"/>
      <c r="E644" s="89"/>
      <c r="F644" s="89"/>
      <c r="G644" s="166"/>
      <c r="H644" s="32"/>
      <c r="I644" s="90"/>
      <c r="J644" s="139"/>
      <c r="K644" s="139"/>
      <c r="L644" s="139"/>
      <c r="M644" s="89">
        <v>16170115</v>
      </c>
      <c r="N644" s="91" t="s">
        <v>9111</v>
      </c>
      <c r="O644" s="140"/>
      <c r="P644" s="90"/>
      <c r="Q644" s="90" t="s">
        <v>9462</v>
      </c>
      <c r="R644" s="91" t="s">
        <v>9174</v>
      </c>
      <c r="S644" s="101"/>
      <c r="T644" s="142"/>
      <c r="U644" s="89"/>
      <c r="V644" s="89"/>
      <c r="W644" s="141"/>
      <c r="X644" s="92" t="s">
        <v>93</v>
      </c>
      <c r="Y644" s="92"/>
      <c r="Z644" s="92"/>
      <c r="AA644" s="92" t="s">
        <v>9317</v>
      </c>
      <c r="AB644" s="92"/>
      <c r="AC644" s="92"/>
      <c r="AD644" s="92"/>
      <c r="AE644" s="93" t="s">
        <v>9364</v>
      </c>
      <c r="AF644" s="91"/>
      <c r="AG644" s="91" t="s">
        <v>9560</v>
      </c>
      <c r="AH644" s="91"/>
      <c r="AI644" s="92"/>
      <c r="AJ644" s="101"/>
      <c r="AK644" s="90" t="s">
        <v>9761</v>
      </c>
      <c r="AL644" s="93" t="s">
        <v>602</v>
      </c>
      <c r="AM644" s="91"/>
      <c r="AN644" s="93"/>
      <c r="AO644" s="92"/>
      <c r="AP644" s="93" t="s">
        <v>9246</v>
      </c>
      <c r="AQ644" s="90"/>
      <c r="AR644" s="89" t="s">
        <v>9247</v>
      </c>
      <c r="AS644" s="93" t="s">
        <v>9248</v>
      </c>
      <c r="AT644" s="92" t="s">
        <v>236</v>
      </c>
      <c r="AU644" s="92" t="s">
        <v>111</v>
      </c>
      <c r="AV644" s="92"/>
      <c r="AW644" s="92" t="s">
        <v>9658</v>
      </c>
      <c r="AX644" s="91"/>
      <c r="AY644" s="91"/>
      <c r="AZ644" s="127"/>
      <c r="BA644" s="143" t="s">
        <v>9854</v>
      </c>
      <c r="BB644" s="101" t="s">
        <v>103</v>
      </c>
      <c r="BC644" s="93"/>
      <c r="BD644" s="143"/>
      <c r="BE644" s="92"/>
      <c r="BF644" s="67"/>
      <c r="BG644" s="93" t="s">
        <v>9246</v>
      </c>
      <c r="BH644" s="93"/>
      <c r="BI644" s="91" t="s">
        <v>9247</v>
      </c>
      <c r="BJ644" s="91" t="s">
        <v>9248</v>
      </c>
      <c r="BK644" s="93" t="s">
        <v>236</v>
      </c>
      <c r="BL644" s="91" t="s">
        <v>111</v>
      </c>
      <c r="BM644" s="92"/>
      <c r="BN644" s="64"/>
      <c r="BO644" s="92"/>
      <c r="BP644" s="92"/>
      <c r="BQ644" s="136"/>
      <c r="BR644" s="93"/>
      <c r="BS644" s="92"/>
      <c r="BT644" s="93"/>
      <c r="BU644" s="93"/>
      <c r="BV644" s="92"/>
      <c r="BW644" s="92"/>
      <c r="BX644" s="93"/>
      <c r="BY644" s="92"/>
      <c r="BZ644" s="92"/>
      <c r="CA644" s="93"/>
      <c r="CB644" s="92"/>
      <c r="CC644" s="92"/>
      <c r="CD644" s="92"/>
      <c r="CE644" s="64" t="s">
        <v>9246</v>
      </c>
      <c r="CF644" s="67"/>
      <c r="CG644" s="40" t="s">
        <v>9247</v>
      </c>
      <c r="CH644" s="92" t="s">
        <v>9248</v>
      </c>
      <c r="CI644" s="91" t="s">
        <v>236</v>
      </c>
      <c r="CJ644" s="91" t="s">
        <v>111</v>
      </c>
      <c r="CK644" s="89"/>
      <c r="CL644" s="91" t="str">
        <f t="shared" ca="1" si="9"/>
        <v>126 Tahun 0 Bulan 23 Hari</v>
      </c>
      <c r="CM64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Cibunut RT/RW  Desa/Kelurahan Karangmulya Kecamatan Karang Pawitan Garut Jawa Barat </v>
      </c>
    </row>
    <row r="645" spans="1:91" ht="24.95" hidden="1" customHeight="1">
      <c r="A645" s="89">
        <f>SUBTOTAL(3,N$8:Table2[[#This Row],[Nama lengkap]])</f>
        <v>472</v>
      </c>
      <c r="B645" s="89"/>
      <c r="C645" s="89"/>
      <c r="D645" s="89"/>
      <c r="E645" s="89"/>
      <c r="F645" s="89"/>
      <c r="G645" s="166"/>
      <c r="H645" s="32"/>
      <c r="I645" s="90"/>
      <c r="J645" s="139"/>
      <c r="K645" s="139"/>
      <c r="L645" s="139"/>
      <c r="M645" s="89">
        <v>17180135</v>
      </c>
      <c r="N645" s="91" t="s">
        <v>5790</v>
      </c>
      <c r="O645" s="140"/>
      <c r="P645" s="90"/>
      <c r="Q645" s="90" t="s">
        <v>4946</v>
      </c>
      <c r="R645" s="91" t="s">
        <v>122</v>
      </c>
      <c r="S645" s="101"/>
      <c r="T645" s="142"/>
      <c r="U645" s="89"/>
      <c r="V645" s="89"/>
      <c r="W645" s="141"/>
      <c r="X645" s="92" t="s">
        <v>123</v>
      </c>
      <c r="Y645" s="92"/>
      <c r="Z645" s="92"/>
      <c r="AA645" s="92" t="s">
        <v>96</v>
      </c>
      <c r="AB645" s="92"/>
      <c r="AC645" s="92"/>
      <c r="AD645" s="92"/>
      <c r="AE645" s="93" t="s">
        <v>4947</v>
      </c>
      <c r="AF645" s="91"/>
      <c r="AG645" s="91" t="s">
        <v>8691</v>
      </c>
      <c r="AH645" s="91"/>
      <c r="AI645" s="92"/>
      <c r="AJ645" s="101"/>
      <c r="AK645" s="90" t="s">
        <v>4948</v>
      </c>
      <c r="AL645" s="93" t="s">
        <v>9723</v>
      </c>
      <c r="AM645" s="91"/>
      <c r="AN645" s="93"/>
      <c r="AO645" s="92"/>
      <c r="AP645" s="93" t="s">
        <v>9308</v>
      </c>
      <c r="AQ645" s="90"/>
      <c r="AR645" s="89" t="s">
        <v>7037</v>
      </c>
      <c r="AS645" s="93" t="s">
        <v>593</v>
      </c>
      <c r="AT645" s="92" t="s">
        <v>122</v>
      </c>
      <c r="AU645" s="92" t="s">
        <v>111</v>
      </c>
      <c r="AV645" s="92"/>
      <c r="AW645" s="92" t="s">
        <v>9708</v>
      </c>
      <c r="AX645" s="91"/>
      <c r="AY645" s="91"/>
      <c r="AZ645" s="127"/>
      <c r="BA645" s="143" t="s">
        <v>4946</v>
      </c>
      <c r="BB645" s="101" t="s">
        <v>216</v>
      </c>
      <c r="BC645" s="93"/>
      <c r="BD645" s="143"/>
      <c r="BE645" s="92"/>
      <c r="BF645" s="67"/>
      <c r="BG645" s="93" t="s">
        <v>9308</v>
      </c>
      <c r="BH645" s="93"/>
      <c r="BI645" s="91" t="s">
        <v>7037</v>
      </c>
      <c r="BJ645" s="91" t="s">
        <v>593</v>
      </c>
      <c r="BK645" s="93" t="s">
        <v>122</v>
      </c>
      <c r="BL645" s="91" t="s">
        <v>111</v>
      </c>
      <c r="BM645" s="92"/>
      <c r="BN645" s="64"/>
      <c r="BO645" s="92"/>
      <c r="BP645" s="92"/>
      <c r="BQ645" s="136"/>
      <c r="BR645" s="93"/>
      <c r="BS645" s="92"/>
      <c r="BT645" s="93"/>
      <c r="BU645" s="93"/>
      <c r="BV645" s="92"/>
      <c r="BW645" s="92"/>
      <c r="BX645" s="93"/>
      <c r="BY645" s="92"/>
      <c r="BZ645" s="92"/>
      <c r="CA645" s="93"/>
      <c r="CB645" s="92"/>
      <c r="CC645" s="92"/>
      <c r="CD645" s="92"/>
      <c r="CE645" s="64" t="s">
        <v>9308</v>
      </c>
      <c r="CF645" s="67"/>
      <c r="CG645" s="40" t="s">
        <v>7037</v>
      </c>
      <c r="CH645" s="92" t="s">
        <v>593</v>
      </c>
      <c r="CI645" s="91" t="s">
        <v>122</v>
      </c>
      <c r="CJ645" s="91" t="s">
        <v>111</v>
      </c>
      <c r="CK645" s="89"/>
      <c r="CL645" s="91" t="str">
        <f t="shared" ca="1" si="9"/>
        <v>126 Tahun 0 Bulan 23 Hari</v>
      </c>
      <c r="CM64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Cikandang RT/RW  Desa/Kelurahan Cinanjung Kecamatan Tanjungsari Sumedang Jawa Barat </v>
      </c>
    </row>
    <row r="646" spans="1:91" ht="24.95" hidden="1" customHeight="1">
      <c r="A646" s="89">
        <f>SUBTOTAL(3,N$8:Table2[[#This Row],[Nama lengkap]])</f>
        <v>472</v>
      </c>
      <c r="B646" s="89"/>
      <c r="C646" s="89"/>
      <c r="D646" s="89"/>
      <c r="E646" s="89"/>
      <c r="F646" s="89"/>
      <c r="G646" s="166"/>
      <c r="H646" s="32"/>
      <c r="I646" s="90"/>
      <c r="J646" s="139"/>
      <c r="K646" s="139"/>
      <c r="L646" s="139"/>
      <c r="M646" s="89">
        <v>17180136</v>
      </c>
      <c r="N646" s="91" t="s">
        <v>5791</v>
      </c>
      <c r="O646" s="140"/>
      <c r="P646" s="90"/>
      <c r="Q646" s="90" t="s">
        <v>4956</v>
      </c>
      <c r="R646" s="91" t="s">
        <v>9170</v>
      </c>
      <c r="S646" s="101"/>
      <c r="T646" s="142"/>
      <c r="U646" s="89"/>
      <c r="V646" s="89"/>
      <c r="W646" s="141"/>
      <c r="X646" s="92" t="s">
        <v>123</v>
      </c>
      <c r="Y646" s="92"/>
      <c r="Z646" s="92"/>
      <c r="AA646" s="92" t="s">
        <v>1141</v>
      </c>
      <c r="AB646" s="92"/>
      <c r="AC646" s="92"/>
      <c r="AD646" s="92"/>
      <c r="AE646" s="93" t="s">
        <v>4958</v>
      </c>
      <c r="AF646" s="91"/>
      <c r="AG646" s="91" t="s">
        <v>6704</v>
      </c>
      <c r="AH646" s="91"/>
      <c r="AI646" s="92"/>
      <c r="AJ646" s="101"/>
      <c r="AK646" s="90" t="s">
        <v>6705</v>
      </c>
      <c r="AL646" s="93" t="s">
        <v>9723</v>
      </c>
      <c r="AM646" s="91"/>
      <c r="AN646" s="93"/>
      <c r="AO646" s="92"/>
      <c r="AP646" s="93" t="s">
        <v>9309</v>
      </c>
      <c r="AQ646" s="90"/>
      <c r="AR646" s="89" t="s">
        <v>1518</v>
      </c>
      <c r="AS646" s="93" t="s">
        <v>1518</v>
      </c>
      <c r="AT646" s="92" t="s">
        <v>122</v>
      </c>
      <c r="AU646" s="92" t="s">
        <v>111</v>
      </c>
      <c r="AV646" s="92"/>
      <c r="AW646" s="92" t="s">
        <v>6708</v>
      </c>
      <c r="AX646" s="91"/>
      <c r="AY646" s="91"/>
      <c r="AZ646" s="127"/>
      <c r="BA646" s="143" t="s">
        <v>4960</v>
      </c>
      <c r="BB646" s="101" t="s">
        <v>602</v>
      </c>
      <c r="BC646" s="93"/>
      <c r="BD646" s="143"/>
      <c r="BE646" s="92"/>
      <c r="BF646" s="67"/>
      <c r="BG646" s="93" t="s">
        <v>9309</v>
      </c>
      <c r="BH646" s="93"/>
      <c r="BI646" s="91" t="s">
        <v>1518</v>
      </c>
      <c r="BJ646" s="91" t="s">
        <v>1518</v>
      </c>
      <c r="BK646" s="93" t="s">
        <v>122</v>
      </c>
      <c r="BL646" s="91" t="s">
        <v>111</v>
      </c>
      <c r="BM646" s="92"/>
      <c r="BN646" s="64"/>
      <c r="BO646" s="92"/>
      <c r="BP646" s="92"/>
      <c r="BQ646" s="136"/>
      <c r="BR646" s="93"/>
      <c r="BS646" s="92"/>
      <c r="BT646" s="93"/>
      <c r="BU646" s="93"/>
      <c r="BV646" s="92"/>
      <c r="BW646" s="92"/>
      <c r="BX646" s="93"/>
      <c r="BY646" s="92"/>
      <c r="BZ646" s="92"/>
      <c r="CA646" s="93"/>
      <c r="CB646" s="92"/>
      <c r="CC646" s="92"/>
      <c r="CD646" s="92"/>
      <c r="CE646" s="64" t="s">
        <v>9309</v>
      </c>
      <c r="CF646" s="67"/>
      <c r="CG646" s="40" t="s">
        <v>1518</v>
      </c>
      <c r="CH646" s="92" t="s">
        <v>1518</v>
      </c>
      <c r="CI646" s="91" t="s">
        <v>122</v>
      </c>
      <c r="CJ646" s="91" t="s">
        <v>111</v>
      </c>
      <c r="CK646" s="89"/>
      <c r="CL646" s="91" t="str">
        <f t="shared" ca="1" si="9"/>
        <v>126 Tahun 0 Bulan 23 Hari</v>
      </c>
      <c r="CM64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Pasir Muncang RT/RW  Desa/Kelurahan Cimanggung Kecamatan Cimanggung Sumedang Jawa Barat </v>
      </c>
    </row>
    <row r="647" spans="1:91" ht="24.95" hidden="1" customHeight="1">
      <c r="A647" s="89">
        <f>SUBTOTAL(3,N$8:Table2[[#This Row],[Nama lengkap]])</f>
        <v>472</v>
      </c>
      <c r="B647" s="89"/>
      <c r="C647" s="89"/>
      <c r="D647" s="89"/>
      <c r="E647" s="89"/>
      <c r="F647" s="89"/>
      <c r="G647" s="166"/>
      <c r="H647" s="32"/>
      <c r="I647" s="90"/>
      <c r="J647" s="139"/>
      <c r="K647" s="139"/>
      <c r="L647" s="139"/>
      <c r="M647" s="89">
        <v>16170117</v>
      </c>
      <c r="N647" s="91" t="s">
        <v>9112</v>
      </c>
      <c r="O647" s="140"/>
      <c r="P647" s="90"/>
      <c r="Q647" s="90" t="s">
        <v>9463</v>
      </c>
      <c r="R647" s="91" t="s">
        <v>9172</v>
      </c>
      <c r="S647" s="101"/>
      <c r="T647" s="142"/>
      <c r="U647" s="89"/>
      <c r="V647" s="89"/>
      <c r="W647" s="141"/>
      <c r="X647" s="92" t="s">
        <v>303</v>
      </c>
      <c r="Y647" s="92"/>
      <c r="Z647" s="92"/>
      <c r="AA647" s="92" t="s">
        <v>96</v>
      </c>
      <c r="AB647" s="92"/>
      <c r="AC647" s="92"/>
      <c r="AD647" s="92"/>
      <c r="AE647" s="93" t="s">
        <v>9365</v>
      </c>
      <c r="AF647" s="91"/>
      <c r="AG647" s="91" t="s">
        <v>9561</v>
      </c>
      <c r="AH647" s="91"/>
      <c r="AI647" s="92"/>
      <c r="AJ647" s="101"/>
      <c r="AK647" s="90" t="s">
        <v>9762</v>
      </c>
      <c r="AL647" s="93" t="s">
        <v>602</v>
      </c>
      <c r="AM647" s="91"/>
      <c r="AN647" s="93"/>
      <c r="AO647" s="92"/>
      <c r="AP647" s="93" t="s">
        <v>7119</v>
      </c>
      <c r="AQ647" s="90"/>
      <c r="AR647" s="89" t="s">
        <v>7327</v>
      </c>
      <c r="AS647" s="93" t="s">
        <v>4835</v>
      </c>
      <c r="AT647" s="92" t="s">
        <v>90</v>
      </c>
      <c r="AU647" s="92" t="s">
        <v>111</v>
      </c>
      <c r="AV647" s="92"/>
      <c r="AW647" s="92" t="s">
        <v>9659</v>
      </c>
      <c r="AX647" s="91"/>
      <c r="AY647" s="91"/>
      <c r="AZ647" s="127"/>
      <c r="BA647" s="143" t="s">
        <v>9855</v>
      </c>
      <c r="BB647" s="101" t="s">
        <v>602</v>
      </c>
      <c r="BC647" s="93"/>
      <c r="BD647" s="143"/>
      <c r="BE647" s="92"/>
      <c r="BF647" s="67"/>
      <c r="BG647" s="93" t="s">
        <v>7119</v>
      </c>
      <c r="BH647" s="93"/>
      <c r="BI647" s="91" t="s">
        <v>7327</v>
      </c>
      <c r="BJ647" s="91" t="s">
        <v>4835</v>
      </c>
      <c r="BK647" s="93" t="s">
        <v>90</v>
      </c>
      <c r="BL647" s="91" t="s">
        <v>111</v>
      </c>
      <c r="BM647" s="92"/>
      <c r="BN647" s="64"/>
      <c r="BO647" s="92"/>
      <c r="BP647" s="92"/>
      <c r="BQ647" s="136"/>
      <c r="BR647" s="93"/>
      <c r="BS647" s="92"/>
      <c r="BT647" s="93"/>
      <c r="BU647" s="93"/>
      <c r="BV647" s="92"/>
      <c r="BW647" s="92"/>
      <c r="BX647" s="93"/>
      <c r="BY647" s="92"/>
      <c r="BZ647" s="92"/>
      <c r="CA647" s="93"/>
      <c r="CB647" s="92"/>
      <c r="CC647" s="92"/>
      <c r="CD647" s="92"/>
      <c r="CE647" s="64" t="s">
        <v>7119</v>
      </c>
      <c r="CF647" s="67"/>
      <c r="CG647" s="40" t="s">
        <v>7327</v>
      </c>
      <c r="CH647" s="92" t="s">
        <v>4835</v>
      </c>
      <c r="CI647" s="91" t="s">
        <v>90</v>
      </c>
      <c r="CJ647" s="91" t="s">
        <v>111</v>
      </c>
      <c r="CK647" s="89"/>
      <c r="CL647" s="91" t="str">
        <f t="shared" ca="1" si="9"/>
        <v>126 Tahun 0 Bulan 23 Hari</v>
      </c>
      <c r="CM64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Babakan Tarogong RT/RW  Desa/Kelurahan Baros Kecamatan Arjasari Bandung Jawa Barat </v>
      </c>
    </row>
    <row r="648" spans="1:91" ht="24.95" hidden="1" customHeight="1">
      <c r="A648" s="89">
        <f>SUBTOTAL(3,N$8:Table2[[#This Row],[Nama lengkap]])</f>
        <v>472</v>
      </c>
      <c r="B648" s="89"/>
      <c r="C648" s="89"/>
      <c r="D648" s="89"/>
      <c r="E648" s="89"/>
      <c r="F648" s="89"/>
      <c r="G648" s="166"/>
      <c r="H648" s="32"/>
      <c r="I648" s="90"/>
      <c r="J648" s="139"/>
      <c r="K648" s="139"/>
      <c r="L648" s="139"/>
      <c r="M648" s="89">
        <v>16170118</v>
      </c>
      <c r="N648" s="91" t="s">
        <v>9113</v>
      </c>
      <c r="O648" s="140"/>
      <c r="P648" s="90"/>
      <c r="Q648" s="90" t="s">
        <v>9464</v>
      </c>
      <c r="R648" s="91" t="s">
        <v>9174</v>
      </c>
      <c r="S648" s="101"/>
      <c r="T648" s="142"/>
      <c r="U648" s="89"/>
      <c r="V648" s="89"/>
      <c r="W648" s="141"/>
      <c r="X648" s="92" t="s">
        <v>984</v>
      </c>
      <c r="Y648" s="92"/>
      <c r="Z648" s="92"/>
      <c r="AA648" s="92" t="s">
        <v>9317</v>
      </c>
      <c r="AB648" s="92"/>
      <c r="AC648" s="92"/>
      <c r="AD648" s="92"/>
      <c r="AE648" s="93" t="s">
        <v>9366</v>
      </c>
      <c r="AF648" s="91"/>
      <c r="AG648" s="91" t="s">
        <v>9562</v>
      </c>
      <c r="AH648" s="91"/>
      <c r="AI648" s="92"/>
      <c r="AJ648" s="101"/>
      <c r="AK648" s="90" t="s">
        <v>9763</v>
      </c>
      <c r="AL648" s="93"/>
      <c r="AM648" s="91"/>
      <c r="AN648" s="93"/>
      <c r="AO648" s="92"/>
      <c r="AP648" s="93" t="s">
        <v>9249</v>
      </c>
      <c r="AQ648" s="90"/>
      <c r="AR648" s="89" t="s">
        <v>9250</v>
      </c>
      <c r="AS648" s="93" t="s">
        <v>9251</v>
      </c>
      <c r="AT648" s="92" t="s">
        <v>236</v>
      </c>
      <c r="AU648" s="92" t="s">
        <v>111</v>
      </c>
      <c r="AV648" s="92"/>
      <c r="AW648" s="92" t="s">
        <v>9660</v>
      </c>
      <c r="AX648" s="91"/>
      <c r="AY648" s="91"/>
      <c r="AZ648" s="127"/>
      <c r="BA648" s="143" t="s">
        <v>9856</v>
      </c>
      <c r="BB648" s="101" t="s">
        <v>216</v>
      </c>
      <c r="BC648" s="93"/>
      <c r="BD648" s="143"/>
      <c r="BE648" s="92"/>
      <c r="BF648" s="67"/>
      <c r="BG648" s="93" t="s">
        <v>9249</v>
      </c>
      <c r="BH648" s="93"/>
      <c r="BI648" s="91" t="s">
        <v>9250</v>
      </c>
      <c r="BJ648" s="91" t="s">
        <v>9251</v>
      </c>
      <c r="BK648" s="93" t="s">
        <v>236</v>
      </c>
      <c r="BL648" s="91" t="s">
        <v>111</v>
      </c>
      <c r="BM648" s="92"/>
      <c r="BN648" s="64"/>
      <c r="BO648" s="92"/>
      <c r="BP648" s="92"/>
      <c r="BQ648" s="136"/>
      <c r="BR648" s="93"/>
      <c r="BS648" s="92"/>
      <c r="BT648" s="93"/>
      <c r="BU648" s="93"/>
      <c r="BV648" s="92"/>
      <c r="BW648" s="92"/>
      <c r="BX648" s="93"/>
      <c r="BY648" s="92"/>
      <c r="BZ648" s="92"/>
      <c r="CA648" s="93"/>
      <c r="CB648" s="92"/>
      <c r="CC648" s="92"/>
      <c r="CD648" s="92"/>
      <c r="CE648" s="64" t="s">
        <v>9249</v>
      </c>
      <c r="CF648" s="67"/>
      <c r="CG648" s="40" t="s">
        <v>9250</v>
      </c>
      <c r="CH648" s="92" t="s">
        <v>9251</v>
      </c>
      <c r="CI648" s="91" t="s">
        <v>236</v>
      </c>
      <c r="CJ648" s="91" t="s">
        <v>111</v>
      </c>
      <c r="CK648" s="89"/>
      <c r="CL648" s="91" t="str">
        <f t="shared" ref="CL648:CL687" ca="1" si="10">DATEDIF(S648,NOW(),"Y")&amp;" Tahun " &amp;DATEDIF(S648,NOW(),"YM")&amp;" Bulan " &amp;DATEDIF(S648,NOW(),"MD")&amp;" Hari"</f>
        <v>126 Tahun 0 Bulan 23 Hari</v>
      </c>
      <c r="CM64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Pangkalan RT/RW  Desa/Kelurahan Pangikalan Kecamatan Malangbong Garut Jawa Barat </v>
      </c>
    </row>
    <row r="649" spans="1:91" ht="24.95" hidden="1" customHeight="1">
      <c r="A649" s="89">
        <f>SUBTOTAL(3,N$8:Table2[[#This Row],[Nama lengkap]])</f>
        <v>472</v>
      </c>
      <c r="B649" s="89"/>
      <c r="C649" s="89"/>
      <c r="D649" s="89"/>
      <c r="E649" s="89"/>
      <c r="F649" s="89"/>
      <c r="G649" s="166"/>
      <c r="H649" s="32"/>
      <c r="I649" s="90"/>
      <c r="J649" s="139"/>
      <c r="K649" s="139"/>
      <c r="L649" s="139"/>
      <c r="M649" s="89">
        <v>16170119</v>
      </c>
      <c r="N649" s="91" t="s">
        <v>9145</v>
      </c>
      <c r="O649" s="140"/>
      <c r="P649" s="90"/>
      <c r="Q649" s="90" t="s">
        <v>9496</v>
      </c>
      <c r="R649" s="91" t="s">
        <v>9172</v>
      </c>
      <c r="S649" s="101"/>
      <c r="T649" s="142"/>
      <c r="U649" s="89"/>
      <c r="V649" s="89"/>
      <c r="W649" s="141"/>
      <c r="X649" s="92" t="s">
        <v>984</v>
      </c>
      <c r="Y649" s="92"/>
      <c r="Z649" s="92"/>
      <c r="AA649" s="92" t="s">
        <v>96</v>
      </c>
      <c r="AB649" s="92"/>
      <c r="AC649" s="92"/>
      <c r="AD649" s="92"/>
      <c r="AE649" s="93" t="s">
        <v>9395</v>
      </c>
      <c r="AF649" s="91"/>
      <c r="AG649" s="91" t="s">
        <v>9591</v>
      </c>
      <c r="AH649" s="91"/>
      <c r="AI649" s="92"/>
      <c r="AJ649" s="101"/>
      <c r="AK649" s="90" t="s">
        <v>9793</v>
      </c>
      <c r="AL649" s="93" t="s">
        <v>602</v>
      </c>
      <c r="AM649" s="91"/>
      <c r="AN649" s="93"/>
      <c r="AO649" s="92"/>
      <c r="AP649" s="93" t="s">
        <v>6984</v>
      </c>
      <c r="AQ649" s="90"/>
      <c r="AR649" s="89" t="s">
        <v>6984</v>
      </c>
      <c r="AS649" s="93" t="s">
        <v>6984</v>
      </c>
      <c r="AT649" s="92" t="s">
        <v>644</v>
      </c>
      <c r="AU649" s="92" t="s">
        <v>111</v>
      </c>
      <c r="AV649" s="92"/>
      <c r="AW649" s="92" t="s">
        <v>9690</v>
      </c>
      <c r="AX649" s="91"/>
      <c r="AY649" s="91"/>
      <c r="AZ649" s="127"/>
      <c r="BA649" s="143" t="s">
        <v>9886</v>
      </c>
      <c r="BB649" s="101" t="s">
        <v>216</v>
      </c>
      <c r="BC649" s="93"/>
      <c r="BD649" s="143"/>
      <c r="BE649" s="92"/>
      <c r="BF649" s="67"/>
      <c r="BG649" s="93" t="s">
        <v>6984</v>
      </c>
      <c r="BH649" s="93"/>
      <c r="BI649" s="91" t="s">
        <v>6984</v>
      </c>
      <c r="BJ649" s="91" t="s">
        <v>6984</v>
      </c>
      <c r="BK649" s="93" t="s">
        <v>644</v>
      </c>
      <c r="BL649" s="91" t="s">
        <v>111</v>
      </c>
      <c r="BM649" s="92"/>
      <c r="BN649" s="64"/>
      <c r="BO649" s="92"/>
      <c r="BP649" s="92"/>
      <c r="BQ649" s="136"/>
      <c r="BR649" s="93"/>
      <c r="BS649" s="92"/>
      <c r="BT649" s="93"/>
      <c r="BU649" s="93"/>
      <c r="BV649" s="92"/>
      <c r="BW649" s="92"/>
      <c r="BX649" s="93"/>
      <c r="BY649" s="92"/>
      <c r="BZ649" s="92"/>
      <c r="CA649" s="93"/>
      <c r="CB649" s="92"/>
      <c r="CC649" s="92"/>
      <c r="CD649" s="92"/>
      <c r="CE649" s="64" t="s">
        <v>6984</v>
      </c>
      <c r="CF649" s="67"/>
      <c r="CG649" s="40" t="s">
        <v>6984</v>
      </c>
      <c r="CH649" s="92" t="s">
        <v>6984</v>
      </c>
      <c r="CI649" s="91" t="s">
        <v>644</v>
      </c>
      <c r="CJ649" s="91" t="s">
        <v>111</v>
      </c>
      <c r="CK649" s="89"/>
      <c r="CL649" s="91" t="str">
        <f t="shared" ca="1" si="10"/>
        <v>126 Tahun 0 Bulan 23 Hari</v>
      </c>
      <c r="CM649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Babakan Ciparay RT/RW  Desa/Kelurahan Babakan Ciparay Kecamatan Babakan Ciparay Kota Bandung Jawa Barat </v>
      </c>
    </row>
    <row r="650" spans="1:91" ht="24.95" hidden="1" customHeight="1">
      <c r="A650" s="89">
        <f>SUBTOTAL(3,N$8:Table2[[#This Row],[Nama lengkap]])</f>
        <v>472</v>
      </c>
      <c r="B650" s="89"/>
      <c r="C650" s="89"/>
      <c r="D650" s="89"/>
      <c r="E650" s="89"/>
      <c r="F650" s="89"/>
      <c r="G650" s="166"/>
      <c r="H650" s="32"/>
      <c r="I650" s="90"/>
      <c r="J650" s="139"/>
      <c r="K650" s="139"/>
      <c r="L650" s="139"/>
      <c r="M650" s="89">
        <v>18190231</v>
      </c>
      <c r="N650" s="91" t="s">
        <v>9146</v>
      </c>
      <c r="O650" s="140"/>
      <c r="P650" s="90"/>
      <c r="Q650" s="90" t="s">
        <v>9497</v>
      </c>
      <c r="R650" s="91" t="s">
        <v>90</v>
      </c>
      <c r="S650" s="101"/>
      <c r="T650" s="142"/>
      <c r="U650" s="89"/>
      <c r="V650" s="89"/>
      <c r="W650" s="141"/>
      <c r="X650" s="92" t="s">
        <v>303</v>
      </c>
      <c r="Y650" s="92"/>
      <c r="Z650" s="92"/>
      <c r="AA650" s="92" t="s">
        <v>753</v>
      </c>
      <c r="AB650" s="92"/>
      <c r="AC650" s="92"/>
      <c r="AD650" s="92"/>
      <c r="AE650" s="93" t="s">
        <v>9396</v>
      </c>
      <c r="AF650" s="91"/>
      <c r="AG650" s="91" t="s">
        <v>9592</v>
      </c>
      <c r="AH650" s="91"/>
      <c r="AI650" s="92"/>
      <c r="AJ650" s="101"/>
      <c r="AK650" s="90" t="s">
        <v>9794</v>
      </c>
      <c r="AL650" s="93" t="s">
        <v>9716</v>
      </c>
      <c r="AM650" s="91"/>
      <c r="AN650" s="93"/>
      <c r="AO650" s="92"/>
      <c r="AP650" s="93" t="s">
        <v>9286</v>
      </c>
      <c r="AQ650" s="90"/>
      <c r="AR650" s="89" t="s">
        <v>9287</v>
      </c>
      <c r="AS650" s="93" t="s">
        <v>507</v>
      </c>
      <c r="AT650" s="92" t="s">
        <v>90</v>
      </c>
      <c r="AU650" s="92" t="s">
        <v>111</v>
      </c>
      <c r="AV650" s="92"/>
      <c r="AW650" s="92" t="s">
        <v>9691</v>
      </c>
      <c r="AX650" s="91"/>
      <c r="AY650" s="91"/>
      <c r="AZ650" s="127"/>
      <c r="BA650" s="143" t="s">
        <v>9887</v>
      </c>
      <c r="BB650" s="101" t="s">
        <v>216</v>
      </c>
      <c r="BC650" s="93"/>
      <c r="BD650" s="143"/>
      <c r="BE650" s="92"/>
      <c r="BF650" s="67"/>
      <c r="BG650" s="93" t="s">
        <v>9286</v>
      </c>
      <c r="BH650" s="93"/>
      <c r="BI650" s="91" t="s">
        <v>9287</v>
      </c>
      <c r="BJ650" s="91" t="s">
        <v>507</v>
      </c>
      <c r="BK650" s="93" t="s">
        <v>90</v>
      </c>
      <c r="BL650" s="91" t="s">
        <v>111</v>
      </c>
      <c r="BM650" s="92"/>
      <c r="BN650" s="64"/>
      <c r="BO650" s="92"/>
      <c r="BP650" s="92"/>
      <c r="BQ650" s="136"/>
      <c r="BR650" s="93"/>
      <c r="BS650" s="92"/>
      <c r="BT650" s="93"/>
      <c r="BU650" s="93"/>
      <c r="BV650" s="92"/>
      <c r="BW650" s="92"/>
      <c r="BX650" s="93"/>
      <c r="BY650" s="92"/>
      <c r="BZ650" s="92"/>
      <c r="CA650" s="93"/>
      <c r="CB650" s="92"/>
      <c r="CC650" s="92"/>
      <c r="CD650" s="92"/>
      <c r="CE650" s="64" t="s">
        <v>9286</v>
      </c>
      <c r="CF650" s="67"/>
      <c r="CG650" s="40" t="s">
        <v>9287</v>
      </c>
      <c r="CH650" s="92" t="s">
        <v>507</v>
      </c>
      <c r="CI650" s="91" t="s">
        <v>90</v>
      </c>
      <c r="CJ650" s="91" t="s">
        <v>111</v>
      </c>
      <c r="CK650" s="89"/>
      <c r="CL650" s="91" t="str">
        <f t="shared" ca="1" si="10"/>
        <v>126 Tahun 0 Bulan 23 Hari</v>
      </c>
      <c r="CM650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 Sindang Sari RT/RW  Desa/Kelurahan Sindang Panon Kecamatan Banjaran Bandung Jawa Barat </v>
      </c>
    </row>
    <row r="651" spans="1:91" ht="24.95" hidden="1" customHeight="1">
      <c r="A651" s="89">
        <f>SUBTOTAL(3,N$8:Table2[[#This Row],[Nama lengkap]])</f>
        <v>472</v>
      </c>
      <c r="B651" s="89"/>
      <c r="C651" s="89"/>
      <c r="D651" s="89"/>
      <c r="E651" s="89"/>
      <c r="F651" s="89"/>
      <c r="G651" s="166"/>
      <c r="H651" s="32"/>
      <c r="I651" s="90"/>
      <c r="J651" s="139"/>
      <c r="K651" s="139"/>
      <c r="L651" s="139"/>
      <c r="M651" s="89"/>
      <c r="N651" s="91" t="s">
        <v>9095</v>
      </c>
      <c r="O651" s="140"/>
      <c r="P651" s="90"/>
      <c r="Q651" s="90" t="s">
        <v>9447</v>
      </c>
      <c r="R651" s="91" t="s">
        <v>9172</v>
      </c>
      <c r="S651" s="101"/>
      <c r="T651" s="142"/>
      <c r="U651" s="89"/>
      <c r="V651" s="89"/>
      <c r="W651" s="141"/>
      <c r="X651" s="92" t="s">
        <v>984</v>
      </c>
      <c r="Y651" s="92"/>
      <c r="Z651" s="92"/>
      <c r="AA651" s="92" t="s">
        <v>753</v>
      </c>
      <c r="AB651" s="92"/>
      <c r="AC651" s="92"/>
      <c r="AD651" s="92"/>
      <c r="AE651" s="93" t="s">
        <v>9351</v>
      </c>
      <c r="AF651" s="91"/>
      <c r="AG651" s="91" t="s">
        <v>9549</v>
      </c>
      <c r="AH651" s="91"/>
      <c r="AI651" s="92"/>
      <c r="AJ651" s="101"/>
      <c r="AK651" s="90" t="s">
        <v>9748</v>
      </c>
      <c r="AL651" s="93" t="s">
        <v>602</v>
      </c>
      <c r="AM651" s="91"/>
      <c r="AN651" s="93"/>
      <c r="AO651" s="92"/>
      <c r="AP651" s="93" t="s">
        <v>9222</v>
      </c>
      <c r="AQ651" s="90"/>
      <c r="AR651" s="89" t="s">
        <v>9223</v>
      </c>
      <c r="AS651" s="93" t="s">
        <v>9224</v>
      </c>
      <c r="AT651" s="92" t="s">
        <v>90</v>
      </c>
      <c r="AU651" s="92" t="s">
        <v>111</v>
      </c>
      <c r="AV651" s="92"/>
      <c r="AW651" s="92" t="s">
        <v>9646</v>
      </c>
      <c r="AX651" s="91"/>
      <c r="AY651" s="91"/>
      <c r="AZ651" s="127"/>
      <c r="BA651" s="143" t="s">
        <v>9841</v>
      </c>
      <c r="BB651" s="101" t="s">
        <v>216</v>
      </c>
      <c r="BC651" s="93"/>
      <c r="BD651" s="143"/>
      <c r="BE651" s="92"/>
      <c r="BF651" s="67"/>
      <c r="BG651" s="93" t="s">
        <v>9222</v>
      </c>
      <c r="BH651" s="93"/>
      <c r="BI651" s="91" t="s">
        <v>9223</v>
      </c>
      <c r="BJ651" s="91" t="s">
        <v>9224</v>
      </c>
      <c r="BK651" s="93" t="s">
        <v>90</v>
      </c>
      <c r="BL651" s="91" t="s">
        <v>111</v>
      </c>
      <c r="BM651" s="92"/>
      <c r="BN651" s="64"/>
      <c r="BO651" s="92"/>
      <c r="BP651" s="92"/>
      <c r="BQ651" s="136"/>
      <c r="BR651" s="93"/>
      <c r="BS651" s="92"/>
      <c r="BT651" s="93"/>
      <c r="BU651" s="93"/>
      <c r="BV651" s="92"/>
      <c r="BW651" s="92"/>
      <c r="BX651" s="93"/>
      <c r="BY651" s="92"/>
      <c r="BZ651" s="92"/>
      <c r="CA651" s="93"/>
      <c r="CB651" s="92"/>
      <c r="CC651" s="92"/>
      <c r="CD651" s="92"/>
      <c r="CE651" s="64" t="s">
        <v>9222</v>
      </c>
      <c r="CF651" s="67"/>
      <c r="CG651" s="40" t="s">
        <v>9223</v>
      </c>
      <c r="CH651" s="92" t="s">
        <v>9224</v>
      </c>
      <c r="CI651" s="91" t="s">
        <v>90</v>
      </c>
      <c r="CJ651" s="91" t="s">
        <v>111</v>
      </c>
      <c r="CK651" s="89"/>
      <c r="CL651" s="91" t="str">
        <f t="shared" ca="1" si="10"/>
        <v>126 Tahun 0 Bulan 23 Hari</v>
      </c>
      <c r="CM65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Jln. Cibunut Rt/Rw 08/07 RT/RW  Desa/Kelurahan Kebon Pisang Kecamatan Sumur Bandung Bandung Jawa Barat </v>
      </c>
    </row>
    <row r="652" spans="1:91" ht="24.95" hidden="1" customHeight="1">
      <c r="A652" s="89">
        <f>SUBTOTAL(3,N$8:Table2[[#This Row],[Nama lengkap]])</f>
        <v>472</v>
      </c>
      <c r="B652" s="89"/>
      <c r="C652" s="89"/>
      <c r="D652" s="89"/>
      <c r="E652" s="89"/>
      <c r="F652" s="89"/>
      <c r="G652" s="166"/>
      <c r="H652" s="32"/>
      <c r="I652" s="90"/>
      <c r="J652" s="139"/>
      <c r="K652" s="139"/>
      <c r="L652" s="139"/>
      <c r="M652" s="89">
        <v>16170120</v>
      </c>
      <c r="N652" s="91" t="s">
        <v>9147</v>
      </c>
      <c r="O652" s="140"/>
      <c r="P652" s="90"/>
      <c r="Q652" s="90" t="s">
        <v>9498</v>
      </c>
      <c r="R652" s="91" t="s">
        <v>9172</v>
      </c>
      <c r="S652" s="101"/>
      <c r="T652" s="142"/>
      <c r="U652" s="89"/>
      <c r="V652" s="89"/>
      <c r="W652" s="141"/>
      <c r="X652" s="92" t="s">
        <v>984</v>
      </c>
      <c r="Y652" s="92"/>
      <c r="Z652" s="92"/>
      <c r="AA652" s="92" t="s">
        <v>795</v>
      </c>
      <c r="AB652" s="92"/>
      <c r="AC652" s="92"/>
      <c r="AD652" s="92"/>
      <c r="AE652" s="93" t="s">
        <v>9341</v>
      </c>
      <c r="AF652" s="91"/>
      <c r="AG652" s="91" t="s">
        <v>9593</v>
      </c>
      <c r="AH652" s="91"/>
      <c r="AI652" s="92"/>
      <c r="AJ652" s="101"/>
      <c r="AK652" s="90" t="s">
        <v>9787</v>
      </c>
      <c r="AL652" s="93" t="s">
        <v>984</v>
      </c>
      <c r="AM652" s="91"/>
      <c r="AN652" s="93"/>
      <c r="AO652" s="92"/>
      <c r="AP652" s="93" t="s">
        <v>9288</v>
      </c>
      <c r="AQ652" s="90"/>
      <c r="AR652" s="89" t="s">
        <v>882</v>
      </c>
      <c r="AS652" s="93" t="s">
        <v>882</v>
      </c>
      <c r="AT652" s="92" t="s">
        <v>122</v>
      </c>
      <c r="AU652" s="92" t="s">
        <v>111</v>
      </c>
      <c r="AV652" s="92"/>
      <c r="AW652" s="92" t="s">
        <v>9692</v>
      </c>
      <c r="AX652" s="91"/>
      <c r="AY652" s="91"/>
      <c r="AZ652" s="127"/>
      <c r="BA652" s="143" t="s">
        <v>9832</v>
      </c>
      <c r="BB652" s="101" t="s">
        <v>216</v>
      </c>
      <c r="BC652" s="93"/>
      <c r="BD652" s="143"/>
      <c r="BE652" s="92"/>
      <c r="BF652" s="67"/>
      <c r="BG652" s="93" t="s">
        <v>9288</v>
      </c>
      <c r="BH652" s="93"/>
      <c r="BI652" s="91" t="s">
        <v>882</v>
      </c>
      <c r="BJ652" s="91" t="s">
        <v>882</v>
      </c>
      <c r="BK652" s="93" t="s">
        <v>122</v>
      </c>
      <c r="BL652" s="91" t="s">
        <v>111</v>
      </c>
      <c r="BM652" s="92"/>
      <c r="BN652" s="64"/>
      <c r="BO652" s="92"/>
      <c r="BP652" s="92"/>
      <c r="BQ652" s="136"/>
      <c r="BR652" s="93"/>
      <c r="BS652" s="92"/>
      <c r="BT652" s="93"/>
      <c r="BU652" s="93"/>
      <c r="BV652" s="92"/>
      <c r="BW652" s="92"/>
      <c r="BX652" s="93"/>
      <c r="BY652" s="92"/>
      <c r="BZ652" s="92"/>
      <c r="CA652" s="93"/>
      <c r="CB652" s="92"/>
      <c r="CC652" s="92"/>
      <c r="CD652" s="92"/>
      <c r="CE652" s="64" t="s">
        <v>9288</v>
      </c>
      <c r="CF652" s="67"/>
      <c r="CG652" s="40" t="s">
        <v>882</v>
      </c>
      <c r="CH652" s="92" t="s">
        <v>882</v>
      </c>
      <c r="CI652" s="91" t="s">
        <v>122</v>
      </c>
      <c r="CJ652" s="91" t="s">
        <v>111</v>
      </c>
      <c r="CK652" s="89"/>
      <c r="CL652" s="91" t="str">
        <f t="shared" ca="1" si="10"/>
        <v>126 Tahun 0 Bulan 23 Hari</v>
      </c>
      <c r="CM65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Boma RT/RW  Desa/Kelurahan Pamulihan Kecamatan Pamulihan Sumedang Jawa Barat </v>
      </c>
    </row>
    <row r="653" spans="1:91" ht="24.95" hidden="1" customHeight="1">
      <c r="A653" s="89">
        <f>SUBTOTAL(3,N$8:Table2[[#This Row],[Nama lengkap]])</f>
        <v>472</v>
      </c>
      <c r="B653" s="89"/>
      <c r="C653" s="89"/>
      <c r="D653" s="89"/>
      <c r="E653" s="89"/>
      <c r="F653" s="89"/>
      <c r="G653" s="166"/>
      <c r="H653" s="32"/>
      <c r="I653" s="90"/>
      <c r="J653" s="139"/>
      <c r="K653" s="139"/>
      <c r="L653" s="139"/>
      <c r="M653" s="89">
        <v>15160084</v>
      </c>
      <c r="N653" s="91" t="s">
        <v>9114</v>
      </c>
      <c r="O653" s="140"/>
      <c r="P653" s="90"/>
      <c r="Q653" s="90" t="s">
        <v>9465</v>
      </c>
      <c r="R653" s="91" t="s">
        <v>9172</v>
      </c>
      <c r="S653" s="101"/>
      <c r="T653" s="142"/>
      <c r="U653" s="89"/>
      <c r="V653" s="89"/>
      <c r="W653" s="141"/>
      <c r="X653" s="92" t="s">
        <v>93</v>
      </c>
      <c r="Y653" s="92"/>
      <c r="Z653" s="92"/>
      <c r="AA653" s="92" t="s">
        <v>9317</v>
      </c>
      <c r="AB653" s="92"/>
      <c r="AC653" s="92"/>
      <c r="AD653" s="92"/>
      <c r="AE653" s="93" t="s">
        <v>9367</v>
      </c>
      <c r="AF653" s="91"/>
      <c r="AG653" s="91" t="s">
        <v>9563</v>
      </c>
      <c r="AH653" s="91"/>
      <c r="AI653" s="92"/>
      <c r="AJ653" s="101"/>
      <c r="AK653" s="90" t="s">
        <v>9764</v>
      </c>
      <c r="AL653" s="93" t="s">
        <v>103</v>
      </c>
      <c r="AM653" s="91"/>
      <c r="AN653" s="93"/>
      <c r="AO653" s="92"/>
      <c r="AP653" s="93" t="s">
        <v>9252</v>
      </c>
      <c r="AQ653" s="90"/>
      <c r="AR653" s="89" t="s">
        <v>7251</v>
      </c>
      <c r="AS653" s="93" t="s">
        <v>6830</v>
      </c>
      <c r="AT653" s="92" t="s">
        <v>90</v>
      </c>
      <c r="AU653" s="92" t="s">
        <v>111</v>
      </c>
      <c r="AV653" s="92"/>
      <c r="AW653" s="92" t="s">
        <v>9661</v>
      </c>
      <c r="AX653" s="91"/>
      <c r="AY653" s="91"/>
      <c r="AZ653" s="127"/>
      <c r="BA653" s="143" t="s">
        <v>9857</v>
      </c>
      <c r="BB653" s="101" t="s">
        <v>103</v>
      </c>
      <c r="BC653" s="93"/>
      <c r="BD653" s="143"/>
      <c r="BE653" s="92"/>
      <c r="BF653" s="67"/>
      <c r="BG653" s="93" t="s">
        <v>9252</v>
      </c>
      <c r="BH653" s="93"/>
      <c r="BI653" s="91" t="s">
        <v>7251</v>
      </c>
      <c r="BJ653" s="91" t="s">
        <v>6830</v>
      </c>
      <c r="BK653" s="93" t="s">
        <v>90</v>
      </c>
      <c r="BL653" s="91" t="s">
        <v>111</v>
      </c>
      <c r="BM653" s="92"/>
      <c r="BN653" s="64"/>
      <c r="BO653" s="92"/>
      <c r="BP653" s="92"/>
      <c r="BQ653" s="136"/>
      <c r="BR653" s="93"/>
      <c r="BS653" s="92"/>
      <c r="BT653" s="93"/>
      <c r="BU653" s="93"/>
      <c r="BV653" s="92"/>
      <c r="BW653" s="92"/>
      <c r="BX653" s="93"/>
      <c r="BY653" s="92"/>
      <c r="BZ653" s="92"/>
      <c r="CA653" s="93"/>
      <c r="CB653" s="92"/>
      <c r="CC653" s="92"/>
      <c r="CD653" s="92"/>
      <c r="CE653" s="64" t="s">
        <v>9252</v>
      </c>
      <c r="CF653" s="67"/>
      <c r="CG653" s="40" t="s">
        <v>7251</v>
      </c>
      <c r="CH653" s="92" t="s">
        <v>6830</v>
      </c>
      <c r="CI653" s="91" t="s">
        <v>90</v>
      </c>
      <c r="CJ653" s="91" t="s">
        <v>111</v>
      </c>
      <c r="CK653" s="89"/>
      <c r="CL653" s="91" t="str">
        <f t="shared" ca="1" si="10"/>
        <v>126 Tahun 0 Bulan 23 Hari</v>
      </c>
      <c r="CM653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Komp. Cijambe Indah No.20 RT/RW  Desa/Kelurahan Pasir Endah Kecamatan Ujungberung Bandung Jawa Barat </v>
      </c>
    </row>
    <row r="654" spans="1:91" ht="24.95" hidden="1" customHeight="1">
      <c r="A654" s="89">
        <f>SUBTOTAL(3,N$8:Table2[[#This Row],[Nama lengkap]])</f>
        <v>472</v>
      </c>
      <c r="B654" s="89"/>
      <c r="C654" s="89"/>
      <c r="D654" s="89"/>
      <c r="E654" s="89"/>
      <c r="F654" s="89"/>
      <c r="G654" s="166"/>
      <c r="H654" s="32"/>
      <c r="I654" s="90"/>
      <c r="J654" s="139"/>
      <c r="K654" s="139"/>
      <c r="L654" s="139"/>
      <c r="M654" s="89">
        <v>15160086</v>
      </c>
      <c r="N654" s="91" t="s">
        <v>9115</v>
      </c>
      <c r="O654" s="140"/>
      <c r="P654" s="90"/>
      <c r="Q654" s="90" t="s">
        <v>9466</v>
      </c>
      <c r="R654" s="91" t="s">
        <v>9170</v>
      </c>
      <c r="S654" s="101"/>
      <c r="T654" s="142"/>
      <c r="U654" s="89"/>
      <c r="V654" s="89"/>
      <c r="W654" s="141"/>
      <c r="X654" s="92" t="s">
        <v>303</v>
      </c>
      <c r="Y654" s="92"/>
      <c r="Z654" s="92"/>
      <c r="AA654" s="92" t="s">
        <v>96</v>
      </c>
      <c r="AB654" s="92"/>
      <c r="AC654" s="92"/>
      <c r="AD654" s="92"/>
      <c r="AE654" s="93" t="s">
        <v>9368</v>
      </c>
      <c r="AF654" s="91"/>
      <c r="AG654" s="91" t="s">
        <v>9564</v>
      </c>
      <c r="AH654" s="91"/>
      <c r="AI654" s="92"/>
      <c r="AJ654" s="101"/>
      <c r="AK654" s="90" t="s">
        <v>9765</v>
      </c>
      <c r="AL654" s="93" t="s">
        <v>602</v>
      </c>
      <c r="AM654" s="91"/>
      <c r="AN654" s="93"/>
      <c r="AO654" s="92"/>
      <c r="AP654" s="93" t="s">
        <v>617</v>
      </c>
      <c r="AQ654" s="90"/>
      <c r="AR654" s="89" t="s">
        <v>7175</v>
      </c>
      <c r="AS654" s="93" t="s">
        <v>7140</v>
      </c>
      <c r="AT654" s="92" t="s">
        <v>122</v>
      </c>
      <c r="AU654" s="92" t="s">
        <v>111</v>
      </c>
      <c r="AV654" s="92"/>
      <c r="AW654" s="92" t="s">
        <v>9662</v>
      </c>
      <c r="AX654" s="91"/>
      <c r="AY654" s="91"/>
      <c r="AZ654" s="127"/>
      <c r="BA654" s="143" t="s">
        <v>9858</v>
      </c>
      <c r="BB654" s="101" t="s">
        <v>216</v>
      </c>
      <c r="BC654" s="93"/>
      <c r="BD654" s="143"/>
      <c r="BE654" s="92"/>
      <c r="BF654" s="67"/>
      <c r="BG654" s="93" t="s">
        <v>617</v>
      </c>
      <c r="BH654" s="93"/>
      <c r="BI654" s="91" t="s">
        <v>7175</v>
      </c>
      <c r="BJ654" s="91" t="s">
        <v>7140</v>
      </c>
      <c r="BK654" s="93" t="s">
        <v>122</v>
      </c>
      <c r="BL654" s="91" t="s">
        <v>111</v>
      </c>
      <c r="BM654" s="92"/>
      <c r="BN654" s="64"/>
      <c r="BO654" s="92"/>
      <c r="BP654" s="92"/>
      <c r="BQ654" s="136"/>
      <c r="BR654" s="93"/>
      <c r="BS654" s="92"/>
      <c r="BT654" s="93"/>
      <c r="BU654" s="93"/>
      <c r="BV654" s="92"/>
      <c r="BW654" s="92"/>
      <c r="BX654" s="93"/>
      <c r="BY654" s="92"/>
      <c r="BZ654" s="92"/>
      <c r="CA654" s="93"/>
      <c r="CB654" s="92"/>
      <c r="CC654" s="92"/>
      <c r="CD654" s="92"/>
      <c r="CE654" s="64" t="s">
        <v>617</v>
      </c>
      <c r="CF654" s="67"/>
      <c r="CG654" s="40" t="s">
        <v>7175</v>
      </c>
      <c r="CH654" s="92" t="s">
        <v>7140</v>
      </c>
      <c r="CI654" s="91" t="s">
        <v>122</v>
      </c>
      <c r="CJ654" s="91" t="s">
        <v>111</v>
      </c>
      <c r="CK654" s="89"/>
      <c r="CL654" s="91" t="str">
        <f t="shared" ca="1" si="10"/>
        <v>126 Tahun 0 Bulan 23 Hari</v>
      </c>
      <c r="CM65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Neglasari RT/RW  Desa/Kelurahan Sukamaju Kecamatan Rancakalong Sumedang Jawa Barat </v>
      </c>
    </row>
    <row r="655" spans="1:91" ht="24.95" hidden="1" customHeight="1">
      <c r="A655" s="89">
        <f>SUBTOTAL(3,N$8:Table2[[#This Row],[Nama lengkap]])</f>
        <v>472</v>
      </c>
      <c r="B655" s="89"/>
      <c r="C655" s="89"/>
      <c r="D655" s="89"/>
      <c r="E655" s="89"/>
      <c r="F655" s="89"/>
      <c r="G655" s="166"/>
      <c r="H655" s="32"/>
      <c r="I655" s="90"/>
      <c r="J655" s="139"/>
      <c r="K655" s="139"/>
      <c r="L655" s="139"/>
      <c r="M655" s="89">
        <v>15160088</v>
      </c>
      <c r="N655" s="91" t="s">
        <v>9116</v>
      </c>
      <c r="O655" s="140"/>
      <c r="P655" s="90"/>
      <c r="Q655" s="90" t="s">
        <v>9467</v>
      </c>
      <c r="R655" s="91" t="s">
        <v>9172</v>
      </c>
      <c r="S655" s="101"/>
      <c r="T655" s="142"/>
      <c r="U655" s="89"/>
      <c r="V655" s="89"/>
      <c r="W655" s="141"/>
      <c r="X655" s="92" t="s">
        <v>303</v>
      </c>
      <c r="Y655" s="92"/>
      <c r="Z655" s="92"/>
      <c r="AA655" s="92" t="s">
        <v>1141</v>
      </c>
      <c r="AB655" s="92"/>
      <c r="AC655" s="92"/>
      <c r="AD655" s="92"/>
      <c r="AE655" s="93" t="s">
        <v>9369</v>
      </c>
      <c r="AF655" s="91"/>
      <c r="AG655" s="91" t="s">
        <v>9565</v>
      </c>
      <c r="AH655" s="91"/>
      <c r="AI655" s="92"/>
      <c r="AJ655" s="101"/>
      <c r="AK655" s="90" t="s">
        <v>9766</v>
      </c>
      <c r="AL655" s="93" t="s">
        <v>914</v>
      </c>
      <c r="AM655" s="91"/>
      <c r="AN655" s="93"/>
      <c r="AO655" s="92"/>
      <c r="AP655" s="93" t="s">
        <v>9253</v>
      </c>
      <c r="AQ655" s="90"/>
      <c r="AR655" s="89" t="s">
        <v>9244</v>
      </c>
      <c r="AS655" s="93" t="s">
        <v>7248</v>
      </c>
      <c r="AT655" s="92" t="s">
        <v>644</v>
      </c>
      <c r="AU655" s="92" t="s">
        <v>111</v>
      </c>
      <c r="AV655" s="92"/>
      <c r="AW655" s="92" t="s">
        <v>9663</v>
      </c>
      <c r="AX655" s="91"/>
      <c r="AY655" s="91"/>
      <c r="AZ655" s="127"/>
      <c r="BA655" s="143" t="s">
        <v>9859</v>
      </c>
      <c r="BB655" s="101" t="s">
        <v>216</v>
      </c>
      <c r="BC655" s="93"/>
      <c r="BD655" s="143"/>
      <c r="BE655" s="92"/>
      <c r="BF655" s="67"/>
      <c r="BG655" s="93" t="s">
        <v>9253</v>
      </c>
      <c r="BH655" s="93"/>
      <c r="BI655" s="91" t="s">
        <v>9244</v>
      </c>
      <c r="BJ655" s="91" t="s">
        <v>7248</v>
      </c>
      <c r="BK655" s="93" t="s">
        <v>644</v>
      </c>
      <c r="BL655" s="91" t="s">
        <v>111</v>
      </c>
      <c r="BM655" s="92"/>
      <c r="BN655" s="64"/>
      <c r="BO655" s="92"/>
      <c r="BP655" s="92"/>
      <c r="BQ655" s="136"/>
      <c r="BR655" s="93"/>
      <c r="BS655" s="92"/>
      <c r="BT655" s="93"/>
      <c r="BU655" s="93"/>
      <c r="BV655" s="92"/>
      <c r="BW655" s="92"/>
      <c r="BX655" s="93"/>
      <c r="BY655" s="92"/>
      <c r="BZ655" s="92"/>
      <c r="CA655" s="93"/>
      <c r="CB655" s="92"/>
      <c r="CC655" s="92"/>
      <c r="CD655" s="92"/>
      <c r="CE655" s="64" t="s">
        <v>9253</v>
      </c>
      <c r="CF655" s="67"/>
      <c r="CG655" s="40" t="s">
        <v>9244</v>
      </c>
      <c r="CH655" s="92" t="s">
        <v>7248</v>
      </c>
      <c r="CI655" s="91" t="s">
        <v>644</v>
      </c>
      <c r="CJ655" s="91" t="s">
        <v>111</v>
      </c>
      <c r="CK655" s="89"/>
      <c r="CL655" s="91" t="str">
        <f t="shared" ca="1" si="10"/>
        <v>126 Tahun 0 Bulan 23 Hari</v>
      </c>
      <c r="CM65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Cikukang 11/72 RT/RW  Desa/Kelurahan Husen Sastra Negara Kecamatan Cicendo Kota Bandung Jawa Barat </v>
      </c>
    </row>
    <row r="656" spans="1:91" ht="24.95" hidden="1" customHeight="1">
      <c r="A656" s="89">
        <f>SUBTOTAL(3,N$8:Table2[[#This Row],[Nama lengkap]])</f>
        <v>472</v>
      </c>
      <c r="B656" s="89"/>
      <c r="C656" s="89"/>
      <c r="D656" s="89"/>
      <c r="E656" s="89"/>
      <c r="F656" s="89"/>
      <c r="G656" s="166"/>
      <c r="H656" s="32"/>
      <c r="I656" s="90"/>
      <c r="J656" s="139"/>
      <c r="K656" s="139"/>
      <c r="L656" s="139"/>
      <c r="M656" s="89">
        <v>15160089</v>
      </c>
      <c r="N656" s="91" t="s">
        <v>9117</v>
      </c>
      <c r="O656" s="140"/>
      <c r="P656" s="90"/>
      <c r="Q656" s="90" t="s">
        <v>9468</v>
      </c>
      <c r="R656" s="91" t="s">
        <v>9175</v>
      </c>
      <c r="S656" s="101"/>
      <c r="T656" s="142"/>
      <c r="U656" s="89"/>
      <c r="V656" s="89"/>
      <c r="W656" s="141"/>
      <c r="X656" s="92" t="s">
        <v>93</v>
      </c>
      <c r="Y656" s="92"/>
      <c r="Z656" s="92"/>
      <c r="AA656" s="92" t="s">
        <v>96</v>
      </c>
      <c r="AB656" s="92"/>
      <c r="AC656" s="92"/>
      <c r="AD656" s="92"/>
      <c r="AE656" s="93" t="s">
        <v>9370</v>
      </c>
      <c r="AF656" s="91"/>
      <c r="AG656" s="91" t="s">
        <v>9566</v>
      </c>
      <c r="AH656" s="91"/>
      <c r="AI656" s="92"/>
      <c r="AJ656" s="101"/>
      <c r="AK656" s="90" t="s">
        <v>9767</v>
      </c>
      <c r="AL656" s="93" t="s">
        <v>114</v>
      </c>
      <c r="AM656" s="91"/>
      <c r="AN656" s="93"/>
      <c r="AO656" s="92"/>
      <c r="AP656" s="93" t="s">
        <v>9254</v>
      </c>
      <c r="AQ656" s="90"/>
      <c r="AR656" s="89" t="s">
        <v>9255</v>
      </c>
      <c r="AS656" s="93" t="s">
        <v>9256</v>
      </c>
      <c r="AT656" s="92" t="s">
        <v>644</v>
      </c>
      <c r="AU656" s="92" t="s">
        <v>111</v>
      </c>
      <c r="AV656" s="92"/>
      <c r="AW656" s="92" t="s">
        <v>9664</v>
      </c>
      <c r="AX656" s="91"/>
      <c r="AY656" s="91"/>
      <c r="AZ656" s="127"/>
      <c r="BA656" s="143" t="s">
        <v>9860</v>
      </c>
      <c r="BB656" s="101" t="s">
        <v>216</v>
      </c>
      <c r="BC656" s="93"/>
      <c r="BD656" s="143"/>
      <c r="BE656" s="92"/>
      <c r="BF656" s="67"/>
      <c r="BG656" s="93" t="s">
        <v>9254</v>
      </c>
      <c r="BH656" s="93"/>
      <c r="BI656" s="91" t="s">
        <v>9255</v>
      </c>
      <c r="BJ656" s="91" t="s">
        <v>9256</v>
      </c>
      <c r="BK656" s="93" t="s">
        <v>644</v>
      </c>
      <c r="BL656" s="91" t="s">
        <v>111</v>
      </c>
      <c r="BM656" s="92"/>
      <c r="BN656" s="64"/>
      <c r="BO656" s="92"/>
      <c r="BP656" s="92"/>
      <c r="BQ656" s="136"/>
      <c r="BR656" s="93"/>
      <c r="BS656" s="92"/>
      <c r="BT656" s="93"/>
      <c r="BU656" s="93"/>
      <c r="BV656" s="92"/>
      <c r="BW656" s="92"/>
      <c r="BX656" s="93"/>
      <c r="BY656" s="92"/>
      <c r="BZ656" s="92"/>
      <c r="CA656" s="93"/>
      <c r="CB656" s="92"/>
      <c r="CC656" s="92"/>
      <c r="CD656" s="92"/>
      <c r="CE656" s="64" t="s">
        <v>9254</v>
      </c>
      <c r="CF656" s="67"/>
      <c r="CG656" s="40" t="s">
        <v>9255</v>
      </c>
      <c r="CH656" s="92" t="s">
        <v>9256</v>
      </c>
      <c r="CI656" s="91" t="s">
        <v>644</v>
      </c>
      <c r="CJ656" s="91" t="s">
        <v>111</v>
      </c>
      <c r="CK656" s="89"/>
      <c r="CL656" s="91" t="str">
        <f t="shared" ca="1" si="10"/>
        <v>126 Tahun 0 Bulan 23 Hari</v>
      </c>
      <c r="CM65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Margacinta Dalam RT/RW  Desa/Kelurahan Cijawura Kecamatan Buah Batu Kota Bandung Jawa Barat </v>
      </c>
    </row>
    <row r="657" spans="1:91" ht="24.95" hidden="1" customHeight="1">
      <c r="A657" s="89">
        <f>SUBTOTAL(3,N$8:Table2[[#This Row],[Nama lengkap]])</f>
        <v>472</v>
      </c>
      <c r="B657" s="89"/>
      <c r="C657" s="89"/>
      <c r="D657" s="89"/>
      <c r="E657" s="89"/>
      <c r="F657" s="89"/>
      <c r="G657" s="166"/>
      <c r="H657" s="32"/>
      <c r="I657" s="90"/>
      <c r="J657" s="139"/>
      <c r="K657" s="139"/>
      <c r="L657" s="139"/>
      <c r="M657" s="89">
        <v>17180146</v>
      </c>
      <c r="N657" s="91" t="s">
        <v>9148</v>
      </c>
      <c r="O657" s="140"/>
      <c r="P657" s="90"/>
      <c r="Q657" s="90" t="s">
        <v>9499</v>
      </c>
      <c r="R657" s="91" t="s">
        <v>9170</v>
      </c>
      <c r="S657" s="101"/>
      <c r="T657" s="142"/>
      <c r="U657" s="89"/>
      <c r="V657" s="89"/>
      <c r="W657" s="141"/>
      <c r="X657" s="92" t="s">
        <v>123</v>
      </c>
      <c r="Y657" s="92"/>
      <c r="Z657" s="92"/>
      <c r="AA657" s="92" t="s">
        <v>795</v>
      </c>
      <c r="AB657" s="92"/>
      <c r="AC657" s="92"/>
      <c r="AD657" s="92"/>
      <c r="AE657" s="93" t="s">
        <v>9397</v>
      </c>
      <c r="AF657" s="91"/>
      <c r="AG657" s="91" t="s">
        <v>9594</v>
      </c>
      <c r="AH657" s="91"/>
      <c r="AI657" s="92"/>
      <c r="AJ657" s="101"/>
      <c r="AK657" s="90" t="s">
        <v>9795</v>
      </c>
      <c r="AL657" s="93" t="s">
        <v>602</v>
      </c>
      <c r="AM657" s="91"/>
      <c r="AN657" s="93"/>
      <c r="AO657" s="92"/>
      <c r="AP657" s="93" t="s">
        <v>9289</v>
      </c>
      <c r="AQ657" s="90"/>
      <c r="AR657" s="89" t="s">
        <v>882</v>
      </c>
      <c r="AS657" s="93" t="s">
        <v>882</v>
      </c>
      <c r="AT657" s="92" t="s">
        <v>122</v>
      </c>
      <c r="AU657" s="92" t="s">
        <v>111</v>
      </c>
      <c r="AV657" s="92"/>
      <c r="AW657" s="92" t="s">
        <v>9693</v>
      </c>
      <c r="AX657" s="91"/>
      <c r="AY657" s="91"/>
      <c r="AZ657" s="127"/>
      <c r="BA657" s="143" t="s">
        <v>9888</v>
      </c>
      <c r="BB657" s="101" t="s">
        <v>216</v>
      </c>
      <c r="BC657" s="93"/>
      <c r="BD657" s="143"/>
      <c r="BE657" s="92"/>
      <c r="BF657" s="67"/>
      <c r="BG657" s="93" t="s">
        <v>9289</v>
      </c>
      <c r="BH657" s="93"/>
      <c r="BI657" s="91" t="s">
        <v>882</v>
      </c>
      <c r="BJ657" s="91" t="s">
        <v>882</v>
      </c>
      <c r="BK657" s="93" t="s">
        <v>122</v>
      </c>
      <c r="BL657" s="91" t="s">
        <v>111</v>
      </c>
      <c r="BM657" s="92"/>
      <c r="BN657" s="64"/>
      <c r="BO657" s="92"/>
      <c r="BP657" s="92"/>
      <c r="BQ657" s="136"/>
      <c r="BR657" s="93"/>
      <c r="BS657" s="92"/>
      <c r="BT657" s="93"/>
      <c r="BU657" s="93"/>
      <c r="BV657" s="92"/>
      <c r="BW657" s="92"/>
      <c r="BX657" s="93"/>
      <c r="BY657" s="92"/>
      <c r="BZ657" s="92"/>
      <c r="CA657" s="93"/>
      <c r="CB657" s="92"/>
      <c r="CC657" s="92"/>
      <c r="CD657" s="92"/>
      <c r="CE657" s="64" t="s">
        <v>9289</v>
      </c>
      <c r="CF657" s="67"/>
      <c r="CG657" s="40" t="s">
        <v>882</v>
      </c>
      <c r="CH657" s="92" t="s">
        <v>882</v>
      </c>
      <c r="CI657" s="91" t="s">
        <v>122</v>
      </c>
      <c r="CJ657" s="91" t="s">
        <v>111</v>
      </c>
      <c r="CK657" s="89"/>
      <c r="CL657" s="91" t="str">
        <f t="shared" ca="1" si="10"/>
        <v>126 Tahun 0 Bulan 23 Hari</v>
      </c>
      <c r="CM65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Boma RT/RW  Desa/Kelurahan Pamulihan Kecamatan Pamulihan Sumedang Jawa Barat </v>
      </c>
    </row>
    <row r="658" spans="1:91" ht="24.95" hidden="1" customHeight="1">
      <c r="A658" s="89">
        <f>SUBTOTAL(3,N$8:Table2[[#This Row],[Nama lengkap]])</f>
        <v>472</v>
      </c>
      <c r="B658" s="89"/>
      <c r="C658" s="89"/>
      <c r="D658" s="89"/>
      <c r="E658" s="89"/>
      <c r="F658" s="89"/>
      <c r="G658" s="166"/>
      <c r="H658" s="32"/>
      <c r="I658" s="90"/>
      <c r="J658" s="139"/>
      <c r="K658" s="139"/>
      <c r="L658" s="139"/>
      <c r="M658" s="89">
        <v>15160090</v>
      </c>
      <c r="N658" s="91" t="s">
        <v>9118</v>
      </c>
      <c r="O658" s="140"/>
      <c r="P658" s="90"/>
      <c r="Q658" s="90" t="s">
        <v>9469</v>
      </c>
      <c r="R658" s="91" t="s">
        <v>9170</v>
      </c>
      <c r="S658" s="101"/>
      <c r="T658" s="142"/>
      <c r="U658" s="89"/>
      <c r="V658" s="89"/>
      <c r="W658" s="141"/>
      <c r="X658" s="92" t="s">
        <v>303</v>
      </c>
      <c r="Y658" s="92"/>
      <c r="Z658" s="92"/>
      <c r="AA658" s="92" t="s">
        <v>795</v>
      </c>
      <c r="AB658" s="92"/>
      <c r="AC658" s="92"/>
      <c r="AD658" s="92"/>
      <c r="AE658" s="93" t="s">
        <v>9371</v>
      </c>
      <c r="AF658" s="91"/>
      <c r="AG658" s="91" t="s">
        <v>9567</v>
      </c>
      <c r="AH658" s="91"/>
      <c r="AI658" s="92"/>
      <c r="AJ658" s="101"/>
      <c r="AK658" s="90" t="s">
        <v>9768</v>
      </c>
      <c r="AL658" s="93" t="s">
        <v>114</v>
      </c>
      <c r="AM658" s="91"/>
      <c r="AN658" s="93"/>
      <c r="AO658" s="92"/>
      <c r="AP658" s="93" t="s">
        <v>9257</v>
      </c>
      <c r="AQ658" s="90"/>
      <c r="AR658" s="89" t="s">
        <v>917</v>
      </c>
      <c r="AS658" s="93" t="s">
        <v>9258</v>
      </c>
      <c r="AT658" s="92" t="s">
        <v>122</v>
      </c>
      <c r="AU658" s="92" t="s">
        <v>111</v>
      </c>
      <c r="AV658" s="92"/>
      <c r="AW658" s="92" t="s">
        <v>9665</v>
      </c>
      <c r="AX658" s="91"/>
      <c r="AY658" s="91"/>
      <c r="AZ658" s="127"/>
      <c r="BA658" s="143" t="s">
        <v>9861</v>
      </c>
      <c r="BB658" s="101" t="s">
        <v>114</v>
      </c>
      <c r="BC658" s="93"/>
      <c r="BD658" s="143"/>
      <c r="BE658" s="92"/>
      <c r="BF658" s="67"/>
      <c r="BG658" s="93" t="s">
        <v>9257</v>
      </c>
      <c r="BH658" s="93"/>
      <c r="BI658" s="91" t="s">
        <v>917</v>
      </c>
      <c r="BJ658" s="91" t="s">
        <v>9258</v>
      </c>
      <c r="BK658" s="93" t="s">
        <v>122</v>
      </c>
      <c r="BL658" s="91" t="s">
        <v>111</v>
      </c>
      <c r="BM658" s="92"/>
      <c r="BN658" s="64"/>
      <c r="BO658" s="92"/>
      <c r="BP658" s="92"/>
      <c r="BQ658" s="136"/>
      <c r="BR658" s="93"/>
      <c r="BS658" s="92"/>
      <c r="BT658" s="93"/>
      <c r="BU658" s="93"/>
      <c r="BV658" s="92"/>
      <c r="BW658" s="92"/>
      <c r="BX658" s="93"/>
      <c r="BY658" s="92"/>
      <c r="BZ658" s="92"/>
      <c r="CA658" s="93"/>
      <c r="CB658" s="92"/>
      <c r="CC658" s="92"/>
      <c r="CD658" s="92"/>
      <c r="CE658" s="64" t="s">
        <v>9257</v>
      </c>
      <c r="CF658" s="67"/>
      <c r="CG658" s="40" t="s">
        <v>917</v>
      </c>
      <c r="CH658" s="92" t="s">
        <v>9258</v>
      </c>
      <c r="CI658" s="91" t="s">
        <v>122</v>
      </c>
      <c r="CJ658" s="91" t="s">
        <v>111</v>
      </c>
      <c r="CK658" s="89"/>
      <c r="CL658" s="91" t="str">
        <f t="shared" ca="1" si="10"/>
        <v>126 Tahun 0 Bulan 23 Hari</v>
      </c>
      <c r="CM65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Retib Gang Babakan Anyar RT/RW  Desa/Kelurahan Kota Kaler Kecamatan Ketib Sumedang Jawa Barat </v>
      </c>
    </row>
    <row r="659" spans="1:91" ht="24.95" hidden="1" customHeight="1">
      <c r="A659" s="89">
        <f>SUBTOTAL(3,N$8:Table2[[#This Row],[Nama lengkap]])</f>
        <v>472</v>
      </c>
      <c r="B659" s="89"/>
      <c r="C659" s="89"/>
      <c r="D659" s="89"/>
      <c r="E659" s="89"/>
      <c r="F659" s="89"/>
      <c r="G659" s="166"/>
      <c r="H659" s="32"/>
      <c r="I659" s="90"/>
      <c r="J659" s="139"/>
      <c r="K659" s="139"/>
      <c r="L659" s="139"/>
      <c r="M659" s="89">
        <v>17180155</v>
      </c>
      <c r="N659" s="91" t="s">
        <v>9164</v>
      </c>
      <c r="O659" s="140"/>
      <c r="P659" s="90"/>
      <c r="Q659" s="90" t="s">
        <v>9516</v>
      </c>
      <c r="R659" s="91" t="s">
        <v>122</v>
      </c>
      <c r="S659" s="101"/>
      <c r="T659" s="142"/>
      <c r="U659" s="89"/>
      <c r="V659" s="89"/>
      <c r="W659" s="141"/>
      <c r="X659" s="92" t="s">
        <v>303</v>
      </c>
      <c r="Y659" s="92"/>
      <c r="Z659" s="92"/>
      <c r="AA659" s="92" t="s">
        <v>795</v>
      </c>
      <c r="AB659" s="92"/>
      <c r="AC659" s="92"/>
      <c r="AD659" s="92"/>
      <c r="AE659" s="93" t="s">
        <v>9412</v>
      </c>
      <c r="AF659" s="91"/>
      <c r="AG659" s="91" t="s">
        <v>9612</v>
      </c>
      <c r="AH659" s="91"/>
      <c r="AI659" s="92"/>
      <c r="AJ659" s="101"/>
      <c r="AK659" s="90" t="s">
        <v>9811</v>
      </c>
      <c r="AL659" s="93" t="s">
        <v>289</v>
      </c>
      <c r="AM659" s="91"/>
      <c r="AN659" s="93"/>
      <c r="AO659" s="92"/>
      <c r="AP659" s="93" t="s">
        <v>9310</v>
      </c>
      <c r="AQ659" s="90"/>
      <c r="AR659" s="89" t="s">
        <v>7013</v>
      </c>
      <c r="AS659" s="93" t="s">
        <v>134</v>
      </c>
      <c r="AT659" s="92" t="s">
        <v>122</v>
      </c>
      <c r="AU659" s="92" t="s">
        <v>111</v>
      </c>
      <c r="AV659" s="92"/>
      <c r="AW659" s="92" t="s">
        <v>9709</v>
      </c>
      <c r="AX659" s="91"/>
      <c r="AY659" s="91"/>
      <c r="AZ659" s="127"/>
      <c r="BA659" s="143" t="s">
        <v>9906</v>
      </c>
      <c r="BB659" s="101" t="s">
        <v>216</v>
      </c>
      <c r="BC659" s="93"/>
      <c r="BD659" s="143"/>
      <c r="BE659" s="92"/>
      <c r="BF659" s="67"/>
      <c r="BG659" s="93" t="s">
        <v>9310</v>
      </c>
      <c r="BH659" s="93"/>
      <c r="BI659" s="91" t="s">
        <v>7013</v>
      </c>
      <c r="BJ659" s="91" t="s">
        <v>134</v>
      </c>
      <c r="BK659" s="93" t="s">
        <v>122</v>
      </c>
      <c r="BL659" s="91" t="s">
        <v>111</v>
      </c>
      <c r="BM659" s="92"/>
      <c r="BN659" s="64"/>
      <c r="BO659" s="92"/>
      <c r="BP659" s="92"/>
      <c r="BQ659" s="136"/>
      <c r="BR659" s="93"/>
      <c r="BS659" s="92"/>
      <c r="BT659" s="93"/>
      <c r="BU659" s="93"/>
      <c r="BV659" s="92"/>
      <c r="BW659" s="92"/>
      <c r="BX659" s="93"/>
      <c r="BY659" s="92"/>
      <c r="BZ659" s="92"/>
      <c r="CA659" s="93"/>
      <c r="CB659" s="92"/>
      <c r="CC659" s="92"/>
      <c r="CD659" s="92"/>
      <c r="CE659" s="64" t="s">
        <v>9310</v>
      </c>
      <c r="CF659" s="67"/>
      <c r="CG659" s="40" t="s">
        <v>7013</v>
      </c>
      <c r="CH659" s="92" t="s">
        <v>134</v>
      </c>
      <c r="CI659" s="91" t="s">
        <v>122</v>
      </c>
      <c r="CJ659" s="91" t="s">
        <v>111</v>
      </c>
      <c r="CK659" s="89"/>
      <c r="CL659" s="91" t="str">
        <f t="shared" ca="1" si="10"/>
        <v>126 Tahun 0 Bulan 23 Hari</v>
      </c>
      <c r="CM659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Bojong Ciakar RT/RW  Desa/Kelurahan Situ Kecamatan Sumedang Utara Sumedang Jawa Barat </v>
      </c>
    </row>
    <row r="660" spans="1:91" ht="24.95" hidden="1" customHeight="1">
      <c r="A660" s="89">
        <f>SUBTOTAL(3,N$8:Table2[[#This Row],[Nama lengkap]])</f>
        <v>472</v>
      </c>
      <c r="B660" s="89"/>
      <c r="C660" s="89"/>
      <c r="D660" s="89"/>
      <c r="E660" s="89"/>
      <c r="F660" s="89"/>
      <c r="G660" s="166"/>
      <c r="H660" s="32"/>
      <c r="I660" s="90"/>
      <c r="J660" s="139"/>
      <c r="K660" s="139"/>
      <c r="L660" s="139"/>
      <c r="M660" s="89">
        <v>16170123</v>
      </c>
      <c r="N660" s="91" t="s">
        <v>9152</v>
      </c>
      <c r="O660" s="140"/>
      <c r="P660" s="90" t="s">
        <v>9916</v>
      </c>
      <c r="Q660" s="90" t="s">
        <v>9503</v>
      </c>
      <c r="R660" s="91" t="s">
        <v>9173</v>
      </c>
      <c r="S660" s="101"/>
      <c r="T660" s="142"/>
      <c r="U660" s="89"/>
      <c r="V660" s="89"/>
      <c r="W660" s="141"/>
      <c r="X660" s="92" t="s">
        <v>984</v>
      </c>
      <c r="Y660" s="92"/>
      <c r="Z660" s="92"/>
      <c r="AA660" s="92" t="s">
        <v>96</v>
      </c>
      <c r="AB660" s="92"/>
      <c r="AC660" s="92"/>
      <c r="AD660" s="92"/>
      <c r="AE660" s="93" t="s">
        <v>9400</v>
      </c>
      <c r="AF660" s="91"/>
      <c r="AG660" s="91" t="s">
        <v>9598</v>
      </c>
      <c r="AH660" s="91"/>
      <c r="AI660" s="92"/>
      <c r="AJ660" s="101"/>
      <c r="AK660" s="90" t="s">
        <v>532</v>
      </c>
      <c r="AL660" s="93" t="s">
        <v>984</v>
      </c>
      <c r="AM660" s="91"/>
      <c r="AN660" s="93"/>
      <c r="AO660" s="92"/>
      <c r="AP660" s="93" t="s">
        <v>9291</v>
      </c>
      <c r="AQ660" s="90"/>
      <c r="AR660" s="89" t="s">
        <v>9235</v>
      </c>
      <c r="AS660" s="93" t="s">
        <v>9235</v>
      </c>
      <c r="AT660" s="92" t="s">
        <v>6472</v>
      </c>
      <c r="AU660" s="92" t="s">
        <v>111</v>
      </c>
      <c r="AV660" s="92"/>
      <c r="AW660" s="92" t="s">
        <v>9696</v>
      </c>
      <c r="AX660" s="91"/>
      <c r="AY660" s="91"/>
      <c r="AZ660" s="127"/>
      <c r="BA660" s="143" t="s">
        <v>9891</v>
      </c>
      <c r="BB660" s="101" t="s">
        <v>216</v>
      </c>
      <c r="BC660" s="93"/>
      <c r="BD660" s="143"/>
      <c r="BE660" s="92"/>
      <c r="BF660" s="67"/>
      <c r="BG660" s="93" t="s">
        <v>9291</v>
      </c>
      <c r="BH660" s="93"/>
      <c r="BI660" s="91" t="s">
        <v>9235</v>
      </c>
      <c r="BJ660" s="91" t="s">
        <v>9235</v>
      </c>
      <c r="BK660" s="93" t="s">
        <v>6472</v>
      </c>
      <c r="BL660" s="91" t="s">
        <v>111</v>
      </c>
      <c r="BM660" s="92"/>
      <c r="BN660" s="64"/>
      <c r="BO660" s="92"/>
      <c r="BP660" s="92"/>
      <c r="BQ660" s="136"/>
      <c r="BR660" s="93"/>
      <c r="BS660" s="92"/>
      <c r="BT660" s="93"/>
      <c r="BU660" s="93"/>
      <c r="BV660" s="92"/>
      <c r="BW660" s="92"/>
      <c r="BX660" s="93"/>
      <c r="BY660" s="92"/>
      <c r="BZ660" s="92"/>
      <c r="CA660" s="93"/>
      <c r="CB660" s="92"/>
      <c r="CC660" s="92"/>
      <c r="CD660" s="92"/>
      <c r="CE660" s="64" t="s">
        <v>9291</v>
      </c>
      <c r="CF660" s="67"/>
      <c r="CG660" s="40" t="s">
        <v>9235</v>
      </c>
      <c r="CH660" s="92" t="s">
        <v>9235</v>
      </c>
      <c r="CI660" s="91" t="s">
        <v>6472</v>
      </c>
      <c r="CJ660" s="91" t="s">
        <v>111</v>
      </c>
      <c r="CK660" s="89"/>
      <c r="CL660" s="91" t="str">
        <f t="shared" ca="1" si="10"/>
        <v>126 Tahun 0 Bulan 23 Hari</v>
      </c>
      <c r="CM660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Blok Kenanga RT/RW  Desa/Kelurahan Panyingkiran Kecamatan Panyingkiran Majalengka Jawa Barat </v>
      </c>
    </row>
    <row r="661" spans="1:91" ht="24.95" hidden="1" customHeight="1">
      <c r="A661" s="89">
        <f>SUBTOTAL(3,N$8:Table2[[#This Row],[Nama lengkap]])</f>
        <v>472</v>
      </c>
      <c r="B661" s="89"/>
      <c r="C661" s="89"/>
      <c r="D661" s="89"/>
      <c r="E661" s="89"/>
      <c r="F661" s="89"/>
      <c r="G661" s="166"/>
      <c r="H661" s="32"/>
      <c r="I661" s="90"/>
      <c r="J661" s="139"/>
      <c r="K661" s="139"/>
      <c r="L661" s="139"/>
      <c r="M661" s="89">
        <v>16170122</v>
      </c>
      <c r="N661" s="91" t="s">
        <v>9149</v>
      </c>
      <c r="O661" s="140"/>
      <c r="P661" s="90"/>
      <c r="Q661" s="90" t="s">
        <v>9500</v>
      </c>
      <c r="R661" s="91" t="s">
        <v>9176</v>
      </c>
      <c r="S661" s="101"/>
      <c r="T661" s="142"/>
      <c r="U661" s="89"/>
      <c r="V661" s="89"/>
      <c r="W661" s="141"/>
      <c r="X661" s="92" t="s">
        <v>984</v>
      </c>
      <c r="Y661" s="92"/>
      <c r="Z661" s="92"/>
      <c r="AA661" s="92" t="s">
        <v>96</v>
      </c>
      <c r="AB661" s="92"/>
      <c r="AC661" s="92"/>
      <c r="AD661" s="92"/>
      <c r="AE661" s="93" t="s">
        <v>9398</v>
      </c>
      <c r="AF661" s="91"/>
      <c r="AG661" s="91" t="s">
        <v>9595</v>
      </c>
      <c r="AH661" s="91"/>
      <c r="AI661" s="92"/>
      <c r="AJ661" s="101"/>
      <c r="AK661" s="90" t="s">
        <v>9796</v>
      </c>
      <c r="AL661" s="93" t="s">
        <v>4822</v>
      </c>
      <c r="AM661" s="91"/>
      <c r="AN661" s="93"/>
      <c r="AO661" s="92"/>
      <c r="AP661" s="93" t="s">
        <v>9290</v>
      </c>
      <c r="AQ661" s="90"/>
      <c r="AR661" s="89" t="s">
        <v>6760</v>
      </c>
      <c r="AS661" s="93" t="s">
        <v>892</v>
      </c>
      <c r="AT661" s="92" t="s">
        <v>90</v>
      </c>
      <c r="AU661" s="92" t="s">
        <v>111</v>
      </c>
      <c r="AV661" s="92"/>
      <c r="AW661" s="92" t="s">
        <v>9694</v>
      </c>
      <c r="AX661" s="91"/>
      <c r="AY661" s="91"/>
      <c r="AZ661" s="127"/>
      <c r="BA661" s="143" t="s">
        <v>9889</v>
      </c>
      <c r="BB661" s="101" t="s">
        <v>216</v>
      </c>
      <c r="BC661" s="93"/>
      <c r="BD661" s="143"/>
      <c r="BE661" s="92"/>
      <c r="BF661" s="67"/>
      <c r="BG661" s="93" t="s">
        <v>9290</v>
      </c>
      <c r="BH661" s="93"/>
      <c r="BI661" s="91" t="s">
        <v>6760</v>
      </c>
      <c r="BJ661" s="91" t="s">
        <v>892</v>
      </c>
      <c r="BK661" s="93" t="s">
        <v>90</v>
      </c>
      <c r="BL661" s="91" t="s">
        <v>111</v>
      </c>
      <c r="BM661" s="92"/>
      <c r="BN661" s="64"/>
      <c r="BO661" s="92"/>
      <c r="BP661" s="92"/>
      <c r="BQ661" s="136"/>
      <c r="BR661" s="93"/>
      <c r="BS661" s="92"/>
      <c r="BT661" s="93"/>
      <c r="BU661" s="93"/>
      <c r="BV661" s="92"/>
      <c r="BW661" s="92"/>
      <c r="BX661" s="93"/>
      <c r="BY661" s="92"/>
      <c r="BZ661" s="92"/>
      <c r="CA661" s="93"/>
      <c r="CB661" s="92"/>
      <c r="CC661" s="92"/>
      <c r="CD661" s="92"/>
      <c r="CE661" s="64" t="s">
        <v>9290</v>
      </c>
      <c r="CF661" s="67"/>
      <c r="CG661" s="40" t="s">
        <v>6760</v>
      </c>
      <c r="CH661" s="92" t="s">
        <v>892</v>
      </c>
      <c r="CI661" s="91" t="s">
        <v>90</v>
      </c>
      <c r="CJ661" s="91" t="s">
        <v>111</v>
      </c>
      <c r="CK661" s="89"/>
      <c r="CL661" s="91" t="str">
        <f t="shared" ca="1" si="10"/>
        <v>126 Tahun 0 Bulan 23 Hari</v>
      </c>
      <c r="CM66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Bojong Waru RT/RW  Desa/Kelurahan Rancamulya Kecamatan Pameungpeuk Bandung Jawa Barat </v>
      </c>
    </row>
    <row r="662" spans="1:91" ht="24.95" hidden="1" customHeight="1">
      <c r="A662" s="89">
        <f>SUBTOTAL(3,N$8:Table2[[#This Row],[Nama lengkap]])</f>
        <v>472</v>
      </c>
      <c r="B662" s="89"/>
      <c r="C662" s="89"/>
      <c r="D662" s="89"/>
      <c r="E662" s="89"/>
      <c r="F662" s="89"/>
      <c r="G662" s="166"/>
      <c r="H662" s="32"/>
      <c r="I662" s="90"/>
      <c r="J662" s="139"/>
      <c r="K662" s="139"/>
      <c r="L662" s="139"/>
      <c r="M662" s="89">
        <v>15160105</v>
      </c>
      <c r="N662" s="91" t="s">
        <v>9119</v>
      </c>
      <c r="O662" s="140"/>
      <c r="P662" s="90"/>
      <c r="Q662" s="90" t="s">
        <v>9470</v>
      </c>
      <c r="R662" s="91" t="s">
        <v>9170</v>
      </c>
      <c r="S662" s="101"/>
      <c r="T662" s="142"/>
      <c r="U662" s="89"/>
      <c r="V662" s="89"/>
      <c r="W662" s="141"/>
      <c r="X662" s="92" t="s">
        <v>984</v>
      </c>
      <c r="Y662" s="92"/>
      <c r="Z662" s="92"/>
      <c r="AA662" s="92" t="s">
        <v>96</v>
      </c>
      <c r="AB662" s="92"/>
      <c r="AC662" s="92"/>
      <c r="AD662" s="92"/>
      <c r="AE662" s="93" t="s">
        <v>9372</v>
      </c>
      <c r="AF662" s="91"/>
      <c r="AG662" s="91" t="s">
        <v>9568</v>
      </c>
      <c r="AH662" s="91"/>
      <c r="AI662" s="92"/>
      <c r="AJ662" s="101"/>
      <c r="AK662" s="90" t="s">
        <v>9769</v>
      </c>
      <c r="AL662" s="93" t="s">
        <v>914</v>
      </c>
      <c r="AM662" s="91"/>
      <c r="AN662" s="93"/>
      <c r="AO662" s="92"/>
      <c r="AP662" s="93" t="s">
        <v>7202</v>
      </c>
      <c r="AQ662" s="90"/>
      <c r="AR662" s="89" t="s">
        <v>7202</v>
      </c>
      <c r="AS662" s="93" t="s">
        <v>561</v>
      </c>
      <c r="AT662" s="92" t="s">
        <v>122</v>
      </c>
      <c r="AU662" s="92" t="s">
        <v>111</v>
      </c>
      <c r="AV662" s="92"/>
      <c r="AW662" s="92" t="s">
        <v>9666</v>
      </c>
      <c r="AX662" s="91"/>
      <c r="AY662" s="91"/>
      <c r="AZ662" s="127"/>
      <c r="BA662" s="143" t="s">
        <v>9862</v>
      </c>
      <c r="BB662" s="101" t="s">
        <v>216</v>
      </c>
      <c r="BC662" s="93"/>
      <c r="BD662" s="143"/>
      <c r="BE662" s="92"/>
      <c r="BF662" s="67"/>
      <c r="BG662" s="93" t="s">
        <v>7202</v>
      </c>
      <c r="BH662" s="93"/>
      <c r="BI662" s="91" t="s">
        <v>7202</v>
      </c>
      <c r="BJ662" s="91" t="s">
        <v>561</v>
      </c>
      <c r="BK662" s="93" t="s">
        <v>122</v>
      </c>
      <c r="BL662" s="91" t="s">
        <v>111</v>
      </c>
      <c r="BM662" s="92"/>
      <c r="BN662" s="64"/>
      <c r="BO662" s="92"/>
      <c r="BP662" s="92"/>
      <c r="BQ662" s="136"/>
      <c r="BR662" s="93"/>
      <c r="BS662" s="92"/>
      <c r="BT662" s="93"/>
      <c r="BU662" s="93"/>
      <c r="BV662" s="92"/>
      <c r="BW662" s="92"/>
      <c r="BX662" s="93"/>
      <c r="BY662" s="92"/>
      <c r="BZ662" s="92"/>
      <c r="CA662" s="93"/>
      <c r="CB662" s="92"/>
      <c r="CC662" s="92"/>
      <c r="CD662" s="92"/>
      <c r="CE662" s="64" t="s">
        <v>7202</v>
      </c>
      <c r="CF662" s="67"/>
      <c r="CG662" s="40" t="s">
        <v>7202</v>
      </c>
      <c r="CH662" s="92" t="s">
        <v>561</v>
      </c>
      <c r="CI662" s="91" t="s">
        <v>122</v>
      </c>
      <c r="CJ662" s="91" t="s">
        <v>111</v>
      </c>
      <c r="CK662" s="89"/>
      <c r="CL662" s="91" t="str">
        <f t="shared" ca="1" si="10"/>
        <v>126 Tahun 0 Bulan 23 Hari</v>
      </c>
      <c r="CM66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Sayang RT/RW  Desa/Kelurahan Sayang Kecamatan Jatinangor Sumedang Jawa Barat </v>
      </c>
    </row>
    <row r="663" spans="1:91" ht="24.95" hidden="1" customHeight="1">
      <c r="A663" s="89">
        <f>SUBTOTAL(3,N$8:Table2[[#This Row],[Nama lengkap]])</f>
        <v>472</v>
      </c>
      <c r="B663" s="89"/>
      <c r="C663" s="89"/>
      <c r="D663" s="89"/>
      <c r="E663" s="89"/>
      <c r="F663" s="89"/>
      <c r="G663" s="166"/>
      <c r="H663" s="32"/>
      <c r="I663" s="90"/>
      <c r="J663" s="139"/>
      <c r="K663" s="139"/>
      <c r="L663" s="139"/>
      <c r="M663" s="89">
        <v>15160103</v>
      </c>
      <c r="N663" s="91" t="s">
        <v>9120</v>
      </c>
      <c r="O663" s="140"/>
      <c r="P663" s="90"/>
      <c r="Q663" s="90" t="s">
        <v>9471</v>
      </c>
      <c r="R663" s="91" t="s">
        <v>9170</v>
      </c>
      <c r="S663" s="101"/>
      <c r="T663" s="142"/>
      <c r="U663" s="89"/>
      <c r="V663" s="89"/>
      <c r="W663" s="141"/>
      <c r="X663" s="92" t="s">
        <v>123</v>
      </c>
      <c r="Y663" s="92"/>
      <c r="Z663" s="92"/>
      <c r="AA663" s="92" t="s">
        <v>96</v>
      </c>
      <c r="AB663" s="92"/>
      <c r="AC663" s="92"/>
      <c r="AD663" s="92"/>
      <c r="AE663" s="93" t="s">
        <v>3865</v>
      </c>
      <c r="AF663" s="91"/>
      <c r="AG663" s="91" t="s">
        <v>9569</v>
      </c>
      <c r="AH663" s="91"/>
      <c r="AI663" s="92"/>
      <c r="AJ663" s="101"/>
      <c r="AK663" s="90" t="s">
        <v>3866</v>
      </c>
      <c r="AL663" s="93" t="s">
        <v>114</v>
      </c>
      <c r="AM663" s="91"/>
      <c r="AN663" s="93"/>
      <c r="AO663" s="92"/>
      <c r="AP663" s="93" t="s">
        <v>7606</v>
      </c>
      <c r="AQ663" s="90"/>
      <c r="AR663" s="89" t="s">
        <v>7256</v>
      </c>
      <c r="AS663" s="93" t="s">
        <v>6625</v>
      </c>
      <c r="AT663" s="92" t="s">
        <v>122</v>
      </c>
      <c r="AU663" s="92" t="s">
        <v>111</v>
      </c>
      <c r="AV663" s="92"/>
      <c r="AW663" s="92" t="s">
        <v>9667</v>
      </c>
      <c r="AX663" s="91"/>
      <c r="AY663" s="91"/>
      <c r="AZ663" s="127"/>
      <c r="BA663" s="143" t="s">
        <v>9863</v>
      </c>
      <c r="BB663" s="101" t="s">
        <v>216</v>
      </c>
      <c r="BC663" s="93"/>
      <c r="BD663" s="143"/>
      <c r="BE663" s="92"/>
      <c r="BF663" s="67"/>
      <c r="BG663" s="93" t="s">
        <v>7606</v>
      </c>
      <c r="BH663" s="93"/>
      <c r="BI663" s="91" t="s">
        <v>7256</v>
      </c>
      <c r="BJ663" s="91" t="s">
        <v>6625</v>
      </c>
      <c r="BK663" s="93" t="s">
        <v>122</v>
      </c>
      <c r="BL663" s="91" t="s">
        <v>111</v>
      </c>
      <c r="BM663" s="92"/>
      <c r="BN663" s="64"/>
      <c r="BO663" s="92"/>
      <c r="BP663" s="92"/>
      <c r="BQ663" s="136"/>
      <c r="BR663" s="93"/>
      <c r="BS663" s="92"/>
      <c r="BT663" s="93"/>
      <c r="BU663" s="93"/>
      <c r="BV663" s="92"/>
      <c r="BW663" s="92"/>
      <c r="BX663" s="93"/>
      <c r="BY663" s="92"/>
      <c r="BZ663" s="92"/>
      <c r="CA663" s="93"/>
      <c r="CB663" s="92"/>
      <c r="CC663" s="92"/>
      <c r="CD663" s="92"/>
      <c r="CE663" s="64" t="s">
        <v>7606</v>
      </c>
      <c r="CF663" s="67"/>
      <c r="CG663" s="40" t="s">
        <v>7256</v>
      </c>
      <c r="CH663" s="92" t="s">
        <v>6625</v>
      </c>
      <c r="CI663" s="91" t="s">
        <v>122</v>
      </c>
      <c r="CJ663" s="91" t="s">
        <v>111</v>
      </c>
      <c r="CK663" s="89"/>
      <c r="CL663" s="91" t="str">
        <f t="shared" ca="1" si="10"/>
        <v>126 Tahun 0 Bulan 23 Hari</v>
      </c>
      <c r="CM663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Tagog RT/RW  Desa/Kelurahan Sukaluyu Kecamatan Ganeas Sumedang Jawa Barat </v>
      </c>
    </row>
    <row r="664" spans="1:91" ht="24.95" hidden="1" customHeight="1">
      <c r="A664" s="89">
        <f>SUBTOTAL(3,N$8:Table2[[#This Row],[Nama lengkap]])</f>
        <v>472</v>
      </c>
      <c r="B664" s="89"/>
      <c r="C664" s="89"/>
      <c r="D664" s="89"/>
      <c r="E664" s="89"/>
      <c r="F664" s="89"/>
      <c r="G664" s="166"/>
      <c r="H664" s="32"/>
      <c r="I664" s="90"/>
      <c r="J664" s="139"/>
      <c r="K664" s="139"/>
      <c r="L664" s="139"/>
      <c r="M664" s="89">
        <v>17180150</v>
      </c>
      <c r="N664" s="91" t="s">
        <v>9165</v>
      </c>
      <c r="O664" s="140"/>
      <c r="P664" s="90"/>
      <c r="Q664" s="90" t="s">
        <v>9517</v>
      </c>
      <c r="R664" s="91" t="s">
        <v>9172</v>
      </c>
      <c r="S664" s="101"/>
      <c r="T664" s="142"/>
      <c r="U664" s="89"/>
      <c r="V664" s="89"/>
      <c r="W664" s="141"/>
      <c r="X664" s="92" t="s">
        <v>984</v>
      </c>
      <c r="Y664" s="92"/>
      <c r="Z664" s="92"/>
      <c r="AA664" s="92" t="s">
        <v>1141</v>
      </c>
      <c r="AB664" s="92"/>
      <c r="AC664" s="92"/>
      <c r="AD664" s="92"/>
      <c r="AE664" s="93" t="s">
        <v>9413</v>
      </c>
      <c r="AF664" s="91"/>
      <c r="AG664" s="91" t="s">
        <v>9613</v>
      </c>
      <c r="AH664" s="91"/>
      <c r="AI664" s="92"/>
      <c r="AJ664" s="101"/>
      <c r="AK664" s="90" t="s">
        <v>9812</v>
      </c>
      <c r="AL664" s="93" t="s">
        <v>114</v>
      </c>
      <c r="AM664" s="91"/>
      <c r="AN664" s="93"/>
      <c r="AO664" s="92"/>
      <c r="AP664" s="93" t="s">
        <v>7096</v>
      </c>
      <c r="AQ664" s="90"/>
      <c r="AR664" s="89" t="s">
        <v>7096</v>
      </c>
      <c r="AS664" s="93" t="s">
        <v>7069</v>
      </c>
      <c r="AT664" s="92" t="s">
        <v>90</v>
      </c>
      <c r="AU664" s="92" t="s">
        <v>111</v>
      </c>
      <c r="AV664" s="92"/>
      <c r="AW664" s="92" t="s">
        <v>3641</v>
      </c>
      <c r="AX664" s="91"/>
      <c r="AY664" s="91"/>
      <c r="AZ664" s="127"/>
      <c r="BA664" s="143" t="s">
        <v>9907</v>
      </c>
      <c r="BB664" s="101" t="s">
        <v>216</v>
      </c>
      <c r="BC664" s="93"/>
      <c r="BD664" s="143"/>
      <c r="BE664" s="92"/>
      <c r="BF664" s="67"/>
      <c r="BG664" s="93" t="s">
        <v>7096</v>
      </c>
      <c r="BH664" s="93"/>
      <c r="BI664" s="91" t="s">
        <v>7096</v>
      </c>
      <c r="BJ664" s="91" t="s">
        <v>7069</v>
      </c>
      <c r="BK664" s="93" t="s">
        <v>90</v>
      </c>
      <c r="BL664" s="91" t="s">
        <v>111</v>
      </c>
      <c r="BM664" s="92"/>
      <c r="BN664" s="64"/>
      <c r="BO664" s="92"/>
      <c r="BP664" s="92"/>
      <c r="BQ664" s="136"/>
      <c r="BR664" s="93"/>
      <c r="BS664" s="92"/>
      <c r="BT664" s="93"/>
      <c r="BU664" s="93"/>
      <c r="BV664" s="92"/>
      <c r="BW664" s="92"/>
      <c r="BX664" s="93"/>
      <c r="BY664" s="92"/>
      <c r="BZ664" s="92"/>
      <c r="CA664" s="93"/>
      <c r="CB664" s="92"/>
      <c r="CC664" s="92"/>
      <c r="CD664" s="92"/>
      <c r="CE664" s="64" t="s">
        <v>7096</v>
      </c>
      <c r="CF664" s="67"/>
      <c r="CG664" s="40" t="s">
        <v>7096</v>
      </c>
      <c r="CH664" s="92" t="s">
        <v>7069</v>
      </c>
      <c r="CI664" s="91" t="s">
        <v>90</v>
      </c>
      <c r="CJ664" s="91" t="s">
        <v>111</v>
      </c>
      <c r="CK664" s="89"/>
      <c r="CL664" s="91" t="str">
        <f t="shared" ca="1" si="10"/>
        <v>126 Tahun 0 Bulan 23 Hari</v>
      </c>
      <c r="CM66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Cijagra RT/RW  Desa/Kelurahan Cijagra Kecamatan Lengkong Bandung Jawa Barat </v>
      </c>
    </row>
    <row r="665" spans="1:91" ht="24.95" hidden="1" customHeight="1">
      <c r="A665" s="89">
        <f>SUBTOTAL(3,N$8:Table2[[#This Row],[Nama lengkap]])</f>
        <v>472</v>
      </c>
      <c r="B665" s="89"/>
      <c r="C665" s="89"/>
      <c r="D665" s="89"/>
      <c r="E665" s="89"/>
      <c r="F665" s="89"/>
      <c r="G665" s="166"/>
      <c r="H665" s="32"/>
      <c r="I665" s="90"/>
      <c r="J665" s="139"/>
      <c r="K665" s="139"/>
      <c r="L665" s="139"/>
      <c r="M665" s="89">
        <v>15160093</v>
      </c>
      <c r="N665" s="91" t="s">
        <v>9096</v>
      </c>
      <c r="O665" s="140"/>
      <c r="P665" s="90"/>
      <c r="Q665" s="90" t="s">
        <v>9448</v>
      </c>
      <c r="R665" s="91" t="s">
        <v>9170</v>
      </c>
      <c r="S665" s="101"/>
      <c r="T665" s="142"/>
      <c r="U665" s="89"/>
      <c r="V665" s="89"/>
      <c r="W665" s="141"/>
      <c r="X665" s="92" t="s">
        <v>984</v>
      </c>
      <c r="Y665" s="92"/>
      <c r="Z665" s="92"/>
      <c r="AA665" s="92" t="s">
        <v>96</v>
      </c>
      <c r="AB665" s="92"/>
      <c r="AC665" s="92"/>
      <c r="AD665" s="92"/>
      <c r="AE665" s="93" t="s">
        <v>9352</v>
      </c>
      <c r="AF665" s="91"/>
      <c r="AG665" s="91" t="s">
        <v>9550</v>
      </c>
      <c r="AH665" s="91"/>
      <c r="AI665" s="92"/>
      <c r="AJ665" s="101"/>
      <c r="AK665" s="90" t="s">
        <v>9749</v>
      </c>
      <c r="AL665" s="93" t="s">
        <v>114</v>
      </c>
      <c r="AM665" s="91"/>
      <c r="AN665" s="93"/>
      <c r="AO665" s="92"/>
      <c r="AP665" s="93" t="s">
        <v>7697</v>
      </c>
      <c r="AQ665" s="90"/>
      <c r="AR665" s="89" t="s">
        <v>592</v>
      </c>
      <c r="AS665" s="93" t="s">
        <v>593</v>
      </c>
      <c r="AT665" s="92" t="s">
        <v>122</v>
      </c>
      <c r="AU665" s="92" t="s">
        <v>111</v>
      </c>
      <c r="AV665" s="92"/>
      <c r="AW665" s="92" t="s">
        <v>9647</v>
      </c>
      <c r="AX665" s="91"/>
      <c r="AY665" s="91"/>
      <c r="AZ665" s="127"/>
      <c r="BA665" s="143" t="s">
        <v>9842</v>
      </c>
      <c r="BB665" s="101" t="s">
        <v>216</v>
      </c>
      <c r="BC665" s="93"/>
      <c r="BD665" s="143"/>
      <c r="BE665" s="92"/>
      <c r="BF665" s="67"/>
      <c r="BG665" s="93" t="s">
        <v>7697</v>
      </c>
      <c r="BH665" s="93"/>
      <c r="BI665" s="91" t="s">
        <v>592</v>
      </c>
      <c r="BJ665" s="91" t="s">
        <v>593</v>
      </c>
      <c r="BK665" s="93" t="s">
        <v>122</v>
      </c>
      <c r="BL665" s="91" t="s">
        <v>111</v>
      </c>
      <c r="BM665" s="92"/>
      <c r="BN665" s="64"/>
      <c r="BO665" s="92"/>
      <c r="BP665" s="92"/>
      <c r="BQ665" s="136"/>
      <c r="BR665" s="93"/>
      <c r="BS665" s="92"/>
      <c r="BT665" s="93"/>
      <c r="BU665" s="93"/>
      <c r="BV665" s="92"/>
      <c r="BW665" s="92"/>
      <c r="BX665" s="93"/>
      <c r="BY665" s="92"/>
      <c r="BZ665" s="92"/>
      <c r="CA665" s="93"/>
      <c r="CB665" s="92"/>
      <c r="CC665" s="92"/>
      <c r="CD665" s="92"/>
      <c r="CE665" s="64" t="s">
        <v>7697</v>
      </c>
      <c r="CF665" s="67"/>
      <c r="CG665" s="40" t="s">
        <v>592</v>
      </c>
      <c r="CH665" s="92" t="s">
        <v>593</v>
      </c>
      <c r="CI665" s="91" t="s">
        <v>122</v>
      </c>
      <c r="CJ665" s="91" t="s">
        <v>111</v>
      </c>
      <c r="CK665" s="89"/>
      <c r="CL665" s="91" t="str">
        <f t="shared" ca="1" si="10"/>
        <v>126 Tahun 0 Bulan 23 Hari</v>
      </c>
      <c r="CM66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Pagaden RT/RW  Desa/Kelurahan Margajaya Kecamatan Tanjungsari Sumedang Jawa Barat </v>
      </c>
    </row>
    <row r="666" spans="1:91" ht="24.95" hidden="1" customHeight="1">
      <c r="A666" s="89">
        <f>SUBTOTAL(3,N$8:Table2[[#This Row],[Nama lengkap]])</f>
        <v>472</v>
      </c>
      <c r="B666" s="89"/>
      <c r="C666" s="89"/>
      <c r="D666" s="89"/>
      <c r="E666" s="89"/>
      <c r="F666" s="89"/>
      <c r="G666" s="166"/>
      <c r="H666" s="32"/>
      <c r="I666" s="90"/>
      <c r="J666" s="139"/>
      <c r="K666" s="139"/>
      <c r="L666" s="139"/>
      <c r="M666" s="89">
        <v>18190234</v>
      </c>
      <c r="N666" s="91" t="s">
        <v>5792</v>
      </c>
      <c r="O666" s="140"/>
      <c r="P666" s="90"/>
      <c r="Q666" s="90" t="s">
        <v>4964</v>
      </c>
      <c r="R666" s="91" t="s">
        <v>9181</v>
      </c>
      <c r="S666" s="101"/>
      <c r="T666" s="142"/>
      <c r="U666" s="89"/>
      <c r="V666" s="89"/>
      <c r="W666" s="141"/>
      <c r="X666" s="92" t="s">
        <v>123</v>
      </c>
      <c r="Y666" s="92"/>
      <c r="Z666" s="92"/>
      <c r="AA666" s="92" t="s">
        <v>795</v>
      </c>
      <c r="AB666" s="92"/>
      <c r="AC666" s="92"/>
      <c r="AD666" s="92"/>
      <c r="AE666" s="93" t="s">
        <v>4966</v>
      </c>
      <c r="AF666" s="91"/>
      <c r="AG666" s="91" t="s">
        <v>8692</v>
      </c>
      <c r="AH666" s="91"/>
      <c r="AI666" s="92"/>
      <c r="AJ666" s="101"/>
      <c r="AK666" s="90" t="s">
        <v>4967</v>
      </c>
      <c r="AL666" s="93" t="s">
        <v>114</v>
      </c>
      <c r="AM666" s="91"/>
      <c r="AN666" s="93"/>
      <c r="AO666" s="92"/>
      <c r="AP666" s="93" t="s">
        <v>7709</v>
      </c>
      <c r="AQ666" s="90"/>
      <c r="AR666" s="89" t="s">
        <v>7298</v>
      </c>
      <c r="AS666" s="93" t="s">
        <v>7299</v>
      </c>
      <c r="AT666" s="92" t="s">
        <v>6472</v>
      </c>
      <c r="AU666" s="92" t="s">
        <v>111</v>
      </c>
      <c r="AV666" s="92"/>
      <c r="AW666" s="92" t="s">
        <v>8190</v>
      </c>
      <c r="AX666" s="91"/>
      <c r="AY666" s="91"/>
      <c r="AZ666" s="127"/>
      <c r="BA666" s="143" t="s">
        <v>4972</v>
      </c>
      <c r="BB666" s="101" t="s">
        <v>216</v>
      </c>
      <c r="BC666" s="93"/>
      <c r="BD666" s="143"/>
      <c r="BE666" s="92"/>
      <c r="BF666" s="67"/>
      <c r="BG666" s="93" t="s">
        <v>7709</v>
      </c>
      <c r="BH666" s="93"/>
      <c r="BI666" s="91" t="s">
        <v>7298</v>
      </c>
      <c r="BJ666" s="91" t="s">
        <v>7299</v>
      </c>
      <c r="BK666" s="93" t="s">
        <v>6472</v>
      </c>
      <c r="BL666" s="91" t="s">
        <v>111</v>
      </c>
      <c r="BM666" s="92"/>
      <c r="BN666" s="64"/>
      <c r="BO666" s="92"/>
      <c r="BP666" s="92"/>
      <c r="BQ666" s="136"/>
      <c r="BR666" s="93"/>
      <c r="BS666" s="92"/>
      <c r="BT666" s="93"/>
      <c r="BU666" s="93"/>
      <c r="BV666" s="92"/>
      <c r="BW666" s="92"/>
      <c r="BX666" s="93"/>
      <c r="BY666" s="92"/>
      <c r="BZ666" s="92"/>
      <c r="CA666" s="93"/>
      <c r="CB666" s="92"/>
      <c r="CC666" s="92"/>
      <c r="CD666" s="92"/>
      <c r="CE666" s="64" t="s">
        <v>7709</v>
      </c>
      <c r="CF666" s="67"/>
      <c r="CG666" s="40" t="s">
        <v>7298</v>
      </c>
      <c r="CH666" s="92" t="s">
        <v>7299</v>
      </c>
      <c r="CI666" s="91" t="s">
        <v>6472</v>
      </c>
      <c r="CJ666" s="91" t="s">
        <v>111</v>
      </c>
      <c r="CK666" s="89"/>
      <c r="CL666" s="91" t="str">
        <f t="shared" ca="1" si="10"/>
        <v>126 Tahun 0 Bulan 23 Hari</v>
      </c>
      <c r="CM66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Sukapulang RT/RW  Desa/Kelurahan Kepuh Kecamatan Lemahsugih Majalengka Jawa Barat </v>
      </c>
    </row>
    <row r="667" spans="1:91" ht="24.95" hidden="1" customHeight="1">
      <c r="A667" s="89">
        <f>SUBTOTAL(3,N$8:Table2[[#This Row],[Nama lengkap]])</f>
        <v>472</v>
      </c>
      <c r="B667" s="89"/>
      <c r="C667" s="89"/>
      <c r="D667" s="89"/>
      <c r="E667" s="89"/>
      <c r="F667" s="89"/>
      <c r="G667" s="166"/>
      <c r="H667" s="32"/>
      <c r="I667" s="90"/>
      <c r="J667" s="139"/>
      <c r="K667" s="139"/>
      <c r="L667" s="139"/>
      <c r="M667" s="89">
        <v>15160092</v>
      </c>
      <c r="N667" s="91" t="s">
        <v>9097</v>
      </c>
      <c r="O667" s="140"/>
      <c r="P667" s="90"/>
      <c r="Q667" s="90" t="s">
        <v>9449</v>
      </c>
      <c r="R667" s="91" t="s">
        <v>9170</v>
      </c>
      <c r="S667" s="101"/>
      <c r="T667" s="142"/>
      <c r="U667" s="89"/>
      <c r="V667" s="89"/>
      <c r="W667" s="141"/>
      <c r="X667" s="92" t="s">
        <v>984</v>
      </c>
      <c r="Y667" s="92"/>
      <c r="Z667" s="92"/>
      <c r="AA667" s="92" t="s">
        <v>96</v>
      </c>
      <c r="AB667" s="92"/>
      <c r="AC667" s="92"/>
      <c r="AD667" s="92"/>
      <c r="AE667" s="93" t="s">
        <v>2288</v>
      </c>
      <c r="AF667" s="91"/>
      <c r="AG667" s="91" t="s">
        <v>8433</v>
      </c>
      <c r="AH667" s="91"/>
      <c r="AI667" s="92"/>
      <c r="AJ667" s="101"/>
      <c r="AK667" s="90" t="s">
        <v>9750</v>
      </c>
      <c r="AL667" s="93" t="s">
        <v>114</v>
      </c>
      <c r="AM667" s="91"/>
      <c r="AN667" s="93"/>
      <c r="AO667" s="92"/>
      <c r="AP667" s="93" t="s">
        <v>9225</v>
      </c>
      <c r="AQ667" s="90"/>
      <c r="AR667" s="89" t="s">
        <v>7161</v>
      </c>
      <c r="AS667" s="93" t="s">
        <v>593</v>
      </c>
      <c r="AT667" s="92" t="s">
        <v>122</v>
      </c>
      <c r="AU667" s="92" t="s">
        <v>111</v>
      </c>
      <c r="AV667" s="92"/>
      <c r="AW667" s="92" t="s">
        <v>7944</v>
      </c>
      <c r="AX667" s="91"/>
      <c r="AY667" s="91"/>
      <c r="AZ667" s="127"/>
      <c r="BA667" s="143" t="s">
        <v>9843</v>
      </c>
      <c r="BB667" s="101" t="s">
        <v>216</v>
      </c>
      <c r="BC667" s="93"/>
      <c r="BD667" s="143"/>
      <c r="BE667" s="92"/>
      <c r="BF667" s="67"/>
      <c r="BG667" s="93" t="s">
        <v>9225</v>
      </c>
      <c r="BH667" s="93"/>
      <c r="BI667" s="91" t="s">
        <v>7161</v>
      </c>
      <c r="BJ667" s="91" t="s">
        <v>593</v>
      </c>
      <c r="BK667" s="93" t="s">
        <v>122</v>
      </c>
      <c r="BL667" s="91" t="s">
        <v>111</v>
      </c>
      <c r="BM667" s="92"/>
      <c r="BN667" s="64"/>
      <c r="BO667" s="92"/>
      <c r="BP667" s="92"/>
      <c r="BQ667" s="136"/>
      <c r="BR667" s="93"/>
      <c r="BS667" s="92"/>
      <c r="BT667" s="93"/>
      <c r="BU667" s="93"/>
      <c r="BV667" s="92"/>
      <c r="BW667" s="92"/>
      <c r="BX667" s="93"/>
      <c r="BY667" s="92"/>
      <c r="BZ667" s="92"/>
      <c r="CA667" s="93"/>
      <c r="CB667" s="92"/>
      <c r="CC667" s="92"/>
      <c r="CD667" s="92"/>
      <c r="CE667" s="64" t="s">
        <v>9225</v>
      </c>
      <c r="CF667" s="67"/>
      <c r="CG667" s="40" t="s">
        <v>7161</v>
      </c>
      <c r="CH667" s="92" t="s">
        <v>593</v>
      </c>
      <c r="CI667" s="91" t="s">
        <v>122</v>
      </c>
      <c r="CJ667" s="91" t="s">
        <v>111</v>
      </c>
      <c r="CK667" s="89"/>
      <c r="CL667" s="91" t="str">
        <f t="shared" ca="1" si="10"/>
        <v>126 Tahun 0 Bulan 23 Hari</v>
      </c>
      <c r="CM66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Pasir Angin RT/RW  Desa/Kelurahan Margaluyu Kecamatan Tanjungsari Sumedang Jawa Barat </v>
      </c>
    </row>
    <row r="668" spans="1:91" ht="24.95" hidden="1" customHeight="1">
      <c r="A668" s="89">
        <f>SUBTOTAL(3,N$8:Table2[[#This Row],[Nama lengkap]])</f>
        <v>472</v>
      </c>
      <c r="B668" s="89"/>
      <c r="C668" s="89"/>
      <c r="D668" s="89"/>
      <c r="E668" s="89"/>
      <c r="F668" s="89"/>
      <c r="G668" s="166"/>
      <c r="H668" s="32"/>
      <c r="I668" s="90"/>
      <c r="J668" s="139"/>
      <c r="K668" s="139"/>
      <c r="L668" s="139"/>
      <c r="M668" s="89">
        <v>17180151</v>
      </c>
      <c r="N668" s="91" t="s">
        <v>5793</v>
      </c>
      <c r="O668" s="140"/>
      <c r="P668" s="90"/>
      <c r="Q668" s="90" t="s">
        <v>4976</v>
      </c>
      <c r="R668" s="91" t="s">
        <v>9177</v>
      </c>
      <c r="S668" s="101"/>
      <c r="T668" s="142"/>
      <c r="U668" s="89"/>
      <c r="V668" s="89"/>
      <c r="W668" s="141"/>
      <c r="X668" s="92" t="s">
        <v>123</v>
      </c>
      <c r="Y668" s="92"/>
      <c r="Z668" s="92"/>
      <c r="AA668" s="92" t="s">
        <v>96</v>
      </c>
      <c r="AB668" s="92"/>
      <c r="AC668" s="92"/>
      <c r="AD668" s="92"/>
      <c r="AE668" s="93" t="s">
        <v>4979</v>
      </c>
      <c r="AF668" s="91"/>
      <c r="AG668" s="91" t="s">
        <v>8693</v>
      </c>
      <c r="AH668" s="91"/>
      <c r="AI668" s="92"/>
      <c r="AJ668" s="101"/>
      <c r="AK668" s="90" t="s">
        <v>4980</v>
      </c>
      <c r="AL668" s="93" t="s">
        <v>114</v>
      </c>
      <c r="AM668" s="91"/>
      <c r="AN668" s="93"/>
      <c r="AO668" s="92"/>
      <c r="AP668" s="93" t="s">
        <v>9311</v>
      </c>
      <c r="AQ668" s="90"/>
      <c r="AR668" s="89" t="s">
        <v>6699</v>
      </c>
      <c r="AS668" s="93" t="s">
        <v>6859</v>
      </c>
      <c r="AT668" s="92" t="s">
        <v>456</v>
      </c>
      <c r="AU668" s="92" t="s">
        <v>111</v>
      </c>
      <c r="AV668" s="92"/>
      <c r="AW668" s="92" t="s">
        <v>8191</v>
      </c>
      <c r="AX668" s="91"/>
      <c r="AY668" s="91"/>
      <c r="AZ668" s="127"/>
      <c r="BA668" s="143" t="s">
        <v>4986</v>
      </c>
      <c r="BB668" s="101" t="s">
        <v>216</v>
      </c>
      <c r="BC668" s="93"/>
      <c r="BD668" s="143"/>
      <c r="BE668" s="92"/>
      <c r="BF668" s="67"/>
      <c r="BG668" s="93" t="s">
        <v>9311</v>
      </c>
      <c r="BH668" s="93"/>
      <c r="BI668" s="91" t="s">
        <v>6699</v>
      </c>
      <c r="BJ668" s="91" t="s">
        <v>6859</v>
      </c>
      <c r="BK668" s="93" t="s">
        <v>456</v>
      </c>
      <c r="BL668" s="91" t="s">
        <v>111</v>
      </c>
      <c r="BM668" s="92"/>
      <c r="BN668" s="64"/>
      <c r="BO668" s="92"/>
      <c r="BP668" s="92"/>
      <c r="BQ668" s="136"/>
      <c r="BR668" s="93"/>
      <c r="BS668" s="92"/>
      <c r="BT668" s="93"/>
      <c r="BU668" s="93"/>
      <c r="BV668" s="92"/>
      <c r="BW668" s="92"/>
      <c r="BX668" s="93"/>
      <c r="BY668" s="92"/>
      <c r="BZ668" s="92"/>
      <c r="CA668" s="93"/>
      <c r="CB668" s="92"/>
      <c r="CC668" s="92"/>
      <c r="CD668" s="92"/>
      <c r="CE668" s="64" t="s">
        <v>9311</v>
      </c>
      <c r="CF668" s="67"/>
      <c r="CG668" s="40" t="s">
        <v>6699</v>
      </c>
      <c r="CH668" s="92" t="s">
        <v>6859</v>
      </c>
      <c r="CI668" s="91" t="s">
        <v>456</v>
      </c>
      <c r="CJ668" s="91" t="s">
        <v>111</v>
      </c>
      <c r="CK668" s="89"/>
      <c r="CL668" s="91" t="str">
        <f t="shared" ca="1" si="10"/>
        <v>126 Tahun 0 Bulan 23 Hari</v>
      </c>
      <c r="CM66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Melong RT/RW  Desa/Kelurahan Melong Kecamatan Cimahi Selatan Cimahi Jawa Barat </v>
      </c>
    </row>
    <row r="669" spans="1:91" ht="24.95" hidden="1" customHeight="1">
      <c r="A669" s="89">
        <f>SUBTOTAL(3,N$8:Table2[[#This Row],[Nama lengkap]])</f>
        <v>472</v>
      </c>
      <c r="B669" s="89"/>
      <c r="C669" s="89"/>
      <c r="D669" s="89"/>
      <c r="E669" s="89"/>
      <c r="F669" s="89"/>
      <c r="G669" s="166"/>
      <c r="H669" s="32"/>
      <c r="I669" s="90"/>
      <c r="J669" s="139"/>
      <c r="K669" s="139"/>
      <c r="L669" s="139"/>
      <c r="M669" s="89">
        <v>15160094</v>
      </c>
      <c r="N669" s="91" t="s">
        <v>9121</v>
      </c>
      <c r="O669" s="140"/>
      <c r="P669" s="90"/>
      <c r="Q669" s="90" t="s">
        <v>9472</v>
      </c>
      <c r="R669" s="91" t="s">
        <v>9170</v>
      </c>
      <c r="S669" s="101"/>
      <c r="T669" s="142"/>
      <c r="U669" s="89"/>
      <c r="V669" s="89"/>
      <c r="W669" s="141"/>
      <c r="X669" s="92" t="s">
        <v>93</v>
      </c>
      <c r="Y669" s="92"/>
      <c r="Z669" s="92"/>
      <c r="AA669" s="92" t="s">
        <v>96</v>
      </c>
      <c r="AB669" s="92"/>
      <c r="AC669" s="92"/>
      <c r="AD669" s="92"/>
      <c r="AE669" s="93" t="s">
        <v>9373</v>
      </c>
      <c r="AF669" s="91"/>
      <c r="AG669" s="91" t="s">
        <v>9570</v>
      </c>
      <c r="AH669" s="91"/>
      <c r="AI669" s="92"/>
      <c r="AJ669" s="101"/>
      <c r="AK669" s="90" t="s">
        <v>9770</v>
      </c>
      <c r="AL669" s="93" t="s">
        <v>9713</v>
      </c>
      <c r="AM669" s="91"/>
      <c r="AN669" s="93"/>
      <c r="AO669" s="92"/>
      <c r="AP669" s="93" t="s">
        <v>9259</v>
      </c>
      <c r="AQ669" s="90"/>
      <c r="AR669" s="89" t="s">
        <v>9260</v>
      </c>
      <c r="AS669" s="93" t="s">
        <v>7246</v>
      </c>
      <c r="AT669" s="92" t="s">
        <v>122</v>
      </c>
      <c r="AU669" s="92" t="s">
        <v>111</v>
      </c>
      <c r="AV669" s="92"/>
      <c r="AW669" s="92" t="s">
        <v>9668</v>
      </c>
      <c r="AX669" s="91"/>
      <c r="AY669" s="91"/>
      <c r="AZ669" s="127"/>
      <c r="BA669" s="143" t="s">
        <v>9472</v>
      </c>
      <c r="BB669" s="101" t="s">
        <v>216</v>
      </c>
      <c r="BC669" s="93"/>
      <c r="BD669" s="143"/>
      <c r="BE669" s="92"/>
      <c r="BF669" s="67"/>
      <c r="BG669" s="93" t="s">
        <v>9259</v>
      </c>
      <c r="BH669" s="93"/>
      <c r="BI669" s="91" t="s">
        <v>9260</v>
      </c>
      <c r="BJ669" s="91" t="s">
        <v>7246</v>
      </c>
      <c r="BK669" s="93" t="s">
        <v>122</v>
      </c>
      <c r="BL669" s="91" t="s">
        <v>111</v>
      </c>
      <c r="BM669" s="92"/>
      <c r="BN669" s="64"/>
      <c r="BO669" s="92"/>
      <c r="BP669" s="92"/>
      <c r="BQ669" s="136"/>
      <c r="BR669" s="93"/>
      <c r="BS669" s="92"/>
      <c r="BT669" s="93"/>
      <c r="BU669" s="93"/>
      <c r="BV669" s="92"/>
      <c r="BW669" s="92"/>
      <c r="BX669" s="93"/>
      <c r="BY669" s="92"/>
      <c r="BZ669" s="92"/>
      <c r="CA669" s="93"/>
      <c r="CB669" s="92"/>
      <c r="CC669" s="92"/>
      <c r="CD669" s="92"/>
      <c r="CE669" s="64" t="s">
        <v>9259</v>
      </c>
      <c r="CF669" s="67"/>
      <c r="CG669" s="40" t="s">
        <v>9260</v>
      </c>
      <c r="CH669" s="92" t="s">
        <v>7246</v>
      </c>
      <c r="CI669" s="91" t="s">
        <v>122</v>
      </c>
      <c r="CJ669" s="91" t="s">
        <v>111</v>
      </c>
      <c r="CK669" s="89"/>
      <c r="CL669" s="91" t="str">
        <f t="shared" ca="1" si="10"/>
        <v>126 Tahun 0 Bulan 23 Hari</v>
      </c>
      <c r="CM669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Link Kaum RT/RW  Desa/Kelurahan Prabu Geusan Ulun Kecamatan Regol Wetan Sumedang Jawa Barat </v>
      </c>
    </row>
    <row r="670" spans="1:91" ht="24.95" hidden="1" customHeight="1">
      <c r="A670" s="89">
        <f>SUBTOTAL(3,N$8:Table2[[#This Row],[Nama lengkap]])</f>
        <v>472</v>
      </c>
      <c r="B670" s="89"/>
      <c r="C670" s="89"/>
      <c r="D670" s="89"/>
      <c r="E670" s="89"/>
      <c r="F670" s="89"/>
      <c r="G670" s="166"/>
      <c r="H670" s="32"/>
      <c r="I670" s="90"/>
      <c r="J670" s="139"/>
      <c r="K670" s="139"/>
      <c r="L670" s="139"/>
      <c r="M670" s="89">
        <v>16170125</v>
      </c>
      <c r="N670" s="91" t="s">
        <v>9150</v>
      </c>
      <c r="O670" s="140"/>
      <c r="P670" s="90"/>
      <c r="Q670" s="90" t="s">
        <v>9501</v>
      </c>
      <c r="R670" s="91" t="s">
        <v>9170</v>
      </c>
      <c r="S670" s="101"/>
      <c r="T670" s="142"/>
      <c r="U670" s="89"/>
      <c r="V670" s="89"/>
      <c r="W670" s="141"/>
      <c r="X670" s="92" t="s">
        <v>984</v>
      </c>
      <c r="Y670" s="92"/>
      <c r="Z670" s="92"/>
      <c r="AA670" s="92" t="s">
        <v>984</v>
      </c>
      <c r="AB670" s="92"/>
      <c r="AC670" s="92"/>
      <c r="AD670" s="92"/>
      <c r="AE670" s="93" t="s">
        <v>9399</v>
      </c>
      <c r="AF670" s="91"/>
      <c r="AG670" s="91" t="s">
        <v>9596</v>
      </c>
      <c r="AH670" s="91"/>
      <c r="AI670" s="92"/>
      <c r="AJ670" s="101"/>
      <c r="AK670" s="90" t="s">
        <v>9797</v>
      </c>
      <c r="AL670" s="93" t="s">
        <v>8267</v>
      </c>
      <c r="AM670" s="91"/>
      <c r="AN670" s="93"/>
      <c r="AO670" s="92"/>
      <c r="AP670" s="93" t="s">
        <v>7702</v>
      </c>
      <c r="AQ670" s="90"/>
      <c r="AR670" s="89" t="s">
        <v>7219</v>
      </c>
      <c r="AS670" s="93" t="s">
        <v>593</v>
      </c>
      <c r="AT670" s="92" t="s">
        <v>122</v>
      </c>
      <c r="AU670" s="92" t="s">
        <v>111</v>
      </c>
      <c r="AV670" s="92"/>
      <c r="AW670" s="92" t="s">
        <v>9695</v>
      </c>
      <c r="AX670" s="91"/>
      <c r="AY670" s="91"/>
      <c r="AZ670" s="127"/>
      <c r="BA670" s="143" t="s">
        <v>9890</v>
      </c>
      <c r="BB670" s="101" t="s">
        <v>216</v>
      </c>
      <c r="BC670" s="93"/>
      <c r="BD670" s="143"/>
      <c r="BE670" s="92"/>
      <c r="BF670" s="67"/>
      <c r="BG670" s="93" t="s">
        <v>7702</v>
      </c>
      <c r="BH670" s="93"/>
      <c r="BI670" s="91" t="s">
        <v>7219</v>
      </c>
      <c r="BJ670" s="91" t="s">
        <v>593</v>
      </c>
      <c r="BK670" s="93" t="s">
        <v>122</v>
      </c>
      <c r="BL670" s="91" t="s">
        <v>111</v>
      </c>
      <c r="BM670" s="92"/>
      <c r="BN670" s="64"/>
      <c r="BO670" s="92"/>
      <c r="BP670" s="92"/>
      <c r="BQ670" s="136"/>
      <c r="BR670" s="93"/>
      <c r="BS670" s="92"/>
      <c r="BT670" s="93"/>
      <c r="BU670" s="93"/>
      <c r="BV670" s="92"/>
      <c r="BW670" s="92"/>
      <c r="BX670" s="93"/>
      <c r="BY670" s="92"/>
      <c r="BZ670" s="92"/>
      <c r="CA670" s="93"/>
      <c r="CB670" s="92"/>
      <c r="CC670" s="92"/>
      <c r="CD670" s="92"/>
      <c r="CE670" s="64" t="s">
        <v>7702</v>
      </c>
      <c r="CF670" s="67"/>
      <c r="CG670" s="40" t="s">
        <v>7219</v>
      </c>
      <c r="CH670" s="92" t="s">
        <v>593</v>
      </c>
      <c r="CI670" s="91" t="s">
        <v>122</v>
      </c>
      <c r="CJ670" s="91" t="s">
        <v>111</v>
      </c>
      <c r="CK670" s="89"/>
      <c r="CL670" s="91" t="str">
        <f t="shared" ca="1" si="10"/>
        <v>126 Tahun 0 Bulan 23 Hari</v>
      </c>
      <c r="CM670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Dsn Pagaden RT/RW  Desa/Kelurahan Marga Jaya Kecamatan Tanjungsari Sumedang Jawa Barat </v>
      </c>
    </row>
    <row r="671" spans="1:91" ht="24.95" hidden="1" customHeight="1">
      <c r="A671" s="89">
        <f>SUBTOTAL(3,N$8:Table2[[#This Row],[Nama lengkap]])</f>
        <v>472</v>
      </c>
      <c r="B671" s="89"/>
      <c r="C671" s="89"/>
      <c r="D671" s="89"/>
      <c r="E671" s="89"/>
      <c r="F671" s="89"/>
      <c r="G671" s="166"/>
      <c r="H671" s="32"/>
      <c r="I671" s="90"/>
      <c r="J671" s="139"/>
      <c r="K671" s="139"/>
      <c r="L671" s="139"/>
      <c r="M671" s="89">
        <v>15160096</v>
      </c>
      <c r="N671" s="91" t="s">
        <v>9122</v>
      </c>
      <c r="O671" s="140"/>
      <c r="P671" s="90"/>
      <c r="Q671" s="90" t="s">
        <v>9473</v>
      </c>
      <c r="R671" s="91" t="s">
        <v>9172</v>
      </c>
      <c r="S671" s="101"/>
      <c r="T671" s="142"/>
      <c r="U671" s="89"/>
      <c r="V671" s="89"/>
      <c r="W671" s="141"/>
      <c r="X671" s="92" t="s">
        <v>123</v>
      </c>
      <c r="Y671" s="92"/>
      <c r="Z671" s="92"/>
      <c r="AA671" s="92" t="s">
        <v>96</v>
      </c>
      <c r="AB671" s="92"/>
      <c r="AC671" s="92"/>
      <c r="AD671" s="92"/>
      <c r="AE671" s="93" t="s">
        <v>9374</v>
      </c>
      <c r="AF671" s="91"/>
      <c r="AG671" s="91" t="s">
        <v>9571</v>
      </c>
      <c r="AH671" s="91"/>
      <c r="AI671" s="92"/>
      <c r="AJ671" s="101"/>
      <c r="AK671" s="90" t="s">
        <v>9771</v>
      </c>
      <c r="AL671" s="93" t="s">
        <v>114</v>
      </c>
      <c r="AM671" s="91"/>
      <c r="AN671" s="93"/>
      <c r="AO671" s="92"/>
      <c r="AP671" s="93" t="s">
        <v>9261</v>
      </c>
      <c r="AQ671" s="90"/>
      <c r="AR671" s="89" t="s">
        <v>7068</v>
      </c>
      <c r="AS671" s="93" t="s">
        <v>7069</v>
      </c>
      <c r="AT671" s="92" t="s">
        <v>644</v>
      </c>
      <c r="AU671" s="92" t="s">
        <v>111</v>
      </c>
      <c r="AV671" s="92"/>
      <c r="AW671" s="92" t="s">
        <v>7866</v>
      </c>
      <c r="AX671" s="91"/>
      <c r="AY671" s="91"/>
      <c r="AZ671" s="127"/>
      <c r="BA671" s="143" t="s">
        <v>9864</v>
      </c>
      <c r="BB671" s="101" t="s">
        <v>216</v>
      </c>
      <c r="BC671" s="93"/>
      <c r="BD671" s="143"/>
      <c r="BE671" s="92"/>
      <c r="BF671" s="67"/>
      <c r="BG671" s="93" t="s">
        <v>9261</v>
      </c>
      <c r="BH671" s="93"/>
      <c r="BI671" s="91" t="s">
        <v>7068</v>
      </c>
      <c r="BJ671" s="91" t="s">
        <v>7069</v>
      </c>
      <c r="BK671" s="93" t="s">
        <v>644</v>
      </c>
      <c r="BL671" s="91" t="s">
        <v>111</v>
      </c>
      <c r="BM671" s="92"/>
      <c r="BN671" s="64"/>
      <c r="BO671" s="92"/>
      <c r="BP671" s="92"/>
      <c r="BQ671" s="136"/>
      <c r="BR671" s="93"/>
      <c r="BS671" s="92"/>
      <c r="BT671" s="93"/>
      <c r="BU671" s="93"/>
      <c r="BV671" s="92"/>
      <c r="BW671" s="92"/>
      <c r="BX671" s="93"/>
      <c r="BY671" s="92"/>
      <c r="BZ671" s="92"/>
      <c r="CA671" s="93"/>
      <c r="CB671" s="92"/>
      <c r="CC671" s="92"/>
      <c r="CD671" s="92"/>
      <c r="CE671" s="64" t="s">
        <v>9261</v>
      </c>
      <c r="CF671" s="67"/>
      <c r="CG671" s="40" t="s">
        <v>7068</v>
      </c>
      <c r="CH671" s="92" t="s">
        <v>7069</v>
      </c>
      <c r="CI671" s="91" t="s">
        <v>644</v>
      </c>
      <c r="CJ671" s="91" t="s">
        <v>111</v>
      </c>
      <c r="CK671" s="89"/>
      <c r="CL671" s="91" t="str">
        <f t="shared" ca="1" si="10"/>
        <v>126 Tahun 0 Bulan 23 Hari</v>
      </c>
      <c r="CM67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Jl. Karapitan III No 107/ 364 RT/RW  Desa/Kelurahan Paledang Kecamatan Lengkong Kota Bandung Jawa Barat </v>
      </c>
    </row>
    <row r="672" spans="1:91" ht="24.95" hidden="1" customHeight="1">
      <c r="A672" s="89">
        <f>SUBTOTAL(3,N$8:Table2[[#This Row],[Nama lengkap]])</f>
        <v>472</v>
      </c>
      <c r="B672" s="89"/>
      <c r="C672" s="89"/>
      <c r="D672" s="89"/>
      <c r="E672" s="89"/>
      <c r="F672" s="89"/>
      <c r="G672" s="166"/>
      <c r="H672" s="32"/>
      <c r="I672" s="90"/>
      <c r="J672" s="139"/>
      <c r="K672" s="139"/>
      <c r="L672" s="139"/>
      <c r="M672" s="89">
        <v>16170127</v>
      </c>
      <c r="N672" s="91" t="s">
        <v>6189</v>
      </c>
      <c r="O672" s="140"/>
      <c r="P672" s="90"/>
      <c r="Q672" s="90" t="s">
        <v>5078</v>
      </c>
      <c r="R672" s="91" t="s">
        <v>122</v>
      </c>
      <c r="S672" s="101"/>
      <c r="T672" s="142"/>
      <c r="U672" s="89"/>
      <c r="V672" s="89"/>
      <c r="W672" s="141"/>
      <c r="X672" s="92" t="s">
        <v>432</v>
      </c>
      <c r="Y672" s="92"/>
      <c r="Z672" s="92"/>
      <c r="AA672" s="92" t="s">
        <v>795</v>
      </c>
      <c r="AB672" s="92"/>
      <c r="AC672" s="92"/>
      <c r="AD672" s="92"/>
      <c r="AE672" s="93" t="s">
        <v>5080</v>
      </c>
      <c r="AF672" s="91"/>
      <c r="AG672" s="91" t="s">
        <v>9614</v>
      </c>
      <c r="AH672" s="91"/>
      <c r="AI672" s="92"/>
      <c r="AJ672" s="101"/>
      <c r="AK672" s="90" t="s">
        <v>5081</v>
      </c>
      <c r="AL672" s="93" t="s">
        <v>914</v>
      </c>
      <c r="AM672" s="91"/>
      <c r="AN672" s="93"/>
      <c r="AO672" s="92"/>
      <c r="AP672" s="93" t="s">
        <v>9312</v>
      </c>
      <c r="AQ672" s="90"/>
      <c r="AR672" s="89" t="s">
        <v>7009</v>
      </c>
      <c r="AS672" s="93" t="s">
        <v>6945</v>
      </c>
      <c r="AT672" s="92" t="s">
        <v>122</v>
      </c>
      <c r="AU672" s="92" t="s">
        <v>111</v>
      </c>
      <c r="AV672" s="92"/>
      <c r="AW672" s="92" t="s">
        <v>8239</v>
      </c>
      <c r="AX672" s="91"/>
      <c r="AY672" s="91"/>
      <c r="AZ672" s="127"/>
      <c r="BA672" s="143" t="s">
        <v>5085</v>
      </c>
      <c r="BB672" s="101" t="s">
        <v>216</v>
      </c>
      <c r="BC672" s="93"/>
      <c r="BD672" s="143"/>
      <c r="BE672" s="92"/>
      <c r="BF672" s="67"/>
      <c r="BG672" s="93" t="s">
        <v>9312</v>
      </c>
      <c r="BH672" s="93"/>
      <c r="BI672" s="91" t="s">
        <v>7009</v>
      </c>
      <c r="BJ672" s="91" t="s">
        <v>6945</v>
      </c>
      <c r="BK672" s="93" t="s">
        <v>122</v>
      </c>
      <c r="BL672" s="91" t="s">
        <v>111</v>
      </c>
      <c r="BM672" s="92"/>
      <c r="BN672" s="64"/>
      <c r="BO672" s="92"/>
      <c r="BP672" s="92"/>
      <c r="BQ672" s="136"/>
      <c r="BR672" s="93"/>
      <c r="BS672" s="92"/>
      <c r="BT672" s="93"/>
      <c r="BU672" s="93"/>
      <c r="BV672" s="92"/>
      <c r="BW672" s="92"/>
      <c r="BX672" s="93"/>
      <c r="BY672" s="92"/>
      <c r="BZ672" s="92"/>
      <c r="CA672" s="93"/>
      <c r="CB672" s="92"/>
      <c r="CC672" s="92"/>
      <c r="CD672" s="92"/>
      <c r="CE672" s="64" t="s">
        <v>9312</v>
      </c>
      <c r="CF672" s="67"/>
      <c r="CG672" s="40" t="s">
        <v>7009</v>
      </c>
      <c r="CH672" s="92" t="s">
        <v>6945</v>
      </c>
      <c r="CI672" s="91" t="s">
        <v>122</v>
      </c>
      <c r="CJ672" s="91" t="s">
        <v>111</v>
      </c>
      <c r="CK672" s="89"/>
      <c r="CL672" s="91" t="str">
        <f t="shared" ca="1" si="10"/>
        <v>126 Tahun 0 Bulan 23 Hari</v>
      </c>
      <c r="CM67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Babakan Regol RT/RW  Desa/Kelurahan Sukajaya Kecamatan Sumedang Selatan Sumedang Jawa Barat </v>
      </c>
    </row>
    <row r="673" spans="1:91" ht="24.95" hidden="1" customHeight="1">
      <c r="A673" s="89">
        <f>SUBTOTAL(3,N$8:Table2[[#This Row],[Nama lengkap]])</f>
        <v>472</v>
      </c>
      <c r="B673" s="89"/>
      <c r="C673" s="89"/>
      <c r="D673" s="89"/>
      <c r="E673" s="89"/>
      <c r="F673" s="89"/>
      <c r="G673" s="166"/>
      <c r="H673" s="32"/>
      <c r="I673" s="90"/>
      <c r="J673" s="139"/>
      <c r="K673" s="139"/>
      <c r="L673" s="139"/>
      <c r="M673" s="89">
        <v>17180153</v>
      </c>
      <c r="N673" s="91" t="s">
        <v>9151</v>
      </c>
      <c r="O673" s="140"/>
      <c r="P673" s="90" t="s">
        <v>9917</v>
      </c>
      <c r="Q673" s="90" t="s">
        <v>9502</v>
      </c>
      <c r="R673" s="91" t="s">
        <v>9170</v>
      </c>
      <c r="S673" s="101"/>
      <c r="T673" s="142"/>
      <c r="U673" s="89"/>
      <c r="V673" s="89"/>
      <c r="W673" s="141"/>
      <c r="X673" s="92" t="s">
        <v>984</v>
      </c>
      <c r="Y673" s="92"/>
      <c r="Z673" s="92"/>
      <c r="AA673" s="92" t="s">
        <v>1028</v>
      </c>
      <c r="AB673" s="92"/>
      <c r="AC673" s="92"/>
      <c r="AD673" s="92"/>
      <c r="AE673" s="93" t="s">
        <v>4053</v>
      </c>
      <c r="AF673" s="91"/>
      <c r="AG673" s="91" t="s">
        <v>9597</v>
      </c>
      <c r="AH673" s="91"/>
      <c r="AI673" s="92"/>
      <c r="AJ673" s="101"/>
      <c r="AK673" s="90" t="s">
        <v>4054</v>
      </c>
      <c r="AL673" s="93" t="s">
        <v>9717</v>
      </c>
      <c r="AM673" s="91"/>
      <c r="AN673" s="93"/>
      <c r="AO673" s="92"/>
      <c r="AP673" s="93" t="s">
        <v>7622</v>
      </c>
      <c r="AQ673" s="90"/>
      <c r="AR673" s="89" t="s">
        <v>6760</v>
      </c>
      <c r="AS673" s="93" t="s">
        <v>6761</v>
      </c>
      <c r="AT673" s="92" t="s">
        <v>122</v>
      </c>
      <c r="AU673" s="92" t="s">
        <v>111</v>
      </c>
      <c r="AV673" s="92"/>
      <c r="AW673" s="92" t="s">
        <v>8098</v>
      </c>
      <c r="AX673" s="91"/>
      <c r="AY673" s="91"/>
      <c r="AZ673" s="127"/>
      <c r="BA673" s="143" t="s">
        <v>4057</v>
      </c>
      <c r="BB673" s="101" t="s">
        <v>216</v>
      </c>
      <c r="BC673" s="93"/>
      <c r="BD673" s="143"/>
      <c r="BE673" s="92"/>
      <c r="BF673" s="67"/>
      <c r="BG673" s="93" t="s">
        <v>7622</v>
      </c>
      <c r="BH673" s="93"/>
      <c r="BI673" s="91" t="s">
        <v>6760</v>
      </c>
      <c r="BJ673" s="91" t="s">
        <v>6761</v>
      </c>
      <c r="BK673" s="93" t="s">
        <v>122</v>
      </c>
      <c r="BL673" s="91" t="s">
        <v>111</v>
      </c>
      <c r="BM673" s="92"/>
      <c r="BN673" s="64"/>
      <c r="BO673" s="92"/>
      <c r="BP673" s="92"/>
      <c r="BQ673" s="136"/>
      <c r="BR673" s="93"/>
      <c r="BS673" s="92"/>
      <c r="BT673" s="93"/>
      <c r="BU673" s="93"/>
      <c r="BV673" s="92"/>
      <c r="BW673" s="92"/>
      <c r="BX673" s="93"/>
      <c r="BY673" s="92"/>
      <c r="BZ673" s="92"/>
      <c r="CA673" s="93"/>
      <c r="CB673" s="92"/>
      <c r="CC673" s="92"/>
      <c r="CD673" s="92"/>
      <c r="CE673" s="64" t="s">
        <v>7622</v>
      </c>
      <c r="CF673" s="67"/>
      <c r="CG673" s="40" t="s">
        <v>6760</v>
      </c>
      <c r="CH673" s="92" t="s">
        <v>6761</v>
      </c>
      <c r="CI673" s="91" t="s">
        <v>122</v>
      </c>
      <c r="CJ673" s="91" t="s">
        <v>111</v>
      </c>
      <c r="CK673" s="89"/>
      <c r="CL673" s="91" t="str">
        <f t="shared" ca="1" si="10"/>
        <v>126 Tahun 0 Bulan 23 Hari</v>
      </c>
      <c r="CM673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Cisero RT/RW  Desa/Kelurahan Rancamulya Kecamatan Sumedang utara Sumedang Jawa Barat </v>
      </c>
    </row>
    <row r="674" spans="1:91" ht="24.95" hidden="1" customHeight="1">
      <c r="A674" s="89">
        <f>SUBTOTAL(3,N$8:Table2[[#This Row],[Nama lengkap]])</f>
        <v>472</v>
      </c>
      <c r="B674" s="89"/>
      <c r="C674" s="89"/>
      <c r="D674" s="89"/>
      <c r="E674" s="89"/>
      <c r="F674" s="89"/>
      <c r="G674" s="166"/>
      <c r="H674" s="32"/>
      <c r="I674" s="90"/>
      <c r="J674" s="139"/>
      <c r="K674" s="139"/>
      <c r="L674" s="139"/>
      <c r="M674" s="89">
        <v>14150061</v>
      </c>
      <c r="N674" s="91" t="s">
        <v>8162</v>
      </c>
      <c r="O674" s="140"/>
      <c r="P674" s="90"/>
      <c r="Q674" s="90" t="s">
        <v>9474</v>
      </c>
      <c r="R674" s="91" t="s">
        <v>9172</v>
      </c>
      <c r="S674" s="101"/>
      <c r="T674" s="142"/>
      <c r="U674" s="89"/>
      <c r="V674" s="89"/>
      <c r="W674" s="141"/>
      <c r="X674" s="92" t="s">
        <v>984</v>
      </c>
      <c r="Y674" s="92"/>
      <c r="Z674" s="92"/>
      <c r="AA674" s="92" t="s">
        <v>9317</v>
      </c>
      <c r="AB674" s="92"/>
      <c r="AC674" s="92"/>
      <c r="AD674" s="92"/>
      <c r="AE674" s="93" t="s">
        <v>9375</v>
      </c>
      <c r="AF674" s="91"/>
      <c r="AG674" s="91" t="s">
        <v>9572</v>
      </c>
      <c r="AH674" s="91"/>
      <c r="AI674" s="92"/>
      <c r="AJ674" s="101"/>
      <c r="AK674" s="90" t="s">
        <v>9772</v>
      </c>
      <c r="AL674" s="93" t="s">
        <v>343</v>
      </c>
      <c r="AM674" s="91"/>
      <c r="AN674" s="93"/>
      <c r="AO674" s="92"/>
      <c r="AP674" s="93" t="s">
        <v>7081</v>
      </c>
      <c r="AQ674" s="90"/>
      <c r="AR674" s="89" t="s">
        <v>7081</v>
      </c>
      <c r="AS674" s="93" t="s">
        <v>6967</v>
      </c>
      <c r="AT674" s="92" t="s">
        <v>90</v>
      </c>
      <c r="AU674" s="92" t="s">
        <v>111</v>
      </c>
      <c r="AV674" s="92"/>
      <c r="AW674" s="92" t="s">
        <v>9669</v>
      </c>
      <c r="AX674" s="91"/>
      <c r="AY674" s="91"/>
      <c r="AZ674" s="127"/>
      <c r="BA674" s="143" t="s">
        <v>9865</v>
      </c>
      <c r="BB674" s="101" t="s">
        <v>216</v>
      </c>
      <c r="BC674" s="93"/>
      <c r="BD674" s="143"/>
      <c r="BE674" s="92"/>
      <c r="BF674" s="67"/>
      <c r="BG674" s="93" t="s">
        <v>7081</v>
      </c>
      <c r="BH674" s="93"/>
      <c r="BI674" s="91" t="s">
        <v>7081</v>
      </c>
      <c r="BJ674" s="91" t="s">
        <v>6967</v>
      </c>
      <c r="BK674" s="93" t="s">
        <v>90</v>
      </c>
      <c r="BL674" s="91" t="s">
        <v>111</v>
      </c>
      <c r="BM674" s="92"/>
      <c r="BN674" s="64"/>
      <c r="BO674" s="92"/>
      <c r="BP674" s="92"/>
      <c r="BQ674" s="136"/>
      <c r="BR674" s="93"/>
      <c r="BS674" s="92"/>
      <c r="BT674" s="93"/>
      <c r="BU674" s="93"/>
      <c r="BV674" s="92"/>
      <c r="BW674" s="92"/>
      <c r="BX674" s="93"/>
      <c r="BY674" s="92"/>
      <c r="BZ674" s="92"/>
      <c r="CA674" s="93"/>
      <c r="CB674" s="92"/>
      <c r="CC674" s="92"/>
      <c r="CD674" s="92"/>
      <c r="CE674" s="64" t="s">
        <v>7081</v>
      </c>
      <c r="CF674" s="67"/>
      <c r="CG674" s="40" t="s">
        <v>7081</v>
      </c>
      <c r="CH674" s="92" t="s">
        <v>6967</v>
      </c>
      <c r="CI674" s="91" t="s">
        <v>90</v>
      </c>
      <c r="CJ674" s="91" t="s">
        <v>111</v>
      </c>
      <c r="CK674" s="89"/>
      <c r="CL674" s="91" t="str">
        <f t="shared" ca="1" si="10"/>
        <v>126 Tahun 0 Bulan 23 Hari</v>
      </c>
      <c r="CM67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Jatisari RT/RW  Desa/Kelurahan Jatisari Kecamatan Kutawaringin Bandung Jawa Barat </v>
      </c>
    </row>
    <row r="675" spans="1:91" ht="24.95" hidden="1" customHeight="1">
      <c r="A675" s="89">
        <f>SUBTOTAL(3,N$8:Table2[[#This Row],[Nama lengkap]])</f>
        <v>472</v>
      </c>
      <c r="B675" s="89"/>
      <c r="C675" s="89"/>
      <c r="D675" s="89"/>
      <c r="E675" s="89"/>
      <c r="F675" s="89"/>
      <c r="G675" s="166"/>
      <c r="H675" s="32"/>
      <c r="I675" s="90"/>
      <c r="J675" s="139"/>
      <c r="K675" s="139"/>
      <c r="L675" s="139"/>
      <c r="M675" s="89">
        <v>18190235</v>
      </c>
      <c r="N675" s="91" t="s">
        <v>9166</v>
      </c>
      <c r="O675" s="140"/>
      <c r="P675" s="90"/>
      <c r="Q675" s="90" t="s">
        <v>9518</v>
      </c>
      <c r="R675" s="91" t="s">
        <v>9172</v>
      </c>
      <c r="S675" s="101"/>
      <c r="T675" s="142"/>
      <c r="U675" s="89"/>
      <c r="V675" s="89"/>
      <c r="W675" s="141"/>
      <c r="X675" s="92" t="s">
        <v>984</v>
      </c>
      <c r="Y675" s="92"/>
      <c r="Z675" s="92"/>
      <c r="AA675" s="92" t="s">
        <v>753</v>
      </c>
      <c r="AB675" s="92"/>
      <c r="AC675" s="92"/>
      <c r="AD675" s="92"/>
      <c r="AE675" s="93" t="s">
        <v>9414</v>
      </c>
      <c r="AF675" s="91"/>
      <c r="AG675" s="91" t="s">
        <v>9615</v>
      </c>
      <c r="AH675" s="91"/>
      <c r="AI675" s="92"/>
      <c r="AJ675" s="101"/>
      <c r="AK675" s="90" t="s">
        <v>9813</v>
      </c>
      <c r="AL675" s="93" t="s">
        <v>5298</v>
      </c>
      <c r="AM675" s="91"/>
      <c r="AN675" s="93"/>
      <c r="AO675" s="92"/>
      <c r="AP675" s="93" t="s">
        <v>9313</v>
      </c>
      <c r="AQ675" s="90"/>
      <c r="AR675" s="89" t="s">
        <v>9314</v>
      </c>
      <c r="AS675" s="93" t="s">
        <v>312</v>
      </c>
      <c r="AT675" s="92" t="s">
        <v>90</v>
      </c>
      <c r="AU675" s="92" t="s">
        <v>111</v>
      </c>
      <c r="AV675" s="92"/>
      <c r="AW675" s="92" t="s">
        <v>3641</v>
      </c>
      <c r="AX675" s="91"/>
      <c r="AY675" s="91"/>
      <c r="AZ675" s="127"/>
      <c r="BA675" s="143" t="s">
        <v>9908</v>
      </c>
      <c r="BB675" s="101" t="s">
        <v>819</v>
      </c>
      <c r="BC675" s="93"/>
      <c r="BD675" s="143"/>
      <c r="BE675" s="92"/>
      <c r="BF675" s="67"/>
      <c r="BG675" s="93" t="s">
        <v>9313</v>
      </c>
      <c r="BH675" s="93"/>
      <c r="BI675" s="91" t="s">
        <v>9314</v>
      </c>
      <c r="BJ675" s="91" t="s">
        <v>312</v>
      </c>
      <c r="BK675" s="93" t="s">
        <v>90</v>
      </c>
      <c r="BL675" s="91" t="s">
        <v>111</v>
      </c>
      <c r="BM675" s="92"/>
      <c r="BN675" s="64"/>
      <c r="BO675" s="92"/>
      <c r="BP675" s="92"/>
      <c r="BQ675" s="136"/>
      <c r="BR675" s="93"/>
      <c r="BS675" s="92"/>
      <c r="BT675" s="93"/>
      <c r="BU675" s="93"/>
      <c r="BV675" s="92"/>
      <c r="BW675" s="92"/>
      <c r="BX675" s="93"/>
      <c r="BY675" s="92"/>
      <c r="BZ675" s="92"/>
      <c r="CA675" s="93"/>
      <c r="CB675" s="92"/>
      <c r="CC675" s="92"/>
      <c r="CD675" s="92"/>
      <c r="CE675" s="64" t="s">
        <v>9313</v>
      </c>
      <c r="CF675" s="67"/>
      <c r="CG675" s="40" t="s">
        <v>9314</v>
      </c>
      <c r="CH675" s="92" t="s">
        <v>312</v>
      </c>
      <c r="CI675" s="91" t="s">
        <v>90</v>
      </c>
      <c r="CJ675" s="91" t="s">
        <v>111</v>
      </c>
      <c r="CK675" s="89"/>
      <c r="CL675" s="91" t="str">
        <f t="shared" ca="1" si="10"/>
        <v>126 Tahun 0 Bulan 23 Hari</v>
      </c>
      <c r="CM67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Kp. Ganasabrang RT/RW  Desa/Kelurahan Tenjolaya Kecamatan Pasirjambu Bandung Jawa Barat </v>
      </c>
    </row>
    <row r="676" spans="1:91" ht="24.95" hidden="1" customHeight="1">
      <c r="A676" s="89">
        <f>SUBTOTAL(3,N$8:Table2[[#This Row],[Nama lengkap]])</f>
        <v>472</v>
      </c>
      <c r="B676" s="89"/>
      <c r="C676" s="89"/>
      <c r="D676" s="89"/>
      <c r="E676" s="89"/>
      <c r="F676" s="89"/>
      <c r="G676" s="166"/>
      <c r="H676" s="32"/>
      <c r="I676" s="90"/>
      <c r="J676" s="139"/>
      <c r="K676" s="139"/>
      <c r="L676" s="139"/>
      <c r="M676" s="89">
        <v>14150050</v>
      </c>
      <c r="N676" s="91" t="s">
        <v>9098</v>
      </c>
      <c r="O676" s="140"/>
      <c r="P676" s="90"/>
      <c r="Q676" s="90" t="s">
        <v>9450</v>
      </c>
      <c r="R676" s="91" t="s">
        <v>9172</v>
      </c>
      <c r="S676" s="101"/>
      <c r="T676" s="142"/>
      <c r="U676" s="89"/>
      <c r="V676" s="89"/>
      <c r="W676" s="141"/>
      <c r="X676" s="92" t="s">
        <v>123</v>
      </c>
      <c r="Y676" s="92"/>
      <c r="Z676" s="92"/>
      <c r="AA676" s="92" t="s">
        <v>96</v>
      </c>
      <c r="AB676" s="92"/>
      <c r="AC676" s="92"/>
      <c r="AD676" s="92"/>
      <c r="AE676" s="93" t="s">
        <v>9353</v>
      </c>
      <c r="AF676" s="91"/>
      <c r="AG676" s="91" t="s">
        <v>9551</v>
      </c>
      <c r="AH676" s="91"/>
      <c r="AI676" s="92"/>
      <c r="AJ676" s="101"/>
      <c r="AK676" s="90" t="s">
        <v>9751</v>
      </c>
      <c r="AL676" s="93" t="s">
        <v>114</v>
      </c>
      <c r="AM676" s="91"/>
      <c r="AN676" s="93"/>
      <c r="AO676" s="92"/>
      <c r="AP676" s="93" t="s">
        <v>9226</v>
      </c>
      <c r="AQ676" s="90"/>
      <c r="AR676" s="89" t="s">
        <v>9227</v>
      </c>
      <c r="AS676" s="93" t="s">
        <v>6984</v>
      </c>
      <c r="AT676" s="92" t="s">
        <v>90</v>
      </c>
      <c r="AU676" s="92" t="s">
        <v>111</v>
      </c>
      <c r="AV676" s="92"/>
      <c r="AW676" s="92" t="s">
        <v>9648</v>
      </c>
      <c r="AX676" s="91"/>
      <c r="AY676" s="91"/>
      <c r="AZ676" s="127"/>
      <c r="BA676" s="143" t="s">
        <v>9844</v>
      </c>
      <c r="BB676" s="101" t="s">
        <v>216</v>
      </c>
      <c r="BC676" s="93"/>
      <c r="BD676" s="143"/>
      <c r="BE676" s="92"/>
      <c r="BF676" s="67"/>
      <c r="BG676" s="93" t="s">
        <v>9226</v>
      </c>
      <c r="BH676" s="93"/>
      <c r="BI676" s="91" t="s">
        <v>9227</v>
      </c>
      <c r="BJ676" s="91" t="s">
        <v>6984</v>
      </c>
      <c r="BK676" s="93" t="s">
        <v>90</v>
      </c>
      <c r="BL676" s="91" t="s">
        <v>111</v>
      </c>
      <c r="BM676" s="92"/>
      <c r="BN676" s="64"/>
      <c r="BO676" s="92"/>
      <c r="BP676" s="92"/>
      <c r="BQ676" s="136"/>
      <c r="BR676" s="93"/>
      <c r="BS676" s="92"/>
      <c r="BT676" s="93"/>
      <c r="BU676" s="93"/>
      <c r="BV676" s="92"/>
      <c r="BW676" s="92"/>
      <c r="BX676" s="93"/>
      <c r="BY676" s="92"/>
      <c r="BZ676" s="92"/>
      <c r="CA676" s="93"/>
      <c r="CB676" s="92"/>
      <c r="CC676" s="92"/>
      <c r="CD676" s="92"/>
      <c r="CE676" s="64" t="s">
        <v>9226</v>
      </c>
      <c r="CF676" s="67"/>
      <c r="CG676" s="40" t="s">
        <v>9227</v>
      </c>
      <c r="CH676" s="92" t="s">
        <v>6984</v>
      </c>
      <c r="CI676" s="91" t="s">
        <v>90</v>
      </c>
      <c r="CJ676" s="91" t="s">
        <v>111</v>
      </c>
      <c r="CK676" s="89"/>
      <c r="CL676" s="91" t="str">
        <f t="shared" ca="1" si="10"/>
        <v>126 Tahun 0 Bulan 23 Hari</v>
      </c>
      <c r="CM67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Jln. Situgunting Timur I RT/RW  Desa/Kelurahan Situ Gunting Kecamatan Babakan Ciparay Bandung Jawa Barat </v>
      </c>
    </row>
    <row r="677" spans="1:91" ht="24.95" hidden="1" customHeight="1">
      <c r="A677" s="89">
        <f>SUBTOTAL(3,N$8:Table2[[#This Row],[Nama lengkap]])</f>
        <v>472</v>
      </c>
      <c r="B677" s="89"/>
      <c r="C677" s="89"/>
      <c r="D677" s="89"/>
      <c r="E677" s="89"/>
      <c r="F677" s="89"/>
      <c r="G677" s="166"/>
      <c r="H677" s="32"/>
      <c r="I677" s="90"/>
      <c r="J677" s="139"/>
      <c r="K677" s="139"/>
      <c r="L677" s="139"/>
      <c r="M677" s="89">
        <v>17180154</v>
      </c>
      <c r="N677" s="91" t="s">
        <v>5794</v>
      </c>
      <c r="O677" s="140"/>
      <c r="P677" s="90"/>
      <c r="Q677" s="90" t="s">
        <v>9519</v>
      </c>
      <c r="R677" s="91" t="s">
        <v>122</v>
      </c>
      <c r="S677" s="101"/>
      <c r="T677" s="142"/>
      <c r="U677" s="89"/>
      <c r="V677" s="89"/>
      <c r="W677" s="141"/>
      <c r="X677" s="92" t="s">
        <v>432</v>
      </c>
      <c r="Y677" s="92"/>
      <c r="Z677" s="92"/>
      <c r="AA677" s="92" t="s">
        <v>96</v>
      </c>
      <c r="AB677" s="92"/>
      <c r="AC677" s="92"/>
      <c r="AD677" s="92"/>
      <c r="AE677" s="93" t="s">
        <v>4993</v>
      </c>
      <c r="AF677" s="91"/>
      <c r="AG677" s="91" t="s">
        <v>9616</v>
      </c>
      <c r="AH677" s="91"/>
      <c r="AI677" s="92"/>
      <c r="AJ677" s="101"/>
      <c r="AK677" s="90" t="s">
        <v>4994</v>
      </c>
      <c r="AL677" s="93" t="s">
        <v>602</v>
      </c>
      <c r="AM677" s="91"/>
      <c r="AN677" s="93"/>
      <c r="AO677" s="92"/>
      <c r="AP677" s="93" t="s">
        <v>7711</v>
      </c>
      <c r="AQ677" s="90"/>
      <c r="AR677" s="89" t="s">
        <v>7065</v>
      </c>
      <c r="AS677" s="93" t="s">
        <v>6945</v>
      </c>
      <c r="AT677" s="92" t="s">
        <v>122</v>
      </c>
      <c r="AU677" s="92" t="s">
        <v>111</v>
      </c>
      <c r="AV677" s="92"/>
      <c r="AW677" s="92" t="s">
        <v>9710</v>
      </c>
      <c r="AX677" s="91"/>
      <c r="AY677" s="91"/>
      <c r="AZ677" s="127"/>
      <c r="BA677" s="143" t="s">
        <v>9909</v>
      </c>
      <c r="BB677" s="101" t="s">
        <v>216</v>
      </c>
      <c r="BC677" s="93"/>
      <c r="BD677" s="143"/>
      <c r="BE677" s="92"/>
      <c r="BF677" s="67"/>
      <c r="BG677" s="93" t="s">
        <v>7711</v>
      </c>
      <c r="BH677" s="93"/>
      <c r="BI677" s="91" t="s">
        <v>7065</v>
      </c>
      <c r="BJ677" s="91" t="s">
        <v>6945</v>
      </c>
      <c r="BK677" s="93" t="s">
        <v>122</v>
      </c>
      <c r="BL677" s="91" t="s">
        <v>111</v>
      </c>
      <c r="BM677" s="92"/>
      <c r="BN677" s="64"/>
      <c r="BO677" s="92"/>
      <c r="BP677" s="92"/>
      <c r="BQ677" s="136"/>
      <c r="BR677" s="93"/>
      <c r="BS677" s="92"/>
      <c r="BT677" s="93"/>
      <c r="BU677" s="93"/>
      <c r="BV677" s="92"/>
      <c r="BW677" s="92"/>
      <c r="BX677" s="93"/>
      <c r="BY677" s="92"/>
      <c r="BZ677" s="92"/>
      <c r="CA677" s="93"/>
      <c r="CB677" s="92"/>
      <c r="CC677" s="92"/>
      <c r="CD677" s="92"/>
      <c r="CE677" s="64" t="s">
        <v>7711</v>
      </c>
      <c r="CF677" s="67"/>
      <c r="CG677" s="40" t="s">
        <v>7065</v>
      </c>
      <c r="CH677" s="92" t="s">
        <v>6945</v>
      </c>
      <c r="CI677" s="91" t="s">
        <v>122</v>
      </c>
      <c r="CJ677" s="91" t="s">
        <v>111</v>
      </c>
      <c r="CK677" s="89"/>
      <c r="CL677" s="91" t="str">
        <f t="shared" ca="1" si="10"/>
        <v>126 Tahun 0 Bulan 23 Hari</v>
      </c>
      <c r="CM67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Lingkungan Burujul RT/RW  Desa/Kelurahan Kota Kulon Kecamatan Sumedang Selatan Sumedang Jawa Barat </v>
      </c>
    </row>
    <row r="678" spans="1:91" ht="24.95" hidden="1" customHeight="1">
      <c r="A678" s="89">
        <f>SUBTOTAL(3,N$8:Table2[[#This Row],[Nama lengkap]])</f>
        <v>472</v>
      </c>
      <c r="B678" s="89"/>
      <c r="C678" s="89"/>
      <c r="D678" s="89"/>
      <c r="E678" s="89"/>
      <c r="F678" s="89"/>
      <c r="G678" s="166"/>
      <c r="H678" s="32"/>
      <c r="I678" s="90"/>
      <c r="J678" s="139"/>
      <c r="K678" s="139"/>
      <c r="L678" s="139"/>
      <c r="M678" s="89">
        <v>15160097</v>
      </c>
      <c r="N678" s="91" t="s">
        <v>9123</v>
      </c>
      <c r="O678" s="140"/>
      <c r="P678" s="90"/>
      <c r="Q678" s="90" t="s">
        <v>9475</v>
      </c>
      <c r="R678" s="91" t="s">
        <v>9170</v>
      </c>
      <c r="S678" s="101"/>
      <c r="T678" s="142"/>
      <c r="U678" s="89"/>
      <c r="V678" s="89"/>
      <c r="W678" s="141"/>
      <c r="X678" s="92" t="s">
        <v>984</v>
      </c>
      <c r="Y678" s="92"/>
      <c r="Z678" s="92"/>
      <c r="AA678" s="92" t="s">
        <v>96</v>
      </c>
      <c r="AB678" s="92"/>
      <c r="AC678" s="92"/>
      <c r="AD678" s="92"/>
      <c r="AE678" s="93" t="s">
        <v>2830</v>
      </c>
      <c r="AF678" s="91"/>
      <c r="AG678" s="91" t="s">
        <v>8486</v>
      </c>
      <c r="AH678" s="91"/>
      <c r="AI678" s="92"/>
      <c r="AJ678" s="101"/>
      <c r="AK678" s="90" t="s">
        <v>9773</v>
      </c>
      <c r="AL678" s="93" t="s">
        <v>5398</v>
      </c>
      <c r="AM678" s="91"/>
      <c r="AN678" s="93"/>
      <c r="AO678" s="92"/>
      <c r="AP678" s="93" t="s">
        <v>7202</v>
      </c>
      <c r="AQ678" s="90"/>
      <c r="AR678" s="89" t="s">
        <v>7202</v>
      </c>
      <c r="AS678" s="93" t="s">
        <v>561</v>
      </c>
      <c r="AT678" s="92" t="s">
        <v>122</v>
      </c>
      <c r="AU678" s="92" t="s">
        <v>111</v>
      </c>
      <c r="AV678" s="92"/>
      <c r="AW678" s="92" t="s">
        <v>7995</v>
      </c>
      <c r="AX678" s="91"/>
      <c r="AY678" s="91"/>
      <c r="AZ678" s="127"/>
      <c r="BA678" s="143" t="s">
        <v>9866</v>
      </c>
      <c r="BB678" s="101" t="s">
        <v>216</v>
      </c>
      <c r="BC678" s="93"/>
      <c r="BD678" s="143"/>
      <c r="BE678" s="92"/>
      <c r="BF678" s="67"/>
      <c r="BG678" s="93" t="s">
        <v>7202</v>
      </c>
      <c r="BH678" s="93"/>
      <c r="BI678" s="91" t="s">
        <v>7202</v>
      </c>
      <c r="BJ678" s="91" t="s">
        <v>561</v>
      </c>
      <c r="BK678" s="93" t="s">
        <v>122</v>
      </c>
      <c r="BL678" s="91" t="s">
        <v>111</v>
      </c>
      <c r="BM678" s="92"/>
      <c r="BN678" s="64"/>
      <c r="BO678" s="92"/>
      <c r="BP678" s="92"/>
      <c r="BQ678" s="136"/>
      <c r="BR678" s="93"/>
      <c r="BS678" s="92"/>
      <c r="BT678" s="93"/>
      <c r="BU678" s="93"/>
      <c r="BV678" s="92"/>
      <c r="BW678" s="92"/>
      <c r="BX678" s="93"/>
      <c r="BY678" s="92"/>
      <c r="BZ678" s="92"/>
      <c r="CA678" s="93"/>
      <c r="CB678" s="92"/>
      <c r="CC678" s="92"/>
      <c r="CD678" s="92"/>
      <c r="CE678" s="64" t="s">
        <v>7202</v>
      </c>
      <c r="CF678" s="67"/>
      <c r="CG678" s="40" t="s">
        <v>7202</v>
      </c>
      <c r="CH678" s="92" t="s">
        <v>561</v>
      </c>
      <c r="CI678" s="91" t="s">
        <v>122</v>
      </c>
      <c r="CJ678" s="91" t="s">
        <v>111</v>
      </c>
      <c r="CK678" s="89"/>
      <c r="CL678" s="91" t="str">
        <f t="shared" ca="1" si="10"/>
        <v>126 Tahun 0 Bulan 23 Hari</v>
      </c>
      <c r="CM678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Sayang RT/RW  Desa/Kelurahan Sayang Kecamatan Jatinangor Sumedang Jawa Barat </v>
      </c>
    </row>
    <row r="679" spans="1:91" ht="24.95" hidden="1" customHeight="1">
      <c r="A679" s="89">
        <f>SUBTOTAL(3,N$8:Table2[[#This Row],[Nama lengkap]])</f>
        <v>472</v>
      </c>
      <c r="B679" s="89"/>
      <c r="C679" s="89"/>
      <c r="D679" s="89"/>
      <c r="E679" s="89"/>
      <c r="F679" s="89"/>
      <c r="G679" s="166"/>
      <c r="H679" s="32"/>
      <c r="I679" s="90"/>
      <c r="J679" s="139"/>
      <c r="K679" s="139"/>
      <c r="L679" s="139"/>
      <c r="M679" s="89">
        <v>15160098</v>
      </c>
      <c r="N679" s="91" t="s">
        <v>9124</v>
      </c>
      <c r="O679" s="140"/>
      <c r="P679" s="90"/>
      <c r="Q679" s="90" t="s">
        <v>9476</v>
      </c>
      <c r="R679" s="91" t="s">
        <v>9170</v>
      </c>
      <c r="S679" s="101"/>
      <c r="T679" s="142"/>
      <c r="U679" s="89"/>
      <c r="V679" s="89"/>
      <c r="W679" s="141"/>
      <c r="X679" s="92" t="s">
        <v>123</v>
      </c>
      <c r="Y679" s="92"/>
      <c r="Z679" s="92"/>
      <c r="AA679" s="92" t="s">
        <v>96</v>
      </c>
      <c r="AB679" s="92"/>
      <c r="AC679" s="92"/>
      <c r="AD679" s="92"/>
      <c r="AE679" s="93" t="s">
        <v>9376</v>
      </c>
      <c r="AF679" s="91"/>
      <c r="AG679" s="91" t="s">
        <v>9573</v>
      </c>
      <c r="AH679" s="91"/>
      <c r="AI679" s="92"/>
      <c r="AJ679" s="101"/>
      <c r="AK679" s="90" t="s">
        <v>9774</v>
      </c>
      <c r="AL679" s="93" t="s">
        <v>114</v>
      </c>
      <c r="AM679" s="91"/>
      <c r="AN679" s="93"/>
      <c r="AO679" s="92"/>
      <c r="AP679" s="93" t="s">
        <v>9262</v>
      </c>
      <c r="AQ679" s="90"/>
      <c r="AR679" s="89" t="s">
        <v>7261</v>
      </c>
      <c r="AS679" s="93" t="s">
        <v>6945</v>
      </c>
      <c r="AT679" s="92" t="s">
        <v>122</v>
      </c>
      <c r="AU679" s="92" t="s">
        <v>111</v>
      </c>
      <c r="AV679" s="92"/>
      <c r="AW679" s="92" t="s">
        <v>9670</v>
      </c>
      <c r="AX679" s="91"/>
      <c r="AY679" s="91"/>
      <c r="AZ679" s="127"/>
      <c r="BA679" s="143" t="s">
        <v>9867</v>
      </c>
      <c r="BB679" s="101" t="s">
        <v>216</v>
      </c>
      <c r="BC679" s="93"/>
      <c r="BD679" s="143"/>
      <c r="BE679" s="92"/>
      <c r="BF679" s="67"/>
      <c r="BG679" s="93" t="s">
        <v>9262</v>
      </c>
      <c r="BH679" s="93"/>
      <c r="BI679" s="91" t="s">
        <v>7261</v>
      </c>
      <c r="BJ679" s="91" t="s">
        <v>6945</v>
      </c>
      <c r="BK679" s="93" t="s">
        <v>122</v>
      </c>
      <c r="BL679" s="91" t="s">
        <v>111</v>
      </c>
      <c r="BM679" s="92"/>
      <c r="BN679" s="64"/>
      <c r="BO679" s="92"/>
      <c r="BP679" s="92"/>
      <c r="BQ679" s="136"/>
      <c r="BR679" s="93"/>
      <c r="BS679" s="92"/>
      <c r="BT679" s="93"/>
      <c r="BU679" s="93"/>
      <c r="BV679" s="92"/>
      <c r="BW679" s="92"/>
      <c r="BX679" s="93"/>
      <c r="BY679" s="92"/>
      <c r="BZ679" s="92"/>
      <c r="CA679" s="93"/>
      <c r="CB679" s="92"/>
      <c r="CC679" s="92"/>
      <c r="CD679" s="92"/>
      <c r="CE679" s="64" t="s">
        <v>9262</v>
      </c>
      <c r="CF679" s="67"/>
      <c r="CG679" s="40" t="s">
        <v>7261</v>
      </c>
      <c r="CH679" s="92" t="s">
        <v>6945</v>
      </c>
      <c r="CI679" s="91" t="s">
        <v>122</v>
      </c>
      <c r="CJ679" s="91" t="s">
        <v>111</v>
      </c>
      <c r="CK679" s="89"/>
      <c r="CL679" s="91" t="str">
        <f t="shared" ca="1" si="10"/>
        <v>126 Tahun 0 Bulan 23 Hari</v>
      </c>
      <c r="CM679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Nangkod RT/RW  Desa/Kelurahan Sukagalih Kecamatan Sumedang Selatan Sumedang Jawa Barat </v>
      </c>
    </row>
    <row r="680" spans="1:91" ht="24.95" hidden="1" customHeight="1">
      <c r="A680" s="89">
        <f>SUBTOTAL(3,N$8:Table2[[#This Row],[Nama lengkap]])</f>
        <v>472</v>
      </c>
      <c r="B680" s="89"/>
      <c r="C680" s="89"/>
      <c r="D680" s="89"/>
      <c r="E680" s="89"/>
      <c r="F680" s="89"/>
      <c r="G680" s="166"/>
      <c r="H680" s="32"/>
      <c r="I680" s="90"/>
      <c r="J680" s="139"/>
      <c r="K680" s="139"/>
      <c r="L680" s="139"/>
      <c r="M680" s="89">
        <v>16170129</v>
      </c>
      <c r="N680" s="91" t="s">
        <v>9153</v>
      </c>
      <c r="O680" s="140"/>
      <c r="P680" s="90"/>
      <c r="Q680" s="90" t="s">
        <v>9504</v>
      </c>
      <c r="R680" s="91" t="s">
        <v>9179</v>
      </c>
      <c r="S680" s="101"/>
      <c r="T680" s="142"/>
      <c r="U680" s="89"/>
      <c r="V680" s="89"/>
      <c r="W680" s="141"/>
      <c r="X680" s="92" t="s">
        <v>984</v>
      </c>
      <c r="Y680" s="92"/>
      <c r="Z680" s="92"/>
      <c r="AA680" s="92" t="s">
        <v>9319</v>
      </c>
      <c r="AB680" s="92"/>
      <c r="AC680" s="92"/>
      <c r="AD680" s="92"/>
      <c r="AE680" s="93" t="s">
        <v>9401</v>
      </c>
      <c r="AF680" s="91"/>
      <c r="AG680" s="91" t="s">
        <v>9599</v>
      </c>
      <c r="AH680" s="91"/>
      <c r="AI680" s="92"/>
      <c r="AJ680" s="101"/>
      <c r="AK680" s="90" t="s">
        <v>9798</v>
      </c>
      <c r="AL680" s="93" t="s">
        <v>114</v>
      </c>
      <c r="AM680" s="91"/>
      <c r="AN680" s="93"/>
      <c r="AO680" s="92"/>
      <c r="AP680" s="93" t="s">
        <v>9292</v>
      </c>
      <c r="AQ680" s="90"/>
      <c r="AR680" s="89" t="s">
        <v>7337</v>
      </c>
      <c r="AS680" s="93" t="s">
        <v>90</v>
      </c>
      <c r="AT680" s="92" t="s">
        <v>7042</v>
      </c>
      <c r="AU680" s="92" t="s">
        <v>111</v>
      </c>
      <c r="AV680" s="92"/>
      <c r="AW680" s="92" t="s">
        <v>9697</v>
      </c>
      <c r="AX680" s="91"/>
      <c r="AY680" s="91"/>
      <c r="AZ680" s="127"/>
      <c r="BA680" s="143" t="s">
        <v>9892</v>
      </c>
      <c r="BB680" s="101" t="s">
        <v>216</v>
      </c>
      <c r="BC680" s="93"/>
      <c r="BD680" s="143"/>
      <c r="BE680" s="92"/>
      <c r="BF680" s="67"/>
      <c r="BG680" s="93" t="s">
        <v>9292</v>
      </c>
      <c r="BH680" s="93"/>
      <c r="BI680" s="91" t="s">
        <v>7337</v>
      </c>
      <c r="BJ680" s="91" t="s">
        <v>90</v>
      </c>
      <c r="BK680" s="93" t="s">
        <v>7042</v>
      </c>
      <c r="BL680" s="91" t="s">
        <v>111</v>
      </c>
      <c r="BM680" s="92"/>
      <c r="BN680" s="64"/>
      <c r="BO680" s="92"/>
      <c r="BP680" s="92"/>
      <c r="BQ680" s="136"/>
      <c r="BR680" s="93"/>
      <c r="BS680" s="92"/>
      <c r="BT680" s="93"/>
      <c r="BU680" s="93"/>
      <c r="BV680" s="92"/>
      <c r="BW680" s="92"/>
      <c r="BX680" s="93"/>
      <c r="BY680" s="92"/>
      <c r="BZ680" s="92"/>
      <c r="CA680" s="93"/>
      <c r="CB680" s="92"/>
      <c r="CC680" s="92"/>
      <c r="CD680" s="92"/>
      <c r="CE680" s="64" t="s">
        <v>9292</v>
      </c>
      <c r="CF680" s="67"/>
      <c r="CG680" s="40" t="s">
        <v>7337</v>
      </c>
      <c r="CH680" s="92" t="s">
        <v>90</v>
      </c>
      <c r="CI680" s="91" t="s">
        <v>7042</v>
      </c>
      <c r="CJ680" s="91" t="s">
        <v>111</v>
      </c>
      <c r="CK680" s="89"/>
      <c r="CL680" s="91" t="str">
        <f t="shared" ca="1" si="10"/>
        <v>126 Tahun 0 Bulan 23 Hari</v>
      </c>
      <c r="CM680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Jln. Sukamenak RT/RW  Desa/Kelurahan Sukamenak Kecamatan Bandung Margahayu Jawa Barat </v>
      </c>
    </row>
    <row r="681" spans="1:91" ht="24.95" hidden="1" customHeight="1">
      <c r="A681" s="89">
        <f>SUBTOTAL(3,N$8:Table2[[#This Row],[Nama lengkap]])</f>
        <v>472</v>
      </c>
      <c r="B681" s="89"/>
      <c r="C681" s="89"/>
      <c r="D681" s="89"/>
      <c r="E681" s="89"/>
      <c r="F681" s="89"/>
      <c r="G681" s="166"/>
      <c r="H681" s="32"/>
      <c r="I681" s="90"/>
      <c r="J681" s="139"/>
      <c r="K681" s="139"/>
      <c r="L681" s="139"/>
      <c r="M681" s="89">
        <v>17180156</v>
      </c>
      <c r="N681" s="91" t="s">
        <v>5795</v>
      </c>
      <c r="O681" s="140"/>
      <c r="P681" s="90"/>
      <c r="Q681" s="90" t="s">
        <v>9520</v>
      </c>
      <c r="R681" s="91" t="s">
        <v>9172</v>
      </c>
      <c r="S681" s="101"/>
      <c r="T681" s="142"/>
      <c r="U681" s="89"/>
      <c r="V681" s="89"/>
      <c r="W681" s="141"/>
      <c r="X681" s="92" t="s">
        <v>93</v>
      </c>
      <c r="Y681" s="92"/>
      <c r="Z681" s="92"/>
      <c r="AA681" s="92" t="s">
        <v>96</v>
      </c>
      <c r="AB681" s="92"/>
      <c r="AC681" s="92"/>
      <c r="AD681" s="92"/>
      <c r="AE681" s="93" t="s">
        <v>5005</v>
      </c>
      <c r="AF681" s="91"/>
      <c r="AG681" s="91" t="s">
        <v>8695</v>
      </c>
      <c r="AH681" s="91"/>
      <c r="AI681" s="92"/>
      <c r="AJ681" s="101"/>
      <c r="AK681" s="90" t="s">
        <v>5002</v>
      </c>
      <c r="AL681" s="93" t="s">
        <v>602</v>
      </c>
      <c r="AM681" s="91"/>
      <c r="AN681" s="93"/>
      <c r="AO681" s="92"/>
      <c r="AP681" s="93" t="s">
        <v>9315</v>
      </c>
      <c r="AQ681" s="90"/>
      <c r="AR681" s="89" t="s">
        <v>7301</v>
      </c>
      <c r="AS681" s="93" t="s">
        <v>7069</v>
      </c>
      <c r="AT681" s="92" t="s">
        <v>90</v>
      </c>
      <c r="AU681" s="92" t="s">
        <v>111</v>
      </c>
      <c r="AV681" s="92"/>
      <c r="AW681" s="92" t="s">
        <v>8193</v>
      </c>
      <c r="AX681" s="91"/>
      <c r="AY681" s="91"/>
      <c r="AZ681" s="127"/>
      <c r="BA681" s="143" t="s">
        <v>5010</v>
      </c>
      <c r="BB681" s="101" t="s">
        <v>216</v>
      </c>
      <c r="BC681" s="93"/>
      <c r="BD681" s="143"/>
      <c r="BE681" s="92"/>
      <c r="BF681" s="67"/>
      <c r="BG681" s="93" t="s">
        <v>9315</v>
      </c>
      <c r="BH681" s="93"/>
      <c r="BI681" s="91" t="s">
        <v>7301</v>
      </c>
      <c r="BJ681" s="91" t="s">
        <v>7069</v>
      </c>
      <c r="BK681" s="93" t="s">
        <v>90</v>
      </c>
      <c r="BL681" s="91" t="s">
        <v>111</v>
      </c>
      <c r="BM681" s="92"/>
      <c r="BN681" s="64"/>
      <c r="BO681" s="92"/>
      <c r="BP681" s="92"/>
      <c r="BQ681" s="136"/>
      <c r="BR681" s="93"/>
      <c r="BS681" s="92"/>
      <c r="BT681" s="93"/>
      <c r="BU681" s="93"/>
      <c r="BV681" s="92"/>
      <c r="BW681" s="92"/>
      <c r="BX681" s="93"/>
      <c r="BY681" s="92"/>
      <c r="BZ681" s="92"/>
      <c r="CA681" s="93"/>
      <c r="CB681" s="92"/>
      <c r="CC681" s="92"/>
      <c r="CD681" s="92"/>
      <c r="CE681" s="64" t="s">
        <v>9315</v>
      </c>
      <c r="CF681" s="67"/>
      <c r="CG681" s="40" t="s">
        <v>7301</v>
      </c>
      <c r="CH681" s="92" t="s">
        <v>7069</v>
      </c>
      <c r="CI681" s="91" t="s">
        <v>90</v>
      </c>
      <c r="CJ681" s="91" t="s">
        <v>111</v>
      </c>
      <c r="CK681" s="89"/>
      <c r="CL681" s="91" t="str">
        <f t="shared" ca="1" si="10"/>
        <v>126 Tahun 0 Bulan 23 Hari</v>
      </c>
      <c r="CM681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Ciguriang hilir RT/RW  Desa/Kelurahan Cangkuang Wetan Kecamatan Lengkong Bandung Jawa Barat </v>
      </c>
    </row>
    <row r="682" spans="1:91" ht="24.95" hidden="1" customHeight="1">
      <c r="A682" s="89">
        <f>SUBTOTAL(3,N$8:Table2[[#This Row],[Nama lengkap]])</f>
        <v>472</v>
      </c>
      <c r="B682" s="89"/>
      <c r="C682" s="89"/>
      <c r="D682" s="89"/>
      <c r="E682" s="89"/>
      <c r="F682" s="89"/>
      <c r="G682" s="166"/>
      <c r="H682" s="32"/>
      <c r="I682" s="90"/>
      <c r="J682" s="139"/>
      <c r="K682" s="139"/>
      <c r="L682" s="139"/>
      <c r="M682" s="89">
        <v>16170130</v>
      </c>
      <c r="N682" s="91" t="s">
        <v>9154</v>
      </c>
      <c r="O682" s="140"/>
      <c r="P682" s="90" t="s">
        <v>9918</v>
      </c>
      <c r="Q682" s="90" t="s">
        <v>9505</v>
      </c>
      <c r="R682" s="91" t="s">
        <v>9173</v>
      </c>
      <c r="S682" s="101"/>
      <c r="T682" s="142"/>
      <c r="U682" s="89"/>
      <c r="V682" s="89"/>
      <c r="W682" s="141"/>
      <c r="X682" s="92" t="s">
        <v>984</v>
      </c>
      <c r="Y682" s="92"/>
      <c r="Z682" s="92"/>
      <c r="AA682" s="92" t="s">
        <v>1141</v>
      </c>
      <c r="AB682" s="92"/>
      <c r="AC682" s="92"/>
      <c r="AD682" s="92"/>
      <c r="AE682" s="93" t="s">
        <v>9402</v>
      </c>
      <c r="AF682" s="91"/>
      <c r="AG682" s="91" t="s">
        <v>9600</v>
      </c>
      <c r="AH682" s="91"/>
      <c r="AI682" s="92"/>
      <c r="AJ682" s="101"/>
      <c r="AK682" s="90" t="s">
        <v>9799</v>
      </c>
      <c r="AL682" s="93" t="s">
        <v>5398</v>
      </c>
      <c r="AM682" s="91"/>
      <c r="AN682" s="93"/>
      <c r="AO682" s="92"/>
      <c r="AP682" s="93" t="s">
        <v>7552</v>
      </c>
      <c r="AQ682" s="90"/>
      <c r="AR682" s="89" t="s">
        <v>7220</v>
      </c>
      <c r="AS682" s="93" t="s">
        <v>7221</v>
      </c>
      <c r="AT682" s="92" t="s">
        <v>6472</v>
      </c>
      <c r="AU682" s="92" t="s">
        <v>111</v>
      </c>
      <c r="AV682" s="92"/>
      <c r="AW682" s="92" t="s">
        <v>9698</v>
      </c>
      <c r="AX682" s="91"/>
      <c r="AY682" s="91"/>
      <c r="AZ682" s="127"/>
      <c r="BA682" s="143" t="s">
        <v>9893</v>
      </c>
      <c r="BB682" s="101" t="s">
        <v>216</v>
      </c>
      <c r="BC682" s="93"/>
      <c r="BD682" s="143"/>
      <c r="BE682" s="92"/>
      <c r="BF682" s="67"/>
      <c r="BG682" s="93" t="s">
        <v>7552</v>
      </c>
      <c r="BH682" s="93"/>
      <c r="BI682" s="91" t="s">
        <v>7220</v>
      </c>
      <c r="BJ682" s="91" t="s">
        <v>7221</v>
      </c>
      <c r="BK682" s="93" t="s">
        <v>6472</v>
      </c>
      <c r="BL682" s="91" t="s">
        <v>111</v>
      </c>
      <c r="BM682" s="92"/>
      <c r="BN682" s="64"/>
      <c r="BO682" s="92"/>
      <c r="BP682" s="92"/>
      <c r="BQ682" s="136"/>
      <c r="BR682" s="93"/>
      <c r="BS682" s="92"/>
      <c r="BT682" s="93"/>
      <c r="BU682" s="93"/>
      <c r="BV682" s="92"/>
      <c r="BW682" s="92"/>
      <c r="BX682" s="93"/>
      <c r="BY682" s="92"/>
      <c r="BZ682" s="92"/>
      <c r="CA682" s="93"/>
      <c r="CB682" s="92"/>
      <c r="CC682" s="92"/>
      <c r="CD682" s="92"/>
      <c r="CE682" s="64" t="s">
        <v>7552</v>
      </c>
      <c r="CF682" s="67"/>
      <c r="CG682" s="40" t="s">
        <v>7220</v>
      </c>
      <c r="CH682" s="92" t="s">
        <v>7221</v>
      </c>
      <c r="CI682" s="91" t="s">
        <v>6472</v>
      </c>
      <c r="CJ682" s="91" t="s">
        <v>111</v>
      </c>
      <c r="CK682" s="89"/>
      <c r="CL682" s="91" t="str">
        <f t="shared" ca="1" si="10"/>
        <v>126 Tahun 0 Bulan 23 Hari</v>
      </c>
      <c r="CM682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Blok Palasari RT/RW  Desa/Kelurahan Sukasari Kidul Kecamatan Argapura Majalengka Jawa Barat </v>
      </c>
    </row>
    <row r="683" spans="1:91" ht="24.95" hidden="1" customHeight="1">
      <c r="A683" s="89">
        <f>SUBTOTAL(3,N$8:Table2[[#This Row],[Nama lengkap]])</f>
        <v>472</v>
      </c>
      <c r="B683" s="89"/>
      <c r="C683" s="89"/>
      <c r="D683" s="89"/>
      <c r="E683" s="89"/>
      <c r="F683" s="89"/>
      <c r="G683" s="166"/>
      <c r="H683" s="32"/>
      <c r="I683" s="90"/>
      <c r="J683" s="139"/>
      <c r="K683" s="139"/>
      <c r="L683" s="139"/>
      <c r="M683" s="89">
        <v>15160099</v>
      </c>
      <c r="N683" s="91" t="s">
        <v>9125</v>
      </c>
      <c r="O683" s="140"/>
      <c r="P683" s="90"/>
      <c r="Q683" s="90" t="s">
        <v>9477</v>
      </c>
      <c r="R683" s="91" t="s">
        <v>9172</v>
      </c>
      <c r="S683" s="101"/>
      <c r="T683" s="142"/>
      <c r="U683" s="89"/>
      <c r="V683" s="89"/>
      <c r="W683" s="141"/>
      <c r="X683" s="92" t="s">
        <v>123</v>
      </c>
      <c r="Y683" s="92"/>
      <c r="Z683" s="92"/>
      <c r="AA683" s="92" t="s">
        <v>96</v>
      </c>
      <c r="AB683" s="92"/>
      <c r="AC683" s="92"/>
      <c r="AD683" s="92"/>
      <c r="AE683" s="93" t="s">
        <v>9377</v>
      </c>
      <c r="AF683" s="91"/>
      <c r="AG683" s="91" t="s">
        <v>9574</v>
      </c>
      <c r="AH683" s="91"/>
      <c r="AI683" s="92"/>
      <c r="AJ683" s="101"/>
      <c r="AK683" s="90" t="s">
        <v>9775</v>
      </c>
      <c r="AL683" s="93" t="s">
        <v>602</v>
      </c>
      <c r="AM683" s="91"/>
      <c r="AN683" s="93"/>
      <c r="AO683" s="92"/>
      <c r="AP683" s="93" t="s">
        <v>9263</v>
      </c>
      <c r="AQ683" s="90"/>
      <c r="AR683" s="89" t="s">
        <v>9242</v>
      </c>
      <c r="AS683" s="93" t="s">
        <v>7248</v>
      </c>
      <c r="AT683" s="92" t="s">
        <v>644</v>
      </c>
      <c r="AU683" s="92" t="s">
        <v>111</v>
      </c>
      <c r="AV683" s="92"/>
      <c r="AW683" s="92" t="s">
        <v>9671</v>
      </c>
      <c r="AX683" s="91"/>
      <c r="AY683" s="91"/>
      <c r="AZ683" s="127"/>
      <c r="BA683" s="143" t="s">
        <v>9868</v>
      </c>
      <c r="BB683" s="101" t="s">
        <v>216</v>
      </c>
      <c r="BC683" s="93"/>
      <c r="BD683" s="143"/>
      <c r="BE683" s="92"/>
      <c r="BF683" s="67"/>
      <c r="BG683" s="93" t="s">
        <v>9263</v>
      </c>
      <c r="BH683" s="93"/>
      <c r="BI683" s="91" t="s">
        <v>9242</v>
      </c>
      <c r="BJ683" s="91" t="s">
        <v>7248</v>
      </c>
      <c r="BK683" s="93" t="s">
        <v>644</v>
      </c>
      <c r="BL683" s="91" t="s">
        <v>111</v>
      </c>
      <c r="BM683" s="92"/>
      <c r="BN683" s="64"/>
      <c r="BO683" s="92"/>
      <c r="BP683" s="92"/>
      <c r="BQ683" s="136"/>
      <c r="BR683" s="93"/>
      <c r="BS683" s="92"/>
      <c r="BT683" s="93"/>
      <c r="BU683" s="93"/>
      <c r="BV683" s="92"/>
      <c r="BW683" s="92"/>
      <c r="BX683" s="93"/>
      <c r="BY683" s="92"/>
      <c r="BZ683" s="92"/>
      <c r="CA683" s="93"/>
      <c r="CB683" s="92"/>
      <c r="CC683" s="92"/>
      <c r="CD683" s="92"/>
      <c r="CE683" s="64" t="s">
        <v>9263</v>
      </c>
      <c r="CF683" s="67"/>
      <c r="CG683" s="40" t="s">
        <v>9242</v>
      </c>
      <c r="CH683" s="92" t="s">
        <v>7248</v>
      </c>
      <c r="CI683" s="91" t="s">
        <v>644</v>
      </c>
      <c r="CJ683" s="91" t="s">
        <v>111</v>
      </c>
      <c r="CK683" s="89"/>
      <c r="CL683" s="91" t="str">
        <f t="shared" ca="1" si="10"/>
        <v>126 Tahun 0 Bulan 23 Hari</v>
      </c>
      <c r="CM683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Jln. Baladewa Utara No.21 RT/RW  Desa/Kelurahan Pajajaran Kecamatan Cicendo Kota Bandung Jawa Barat </v>
      </c>
    </row>
    <row r="684" spans="1:91" ht="24.95" hidden="1" customHeight="1">
      <c r="A684" s="89">
        <f>SUBTOTAL(3,N$8:Table2[[#This Row],[Nama lengkap]])</f>
        <v>472</v>
      </c>
      <c r="B684" s="89"/>
      <c r="C684" s="89"/>
      <c r="D684" s="89"/>
      <c r="E684" s="89"/>
      <c r="F684" s="89"/>
      <c r="G684" s="166"/>
      <c r="H684" s="32"/>
      <c r="I684" s="90"/>
      <c r="J684" s="139"/>
      <c r="K684" s="139"/>
      <c r="L684" s="139"/>
      <c r="M684" s="89">
        <v>16170131</v>
      </c>
      <c r="N684" s="91" t="s">
        <v>9126</v>
      </c>
      <c r="O684" s="140"/>
      <c r="P684" s="90"/>
      <c r="Q684" s="90" t="s">
        <v>9478</v>
      </c>
      <c r="R684" s="91" t="s">
        <v>9172</v>
      </c>
      <c r="S684" s="101"/>
      <c r="T684" s="142"/>
      <c r="U684" s="89"/>
      <c r="V684" s="89"/>
      <c r="W684" s="141"/>
      <c r="X684" s="92" t="s">
        <v>984</v>
      </c>
      <c r="Y684" s="92"/>
      <c r="Z684" s="92"/>
      <c r="AA684" s="92" t="s">
        <v>1141</v>
      </c>
      <c r="AB684" s="92"/>
      <c r="AC684" s="92"/>
      <c r="AD684" s="92"/>
      <c r="AE684" s="93" t="s">
        <v>9378</v>
      </c>
      <c r="AF684" s="91"/>
      <c r="AG684" s="91" t="s">
        <v>9575</v>
      </c>
      <c r="AH684" s="91"/>
      <c r="AI684" s="92"/>
      <c r="AJ684" s="101"/>
      <c r="AK684" s="90" t="s">
        <v>9776</v>
      </c>
      <c r="AL684" s="93" t="s">
        <v>343</v>
      </c>
      <c r="AM684" s="91"/>
      <c r="AN684" s="93"/>
      <c r="AO684" s="92"/>
      <c r="AP684" s="93" t="s">
        <v>9264</v>
      </c>
      <c r="AQ684" s="90"/>
      <c r="AR684" s="89" t="s">
        <v>7183</v>
      </c>
      <c r="AS684" s="93" t="s">
        <v>7125</v>
      </c>
      <c r="AT684" s="92" t="s">
        <v>90</v>
      </c>
      <c r="AU684" s="92" t="s">
        <v>111</v>
      </c>
      <c r="AV684" s="92"/>
      <c r="AW684" s="92" t="s">
        <v>9672</v>
      </c>
      <c r="AX684" s="91"/>
      <c r="AY684" s="91"/>
      <c r="AZ684" s="127"/>
      <c r="BA684" s="143" t="s">
        <v>9869</v>
      </c>
      <c r="BB684" s="101" t="s">
        <v>216</v>
      </c>
      <c r="BC684" s="93"/>
      <c r="BD684" s="143"/>
      <c r="BE684" s="92"/>
      <c r="BF684" s="67"/>
      <c r="BG684" s="93" t="s">
        <v>9264</v>
      </c>
      <c r="BH684" s="93"/>
      <c r="BI684" s="91" t="s">
        <v>7183</v>
      </c>
      <c r="BJ684" s="91" t="s">
        <v>7125</v>
      </c>
      <c r="BK684" s="93" t="s">
        <v>90</v>
      </c>
      <c r="BL684" s="91" t="s">
        <v>111</v>
      </c>
      <c r="BM684" s="92"/>
      <c r="BN684" s="64"/>
      <c r="BO684" s="92"/>
      <c r="BP684" s="92"/>
      <c r="BQ684" s="136"/>
      <c r="BR684" s="93"/>
      <c r="BS684" s="92"/>
      <c r="BT684" s="93"/>
      <c r="BU684" s="93"/>
      <c r="BV684" s="92"/>
      <c r="BW684" s="92"/>
      <c r="BX684" s="93"/>
      <c r="BY684" s="92"/>
      <c r="BZ684" s="92"/>
      <c r="CA684" s="93"/>
      <c r="CB684" s="92"/>
      <c r="CC684" s="92"/>
      <c r="CD684" s="92"/>
      <c r="CE684" s="64" t="s">
        <v>9264</v>
      </c>
      <c r="CF684" s="67"/>
      <c r="CG684" s="40" t="s">
        <v>7183</v>
      </c>
      <c r="CH684" s="92" t="s">
        <v>7125</v>
      </c>
      <c r="CI684" s="91" t="s">
        <v>90</v>
      </c>
      <c r="CJ684" s="91" t="s">
        <v>111</v>
      </c>
      <c r="CK684" s="89"/>
      <c r="CL684" s="91" t="str">
        <f t="shared" ca="1" si="10"/>
        <v>126 Tahun 0 Bulan 23 Hari</v>
      </c>
      <c r="CM684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Cibogo Atas RT/RW  Desa/Kelurahan Sukawarna Kecamatan Sukajadi Bandung Jawa Barat </v>
      </c>
    </row>
    <row r="685" spans="1:91" ht="24.95" hidden="1" customHeight="1">
      <c r="A685" s="89">
        <f>SUBTOTAL(3,N$8:Table2[[#This Row],[Nama lengkap]])</f>
        <v>472</v>
      </c>
      <c r="B685" s="89"/>
      <c r="C685" s="89"/>
      <c r="D685" s="89"/>
      <c r="E685" s="89"/>
      <c r="F685" s="89"/>
      <c r="G685" s="166"/>
      <c r="H685" s="32"/>
      <c r="I685" s="90"/>
      <c r="J685" s="139"/>
      <c r="K685" s="139"/>
      <c r="L685" s="139"/>
      <c r="M685" s="89">
        <v>15160110</v>
      </c>
      <c r="N685" s="91" t="s">
        <v>9099</v>
      </c>
      <c r="O685" s="140"/>
      <c r="P685" s="90"/>
      <c r="Q685" s="90" t="s">
        <v>9451</v>
      </c>
      <c r="R685" s="91" t="s">
        <v>9172</v>
      </c>
      <c r="S685" s="101"/>
      <c r="T685" s="142"/>
      <c r="U685" s="89"/>
      <c r="V685" s="89"/>
      <c r="W685" s="141"/>
      <c r="X685" s="92" t="s">
        <v>123</v>
      </c>
      <c r="Y685" s="92"/>
      <c r="Z685" s="92"/>
      <c r="AA685" s="92" t="s">
        <v>753</v>
      </c>
      <c r="AB685" s="92"/>
      <c r="AC685" s="92"/>
      <c r="AD685" s="92"/>
      <c r="AE685" s="93" t="s">
        <v>9354</v>
      </c>
      <c r="AF685" s="91"/>
      <c r="AG685" s="91" t="s">
        <v>9552</v>
      </c>
      <c r="AH685" s="91"/>
      <c r="AI685" s="92"/>
      <c r="AJ685" s="101"/>
      <c r="AK685" s="90" t="s">
        <v>9752</v>
      </c>
      <c r="AL685" s="93" t="s">
        <v>602</v>
      </c>
      <c r="AM685" s="91"/>
      <c r="AN685" s="93"/>
      <c r="AO685" s="92"/>
      <c r="AP685" s="93" t="s">
        <v>9228</v>
      </c>
      <c r="AQ685" s="90"/>
      <c r="AR685" s="89" t="s">
        <v>9229</v>
      </c>
      <c r="AS685" s="93" t="s">
        <v>4835</v>
      </c>
      <c r="AT685" s="92" t="s">
        <v>90</v>
      </c>
      <c r="AU685" s="92" t="s">
        <v>111</v>
      </c>
      <c r="AV685" s="92"/>
      <c r="AW685" s="92" t="s">
        <v>9649</v>
      </c>
      <c r="AX685" s="91"/>
      <c r="AY685" s="91"/>
      <c r="AZ685" s="127"/>
      <c r="BA685" s="143" t="s">
        <v>9845</v>
      </c>
      <c r="BB685" s="101" t="s">
        <v>216</v>
      </c>
      <c r="BC685" s="93"/>
      <c r="BD685" s="143"/>
      <c r="BE685" s="92"/>
      <c r="BF685" s="67"/>
      <c r="BG685" s="93" t="s">
        <v>9228</v>
      </c>
      <c r="BH685" s="93"/>
      <c r="BI685" s="91" t="s">
        <v>9229</v>
      </c>
      <c r="BJ685" s="91" t="s">
        <v>4835</v>
      </c>
      <c r="BK685" s="93" t="s">
        <v>90</v>
      </c>
      <c r="BL685" s="91" t="s">
        <v>111</v>
      </c>
      <c r="BM685" s="92"/>
      <c r="BN685" s="64"/>
      <c r="BO685" s="92"/>
      <c r="BP685" s="92"/>
      <c r="BQ685" s="136"/>
      <c r="BR685" s="93"/>
      <c r="BS685" s="92"/>
      <c r="BT685" s="93"/>
      <c r="BU685" s="93"/>
      <c r="BV685" s="92"/>
      <c r="BW685" s="92"/>
      <c r="BX685" s="93"/>
      <c r="BY685" s="92"/>
      <c r="BZ685" s="92"/>
      <c r="CA685" s="93"/>
      <c r="CB685" s="92"/>
      <c r="CC685" s="92"/>
      <c r="CD685" s="92"/>
      <c r="CE685" s="64" t="s">
        <v>9228</v>
      </c>
      <c r="CF685" s="67"/>
      <c r="CG685" s="40" t="s">
        <v>9229</v>
      </c>
      <c r="CH685" s="92" t="s">
        <v>4835</v>
      </c>
      <c r="CI685" s="91" t="s">
        <v>90</v>
      </c>
      <c r="CJ685" s="91" t="s">
        <v>111</v>
      </c>
      <c r="CK685" s="89"/>
      <c r="CL685" s="91" t="str">
        <f t="shared" ca="1" si="10"/>
        <v>126 Tahun 0 Bulan 23 Hari</v>
      </c>
      <c r="CM685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Kamp. Giri Sedayu Blok A 107 RT/RW  Desa/Kelurahan Lebak Wangi Kecamatan Arjasari Bandung Jawa Barat </v>
      </c>
    </row>
    <row r="686" spans="1:91" ht="24.95" hidden="1" customHeight="1">
      <c r="A686" s="89">
        <f>SUBTOTAL(3,N$8:Table2[[#This Row],[Nama lengkap]])</f>
        <v>472</v>
      </c>
      <c r="B686" s="89"/>
      <c r="C686" s="89"/>
      <c r="D686" s="89"/>
      <c r="E686" s="89"/>
      <c r="F686" s="89"/>
      <c r="G686" s="166"/>
      <c r="H686" s="32"/>
      <c r="I686" s="90"/>
      <c r="J686" s="139"/>
      <c r="K686" s="139"/>
      <c r="L686" s="139"/>
      <c r="M686" s="89">
        <v>15160101</v>
      </c>
      <c r="N686" s="91" t="s">
        <v>9100</v>
      </c>
      <c r="O686" s="140"/>
      <c r="P686" s="90"/>
      <c r="Q686" s="90" t="s">
        <v>9452</v>
      </c>
      <c r="R686" s="91" t="s">
        <v>9170</v>
      </c>
      <c r="S686" s="101"/>
      <c r="T686" s="142"/>
      <c r="U686" s="89"/>
      <c r="V686" s="89"/>
      <c r="W686" s="141"/>
      <c r="X686" s="92" t="s">
        <v>984</v>
      </c>
      <c r="Y686" s="92"/>
      <c r="Z686" s="92"/>
      <c r="AA686" s="92" t="s">
        <v>9317</v>
      </c>
      <c r="AB686" s="92"/>
      <c r="AC686" s="92"/>
      <c r="AD686" s="92"/>
      <c r="AE686" s="93" t="s">
        <v>9355</v>
      </c>
      <c r="AF686" s="91"/>
      <c r="AG686" s="91" t="s">
        <v>8385</v>
      </c>
      <c r="AH686" s="91"/>
      <c r="AI686" s="92"/>
      <c r="AJ686" s="101"/>
      <c r="AK686" s="90" t="s">
        <v>1759</v>
      </c>
      <c r="AL686" s="93" t="s">
        <v>114</v>
      </c>
      <c r="AM686" s="91"/>
      <c r="AN686" s="93"/>
      <c r="AO686" s="92"/>
      <c r="AP686" s="93" t="s">
        <v>590</v>
      </c>
      <c r="AQ686" s="90"/>
      <c r="AR686" s="89" t="s">
        <v>7110</v>
      </c>
      <c r="AS686" s="93" t="s">
        <v>7111</v>
      </c>
      <c r="AT686" s="92" t="s">
        <v>122</v>
      </c>
      <c r="AU686" s="92" t="s">
        <v>111</v>
      </c>
      <c r="AV686" s="92"/>
      <c r="AW686" s="92" t="s">
        <v>7900</v>
      </c>
      <c r="AX686" s="91"/>
      <c r="AY686" s="91"/>
      <c r="AZ686" s="127"/>
      <c r="BA686" s="143" t="s">
        <v>1763</v>
      </c>
      <c r="BB686" s="101" t="s">
        <v>216</v>
      </c>
      <c r="BC686" s="93"/>
      <c r="BD686" s="143"/>
      <c r="BE686" s="92"/>
      <c r="BF686" s="67"/>
      <c r="BG686" s="93" t="s">
        <v>590</v>
      </c>
      <c r="BH686" s="93"/>
      <c r="BI686" s="91" t="s">
        <v>7110</v>
      </c>
      <c r="BJ686" s="91" t="s">
        <v>7111</v>
      </c>
      <c r="BK686" s="93" t="s">
        <v>122</v>
      </c>
      <c r="BL686" s="91" t="s">
        <v>111</v>
      </c>
      <c r="BM686" s="92"/>
      <c r="BN686" s="64"/>
      <c r="BO686" s="92"/>
      <c r="BP686" s="92"/>
      <c r="BQ686" s="136"/>
      <c r="BR686" s="93"/>
      <c r="BS686" s="92"/>
      <c r="BT686" s="93"/>
      <c r="BU686" s="93"/>
      <c r="BV686" s="92"/>
      <c r="BW686" s="92"/>
      <c r="BX686" s="93"/>
      <c r="BY686" s="92"/>
      <c r="BZ686" s="92"/>
      <c r="CA686" s="93"/>
      <c r="CB686" s="92"/>
      <c r="CC686" s="92"/>
      <c r="CD686" s="92"/>
      <c r="CE686" s="64" t="s">
        <v>590</v>
      </c>
      <c r="CF686" s="67"/>
      <c r="CG686" s="40" t="s">
        <v>7110</v>
      </c>
      <c r="CH686" s="92" t="s">
        <v>7111</v>
      </c>
      <c r="CI686" s="91" t="s">
        <v>122</v>
      </c>
      <c r="CJ686" s="91" t="s">
        <v>111</v>
      </c>
      <c r="CK686" s="89"/>
      <c r="CL686" s="91" t="str">
        <f t="shared" ca="1" si="10"/>
        <v>126 Tahun 0 Bulan 23 Hari</v>
      </c>
      <c r="CM686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Dusun Pangkalan RT/RW  Desa/Kelurahan Kirisik Kecamatan Jatinunggal Sumedang Jawa Barat </v>
      </c>
    </row>
    <row r="687" spans="1:91" ht="24.95" hidden="1" customHeight="1">
      <c r="A687" s="89">
        <f>SUBTOTAL(3,N$8:Table2[[#This Row],[Nama lengkap]])</f>
        <v>472</v>
      </c>
      <c r="B687" s="89"/>
      <c r="C687" s="89"/>
      <c r="D687" s="89"/>
      <c r="E687" s="89"/>
      <c r="F687" s="89"/>
      <c r="G687" s="166"/>
      <c r="H687" s="32"/>
      <c r="I687" s="90"/>
      <c r="J687" s="139"/>
      <c r="K687" s="139"/>
      <c r="L687" s="139"/>
      <c r="M687" s="89">
        <v>17180159</v>
      </c>
      <c r="N687" s="91" t="s">
        <v>5796</v>
      </c>
      <c r="O687" s="140"/>
      <c r="P687" s="90"/>
      <c r="Q687" s="90" t="s">
        <v>5015</v>
      </c>
      <c r="R687" s="91" t="s">
        <v>9172</v>
      </c>
      <c r="S687" s="101"/>
      <c r="T687" s="142"/>
      <c r="U687" s="89"/>
      <c r="V687" s="89"/>
      <c r="W687" s="141"/>
      <c r="X687" s="92" t="s">
        <v>303</v>
      </c>
      <c r="Y687" s="92"/>
      <c r="Z687" s="92"/>
      <c r="AA687" s="92" t="s">
        <v>96</v>
      </c>
      <c r="AB687" s="92"/>
      <c r="AC687" s="92"/>
      <c r="AD687" s="92"/>
      <c r="AE687" s="93" t="s">
        <v>5019</v>
      </c>
      <c r="AF687" s="91"/>
      <c r="AG687" s="91" t="s">
        <v>9618</v>
      </c>
      <c r="AH687" s="91"/>
      <c r="AI687" s="92"/>
      <c r="AJ687" s="101"/>
      <c r="AK687" s="90" t="s">
        <v>9815</v>
      </c>
      <c r="AL687" s="93" t="s">
        <v>602</v>
      </c>
      <c r="AM687" s="91"/>
      <c r="AN687" s="93"/>
      <c r="AO687" s="92"/>
      <c r="AP687" s="93" t="s">
        <v>617</v>
      </c>
      <c r="AQ687" s="90"/>
      <c r="AR687" s="89" t="s">
        <v>617</v>
      </c>
      <c r="AS687" s="93" t="s">
        <v>507</v>
      </c>
      <c r="AT687" s="92" t="s">
        <v>90</v>
      </c>
      <c r="AU687" s="92" t="s">
        <v>111</v>
      </c>
      <c r="AV687" s="92"/>
      <c r="AW687" s="92" t="s">
        <v>9712</v>
      </c>
      <c r="AX687" s="91"/>
      <c r="AY687" s="91"/>
      <c r="AZ687" s="127"/>
      <c r="BA687" s="143" t="s">
        <v>9911</v>
      </c>
      <c r="BB687" s="101" t="s">
        <v>216</v>
      </c>
      <c r="BC687" s="93"/>
      <c r="BD687" s="143"/>
      <c r="BE687" s="92"/>
      <c r="BF687" s="67"/>
      <c r="BG687" s="93" t="s">
        <v>617</v>
      </c>
      <c r="BH687" s="93"/>
      <c r="BI687" s="91" t="s">
        <v>617</v>
      </c>
      <c r="BJ687" s="91" t="s">
        <v>507</v>
      </c>
      <c r="BK687" s="93" t="s">
        <v>90</v>
      </c>
      <c r="BL687" s="91" t="s">
        <v>111</v>
      </c>
      <c r="BM687" s="92"/>
      <c r="BN687" s="64"/>
      <c r="BO687" s="92"/>
      <c r="BP687" s="92"/>
      <c r="BQ687" s="136"/>
      <c r="BR687" s="93"/>
      <c r="BS687" s="92"/>
      <c r="BT687" s="93"/>
      <c r="BU687" s="93"/>
      <c r="BV687" s="92"/>
      <c r="BW687" s="92"/>
      <c r="BX687" s="93"/>
      <c r="BY687" s="92"/>
      <c r="BZ687" s="92"/>
      <c r="CA687" s="93"/>
      <c r="CB687" s="92"/>
      <c r="CC687" s="92"/>
      <c r="CD687" s="92"/>
      <c r="CE687" s="64" t="s">
        <v>617</v>
      </c>
      <c r="CF687" s="67"/>
      <c r="CG687" s="40" t="s">
        <v>617</v>
      </c>
      <c r="CH687" s="92" t="s">
        <v>507</v>
      </c>
      <c r="CI687" s="91" t="s">
        <v>90</v>
      </c>
      <c r="CJ687" s="91" t="s">
        <v>111</v>
      </c>
      <c r="CK687" s="89"/>
      <c r="CL687" s="91" t="str">
        <f t="shared" ca="1" si="10"/>
        <v>126 Tahun 0 Bulan 23 Hari</v>
      </c>
      <c r="CM687" s="89" t="str">
        <f>Table2[[#This Row],[Alamat Santri]]&amp;" RT/RW "&amp;Table2[[#This Row],[RT/RW Santri]]&amp;" Desa/Kelurahan "&amp;Table2[[#This Row],[Desa/Kelurahan Santri]]&amp;" Kecamatan "&amp;Table2[[#This Row],[Kecamatan Santri]]&amp;" "&amp;Table2[[#This Row],[Kabupaten/Kota Santri]]&amp;" "&amp;Table2[[#This Row],[Provinsi Santri]]&amp;" "&amp;Table2[[#This Row],[Kode POS Santri]]</f>
        <v xml:space="preserve">Neglasari RT/RW  Desa/Kelurahan Neglasari Kecamatan Banjaran Bandung Jawa Barat </v>
      </c>
    </row>
    <row r="688" spans="1:91" ht="24.95" customHeight="1">
      <c r="R688" s="12"/>
      <c r="AF688" s="12"/>
      <c r="AG688" s="12"/>
      <c r="AH688" s="12"/>
      <c r="AJ688" s="12"/>
      <c r="AM688" s="12"/>
      <c r="AX688" s="12"/>
      <c r="AY688" s="12"/>
      <c r="BA688" s="12"/>
      <c r="BD688" s="12"/>
      <c r="BI688" s="12"/>
      <c r="CG688" s="12"/>
      <c r="CI688" s="12"/>
      <c r="CJ688" s="12"/>
      <c r="CK688" s="12"/>
      <c r="CL688" s="12"/>
    </row>
    <row r="689" spans="18:90" ht="24.95" customHeight="1">
      <c r="R689" s="12"/>
      <c r="AF689" s="12"/>
      <c r="AG689" s="12"/>
      <c r="AH689" s="12"/>
      <c r="AJ689" s="12"/>
      <c r="AM689" s="12"/>
      <c r="AX689" s="12"/>
      <c r="AY689" s="12"/>
      <c r="BA689" s="12"/>
      <c r="BD689" s="12"/>
      <c r="BI689" s="12"/>
      <c r="CG689" s="12"/>
      <c r="CI689" s="12"/>
      <c r="CJ689" s="12"/>
      <c r="CK689" s="12"/>
      <c r="CL689" s="12"/>
    </row>
    <row r="690" spans="18:90" ht="24.95" customHeight="1">
      <c r="R690" s="12"/>
      <c r="AF690" s="12"/>
      <c r="AG690" s="12"/>
      <c r="AH690" s="12"/>
      <c r="AJ690" s="12"/>
      <c r="AM690" s="12"/>
      <c r="AX690" s="12"/>
      <c r="AY690" s="12"/>
      <c r="BA690" s="12"/>
      <c r="BD690" s="12"/>
      <c r="BI690" s="12"/>
      <c r="CG690" s="12"/>
      <c r="CI690" s="12"/>
      <c r="CJ690" s="12"/>
      <c r="CK690" s="12"/>
      <c r="CL690" s="12"/>
    </row>
    <row r="691" spans="18:90" ht="24.95" customHeight="1">
      <c r="R691" s="12"/>
      <c r="AF691" s="12"/>
      <c r="AG691" s="12"/>
      <c r="AH691" s="12"/>
      <c r="AJ691" s="12"/>
      <c r="AM691" s="12"/>
      <c r="AX691" s="12"/>
      <c r="AY691" s="12"/>
      <c r="BA691" s="12"/>
      <c r="BD691" s="12"/>
      <c r="BI691" s="12"/>
      <c r="CG691" s="12"/>
      <c r="CI691" s="12"/>
      <c r="CJ691" s="12"/>
      <c r="CK691" s="12"/>
      <c r="CL691" s="12"/>
    </row>
    <row r="692" spans="18:90" ht="24.95" customHeight="1">
      <c r="R692" s="12"/>
      <c r="AF692" s="12"/>
      <c r="AG692" s="12"/>
      <c r="AH692" s="12"/>
      <c r="AJ692" s="12"/>
      <c r="AM692" s="12"/>
      <c r="AX692" s="12"/>
      <c r="AY692" s="12"/>
      <c r="BA692" s="12"/>
      <c r="BD692" s="12"/>
      <c r="BI692" s="12"/>
      <c r="CG692" s="12"/>
      <c r="CI692" s="12"/>
      <c r="CJ692" s="12"/>
      <c r="CK692" s="12"/>
      <c r="CL692" s="12"/>
    </row>
    <row r="693" spans="18:90" ht="24.95" customHeight="1">
      <c r="R693" s="12"/>
      <c r="AF693" s="12"/>
      <c r="AG693" s="12"/>
      <c r="AH693" s="12"/>
      <c r="AJ693" s="12"/>
      <c r="AM693" s="12"/>
      <c r="AX693" s="12"/>
      <c r="AY693" s="12"/>
      <c r="BA693" s="12"/>
      <c r="BD693" s="12"/>
      <c r="BI693" s="12"/>
      <c r="CG693" s="12"/>
      <c r="CI693" s="12"/>
      <c r="CJ693" s="12"/>
      <c r="CK693" s="12"/>
      <c r="CL693" s="12"/>
    </row>
    <row r="694" spans="18:90" ht="24.95" customHeight="1">
      <c r="R694" s="12"/>
      <c r="AF694" s="12"/>
      <c r="AG694" s="12"/>
      <c r="AH694" s="12"/>
      <c r="AJ694" s="12"/>
      <c r="AM694" s="12"/>
      <c r="AX694" s="12"/>
      <c r="AY694" s="12"/>
      <c r="BA694" s="12"/>
      <c r="BD694" s="12"/>
      <c r="BI694" s="12"/>
      <c r="CG694" s="12"/>
      <c r="CI694" s="12"/>
      <c r="CJ694" s="12"/>
      <c r="CK694" s="12"/>
      <c r="CL694" s="12"/>
    </row>
    <row r="695" spans="18:90" ht="24.95" customHeight="1">
      <c r="R695" s="12"/>
      <c r="AF695" s="12"/>
      <c r="AG695" s="12"/>
      <c r="AH695" s="12"/>
      <c r="AJ695" s="12"/>
      <c r="AM695" s="12"/>
      <c r="AX695" s="12"/>
      <c r="AY695" s="12"/>
      <c r="BA695" s="12"/>
      <c r="BD695" s="12"/>
      <c r="BI695" s="12"/>
      <c r="CG695" s="12"/>
      <c r="CI695" s="12"/>
      <c r="CJ695" s="12"/>
      <c r="CK695" s="12"/>
      <c r="CL695" s="12"/>
    </row>
    <row r="696" spans="18:90" ht="24.95" customHeight="1">
      <c r="R696" s="12"/>
      <c r="AF696" s="12"/>
      <c r="AG696" s="12"/>
      <c r="AH696" s="12"/>
      <c r="AJ696" s="12"/>
      <c r="AM696" s="12"/>
      <c r="AX696" s="12"/>
      <c r="AY696" s="12"/>
      <c r="BA696" s="12"/>
      <c r="BD696" s="12"/>
      <c r="BI696" s="12"/>
      <c r="CG696" s="12"/>
      <c r="CI696" s="12"/>
      <c r="CJ696" s="12"/>
      <c r="CK696" s="12"/>
      <c r="CL696" s="12"/>
    </row>
    <row r="697" spans="18:90" ht="24.95" customHeight="1">
      <c r="R697" s="12"/>
      <c r="AF697" s="12"/>
      <c r="AG697" s="12"/>
      <c r="AH697" s="12"/>
      <c r="AJ697" s="12"/>
      <c r="AM697" s="12"/>
      <c r="AX697" s="12"/>
      <c r="AY697" s="12"/>
      <c r="BA697" s="12"/>
      <c r="BD697" s="12"/>
      <c r="BI697" s="12"/>
      <c r="CG697" s="12"/>
      <c r="CI697" s="12"/>
      <c r="CJ697" s="12"/>
      <c r="CK697" s="12"/>
      <c r="CL697" s="12"/>
    </row>
    <row r="698" spans="18:90" ht="24.95" customHeight="1">
      <c r="R698" s="12"/>
      <c r="AF698" s="12"/>
      <c r="AG698" s="12"/>
      <c r="AH698" s="12"/>
      <c r="AJ698" s="12"/>
      <c r="AM698" s="12"/>
      <c r="AX698" s="12"/>
      <c r="AY698" s="12"/>
      <c r="BA698" s="12"/>
      <c r="BD698" s="12"/>
      <c r="BI698" s="12"/>
      <c r="CG698" s="12"/>
      <c r="CI698" s="12"/>
      <c r="CJ698" s="12"/>
      <c r="CK698" s="12"/>
      <c r="CL698" s="12"/>
    </row>
    <row r="699" spans="18:90" ht="24.95" customHeight="1">
      <c r="R699" s="12"/>
      <c r="AF699" s="12"/>
      <c r="AG699" s="12"/>
      <c r="AH699" s="12"/>
      <c r="AJ699" s="12"/>
      <c r="AM699" s="12"/>
      <c r="AX699" s="12"/>
      <c r="AY699" s="12"/>
      <c r="BA699" s="12"/>
      <c r="BD699" s="12"/>
      <c r="BI699" s="12"/>
      <c r="CG699" s="12"/>
      <c r="CI699" s="12"/>
      <c r="CJ699" s="12"/>
      <c r="CK699" s="12"/>
      <c r="CL699" s="12"/>
    </row>
    <row r="700" spans="18:90" ht="24.95" customHeight="1">
      <c r="R700" s="12"/>
      <c r="AF700" s="12"/>
      <c r="AG700" s="12"/>
      <c r="AH700" s="12"/>
      <c r="AJ700" s="12"/>
      <c r="AM700" s="12"/>
      <c r="AX700" s="12"/>
      <c r="AY700" s="12"/>
      <c r="BA700" s="12"/>
      <c r="BD700" s="12"/>
      <c r="BI700" s="12"/>
      <c r="CG700" s="12"/>
      <c r="CI700" s="12"/>
      <c r="CJ700" s="12"/>
      <c r="CK700" s="12"/>
      <c r="CL700" s="12"/>
    </row>
    <row r="701" spans="18:90" ht="24.95" customHeight="1">
      <c r="R701" s="12"/>
      <c r="AF701" s="12"/>
      <c r="AG701" s="12"/>
      <c r="AH701" s="12"/>
      <c r="AJ701" s="12"/>
      <c r="AM701" s="12"/>
      <c r="AX701" s="12"/>
      <c r="AY701" s="12"/>
      <c r="BA701" s="12"/>
      <c r="BD701" s="12"/>
      <c r="BI701" s="12"/>
      <c r="CG701" s="12"/>
      <c r="CI701" s="12"/>
      <c r="CJ701" s="12"/>
      <c r="CK701" s="12"/>
      <c r="CL701" s="12"/>
    </row>
    <row r="702" spans="18:90" ht="24.95" customHeight="1">
      <c r="R702" s="12"/>
      <c r="AF702" s="12"/>
      <c r="AG702" s="12"/>
      <c r="AH702" s="12"/>
      <c r="AJ702" s="12"/>
      <c r="AM702" s="12"/>
      <c r="AX702" s="12"/>
      <c r="AY702" s="12"/>
      <c r="BA702" s="12"/>
      <c r="BD702" s="12"/>
      <c r="BI702" s="12"/>
      <c r="CG702" s="12"/>
      <c r="CI702" s="12"/>
      <c r="CJ702" s="12"/>
      <c r="CK702" s="12"/>
      <c r="CL702" s="12"/>
    </row>
    <row r="703" spans="18:90" ht="24.95" customHeight="1">
      <c r="R703" s="12"/>
      <c r="AF703" s="12"/>
      <c r="AG703" s="12"/>
      <c r="AH703" s="12"/>
      <c r="AJ703" s="12"/>
      <c r="AM703" s="12"/>
      <c r="AX703" s="12"/>
      <c r="AY703" s="12"/>
      <c r="BA703" s="12"/>
      <c r="BD703" s="12"/>
      <c r="BI703" s="12"/>
      <c r="CG703" s="12"/>
      <c r="CI703" s="12"/>
      <c r="CJ703" s="12"/>
      <c r="CK703" s="12"/>
      <c r="CL703" s="12"/>
    </row>
    <row r="704" spans="18:90" ht="24.95" customHeight="1">
      <c r="R704" s="12"/>
      <c r="AF704" s="12"/>
      <c r="AG704" s="12"/>
      <c r="AH704" s="12"/>
      <c r="AJ704" s="12"/>
      <c r="AM704" s="12"/>
      <c r="AX704" s="12"/>
      <c r="AY704" s="12"/>
      <c r="BA704" s="12"/>
      <c r="BD704" s="12"/>
      <c r="BI704" s="12"/>
      <c r="CG704" s="12"/>
      <c r="CI704" s="12"/>
      <c r="CJ704" s="12"/>
      <c r="CK704" s="12"/>
      <c r="CL704" s="12"/>
    </row>
    <row r="705" spans="18:90" ht="24.95" customHeight="1">
      <c r="R705" s="12"/>
      <c r="AF705" s="12"/>
      <c r="AG705" s="12"/>
      <c r="AH705" s="12"/>
      <c r="AJ705" s="12"/>
      <c r="AM705" s="12"/>
      <c r="AX705" s="12"/>
      <c r="AY705" s="12"/>
      <c r="BA705" s="12"/>
      <c r="BD705" s="12"/>
      <c r="BI705" s="12"/>
      <c r="CG705" s="12"/>
      <c r="CI705" s="12"/>
      <c r="CJ705" s="12"/>
      <c r="CK705" s="12"/>
      <c r="CL705" s="12"/>
    </row>
    <row r="706" spans="18:90" ht="24.95" customHeight="1">
      <c r="R706" s="12"/>
      <c r="AF706" s="12"/>
      <c r="AG706" s="12"/>
      <c r="AH706" s="12"/>
      <c r="AJ706" s="12"/>
      <c r="AM706" s="12"/>
      <c r="AX706" s="12"/>
      <c r="AY706" s="12"/>
      <c r="BA706" s="12"/>
      <c r="BD706" s="12"/>
      <c r="BI706" s="12"/>
      <c r="CG706" s="12"/>
      <c r="CI706" s="12"/>
      <c r="CJ706" s="12"/>
      <c r="CK706" s="12"/>
      <c r="CL706" s="12"/>
    </row>
    <row r="707" spans="18:90" ht="24.95" customHeight="1">
      <c r="R707" s="12"/>
      <c r="AF707" s="12"/>
      <c r="AG707" s="12"/>
      <c r="AH707" s="12"/>
      <c r="AJ707" s="12"/>
      <c r="AM707" s="12"/>
      <c r="AX707" s="12"/>
      <c r="AY707" s="12"/>
      <c r="BA707" s="12"/>
      <c r="BD707" s="12"/>
      <c r="BI707" s="12"/>
      <c r="CG707" s="12"/>
      <c r="CI707" s="12"/>
      <c r="CJ707" s="12"/>
      <c r="CK707" s="12"/>
      <c r="CL707" s="12"/>
    </row>
    <row r="708" spans="18:90" ht="24.95" customHeight="1">
      <c r="R708" s="12"/>
      <c r="AF708" s="12"/>
      <c r="AG708" s="12"/>
      <c r="AH708" s="12"/>
      <c r="AJ708" s="12"/>
      <c r="AM708" s="12"/>
      <c r="AX708" s="12"/>
      <c r="AY708" s="12"/>
      <c r="BA708" s="12"/>
      <c r="BD708" s="12"/>
      <c r="BI708" s="12"/>
      <c r="CG708" s="12"/>
      <c r="CI708" s="12"/>
      <c r="CJ708" s="12"/>
      <c r="CK708" s="12"/>
      <c r="CL708" s="12"/>
    </row>
    <row r="709" spans="18:90" ht="24.95" customHeight="1">
      <c r="R709" s="12"/>
      <c r="AF709" s="12"/>
      <c r="AG709" s="12"/>
      <c r="AH709" s="12"/>
      <c r="AJ709" s="12"/>
      <c r="AM709" s="12"/>
      <c r="AX709" s="12"/>
      <c r="AY709" s="12"/>
      <c r="BA709" s="12"/>
      <c r="BD709" s="12"/>
      <c r="BI709" s="12"/>
      <c r="CG709" s="12"/>
      <c r="CI709" s="12"/>
      <c r="CJ709" s="12"/>
      <c r="CK709" s="12"/>
      <c r="CL709" s="12"/>
    </row>
    <row r="710" spans="18:90" ht="24.95" customHeight="1">
      <c r="R710" s="12"/>
      <c r="AF710" s="12"/>
      <c r="AG710" s="12"/>
      <c r="AH710" s="12"/>
      <c r="AJ710" s="12"/>
      <c r="AM710" s="12"/>
      <c r="AX710" s="12"/>
      <c r="AY710" s="12"/>
      <c r="BA710" s="12"/>
      <c r="BD710" s="12"/>
      <c r="BI710" s="12"/>
      <c r="CG710" s="12"/>
      <c r="CI710" s="12"/>
      <c r="CJ710" s="12"/>
      <c r="CK710" s="12"/>
      <c r="CL710" s="12"/>
    </row>
    <row r="711" spans="18:90" ht="24.95" customHeight="1">
      <c r="R711" s="12"/>
      <c r="AF711" s="12"/>
      <c r="AG711" s="12"/>
      <c r="AH711" s="12"/>
      <c r="AJ711" s="12"/>
      <c r="AM711" s="12"/>
      <c r="AX711" s="12"/>
      <c r="AY711" s="12"/>
      <c r="BA711" s="12"/>
      <c r="BD711" s="12"/>
      <c r="BI711" s="12"/>
      <c r="CG711" s="12"/>
      <c r="CI711" s="12"/>
      <c r="CJ711" s="12"/>
      <c r="CK711" s="12"/>
      <c r="CL711" s="12"/>
    </row>
    <row r="712" spans="18:90" ht="24.95" customHeight="1">
      <c r="R712" s="12"/>
      <c r="AF712" s="12"/>
      <c r="AG712" s="12"/>
      <c r="AH712" s="12"/>
      <c r="AJ712" s="12"/>
      <c r="AM712" s="12"/>
      <c r="AX712" s="12"/>
      <c r="AY712" s="12"/>
      <c r="BA712" s="12"/>
      <c r="BD712" s="12"/>
      <c r="BI712" s="12"/>
      <c r="CG712" s="12"/>
      <c r="CI712" s="12"/>
      <c r="CJ712" s="12"/>
      <c r="CK712" s="12"/>
      <c r="CL712" s="12"/>
    </row>
    <row r="713" spans="18:90" ht="24.95" customHeight="1">
      <c r="R713" s="12"/>
      <c r="AF713" s="12"/>
      <c r="AG713" s="12"/>
      <c r="AH713" s="12"/>
      <c r="AJ713" s="12"/>
      <c r="AM713" s="12"/>
      <c r="AX713" s="12"/>
      <c r="AY713" s="12"/>
      <c r="BA713" s="12"/>
      <c r="BD713" s="12"/>
      <c r="BI713" s="12"/>
      <c r="CG713" s="12"/>
      <c r="CI713" s="12"/>
      <c r="CJ713" s="12"/>
      <c r="CK713" s="12"/>
      <c r="CL713" s="12"/>
    </row>
    <row r="714" spans="18:90" ht="24.95" customHeight="1">
      <c r="R714" s="12"/>
      <c r="AF714" s="12"/>
      <c r="AG714" s="12"/>
      <c r="AH714" s="12"/>
      <c r="AJ714" s="12"/>
      <c r="AM714" s="12"/>
      <c r="AX714" s="12"/>
      <c r="AY714" s="12"/>
      <c r="BA714" s="12"/>
      <c r="BD714" s="12"/>
      <c r="BI714" s="12"/>
      <c r="CG714" s="12"/>
      <c r="CI714" s="12"/>
      <c r="CJ714" s="12"/>
      <c r="CK714" s="12"/>
      <c r="CL714" s="12"/>
    </row>
    <row r="715" spans="18:90" ht="24.95" customHeight="1">
      <c r="R715" s="12"/>
      <c r="AF715" s="12"/>
      <c r="AG715" s="12"/>
      <c r="AH715" s="12"/>
      <c r="AJ715" s="12"/>
      <c r="AM715" s="12"/>
      <c r="AX715" s="12"/>
      <c r="AY715" s="12"/>
      <c r="BA715" s="12"/>
      <c r="BD715" s="12"/>
      <c r="BI715" s="12"/>
      <c r="CG715" s="12"/>
      <c r="CI715" s="12"/>
      <c r="CJ715" s="12"/>
      <c r="CK715" s="12"/>
      <c r="CL715" s="12"/>
    </row>
    <row r="716" spans="18:90" ht="24.95" customHeight="1">
      <c r="R716" s="12"/>
      <c r="AF716" s="12"/>
      <c r="AG716" s="12"/>
      <c r="AH716" s="12"/>
      <c r="AJ716" s="12"/>
      <c r="AM716" s="12"/>
      <c r="AX716" s="12"/>
      <c r="AY716" s="12"/>
      <c r="BA716" s="12"/>
      <c r="BD716" s="12"/>
      <c r="BI716" s="12"/>
      <c r="CG716" s="12"/>
      <c r="CI716" s="12"/>
      <c r="CJ716" s="12"/>
      <c r="CK716" s="12"/>
      <c r="CL716" s="12"/>
    </row>
    <row r="717" spans="18:90" ht="24.95" customHeight="1">
      <c r="R717" s="12"/>
      <c r="AF717" s="12"/>
      <c r="AG717" s="12"/>
      <c r="AH717" s="12"/>
      <c r="AJ717" s="12"/>
      <c r="AM717" s="12"/>
      <c r="AX717" s="12"/>
      <c r="AY717" s="12"/>
      <c r="BA717" s="12"/>
      <c r="BD717" s="12"/>
      <c r="BI717" s="12"/>
      <c r="CG717" s="12"/>
      <c r="CI717" s="12"/>
      <c r="CJ717" s="12"/>
      <c r="CK717" s="12"/>
      <c r="CL717" s="12"/>
    </row>
    <row r="718" spans="18:90" ht="24.95" customHeight="1">
      <c r="R718" s="12"/>
      <c r="AF718" s="12"/>
      <c r="AG718" s="12"/>
      <c r="AH718" s="12"/>
      <c r="AJ718" s="12"/>
      <c r="AM718" s="12"/>
      <c r="AX718" s="12"/>
      <c r="AY718" s="12"/>
      <c r="BA718" s="12"/>
      <c r="BD718" s="12"/>
      <c r="BI718" s="12"/>
      <c r="CG718" s="12"/>
      <c r="CI718" s="12"/>
      <c r="CJ718" s="12"/>
      <c r="CK718" s="12"/>
      <c r="CL718" s="12"/>
    </row>
    <row r="719" spans="18:90" ht="24.95" customHeight="1">
      <c r="R719" s="12"/>
      <c r="AF719" s="12"/>
      <c r="AG719" s="12"/>
      <c r="AH719" s="12"/>
      <c r="AJ719" s="12"/>
      <c r="AM719" s="12"/>
      <c r="AX719" s="12"/>
      <c r="AY719" s="12"/>
      <c r="BA719" s="12"/>
      <c r="BD719" s="12"/>
      <c r="BI719" s="12"/>
      <c r="CG719" s="12"/>
      <c r="CI719" s="12"/>
      <c r="CJ719" s="12"/>
      <c r="CK719" s="12"/>
      <c r="CL719" s="12"/>
    </row>
    <row r="720" spans="18:90" ht="24.95" customHeight="1">
      <c r="R720" s="12"/>
      <c r="AF720" s="12"/>
      <c r="AG720" s="12"/>
      <c r="AH720" s="12"/>
      <c r="AJ720" s="12"/>
      <c r="AM720" s="12"/>
      <c r="AX720" s="12"/>
      <c r="AY720" s="12"/>
      <c r="BA720" s="12"/>
      <c r="BD720" s="12"/>
      <c r="BI720" s="12"/>
      <c r="CG720" s="12"/>
      <c r="CI720" s="12"/>
      <c r="CJ720" s="12"/>
      <c r="CK720" s="12"/>
      <c r="CL720" s="12"/>
    </row>
    <row r="721" spans="18:90" ht="24.95" customHeight="1">
      <c r="R721" s="12"/>
      <c r="AF721" s="12"/>
      <c r="AG721" s="12"/>
      <c r="AH721" s="12"/>
      <c r="AJ721" s="12"/>
      <c r="AM721" s="12"/>
      <c r="AX721" s="12"/>
      <c r="AY721" s="12"/>
      <c r="BA721" s="12"/>
      <c r="BD721" s="12"/>
      <c r="BI721" s="12"/>
      <c r="CG721" s="12"/>
      <c r="CI721" s="12"/>
      <c r="CJ721" s="12"/>
      <c r="CK721" s="12"/>
      <c r="CL721" s="12"/>
    </row>
    <row r="722" spans="18:90" ht="24.95" customHeight="1">
      <c r="R722" s="12"/>
      <c r="AF722" s="12"/>
      <c r="AG722" s="12"/>
      <c r="AH722" s="12"/>
      <c r="AJ722" s="12"/>
      <c r="AM722" s="12"/>
      <c r="AX722" s="12"/>
      <c r="AY722" s="12"/>
      <c r="BA722" s="12"/>
      <c r="BD722" s="12"/>
      <c r="BI722" s="12"/>
      <c r="CG722" s="12"/>
      <c r="CI722" s="12"/>
      <c r="CJ722" s="12"/>
      <c r="CK722" s="12"/>
      <c r="CL722" s="12"/>
    </row>
    <row r="723" spans="18:90" ht="24.95" customHeight="1">
      <c r="R723" s="12"/>
      <c r="AF723" s="12"/>
      <c r="AG723" s="12"/>
      <c r="AH723" s="12"/>
      <c r="AJ723" s="12"/>
      <c r="AM723" s="12"/>
      <c r="AX723" s="12"/>
      <c r="AY723" s="12"/>
      <c r="BA723" s="12"/>
      <c r="BD723" s="12"/>
      <c r="BI723" s="12"/>
      <c r="CG723" s="12"/>
      <c r="CI723" s="12"/>
      <c r="CJ723" s="12"/>
      <c r="CK723" s="12"/>
      <c r="CL723" s="12"/>
    </row>
    <row r="724" spans="18:90" ht="24.95" customHeight="1">
      <c r="R724" s="12"/>
      <c r="AF724" s="12"/>
      <c r="AG724" s="12"/>
      <c r="AH724" s="12"/>
      <c r="AJ724" s="12"/>
      <c r="AM724" s="12"/>
      <c r="AX724" s="12"/>
      <c r="AY724" s="12"/>
      <c r="BA724" s="12"/>
      <c r="BD724" s="12"/>
      <c r="BI724" s="12"/>
      <c r="CG724" s="12"/>
      <c r="CI724" s="12"/>
      <c r="CJ724" s="12"/>
      <c r="CK724" s="12"/>
      <c r="CL724" s="12"/>
    </row>
    <row r="725" spans="18:90" ht="24.95" customHeight="1">
      <c r="R725" s="12"/>
      <c r="AF725" s="12"/>
      <c r="AG725" s="12"/>
      <c r="AH725" s="12"/>
      <c r="AJ725" s="12"/>
      <c r="AM725" s="12"/>
      <c r="AX725" s="12"/>
      <c r="AY725" s="12"/>
      <c r="BA725" s="12"/>
      <c r="BD725" s="12"/>
      <c r="BI725" s="12"/>
      <c r="CG725" s="12"/>
      <c r="CI725" s="12"/>
      <c r="CJ725" s="12"/>
      <c r="CK725" s="12"/>
      <c r="CL725" s="12"/>
    </row>
    <row r="726" spans="18:90" ht="24.95" customHeight="1">
      <c r="R726" s="12"/>
      <c r="AF726" s="12"/>
      <c r="AG726" s="12"/>
      <c r="AH726" s="12"/>
      <c r="AJ726" s="12"/>
      <c r="AM726" s="12"/>
      <c r="AX726" s="12"/>
      <c r="AY726" s="12"/>
      <c r="BA726" s="12"/>
      <c r="BD726" s="12"/>
      <c r="BI726" s="12"/>
      <c r="CG726" s="12"/>
      <c r="CI726" s="12"/>
      <c r="CJ726" s="12"/>
      <c r="CK726" s="12"/>
      <c r="CL726" s="12"/>
    </row>
    <row r="727" spans="18:90" ht="24.95" customHeight="1">
      <c r="R727" s="12"/>
      <c r="AF727" s="12"/>
      <c r="AG727" s="12"/>
      <c r="AH727" s="12"/>
      <c r="AJ727" s="12"/>
      <c r="AM727" s="12"/>
      <c r="AX727" s="12"/>
      <c r="AY727" s="12"/>
      <c r="BA727" s="12"/>
      <c r="BD727" s="12"/>
      <c r="BI727" s="12"/>
      <c r="CG727" s="12"/>
      <c r="CI727" s="12"/>
      <c r="CJ727" s="12"/>
      <c r="CK727" s="12"/>
      <c r="CL727" s="12"/>
    </row>
    <row r="728" spans="18:90" ht="24.95" customHeight="1">
      <c r="R728" s="12"/>
      <c r="AF728" s="12"/>
      <c r="AG728" s="12"/>
      <c r="AH728" s="12"/>
      <c r="AJ728" s="12"/>
      <c r="AM728" s="12"/>
      <c r="AX728" s="12"/>
      <c r="AY728" s="12"/>
      <c r="BA728" s="12"/>
      <c r="BD728" s="12"/>
      <c r="BI728" s="12"/>
      <c r="CG728" s="12"/>
      <c r="CI728" s="12"/>
      <c r="CJ728" s="12"/>
      <c r="CK728" s="12"/>
      <c r="CL728" s="12"/>
    </row>
    <row r="729" spans="18:90" ht="24.95" customHeight="1">
      <c r="R729" s="12"/>
      <c r="AF729" s="12"/>
      <c r="AG729" s="12"/>
      <c r="AH729" s="12"/>
      <c r="AJ729" s="12"/>
      <c r="AM729" s="12"/>
      <c r="AX729" s="12"/>
      <c r="AY729" s="12"/>
      <c r="BA729" s="12"/>
      <c r="BD729" s="12"/>
      <c r="BI729" s="12"/>
      <c r="CG729" s="12"/>
      <c r="CI729" s="12"/>
      <c r="CJ729" s="12"/>
      <c r="CK729" s="12"/>
      <c r="CL729" s="12"/>
    </row>
    <row r="730" spans="18:90" ht="24.95" customHeight="1">
      <c r="R730" s="12"/>
      <c r="AF730" s="12"/>
      <c r="AG730" s="12"/>
      <c r="AH730" s="12"/>
      <c r="AJ730" s="12"/>
      <c r="AM730" s="12"/>
      <c r="AX730" s="12"/>
      <c r="AY730" s="12"/>
      <c r="BA730" s="12"/>
      <c r="BD730" s="12"/>
      <c r="BI730" s="12"/>
      <c r="CG730" s="12"/>
      <c r="CI730" s="12"/>
      <c r="CJ730" s="12"/>
      <c r="CK730" s="12"/>
      <c r="CL730" s="12"/>
    </row>
    <row r="731" spans="18:90" ht="24.95" customHeight="1">
      <c r="R731" s="12"/>
      <c r="AF731" s="12"/>
      <c r="AG731" s="12"/>
      <c r="AH731" s="12"/>
      <c r="AJ731" s="12"/>
      <c r="AM731" s="12"/>
      <c r="AX731" s="12"/>
      <c r="AY731" s="12"/>
      <c r="BA731" s="12"/>
      <c r="BD731" s="12"/>
      <c r="BI731" s="12"/>
      <c r="CG731" s="12"/>
      <c r="CI731" s="12"/>
      <c r="CJ731" s="12"/>
      <c r="CK731" s="12"/>
      <c r="CL731" s="12"/>
    </row>
    <row r="732" spans="18:90" ht="24.95" customHeight="1">
      <c r="R732" s="12"/>
      <c r="AF732" s="12"/>
      <c r="AG732" s="12"/>
      <c r="AH732" s="12"/>
      <c r="AJ732" s="12"/>
      <c r="AM732" s="12"/>
      <c r="AX732" s="12"/>
      <c r="AY732" s="12"/>
      <c r="BA732" s="12"/>
      <c r="BD732" s="12"/>
      <c r="BI732" s="12"/>
      <c r="CG732" s="12"/>
      <c r="CI732" s="12"/>
      <c r="CJ732" s="12"/>
      <c r="CK732" s="12"/>
      <c r="CL732" s="12"/>
    </row>
    <row r="733" spans="18:90" ht="24.95" customHeight="1">
      <c r="R733" s="12"/>
      <c r="AF733" s="12"/>
      <c r="AG733" s="12"/>
      <c r="AH733" s="12"/>
      <c r="AJ733" s="12"/>
      <c r="AM733" s="12"/>
      <c r="AX733" s="12"/>
      <c r="AY733" s="12"/>
      <c r="BA733" s="12"/>
      <c r="BD733" s="12"/>
      <c r="BI733" s="12"/>
      <c r="CG733" s="12"/>
      <c r="CI733" s="12"/>
      <c r="CJ733" s="12"/>
      <c r="CK733" s="12"/>
      <c r="CL733" s="12"/>
    </row>
    <row r="734" spans="18:90" ht="24.95" customHeight="1">
      <c r="R734" s="12"/>
      <c r="AF734" s="12"/>
      <c r="AG734" s="12"/>
      <c r="AH734" s="12"/>
      <c r="AJ734" s="12"/>
      <c r="AM734" s="12"/>
      <c r="AX734" s="12"/>
      <c r="AY734" s="12"/>
      <c r="BA734" s="12"/>
      <c r="BD734" s="12"/>
      <c r="BI734" s="12"/>
      <c r="CG734" s="12"/>
      <c r="CI734" s="12"/>
      <c r="CJ734" s="12"/>
      <c r="CK734" s="12"/>
      <c r="CL734" s="12"/>
    </row>
    <row r="735" spans="18:90" ht="24.95" customHeight="1">
      <c r="R735" s="12"/>
      <c r="AF735" s="12"/>
      <c r="AG735" s="12"/>
      <c r="AH735" s="12"/>
      <c r="AJ735" s="12"/>
      <c r="AM735" s="12"/>
      <c r="AX735" s="12"/>
      <c r="AY735" s="12"/>
      <c r="BA735" s="12"/>
      <c r="BD735" s="12"/>
      <c r="BI735" s="12"/>
      <c r="CG735" s="12"/>
      <c r="CI735" s="12"/>
      <c r="CJ735" s="12"/>
      <c r="CK735" s="12"/>
      <c r="CL735" s="12"/>
    </row>
    <row r="736" spans="18:90" ht="24.95" customHeight="1">
      <c r="R736" s="12"/>
      <c r="AF736" s="12"/>
      <c r="AG736" s="12"/>
      <c r="AH736" s="12"/>
      <c r="AJ736" s="12"/>
      <c r="AM736" s="12"/>
      <c r="AX736" s="12"/>
      <c r="AY736" s="12"/>
      <c r="BA736" s="12"/>
      <c r="BD736" s="12"/>
      <c r="BI736" s="12"/>
      <c r="CG736" s="12"/>
      <c r="CI736" s="12"/>
      <c r="CJ736" s="12"/>
      <c r="CK736" s="12"/>
      <c r="CL736" s="12"/>
    </row>
    <row r="737" spans="18:90" ht="24.95" customHeight="1">
      <c r="R737" s="12"/>
      <c r="AF737" s="12"/>
      <c r="AG737" s="12"/>
      <c r="AH737" s="12"/>
      <c r="AJ737" s="12"/>
      <c r="AM737" s="12"/>
      <c r="AX737" s="12"/>
      <c r="AY737" s="12"/>
      <c r="BA737" s="12"/>
      <c r="BD737" s="12"/>
      <c r="BI737" s="12"/>
      <c r="CG737" s="12"/>
      <c r="CI737" s="12"/>
      <c r="CJ737" s="12"/>
      <c r="CK737" s="12"/>
      <c r="CL737" s="12"/>
    </row>
    <row r="738" spans="18:90" ht="24.95" customHeight="1">
      <c r="R738" s="12"/>
      <c r="AF738" s="12"/>
      <c r="AG738" s="12"/>
      <c r="AH738" s="12"/>
      <c r="AJ738" s="12"/>
      <c r="AM738" s="12"/>
      <c r="AX738" s="12"/>
      <c r="AY738" s="12"/>
      <c r="BA738" s="12"/>
      <c r="BD738" s="12"/>
      <c r="BI738" s="12"/>
      <c r="CG738" s="12"/>
      <c r="CI738" s="12"/>
      <c r="CJ738" s="12"/>
      <c r="CK738" s="12"/>
      <c r="CL738" s="12"/>
    </row>
    <row r="739" spans="18:90" ht="24.95" customHeight="1">
      <c r="R739" s="12"/>
      <c r="AF739" s="12"/>
      <c r="AG739" s="12"/>
      <c r="AH739" s="12"/>
      <c r="AJ739" s="12"/>
      <c r="AM739" s="12"/>
      <c r="AX739" s="12"/>
      <c r="AY739" s="12"/>
      <c r="BA739" s="12"/>
      <c r="BD739" s="12"/>
      <c r="BI739" s="12"/>
      <c r="CG739" s="12"/>
      <c r="CI739" s="12"/>
      <c r="CJ739" s="12"/>
      <c r="CK739" s="12"/>
      <c r="CL739" s="12"/>
    </row>
    <row r="740" spans="18:90" ht="24.95" customHeight="1">
      <c r="R740" s="12"/>
      <c r="AF740" s="12"/>
      <c r="AG740" s="12"/>
      <c r="AH740" s="12"/>
      <c r="AJ740" s="12"/>
      <c r="AM740" s="12"/>
      <c r="AX740" s="12"/>
      <c r="AY740" s="12"/>
      <c r="BA740" s="12"/>
      <c r="BD740" s="12"/>
      <c r="BI740" s="12"/>
      <c r="CG740" s="12"/>
      <c r="CI740" s="12"/>
      <c r="CJ740" s="12"/>
      <c r="CK740" s="12"/>
      <c r="CL740" s="12"/>
    </row>
    <row r="741" spans="18:90" ht="24.95" customHeight="1">
      <c r="R741" s="12"/>
      <c r="AF741" s="12"/>
      <c r="AG741" s="12"/>
      <c r="AH741" s="12"/>
      <c r="AJ741" s="12"/>
      <c r="AM741" s="12"/>
      <c r="AX741" s="12"/>
      <c r="AY741" s="12"/>
      <c r="BA741" s="12"/>
      <c r="BD741" s="12"/>
      <c r="BI741" s="12"/>
      <c r="CG741" s="12"/>
      <c r="CI741" s="12"/>
      <c r="CJ741" s="12"/>
      <c r="CK741" s="12"/>
      <c r="CL741" s="12"/>
    </row>
    <row r="742" spans="18:90" ht="24.95" customHeight="1">
      <c r="R742" s="12"/>
      <c r="AF742" s="12"/>
      <c r="AG742" s="12"/>
      <c r="AH742" s="12"/>
      <c r="AJ742" s="12"/>
      <c r="AM742" s="12"/>
      <c r="AX742" s="12"/>
      <c r="AY742" s="12"/>
      <c r="BA742" s="12"/>
      <c r="BD742" s="12"/>
      <c r="BI742" s="12"/>
      <c r="CG742" s="12"/>
      <c r="CI742" s="12"/>
      <c r="CJ742" s="12"/>
      <c r="CK742" s="12"/>
      <c r="CL742" s="12"/>
    </row>
    <row r="743" spans="18:90" ht="24.95" customHeight="1">
      <c r="R743" s="12"/>
      <c r="AF743" s="12"/>
      <c r="AG743" s="12"/>
      <c r="AH743" s="12"/>
      <c r="AJ743" s="12"/>
      <c r="AM743" s="12"/>
      <c r="AX743" s="12"/>
      <c r="AY743" s="12"/>
      <c r="BA743" s="12"/>
      <c r="BD743" s="12"/>
      <c r="BI743" s="12"/>
      <c r="CG743" s="12"/>
      <c r="CI743" s="12"/>
      <c r="CJ743" s="12"/>
      <c r="CK743" s="12"/>
      <c r="CL743" s="12"/>
    </row>
    <row r="744" spans="18:90" ht="24.95" customHeight="1">
      <c r="R744" s="12"/>
      <c r="AF744" s="12"/>
      <c r="AG744" s="12"/>
      <c r="AH744" s="12"/>
      <c r="AJ744" s="12"/>
      <c r="AM744" s="12"/>
      <c r="AX744" s="12"/>
      <c r="AY744" s="12"/>
      <c r="BA744" s="12"/>
      <c r="BD744" s="12"/>
      <c r="BI744" s="12"/>
      <c r="CG744" s="12"/>
      <c r="CI744" s="12"/>
      <c r="CJ744" s="12"/>
      <c r="CK744" s="12"/>
      <c r="CL744" s="12"/>
    </row>
    <row r="745" spans="18:90" ht="24.95" customHeight="1">
      <c r="R745" s="12"/>
      <c r="AF745" s="12"/>
      <c r="AG745" s="12"/>
      <c r="AH745" s="12"/>
      <c r="AJ745" s="12"/>
      <c r="AM745" s="12"/>
      <c r="AX745" s="12"/>
      <c r="AY745" s="12"/>
      <c r="BA745" s="12"/>
      <c r="BD745" s="12"/>
      <c r="BI745" s="12"/>
      <c r="CG745" s="12"/>
      <c r="CI745" s="12"/>
      <c r="CJ745" s="12"/>
      <c r="CK745" s="12"/>
      <c r="CL745" s="12"/>
    </row>
    <row r="746" spans="18:90" ht="24.95" customHeight="1">
      <c r="R746" s="12"/>
      <c r="AF746" s="12"/>
      <c r="AG746" s="12"/>
      <c r="AH746" s="12"/>
      <c r="AJ746" s="12"/>
      <c r="AM746" s="12"/>
      <c r="AX746" s="12"/>
      <c r="AY746" s="12"/>
      <c r="BA746" s="12"/>
      <c r="BD746" s="12"/>
      <c r="BI746" s="12"/>
      <c r="CG746" s="12"/>
      <c r="CI746" s="12"/>
      <c r="CJ746" s="12"/>
      <c r="CK746" s="12"/>
      <c r="CL746" s="12"/>
    </row>
    <row r="747" spans="18:90" ht="24.95" customHeight="1">
      <c r="R747" s="12"/>
      <c r="AF747" s="12"/>
      <c r="AG747" s="12"/>
      <c r="AH747" s="12"/>
      <c r="AJ747" s="12"/>
      <c r="AM747" s="12"/>
      <c r="AX747" s="12"/>
      <c r="AY747" s="12"/>
      <c r="BA747" s="12"/>
      <c r="BD747" s="12"/>
      <c r="BI747" s="12"/>
      <c r="CG747" s="12"/>
      <c r="CI747" s="12"/>
      <c r="CJ747" s="12"/>
      <c r="CK747" s="12"/>
      <c r="CL747" s="12"/>
    </row>
    <row r="748" spans="18:90" ht="24.95" customHeight="1">
      <c r="R748" s="12"/>
      <c r="AF748" s="12"/>
      <c r="AG748" s="12"/>
      <c r="AH748" s="12"/>
      <c r="AJ748" s="12"/>
      <c r="AM748" s="12"/>
      <c r="AX748" s="12"/>
      <c r="AY748" s="12"/>
      <c r="BA748" s="12"/>
      <c r="BD748" s="12"/>
      <c r="BI748" s="12"/>
      <c r="CG748" s="12"/>
      <c r="CI748" s="12"/>
      <c r="CJ748" s="12"/>
      <c r="CK748" s="12"/>
      <c r="CL748" s="12"/>
    </row>
    <row r="749" spans="18:90" ht="24.95" customHeight="1">
      <c r="R749" s="12"/>
      <c r="AF749" s="12"/>
      <c r="AG749" s="12"/>
      <c r="AH749" s="12"/>
      <c r="AJ749" s="12"/>
      <c r="AM749" s="12"/>
      <c r="AX749" s="12"/>
      <c r="AY749" s="12"/>
      <c r="BA749" s="12"/>
      <c r="BD749" s="12"/>
      <c r="BI749" s="12"/>
      <c r="CG749" s="12"/>
      <c r="CI749" s="12"/>
      <c r="CJ749" s="12"/>
      <c r="CK749" s="12"/>
      <c r="CL749" s="12"/>
    </row>
    <row r="750" spans="18:90" ht="24.95" customHeight="1">
      <c r="R750" s="12"/>
      <c r="AF750" s="12"/>
      <c r="AG750" s="12"/>
      <c r="AH750" s="12"/>
      <c r="AJ750" s="12"/>
      <c r="AM750" s="12"/>
      <c r="AX750" s="12"/>
      <c r="AY750" s="12"/>
      <c r="BA750" s="12"/>
      <c r="BD750" s="12"/>
      <c r="BI750" s="12"/>
      <c r="CG750" s="12"/>
      <c r="CI750" s="12"/>
      <c r="CJ750" s="12"/>
      <c r="CK750" s="12"/>
      <c r="CL750" s="12"/>
    </row>
    <row r="751" spans="18:90" ht="24.95" customHeight="1">
      <c r="R751" s="12"/>
      <c r="AF751" s="12"/>
      <c r="AG751" s="12"/>
      <c r="AH751" s="12"/>
      <c r="AJ751" s="12"/>
      <c r="AM751" s="12"/>
      <c r="AX751" s="12"/>
      <c r="AY751" s="12"/>
      <c r="BA751" s="12"/>
      <c r="BD751" s="12"/>
      <c r="BI751" s="12"/>
      <c r="CG751" s="12"/>
      <c r="CI751" s="12"/>
      <c r="CJ751" s="12"/>
      <c r="CK751" s="12"/>
      <c r="CL751" s="12"/>
    </row>
    <row r="752" spans="18:90" ht="24.95" customHeight="1">
      <c r="R752" s="12"/>
      <c r="AF752" s="12"/>
      <c r="AG752" s="12"/>
      <c r="AH752" s="12"/>
      <c r="AJ752" s="12"/>
      <c r="AM752" s="12"/>
      <c r="AX752" s="12"/>
      <c r="AY752" s="12"/>
      <c r="BA752" s="12"/>
      <c r="BD752" s="12"/>
      <c r="BI752" s="12"/>
      <c r="CG752" s="12"/>
      <c r="CI752" s="12"/>
      <c r="CJ752" s="12"/>
      <c r="CK752" s="12"/>
      <c r="CL752" s="12"/>
    </row>
    <row r="753" spans="18:90" ht="24.95" customHeight="1">
      <c r="R753" s="12"/>
      <c r="AF753" s="12"/>
      <c r="AG753" s="12"/>
      <c r="AH753" s="12"/>
      <c r="AJ753" s="12"/>
      <c r="AM753" s="12"/>
      <c r="AX753" s="12"/>
      <c r="AY753" s="12"/>
      <c r="BA753" s="12"/>
      <c r="BD753" s="12"/>
      <c r="BI753" s="12"/>
      <c r="CG753" s="12"/>
      <c r="CI753" s="12"/>
      <c r="CJ753" s="12"/>
      <c r="CK753" s="12"/>
      <c r="CL753" s="12"/>
    </row>
    <row r="754" spans="18:90" ht="24.95" customHeight="1">
      <c r="R754" s="12"/>
      <c r="AF754" s="12"/>
      <c r="AG754" s="12"/>
      <c r="AH754" s="12"/>
      <c r="AJ754" s="12"/>
      <c r="AM754" s="12"/>
      <c r="AX754" s="12"/>
      <c r="AY754" s="12"/>
      <c r="BA754" s="12"/>
      <c r="BD754" s="12"/>
      <c r="BI754" s="12"/>
      <c r="CG754" s="12"/>
      <c r="CI754" s="12"/>
      <c r="CJ754" s="12"/>
      <c r="CK754" s="12"/>
      <c r="CL754" s="12"/>
    </row>
    <row r="755" spans="18:90" ht="24.95" customHeight="1">
      <c r="R755" s="12"/>
      <c r="AF755" s="12"/>
      <c r="AG755" s="12"/>
      <c r="AH755" s="12"/>
      <c r="AJ755" s="12"/>
      <c r="AM755" s="12"/>
      <c r="AX755" s="12"/>
      <c r="AY755" s="12"/>
      <c r="BA755" s="12"/>
      <c r="BD755" s="12"/>
      <c r="BI755" s="12"/>
      <c r="CG755" s="12"/>
      <c r="CI755" s="12"/>
      <c r="CJ755" s="12"/>
      <c r="CK755" s="12"/>
      <c r="CL755" s="12"/>
    </row>
    <row r="756" spans="18:90" ht="24.95" customHeight="1">
      <c r="R756" s="12"/>
      <c r="AF756" s="12"/>
      <c r="AG756" s="12"/>
      <c r="AH756" s="12"/>
      <c r="AJ756" s="12"/>
      <c r="AM756" s="12"/>
      <c r="AX756" s="12"/>
      <c r="AY756" s="12"/>
      <c r="BA756" s="12"/>
      <c r="BD756" s="12"/>
      <c r="BI756" s="12"/>
      <c r="CG756" s="12"/>
      <c r="CI756" s="12"/>
      <c r="CJ756" s="12"/>
      <c r="CK756" s="12"/>
      <c r="CL756" s="12"/>
    </row>
    <row r="757" spans="18:90" ht="24.95" customHeight="1">
      <c r="R757" s="12"/>
      <c r="AF757" s="12"/>
      <c r="AG757" s="12"/>
      <c r="AH757" s="12"/>
      <c r="AJ757" s="12"/>
      <c r="AM757" s="12"/>
      <c r="AX757" s="12"/>
      <c r="AY757" s="12"/>
      <c r="BA757" s="12"/>
      <c r="BD757" s="12"/>
      <c r="BI757" s="12"/>
      <c r="CG757" s="12"/>
      <c r="CI757" s="12"/>
      <c r="CJ757" s="12"/>
      <c r="CK757" s="12"/>
      <c r="CL757" s="12"/>
    </row>
    <row r="758" spans="18:90" ht="24.95" customHeight="1">
      <c r="R758" s="12"/>
      <c r="AF758" s="12"/>
      <c r="AG758" s="12"/>
      <c r="AH758" s="12"/>
      <c r="AJ758" s="12"/>
      <c r="AM758" s="12"/>
      <c r="AX758" s="12"/>
      <c r="AY758" s="12"/>
      <c r="BA758" s="12"/>
      <c r="BD758" s="12"/>
      <c r="BI758" s="12"/>
      <c r="CG758" s="12"/>
      <c r="CI758" s="12"/>
      <c r="CJ758" s="12"/>
      <c r="CK758" s="12"/>
      <c r="CL758" s="12"/>
    </row>
    <row r="759" spans="18:90" ht="24.95" customHeight="1">
      <c r="R759" s="12"/>
      <c r="AF759" s="12"/>
      <c r="AG759" s="12"/>
      <c r="AH759" s="12"/>
      <c r="AJ759" s="12"/>
      <c r="AM759" s="12"/>
      <c r="AX759" s="12"/>
      <c r="AY759" s="12"/>
      <c r="BA759" s="12"/>
      <c r="BD759" s="12"/>
      <c r="BI759" s="12"/>
      <c r="CG759" s="12"/>
      <c r="CI759" s="12"/>
      <c r="CJ759" s="12"/>
      <c r="CK759" s="12"/>
      <c r="CL759" s="12"/>
    </row>
    <row r="760" spans="18:90" ht="24.95" customHeight="1">
      <c r="R760" s="12"/>
      <c r="AF760" s="12"/>
      <c r="AG760" s="12"/>
      <c r="AH760" s="12"/>
      <c r="AJ760" s="12"/>
      <c r="AM760" s="12"/>
      <c r="AX760" s="12"/>
      <c r="AY760" s="12"/>
      <c r="BA760" s="12"/>
      <c r="BD760" s="12"/>
      <c r="BI760" s="12"/>
      <c r="CG760" s="12"/>
      <c r="CI760" s="12"/>
      <c r="CJ760" s="12"/>
      <c r="CK760" s="12"/>
      <c r="CL760" s="12"/>
    </row>
    <row r="761" spans="18:90" ht="24.95" customHeight="1">
      <c r="R761" s="12"/>
      <c r="AF761" s="12"/>
      <c r="AG761" s="12"/>
      <c r="AH761" s="12"/>
      <c r="AJ761" s="12"/>
      <c r="AM761" s="12"/>
      <c r="AX761" s="12"/>
      <c r="AY761" s="12"/>
      <c r="BA761" s="12"/>
      <c r="BD761" s="12"/>
      <c r="BI761" s="12"/>
      <c r="CG761" s="12"/>
      <c r="CI761" s="12"/>
      <c r="CJ761" s="12"/>
      <c r="CK761" s="12"/>
      <c r="CL761" s="12"/>
    </row>
    <row r="762" spans="18:90" ht="24.95" customHeight="1">
      <c r="R762" s="12"/>
      <c r="AF762" s="12"/>
      <c r="AG762" s="12"/>
      <c r="AH762" s="12"/>
      <c r="AJ762" s="12"/>
      <c r="AM762" s="12"/>
      <c r="AX762" s="12"/>
      <c r="AY762" s="12"/>
      <c r="BA762" s="12"/>
      <c r="BD762" s="12"/>
      <c r="BI762" s="12"/>
      <c r="CG762" s="12"/>
      <c r="CI762" s="12"/>
      <c r="CJ762" s="12"/>
      <c r="CK762" s="12"/>
      <c r="CL762" s="12"/>
    </row>
    <row r="763" spans="18:90" ht="24.95" customHeight="1">
      <c r="R763" s="12"/>
      <c r="AF763" s="12"/>
      <c r="AG763" s="12"/>
      <c r="AH763" s="12"/>
      <c r="AJ763" s="12"/>
      <c r="AM763" s="12"/>
      <c r="AX763" s="12"/>
      <c r="AY763" s="12"/>
      <c r="BA763" s="12"/>
      <c r="BD763" s="12"/>
      <c r="BI763" s="12"/>
      <c r="CG763" s="12"/>
      <c r="CI763" s="12"/>
      <c r="CJ763" s="12"/>
      <c r="CK763" s="12"/>
      <c r="CL763" s="12"/>
    </row>
    <row r="764" spans="18:90" ht="24.95" customHeight="1">
      <c r="R764" s="12"/>
      <c r="AF764" s="12"/>
      <c r="AG764" s="12"/>
      <c r="AH764" s="12"/>
      <c r="AJ764" s="12"/>
      <c r="AM764" s="12"/>
      <c r="AX764" s="12"/>
      <c r="AY764" s="12"/>
      <c r="BA764" s="12"/>
      <c r="BD764" s="12"/>
      <c r="BI764" s="12"/>
      <c r="CG764" s="12"/>
      <c r="CI764" s="12"/>
      <c r="CJ764" s="12"/>
      <c r="CK764" s="12"/>
      <c r="CL764" s="12"/>
    </row>
    <row r="765" spans="18:90" ht="24.95" customHeight="1">
      <c r="R765" s="12"/>
      <c r="AF765" s="12"/>
      <c r="AG765" s="12"/>
      <c r="AH765" s="12"/>
      <c r="AJ765" s="12"/>
      <c r="AM765" s="12"/>
      <c r="AX765" s="12"/>
      <c r="AY765" s="12"/>
      <c r="BA765" s="12"/>
      <c r="BD765" s="12"/>
      <c r="BI765" s="12"/>
      <c r="CG765" s="12"/>
      <c r="CI765" s="12"/>
      <c r="CJ765" s="12"/>
      <c r="CK765" s="12"/>
      <c r="CL765" s="12"/>
    </row>
    <row r="766" spans="18:90" ht="24.95" customHeight="1">
      <c r="R766" s="12"/>
      <c r="AF766" s="12"/>
      <c r="AG766" s="12"/>
      <c r="AH766" s="12"/>
      <c r="AJ766" s="12"/>
      <c r="AM766" s="12"/>
      <c r="AX766" s="12"/>
      <c r="AY766" s="12"/>
      <c r="BA766" s="12"/>
      <c r="BD766" s="12"/>
      <c r="BI766" s="12"/>
      <c r="CG766" s="12"/>
      <c r="CI766" s="12"/>
      <c r="CJ766" s="12"/>
      <c r="CK766" s="12"/>
      <c r="CL766" s="12"/>
    </row>
    <row r="767" spans="18:90" ht="24.95" customHeight="1">
      <c r="R767" s="12"/>
      <c r="AF767" s="12"/>
      <c r="AG767" s="12"/>
      <c r="AH767" s="12"/>
      <c r="AJ767" s="12"/>
      <c r="AM767" s="12"/>
      <c r="AX767" s="12"/>
      <c r="AY767" s="12"/>
      <c r="BA767" s="12"/>
      <c r="BD767" s="12"/>
      <c r="BI767" s="12"/>
      <c r="CG767" s="12"/>
      <c r="CI767" s="12"/>
      <c r="CJ767" s="12"/>
      <c r="CK767" s="12"/>
      <c r="CL767" s="12"/>
    </row>
    <row r="768" spans="18:90" ht="24.95" customHeight="1">
      <c r="R768" s="12"/>
      <c r="AF768" s="12"/>
      <c r="AG768" s="12"/>
      <c r="AH768" s="12"/>
      <c r="AJ768" s="12"/>
      <c r="AM768" s="12"/>
      <c r="AX768" s="12"/>
      <c r="AY768" s="12"/>
      <c r="BA768" s="12"/>
      <c r="BD768" s="12"/>
      <c r="BI768" s="12"/>
      <c r="CG768" s="12"/>
      <c r="CI768" s="12"/>
      <c r="CJ768" s="12"/>
      <c r="CK768" s="12"/>
      <c r="CL768" s="12"/>
    </row>
    <row r="769" spans="18:90" ht="24.95" customHeight="1">
      <c r="R769" s="12"/>
      <c r="AF769" s="12"/>
      <c r="AG769" s="12"/>
      <c r="AH769" s="12"/>
      <c r="AJ769" s="12"/>
      <c r="AM769" s="12"/>
      <c r="AX769" s="12"/>
      <c r="AY769" s="12"/>
      <c r="BA769" s="12"/>
      <c r="BD769" s="12"/>
      <c r="BI769" s="12"/>
      <c r="CG769" s="12"/>
      <c r="CI769" s="12"/>
      <c r="CJ769" s="12"/>
      <c r="CK769" s="12"/>
      <c r="CL769" s="12"/>
    </row>
    <row r="770" spans="18:90" ht="24.95" customHeight="1">
      <c r="R770" s="12"/>
      <c r="AF770" s="12"/>
      <c r="AG770" s="12"/>
      <c r="AH770" s="12"/>
      <c r="AJ770" s="12"/>
      <c r="AM770" s="12"/>
      <c r="AX770" s="12"/>
      <c r="AY770" s="12"/>
      <c r="BA770" s="12"/>
      <c r="BD770" s="12"/>
      <c r="BI770" s="12"/>
      <c r="CG770" s="12"/>
      <c r="CI770" s="12"/>
      <c r="CJ770" s="12"/>
      <c r="CK770" s="12"/>
      <c r="CL770" s="12"/>
    </row>
    <row r="771" spans="18:90" ht="24.95" customHeight="1">
      <c r="R771" s="12"/>
      <c r="AF771" s="12"/>
      <c r="AG771" s="12"/>
      <c r="AH771" s="12"/>
      <c r="AJ771" s="12"/>
      <c r="AM771" s="12"/>
      <c r="AX771" s="12"/>
      <c r="AY771" s="12"/>
      <c r="BA771" s="12"/>
      <c r="BD771" s="12"/>
      <c r="BI771" s="12"/>
      <c r="CG771" s="12"/>
      <c r="CI771" s="12"/>
      <c r="CJ771" s="12"/>
      <c r="CK771" s="12"/>
      <c r="CL771" s="12"/>
    </row>
    <row r="772" spans="18:90" ht="24.95" customHeight="1">
      <c r="R772" s="12"/>
      <c r="AF772" s="12"/>
      <c r="AG772" s="12"/>
      <c r="AH772" s="12"/>
      <c r="AJ772" s="12"/>
      <c r="AM772" s="12"/>
      <c r="AX772" s="12"/>
      <c r="AY772" s="12"/>
      <c r="BA772" s="12"/>
      <c r="BD772" s="12"/>
      <c r="BI772" s="12"/>
      <c r="CG772" s="12"/>
      <c r="CI772" s="12"/>
      <c r="CJ772" s="12"/>
      <c r="CK772" s="12"/>
      <c r="CL772" s="12"/>
    </row>
    <row r="773" spans="18:90" ht="24.95" customHeight="1">
      <c r="R773" s="12"/>
      <c r="AF773" s="12"/>
      <c r="AG773" s="12"/>
      <c r="AH773" s="12"/>
      <c r="AJ773" s="12"/>
      <c r="AM773" s="12"/>
      <c r="AX773" s="12"/>
      <c r="AY773" s="12"/>
      <c r="BA773" s="12"/>
      <c r="BD773" s="12"/>
      <c r="BI773" s="12"/>
      <c r="CG773" s="12"/>
      <c r="CI773" s="12"/>
      <c r="CJ773" s="12"/>
      <c r="CK773" s="12"/>
      <c r="CL773" s="12"/>
    </row>
    <row r="774" spans="18:90" ht="24.95" customHeight="1">
      <c r="R774" s="12"/>
      <c r="AF774" s="12"/>
      <c r="AG774" s="12"/>
      <c r="AH774" s="12"/>
      <c r="AJ774" s="12"/>
      <c r="AM774" s="12"/>
      <c r="AX774" s="12"/>
      <c r="AY774" s="12"/>
      <c r="BA774" s="12"/>
      <c r="BD774" s="12"/>
      <c r="BI774" s="12"/>
      <c r="CG774" s="12"/>
      <c r="CI774" s="12"/>
      <c r="CJ774" s="12"/>
      <c r="CK774" s="12"/>
      <c r="CL774" s="12"/>
    </row>
    <row r="775" spans="18:90" ht="24.95" customHeight="1">
      <c r="R775" s="12"/>
      <c r="AF775" s="12"/>
      <c r="AG775" s="12"/>
      <c r="AH775" s="12"/>
      <c r="AJ775" s="12"/>
      <c r="AM775" s="12"/>
      <c r="AX775" s="12"/>
      <c r="AY775" s="12"/>
      <c r="BA775" s="12"/>
      <c r="BD775" s="12"/>
      <c r="BI775" s="12"/>
      <c r="CG775" s="12"/>
      <c r="CI775" s="12"/>
      <c r="CJ775" s="12"/>
      <c r="CK775" s="12"/>
      <c r="CL775" s="12"/>
    </row>
    <row r="776" spans="18:90" ht="24.95" customHeight="1">
      <c r="R776" s="12"/>
      <c r="AF776" s="12"/>
      <c r="AG776" s="12"/>
      <c r="AH776" s="12"/>
      <c r="AJ776" s="12"/>
      <c r="AM776" s="12"/>
      <c r="AX776" s="12"/>
      <c r="AY776" s="12"/>
      <c r="BA776" s="12"/>
      <c r="BD776" s="12"/>
      <c r="BI776" s="12"/>
      <c r="CG776" s="12"/>
      <c r="CI776" s="12"/>
      <c r="CJ776" s="12"/>
      <c r="CK776" s="12"/>
      <c r="CL776" s="12"/>
    </row>
    <row r="777" spans="18:90" ht="24.95" customHeight="1">
      <c r="R777" s="12"/>
      <c r="AF777" s="12"/>
      <c r="AG777" s="12"/>
      <c r="AH777" s="12"/>
      <c r="AJ777" s="12"/>
      <c r="AM777" s="12"/>
      <c r="AX777" s="12"/>
      <c r="AY777" s="12"/>
      <c r="BA777" s="12"/>
      <c r="BD777" s="12"/>
      <c r="BI777" s="12"/>
      <c r="CG777" s="12"/>
      <c r="CI777" s="12"/>
      <c r="CJ777" s="12"/>
      <c r="CK777" s="12"/>
      <c r="CL777" s="12"/>
    </row>
    <row r="778" spans="18:90" ht="24.95" customHeight="1">
      <c r="R778" s="12"/>
      <c r="AF778" s="12"/>
      <c r="AG778" s="12"/>
      <c r="AH778" s="12"/>
      <c r="AJ778" s="12"/>
      <c r="AM778" s="12"/>
      <c r="AX778" s="12"/>
      <c r="AY778" s="12"/>
      <c r="BA778" s="12"/>
      <c r="BD778" s="12"/>
      <c r="BI778" s="12"/>
      <c r="CG778" s="12"/>
      <c r="CI778" s="12"/>
      <c r="CJ778" s="12"/>
      <c r="CK778" s="12"/>
      <c r="CL778" s="12"/>
    </row>
    <row r="779" spans="18:90" ht="24.95" customHeight="1">
      <c r="R779" s="12"/>
      <c r="AF779" s="12"/>
      <c r="AG779" s="12"/>
      <c r="AH779" s="12"/>
      <c r="AJ779" s="12"/>
      <c r="AM779" s="12"/>
      <c r="AX779" s="12"/>
      <c r="AY779" s="12"/>
      <c r="BA779" s="12"/>
      <c r="BD779" s="12"/>
      <c r="BI779" s="12"/>
      <c r="CG779" s="12"/>
      <c r="CI779" s="12"/>
      <c r="CJ779" s="12"/>
      <c r="CK779" s="12"/>
      <c r="CL779" s="12"/>
    </row>
    <row r="780" spans="18:90" ht="24.95" customHeight="1">
      <c r="R780" s="12"/>
      <c r="AF780" s="12"/>
      <c r="AG780" s="12"/>
      <c r="AH780" s="12"/>
      <c r="AJ780" s="12"/>
      <c r="AM780" s="12"/>
      <c r="AX780" s="12"/>
      <c r="AY780" s="12"/>
      <c r="BA780" s="12"/>
      <c r="BD780" s="12"/>
      <c r="BI780" s="12"/>
      <c r="CG780" s="12"/>
      <c r="CI780" s="12"/>
      <c r="CJ780" s="12"/>
      <c r="CK780" s="12"/>
      <c r="CL780" s="12"/>
    </row>
    <row r="781" spans="18:90" ht="24.95" customHeight="1">
      <c r="R781" s="12"/>
      <c r="AF781" s="12"/>
      <c r="AG781" s="12"/>
      <c r="AH781" s="12"/>
      <c r="AJ781" s="12"/>
      <c r="AM781" s="12"/>
      <c r="AX781" s="12"/>
      <c r="AY781" s="12"/>
      <c r="BA781" s="12"/>
      <c r="BD781" s="12"/>
      <c r="BI781" s="12"/>
      <c r="CG781" s="12"/>
      <c r="CI781" s="12"/>
      <c r="CJ781" s="12"/>
      <c r="CK781" s="12"/>
      <c r="CL781" s="12"/>
    </row>
    <row r="782" spans="18:90" ht="24.95" customHeight="1">
      <c r="R782" s="12"/>
      <c r="AF782" s="12"/>
      <c r="AG782" s="12"/>
      <c r="AH782" s="12"/>
      <c r="AJ782" s="12"/>
      <c r="AM782" s="12"/>
      <c r="AX782" s="12"/>
      <c r="AY782" s="12"/>
      <c r="BA782" s="12"/>
      <c r="BD782" s="12"/>
      <c r="BI782" s="12"/>
      <c r="CG782" s="12"/>
      <c r="CI782" s="12"/>
      <c r="CJ782" s="12"/>
      <c r="CK782" s="12"/>
      <c r="CL782" s="12"/>
    </row>
    <row r="783" spans="18:90" ht="24.95" customHeight="1">
      <c r="R783" s="12"/>
      <c r="AF783" s="12"/>
      <c r="AG783" s="12"/>
      <c r="AH783" s="12"/>
      <c r="AJ783" s="12"/>
      <c r="AM783" s="12"/>
      <c r="AX783" s="12"/>
      <c r="AY783" s="12"/>
      <c r="BA783" s="12"/>
      <c r="BD783" s="12"/>
      <c r="BI783" s="12"/>
      <c r="CG783" s="12"/>
      <c r="CI783" s="12"/>
      <c r="CJ783" s="12"/>
      <c r="CK783" s="12"/>
      <c r="CL783" s="12"/>
    </row>
    <row r="784" spans="18:90" ht="24.95" customHeight="1">
      <c r="R784" s="12"/>
      <c r="AF784" s="12"/>
      <c r="AG784" s="12"/>
      <c r="AH784" s="12"/>
      <c r="AJ784" s="12"/>
      <c r="AM784" s="12"/>
      <c r="AX784" s="12"/>
      <c r="AY784" s="12"/>
      <c r="BA784" s="12"/>
      <c r="BD784" s="12"/>
      <c r="BI784" s="12"/>
      <c r="CG784" s="12"/>
      <c r="CI784" s="12"/>
      <c r="CJ784" s="12"/>
      <c r="CK784" s="12"/>
      <c r="CL784" s="12"/>
    </row>
    <row r="785" spans="18:90" ht="24.95" customHeight="1">
      <c r="R785" s="12"/>
      <c r="AF785" s="12"/>
      <c r="AG785" s="12"/>
      <c r="AH785" s="12"/>
      <c r="AJ785" s="12"/>
      <c r="AM785" s="12"/>
      <c r="AX785" s="12"/>
      <c r="AY785" s="12"/>
      <c r="BA785" s="12"/>
      <c r="BD785" s="12"/>
      <c r="BI785" s="12"/>
      <c r="CG785" s="12"/>
      <c r="CI785" s="12"/>
      <c r="CJ785" s="12"/>
      <c r="CK785" s="12"/>
      <c r="CL785" s="12"/>
    </row>
    <row r="786" spans="18:90" ht="24.95" customHeight="1">
      <c r="R786" s="12"/>
      <c r="AF786" s="12"/>
      <c r="AG786" s="12"/>
      <c r="AH786" s="12"/>
      <c r="AJ786" s="12"/>
      <c r="AM786" s="12"/>
      <c r="AX786" s="12"/>
      <c r="AY786" s="12"/>
      <c r="BA786" s="12"/>
      <c r="BD786" s="12"/>
      <c r="BI786" s="12"/>
      <c r="CG786" s="12"/>
      <c r="CI786" s="12"/>
      <c r="CJ786" s="12"/>
      <c r="CK786" s="12"/>
      <c r="CL786" s="12"/>
    </row>
    <row r="787" spans="18:90" ht="24.95" customHeight="1">
      <c r="R787" s="12"/>
      <c r="AF787" s="12"/>
      <c r="AG787" s="12"/>
      <c r="AH787" s="12"/>
      <c r="AJ787" s="12"/>
      <c r="AM787" s="12"/>
      <c r="AX787" s="12"/>
      <c r="AY787" s="12"/>
      <c r="BA787" s="12"/>
      <c r="BD787" s="12"/>
      <c r="BI787" s="12"/>
      <c r="CG787" s="12"/>
      <c r="CI787" s="12"/>
      <c r="CJ787" s="12"/>
      <c r="CK787" s="12"/>
      <c r="CL787" s="12"/>
    </row>
    <row r="788" spans="18:90" ht="24.95" customHeight="1">
      <c r="R788" s="12"/>
      <c r="AF788" s="12"/>
      <c r="AG788" s="12"/>
      <c r="AH788" s="12"/>
      <c r="AJ788" s="12"/>
      <c r="AM788" s="12"/>
      <c r="AX788" s="12"/>
      <c r="AY788" s="12"/>
      <c r="BA788" s="12"/>
      <c r="BD788" s="12"/>
      <c r="BI788" s="12"/>
      <c r="CG788" s="12"/>
      <c r="CI788" s="12"/>
      <c r="CJ788" s="12"/>
      <c r="CK788" s="12"/>
      <c r="CL788" s="12"/>
    </row>
    <row r="789" spans="18:90" ht="24.95" customHeight="1">
      <c r="R789" s="12"/>
      <c r="AF789" s="12"/>
      <c r="AG789" s="12"/>
      <c r="AH789" s="12"/>
      <c r="AJ789" s="12"/>
      <c r="AM789" s="12"/>
      <c r="AX789" s="12"/>
      <c r="AY789" s="12"/>
      <c r="BA789" s="12"/>
      <c r="BD789" s="12"/>
      <c r="BI789" s="12"/>
      <c r="CG789" s="12"/>
      <c r="CI789" s="12"/>
      <c r="CJ789" s="12"/>
      <c r="CK789" s="12"/>
      <c r="CL789" s="12"/>
    </row>
    <row r="790" spans="18:90" ht="24.95" customHeight="1">
      <c r="R790" s="12"/>
      <c r="AF790" s="12"/>
      <c r="AG790" s="12"/>
      <c r="AH790" s="12"/>
      <c r="AJ790" s="12"/>
      <c r="AM790" s="12"/>
      <c r="AX790" s="12"/>
      <c r="AY790" s="12"/>
      <c r="BA790" s="12"/>
      <c r="BD790" s="12"/>
      <c r="BI790" s="12"/>
      <c r="CG790" s="12"/>
      <c r="CI790" s="12"/>
      <c r="CJ790" s="12"/>
      <c r="CK790" s="12"/>
      <c r="CL790" s="12"/>
    </row>
    <row r="791" spans="18:90" ht="24.95" customHeight="1">
      <c r="R791" s="12"/>
      <c r="AF791" s="12"/>
      <c r="AG791" s="12"/>
      <c r="AH791" s="12"/>
      <c r="AJ791" s="12"/>
      <c r="AM791" s="12"/>
      <c r="AX791" s="12"/>
      <c r="AY791" s="12"/>
      <c r="BA791" s="12"/>
      <c r="BD791" s="12"/>
      <c r="BI791" s="12"/>
      <c r="CG791" s="12"/>
      <c r="CI791" s="12"/>
      <c r="CJ791" s="12"/>
      <c r="CK791" s="12"/>
      <c r="CL791" s="12"/>
    </row>
    <row r="792" spans="18:90" ht="24.95" customHeight="1">
      <c r="R792" s="12"/>
      <c r="AF792" s="12"/>
      <c r="AG792" s="12"/>
      <c r="AH792" s="12"/>
      <c r="AJ792" s="12"/>
      <c r="AM792" s="12"/>
      <c r="AX792" s="12"/>
      <c r="AY792" s="12"/>
      <c r="BA792" s="12"/>
      <c r="BD792" s="12"/>
      <c r="BI792" s="12"/>
      <c r="CG792" s="12"/>
      <c r="CI792" s="12"/>
      <c r="CJ792" s="12"/>
      <c r="CK792" s="12"/>
      <c r="CL792" s="12"/>
    </row>
    <row r="793" spans="18:90" ht="24.95" customHeight="1">
      <c r="R793" s="12"/>
      <c r="AF793" s="12"/>
      <c r="AG793" s="12"/>
      <c r="AH793" s="12"/>
      <c r="AJ793" s="12"/>
      <c r="AM793" s="12"/>
      <c r="AX793" s="12"/>
      <c r="AY793" s="12"/>
      <c r="BA793" s="12"/>
      <c r="BD793" s="12"/>
      <c r="BI793" s="12"/>
      <c r="CG793" s="12"/>
      <c r="CI793" s="12"/>
      <c r="CJ793" s="12"/>
      <c r="CK793" s="12"/>
      <c r="CL793" s="12"/>
    </row>
    <row r="794" spans="18:90" ht="24.95" customHeight="1">
      <c r="R794" s="12"/>
      <c r="AF794" s="12"/>
      <c r="AG794" s="12"/>
      <c r="AH794" s="12"/>
      <c r="AJ794" s="12"/>
      <c r="AM794" s="12"/>
      <c r="AX794" s="12"/>
      <c r="AY794" s="12"/>
      <c r="BA794" s="12"/>
      <c r="BD794" s="12"/>
      <c r="BI794" s="12"/>
      <c r="CG794" s="12"/>
      <c r="CI794" s="12"/>
      <c r="CJ794" s="12"/>
      <c r="CK794" s="12"/>
      <c r="CL794" s="12"/>
    </row>
    <row r="795" spans="18:90" ht="24.95" customHeight="1">
      <c r="R795" s="12"/>
      <c r="AF795" s="12"/>
      <c r="AG795" s="12"/>
      <c r="AH795" s="12"/>
      <c r="AJ795" s="12"/>
      <c r="AM795" s="12"/>
      <c r="AX795" s="12"/>
      <c r="AY795" s="12"/>
      <c r="BA795" s="12"/>
      <c r="BD795" s="12"/>
      <c r="BI795" s="12"/>
      <c r="CG795" s="12"/>
      <c r="CI795" s="12"/>
      <c r="CJ795" s="12"/>
      <c r="CK795" s="12"/>
      <c r="CL795" s="12"/>
    </row>
    <row r="796" spans="18:90" ht="24.95" customHeight="1">
      <c r="R796" s="12"/>
      <c r="AF796" s="12"/>
      <c r="AG796" s="12"/>
      <c r="AH796" s="12"/>
      <c r="AJ796" s="12"/>
      <c r="AM796" s="12"/>
      <c r="AX796" s="12"/>
      <c r="AY796" s="12"/>
      <c r="BA796" s="12"/>
      <c r="BD796" s="12"/>
      <c r="BI796" s="12"/>
      <c r="CG796" s="12"/>
      <c r="CI796" s="12"/>
      <c r="CJ796" s="12"/>
      <c r="CK796" s="12"/>
      <c r="CL796" s="12"/>
    </row>
    <row r="797" spans="18:90" ht="24.95" customHeight="1">
      <c r="R797" s="12"/>
      <c r="AF797" s="12"/>
      <c r="AG797" s="12"/>
      <c r="AH797" s="12"/>
      <c r="AJ797" s="12"/>
      <c r="AM797" s="12"/>
      <c r="AX797" s="12"/>
      <c r="AY797" s="12"/>
      <c r="BA797" s="12"/>
      <c r="BD797" s="12"/>
      <c r="BI797" s="12"/>
      <c r="CG797" s="12"/>
      <c r="CI797" s="12"/>
      <c r="CJ797" s="12"/>
      <c r="CK797" s="12"/>
      <c r="CL797" s="12"/>
    </row>
    <row r="798" spans="18:90" ht="24.95" customHeight="1">
      <c r="R798" s="12"/>
      <c r="AF798" s="12"/>
      <c r="AG798" s="12"/>
      <c r="AH798" s="12"/>
      <c r="AJ798" s="12"/>
      <c r="AM798" s="12"/>
      <c r="AX798" s="12"/>
      <c r="AY798" s="12"/>
      <c r="BA798" s="12"/>
      <c r="BD798" s="12"/>
      <c r="BI798" s="12"/>
      <c r="CG798" s="12"/>
      <c r="CI798" s="12"/>
      <c r="CJ798" s="12"/>
      <c r="CK798" s="12"/>
      <c r="CL798" s="12"/>
    </row>
    <row r="799" spans="18:90" ht="24.95" customHeight="1">
      <c r="R799" s="12"/>
      <c r="AF799" s="12"/>
      <c r="AG799" s="12"/>
      <c r="AH799" s="12"/>
      <c r="AJ799" s="12"/>
      <c r="AM799" s="12"/>
      <c r="AX799" s="12"/>
      <c r="AY799" s="12"/>
      <c r="BA799" s="12"/>
      <c r="BD799" s="12"/>
      <c r="BI799" s="12"/>
      <c r="CG799" s="12"/>
      <c r="CI799" s="12"/>
      <c r="CJ799" s="12"/>
      <c r="CK799" s="12"/>
      <c r="CL799" s="12"/>
    </row>
    <row r="800" spans="18:90" ht="24.95" customHeight="1">
      <c r="R800" s="12"/>
      <c r="AF800" s="12"/>
      <c r="AG800" s="12"/>
      <c r="AH800" s="12"/>
      <c r="AJ800" s="12"/>
      <c r="AM800" s="12"/>
      <c r="AX800" s="12"/>
      <c r="AY800" s="12"/>
      <c r="BA800" s="12"/>
      <c r="BD800" s="12"/>
      <c r="BI800" s="12"/>
      <c r="CG800" s="12"/>
      <c r="CI800" s="12"/>
      <c r="CJ800" s="12"/>
      <c r="CK800" s="12"/>
      <c r="CL800" s="12"/>
    </row>
    <row r="801" spans="18:90" ht="24.95" customHeight="1">
      <c r="R801" s="12"/>
      <c r="AF801" s="12"/>
      <c r="AG801" s="12"/>
      <c r="AH801" s="12"/>
      <c r="AJ801" s="12"/>
      <c r="AM801" s="12"/>
      <c r="AX801" s="12"/>
      <c r="AY801" s="12"/>
      <c r="BA801" s="12"/>
      <c r="BD801" s="12"/>
      <c r="BI801" s="12"/>
      <c r="CG801" s="12"/>
      <c r="CI801" s="12"/>
      <c r="CJ801" s="12"/>
      <c r="CK801" s="12"/>
      <c r="CL801" s="12"/>
    </row>
    <row r="802" spans="18:90" ht="24.95" customHeight="1">
      <c r="R802" s="12"/>
      <c r="AF802" s="12"/>
      <c r="AG802" s="12"/>
      <c r="AH802" s="12"/>
      <c r="AJ802" s="12"/>
      <c r="AM802" s="12"/>
      <c r="AX802" s="12"/>
      <c r="AY802" s="12"/>
      <c r="BA802" s="12"/>
      <c r="BD802" s="12"/>
      <c r="BI802" s="12"/>
      <c r="CG802" s="12"/>
      <c r="CI802" s="12"/>
      <c r="CJ802" s="12"/>
      <c r="CK802" s="12"/>
      <c r="CL802" s="12"/>
    </row>
    <row r="803" spans="18:90" ht="24.95" customHeight="1">
      <c r="R803" s="12"/>
      <c r="AF803" s="12"/>
      <c r="AG803" s="12"/>
      <c r="AH803" s="12"/>
      <c r="AJ803" s="12"/>
      <c r="AM803" s="12"/>
      <c r="AX803" s="12"/>
      <c r="AY803" s="12"/>
      <c r="BA803" s="12"/>
      <c r="BD803" s="12"/>
      <c r="BI803" s="12"/>
      <c r="CG803" s="12"/>
      <c r="CI803" s="12"/>
      <c r="CJ803" s="12"/>
      <c r="CK803" s="12"/>
      <c r="CL803" s="12"/>
    </row>
    <row r="804" spans="18:90" ht="24.95" customHeight="1">
      <c r="R804" s="12"/>
      <c r="AF804" s="12"/>
      <c r="AG804" s="12"/>
      <c r="AH804" s="12"/>
      <c r="AJ804" s="12"/>
      <c r="AM804" s="12"/>
      <c r="AX804" s="12"/>
      <c r="AY804" s="12"/>
      <c r="BA804" s="12"/>
      <c r="BD804" s="12"/>
      <c r="BI804" s="12"/>
      <c r="CG804" s="12"/>
      <c r="CI804" s="12"/>
      <c r="CJ804" s="12"/>
      <c r="CK804" s="12"/>
      <c r="CL804" s="12"/>
    </row>
    <row r="805" spans="18:90" ht="24.95" customHeight="1">
      <c r="R805" s="12"/>
      <c r="AF805" s="12"/>
      <c r="AG805" s="12"/>
      <c r="AH805" s="12"/>
      <c r="AJ805" s="12"/>
      <c r="AM805" s="12"/>
      <c r="AX805" s="12"/>
      <c r="AY805" s="12"/>
      <c r="BA805" s="12"/>
      <c r="BD805" s="12"/>
      <c r="BI805" s="12"/>
      <c r="CG805" s="12"/>
      <c r="CI805" s="12"/>
      <c r="CJ805" s="12"/>
      <c r="CK805" s="12"/>
      <c r="CL805" s="12"/>
    </row>
    <row r="806" spans="18:90" ht="24.95" customHeight="1">
      <c r="R806" s="12"/>
      <c r="AF806" s="12"/>
      <c r="AG806" s="12"/>
      <c r="AH806" s="12"/>
      <c r="AJ806" s="12"/>
      <c r="AM806" s="12"/>
      <c r="AX806" s="12"/>
      <c r="AY806" s="12"/>
      <c r="BA806" s="12"/>
      <c r="BD806" s="12"/>
      <c r="BI806" s="12"/>
      <c r="CG806" s="12"/>
      <c r="CI806" s="12"/>
      <c r="CJ806" s="12"/>
      <c r="CK806" s="12"/>
      <c r="CL806" s="12"/>
    </row>
    <row r="807" spans="18:90" ht="24.95" customHeight="1">
      <c r="R807" s="12"/>
      <c r="AF807" s="12"/>
      <c r="AG807" s="12"/>
      <c r="AH807" s="12"/>
      <c r="AJ807" s="12"/>
      <c r="AM807" s="12"/>
      <c r="AX807" s="12"/>
      <c r="AY807" s="12"/>
      <c r="BA807" s="12"/>
      <c r="BD807" s="12"/>
      <c r="BI807" s="12"/>
      <c r="CG807" s="12"/>
      <c r="CI807" s="12"/>
      <c r="CJ807" s="12"/>
      <c r="CK807" s="12"/>
      <c r="CL807" s="12"/>
    </row>
    <row r="808" spans="18:90" ht="24.95" customHeight="1">
      <c r="R808" s="12"/>
      <c r="AF808" s="12"/>
      <c r="AG808" s="12"/>
      <c r="AH808" s="12"/>
      <c r="AJ808" s="12"/>
      <c r="AM808" s="12"/>
      <c r="AX808" s="12"/>
      <c r="AY808" s="12"/>
      <c r="BA808" s="12"/>
      <c r="BD808" s="12"/>
      <c r="BI808" s="12"/>
      <c r="CG808" s="12"/>
      <c r="CI808" s="12"/>
      <c r="CJ808" s="12"/>
      <c r="CK808" s="12"/>
      <c r="CL808" s="12"/>
    </row>
    <row r="809" spans="18:90" ht="24.95" customHeight="1">
      <c r="R809" s="12"/>
      <c r="AF809" s="12"/>
      <c r="AG809" s="12"/>
      <c r="AH809" s="12"/>
      <c r="AJ809" s="12"/>
      <c r="AM809" s="12"/>
      <c r="AX809" s="12"/>
      <c r="AY809" s="12"/>
      <c r="BA809" s="12"/>
      <c r="BD809" s="12"/>
      <c r="BI809" s="12"/>
      <c r="CG809" s="12"/>
      <c r="CI809" s="12"/>
      <c r="CJ809" s="12"/>
      <c r="CK809" s="12"/>
      <c r="CL809" s="12"/>
    </row>
    <row r="810" spans="18:90" ht="24.95" customHeight="1">
      <c r="R810" s="12"/>
      <c r="AF810" s="12"/>
      <c r="AG810" s="12"/>
      <c r="AH810" s="12"/>
      <c r="AJ810" s="12"/>
      <c r="AM810" s="12"/>
      <c r="AX810" s="12"/>
      <c r="AY810" s="12"/>
      <c r="BA810" s="12"/>
      <c r="BD810" s="12"/>
      <c r="BI810" s="12"/>
      <c r="CG810" s="12"/>
      <c r="CI810" s="12"/>
      <c r="CJ810" s="12"/>
      <c r="CK810" s="12"/>
      <c r="CL810" s="12"/>
    </row>
    <row r="811" spans="18:90" ht="24.95" customHeight="1">
      <c r="R811" s="12"/>
      <c r="AF811" s="12"/>
      <c r="AG811" s="12"/>
      <c r="AH811" s="12"/>
      <c r="AJ811" s="12"/>
      <c r="AM811" s="12"/>
      <c r="AX811" s="12"/>
      <c r="AY811" s="12"/>
      <c r="BA811" s="12"/>
      <c r="BD811" s="12"/>
      <c r="BI811" s="12"/>
      <c r="CG811" s="12"/>
      <c r="CI811" s="12"/>
      <c r="CJ811" s="12"/>
      <c r="CK811" s="12"/>
      <c r="CL811" s="12"/>
    </row>
    <row r="812" spans="18:90" ht="24.95" customHeight="1">
      <c r="R812" s="12"/>
      <c r="AF812" s="12"/>
      <c r="AG812" s="12"/>
      <c r="AH812" s="12"/>
      <c r="AJ812" s="12"/>
      <c r="AM812" s="12"/>
      <c r="AX812" s="12"/>
      <c r="AY812" s="12"/>
      <c r="BA812" s="12"/>
      <c r="BD812" s="12"/>
      <c r="BI812" s="12"/>
      <c r="CG812" s="12"/>
      <c r="CI812" s="12"/>
      <c r="CJ812" s="12"/>
      <c r="CK812" s="12"/>
      <c r="CL812" s="12"/>
    </row>
    <row r="813" spans="18:90" ht="24.95" customHeight="1">
      <c r="R813" s="12"/>
      <c r="AF813" s="12"/>
      <c r="AG813" s="12"/>
      <c r="AH813" s="12"/>
      <c r="AJ813" s="12"/>
      <c r="AM813" s="12"/>
      <c r="AX813" s="12"/>
      <c r="AY813" s="12"/>
      <c r="BA813" s="12"/>
      <c r="BD813" s="12"/>
      <c r="BI813" s="12"/>
      <c r="CG813" s="12"/>
      <c r="CI813" s="12"/>
      <c r="CJ813" s="12"/>
      <c r="CK813" s="12"/>
      <c r="CL813" s="12"/>
    </row>
    <row r="814" spans="18:90" ht="24.95" customHeight="1">
      <c r="R814" s="12"/>
      <c r="AF814" s="12"/>
      <c r="AG814" s="12"/>
      <c r="AH814" s="12"/>
      <c r="AJ814" s="12"/>
      <c r="AM814" s="12"/>
      <c r="AX814" s="12"/>
      <c r="AY814" s="12"/>
      <c r="BA814" s="12"/>
      <c r="BD814" s="12"/>
      <c r="BI814" s="12"/>
      <c r="CG814" s="12"/>
      <c r="CI814" s="12"/>
      <c r="CJ814" s="12"/>
      <c r="CK814" s="12"/>
      <c r="CL814" s="12"/>
    </row>
    <row r="815" spans="18:90" ht="24.95" customHeight="1">
      <c r="R815" s="12"/>
      <c r="AF815" s="12"/>
      <c r="AG815" s="12"/>
      <c r="AH815" s="12"/>
      <c r="AJ815" s="12"/>
      <c r="AM815" s="12"/>
      <c r="AX815" s="12"/>
      <c r="AY815" s="12"/>
      <c r="BA815" s="12"/>
      <c r="BD815" s="12"/>
      <c r="BI815" s="12"/>
      <c r="CG815" s="12"/>
      <c r="CI815" s="12"/>
      <c r="CJ815" s="12"/>
      <c r="CK815" s="12"/>
      <c r="CL815" s="12"/>
    </row>
    <row r="816" spans="18:90" ht="24.95" customHeight="1">
      <c r="R816" s="12"/>
      <c r="AF816" s="12"/>
      <c r="AG816" s="12"/>
      <c r="AH816" s="12"/>
      <c r="AJ816" s="12"/>
      <c r="AM816" s="12"/>
      <c r="AX816" s="12"/>
      <c r="AY816" s="12"/>
      <c r="BA816" s="12"/>
      <c r="BD816" s="12"/>
      <c r="BI816" s="12"/>
      <c r="CG816" s="12"/>
      <c r="CI816" s="12"/>
      <c r="CJ816" s="12"/>
      <c r="CK816" s="12"/>
      <c r="CL816" s="12"/>
    </row>
    <row r="817" spans="18:90" ht="24.95" customHeight="1">
      <c r="R817" s="12"/>
      <c r="AF817" s="12"/>
      <c r="AG817" s="12"/>
      <c r="AH817" s="12"/>
      <c r="AJ817" s="12"/>
      <c r="AM817" s="12"/>
      <c r="AX817" s="12"/>
      <c r="AY817" s="12"/>
      <c r="BA817" s="12"/>
      <c r="BD817" s="12"/>
      <c r="BI817" s="12"/>
      <c r="CG817" s="12"/>
      <c r="CI817" s="12"/>
      <c r="CJ817" s="12"/>
      <c r="CK817" s="12"/>
      <c r="CL817" s="12"/>
    </row>
    <row r="818" spans="18:90" ht="24.95" customHeight="1">
      <c r="R818" s="12"/>
      <c r="AF818" s="12"/>
      <c r="AG818" s="12"/>
      <c r="AH818" s="12"/>
      <c r="AJ818" s="12"/>
      <c r="AM818" s="12"/>
      <c r="AX818" s="12"/>
      <c r="AY818" s="12"/>
      <c r="BA818" s="12"/>
      <c r="BD818" s="12"/>
      <c r="BI818" s="12"/>
      <c r="CG818" s="12"/>
      <c r="CI818" s="12"/>
      <c r="CJ818" s="12"/>
      <c r="CK818" s="12"/>
      <c r="CL818" s="12"/>
    </row>
    <row r="819" spans="18:90" ht="24.95" customHeight="1">
      <c r="R819" s="12"/>
      <c r="AF819" s="12"/>
      <c r="AG819" s="12"/>
      <c r="AH819" s="12"/>
      <c r="AJ819" s="12"/>
      <c r="AM819" s="12"/>
      <c r="AX819" s="12"/>
      <c r="AY819" s="12"/>
      <c r="BA819" s="12"/>
      <c r="BD819" s="12"/>
      <c r="BI819" s="12"/>
      <c r="CG819" s="12"/>
      <c r="CI819" s="12"/>
      <c r="CJ819" s="12"/>
      <c r="CK819" s="12"/>
      <c r="CL819" s="12"/>
    </row>
    <row r="820" spans="18:90" ht="24.95" customHeight="1">
      <c r="R820" s="12"/>
      <c r="AF820" s="12"/>
      <c r="AG820" s="12"/>
      <c r="AH820" s="12"/>
      <c r="AJ820" s="12"/>
      <c r="AM820" s="12"/>
      <c r="AX820" s="12"/>
      <c r="AY820" s="12"/>
      <c r="BA820" s="12"/>
      <c r="BD820" s="12"/>
      <c r="BI820" s="12"/>
      <c r="CG820" s="12"/>
      <c r="CI820" s="12"/>
      <c r="CJ820" s="12"/>
      <c r="CK820" s="12"/>
      <c r="CL820" s="12"/>
    </row>
    <row r="821" spans="18:90" ht="24.95" customHeight="1">
      <c r="R821" s="12"/>
      <c r="AF821" s="12"/>
      <c r="AG821" s="12"/>
      <c r="AH821" s="12"/>
      <c r="AJ821" s="12"/>
      <c r="AM821" s="12"/>
      <c r="AX821" s="12"/>
      <c r="AY821" s="12"/>
      <c r="BA821" s="12"/>
      <c r="BD821" s="12"/>
      <c r="BI821" s="12"/>
      <c r="CG821" s="12"/>
      <c r="CI821" s="12"/>
      <c r="CJ821" s="12"/>
      <c r="CK821" s="12"/>
      <c r="CL821" s="12"/>
    </row>
    <row r="822" spans="18:90" ht="24.95" customHeight="1">
      <c r="R822" s="12"/>
      <c r="AF822" s="12"/>
      <c r="AG822" s="12"/>
      <c r="AH822" s="12"/>
      <c r="AJ822" s="12"/>
      <c r="AM822" s="12"/>
      <c r="AX822" s="12"/>
      <c r="AY822" s="12"/>
      <c r="BA822" s="12"/>
      <c r="BD822" s="12"/>
      <c r="BI822" s="12"/>
      <c r="CG822" s="12"/>
      <c r="CI822" s="12"/>
      <c r="CJ822" s="12"/>
      <c r="CK822" s="12"/>
      <c r="CL822" s="12"/>
    </row>
    <row r="823" spans="18:90" ht="24.95" customHeight="1">
      <c r="R823" s="12"/>
      <c r="AF823" s="12"/>
      <c r="AG823" s="12"/>
      <c r="AH823" s="12"/>
      <c r="AJ823" s="12"/>
      <c r="AM823" s="12"/>
      <c r="AX823" s="12"/>
      <c r="AY823" s="12"/>
      <c r="BA823" s="12"/>
      <c r="BD823" s="12"/>
      <c r="BI823" s="12"/>
      <c r="CG823" s="12"/>
      <c r="CI823" s="12"/>
      <c r="CJ823" s="12"/>
      <c r="CK823" s="12"/>
      <c r="CL823" s="12"/>
    </row>
    <row r="824" spans="18:90" ht="24.95" customHeight="1">
      <c r="R824" s="12"/>
      <c r="AF824" s="12"/>
      <c r="AG824" s="12"/>
      <c r="AH824" s="12"/>
      <c r="AJ824" s="12"/>
      <c r="AM824" s="12"/>
      <c r="AX824" s="12"/>
      <c r="AY824" s="12"/>
      <c r="BA824" s="12"/>
      <c r="BD824" s="12"/>
      <c r="BI824" s="12"/>
      <c r="CG824" s="12"/>
      <c r="CI824" s="12"/>
      <c r="CJ824" s="12"/>
      <c r="CK824" s="12"/>
      <c r="CL824" s="12"/>
    </row>
    <row r="825" spans="18:90" ht="24.95" customHeight="1">
      <c r="R825" s="12"/>
      <c r="AF825" s="12"/>
      <c r="AG825" s="12"/>
      <c r="AH825" s="12"/>
      <c r="AJ825" s="12"/>
      <c r="AM825" s="12"/>
      <c r="AX825" s="12"/>
      <c r="AY825" s="12"/>
      <c r="BA825" s="12"/>
      <c r="BD825" s="12"/>
      <c r="BI825" s="12"/>
      <c r="CG825" s="12"/>
      <c r="CI825" s="12"/>
      <c r="CJ825" s="12"/>
      <c r="CK825" s="12"/>
      <c r="CL825" s="12"/>
    </row>
    <row r="826" spans="18:90" ht="24.95" customHeight="1">
      <c r="R826" s="12"/>
      <c r="AF826" s="12"/>
      <c r="AG826" s="12"/>
      <c r="AH826" s="12"/>
      <c r="AJ826" s="12"/>
      <c r="AM826" s="12"/>
      <c r="AX826" s="12"/>
      <c r="AY826" s="12"/>
      <c r="BA826" s="12"/>
      <c r="BD826" s="12"/>
      <c r="BI826" s="12"/>
      <c r="CG826" s="12"/>
      <c r="CI826" s="12"/>
      <c r="CJ826" s="12"/>
      <c r="CK826" s="12"/>
      <c r="CL826" s="12"/>
    </row>
    <row r="827" spans="18:90" ht="24.95" customHeight="1">
      <c r="R827" s="12"/>
      <c r="AF827" s="12"/>
      <c r="AG827" s="12"/>
      <c r="AH827" s="12"/>
      <c r="AJ827" s="12"/>
      <c r="AM827" s="12"/>
      <c r="AX827" s="12"/>
      <c r="AY827" s="12"/>
      <c r="BA827" s="12"/>
      <c r="BD827" s="12"/>
      <c r="BI827" s="12"/>
      <c r="CG827" s="12"/>
      <c r="CI827" s="12"/>
      <c r="CJ827" s="12"/>
      <c r="CK827" s="12"/>
      <c r="CL827" s="12"/>
    </row>
    <row r="828" spans="18:90" ht="24.95" customHeight="1">
      <c r="R828" s="12"/>
      <c r="AF828" s="12"/>
      <c r="AG828" s="12"/>
      <c r="AH828" s="12"/>
      <c r="AJ828" s="12"/>
      <c r="AM828" s="12"/>
      <c r="AX828" s="12"/>
      <c r="AY828" s="12"/>
      <c r="BA828" s="12"/>
      <c r="BD828" s="12"/>
      <c r="BI828" s="12"/>
      <c r="CG828" s="12"/>
      <c r="CI828" s="12"/>
      <c r="CJ828" s="12"/>
      <c r="CK828" s="12"/>
      <c r="CL828" s="12"/>
    </row>
    <row r="829" spans="18:90" ht="24.95" customHeight="1">
      <c r="R829" s="12"/>
      <c r="AF829" s="12"/>
      <c r="AG829" s="12"/>
      <c r="AH829" s="12"/>
      <c r="AJ829" s="12"/>
      <c r="AM829" s="12"/>
      <c r="AX829" s="12"/>
      <c r="AY829" s="12"/>
      <c r="BA829" s="12"/>
      <c r="BD829" s="12"/>
      <c r="BI829" s="12"/>
      <c r="CG829" s="12"/>
      <c r="CI829" s="12"/>
      <c r="CJ829" s="12"/>
      <c r="CK829" s="12"/>
      <c r="CL829" s="12"/>
    </row>
    <row r="830" spans="18:90" ht="24.95" customHeight="1">
      <c r="R830" s="12"/>
      <c r="AF830" s="12"/>
      <c r="AG830" s="12"/>
      <c r="AH830" s="12"/>
      <c r="AJ830" s="12"/>
      <c r="AM830" s="12"/>
      <c r="AX830" s="12"/>
      <c r="AY830" s="12"/>
      <c r="BA830" s="12"/>
      <c r="BD830" s="12"/>
      <c r="BI830" s="12"/>
      <c r="CG830" s="12"/>
      <c r="CI830" s="12"/>
      <c r="CJ830" s="12"/>
      <c r="CK830" s="12"/>
      <c r="CL830" s="12"/>
    </row>
    <row r="831" spans="18:90" ht="24.95" customHeight="1">
      <c r="R831" s="12"/>
      <c r="AF831" s="12"/>
      <c r="AG831" s="12"/>
      <c r="AH831" s="12"/>
      <c r="AJ831" s="12"/>
      <c r="AM831" s="12"/>
      <c r="AX831" s="12"/>
      <c r="AY831" s="12"/>
      <c r="BA831" s="12"/>
      <c r="BD831" s="12"/>
      <c r="BI831" s="12"/>
      <c r="CG831" s="12"/>
      <c r="CI831" s="12"/>
      <c r="CJ831" s="12"/>
      <c r="CK831" s="12"/>
      <c r="CL831" s="12"/>
    </row>
    <row r="832" spans="18:90" ht="24.95" customHeight="1">
      <c r="R832" s="12"/>
      <c r="AF832" s="12"/>
      <c r="AG832" s="12"/>
      <c r="AH832" s="12"/>
      <c r="AJ832" s="12"/>
      <c r="AM832" s="12"/>
      <c r="AX832" s="12"/>
      <c r="AY832" s="12"/>
      <c r="BA832" s="12"/>
      <c r="BD832" s="12"/>
      <c r="BI832" s="12"/>
      <c r="CG832" s="12"/>
      <c r="CI832" s="12"/>
      <c r="CJ832" s="12"/>
      <c r="CK832" s="12"/>
      <c r="CL832" s="12"/>
    </row>
    <row r="833" spans="18:90" ht="24.95" customHeight="1">
      <c r="R833" s="12"/>
      <c r="AF833" s="12"/>
      <c r="AG833" s="12"/>
      <c r="AH833" s="12"/>
      <c r="AJ833" s="12"/>
      <c r="AM833" s="12"/>
      <c r="AX833" s="12"/>
      <c r="AY833" s="12"/>
      <c r="BA833" s="12"/>
      <c r="BD833" s="12"/>
      <c r="BI833" s="12"/>
      <c r="CG833" s="12"/>
      <c r="CI833" s="12"/>
      <c r="CJ833" s="12"/>
      <c r="CK833" s="12"/>
      <c r="CL833" s="12"/>
    </row>
    <row r="834" spans="18:90" ht="24.95" customHeight="1">
      <c r="R834" s="12"/>
      <c r="AF834" s="12"/>
      <c r="AG834" s="12"/>
      <c r="AH834" s="12"/>
      <c r="AJ834" s="12"/>
      <c r="AM834" s="12"/>
      <c r="AX834" s="12"/>
      <c r="AY834" s="12"/>
      <c r="BA834" s="12"/>
      <c r="BD834" s="12"/>
      <c r="BI834" s="12"/>
      <c r="CG834" s="12"/>
      <c r="CI834" s="12"/>
      <c r="CJ834" s="12"/>
      <c r="CK834" s="12"/>
      <c r="CL834" s="12"/>
    </row>
    <row r="835" spans="18:90" ht="24.95" customHeight="1">
      <c r="R835" s="12"/>
      <c r="AF835" s="12"/>
      <c r="AG835" s="12"/>
      <c r="AH835" s="12"/>
      <c r="AJ835" s="12"/>
      <c r="AM835" s="12"/>
      <c r="AX835" s="12"/>
      <c r="AY835" s="12"/>
      <c r="BA835" s="12"/>
      <c r="BD835" s="12"/>
      <c r="BI835" s="12"/>
      <c r="CG835" s="12"/>
      <c r="CI835" s="12"/>
      <c r="CJ835" s="12"/>
      <c r="CK835" s="12"/>
      <c r="CL835" s="12"/>
    </row>
    <row r="836" spans="18:90" ht="24.95" customHeight="1">
      <c r="R836" s="12"/>
      <c r="AF836" s="12"/>
      <c r="AG836" s="12"/>
      <c r="AH836" s="12"/>
      <c r="AJ836" s="12"/>
      <c r="AM836" s="12"/>
      <c r="AX836" s="12"/>
      <c r="AY836" s="12"/>
      <c r="BA836" s="12"/>
      <c r="BD836" s="12"/>
      <c r="BI836" s="12"/>
      <c r="CG836" s="12"/>
      <c r="CI836" s="12"/>
      <c r="CJ836" s="12"/>
      <c r="CK836" s="12"/>
      <c r="CL836" s="12"/>
    </row>
    <row r="837" spans="18:90" ht="24.95" customHeight="1">
      <c r="R837" s="12"/>
      <c r="AF837" s="12"/>
      <c r="AG837" s="12"/>
      <c r="AH837" s="12"/>
      <c r="AJ837" s="12"/>
      <c r="AM837" s="12"/>
      <c r="AX837" s="12"/>
      <c r="AY837" s="12"/>
      <c r="BA837" s="12"/>
      <c r="BD837" s="12"/>
      <c r="BI837" s="12"/>
      <c r="CG837" s="12"/>
      <c r="CI837" s="12"/>
      <c r="CJ837" s="12"/>
      <c r="CK837" s="12"/>
      <c r="CL837" s="12"/>
    </row>
    <row r="838" spans="18:90" ht="24.95" customHeight="1">
      <c r="R838" s="12"/>
      <c r="AF838" s="12"/>
      <c r="AG838" s="12"/>
      <c r="AH838" s="12"/>
      <c r="AJ838" s="12"/>
      <c r="AM838" s="12"/>
      <c r="AX838" s="12"/>
      <c r="AY838" s="12"/>
      <c r="BA838" s="12"/>
      <c r="BD838" s="12"/>
      <c r="BI838" s="12"/>
      <c r="CG838" s="12"/>
      <c r="CI838" s="12"/>
      <c r="CJ838" s="12"/>
      <c r="CK838" s="12"/>
      <c r="CL838" s="12"/>
    </row>
    <row r="839" spans="18:90" ht="24.95" customHeight="1">
      <c r="R839" s="12"/>
      <c r="AF839" s="12"/>
      <c r="AG839" s="12"/>
      <c r="AH839" s="12"/>
      <c r="AJ839" s="12"/>
      <c r="AM839" s="12"/>
      <c r="AX839" s="12"/>
      <c r="AY839" s="12"/>
      <c r="BA839" s="12"/>
      <c r="BD839" s="12"/>
      <c r="BI839" s="12"/>
      <c r="CG839" s="12"/>
      <c r="CI839" s="12"/>
      <c r="CJ839" s="12"/>
      <c r="CK839" s="12"/>
      <c r="CL839" s="12"/>
    </row>
    <row r="840" spans="18:90" ht="24.95" customHeight="1">
      <c r="R840" s="12"/>
      <c r="AF840" s="12"/>
      <c r="AG840" s="12"/>
      <c r="AH840" s="12"/>
      <c r="AJ840" s="12"/>
      <c r="AM840" s="12"/>
      <c r="AX840" s="12"/>
      <c r="AY840" s="12"/>
      <c r="BA840" s="12"/>
      <c r="BD840" s="12"/>
      <c r="BI840" s="12"/>
      <c r="CG840" s="12"/>
      <c r="CI840" s="12"/>
      <c r="CJ840" s="12"/>
      <c r="CK840" s="12"/>
      <c r="CL840" s="12"/>
    </row>
    <row r="841" spans="18:90" ht="24.95" customHeight="1">
      <c r="R841" s="12"/>
      <c r="AF841" s="12"/>
      <c r="AG841" s="12"/>
      <c r="AH841" s="12"/>
      <c r="AJ841" s="12"/>
      <c r="AM841" s="12"/>
      <c r="AX841" s="12"/>
      <c r="AY841" s="12"/>
      <c r="BA841" s="12"/>
      <c r="BD841" s="12"/>
      <c r="BI841" s="12"/>
      <c r="CG841" s="12"/>
      <c r="CI841" s="12"/>
      <c r="CJ841" s="12"/>
      <c r="CK841" s="12"/>
      <c r="CL841" s="12"/>
    </row>
    <row r="842" spans="18:90" ht="24.95" customHeight="1">
      <c r="R842" s="12"/>
      <c r="AF842" s="12"/>
      <c r="AG842" s="12"/>
      <c r="AH842" s="12"/>
      <c r="AJ842" s="12"/>
      <c r="AM842" s="12"/>
      <c r="AX842" s="12"/>
      <c r="AY842" s="12"/>
      <c r="BA842" s="12"/>
      <c r="BD842" s="12"/>
      <c r="BI842" s="12"/>
      <c r="CG842" s="12"/>
      <c r="CI842" s="12"/>
      <c r="CJ842" s="12"/>
      <c r="CK842" s="12"/>
      <c r="CL842" s="12"/>
    </row>
    <row r="843" spans="18:90" ht="24.95" customHeight="1">
      <c r="R843" s="12"/>
      <c r="AF843" s="12"/>
      <c r="AG843" s="12"/>
      <c r="AH843" s="12"/>
      <c r="AJ843" s="12"/>
      <c r="AM843" s="12"/>
      <c r="AX843" s="12"/>
      <c r="AY843" s="12"/>
      <c r="BA843" s="12"/>
      <c r="BD843" s="12"/>
      <c r="BI843" s="12"/>
      <c r="CG843" s="12"/>
      <c r="CI843" s="12"/>
      <c r="CJ843" s="12"/>
      <c r="CK843" s="12"/>
      <c r="CL843" s="12"/>
    </row>
    <row r="844" spans="18:90" ht="24.95" customHeight="1">
      <c r="R844" s="12"/>
      <c r="AF844" s="12"/>
      <c r="AG844" s="12"/>
      <c r="AH844" s="12"/>
      <c r="AJ844" s="12"/>
      <c r="AM844" s="12"/>
      <c r="AX844" s="12"/>
      <c r="AY844" s="12"/>
      <c r="BA844" s="12"/>
      <c r="BD844" s="12"/>
      <c r="BI844" s="12"/>
      <c r="CG844" s="12"/>
      <c r="CI844" s="12"/>
      <c r="CJ844" s="12"/>
      <c r="CK844" s="12"/>
      <c r="CL844" s="12"/>
    </row>
    <row r="845" spans="18:90" ht="24.95" customHeight="1">
      <c r="R845" s="12"/>
      <c r="AF845" s="12"/>
      <c r="AG845" s="12"/>
      <c r="AH845" s="12"/>
      <c r="AJ845" s="12"/>
      <c r="AM845" s="12"/>
      <c r="AX845" s="12"/>
      <c r="AY845" s="12"/>
      <c r="BA845" s="12"/>
      <c r="BD845" s="12"/>
      <c r="BI845" s="12"/>
      <c r="CG845" s="12"/>
      <c r="CI845" s="12"/>
      <c r="CJ845" s="12"/>
      <c r="CK845" s="12"/>
      <c r="CL845" s="12"/>
    </row>
    <row r="846" spans="18:90" ht="24.95" customHeight="1">
      <c r="R846" s="12"/>
      <c r="AF846" s="12"/>
      <c r="AG846" s="12"/>
      <c r="AH846" s="12"/>
      <c r="AJ846" s="12"/>
      <c r="AM846" s="12"/>
      <c r="AX846" s="12"/>
      <c r="AY846" s="12"/>
      <c r="BA846" s="12"/>
      <c r="BD846" s="12"/>
      <c r="BI846" s="12"/>
      <c r="CG846" s="12"/>
      <c r="CI846" s="12"/>
      <c r="CJ846" s="12"/>
      <c r="CK846" s="12"/>
      <c r="CL846" s="12"/>
    </row>
    <row r="847" spans="18:90" ht="24.95" customHeight="1">
      <c r="R847" s="12"/>
      <c r="AF847" s="12"/>
      <c r="AG847" s="12"/>
      <c r="AH847" s="12"/>
      <c r="AJ847" s="12"/>
      <c r="AM847" s="12"/>
      <c r="AX847" s="12"/>
      <c r="AY847" s="12"/>
      <c r="BA847" s="12"/>
      <c r="BD847" s="12"/>
      <c r="BI847" s="12"/>
      <c r="CG847" s="12"/>
      <c r="CI847" s="12"/>
      <c r="CJ847" s="12"/>
      <c r="CK847" s="12"/>
      <c r="CL847" s="12"/>
    </row>
    <row r="848" spans="18:90" ht="24.95" customHeight="1">
      <c r="R848" s="12"/>
      <c r="AF848" s="12"/>
      <c r="AG848" s="12"/>
      <c r="AH848" s="12"/>
      <c r="AJ848" s="12"/>
      <c r="AM848" s="12"/>
      <c r="AX848" s="12"/>
      <c r="AY848" s="12"/>
      <c r="BA848" s="12"/>
      <c r="BD848" s="12"/>
      <c r="BI848" s="12"/>
      <c r="CG848" s="12"/>
      <c r="CI848" s="12"/>
      <c r="CJ848" s="12"/>
      <c r="CK848" s="12"/>
      <c r="CL848" s="12"/>
    </row>
    <row r="849" spans="18:90" ht="24.95" customHeight="1">
      <c r="R849" s="12"/>
      <c r="AF849" s="12"/>
      <c r="AG849" s="12"/>
      <c r="AH849" s="12"/>
      <c r="AJ849" s="12"/>
      <c r="AM849" s="12"/>
      <c r="AX849" s="12"/>
      <c r="AY849" s="12"/>
      <c r="BA849" s="12"/>
      <c r="BD849" s="12"/>
      <c r="BI849" s="12"/>
      <c r="CG849" s="12"/>
      <c r="CI849" s="12"/>
      <c r="CJ849" s="12"/>
      <c r="CK849" s="12"/>
      <c r="CL849" s="12"/>
    </row>
    <row r="850" spans="18:90" ht="24.95" customHeight="1">
      <c r="R850" s="12"/>
      <c r="AF850" s="12"/>
      <c r="AG850" s="12"/>
      <c r="AH850" s="12"/>
      <c r="AJ850" s="12"/>
      <c r="AM850" s="12"/>
      <c r="AX850" s="12"/>
      <c r="AY850" s="12"/>
      <c r="BA850" s="12"/>
      <c r="BD850" s="12"/>
      <c r="BI850" s="12"/>
      <c r="CG850" s="12"/>
      <c r="CI850" s="12"/>
      <c r="CJ850" s="12"/>
      <c r="CK850" s="12"/>
      <c r="CL850" s="12"/>
    </row>
    <row r="851" spans="18:90" ht="24.95" customHeight="1">
      <c r="R851" s="12"/>
      <c r="AF851" s="12"/>
      <c r="AG851" s="12"/>
      <c r="AH851" s="12"/>
      <c r="AJ851" s="12"/>
      <c r="AM851" s="12"/>
      <c r="AX851" s="12"/>
      <c r="AY851" s="12"/>
      <c r="BA851" s="12"/>
      <c r="BD851" s="12"/>
      <c r="BI851" s="12"/>
      <c r="CG851" s="12"/>
      <c r="CI851" s="12"/>
      <c r="CJ851" s="12"/>
      <c r="CK851" s="12"/>
      <c r="CL851" s="12"/>
    </row>
    <row r="852" spans="18:90" ht="24.95" customHeight="1">
      <c r="R852" s="12"/>
      <c r="AF852" s="12"/>
      <c r="AG852" s="12"/>
      <c r="AH852" s="12"/>
      <c r="AJ852" s="12"/>
      <c r="AM852" s="12"/>
      <c r="AX852" s="12"/>
      <c r="AY852" s="12"/>
      <c r="BA852" s="12"/>
      <c r="BD852" s="12"/>
      <c r="BI852" s="12"/>
      <c r="CG852" s="12"/>
      <c r="CI852" s="12"/>
      <c r="CJ852" s="12"/>
      <c r="CK852" s="12"/>
      <c r="CL852" s="12"/>
    </row>
    <row r="853" spans="18:90" ht="24.95" customHeight="1">
      <c r="R853" s="12"/>
      <c r="AF853" s="12"/>
      <c r="AG853" s="12"/>
      <c r="AH853" s="12"/>
      <c r="AJ853" s="12"/>
      <c r="AM853" s="12"/>
      <c r="AX853" s="12"/>
      <c r="AY853" s="12"/>
      <c r="BA853" s="12"/>
      <c r="BD853" s="12"/>
      <c r="BI853" s="12"/>
      <c r="CG853" s="12"/>
      <c r="CI853" s="12"/>
      <c r="CJ853" s="12"/>
      <c r="CK853" s="12"/>
      <c r="CL853" s="12"/>
    </row>
    <row r="854" spans="18:90" ht="24.95" customHeight="1">
      <c r="R854" s="12"/>
      <c r="AF854" s="12"/>
      <c r="AG854" s="12"/>
      <c r="AH854" s="12"/>
      <c r="AJ854" s="12"/>
      <c r="AM854" s="12"/>
      <c r="AX854" s="12"/>
      <c r="AY854" s="12"/>
      <c r="BA854" s="12"/>
      <c r="BD854" s="12"/>
      <c r="BI854" s="12"/>
      <c r="CG854" s="12"/>
      <c r="CI854" s="12"/>
      <c r="CJ854" s="12"/>
      <c r="CK854" s="12"/>
      <c r="CL854" s="12"/>
    </row>
    <row r="855" spans="18:90" ht="24.95" customHeight="1">
      <c r="R855" s="12"/>
      <c r="AF855" s="12"/>
      <c r="AG855" s="12"/>
      <c r="AH855" s="12"/>
      <c r="AJ855" s="12"/>
      <c r="AM855" s="12"/>
      <c r="AX855" s="12"/>
      <c r="AY855" s="12"/>
      <c r="BA855" s="12"/>
      <c r="BD855" s="12"/>
      <c r="BI855" s="12"/>
      <c r="CG855" s="12"/>
      <c r="CI855" s="12"/>
      <c r="CJ855" s="12"/>
      <c r="CK855" s="12"/>
      <c r="CL855" s="12"/>
    </row>
    <row r="856" spans="18:90" ht="24.95" customHeight="1">
      <c r="R856" s="12"/>
      <c r="AF856" s="12"/>
      <c r="AG856" s="12"/>
      <c r="AH856" s="12"/>
      <c r="AJ856" s="12"/>
      <c r="AM856" s="12"/>
      <c r="AX856" s="12"/>
      <c r="AY856" s="12"/>
      <c r="BA856" s="12"/>
      <c r="BD856" s="12"/>
      <c r="BI856" s="12"/>
      <c r="CG856" s="12"/>
      <c r="CI856" s="12"/>
      <c r="CJ856" s="12"/>
      <c r="CK856" s="12"/>
      <c r="CL856" s="12"/>
    </row>
    <row r="857" spans="18:90" ht="24.95" customHeight="1">
      <c r="R857" s="12"/>
      <c r="AF857" s="12"/>
      <c r="AG857" s="12"/>
      <c r="AH857" s="12"/>
      <c r="AJ857" s="12"/>
      <c r="AM857" s="12"/>
      <c r="AX857" s="12"/>
      <c r="AY857" s="12"/>
      <c r="BA857" s="12"/>
      <c r="BD857" s="12"/>
      <c r="BI857" s="12"/>
      <c r="CG857" s="12"/>
      <c r="CI857" s="12"/>
      <c r="CJ857" s="12"/>
      <c r="CK857" s="12"/>
      <c r="CL857" s="12"/>
    </row>
    <row r="858" spans="18:90" ht="24.95" customHeight="1">
      <c r="R858" s="12"/>
      <c r="AF858" s="12"/>
      <c r="AG858" s="12"/>
      <c r="AH858" s="12"/>
      <c r="AJ858" s="12"/>
      <c r="AM858" s="12"/>
      <c r="AX858" s="12"/>
      <c r="AY858" s="12"/>
      <c r="BA858" s="12"/>
      <c r="BD858" s="12"/>
      <c r="BI858" s="12"/>
      <c r="CG858" s="12"/>
      <c r="CI858" s="12"/>
      <c r="CJ858" s="12"/>
      <c r="CK858" s="12"/>
      <c r="CL858" s="12"/>
    </row>
    <row r="859" spans="18:90" ht="24.95" customHeight="1">
      <c r="R859" s="12"/>
      <c r="AF859" s="12"/>
      <c r="AG859" s="12"/>
      <c r="AH859" s="12"/>
      <c r="AJ859" s="12"/>
      <c r="AM859" s="12"/>
      <c r="AX859" s="12"/>
      <c r="AY859" s="12"/>
      <c r="BA859" s="12"/>
      <c r="BD859" s="12"/>
      <c r="BI859" s="12"/>
      <c r="CG859" s="12"/>
      <c r="CI859" s="12"/>
      <c r="CJ859" s="12"/>
      <c r="CK859" s="12"/>
      <c r="CL859" s="12"/>
    </row>
    <row r="860" spans="18:90" ht="24.95" customHeight="1">
      <c r="R860" s="12"/>
      <c r="AF860" s="12"/>
      <c r="AG860" s="12"/>
      <c r="AH860" s="12"/>
      <c r="AJ860" s="12"/>
      <c r="AM860" s="12"/>
      <c r="AX860" s="12"/>
      <c r="AY860" s="12"/>
      <c r="BA860" s="12"/>
      <c r="BD860" s="12"/>
      <c r="BI860" s="12"/>
      <c r="CG860" s="12"/>
      <c r="CI860" s="12"/>
      <c r="CJ860" s="12"/>
      <c r="CK860" s="12"/>
      <c r="CL860" s="12"/>
    </row>
    <row r="861" spans="18:90" ht="24.95" customHeight="1">
      <c r="R861" s="12"/>
      <c r="AF861" s="12"/>
      <c r="AG861" s="12"/>
      <c r="AH861" s="12"/>
      <c r="AJ861" s="12"/>
      <c r="AM861" s="12"/>
      <c r="AX861" s="12"/>
      <c r="AY861" s="12"/>
      <c r="BA861" s="12"/>
      <c r="BD861" s="12"/>
      <c r="BI861" s="12"/>
      <c r="CG861" s="12"/>
      <c r="CI861" s="12"/>
      <c r="CJ861" s="12"/>
      <c r="CK861" s="12"/>
      <c r="CL861" s="12"/>
    </row>
    <row r="862" spans="18:90" ht="24.95" customHeight="1">
      <c r="R862" s="12"/>
      <c r="AF862" s="12"/>
      <c r="AG862" s="12"/>
      <c r="AH862" s="12"/>
      <c r="AJ862" s="12"/>
      <c r="AM862" s="12"/>
      <c r="AX862" s="12"/>
      <c r="AY862" s="12"/>
      <c r="BA862" s="12"/>
      <c r="BD862" s="12"/>
      <c r="BI862" s="12"/>
      <c r="CG862" s="12"/>
      <c r="CI862" s="12"/>
      <c r="CJ862" s="12"/>
      <c r="CK862" s="12"/>
      <c r="CL862" s="12"/>
    </row>
    <row r="863" spans="18:90" ht="24.95" customHeight="1">
      <c r="R863" s="12"/>
      <c r="AF863" s="12"/>
      <c r="AG863" s="12"/>
      <c r="AH863" s="12"/>
      <c r="AJ863" s="12"/>
      <c r="AM863" s="12"/>
      <c r="AX863" s="12"/>
      <c r="AY863" s="12"/>
      <c r="BA863" s="12"/>
      <c r="BD863" s="12"/>
      <c r="BI863" s="12"/>
      <c r="CG863" s="12"/>
      <c r="CI863" s="12"/>
      <c r="CJ863" s="12"/>
      <c r="CK863" s="12"/>
      <c r="CL863" s="12"/>
    </row>
    <row r="864" spans="18:90" ht="24.95" customHeight="1">
      <c r="R864" s="12"/>
      <c r="AF864" s="12"/>
      <c r="AG864" s="12"/>
      <c r="AH864" s="12"/>
      <c r="AJ864" s="12"/>
      <c r="AM864" s="12"/>
      <c r="AX864" s="12"/>
      <c r="AY864" s="12"/>
      <c r="BA864" s="12"/>
      <c r="BD864" s="12"/>
      <c r="BI864" s="12"/>
      <c r="CG864" s="12"/>
      <c r="CI864" s="12"/>
      <c r="CJ864" s="12"/>
      <c r="CK864" s="12"/>
      <c r="CL864" s="12"/>
    </row>
    <row r="865" spans="18:90" ht="24.95" customHeight="1">
      <c r="R865" s="12"/>
      <c r="AF865" s="12"/>
      <c r="AG865" s="12"/>
      <c r="AH865" s="12"/>
      <c r="AJ865" s="12"/>
      <c r="AM865" s="12"/>
      <c r="AX865" s="12"/>
      <c r="AY865" s="12"/>
      <c r="BA865" s="12"/>
      <c r="BD865" s="12"/>
      <c r="BI865" s="12"/>
      <c r="CG865" s="12"/>
      <c r="CI865" s="12"/>
      <c r="CJ865" s="12"/>
      <c r="CK865" s="12"/>
      <c r="CL865" s="12"/>
    </row>
    <row r="866" spans="18:90" ht="24.95" customHeight="1">
      <c r="R866" s="12"/>
      <c r="AF866" s="12"/>
      <c r="AG866" s="12"/>
      <c r="AH866" s="12"/>
      <c r="AJ866" s="12"/>
      <c r="AM866" s="12"/>
      <c r="AX866" s="12"/>
      <c r="AY866" s="12"/>
      <c r="BA866" s="12"/>
      <c r="BD866" s="12"/>
      <c r="BI866" s="12"/>
      <c r="CG866" s="12"/>
      <c r="CI866" s="12"/>
      <c r="CJ866" s="12"/>
      <c r="CK866" s="12"/>
      <c r="CL866" s="12"/>
    </row>
    <row r="867" spans="18:90" ht="24.95" customHeight="1">
      <c r="R867" s="12"/>
      <c r="AF867" s="12"/>
      <c r="AG867" s="12"/>
      <c r="AH867" s="12"/>
      <c r="AJ867" s="12"/>
      <c r="AM867" s="12"/>
      <c r="AX867" s="12"/>
      <c r="AY867" s="12"/>
      <c r="BA867" s="12"/>
      <c r="BD867" s="12"/>
      <c r="BI867" s="12"/>
      <c r="CG867" s="12"/>
      <c r="CI867" s="12"/>
      <c r="CJ867" s="12"/>
      <c r="CK867" s="12"/>
      <c r="CL867" s="12"/>
    </row>
    <row r="868" spans="18:90" ht="24.95" customHeight="1">
      <c r="R868" s="12"/>
      <c r="AF868" s="12"/>
      <c r="AG868" s="12"/>
      <c r="AH868" s="12"/>
      <c r="AJ868" s="12"/>
      <c r="AM868" s="12"/>
      <c r="AX868" s="12"/>
      <c r="AY868" s="12"/>
      <c r="BA868" s="12"/>
      <c r="BD868" s="12"/>
      <c r="BI868" s="12"/>
      <c r="CG868" s="12"/>
      <c r="CI868" s="12"/>
      <c r="CJ868" s="12"/>
      <c r="CK868" s="12"/>
      <c r="CL868" s="12"/>
    </row>
    <row r="869" spans="18:90" ht="24.95" customHeight="1">
      <c r="R869" s="12"/>
      <c r="AF869" s="12"/>
      <c r="AG869" s="12"/>
      <c r="AH869" s="12"/>
      <c r="AJ869" s="12"/>
      <c r="AM869" s="12"/>
      <c r="AX869" s="12"/>
      <c r="AY869" s="12"/>
      <c r="BA869" s="12"/>
      <c r="BD869" s="12"/>
      <c r="BI869" s="12"/>
      <c r="CG869" s="12"/>
      <c r="CI869" s="12"/>
      <c r="CJ869" s="12"/>
      <c r="CK869" s="12"/>
      <c r="CL869" s="12"/>
    </row>
    <row r="870" spans="18:90" ht="24.95" customHeight="1">
      <c r="R870" s="12"/>
      <c r="AF870" s="12"/>
      <c r="AG870" s="12"/>
      <c r="AH870" s="12"/>
      <c r="AJ870" s="12"/>
      <c r="AM870" s="12"/>
      <c r="AX870" s="12"/>
      <c r="AY870" s="12"/>
      <c r="BA870" s="12"/>
      <c r="BD870" s="12"/>
      <c r="BI870" s="12"/>
      <c r="CG870" s="12"/>
      <c r="CI870" s="12"/>
      <c r="CJ870" s="12"/>
      <c r="CK870" s="12"/>
      <c r="CL870" s="12"/>
    </row>
    <row r="871" spans="18:90" ht="24.95" customHeight="1">
      <c r="R871" s="12"/>
      <c r="AF871" s="12"/>
      <c r="AG871" s="12"/>
      <c r="AH871" s="12"/>
      <c r="AJ871" s="12"/>
      <c r="AM871" s="12"/>
      <c r="AX871" s="12"/>
      <c r="AY871" s="12"/>
      <c r="BA871" s="12"/>
      <c r="BD871" s="12"/>
      <c r="BI871" s="12"/>
      <c r="CG871" s="12"/>
      <c r="CI871" s="12"/>
      <c r="CJ871" s="12"/>
      <c r="CK871" s="12"/>
      <c r="CL871" s="12"/>
    </row>
    <row r="872" spans="18:90" ht="24.95" customHeight="1">
      <c r="R872" s="12"/>
      <c r="AF872" s="12"/>
      <c r="AG872" s="12"/>
      <c r="AH872" s="12"/>
      <c r="AJ872" s="12"/>
      <c r="AM872" s="12"/>
      <c r="AX872" s="12"/>
      <c r="AY872" s="12"/>
      <c r="BA872" s="12"/>
      <c r="BD872" s="12"/>
      <c r="BI872" s="12"/>
      <c r="CG872" s="12"/>
      <c r="CI872" s="12"/>
      <c r="CJ872" s="12"/>
      <c r="CK872" s="12"/>
      <c r="CL872" s="12"/>
    </row>
    <row r="873" spans="18:90" ht="24.95" customHeight="1">
      <c r="R873" s="12"/>
      <c r="AF873" s="12"/>
      <c r="AG873" s="12"/>
      <c r="AH873" s="12"/>
      <c r="AJ873" s="12"/>
      <c r="AM873" s="12"/>
      <c r="AX873" s="12"/>
      <c r="AY873" s="12"/>
      <c r="BA873" s="12"/>
      <c r="BD873" s="12"/>
      <c r="BI873" s="12"/>
      <c r="CG873" s="12"/>
      <c r="CI873" s="12"/>
      <c r="CJ873" s="12"/>
      <c r="CK873" s="12"/>
      <c r="CL873" s="12"/>
    </row>
    <row r="874" spans="18:90" ht="24.95" customHeight="1">
      <c r="R874" s="12"/>
      <c r="AF874" s="12"/>
      <c r="AG874" s="12"/>
      <c r="AH874" s="12"/>
      <c r="AJ874" s="12"/>
      <c r="AM874" s="12"/>
      <c r="AX874" s="12"/>
      <c r="AY874" s="12"/>
      <c r="BA874" s="12"/>
      <c r="BD874" s="12"/>
      <c r="BI874" s="12"/>
      <c r="CG874" s="12"/>
      <c r="CI874" s="12"/>
      <c r="CJ874" s="12"/>
      <c r="CK874" s="12"/>
      <c r="CL874" s="12"/>
    </row>
    <row r="875" spans="18:90" ht="24.95" customHeight="1">
      <c r="R875" s="12"/>
      <c r="AF875" s="12"/>
      <c r="AG875" s="12"/>
      <c r="AH875" s="12"/>
      <c r="AJ875" s="12"/>
      <c r="AM875" s="12"/>
      <c r="AX875" s="12"/>
      <c r="AY875" s="12"/>
      <c r="BA875" s="12"/>
      <c r="BD875" s="12"/>
      <c r="BI875" s="12"/>
      <c r="CG875" s="12"/>
      <c r="CI875" s="12"/>
      <c r="CJ875" s="12"/>
      <c r="CK875" s="12"/>
      <c r="CL875" s="12"/>
    </row>
    <row r="876" spans="18:90" ht="24.95" customHeight="1">
      <c r="R876" s="12"/>
      <c r="AF876" s="12"/>
      <c r="AG876" s="12"/>
      <c r="AH876" s="12"/>
      <c r="AJ876" s="12"/>
      <c r="AM876" s="12"/>
      <c r="AX876" s="12"/>
      <c r="AY876" s="12"/>
      <c r="BA876" s="12"/>
      <c r="BD876" s="12"/>
      <c r="BI876" s="12"/>
      <c r="CG876" s="12"/>
      <c r="CI876" s="12"/>
      <c r="CJ876" s="12"/>
      <c r="CK876" s="12"/>
      <c r="CL876" s="12"/>
    </row>
    <row r="877" spans="18:90" ht="24.95" customHeight="1">
      <c r="R877" s="12"/>
      <c r="AF877" s="12"/>
      <c r="AG877" s="12"/>
      <c r="AH877" s="12"/>
      <c r="AJ877" s="12"/>
      <c r="AM877" s="12"/>
      <c r="AX877" s="12"/>
      <c r="AY877" s="12"/>
      <c r="BA877" s="12"/>
      <c r="BD877" s="12"/>
      <c r="BI877" s="12"/>
      <c r="CG877" s="12"/>
      <c r="CI877" s="12"/>
      <c r="CJ877" s="12"/>
      <c r="CK877" s="12"/>
      <c r="CL877" s="12"/>
    </row>
    <row r="878" spans="18:90" ht="24.95" customHeight="1">
      <c r="R878" s="12"/>
      <c r="AF878" s="12"/>
      <c r="AG878" s="12"/>
      <c r="AH878" s="12"/>
      <c r="AJ878" s="12"/>
      <c r="AM878" s="12"/>
      <c r="AX878" s="12"/>
      <c r="AY878" s="12"/>
      <c r="BA878" s="12"/>
      <c r="BD878" s="12"/>
      <c r="BI878" s="12"/>
      <c r="CG878" s="12"/>
      <c r="CI878" s="12"/>
      <c r="CJ878" s="12"/>
      <c r="CK878" s="12"/>
      <c r="CL878" s="12"/>
    </row>
    <row r="879" spans="18:90" ht="24.95" customHeight="1">
      <c r="R879" s="12"/>
      <c r="AF879" s="12"/>
      <c r="AG879" s="12"/>
      <c r="AH879" s="12"/>
      <c r="AJ879" s="12"/>
      <c r="AM879" s="12"/>
      <c r="AX879" s="12"/>
      <c r="AY879" s="12"/>
      <c r="BA879" s="12"/>
      <c r="BD879" s="12"/>
      <c r="BI879" s="12"/>
      <c r="CG879" s="12"/>
      <c r="CI879" s="12"/>
      <c r="CJ879" s="12"/>
      <c r="CK879" s="12"/>
      <c r="CL879" s="12"/>
    </row>
    <row r="880" spans="18:90" ht="24.95" customHeight="1">
      <c r="R880" s="12"/>
      <c r="AF880" s="12"/>
      <c r="AG880" s="12"/>
      <c r="AH880" s="12"/>
      <c r="AJ880" s="12"/>
      <c r="AM880" s="12"/>
      <c r="AX880" s="12"/>
      <c r="AY880" s="12"/>
      <c r="BA880" s="12"/>
      <c r="BD880" s="12"/>
      <c r="BI880" s="12"/>
      <c r="CG880" s="12"/>
      <c r="CI880" s="12"/>
      <c r="CJ880" s="12"/>
      <c r="CK880" s="12"/>
      <c r="CL880" s="12"/>
    </row>
    <row r="881" spans="18:90" ht="24.95" customHeight="1">
      <c r="R881" s="12"/>
      <c r="AF881" s="12"/>
      <c r="AG881" s="12"/>
      <c r="AH881" s="12"/>
      <c r="AJ881" s="12"/>
      <c r="AM881" s="12"/>
      <c r="AX881" s="12"/>
      <c r="AY881" s="12"/>
      <c r="BA881" s="12"/>
      <c r="BD881" s="12"/>
      <c r="BI881" s="12"/>
      <c r="CG881" s="12"/>
      <c r="CI881" s="12"/>
      <c r="CJ881" s="12"/>
      <c r="CK881" s="12"/>
      <c r="CL881" s="12"/>
    </row>
    <row r="882" spans="18:90" ht="24.95" customHeight="1">
      <c r="R882" s="12"/>
      <c r="AF882" s="12"/>
      <c r="AG882" s="12"/>
      <c r="AH882" s="12"/>
      <c r="AJ882" s="12"/>
      <c r="AM882" s="12"/>
      <c r="AX882" s="12"/>
      <c r="AY882" s="12"/>
      <c r="BA882" s="12"/>
      <c r="BD882" s="12"/>
      <c r="BI882" s="12"/>
      <c r="CG882" s="12"/>
      <c r="CI882" s="12"/>
      <c r="CJ882" s="12"/>
      <c r="CK882" s="12"/>
      <c r="CL882" s="12"/>
    </row>
    <row r="883" spans="18:90" ht="24.95" customHeight="1">
      <c r="R883" s="12"/>
      <c r="AF883" s="12"/>
      <c r="AG883" s="12"/>
      <c r="AH883" s="12"/>
      <c r="AJ883" s="12"/>
      <c r="AM883" s="12"/>
      <c r="AX883" s="12"/>
      <c r="AY883" s="12"/>
      <c r="BA883" s="12"/>
      <c r="BD883" s="12"/>
      <c r="BI883" s="12"/>
      <c r="CG883" s="12"/>
      <c r="CI883" s="12"/>
      <c r="CJ883" s="12"/>
      <c r="CK883" s="12"/>
      <c r="CL883" s="12"/>
    </row>
    <row r="884" spans="18:90" ht="24.95" customHeight="1">
      <c r="R884" s="12"/>
      <c r="AF884" s="12"/>
      <c r="AG884" s="12"/>
      <c r="AH884" s="12"/>
      <c r="AJ884" s="12"/>
      <c r="AM884" s="12"/>
      <c r="AX884" s="12"/>
      <c r="AY884" s="12"/>
      <c r="BA884" s="12"/>
      <c r="BD884" s="12"/>
      <c r="BI884" s="12"/>
      <c r="CG884" s="12"/>
      <c r="CI884" s="12"/>
      <c r="CJ884" s="12"/>
      <c r="CK884" s="12"/>
      <c r="CL884" s="12"/>
    </row>
    <row r="885" spans="18:90" ht="24.95" customHeight="1">
      <c r="R885" s="12"/>
      <c r="AF885" s="12"/>
      <c r="AG885" s="12"/>
      <c r="AH885" s="12"/>
      <c r="AJ885" s="12"/>
      <c r="AM885" s="12"/>
      <c r="AX885" s="12"/>
      <c r="AY885" s="12"/>
      <c r="BA885" s="12"/>
      <c r="BD885" s="12"/>
      <c r="BI885" s="12"/>
      <c r="CG885" s="12"/>
      <c r="CI885" s="12"/>
      <c r="CJ885" s="12"/>
      <c r="CK885" s="12"/>
      <c r="CL885" s="12"/>
    </row>
    <row r="886" spans="18:90" ht="24.95" customHeight="1">
      <c r="R886" s="12"/>
      <c r="AF886" s="12"/>
      <c r="AG886" s="12"/>
      <c r="AH886" s="12"/>
      <c r="AJ886" s="12"/>
      <c r="AM886" s="12"/>
      <c r="AX886" s="12"/>
      <c r="AY886" s="12"/>
      <c r="BA886" s="12"/>
      <c r="BD886" s="12"/>
      <c r="BI886" s="12"/>
      <c r="CG886" s="12"/>
      <c r="CI886" s="12"/>
      <c r="CJ886" s="12"/>
      <c r="CK886" s="12"/>
      <c r="CL886" s="12"/>
    </row>
    <row r="887" spans="18:90" ht="24.95" customHeight="1">
      <c r="R887" s="12"/>
      <c r="AF887" s="12"/>
      <c r="AG887" s="12"/>
      <c r="AH887" s="12"/>
      <c r="AJ887" s="12"/>
      <c r="AM887" s="12"/>
      <c r="AX887" s="12"/>
      <c r="AY887" s="12"/>
      <c r="BA887" s="12"/>
      <c r="BD887" s="12"/>
      <c r="BI887" s="12"/>
      <c r="CG887" s="12"/>
      <c r="CI887" s="12"/>
      <c r="CJ887" s="12"/>
      <c r="CK887" s="12"/>
      <c r="CL887" s="12"/>
    </row>
    <row r="888" spans="18:90" ht="24.95" customHeight="1">
      <c r="R888" s="12"/>
      <c r="AF888" s="12"/>
      <c r="AG888" s="12"/>
      <c r="AH888" s="12"/>
      <c r="AJ888" s="12"/>
      <c r="AM888" s="12"/>
      <c r="AX888" s="12"/>
      <c r="AY888" s="12"/>
      <c r="BA888" s="12"/>
      <c r="BD888" s="12"/>
      <c r="BI888" s="12"/>
      <c r="CG888" s="12"/>
      <c r="CI888" s="12"/>
      <c r="CJ888" s="12"/>
      <c r="CK888" s="12"/>
      <c r="CL888" s="12"/>
    </row>
    <row r="889" spans="18:90" ht="24.95" customHeight="1">
      <c r="R889" s="12"/>
      <c r="AF889" s="12"/>
      <c r="AG889" s="12"/>
      <c r="AH889" s="12"/>
      <c r="AJ889" s="12"/>
      <c r="AM889" s="12"/>
      <c r="AX889" s="12"/>
      <c r="AY889" s="12"/>
      <c r="BA889" s="12"/>
      <c r="BD889" s="12"/>
      <c r="BI889" s="12"/>
      <c r="CG889" s="12"/>
      <c r="CI889" s="12"/>
      <c r="CJ889" s="12"/>
      <c r="CK889" s="12"/>
      <c r="CL889" s="12"/>
    </row>
    <row r="890" spans="18:90" ht="24.95" customHeight="1">
      <c r="R890" s="12"/>
      <c r="AF890" s="12"/>
      <c r="AG890" s="12"/>
      <c r="AH890" s="12"/>
      <c r="AJ890" s="12"/>
      <c r="AM890" s="12"/>
      <c r="AX890" s="12"/>
      <c r="AY890" s="12"/>
      <c r="BA890" s="12"/>
      <c r="BD890" s="12"/>
      <c r="BI890" s="12"/>
      <c r="CG890" s="12"/>
      <c r="CI890" s="12"/>
      <c r="CJ890" s="12"/>
      <c r="CK890" s="12"/>
      <c r="CL890" s="12"/>
    </row>
    <row r="891" spans="18:90" ht="24.95" customHeight="1">
      <c r="R891" s="12"/>
      <c r="AF891" s="12"/>
      <c r="AG891" s="12"/>
      <c r="AH891" s="12"/>
      <c r="AJ891" s="12"/>
      <c r="AM891" s="12"/>
      <c r="AX891" s="12"/>
      <c r="AY891" s="12"/>
      <c r="BA891" s="12"/>
      <c r="BD891" s="12"/>
      <c r="BI891" s="12"/>
      <c r="CG891" s="12"/>
      <c r="CI891" s="12"/>
      <c r="CJ891" s="12"/>
      <c r="CK891" s="12"/>
      <c r="CL891" s="12"/>
    </row>
    <row r="892" spans="18:90" ht="24.95" customHeight="1">
      <c r="R892" s="12"/>
      <c r="AF892" s="12"/>
      <c r="AG892" s="12"/>
      <c r="AH892" s="12"/>
      <c r="AJ892" s="12"/>
      <c r="AM892" s="12"/>
      <c r="AX892" s="12"/>
      <c r="AY892" s="12"/>
      <c r="BA892" s="12"/>
      <c r="BD892" s="12"/>
      <c r="BI892" s="12"/>
      <c r="CG892" s="12"/>
      <c r="CI892" s="12"/>
      <c r="CJ892" s="12"/>
      <c r="CK892" s="12"/>
      <c r="CL892" s="12"/>
    </row>
    <row r="893" spans="18:90" ht="24.95" customHeight="1">
      <c r="R893" s="12"/>
      <c r="AF893" s="12"/>
      <c r="AG893" s="12"/>
      <c r="AH893" s="12"/>
      <c r="AJ893" s="12"/>
      <c r="AM893" s="12"/>
      <c r="AX893" s="12"/>
      <c r="AY893" s="12"/>
      <c r="BA893" s="12"/>
      <c r="BD893" s="12"/>
      <c r="BI893" s="12"/>
      <c r="CG893" s="12"/>
      <c r="CI893" s="12"/>
      <c r="CJ893" s="12"/>
      <c r="CK893" s="12"/>
      <c r="CL893" s="12"/>
    </row>
    <row r="894" spans="18:90" ht="24.95" customHeight="1">
      <c r="R894" s="12"/>
      <c r="AF894" s="12"/>
      <c r="AG894" s="12"/>
      <c r="AH894" s="12"/>
      <c r="AJ894" s="12"/>
      <c r="AM894" s="12"/>
      <c r="AX894" s="12"/>
      <c r="AY894" s="12"/>
      <c r="BA894" s="12"/>
      <c r="BD894" s="12"/>
      <c r="BI894" s="12"/>
      <c r="CG894" s="12"/>
      <c r="CI894" s="12"/>
      <c r="CJ894" s="12"/>
      <c r="CK894" s="12"/>
      <c r="CL894" s="12"/>
    </row>
    <row r="895" spans="18:90" ht="24.95" customHeight="1">
      <c r="R895" s="12"/>
      <c r="AF895" s="12"/>
      <c r="AG895" s="12"/>
      <c r="AH895" s="12"/>
      <c r="AJ895" s="12"/>
      <c r="AM895" s="12"/>
      <c r="AX895" s="12"/>
      <c r="AY895" s="12"/>
      <c r="BA895" s="12"/>
      <c r="BD895" s="12"/>
      <c r="BI895" s="12"/>
      <c r="CG895" s="12"/>
      <c r="CI895" s="12"/>
      <c r="CJ895" s="12"/>
      <c r="CK895" s="12"/>
      <c r="CL895" s="12"/>
    </row>
    <row r="896" spans="18:90" ht="24.95" customHeight="1">
      <c r="R896" s="12"/>
      <c r="AF896" s="12"/>
      <c r="AG896" s="12"/>
      <c r="AH896" s="12"/>
      <c r="AJ896" s="12"/>
      <c r="AM896" s="12"/>
      <c r="AX896" s="12"/>
      <c r="AY896" s="12"/>
      <c r="BA896" s="12"/>
      <c r="BD896" s="12"/>
      <c r="BI896" s="12"/>
      <c r="CG896" s="12"/>
      <c r="CI896" s="12"/>
      <c r="CJ896" s="12"/>
      <c r="CK896" s="12"/>
      <c r="CL896" s="12"/>
    </row>
    <row r="897" spans="18:90" ht="24.95" customHeight="1">
      <c r="R897" s="12"/>
      <c r="AF897" s="12"/>
      <c r="AG897" s="12"/>
      <c r="AH897" s="12"/>
      <c r="AJ897" s="12"/>
      <c r="AM897" s="12"/>
      <c r="AX897" s="12"/>
      <c r="AY897" s="12"/>
      <c r="BA897" s="12"/>
      <c r="BD897" s="12"/>
      <c r="BI897" s="12"/>
      <c r="CG897" s="12"/>
      <c r="CI897" s="12"/>
      <c r="CJ897" s="12"/>
      <c r="CK897" s="12"/>
      <c r="CL897" s="12"/>
    </row>
    <row r="898" spans="18:90" ht="24.95" customHeight="1">
      <c r="R898" s="12"/>
      <c r="AF898" s="12"/>
      <c r="AG898" s="12"/>
      <c r="AH898" s="12"/>
      <c r="AJ898" s="12"/>
      <c r="AM898" s="12"/>
      <c r="AX898" s="12"/>
      <c r="AY898" s="12"/>
      <c r="BA898" s="12"/>
      <c r="BD898" s="12"/>
      <c r="BI898" s="12"/>
      <c r="CG898" s="12"/>
      <c r="CI898" s="12"/>
      <c r="CJ898" s="12"/>
      <c r="CK898" s="12"/>
      <c r="CL898" s="12"/>
    </row>
    <row r="899" spans="18:90" ht="24.95" customHeight="1">
      <c r="R899" s="12"/>
      <c r="AF899" s="12"/>
      <c r="AG899" s="12"/>
      <c r="AH899" s="12"/>
      <c r="AJ899" s="12"/>
      <c r="AM899" s="12"/>
      <c r="AX899" s="12"/>
      <c r="AY899" s="12"/>
      <c r="BA899" s="12"/>
      <c r="BD899" s="12"/>
      <c r="BI899" s="12"/>
      <c r="CG899" s="12"/>
      <c r="CI899" s="12"/>
      <c r="CJ899" s="12"/>
      <c r="CK899" s="12"/>
      <c r="CL899" s="12"/>
    </row>
    <row r="900" spans="18:90" ht="24.95" customHeight="1">
      <c r="R900" s="12"/>
      <c r="AF900" s="12"/>
      <c r="AG900" s="12"/>
      <c r="AH900" s="12"/>
      <c r="AJ900" s="12"/>
      <c r="AM900" s="12"/>
      <c r="AX900" s="12"/>
      <c r="AY900" s="12"/>
      <c r="BA900" s="12"/>
      <c r="BD900" s="12"/>
      <c r="BI900" s="12"/>
      <c r="CG900" s="12"/>
      <c r="CI900" s="12"/>
      <c r="CJ900" s="12"/>
      <c r="CK900" s="12"/>
      <c r="CL900" s="12"/>
    </row>
    <row r="901" spans="18:90" ht="24.95" customHeight="1">
      <c r="R901" s="12"/>
      <c r="AF901" s="12"/>
      <c r="AG901" s="12"/>
      <c r="AH901" s="12"/>
      <c r="AJ901" s="12"/>
      <c r="AM901" s="12"/>
      <c r="AX901" s="12"/>
      <c r="AY901" s="12"/>
      <c r="BA901" s="12"/>
      <c r="BD901" s="12"/>
      <c r="BI901" s="12"/>
      <c r="CG901" s="12"/>
      <c r="CI901" s="12"/>
      <c r="CJ901" s="12"/>
      <c r="CK901" s="12"/>
      <c r="CL901" s="12"/>
    </row>
    <row r="902" spans="18:90" ht="24.95" customHeight="1">
      <c r="R902" s="12"/>
      <c r="AF902" s="12"/>
      <c r="AG902" s="12"/>
      <c r="AH902" s="12"/>
      <c r="AJ902" s="12"/>
      <c r="AM902" s="12"/>
      <c r="AX902" s="12"/>
      <c r="AY902" s="12"/>
      <c r="BA902" s="12"/>
      <c r="BD902" s="12"/>
      <c r="BI902" s="12"/>
      <c r="CG902" s="12"/>
      <c r="CI902" s="12"/>
      <c r="CJ902" s="12"/>
      <c r="CK902" s="12"/>
      <c r="CL902" s="12"/>
    </row>
    <row r="903" spans="18:90" ht="24.95" customHeight="1">
      <c r="R903" s="12"/>
      <c r="AF903" s="12"/>
      <c r="AG903" s="12"/>
      <c r="AH903" s="12"/>
      <c r="AJ903" s="12"/>
      <c r="AM903" s="12"/>
      <c r="AX903" s="12"/>
      <c r="AY903" s="12"/>
      <c r="BA903" s="12"/>
      <c r="BD903" s="12"/>
      <c r="BI903" s="12"/>
      <c r="CG903" s="12"/>
      <c r="CI903" s="12"/>
      <c r="CJ903" s="12"/>
      <c r="CK903" s="12"/>
      <c r="CL903" s="12"/>
    </row>
    <row r="904" spans="18:90" ht="24.95" customHeight="1">
      <c r="R904" s="12"/>
      <c r="AF904" s="12"/>
      <c r="AG904" s="12"/>
      <c r="AH904" s="12"/>
      <c r="AJ904" s="12"/>
      <c r="AM904" s="12"/>
      <c r="AX904" s="12"/>
      <c r="AY904" s="12"/>
      <c r="BA904" s="12"/>
      <c r="BD904" s="12"/>
      <c r="BI904" s="12"/>
      <c r="CG904" s="12"/>
      <c r="CI904" s="12"/>
      <c r="CJ904" s="12"/>
      <c r="CK904" s="12"/>
      <c r="CL904" s="12"/>
    </row>
    <row r="905" spans="18:90" ht="24.95" customHeight="1">
      <c r="R905" s="12"/>
      <c r="AF905" s="12"/>
      <c r="AG905" s="12"/>
      <c r="AH905" s="12"/>
      <c r="AJ905" s="12"/>
      <c r="AM905" s="12"/>
      <c r="AX905" s="12"/>
      <c r="AY905" s="12"/>
      <c r="BA905" s="12"/>
      <c r="BD905" s="12"/>
      <c r="BI905" s="12"/>
      <c r="CG905" s="12"/>
      <c r="CI905" s="12"/>
      <c r="CJ905" s="12"/>
      <c r="CK905" s="12"/>
      <c r="CL905" s="12"/>
    </row>
    <row r="906" spans="18:90" ht="24.95" customHeight="1">
      <c r="R906" s="12"/>
      <c r="AF906" s="12"/>
      <c r="AG906" s="12"/>
      <c r="AH906" s="12"/>
      <c r="AJ906" s="12"/>
      <c r="AM906" s="12"/>
      <c r="AX906" s="12"/>
      <c r="AY906" s="12"/>
      <c r="BA906" s="12"/>
      <c r="BD906" s="12"/>
      <c r="BI906" s="12"/>
      <c r="CG906" s="12"/>
      <c r="CI906" s="12"/>
      <c r="CJ906" s="12"/>
      <c r="CK906" s="12"/>
      <c r="CL906" s="12"/>
    </row>
    <row r="907" spans="18:90" ht="24.95" customHeight="1">
      <c r="R907" s="12"/>
      <c r="AF907" s="12"/>
      <c r="AG907" s="12"/>
      <c r="AH907" s="12"/>
      <c r="AJ907" s="12"/>
      <c r="AM907" s="12"/>
      <c r="AX907" s="12"/>
      <c r="AY907" s="12"/>
      <c r="BA907" s="12"/>
      <c r="BD907" s="12"/>
      <c r="BI907" s="12"/>
      <c r="CG907" s="12"/>
      <c r="CI907" s="12"/>
      <c r="CJ907" s="12"/>
      <c r="CK907" s="12"/>
      <c r="CL907" s="12"/>
    </row>
    <row r="908" spans="18:90" ht="24.95" customHeight="1">
      <c r="R908" s="12"/>
      <c r="AF908" s="12"/>
      <c r="AG908" s="12"/>
      <c r="AH908" s="12"/>
      <c r="AJ908" s="12"/>
      <c r="AM908" s="12"/>
      <c r="AX908" s="12"/>
      <c r="AY908" s="12"/>
      <c r="BA908" s="12"/>
      <c r="BD908" s="12"/>
      <c r="BI908" s="12"/>
      <c r="CG908" s="12"/>
      <c r="CI908" s="12"/>
      <c r="CJ908" s="12"/>
      <c r="CK908" s="12"/>
      <c r="CL908" s="12"/>
    </row>
    <row r="909" spans="18:90" ht="24.95" customHeight="1">
      <c r="R909" s="12"/>
      <c r="AF909" s="12"/>
      <c r="AG909" s="12"/>
      <c r="AH909" s="12"/>
      <c r="AJ909" s="12"/>
      <c r="AM909" s="12"/>
      <c r="AX909" s="12"/>
      <c r="AY909" s="12"/>
      <c r="BA909" s="12"/>
      <c r="BD909" s="12"/>
      <c r="BI909" s="12"/>
      <c r="CG909" s="12"/>
      <c r="CI909" s="12"/>
      <c r="CJ909" s="12"/>
      <c r="CK909" s="12"/>
      <c r="CL909" s="12"/>
    </row>
    <row r="910" spans="18:90" ht="24.95" customHeight="1">
      <c r="R910" s="12"/>
      <c r="AF910" s="12"/>
      <c r="AG910" s="12"/>
      <c r="AH910" s="12"/>
      <c r="AJ910" s="12"/>
      <c r="AM910" s="12"/>
      <c r="AX910" s="12"/>
      <c r="AY910" s="12"/>
      <c r="BA910" s="12"/>
      <c r="BD910" s="12"/>
      <c r="BI910" s="12"/>
      <c r="CG910" s="12"/>
      <c r="CI910" s="12"/>
      <c r="CJ910" s="12"/>
      <c r="CK910" s="12"/>
      <c r="CL910" s="12"/>
    </row>
    <row r="911" spans="18:90" ht="24.95" customHeight="1">
      <c r="R911" s="12"/>
      <c r="AF911" s="12"/>
      <c r="AG911" s="12"/>
      <c r="AH911" s="12"/>
      <c r="AJ911" s="12"/>
      <c r="AM911" s="12"/>
      <c r="AX911" s="12"/>
      <c r="AY911" s="12"/>
      <c r="BA911" s="12"/>
      <c r="BD911" s="12"/>
      <c r="BI911" s="12"/>
      <c r="CG911" s="12"/>
      <c r="CI911" s="12"/>
      <c r="CJ911" s="12"/>
      <c r="CK911" s="12"/>
      <c r="CL911" s="12"/>
    </row>
    <row r="912" spans="18:90" ht="24.95" customHeight="1">
      <c r="R912" s="12"/>
      <c r="AF912" s="12"/>
      <c r="AG912" s="12"/>
      <c r="AH912" s="12"/>
      <c r="AJ912" s="12"/>
      <c r="AM912" s="12"/>
      <c r="AX912" s="12"/>
      <c r="AY912" s="12"/>
      <c r="BA912" s="12"/>
      <c r="BD912" s="12"/>
      <c r="BI912" s="12"/>
      <c r="CG912" s="12"/>
      <c r="CI912" s="12"/>
      <c r="CJ912" s="12"/>
      <c r="CK912" s="12"/>
      <c r="CL912" s="12"/>
    </row>
    <row r="913" spans="18:90" ht="24.95" customHeight="1">
      <c r="R913" s="12"/>
      <c r="AF913" s="12"/>
      <c r="AG913" s="12"/>
      <c r="AH913" s="12"/>
      <c r="AJ913" s="12"/>
      <c r="AM913" s="12"/>
      <c r="AX913" s="12"/>
      <c r="AY913" s="12"/>
      <c r="BA913" s="12"/>
      <c r="BD913" s="12"/>
      <c r="BI913" s="12"/>
      <c r="CG913" s="12"/>
      <c r="CI913" s="12"/>
      <c r="CJ913" s="12"/>
      <c r="CK913" s="12"/>
      <c r="CL913" s="12"/>
    </row>
    <row r="914" spans="18:90" ht="24.95" customHeight="1">
      <c r="R914" s="12"/>
      <c r="AF914" s="12"/>
      <c r="AG914" s="12"/>
      <c r="AH914" s="12"/>
      <c r="AJ914" s="12"/>
      <c r="AM914" s="12"/>
      <c r="AX914" s="12"/>
      <c r="AY914" s="12"/>
      <c r="BA914" s="12"/>
      <c r="BD914" s="12"/>
      <c r="BI914" s="12"/>
      <c r="CG914" s="12"/>
      <c r="CI914" s="12"/>
      <c r="CJ914" s="12"/>
      <c r="CK914" s="12"/>
      <c r="CL914" s="12"/>
    </row>
    <row r="915" spans="18:90" ht="24.95" customHeight="1">
      <c r="R915" s="12"/>
      <c r="AF915" s="12"/>
      <c r="AG915" s="12"/>
      <c r="AH915" s="12"/>
      <c r="AJ915" s="12"/>
      <c r="AM915" s="12"/>
      <c r="AX915" s="12"/>
      <c r="AY915" s="12"/>
      <c r="BA915" s="12"/>
      <c r="BD915" s="12"/>
      <c r="BI915" s="12"/>
      <c r="CG915" s="12"/>
      <c r="CI915" s="12"/>
      <c r="CJ915" s="12"/>
      <c r="CK915" s="12"/>
      <c r="CL915" s="12"/>
    </row>
    <row r="916" spans="18:90" ht="24.95" customHeight="1">
      <c r="R916" s="12"/>
      <c r="AF916" s="12"/>
      <c r="AG916" s="12"/>
      <c r="AH916" s="12"/>
      <c r="AJ916" s="12"/>
      <c r="AM916" s="12"/>
      <c r="AX916" s="12"/>
      <c r="AY916" s="12"/>
      <c r="BA916" s="12"/>
      <c r="BD916" s="12"/>
      <c r="BI916" s="12"/>
      <c r="CG916" s="12"/>
      <c r="CI916" s="12"/>
      <c r="CJ916" s="12"/>
      <c r="CK916" s="12"/>
      <c r="CL916" s="12"/>
    </row>
    <row r="917" spans="18:90" ht="24.95" customHeight="1">
      <c r="R917" s="12"/>
      <c r="AF917" s="12"/>
      <c r="AG917" s="12"/>
      <c r="AH917" s="12"/>
      <c r="AJ917" s="12"/>
      <c r="AM917" s="12"/>
      <c r="AX917" s="12"/>
      <c r="AY917" s="12"/>
      <c r="BA917" s="12"/>
      <c r="BD917" s="12"/>
      <c r="BI917" s="12"/>
      <c r="CG917" s="12"/>
      <c r="CI917" s="12"/>
      <c r="CJ917" s="12"/>
      <c r="CK917" s="12"/>
      <c r="CL917" s="12"/>
    </row>
    <row r="918" spans="18:90" ht="24.95" customHeight="1">
      <c r="R918" s="12"/>
      <c r="AF918" s="12"/>
      <c r="AG918" s="12"/>
      <c r="AH918" s="12"/>
      <c r="AJ918" s="12"/>
      <c r="AM918" s="12"/>
      <c r="AX918" s="12"/>
      <c r="AY918" s="12"/>
      <c r="BA918" s="12"/>
      <c r="BD918" s="12"/>
      <c r="BI918" s="12"/>
      <c r="CG918" s="12"/>
      <c r="CI918" s="12"/>
      <c r="CJ918" s="12"/>
      <c r="CK918" s="12"/>
      <c r="CL918" s="12"/>
    </row>
    <row r="919" spans="18:90" ht="24.95" customHeight="1">
      <c r="R919" s="12"/>
      <c r="AF919" s="12"/>
      <c r="AG919" s="12"/>
      <c r="AH919" s="12"/>
      <c r="AJ919" s="12"/>
      <c r="AM919" s="12"/>
      <c r="AX919" s="12"/>
      <c r="AY919" s="12"/>
      <c r="BA919" s="12"/>
      <c r="BD919" s="12"/>
      <c r="BI919" s="12"/>
      <c r="CG919" s="12"/>
      <c r="CI919" s="12"/>
      <c r="CJ919" s="12"/>
      <c r="CK919" s="12"/>
      <c r="CL919" s="12"/>
    </row>
    <row r="920" spans="18:90" ht="24.95" customHeight="1">
      <c r="R920" s="12"/>
      <c r="AF920" s="12"/>
      <c r="AG920" s="12"/>
      <c r="AH920" s="12"/>
      <c r="AJ920" s="12"/>
      <c r="AM920" s="12"/>
      <c r="AX920" s="12"/>
      <c r="AY920" s="12"/>
      <c r="BA920" s="12"/>
      <c r="BD920" s="12"/>
      <c r="BI920" s="12"/>
      <c r="CG920" s="12"/>
      <c r="CI920" s="12"/>
      <c r="CJ920" s="12"/>
      <c r="CK920" s="12"/>
      <c r="CL920" s="12"/>
    </row>
    <row r="921" spans="18:90" ht="24.95" customHeight="1">
      <c r="R921" s="12"/>
      <c r="AF921" s="12"/>
      <c r="AG921" s="12"/>
      <c r="AH921" s="12"/>
      <c r="AJ921" s="12"/>
      <c r="AM921" s="12"/>
      <c r="AX921" s="12"/>
      <c r="AY921" s="12"/>
      <c r="BA921" s="12"/>
      <c r="BD921" s="12"/>
      <c r="BI921" s="12"/>
      <c r="CG921" s="12"/>
      <c r="CI921" s="12"/>
      <c r="CJ921" s="12"/>
      <c r="CK921" s="12"/>
      <c r="CL921" s="12"/>
    </row>
    <row r="922" spans="18:90" ht="24.95" customHeight="1">
      <c r="R922" s="12"/>
      <c r="AF922" s="12"/>
      <c r="AG922" s="12"/>
      <c r="AH922" s="12"/>
      <c r="AJ922" s="12"/>
      <c r="AM922" s="12"/>
      <c r="AX922" s="12"/>
      <c r="AY922" s="12"/>
      <c r="BA922" s="12"/>
      <c r="BD922" s="12"/>
      <c r="BI922" s="12"/>
      <c r="CG922" s="12"/>
      <c r="CI922" s="12"/>
      <c r="CJ922" s="12"/>
      <c r="CK922" s="12"/>
      <c r="CL922" s="12"/>
    </row>
    <row r="923" spans="18:90" ht="24.95" customHeight="1">
      <c r="R923" s="12"/>
      <c r="AF923" s="12"/>
      <c r="AG923" s="12"/>
      <c r="AH923" s="12"/>
      <c r="AJ923" s="12"/>
      <c r="AM923" s="12"/>
      <c r="AX923" s="12"/>
      <c r="AY923" s="12"/>
      <c r="BA923" s="12"/>
      <c r="BD923" s="12"/>
      <c r="BI923" s="12"/>
      <c r="CG923" s="12"/>
      <c r="CI923" s="12"/>
      <c r="CJ923" s="12"/>
      <c r="CK923" s="12"/>
      <c r="CL923" s="12"/>
    </row>
    <row r="924" spans="18:90" ht="24.95" customHeight="1">
      <c r="R924" s="12"/>
      <c r="AF924" s="12"/>
      <c r="AG924" s="12"/>
      <c r="AH924" s="12"/>
      <c r="AJ924" s="12"/>
      <c r="AM924" s="12"/>
      <c r="AX924" s="12"/>
      <c r="AY924" s="12"/>
      <c r="BA924" s="12"/>
      <c r="BD924" s="12"/>
      <c r="BI924" s="12"/>
      <c r="CG924" s="12"/>
      <c r="CI924" s="12"/>
      <c r="CJ924" s="12"/>
      <c r="CK924" s="12"/>
      <c r="CL924" s="12"/>
    </row>
    <row r="925" spans="18:90" ht="24.95" customHeight="1">
      <c r="R925" s="12"/>
      <c r="AF925" s="12"/>
      <c r="AG925" s="12"/>
      <c r="AH925" s="12"/>
      <c r="AJ925" s="12"/>
      <c r="AM925" s="12"/>
      <c r="AX925" s="12"/>
      <c r="AY925" s="12"/>
      <c r="BA925" s="12"/>
      <c r="BD925" s="12"/>
      <c r="BI925" s="12"/>
      <c r="CG925" s="12"/>
      <c r="CI925" s="12"/>
      <c r="CJ925" s="12"/>
      <c r="CK925" s="12"/>
      <c r="CL925" s="12"/>
    </row>
    <row r="926" spans="18:90" ht="24.95" customHeight="1">
      <c r="R926" s="12"/>
      <c r="AF926" s="12"/>
      <c r="AG926" s="12"/>
      <c r="AH926" s="12"/>
      <c r="AJ926" s="12"/>
      <c r="AM926" s="12"/>
      <c r="AX926" s="12"/>
      <c r="AY926" s="12"/>
      <c r="BA926" s="12"/>
      <c r="BD926" s="12"/>
      <c r="BI926" s="12"/>
      <c r="CG926" s="12"/>
      <c r="CI926" s="12"/>
      <c r="CJ926" s="12"/>
      <c r="CK926" s="12"/>
      <c r="CL926" s="12"/>
    </row>
    <row r="927" spans="18:90" ht="24.95" customHeight="1">
      <c r="R927" s="12"/>
      <c r="AF927" s="12"/>
      <c r="AG927" s="12"/>
      <c r="AH927" s="12"/>
      <c r="AJ927" s="12"/>
      <c r="AM927" s="12"/>
      <c r="AX927" s="12"/>
      <c r="AY927" s="12"/>
      <c r="BA927" s="12"/>
      <c r="BD927" s="12"/>
      <c r="BI927" s="12"/>
      <c r="CG927" s="12"/>
      <c r="CI927" s="12"/>
      <c r="CJ927" s="12"/>
      <c r="CK927" s="12"/>
      <c r="CL927" s="12"/>
    </row>
    <row r="928" spans="18:90" ht="24.95" customHeight="1">
      <c r="R928" s="12"/>
      <c r="AF928" s="12"/>
      <c r="AG928" s="12"/>
      <c r="AH928" s="12"/>
      <c r="AJ928" s="12"/>
      <c r="AM928" s="12"/>
      <c r="AX928" s="12"/>
      <c r="AY928" s="12"/>
      <c r="BA928" s="12"/>
      <c r="BD928" s="12"/>
      <c r="BI928" s="12"/>
      <c r="CG928" s="12"/>
      <c r="CI928" s="12"/>
      <c r="CJ928" s="12"/>
      <c r="CK928" s="12"/>
      <c r="CL928" s="12"/>
    </row>
    <row r="929" spans="18:90" ht="24.95" customHeight="1">
      <c r="R929" s="12"/>
      <c r="AF929" s="12"/>
      <c r="AG929" s="12"/>
      <c r="AH929" s="12"/>
      <c r="AJ929" s="12"/>
      <c r="AM929" s="12"/>
      <c r="AX929" s="12"/>
      <c r="AY929" s="12"/>
      <c r="BA929" s="12"/>
      <c r="BD929" s="12"/>
      <c r="BI929" s="12"/>
      <c r="CG929" s="12"/>
      <c r="CI929" s="12"/>
      <c r="CJ929" s="12"/>
      <c r="CK929" s="12"/>
      <c r="CL929" s="12"/>
    </row>
    <row r="930" spans="18:90" ht="24.95" customHeight="1">
      <c r="R930" s="12"/>
      <c r="AF930" s="12"/>
      <c r="AG930" s="12"/>
      <c r="AH930" s="12"/>
      <c r="AJ930" s="12"/>
      <c r="AM930" s="12"/>
      <c r="AX930" s="12"/>
      <c r="AY930" s="12"/>
      <c r="BA930" s="12"/>
      <c r="BD930" s="12"/>
      <c r="BI930" s="12"/>
      <c r="CG930" s="12"/>
      <c r="CI930" s="12"/>
      <c r="CJ930" s="12"/>
      <c r="CK930" s="12"/>
      <c r="CL930" s="12"/>
    </row>
    <row r="931" spans="18:90" ht="24.95" customHeight="1">
      <c r="R931" s="12"/>
      <c r="AF931" s="12"/>
      <c r="AG931" s="12"/>
      <c r="AH931" s="12"/>
      <c r="AJ931" s="12"/>
      <c r="AM931" s="12"/>
      <c r="AX931" s="12"/>
      <c r="AY931" s="12"/>
      <c r="BA931" s="12"/>
      <c r="BD931" s="12"/>
      <c r="BI931" s="12"/>
      <c r="CG931" s="12"/>
      <c r="CI931" s="12"/>
      <c r="CJ931" s="12"/>
      <c r="CK931" s="12"/>
      <c r="CL931" s="12"/>
    </row>
    <row r="932" spans="18:90" ht="24.95" customHeight="1">
      <c r="R932" s="12"/>
      <c r="AF932" s="12"/>
      <c r="AG932" s="12"/>
      <c r="AH932" s="12"/>
      <c r="AJ932" s="12"/>
      <c r="AM932" s="12"/>
      <c r="AX932" s="12"/>
      <c r="AY932" s="12"/>
      <c r="BA932" s="12"/>
      <c r="BD932" s="12"/>
      <c r="BI932" s="12"/>
      <c r="CG932" s="12"/>
      <c r="CI932" s="12"/>
      <c r="CJ932" s="12"/>
      <c r="CK932" s="12"/>
      <c r="CL932" s="12"/>
    </row>
    <row r="933" spans="18:90" ht="24.95" customHeight="1">
      <c r="R933" s="12"/>
      <c r="AF933" s="12"/>
      <c r="AG933" s="12"/>
      <c r="AH933" s="12"/>
      <c r="AJ933" s="12"/>
      <c r="AM933" s="12"/>
      <c r="AX933" s="12"/>
      <c r="AY933" s="12"/>
      <c r="BA933" s="12"/>
      <c r="BD933" s="12"/>
      <c r="BI933" s="12"/>
      <c r="CG933" s="12"/>
      <c r="CI933" s="12"/>
      <c r="CJ933" s="12"/>
      <c r="CK933" s="12"/>
      <c r="CL933" s="12"/>
    </row>
    <row r="934" spans="18:90" ht="24.95" customHeight="1">
      <c r="R934" s="12"/>
      <c r="AF934" s="12"/>
      <c r="AG934" s="12"/>
      <c r="AH934" s="12"/>
      <c r="AJ934" s="12"/>
      <c r="AM934" s="12"/>
      <c r="AX934" s="12"/>
      <c r="AY934" s="12"/>
      <c r="BA934" s="12"/>
      <c r="BD934" s="12"/>
      <c r="BI934" s="12"/>
      <c r="CG934" s="12"/>
      <c r="CI934" s="12"/>
      <c r="CJ934" s="12"/>
      <c r="CK934" s="12"/>
      <c r="CL934" s="12"/>
    </row>
    <row r="935" spans="18:90" ht="24.95" customHeight="1">
      <c r="R935" s="12"/>
      <c r="AF935" s="12"/>
      <c r="AG935" s="12"/>
      <c r="AH935" s="12"/>
      <c r="AJ935" s="12"/>
      <c r="AM935" s="12"/>
      <c r="AX935" s="12"/>
      <c r="AY935" s="12"/>
      <c r="BA935" s="12"/>
      <c r="BD935" s="12"/>
      <c r="BI935" s="12"/>
      <c r="CG935" s="12"/>
      <c r="CI935" s="12"/>
      <c r="CJ935" s="12"/>
      <c r="CK935" s="12"/>
      <c r="CL935" s="12"/>
    </row>
    <row r="936" spans="18:90" ht="24.95" customHeight="1">
      <c r="R936" s="12"/>
      <c r="AF936" s="12"/>
      <c r="AG936" s="12"/>
      <c r="AH936" s="12"/>
      <c r="AJ936" s="12"/>
      <c r="AM936" s="12"/>
      <c r="AX936" s="12"/>
      <c r="AY936" s="12"/>
      <c r="BA936" s="12"/>
      <c r="BD936" s="12"/>
      <c r="BI936" s="12"/>
      <c r="CG936" s="12"/>
      <c r="CI936" s="12"/>
      <c r="CJ936" s="12"/>
      <c r="CK936" s="12"/>
      <c r="CL936" s="12"/>
    </row>
    <row r="937" spans="18:90" ht="24.95" customHeight="1">
      <c r="R937" s="12"/>
      <c r="AF937" s="12"/>
      <c r="AG937" s="12"/>
      <c r="AH937" s="12"/>
      <c r="AJ937" s="12"/>
      <c r="AM937" s="12"/>
      <c r="AX937" s="12"/>
      <c r="AY937" s="12"/>
      <c r="BA937" s="12"/>
      <c r="BD937" s="12"/>
      <c r="BI937" s="12"/>
      <c r="CG937" s="12"/>
      <c r="CI937" s="12"/>
      <c r="CJ937" s="12"/>
      <c r="CK937" s="12"/>
      <c r="CL937" s="12"/>
    </row>
    <row r="938" spans="18:90" ht="24.95" customHeight="1">
      <c r="R938" s="12"/>
      <c r="AF938" s="12"/>
      <c r="AG938" s="12"/>
      <c r="AH938" s="12"/>
      <c r="AJ938" s="12"/>
      <c r="AM938" s="12"/>
      <c r="AX938" s="12"/>
      <c r="AY938" s="12"/>
      <c r="BA938" s="12"/>
      <c r="BD938" s="12"/>
      <c r="BI938" s="12"/>
      <c r="CG938" s="12"/>
      <c r="CI938" s="12"/>
      <c r="CJ938" s="12"/>
      <c r="CK938" s="12"/>
      <c r="CL938" s="12"/>
    </row>
    <row r="939" spans="18:90" ht="24.95" customHeight="1">
      <c r="R939" s="12"/>
      <c r="AF939" s="12"/>
      <c r="AG939" s="12"/>
      <c r="AH939" s="12"/>
      <c r="AJ939" s="12"/>
      <c r="AM939" s="12"/>
      <c r="AX939" s="12"/>
      <c r="AY939" s="12"/>
      <c r="BA939" s="12"/>
      <c r="BD939" s="12"/>
      <c r="BI939" s="12"/>
      <c r="CG939" s="12"/>
      <c r="CI939" s="12"/>
      <c r="CJ939" s="12"/>
      <c r="CK939" s="12"/>
      <c r="CL939" s="12"/>
    </row>
    <row r="940" spans="18:90" ht="24.95" customHeight="1">
      <c r="R940" s="12"/>
      <c r="AF940" s="12"/>
      <c r="AG940" s="12"/>
      <c r="AH940" s="12"/>
      <c r="AJ940" s="12"/>
      <c r="AM940" s="12"/>
      <c r="AX940" s="12"/>
      <c r="AY940" s="12"/>
      <c r="BA940" s="12"/>
      <c r="BD940" s="12"/>
      <c r="BI940" s="12"/>
      <c r="CG940" s="12"/>
      <c r="CI940" s="12"/>
      <c r="CJ940" s="12"/>
      <c r="CK940" s="12"/>
      <c r="CL940" s="12"/>
    </row>
    <row r="941" spans="18:90" ht="24.95" customHeight="1">
      <c r="R941" s="12"/>
      <c r="AF941" s="12"/>
      <c r="AG941" s="12"/>
      <c r="AH941" s="12"/>
      <c r="AJ941" s="12"/>
      <c r="AM941" s="12"/>
      <c r="AX941" s="12"/>
      <c r="AY941" s="12"/>
      <c r="BA941" s="12"/>
      <c r="BD941" s="12"/>
      <c r="BI941" s="12"/>
      <c r="CG941" s="12"/>
      <c r="CI941" s="12"/>
      <c r="CJ941" s="12"/>
      <c r="CK941" s="12"/>
      <c r="CL941" s="12"/>
    </row>
    <row r="942" spans="18:90" ht="24.95" customHeight="1">
      <c r="R942" s="12"/>
      <c r="AF942" s="12"/>
      <c r="AG942" s="12"/>
      <c r="AH942" s="12"/>
      <c r="AJ942" s="12"/>
      <c r="AM942" s="12"/>
      <c r="AX942" s="12"/>
      <c r="AY942" s="12"/>
      <c r="BA942" s="12"/>
      <c r="BD942" s="12"/>
      <c r="BI942" s="12"/>
      <c r="CG942" s="12"/>
      <c r="CI942" s="12"/>
      <c r="CJ942" s="12"/>
      <c r="CK942" s="12"/>
      <c r="CL942" s="12"/>
    </row>
    <row r="943" spans="18:90" ht="24.95" customHeight="1">
      <c r="R943" s="12"/>
      <c r="AF943" s="12"/>
      <c r="AG943" s="12"/>
      <c r="AH943" s="12"/>
      <c r="AJ943" s="12"/>
      <c r="AM943" s="12"/>
      <c r="AX943" s="12"/>
      <c r="AY943" s="12"/>
      <c r="BA943" s="12"/>
      <c r="BD943" s="12"/>
      <c r="BI943" s="12"/>
      <c r="CG943" s="12"/>
      <c r="CI943" s="12"/>
      <c r="CJ943" s="12"/>
      <c r="CK943" s="12"/>
      <c r="CL943" s="12"/>
    </row>
    <row r="944" spans="18:90" ht="24.95" customHeight="1">
      <c r="R944" s="12"/>
      <c r="AF944" s="12"/>
      <c r="AG944" s="12"/>
      <c r="AH944" s="12"/>
      <c r="AJ944" s="12"/>
      <c r="AM944" s="12"/>
      <c r="AX944" s="12"/>
      <c r="AY944" s="12"/>
      <c r="BA944" s="12"/>
      <c r="BD944" s="12"/>
      <c r="BI944" s="12"/>
      <c r="CG944" s="12"/>
      <c r="CI944" s="12"/>
      <c r="CJ944" s="12"/>
      <c r="CK944" s="12"/>
      <c r="CL944" s="12"/>
    </row>
    <row r="945" spans="18:90" ht="24.95" customHeight="1">
      <c r="R945" s="12"/>
      <c r="AF945" s="12"/>
      <c r="AG945" s="12"/>
      <c r="AH945" s="12"/>
      <c r="AJ945" s="12"/>
      <c r="AM945" s="12"/>
      <c r="AX945" s="12"/>
      <c r="AY945" s="12"/>
      <c r="BA945" s="12"/>
      <c r="BD945" s="12"/>
      <c r="BI945" s="12"/>
      <c r="CG945" s="12"/>
      <c r="CI945" s="12"/>
      <c r="CJ945" s="12"/>
      <c r="CK945" s="12"/>
      <c r="CL945" s="12"/>
    </row>
    <row r="946" spans="18:90" ht="24.95" customHeight="1">
      <c r="R946" s="12"/>
      <c r="AF946" s="12"/>
      <c r="AG946" s="12"/>
      <c r="AH946" s="12"/>
      <c r="AJ946" s="12"/>
      <c r="AM946" s="12"/>
      <c r="AX946" s="12"/>
      <c r="AY946" s="12"/>
      <c r="BA946" s="12"/>
      <c r="BD946" s="12"/>
      <c r="BI946" s="12"/>
      <c r="CG946" s="12"/>
      <c r="CI946" s="12"/>
      <c r="CJ946" s="12"/>
      <c r="CK946" s="12"/>
      <c r="CL946" s="12"/>
    </row>
    <row r="947" spans="18:90" ht="24.95" customHeight="1">
      <c r="R947" s="12"/>
      <c r="AF947" s="12"/>
      <c r="AG947" s="12"/>
      <c r="AH947" s="12"/>
      <c r="AJ947" s="12"/>
      <c r="AM947" s="12"/>
      <c r="AX947" s="12"/>
      <c r="AY947" s="12"/>
      <c r="BA947" s="12"/>
      <c r="BD947" s="12"/>
      <c r="BI947" s="12"/>
      <c r="CG947" s="12"/>
      <c r="CI947" s="12"/>
      <c r="CJ947" s="12"/>
      <c r="CK947" s="12"/>
      <c r="CL947" s="12"/>
    </row>
    <row r="948" spans="18:90" ht="24.95" customHeight="1">
      <c r="R948" s="12"/>
      <c r="AF948" s="12"/>
      <c r="AG948" s="12"/>
      <c r="AH948" s="12"/>
      <c r="AJ948" s="12"/>
      <c r="AM948" s="12"/>
      <c r="AX948" s="12"/>
      <c r="AY948" s="12"/>
      <c r="BA948" s="12"/>
      <c r="BD948" s="12"/>
      <c r="BI948" s="12"/>
      <c r="CG948" s="12"/>
      <c r="CI948" s="12"/>
      <c r="CJ948" s="12"/>
      <c r="CK948" s="12"/>
      <c r="CL948" s="12"/>
    </row>
    <row r="949" spans="18:90" ht="24.95" customHeight="1">
      <c r="R949" s="12"/>
      <c r="AF949" s="12"/>
      <c r="AG949" s="12"/>
      <c r="AH949" s="12"/>
      <c r="AJ949" s="12"/>
      <c r="AM949" s="12"/>
      <c r="AX949" s="12"/>
      <c r="AY949" s="12"/>
      <c r="BA949" s="12"/>
      <c r="BD949" s="12"/>
      <c r="BI949" s="12"/>
      <c r="CG949" s="12"/>
      <c r="CI949" s="12"/>
      <c r="CJ949" s="12"/>
      <c r="CK949" s="12"/>
      <c r="CL949" s="12"/>
    </row>
    <row r="950" spans="18:90" ht="24.95" customHeight="1">
      <c r="R950" s="12"/>
      <c r="AF950" s="12"/>
      <c r="AG950" s="12"/>
      <c r="AH950" s="12"/>
      <c r="AJ950" s="12"/>
      <c r="AM950" s="12"/>
      <c r="AX950" s="12"/>
      <c r="AY950" s="12"/>
      <c r="BA950" s="12"/>
      <c r="BD950" s="12"/>
      <c r="BI950" s="12"/>
      <c r="CG950" s="12"/>
      <c r="CI950" s="12"/>
      <c r="CJ950" s="12"/>
      <c r="CK950" s="12"/>
      <c r="CL950" s="12"/>
    </row>
    <row r="951" spans="18:90" ht="24.95" customHeight="1">
      <c r="R951" s="12"/>
      <c r="AF951" s="12"/>
      <c r="AG951" s="12"/>
      <c r="AH951" s="12"/>
      <c r="AJ951" s="12"/>
      <c r="AM951" s="12"/>
      <c r="AX951" s="12"/>
      <c r="AY951" s="12"/>
      <c r="BA951" s="12"/>
      <c r="BD951" s="12"/>
      <c r="BI951" s="12"/>
      <c r="CG951" s="12"/>
      <c r="CI951" s="12"/>
      <c r="CJ951" s="12"/>
      <c r="CK951" s="12"/>
      <c r="CL951" s="12"/>
    </row>
    <row r="952" spans="18:90" ht="24.95" customHeight="1">
      <c r="R952" s="12"/>
      <c r="AF952" s="12"/>
      <c r="AG952" s="12"/>
      <c r="AH952" s="12"/>
      <c r="AJ952" s="12"/>
      <c r="AM952" s="12"/>
      <c r="AX952" s="12"/>
      <c r="AY952" s="12"/>
      <c r="BA952" s="12"/>
      <c r="BD952" s="12"/>
      <c r="BI952" s="12"/>
      <c r="CG952" s="12"/>
      <c r="CI952" s="12"/>
      <c r="CJ952" s="12"/>
      <c r="CK952" s="12"/>
      <c r="CL952" s="12"/>
    </row>
    <row r="953" spans="18:90" ht="24.95" customHeight="1">
      <c r="R953" s="12"/>
      <c r="AF953" s="12"/>
      <c r="AG953" s="12"/>
      <c r="AH953" s="12"/>
      <c r="AJ953" s="12"/>
      <c r="AM953" s="12"/>
      <c r="AX953" s="12"/>
      <c r="AY953" s="12"/>
      <c r="BA953" s="12"/>
      <c r="BD953" s="12"/>
      <c r="BI953" s="12"/>
      <c r="CG953" s="12"/>
      <c r="CI953" s="12"/>
      <c r="CJ953" s="12"/>
      <c r="CK953" s="12"/>
      <c r="CL953" s="12"/>
    </row>
    <row r="954" spans="18:90" ht="24.95" customHeight="1">
      <c r="R954" s="12"/>
      <c r="AF954" s="12"/>
      <c r="AG954" s="12"/>
      <c r="AH954" s="12"/>
      <c r="AJ954" s="12"/>
      <c r="AM954" s="12"/>
      <c r="AX954" s="12"/>
      <c r="AY954" s="12"/>
      <c r="BA954" s="12"/>
      <c r="BD954" s="12"/>
      <c r="BI954" s="12"/>
      <c r="CG954" s="12"/>
      <c r="CI954" s="12"/>
      <c r="CJ954" s="12"/>
      <c r="CK954" s="12"/>
      <c r="CL954" s="12"/>
    </row>
    <row r="955" spans="18:90" ht="24.95" customHeight="1">
      <c r="R955" s="12"/>
      <c r="AF955" s="12"/>
      <c r="AG955" s="12"/>
      <c r="AH955" s="12"/>
      <c r="AJ955" s="12"/>
      <c r="AM955" s="12"/>
      <c r="AX955" s="12"/>
      <c r="AY955" s="12"/>
      <c r="BA955" s="12"/>
      <c r="BD955" s="12"/>
      <c r="BI955" s="12"/>
      <c r="CG955" s="12"/>
      <c r="CI955" s="12"/>
      <c r="CJ955" s="12"/>
      <c r="CK955" s="12"/>
      <c r="CL955" s="12"/>
    </row>
    <row r="956" spans="18:90" ht="24.95" customHeight="1">
      <c r="R956" s="12"/>
      <c r="AF956" s="12"/>
      <c r="AG956" s="12"/>
      <c r="AH956" s="12"/>
      <c r="AJ956" s="12"/>
      <c r="AM956" s="12"/>
      <c r="AX956" s="12"/>
      <c r="AY956" s="12"/>
      <c r="BA956" s="12"/>
      <c r="BD956" s="12"/>
      <c r="BI956" s="12"/>
      <c r="CG956" s="12"/>
      <c r="CI956" s="12"/>
      <c r="CJ956" s="12"/>
      <c r="CK956" s="12"/>
      <c r="CL956" s="12"/>
    </row>
    <row r="957" spans="18:90" ht="24.95" customHeight="1">
      <c r="R957" s="12"/>
      <c r="AF957" s="12"/>
      <c r="AG957" s="12"/>
      <c r="AH957" s="12"/>
      <c r="AJ957" s="12"/>
      <c r="AM957" s="12"/>
      <c r="AX957" s="12"/>
      <c r="AY957" s="12"/>
      <c r="BA957" s="12"/>
      <c r="BD957" s="12"/>
      <c r="BI957" s="12"/>
      <c r="CG957" s="12"/>
      <c r="CI957" s="12"/>
      <c r="CJ957" s="12"/>
      <c r="CK957" s="12"/>
      <c r="CL957" s="12"/>
    </row>
    <row r="958" spans="18:90" ht="24.95" customHeight="1">
      <c r="R958" s="12"/>
      <c r="AF958" s="12"/>
      <c r="AG958" s="12"/>
      <c r="AH958" s="12"/>
      <c r="AJ958" s="12"/>
      <c r="AM958" s="12"/>
      <c r="AX958" s="12"/>
      <c r="AY958" s="12"/>
      <c r="BA958" s="12"/>
      <c r="BD958" s="12"/>
      <c r="BI958" s="12"/>
      <c r="CG958" s="12"/>
      <c r="CI958" s="12"/>
      <c r="CJ958" s="12"/>
      <c r="CK958" s="12"/>
      <c r="CL958" s="12"/>
    </row>
    <row r="959" spans="18:90" ht="24.95" customHeight="1">
      <c r="R959" s="12"/>
      <c r="AF959" s="12"/>
      <c r="AG959" s="12"/>
      <c r="AH959" s="12"/>
      <c r="AJ959" s="12"/>
      <c r="AM959" s="12"/>
      <c r="AX959" s="12"/>
      <c r="AY959" s="12"/>
      <c r="BA959" s="12"/>
      <c r="BD959" s="12"/>
      <c r="BI959" s="12"/>
      <c r="CG959" s="12"/>
      <c r="CI959" s="12"/>
      <c r="CJ959" s="12"/>
      <c r="CK959" s="12"/>
      <c r="CL959" s="12"/>
    </row>
    <row r="960" spans="18:90" ht="24.95" customHeight="1">
      <c r="R960" s="12"/>
      <c r="AF960" s="12"/>
      <c r="AG960" s="12"/>
      <c r="AH960" s="12"/>
      <c r="AJ960" s="12"/>
      <c r="AM960" s="12"/>
      <c r="AX960" s="12"/>
      <c r="AY960" s="12"/>
      <c r="BA960" s="12"/>
      <c r="BD960" s="12"/>
      <c r="BI960" s="12"/>
      <c r="CG960" s="12"/>
      <c r="CI960" s="12"/>
      <c r="CJ960" s="12"/>
      <c r="CK960" s="12"/>
      <c r="CL960" s="12"/>
    </row>
    <row r="961" spans="18:90" ht="24.95" customHeight="1">
      <c r="R961" s="12"/>
      <c r="AF961" s="12"/>
      <c r="AG961" s="12"/>
      <c r="AH961" s="12"/>
      <c r="AJ961" s="12"/>
      <c r="AM961" s="12"/>
      <c r="AX961" s="12"/>
      <c r="AY961" s="12"/>
      <c r="BA961" s="12"/>
      <c r="BD961" s="12"/>
      <c r="BI961" s="12"/>
      <c r="CG961" s="12"/>
      <c r="CI961" s="12"/>
      <c r="CJ961" s="12"/>
      <c r="CK961" s="12"/>
      <c r="CL961" s="12"/>
    </row>
    <row r="962" spans="18:90" ht="24.95" customHeight="1">
      <c r="R962" s="12"/>
      <c r="AF962" s="12"/>
      <c r="AG962" s="12"/>
      <c r="AH962" s="12"/>
      <c r="AJ962" s="12"/>
      <c r="AM962" s="12"/>
      <c r="AX962" s="12"/>
      <c r="AY962" s="12"/>
      <c r="BA962" s="12"/>
      <c r="BD962" s="12"/>
      <c r="BI962" s="12"/>
      <c r="CG962" s="12"/>
      <c r="CI962" s="12"/>
      <c r="CJ962" s="12"/>
      <c r="CK962" s="12"/>
      <c r="CL962" s="12"/>
    </row>
    <row r="963" spans="18:90" ht="24.95" customHeight="1">
      <c r="R963" s="12"/>
      <c r="AF963" s="12"/>
      <c r="AG963" s="12"/>
      <c r="AH963" s="12"/>
      <c r="AJ963" s="12"/>
      <c r="AM963" s="12"/>
      <c r="AX963" s="12"/>
      <c r="AY963" s="12"/>
      <c r="BA963" s="12"/>
      <c r="BD963" s="12"/>
      <c r="BI963" s="12"/>
      <c r="CG963" s="12"/>
      <c r="CI963" s="12"/>
      <c r="CJ963" s="12"/>
      <c r="CK963" s="12"/>
      <c r="CL963" s="12"/>
    </row>
    <row r="964" spans="18:90" ht="24.95" customHeight="1">
      <c r="R964" s="12"/>
      <c r="AF964" s="12"/>
      <c r="AG964" s="12"/>
      <c r="AH964" s="12"/>
      <c r="AJ964" s="12"/>
      <c r="AM964" s="12"/>
      <c r="AX964" s="12"/>
      <c r="AY964" s="12"/>
      <c r="BA964" s="12"/>
      <c r="BD964" s="12"/>
      <c r="BI964" s="12"/>
      <c r="CG964" s="12"/>
      <c r="CI964" s="12"/>
      <c r="CJ964" s="12"/>
      <c r="CK964" s="12"/>
      <c r="CL964" s="12"/>
    </row>
    <row r="965" spans="18:90" ht="24.95" customHeight="1">
      <c r="R965" s="12"/>
      <c r="AF965" s="12"/>
      <c r="AG965" s="12"/>
      <c r="AH965" s="12"/>
      <c r="AJ965" s="12"/>
      <c r="AM965" s="12"/>
      <c r="AX965" s="12"/>
      <c r="AY965" s="12"/>
      <c r="BA965" s="12"/>
      <c r="BD965" s="12"/>
      <c r="BI965" s="12"/>
      <c r="CG965" s="12"/>
      <c r="CI965" s="12"/>
      <c r="CJ965" s="12"/>
      <c r="CK965" s="12"/>
      <c r="CL965" s="12"/>
    </row>
    <row r="966" spans="18:90" ht="24.95" customHeight="1">
      <c r="R966" s="12"/>
      <c r="AF966" s="12"/>
      <c r="AG966" s="12"/>
      <c r="AH966" s="12"/>
      <c r="AJ966" s="12"/>
      <c r="AM966" s="12"/>
      <c r="AX966" s="12"/>
      <c r="AY966" s="12"/>
      <c r="BA966" s="12"/>
      <c r="BD966" s="12"/>
      <c r="BI966" s="12"/>
      <c r="CG966" s="12"/>
      <c r="CI966" s="12"/>
      <c r="CJ966" s="12"/>
      <c r="CK966" s="12"/>
      <c r="CL966" s="12"/>
    </row>
    <row r="967" spans="18:90" ht="24.95" customHeight="1">
      <c r="R967" s="12"/>
      <c r="AF967" s="12"/>
      <c r="AG967" s="12"/>
      <c r="AH967" s="12"/>
      <c r="AJ967" s="12"/>
      <c r="AM967" s="12"/>
      <c r="AX967" s="12"/>
      <c r="AY967" s="12"/>
      <c r="BA967" s="12"/>
      <c r="BD967" s="12"/>
      <c r="BI967" s="12"/>
      <c r="CG967" s="12"/>
      <c r="CI967" s="12"/>
      <c r="CJ967" s="12"/>
      <c r="CK967" s="12"/>
      <c r="CL967" s="12"/>
    </row>
    <row r="968" spans="18:90" ht="24.95" customHeight="1">
      <c r="R968" s="12"/>
      <c r="AF968" s="12"/>
      <c r="AG968" s="12"/>
      <c r="AH968" s="12"/>
      <c r="AJ968" s="12"/>
      <c r="AM968" s="12"/>
      <c r="AX968" s="12"/>
      <c r="AY968" s="12"/>
      <c r="BA968" s="12"/>
      <c r="BD968" s="12"/>
      <c r="BI968" s="12"/>
      <c r="CG968" s="12"/>
      <c r="CI968" s="12"/>
      <c r="CJ968" s="12"/>
      <c r="CK968" s="12"/>
      <c r="CL968" s="12"/>
    </row>
    <row r="969" spans="18:90" ht="24.95" customHeight="1">
      <c r="R969" s="12"/>
      <c r="AF969" s="12"/>
      <c r="AG969" s="12"/>
      <c r="AH969" s="12"/>
      <c r="AJ969" s="12"/>
      <c r="AM969" s="12"/>
      <c r="AX969" s="12"/>
      <c r="AY969" s="12"/>
      <c r="BA969" s="12"/>
      <c r="BD969" s="12"/>
      <c r="BI969" s="12"/>
      <c r="CG969" s="12"/>
      <c r="CI969" s="12"/>
      <c r="CJ969" s="12"/>
      <c r="CK969" s="12"/>
      <c r="CL969" s="12"/>
    </row>
    <row r="970" spans="18:90" ht="24.95" customHeight="1">
      <c r="R970" s="12"/>
      <c r="AF970" s="12"/>
      <c r="AG970" s="12"/>
      <c r="AH970" s="12"/>
      <c r="AJ970" s="12"/>
      <c r="AM970" s="12"/>
      <c r="AX970" s="12"/>
      <c r="AY970" s="12"/>
      <c r="BA970" s="12"/>
      <c r="BD970" s="12"/>
      <c r="BI970" s="12"/>
      <c r="CG970" s="12"/>
      <c r="CI970" s="12"/>
      <c r="CJ970" s="12"/>
      <c r="CK970" s="12"/>
      <c r="CL970" s="12"/>
    </row>
    <row r="971" spans="18:90" ht="24.95" customHeight="1">
      <c r="R971" s="12"/>
      <c r="AF971" s="12"/>
      <c r="AG971" s="12"/>
      <c r="AH971" s="12"/>
      <c r="AJ971" s="12"/>
      <c r="AM971" s="12"/>
      <c r="AX971" s="12"/>
      <c r="AY971" s="12"/>
      <c r="BA971" s="12"/>
      <c r="BD971" s="12"/>
      <c r="BI971" s="12"/>
      <c r="CG971" s="12"/>
      <c r="CI971" s="12"/>
      <c r="CJ971" s="12"/>
      <c r="CK971" s="12"/>
      <c r="CL971" s="12"/>
    </row>
    <row r="972" spans="18:90" ht="24.95" customHeight="1">
      <c r="R972" s="12"/>
      <c r="AF972" s="12"/>
      <c r="AG972" s="12"/>
      <c r="AH972" s="12"/>
      <c r="AJ972" s="12"/>
      <c r="AM972" s="12"/>
      <c r="AX972" s="12"/>
      <c r="AY972" s="12"/>
      <c r="BA972" s="12"/>
      <c r="BD972" s="12"/>
      <c r="BI972" s="12"/>
      <c r="CG972" s="12"/>
      <c r="CI972" s="12"/>
      <c r="CJ972" s="12"/>
      <c r="CK972" s="12"/>
      <c r="CL972" s="12"/>
    </row>
    <row r="973" spans="18:90" ht="24.95" customHeight="1">
      <c r="R973" s="12"/>
      <c r="AF973" s="12"/>
      <c r="AG973" s="12"/>
      <c r="AH973" s="12"/>
      <c r="AJ973" s="12"/>
      <c r="AM973" s="12"/>
      <c r="AX973" s="12"/>
      <c r="AY973" s="12"/>
      <c r="BA973" s="12"/>
      <c r="BD973" s="12"/>
      <c r="BI973" s="12"/>
      <c r="CG973" s="12"/>
      <c r="CI973" s="12"/>
      <c r="CJ973" s="12"/>
      <c r="CK973" s="12"/>
      <c r="CL973" s="12"/>
    </row>
    <row r="974" spans="18:90" ht="24.95" customHeight="1">
      <c r="R974" s="12"/>
      <c r="AF974" s="12"/>
      <c r="AG974" s="12"/>
      <c r="AH974" s="12"/>
      <c r="AJ974" s="12"/>
      <c r="AM974" s="12"/>
      <c r="AX974" s="12"/>
      <c r="AY974" s="12"/>
      <c r="BA974" s="12"/>
      <c r="BD974" s="12"/>
      <c r="BI974" s="12"/>
      <c r="CG974" s="12"/>
      <c r="CI974" s="12"/>
      <c r="CJ974" s="12"/>
      <c r="CK974" s="12"/>
      <c r="CL974" s="12"/>
    </row>
    <row r="975" spans="18:90" ht="24.95" customHeight="1">
      <c r="R975" s="12"/>
      <c r="AF975" s="12"/>
      <c r="AG975" s="12"/>
      <c r="AH975" s="12"/>
      <c r="AJ975" s="12"/>
      <c r="AM975" s="12"/>
      <c r="AX975" s="12"/>
      <c r="AY975" s="12"/>
      <c r="BA975" s="12"/>
      <c r="BD975" s="12"/>
      <c r="BI975" s="12"/>
      <c r="CG975" s="12"/>
      <c r="CI975" s="12"/>
      <c r="CJ975" s="12"/>
      <c r="CK975" s="12"/>
      <c r="CL975" s="12"/>
    </row>
    <row r="976" spans="18:90" ht="24.95" customHeight="1">
      <c r="R976" s="12"/>
      <c r="AF976" s="12"/>
      <c r="AG976" s="12"/>
      <c r="AH976" s="12"/>
      <c r="AJ976" s="12"/>
      <c r="AM976" s="12"/>
      <c r="AX976" s="12"/>
      <c r="AY976" s="12"/>
      <c r="BA976" s="12"/>
      <c r="BD976" s="12"/>
      <c r="BI976" s="12"/>
      <c r="CG976" s="12"/>
      <c r="CI976" s="12"/>
      <c r="CJ976" s="12"/>
      <c r="CK976" s="12"/>
      <c r="CL976" s="12"/>
    </row>
    <row r="977" spans="18:90" ht="24.95" customHeight="1">
      <c r="R977" s="12"/>
      <c r="AF977" s="12"/>
      <c r="AG977" s="12"/>
      <c r="AH977" s="12"/>
      <c r="AJ977" s="12"/>
      <c r="AM977" s="12"/>
      <c r="AX977" s="12"/>
      <c r="AY977" s="12"/>
      <c r="BA977" s="12"/>
      <c r="BD977" s="12"/>
      <c r="BI977" s="12"/>
      <c r="CG977" s="12"/>
      <c r="CI977" s="12"/>
      <c r="CJ977" s="12"/>
      <c r="CK977" s="12"/>
      <c r="CL977" s="12"/>
    </row>
    <row r="978" spans="18:90" ht="24.95" customHeight="1">
      <c r="R978" s="12"/>
      <c r="AF978" s="12"/>
      <c r="AG978" s="12"/>
      <c r="AH978" s="12"/>
      <c r="AJ978" s="12"/>
      <c r="AM978" s="12"/>
      <c r="AX978" s="12"/>
      <c r="AY978" s="12"/>
      <c r="BA978" s="12"/>
      <c r="BD978" s="12"/>
      <c r="BI978" s="12"/>
      <c r="CG978" s="12"/>
      <c r="CI978" s="12"/>
      <c r="CJ978" s="12"/>
      <c r="CK978" s="12"/>
      <c r="CL978" s="12"/>
    </row>
    <row r="979" spans="18:90" ht="24.95" customHeight="1">
      <c r="R979" s="12"/>
      <c r="AF979" s="12"/>
      <c r="AG979" s="12"/>
      <c r="AH979" s="12"/>
      <c r="AJ979" s="12"/>
      <c r="AM979" s="12"/>
      <c r="AX979" s="12"/>
      <c r="AY979" s="12"/>
      <c r="BA979" s="12"/>
      <c r="BD979" s="12"/>
      <c r="BI979" s="12"/>
      <c r="CG979" s="12"/>
      <c r="CI979" s="12"/>
      <c r="CJ979" s="12"/>
      <c r="CK979" s="12"/>
      <c r="CL979" s="12"/>
    </row>
    <row r="980" spans="18:90" ht="24.95" customHeight="1">
      <c r="R980" s="12"/>
      <c r="AF980" s="12"/>
      <c r="AG980" s="12"/>
      <c r="AH980" s="12"/>
      <c r="AJ980" s="12"/>
      <c r="AM980" s="12"/>
      <c r="AX980" s="12"/>
      <c r="AY980" s="12"/>
      <c r="BA980" s="12"/>
      <c r="BD980" s="12"/>
      <c r="BI980" s="12"/>
      <c r="CG980" s="12"/>
      <c r="CI980" s="12"/>
      <c r="CJ980" s="12"/>
      <c r="CK980" s="12"/>
      <c r="CL980" s="12"/>
    </row>
    <row r="981" spans="18:90" ht="24.95" customHeight="1">
      <c r="R981" s="12"/>
      <c r="AF981" s="12"/>
      <c r="AG981" s="12"/>
      <c r="AH981" s="12"/>
      <c r="AJ981" s="12"/>
      <c r="AM981" s="12"/>
      <c r="AX981" s="12"/>
      <c r="AY981" s="12"/>
      <c r="BA981" s="12"/>
      <c r="BD981" s="12"/>
      <c r="BI981" s="12"/>
      <c r="CG981" s="12"/>
      <c r="CI981" s="12"/>
      <c r="CJ981" s="12"/>
      <c r="CK981" s="12"/>
      <c r="CL981" s="12"/>
    </row>
    <row r="982" spans="18:90" ht="24.95" customHeight="1">
      <c r="R982" s="12"/>
      <c r="AF982" s="12"/>
      <c r="AG982" s="12"/>
      <c r="AH982" s="12"/>
      <c r="AJ982" s="12"/>
      <c r="AM982" s="12"/>
      <c r="AX982" s="12"/>
      <c r="AY982" s="12"/>
      <c r="BA982" s="12"/>
      <c r="BD982" s="12"/>
      <c r="BI982" s="12"/>
      <c r="CG982" s="12"/>
      <c r="CI982" s="12"/>
      <c r="CJ982" s="12"/>
      <c r="CK982" s="12"/>
      <c r="CL982" s="12"/>
    </row>
    <row r="983" spans="18:90" ht="24.95" customHeight="1">
      <c r="R983" s="12"/>
      <c r="AF983" s="12"/>
      <c r="AG983" s="12"/>
      <c r="AH983" s="12"/>
      <c r="AJ983" s="12"/>
      <c r="AM983" s="12"/>
      <c r="AX983" s="12"/>
      <c r="AY983" s="12"/>
      <c r="BA983" s="12"/>
      <c r="BD983" s="12"/>
      <c r="BI983" s="12"/>
      <c r="CG983" s="12"/>
      <c r="CI983" s="12"/>
      <c r="CJ983" s="12"/>
      <c r="CK983" s="12"/>
      <c r="CL983" s="12"/>
    </row>
    <row r="984" spans="18:90" ht="24.95" customHeight="1">
      <c r="R984" s="12"/>
      <c r="AF984" s="12"/>
      <c r="AG984" s="12"/>
      <c r="AH984" s="12"/>
      <c r="AJ984" s="12"/>
      <c r="AM984" s="12"/>
      <c r="AX984" s="12"/>
      <c r="AY984" s="12"/>
      <c r="BA984" s="12"/>
      <c r="BD984" s="12"/>
      <c r="BI984" s="12"/>
      <c r="CG984" s="12"/>
      <c r="CI984" s="12"/>
      <c r="CJ984" s="12"/>
      <c r="CK984" s="12"/>
      <c r="CL984" s="12"/>
    </row>
    <row r="985" spans="18:90" ht="24.95" customHeight="1">
      <c r="R985" s="12"/>
      <c r="AF985" s="12"/>
      <c r="AG985" s="12"/>
      <c r="AH985" s="12"/>
      <c r="AJ985" s="12"/>
      <c r="AM985" s="12"/>
      <c r="AX985" s="12"/>
      <c r="AY985" s="12"/>
      <c r="BA985" s="12"/>
      <c r="BD985" s="12"/>
      <c r="BI985" s="12"/>
      <c r="CG985" s="12"/>
      <c r="CI985" s="12"/>
      <c r="CJ985" s="12"/>
      <c r="CK985" s="12"/>
      <c r="CL985" s="12"/>
    </row>
    <row r="986" spans="18:90" ht="24.95" customHeight="1">
      <c r="R986" s="12"/>
      <c r="AF986" s="12"/>
      <c r="AG986" s="12"/>
      <c r="AH986" s="12"/>
      <c r="AJ986" s="12"/>
      <c r="AM986" s="12"/>
      <c r="AX986" s="12"/>
      <c r="AY986" s="12"/>
      <c r="BA986" s="12"/>
      <c r="BD986" s="12"/>
      <c r="BI986" s="12"/>
      <c r="CG986" s="12"/>
      <c r="CI986" s="12"/>
      <c r="CJ986" s="12"/>
      <c r="CK986" s="12"/>
      <c r="CL986" s="12"/>
    </row>
    <row r="987" spans="18:90" ht="24.95" customHeight="1">
      <c r="R987" s="12"/>
      <c r="AF987" s="12"/>
      <c r="AG987" s="12"/>
      <c r="AH987" s="12"/>
      <c r="AJ987" s="12"/>
      <c r="AM987" s="12"/>
      <c r="AX987" s="12"/>
      <c r="AY987" s="12"/>
      <c r="BA987" s="12"/>
      <c r="BD987" s="12"/>
      <c r="BI987" s="12"/>
      <c r="CG987" s="12"/>
      <c r="CI987" s="12"/>
      <c r="CJ987" s="12"/>
      <c r="CK987" s="12"/>
      <c r="CL987" s="12"/>
    </row>
    <row r="988" spans="18:90" ht="24.95" customHeight="1">
      <c r="R988" s="12"/>
      <c r="AF988" s="12"/>
      <c r="AG988" s="12"/>
      <c r="AH988" s="12"/>
      <c r="AJ988" s="12"/>
      <c r="AM988" s="12"/>
      <c r="AX988" s="12"/>
      <c r="AY988" s="12"/>
      <c r="BA988" s="12"/>
      <c r="BD988" s="12"/>
      <c r="BI988" s="12"/>
      <c r="CG988" s="12"/>
      <c r="CI988" s="12"/>
      <c r="CJ988" s="12"/>
      <c r="CK988" s="12"/>
      <c r="CL988" s="12"/>
    </row>
    <row r="989" spans="18:90" ht="24.95" customHeight="1">
      <c r="R989" s="12"/>
      <c r="AF989" s="12"/>
      <c r="AG989" s="12"/>
      <c r="AH989" s="12"/>
      <c r="AJ989" s="12"/>
      <c r="AM989" s="12"/>
      <c r="AX989" s="12"/>
      <c r="AY989" s="12"/>
      <c r="BA989" s="12"/>
      <c r="BD989" s="12"/>
      <c r="BI989" s="12"/>
      <c r="CG989" s="12"/>
      <c r="CI989" s="12"/>
      <c r="CJ989" s="12"/>
      <c r="CK989" s="12"/>
      <c r="CL989" s="12"/>
    </row>
    <row r="990" spans="18:90" ht="24.95" customHeight="1">
      <c r="R990" s="12"/>
      <c r="AF990" s="12"/>
      <c r="AG990" s="12"/>
      <c r="AH990" s="12"/>
      <c r="AJ990" s="12"/>
      <c r="AM990" s="12"/>
      <c r="AX990" s="12"/>
      <c r="AY990" s="12"/>
      <c r="BA990" s="12"/>
      <c r="BD990" s="12"/>
      <c r="BI990" s="12"/>
      <c r="CG990" s="12"/>
      <c r="CI990" s="12"/>
      <c r="CJ990" s="12"/>
      <c r="CK990" s="12"/>
      <c r="CL990" s="12"/>
    </row>
    <row r="991" spans="18:90" ht="24.95" customHeight="1">
      <c r="R991" s="12"/>
      <c r="AF991" s="12"/>
      <c r="AG991" s="12"/>
      <c r="AH991" s="12"/>
      <c r="AJ991" s="12"/>
      <c r="AM991" s="12"/>
      <c r="AX991" s="12"/>
      <c r="AY991" s="12"/>
      <c r="BA991" s="12"/>
      <c r="BD991" s="12"/>
      <c r="BI991" s="12"/>
      <c r="CG991" s="12"/>
      <c r="CI991" s="12"/>
      <c r="CJ991" s="12"/>
      <c r="CK991" s="12"/>
      <c r="CL991" s="12"/>
    </row>
    <row r="992" spans="18:90" ht="24.95" customHeight="1">
      <c r="R992" s="12"/>
      <c r="AF992" s="12"/>
      <c r="AG992" s="12"/>
      <c r="AH992" s="12"/>
      <c r="AJ992" s="12"/>
      <c r="AM992" s="12"/>
      <c r="AX992" s="12"/>
      <c r="AY992" s="12"/>
      <c r="BA992" s="12"/>
      <c r="BD992" s="12"/>
      <c r="BI992" s="12"/>
      <c r="CG992" s="12"/>
      <c r="CI992" s="12"/>
      <c r="CJ992" s="12"/>
      <c r="CK992" s="12"/>
      <c r="CL992" s="12"/>
    </row>
    <row r="993" spans="18:90" ht="24.95" customHeight="1">
      <c r="R993" s="12"/>
      <c r="AF993" s="12"/>
      <c r="AG993" s="12"/>
      <c r="AH993" s="12"/>
      <c r="AJ993" s="12"/>
      <c r="AM993" s="12"/>
      <c r="AX993" s="12"/>
      <c r="AY993" s="12"/>
      <c r="BA993" s="12"/>
      <c r="BD993" s="12"/>
      <c r="BI993" s="12"/>
      <c r="CG993" s="12"/>
      <c r="CI993" s="12"/>
      <c r="CJ993" s="12"/>
      <c r="CK993" s="12"/>
      <c r="CL993" s="12"/>
    </row>
    <row r="994" spans="18:90" ht="24.95" customHeight="1">
      <c r="R994" s="12"/>
      <c r="AF994" s="12"/>
      <c r="AG994" s="12"/>
      <c r="AH994" s="12"/>
      <c r="AJ994" s="12"/>
      <c r="AM994" s="12"/>
      <c r="AX994" s="12"/>
      <c r="AY994" s="12"/>
      <c r="BA994" s="12"/>
      <c r="BD994" s="12"/>
      <c r="BI994" s="12"/>
      <c r="CG994" s="12"/>
      <c r="CI994" s="12"/>
      <c r="CJ994" s="12"/>
      <c r="CK994" s="12"/>
      <c r="CL994" s="12"/>
    </row>
    <row r="995" spans="18:90" ht="24.95" customHeight="1">
      <c r="R995" s="12"/>
      <c r="AF995" s="12"/>
      <c r="AG995" s="12"/>
      <c r="AH995" s="12"/>
      <c r="AJ995" s="12"/>
      <c r="AM995" s="12"/>
      <c r="AX995" s="12"/>
      <c r="AY995" s="12"/>
      <c r="BA995" s="12"/>
      <c r="BD995" s="12"/>
      <c r="BI995" s="12"/>
      <c r="CG995" s="12"/>
      <c r="CI995" s="12"/>
      <c r="CJ995" s="12"/>
      <c r="CK995" s="12"/>
      <c r="CL995" s="12"/>
    </row>
    <row r="996" spans="18:90" ht="24.95" customHeight="1">
      <c r="R996" s="12"/>
      <c r="AF996" s="12"/>
      <c r="AG996" s="12"/>
      <c r="AH996" s="12"/>
      <c r="AJ996" s="12"/>
      <c r="AM996" s="12"/>
      <c r="AX996" s="12"/>
      <c r="AY996" s="12"/>
      <c r="BA996" s="12"/>
      <c r="BD996" s="12"/>
      <c r="BI996" s="12"/>
      <c r="CG996" s="12"/>
      <c r="CI996" s="12"/>
      <c r="CJ996" s="12"/>
      <c r="CK996" s="12"/>
      <c r="CL996" s="12"/>
    </row>
    <row r="997" spans="18:90" ht="24.95" customHeight="1">
      <c r="R997" s="12"/>
      <c r="AF997" s="12"/>
      <c r="AG997" s="12"/>
      <c r="AH997" s="12"/>
      <c r="AJ997" s="12"/>
      <c r="AM997" s="12"/>
      <c r="AX997" s="12"/>
      <c r="AY997" s="12"/>
      <c r="BA997" s="12"/>
      <c r="BD997" s="12"/>
      <c r="BI997" s="12"/>
      <c r="CG997" s="12"/>
      <c r="CI997" s="12"/>
      <c r="CJ997" s="12"/>
      <c r="CK997" s="12"/>
      <c r="CL997" s="12"/>
    </row>
    <row r="998" spans="18:90" ht="24.95" customHeight="1">
      <c r="R998" s="12"/>
      <c r="AF998" s="12"/>
      <c r="AG998" s="12"/>
      <c r="AH998" s="12"/>
      <c r="AJ998" s="12"/>
      <c r="AM998" s="12"/>
      <c r="AX998" s="12"/>
      <c r="AY998" s="12"/>
      <c r="BA998" s="12"/>
      <c r="BD998" s="12"/>
      <c r="BI998" s="12"/>
      <c r="CG998" s="12"/>
      <c r="CI998" s="12"/>
      <c r="CJ998" s="12"/>
      <c r="CK998" s="12"/>
      <c r="CL998" s="12"/>
    </row>
    <row r="999" spans="18:90" ht="24.95" customHeight="1">
      <c r="R999" s="12"/>
      <c r="AF999" s="12"/>
      <c r="AG999" s="12"/>
      <c r="AH999" s="12"/>
      <c r="AJ999" s="12"/>
      <c r="AM999" s="12"/>
      <c r="AX999" s="12"/>
      <c r="AY999" s="12"/>
      <c r="BA999" s="12"/>
      <c r="BD999" s="12"/>
      <c r="BI999" s="12"/>
      <c r="CG999" s="12"/>
      <c r="CI999" s="12"/>
      <c r="CJ999" s="12"/>
      <c r="CK999" s="12"/>
      <c r="CL999" s="12"/>
    </row>
    <row r="1000" spans="18:90" ht="24.95" customHeight="1">
      <c r="R1000" s="12"/>
      <c r="AF1000" s="12"/>
      <c r="AG1000" s="12"/>
      <c r="AH1000" s="12"/>
      <c r="AJ1000" s="12"/>
      <c r="AM1000" s="12"/>
      <c r="AX1000" s="12"/>
      <c r="AY1000" s="12"/>
      <c r="BA1000" s="12"/>
      <c r="BD1000" s="12"/>
      <c r="BI1000" s="12"/>
      <c r="CG1000" s="12"/>
      <c r="CI1000" s="12"/>
      <c r="CJ1000" s="12"/>
      <c r="CK1000" s="12"/>
      <c r="CL1000" s="12"/>
    </row>
    <row r="1001" spans="18:90" ht="24.95" customHeight="1">
      <c r="R1001" s="12"/>
      <c r="AF1001" s="12"/>
      <c r="AG1001" s="12"/>
      <c r="AH1001" s="12"/>
      <c r="AJ1001" s="12"/>
      <c r="AM1001" s="12"/>
      <c r="AX1001" s="12"/>
      <c r="AY1001" s="12"/>
      <c r="BA1001" s="12"/>
      <c r="BD1001" s="12"/>
      <c r="BI1001" s="12"/>
      <c r="CG1001" s="12"/>
      <c r="CI1001" s="12"/>
      <c r="CJ1001" s="12"/>
      <c r="CK1001" s="12"/>
      <c r="CL1001" s="12"/>
    </row>
    <row r="1002" spans="18:90" ht="24.95" customHeight="1">
      <c r="R1002" s="12"/>
      <c r="AF1002" s="12"/>
      <c r="AG1002" s="12"/>
      <c r="AH1002" s="12"/>
      <c r="AJ1002" s="12"/>
      <c r="AM1002" s="12"/>
      <c r="AX1002" s="12"/>
      <c r="AY1002" s="12"/>
      <c r="BA1002" s="12"/>
      <c r="BD1002" s="12"/>
      <c r="BI1002" s="12"/>
      <c r="CG1002" s="12"/>
      <c r="CI1002" s="12"/>
      <c r="CJ1002" s="12"/>
      <c r="CK1002" s="12"/>
      <c r="CL1002" s="12"/>
    </row>
    <row r="1003" spans="18:90" ht="24.95" customHeight="1">
      <c r="R1003" s="12"/>
      <c r="AF1003" s="12"/>
      <c r="AG1003" s="12"/>
      <c r="AH1003" s="12"/>
      <c r="AJ1003" s="12"/>
      <c r="AM1003" s="12"/>
      <c r="AX1003" s="12"/>
      <c r="AY1003" s="12"/>
      <c r="BA1003" s="12"/>
      <c r="BD1003" s="12"/>
      <c r="BI1003" s="12"/>
      <c r="CG1003" s="12"/>
      <c r="CI1003" s="12"/>
      <c r="CJ1003" s="12"/>
      <c r="CK1003" s="12"/>
      <c r="CL1003" s="12"/>
    </row>
    <row r="1004" spans="18:90" ht="24.95" customHeight="1">
      <c r="R1004" s="12"/>
      <c r="AF1004" s="12"/>
      <c r="AG1004" s="12"/>
      <c r="AH1004" s="12"/>
      <c r="AJ1004" s="12"/>
      <c r="AM1004" s="12"/>
      <c r="AX1004" s="12"/>
      <c r="AY1004" s="12"/>
      <c r="BA1004" s="12"/>
      <c r="BD1004" s="12"/>
      <c r="BI1004" s="12"/>
      <c r="CG1004" s="12"/>
      <c r="CI1004" s="12"/>
      <c r="CJ1004" s="12"/>
      <c r="CK1004" s="12"/>
      <c r="CL1004" s="12"/>
    </row>
    <row r="1005" spans="18:90" ht="24.95" customHeight="1">
      <c r="R1005" s="12"/>
      <c r="AF1005" s="12"/>
      <c r="AG1005" s="12"/>
      <c r="AH1005" s="12"/>
      <c r="AJ1005" s="12"/>
      <c r="AM1005" s="12"/>
      <c r="AX1005" s="12"/>
      <c r="AY1005" s="12"/>
      <c r="BA1005" s="12"/>
      <c r="BD1005" s="12"/>
      <c r="BI1005" s="12"/>
      <c r="CG1005" s="12"/>
      <c r="CI1005" s="12"/>
      <c r="CJ1005" s="12"/>
      <c r="CK1005" s="12"/>
      <c r="CL1005" s="12"/>
    </row>
    <row r="1006" spans="18:90" ht="24.95" customHeight="1">
      <c r="R1006" s="12"/>
      <c r="AF1006" s="12"/>
      <c r="AG1006" s="12"/>
      <c r="AH1006" s="12"/>
      <c r="AJ1006" s="12"/>
      <c r="AM1006" s="12"/>
      <c r="AX1006" s="12"/>
      <c r="AY1006" s="12"/>
      <c r="BA1006" s="12"/>
      <c r="BD1006" s="12"/>
      <c r="BI1006" s="12"/>
      <c r="CG1006" s="12"/>
      <c r="CI1006" s="12"/>
      <c r="CJ1006" s="12"/>
      <c r="CK1006" s="12"/>
      <c r="CL1006" s="12"/>
    </row>
    <row r="1007" spans="18:90" ht="24.95" customHeight="1">
      <c r="R1007" s="12"/>
      <c r="AF1007" s="12"/>
      <c r="AG1007" s="12"/>
      <c r="AH1007" s="12"/>
      <c r="AJ1007" s="12"/>
      <c r="AM1007" s="12"/>
      <c r="AX1007" s="12"/>
      <c r="AY1007" s="12"/>
      <c r="BA1007" s="12"/>
      <c r="BD1007" s="12"/>
      <c r="BI1007" s="12"/>
      <c r="CG1007" s="12"/>
      <c r="CI1007" s="12"/>
      <c r="CJ1007" s="12"/>
      <c r="CK1007" s="12"/>
      <c r="CL1007" s="12"/>
    </row>
    <row r="1008" spans="18:90" ht="24.95" customHeight="1">
      <c r="R1008" s="12"/>
      <c r="AF1008" s="12"/>
      <c r="AG1008" s="12"/>
      <c r="AH1008" s="12"/>
      <c r="AJ1008" s="12"/>
      <c r="AM1008" s="12"/>
      <c r="AX1008" s="12"/>
      <c r="AY1008" s="12"/>
      <c r="BA1008" s="12"/>
      <c r="BD1008" s="12"/>
      <c r="BI1008" s="12"/>
      <c r="CG1008" s="12"/>
      <c r="CI1008" s="12"/>
      <c r="CJ1008" s="12"/>
      <c r="CK1008" s="12"/>
      <c r="CL1008" s="12"/>
    </row>
    <row r="1009" spans="18:90" ht="24.95" customHeight="1">
      <c r="R1009" s="12"/>
      <c r="AF1009" s="12"/>
      <c r="AG1009" s="12"/>
      <c r="AH1009" s="12"/>
      <c r="AJ1009" s="12"/>
      <c r="AM1009" s="12"/>
      <c r="AX1009" s="12"/>
      <c r="AY1009" s="12"/>
      <c r="BA1009" s="12"/>
      <c r="BD1009" s="12"/>
      <c r="BI1009" s="12"/>
      <c r="CG1009" s="12"/>
      <c r="CI1009" s="12"/>
      <c r="CJ1009" s="12"/>
      <c r="CK1009" s="12"/>
      <c r="CL1009" s="12"/>
    </row>
    <row r="1010" spans="18:90" ht="24.95" customHeight="1">
      <c r="R1010" s="12"/>
      <c r="AF1010" s="12"/>
      <c r="AG1010" s="12"/>
      <c r="AH1010" s="12"/>
      <c r="AJ1010" s="12"/>
      <c r="AM1010" s="12"/>
      <c r="AX1010" s="12"/>
      <c r="AY1010" s="12"/>
      <c r="BA1010" s="12"/>
      <c r="BD1010" s="12"/>
      <c r="BI1010" s="12"/>
      <c r="CG1010" s="12"/>
      <c r="CI1010" s="12"/>
      <c r="CJ1010" s="12"/>
      <c r="CK1010" s="12"/>
      <c r="CL1010" s="12"/>
    </row>
    <row r="1011" spans="18:90" ht="24.95" customHeight="1">
      <c r="R1011" s="12"/>
      <c r="AF1011" s="12"/>
      <c r="AG1011" s="12"/>
      <c r="AH1011" s="12"/>
      <c r="AJ1011" s="12"/>
      <c r="AM1011" s="12"/>
      <c r="AX1011" s="12"/>
      <c r="AY1011" s="12"/>
      <c r="BA1011" s="12"/>
      <c r="BD1011" s="12"/>
      <c r="BI1011" s="12"/>
      <c r="CG1011" s="12"/>
      <c r="CI1011" s="12"/>
      <c r="CJ1011" s="12"/>
      <c r="CK1011" s="12"/>
      <c r="CL1011" s="12"/>
    </row>
    <row r="1012" spans="18:90" ht="24.95" customHeight="1">
      <c r="R1012" s="12"/>
      <c r="AF1012" s="12"/>
      <c r="AG1012" s="12"/>
      <c r="AH1012" s="12"/>
      <c r="AJ1012" s="12"/>
      <c r="AM1012" s="12"/>
      <c r="AX1012" s="12"/>
      <c r="AY1012" s="12"/>
      <c r="BA1012" s="12"/>
      <c r="BD1012" s="12"/>
      <c r="BI1012" s="12"/>
      <c r="CG1012" s="12"/>
      <c r="CI1012" s="12"/>
      <c r="CJ1012" s="12"/>
      <c r="CK1012" s="12"/>
      <c r="CL1012" s="12"/>
    </row>
    <row r="1013" spans="18:90" ht="24.95" customHeight="1">
      <c r="R1013" s="12"/>
      <c r="AF1013" s="12"/>
      <c r="AG1013" s="12"/>
      <c r="AH1013" s="12"/>
      <c r="AJ1013" s="12"/>
      <c r="AM1013" s="12"/>
      <c r="AX1013" s="12"/>
      <c r="AY1013" s="12"/>
      <c r="BA1013" s="12"/>
      <c r="BD1013" s="12"/>
      <c r="BI1013" s="12"/>
      <c r="CG1013" s="12"/>
      <c r="CI1013" s="12"/>
      <c r="CJ1013" s="12"/>
      <c r="CK1013" s="12"/>
      <c r="CL1013" s="12"/>
    </row>
    <row r="1014" spans="18:90" ht="24.95" customHeight="1">
      <c r="R1014" s="12"/>
      <c r="AF1014" s="12"/>
      <c r="AG1014" s="12"/>
      <c r="AH1014" s="12"/>
      <c r="AJ1014" s="12"/>
      <c r="AM1014" s="12"/>
      <c r="AX1014" s="12"/>
      <c r="AY1014" s="12"/>
      <c r="BA1014" s="12"/>
      <c r="BD1014" s="12"/>
      <c r="BI1014" s="12"/>
      <c r="CG1014" s="12"/>
      <c r="CI1014" s="12"/>
      <c r="CJ1014" s="12"/>
      <c r="CK1014" s="12"/>
      <c r="CL1014" s="12"/>
    </row>
    <row r="1015" spans="18:90" ht="24.95" customHeight="1">
      <c r="R1015" s="12"/>
      <c r="AF1015" s="12"/>
      <c r="AG1015" s="12"/>
      <c r="AH1015" s="12"/>
      <c r="AJ1015" s="12"/>
      <c r="AM1015" s="12"/>
      <c r="AX1015" s="12"/>
      <c r="AY1015" s="12"/>
      <c r="BA1015" s="12"/>
      <c r="BD1015" s="12"/>
      <c r="BI1015" s="12"/>
      <c r="CG1015" s="12"/>
      <c r="CI1015" s="12"/>
      <c r="CJ1015" s="12"/>
      <c r="CK1015" s="12"/>
      <c r="CL1015" s="12"/>
    </row>
    <row r="1016" spans="18:90" ht="24.95" customHeight="1">
      <c r="R1016" s="12"/>
      <c r="AF1016" s="12"/>
      <c r="AG1016" s="12"/>
      <c r="AH1016" s="12"/>
      <c r="AJ1016" s="12"/>
      <c r="AM1016" s="12"/>
      <c r="AX1016" s="12"/>
      <c r="AY1016" s="12"/>
      <c r="BA1016" s="12"/>
      <c r="BD1016" s="12"/>
      <c r="BI1016" s="12"/>
      <c r="CG1016" s="12"/>
      <c r="CI1016" s="12"/>
      <c r="CJ1016" s="12"/>
      <c r="CK1016" s="12"/>
      <c r="CL1016" s="12"/>
    </row>
    <row r="1017" spans="18:90" ht="24.95" customHeight="1">
      <c r="R1017" s="12"/>
      <c r="AF1017" s="12"/>
      <c r="AG1017" s="12"/>
      <c r="AH1017" s="12"/>
      <c r="AJ1017" s="12"/>
      <c r="AM1017" s="12"/>
      <c r="AX1017" s="12"/>
      <c r="AY1017" s="12"/>
      <c r="BA1017" s="12"/>
      <c r="BD1017" s="12"/>
      <c r="BI1017" s="12"/>
      <c r="CG1017" s="12"/>
      <c r="CI1017" s="12"/>
      <c r="CJ1017" s="12"/>
      <c r="CK1017" s="12"/>
      <c r="CL1017" s="12"/>
    </row>
    <row r="1018" spans="18:90" ht="24.95" customHeight="1">
      <c r="R1018" s="12"/>
      <c r="AF1018" s="12"/>
      <c r="AG1018" s="12"/>
      <c r="AH1018" s="12"/>
      <c r="AJ1018" s="12"/>
      <c r="AM1018" s="12"/>
      <c r="AX1018" s="12"/>
      <c r="AY1018" s="12"/>
      <c r="BA1018" s="12"/>
      <c r="BD1018" s="12"/>
      <c r="BI1018" s="12"/>
      <c r="CG1018" s="12"/>
      <c r="CI1018" s="12"/>
      <c r="CJ1018" s="12"/>
      <c r="CK1018" s="12"/>
      <c r="CL1018" s="12"/>
    </row>
    <row r="1019" spans="18:90" ht="24.95" customHeight="1">
      <c r="R1019" s="12"/>
      <c r="AF1019" s="12"/>
      <c r="AG1019" s="12"/>
      <c r="AH1019" s="12"/>
      <c r="AJ1019" s="12"/>
      <c r="AM1019" s="12"/>
      <c r="AX1019" s="12"/>
      <c r="AY1019" s="12"/>
      <c r="BA1019" s="12"/>
      <c r="BD1019" s="12"/>
      <c r="BI1019" s="12"/>
      <c r="CG1019" s="12"/>
      <c r="CI1019" s="12"/>
      <c r="CJ1019" s="12"/>
      <c r="CK1019" s="12"/>
      <c r="CL1019" s="12"/>
    </row>
    <row r="1020" spans="18:90" ht="24.95" customHeight="1">
      <c r="R1020" s="12"/>
      <c r="AF1020" s="12"/>
      <c r="AG1020" s="12"/>
      <c r="AH1020" s="12"/>
      <c r="AJ1020" s="12"/>
      <c r="AM1020" s="12"/>
      <c r="AX1020" s="12"/>
      <c r="AY1020" s="12"/>
      <c r="BA1020" s="12"/>
      <c r="BD1020" s="12"/>
      <c r="BI1020" s="12"/>
      <c r="CG1020" s="12"/>
      <c r="CI1020" s="12"/>
      <c r="CJ1020" s="12"/>
      <c r="CK1020" s="12"/>
      <c r="CL1020" s="12"/>
    </row>
    <row r="1021" spans="18:90" ht="24.95" customHeight="1">
      <c r="R1021" s="12"/>
      <c r="AF1021" s="12"/>
      <c r="AG1021" s="12"/>
      <c r="AH1021" s="12"/>
      <c r="AJ1021" s="12"/>
      <c r="AM1021" s="12"/>
      <c r="AX1021" s="12"/>
      <c r="AY1021" s="12"/>
      <c r="BA1021" s="12"/>
      <c r="BD1021" s="12"/>
      <c r="BI1021" s="12"/>
      <c r="CG1021" s="12"/>
      <c r="CI1021" s="12"/>
      <c r="CJ1021" s="12"/>
      <c r="CK1021" s="12"/>
      <c r="CL1021" s="12"/>
    </row>
    <row r="1022" spans="18:90" ht="24.95" customHeight="1">
      <c r="R1022" s="12"/>
      <c r="AF1022" s="12"/>
      <c r="AG1022" s="12"/>
      <c r="AH1022" s="12"/>
      <c r="AJ1022" s="12"/>
      <c r="AM1022" s="12"/>
      <c r="AX1022" s="12"/>
      <c r="AY1022" s="12"/>
      <c r="BA1022" s="12"/>
      <c r="BD1022" s="12"/>
      <c r="BI1022" s="12"/>
      <c r="CG1022" s="12"/>
      <c r="CI1022" s="12"/>
      <c r="CJ1022" s="12"/>
      <c r="CK1022" s="12"/>
      <c r="CL1022" s="12"/>
    </row>
    <row r="1023" spans="18:90" ht="24.95" customHeight="1">
      <c r="R1023" s="12"/>
      <c r="AF1023" s="12"/>
      <c r="AG1023" s="12"/>
      <c r="AH1023" s="12"/>
      <c r="AJ1023" s="12"/>
      <c r="AM1023" s="12"/>
      <c r="AX1023" s="12"/>
      <c r="AY1023" s="12"/>
      <c r="BA1023" s="12"/>
      <c r="BD1023" s="12"/>
      <c r="BI1023" s="12"/>
      <c r="CG1023" s="12"/>
      <c r="CI1023" s="12"/>
      <c r="CJ1023" s="12"/>
      <c r="CK1023" s="12"/>
      <c r="CL1023" s="12"/>
    </row>
    <row r="1024" spans="18:90" ht="24.95" customHeight="1">
      <c r="R1024" s="12"/>
      <c r="AF1024" s="12"/>
      <c r="AG1024" s="12"/>
      <c r="AH1024" s="12"/>
      <c r="AJ1024" s="12"/>
      <c r="AM1024" s="12"/>
      <c r="AX1024" s="12"/>
      <c r="AY1024" s="12"/>
      <c r="BA1024" s="12"/>
      <c r="BD1024" s="12"/>
      <c r="BI1024" s="12"/>
      <c r="CG1024" s="12"/>
      <c r="CI1024" s="12"/>
      <c r="CJ1024" s="12"/>
      <c r="CK1024" s="12"/>
      <c r="CL1024" s="12"/>
    </row>
    <row r="1025" spans="18:90" ht="24.95" customHeight="1">
      <c r="R1025" s="12"/>
      <c r="AF1025" s="12"/>
      <c r="AG1025" s="12"/>
      <c r="AH1025" s="12"/>
      <c r="AJ1025" s="12"/>
      <c r="AM1025" s="12"/>
      <c r="AX1025" s="12"/>
      <c r="AY1025" s="12"/>
      <c r="BA1025" s="12"/>
      <c r="BD1025" s="12"/>
      <c r="BI1025" s="12"/>
      <c r="CG1025" s="12"/>
      <c r="CI1025" s="12"/>
      <c r="CJ1025" s="12"/>
      <c r="CK1025" s="12"/>
      <c r="CL1025" s="12"/>
    </row>
    <row r="1026" spans="18:90" ht="24.95" customHeight="1">
      <c r="R1026" s="12"/>
      <c r="AF1026" s="12"/>
      <c r="AG1026" s="12"/>
      <c r="AH1026" s="12"/>
      <c r="AJ1026" s="12"/>
      <c r="AM1026" s="12"/>
      <c r="AX1026" s="12"/>
      <c r="AY1026" s="12"/>
      <c r="BA1026" s="12"/>
      <c r="BD1026" s="12"/>
      <c r="BI1026" s="12"/>
      <c r="CG1026" s="12"/>
      <c r="CI1026" s="12"/>
      <c r="CJ1026" s="12"/>
      <c r="CK1026" s="12"/>
      <c r="CL1026" s="12"/>
    </row>
    <row r="1027" spans="18:90" ht="24.95" customHeight="1">
      <c r="R1027" s="12"/>
      <c r="AF1027" s="12"/>
      <c r="AG1027" s="12"/>
      <c r="AH1027" s="12"/>
      <c r="AJ1027" s="12"/>
      <c r="AM1027" s="12"/>
      <c r="AX1027" s="12"/>
      <c r="AY1027" s="12"/>
      <c r="BA1027" s="12"/>
      <c r="BD1027" s="12"/>
      <c r="BI1027" s="12"/>
      <c r="CG1027" s="12"/>
      <c r="CI1027" s="12"/>
      <c r="CJ1027" s="12"/>
      <c r="CK1027" s="12"/>
      <c r="CL1027" s="12"/>
    </row>
    <row r="1028" spans="18:90" ht="24.95" customHeight="1">
      <c r="R1028" s="12"/>
      <c r="AF1028" s="12"/>
      <c r="AG1028" s="12"/>
      <c r="AH1028" s="12"/>
      <c r="AJ1028" s="12"/>
      <c r="AM1028" s="12"/>
      <c r="AX1028" s="12"/>
      <c r="AY1028" s="12"/>
      <c r="BA1028" s="12"/>
      <c r="BD1028" s="12"/>
      <c r="BI1028" s="12"/>
      <c r="CG1028" s="12"/>
      <c r="CI1028" s="12"/>
      <c r="CJ1028" s="12"/>
      <c r="CK1028" s="12"/>
      <c r="CL1028" s="12"/>
    </row>
    <row r="1029" spans="18:90" ht="24.95" customHeight="1">
      <c r="R1029" s="12"/>
      <c r="AF1029" s="12"/>
      <c r="AG1029" s="12"/>
      <c r="AH1029" s="12"/>
      <c r="AJ1029" s="12"/>
      <c r="AM1029" s="12"/>
      <c r="AX1029" s="12"/>
      <c r="AY1029" s="12"/>
      <c r="BA1029" s="12"/>
      <c r="BD1029" s="12"/>
      <c r="BI1029" s="12"/>
      <c r="CG1029" s="12"/>
      <c r="CI1029" s="12"/>
      <c r="CJ1029" s="12"/>
      <c r="CK1029" s="12"/>
      <c r="CL1029" s="12"/>
    </row>
    <row r="1030" spans="18:90" ht="24.95" customHeight="1">
      <c r="R1030" s="12"/>
      <c r="AF1030" s="12"/>
      <c r="AG1030" s="12"/>
      <c r="AH1030" s="12"/>
      <c r="AJ1030" s="12"/>
      <c r="AM1030" s="12"/>
      <c r="AX1030" s="12"/>
      <c r="AY1030" s="12"/>
      <c r="BA1030" s="12"/>
      <c r="BD1030" s="12"/>
      <c r="BI1030" s="12"/>
      <c r="CG1030" s="12"/>
      <c r="CI1030" s="12"/>
      <c r="CJ1030" s="12"/>
      <c r="CK1030" s="12"/>
      <c r="CL1030" s="12"/>
    </row>
    <row r="1031" spans="18:90" ht="24.95" customHeight="1">
      <c r="R1031" s="12"/>
      <c r="AF1031" s="12"/>
      <c r="AG1031" s="12"/>
      <c r="AH1031" s="12"/>
      <c r="AJ1031" s="12"/>
      <c r="AM1031" s="12"/>
      <c r="AX1031" s="12"/>
      <c r="AY1031" s="12"/>
      <c r="BA1031" s="12"/>
      <c r="BD1031" s="12"/>
      <c r="BI1031" s="12"/>
      <c r="CG1031" s="12"/>
      <c r="CI1031" s="12"/>
      <c r="CJ1031" s="12"/>
      <c r="CK1031" s="12"/>
      <c r="CL1031" s="12"/>
    </row>
    <row r="1032" spans="18:90" ht="24.95" customHeight="1">
      <c r="R1032" s="12"/>
      <c r="AF1032" s="12"/>
      <c r="AG1032" s="12"/>
      <c r="AH1032" s="12"/>
      <c r="AJ1032" s="12"/>
      <c r="AM1032" s="12"/>
      <c r="AX1032" s="12"/>
      <c r="AY1032" s="12"/>
      <c r="BA1032" s="12"/>
      <c r="BD1032" s="12"/>
      <c r="BI1032" s="12"/>
      <c r="CG1032" s="12"/>
      <c r="CI1032" s="12"/>
      <c r="CJ1032" s="12"/>
      <c r="CK1032" s="12"/>
      <c r="CL1032" s="12"/>
    </row>
    <row r="1033" spans="18:90" ht="24.95" customHeight="1">
      <c r="R1033" s="12"/>
      <c r="AF1033" s="12"/>
      <c r="AG1033" s="12"/>
      <c r="AH1033" s="12"/>
      <c r="AJ1033" s="12"/>
      <c r="AM1033" s="12"/>
      <c r="AX1033" s="12"/>
      <c r="AY1033" s="12"/>
      <c r="BA1033" s="12"/>
      <c r="BD1033" s="12"/>
      <c r="BI1033" s="12"/>
      <c r="CG1033" s="12"/>
      <c r="CI1033" s="12"/>
      <c r="CJ1033" s="12"/>
      <c r="CK1033" s="12"/>
      <c r="CL1033" s="12"/>
    </row>
    <row r="1034" spans="18:90" ht="24.95" customHeight="1">
      <c r="R1034" s="12"/>
      <c r="AF1034" s="12"/>
      <c r="AG1034" s="12"/>
      <c r="AH1034" s="12"/>
      <c r="AJ1034" s="12"/>
      <c r="AM1034" s="12"/>
      <c r="AX1034" s="12"/>
      <c r="AY1034" s="12"/>
      <c r="BA1034" s="12"/>
      <c r="BD1034" s="12"/>
      <c r="BI1034" s="12"/>
      <c r="CG1034" s="12"/>
      <c r="CI1034" s="12"/>
      <c r="CJ1034" s="12"/>
      <c r="CK1034" s="12"/>
      <c r="CL1034" s="12"/>
    </row>
    <row r="1035" spans="18:90" ht="24.95" customHeight="1">
      <c r="R1035" s="12"/>
      <c r="AF1035" s="12"/>
      <c r="AG1035" s="12"/>
      <c r="AH1035" s="12"/>
      <c r="AJ1035" s="12"/>
      <c r="AM1035" s="12"/>
      <c r="AX1035" s="12"/>
      <c r="AY1035" s="12"/>
      <c r="BA1035" s="12"/>
      <c r="BD1035" s="12"/>
      <c r="BI1035" s="12"/>
      <c r="CG1035" s="12"/>
      <c r="CI1035" s="12"/>
      <c r="CJ1035" s="12"/>
      <c r="CK1035" s="12"/>
      <c r="CL1035" s="12"/>
    </row>
    <row r="1036" spans="18:90" ht="24.95" customHeight="1">
      <c r="R1036" s="12"/>
      <c r="AF1036" s="12"/>
      <c r="AG1036" s="12"/>
      <c r="AH1036" s="12"/>
      <c r="AJ1036" s="12"/>
      <c r="AM1036" s="12"/>
      <c r="AX1036" s="12"/>
      <c r="AY1036" s="12"/>
      <c r="BA1036" s="12"/>
      <c r="BD1036" s="12"/>
      <c r="BI1036" s="12"/>
      <c r="CG1036" s="12"/>
      <c r="CI1036" s="12"/>
      <c r="CJ1036" s="12"/>
      <c r="CK1036" s="12"/>
      <c r="CL1036" s="12"/>
    </row>
    <row r="1037" spans="18:90" ht="24.95" customHeight="1">
      <c r="R1037" s="12"/>
      <c r="AF1037" s="12"/>
      <c r="AG1037" s="12"/>
      <c r="AH1037" s="12"/>
      <c r="AJ1037" s="12"/>
      <c r="AM1037" s="12"/>
      <c r="AX1037" s="12"/>
      <c r="AY1037" s="12"/>
      <c r="BA1037" s="12"/>
      <c r="BD1037" s="12"/>
      <c r="BI1037" s="12"/>
      <c r="CG1037" s="12"/>
      <c r="CI1037" s="12"/>
      <c r="CJ1037" s="12"/>
      <c r="CK1037" s="12"/>
      <c r="CL1037" s="12"/>
    </row>
    <row r="1038" spans="18:90" ht="24.95" customHeight="1">
      <c r="R1038" s="12"/>
      <c r="AF1038" s="12"/>
      <c r="AG1038" s="12"/>
      <c r="AH1038" s="12"/>
      <c r="AJ1038" s="12"/>
      <c r="AM1038" s="12"/>
      <c r="AX1038" s="12"/>
      <c r="AY1038" s="12"/>
      <c r="BA1038" s="12"/>
      <c r="BD1038" s="12"/>
      <c r="BI1038" s="12"/>
      <c r="CG1038" s="12"/>
      <c r="CI1038" s="12"/>
      <c r="CJ1038" s="12"/>
      <c r="CK1038" s="12"/>
      <c r="CL1038" s="12"/>
    </row>
    <row r="1039" spans="18:90" ht="24.95" customHeight="1">
      <c r="R1039" s="12"/>
      <c r="AF1039" s="12"/>
      <c r="AG1039" s="12"/>
      <c r="AH1039" s="12"/>
      <c r="AJ1039" s="12"/>
      <c r="AM1039" s="12"/>
      <c r="AX1039" s="12"/>
      <c r="AY1039" s="12"/>
      <c r="BA1039" s="12"/>
      <c r="BD1039" s="12"/>
      <c r="BI1039" s="12"/>
      <c r="CG1039" s="12"/>
      <c r="CI1039" s="12"/>
      <c r="CJ1039" s="12"/>
      <c r="CK1039" s="12"/>
      <c r="CL1039" s="12"/>
    </row>
    <row r="1040" spans="18:90" ht="24.95" customHeight="1">
      <c r="R1040" s="12"/>
      <c r="AF1040" s="12"/>
      <c r="AG1040" s="12"/>
      <c r="AH1040" s="12"/>
      <c r="AJ1040" s="12"/>
      <c r="AM1040" s="12"/>
      <c r="AX1040" s="12"/>
      <c r="AY1040" s="12"/>
      <c r="BA1040" s="12"/>
      <c r="BD1040" s="12"/>
      <c r="BI1040" s="12"/>
      <c r="CG1040" s="12"/>
      <c r="CI1040" s="12"/>
      <c r="CJ1040" s="12"/>
      <c r="CK1040" s="12"/>
      <c r="CL1040" s="12"/>
    </row>
    <row r="1041" spans="18:90" ht="24.95" customHeight="1">
      <c r="R1041" s="12"/>
      <c r="AF1041" s="12"/>
      <c r="AG1041" s="12"/>
      <c r="AH1041" s="12"/>
      <c r="AJ1041" s="12"/>
      <c r="AM1041" s="12"/>
      <c r="AX1041" s="12"/>
      <c r="AY1041" s="12"/>
      <c r="BA1041" s="12"/>
      <c r="BD1041" s="12"/>
      <c r="BI1041" s="12"/>
      <c r="CG1041" s="12"/>
      <c r="CI1041" s="12"/>
      <c r="CJ1041" s="12"/>
      <c r="CK1041" s="12"/>
      <c r="CL1041" s="12"/>
    </row>
    <row r="1042" spans="18:90" ht="24.95" customHeight="1">
      <c r="R1042" s="12"/>
      <c r="AF1042" s="12"/>
      <c r="AG1042" s="12"/>
      <c r="AH1042" s="12"/>
      <c r="AJ1042" s="12"/>
      <c r="AM1042" s="12"/>
      <c r="AX1042" s="12"/>
      <c r="AY1042" s="12"/>
      <c r="BA1042" s="12"/>
      <c r="BD1042" s="12"/>
      <c r="BI1042" s="12"/>
      <c r="CG1042" s="12"/>
      <c r="CI1042" s="12"/>
      <c r="CJ1042" s="12"/>
      <c r="CK1042" s="12"/>
      <c r="CL1042" s="12"/>
    </row>
    <row r="1043" spans="18:90" ht="24.95" customHeight="1">
      <c r="R1043" s="12"/>
      <c r="AF1043" s="12"/>
      <c r="AG1043" s="12"/>
      <c r="AH1043" s="12"/>
      <c r="AJ1043" s="12"/>
      <c r="AM1043" s="12"/>
      <c r="AX1043" s="12"/>
      <c r="AY1043" s="12"/>
      <c r="BA1043" s="12"/>
      <c r="BD1043" s="12"/>
      <c r="BI1043" s="12"/>
      <c r="CG1043" s="12"/>
      <c r="CI1043" s="12"/>
      <c r="CJ1043" s="12"/>
      <c r="CK1043" s="12"/>
      <c r="CL1043" s="12"/>
    </row>
    <row r="1044" spans="18:90" ht="24.95" customHeight="1">
      <c r="R1044" s="12"/>
      <c r="AF1044" s="12"/>
      <c r="AG1044" s="12"/>
      <c r="AH1044" s="12"/>
      <c r="AJ1044" s="12"/>
      <c r="AM1044" s="12"/>
      <c r="AX1044" s="12"/>
      <c r="AY1044" s="12"/>
      <c r="BA1044" s="12"/>
      <c r="BD1044" s="12"/>
      <c r="BI1044" s="12"/>
      <c r="CG1044" s="12"/>
      <c r="CI1044" s="12"/>
      <c r="CJ1044" s="12"/>
      <c r="CK1044" s="12"/>
      <c r="CL1044" s="12"/>
    </row>
    <row r="1045" spans="18:90" ht="24.95" customHeight="1">
      <c r="R1045" s="12"/>
      <c r="AF1045" s="12"/>
      <c r="AG1045" s="12"/>
      <c r="AH1045" s="12"/>
      <c r="AJ1045" s="12"/>
      <c r="AM1045" s="12"/>
      <c r="AX1045" s="12"/>
      <c r="AY1045" s="12"/>
      <c r="BA1045" s="12"/>
      <c r="BD1045" s="12"/>
      <c r="BI1045" s="12"/>
      <c r="CG1045" s="12"/>
      <c r="CI1045" s="12"/>
      <c r="CJ1045" s="12"/>
      <c r="CK1045" s="12"/>
      <c r="CL1045" s="12"/>
    </row>
    <row r="1046" spans="18:90" ht="24.95" customHeight="1">
      <c r="R1046" s="12"/>
      <c r="AF1046" s="12"/>
      <c r="AG1046" s="12"/>
      <c r="AH1046" s="12"/>
      <c r="AJ1046" s="12"/>
      <c r="AM1046" s="12"/>
      <c r="AX1046" s="12"/>
      <c r="AY1046" s="12"/>
      <c r="BA1046" s="12"/>
      <c r="BD1046" s="12"/>
      <c r="BI1046" s="12"/>
      <c r="CG1046" s="12"/>
      <c r="CI1046" s="12"/>
      <c r="CJ1046" s="12"/>
      <c r="CK1046" s="12"/>
      <c r="CL1046" s="12"/>
    </row>
    <row r="1047" spans="18:90" ht="24.95" customHeight="1">
      <c r="R1047" s="12"/>
      <c r="AF1047" s="12"/>
      <c r="AG1047" s="12"/>
      <c r="AH1047" s="12"/>
      <c r="AJ1047" s="12"/>
      <c r="AM1047" s="12"/>
      <c r="AX1047" s="12"/>
      <c r="AY1047" s="12"/>
      <c r="BA1047" s="12"/>
      <c r="BD1047" s="12"/>
      <c r="BI1047" s="12"/>
      <c r="CG1047" s="12"/>
      <c r="CI1047" s="12"/>
      <c r="CJ1047" s="12"/>
      <c r="CK1047" s="12"/>
      <c r="CL1047" s="12"/>
    </row>
    <row r="1048" spans="18:90" ht="24.95" customHeight="1">
      <c r="R1048" s="12"/>
      <c r="AF1048" s="12"/>
      <c r="AG1048" s="12"/>
      <c r="AH1048" s="12"/>
      <c r="AJ1048" s="12"/>
      <c r="AM1048" s="12"/>
      <c r="AX1048" s="12"/>
      <c r="AY1048" s="12"/>
      <c r="BA1048" s="12"/>
      <c r="BD1048" s="12"/>
      <c r="BI1048" s="12"/>
      <c r="CG1048" s="12"/>
      <c r="CI1048" s="12"/>
      <c r="CJ1048" s="12"/>
      <c r="CK1048" s="12"/>
      <c r="CL1048" s="12"/>
    </row>
    <row r="1049" spans="18:90" ht="24.95" customHeight="1">
      <c r="R1049" s="12"/>
      <c r="AF1049" s="12"/>
      <c r="AG1049" s="12"/>
      <c r="AH1049" s="12"/>
      <c r="AJ1049" s="12"/>
      <c r="AM1049" s="12"/>
      <c r="AX1049" s="12"/>
      <c r="AY1049" s="12"/>
      <c r="BA1049" s="12"/>
      <c r="BD1049" s="12"/>
      <c r="BI1049" s="12"/>
      <c r="CG1049" s="12"/>
      <c r="CI1049" s="12"/>
      <c r="CJ1049" s="12"/>
      <c r="CK1049" s="12"/>
      <c r="CL1049" s="12"/>
    </row>
    <row r="1050" spans="18:90" ht="24.95" customHeight="1">
      <c r="R1050" s="12"/>
      <c r="AF1050" s="12"/>
      <c r="AG1050" s="12"/>
      <c r="AH1050" s="12"/>
      <c r="AJ1050" s="12"/>
      <c r="AM1050" s="12"/>
      <c r="AX1050" s="12"/>
      <c r="AY1050" s="12"/>
      <c r="BA1050" s="12"/>
      <c r="BD1050" s="12"/>
      <c r="BI1050" s="12"/>
      <c r="CG1050" s="12"/>
      <c r="CI1050" s="12"/>
      <c r="CJ1050" s="12"/>
      <c r="CK1050" s="12"/>
      <c r="CL1050" s="12"/>
    </row>
    <row r="1051" spans="18:90" ht="24.95" customHeight="1">
      <c r="R1051" s="12"/>
      <c r="AF1051" s="12"/>
      <c r="AG1051" s="12"/>
      <c r="AH1051" s="12"/>
      <c r="AJ1051" s="12"/>
      <c r="AM1051" s="12"/>
      <c r="AX1051" s="12"/>
      <c r="AY1051" s="12"/>
      <c r="BA1051" s="12"/>
      <c r="BD1051" s="12"/>
      <c r="BI1051" s="12"/>
      <c r="CG1051" s="12"/>
      <c r="CI1051" s="12"/>
      <c r="CJ1051" s="12"/>
      <c r="CK1051" s="12"/>
      <c r="CL1051" s="12"/>
    </row>
    <row r="1052" spans="18:90" ht="24.95" customHeight="1">
      <c r="R1052" s="12"/>
      <c r="AF1052" s="12"/>
      <c r="AG1052" s="12"/>
      <c r="AH1052" s="12"/>
      <c r="AJ1052" s="12"/>
      <c r="AM1052" s="12"/>
      <c r="AX1052" s="12"/>
      <c r="AY1052" s="12"/>
      <c r="BA1052" s="12"/>
      <c r="BD1052" s="12"/>
      <c r="BI1052" s="12"/>
      <c r="CG1052" s="12"/>
      <c r="CI1052" s="12"/>
      <c r="CJ1052" s="12"/>
      <c r="CK1052" s="12"/>
      <c r="CL1052" s="12"/>
    </row>
    <row r="1053" spans="18:90" ht="24.95" customHeight="1">
      <c r="R1053" s="12"/>
      <c r="AF1053" s="12"/>
      <c r="AG1053" s="12"/>
      <c r="AH1053" s="12"/>
      <c r="AJ1053" s="12"/>
      <c r="AM1053" s="12"/>
      <c r="AX1053" s="12"/>
      <c r="AY1053" s="12"/>
      <c r="BA1053" s="12"/>
      <c r="BD1053" s="12"/>
      <c r="BI1053" s="12"/>
      <c r="CG1053" s="12"/>
      <c r="CI1053" s="12"/>
      <c r="CJ1053" s="12"/>
      <c r="CK1053" s="12"/>
      <c r="CL1053" s="12"/>
    </row>
    <row r="1054" spans="18:90" ht="24.95" customHeight="1">
      <c r="R1054" s="12"/>
      <c r="AF1054" s="12"/>
      <c r="AG1054" s="12"/>
      <c r="AH1054" s="12"/>
      <c r="AJ1054" s="12"/>
      <c r="AM1054" s="12"/>
      <c r="AX1054" s="12"/>
      <c r="AY1054" s="12"/>
      <c r="BA1054" s="12"/>
      <c r="BD1054" s="12"/>
      <c r="BI1054" s="12"/>
      <c r="CG1054" s="12"/>
      <c r="CI1054" s="12"/>
      <c r="CJ1054" s="12"/>
      <c r="CK1054" s="12"/>
      <c r="CL1054" s="12"/>
    </row>
    <row r="1055" spans="18:90" ht="24.95" customHeight="1">
      <c r="R1055" s="12"/>
      <c r="AF1055" s="12"/>
      <c r="AG1055" s="12"/>
      <c r="AH1055" s="12"/>
      <c r="AJ1055" s="12"/>
      <c r="AM1055" s="12"/>
      <c r="AX1055" s="12"/>
      <c r="AY1055" s="12"/>
      <c r="BA1055" s="12"/>
      <c r="BD1055" s="12"/>
      <c r="BI1055" s="12"/>
      <c r="CG1055" s="12"/>
      <c r="CI1055" s="12"/>
      <c r="CJ1055" s="12"/>
      <c r="CK1055" s="12"/>
      <c r="CL1055" s="12"/>
    </row>
    <row r="1056" spans="18:90" ht="24.95" customHeight="1">
      <c r="R1056" s="12"/>
      <c r="AF1056" s="12"/>
      <c r="AG1056" s="12"/>
      <c r="AH1056" s="12"/>
      <c r="AJ1056" s="12"/>
      <c r="AM1056" s="12"/>
      <c r="AX1056" s="12"/>
      <c r="AY1056" s="12"/>
      <c r="BA1056" s="12"/>
      <c r="BD1056" s="12"/>
      <c r="BI1056" s="12"/>
      <c r="CG1056" s="12"/>
      <c r="CI1056" s="12"/>
      <c r="CJ1056" s="12"/>
      <c r="CK1056" s="12"/>
      <c r="CL1056" s="12"/>
    </row>
    <row r="1057" spans="18:90" ht="24.95" customHeight="1">
      <c r="R1057" s="12"/>
      <c r="AF1057" s="12"/>
      <c r="AG1057" s="12"/>
      <c r="AH1057" s="12"/>
      <c r="AJ1057" s="12"/>
      <c r="AM1057" s="12"/>
      <c r="AX1057" s="12"/>
      <c r="AY1057" s="12"/>
      <c r="BA1057" s="12"/>
      <c r="BD1057" s="12"/>
      <c r="BI1057" s="12"/>
      <c r="CG1057" s="12"/>
      <c r="CI1057" s="12"/>
      <c r="CJ1057" s="12"/>
      <c r="CK1057" s="12"/>
      <c r="CL1057" s="12"/>
    </row>
    <row r="1058" spans="18:90" ht="24.95" customHeight="1">
      <c r="R1058" s="12"/>
      <c r="AF1058" s="12"/>
      <c r="AG1058" s="12"/>
      <c r="AH1058" s="12"/>
      <c r="AJ1058" s="12"/>
      <c r="AM1058" s="12"/>
      <c r="AX1058" s="12"/>
      <c r="AY1058" s="12"/>
      <c r="BA1058" s="12"/>
      <c r="BD1058" s="12"/>
      <c r="BI1058" s="12"/>
      <c r="CG1058" s="12"/>
      <c r="CI1058" s="12"/>
      <c r="CJ1058" s="12"/>
      <c r="CK1058" s="12"/>
      <c r="CL1058" s="12"/>
    </row>
    <row r="1059" spans="18:90" ht="24.95" customHeight="1">
      <c r="R1059" s="12"/>
      <c r="AF1059" s="12"/>
      <c r="AG1059" s="12"/>
      <c r="AH1059" s="12"/>
      <c r="AJ1059" s="12"/>
      <c r="AM1059" s="12"/>
      <c r="AX1059" s="12"/>
      <c r="AY1059" s="12"/>
      <c r="BA1059" s="12"/>
      <c r="BD1059" s="12"/>
      <c r="BI1059" s="12"/>
      <c r="CG1059" s="12"/>
      <c r="CI1059" s="12"/>
      <c r="CJ1059" s="12"/>
      <c r="CK1059" s="12"/>
      <c r="CL1059" s="12"/>
    </row>
    <row r="1060" spans="18:90" ht="24.95" customHeight="1">
      <c r="R1060" s="12"/>
      <c r="AF1060" s="12"/>
      <c r="AG1060" s="12"/>
      <c r="AH1060" s="12"/>
      <c r="AJ1060" s="12"/>
      <c r="AM1060" s="12"/>
      <c r="AX1060" s="12"/>
      <c r="AY1060" s="12"/>
      <c r="BA1060" s="12"/>
      <c r="BD1060" s="12"/>
      <c r="BI1060" s="12"/>
      <c r="CG1060" s="12"/>
      <c r="CI1060" s="12"/>
      <c r="CJ1060" s="12"/>
      <c r="CK1060" s="12"/>
      <c r="CL1060" s="12"/>
    </row>
    <row r="1061" spans="18:90" ht="24.95" customHeight="1">
      <c r="R1061" s="12"/>
      <c r="AF1061" s="12"/>
      <c r="AG1061" s="12"/>
      <c r="AH1061" s="12"/>
      <c r="AJ1061" s="12"/>
      <c r="AM1061" s="12"/>
      <c r="AX1061" s="12"/>
      <c r="AY1061" s="12"/>
      <c r="BA1061" s="12"/>
      <c r="BD1061" s="12"/>
      <c r="BI1061" s="12"/>
      <c r="CG1061" s="12"/>
      <c r="CI1061" s="12"/>
      <c r="CJ1061" s="12"/>
      <c r="CK1061" s="12"/>
      <c r="CL1061" s="12"/>
    </row>
    <row r="1062" spans="18:90" ht="24.95" customHeight="1">
      <c r="R1062" s="12"/>
      <c r="AF1062" s="12"/>
      <c r="AG1062" s="12"/>
      <c r="AH1062" s="12"/>
      <c r="AJ1062" s="12"/>
      <c r="AM1062" s="12"/>
      <c r="AX1062" s="12"/>
      <c r="AY1062" s="12"/>
      <c r="BA1062" s="12"/>
      <c r="BD1062" s="12"/>
      <c r="BI1062" s="12"/>
      <c r="CG1062" s="12"/>
      <c r="CI1062" s="12"/>
      <c r="CJ1062" s="12"/>
      <c r="CK1062" s="12"/>
      <c r="CL1062" s="12"/>
    </row>
    <row r="1063" spans="18:90" ht="24.95" customHeight="1">
      <c r="R1063" s="12"/>
      <c r="AF1063" s="12"/>
      <c r="AG1063" s="12"/>
      <c r="AH1063" s="12"/>
      <c r="AJ1063" s="12"/>
      <c r="AM1063" s="12"/>
      <c r="AX1063" s="12"/>
      <c r="AY1063" s="12"/>
      <c r="BA1063" s="12"/>
      <c r="BD1063" s="12"/>
      <c r="BI1063" s="12"/>
      <c r="CG1063" s="12"/>
      <c r="CI1063" s="12"/>
      <c r="CJ1063" s="12"/>
      <c r="CK1063" s="12"/>
      <c r="CL1063" s="12"/>
    </row>
    <row r="1064" spans="18:90" ht="24.95" customHeight="1">
      <c r="R1064" s="12"/>
      <c r="AF1064" s="12"/>
      <c r="AG1064" s="12"/>
      <c r="AH1064" s="12"/>
      <c r="AJ1064" s="12"/>
      <c r="AM1064" s="12"/>
      <c r="AX1064" s="12"/>
      <c r="AY1064" s="12"/>
      <c r="BA1064" s="12"/>
      <c r="BD1064" s="12"/>
      <c r="BI1064" s="12"/>
      <c r="CG1064" s="12"/>
      <c r="CI1064" s="12"/>
      <c r="CJ1064" s="12"/>
      <c r="CK1064" s="12"/>
      <c r="CL1064" s="12"/>
    </row>
    <row r="1065" spans="18:90" ht="24.95" customHeight="1">
      <c r="R1065" s="12"/>
      <c r="AF1065" s="12"/>
      <c r="AG1065" s="12"/>
      <c r="AH1065" s="12"/>
      <c r="AJ1065" s="12"/>
      <c r="AM1065" s="12"/>
      <c r="AX1065" s="12"/>
      <c r="AY1065" s="12"/>
      <c r="BA1065" s="12"/>
      <c r="BD1065" s="12"/>
      <c r="BI1065" s="12"/>
      <c r="CG1065" s="12"/>
      <c r="CI1065" s="12"/>
      <c r="CJ1065" s="12"/>
      <c r="CK1065" s="12"/>
      <c r="CL1065" s="12"/>
    </row>
    <row r="1066" spans="18:90" ht="24.95" customHeight="1">
      <c r="R1066" s="12"/>
      <c r="AF1066" s="12"/>
      <c r="AG1066" s="12"/>
      <c r="AH1066" s="12"/>
      <c r="AJ1066" s="12"/>
      <c r="AM1066" s="12"/>
      <c r="AX1066" s="12"/>
      <c r="AY1066" s="12"/>
      <c r="BA1066" s="12"/>
      <c r="BD1066" s="12"/>
      <c r="BI1066" s="12"/>
      <c r="CG1066" s="12"/>
      <c r="CI1066" s="12"/>
      <c r="CJ1066" s="12"/>
      <c r="CK1066" s="12"/>
      <c r="CL1066" s="12"/>
    </row>
    <row r="1067" spans="18:90" ht="24.95" customHeight="1">
      <c r="R1067" s="12"/>
      <c r="AF1067" s="12"/>
      <c r="AG1067" s="12"/>
      <c r="AH1067" s="12"/>
      <c r="AJ1067" s="12"/>
      <c r="AM1067" s="12"/>
      <c r="AX1067" s="12"/>
      <c r="AY1067" s="12"/>
      <c r="BA1067" s="12"/>
      <c r="BD1067" s="12"/>
      <c r="BI1067" s="12"/>
      <c r="CG1067" s="12"/>
      <c r="CI1067" s="12"/>
      <c r="CJ1067" s="12"/>
      <c r="CK1067" s="12"/>
      <c r="CL1067" s="12"/>
    </row>
    <row r="1068" spans="18:90" ht="24.95" customHeight="1">
      <c r="R1068" s="12"/>
      <c r="AF1068" s="12"/>
      <c r="AG1068" s="12"/>
      <c r="AH1068" s="12"/>
      <c r="AJ1068" s="12"/>
      <c r="AM1068" s="12"/>
      <c r="AX1068" s="12"/>
      <c r="AY1068" s="12"/>
      <c r="BA1068" s="12"/>
      <c r="BD1068" s="12"/>
      <c r="BI1068" s="12"/>
      <c r="CG1068" s="12"/>
      <c r="CI1068" s="12"/>
      <c r="CJ1068" s="12"/>
      <c r="CK1068" s="12"/>
      <c r="CL1068" s="12"/>
    </row>
    <row r="1069" spans="18:90" ht="24.95" customHeight="1">
      <c r="R1069" s="12"/>
      <c r="AF1069" s="12"/>
      <c r="AG1069" s="12"/>
      <c r="AH1069" s="12"/>
      <c r="AJ1069" s="12"/>
      <c r="AM1069" s="12"/>
      <c r="AX1069" s="12"/>
      <c r="AY1069" s="12"/>
      <c r="BA1069" s="12"/>
      <c r="BD1069" s="12"/>
      <c r="BI1069" s="12"/>
      <c r="CG1069" s="12"/>
      <c r="CI1069" s="12"/>
      <c r="CJ1069" s="12"/>
      <c r="CK1069" s="12"/>
      <c r="CL1069" s="12"/>
    </row>
    <row r="1070" spans="18:90" ht="24.95" customHeight="1">
      <c r="R1070" s="12"/>
      <c r="AF1070" s="12"/>
      <c r="AG1070" s="12"/>
      <c r="AH1070" s="12"/>
      <c r="AJ1070" s="12"/>
      <c r="AM1070" s="12"/>
      <c r="AX1070" s="12"/>
      <c r="AY1070" s="12"/>
      <c r="BA1070" s="12"/>
      <c r="BD1070" s="12"/>
      <c r="BI1070" s="12"/>
      <c r="CG1070" s="12"/>
      <c r="CI1070" s="12"/>
      <c r="CJ1070" s="12"/>
      <c r="CK1070" s="12"/>
      <c r="CL1070" s="12"/>
    </row>
    <row r="1071" spans="18:90" ht="24.95" customHeight="1">
      <c r="R1071" s="12"/>
      <c r="AF1071" s="12"/>
      <c r="AG1071" s="12"/>
      <c r="AH1071" s="12"/>
      <c r="AJ1071" s="12"/>
      <c r="AM1071" s="12"/>
      <c r="AX1071" s="12"/>
      <c r="AY1071" s="12"/>
      <c r="BA1071" s="12"/>
      <c r="BD1071" s="12"/>
      <c r="BI1071" s="12"/>
      <c r="CG1071" s="12"/>
      <c r="CI1071" s="12"/>
      <c r="CJ1071" s="12"/>
      <c r="CK1071" s="12"/>
      <c r="CL1071" s="12"/>
    </row>
    <row r="1072" spans="18:90" ht="24.95" customHeight="1">
      <c r="R1072" s="12"/>
      <c r="AF1072" s="12"/>
      <c r="AG1072" s="12"/>
      <c r="AH1072" s="12"/>
      <c r="AJ1072" s="12"/>
      <c r="AM1072" s="12"/>
      <c r="AX1072" s="12"/>
      <c r="AY1072" s="12"/>
      <c r="BA1072" s="12"/>
      <c r="BD1072" s="12"/>
      <c r="BI1072" s="12"/>
      <c r="CG1072" s="12"/>
      <c r="CI1072" s="12"/>
      <c r="CJ1072" s="12"/>
      <c r="CK1072" s="12"/>
      <c r="CL1072" s="12"/>
    </row>
    <row r="1073" spans="18:90" ht="24.95" customHeight="1">
      <c r="R1073" s="12"/>
      <c r="AF1073" s="12"/>
      <c r="AG1073" s="12"/>
      <c r="AH1073" s="12"/>
      <c r="AJ1073" s="12"/>
      <c r="AM1073" s="12"/>
      <c r="AX1073" s="12"/>
      <c r="AY1073" s="12"/>
      <c r="BA1073" s="12"/>
      <c r="BD1073" s="12"/>
      <c r="BI1073" s="12"/>
      <c r="CG1073" s="12"/>
      <c r="CI1073" s="12"/>
      <c r="CJ1073" s="12"/>
      <c r="CK1073" s="12"/>
      <c r="CL1073" s="12"/>
    </row>
    <row r="1074" spans="18:90" ht="24.95" customHeight="1">
      <c r="R1074" s="12"/>
      <c r="AF1074" s="12"/>
      <c r="AG1074" s="12"/>
      <c r="AH1074" s="12"/>
      <c r="AJ1074" s="12"/>
      <c r="AM1074" s="12"/>
      <c r="AX1074" s="12"/>
      <c r="AY1074" s="12"/>
      <c r="BA1074" s="12"/>
      <c r="BD1074" s="12"/>
      <c r="BI1074" s="12"/>
      <c r="CG1074" s="12"/>
      <c r="CI1074" s="12"/>
      <c r="CJ1074" s="12"/>
      <c r="CK1074" s="12"/>
      <c r="CL1074" s="12"/>
    </row>
    <row r="1075" spans="18:90" ht="24.95" customHeight="1">
      <c r="R1075" s="12"/>
      <c r="AF1075" s="12"/>
      <c r="AG1075" s="12"/>
      <c r="AH1075" s="12"/>
      <c r="AJ1075" s="12"/>
      <c r="AM1075" s="12"/>
      <c r="AX1075" s="12"/>
      <c r="AY1075" s="12"/>
      <c r="BA1075" s="12"/>
      <c r="BD1075" s="12"/>
      <c r="BI1075" s="12"/>
      <c r="CG1075" s="12"/>
      <c r="CI1075" s="12"/>
      <c r="CJ1075" s="12"/>
      <c r="CK1075" s="12"/>
      <c r="CL1075" s="12"/>
    </row>
    <row r="1076" spans="18:90" ht="24.95" customHeight="1">
      <c r="R1076" s="12"/>
      <c r="AF1076" s="12"/>
      <c r="AG1076" s="12"/>
      <c r="AH1076" s="12"/>
      <c r="AJ1076" s="12"/>
      <c r="AM1076" s="12"/>
      <c r="AX1076" s="12"/>
      <c r="AY1076" s="12"/>
      <c r="BA1076" s="12"/>
      <c r="BD1076" s="12"/>
      <c r="BI1076" s="12"/>
      <c r="CG1076" s="12"/>
      <c r="CI1076" s="12"/>
      <c r="CJ1076" s="12"/>
      <c r="CK1076" s="12"/>
      <c r="CL1076" s="12"/>
    </row>
    <row r="1077" spans="18:90" ht="24.95" customHeight="1">
      <c r="R1077" s="12"/>
      <c r="AF1077" s="12"/>
      <c r="AG1077" s="12"/>
      <c r="AH1077" s="12"/>
      <c r="AJ1077" s="12"/>
      <c r="AM1077" s="12"/>
      <c r="AX1077" s="12"/>
      <c r="AY1077" s="12"/>
      <c r="BA1077" s="12"/>
      <c r="BD1077" s="12"/>
      <c r="BI1077" s="12"/>
      <c r="CG1077" s="12"/>
      <c r="CI1077" s="12"/>
      <c r="CJ1077" s="12"/>
      <c r="CK1077" s="12"/>
      <c r="CL1077" s="12"/>
    </row>
    <row r="1078" spans="18:90" ht="24.95" customHeight="1">
      <c r="R1078" s="12"/>
      <c r="AF1078" s="12"/>
      <c r="AG1078" s="12"/>
      <c r="AH1078" s="12"/>
      <c r="AJ1078" s="12"/>
      <c r="AM1078" s="12"/>
      <c r="AX1078" s="12"/>
      <c r="AY1078" s="12"/>
      <c r="BA1078" s="12"/>
      <c r="BD1078" s="12"/>
      <c r="BI1078" s="12"/>
      <c r="CG1078" s="12"/>
      <c r="CI1078" s="12"/>
      <c r="CJ1078" s="12"/>
      <c r="CK1078" s="12"/>
      <c r="CL1078" s="12"/>
    </row>
    <row r="1079" spans="18:90" ht="24.95" customHeight="1">
      <c r="R1079" s="12"/>
      <c r="AF1079" s="12"/>
      <c r="AG1079" s="12"/>
      <c r="AH1079" s="12"/>
      <c r="AJ1079" s="12"/>
      <c r="AM1079" s="12"/>
      <c r="AX1079" s="12"/>
      <c r="AY1079" s="12"/>
      <c r="BA1079" s="12"/>
      <c r="BD1079" s="12"/>
      <c r="BI1079" s="12"/>
      <c r="CG1079" s="12"/>
      <c r="CI1079" s="12"/>
      <c r="CJ1079" s="12"/>
      <c r="CK1079" s="12"/>
      <c r="CL1079" s="12"/>
    </row>
    <row r="1080" spans="18:90" ht="24.95" customHeight="1">
      <c r="R1080" s="12"/>
      <c r="AF1080" s="12"/>
      <c r="AG1080" s="12"/>
      <c r="AH1080" s="12"/>
      <c r="AJ1080" s="12"/>
      <c r="AM1080" s="12"/>
      <c r="AX1080" s="12"/>
      <c r="AY1080" s="12"/>
      <c r="BA1080" s="12"/>
      <c r="BD1080" s="12"/>
      <c r="BI1080" s="12"/>
      <c r="CG1080" s="12"/>
      <c r="CI1080" s="12"/>
      <c r="CJ1080" s="12"/>
      <c r="CK1080" s="12"/>
      <c r="CL1080" s="12"/>
    </row>
    <row r="1081" spans="18:90" ht="24.95" customHeight="1">
      <c r="R1081" s="12"/>
      <c r="AF1081" s="12"/>
      <c r="AG1081" s="12"/>
      <c r="AH1081" s="12"/>
      <c r="AJ1081" s="12"/>
      <c r="AM1081" s="12"/>
      <c r="AX1081" s="12"/>
      <c r="AY1081" s="12"/>
      <c r="BA1081" s="12"/>
      <c r="BD1081" s="12"/>
      <c r="BI1081" s="12"/>
      <c r="CG1081" s="12"/>
      <c r="CI1081" s="12"/>
      <c r="CJ1081" s="12"/>
      <c r="CK1081" s="12"/>
      <c r="CL1081" s="12"/>
    </row>
    <row r="1082" spans="18:90" ht="24.95" customHeight="1">
      <c r="R1082" s="12"/>
      <c r="AF1082" s="12"/>
      <c r="AG1082" s="12"/>
      <c r="AH1082" s="12"/>
      <c r="AJ1082" s="12"/>
      <c r="AM1082" s="12"/>
      <c r="AX1082" s="12"/>
      <c r="AY1082" s="12"/>
      <c r="BA1082" s="12"/>
      <c r="BD1082" s="12"/>
      <c r="BI1082" s="12"/>
      <c r="CG1082" s="12"/>
      <c r="CI1082" s="12"/>
      <c r="CJ1082" s="12"/>
      <c r="CK1082" s="12"/>
      <c r="CL1082" s="12"/>
    </row>
    <row r="1083" spans="18:90" ht="24.95" customHeight="1">
      <c r="R1083" s="12"/>
      <c r="AF1083" s="12"/>
      <c r="AG1083" s="12"/>
      <c r="AH1083" s="12"/>
      <c r="AJ1083" s="12"/>
      <c r="AM1083" s="12"/>
      <c r="AX1083" s="12"/>
      <c r="AY1083" s="12"/>
      <c r="BA1083" s="12"/>
      <c r="BD1083" s="12"/>
      <c r="BI1083" s="12"/>
      <c r="CG1083" s="12"/>
      <c r="CI1083" s="12"/>
      <c r="CJ1083" s="12"/>
      <c r="CK1083" s="12"/>
      <c r="CL1083" s="12"/>
    </row>
    <row r="1084" spans="18:90" ht="24.95" customHeight="1">
      <c r="R1084" s="12"/>
      <c r="AF1084" s="12"/>
      <c r="AG1084" s="12"/>
      <c r="AH1084" s="12"/>
      <c r="AJ1084" s="12"/>
      <c r="AM1084" s="12"/>
      <c r="AX1084" s="12"/>
      <c r="AY1084" s="12"/>
      <c r="BA1084" s="12"/>
      <c r="BD1084" s="12"/>
      <c r="BI1084" s="12"/>
      <c r="CG1084" s="12"/>
      <c r="CI1084" s="12"/>
      <c r="CJ1084" s="12"/>
      <c r="CK1084" s="12"/>
      <c r="CL1084" s="12"/>
    </row>
    <row r="1085" spans="18:90" ht="24.95" customHeight="1">
      <c r="R1085" s="12"/>
      <c r="AF1085" s="12"/>
      <c r="AG1085" s="12"/>
      <c r="AH1085" s="12"/>
      <c r="AJ1085" s="12"/>
      <c r="AM1085" s="12"/>
      <c r="AX1085" s="12"/>
      <c r="AY1085" s="12"/>
      <c r="BA1085" s="12"/>
      <c r="BD1085" s="12"/>
      <c r="BI1085" s="12"/>
      <c r="CG1085" s="12"/>
      <c r="CI1085" s="12"/>
      <c r="CJ1085" s="12"/>
      <c r="CK1085" s="12"/>
      <c r="CL1085" s="12"/>
    </row>
    <row r="1086" spans="18:90" ht="24.95" customHeight="1">
      <c r="R1086" s="12"/>
      <c r="AF1086" s="12"/>
      <c r="AG1086" s="12"/>
      <c r="AH1086" s="12"/>
      <c r="AJ1086" s="12"/>
      <c r="AM1086" s="12"/>
      <c r="AX1086" s="12"/>
      <c r="AY1086" s="12"/>
      <c r="BA1086" s="12"/>
      <c r="BD1086" s="12"/>
      <c r="BI1086" s="12"/>
      <c r="CG1086" s="12"/>
      <c r="CI1086" s="12"/>
      <c r="CJ1086" s="12"/>
      <c r="CK1086" s="12"/>
      <c r="CL1086" s="12"/>
    </row>
    <row r="1087" spans="18:90" ht="24.95" customHeight="1">
      <c r="R1087" s="12"/>
      <c r="AF1087" s="12"/>
      <c r="AG1087" s="12"/>
      <c r="AH1087" s="12"/>
      <c r="AJ1087" s="12"/>
      <c r="AM1087" s="12"/>
      <c r="AX1087" s="12"/>
      <c r="AY1087" s="12"/>
      <c r="BA1087" s="12"/>
      <c r="BD1087" s="12"/>
      <c r="BI1087" s="12"/>
      <c r="CG1087" s="12"/>
      <c r="CI1087" s="12"/>
      <c r="CJ1087" s="12"/>
      <c r="CK1087" s="12"/>
      <c r="CL1087" s="12"/>
    </row>
    <row r="1088" spans="18:90" ht="24.95" customHeight="1">
      <c r="R1088" s="12"/>
      <c r="AF1088" s="12"/>
      <c r="AG1088" s="12"/>
      <c r="AH1088" s="12"/>
      <c r="AJ1088" s="12"/>
      <c r="AM1088" s="12"/>
      <c r="AX1088" s="12"/>
      <c r="AY1088" s="12"/>
      <c r="BA1088" s="12"/>
      <c r="BD1088" s="12"/>
      <c r="BI1088" s="12"/>
      <c r="CG1088" s="12"/>
      <c r="CI1088" s="12"/>
      <c r="CJ1088" s="12"/>
      <c r="CK1088" s="12"/>
      <c r="CL1088" s="12"/>
    </row>
    <row r="1089" spans="18:90" ht="24.95" customHeight="1">
      <c r="R1089" s="12"/>
      <c r="AF1089" s="12"/>
      <c r="AG1089" s="12"/>
      <c r="AH1089" s="12"/>
      <c r="AJ1089" s="12"/>
      <c r="AM1089" s="12"/>
      <c r="AX1089" s="12"/>
      <c r="AY1089" s="12"/>
      <c r="BA1089" s="12"/>
      <c r="BD1089" s="12"/>
      <c r="BI1089" s="12"/>
      <c r="CG1089" s="12"/>
      <c r="CI1089" s="12"/>
      <c r="CJ1089" s="12"/>
      <c r="CK1089" s="12"/>
      <c r="CL1089" s="12"/>
    </row>
    <row r="1090" spans="18:90" ht="24.95" customHeight="1">
      <c r="R1090" s="12"/>
      <c r="AF1090" s="12"/>
      <c r="AG1090" s="12"/>
      <c r="AH1090" s="12"/>
      <c r="AJ1090" s="12"/>
      <c r="AM1090" s="12"/>
      <c r="AX1090" s="12"/>
      <c r="AY1090" s="12"/>
      <c r="BA1090" s="12"/>
      <c r="BD1090" s="12"/>
      <c r="BI1090" s="12"/>
      <c r="CG1090" s="12"/>
      <c r="CI1090" s="12"/>
      <c r="CJ1090" s="12"/>
      <c r="CK1090" s="12"/>
      <c r="CL1090" s="12"/>
    </row>
    <row r="1091" spans="18:90" ht="24.95" customHeight="1">
      <c r="R1091" s="12"/>
      <c r="AF1091" s="12"/>
      <c r="AG1091" s="12"/>
      <c r="AH1091" s="12"/>
      <c r="AJ1091" s="12"/>
      <c r="AM1091" s="12"/>
      <c r="AX1091" s="12"/>
      <c r="AY1091" s="12"/>
      <c r="BA1091" s="12"/>
      <c r="BD1091" s="12"/>
      <c r="BI1091" s="12"/>
      <c r="CG1091" s="12"/>
      <c r="CI1091" s="12"/>
      <c r="CJ1091" s="12"/>
      <c r="CK1091" s="12"/>
      <c r="CL1091" s="12"/>
    </row>
    <row r="1092" spans="18:90" ht="24.95" customHeight="1">
      <c r="R1092" s="12"/>
      <c r="AF1092" s="12"/>
      <c r="AG1092" s="12"/>
      <c r="AH1092" s="12"/>
      <c r="AJ1092" s="12"/>
      <c r="AM1092" s="12"/>
      <c r="AX1092" s="12"/>
      <c r="AY1092" s="12"/>
      <c r="BA1092" s="12"/>
      <c r="BD1092" s="12"/>
      <c r="BI1092" s="12"/>
      <c r="CG1092" s="12"/>
      <c r="CI1092" s="12"/>
      <c r="CJ1092" s="12"/>
      <c r="CK1092" s="12"/>
      <c r="CL1092" s="12"/>
    </row>
    <row r="1093" spans="18:90" ht="24.95" customHeight="1">
      <c r="R1093" s="12"/>
      <c r="AF1093" s="12"/>
      <c r="AG1093" s="12"/>
      <c r="AH1093" s="12"/>
      <c r="AJ1093" s="12"/>
      <c r="AM1093" s="12"/>
      <c r="AX1093" s="12"/>
      <c r="AY1093" s="12"/>
      <c r="BA1093" s="12"/>
      <c r="BD1093" s="12"/>
      <c r="BI1093" s="12"/>
      <c r="CG1093" s="12"/>
      <c r="CI1093" s="12"/>
      <c r="CJ1093" s="12"/>
      <c r="CK1093" s="12"/>
      <c r="CL1093" s="12"/>
    </row>
    <row r="1094" spans="18:90" ht="24.95" customHeight="1">
      <c r="R1094" s="12"/>
      <c r="AF1094" s="12"/>
      <c r="AG1094" s="12"/>
      <c r="AH1094" s="12"/>
      <c r="AJ1094" s="12"/>
      <c r="AM1094" s="12"/>
      <c r="AX1094" s="12"/>
      <c r="AY1094" s="12"/>
      <c r="BA1094" s="12"/>
      <c r="BD1094" s="12"/>
      <c r="BI1094" s="12"/>
      <c r="CG1094" s="12"/>
      <c r="CI1094" s="12"/>
      <c r="CJ1094" s="12"/>
      <c r="CK1094" s="12"/>
      <c r="CL1094" s="12"/>
    </row>
    <row r="1095" spans="18:90" ht="24.95" customHeight="1">
      <c r="R1095" s="12"/>
      <c r="AF1095" s="12"/>
      <c r="AG1095" s="12"/>
      <c r="AH1095" s="12"/>
      <c r="AJ1095" s="12"/>
      <c r="AM1095" s="12"/>
      <c r="AX1095" s="12"/>
      <c r="AY1095" s="12"/>
      <c r="BA1095" s="12"/>
      <c r="BD1095" s="12"/>
      <c r="BI1095" s="12"/>
      <c r="CG1095" s="12"/>
      <c r="CI1095" s="12"/>
      <c r="CJ1095" s="12"/>
      <c r="CK1095" s="12"/>
      <c r="CL1095" s="12"/>
    </row>
    <row r="1096" spans="18:90" ht="24.95" customHeight="1">
      <c r="R1096" s="12"/>
      <c r="AF1096" s="12"/>
      <c r="AG1096" s="12"/>
      <c r="AH1096" s="12"/>
      <c r="AJ1096" s="12"/>
      <c r="AM1096" s="12"/>
      <c r="AX1096" s="12"/>
      <c r="AY1096" s="12"/>
      <c r="BA1096" s="12"/>
      <c r="BD1096" s="12"/>
      <c r="BI1096" s="12"/>
      <c r="CG1096" s="12"/>
      <c r="CI1096" s="12"/>
      <c r="CJ1096" s="12"/>
      <c r="CK1096" s="12"/>
      <c r="CL1096" s="12"/>
    </row>
    <row r="1097" spans="18:90" ht="24.95" customHeight="1">
      <c r="R1097" s="12"/>
      <c r="AF1097" s="12"/>
      <c r="AG1097" s="12"/>
      <c r="AH1097" s="12"/>
      <c r="AJ1097" s="12"/>
      <c r="AM1097" s="12"/>
      <c r="AX1097" s="12"/>
      <c r="AY1097" s="12"/>
      <c r="BA1097" s="12"/>
      <c r="BD1097" s="12"/>
      <c r="BI1097" s="12"/>
      <c r="CG1097" s="12"/>
      <c r="CI1097" s="12"/>
      <c r="CJ1097" s="12"/>
      <c r="CK1097" s="12"/>
      <c r="CL1097" s="12"/>
    </row>
    <row r="1098" spans="18:90" ht="24.95" customHeight="1">
      <c r="R1098" s="12"/>
      <c r="AF1098" s="12"/>
      <c r="AG1098" s="12"/>
      <c r="AH1098" s="12"/>
      <c r="AJ1098" s="12"/>
      <c r="AM1098" s="12"/>
      <c r="AX1098" s="12"/>
      <c r="AY1098" s="12"/>
      <c r="BA1098" s="12"/>
      <c r="BD1098" s="12"/>
      <c r="BI1098" s="12"/>
      <c r="CG1098" s="12"/>
      <c r="CI1098" s="12"/>
      <c r="CJ1098" s="12"/>
      <c r="CK1098" s="12"/>
      <c r="CL1098" s="12"/>
    </row>
    <row r="1099" spans="18:90" ht="24.95" customHeight="1">
      <c r="R1099" s="12"/>
      <c r="AF1099" s="12"/>
      <c r="AG1099" s="12"/>
      <c r="AH1099" s="12"/>
      <c r="AJ1099" s="12"/>
      <c r="AM1099" s="12"/>
      <c r="AX1099" s="12"/>
      <c r="AY1099" s="12"/>
      <c r="BA1099" s="12"/>
      <c r="BD1099" s="12"/>
      <c r="BI1099" s="12"/>
      <c r="CG1099" s="12"/>
      <c r="CI1099" s="12"/>
      <c r="CJ1099" s="12"/>
      <c r="CK1099" s="12"/>
      <c r="CL1099" s="12"/>
    </row>
    <row r="1100" spans="18:90" ht="24.95" customHeight="1">
      <c r="R1100" s="12"/>
      <c r="AF1100" s="12"/>
      <c r="AG1100" s="12"/>
      <c r="AH1100" s="12"/>
      <c r="AJ1100" s="12"/>
      <c r="AM1100" s="12"/>
      <c r="AX1100" s="12"/>
      <c r="AY1100" s="12"/>
      <c r="BA1100" s="12"/>
      <c r="BD1100" s="12"/>
      <c r="BI1100" s="12"/>
      <c r="CG1100" s="12"/>
      <c r="CI1100" s="12"/>
      <c r="CJ1100" s="12"/>
      <c r="CK1100" s="12"/>
      <c r="CL1100" s="12"/>
    </row>
    <row r="1101" spans="18:90" ht="24.95" customHeight="1">
      <c r="R1101" s="12"/>
      <c r="AF1101" s="12"/>
      <c r="AG1101" s="12"/>
      <c r="AH1101" s="12"/>
      <c r="AJ1101" s="12"/>
      <c r="AM1101" s="12"/>
      <c r="AX1101" s="12"/>
      <c r="AY1101" s="12"/>
      <c r="BA1101" s="12"/>
      <c r="BD1101" s="12"/>
      <c r="BI1101" s="12"/>
      <c r="CG1101" s="12"/>
      <c r="CI1101" s="12"/>
      <c r="CJ1101" s="12"/>
      <c r="CK1101" s="12"/>
      <c r="CL1101" s="12"/>
    </row>
    <row r="1102" spans="18:90" ht="24.95" customHeight="1">
      <c r="R1102" s="12"/>
      <c r="AF1102" s="12"/>
      <c r="AG1102" s="12"/>
      <c r="AH1102" s="12"/>
      <c r="AJ1102" s="12"/>
      <c r="AM1102" s="12"/>
      <c r="AX1102" s="12"/>
      <c r="AY1102" s="12"/>
      <c r="BA1102" s="12"/>
      <c r="BD1102" s="12"/>
      <c r="BI1102" s="12"/>
      <c r="CG1102" s="12"/>
      <c r="CI1102" s="12"/>
      <c r="CJ1102" s="12"/>
      <c r="CK1102" s="12"/>
      <c r="CL1102" s="12"/>
    </row>
    <row r="1103" spans="18:90" ht="24.95" customHeight="1">
      <c r="R1103" s="12"/>
      <c r="AF1103" s="12"/>
      <c r="AG1103" s="12"/>
      <c r="AH1103" s="12"/>
      <c r="AJ1103" s="12"/>
      <c r="AM1103" s="12"/>
      <c r="AX1103" s="12"/>
      <c r="AY1103" s="12"/>
      <c r="BA1103" s="12"/>
      <c r="BD1103" s="12"/>
      <c r="BI1103" s="12"/>
      <c r="CG1103" s="12"/>
      <c r="CI1103" s="12"/>
      <c r="CJ1103" s="12"/>
      <c r="CK1103" s="12"/>
      <c r="CL1103" s="12"/>
    </row>
    <row r="1104" spans="18:90" ht="24.95" customHeight="1">
      <c r="R1104" s="12"/>
      <c r="AF1104" s="12"/>
      <c r="AG1104" s="12"/>
      <c r="AH1104" s="12"/>
      <c r="AJ1104" s="12"/>
      <c r="AM1104" s="12"/>
      <c r="AX1104" s="12"/>
      <c r="AY1104" s="12"/>
      <c r="BA1104" s="12"/>
      <c r="BD1104" s="12"/>
      <c r="BI1104" s="12"/>
      <c r="CG1104" s="12"/>
      <c r="CI1104" s="12"/>
      <c r="CJ1104" s="12"/>
      <c r="CK1104" s="12"/>
      <c r="CL1104" s="12"/>
    </row>
    <row r="1105" spans="18:92" ht="24.95" customHeight="1">
      <c r="R1105" s="12"/>
      <c r="AF1105" s="12"/>
      <c r="AG1105" s="12"/>
      <c r="AH1105" s="12"/>
      <c r="AJ1105" s="12"/>
      <c r="AM1105" s="12"/>
      <c r="AX1105" s="12"/>
      <c r="AY1105" s="12"/>
      <c r="BA1105" s="12"/>
      <c r="BD1105" s="12"/>
      <c r="BI1105" s="12"/>
      <c r="CG1105" s="12"/>
      <c r="CI1105" s="12"/>
      <c r="CJ1105" s="12"/>
      <c r="CK1105" s="12"/>
      <c r="CL1105" s="12"/>
    </row>
    <row r="1106" spans="18:92" ht="24.95" customHeight="1">
      <c r="R1106" s="12"/>
      <c r="AF1106" s="12"/>
      <c r="AG1106" s="12"/>
      <c r="AH1106" s="12"/>
      <c r="AJ1106" s="12"/>
      <c r="AM1106" s="12"/>
      <c r="AX1106" s="12"/>
      <c r="AY1106" s="12"/>
      <c r="BA1106" s="12"/>
      <c r="BD1106" s="12"/>
      <c r="BI1106" s="12"/>
      <c r="CG1106" s="12"/>
      <c r="CI1106" s="12"/>
      <c r="CJ1106" s="12"/>
      <c r="CK1106" s="12"/>
      <c r="CL1106" s="12"/>
    </row>
    <row r="1107" spans="18:92" ht="24.95" customHeight="1">
      <c r="R1107" s="12"/>
      <c r="AF1107" s="12"/>
      <c r="AG1107" s="12"/>
      <c r="AH1107" s="12"/>
      <c r="AJ1107" s="12"/>
      <c r="AM1107" s="12"/>
      <c r="AX1107" s="12"/>
      <c r="AY1107" s="12"/>
      <c r="BA1107" s="12"/>
      <c r="BD1107" s="12"/>
      <c r="BI1107" s="12"/>
      <c r="CG1107" s="12"/>
      <c r="CI1107" s="12"/>
      <c r="CJ1107" s="12"/>
      <c r="CK1107" s="12"/>
      <c r="CL1107" s="12"/>
    </row>
    <row r="1108" spans="18:92" ht="24.95" customHeight="1">
      <c r="R1108" s="12"/>
      <c r="AF1108" s="12"/>
      <c r="AG1108" s="12"/>
      <c r="AH1108" s="12"/>
      <c r="AJ1108" s="12"/>
      <c r="AM1108" s="12"/>
      <c r="AX1108" s="12"/>
      <c r="AY1108" s="12"/>
      <c r="BA1108" s="12"/>
      <c r="BD1108" s="12"/>
      <c r="BI1108" s="12"/>
      <c r="CG1108" s="12"/>
      <c r="CI1108" s="12"/>
      <c r="CJ1108" s="12"/>
      <c r="CK1108" s="12"/>
      <c r="CL1108" s="12"/>
    </row>
    <row r="1109" spans="18:92" ht="24.95" customHeight="1">
      <c r="R1109" s="12"/>
      <c r="AF1109" s="12"/>
      <c r="AG1109" s="12"/>
      <c r="AH1109" s="12"/>
      <c r="AJ1109" s="12"/>
      <c r="AM1109" s="12"/>
      <c r="AX1109" s="12"/>
      <c r="AY1109" s="12"/>
      <c r="BA1109" s="12"/>
      <c r="BD1109" s="12"/>
      <c r="BI1109" s="12"/>
      <c r="CG1109" s="12"/>
      <c r="CI1109" s="12"/>
      <c r="CJ1109" s="12"/>
      <c r="CK1109" s="12"/>
      <c r="CL1109" s="12"/>
    </row>
    <row r="1110" spans="18:92" ht="24.95" customHeight="1">
      <c r="R1110" s="12"/>
      <c r="AF1110" s="12"/>
      <c r="AG1110" s="12"/>
      <c r="AH1110" s="12"/>
      <c r="AJ1110" s="12"/>
      <c r="AM1110" s="12"/>
      <c r="AX1110" s="12"/>
      <c r="AY1110" s="12"/>
      <c r="BA1110" s="12"/>
      <c r="BD1110" s="12"/>
      <c r="BI1110" s="12"/>
      <c r="CG1110" s="12"/>
      <c r="CI1110" s="12"/>
      <c r="CJ1110" s="12"/>
      <c r="CK1110" s="12"/>
      <c r="CL1110" s="12"/>
    </row>
    <row r="1111" spans="18:92" ht="24.95" customHeight="1">
      <c r="R1111" s="12"/>
      <c r="AF1111" s="12"/>
      <c r="AG1111" s="12"/>
      <c r="AH1111" s="12"/>
      <c r="AJ1111" s="12"/>
      <c r="AM1111" s="12"/>
      <c r="AX1111" s="12"/>
      <c r="AY1111" s="12"/>
      <c r="BA1111" s="12"/>
      <c r="BD1111" s="12"/>
      <c r="BI1111" s="12"/>
      <c r="CG1111" s="12"/>
      <c r="CI1111" s="12"/>
      <c r="CJ1111" s="12"/>
      <c r="CK1111" s="12"/>
      <c r="CL1111" s="12"/>
    </row>
    <row r="1112" spans="18:92" ht="24.95" customHeight="1">
      <c r="R1112" s="12"/>
      <c r="AF1112" s="12"/>
      <c r="AG1112" s="12"/>
      <c r="AH1112" s="12"/>
      <c r="AJ1112" s="12"/>
      <c r="AM1112" s="12"/>
      <c r="AX1112" s="12"/>
      <c r="AY1112" s="12"/>
      <c r="BA1112" s="12"/>
      <c r="BD1112" s="12"/>
      <c r="BI1112" s="12"/>
      <c r="CG1112" s="12"/>
      <c r="CI1112" s="12"/>
      <c r="CJ1112" s="12"/>
      <c r="CK1112" s="12"/>
      <c r="CL1112" s="12"/>
    </row>
    <row r="1113" spans="18:92" ht="24.95" customHeight="1">
      <c r="R1113" s="12"/>
      <c r="AF1113" s="12"/>
      <c r="AG1113" s="12"/>
      <c r="AH1113" s="12"/>
      <c r="AJ1113" s="12"/>
      <c r="AM1113" s="12"/>
      <c r="AX1113" s="12"/>
      <c r="AY1113" s="12"/>
      <c r="BA1113" s="12"/>
      <c r="BD1113" s="12"/>
      <c r="BI1113" s="12"/>
      <c r="CG1113" s="12"/>
      <c r="CI1113" s="12"/>
      <c r="CJ1113" s="12"/>
      <c r="CK1113" s="12"/>
      <c r="CL1113" s="12"/>
    </row>
    <row r="1114" spans="18:92" ht="24.95" customHeight="1">
      <c r="R1114" s="12"/>
      <c r="AF1114" s="12"/>
      <c r="AG1114" s="12"/>
      <c r="AH1114" s="12"/>
      <c r="AJ1114" s="12"/>
      <c r="AM1114" s="12"/>
      <c r="AX1114" s="12"/>
      <c r="AY1114" s="12"/>
      <c r="BA1114" s="12"/>
      <c r="BD1114" s="12"/>
      <c r="BI1114" s="12"/>
      <c r="CG1114" s="12"/>
      <c r="CI1114" s="12"/>
      <c r="CJ1114" s="12"/>
      <c r="CK1114" s="12"/>
      <c r="CL1114" s="12"/>
    </row>
    <row r="1115" spans="18:92" ht="24.95" customHeight="1">
      <c r="R1115" s="12"/>
      <c r="AF1115" s="12"/>
      <c r="AG1115" s="12"/>
      <c r="AH1115" s="12"/>
      <c r="AJ1115" s="12"/>
      <c r="AM1115" s="12"/>
      <c r="AX1115" s="12"/>
      <c r="AY1115" s="12"/>
      <c r="BA1115" s="12"/>
      <c r="BD1115" s="12"/>
      <c r="BI1115" s="12"/>
      <c r="CG1115" s="12"/>
      <c r="CI1115" s="12"/>
      <c r="CJ1115" s="12"/>
      <c r="CK1115" s="12"/>
      <c r="CL1115" s="12"/>
    </row>
    <row r="1116" spans="18:92" ht="24.95" customHeight="1">
      <c r="R1116" s="12"/>
      <c r="AF1116" s="12"/>
      <c r="AG1116" s="12"/>
      <c r="AH1116" s="12"/>
      <c r="AJ1116" s="12"/>
      <c r="AM1116" s="12"/>
      <c r="AX1116" s="12"/>
      <c r="AY1116" s="12"/>
      <c r="BA1116" s="12"/>
      <c r="BD1116" s="12"/>
      <c r="BI1116" s="12"/>
      <c r="CG1116" s="12"/>
      <c r="CI1116" s="12"/>
      <c r="CJ1116" s="12"/>
      <c r="CK1116" s="12"/>
      <c r="CL1116" s="12"/>
      <c r="CN1116" s="12"/>
    </row>
    <row r="1117" spans="18:92" ht="24.95" customHeight="1">
      <c r="R1117" s="12"/>
      <c r="AF1117" s="12"/>
      <c r="AG1117" s="12"/>
      <c r="AH1117" s="12"/>
      <c r="AJ1117" s="12"/>
      <c r="AM1117" s="12"/>
      <c r="AX1117" s="12"/>
      <c r="AY1117" s="12"/>
      <c r="BA1117" s="12"/>
      <c r="BD1117" s="12"/>
      <c r="BI1117" s="12"/>
      <c r="CG1117" s="12"/>
      <c r="CI1117" s="12"/>
      <c r="CJ1117" s="12"/>
      <c r="CK1117" s="12"/>
      <c r="CL1117" s="12"/>
    </row>
    <row r="1118" spans="18:92" ht="24.95" customHeight="1">
      <c r="R1118" s="12"/>
      <c r="AF1118" s="12"/>
      <c r="AG1118" s="12"/>
      <c r="AH1118" s="12"/>
      <c r="AJ1118" s="12"/>
      <c r="AM1118" s="12"/>
      <c r="AX1118" s="12"/>
      <c r="AY1118" s="12"/>
      <c r="BA1118" s="12"/>
      <c r="BD1118" s="12"/>
      <c r="BI1118" s="12"/>
      <c r="CG1118" s="12"/>
      <c r="CI1118" s="12"/>
      <c r="CJ1118" s="12"/>
      <c r="CK1118" s="12"/>
      <c r="CL1118" s="12"/>
    </row>
    <row r="1119" spans="18:92" ht="24.95" customHeight="1">
      <c r="R1119" s="12"/>
      <c r="AF1119" s="12"/>
      <c r="AG1119" s="12"/>
      <c r="AH1119" s="12"/>
      <c r="AJ1119" s="12"/>
      <c r="AM1119" s="12"/>
      <c r="AX1119" s="12"/>
      <c r="AY1119" s="12"/>
      <c r="BA1119" s="12"/>
      <c r="BD1119" s="12"/>
      <c r="BI1119" s="12"/>
      <c r="CG1119" s="12"/>
      <c r="CI1119" s="12"/>
      <c r="CJ1119" s="12"/>
      <c r="CK1119" s="12"/>
      <c r="CL1119" s="12"/>
    </row>
    <row r="1120" spans="18:92" ht="24.95" customHeight="1">
      <c r="R1120" s="12"/>
      <c r="AF1120" s="12"/>
      <c r="AG1120" s="12"/>
      <c r="AH1120" s="12"/>
      <c r="AJ1120" s="12"/>
      <c r="AM1120" s="12"/>
      <c r="AX1120" s="12"/>
      <c r="AY1120" s="12"/>
      <c r="BA1120" s="12"/>
      <c r="BD1120" s="12"/>
      <c r="BI1120" s="12"/>
      <c r="CG1120" s="12"/>
      <c r="CI1120" s="12"/>
      <c r="CJ1120" s="12"/>
      <c r="CK1120" s="12"/>
      <c r="CL1120" s="12"/>
    </row>
    <row r="1121" spans="18:90" ht="24.95" customHeight="1">
      <c r="R1121" s="12"/>
      <c r="AF1121" s="12"/>
      <c r="AG1121" s="12"/>
      <c r="AH1121" s="12"/>
      <c r="AJ1121" s="12"/>
      <c r="AM1121" s="12"/>
      <c r="AX1121" s="12"/>
      <c r="AY1121" s="12"/>
      <c r="BA1121" s="12"/>
      <c r="BD1121" s="12"/>
      <c r="BI1121" s="12"/>
      <c r="CG1121" s="12"/>
      <c r="CI1121" s="12"/>
      <c r="CJ1121" s="12"/>
      <c r="CK1121" s="12"/>
      <c r="CL1121" s="12"/>
    </row>
    <row r="1122" spans="18:90" ht="24.95" customHeight="1">
      <c r="R1122" s="12"/>
      <c r="AF1122" s="12"/>
      <c r="AG1122" s="12"/>
      <c r="AH1122" s="12"/>
      <c r="AJ1122" s="12"/>
      <c r="AM1122" s="12"/>
      <c r="AX1122" s="12"/>
      <c r="AY1122" s="12"/>
      <c r="BA1122" s="12"/>
      <c r="BD1122" s="12"/>
      <c r="BI1122" s="12"/>
      <c r="CG1122" s="12"/>
      <c r="CI1122" s="12"/>
      <c r="CJ1122" s="12"/>
      <c r="CK1122" s="12"/>
      <c r="CL1122" s="12"/>
    </row>
    <row r="1123" spans="18:90" ht="24.95" customHeight="1">
      <c r="R1123" s="12"/>
      <c r="AF1123" s="12"/>
      <c r="AG1123" s="12"/>
      <c r="AH1123" s="12"/>
      <c r="AJ1123" s="12"/>
      <c r="AM1123" s="12"/>
      <c r="AX1123" s="12"/>
      <c r="AY1123" s="12"/>
      <c r="BA1123" s="12"/>
      <c r="BD1123" s="12"/>
      <c r="BI1123" s="12"/>
      <c r="CG1123" s="12"/>
      <c r="CI1123" s="12"/>
      <c r="CJ1123" s="12"/>
      <c r="CK1123" s="12"/>
      <c r="CL1123" s="12"/>
    </row>
    <row r="1124" spans="18:90" ht="24.95" customHeight="1">
      <c r="R1124" s="12"/>
      <c r="AF1124" s="12"/>
      <c r="AG1124" s="12"/>
      <c r="AH1124" s="12"/>
      <c r="AJ1124" s="12"/>
      <c r="AM1124" s="12"/>
      <c r="AX1124" s="12"/>
      <c r="AY1124" s="12"/>
      <c r="BA1124" s="12"/>
      <c r="BD1124" s="12"/>
      <c r="BI1124" s="12"/>
      <c r="CG1124" s="12"/>
      <c r="CI1124" s="12"/>
      <c r="CJ1124" s="12"/>
      <c r="CK1124" s="12"/>
      <c r="CL1124" s="12"/>
    </row>
    <row r="1125" spans="18:90" ht="24.95" customHeight="1">
      <c r="R1125" s="12"/>
      <c r="AF1125" s="12"/>
      <c r="AG1125" s="12"/>
      <c r="AH1125" s="12"/>
      <c r="AJ1125" s="12"/>
      <c r="AM1125" s="12"/>
      <c r="AX1125" s="12"/>
      <c r="AY1125" s="12"/>
      <c r="BA1125" s="12"/>
      <c r="BD1125" s="12"/>
      <c r="BI1125" s="12"/>
      <c r="CG1125" s="12"/>
      <c r="CI1125" s="12"/>
      <c r="CJ1125" s="12"/>
      <c r="CK1125" s="12"/>
      <c r="CL1125" s="12"/>
    </row>
    <row r="1126" spans="18:90" ht="24.95" customHeight="1">
      <c r="R1126" s="12"/>
      <c r="AF1126" s="12"/>
      <c r="AG1126" s="12"/>
      <c r="AH1126" s="12"/>
      <c r="AJ1126" s="12"/>
      <c r="AM1126" s="12"/>
      <c r="AX1126" s="12"/>
      <c r="AY1126" s="12"/>
      <c r="BA1126" s="12"/>
      <c r="BD1126" s="12"/>
      <c r="BI1126" s="12"/>
      <c r="CG1126" s="12"/>
      <c r="CI1126" s="12"/>
      <c r="CJ1126" s="12"/>
      <c r="CK1126" s="12"/>
      <c r="CL1126" s="12"/>
    </row>
    <row r="1127" spans="18:90" ht="24.95" customHeight="1">
      <c r="R1127" s="12"/>
      <c r="AF1127" s="12"/>
      <c r="AG1127" s="12"/>
      <c r="AH1127" s="12"/>
      <c r="AJ1127" s="12"/>
      <c r="AM1127" s="12"/>
      <c r="AX1127" s="12"/>
      <c r="AY1127" s="12"/>
      <c r="BA1127" s="12"/>
      <c r="BD1127" s="12"/>
      <c r="BI1127" s="12"/>
      <c r="CG1127" s="12"/>
      <c r="CI1127" s="12"/>
      <c r="CJ1127" s="12"/>
      <c r="CK1127" s="12"/>
      <c r="CL1127" s="12"/>
    </row>
    <row r="1128" spans="18:90" ht="24.95" customHeight="1">
      <c r="R1128" s="12"/>
      <c r="AF1128" s="12"/>
      <c r="AG1128" s="12"/>
      <c r="AH1128" s="12"/>
      <c r="AJ1128" s="12"/>
      <c r="AM1128" s="12"/>
      <c r="AX1128" s="12"/>
      <c r="AY1128" s="12"/>
      <c r="BA1128" s="12"/>
      <c r="BD1128" s="12"/>
      <c r="BI1128" s="12"/>
      <c r="CG1128" s="12"/>
      <c r="CI1128" s="12"/>
      <c r="CJ1128" s="12"/>
      <c r="CK1128" s="12"/>
      <c r="CL1128" s="12"/>
    </row>
    <row r="1129" spans="18:90" ht="24.95" customHeight="1">
      <c r="R1129" s="12"/>
      <c r="AF1129" s="12"/>
      <c r="AG1129" s="12"/>
      <c r="AH1129" s="12"/>
      <c r="AJ1129" s="12"/>
      <c r="AM1129" s="12"/>
      <c r="AX1129" s="12"/>
      <c r="AY1129" s="12"/>
      <c r="BA1129" s="12"/>
      <c r="BD1129" s="12"/>
      <c r="BI1129" s="12"/>
      <c r="CG1129" s="12"/>
      <c r="CI1129" s="12"/>
      <c r="CJ1129" s="12"/>
      <c r="CK1129" s="12"/>
      <c r="CL1129" s="12"/>
    </row>
    <row r="1130" spans="18:90" ht="24.95" customHeight="1">
      <c r="R1130" s="12"/>
      <c r="AF1130" s="12"/>
      <c r="AG1130" s="12"/>
      <c r="AH1130" s="12"/>
      <c r="AJ1130" s="12"/>
      <c r="AM1130" s="12"/>
      <c r="AX1130" s="12"/>
      <c r="AY1130" s="12"/>
      <c r="BA1130" s="12"/>
      <c r="BD1130" s="12"/>
      <c r="BI1130" s="12"/>
      <c r="CG1130" s="12"/>
      <c r="CI1130" s="12"/>
      <c r="CJ1130" s="12"/>
      <c r="CK1130" s="12"/>
      <c r="CL1130" s="12"/>
    </row>
    <row r="1131" spans="18:90" ht="24.95" customHeight="1">
      <c r="R1131" s="12"/>
      <c r="AF1131" s="12"/>
      <c r="AG1131" s="12"/>
      <c r="AH1131" s="12"/>
      <c r="AJ1131" s="12"/>
      <c r="AM1131" s="12"/>
      <c r="AX1131" s="12"/>
      <c r="AY1131" s="12"/>
      <c r="BA1131" s="12"/>
      <c r="BD1131" s="12"/>
      <c r="BI1131" s="12"/>
      <c r="CG1131" s="12"/>
      <c r="CI1131" s="12"/>
      <c r="CJ1131" s="12"/>
      <c r="CK1131" s="12"/>
      <c r="CL1131" s="12"/>
    </row>
    <row r="1132" spans="18:90" ht="24.95" customHeight="1">
      <c r="R1132" s="12"/>
      <c r="AF1132" s="12"/>
      <c r="AG1132" s="12"/>
      <c r="AH1132" s="12"/>
      <c r="AJ1132" s="12"/>
      <c r="AM1132" s="12"/>
      <c r="AX1132" s="12"/>
      <c r="AY1132" s="12"/>
      <c r="BA1132" s="12"/>
      <c r="BD1132" s="12"/>
      <c r="BI1132" s="12"/>
      <c r="CG1132" s="12"/>
      <c r="CI1132" s="12"/>
      <c r="CJ1132" s="12"/>
      <c r="CK1132" s="12"/>
      <c r="CL1132" s="12"/>
    </row>
    <row r="1133" spans="18:90" ht="24.95" customHeight="1">
      <c r="R1133" s="12"/>
      <c r="AF1133" s="12"/>
      <c r="AG1133" s="12"/>
      <c r="AH1133" s="12"/>
      <c r="AJ1133" s="12"/>
      <c r="AM1133" s="12"/>
      <c r="AX1133" s="12"/>
      <c r="AY1133" s="12"/>
      <c r="BA1133" s="12"/>
      <c r="BD1133" s="12"/>
      <c r="BI1133" s="12"/>
      <c r="CG1133" s="12"/>
      <c r="CI1133" s="12"/>
      <c r="CJ1133" s="12"/>
      <c r="CK1133" s="12"/>
      <c r="CL1133" s="12"/>
    </row>
    <row r="1134" spans="18:90" ht="24.95" customHeight="1">
      <c r="R1134" s="12"/>
      <c r="AF1134" s="12"/>
      <c r="AG1134" s="12"/>
      <c r="AH1134" s="12"/>
      <c r="AJ1134" s="12"/>
      <c r="AM1134" s="12"/>
      <c r="AX1134" s="12"/>
      <c r="AY1134" s="12"/>
      <c r="BA1134" s="12"/>
      <c r="BD1134" s="12"/>
      <c r="BI1134" s="12"/>
      <c r="CG1134" s="12"/>
      <c r="CI1134" s="12"/>
      <c r="CJ1134" s="12"/>
      <c r="CK1134" s="12"/>
      <c r="CL1134" s="12"/>
    </row>
    <row r="1135" spans="18:90" ht="24.95" customHeight="1">
      <c r="R1135" s="12"/>
      <c r="AF1135" s="12"/>
      <c r="AG1135" s="12"/>
      <c r="AH1135" s="12"/>
      <c r="AJ1135" s="12"/>
      <c r="AM1135" s="12"/>
      <c r="AX1135" s="12"/>
      <c r="AY1135" s="12"/>
      <c r="BA1135" s="12"/>
      <c r="BD1135" s="12"/>
      <c r="BI1135" s="12"/>
      <c r="CG1135" s="12"/>
      <c r="CI1135" s="12"/>
      <c r="CJ1135" s="12"/>
      <c r="CK1135" s="12"/>
      <c r="CL1135" s="12"/>
    </row>
    <row r="1136" spans="18:90" ht="24.95" customHeight="1">
      <c r="R1136" s="12"/>
      <c r="AF1136" s="12"/>
      <c r="AG1136" s="12"/>
      <c r="AH1136" s="12"/>
      <c r="AJ1136" s="12"/>
      <c r="AM1136" s="12"/>
      <c r="AX1136" s="12"/>
      <c r="AY1136" s="12"/>
      <c r="BA1136" s="12"/>
      <c r="BD1136" s="12"/>
      <c r="BI1136" s="12"/>
      <c r="CG1136" s="12"/>
      <c r="CI1136" s="12"/>
      <c r="CJ1136" s="12"/>
      <c r="CK1136" s="12"/>
      <c r="CL1136" s="12"/>
    </row>
    <row r="1137" spans="18:90" ht="24.95" customHeight="1">
      <c r="R1137" s="12"/>
      <c r="AF1137" s="12"/>
      <c r="AG1137" s="12"/>
      <c r="AH1137" s="12"/>
      <c r="AJ1137" s="12"/>
      <c r="AM1137" s="12"/>
      <c r="AX1137" s="12"/>
      <c r="AY1137" s="12"/>
      <c r="BA1137" s="12"/>
      <c r="BD1137" s="12"/>
      <c r="BI1137" s="12"/>
      <c r="CG1137" s="12"/>
      <c r="CI1137" s="12"/>
      <c r="CJ1137" s="12"/>
      <c r="CK1137" s="12"/>
      <c r="CL1137" s="12"/>
    </row>
    <row r="1138" spans="18:90" ht="24.95" customHeight="1">
      <c r="R1138" s="12"/>
      <c r="AF1138" s="12"/>
      <c r="AG1138" s="12"/>
      <c r="AH1138" s="12"/>
      <c r="AJ1138" s="12"/>
      <c r="AM1138" s="12"/>
      <c r="AX1138" s="12"/>
      <c r="AY1138" s="12"/>
      <c r="BA1138" s="12"/>
      <c r="BD1138" s="12"/>
      <c r="BI1138" s="12"/>
      <c r="CG1138" s="12"/>
      <c r="CI1138" s="12"/>
      <c r="CJ1138" s="12"/>
      <c r="CK1138" s="12"/>
      <c r="CL1138" s="12"/>
    </row>
    <row r="1139" spans="18:90" ht="24.95" customHeight="1">
      <c r="R1139" s="12"/>
      <c r="AF1139" s="12"/>
      <c r="AG1139" s="12"/>
      <c r="AH1139" s="12"/>
      <c r="AJ1139" s="12"/>
      <c r="AM1139" s="12"/>
      <c r="AX1139" s="12"/>
      <c r="AY1139" s="12"/>
      <c r="BA1139" s="12"/>
      <c r="BD1139" s="12"/>
      <c r="BI1139" s="12"/>
      <c r="CG1139" s="12"/>
      <c r="CI1139" s="12"/>
      <c r="CJ1139" s="12"/>
      <c r="CK1139" s="12"/>
      <c r="CL1139" s="12"/>
    </row>
    <row r="1140" spans="18:90" ht="24.95" customHeight="1">
      <c r="R1140" s="12"/>
      <c r="AF1140" s="12"/>
      <c r="AG1140" s="12"/>
      <c r="AH1140" s="12"/>
      <c r="AJ1140" s="12"/>
      <c r="AM1140" s="12"/>
      <c r="AX1140" s="12"/>
      <c r="AY1140" s="12"/>
      <c r="BA1140" s="12"/>
      <c r="BD1140" s="12"/>
      <c r="BI1140" s="12"/>
      <c r="CG1140" s="12"/>
      <c r="CI1140" s="12"/>
      <c r="CJ1140" s="12"/>
      <c r="CK1140" s="12"/>
      <c r="CL1140" s="12"/>
    </row>
    <row r="1141" spans="18:90" ht="24.95" customHeight="1">
      <c r="R1141" s="12"/>
      <c r="AF1141" s="12"/>
      <c r="AG1141" s="12"/>
      <c r="AH1141" s="12"/>
      <c r="AJ1141" s="12"/>
      <c r="AM1141" s="12"/>
      <c r="AX1141" s="12"/>
      <c r="AY1141" s="12"/>
      <c r="BA1141" s="12"/>
      <c r="BD1141" s="12"/>
      <c r="BI1141" s="12"/>
      <c r="CG1141" s="12"/>
      <c r="CI1141" s="12"/>
      <c r="CJ1141" s="12"/>
      <c r="CK1141" s="12"/>
      <c r="CL1141" s="12"/>
    </row>
    <row r="1142" spans="18:90" ht="24.95" customHeight="1">
      <c r="R1142" s="12"/>
      <c r="AF1142" s="12"/>
      <c r="AG1142" s="12"/>
      <c r="AH1142" s="12"/>
      <c r="AJ1142" s="12"/>
      <c r="AM1142" s="12"/>
      <c r="AX1142" s="12"/>
      <c r="AY1142" s="12"/>
      <c r="BA1142" s="12"/>
      <c r="BD1142" s="12"/>
      <c r="BI1142" s="12"/>
      <c r="CG1142" s="12"/>
      <c r="CI1142" s="12"/>
      <c r="CJ1142" s="12"/>
      <c r="CK1142" s="12"/>
      <c r="CL1142" s="12"/>
    </row>
    <row r="1143" spans="18:90" ht="24.95" customHeight="1">
      <c r="R1143" s="12"/>
      <c r="AF1143" s="12"/>
      <c r="AG1143" s="12"/>
      <c r="AH1143" s="12"/>
      <c r="AJ1143" s="12"/>
      <c r="AM1143" s="12"/>
      <c r="AX1143" s="12"/>
      <c r="AY1143" s="12"/>
      <c r="BA1143" s="12"/>
      <c r="BD1143" s="12"/>
      <c r="BI1143" s="12"/>
      <c r="CG1143" s="12"/>
      <c r="CI1143" s="12"/>
      <c r="CJ1143" s="12"/>
      <c r="CK1143" s="12"/>
      <c r="CL1143" s="12"/>
    </row>
    <row r="1144" spans="18:90" ht="24.95" customHeight="1">
      <c r="R1144" s="12"/>
      <c r="AF1144" s="12"/>
      <c r="AG1144" s="12"/>
      <c r="AH1144" s="12"/>
      <c r="AJ1144" s="12"/>
      <c r="AM1144" s="12"/>
      <c r="AX1144" s="12"/>
      <c r="AY1144" s="12"/>
      <c r="BA1144" s="12"/>
      <c r="BD1144" s="12"/>
      <c r="BI1144" s="12"/>
      <c r="CG1144" s="12"/>
      <c r="CI1144" s="12"/>
      <c r="CJ1144" s="12"/>
      <c r="CK1144" s="12"/>
      <c r="CL1144" s="12"/>
    </row>
    <row r="1145" spans="18:90" ht="24.95" customHeight="1">
      <c r="R1145" s="12"/>
      <c r="AF1145" s="12"/>
      <c r="AG1145" s="12"/>
      <c r="AH1145" s="12"/>
      <c r="AJ1145" s="12"/>
      <c r="AM1145" s="12"/>
      <c r="AX1145" s="12"/>
      <c r="AY1145" s="12"/>
      <c r="BA1145" s="12"/>
      <c r="BD1145" s="12"/>
      <c r="BI1145" s="12"/>
      <c r="CG1145" s="12"/>
      <c r="CI1145" s="12"/>
      <c r="CJ1145" s="12"/>
      <c r="CK1145" s="12"/>
      <c r="CL1145" s="12"/>
    </row>
    <row r="1146" spans="18:90" ht="24.95" customHeight="1">
      <c r="R1146" s="12"/>
      <c r="AF1146" s="12"/>
      <c r="AG1146" s="12"/>
      <c r="AH1146" s="12"/>
      <c r="AJ1146" s="12"/>
      <c r="AM1146" s="12"/>
      <c r="AX1146" s="12"/>
      <c r="AY1146" s="12"/>
      <c r="BA1146" s="12"/>
      <c r="BD1146" s="12"/>
      <c r="BI1146" s="12"/>
      <c r="CG1146" s="12"/>
      <c r="CI1146" s="12"/>
      <c r="CJ1146" s="12"/>
      <c r="CK1146" s="12"/>
      <c r="CL1146" s="12"/>
    </row>
    <row r="1147" spans="18:90" ht="24.95" customHeight="1">
      <c r="R1147" s="12"/>
      <c r="AF1147" s="12"/>
      <c r="AG1147" s="12"/>
      <c r="AH1147" s="12"/>
      <c r="AJ1147" s="12"/>
      <c r="AM1147" s="12"/>
      <c r="AX1147" s="12"/>
      <c r="AY1147" s="12"/>
      <c r="BA1147" s="12"/>
      <c r="BD1147" s="12"/>
      <c r="BI1147" s="12"/>
      <c r="CG1147" s="12"/>
      <c r="CI1147" s="12"/>
      <c r="CJ1147" s="12"/>
      <c r="CK1147" s="12"/>
      <c r="CL1147" s="12"/>
    </row>
    <row r="1148" spans="18:90" ht="24.95" customHeight="1">
      <c r="R1148" s="12"/>
      <c r="AF1148" s="12"/>
      <c r="AG1148" s="12"/>
      <c r="AH1148" s="12"/>
      <c r="AJ1148" s="12"/>
      <c r="AM1148" s="12"/>
      <c r="AX1148" s="12"/>
      <c r="AY1148" s="12"/>
      <c r="BA1148" s="12"/>
      <c r="BD1148" s="12"/>
      <c r="BI1148" s="12"/>
      <c r="CG1148" s="12"/>
      <c r="CI1148" s="12"/>
      <c r="CJ1148" s="12"/>
      <c r="CK1148" s="12"/>
      <c r="CL1148" s="12"/>
    </row>
    <row r="1149" spans="18:90" ht="24.95" customHeight="1">
      <c r="R1149" s="12"/>
      <c r="AF1149" s="12"/>
      <c r="AG1149" s="12"/>
      <c r="AH1149" s="12"/>
      <c r="AJ1149" s="12"/>
      <c r="AM1149" s="12"/>
      <c r="AX1149" s="12"/>
      <c r="AY1149" s="12"/>
      <c r="BA1149" s="12"/>
      <c r="BD1149" s="12"/>
      <c r="BI1149" s="12"/>
      <c r="CG1149" s="12"/>
      <c r="CI1149" s="12"/>
      <c r="CJ1149" s="12"/>
      <c r="CK1149" s="12"/>
      <c r="CL1149" s="12"/>
    </row>
    <row r="1150" spans="18:90" ht="24.95" customHeight="1">
      <c r="R1150" s="12"/>
      <c r="AF1150" s="12"/>
      <c r="AG1150" s="12"/>
      <c r="AH1150" s="12"/>
      <c r="AJ1150" s="12"/>
      <c r="AM1150" s="12"/>
      <c r="AX1150" s="12"/>
      <c r="AY1150" s="12"/>
      <c r="BA1150" s="12"/>
      <c r="BD1150" s="12"/>
      <c r="BI1150" s="12"/>
      <c r="CG1150" s="12"/>
      <c r="CI1150" s="12"/>
      <c r="CJ1150" s="12"/>
      <c r="CK1150" s="12"/>
      <c r="CL1150" s="12"/>
    </row>
    <row r="1151" spans="18:90" ht="24.95" customHeight="1">
      <c r="R1151" s="12"/>
      <c r="AF1151" s="12"/>
      <c r="AG1151" s="12"/>
      <c r="AH1151" s="12"/>
      <c r="AJ1151" s="12"/>
      <c r="AM1151" s="12"/>
      <c r="AX1151" s="12"/>
      <c r="AY1151" s="12"/>
      <c r="BA1151" s="12"/>
      <c r="BD1151" s="12"/>
      <c r="BI1151" s="12"/>
      <c r="CG1151" s="12"/>
      <c r="CI1151" s="12"/>
      <c r="CJ1151" s="12"/>
      <c r="CK1151" s="12"/>
      <c r="CL1151" s="12"/>
    </row>
    <row r="1152" spans="18:90" ht="24.95" customHeight="1">
      <c r="R1152" s="12"/>
      <c r="AF1152" s="12"/>
      <c r="AG1152" s="12"/>
      <c r="AH1152" s="12"/>
      <c r="AJ1152" s="12"/>
      <c r="AM1152" s="12"/>
      <c r="AX1152" s="12"/>
      <c r="AY1152" s="12"/>
      <c r="BA1152" s="12"/>
      <c r="BD1152" s="12"/>
      <c r="BI1152" s="12"/>
      <c r="CG1152" s="12"/>
      <c r="CI1152" s="12"/>
      <c r="CJ1152" s="12"/>
      <c r="CK1152" s="12"/>
      <c r="CL1152" s="12"/>
    </row>
    <row r="1153" spans="18:90" ht="24.95" customHeight="1">
      <c r="R1153" s="12"/>
      <c r="AF1153" s="12"/>
      <c r="AG1153" s="12"/>
      <c r="AH1153" s="12"/>
      <c r="AJ1153" s="12"/>
      <c r="AM1153" s="12"/>
      <c r="AX1153" s="12"/>
      <c r="AY1153" s="12"/>
      <c r="BA1153" s="12"/>
      <c r="BD1153" s="12"/>
      <c r="BI1153" s="12"/>
      <c r="CG1153" s="12"/>
      <c r="CI1153" s="12"/>
      <c r="CJ1153" s="12"/>
      <c r="CK1153" s="12"/>
      <c r="CL1153" s="12"/>
    </row>
    <row r="1154" spans="18:90" ht="24.95" customHeight="1">
      <c r="R1154" s="12"/>
      <c r="AF1154" s="12"/>
      <c r="AG1154" s="12"/>
      <c r="AH1154" s="12"/>
      <c r="AJ1154" s="12"/>
      <c r="AM1154" s="12"/>
      <c r="AX1154" s="12"/>
      <c r="AY1154" s="12"/>
      <c r="BA1154" s="12"/>
      <c r="BD1154" s="12"/>
      <c r="BI1154" s="12"/>
      <c r="CG1154" s="12"/>
      <c r="CI1154" s="12"/>
      <c r="CJ1154" s="12"/>
      <c r="CK1154" s="12"/>
      <c r="CL1154" s="12"/>
    </row>
    <row r="1155" spans="18:90" ht="24.95" customHeight="1">
      <c r="R1155" s="12"/>
      <c r="AF1155" s="12"/>
      <c r="AG1155" s="12"/>
      <c r="AH1155" s="12"/>
      <c r="AJ1155" s="12"/>
      <c r="AM1155" s="12"/>
      <c r="AX1155" s="12"/>
      <c r="AY1155" s="12"/>
      <c r="BA1155" s="12"/>
      <c r="BD1155" s="12"/>
      <c r="BI1155" s="12"/>
      <c r="CG1155" s="12"/>
      <c r="CI1155" s="12"/>
      <c r="CJ1155" s="12"/>
      <c r="CK1155" s="12"/>
      <c r="CL1155" s="12"/>
    </row>
    <row r="1156" spans="18:90" ht="24.95" customHeight="1">
      <c r="R1156" s="12"/>
      <c r="AF1156" s="12"/>
      <c r="AG1156" s="12"/>
      <c r="AH1156" s="12"/>
      <c r="AJ1156" s="12"/>
      <c r="AM1156" s="12"/>
      <c r="AX1156" s="12"/>
      <c r="AY1156" s="12"/>
      <c r="BA1156" s="12"/>
      <c r="BD1156" s="12"/>
      <c r="BI1156" s="12"/>
      <c r="CG1156" s="12"/>
      <c r="CI1156" s="12"/>
      <c r="CJ1156" s="12"/>
      <c r="CK1156" s="12"/>
      <c r="CL1156" s="12"/>
    </row>
    <row r="1157" spans="18:90" ht="24.95" customHeight="1">
      <c r="R1157" s="12"/>
      <c r="AF1157" s="12"/>
      <c r="AG1157" s="12"/>
      <c r="AH1157" s="12"/>
      <c r="AJ1157" s="12"/>
      <c r="AM1157" s="12"/>
      <c r="AX1157" s="12"/>
      <c r="AY1157" s="12"/>
      <c r="BA1157" s="12"/>
      <c r="BD1157" s="12"/>
      <c r="BI1157" s="12"/>
      <c r="CG1157" s="12"/>
      <c r="CI1157" s="12"/>
      <c r="CJ1157" s="12"/>
      <c r="CK1157" s="12"/>
      <c r="CL1157" s="12"/>
    </row>
    <row r="1158" spans="18:90" ht="24.95" customHeight="1">
      <c r="R1158" s="12"/>
      <c r="AF1158" s="12"/>
      <c r="AG1158" s="12"/>
      <c r="AH1158" s="12"/>
      <c r="AJ1158" s="12"/>
      <c r="AM1158" s="12"/>
      <c r="AX1158" s="12"/>
      <c r="AY1158" s="12"/>
      <c r="BA1158" s="12"/>
      <c r="BD1158" s="12"/>
      <c r="BI1158" s="12"/>
      <c r="CG1158" s="12"/>
      <c r="CI1158" s="12"/>
      <c r="CJ1158" s="12"/>
      <c r="CK1158" s="12"/>
      <c r="CL1158" s="12"/>
    </row>
    <row r="1159" spans="18:90" ht="24.95" customHeight="1">
      <c r="R1159" s="12"/>
      <c r="AF1159" s="12"/>
      <c r="AG1159" s="12"/>
      <c r="AH1159" s="12"/>
      <c r="AJ1159" s="12"/>
      <c r="AM1159" s="12"/>
      <c r="AX1159" s="12"/>
      <c r="AY1159" s="12"/>
      <c r="BA1159" s="12"/>
      <c r="BD1159" s="12"/>
      <c r="BI1159" s="12"/>
      <c r="CG1159" s="12"/>
      <c r="CI1159" s="12"/>
      <c r="CJ1159" s="12"/>
      <c r="CK1159" s="12"/>
      <c r="CL1159" s="12"/>
    </row>
    <row r="1160" spans="18:90" ht="24.95" customHeight="1">
      <c r="R1160" s="12"/>
      <c r="AF1160" s="12"/>
      <c r="AG1160" s="12"/>
      <c r="AH1160" s="12"/>
      <c r="AJ1160" s="12"/>
      <c r="AM1160" s="12"/>
      <c r="AX1160" s="12"/>
      <c r="AY1160" s="12"/>
      <c r="BA1160" s="12"/>
      <c r="BD1160" s="12"/>
      <c r="BI1160" s="12"/>
      <c r="CG1160" s="12"/>
      <c r="CI1160" s="12"/>
      <c r="CJ1160" s="12"/>
      <c r="CK1160" s="12"/>
      <c r="CL1160" s="12"/>
    </row>
    <row r="1161" spans="18:90" ht="24.95" customHeight="1">
      <c r="R1161" s="12"/>
      <c r="AF1161" s="12"/>
      <c r="AG1161" s="12"/>
      <c r="AH1161" s="12"/>
      <c r="AJ1161" s="12"/>
      <c r="AM1161" s="12"/>
      <c r="AX1161" s="12"/>
      <c r="AY1161" s="12"/>
      <c r="BA1161" s="12"/>
      <c r="BD1161" s="12"/>
      <c r="BI1161" s="12"/>
      <c r="CG1161" s="12"/>
      <c r="CI1161" s="12"/>
      <c r="CJ1161" s="12"/>
      <c r="CK1161" s="12"/>
      <c r="CL1161" s="12"/>
    </row>
    <row r="1162" spans="18:90" ht="24.95" customHeight="1">
      <c r="R1162" s="12"/>
      <c r="AF1162" s="12"/>
      <c r="AG1162" s="12"/>
      <c r="AH1162" s="12"/>
      <c r="AJ1162" s="12"/>
      <c r="AM1162" s="12"/>
      <c r="AX1162" s="12"/>
      <c r="AY1162" s="12"/>
      <c r="BA1162" s="12"/>
      <c r="BD1162" s="12"/>
      <c r="BI1162" s="12"/>
      <c r="CG1162" s="12"/>
      <c r="CI1162" s="12"/>
      <c r="CJ1162" s="12"/>
      <c r="CK1162" s="12"/>
      <c r="CL1162" s="12"/>
    </row>
    <row r="1163" spans="18:90" ht="24.95" customHeight="1">
      <c r="R1163" s="12"/>
      <c r="AF1163" s="12"/>
      <c r="AG1163" s="12"/>
      <c r="AH1163" s="12"/>
      <c r="AJ1163" s="12"/>
      <c r="AM1163" s="12"/>
      <c r="AX1163" s="12"/>
      <c r="AY1163" s="12"/>
      <c r="BA1163" s="12"/>
      <c r="BD1163" s="12"/>
      <c r="BI1163" s="12"/>
      <c r="CG1163" s="12"/>
      <c r="CI1163" s="12"/>
      <c r="CJ1163" s="12"/>
      <c r="CK1163" s="12"/>
      <c r="CL1163" s="12"/>
    </row>
    <row r="1164" spans="18:90" ht="24.95" customHeight="1">
      <c r="R1164" s="12"/>
      <c r="AF1164" s="12"/>
      <c r="AG1164" s="12"/>
      <c r="AH1164" s="12"/>
      <c r="AJ1164" s="12"/>
      <c r="AM1164" s="12"/>
      <c r="AX1164" s="12"/>
      <c r="AY1164" s="12"/>
      <c r="BA1164" s="12"/>
      <c r="BD1164" s="12"/>
      <c r="BI1164" s="12"/>
      <c r="CG1164" s="12"/>
      <c r="CI1164" s="12"/>
      <c r="CJ1164" s="12"/>
      <c r="CK1164" s="12"/>
      <c r="CL1164" s="12"/>
    </row>
    <row r="1165" spans="18:90" ht="24.95" customHeight="1">
      <c r="R1165" s="12"/>
      <c r="AF1165" s="12"/>
      <c r="AG1165" s="12"/>
      <c r="AH1165" s="12"/>
      <c r="AJ1165" s="12"/>
      <c r="AM1165" s="12"/>
      <c r="AX1165" s="12"/>
      <c r="AY1165" s="12"/>
      <c r="BA1165" s="12"/>
      <c r="BD1165" s="12"/>
      <c r="BI1165" s="12"/>
      <c r="CG1165" s="12"/>
      <c r="CI1165" s="12"/>
      <c r="CJ1165" s="12"/>
      <c r="CK1165" s="12"/>
      <c r="CL1165" s="12"/>
    </row>
    <row r="1166" spans="18:90" ht="24.95" customHeight="1">
      <c r="R1166" s="12"/>
      <c r="AF1166" s="12"/>
      <c r="AG1166" s="12"/>
      <c r="AH1166" s="12"/>
      <c r="AJ1166" s="12"/>
      <c r="AM1166" s="12"/>
      <c r="AX1166" s="12"/>
      <c r="AY1166" s="12"/>
      <c r="BA1166" s="12"/>
      <c r="BD1166" s="12"/>
      <c r="BI1166" s="12"/>
      <c r="CG1166" s="12"/>
      <c r="CI1166" s="12"/>
      <c r="CJ1166" s="12"/>
      <c r="CK1166" s="12"/>
      <c r="CL1166" s="12"/>
    </row>
    <row r="1167" spans="18:90" ht="24.95" customHeight="1">
      <c r="R1167" s="12"/>
      <c r="AF1167" s="12"/>
      <c r="AG1167" s="12"/>
      <c r="AH1167" s="12"/>
      <c r="AJ1167" s="12"/>
      <c r="AM1167" s="12"/>
      <c r="AX1167" s="12"/>
      <c r="AY1167" s="12"/>
      <c r="BA1167" s="12"/>
      <c r="BD1167" s="12"/>
      <c r="BI1167" s="12"/>
      <c r="CG1167" s="12"/>
      <c r="CI1167" s="12"/>
      <c r="CJ1167" s="12"/>
      <c r="CK1167" s="12"/>
      <c r="CL1167" s="12"/>
    </row>
    <row r="1168" spans="18:90" ht="24.95" customHeight="1">
      <c r="R1168" s="12"/>
      <c r="AF1168" s="12"/>
      <c r="AG1168" s="12"/>
      <c r="AH1168" s="12"/>
      <c r="AJ1168" s="12"/>
      <c r="AM1168" s="12"/>
      <c r="AX1168" s="12"/>
      <c r="AY1168" s="12"/>
      <c r="BA1168" s="12"/>
      <c r="BD1168" s="12"/>
      <c r="BI1168" s="12"/>
      <c r="CG1168" s="12"/>
      <c r="CI1168" s="12"/>
      <c r="CJ1168" s="12"/>
      <c r="CK1168" s="12"/>
      <c r="CL1168" s="12"/>
    </row>
    <row r="1169" spans="18:90" ht="24.95" customHeight="1">
      <c r="R1169" s="12"/>
      <c r="AF1169" s="12"/>
      <c r="AG1169" s="12"/>
      <c r="AH1169" s="12"/>
      <c r="AJ1169" s="12"/>
      <c r="AM1169" s="12"/>
      <c r="AX1169" s="12"/>
      <c r="AY1169" s="12"/>
      <c r="BA1169" s="12"/>
      <c r="BD1169" s="12"/>
      <c r="BI1169" s="12"/>
      <c r="CG1169" s="12"/>
      <c r="CI1169" s="12"/>
      <c r="CJ1169" s="12"/>
      <c r="CK1169" s="12"/>
      <c r="CL1169" s="12"/>
    </row>
    <row r="1170" spans="18:90" ht="24.95" customHeight="1">
      <c r="R1170" s="12"/>
      <c r="AF1170" s="12"/>
      <c r="AG1170" s="12"/>
      <c r="AH1170" s="12"/>
      <c r="AJ1170" s="12"/>
      <c r="AM1170" s="12"/>
      <c r="AX1170" s="12"/>
      <c r="AY1170" s="12"/>
      <c r="BA1170" s="12"/>
      <c r="BD1170" s="12"/>
      <c r="BI1170" s="12"/>
      <c r="CG1170" s="12"/>
      <c r="CI1170" s="12"/>
      <c r="CJ1170" s="12"/>
      <c r="CK1170" s="12"/>
      <c r="CL1170" s="12"/>
    </row>
    <row r="1171" spans="18:90" ht="24.95" customHeight="1">
      <c r="R1171" s="12"/>
      <c r="AF1171" s="12"/>
      <c r="AG1171" s="12"/>
      <c r="AH1171" s="12"/>
      <c r="AJ1171" s="12"/>
      <c r="AM1171" s="12"/>
      <c r="AX1171" s="12"/>
      <c r="AY1171" s="12"/>
      <c r="BA1171" s="12"/>
      <c r="BD1171" s="12"/>
      <c r="BI1171" s="12"/>
      <c r="CG1171" s="12"/>
      <c r="CI1171" s="12"/>
      <c r="CJ1171" s="12"/>
      <c r="CK1171" s="12"/>
      <c r="CL1171" s="12"/>
    </row>
    <row r="1172" spans="18:90" ht="24.95" customHeight="1">
      <c r="R1172" s="12"/>
      <c r="AF1172" s="12"/>
      <c r="AG1172" s="12"/>
      <c r="AH1172" s="12"/>
      <c r="AJ1172" s="12"/>
      <c r="AM1172" s="12"/>
      <c r="AX1172" s="12"/>
      <c r="AY1172" s="12"/>
      <c r="BA1172" s="12"/>
      <c r="BD1172" s="12"/>
      <c r="BI1172" s="12"/>
      <c r="CG1172" s="12"/>
      <c r="CI1172" s="12"/>
      <c r="CJ1172" s="12"/>
      <c r="CK1172" s="12"/>
      <c r="CL1172" s="12"/>
    </row>
    <row r="1173" spans="18:90" ht="24.95" customHeight="1">
      <c r="R1173" s="12"/>
      <c r="AF1173" s="12"/>
      <c r="AG1173" s="12"/>
      <c r="AH1173" s="12"/>
      <c r="AJ1173" s="12"/>
      <c r="AM1173" s="12"/>
      <c r="AX1173" s="12"/>
      <c r="AY1173" s="12"/>
      <c r="BA1173" s="12"/>
      <c r="BD1173" s="12"/>
      <c r="BI1173" s="12"/>
      <c r="CG1173" s="12"/>
      <c r="CI1173" s="12"/>
      <c r="CJ1173" s="12"/>
      <c r="CK1173" s="12"/>
      <c r="CL1173" s="12"/>
    </row>
    <row r="1174" spans="18:90" ht="24.95" customHeight="1">
      <c r="R1174" s="12"/>
      <c r="AF1174" s="12"/>
      <c r="AG1174" s="12"/>
      <c r="AH1174" s="12"/>
      <c r="AJ1174" s="12"/>
      <c r="AM1174" s="12"/>
      <c r="AX1174" s="12"/>
      <c r="AY1174" s="12"/>
      <c r="BA1174" s="12"/>
      <c r="BD1174" s="12"/>
      <c r="BI1174" s="12"/>
      <c r="CG1174" s="12"/>
      <c r="CI1174" s="12"/>
      <c r="CJ1174" s="12"/>
      <c r="CK1174" s="12"/>
      <c r="CL1174" s="12"/>
    </row>
    <row r="1175" spans="18:90" ht="24.95" customHeight="1">
      <c r="R1175" s="12"/>
      <c r="AF1175" s="12"/>
      <c r="AG1175" s="12"/>
      <c r="AH1175" s="12"/>
      <c r="AJ1175" s="12"/>
      <c r="AM1175" s="12"/>
      <c r="AX1175" s="12"/>
      <c r="AY1175" s="12"/>
      <c r="BA1175" s="12"/>
      <c r="BD1175" s="12"/>
      <c r="BI1175" s="12"/>
      <c r="CG1175" s="12"/>
      <c r="CI1175" s="12"/>
      <c r="CJ1175" s="12"/>
      <c r="CK1175" s="12"/>
      <c r="CL1175" s="12"/>
    </row>
    <row r="1176" spans="18:90" ht="24.95" customHeight="1">
      <c r="R1176" s="12"/>
      <c r="AF1176" s="12"/>
      <c r="AG1176" s="12"/>
      <c r="AH1176" s="12"/>
      <c r="AJ1176" s="12"/>
      <c r="AM1176" s="12"/>
      <c r="AX1176" s="12"/>
      <c r="AY1176" s="12"/>
      <c r="BA1176" s="12"/>
      <c r="BD1176" s="12"/>
      <c r="BI1176" s="12"/>
      <c r="CG1176" s="12"/>
      <c r="CI1176" s="12"/>
      <c r="CJ1176" s="12"/>
      <c r="CK1176" s="12"/>
      <c r="CL1176" s="12"/>
    </row>
    <row r="1177" spans="18:90" ht="24.95" customHeight="1">
      <c r="R1177" s="12"/>
      <c r="AF1177" s="12"/>
      <c r="AG1177" s="12"/>
      <c r="AH1177" s="12"/>
      <c r="AJ1177" s="12"/>
      <c r="AM1177" s="12"/>
      <c r="AX1177" s="12"/>
      <c r="AY1177" s="12"/>
      <c r="BA1177" s="12"/>
      <c r="BD1177" s="12"/>
      <c r="BI1177" s="12"/>
      <c r="CG1177" s="12"/>
      <c r="CI1177" s="12"/>
      <c r="CJ1177" s="12"/>
      <c r="CK1177" s="12"/>
      <c r="CL1177" s="12"/>
    </row>
    <row r="1178" spans="18:90" ht="24.95" customHeight="1">
      <c r="R1178" s="12"/>
      <c r="AF1178" s="12"/>
      <c r="AG1178" s="12"/>
      <c r="AH1178" s="12"/>
      <c r="AJ1178" s="12"/>
      <c r="AM1178" s="12"/>
      <c r="AX1178" s="12"/>
      <c r="AY1178" s="12"/>
      <c r="BA1178" s="12"/>
      <c r="BD1178" s="12"/>
      <c r="BI1178" s="12"/>
      <c r="CG1178" s="12"/>
      <c r="CI1178" s="12"/>
      <c r="CJ1178" s="12"/>
      <c r="CK1178" s="12"/>
      <c r="CL1178" s="12"/>
    </row>
    <row r="1179" spans="18:90" ht="24.95" customHeight="1">
      <c r="R1179" s="12"/>
      <c r="AF1179" s="12"/>
      <c r="AG1179" s="12"/>
      <c r="AH1179" s="12"/>
      <c r="AJ1179" s="12"/>
      <c r="AM1179" s="12"/>
      <c r="AX1179" s="12"/>
      <c r="AY1179" s="12"/>
      <c r="BA1179" s="12"/>
      <c r="BD1179" s="12"/>
      <c r="BI1179" s="12"/>
      <c r="CG1179" s="12"/>
      <c r="CI1179" s="12"/>
      <c r="CJ1179" s="12"/>
      <c r="CK1179" s="12"/>
      <c r="CL1179" s="12"/>
    </row>
    <row r="1180" spans="18:90" ht="24.95" customHeight="1">
      <c r="R1180" s="12"/>
      <c r="AF1180" s="12"/>
      <c r="AG1180" s="12"/>
      <c r="AH1180" s="12"/>
      <c r="AJ1180" s="12"/>
      <c r="AM1180" s="12"/>
      <c r="AX1180" s="12"/>
      <c r="AY1180" s="12"/>
      <c r="BA1180" s="12"/>
      <c r="BD1180" s="12"/>
      <c r="BI1180" s="12"/>
      <c r="CG1180" s="12"/>
      <c r="CI1180" s="12"/>
      <c r="CJ1180" s="12"/>
      <c r="CK1180" s="12"/>
      <c r="CL1180" s="12"/>
    </row>
    <row r="1181" spans="18:90" ht="24.95" customHeight="1">
      <c r="R1181" s="12"/>
      <c r="AF1181" s="12"/>
      <c r="AG1181" s="12"/>
      <c r="AH1181" s="12"/>
      <c r="AJ1181" s="12"/>
      <c r="AM1181" s="12"/>
      <c r="AX1181" s="12"/>
      <c r="AY1181" s="12"/>
      <c r="BA1181" s="12"/>
      <c r="BD1181" s="12"/>
      <c r="BI1181" s="12"/>
      <c r="CG1181" s="12"/>
      <c r="CI1181" s="12"/>
      <c r="CJ1181" s="12"/>
      <c r="CK1181" s="12"/>
      <c r="CL1181" s="12"/>
    </row>
    <row r="1182" spans="18:90" ht="24.95" customHeight="1">
      <c r="R1182" s="12"/>
      <c r="AF1182" s="12"/>
      <c r="AG1182" s="12"/>
      <c r="AH1182" s="12"/>
      <c r="AJ1182" s="12"/>
      <c r="AM1182" s="12"/>
      <c r="AX1182" s="12"/>
      <c r="AY1182" s="12"/>
      <c r="BA1182" s="12"/>
      <c r="BD1182" s="12"/>
      <c r="BI1182" s="12"/>
      <c r="CG1182" s="12"/>
      <c r="CI1182" s="12"/>
      <c r="CJ1182" s="12"/>
      <c r="CK1182" s="12"/>
      <c r="CL1182" s="12"/>
    </row>
    <row r="1183" spans="18:90" ht="24.95" customHeight="1">
      <c r="R1183" s="12"/>
      <c r="AF1183" s="12"/>
      <c r="AG1183" s="12"/>
      <c r="AH1183" s="12"/>
      <c r="AJ1183" s="12"/>
      <c r="AM1183" s="12"/>
      <c r="AX1183" s="12"/>
      <c r="AY1183" s="12"/>
      <c r="BA1183" s="12"/>
      <c r="BD1183" s="12"/>
      <c r="BI1183" s="12"/>
      <c r="CG1183" s="12"/>
      <c r="CI1183" s="12"/>
      <c r="CJ1183" s="12"/>
      <c r="CK1183" s="12"/>
      <c r="CL1183" s="12"/>
    </row>
    <row r="1184" spans="18:90" ht="24.95" customHeight="1">
      <c r="R1184" s="12"/>
      <c r="AF1184" s="12"/>
      <c r="AG1184" s="12"/>
      <c r="AH1184" s="12"/>
      <c r="AJ1184" s="12"/>
      <c r="AM1184" s="12"/>
      <c r="AX1184" s="12"/>
      <c r="AY1184" s="12"/>
      <c r="BA1184" s="12"/>
      <c r="BD1184" s="12"/>
      <c r="BI1184" s="12"/>
      <c r="CG1184" s="12"/>
      <c r="CI1184" s="12"/>
      <c r="CJ1184" s="12"/>
      <c r="CK1184" s="12"/>
      <c r="CL1184" s="12"/>
    </row>
    <row r="1185" spans="18:90" ht="24.95" customHeight="1">
      <c r="R1185" s="12"/>
      <c r="AF1185" s="12"/>
      <c r="AG1185" s="12"/>
      <c r="AH1185" s="12"/>
      <c r="AJ1185" s="12"/>
      <c r="AM1185" s="12"/>
      <c r="AX1185" s="12"/>
      <c r="AY1185" s="12"/>
      <c r="BA1185" s="12"/>
      <c r="BD1185" s="12"/>
      <c r="BI1185" s="12"/>
      <c r="CG1185" s="12"/>
      <c r="CI1185" s="12"/>
      <c r="CJ1185" s="12"/>
      <c r="CK1185" s="12"/>
      <c r="CL1185" s="12"/>
    </row>
    <row r="1186" spans="18:90" ht="24.95" customHeight="1">
      <c r="R1186" s="12"/>
      <c r="AF1186" s="12"/>
      <c r="AG1186" s="12"/>
      <c r="AH1186" s="12"/>
      <c r="AJ1186" s="12"/>
      <c r="AM1186" s="12"/>
      <c r="AX1186" s="12"/>
      <c r="AY1186" s="12"/>
      <c r="BA1186" s="12"/>
      <c r="BD1186" s="12"/>
      <c r="BI1186" s="12"/>
      <c r="CG1186" s="12"/>
      <c r="CI1186" s="12"/>
      <c r="CJ1186" s="12"/>
      <c r="CK1186" s="12"/>
      <c r="CL1186" s="12"/>
    </row>
    <row r="1187" spans="18:90" ht="24.95" customHeight="1">
      <c r="R1187" s="12"/>
      <c r="AF1187" s="12"/>
      <c r="AG1187" s="12"/>
      <c r="AH1187" s="12"/>
      <c r="AJ1187" s="12"/>
      <c r="AM1187" s="12"/>
      <c r="AX1187" s="12"/>
      <c r="AY1187" s="12"/>
      <c r="BA1187" s="12"/>
      <c r="BD1187" s="12"/>
      <c r="BI1187" s="12"/>
      <c r="CG1187" s="12"/>
      <c r="CI1187" s="12"/>
      <c r="CJ1187" s="12"/>
      <c r="CK1187" s="12"/>
      <c r="CL1187" s="12"/>
    </row>
    <row r="1188" spans="18:90" ht="24.95" customHeight="1">
      <c r="R1188" s="12"/>
      <c r="AF1188" s="12"/>
      <c r="AG1188" s="12"/>
      <c r="AH1188" s="12"/>
      <c r="AJ1188" s="12"/>
      <c r="AM1188" s="12"/>
      <c r="AX1188" s="12"/>
      <c r="AY1188" s="12"/>
      <c r="BA1188" s="12"/>
      <c r="BD1188" s="12"/>
      <c r="BI1188" s="12"/>
      <c r="CG1188" s="12"/>
      <c r="CI1188" s="12"/>
      <c r="CJ1188" s="12"/>
      <c r="CK1188" s="12"/>
      <c r="CL1188" s="12"/>
    </row>
    <row r="1189" spans="18:90" ht="24.95" customHeight="1">
      <c r="R1189" s="12"/>
      <c r="AF1189" s="12"/>
      <c r="AG1189" s="12"/>
      <c r="AH1189" s="12"/>
      <c r="AJ1189" s="12"/>
      <c r="AM1189" s="12"/>
      <c r="AX1189" s="12"/>
      <c r="AY1189" s="12"/>
      <c r="BA1189" s="12"/>
      <c r="BD1189" s="12"/>
      <c r="BI1189" s="12"/>
      <c r="CG1189" s="12"/>
      <c r="CI1189" s="12"/>
      <c r="CJ1189" s="12"/>
      <c r="CK1189" s="12"/>
      <c r="CL1189" s="12"/>
    </row>
    <row r="1190" spans="18:90" ht="24.95" customHeight="1">
      <c r="R1190" s="12"/>
      <c r="AF1190" s="12"/>
      <c r="AG1190" s="12"/>
      <c r="AH1190" s="12"/>
      <c r="AJ1190" s="12"/>
      <c r="AM1190" s="12"/>
      <c r="AX1190" s="12"/>
      <c r="AY1190" s="12"/>
      <c r="BA1190" s="12"/>
      <c r="BD1190" s="12"/>
      <c r="BI1190" s="12"/>
      <c r="CG1190" s="12"/>
      <c r="CI1190" s="12"/>
      <c r="CJ1190" s="12"/>
      <c r="CK1190" s="12"/>
      <c r="CL1190" s="12"/>
    </row>
    <row r="1191" spans="18:90" ht="24.95" customHeight="1">
      <c r="R1191" s="12"/>
      <c r="AF1191" s="12"/>
      <c r="AG1191" s="12"/>
      <c r="AH1191" s="12"/>
      <c r="AJ1191" s="12"/>
      <c r="AM1191" s="12"/>
      <c r="AX1191" s="12"/>
      <c r="AY1191" s="12"/>
      <c r="BA1191" s="12"/>
      <c r="BD1191" s="12"/>
      <c r="BI1191" s="12"/>
      <c r="CG1191" s="12"/>
      <c r="CI1191" s="12"/>
      <c r="CJ1191" s="12"/>
      <c r="CK1191" s="12"/>
      <c r="CL1191" s="12"/>
    </row>
    <row r="1192" spans="18:90" ht="24.95" customHeight="1">
      <c r="R1192" s="12"/>
      <c r="AF1192" s="12"/>
      <c r="AG1192" s="12"/>
      <c r="AH1192" s="12"/>
      <c r="AJ1192" s="12"/>
      <c r="AM1192" s="12"/>
      <c r="AX1192" s="12"/>
      <c r="AY1192" s="12"/>
      <c r="BA1192" s="12"/>
      <c r="BD1192" s="12"/>
      <c r="BI1192" s="12"/>
      <c r="CG1192" s="12"/>
      <c r="CI1192" s="12"/>
      <c r="CJ1192" s="12"/>
      <c r="CK1192" s="12"/>
      <c r="CL1192" s="12"/>
    </row>
    <row r="1193" spans="18:90" ht="24.95" customHeight="1">
      <c r="R1193" s="12"/>
      <c r="AF1193" s="12"/>
      <c r="AG1193" s="12"/>
      <c r="AH1193" s="12"/>
      <c r="AJ1193" s="12"/>
      <c r="AM1193" s="12"/>
      <c r="AX1193" s="12"/>
      <c r="AY1193" s="12"/>
      <c r="BA1193" s="12"/>
      <c r="BD1193" s="12"/>
      <c r="BI1193" s="12"/>
      <c r="CG1193" s="12"/>
      <c r="CI1193" s="12"/>
      <c r="CJ1193" s="12"/>
      <c r="CK1193" s="12"/>
      <c r="CL1193" s="12"/>
    </row>
    <row r="1194" spans="18:90" ht="24.95" customHeight="1">
      <c r="R1194" s="12"/>
      <c r="AF1194" s="12"/>
      <c r="AG1194" s="12"/>
      <c r="AH1194" s="12"/>
      <c r="AJ1194" s="12"/>
      <c r="AM1194" s="12"/>
      <c r="AX1194" s="12"/>
      <c r="AY1194" s="12"/>
      <c r="BA1194" s="12"/>
      <c r="BD1194" s="12"/>
      <c r="BI1194" s="12"/>
      <c r="CG1194" s="12"/>
      <c r="CI1194" s="12"/>
      <c r="CJ1194" s="12"/>
      <c r="CK1194" s="12"/>
      <c r="CL1194" s="12"/>
    </row>
    <row r="1195" spans="18:90" ht="24.95" customHeight="1">
      <c r="R1195" s="12"/>
      <c r="AF1195" s="12"/>
      <c r="AG1195" s="12"/>
      <c r="AH1195" s="12"/>
      <c r="AJ1195" s="12"/>
      <c r="AM1195" s="12"/>
      <c r="AX1195" s="12"/>
      <c r="AY1195" s="12"/>
      <c r="BA1195" s="12"/>
      <c r="BD1195" s="12"/>
      <c r="BI1195" s="12"/>
      <c r="CG1195" s="12"/>
      <c r="CI1195" s="12"/>
      <c r="CJ1195" s="12"/>
      <c r="CK1195" s="12"/>
      <c r="CL1195" s="12"/>
    </row>
    <row r="1196" spans="18:90" ht="24.95" customHeight="1">
      <c r="R1196" s="12"/>
      <c r="AF1196" s="12"/>
      <c r="AG1196" s="12"/>
      <c r="AH1196" s="12"/>
      <c r="AJ1196" s="12"/>
      <c r="AM1196" s="12"/>
      <c r="AX1196" s="12"/>
      <c r="AY1196" s="12"/>
      <c r="BA1196" s="12"/>
      <c r="BD1196" s="12"/>
      <c r="BI1196" s="12"/>
      <c r="CG1196" s="12"/>
      <c r="CI1196" s="12"/>
      <c r="CJ1196" s="12"/>
      <c r="CK1196" s="12"/>
      <c r="CL1196" s="12"/>
    </row>
    <row r="1197" spans="18:90" ht="24.95" customHeight="1">
      <c r="R1197" s="12"/>
      <c r="AF1197" s="12"/>
      <c r="AG1197" s="12"/>
      <c r="AH1197" s="12"/>
      <c r="AJ1197" s="12"/>
      <c r="AM1197" s="12"/>
      <c r="AX1197" s="12"/>
      <c r="AY1197" s="12"/>
      <c r="BA1197" s="12"/>
      <c r="BD1197" s="12"/>
      <c r="BI1197" s="12"/>
      <c r="CG1197" s="12"/>
      <c r="CI1197" s="12"/>
      <c r="CJ1197" s="12"/>
      <c r="CK1197" s="12"/>
      <c r="CL1197" s="12"/>
    </row>
    <row r="1198" spans="18:90" ht="24.95" customHeight="1">
      <c r="R1198" s="12"/>
      <c r="AF1198" s="12"/>
      <c r="AG1198" s="12"/>
      <c r="AH1198" s="12"/>
      <c r="AJ1198" s="12"/>
      <c r="AM1198" s="12"/>
      <c r="AX1198" s="12"/>
      <c r="AY1198" s="12"/>
      <c r="BA1198" s="12"/>
      <c r="BD1198" s="12"/>
      <c r="BI1198" s="12"/>
      <c r="CG1198" s="12"/>
      <c r="CI1198" s="12"/>
      <c r="CJ1198" s="12"/>
      <c r="CK1198" s="12"/>
      <c r="CL1198" s="12"/>
    </row>
    <row r="1199" spans="18:90" ht="24.95" customHeight="1">
      <c r="R1199" s="12"/>
      <c r="AF1199" s="12"/>
      <c r="AG1199" s="12"/>
      <c r="AH1199" s="12"/>
      <c r="AJ1199" s="12"/>
      <c r="AM1199" s="12"/>
      <c r="AX1199" s="12"/>
      <c r="AY1199" s="12"/>
      <c r="BA1199" s="12"/>
      <c r="BD1199" s="12"/>
      <c r="BI1199" s="12"/>
      <c r="CG1199" s="12"/>
      <c r="CI1199" s="12"/>
      <c r="CJ1199" s="12"/>
      <c r="CK1199" s="12"/>
      <c r="CL1199" s="12"/>
    </row>
    <row r="1200" spans="18:90" ht="24.95" customHeight="1">
      <c r="R1200" s="12"/>
      <c r="AF1200" s="12"/>
      <c r="AG1200" s="12"/>
      <c r="AH1200" s="12"/>
      <c r="AJ1200" s="12"/>
      <c r="AM1200" s="12"/>
      <c r="AX1200" s="12"/>
      <c r="AY1200" s="12"/>
      <c r="BA1200" s="12"/>
      <c r="BD1200" s="12"/>
      <c r="BI1200" s="12"/>
      <c r="CG1200" s="12"/>
      <c r="CI1200" s="12"/>
      <c r="CJ1200" s="12"/>
      <c r="CK1200" s="12"/>
      <c r="CL1200" s="12"/>
    </row>
    <row r="1201" spans="16:90" ht="24.95" customHeight="1">
      <c r="R1201" s="12"/>
      <c r="AF1201" s="12"/>
      <c r="AG1201" s="12"/>
      <c r="AH1201" s="12"/>
      <c r="AJ1201" s="12"/>
      <c r="AM1201" s="12"/>
      <c r="AX1201" s="12"/>
      <c r="AY1201" s="12"/>
      <c r="BA1201" s="12"/>
      <c r="BD1201" s="12"/>
      <c r="BI1201" s="12"/>
      <c r="CG1201" s="12"/>
      <c r="CI1201" s="12"/>
      <c r="CJ1201" s="12"/>
      <c r="CK1201" s="12"/>
      <c r="CL1201" s="12"/>
    </row>
    <row r="1202" spans="16:90" ht="24.95" customHeight="1">
      <c r="R1202" s="12"/>
      <c r="AF1202" s="12"/>
      <c r="AG1202" s="12"/>
      <c r="AH1202" s="12"/>
      <c r="AJ1202" s="12"/>
      <c r="AM1202" s="12"/>
      <c r="AX1202" s="12"/>
      <c r="AY1202" s="12"/>
      <c r="BA1202" s="12"/>
      <c r="BD1202" s="12"/>
      <c r="BI1202" s="12"/>
      <c r="CG1202" s="12"/>
      <c r="CI1202" s="12"/>
      <c r="CJ1202" s="12"/>
      <c r="CK1202" s="12"/>
      <c r="CL1202" s="12"/>
    </row>
    <row r="1203" spans="16:90" ht="24.95" customHeight="1">
      <c r="R1203" s="12"/>
      <c r="AF1203" s="12"/>
      <c r="AG1203" s="12"/>
      <c r="AH1203" s="12"/>
      <c r="AJ1203" s="12"/>
      <c r="AM1203" s="12"/>
      <c r="AX1203" s="12"/>
      <c r="AY1203" s="12"/>
      <c r="BA1203" s="12"/>
      <c r="BD1203" s="12"/>
      <c r="BI1203" s="12"/>
      <c r="CG1203" s="12"/>
      <c r="CI1203" s="12"/>
      <c r="CJ1203" s="12"/>
      <c r="CK1203" s="12"/>
      <c r="CL1203" s="12"/>
    </row>
    <row r="1204" spans="16:90" ht="24.95" customHeight="1">
      <c r="R1204" s="12"/>
      <c r="AF1204" s="12"/>
      <c r="AG1204" s="12"/>
      <c r="AH1204" s="12"/>
      <c r="AJ1204" s="12"/>
      <c r="AM1204" s="12"/>
      <c r="AX1204" s="12"/>
      <c r="AY1204" s="12"/>
      <c r="BA1204" s="12"/>
      <c r="BD1204" s="12"/>
      <c r="BI1204" s="12"/>
      <c r="CG1204" s="12"/>
      <c r="CI1204" s="12"/>
      <c r="CJ1204" s="12"/>
      <c r="CK1204" s="12"/>
      <c r="CL1204" s="12"/>
    </row>
    <row r="1205" spans="16:90" ht="24.95" customHeight="1">
      <c r="R1205" s="12"/>
      <c r="AF1205" s="12"/>
      <c r="AG1205" s="12"/>
      <c r="AH1205" s="12"/>
      <c r="AJ1205" s="12"/>
      <c r="AM1205" s="12"/>
      <c r="AX1205" s="12"/>
      <c r="AY1205" s="12"/>
      <c r="BA1205" s="12"/>
      <c r="BD1205" s="12"/>
      <c r="BI1205" s="12"/>
      <c r="CG1205" s="12"/>
      <c r="CI1205" s="12"/>
      <c r="CJ1205" s="12"/>
      <c r="CK1205" s="12"/>
      <c r="CL1205" s="12"/>
    </row>
    <row r="1206" spans="16:90" ht="24.95" customHeight="1">
      <c r="R1206" s="12"/>
      <c r="AF1206" s="12"/>
      <c r="AG1206" s="12"/>
      <c r="AH1206" s="12"/>
      <c r="AJ1206" s="12"/>
      <c r="AM1206" s="12"/>
      <c r="AX1206" s="12"/>
      <c r="AY1206" s="12"/>
      <c r="BA1206" s="12"/>
      <c r="BD1206" s="12"/>
      <c r="BI1206" s="12"/>
      <c r="CG1206" s="12"/>
      <c r="CI1206" s="12"/>
      <c r="CJ1206" s="12"/>
      <c r="CK1206" s="12"/>
      <c r="CL1206" s="12"/>
    </row>
    <row r="1207" spans="16:90" ht="24.95" customHeight="1">
      <c r="R1207" s="12"/>
      <c r="AF1207" s="12"/>
      <c r="AG1207" s="12"/>
      <c r="AH1207" s="12"/>
      <c r="AJ1207" s="12"/>
      <c r="AM1207" s="12"/>
      <c r="AX1207" s="12"/>
      <c r="AY1207" s="12"/>
      <c r="BA1207" s="12"/>
      <c r="BD1207" s="12"/>
      <c r="BI1207" s="12"/>
      <c r="CG1207" s="12"/>
      <c r="CI1207" s="12"/>
      <c r="CJ1207" s="12"/>
      <c r="CK1207" s="12"/>
      <c r="CL1207" s="12"/>
    </row>
    <row r="1208" spans="16:90" ht="24.95" customHeight="1">
      <c r="R1208" s="12"/>
      <c r="AF1208" s="12"/>
      <c r="AG1208" s="12"/>
      <c r="AH1208" s="12"/>
      <c r="AJ1208" s="12"/>
      <c r="AM1208" s="12"/>
      <c r="AX1208" s="12"/>
      <c r="AY1208" s="12"/>
      <c r="BA1208" s="12"/>
      <c r="BD1208" s="12"/>
      <c r="BI1208" s="12"/>
      <c r="CG1208" s="12"/>
      <c r="CI1208" s="12"/>
      <c r="CJ1208" s="12"/>
      <c r="CK1208" s="12"/>
      <c r="CL1208" s="12"/>
    </row>
    <row r="1209" spans="16:90" ht="24.95" customHeight="1">
      <c r="R1209" s="12"/>
      <c r="AF1209" s="12"/>
      <c r="AG1209" s="12"/>
      <c r="AH1209" s="12"/>
      <c r="AJ1209" s="12"/>
      <c r="AM1209" s="12"/>
      <c r="AX1209" s="12"/>
      <c r="AY1209" s="12"/>
      <c r="BA1209" s="12"/>
      <c r="BD1209" s="12"/>
      <c r="BI1209" s="12"/>
      <c r="CG1209" s="12"/>
      <c r="CI1209" s="12"/>
      <c r="CJ1209" s="12"/>
      <c r="CK1209" s="12"/>
      <c r="CL1209" s="12"/>
    </row>
    <row r="1210" spans="16:90" ht="24.95" customHeight="1">
      <c r="R1210" s="12"/>
      <c r="AF1210" s="12"/>
      <c r="AG1210" s="12"/>
      <c r="AH1210" s="12"/>
      <c r="AJ1210" s="12"/>
      <c r="AM1210" s="12"/>
      <c r="AX1210" s="12"/>
      <c r="AY1210" s="12"/>
      <c r="BA1210" s="12"/>
      <c r="BD1210" s="12"/>
      <c r="BI1210" s="12"/>
      <c r="CG1210" s="12"/>
      <c r="CI1210" s="12"/>
      <c r="CJ1210" s="12"/>
      <c r="CK1210" s="12"/>
      <c r="CL1210" s="12"/>
    </row>
    <row r="1211" spans="16:90" ht="24.95" customHeight="1">
      <c r="R1211" s="12"/>
      <c r="AF1211" s="12"/>
      <c r="AG1211" s="12"/>
      <c r="AH1211" s="12"/>
      <c r="AJ1211" s="12"/>
      <c r="AM1211" s="12"/>
      <c r="AX1211" s="12"/>
      <c r="AY1211" s="12"/>
      <c r="BA1211" s="12"/>
      <c r="BD1211" s="12"/>
      <c r="BI1211" s="12"/>
      <c r="CG1211" s="12"/>
      <c r="CI1211" s="12"/>
      <c r="CJ1211" s="12"/>
      <c r="CK1211" s="12"/>
      <c r="CL1211" s="12"/>
    </row>
    <row r="1212" spans="16:90" ht="24.95" customHeight="1">
      <c r="P1212" s="12"/>
      <c r="Q1212" s="12"/>
      <c r="R1212" s="12"/>
      <c r="S1212" s="10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07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31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  <c r="CF1212" s="12"/>
      <c r="CG1212" s="12"/>
      <c r="CH1212" s="12"/>
      <c r="CI1212" s="12"/>
      <c r="CJ1212" s="12"/>
      <c r="CK1212" s="12"/>
      <c r="CL1212" s="12"/>
    </row>
  </sheetData>
  <phoneticPr fontId="10" type="noConversion"/>
  <conditionalFormatting sqref="A8:CM1048576">
    <cfRule type="expression" dxfId="10" priority="5">
      <formula>ISBLANK(A8)</formula>
    </cfRule>
  </conditionalFormatting>
  <conditionalFormatting sqref="M8:M687">
    <cfRule type="duplicateValues" dxfId="9" priority="1"/>
  </conditionalFormatting>
  <conditionalFormatting sqref="AG8:AV1048576">
    <cfRule type="expression" dxfId="8" priority="2">
      <formula>OR($AH8="Sudah Meninggal",$AH8="Tidak diketahui")</formula>
    </cfRule>
  </conditionalFormatting>
  <conditionalFormatting sqref="AW8:BM1048576">
    <cfRule type="expression" dxfId="7" priority="3">
      <formula>OR($AX8="Sudah Meninggal",$AX8="Tidak diketahui")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CF90-2039-4D5D-85AD-CC4D245FED8C}">
  <dimension ref="A1:C4"/>
  <sheetViews>
    <sheetView workbookViewId="0">
      <selection activeCell="D11" sqref="D11"/>
    </sheetView>
  </sheetViews>
  <sheetFormatPr defaultRowHeight="15"/>
  <sheetData>
    <row r="1" spans="1:3">
      <c r="A1" s="169" t="s">
        <v>9963</v>
      </c>
    </row>
    <row r="2" spans="1:3">
      <c r="A2">
        <v>1</v>
      </c>
      <c r="B2" s="169" t="s">
        <v>2513</v>
      </c>
      <c r="C2" s="169" t="s">
        <v>9964</v>
      </c>
    </row>
    <row r="3" spans="1:3">
      <c r="A3">
        <v>2</v>
      </c>
      <c r="B3" s="169" t="s">
        <v>9936</v>
      </c>
      <c r="C3" s="169" t="s">
        <v>9965</v>
      </c>
    </row>
    <row r="4" spans="1:3">
      <c r="A4">
        <v>3</v>
      </c>
      <c r="B4" s="169" t="s">
        <v>93</v>
      </c>
      <c r="C4" s="169" t="s">
        <v>9966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AEB4-B8E7-4395-987C-2A40F8AE61D5}">
  <dimension ref="A2:P880"/>
  <sheetViews>
    <sheetView workbookViewId="0">
      <selection activeCell="L454" sqref="L454"/>
    </sheetView>
  </sheetViews>
  <sheetFormatPr defaultRowHeight="15"/>
  <cols>
    <col min="1" max="1" width="4.85546875" style="3" customWidth="1"/>
    <col min="2" max="2" width="9" style="3" bestFit="1" customWidth="1"/>
    <col min="3" max="3" width="41" style="18" bestFit="1" customWidth="1"/>
    <col min="4" max="4" width="26.5703125" style="18" customWidth="1"/>
    <col min="5" max="5" width="0" style="3" hidden="1" customWidth="1"/>
    <col min="6" max="6" width="11.28515625" style="3" hidden="1" customWidth="1"/>
    <col min="7" max="7" width="10.85546875" style="3" hidden="1" customWidth="1"/>
    <col min="8" max="8" width="10.28515625" style="3" hidden="1" customWidth="1"/>
    <col min="9" max="9" width="10.85546875" style="3" customWidth="1"/>
    <col min="10" max="10" width="9.140625" style="3"/>
    <col min="11" max="11" width="7.28515625" style="3" customWidth="1"/>
    <col min="12" max="12" width="10" style="3" customWidth="1"/>
    <col min="13" max="13" width="13.42578125" style="3" customWidth="1"/>
    <col min="14" max="14" width="16.5703125" style="3" customWidth="1"/>
    <col min="15" max="16" width="9.140625" style="3"/>
  </cols>
  <sheetData>
    <row r="2" spans="1:16" s="86" customFormat="1" ht="29.25" customHeight="1">
      <c r="A2" s="86" t="s">
        <v>75</v>
      </c>
      <c r="B2" s="86" t="s">
        <v>84</v>
      </c>
      <c r="C2" s="86" t="s">
        <v>5477</v>
      </c>
      <c r="D2" s="86" t="s">
        <v>5478</v>
      </c>
      <c r="E2" s="86" t="s">
        <v>76</v>
      </c>
      <c r="F2" s="86" t="s">
        <v>77</v>
      </c>
      <c r="G2" s="86" t="s">
        <v>78</v>
      </c>
      <c r="H2" s="86" t="s">
        <v>79</v>
      </c>
      <c r="I2" s="86" t="s">
        <v>80</v>
      </c>
      <c r="J2" s="86" t="s">
        <v>81</v>
      </c>
      <c r="K2" s="86" t="s">
        <v>82</v>
      </c>
      <c r="L2" s="86" t="s">
        <v>83</v>
      </c>
      <c r="M2" s="86" t="s">
        <v>5479</v>
      </c>
      <c r="N2" s="86" t="s">
        <v>5480</v>
      </c>
      <c r="O2" s="86" t="s">
        <v>5481</v>
      </c>
      <c r="P2" s="86" t="s">
        <v>5482</v>
      </c>
    </row>
    <row r="3" spans="1:16">
      <c r="A3" s="3">
        <f>SUBTOTAL(3,B$3:B3)</f>
        <v>1</v>
      </c>
      <c r="B3" s="3">
        <v>24250137</v>
      </c>
      <c r="C3" s="18" t="str">
        <f>_xlfn.XLOOKUP(Table6[[#This Row],[NIS]],Table2[NIS],Table2[Nama lengkap],"Not Found",0)</f>
        <v>Adinda Siti Shofiyyah</v>
      </c>
      <c r="D3" s="18" t="str">
        <f>_xlfn.XLOOKUP(Table6[[#This Row],[NIS]],Table2[NIS],Table2[Nomer Induk Siswa Nasional],"Not Found",0)</f>
        <v>0122309098</v>
      </c>
      <c r="E3" s="3" t="str">
        <f>_xlfn.XLOOKUP(Table6[[#This Row],[NIS]],Table2[NIS],Table2[Status],"Not Found",0)</f>
        <v>Aktif</v>
      </c>
      <c r="F3" s="3">
        <f>_xlfn.XLOOKUP(Table6[[#This Row],[NIS]],Table2[NIS],Table2[Tahun Masuk],"Not Found",0)</f>
        <v>2024</v>
      </c>
      <c r="G3" s="3">
        <f>_xlfn.XLOOKUP(Table6[[#This Row],[NIS]],Table2[NIS],Table2[Tahun Keluar],"Not Found",0)</f>
        <v>0</v>
      </c>
      <c r="H3" s="3">
        <f>_xlfn.XLOOKUP(Table6[[#This Row],[NIS]],Table2[NIS],Table2[Kelas],"Not Found",0)</f>
        <v>1</v>
      </c>
      <c r="I3" s="3" t="str">
        <f>_xlfn.XLOOKUP(Table6[[#This Row],[NIS]],Table2[NIS],Table2[Kelas Detail],"Not Found",0)</f>
        <v>1-A</v>
      </c>
    </row>
    <row r="4" spans="1:16">
      <c r="A4" s="3">
        <f>SUBTOTAL(3,B$3:B4)</f>
        <v>2</v>
      </c>
      <c r="B4" s="3">
        <v>24250061</v>
      </c>
      <c r="C4" s="18" t="str">
        <f>_xlfn.XLOOKUP(Table6[[#This Row],[NIS]],Table2[NIS],Table2[Nama lengkap],"Not Found",0)</f>
        <v>Ainaya Salma Hashinah</v>
      </c>
      <c r="D4" s="18" t="str">
        <f>_xlfn.XLOOKUP(Table6[[#This Row],[NIS]],Table2[NIS],Table2[Nomer Induk Siswa Nasional],"Not Found",0)</f>
        <v>0111877880</v>
      </c>
      <c r="E4" s="3" t="str">
        <f>_xlfn.XLOOKUP(Table6[[#This Row],[NIS]],Table2[NIS],Table2[Status],"Not Found",0)</f>
        <v>Aktif</v>
      </c>
      <c r="F4" s="3">
        <f>_xlfn.XLOOKUP(Table6[[#This Row],[NIS]],Table2[NIS],Table2[Tahun Masuk],"Not Found",0)</f>
        <v>2024</v>
      </c>
      <c r="G4" s="3">
        <f>_xlfn.XLOOKUP(Table6[[#This Row],[NIS]],Table2[NIS],Table2[Tahun Keluar],"Not Found",0)</f>
        <v>0</v>
      </c>
      <c r="H4" s="3">
        <f>_xlfn.XLOOKUP(Table6[[#This Row],[NIS]],Table2[NIS],Table2[Kelas],"Not Found",0)</f>
        <v>1</v>
      </c>
      <c r="I4" s="3" t="str">
        <f>_xlfn.XLOOKUP(Table6[[#This Row],[NIS]],Table2[NIS],Table2[Kelas Detail],"Not Found",0)</f>
        <v>1-A</v>
      </c>
    </row>
    <row r="5" spans="1:16">
      <c r="A5" s="3">
        <f>SUBTOTAL(3,B$3:B5)</f>
        <v>3</v>
      </c>
      <c r="B5" s="3">
        <v>24250005</v>
      </c>
      <c r="C5" s="18" t="str">
        <f>_xlfn.XLOOKUP(Table6[[#This Row],[NIS]],Table2[NIS],Table2[Nama lengkap],"Not Found",0)</f>
        <v>Ainun Najmi Ahmad Puri</v>
      </c>
      <c r="D5" s="18" t="str">
        <f>_xlfn.XLOOKUP(Table6[[#This Row],[NIS]],Table2[NIS],Table2[Nomer Induk Siswa Nasional],"Not Found",0)</f>
        <v>0115297876</v>
      </c>
      <c r="E5" s="3" t="str">
        <f>_xlfn.XLOOKUP(Table6[[#This Row],[NIS]],Table2[NIS],Table2[Status],"Not Found",0)</f>
        <v>Aktif</v>
      </c>
      <c r="F5" s="3">
        <f>_xlfn.XLOOKUP(Table6[[#This Row],[NIS]],Table2[NIS],Table2[Tahun Masuk],"Not Found",0)</f>
        <v>2024</v>
      </c>
      <c r="G5" s="3">
        <f>_xlfn.XLOOKUP(Table6[[#This Row],[NIS]],Table2[NIS],Table2[Tahun Keluar],"Not Found",0)</f>
        <v>0</v>
      </c>
      <c r="H5" s="3">
        <f>_xlfn.XLOOKUP(Table6[[#This Row],[NIS]],Table2[NIS],Table2[Kelas],"Not Found",0)</f>
        <v>1</v>
      </c>
      <c r="I5" s="3" t="str">
        <f>_xlfn.XLOOKUP(Table6[[#This Row],[NIS]],Table2[NIS],Table2[Kelas Detail],"Not Found",0)</f>
        <v>1-A</v>
      </c>
    </row>
    <row r="6" spans="1:16">
      <c r="A6" s="3">
        <f>SUBTOTAL(3,B$3:B6)</f>
        <v>4</v>
      </c>
      <c r="B6" s="3">
        <v>24250112</v>
      </c>
      <c r="C6" s="18" t="str">
        <f>_xlfn.XLOOKUP(Table6[[#This Row],[NIS]],Table2[NIS],Table2[Nama lengkap],"Not Found",0)</f>
        <v>Azra Mursyidah Qasimah</v>
      </c>
      <c r="D6" s="18" t="str">
        <f>_xlfn.XLOOKUP(Table6[[#This Row],[NIS]],Table2[NIS],Table2[Nomer Induk Siswa Nasional],"Not Found",0)</f>
        <v>0112432733</v>
      </c>
      <c r="E6" s="3" t="str">
        <f>_xlfn.XLOOKUP(Table6[[#This Row],[NIS]],Table2[NIS],Table2[Status],"Not Found",0)</f>
        <v>Aktif</v>
      </c>
      <c r="F6" s="3">
        <f>_xlfn.XLOOKUP(Table6[[#This Row],[NIS]],Table2[NIS],Table2[Tahun Masuk],"Not Found",0)</f>
        <v>2024</v>
      </c>
      <c r="G6" s="3">
        <f>_xlfn.XLOOKUP(Table6[[#This Row],[NIS]],Table2[NIS],Table2[Tahun Keluar],"Not Found",0)</f>
        <v>0</v>
      </c>
      <c r="H6" s="3">
        <f>_xlfn.XLOOKUP(Table6[[#This Row],[NIS]],Table2[NIS],Table2[Kelas],"Not Found",0)</f>
        <v>1</v>
      </c>
      <c r="I6" s="3" t="str">
        <f>_xlfn.XLOOKUP(Table6[[#This Row],[NIS]],Table2[NIS],Table2[Kelas Detail],"Not Found",0)</f>
        <v>1-A</v>
      </c>
    </row>
    <row r="7" spans="1:16">
      <c r="A7" s="3">
        <f>SUBTOTAL(3,B$3:B7)</f>
        <v>5</v>
      </c>
      <c r="B7" s="3">
        <v>24250071</v>
      </c>
      <c r="C7" s="18" t="str">
        <f>_xlfn.XLOOKUP(Table6[[#This Row],[NIS]],Table2[NIS],Table2[Nama lengkap],"Not Found",0)</f>
        <v>Bella Julia Khoirunnisa</v>
      </c>
      <c r="D7" s="18" t="str">
        <f>_xlfn.XLOOKUP(Table6[[#This Row],[NIS]],Table2[NIS],Table2[Nomer Induk Siswa Nasional],"Not Found",0)</f>
        <v>0121550693</v>
      </c>
      <c r="E7" s="3" t="str">
        <f>_xlfn.XLOOKUP(Table6[[#This Row],[NIS]],Table2[NIS],Table2[Status],"Not Found",0)</f>
        <v>Aktif</v>
      </c>
      <c r="F7" s="3">
        <f>_xlfn.XLOOKUP(Table6[[#This Row],[NIS]],Table2[NIS],Table2[Tahun Masuk],"Not Found",0)</f>
        <v>2024</v>
      </c>
      <c r="G7" s="3">
        <f>_xlfn.XLOOKUP(Table6[[#This Row],[NIS]],Table2[NIS],Table2[Tahun Keluar],"Not Found",0)</f>
        <v>0</v>
      </c>
      <c r="H7" s="3">
        <f>_xlfn.XLOOKUP(Table6[[#This Row],[NIS]],Table2[NIS],Table2[Kelas],"Not Found",0)</f>
        <v>1</v>
      </c>
      <c r="I7" s="3" t="str">
        <f>_xlfn.XLOOKUP(Table6[[#This Row],[NIS]],Table2[NIS],Table2[Kelas Detail],"Not Found",0)</f>
        <v>1-A</v>
      </c>
    </row>
    <row r="8" spans="1:16">
      <c r="A8" s="3">
        <f>SUBTOTAL(3,B$3:B8)</f>
        <v>6</v>
      </c>
      <c r="B8" s="3">
        <v>23240118</v>
      </c>
      <c r="C8" s="18" t="str">
        <f>_xlfn.XLOOKUP(Table6[[#This Row],[NIS]],Table2[NIS],Table2[Nama lengkap],"Not Found",0)</f>
        <v>Citra Kaila Putri</v>
      </c>
      <c r="D8" s="18" t="str">
        <f>_xlfn.XLOOKUP(Table6[[#This Row],[NIS]],Table2[NIS],Table2[Nomer Induk Siswa Nasional],"Not Found",0)</f>
        <v>0104173879</v>
      </c>
      <c r="E8" s="3" t="str">
        <f>_xlfn.XLOOKUP(Table6[[#This Row],[NIS]],Table2[NIS],Table2[Status],"Not Found",0)</f>
        <v>Aktif</v>
      </c>
      <c r="F8" s="3">
        <f>_xlfn.XLOOKUP(Table6[[#This Row],[NIS]],Table2[NIS],Table2[Tahun Masuk],"Not Found",0)</f>
        <v>2023</v>
      </c>
      <c r="G8" s="3">
        <f>_xlfn.XLOOKUP(Table6[[#This Row],[NIS]],Table2[NIS],Table2[Tahun Keluar],"Not Found",0)</f>
        <v>0</v>
      </c>
      <c r="H8" s="3">
        <f>_xlfn.XLOOKUP(Table6[[#This Row],[NIS]],Table2[NIS],Table2[Kelas],"Not Found",0)</f>
        <v>1</v>
      </c>
      <c r="I8" s="3" t="str">
        <f>_xlfn.XLOOKUP(Table6[[#This Row],[NIS]],Table2[NIS],Table2[Kelas Detail],"Not Found",0)</f>
        <v>1-A</v>
      </c>
    </row>
    <row r="9" spans="1:16">
      <c r="A9" s="3">
        <f>SUBTOTAL(3,B$3:B9)</f>
        <v>7</v>
      </c>
      <c r="B9" s="3">
        <v>24250168</v>
      </c>
      <c r="C9" s="18" t="str">
        <f>_xlfn.XLOOKUP(Table6[[#This Row],[NIS]],Table2[NIS],Table2[Nama lengkap],"Not Found",0)</f>
        <v>Dina Nidausalimah</v>
      </c>
      <c r="D9" s="18" t="str">
        <f>_xlfn.XLOOKUP(Table6[[#This Row],[NIS]],Table2[NIS],Table2[Nomer Induk Siswa Nasional],"Not Found",0)</f>
        <v>3129466380</v>
      </c>
      <c r="E9" s="3" t="str">
        <f>_xlfn.XLOOKUP(Table6[[#This Row],[NIS]],Table2[NIS],Table2[Status],"Not Found",0)</f>
        <v>Aktif</v>
      </c>
      <c r="F9" s="3">
        <f>_xlfn.XLOOKUP(Table6[[#This Row],[NIS]],Table2[NIS],Table2[Tahun Masuk],"Not Found",0)</f>
        <v>2024</v>
      </c>
      <c r="G9" s="3">
        <f>_xlfn.XLOOKUP(Table6[[#This Row],[NIS]],Table2[NIS],Table2[Tahun Keluar],"Not Found",0)</f>
        <v>0</v>
      </c>
      <c r="H9" s="3">
        <f>_xlfn.XLOOKUP(Table6[[#This Row],[NIS]],Table2[NIS],Table2[Kelas],"Not Found",0)</f>
        <v>1</v>
      </c>
      <c r="I9" s="3" t="str">
        <f>_xlfn.XLOOKUP(Table6[[#This Row],[NIS]],Table2[NIS],Table2[Kelas Detail],"Not Found",0)</f>
        <v>1-A</v>
      </c>
    </row>
    <row r="10" spans="1:16">
      <c r="A10" s="3">
        <f>SUBTOTAL(3,B$3:B10)</f>
        <v>8</v>
      </c>
      <c r="B10" s="3">
        <v>24250150</v>
      </c>
      <c r="C10" s="18" t="str">
        <f>_xlfn.XLOOKUP(Table6[[#This Row],[NIS]],Table2[NIS],Table2[Nama lengkap],"Not Found",0)</f>
        <v>Habibah Murshiddah</v>
      </c>
      <c r="D10" s="18" t="str">
        <f>_xlfn.XLOOKUP(Table6[[#This Row],[NIS]],Table2[NIS],Table2[Nomer Induk Siswa Nasional],"Not Found",0)</f>
        <v>0121081022</v>
      </c>
      <c r="E10" s="3" t="str">
        <f>_xlfn.XLOOKUP(Table6[[#This Row],[NIS]],Table2[NIS],Table2[Status],"Not Found",0)</f>
        <v>Aktif</v>
      </c>
      <c r="F10" s="3">
        <f>_xlfn.XLOOKUP(Table6[[#This Row],[NIS]],Table2[NIS],Table2[Tahun Masuk],"Not Found",0)</f>
        <v>2024</v>
      </c>
      <c r="G10" s="3">
        <f>_xlfn.XLOOKUP(Table6[[#This Row],[NIS]],Table2[NIS],Table2[Tahun Keluar],"Not Found",0)</f>
        <v>0</v>
      </c>
      <c r="H10" s="3">
        <f>_xlfn.XLOOKUP(Table6[[#This Row],[NIS]],Table2[NIS],Table2[Kelas],"Not Found",0)</f>
        <v>1</v>
      </c>
      <c r="I10" s="3" t="str">
        <f>_xlfn.XLOOKUP(Table6[[#This Row],[NIS]],Table2[NIS],Table2[Kelas Detail],"Not Found",0)</f>
        <v>1-A</v>
      </c>
    </row>
    <row r="11" spans="1:16">
      <c r="A11" s="3">
        <f>SUBTOTAL(3,B$3:B11)</f>
        <v>9</v>
      </c>
      <c r="B11" s="3">
        <v>24250085</v>
      </c>
      <c r="C11" s="18" t="str">
        <f>_xlfn.XLOOKUP(Table6[[#This Row],[NIS]],Table2[NIS],Table2[Nama lengkap],"Not Found",0)</f>
        <v>Haura Putri Nadif</v>
      </c>
      <c r="D11" s="18" t="str">
        <f>_xlfn.XLOOKUP(Table6[[#This Row],[NIS]],Table2[NIS],Table2[Nomer Induk Siswa Nasional],"Not Found",0)</f>
        <v>0113490063</v>
      </c>
      <c r="E11" s="3" t="str">
        <f>_xlfn.XLOOKUP(Table6[[#This Row],[NIS]],Table2[NIS],Table2[Status],"Not Found",0)</f>
        <v>Aktif</v>
      </c>
      <c r="F11" s="3">
        <f>_xlfn.XLOOKUP(Table6[[#This Row],[NIS]],Table2[NIS],Table2[Tahun Masuk],"Not Found",0)</f>
        <v>2024</v>
      </c>
      <c r="G11" s="3">
        <f>_xlfn.XLOOKUP(Table6[[#This Row],[NIS]],Table2[NIS],Table2[Tahun Keluar],"Not Found",0)</f>
        <v>0</v>
      </c>
      <c r="H11" s="3">
        <f>_xlfn.XLOOKUP(Table6[[#This Row],[NIS]],Table2[NIS],Table2[Kelas],"Not Found",0)</f>
        <v>1</v>
      </c>
      <c r="I11" s="3" t="str">
        <f>_xlfn.XLOOKUP(Table6[[#This Row],[NIS]],Table2[NIS],Table2[Kelas Detail],"Not Found",0)</f>
        <v>1-A</v>
      </c>
    </row>
    <row r="12" spans="1:16">
      <c r="A12" s="3">
        <f>SUBTOTAL(3,B$3:B12)</f>
        <v>10</v>
      </c>
      <c r="B12" s="3">
        <v>24250072</v>
      </c>
      <c r="C12" s="18" t="str">
        <f>_xlfn.XLOOKUP(Table6[[#This Row],[NIS]],Table2[NIS],Table2[Nama lengkap],"Not Found",0)</f>
        <v>Husna Khoerunnisa Sumenda</v>
      </c>
      <c r="D12" s="18" t="str">
        <f>_xlfn.XLOOKUP(Table6[[#This Row],[NIS]],Table2[NIS],Table2[Nomer Induk Siswa Nasional],"Not Found",0)</f>
        <v>0108311562</v>
      </c>
      <c r="E12" s="3" t="str">
        <f>_xlfn.XLOOKUP(Table6[[#This Row],[NIS]],Table2[NIS],Table2[Status],"Not Found",0)</f>
        <v>Aktif</v>
      </c>
      <c r="F12" s="3">
        <f>_xlfn.XLOOKUP(Table6[[#This Row],[NIS]],Table2[NIS],Table2[Tahun Masuk],"Not Found",0)</f>
        <v>2024</v>
      </c>
      <c r="G12" s="3">
        <f>_xlfn.XLOOKUP(Table6[[#This Row],[NIS]],Table2[NIS],Table2[Tahun Keluar],"Not Found",0)</f>
        <v>0</v>
      </c>
      <c r="H12" s="3">
        <f>_xlfn.XLOOKUP(Table6[[#This Row],[NIS]],Table2[NIS],Table2[Kelas],"Not Found",0)</f>
        <v>1</v>
      </c>
      <c r="I12" s="3" t="str">
        <f>_xlfn.XLOOKUP(Table6[[#This Row],[NIS]],Table2[NIS],Table2[Kelas Detail],"Not Found",0)</f>
        <v>1-A</v>
      </c>
    </row>
    <row r="13" spans="1:16">
      <c r="A13" s="3">
        <f>SUBTOTAL(3,B$3:B13)</f>
        <v>11</v>
      </c>
      <c r="B13" s="3">
        <v>24250081</v>
      </c>
      <c r="C13" s="18" t="str">
        <f>_xlfn.XLOOKUP(Table6[[#This Row],[NIS]],Table2[NIS],Table2[Nama lengkap],"Not Found",0)</f>
        <v>Khansa Yumna Nazhifa</v>
      </c>
      <c r="D13" s="18" t="str">
        <f>_xlfn.XLOOKUP(Table6[[#This Row],[NIS]],Table2[NIS],Table2[Nomer Induk Siswa Nasional],"Not Found",0)</f>
        <v>0129866964</v>
      </c>
      <c r="E13" s="3" t="str">
        <f>_xlfn.XLOOKUP(Table6[[#This Row],[NIS]],Table2[NIS],Table2[Status],"Not Found",0)</f>
        <v>Aktif</v>
      </c>
      <c r="F13" s="3">
        <f>_xlfn.XLOOKUP(Table6[[#This Row],[NIS]],Table2[NIS],Table2[Tahun Masuk],"Not Found",0)</f>
        <v>2024</v>
      </c>
      <c r="G13" s="3">
        <f>_xlfn.XLOOKUP(Table6[[#This Row],[NIS]],Table2[NIS],Table2[Tahun Keluar],"Not Found",0)</f>
        <v>0</v>
      </c>
      <c r="H13" s="3">
        <f>_xlfn.XLOOKUP(Table6[[#This Row],[NIS]],Table2[NIS],Table2[Kelas],"Not Found",0)</f>
        <v>1</v>
      </c>
      <c r="I13" s="3" t="str">
        <f>_xlfn.XLOOKUP(Table6[[#This Row],[NIS]],Table2[NIS],Table2[Kelas Detail],"Not Found",0)</f>
        <v>1-A</v>
      </c>
    </row>
    <row r="14" spans="1:16">
      <c r="A14" s="3">
        <f>SUBTOTAL(3,B$3:B14)</f>
        <v>12</v>
      </c>
      <c r="B14" s="3">
        <v>24250105</v>
      </c>
      <c r="C14" s="18" t="str">
        <f>_xlfn.XLOOKUP(Table6[[#This Row],[NIS]],Table2[NIS],Table2[Nama lengkap],"Not Found",0)</f>
        <v>Mega Nanda</v>
      </c>
      <c r="D14" s="18" t="str">
        <f>_xlfn.XLOOKUP(Table6[[#This Row],[NIS]],Table2[NIS],Table2[Nomer Induk Siswa Nasional],"Not Found",0)</f>
        <v>0099430602</v>
      </c>
      <c r="E14" s="3" t="str">
        <f>_xlfn.XLOOKUP(Table6[[#This Row],[NIS]],Table2[NIS],Table2[Status],"Not Found",0)</f>
        <v>Aktif</v>
      </c>
      <c r="F14" s="3">
        <f>_xlfn.XLOOKUP(Table6[[#This Row],[NIS]],Table2[NIS],Table2[Tahun Masuk],"Not Found",0)</f>
        <v>2024</v>
      </c>
      <c r="G14" s="3">
        <f>_xlfn.XLOOKUP(Table6[[#This Row],[NIS]],Table2[NIS],Table2[Tahun Keluar],"Not Found",0)</f>
        <v>0</v>
      </c>
      <c r="H14" s="3">
        <f>_xlfn.XLOOKUP(Table6[[#This Row],[NIS]],Table2[NIS],Table2[Kelas],"Not Found",0)</f>
        <v>1</v>
      </c>
      <c r="I14" s="3" t="str">
        <f>_xlfn.XLOOKUP(Table6[[#This Row],[NIS]],Table2[NIS],Table2[Kelas Detail],"Not Found",0)</f>
        <v>1-A</v>
      </c>
    </row>
    <row r="15" spans="1:16">
      <c r="A15" s="3">
        <f>SUBTOTAL(3,B$3:B15)</f>
        <v>13</v>
      </c>
      <c r="B15" s="3">
        <v>24250117</v>
      </c>
      <c r="C15" s="18" t="str">
        <f>_xlfn.XLOOKUP(Table6[[#This Row],[NIS]],Table2[NIS],Table2[Nama lengkap],"Not Found",0)</f>
        <v>Mikayla Ramadhani Falah</v>
      </c>
      <c r="D15" s="18" t="str">
        <f>_xlfn.XLOOKUP(Table6[[#This Row],[NIS]],Table2[NIS],Table2[Nomer Induk Siswa Nasional],"Not Found",0)</f>
        <v>0129710073</v>
      </c>
      <c r="E15" s="3" t="str">
        <f>_xlfn.XLOOKUP(Table6[[#This Row],[NIS]],Table2[NIS],Table2[Status],"Not Found",0)</f>
        <v>Aktif</v>
      </c>
      <c r="F15" s="3">
        <f>_xlfn.XLOOKUP(Table6[[#This Row],[NIS]],Table2[NIS],Table2[Tahun Masuk],"Not Found",0)</f>
        <v>2024</v>
      </c>
      <c r="G15" s="3">
        <f>_xlfn.XLOOKUP(Table6[[#This Row],[NIS]],Table2[NIS],Table2[Tahun Keluar],"Not Found",0)</f>
        <v>0</v>
      </c>
      <c r="H15" s="3">
        <f>_xlfn.XLOOKUP(Table6[[#This Row],[NIS]],Table2[NIS],Table2[Kelas],"Not Found",0)</f>
        <v>1</v>
      </c>
      <c r="I15" s="3" t="str">
        <f>_xlfn.XLOOKUP(Table6[[#This Row],[NIS]],Table2[NIS],Table2[Kelas Detail],"Not Found",0)</f>
        <v>1-A</v>
      </c>
    </row>
    <row r="16" spans="1:16">
      <c r="A16" s="3">
        <f>SUBTOTAL(3,B$3:B16)</f>
        <v>14</v>
      </c>
      <c r="B16" s="3">
        <v>24250151</v>
      </c>
      <c r="C16" s="18" t="str">
        <f>_xlfn.XLOOKUP(Table6[[#This Row],[NIS]],Table2[NIS],Table2[Nama lengkap],"Not Found",0)</f>
        <v>Naura Kirani Ramadan</v>
      </c>
      <c r="D16" s="18" t="str">
        <f>_xlfn.XLOOKUP(Table6[[#This Row],[NIS]],Table2[NIS],Table2[Nomer Induk Siswa Nasional],"Not Found",0)</f>
        <v>0112390511</v>
      </c>
      <c r="E16" s="3" t="str">
        <f>_xlfn.XLOOKUP(Table6[[#This Row],[NIS]],Table2[NIS],Table2[Status],"Not Found",0)</f>
        <v>Aktif</v>
      </c>
      <c r="F16" s="3">
        <f>_xlfn.XLOOKUP(Table6[[#This Row],[NIS]],Table2[NIS],Table2[Tahun Masuk],"Not Found",0)</f>
        <v>2024</v>
      </c>
      <c r="G16" s="3">
        <f>_xlfn.XLOOKUP(Table6[[#This Row],[NIS]],Table2[NIS],Table2[Tahun Keluar],"Not Found",0)</f>
        <v>0</v>
      </c>
      <c r="H16" s="3">
        <f>_xlfn.XLOOKUP(Table6[[#This Row],[NIS]],Table2[NIS],Table2[Kelas],"Not Found",0)</f>
        <v>1</v>
      </c>
      <c r="I16" s="3" t="str">
        <f>_xlfn.XLOOKUP(Table6[[#This Row],[NIS]],Table2[NIS],Table2[Kelas Detail],"Not Found",0)</f>
        <v>1-A</v>
      </c>
    </row>
    <row r="17" spans="1:9">
      <c r="A17" s="3">
        <f>SUBTOTAL(3,B$3:B17)</f>
        <v>15</v>
      </c>
      <c r="B17" s="3">
        <v>24250076</v>
      </c>
      <c r="C17" s="18" t="str">
        <f>_xlfn.XLOOKUP(Table6[[#This Row],[NIS]],Table2[NIS],Table2[Nama lengkap],"Not Found",0)</f>
        <v>Niken Afrini Utari</v>
      </c>
      <c r="D17" s="18" t="str">
        <f>_xlfn.XLOOKUP(Table6[[#This Row],[NIS]],Table2[NIS],Table2[Nomer Induk Siswa Nasional],"Not Found",0)</f>
        <v>0125390298</v>
      </c>
      <c r="E17" s="3" t="str">
        <f>_xlfn.XLOOKUP(Table6[[#This Row],[NIS]],Table2[NIS],Table2[Status],"Not Found",0)</f>
        <v>Aktif</v>
      </c>
      <c r="F17" s="3">
        <f>_xlfn.XLOOKUP(Table6[[#This Row],[NIS]],Table2[NIS],Table2[Tahun Masuk],"Not Found",0)</f>
        <v>2024</v>
      </c>
      <c r="G17" s="3">
        <f>_xlfn.XLOOKUP(Table6[[#This Row],[NIS]],Table2[NIS],Table2[Tahun Keluar],"Not Found",0)</f>
        <v>0</v>
      </c>
      <c r="H17" s="3">
        <f>_xlfn.XLOOKUP(Table6[[#This Row],[NIS]],Table2[NIS],Table2[Kelas],"Not Found",0)</f>
        <v>1</v>
      </c>
      <c r="I17" s="3" t="str">
        <f>_xlfn.XLOOKUP(Table6[[#This Row],[NIS]],Table2[NIS],Table2[Kelas Detail],"Not Found",0)</f>
        <v>1-A</v>
      </c>
    </row>
    <row r="18" spans="1:9">
      <c r="A18" s="3">
        <f>SUBTOTAL(3,B$3:B18)</f>
        <v>16</v>
      </c>
      <c r="B18" s="3">
        <v>24250054</v>
      </c>
      <c r="C18" s="18" t="str">
        <f>_xlfn.XLOOKUP(Table6[[#This Row],[NIS]],Table2[NIS],Table2[Nama lengkap],"Not Found",0)</f>
        <v>Nuri Rosdiana</v>
      </c>
      <c r="D18" s="18" t="str">
        <f>_xlfn.XLOOKUP(Table6[[#This Row],[NIS]],Table2[NIS],Table2[Nomer Induk Siswa Nasional],"Not Found",0)</f>
        <v>0093945762</v>
      </c>
      <c r="E18" s="3" t="str">
        <f>_xlfn.XLOOKUP(Table6[[#This Row],[NIS]],Table2[NIS],Table2[Status],"Not Found",0)</f>
        <v>Waqof</v>
      </c>
      <c r="F18" s="3">
        <f>_xlfn.XLOOKUP(Table6[[#This Row],[NIS]],Table2[NIS],Table2[Tahun Masuk],"Not Found",0)</f>
        <v>2024</v>
      </c>
      <c r="G18" s="3">
        <f>_xlfn.XLOOKUP(Table6[[#This Row],[NIS]],Table2[NIS],Table2[Tahun Keluar],"Not Found",0)</f>
        <v>0</v>
      </c>
      <c r="H18" s="3">
        <f>_xlfn.XLOOKUP(Table6[[#This Row],[NIS]],Table2[NIS],Table2[Kelas],"Not Found",0)</f>
        <v>0</v>
      </c>
      <c r="I18" s="3" t="str">
        <f>_xlfn.XLOOKUP(Table6[[#This Row],[NIS]],Table2[NIS],Table2[Kelas Detail],"Not Found",0)</f>
        <v>1-A</v>
      </c>
    </row>
    <row r="19" spans="1:9">
      <c r="A19" s="3">
        <f>SUBTOTAL(3,B$3:B19)</f>
        <v>17</v>
      </c>
      <c r="B19" s="3">
        <v>24250170</v>
      </c>
      <c r="C19" s="18" t="str">
        <f>_xlfn.XLOOKUP(Table6[[#This Row],[NIS]],Table2[NIS],Table2[Nama lengkap],"Not Found",0)</f>
        <v>Qirenia Salsabila</v>
      </c>
      <c r="D19" s="18" t="str">
        <f>_xlfn.XLOOKUP(Table6[[#This Row],[NIS]],Table2[NIS],Table2[Nomer Induk Siswa Nasional],"Not Found",0)</f>
        <v>0081404561</v>
      </c>
      <c r="E19" s="3" t="str">
        <f>_xlfn.XLOOKUP(Table6[[#This Row],[NIS]],Table2[NIS],Table2[Status],"Not Found",0)</f>
        <v>Aktif</v>
      </c>
      <c r="F19" s="3">
        <f>_xlfn.XLOOKUP(Table6[[#This Row],[NIS]],Table2[NIS],Table2[Tahun Masuk],"Not Found",0)</f>
        <v>2024</v>
      </c>
      <c r="G19" s="3">
        <f>_xlfn.XLOOKUP(Table6[[#This Row],[NIS]],Table2[NIS],Table2[Tahun Keluar],"Not Found",0)</f>
        <v>0</v>
      </c>
      <c r="H19" s="3">
        <f>_xlfn.XLOOKUP(Table6[[#This Row],[NIS]],Table2[NIS],Table2[Kelas],"Not Found",0)</f>
        <v>1</v>
      </c>
      <c r="I19" s="3" t="str">
        <f>_xlfn.XLOOKUP(Table6[[#This Row],[NIS]],Table2[NIS],Table2[Kelas Detail],"Not Found",0)</f>
        <v>1-A</v>
      </c>
    </row>
    <row r="20" spans="1:9">
      <c r="A20" s="3">
        <f>SUBTOTAL(3,B$3:B20)</f>
        <v>18</v>
      </c>
      <c r="B20" s="3">
        <v>24250090</v>
      </c>
      <c r="C20" s="18" t="str">
        <f>_xlfn.XLOOKUP(Table6[[#This Row],[NIS]],Table2[NIS],Table2[Nama lengkap],"Not Found",0)</f>
        <v>Rasikha Zara Khalishah</v>
      </c>
      <c r="D20" s="18" t="str">
        <f>_xlfn.XLOOKUP(Table6[[#This Row],[NIS]],Table2[NIS],Table2[Nomer Induk Siswa Nasional],"Not Found",0)</f>
        <v>0111885260</v>
      </c>
      <c r="E20" s="3" t="str">
        <f>_xlfn.XLOOKUP(Table6[[#This Row],[NIS]],Table2[NIS],Table2[Status],"Not Found",0)</f>
        <v>Aktif</v>
      </c>
      <c r="F20" s="3">
        <f>_xlfn.XLOOKUP(Table6[[#This Row],[NIS]],Table2[NIS],Table2[Tahun Masuk],"Not Found",0)</f>
        <v>2024</v>
      </c>
      <c r="G20" s="3">
        <f>_xlfn.XLOOKUP(Table6[[#This Row],[NIS]],Table2[NIS],Table2[Tahun Keluar],"Not Found",0)</f>
        <v>0</v>
      </c>
      <c r="H20" s="3">
        <f>_xlfn.XLOOKUP(Table6[[#This Row],[NIS]],Table2[NIS],Table2[Kelas],"Not Found",0)</f>
        <v>1</v>
      </c>
      <c r="I20" s="3" t="str">
        <f>_xlfn.XLOOKUP(Table6[[#This Row],[NIS]],Table2[NIS],Table2[Kelas Detail],"Not Found",0)</f>
        <v>1-A</v>
      </c>
    </row>
    <row r="21" spans="1:9">
      <c r="A21" s="3">
        <f>SUBTOTAL(3,B$3:B21)</f>
        <v>19</v>
      </c>
      <c r="B21" s="3">
        <v>24250140</v>
      </c>
      <c r="C21" s="18" t="str">
        <f>_xlfn.XLOOKUP(Table6[[#This Row],[NIS]],Table2[NIS],Table2[Nama lengkap],"Not Found",0)</f>
        <v>Reshie Aulia Septiani</v>
      </c>
      <c r="D21" s="18" t="str">
        <f>_xlfn.XLOOKUP(Table6[[#This Row],[NIS]],Table2[NIS],Table2[Nomer Induk Siswa Nasional],"Not Found",0)</f>
        <v>0117909942</v>
      </c>
      <c r="E21" s="3" t="str">
        <f>_xlfn.XLOOKUP(Table6[[#This Row],[NIS]],Table2[NIS],Table2[Status],"Not Found",0)</f>
        <v>Aktif</v>
      </c>
      <c r="F21" s="3">
        <f>_xlfn.XLOOKUP(Table6[[#This Row],[NIS]],Table2[NIS],Table2[Tahun Masuk],"Not Found",0)</f>
        <v>2024</v>
      </c>
      <c r="G21" s="3">
        <f>_xlfn.XLOOKUP(Table6[[#This Row],[NIS]],Table2[NIS],Table2[Tahun Keluar],"Not Found",0)</f>
        <v>0</v>
      </c>
      <c r="H21" s="3">
        <f>_xlfn.XLOOKUP(Table6[[#This Row],[NIS]],Table2[NIS],Table2[Kelas],"Not Found",0)</f>
        <v>1</v>
      </c>
      <c r="I21" s="3" t="str">
        <f>_xlfn.XLOOKUP(Table6[[#This Row],[NIS]],Table2[NIS],Table2[Kelas Detail],"Not Found",0)</f>
        <v>1-A</v>
      </c>
    </row>
    <row r="22" spans="1:9">
      <c r="A22" s="3">
        <f>SUBTOTAL(3,B$3:B22)</f>
        <v>20</v>
      </c>
      <c r="B22" s="3">
        <v>24250133</v>
      </c>
      <c r="C22" s="18" t="str">
        <f>_xlfn.XLOOKUP(Table6[[#This Row],[NIS]],Table2[NIS],Table2[Nama lengkap],"Not Found",0)</f>
        <v>Sahma Khoerunisa</v>
      </c>
      <c r="D22" s="18" t="str">
        <f>_xlfn.XLOOKUP(Table6[[#This Row],[NIS]],Table2[NIS],Table2[Nomer Induk Siswa Nasional],"Not Found",0)</f>
        <v>0119920248</v>
      </c>
      <c r="E22" s="3" t="str">
        <f>_xlfn.XLOOKUP(Table6[[#This Row],[NIS]],Table2[NIS],Table2[Status],"Not Found",0)</f>
        <v>Aktif</v>
      </c>
      <c r="F22" s="3">
        <f>_xlfn.XLOOKUP(Table6[[#This Row],[NIS]],Table2[NIS],Table2[Tahun Masuk],"Not Found",0)</f>
        <v>2024</v>
      </c>
      <c r="G22" s="3">
        <f>_xlfn.XLOOKUP(Table6[[#This Row],[NIS]],Table2[NIS],Table2[Tahun Keluar],"Not Found",0)</f>
        <v>0</v>
      </c>
      <c r="H22" s="3">
        <f>_xlfn.XLOOKUP(Table6[[#This Row],[NIS]],Table2[NIS],Table2[Kelas],"Not Found",0)</f>
        <v>1</v>
      </c>
      <c r="I22" s="3" t="str">
        <f>_xlfn.XLOOKUP(Table6[[#This Row],[NIS]],Table2[NIS],Table2[Kelas Detail],"Not Found",0)</f>
        <v>1-A</v>
      </c>
    </row>
    <row r="23" spans="1:9">
      <c r="A23" s="3">
        <f>SUBTOTAL(3,B$3:B23)</f>
        <v>21</v>
      </c>
      <c r="B23" s="3">
        <v>24250086</v>
      </c>
      <c r="C23" s="18" t="str">
        <f>_xlfn.XLOOKUP(Table6[[#This Row],[NIS]],Table2[NIS],Table2[Nama lengkap],"Not Found",0)</f>
        <v>Salma Aliah</v>
      </c>
      <c r="D23" s="18" t="str">
        <f>_xlfn.XLOOKUP(Table6[[#This Row],[NIS]],Table2[NIS],Table2[Nomer Induk Siswa Nasional],"Not Found",0)</f>
        <v>0125766091</v>
      </c>
      <c r="E23" s="3" t="str">
        <f>_xlfn.XLOOKUP(Table6[[#This Row],[NIS]],Table2[NIS],Table2[Status],"Not Found",0)</f>
        <v>Aktif</v>
      </c>
      <c r="F23" s="3">
        <f>_xlfn.XLOOKUP(Table6[[#This Row],[NIS]],Table2[NIS],Table2[Tahun Masuk],"Not Found",0)</f>
        <v>2024</v>
      </c>
      <c r="G23" s="3">
        <f>_xlfn.XLOOKUP(Table6[[#This Row],[NIS]],Table2[NIS],Table2[Tahun Keluar],"Not Found",0)</f>
        <v>0</v>
      </c>
      <c r="H23" s="3">
        <f>_xlfn.XLOOKUP(Table6[[#This Row],[NIS]],Table2[NIS],Table2[Kelas],"Not Found",0)</f>
        <v>1</v>
      </c>
      <c r="I23" s="3" t="str">
        <f>_xlfn.XLOOKUP(Table6[[#This Row],[NIS]],Table2[NIS],Table2[Kelas Detail],"Not Found",0)</f>
        <v>1-A</v>
      </c>
    </row>
    <row r="24" spans="1:9">
      <c r="A24" s="3">
        <f>SUBTOTAL(3,B$3:B24)</f>
        <v>22</v>
      </c>
      <c r="B24" s="3">
        <v>24250065</v>
      </c>
      <c r="C24" s="18" t="str">
        <f>_xlfn.XLOOKUP(Table6[[#This Row],[NIS]],Table2[NIS],Table2[Nama lengkap],"Not Found",0)</f>
        <v>Shefira Alya Rasya</v>
      </c>
      <c r="D24" s="18" t="str">
        <f>_xlfn.XLOOKUP(Table6[[#This Row],[NIS]],Table2[NIS],Table2[Nomer Induk Siswa Nasional],"Not Found",0)</f>
        <v>0125455523</v>
      </c>
      <c r="E24" s="3" t="str">
        <f>_xlfn.XLOOKUP(Table6[[#This Row],[NIS]],Table2[NIS],Table2[Status],"Not Found",0)</f>
        <v>Aktif</v>
      </c>
      <c r="F24" s="3">
        <f>_xlfn.XLOOKUP(Table6[[#This Row],[NIS]],Table2[NIS],Table2[Tahun Masuk],"Not Found",0)</f>
        <v>2024</v>
      </c>
      <c r="G24" s="3">
        <f>_xlfn.XLOOKUP(Table6[[#This Row],[NIS]],Table2[NIS],Table2[Tahun Keluar],"Not Found",0)</f>
        <v>0</v>
      </c>
      <c r="H24" s="3">
        <f>_xlfn.XLOOKUP(Table6[[#This Row],[NIS]],Table2[NIS],Table2[Kelas],"Not Found",0)</f>
        <v>1</v>
      </c>
      <c r="I24" s="3" t="str">
        <f>_xlfn.XLOOKUP(Table6[[#This Row],[NIS]],Table2[NIS],Table2[Kelas Detail],"Not Found",0)</f>
        <v>1-A</v>
      </c>
    </row>
    <row r="25" spans="1:9">
      <c r="A25" s="3">
        <f>SUBTOTAL(3,B$3:B25)</f>
        <v>23</v>
      </c>
      <c r="B25" s="3">
        <v>24250155</v>
      </c>
      <c r="C25" s="18" t="str">
        <f>_xlfn.XLOOKUP(Table6[[#This Row],[NIS]],Table2[NIS],Table2[Nama lengkap],"Not Found",0)</f>
        <v>Siti Aisyah</v>
      </c>
      <c r="D25" s="18" t="str">
        <f>_xlfn.XLOOKUP(Table6[[#This Row],[NIS]],Table2[NIS],Table2[Nomer Induk Siswa Nasional],"Not Found",0)</f>
        <v>0118654728</v>
      </c>
      <c r="E25" s="3" t="str">
        <f>_xlfn.XLOOKUP(Table6[[#This Row],[NIS]],Table2[NIS],Table2[Status],"Not Found",0)</f>
        <v>Aktif</v>
      </c>
      <c r="F25" s="3">
        <f>_xlfn.XLOOKUP(Table6[[#This Row],[NIS]],Table2[NIS],Table2[Tahun Masuk],"Not Found",0)</f>
        <v>2024</v>
      </c>
      <c r="G25" s="3">
        <f>_xlfn.XLOOKUP(Table6[[#This Row],[NIS]],Table2[NIS],Table2[Tahun Keluar],"Not Found",0)</f>
        <v>0</v>
      </c>
      <c r="H25" s="3">
        <f>_xlfn.XLOOKUP(Table6[[#This Row],[NIS]],Table2[NIS],Table2[Kelas],"Not Found",0)</f>
        <v>1</v>
      </c>
      <c r="I25" s="3" t="str">
        <f>_xlfn.XLOOKUP(Table6[[#This Row],[NIS]],Table2[NIS],Table2[Kelas Detail],"Not Found",0)</f>
        <v>1-A</v>
      </c>
    </row>
    <row r="26" spans="1:9">
      <c r="A26" s="3">
        <f>SUBTOTAL(3,B$3:B26)</f>
        <v>24</v>
      </c>
      <c r="B26" s="3">
        <v>24250134</v>
      </c>
      <c r="C26" s="18" t="str">
        <f>_xlfn.XLOOKUP(Table6[[#This Row],[NIS]],Table2[NIS],Table2[Nama lengkap],"Not Found",0)</f>
        <v>Siti Hindun Nurfitriani</v>
      </c>
      <c r="D26" s="18" t="str">
        <f>_xlfn.XLOOKUP(Table6[[#This Row],[NIS]],Table2[NIS],Table2[Nomer Induk Siswa Nasional],"Not Found",0)</f>
        <v>3112950807</v>
      </c>
      <c r="E26" s="3" t="str">
        <f>_xlfn.XLOOKUP(Table6[[#This Row],[NIS]],Table2[NIS],Table2[Status],"Not Found",0)</f>
        <v>Aktif</v>
      </c>
      <c r="F26" s="3">
        <f>_xlfn.XLOOKUP(Table6[[#This Row],[NIS]],Table2[NIS],Table2[Tahun Masuk],"Not Found",0)</f>
        <v>2024</v>
      </c>
      <c r="G26" s="3">
        <f>_xlfn.XLOOKUP(Table6[[#This Row],[NIS]],Table2[NIS],Table2[Tahun Keluar],"Not Found",0)</f>
        <v>0</v>
      </c>
      <c r="H26" s="3">
        <f>_xlfn.XLOOKUP(Table6[[#This Row],[NIS]],Table2[NIS],Table2[Kelas],"Not Found",0)</f>
        <v>1</v>
      </c>
      <c r="I26" s="3" t="str">
        <f>_xlfn.XLOOKUP(Table6[[#This Row],[NIS]],Table2[NIS],Table2[Kelas Detail],"Not Found",0)</f>
        <v>1-A</v>
      </c>
    </row>
    <row r="27" spans="1:9">
      <c r="A27" s="3">
        <f>SUBTOTAL(3,B$3:B27)</f>
        <v>25</v>
      </c>
      <c r="B27" s="3">
        <v>24250174</v>
      </c>
      <c r="C27" s="18" t="str">
        <f>_xlfn.XLOOKUP(Table6[[#This Row],[NIS]],Table2[NIS],Table2[Nama lengkap],"Not Found",0)</f>
        <v>Siti Ummu Salamah</v>
      </c>
      <c r="D27" s="18" t="str">
        <f>_xlfn.XLOOKUP(Table6[[#This Row],[NIS]],Table2[NIS],Table2[Nomer Induk Siswa Nasional],"Not Found",0)</f>
        <v>0121516619</v>
      </c>
      <c r="E27" s="3" t="str">
        <f>_xlfn.XLOOKUP(Table6[[#This Row],[NIS]],Table2[NIS],Table2[Status],"Not Found",0)</f>
        <v>Aktif</v>
      </c>
      <c r="F27" s="3">
        <f>_xlfn.XLOOKUP(Table6[[#This Row],[NIS]],Table2[NIS],Table2[Tahun Masuk],"Not Found",0)</f>
        <v>2024</v>
      </c>
      <c r="G27" s="3">
        <f>_xlfn.XLOOKUP(Table6[[#This Row],[NIS]],Table2[NIS],Table2[Tahun Keluar],"Not Found",0)</f>
        <v>0</v>
      </c>
      <c r="H27" s="3">
        <f>_xlfn.XLOOKUP(Table6[[#This Row],[NIS]],Table2[NIS],Table2[Kelas],"Not Found",0)</f>
        <v>1</v>
      </c>
      <c r="I27" s="3" t="str">
        <f>_xlfn.XLOOKUP(Table6[[#This Row],[NIS]],Table2[NIS],Table2[Kelas Detail],"Not Found",0)</f>
        <v>1-A</v>
      </c>
    </row>
    <row r="28" spans="1:9">
      <c r="A28" s="3">
        <f>SUBTOTAL(3,B$3:B28)</f>
        <v>26</v>
      </c>
      <c r="B28" s="3">
        <v>24250107</v>
      </c>
      <c r="C28" s="18" t="str">
        <f>_xlfn.XLOOKUP(Table6[[#This Row],[NIS]],Table2[NIS],Table2[Nama lengkap],"Not Found",0)</f>
        <v>Syifa Nurhasanah</v>
      </c>
      <c r="D28" s="18" t="str">
        <f>_xlfn.XLOOKUP(Table6[[#This Row],[NIS]],Table2[NIS],Table2[Nomer Induk Siswa Nasional],"Not Found",0)</f>
        <v>0111112517</v>
      </c>
      <c r="E28" s="3" t="str">
        <f>_xlfn.XLOOKUP(Table6[[#This Row],[NIS]],Table2[NIS],Table2[Status],"Not Found",0)</f>
        <v>Aktif</v>
      </c>
      <c r="F28" s="3">
        <f>_xlfn.XLOOKUP(Table6[[#This Row],[NIS]],Table2[NIS],Table2[Tahun Masuk],"Not Found",0)</f>
        <v>2024</v>
      </c>
      <c r="G28" s="3">
        <f>_xlfn.XLOOKUP(Table6[[#This Row],[NIS]],Table2[NIS],Table2[Tahun Keluar],"Not Found",0)</f>
        <v>0</v>
      </c>
      <c r="H28" s="3">
        <f>_xlfn.XLOOKUP(Table6[[#This Row],[NIS]],Table2[NIS],Table2[Kelas],"Not Found",0)</f>
        <v>1</v>
      </c>
      <c r="I28" s="3" t="str">
        <f>_xlfn.XLOOKUP(Table6[[#This Row],[NIS]],Table2[NIS],Table2[Kelas Detail],"Not Found",0)</f>
        <v>1-A</v>
      </c>
    </row>
    <row r="29" spans="1:9">
      <c r="A29" s="3">
        <f>SUBTOTAL(3,B$3:B29)</f>
        <v>27</v>
      </c>
      <c r="B29" s="3">
        <v>24250131</v>
      </c>
      <c r="C29" s="18" t="str">
        <f>_xlfn.XLOOKUP(Table6[[#This Row],[NIS]],Table2[NIS],Table2[Nama lengkap],"Not Found",0)</f>
        <v>Wulan Fitriani</v>
      </c>
      <c r="D29" s="18" t="str">
        <f>_xlfn.XLOOKUP(Table6[[#This Row],[NIS]],Table2[NIS],Table2[Nomer Induk Siswa Nasional],"Not Found",0)</f>
        <v>0114356559</v>
      </c>
      <c r="E29" s="3" t="str">
        <f>_xlfn.XLOOKUP(Table6[[#This Row],[NIS]],Table2[NIS],Table2[Status],"Not Found",0)</f>
        <v>Aktif</v>
      </c>
      <c r="F29" s="3">
        <f>_xlfn.XLOOKUP(Table6[[#This Row],[NIS]],Table2[NIS],Table2[Tahun Masuk],"Not Found",0)</f>
        <v>2024</v>
      </c>
      <c r="G29" s="3">
        <f>_xlfn.XLOOKUP(Table6[[#This Row],[NIS]],Table2[NIS],Table2[Tahun Keluar],"Not Found",0)</f>
        <v>0</v>
      </c>
      <c r="H29" s="3">
        <f>_xlfn.XLOOKUP(Table6[[#This Row],[NIS]],Table2[NIS],Table2[Kelas],"Not Found",0)</f>
        <v>1</v>
      </c>
      <c r="I29" s="3" t="str">
        <f>_xlfn.XLOOKUP(Table6[[#This Row],[NIS]],Table2[NIS],Table2[Kelas Detail],"Not Found",0)</f>
        <v>1-A</v>
      </c>
    </row>
    <row r="30" spans="1:9">
      <c r="A30" s="3">
        <f>SUBTOTAL(3,B$3:B30)</f>
        <v>28</v>
      </c>
      <c r="B30" s="3">
        <v>24250078</v>
      </c>
      <c r="C30" s="18" t="str">
        <f>_xlfn.XLOOKUP(Table6[[#This Row],[NIS]],Table2[NIS],Table2[Nama lengkap],"Not Found",0)</f>
        <v>Zelda Safitri Muhtaf</v>
      </c>
      <c r="D30" s="18" t="str">
        <f>_xlfn.XLOOKUP(Table6[[#This Row],[NIS]],Table2[NIS],Table2[Nomer Induk Siswa Nasional],"Not Found",0)</f>
        <v>0116434685</v>
      </c>
      <c r="E30" s="3" t="str">
        <f>_xlfn.XLOOKUP(Table6[[#This Row],[NIS]],Table2[NIS],Table2[Status],"Not Found",0)</f>
        <v>Aktif</v>
      </c>
      <c r="F30" s="3">
        <f>_xlfn.XLOOKUP(Table6[[#This Row],[NIS]],Table2[NIS],Table2[Tahun Masuk],"Not Found",0)</f>
        <v>2024</v>
      </c>
      <c r="G30" s="3">
        <f>_xlfn.XLOOKUP(Table6[[#This Row],[NIS]],Table2[NIS],Table2[Tahun Keluar],"Not Found",0)</f>
        <v>0</v>
      </c>
      <c r="H30" s="3">
        <f>_xlfn.XLOOKUP(Table6[[#This Row],[NIS]],Table2[NIS],Table2[Kelas],"Not Found",0)</f>
        <v>1</v>
      </c>
      <c r="I30" s="3" t="str">
        <f>_xlfn.XLOOKUP(Table6[[#This Row],[NIS]],Table2[NIS],Table2[Kelas Detail],"Not Found",0)</f>
        <v>1-A</v>
      </c>
    </row>
    <row r="31" spans="1:9">
      <c r="A31" s="3">
        <f>SUBTOTAL(3,B$3:B31)</f>
        <v>29</v>
      </c>
      <c r="B31" s="3">
        <v>24250135</v>
      </c>
      <c r="C31" s="18" t="str">
        <f>_xlfn.XLOOKUP(Table6[[#This Row],[NIS]],Table2[NIS],Table2[Nama lengkap],"Not Found",0)</f>
        <v>Al Zena Faridah</v>
      </c>
      <c r="D31" s="18" t="str">
        <f>_xlfn.XLOOKUP(Table6[[#This Row],[NIS]],Table2[NIS],Table2[Nomer Induk Siswa Nasional],"Not Found",0)</f>
        <v>0119551461</v>
      </c>
      <c r="E31" s="3" t="str">
        <f>_xlfn.XLOOKUP(Table6[[#This Row],[NIS]],Table2[NIS],Table2[Status],"Not Found",0)</f>
        <v>Aktif</v>
      </c>
      <c r="F31" s="3">
        <f>_xlfn.XLOOKUP(Table6[[#This Row],[NIS]],Table2[NIS],Table2[Tahun Masuk],"Not Found",0)</f>
        <v>2024</v>
      </c>
      <c r="G31" s="3">
        <f>_xlfn.XLOOKUP(Table6[[#This Row],[NIS]],Table2[NIS],Table2[Tahun Keluar],"Not Found",0)</f>
        <v>0</v>
      </c>
      <c r="H31" s="3">
        <f>_xlfn.XLOOKUP(Table6[[#This Row],[NIS]],Table2[NIS],Table2[Kelas],"Not Found",0)</f>
        <v>1</v>
      </c>
      <c r="I31" s="3" t="str">
        <f>_xlfn.XLOOKUP(Table6[[#This Row],[NIS]],Table2[NIS],Table2[Kelas Detail],"Not Found",0)</f>
        <v>1-B</v>
      </c>
    </row>
    <row r="32" spans="1:9">
      <c r="A32" s="3">
        <f>SUBTOTAL(3,B$3:B32)</f>
        <v>30</v>
      </c>
      <c r="B32" s="3">
        <v>24250019</v>
      </c>
      <c r="C32" s="18" t="str">
        <f>_xlfn.XLOOKUP(Table6[[#This Row],[NIS]],Table2[NIS],Table2[Nama lengkap],"Not Found",0)</f>
        <v>Alula Maritza Inas</v>
      </c>
      <c r="D32" s="18" t="str">
        <f>_xlfn.XLOOKUP(Table6[[#This Row],[NIS]],Table2[NIS],Table2[Nomer Induk Siswa Nasional],"Not Found",0)</f>
        <v>0128046825</v>
      </c>
      <c r="E32" s="3" t="str">
        <f>_xlfn.XLOOKUP(Table6[[#This Row],[NIS]],Table2[NIS],Table2[Status],"Not Found",0)</f>
        <v>Aktif</v>
      </c>
      <c r="F32" s="3">
        <f>_xlfn.XLOOKUP(Table6[[#This Row],[NIS]],Table2[NIS],Table2[Tahun Masuk],"Not Found",0)</f>
        <v>2024</v>
      </c>
      <c r="G32" s="3">
        <f>_xlfn.XLOOKUP(Table6[[#This Row],[NIS]],Table2[NIS],Table2[Tahun Keluar],"Not Found",0)</f>
        <v>0</v>
      </c>
      <c r="H32" s="3">
        <f>_xlfn.XLOOKUP(Table6[[#This Row],[NIS]],Table2[NIS],Table2[Kelas],"Not Found",0)</f>
        <v>1</v>
      </c>
      <c r="I32" s="3" t="str">
        <f>_xlfn.XLOOKUP(Table6[[#This Row],[NIS]],Table2[NIS],Table2[Kelas Detail],"Not Found",0)</f>
        <v>1-B</v>
      </c>
    </row>
    <row r="33" spans="1:9">
      <c r="A33" s="3">
        <f>SUBTOTAL(3,B$3:B33)</f>
        <v>31</v>
      </c>
      <c r="B33" s="3">
        <v>24250042</v>
      </c>
      <c r="C33" s="18" t="str">
        <f>_xlfn.XLOOKUP(Table6[[#This Row],[NIS]],Table2[NIS],Table2[Nama lengkap],"Not Found",0)</f>
        <v>Anisa Nurul Husna</v>
      </c>
      <c r="D33" s="18" t="str">
        <f>_xlfn.XLOOKUP(Table6[[#This Row],[NIS]],Table2[NIS],Table2[Nomer Induk Siswa Nasional],"Not Found",0)</f>
        <v>0119028338</v>
      </c>
      <c r="E33" s="3" t="str">
        <f>_xlfn.XLOOKUP(Table6[[#This Row],[NIS]],Table2[NIS],Table2[Status],"Not Found",0)</f>
        <v>Aktif</v>
      </c>
      <c r="F33" s="3">
        <f>_xlfn.XLOOKUP(Table6[[#This Row],[NIS]],Table2[NIS],Table2[Tahun Masuk],"Not Found",0)</f>
        <v>2024</v>
      </c>
      <c r="G33" s="3">
        <f>_xlfn.XLOOKUP(Table6[[#This Row],[NIS]],Table2[NIS],Table2[Tahun Keluar],"Not Found",0)</f>
        <v>0</v>
      </c>
      <c r="H33" s="3">
        <f>_xlfn.XLOOKUP(Table6[[#This Row],[NIS]],Table2[NIS],Table2[Kelas],"Not Found",0)</f>
        <v>1</v>
      </c>
      <c r="I33" s="3" t="str">
        <f>_xlfn.XLOOKUP(Table6[[#This Row],[NIS]],Table2[NIS],Table2[Kelas Detail],"Not Found",0)</f>
        <v>1-B</v>
      </c>
    </row>
    <row r="34" spans="1:9">
      <c r="A34" s="3">
        <f>SUBTOTAL(3,B$3:B34)</f>
        <v>32</v>
      </c>
      <c r="B34" s="3">
        <v>24250103</v>
      </c>
      <c r="C34" s="18" t="str">
        <f>_xlfn.XLOOKUP(Table6[[#This Row],[NIS]],Table2[NIS],Table2[Nama lengkap],"Not Found",0)</f>
        <v>Azalea Rashmika Husna</v>
      </c>
      <c r="D34" s="18">
        <f>_xlfn.XLOOKUP(Table6[[#This Row],[NIS]],Table2[NIS],Table2[Nomer Induk Siswa Nasional],"Not Found",0)</f>
        <v>129296300</v>
      </c>
      <c r="E34" s="3" t="str">
        <f>_xlfn.XLOOKUP(Table6[[#This Row],[NIS]],Table2[NIS],Table2[Status],"Not Found",0)</f>
        <v>Aktif</v>
      </c>
      <c r="F34" s="3">
        <f>_xlfn.XLOOKUP(Table6[[#This Row],[NIS]],Table2[NIS],Table2[Tahun Masuk],"Not Found",0)</f>
        <v>2024</v>
      </c>
      <c r="G34" s="3">
        <f>_xlfn.XLOOKUP(Table6[[#This Row],[NIS]],Table2[NIS],Table2[Tahun Keluar],"Not Found",0)</f>
        <v>0</v>
      </c>
      <c r="H34" s="3">
        <f>_xlfn.XLOOKUP(Table6[[#This Row],[NIS]],Table2[NIS],Table2[Kelas],"Not Found",0)</f>
        <v>1</v>
      </c>
      <c r="I34" s="3" t="str">
        <f>_xlfn.XLOOKUP(Table6[[#This Row],[NIS]],Table2[NIS],Table2[Kelas Detail],"Not Found",0)</f>
        <v>1-B</v>
      </c>
    </row>
    <row r="35" spans="1:9">
      <c r="A35" s="3">
        <f>SUBTOTAL(3,B$3:B35)</f>
        <v>33</v>
      </c>
      <c r="B35" s="3">
        <v>24250099</v>
      </c>
      <c r="C35" s="18" t="str">
        <f>_xlfn.XLOOKUP(Table6[[#This Row],[NIS]],Table2[NIS],Table2[Nama lengkap],"Not Found",0)</f>
        <v>Azkya Ulfatun Nisa</v>
      </c>
      <c r="D35" s="18">
        <f>_xlfn.XLOOKUP(Table6[[#This Row],[NIS]],Table2[NIS],Table2[Nomer Induk Siswa Nasional],"Not Found",0)</f>
        <v>3117527917</v>
      </c>
      <c r="E35" s="3" t="str">
        <f>_xlfn.XLOOKUP(Table6[[#This Row],[NIS]],Table2[NIS],Table2[Status],"Not Found",0)</f>
        <v>Aktif</v>
      </c>
      <c r="F35" s="3">
        <f>_xlfn.XLOOKUP(Table6[[#This Row],[NIS]],Table2[NIS],Table2[Tahun Masuk],"Not Found",0)</f>
        <v>2024</v>
      </c>
      <c r="G35" s="3">
        <f>_xlfn.XLOOKUP(Table6[[#This Row],[NIS]],Table2[NIS],Table2[Tahun Keluar],"Not Found",0)</f>
        <v>0</v>
      </c>
      <c r="H35" s="3">
        <f>_xlfn.XLOOKUP(Table6[[#This Row],[NIS]],Table2[NIS],Table2[Kelas],"Not Found",0)</f>
        <v>1</v>
      </c>
      <c r="I35" s="3" t="str">
        <f>_xlfn.XLOOKUP(Table6[[#This Row],[NIS]],Table2[NIS],Table2[Kelas Detail],"Not Found",0)</f>
        <v>1-B</v>
      </c>
    </row>
    <row r="36" spans="1:9">
      <c r="A36" s="3">
        <f>SUBTOTAL(3,B$3:B36)</f>
        <v>34</v>
      </c>
      <c r="B36" s="3">
        <v>24250073</v>
      </c>
      <c r="C36" s="18" t="str">
        <f>_xlfn.XLOOKUP(Table6[[#This Row],[NIS]],Table2[NIS],Table2[Nama lengkap],"Not Found",0)</f>
        <v>Dieska Fitri Aisyah Solahudin</v>
      </c>
      <c r="D36" s="18">
        <f>_xlfn.XLOOKUP(Table6[[#This Row],[NIS]],Table2[NIS],Table2[Nomer Induk Siswa Nasional],"Not Found",0)</f>
        <v>3113321539</v>
      </c>
      <c r="E36" s="3" t="str">
        <f>_xlfn.XLOOKUP(Table6[[#This Row],[NIS]],Table2[NIS],Table2[Status],"Not Found",0)</f>
        <v>Aktif</v>
      </c>
      <c r="F36" s="3">
        <f>_xlfn.XLOOKUP(Table6[[#This Row],[NIS]],Table2[NIS],Table2[Tahun Masuk],"Not Found",0)</f>
        <v>2024</v>
      </c>
      <c r="G36" s="3">
        <f>_xlfn.XLOOKUP(Table6[[#This Row],[NIS]],Table2[NIS],Table2[Tahun Keluar],"Not Found",0)</f>
        <v>0</v>
      </c>
      <c r="H36" s="3">
        <f>_xlfn.XLOOKUP(Table6[[#This Row],[NIS]],Table2[NIS],Table2[Kelas],"Not Found",0)</f>
        <v>1</v>
      </c>
      <c r="I36" s="3" t="str">
        <f>_xlfn.XLOOKUP(Table6[[#This Row],[NIS]],Table2[NIS],Table2[Kelas Detail],"Not Found",0)</f>
        <v>1-B</v>
      </c>
    </row>
    <row r="37" spans="1:9">
      <c r="A37" s="3">
        <f>SUBTOTAL(3,B$3:B37)</f>
        <v>35</v>
      </c>
      <c r="B37" s="3">
        <v>24250037</v>
      </c>
      <c r="C37" s="18" t="str">
        <f>_xlfn.XLOOKUP(Table6[[#This Row],[NIS]],Table2[NIS],Table2[Nama lengkap],"Not Found",0)</f>
        <v>Hasna Sabiya</v>
      </c>
      <c r="D37" s="18" t="str">
        <f>_xlfn.XLOOKUP(Table6[[#This Row],[NIS]],Table2[NIS],Table2[Nomer Induk Siswa Nasional],"Not Found",0)</f>
        <v>0117121336</v>
      </c>
      <c r="E37" s="3" t="str">
        <f>_xlfn.XLOOKUP(Table6[[#This Row],[NIS]],Table2[NIS],Table2[Status],"Not Found",0)</f>
        <v>Aktif</v>
      </c>
      <c r="F37" s="3">
        <f>_xlfn.XLOOKUP(Table6[[#This Row],[NIS]],Table2[NIS],Table2[Tahun Masuk],"Not Found",0)</f>
        <v>2024</v>
      </c>
      <c r="G37" s="3">
        <f>_xlfn.XLOOKUP(Table6[[#This Row],[NIS]],Table2[NIS],Table2[Tahun Keluar],"Not Found",0)</f>
        <v>0</v>
      </c>
      <c r="H37" s="3">
        <f>_xlfn.XLOOKUP(Table6[[#This Row],[NIS]],Table2[NIS],Table2[Kelas],"Not Found",0)</f>
        <v>1</v>
      </c>
      <c r="I37" s="3" t="str">
        <f>_xlfn.XLOOKUP(Table6[[#This Row],[NIS]],Table2[NIS],Table2[Kelas Detail],"Not Found",0)</f>
        <v>1-B</v>
      </c>
    </row>
    <row r="38" spans="1:9">
      <c r="A38" s="3">
        <f>SUBTOTAL(3,B$3:B38)</f>
        <v>36</v>
      </c>
      <c r="B38" s="3">
        <v>24250141</v>
      </c>
      <c r="C38" s="18" t="str">
        <f>_xlfn.XLOOKUP(Table6[[#This Row],[NIS]],Table2[NIS],Table2[Nama lengkap],"Not Found",0)</f>
        <v>Humairo Siti Salsabila</v>
      </c>
      <c r="D38" s="18" t="str">
        <f>_xlfn.XLOOKUP(Table6[[#This Row],[NIS]],Table2[NIS],Table2[Nomer Induk Siswa Nasional],"Not Found",0)</f>
        <v>3126235472</v>
      </c>
      <c r="E38" s="3" t="str">
        <f>_xlfn.XLOOKUP(Table6[[#This Row],[NIS]],Table2[NIS],Table2[Status],"Not Found",0)</f>
        <v>Aktif</v>
      </c>
      <c r="F38" s="3">
        <f>_xlfn.XLOOKUP(Table6[[#This Row],[NIS]],Table2[NIS],Table2[Tahun Masuk],"Not Found",0)</f>
        <v>2024</v>
      </c>
      <c r="G38" s="3">
        <f>_xlfn.XLOOKUP(Table6[[#This Row],[NIS]],Table2[NIS],Table2[Tahun Keluar],"Not Found",0)</f>
        <v>0</v>
      </c>
      <c r="H38" s="3">
        <f>_xlfn.XLOOKUP(Table6[[#This Row],[NIS]],Table2[NIS],Table2[Kelas],"Not Found",0)</f>
        <v>1</v>
      </c>
      <c r="I38" s="3" t="str">
        <f>_xlfn.XLOOKUP(Table6[[#This Row],[NIS]],Table2[NIS],Table2[Kelas Detail],"Not Found",0)</f>
        <v>1-B</v>
      </c>
    </row>
    <row r="39" spans="1:9">
      <c r="A39" s="3">
        <f>SUBTOTAL(3,B$3:B39)</f>
        <v>37</v>
      </c>
      <c r="B39" s="3">
        <v>23240068</v>
      </c>
      <c r="C39" s="18" t="str">
        <f>_xlfn.XLOOKUP(Table6[[#This Row],[NIS]],Table2[NIS],Table2[Nama lengkap],"Not Found",0)</f>
        <v>Jelita Dini Lifriyani</v>
      </c>
      <c r="D39" s="18" t="str">
        <f>_xlfn.XLOOKUP(Table6[[#This Row],[NIS]],Table2[NIS],Table2[Nomer Induk Siswa Nasional],"Not Found",0)</f>
        <v>0119521399/0115829215</v>
      </c>
      <c r="E39" s="3" t="str">
        <f>_xlfn.XLOOKUP(Table6[[#This Row],[NIS]],Table2[NIS],Table2[Status],"Not Found",0)</f>
        <v>Aktif</v>
      </c>
      <c r="F39" s="3">
        <f>_xlfn.XLOOKUP(Table6[[#This Row],[NIS]],Table2[NIS],Table2[Tahun Masuk],"Not Found",0)</f>
        <v>2023</v>
      </c>
      <c r="G39" s="3">
        <f>_xlfn.XLOOKUP(Table6[[#This Row],[NIS]],Table2[NIS],Table2[Tahun Keluar],"Not Found",0)</f>
        <v>0</v>
      </c>
      <c r="H39" s="3">
        <f>_xlfn.XLOOKUP(Table6[[#This Row],[NIS]],Table2[NIS],Table2[Kelas],"Not Found",0)</f>
        <v>1</v>
      </c>
      <c r="I39" s="3" t="str">
        <f>_xlfn.XLOOKUP(Table6[[#This Row],[NIS]],Table2[NIS],Table2[Kelas Detail],"Not Found",0)</f>
        <v>1-B</v>
      </c>
    </row>
    <row r="40" spans="1:9">
      <c r="A40" s="3">
        <f>SUBTOTAL(3,B$3:B40)</f>
        <v>38</v>
      </c>
      <c r="B40" s="3">
        <v>22230195</v>
      </c>
      <c r="C40" s="18" t="str">
        <f>_xlfn.XLOOKUP(Table6[[#This Row],[NIS]],Table2[NIS],Table2[Nama lengkap],"Not Found",0)</f>
        <v>Lia Apriliani</v>
      </c>
      <c r="D40" s="18" t="str">
        <f>_xlfn.XLOOKUP(Table6[[#This Row],[NIS]],Table2[NIS],Table2[Nomer Induk Siswa Nasional],"Not Found",0)</f>
        <v>0076288197</v>
      </c>
      <c r="E40" s="3" t="str">
        <f>_xlfn.XLOOKUP(Table6[[#This Row],[NIS]],Table2[NIS],Table2[Status],"Not Found",0)</f>
        <v>Waqof</v>
      </c>
      <c r="F40" s="3">
        <f>_xlfn.XLOOKUP(Table6[[#This Row],[NIS]],Table2[NIS],Table2[Tahun Masuk],"Not Found",0)</f>
        <v>2022</v>
      </c>
      <c r="G40" s="3">
        <f>_xlfn.XLOOKUP(Table6[[#This Row],[NIS]],Table2[NIS],Table2[Tahun Keluar],"Not Found",0)</f>
        <v>0</v>
      </c>
      <c r="H40" s="3">
        <f>_xlfn.XLOOKUP(Table6[[#This Row],[NIS]],Table2[NIS],Table2[Kelas],"Not Found",0)</f>
        <v>1</v>
      </c>
      <c r="I40" s="3" t="str">
        <f>_xlfn.XLOOKUP(Table6[[#This Row],[NIS]],Table2[NIS],Table2[Kelas Detail],"Not Found",0)</f>
        <v>1-B</v>
      </c>
    </row>
    <row r="41" spans="1:9">
      <c r="A41" s="3">
        <f>SUBTOTAL(3,B$3:B41)</f>
        <v>39</v>
      </c>
      <c r="B41" s="3">
        <v>24250144</v>
      </c>
      <c r="C41" s="18" t="str">
        <f>_xlfn.XLOOKUP(Table6[[#This Row],[NIS]],Table2[NIS],Table2[Nama lengkap],"Not Found",0)</f>
        <v>Maulidiah Husna Ai'Nurofik</v>
      </c>
      <c r="D41" s="18" t="str">
        <f>_xlfn.XLOOKUP(Table6[[#This Row],[NIS]],Table2[NIS],Table2[Nomer Induk Siswa Nasional],"Not Found",0)</f>
        <v>0112186112</v>
      </c>
      <c r="E41" s="3" t="str">
        <f>_xlfn.XLOOKUP(Table6[[#This Row],[NIS]],Table2[NIS],Table2[Status],"Not Found",0)</f>
        <v>Aktif</v>
      </c>
      <c r="F41" s="3">
        <f>_xlfn.XLOOKUP(Table6[[#This Row],[NIS]],Table2[NIS],Table2[Tahun Masuk],"Not Found",0)</f>
        <v>2024</v>
      </c>
      <c r="G41" s="3">
        <f>_xlfn.XLOOKUP(Table6[[#This Row],[NIS]],Table2[NIS],Table2[Tahun Keluar],"Not Found",0)</f>
        <v>0</v>
      </c>
      <c r="H41" s="3">
        <f>_xlfn.XLOOKUP(Table6[[#This Row],[NIS]],Table2[NIS],Table2[Kelas],"Not Found",0)</f>
        <v>1</v>
      </c>
      <c r="I41" s="3" t="str">
        <f>_xlfn.XLOOKUP(Table6[[#This Row],[NIS]],Table2[NIS],Table2[Kelas Detail],"Not Found",0)</f>
        <v>1-B</v>
      </c>
    </row>
    <row r="42" spans="1:9">
      <c r="A42" s="3">
        <f>SUBTOTAL(3,B$3:B42)</f>
        <v>40</v>
      </c>
      <c r="B42" s="3">
        <v>24250146</v>
      </c>
      <c r="C42" s="18" t="str">
        <f>_xlfn.XLOOKUP(Table6[[#This Row],[NIS]],Table2[NIS],Table2[Nama lengkap],"Not Found",0)</f>
        <v>Meysha Hana Nafeeza</v>
      </c>
      <c r="D42" s="18" t="str">
        <f>_xlfn.XLOOKUP(Table6[[#This Row],[NIS]],Table2[NIS],Table2[Nomer Induk Siswa Nasional],"Not Found",0)</f>
        <v>0126407847</v>
      </c>
      <c r="E42" s="3" t="str">
        <f>_xlfn.XLOOKUP(Table6[[#This Row],[NIS]],Table2[NIS],Table2[Status],"Not Found",0)</f>
        <v>Aktif</v>
      </c>
      <c r="F42" s="3">
        <f>_xlfn.XLOOKUP(Table6[[#This Row],[NIS]],Table2[NIS],Table2[Tahun Masuk],"Not Found",0)</f>
        <v>2024</v>
      </c>
      <c r="G42" s="3">
        <f>_xlfn.XLOOKUP(Table6[[#This Row],[NIS]],Table2[NIS],Table2[Tahun Keluar],"Not Found",0)</f>
        <v>0</v>
      </c>
      <c r="H42" s="3">
        <f>_xlfn.XLOOKUP(Table6[[#This Row],[NIS]],Table2[NIS],Table2[Kelas],"Not Found",0)</f>
        <v>1</v>
      </c>
      <c r="I42" s="3" t="str">
        <f>_xlfn.XLOOKUP(Table6[[#This Row],[NIS]],Table2[NIS],Table2[Kelas Detail],"Not Found",0)</f>
        <v>1-B</v>
      </c>
    </row>
    <row r="43" spans="1:9">
      <c r="A43" s="3">
        <f>SUBTOTAL(3,B$3:B43)</f>
        <v>41</v>
      </c>
      <c r="B43" s="3">
        <v>24250160</v>
      </c>
      <c r="C43" s="18" t="str">
        <f>_xlfn.XLOOKUP(Table6[[#This Row],[NIS]],Table2[NIS],Table2[Nama lengkap],"Not Found",0)</f>
        <v>Najwa Alkubraa</v>
      </c>
      <c r="D43" s="18" t="str">
        <f>_xlfn.XLOOKUP(Table6[[#This Row],[NIS]],Table2[NIS],Table2[Nomer Induk Siswa Nasional],"Not Found",0)</f>
        <v>0129698816</v>
      </c>
      <c r="E43" s="3" t="str">
        <f>_xlfn.XLOOKUP(Table6[[#This Row],[NIS]],Table2[NIS],Table2[Status],"Not Found",0)</f>
        <v>Aktif</v>
      </c>
      <c r="F43" s="3">
        <f>_xlfn.XLOOKUP(Table6[[#This Row],[NIS]],Table2[NIS],Table2[Tahun Masuk],"Not Found",0)</f>
        <v>2024</v>
      </c>
      <c r="G43" s="3">
        <f>_xlfn.XLOOKUP(Table6[[#This Row],[NIS]],Table2[NIS],Table2[Tahun Keluar],"Not Found",0)</f>
        <v>0</v>
      </c>
      <c r="H43" s="3">
        <f>_xlfn.XLOOKUP(Table6[[#This Row],[NIS]],Table2[NIS],Table2[Kelas],"Not Found",0)</f>
        <v>1</v>
      </c>
      <c r="I43" s="3" t="str">
        <f>_xlfn.XLOOKUP(Table6[[#This Row],[NIS]],Table2[NIS],Table2[Kelas Detail],"Not Found",0)</f>
        <v>1-B</v>
      </c>
    </row>
    <row r="44" spans="1:9">
      <c r="A44" s="3">
        <f>SUBTOTAL(3,B$3:B44)</f>
        <v>42</v>
      </c>
      <c r="B44" s="3">
        <v>24250154</v>
      </c>
      <c r="C44" s="18" t="str">
        <f>_xlfn.XLOOKUP(Table6[[#This Row],[NIS]],Table2[NIS],Table2[Nama lengkap],"Not Found",0)</f>
        <v>Neng Sri Rahayu Padilah</v>
      </c>
      <c r="D44" s="18" t="str">
        <f>_xlfn.XLOOKUP(Table6[[#This Row],[NIS]],Table2[NIS],Table2[Nomer Induk Siswa Nasional],"Not Found",0)</f>
        <v>0112900321</v>
      </c>
      <c r="E44" s="3" t="str">
        <f>_xlfn.XLOOKUP(Table6[[#This Row],[NIS]],Table2[NIS],Table2[Status],"Not Found",0)</f>
        <v>Aktif</v>
      </c>
      <c r="F44" s="3">
        <f>_xlfn.XLOOKUP(Table6[[#This Row],[NIS]],Table2[NIS],Table2[Tahun Masuk],"Not Found",0)</f>
        <v>2024</v>
      </c>
      <c r="G44" s="3">
        <f>_xlfn.XLOOKUP(Table6[[#This Row],[NIS]],Table2[NIS],Table2[Tahun Keluar],"Not Found",0)</f>
        <v>0</v>
      </c>
      <c r="H44" s="3">
        <f>_xlfn.XLOOKUP(Table6[[#This Row],[NIS]],Table2[NIS],Table2[Kelas],"Not Found",0)</f>
        <v>1</v>
      </c>
      <c r="I44" s="3" t="str">
        <f>_xlfn.XLOOKUP(Table6[[#This Row],[NIS]],Table2[NIS],Table2[Kelas Detail],"Not Found",0)</f>
        <v>1-B</v>
      </c>
    </row>
    <row r="45" spans="1:9">
      <c r="A45" s="3">
        <f>SUBTOTAL(3,B$3:B45)</f>
        <v>43</v>
      </c>
      <c r="B45" s="3">
        <v>24250031</v>
      </c>
      <c r="C45" s="18" t="str">
        <f>_xlfn.XLOOKUP(Table6[[#This Row],[NIS]],Table2[NIS],Table2[Nama lengkap],"Not Found",0)</f>
        <v>Nur Amanah</v>
      </c>
      <c r="D45" s="18" t="str">
        <f>_xlfn.XLOOKUP(Table6[[#This Row],[NIS]],Table2[NIS],Table2[Nomer Induk Siswa Nasional],"Not Found",0)</f>
        <v>0113956011</v>
      </c>
      <c r="E45" s="3" t="str">
        <f>_xlfn.XLOOKUP(Table6[[#This Row],[NIS]],Table2[NIS],Table2[Status],"Not Found",0)</f>
        <v>Aktif</v>
      </c>
      <c r="F45" s="3">
        <f>_xlfn.XLOOKUP(Table6[[#This Row],[NIS]],Table2[NIS],Table2[Tahun Masuk],"Not Found",0)</f>
        <v>2024</v>
      </c>
      <c r="G45" s="3">
        <f>_xlfn.XLOOKUP(Table6[[#This Row],[NIS]],Table2[NIS],Table2[Tahun Keluar],"Not Found",0)</f>
        <v>0</v>
      </c>
      <c r="H45" s="3">
        <f>_xlfn.XLOOKUP(Table6[[#This Row],[NIS]],Table2[NIS],Table2[Kelas],"Not Found",0)</f>
        <v>1</v>
      </c>
      <c r="I45" s="3" t="str">
        <f>_xlfn.XLOOKUP(Table6[[#This Row],[NIS]],Table2[NIS],Table2[Kelas Detail],"Not Found",0)</f>
        <v>1-B</v>
      </c>
    </row>
    <row r="46" spans="1:9">
      <c r="A46" s="3">
        <f>SUBTOTAL(3,B$3:B46)</f>
        <v>44</v>
      </c>
      <c r="B46" s="3">
        <v>22230141</v>
      </c>
      <c r="C46" s="18" t="str">
        <f>_xlfn.XLOOKUP(Table6[[#This Row],[NIS]],Table2[NIS],Table2[Nama lengkap],"Not Found",0)</f>
        <v xml:space="preserve">Nur Lelah </v>
      </c>
      <c r="D46" s="18" t="str">
        <f>_xlfn.XLOOKUP(Table6[[#This Row],[NIS]],Table2[NIS],Table2[Nomer Induk Siswa Nasional],"Not Found",0)</f>
        <v>3109362914</v>
      </c>
      <c r="E46" s="3" t="str">
        <f>_xlfn.XLOOKUP(Table6[[#This Row],[NIS]],Table2[NIS],Table2[Status],"Not Found",0)</f>
        <v>Aktif</v>
      </c>
      <c r="F46" s="3">
        <f>_xlfn.XLOOKUP(Table6[[#This Row],[NIS]],Table2[NIS],Table2[Tahun Masuk],"Not Found",0)</f>
        <v>2022</v>
      </c>
      <c r="G46" s="3" t="str">
        <f>_xlfn.XLOOKUP(Table6[[#This Row],[NIS]],Table2[NIS],Table2[Tahun Keluar],"Not Found",0)</f>
        <v>TB</v>
      </c>
      <c r="H46" s="3">
        <f>_xlfn.XLOOKUP(Table6[[#This Row],[NIS]],Table2[NIS],Table2[Kelas],"Not Found",0)</f>
        <v>1</v>
      </c>
      <c r="I46" s="3" t="str">
        <f>_xlfn.XLOOKUP(Table6[[#This Row],[NIS]],Table2[NIS],Table2[Kelas Detail],"Not Found",0)</f>
        <v>1-B</v>
      </c>
    </row>
    <row r="47" spans="1:9">
      <c r="A47" s="3">
        <f>SUBTOTAL(3,B$3:B47)</f>
        <v>45</v>
      </c>
      <c r="B47" s="3">
        <v>24250020</v>
      </c>
      <c r="C47" s="18" t="str">
        <f>_xlfn.XLOOKUP(Table6[[#This Row],[NIS]],Table2[NIS],Table2[Nama lengkap],"Not Found",0)</f>
        <v>Putri Fitria Purnama</v>
      </c>
      <c r="D47" s="18">
        <f>_xlfn.XLOOKUP(Table6[[#This Row],[NIS]],Table2[NIS],Table2[Nomer Induk Siswa Nasional],"Not Found",0)</f>
        <v>3118659397</v>
      </c>
      <c r="E47" s="3" t="str">
        <f>_xlfn.XLOOKUP(Table6[[#This Row],[NIS]],Table2[NIS],Table2[Status],"Not Found",0)</f>
        <v>Aktif</v>
      </c>
      <c r="F47" s="3">
        <f>_xlfn.XLOOKUP(Table6[[#This Row],[NIS]],Table2[NIS],Table2[Tahun Masuk],"Not Found",0)</f>
        <v>2024</v>
      </c>
      <c r="G47" s="3">
        <f>_xlfn.XLOOKUP(Table6[[#This Row],[NIS]],Table2[NIS],Table2[Tahun Keluar],"Not Found",0)</f>
        <v>0</v>
      </c>
      <c r="H47" s="3">
        <f>_xlfn.XLOOKUP(Table6[[#This Row],[NIS]],Table2[NIS],Table2[Kelas],"Not Found",0)</f>
        <v>1</v>
      </c>
      <c r="I47" s="3" t="str">
        <f>_xlfn.XLOOKUP(Table6[[#This Row],[NIS]],Table2[NIS],Table2[Kelas Detail],"Not Found",0)</f>
        <v>1-B</v>
      </c>
    </row>
    <row r="48" spans="1:9">
      <c r="A48" s="3">
        <f>SUBTOTAL(3,B$3:B48)</f>
        <v>46</v>
      </c>
      <c r="B48" s="3">
        <v>24250068</v>
      </c>
      <c r="C48" s="18" t="str">
        <f>_xlfn.XLOOKUP(Table6[[#This Row],[NIS]],Table2[NIS],Table2[Nama lengkap],"Not Found",0)</f>
        <v>Raden Nurul Husna Azzahra</v>
      </c>
      <c r="D48" s="18" t="str">
        <f>_xlfn.XLOOKUP(Table6[[#This Row],[NIS]],Table2[NIS],Table2[Nomer Induk Siswa Nasional],"Not Found",0)</f>
        <v>0128652114</v>
      </c>
      <c r="E48" s="3" t="str">
        <f>_xlfn.XLOOKUP(Table6[[#This Row],[NIS]],Table2[NIS],Table2[Status],"Not Found",0)</f>
        <v>Aktif</v>
      </c>
      <c r="F48" s="3">
        <f>_xlfn.XLOOKUP(Table6[[#This Row],[NIS]],Table2[NIS],Table2[Tahun Masuk],"Not Found",0)</f>
        <v>2024</v>
      </c>
      <c r="G48" s="3">
        <f>_xlfn.XLOOKUP(Table6[[#This Row],[NIS]],Table2[NIS],Table2[Tahun Keluar],"Not Found",0)</f>
        <v>0</v>
      </c>
      <c r="H48" s="3">
        <f>_xlfn.XLOOKUP(Table6[[#This Row],[NIS]],Table2[NIS],Table2[Kelas],"Not Found",0)</f>
        <v>1</v>
      </c>
      <c r="I48" s="3" t="str">
        <f>_xlfn.XLOOKUP(Table6[[#This Row],[NIS]],Table2[NIS],Table2[Kelas Detail],"Not Found",0)</f>
        <v>1-B</v>
      </c>
    </row>
    <row r="49" spans="1:9">
      <c r="A49" s="3">
        <f>SUBTOTAL(3,B$3:B49)</f>
        <v>47</v>
      </c>
      <c r="B49" s="3">
        <v>24250079</v>
      </c>
      <c r="C49" s="18" t="str">
        <f>_xlfn.XLOOKUP(Table6[[#This Row],[NIS]],Table2[NIS],Table2[Nama lengkap],"Not Found",0)</f>
        <v>Revina Syifa Nurfadhilah</v>
      </c>
      <c r="D49" s="18" t="str">
        <f>_xlfn.XLOOKUP(Table6[[#This Row],[NIS]],Table2[NIS],Table2[Nomer Induk Siswa Nasional],"Not Found",0)</f>
        <v>0124157734</v>
      </c>
      <c r="E49" s="3" t="str">
        <f>_xlfn.XLOOKUP(Table6[[#This Row],[NIS]],Table2[NIS],Table2[Status],"Not Found",0)</f>
        <v>Aktif</v>
      </c>
      <c r="F49" s="3">
        <f>_xlfn.XLOOKUP(Table6[[#This Row],[NIS]],Table2[NIS],Table2[Tahun Masuk],"Not Found",0)</f>
        <v>2024</v>
      </c>
      <c r="G49" s="3">
        <f>_xlfn.XLOOKUP(Table6[[#This Row],[NIS]],Table2[NIS],Table2[Tahun Keluar],"Not Found",0)</f>
        <v>0</v>
      </c>
      <c r="H49" s="3">
        <f>_xlfn.XLOOKUP(Table6[[#This Row],[NIS]],Table2[NIS],Table2[Kelas],"Not Found",0)</f>
        <v>1</v>
      </c>
      <c r="I49" s="3" t="str">
        <f>_xlfn.XLOOKUP(Table6[[#This Row],[NIS]],Table2[NIS],Table2[Kelas Detail],"Not Found",0)</f>
        <v>1-B</v>
      </c>
    </row>
    <row r="50" spans="1:9">
      <c r="A50" s="3">
        <f>SUBTOTAL(3,B$3:B50)</f>
        <v>48</v>
      </c>
      <c r="B50" s="3">
        <v>24250109</v>
      </c>
      <c r="C50" s="18" t="str">
        <f>_xlfn.XLOOKUP(Table6[[#This Row],[NIS]],Table2[NIS],Table2[Nama lengkap],"Not Found",0)</f>
        <v>Sayyidah Khodijah Nazla Salamah</v>
      </c>
      <c r="D50" s="18">
        <f>_xlfn.XLOOKUP(Table6[[#This Row],[NIS]],Table2[NIS],Table2[Nomer Induk Siswa Nasional],"Not Found",0)</f>
        <v>3117625928</v>
      </c>
      <c r="E50" s="3" t="str">
        <f>_xlfn.XLOOKUP(Table6[[#This Row],[NIS]],Table2[NIS],Table2[Status],"Not Found",0)</f>
        <v>Aktif</v>
      </c>
      <c r="F50" s="3">
        <f>_xlfn.XLOOKUP(Table6[[#This Row],[NIS]],Table2[NIS],Table2[Tahun Masuk],"Not Found",0)</f>
        <v>2024</v>
      </c>
      <c r="G50" s="3">
        <f>_xlfn.XLOOKUP(Table6[[#This Row],[NIS]],Table2[NIS],Table2[Tahun Keluar],"Not Found",0)</f>
        <v>0</v>
      </c>
      <c r="H50" s="3">
        <f>_xlfn.XLOOKUP(Table6[[#This Row],[NIS]],Table2[NIS],Table2[Kelas],"Not Found",0)</f>
        <v>1</v>
      </c>
      <c r="I50" s="3" t="str">
        <f>_xlfn.XLOOKUP(Table6[[#This Row],[NIS]],Table2[NIS],Table2[Kelas Detail],"Not Found",0)</f>
        <v>1-B</v>
      </c>
    </row>
    <row r="51" spans="1:9">
      <c r="A51" s="3">
        <f>SUBTOTAL(3,B$3:B51)</f>
        <v>49</v>
      </c>
      <c r="B51" s="3">
        <v>24250094</v>
      </c>
      <c r="C51" s="18" t="str">
        <f>_xlfn.XLOOKUP(Table6[[#This Row],[NIS]],Table2[NIS],Table2[Nama lengkap],"Not Found",0)</f>
        <v>Siti Fahira Azzalia</v>
      </c>
      <c r="D51" s="18" t="str">
        <f>_xlfn.XLOOKUP(Table6[[#This Row],[NIS]],Table2[NIS],Table2[Nomer Induk Siswa Nasional],"Not Found",0)</f>
        <v>0114367446</v>
      </c>
      <c r="E51" s="3" t="str">
        <f>_xlfn.XLOOKUP(Table6[[#This Row],[NIS]],Table2[NIS],Table2[Status],"Not Found",0)</f>
        <v>Aktif</v>
      </c>
      <c r="F51" s="3">
        <f>_xlfn.XLOOKUP(Table6[[#This Row],[NIS]],Table2[NIS],Table2[Tahun Masuk],"Not Found",0)</f>
        <v>2024</v>
      </c>
      <c r="G51" s="3">
        <f>_xlfn.XLOOKUP(Table6[[#This Row],[NIS]],Table2[NIS],Table2[Tahun Keluar],"Not Found",0)</f>
        <v>0</v>
      </c>
      <c r="H51" s="3">
        <f>_xlfn.XLOOKUP(Table6[[#This Row],[NIS]],Table2[NIS],Table2[Kelas],"Not Found",0)</f>
        <v>1</v>
      </c>
      <c r="I51" s="3" t="str">
        <f>_xlfn.XLOOKUP(Table6[[#This Row],[NIS]],Table2[NIS],Table2[Kelas Detail],"Not Found",0)</f>
        <v>1-B</v>
      </c>
    </row>
    <row r="52" spans="1:9">
      <c r="A52" s="3">
        <f>SUBTOTAL(3,B$3:B52)</f>
        <v>50</v>
      </c>
      <c r="B52" s="3">
        <v>24250024</v>
      </c>
      <c r="C52" s="18" t="str">
        <f>_xlfn.XLOOKUP(Table6[[#This Row],[NIS]],Table2[NIS],Table2[Nama lengkap],"Not Found",0)</f>
        <v>Siti Khodijah Budi Putri</v>
      </c>
      <c r="D52" s="18" t="str">
        <f>_xlfn.XLOOKUP(Table6[[#This Row],[NIS]],Table2[NIS],Table2[Nomer Induk Siswa Nasional],"Not Found",0)</f>
        <v>0119985520</v>
      </c>
      <c r="E52" s="3" t="str">
        <f>_xlfn.XLOOKUP(Table6[[#This Row],[NIS]],Table2[NIS],Table2[Status],"Not Found",0)</f>
        <v>Aktif</v>
      </c>
      <c r="F52" s="3">
        <f>_xlfn.XLOOKUP(Table6[[#This Row],[NIS]],Table2[NIS],Table2[Tahun Masuk],"Not Found",0)</f>
        <v>2024</v>
      </c>
      <c r="G52" s="3">
        <f>_xlfn.XLOOKUP(Table6[[#This Row],[NIS]],Table2[NIS],Table2[Tahun Keluar],"Not Found",0)</f>
        <v>0</v>
      </c>
      <c r="H52" s="3">
        <f>_xlfn.XLOOKUP(Table6[[#This Row],[NIS]],Table2[NIS],Table2[Kelas],"Not Found",0)</f>
        <v>1</v>
      </c>
      <c r="I52" s="3" t="str">
        <f>_xlfn.XLOOKUP(Table6[[#This Row],[NIS]],Table2[NIS],Table2[Kelas Detail],"Not Found",0)</f>
        <v>1-B</v>
      </c>
    </row>
    <row r="53" spans="1:9">
      <c r="A53" s="3">
        <f>SUBTOTAL(3,B$3:B53)</f>
        <v>51</v>
      </c>
      <c r="B53" s="3">
        <v>24250122</v>
      </c>
      <c r="C53" s="18" t="str">
        <f>_xlfn.XLOOKUP(Table6[[#This Row],[NIS]],Table2[NIS],Table2[Nama lengkap],"Not Found",0)</f>
        <v>Siti Salma Afifah</v>
      </c>
      <c r="D53" s="18">
        <f>_xlfn.XLOOKUP(Table6[[#This Row],[NIS]],Table2[NIS],Table2[Nomer Induk Siswa Nasional],"Not Found",0)</f>
        <v>3115303453</v>
      </c>
      <c r="E53" s="3" t="str">
        <f>_xlfn.XLOOKUP(Table6[[#This Row],[NIS]],Table2[NIS],Table2[Status],"Not Found",0)</f>
        <v>Aktif</v>
      </c>
      <c r="F53" s="3">
        <f>_xlfn.XLOOKUP(Table6[[#This Row],[NIS]],Table2[NIS],Table2[Tahun Masuk],"Not Found",0)</f>
        <v>2024</v>
      </c>
      <c r="G53" s="3">
        <f>_xlfn.XLOOKUP(Table6[[#This Row],[NIS]],Table2[NIS],Table2[Tahun Keluar],"Not Found",0)</f>
        <v>0</v>
      </c>
      <c r="H53" s="3">
        <f>_xlfn.XLOOKUP(Table6[[#This Row],[NIS]],Table2[NIS],Table2[Kelas],"Not Found",0)</f>
        <v>1</v>
      </c>
      <c r="I53" s="3" t="str">
        <f>_xlfn.XLOOKUP(Table6[[#This Row],[NIS]],Table2[NIS],Table2[Kelas Detail],"Not Found",0)</f>
        <v>1-B</v>
      </c>
    </row>
    <row r="54" spans="1:9">
      <c r="A54" s="3">
        <f>SUBTOTAL(3,B$3:B54)</f>
        <v>52</v>
      </c>
      <c r="B54" s="3">
        <v>24250156</v>
      </c>
      <c r="C54" s="18" t="str">
        <f>_xlfn.XLOOKUP(Table6[[#This Row],[NIS]],Table2[NIS],Table2[Nama lengkap],"Not Found",0)</f>
        <v>Syalwa Khayla Sifa Naureta</v>
      </c>
      <c r="D54" s="18" t="str">
        <f>_xlfn.XLOOKUP(Table6[[#This Row],[NIS]],Table2[NIS],Table2[Nomer Induk Siswa Nasional],"Not Found",0)</f>
        <v>0112558967</v>
      </c>
      <c r="E54" s="3" t="str">
        <f>_xlfn.XLOOKUP(Table6[[#This Row],[NIS]],Table2[NIS],Table2[Status],"Not Found",0)</f>
        <v>Aktif</v>
      </c>
      <c r="F54" s="3">
        <f>_xlfn.XLOOKUP(Table6[[#This Row],[NIS]],Table2[NIS],Table2[Tahun Masuk],"Not Found",0)</f>
        <v>2024</v>
      </c>
      <c r="G54" s="3">
        <f>_xlfn.XLOOKUP(Table6[[#This Row],[NIS]],Table2[NIS],Table2[Tahun Keluar],"Not Found",0)</f>
        <v>0</v>
      </c>
      <c r="H54" s="3">
        <f>_xlfn.XLOOKUP(Table6[[#This Row],[NIS]],Table2[NIS],Table2[Kelas],"Not Found",0)</f>
        <v>1</v>
      </c>
      <c r="I54" s="3" t="str">
        <f>_xlfn.XLOOKUP(Table6[[#This Row],[NIS]],Table2[NIS],Table2[Kelas Detail],"Not Found",0)</f>
        <v>1-B</v>
      </c>
    </row>
    <row r="55" spans="1:9">
      <c r="A55" s="3">
        <f>SUBTOTAL(3,B$3:B55)</f>
        <v>53</v>
      </c>
      <c r="B55" s="3">
        <v>24250008</v>
      </c>
      <c r="C55" s="18" t="str">
        <f>_xlfn.XLOOKUP(Table6[[#This Row],[NIS]],Table2[NIS],Table2[Nama lengkap],"Not Found",0)</f>
        <v>Syarifa Zulfa Az Zahra</v>
      </c>
      <c r="D55" s="18" t="str">
        <f>_xlfn.XLOOKUP(Table6[[#This Row],[NIS]],Table2[NIS],Table2[Nomer Induk Siswa Nasional],"Not Found",0)</f>
        <v>0094305005</v>
      </c>
      <c r="E55" s="3" t="str">
        <f>_xlfn.XLOOKUP(Table6[[#This Row],[NIS]],Table2[NIS],Table2[Status],"Not Found",0)</f>
        <v>Aktif</v>
      </c>
      <c r="F55" s="3">
        <f>_xlfn.XLOOKUP(Table6[[#This Row],[NIS]],Table2[NIS],Table2[Tahun Masuk],"Not Found",0)</f>
        <v>2024</v>
      </c>
      <c r="G55" s="3">
        <f>_xlfn.XLOOKUP(Table6[[#This Row],[NIS]],Table2[NIS],Table2[Tahun Keluar],"Not Found",0)</f>
        <v>0</v>
      </c>
      <c r="H55" s="3">
        <f>_xlfn.XLOOKUP(Table6[[#This Row],[NIS]],Table2[NIS],Table2[Kelas],"Not Found",0)</f>
        <v>1</v>
      </c>
      <c r="I55" s="3" t="str">
        <f>_xlfn.XLOOKUP(Table6[[#This Row],[NIS]],Table2[NIS],Table2[Kelas Detail],"Not Found",0)</f>
        <v>1-B</v>
      </c>
    </row>
    <row r="56" spans="1:9">
      <c r="A56" s="3">
        <f>SUBTOTAL(3,B$3:B56)</f>
        <v>54</v>
      </c>
      <c r="B56" s="3">
        <v>24250123</v>
      </c>
      <c r="C56" s="18" t="str">
        <f>_xlfn.XLOOKUP(Table6[[#This Row],[NIS]],Table2[NIS],Table2[Nama lengkap],"Not Found",0)</f>
        <v>Velidya Azzahra</v>
      </c>
      <c r="D56" s="18" t="str">
        <f>_xlfn.XLOOKUP(Table6[[#This Row],[NIS]],Table2[NIS],Table2[Nomer Induk Siswa Nasional],"Not Found",0)</f>
        <v>0125836188</v>
      </c>
      <c r="E56" s="3" t="str">
        <f>_xlfn.XLOOKUP(Table6[[#This Row],[NIS]],Table2[NIS],Table2[Status],"Not Found",0)</f>
        <v>Aktif</v>
      </c>
      <c r="F56" s="3">
        <f>_xlfn.XLOOKUP(Table6[[#This Row],[NIS]],Table2[NIS],Table2[Tahun Masuk],"Not Found",0)</f>
        <v>2024</v>
      </c>
      <c r="G56" s="3">
        <f>_xlfn.XLOOKUP(Table6[[#This Row],[NIS]],Table2[NIS],Table2[Tahun Keluar],"Not Found",0)</f>
        <v>0</v>
      </c>
      <c r="H56" s="3">
        <f>_xlfn.XLOOKUP(Table6[[#This Row],[NIS]],Table2[NIS],Table2[Kelas],"Not Found",0)</f>
        <v>1</v>
      </c>
      <c r="I56" s="3" t="str">
        <f>_xlfn.XLOOKUP(Table6[[#This Row],[NIS]],Table2[NIS],Table2[Kelas Detail],"Not Found",0)</f>
        <v>1-B</v>
      </c>
    </row>
    <row r="57" spans="1:9">
      <c r="A57" s="3">
        <f>SUBTOTAL(3,B$3:B57)</f>
        <v>55</v>
      </c>
      <c r="B57" s="3">
        <v>24250106</v>
      </c>
      <c r="C57" s="18" t="str">
        <f>_xlfn.XLOOKUP(Table6[[#This Row],[NIS]],Table2[NIS],Table2[Nama lengkap],"Not Found",0)</f>
        <v>Yeni Rukoyah</v>
      </c>
      <c r="D57" s="18" t="str">
        <f>_xlfn.XLOOKUP(Table6[[#This Row],[NIS]],Table2[NIS],Table2[Nomer Induk Siswa Nasional],"Not Found",0)</f>
        <v>0126728496</v>
      </c>
      <c r="E57" s="3" t="str">
        <f>_xlfn.XLOOKUP(Table6[[#This Row],[NIS]],Table2[NIS],Table2[Status],"Not Found",0)</f>
        <v>Aktif</v>
      </c>
      <c r="F57" s="3">
        <f>_xlfn.XLOOKUP(Table6[[#This Row],[NIS]],Table2[NIS],Table2[Tahun Masuk],"Not Found",0)</f>
        <v>2024</v>
      </c>
      <c r="G57" s="3">
        <f>_xlfn.XLOOKUP(Table6[[#This Row],[NIS]],Table2[NIS],Table2[Tahun Keluar],"Not Found",0)</f>
        <v>0</v>
      </c>
      <c r="H57" s="3">
        <f>_xlfn.XLOOKUP(Table6[[#This Row],[NIS]],Table2[NIS],Table2[Kelas],"Not Found",0)</f>
        <v>1</v>
      </c>
      <c r="I57" s="3" t="str">
        <f>_xlfn.XLOOKUP(Table6[[#This Row],[NIS]],Table2[NIS],Table2[Kelas Detail],"Not Found",0)</f>
        <v>1-B</v>
      </c>
    </row>
    <row r="58" spans="1:9">
      <c r="A58" s="3">
        <f>SUBTOTAL(3,B$3:B58)</f>
        <v>56</v>
      </c>
      <c r="B58" s="3">
        <v>24250115</v>
      </c>
      <c r="C58" s="18" t="str">
        <f>_xlfn.XLOOKUP(Table6[[#This Row],[NIS]],Table2[NIS],Table2[Nama lengkap],"Not Found",0)</f>
        <v>Yunita Rahmah Nurazizah</v>
      </c>
      <c r="D58" s="18" t="str">
        <f>_xlfn.XLOOKUP(Table6[[#This Row],[NIS]],Table2[NIS],Table2[Nomer Induk Siswa Nasional],"Not Found",0)</f>
        <v>0088872501</v>
      </c>
      <c r="E58" s="3" t="str">
        <f>_xlfn.XLOOKUP(Table6[[#This Row],[NIS]],Table2[NIS],Table2[Status],"Not Found",0)</f>
        <v>Aktif</v>
      </c>
      <c r="F58" s="3">
        <f>_xlfn.XLOOKUP(Table6[[#This Row],[NIS]],Table2[NIS],Table2[Tahun Masuk],"Not Found",0)</f>
        <v>2024</v>
      </c>
      <c r="G58" s="3">
        <f>_xlfn.XLOOKUP(Table6[[#This Row],[NIS]],Table2[NIS],Table2[Tahun Keluar],"Not Found",0)</f>
        <v>0</v>
      </c>
      <c r="H58" s="3">
        <f>_xlfn.XLOOKUP(Table6[[#This Row],[NIS]],Table2[NIS],Table2[Kelas],"Not Found",0)</f>
        <v>1</v>
      </c>
      <c r="I58" s="3" t="str">
        <f>_xlfn.XLOOKUP(Table6[[#This Row],[NIS]],Table2[NIS],Table2[Kelas Detail],"Not Found",0)</f>
        <v>1-B</v>
      </c>
    </row>
    <row r="59" spans="1:9">
      <c r="A59" s="3">
        <f>SUBTOTAL(3,B$3:B59)</f>
        <v>57</v>
      </c>
      <c r="B59" s="3">
        <v>24250069</v>
      </c>
      <c r="C59" s="18" t="str">
        <f>_xlfn.XLOOKUP(Table6[[#This Row],[NIS]],Table2[NIS],Table2[Nama lengkap],"Not Found",0)</f>
        <v>Zihan Nursipa</v>
      </c>
      <c r="D59" s="18" t="str">
        <f>_xlfn.XLOOKUP(Table6[[#This Row],[NIS]],Table2[NIS],Table2[Nomer Induk Siswa Nasional],"Not Found",0)</f>
        <v>0112782637</v>
      </c>
      <c r="E59" s="3" t="str">
        <f>_xlfn.XLOOKUP(Table6[[#This Row],[NIS]],Table2[NIS],Table2[Status],"Not Found",0)</f>
        <v>Aktif</v>
      </c>
      <c r="F59" s="3">
        <f>_xlfn.XLOOKUP(Table6[[#This Row],[NIS]],Table2[NIS],Table2[Tahun Masuk],"Not Found",0)</f>
        <v>2024</v>
      </c>
      <c r="G59" s="3">
        <f>_xlfn.XLOOKUP(Table6[[#This Row],[NIS]],Table2[NIS],Table2[Tahun Keluar],"Not Found",0)</f>
        <v>0</v>
      </c>
      <c r="H59" s="3">
        <f>_xlfn.XLOOKUP(Table6[[#This Row],[NIS]],Table2[NIS],Table2[Kelas],"Not Found",0)</f>
        <v>1</v>
      </c>
      <c r="I59" s="3" t="str">
        <f>_xlfn.XLOOKUP(Table6[[#This Row],[NIS]],Table2[NIS],Table2[Kelas Detail],"Not Found",0)</f>
        <v>1-B</v>
      </c>
    </row>
    <row r="60" spans="1:9">
      <c r="A60" s="3">
        <f>SUBTOTAL(3,B$3:B60)</f>
        <v>58</v>
      </c>
      <c r="B60" s="3">
        <v>24250147</v>
      </c>
      <c r="C60" s="18" t="str">
        <f>_xlfn.XLOOKUP(Table6[[#This Row],[NIS]],Table2[NIS],Table2[Nama lengkap],"Not Found",0)</f>
        <v>Zila Nur Dzilhijilah</v>
      </c>
      <c r="D60" s="18" t="str">
        <f>_xlfn.XLOOKUP(Table6[[#This Row],[NIS]],Table2[NIS],Table2[Nomer Induk Siswa Nasional],"Not Found",0)</f>
        <v>0119779717</v>
      </c>
      <c r="E60" s="3" t="str">
        <f>_xlfn.XLOOKUP(Table6[[#This Row],[NIS]],Table2[NIS],Table2[Status],"Not Found",0)</f>
        <v>Aktif</v>
      </c>
      <c r="F60" s="3">
        <f>_xlfn.XLOOKUP(Table6[[#This Row],[NIS]],Table2[NIS],Table2[Tahun Masuk],"Not Found",0)</f>
        <v>2024</v>
      </c>
      <c r="G60" s="3">
        <f>_xlfn.XLOOKUP(Table6[[#This Row],[NIS]],Table2[NIS],Table2[Tahun Keluar],"Not Found",0)</f>
        <v>0</v>
      </c>
      <c r="H60" s="3">
        <f>_xlfn.XLOOKUP(Table6[[#This Row],[NIS]],Table2[NIS],Table2[Kelas],"Not Found",0)</f>
        <v>1</v>
      </c>
      <c r="I60" s="3" t="str">
        <f>_xlfn.XLOOKUP(Table6[[#This Row],[NIS]],Table2[NIS],Table2[Kelas Detail],"Not Found",0)</f>
        <v>1-B</v>
      </c>
    </row>
    <row r="61" spans="1:9">
      <c r="A61" s="3">
        <f>SUBTOTAL(3,B$3:B61)</f>
        <v>59</v>
      </c>
      <c r="B61" s="3">
        <v>23240010</v>
      </c>
      <c r="C61" s="18" t="str">
        <f>_xlfn.XLOOKUP(Table6[[#This Row],[NIS]],Table2[NIS],Table2[Nama lengkap],"Not Found",0)</f>
        <v>Alika Salsabila Ramadani</v>
      </c>
      <c r="D61" s="18" t="str">
        <f>_xlfn.XLOOKUP(Table6[[#This Row],[NIS]],Table2[NIS],Table2[Nomer Induk Siswa Nasional],"Not Found",0)</f>
        <v>0115325340</v>
      </c>
      <c r="E61" s="3" t="str">
        <f>_xlfn.XLOOKUP(Table6[[#This Row],[NIS]],Table2[NIS],Table2[Status],"Not Found",0)</f>
        <v>Aktif</v>
      </c>
      <c r="F61" s="3">
        <f>_xlfn.XLOOKUP(Table6[[#This Row],[NIS]],Table2[NIS],Table2[Tahun Masuk],"Not Found",0)</f>
        <v>2023</v>
      </c>
      <c r="G61" s="3">
        <f>_xlfn.XLOOKUP(Table6[[#This Row],[NIS]],Table2[NIS],Table2[Tahun Keluar],"Not Found",0)</f>
        <v>0</v>
      </c>
      <c r="H61" s="3">
        <f>_xlfn.XLOOKUP(Table6[[#This Row],[NIS]],Table2[NIS],Table2[Kelas],"Not Found",0)</f>
        <v>2</v>
      </c>
      <c r="I61" s="3" t="str">
        <f>_xlfn.XLOOKUP(Table6[[#This Row],[NIS]],Table2[NIS],Table2[Kelas Detail],"Not Found",0)</f>
        <v>2-A</v>
      </c>
    </row>
    <row r="62" spans="1:9">
      <c r="A62" s="3">
        <f>SUBTOTAL(3,B$3:B62)</f>
        <v>60</v>
      </c>
      <c r="B62" s="3">
        <v>23240098</v>
      </c>
      <c r="C62" s="18" t="str">
        <f>_xlfn.XLOOKUP(Table6[[#This Row],[NIS]],Table2[NIS],Table2[Nama lengkap],"Not Found",0)</f>
        <v>Aqiela Hafiyyah Zahida</v>
      </c>
      <c r="D62" s="18" t="str">
        <f>_xlfn.XLOOKUP(Table6[[#This Row],[NIS]],Table2[NIS],Table2[Nomer Induk Siswa Nasional],"Not Found",0)</f>
        <v>0105728533</v>
      </c>
      <c r="E62" s="3" t="str">
        <f>_xlfn.XLOOKUP(Table6[[#This Row],[NIS]],Table2[NIS],Table2[Status],"Not Found",0)</f>
        <v>Aktif</v>
      </c>
      <c r="F62" s="3">
        <f>_xlfn.XLOOKUP(Table6[[#This Row],[NIS]],Table2[NIS],Table2[Tahun Masuk],"Not Found",0)</f>
        <v>2023</v>
      </c>
      <c r="G62" s="3">
        <f>_xlfn.XLOOKUP(Table6[[#This Row],[NIS]],Table2[NIS],Table2[Tahun Keluar],"Not Found",0)</f>
        <v>0</v>
      </c>
      <c r="H62" s="3">
        <f>_xlfn.XLOOKUP(Table6[[#This Row],[NIS]],Table2[NIS],Table2[Kelas],"Not Found",0)</f>
        <v>2</v>
      </c>
      <c r="I62" s="3" t="str">
        <f>_xlfn.XLOOKUP(Table6[[#This Row],[NIS]],Table2[NIS],Table2[Kelas Detail],"Not Found",0)</f>
        <v>2-A</v>
      </c>
    </row>
    <row r="63" spans="1:9">
      <c r="A63" s="3">
        <f>SUBTOTAL(3,B$3:B63)</f>
        <v>61</v>
      </c>
      <c r="B63" s="3">
        <v>23240135</v>
      </c>
      <c r="C63" s="18" t="str">
        <f>_xlfn.XLOOKUP(Table6[[#This Row],[NIS]],Table2[NIS],Table2[Nama lengkap],"Not Found",0)</f>
        <v>Ayu Anjani</v>
      </c>
      <c r="D63" s="18" t="str">
        <f>_xlfn.XLOOKUP(Table6[[#This Row],[NIS]],Table2[NIS],Table2[Nomer Induk Siswa Nasional],"Not Found",0)</f>
        <v>0119588563</v>
      </c>
      <c r="E63" s="3" t="str">
        <f>_xlfn.XLOOKUP(Table6[[#This Row],[NIS]],Table2[NIS],Table2[Status],"Not Found",0)</f>
        <v>Aktif</v>
      </c>
      <c r="F63" s="3">
        <f>_xlfn.XLOOKUP(Table6[[#This Row],[NIS]],Table2[NIS],Table2[Tahun Masuk],"Not Found",0)</f>
        <v>2023</v>
      </c>
      <c r="G63" s="3">
        <f>_xlfn.XLOOKUP(Table6[[#This Row],[NIS]],Table2[NIS],Table2[Tahun Keluar],"Not Found",0)</f>
        <v>0</v>
      </c>
      <c r="H63" s="3">
        <f>_xlfn.XLOOKUP(Table6[[#This Row],[NIS]],Table2[NIS],Table2[Kelas],"Not Found",0)</f>
        <v>2</v>
      </c>
      <c r="I63" s="3" t="str">
        <f>_xlfn.XLOOKUP(Table6[[#This Row],[NIS]],Table2[NIS],Table2[Kelas Detail],"Not Found",0)</f>
        <v>2-A</v>
      </c>
    </row>
    <row r="64" spans="1:9">
      <c r="A64" s="3">
        <f>SUBTOTAL(3,B$3:B64)</f>
        <v>62</v>
      </c>
      <c r="B64" s="3">
        <v>23240035</v>
      </c>
      <c r="C64" s="18" t="str">
        <f>_xlfn.XLOOKUP(Table6[[#This Row],[NIS]],Table2[NIS],Table2[Nama lengkap],"Not Found",0)</f>
        <v>Azzahra Almadenamarwan</v>
      </c>
      <c r="D64" s="18" t="str">
        <f>_xlfn.XLOOKUP(Table6[[#This Row],[NIS]],Table2[NIS],Table2[Nomer Induk Siswa Nasional],"Not Found",0)</f>
        <v>0071216005</v>
      </c>
      <c r="E64" s="3" t="str">
        <f>_xlfn.XLOOKUP(Table6[[#This Row],[NIS]],Table2[NIS],Table2[Status],"Not Found",0)</f>
        <v>Aktif</v>
      </c>
      <c r="F64" s="3">
        <f>_xlfn.XLOOKUP(Table6[[#This Row],[NIS]],Table2[NIS],Table2[Tahun Masuk],"Not Found",0)</f>
        <v>2023</v>
      </c>
      <c r="G64" s="3">
        <f>_xlfn.XLOOKUP(Table6[[#This Row],[NIS]],Table2[NIS],Table2[Tahun Keluar],"Not Found",0)</f>
        <v>0</v>
      </c>
      <c r="H64" s="3">
        <f>_xlfn.XLOOKUP(Table6[[#This Row],[NIS]],Table2[NIS],Table2[Kelas],"Not Found",0)</f>
        <v>2</v>
      </c>
      <c r="I64" s="3" t="str">
        <f>_xlfn.XLOOKUP(Table6[[#This Row],[NIS]],Table2[NIS],Table2[Kelas Detail],"Not Found",0)</f>
        <v>2-A</v>
      </c>
    </row>
    <row r="65" spans="1:9">
      <c r="A65" s="3">
        <f>SUBTOTAL(3,B$3:B65)</f>
        <v>63</v>
      </c>
      <c r="B65" s="3">
        <v>23240042</v>
      </c>
      <c r="C65" s="18" t="str">
        <f>_xlfn.XLOOKUP(Table6[[#This Row],[NIS]],Table2[NIS],Table2[Nama lengkap],"Not Found",0)</f>
        <v>Desma Aulia</v>
      </c>
      <c r="D65" s="18" t="str">
        <f>_xlfn.XLOOKUP(Table6[[#This Row],[NIS]],Table2[NIS],Table2[Nomer Induk Siswa Nasional],"Not Found",0)</f>
        <v>0107447537</v>
      </c>
      <c r="E65" s="3" t="str">
        <f>_xlfn.XLOOKUP(Table6[[#This Row],[NIS]],Table2[NIS],Table2[Status],"Not Found",0)</f>
        <v>Aktif</v>
      </c>
      <c r="F65" s="3">
        <f>_xlfn.XLOOKUP(Table6[[#This Row],[NIS]],Table2[NIS],Table2[Tahun Masuk],"Not Found",0)</f>
        <v>2023</v>
      </c>
      <c r="G65" s="3" t="str">
        <f>_xlfn.XLOOKUP(Table6[[#This Row],[NIS]],Table2[NIS],Table2[Tahun Keluar],"Not Found",0)</f>
        <v>TB</v>
      </c>
      <c r="H65" s="3">
        <f>_xlfn.XLOOKUP(Table6[[#This Row],[NIS]],Table2[NIS],Table2[Kelas],"Not Found",0)</f>
        <v>2</v>
      </c>
      <c r="I65" s="3" t="str">
        <f>_xlfn.XLOOKUP(Table6[[#This Row],[NIS]],Table2[NIS],Table2[Kelas Detail],"Not Found",0)</f>
        <v>2-A</v>
      </c>
    </row>
    <row r="66" spans="1:9">
      <c r="A66" s="3">
        <f>SUBTOTAL(3,B$3:B66)</f>
        <v>64</v>
      </c>
      <c r="B66" s="3">
        <v>22230034</v>
      </c>
      <c r="C66" s="18" t="str">
        <f>_xlfn.XLOOKUP(Table6[[#This Row],[NIS]],Table2[NIS],Table2[Nama lengkap],"Not Found",0)</f>
        <v>Fauziah Khairunnisa</v>
      </c>
      <c r="D66" s="18" t="str">
        <f>_xlfn.XLOOKUP(Table6[[#This Row],[NIS]],Table2[NIS],Table2[Nomer Induk Siswa Nasional],"Not Found",0)</f>
        <v>0092144407</v>
      </c>
      <c r="E66" s="3" t="str">
        <f>_xlfn.XLOOKUP(Table6[[#This Row],[NIS]],Table2[NIS],Table2[Status],"Not Found",0)</f>
        <v>Aktif</v>
      </c>
      <c r="F66" s="3">
        <f>_xlfn.XLOOKUP(Table6[[#This Row],[NIS]],Table2[NIS],Table2[Tahun Masuk],"Not Found",0)</f>
        <v>2022</v>
      </c>
      <c r="G66" s="3">
        <f>_xlfn.XLOOKUP(Table6[[#This Row],[NIS]],Table2[NIS],Table2[Tahun Keluar],"Not Found",0)</f>
        <v>0</v>
      </c>
      <c r="H66" s="3">
        <f>_xlfn.XLOOKUP(Table6[[#This Row],[NIS]],Table2[NIS],Table2[Kelas],"Not Found",0)</f>
        <v>2</v>
      </c>
      <c r="I66" s="3" t="str">
        <f>_xlfn.XLOOKUP(Table6[[#This Row],[NIS]],Table2[NIS],Table2[Kelas Detail],"Not Found",0)</f>
        <v>2-A</v>
      </c>
    </row>
    <row r="67" spans="1:9">
      <c r="A67" s="3">
        <f>SUBTOTAL(3,B$3:B67)</f>
        <v>65</v>
      </c>
      <c r="B67" s="3">
        <v>22230116</v>
      </c>
      <c r="C67" s="18" t="str">
        <f>_xlfn.XLOOKUP(Table6[[#This Row],[NIS]],Table2[NIS],Table2[Nama lengkap],"Not Found",0)</f>
        <v>Ghaida Fatin</v>
      </c>
      <c r="D67" s="18" t="str">
        <f>_xlfn.XLOOKUP(Table6[[#This Row],[NIS]],Table2[NIS],Table2[Nomer Induk Siswa Nasional],"Not Found",0)</f>
        <v>0108906657</v>
      </c>
      <c r="E67" s="3" t="str">
        <f>_xlfn.XLOOKUP(Table6[[#This Row],[NIS]],Table2[NIS],Table2[Status],"Not Found",0)</f>
        <v>Aktif</v>
      </c>
      <c r="F67" s="3">
        <f>_xlfn.XLOOKUP(Table6[[#This Row],[NIS]],Table2[NIS],Table2[Tahun Masuk],"Not Found",0)</f>
        <v>2022</v>
      </c>
      <c r="G67" s="3">
        <f>_xlfn.XLOOKUP(Table6[[#This Row],[NIS]],Table2[NIS],Table2[Tahun Keluar],"Not Found",0)</f>
        <v>0</v>
      </c>
      <c r="H67" s="3">
        <f>_xlfn.XLOOKUP(Table6[[#This Row],[NIS]],Table2[NIS],Table2[Kelas],"Not Found",0)</f>
        <v>2</v>
      </c>
      <c r="I67" s="3" t="str">
        <f>_xlfn.XLOOKUP(Table6[[#This Row],[NIS]],Table2[NIS],Table2[Kelas Detail],"Not Found",0)</f>
        <v>2-A</v>
      </c>
    </row>
    <row r="68" spans="1:9">
      <c r="A68" s="3">
        <f>SUBTOTAL(3,B$3:B450)</f>
        <v>448</v>
      </c>
      <c r="B68" s="3">
        <v>23240129</v>
      </c>
      <c r="C68" s="18" t="str">
        <f>_xlfn.XLOOKUP(Table6[[#This Row],[NIS]],Table2[NIS],Table2[Nama lengkap],"Not Found",0)</f>
        <v>Isma Nurhusniyah</v>
      </c>
      <c r="D68" s="18" t="str">
        <f>_xlfn.XLOOKUP(Table6[[#This Row],[NIS]],Table2[NIS],Table2[Nomer Induk Siswa Nasional],"Not Found",0)</f>
        <v>0114435275</v>
      </c>
      <c r="E68" s="3" t="str">
        <f>_xlfn.XLOOKUP(Table6[[#This Row],[NIS]],Table2[NIS],Table2[Status],"Not Found",0)</f>
        <v>Aktif</v>
      </c>
      <c r="F68" s="3">
        <f>_xlfn.XLOOKUP(Table6[[#This Row],[NIS]],Table2[NIS],Table2[Tahun Masuk],"Not Found",0)</f>
        <v>2023</v>
      </c>
      <c r="G68" s="3">
        <f>_xlfn.XLOOKUP(Table6[[#This Row],[NIS]],Table2[NIS],Table2[Tahun Keluar],"Not Found",0)</f>
        <v>0</v>
      </c>
      <c r="H68" s="3">
        <f>_xlfn.XLOOKUP(Table6[[#This Row],[NIS]],Table2[NIS],Table2[Kelas],"Not Found",0)</f>
        <v>2</v>
      </c>
      <c r="I68" s="3" t="str">
        <f>_xlfn.XLOOKUP(Table6[[#This Row],[NIS]],Table2[NIS],Table2[Kelas Detail],"Not Found",0)</f>
        <v>2-A</v>
      </c>
    </row>
    <row r="69" spans="1:9">
      <c r="A69" s="3">
        <f>SUBTOTAL(3,B$3:B69)</f>
        <v>67</v>
      </c>
      <c r="B69" s="3">
        <v>23240072</v>
      </c>
      <c r="C69" s="18" t="str">
        <f>_xlfn.XLOOKUP(Table6[[#This Row],[NIS]],Table2[NIS],Table2[Nama lengkap],"Not Found",0)</f>
        <v>Lutfiah Mutmainah</v>
      </c>
      <c r="D69" s="18" t="str">
        <f>_xlfn.XLOOKUP(Table6[[#This Row],[NIS]],Table2[NIS],Table2[Nomer Induk Siswa Nasional],"Not Found",0)</f>
        <v>0085254750</v>
      </c>
      <c r="E69" s="3" t="str">
        <f>_xlfn.XLOOKUP(Table6[[#This Row],[NIS]],Table2[NIS],Table2[Status],"Not Found",0)</f>
        <v>Aktif</v>
      </c>
      <c r="F69" s="3">
        <f>_xlfn.XLOOKUP(Table6[[#This Row],[NIS]],Table2[NIS],Table2[Tahun Masuk],"Not Found",0)</f>
        <v>2023</v>
      </c>
      <c r="G69" s="3">
        <f>_xlfn.XLOOKUP(Table6[[#This Row],[NIS]],Table2[NIS],Table2[Tahun Keluar],"Not Found",0)</f>
        <v>0</v>
      </c>
      <c r="H69" s="3">
        <f>_xlfn.XLOOKUP(Table6[[#This Row],[NIS]],Table2[NIS],Table2[Kelas],"Not Found",0)</f>
        <v>2</v>
      </c>
      <c r="I69" s="3" t="str">
        <f>_xlfn.XLOOKUP(Table6[[#This Row],[NIS]],Table2[NIS],Table2[Kelas Detail],"Not Found",0)</f>
        <v>2-A</v>
      </c>
    </row>
    <row r="70" spans="1:9">
      <c r="A70" s="3">
        <f>SUBTOTAL(3,B$3:B70)</f>
        <v>68</v>
      </c>
      <c r="B70" s="3">
        <v>21220162</v>
      </c>
      <c r="C70" s="18" t="str">
        <f>_xlfn.XLOOKUP(Table6[[#This Row],[NIS]],Table2[NIS],Table2[Nama lengkap],"Not Found",0)</f>
        <v xml:space="preserve">Nabila Oktavia </v>
      </c>
      <c r="D70" s="18" t="str">
        <f>_xlfn.XLOOKUP(Table6[[#This Row],[NIS]],Table2[NIS],Table2[Nomer Induk Siswa Nasional],"Not Found",0)</f>
        <v>0071207822</v>
      </c>
      <c r="E70" s="3" t="str">
        <f>_xlfn.XLOOKUP(Table6[[#This Row],[NIS]],Table2[NIS],Table2[Status],"Not Found",0)</f>
        <v>Waqof</v>
      </c>
      <c r="F70" s="3">
        <f>_xlfn.XLOOKUP(Table6[[#This Row],[NIS]],Table2[NIS],Table2[Tahun Masuk],"Not Found",0)</f>
        <v>2021</v>
      </c>
      <c r="G70" s="3">
        <f>_xlfn.XLOOKUP(Table6[[#This Row],[NIS]],Table2[NIS],Table2[Tahun Keluar],"Not Found",0)</f>
        <v>0</v>
      </c>
      <c r="H70" s="3">
        <f>_xlfn.XLOOKUP(Table6[[#This Row],[NIS]],Table2[NIS],Table2[Kelas],"Not Found",0)</f>
        <v>0</v>
      </c>
      <c r="I70" s="3" t="str">
        <f>_xlfn.XLOOKUP(Table6[[#This Row],[NIS]],Table2[NIS],Table2[Kelas Detail],"Not Found",0)</f>
        <v>2-A</v>
      </c>
    </row>
    <row r="71" spans="1:9">
      <c r="A71" s="3">
        <f>SUBTOTAL(3,B$3:B71)</f>
        <v>69</v>
      </c>
      <c r="B71" s="3">
        <v>23240080</v>
      </c>
      <c r="C71" s="18" t="str">
        <f>_xlfn.XLOOKUP(Table6[[#This Row],[NIS]],Table2[NIS],Table2[Nama lengkap],"Not Found",0)</f>
        <v>Nadifa Aqila Khairani</v>
      </c>
      <c r="D71" s="18" t="str">
        <f>_xlfn.XLOOKUP(Table6[[#This Row],[NIS]],Table2[NIS],Table2[Nomer Induk Siswa Nasional],"Not Found",0)</f>
        <v>0104212175</v>
      </c>
      <c r="E71" s="3" t="str">
        <f>_xlfn.XLOOKUP(Table6[[#This Row],[NIS]],Table2[NIS],Table2[Status],"Not Found",0)</f>
        <v>Aktif</v>
      </c>
      <c r="F71" s="3">
        <f>_xlfn.XLOOKUP(Table6[[#This Row],[NIS]],Table2[NIS],Table2[Tahun Masuk],"Not Found",0)</f>
        <v>2023</v>
      </c>
      <c r="G71" s="3">
        <f>_xlfn.XLOOKUP(Table6[[#This Row],[NIS]],Table2[NIS],Table2[Tahun Keluar],"Not Found",0)</f>
        <v>0</v>
      </c>
      <c r="H71" s="3">
        <f>_xlfn.XLOOKUP(Table6[[#This Row],[NIS]],Table2[NIS],Table2[Kelas],"Not Found",0)</f>
        <v>2</v>
      </c>
      <c r="I71" s="3" t="str">
        <f>_xlfn.XLOOKUP(Table6[[#This Row],[NIS]],Table2[NIS],Table2[Kelas Detail],"Not Found",0)</f>
        <v>2-A</v>
      </c>
    </row>
    <row r="72" spans="1:9">
      <c r="A72" s="3">
        <f>SUBTOTAL(3,B$3:B72)</f>
        <v>70</v>
      </c>
      <c r="B72" s="3">
        <v>23240153</v>
      </c>
      <c r="C72" s="18" t="str">
        <f>_xlfn.XLOOKUP(Table6[[#This Row],[NIS]],Table2[NIS],Table2[Nama lengkap],"Not Found",0)</f>
        <v>Na'ila Elysia Priyatama</v>
      </c>
      <c r="D72" s="18">
        <f>_xlfn.XLOOKUP(Table6[[#This Row],[NIS]],Table2[NIS],Table2[Nomer Induk Siswa Nasional],"Not Found",0)</f>
        <v>3103158561</v>
      </c>
      <c r="E72" s="3" t="str">
        <f>_xlfn.XLOOKUP(Table6[[#This Row],[NIS]],Table2[NIS],Table2[Status],"Not Found",0)</f>
        <v>Aktif</v>
      </c>
      <c r="F72" s="3">
        <f>_xlfn.XLOOKUP(Table6[[#This Row],[NIS]],Table2[NIS],Table2[Tahun Masuk],"Not Found",0)</f>
        <v>2023</v>
      </c>
      <c r="G72" s="3">
        <f>_xlfn.XLOOKUP(Table6[[#This Row],[NIS]],Table2[NIS],Table2[Tahun Keluar],"Not Found",0)</f>
        <v>0</v>
      </c>
      <c r="H72" s="3">
        <f>_xlfn.XLOOKUP(Table6[[#This Row],[NIS]],Table2[NIS],Table2[Kelas],"Not Found",0)</f>
        <v>2</v>
      </c>
      <c r="I72" s="3" t="str">
        <f>_xlfn.XLOOKUP(Table6[[#This Row],[NIS]],Table2[NIS],Table2[Kelas Detail],"Not Found",0)</f>
        <v>2-A</v>
      </c>
    </row>
    <row r="73" spans="1:9">
      <c r="A73" s="3">
        <f>SUBTOTAL(3,B$3:B73)</f>
        <v>71</v>
      </c>
      <c r="B73" s="3">
        <v>21220182</v>
      </c>
      <c r="C73" s="18" t="str">
        <f>_xlfn.XLOOKUP(Table6[[#This Row],[NIS]],Table2[NIS],Table2[Nama lengkap],"Not Found",0)</f>
        <v>Najwa Nur  Ajizah</v>
      </c>
      <c r="D73" s="18" t="str">
        <f>_xlfn.XLOOKUP(Table6[[#This Row],[NIS]],Table2[NIS],Table2[Nomer Induk Siswa Nasional],"Not Found",0)</f>
        <v>0006248265/0062948265</v>
      </c>
      <c r="E73" s="3" t="str">
        <f>_xlfn.XLOOKUP(Table6[[#This Row],[NIS]],Table2[NIS],Table2[Status],"Not Found",0)</f>
        <v>Aktif</v>
      </c>
      <c r="F73" s="3">
        <f>_xlfn.XLOOKUP(Table6[[#This Row],[NIS]],Table2[NIS],Table2[Tahun Masuk],"Not Found",0)</f>
        <v>2021</v>
      </c>
      <c r="G73" s="3">
        <f>_xlfn.XLOOKUP(Table6[[#This Row],[NIS]],Table2[NIS],Table2[Tahun Keluar],"Not Found",0)</f>
        <v>0</v>
      </c>
      <c r="H73" s="3">
        <f>_xlfn.XLOOKUP(Table6[[#This Row],[NIS]],Table2[NIS],Table2[Kelas],"Not Found",0)</f>
        <v>2</v>
      </c>
      <c r="I73" s="3" t="str">
        <f>_xlfn.XLOOKUP(Table6[[#This Row],[NIS]],Table2[NIS],Table2[Kelas Detail],"Not Found",0)</f>
        <v>2-A</v>
      </c>
    </row>
    <row r="74" spans="1:9">
      <c r="A74" s="3">
        <f>SUBTOTAL(3,B$3:B74)</f>
        <v>72</v>
      </c>
      <c r="B74" s="3">
        <v>23240058</v>
      </c>
      <c r="C74" s="18" t="str">
        <f>_xlfn.XLOOKUP(Table6[[#This Row],[NIS]],Table2[NIS],Table2[Nama lengkap],"Not Found",0)</f>
        <v>Nayyla Ramadhani</v>
      </c>
      <c r="D74" s="18" t="str">
        <f>_xlfn.XLOOKUP(Table6[[#This Row],[NIS]],Table2[NIS],Table2[Nomer Induk Siswa Nasional],"Not Found",0)</f>
        <v>0105640822</v>
      </c>
      <c r="E74" s="3" t="str">
        <f>_xlfn.XLOOKUP(Table6[[#This Row],[NIS]],Table2[NIS],Table2[Status],"Not Found",0)</f>
        <v>Aktif</v>
      </c>
      <c r="F74" s="3">
        <f>_xlfn.XLOOKUP(Table6[[#This Row],[NIS]],Table2[NIS],Table2[Tahun Masuk],"Not Found",0)</f>
        <v>2023</v>
      </c>
      <c r="G74" s="3">
        <f>_xlfn.XLOOKUP(Table6[[#This Row],[NIS]],Table2[NIS],Table2[Tahun Keluar],"Not Found",0)</f>
        <v>0</v>
      </c>
      <c r="H74" s="3">
        <f>_xlfn.XLOOKUP(Table6[[#This Row],[NIS]],Table2[NIS],Table2[Kelas],"Not Found",0)</f>
        <v>2</v>
      </c>
      <c r="I74" s="3" t="str">
        <f>_xlfn.XLOOKUP(Table6[[#This Row],[NIS]],Table2[NIS],Table2[Kelas Detail],"Not Found",0)</f>
        <v>2-A</v>
      </c>
    </row>
    <row r="75" spans="1:9">
      <c r="A75" s="3">
        <f>SUBTOTAL(3,B$3:B75)</f>
        <v>73</v>
      </c>
      <c r="B75" s="3">
        <v>23240085</v>
      </c>
      <c r="C75" s="18" t="str">
        <f>_xlfn.XLOOKUP(Table6[[#This Row],[NIS]],Table2[NIS],Table2[Nama lengkap],"Not Found",0)</f>
        <v>Rabbani Putri Parahyangan</v>
      </c>
      <c r="D75" s="18" t="str">
        <f>_xlfn.XLOOKUP(Table6[[#This Row],[NIS]],Table2[NIS],Table2[Nomer Induk Siswa Nasional],"Not Found",0)</f>
        <v>0114743677</v>
      </c>
      <c r="E75" s="3" t="str">
        <f>_xlfn.XLOOKUP(Table6[[#This Row],[NIS]],Table2[NIS],Table2[Status],"Not Found",0)</f>
        <v>Aktif</v>
      </c>
      <c r="F75" s="3">
        <f>_xlfn.XLOOKUP(Table6[[#This Row],[NIS]],Table2[NIS],Table2[Tahun Masuk],"Not Found",0)</f>
        <v>2023</v>
      </c>
      <c r="G75" s="3">
        <f>_xlfn.XLOOKUP(Table6[[#This Row],[NIS]],Table2[NIS],Table2[Tahun Keluar],"Not Found",0)</f>
        <v>0</v>
      </c>
      <c r="H75" s="3">
        <f>_xlfn.XLOOKUP(Table6[[#This Row],[NIS]],Table2[NIS],Table2[Kelas],"Not Found",0)</f>
        <v>2</v>
      </c>
      <c r="I75" s="3" t="str">
        <f>_xlfn.XLOOKUP(Table6[[#This Row],[NIS]],Table2[NIS],Table2[Kelas Detail],"Not Found",0)</f>
        <v>2-A</v>
      </c>
    </row>
    <row r="76" spans="1:9">
      <c r="A76" s="3">
        <f>SUBTOTAL(3,B$3:B76)</f>
        <v>74</v>
      </c>
      <c r="B76" s="3">
        <v>23240052</v>
      </c>
      <c r="C76" s="18" t="str">
        <f>_xlfn.XLOOKUP(Table6[[#This Row],[NIS]],Table2[NIS],Table2[Nama lengkap],"Not Found",0)</f>
        <v>Rajni Fatma Aulia</v>
      </c>
      <c r="D76" s="18" t="str">
        <f>_xlfn.XLOOKUP(Table6[[#This Row],[NIS]],Table2[NIS],Table2[Nomer Induk Siswa Nasional],"Not Found",0)</f>
        <v>0112567560</v>
      </c>
      <c r="E76" s="3" t="str">
        <f>_xlfn.XLOOKUP(Table6[[#This Row],[NIS]],Table2[NIS],Table2[Status],"Not Found",0)</f>
        <v>Aktif</v>
      </c>
      <c r="F76" s="3">
        <f>_xlfn.XLOOKUP(Table6[[#This Row],[NIS]],Table2[NIS],Table2[Tahun Masuk],"Not Found",0)</f>
        <v>2023</v>
      </c>
      <c r="G76" s="3">
        <f>_xlfn.XLOOKUP(Table6[[#This Row],[NIS]],Table2[NIS],Table2[Tahun Keluar],"Not Found",0)</f>
        <v>0</v>
      </c>
      <c r="H76" s="3">
        <f>_xlfn.XLOOKUP(Table6[[#This Row],[NIS]],Table2[NIS],Table2[Kelas],"Not Found",0)</f>
        <v>2</v>
      </c>
      <c r="I76" s="3" t="str">
        <f>_xlfn.XLOOKUP(Table6[[#This Row],[NIS]],Table2[NIS],Table2[Kelas Detail],"Not Found",0)</f>
        <v>2-A</v>
      </c>
    </row>
    <row r="77" spans="1:9">
      <c r="A77" s="3">
        <f>SUBTOTAL(3,B$3:B77)</f>
        <v>75</v>
      </c>
      <c r="B77" s="3">
        <v>23240049</v>
      </c>
      <c r="C77" s="18" t="str">
        <f>_xlfn.XLOOKUP(Table6[[#This Row],[NIS]],Table2[NIS],Table2[Nama lengkap],"Not Found",0)</f>
        <v>Rany Asiyatun</v>
      </c>
      <c r="D77" s="18">
        <f>_xlfn.XLOOKUP(Table6[[#This Row],[NIS]],Table2[NIS],Table2[Nomer Induk Siswa Nasional],"Not Found",0)</f>
        <v>3124400925</v>
      </c>
      <c r="E77" s="3" t="str">
        <f>_xlfn.XLOOKUP(Table6[[#This Row],[NIS]],Table2[NIS],Table2[Status],"Not Found",0)</f>
        <v>Aktif</v>
      </c>
      <c r="F77" s="3">
        <f>_xlfn.XLOOKUP(Table6[[#This Row],[NIS]],Table2[NIS],Table2[Tahun Masuk],"Not Found",0)</f>
        <v>2023</v>
      </c>
      <c r="G77" s="3">
        <f>_xlfn.XLOOKUP(Table6[[#This Row],[NIS]],Table2[NIS],Table2[Tahun Keluar],"Not Found",0)</f>
        <v>0</v>
      </c>
      <c r="H77" s="3">
        <f>_xlfn.XLOOKUP(Table6[[#This Row],[NIS]],Table2[NIS],Table2[Kelas],"Not Found",0)</f>
        <v>2</v>
      </c>
      <c r="I77" s="3" t="str">
        <f>_xlfn.XLOOKUP(Table6[[#This Row],[NIS]],Table2[NIS],Table2[Kelas Detail],"Not Found",0)</f>
        <v>2-A</v>
      </c>
    </row>
    <row r="78" spans="1:9">
      <c r="A78" s="3">
        <f>SUBTOTAL(3,B$3:B78)</f>
        <v>76</v>
      </c>
      <c r="B78" s="3">
        <v>22230068</v>
      </c>
      <c r="C78" s="18" t="str">
        <f>_xlfn.XLOOKUP(Table6[[#This Row],[NIS]],Table2[NIS],Table2[Nama lengkap],"Not Found",0)</f>
        <v>Raysa Cahyani</v>
      </c>
      <c r="D78" s="18" t="str">
        <f>_xlfn.XLOOKUP(Table6[[#This Row],[NIS]],Table2[NIS],Table2[Nomer Induk Siswa Nasional],"Not Found",0)</f>
        <v>0104955663</v>
      </c>
      <c r="E78" s="3" t="str">
        <f>_xlfn.XLOOKUP(Table6[[#This Row],[NIS]],Table2[NIS],Table2[Status],"Not Found",0)</f>
        <v>Aktif</v>
      </c>
      <c r="F78" s="3">
        <f>_xlfn.XLOOKUP(Table6[[#This Row],[NIS]],Table2[NIS],Table2[Tahun Masuk],"Not Found",0)</f>
        <v>2022</v>
      </c>
      <c r="G78" s="3">
        <f>_xlfn.XLOOKUP(Table6[[#This Row],[NIS]],Table2[NIS],Table2[Tahun Keluar],"Not Found",0)</f>
        <v>0</v>
      </c>
      <c r="H78" s="3">
        <f>_xlfn.XLOOKUP(Table6[[#This Row],[NIS]],Table2[NIS],Table2[Kelas],"Not Found",0)</f>
        <v>2</v>
      </c>
      <c r="I78" s="3" t="str">
        <f>_xlfn.XLOOKUP(Table6[[#This Row],[NIS]],Table2[NIS],Table2[Kelas Detail],"Not Found",0)</f>
        <v>2-A</v>
      </c>
    </row>
    <row r="79" spans="1:9">
      <c r="A79" s="3">
        <f>SUBTOTAL(3,B$3:B79)</f>
        <v>77</v>
      </c>
      <c r="B79" s="3">
        <v>23240115</v>
      </c>
      <c r="C79" s="18" t="str">
        <f>_xlfn.XLOOKUP(Table6[[#This Row],[NIS]],Table2[NIS],Table2[Nama lengkap],"Not Found",0)</f>
        <v>Renisa Arliani</v>
      </c>
      <c r="D79" s="18" t="str">
        <f>_xlfn.XLOOKUP(Table6[[#This Row],[NIS]],Table2[NIS],Table2[Nomer Induk Siswa Nasional],"Not Found",0)</f>
        <v>0086587226</v>
      </c>
      <c r="E79" s="3" t="str">
        <f>_xlfn.XLOOKUP(Table6[[#This Row],[NIS]],Table2[NIS],Table2[Status],"Not Found",0)</f>
        <v>Aktif</v>
      </c>
      <c r="F79" s="3">
        <f>_xlfn.XLOOKUP(Table6[[#This Row],[NIS]],Table2[NIS],Table2[Tahun Masuk],"Not Found",0)</f>
        <v>2023</v>
      </c>
      <c r="G79" s="3">
        <f>_xlfn.XLOOKUP(Table6[[#This Row],[NIS]],Table2[NIS],Table2[Tahun Keluar],"Not Found",0)</f>
        <v>0</v>
      </c>
      <c r="H79" s="3">
        <f>_xlfn.XLOOKUP(Table6[[#This Row],[NIS]],Table2[NIS],Table2[Kelas],"Not Found",0)</f>
        <v>2</v>
      </c>
      <c r="I79" s="3" t="str">
        <f>_xlfn.XLOOKUP(Table6[[#This Row],[NIS]],Table2[NIS],Table2[Kelas Detail],"Not Found",0)</f>
        <v>2-A</v>
      </c>
    </row>
    <row r="80" spans="1:9">
      <c r="A80" s="3">
        <f>SUBTOTAL(3,B$3:B80)</f>
        <v>78</v>
      </c>
      <c r="B80" s="3">
        <v>22230188</v>
      </c>
      <c r="C80" s="18" t="str">
        <f>_xlfn.XLOOKUP(Table6[[#This Row],[NIS]],Table2[NIS],Table2[Nama lengkap],"Not Found",0)</f>
        <v>Saa'Adah Nazlatil Karimah</v>
      </c>
      <c r="D80" s="18" t="str">
        <f>_xlfn.XLOOKUP(Table6[[#This Row],[NIS]],Table2[NIS],Table2[Nomer Induk Siswa Nasional],"Not Found",0)</f>
        <v>0096481744</v>
      </c>
      <c r="E80" s="3" t="str">
        <f>_xlfn.XLOOKUP(Table6[[#This Row],[NIS]],Table2[NIS],Table2[Status],"Not Found",0)</f>
        <v>Aktif</v>
      </c>
      <c r="F80" s="3">
        <f>_xlfn.XLOOKUP(Table6[[#This Row],[NIS]],Table2[NIS],Table2[Tahun Masuk],"Not Found",0)</f>
        <v>2022</v>
      </c>
      <c r="G80" s="3">
        <f>_xlfn.XLOOKUP(Table6[[#This Row],[NIS]],Table2[NIS],Table2[Tahun Keluar],"Not Found",0)</f>
        <v>0</v>
      </c>
      <c r="H80" s="3">
        <f>_xlfn.XLOOKUP(Table6[[#This Row],[NIS]],Table2[NIS],Table2[Kelas],"Not Found",0)</f>
        <v>2</v>
      </c>
      <c r="I80" s="3" t="str">
        <f>_xlfn.XLOOKUP(Table6[[#This Row],[NIS]],Table2[NIS],Table2[Kelas Detail],"Not Found",0)</f>
        <v>2-A</v>
      </c>
    </row>
    <row r="81" spans="1:9">
      <c r="A81" s="3">
        <f>SUBTOTAL(3,B$3:B81)</f>
        <v>79</v>
      </c>
      <c r="B81" s="3">
        <v>23240119</v>
      </c>
      <c r="C81" s="18" t="str">
        <f>_xlfn.XLOOKUP(Table6[[#This Row],[NIS]],Table2[NIS],Table2[Nama lengkap],"Not Found",0)</f>
        <v>Safira Rahmawati</v>
      </c>
      <c r="D81" s="18" t="str">
        <f>_xlfn.XLOOKUP(Table6[[#This Row],[NIS]],Table2[NIS],Table2[Nomer Induk Siswa Nasional],"Not Found",0)</f>
        <v>0119983111</v>
      </c>
      <c r="E81" s="3" t="str">
        <f>_xlfn.XLOOKUP(Table6[[#This Row],[NIS]],Table2[NIS],Table2[Status],"Not Found",0)</f>
        <v>Aktif</v>
      </c>
      <c r="F81" s="3">
        <f>_xlfn.XLOOKUP(Table6[[#This Row],[NIS]],Table2[NIS],Table2[Tahun Masuk],"Not Found",0)</f>
        <v>2023</v>
      </c>
      <c r="G81" s="3">
        <f>_xlfn.XLOOKUP(Table6[[#This Row],[NIS]],Table2[NIS],Table2[Tahun Keluar],"Not Found",0)</f>
        <v>0</v>
      </c>
      <c r="H81" s="3">
        <f>_xlfn.XLOOKUP(Table6[[#This Row],[NIS]],Table2[NIS],Table2[Kelas],"Not Found",0)</f>
        <v>2</v>
      </c>
      <c r="I81" s="3" t="str">
        <f>_xlfn.XLOOKUP(Table6[[#This Row],[NIS]],Table2[NIS],Table2[Kelas Detail],"Not Found",0)</f>
        <v>2-A</v>
      </c>
    </row>
    <row r="82" spans="1:9">
      <c r="A82" s="3">
        <f>SUBTOTAL(3,B$3:B82)</f>
        <v>80</v>
      </c>
      <c r="B82" s="3">
        <v>23240015</v>
      </c>
      <c r="C82" s="18" t="str">
        <f>_xlfn.XLOOKUP(Table6[[#This Row],[NIS]],Table2[NIS],Table2[Nama lengkap],"Not Found",0)</f>
        <v>Salsabila Firdausiah</v>
      </c>
      <c r="D82" s="18" t="str">
        <f>_xlfn.XLOOKUP(Table6[[#This Row],[NIS]],Table2[NIS],Table2[Nomer Induk Siswa Nasional],"Not Found",0)</f>
        <v>3114329132</v>
      </c>
      <c r="E82" s="3" t="str">
        <f>_xlfn.XLOOKUP(Table6[[#This Row],[NIS]],Table2[NIS],Table2[Status],"Not Found",0)</f>
        <v>Aktif</v>
      </c>
      <c r="F82" s="3">
        <f>_xlfn.XLOOKUP(Table6[[#This Row],[NIS]],Table2[NIS],Table2[Tahun Masuk],"Not Found",0)</f>
        <v>2023</v>
      </c>
      <c r="G82" s="3">
        <f>_xlfn.XLOOKUP(Table6[[#This Row],[NIS]],Table2[NIS],Table2[Tahun Keluar],"Not Found",0)</f>
        <v>0</v>
      </c>
      <c r="H82" s="3">
        <f>_xlfn.XLOOKUP(Table6[[#This Row],[NIS]],Table2[NIS],Table2[Kelas],"Not Found",0)</f>
        <v>2</v>
      </c>
      <c r="I82" s="3" t="str">
        <f>_xlfn.XLOOKUP(Table6[[#This Row],[NIS]],Table2[NIS],Table2[Kelas Detail],"Not Found",0)</f>
        <v>2-A</v>
      </c>
    </row>
    <row r="83" spans="1:9">
      <c r="A83" s="3">
        <f>SUBTOTAL(3,B$3:B83)</f>
        <v>81</v>
      </c>
      <c r="B83" s="3">
        <v>23240020</v>
      </c>
      <c r="C83" s="18" t="str">
        <f>_xlfn.XLOOKUP(Table6[[#This Row],[NIS]],Table2[NIS],Table2[Nama lengkap],"Not Found",0)</f>
        <v>Sarah Desviani</v>
      </c>
      <c r="D83" s="18" t="str">
        <f>_xlfn.XLOOKUP(Table6[[#This Row],[NIS]],Table2[NIS],Table2[Nomer Induk Siswa Nasional],"Not Found",0)</f>
        <v>0117683489</v>
      </c>
      <c r="E83" s="3" t="str">
        <f>_xlfn.XLOOKUP(Table6[[#This Row],[NIS]],Table2[NIS],Table2[Status],"Not Found",0)</f>
        <v>Aktif</v>
      </c>
      <c r="F83" s="3">
        <f>_xlfn.XLOOKUP(Table6[[#This Row],[NIS]],Table2[NIS],Table2[Tahun Masuk],"Not Found",0)</f>
        <v>2023</v>
      </c>
      <c r="G83" s="3">
        <f>_xlfn.XLOOKUP(Table6[[#This Row],[NIS]],Table2[NIS],Table2[Tahun Keluar],"Not Found",0)</f>
        <v>0</v>
      </c>
      <c r="H83" s="3">
        <f>_xlfn.XLOOKUP(Table6[[#This Row],[NIS]],Table2[NIS],Table2[Kelas],"Not Found",0)</f>
        <v>2</v>
      </c>
      <c r="I83" s="3" t="str">
        <f>_xlfn.XLOOKUP(Table6[[#This Row],[NIS]],Table2[NIS],Table2[Kelas Detail],"Not Found",0)</f>
        <v>2-A</v>
      </c>
    </row>
    <row r="84" spans="1:9">
      <c r="A84" s="3">
        <f>SUBTOTAL(3,B$3:B84)</f>
        <v>82</v>
      </c>
      <c r="B84" s="3">
        <v>23240012</v>
      </c>
      <c r="C84" s="18" t="str">
        <f>_xlfn.XLOOKUP(Table6[[#This Row],[NIS]],Table2[NIS],Table2[Nama lengkap],"Not Found",0)</f>
        <v>Shalsabila  Aulia Syifaa</v>
      </c>
      <c r="D84" s="18" t="str">
        <f>_xlfn.XLOOKUP(Table6[[#This Row],[NIS]],Table2[NIS],Table2[Nomer Induk Siswa Nasional],"Not Found",0)</f>
        <v>0115649128</v>
      </c>
      <c r="E84" s="3" t="str">
        <f>_xlfn.XLOOKUP(Table6[[#This Row],[NIS]],Table2[NIS],Table2[Status],"Not Found",0)</f>
        <v>Aktif</v>
      </c>
      <c r="F84" s="3">
        <f>_xlfn.XLOOKUP(Table6[[#This Row],[NIS]],Table2[NIS],Table2[Tahun Masuk],"Not Found",0)</f>
        <v>2023</v>
      </c>
      <c r="G84" s="3">
        <f>_xlfn.XLOOKUP(Table6[[#This Row],[NIS]],Table2[NIS],Table2[Tahun Keluar],"Not Found",0)</f>
        <v>0</v>
      </c>
      <c r="H84" s="3">
        <f>_xlfn.XLOOKUP(Table6[[#This Row],[NIS]],Table2[NIS],Table2[Kelas],"Not Found",0)</f>
        <v>2</v>
      </c>
      <c r="I84" s="3" t="str">
        <f>_xlfn.XLOOKUP(Table6[[#This Row],[NIS]],Table2[NIS],Table2[Kelas Detail],"Not Found",0)</f>
        <v>2-A</v>
      </c>
    </row>
    <row r="85" spans="1:9">
      <c r="A85" s="3">
        <f>SUBTOTAL(3,B$3:B85)</f>
        <v>83</v>
      </c>
      <c r="B85" s="3">
        <v>23240013</v>
      </c>
      <c r="C85" s="18" t="str">
        <f>_xlfn.XLOOKUP(Table6[[#This Row],[NIS]],Table2[NIS],Table2[Nama lengkap],"Not Found",0)</f>
        <v>Silfa Fitri Nur Rahma</v>
      </c>
      <c r="D85" s="18" t="str">
        <f>_xlfn.XLOOKUP(Table6[[#This Row],[NIS]],Table2[NIS],Table2[Nomer Induk Siswa Nasional],"Not Found",0)</f>
        <v>0106127807</v>
      </c>
      <c r="E85" s="3" t="str">
        <f>_xlfn.XLOOKUP(Table6[[#This Row],[NIS]],Table2[NIS],Table2[Status],"Not Found",0)</f>
        <v>Aktif</v>
      </c>
      <c r="F85" s="3">
        <f>_xlfn.XLOOKUP(Table6[[#This Row],[NIS]],Table2[NIS],Table2[Tahun Masuk],"Not Found",0)</f>
        <v>2023</v>
      </c>
      <c r="G85" s="3">
        <f>_xlfn.XLOOKUP(Table6[[#This Row],[NIS]],Table2[NIS],Table2[Tahun Keluar],"Not Found",0)</f>
        <v>0</v>
      </c>
      <c r="H85" s="3">
        <f>_xlfn.XLOOKUP(Table6[[#This Row],[NIS]],Table2[NIS],Table2[Kelas],"Not Found",0)</f>
        <v>2</v>
      </c>
      <c r="I85" s="3" t="str">
        <f>_xlfn.XLOOKUP(Table6[[#This Row],[NIS]],Table2[NIS],Table2[Kelas Detail],"Not Found",0)</f>
        <v>2-A</v>
      </c>
    </row>
    <row r="86" spans="1:9">
      <c r="A86" s="3">
        <f>SUBTOTAL(3,B$3:B86)</f>
        <v>84</v>
      </c>
      <c r="B86" s="3">
        <v>23240158</v>
      </c>
      <c r="C86" s="18" t="str">
        <f>_xlfn.XLOOKUP(Table6[[#This Row],[NIS]],Table2[NIS],Table2[Nama lengkap],"Not Found",0)</f>
        <v>Silviana Widari</v>
      </c>
      <c r="D86" s="18" t="str">
        <f>_xlfn.XLOOKUP(Table6[[#This Row],[NIS]],Table2[NIS],Table2[Nomer Induk Siswa Nasional],"Not Found",0)</f>
        <v>0105135628</v>
      </c>
      <c r="E86" s="3" t="str">
        <f>_xlfn.XLOOKUP(Table6[[#This Row],[NIS]],Table2[NIS],Table2[Status],"Not Found",0)</f>
        <v>Aktif</v>
      </c>
      <c r="F86" s="3">
        <f>_xlfn.XLOOKUP(Table6[[#This Row],[NIS]],Table2[NIS],Table2[Tahun Masuk],"Not Found",0)</f>
        <v>2023</v>
      </c>
      <c r="G86" s="3">
        <f>_xlfn.XLOOKUP(Table6[[#This Row],[NIS]],Table2[NIS],Table2[Tahun Keluar],"Not Found",0)</f>
        <v>0</v>
      </c>
      <c r="H86" s="3">
        <f>_xlfn.XLOOKUP(Table6[[#This Row],[NIS]],Table2[NIS],Table2[Kelas],"Not Found",0)</f>
        <v>2</v>
      </c>
      <c r="I86" s="3" t="str">
        <f>_xlfn.XLOOKUP(Table6[[#This Row],[NIS]],Table2[NIS],Table2[Kelas Detail],"Not Found",0)</f>
        <v>2-A</v>
      </c>
    </row>
    <row r="87" spans="1:9">
      <c r="A87" s="3">
        <f>SUBTOTAL(3,B$3:B87)</f>
        <v>85</v>
      </c>
      <c r="B87" s="3">
        <v>23240147</v>
      </c>
      <c r="C87" s="18" t="str">
        <f>_xlfn.XLOOKUP(Table6[[#This Row],[NIS]],Table2[NIS],Table2[Nama lengkap],"Not Found",0)</f>
        <v xml:space="preserve">Sinta Aulia </v>
      </c>
      <c r="D87" s="18" t="str">
        <f>_xlfn.XLOOKUP(Table6[[#This Row],[NIS]],Table2[NIS],Table2[Nomer Induk Siswa Nasional],"Not Found",0)</f>
        <v>0101736804</v>
      </c>
      <c r="E87" s="3" t="str">
        <f>_xlfn.XLOOKUP(Table6[[#This Row],[NIS]],Table2[NIS],Table2[Status],"Not Found",0)</f>
        <v>Aktif</v>
      </c>
      <c r="F87" s="3">
        <f>_xlfn.XLOOKUP(Table6[[#This Row],[NIS]],Table2[NIS],Table2[Tahun Masuk],"Not Found",0)</f>
        <v>2023</v>
      </c>
      <c r="G87" s="3" t="str">
        <f>_xlfn.XLOOKUP(Table6[[#This Row],[NIS]],Table2[NIS],Table2[Tahun Keluar],"Not Found",0)</f>
        <v>TB</v>
      </c>
      <c r="H87" s="3">
        <f>_xlfn.XLOOKUP(Table6[[#This Row],[NIS]],Table2[NIS],Table2[Kelas],"Not Found",0)</f>
        <v>2</v>
      </c>
      <c r="I87" s="3" t="str">
        <f>_xlfn.XLOOKUP(Table6[[#This Row],[NIS]],Table2[NIS],Table2[Kelas Detail],"Not Found",0)</f>
        <v>2-A</v>
      </c>
    </row>
    <row r="88" spans="1:9">
      <c r="A88" s="3">
        <f>SUBTOTAL(3,B$3:B88)</f>
        <v>86</v>
      </c>
      <c r="B88" s="3">
        <v>23240063</v>
      </c>
      <c r="C88" s="18" t="str">
        <f>_xlfn.XLOOKUP(Table6[[#This Row],[NIS]],Table2[NIS],Table2[Nama lengkap],"Not Found",0)</f>
        <v>Siti Durratun Nashiihah</v>
      </c>
      <c r="D88" s="18">
        <f>_xlfn.XLOOKUP(Table6[[#This Row],[NIS]],Table2[NIS],Table2[Nomer Induk Siswa Nasional],"Not Found",0)</f>
        <v>3108762558</v>
      </c>
      <c r="E88" s="3" t="str">
        <f>_xlfn.XLOOKUP(Table6[[#This Row],[NIS]],Table2[NIS],Table2[Status],"Not Found",0)</f>
        <v>Aktif</v>
      </c>
      <c r="F88" s="3">
        <f>_xlfn.XLOOKUP(Table6[[#This Row],[NIS]],Table2[NIS],Table2[Tahun Masuk],"Not Found",0)</f>
        <v>2023</v>
      </c>
      <c r="G88" s="3">
        <f>_xlfn.XLOOKUP(Table6[[#This Row],[NIS]],Table2[NIS],Table2[Tahun Keluar],"Not Found",0)</f>
        <v>0</v>
      </c>
      <c r="H88" s="3">
        <f>_xlfn.XLOOKUP(Table6[[#This Row],[NIS]],Table2[NIS],Table2[Kelas],"Not Found",0)</f>
        <v>2</v>
      </c>
      <c r="I88" s="3" t="str">
        <f>_xlfn.XLOOKUP(Table6[[#This Row],[NIS]],Table2[NIS],Table2[Kelas Detail],"Not Found",0)</f>
        <v>2-A</v>
      </c>
    </row>
    <row r="89" spans="1:9">
      <c r="A89" s="3">
        <f>SUBTOTAL(3,B$3:B89)</f>
        <v>87</v>
      </c>
      <c r="B89" s="3">
        <v>23240078</v>
      </c>
      <c r="C89" s="18" t="str">
        <f>_xlfn.XLOOKUP(Table6[[#This Row],[NIS]],Table2[NIS],Table2[Nama lengkap],"Not Found",0)</f>
        <v>Siti Hafshoh</v>
      </c>
      <c r="D89" s="18" t="str">
        <f>_xlfn.XLOOKUP(Table6[[#This Row],[NIS]],Table2[NIS],Table2[Nomer Induk Siswa Nasional],"Not Found",0)</f>
        <v>0115884926</v>
      </c>
      <c r="E89" s="3" t="str">
        <f>_xlfn.XLOOKUP(Table6[[#This Row],[NIS]],Table2[NIS],Table2[Status],"Not Found",0)</f>
        <v>Aktif</v>
      </c>
      <c r="F89" s="3">
        <f>_xlfn.XLOOKUP(Table6[[#This Row],[NIS]],Table2[NIS],Table2[Tahun Masuk],"Not Found",0)</f>
        <v>2023</v>
      </c>
      <c r="G89" s="3">
        <f>_xlfn.XLOOKUP(Table6[[#This Row],[NIS]],Table2[NIS],Table2[Tahun Keluar],"Not Found",0)</f>
        <v>0</v>
      </c>
      <c r="H89" s="3">
        <f>_xlfn.XLOOKUP(Table6[[#This Row],[NIS]],Table2[NIS],Table2[Kelas],"Not Found",0)</f>
        <v>2</v>
      </c>
      <c r="I89" s="3" t="str">
        <f>_xlfn.XLOOKUP(Table6[[#This Row],[NIS]],Table2[NIS],Table2[Kelas Detail],"Not Found",0)</f>
        <v>2-A</v>
      </c>
    </row>
    <row r="90" spans="1:9">
      <c r="A90" s="3">
        <f>SUBTOTAL(3,B$3:B90)</f>
        <v>88</v>
      </c>
      <c r="B90" s="3">
        <v>23240104</v>
      </c>
      <c r="C90" s="18" t="str">
        <f>_xlfn.XLOOKUP(Table6[[#This Row],[NIS]],Table2[NIS],Table2[Nama lengkap],"Not Found",0)</f>
        <v>Siti Nopi Alipah</v>
      </c>
      <c r="D90" s="18" t="str">
        <f>_xlfn.XLOOKUP(Table6[[#This Row],[NIS]],Table2[NIS],Table2[Nomer Induk Siswa Nasional],"Not Found",0)</f>
        <v>0106551384</v>
      </c>
      <c r="E90" s="3" t="str">
        <f>_xlfn.XLOOKUP(Table6[[#This Row],[NIS]],Table2[NIS],Table2[Status],"Not Found",0)</f>
        <v>Aktif</v>
      </c>
      <c r="F90" s="3">
        <f>_xlfn.XLOOKUP(Table6[[#This Row],[NIS]],Table2[NIS],Table2[Tahun Masuk],"Not Found",0)</f>
        <v>2023</v>
      </c>
      <c r="G90" s="3">
        <f>_xlfn.XLOOKUP(Table6[[#This Row],[NIS]],Table2[NIS],Table2[Tahun Keluar],"Not Found",0)</f>
        <v>0</v>
      </c>
      <c r="H90" s="3">
        <f>_xlfn.XLOOKUP(Table6[[#This Row],[NIS]],Table2[NIS],Table2[Kelas],"Not Found",0)</f>
        <v>2</v>
      </c>
      <c r="I90" s="3" t="str">
        <f>_xlfn.XLOOKUP(Table6[[#This Row],[NIS]],Table2[NIS],Table2[Kelas Detail],"Not Found",0)</f>
        <v>2-A</v>
      </c>
    </row>
    <row r="91" spans="1:9">
      <c r="A91" s="3">
        <f>SUBTOTAL(3,B$3:B91)</f>
        <v>89</v>
      </c>
      <c r="B91" s="3">
        <v>23240021</v>
      </c>
      <c r="C91" s="18" t="str">
        <f>_xlfn.XLOOKUP(Table6[[#This Row],[NIS]],Table2[NIS],Table2[Nama lengkap],"Not Found",0)</f>
        <v>Siti Ranum Mutmainah</v>
      </c>
      <c r="D91" s="18" t="str">
        <f>_xlfn.XLOOKUP(Table6[[#This Row],[NIS]],Table2[NIS],Table2[Nomer Induk Siswa Nasional],"Not Found",0)</f>
        <v>0109585116</v>
      </c>
      <c r="E91" s="3" t="str">
        <f>_xlfn.XLOOKUP(Table6[[#This Row],[NIS]],Table2[NIS],Table2[Status],"Not Found",0)</f>
        <v>Aktif</v>
      </c>
      <c r="F91" s="3">
        <f>_xlfn.XLOOKUP(Table6[[#This Row],[NIS]],Table2[NIS],Table2[Tahun Masuk],"Not Found",0)</f>
        <v>2023</v>
      </c>
      <c r="G91" s="3">
        <f>_xlfn.XLOOKUP(Table6[[#This Row],[NIS]],Table2[NIS],Table2[Tahun Keluar],"Not Found",0)</f>
        <v>0</v>
      </c>
      <c r="H91" s="3">
        <f>_xlfn.XLOOKUP(Table6[[#This Row],[NIS]],Table2[NIS],Table2[Kelas],"Not Found",0)</f>
        <v>2</v>
      </c>
      <c r="I91" s="3" t="str">
        <f>_xlfn.XLOOKUP(Table6[[#This Row],[NIS]],Table2[NIS],Table2[Kelas Detail],"Not Found",0)</f>
        <v>2-A</v>
      </c>
    </row>
    <row r="92" spans="1:9">
      <c r="A92" s="3">
        <f>SUBTOTAL(3,B$3:B92)</f>
        <v>90</v>
      </c>
      <c r="B92" s="3">
        <v>23240081</v>
      </c>
      <c r="C92" s="18" t="str">
        <f>_xlfn.XLOOKUP(Table6[[#This Row],[NIS]],Table2[NIS],Table2[Nama lengkap],"Not Found",0)</f>
        <v>Sofia Nur Sayyidat</v>
      </c>
      <c r="D92" s="18" t="str">
        <f>_xlfn.XLOOKUP(Table6[[#This Row],[NIS]],Table2[NIS],Table2[Nomer Induk Siswa Nasional],"Not Found",0)</f>
        <v>0082706406</v>
      </c>
      <c r="E92" s="3" t="str">
        <f>_xlfn.XLOOKUP(Table6[[#This Row],[NIS]],Table2[NIS],Table2[Status],"Not Found",0)</f>
        <v>Aktif</v>
      </c>
      <c r="F92" s="3">
        <f>_xlfn.XLOOKUP(Table6[[#This Row],[NIS]],Table2[NIS],Table2[Tahun Masuk],"Not Found",0)</f>
        <v>2023</v>
      </c>
      <c r="G92" s="3">
        <f>_xlfn.XLOOKUP(Table6[[#This Row],[NIS]],Table2[NIS],Table2[Tahun Keluar],"Not Found",0)</f>
        <v>0</v>
      </c>
      <c r="H92" s="3">
        <f>_xlfn.XLOOKUP(Table6[[#This Row],[NIS]],Table2[NIS],Table2[Kelas],"Not Found",0)</f>
        <v>2</v>
      </c>
      <c r="I92" s="3" t="str">
        <f>_xlfn.XLOOKUP(Table6[[#This Row],[NIS]],Table2[NIS],Table2[Kelas Detail],"Not Found",0)</f>
        <v>2-A</v>
      </c>
    </row>
    <row r="93" spans="1:9">
      <c r="A93" s="3">
        <f>SUBTOTAL(3,B$3:B93)</f>
        <v>91</v>
      </c>
      <c r="B93" s="3">
        <v>22230080</v>
      </c>
      <c r="C93" s="18" t="str">
        <f>_xlfn.XLOOKUP(Table6[[#This Row],[NIS]],Table2[NIS],Table2[Nama lengkap],"Not Found",0)</f>
        <v>Syovi Awalliah</v>
      </c>
      <c r="D93" s="18" t="str">
        <f>_xlfn.XLOOKUP(Table6[[#This Row],[NIS]],Table2[NIS],Table2[Nomer Induk Siswa Nasional],"Not Found",0)</f>
        <v>0103006732</v>
      </c>
      <c r="E93" s="3" t="str">
        <f>_xlfn.XLOOKUP(Table6[[#This Row],[NIS]],Table2[NIS],Table2[Status],"Not Found",0)</f>
        <v>Aktif</v>
      </c>
      <c r="F93" s="3">
        <f>_xlfn.XLOOKUP(Table6[[#This Row],[NIS]],Table2[NIS],Table2[Tahun Masuk],"Not Found",0)</f>
        <v>2022</v>
      </c>
      <c r="G93" s="3">
        <f>_xlfn.XLOOKUP(Table6[[#This Row],[NIS]],Table2[NIS],Table2[Tahun Keluar],"Not Found",0)</f>
        <v>0</v>
      </c>
      <c r="H93" s="3">
        <f>_xlfn.XLOOKUP(Table6[[#This Row],[NIS]],Table2[NIS],Table2[Kelas],"Not Found",0)</f>
        <v>2</v>
      </c>
      <c r="I93" s="3" t="str">
        <f>_xlfn.XLOOKUP(Table6[[#This Row],[NIS]],Table2[NIS],Table2[Kelas Detail],"Not Found",0)</f>
        <v>2-A</v>
      </c>
    </row>
    <row r="94" spans="1:9">
      <c r="A94" s="3">
        <f>SUBTOTAL(3,B$3:B94)</f>
        <v>92</v>
      </c>
      <c r="B94" s="3">
        <v>23240096</v>
      </c>
      <c r="C94" s="18" t="str">
        <f>_xlfn.XLOOKUP(Table6[[#This Row],[NIS]],Table2[NIS],Table2[Nama lengkap],"Not Found",0)</f>
        <v>Tatia Siti Fatimah</v>
      </c>
      <c r="D94" s="18">
        <f>_xlfn.XLOOKUP(Table6[[#This Row],[NIS]],Table2[NIS],Table2[Nomer Induk Siswa Nasional],"Not Found",0)</f>
        <v>3104744303</v>
      </c>
      <c r="E94" s="3" t="str">
        <f>_xlfn.XLOOKUP(Table6[[#This Row],[NIS]],Table2[NIS],Table2[Status],"Not Found",0)</f>
        <v>Aktif</v>
      </c>
      <c r="F94" s="3">
        <f>_xlfn.XLOOKUP(Table6[[#This Row],[NIS]],Table2[NIS],Table2[Tahun Masuk],"Not Found",0)</f>
        <v>2023</v>
      </c>
      <c r="G94" s="3">
        <f>_xlfn.XLOOKUP(Table6[[#This Row],[NIS]],Table2[NIS],Table2[Tahun Keluar],"Not Found",0)</f>
        <v>0</v>
      </c>
      <c r="H94" s="3">
        <f>_xlfn.XLOOKUP(Table6[[#This Row],[NIS]],Table2[NIS],Table2[Kelas],"Not Found",0)</f>
        <v>2</v>
      </c>
      <c r="I94" s="3" t="str">
        <f>_xlfn.XLOOKUP(Table6[[#This Row],[NIS]],Table2[NIS],Table2[Kelas Detail],"Not Found",0)</f>
        <v>2-A</v>
      </c>
    </row>
    <row r="95" spans="1:9">
      <c r="A95" s="3">
        <f>SUBTOTAL(3,B$3:B95)</f>
        <v>93</v>
      </c>
      <c r="B95" s="3">
        <v>23240154</v>
      </c>
      <c r="C95" s="18" t="str">
        <f>_xlfn.XLOOKUP(Table6[[#This Row],[NIS]],Table2[NIS],Table2[Nama lengkap],"Not Found",0)</f>
        <v>Wahdatul Mujizah</v>
      </c>
      <c r="D95" s="18" t="str">
        <f>_xlfn.XLOOKUP(Table6[[#This Row],[NIS]],Table2[NIS],Table2[Nomer Induk Siswa Nasional],"Not Found",0)</f>
        <v>0114790811</v>
      </c>
      <c r="E95" s="3" t="str">
        <f>_xlfn.XLOOKUP(Table6[[#This Row],[NIS]],Table2[NIS],Table2[Status],"Not Found",0)</f>
        <v>Aktif</v>
      </c>
      <c r="F95" s="3">
        <f>_xlfn.XLOOKUP(Table6[[#This Row],[NIS]],Table2[NIS],Table2[Tahun Masuk],"Not Found",0)</f>
        <v>2023</v>
      </c>
      <c r="G95" s="3">
        <f>_xlfn.XLOOKUP(Table6[[#This Row],[NIS]],Table2[NIS],Table2[Tahun Keluar],"Not Found",0)</f>
        <v>0</v>
      </c>
      <c r="H95" s="3">
        <f>_xlfn.XLOOKUP(Table6[[#This Row],[NIS]],Table2[NIS],Table2[Kelas],"Not Found",0)</f>
        <v>2</v>
      </c>
      <c r="I95" s="3" t="str">
        <f>_xlfn.XLOOKUP(Table6[[#This Row],[NIS]],Table2[NIS],Table2[Kelas Detail],"Not Found",0)</f>
        <v>2-A</v>
      </c>
    </row>
    <row r="96" spans="1:9">
      <c r="A96" s="3">
        <f>SUBTOTAL(3,B$3:B96)</f>
        <v>94</v>
      </c>
      <c r="B96" s="3">
        <v>22230035</v>
      </c>
      <c r="C96" s="18" t="str">
        <f>_xlfn.XLOOKUP(Table6[[#This Row],[NIS]],Table2[NIS],Table2[Nama lengkap],"Not Found",0)</f>
        <v>Zahra Ghania Ummu Habibah</v>
      </c>
      <c r="D96" s="18" t="str">
        <f>_xlfn.XLOOKUP(Table6[[#This Row],[NIS]],Table2[NIS],Table2[Nomer Induk Siswa Nasional],"Not Found",0)</f>
        <v>0119301291</v>
      </c>
      <c r="E96" s="3" t="str">
        <f>_xlfn.XLOOKUP(Table6[[#This Row],[NIS]],Table2[NIS],Table2[Status],"Not Found",0)</f>
        <v>Waqof</v>
      </c>
      <c r="F96" s="3">
        <f>_xlfn.XLOOKUP(Table6[[#This Row],[NIS]],Table2[NIS],Table2[Tahun Masuk],"Not Found",0)</f>
        <v>2022</v>
      </c>
      <c r="G96" s="3" t="str">
        <f>_xlfn.XLOOKUP(Table6[[#This Row],[NIS]],Table2[NIS],Table2[Tahun Keluar],"Not Found",0)</f>
        <v>25-26</v>
      </c>
      <c r="H96" s="3">
        <f>_xlfn.XLOOKUP(Table6[[#This Row],[NIS]],Table2[NIS],Table2[Kelas],"Not Found",0)</f>
        <v>2</v>
      </c>
      <c r="I96" s="3" t="str">
        <f>_xlfn.XLOOKUP(Table6[[#This Row],[NIS]],Table2[NIS],Table2[Kelas Detail],"Not Found",0)</f>
        <v>2-A</v>
      </c>
    </row>
    <row r="97" spans="1:9">
      <c r="A97" s="3">
        <f>SUBTOTAL(3,B$3:B97)</f>
        <v>95</v>
      </c>
      <c r="B97" s="3">
        <v>23240183</v>
      </c>
      <c r="C97" s="18" t="str">
        <f>_xlfn.XLOOKUP(Table6[[#This Row],[NIS]],Table2[NIS],Table2[Nama lengkap],"Not Found",0)</f>
        <v>Zahra Siti Rohimah</v>
      </c>
      <c r="D97" s="18" t="str">
        <f>_xlfn.XLOOKUP(Table6[[#This Row],[NIS]],Table2[NIS],Table2[Nomer Induk Siswa Nasional],"Not Found",0)</f>
        <v>0099453612</v>
      </c>
      <c r="E97" s="3" t="str">
        <f>_xlfn.XLOOKUP(Table6[[#This Row],[NIS]],Table2[NIS],Table2[Status],"Not Found",0)</f>
        <v>Aktif</v>
      </c>
      <c r="F97" s="3">
        <f>_xlfn.XLOOKUP(Table6[[#This Row],[NIS]],Table2[NIS],Table2[Tahun Masuk],"Not Found",0)</f>
        <v>2023</v>
      </c>
      <c r="G97" s="3">
        <f>_xlfn.XLOOKUP(Table6[[#This Row],[NIS]],Table2[NIS],Table2[Tahun Keluar],"Not Found",0)</f>
        <v>0</v>
      </c>
      <c r="H97" s="3">
        <f>_xlfn.XLOOKUP(Table6[[#This Row],[NIS]],Table2[NIS],Table2[Kelas],"Not Found",0)</f>
        <v>2</v>
      </c>
      <c r="I97" s="3" t="str">
        <f>_xlfn.XLOOKUP(Table6[[#This Row],[NIS]],Table2[NIS],Table2[Kelas Detail],"Not Found",0)</f>
        <v>2-A</v>
      </c>
    </row>
    <row r="98" spans="1:9">
      <c r="A98" s="3">
        <f>SUBTOTAL(3,B$3:B98)</f>
        <v>96</v>
      </c>
      <c r="B98" s="3">
        <v>23240088</v>
      </c>
      <c r="C98" s="18" t="str">
        <f>_xlfn.XLOOKUP(Table6[[#This Row],[NIS]],Table2[NIS],Table2[Nama lengkap],"Not Found",0)</f>
        <v>Zulfa Dzakira Qodariyah</v>
      </c>
      <c r="D98" s="18" t="str">
        <f>_xlfn.XLOOKUP(Table6[[#This Row],[NIS]],Table2[NIS],Table2[Nomer Induk Siswa Nasional],"Not Found",0)</f>
        <v>0109813572</v>
      </c>
      <c r="E98" s="3" t="str">
        <f>_xlfn.XLOOKUP(Table6[[#This Row],[NIS]],Table2[NIS],Table2[Status],"Not Found",0)</f>
        <v>Aktif</v>
      </c>
      <c r="F98" s="3">
        <f>_xlfn.XLOOKUP(Table6[[#This Row],[NIS]],Table2[NIS],Table2[Tahun Masuk],"Not Found",0)</f>
        <v>2023</v>
      </c>
      <c r="G98" s="3">
        <f>_xlfn.XLOOKUP(Table6[[#This Row],[NIS]],Table2[NIS],Table2[Tahun Keluar],"Not Found",0)</f>
        <v>0</v>
      </c>
      <c r="H98" s="3">
        <f>_xlfn.XLOOKUP(Table6[[#This Row],[NIS]],Table2[NIS],Table2[Kelas],"Not Found",0)</f>
        <v>2</v>
      </c>
      <c r="I98" s="3" t="str">
        <f>_xlfn.XLOOKUP(Table6[[#This Row],[NIS]],Table2[NIS],Table2[Kelas Detail],"Not Found",0)</f>
        <v>2-A</v>
      </c>
    </row>
    <row r="99" spans="1:9">
      <c r="A99" s="3">
        <f>SUBTOTAL(3,B$3:B99)</f>
        <v>97</v>
      </c>
      <c r="B99" s="3">
        <v>24250017</v>
      </c>
      <c r="C99" s="18" t="str">
        <f>_xlfn.XLOOKUP(Table6[[#This Row],[NIS]],Table2[NIS],Table2[Nama lengkap],"Not Found",0)</f>
        <v xml:space="preserve">Alfiyyah Nur Azizah </v>
      </c>
      <c r="D99" s="18" t="str">
        <f>_xlfn.XLOOKUP(Table6[[#This Row],[NIS]],Table2[NIS],Table2[Nomer Induk Siswa Nasional],"Not Found",0)</f>
        <v>0096441534</v>
      </c>
      <c r="E99" s="3" t="str">
        <f>_xlfn.XLOOKUP(Table6[[#This Row],[NIS]],Table2[NIS],Table2[Status],"Not Found",0)</f>
        <v>Aktif</v>
      </c>
      <c r="F99" s="3">
        <f>_xlfn.XLOOKUP(Table6[[#This Row],[NIS]],Table2[NIS],Table2[Tahun Masuk],"Not Found",0)</f>
        <v>2024</v>
      </c>
      <c r="G99" s="3">
        <f>_xlfn.XLOOKUP(Table6[[#This Row],[NIS]],Table2[NIS],Table2[Tahun Keluar],"Not Found",0)</f>
        <v>0</v>
      </c>
      <c r="H99" s="3">
        <f>_xlfn.XLOOKUP(Table6[[#This Row],[NIS]],Table2[NIS],Table2[Kelas],"Not Found",0)</f>
        <v>2</v>
      </c>
      <c r="I99" s="3" t="str">
        <f>_xlfn.XLOOKUP(Table6[[#This Row],[NIS]],Table2[NIS],Table2[Kelas Detail],"Not Found",0)</f>
        <v>2-B</v>
      </c>
    </row>
    <row r="100" spans="1:9">
      <c r="A100" s="3">
        <f>SUBTOTAL(3,B$3:B100)</f>
        <v>98</v>
      </c>
      <c r="B100" s="3">
        <v>23240009</v>
      </c>
      <c r="C100" s="18" t="str">
        <f>_xlfn.XLOOKUP(Table6[[#This Row],[NIS]],Table2[NIS],Table2[Nama lengkap],"Not Found",0)</f>
        <v>Alya Nurasipa</v>
      </c>
      <c r="D100" s="18" t="str">
        <f>_xlfn.XLOOKUP(Table6[[#This Row],[NIS]],Table2[NIS],Table2[Nomer Induk Siswa Nasional],"Not Found",0)</f>
        <v>0117753746</v>
      </c>
      <c r="E100" s="3" t="str">
        <f>_xlfn.XLOOKUP(Table6[[#This Row],[NIS]],Table2[NIS],Table2[Status],"Not Found",0)</f>
        <v>Aktif</v>
      </c>
      <c r="F100" s="3">
        <f>_xlfn.XLOOKUP(Table6[[#This Row],[NIS]],Table2[NIS],Table2[Tahun Masuk],"Not Found",0)</f>
        <v>2023</v>
      </c>
      <c r="G100" s="3">
        <f>_xlfn.XLOOKUP(Table6[[#This Row],[NIS]],Table2[NIS],Table2[Tahun Keluar],"Not Found",0)</f>
        <v>0</v>
      </c>
      <c r="H100" s="3">
        <f>_xlfn.XLOOKUP(Table6[[#This Row],[NIS]],Table2[NIS],Table2[Kelas],"Not Found",0)</f>
        <v>2</v>
      </c>
      <c r="I100" s="3" t="str">
        <f>_xlfn.XLOOKUP(Table6[[#This Row],[NIS]],Table2[NIS],Table2[Kelas Detail],"Not Found",0)</f>
        <v>2-B</v>
      </c>
    </row>
    <row r="101" spans="1:9">
      <c r="A101" s="3">
        <f>SUBTOTAL(3,B$3:B101)</f>
        <v>99</v>
      </c>
      <c r="B101" s="3">
        <v>23240050</v>
      </c>
      <c r="C101" s="18" t="str">
        <f>_xlfn.XLOOKUP(Table6[[#This Row],[NIS]],Table2[NIS],Table2[Nama lengkap],"Not Found",0)</f>
        <v>Anggi Hafifull Utami</v>
      </c>
      <c r="D101" s="18" t="str">
        <f>_xlfn.XLOOKUP(Table6[[#This Row],[NIS]],Table2[NIS],Table2[Nomer Induk Siswa Nasional],"Not Found",0)</f>
        <v>0117151045</v>
      </c>
      <c r="E101" s="3" t="str">
        <f>_xlfn.XLOOKUP(Table6[[#This Row],[NIS]],Table2[NIS],Table2[Status],"Not Found",0)</f>
        <v>Aktif</v>
      </c>
      <c r="F101" s="3">
        <f>_xlfn.XLOOKUP(Table6[[#This Row],[NIS]],Table2[NIS],Table2[Tahun Masuk],"Not Found",0)</f>
        <v>2023</v>
      </c>
      <c r="G101" s="3">
        <f>_xlfn.XLOOKUP(Table6[[#This Row],[NIS]],Table2[NIS],Table2[Tahun Keluar],"Not Found",0)</f>
        <v>0</v>
      </c>
      <c r="H101" s="3">
        <f>_xlfn.XLOOKUP(Table6[[#This Row],[NIS]],Table2[NIS],Table2[Kelas],"Not Found",0)</f>
        <v>2</v>
      </c>
      <c r="I101" s="3" t="str">
        <f>_xlfn.XLOOKUP(Table6[[#This Row],[NIS]],Table2[NIS],Table2[Kelas Detail],"Not Found",0)</f>
        <v>2-B</v>
      </c>
    </row>
    <row r="102" spans="1:9">
      <c r="A102" s="3">
        <f>SUBTOTAL(3,B$3:B102)</f>
        <v>100</v>
      </c>
      <c r="B102" s="3">
        <v>23240174</v>
      </c>
      <c r="C102" s="18" t="str">
        <f>_xlfn.XLOOKUP(Table6[[#This Row],[NIS]],Table2[NIS],Table2[Nama lengkap],"Not Found",0)</f>
        <v>Audira Syauqina</v>
      </c>
      <c r="D102" s="18" t="str">
        <f>_xlfn.XLOOKUP(Table6[[#This Row],[NIS]],Table2[NIS],Table2[Nomer Induk Siswa Nasional],"Not Found",0)</f>
        <v>0101325365</v>
      </c>
      <c r="E102" s="3" t="str">
        <f>_xlfn.XLOOKUP(Table6[[#This Row],[NIS]],Table2[NIS],Table2[Status],"Not Found",0)</f>
        <v>Aktif</v>
      </c>
      <c r="F102" s="3">
        <f>_xlfn.XLOOKUP(Table6[[#This Row],[NIS]],Table2[NIS],Table2[Tahun Masuk],"Not Found",0)</f>
        <v>2023</v>
      </c>
      <c r="G102" s="3">
        <f>_xlfn.XLOOKUP(Table6[[#This Row],[NIS]],Table2[NIS],Table2[Tahun Keluar],"Not Found",0)</f>
        <v>0</v>
      </c>
      <c r="H102" s="3">
        <f>_xlfn.XLOOKUP(Table6[[#This Row],[NIS]],Table2[NIS],Table2[Kelas],"Not Found",0)</f>
        <v>2</v>
      </c>
      <c r="I102" s="3" t="str">
        <f>_xlfn.XLOOKUP(Table6[[#This Row],[NIS]],Table2[NIS],Table2[Kelas Detail],"Not Found",0)</f>
        <v>2-B</v>
      </c>
    </row>
    <row r="103" spans="1:9">
      <c r="A103" s="3">
        <f>SUBTOTAL(3,B$3:B103)</f>
        <v>101</v>
      </c>
      <c r="B103" s="3">
        <v>23240179</v>
      </c>
      <c r="C103" s="18" t="str">
        <f>_xlfn.XLOOKUP(Table6[[#This Row],[NIS]],Table2[NIS],Table2[Nama lengkap],"Not Found",0)</f>
        <v>Azzahra Adinda Adinda</v>
      </c>
      <c r="D103" s="18" t="str">
        <f>_xlfn.XLOOKUP(Table6[[#This Row],[NIS]],Table2[NIS],Table2[Nomer Induk Siswa Nasional],"Not Found",0)</f>
        <v>0105977539</v>
      </c>
      <c r="E103" s="3" t="str">
        <f>_xlfn.XLOOKUP(Table6[[#This Row],[NIS]],Table2[NIS],Table2[Status],"Not Found",0)</f>
        <v>Aktif</v>
      </c>
      <c r="F103" s="3">
        <f>_xlfn.XLOOKUP(Table6[[#This Row],[NIS]],Table2[NIS],Table2[Tahun Masuk],"Not Found",0)</f>
        <v>2023</v>
      </c>
      <c r="G103" s="3">
        <f>_xlfn.XLOOKUP(Table6[[#This Row],[NIS]],Table2[NIS],Table2[Tahun Keluar],"Not Found",0)</f>
        <v>0</v>
      </c>
      <c r="H103" s="3">
        <f>_xlfn.XLOOKUP(Table6[[#This Row],[NIS]],Table2[NIS],Table2[Kelas],"Not Found",0)</f>
        <v>2</v>
      </c>
      <c r="I103" s="3" t="str">
        <f>_xlfn.XLOOKUP(Table6[[#This Row],[NIS]],Table2[NIS],Table2[Kelas Detail],"Not Found",0)</f>
        <v>2-B</v>
      </c>
    </row>
    <row r="104" spans="1:9">
      <c r="A104" s="3">
        <f>SUBTOTAL(3,B$3:B104)</f>
        <v>102</v>
      </c>
      <c r="B104" s="3">
        <v>23240086</v>
      </c>
      <c r="C104" s="18" t="str">
        <f>_xlfn.XLOOKUP(Table6[[#This Row],[NIS]],Table2[NIS],Table2[Nama lengkap],"Not Found",0)</f>
        <v>Intan Permatasari</v>
      </c>
      <c r="D104" s="18" t="str">
        <f>_xlfn.XLOOKUP(Table6[[#This Row],[NIS]],Table2[NIS],Table2[Nomer Induk Siswa Nasional],"Not Found",0)</f>
        <v>0086766906</v>
      </c>
      <c r="E104" s="3" t="str">
        <f>_xlfn.XLOOKUP(Table6[[#This Row],[NIS]],Table2[NIS],Table2[Status],"Not Found",0)</f>
        <v>Aktif</v>
      </c>
      <c r="F104" s="3">
        <f>_xlfn.XLOOKUP(Table6[[#This Row],[NIS]],Table2[NIS],Table2[Tahun Masuk],"Not Found",0)</f>
        <v>2023</v>
      </c>
      <c r="G104" s="3">
        <f>_xlfn.XLOOKUP(Table6[[#This Row],[NIS]],Table2[NIS],Table2[Tahun Keluar],"Not Found",0)</f>
        <v>0</v>
      </c>
      <c r="H104" s="3">
        <f>_xlfn.XLOOKUP(Table6[[#This Row],[NIS]],Table2[NIS],Table2[Kelas],"Not Found",0)</f>
        <v>2</v>
      </c>
      <c r="I104" s="3" t="str">
        <f>_xlfn.XLOOKUP(Table6[[#This Row],[NIS]],Table2[NIS],Table2[Kelas Detail],"Not Found",0)</f>
        <v>2-B</v>
      </c>
    </row>
    <row r="105" spans="1:9">
      <c r="A105" s="3">
        <f>SUBTOTAL(3,B$3:B105)</f>
        <v>103</v>
      </c>
      <c r="B105" s="3">
        <v>23240162</v>
      </c>
      <c r="C105" s="18" t="str">
        <f>_xlfn.XLOOKUP(Table6[[#This Row],[NIS]],Table2[NIS],Table2[Nama lengkap],"Not Found",0)</f>
        <v>Izma Rizqi Yani Darmawan</v>
      </c>
      <c r="D105" s="18" t="str">
        <f>_xlfn.XLOOKUP(Table6[[#This Row],[NIS]],Table2[NIS],Table2[Nomer Induk Siswa Nasional],"Not Found",0)</f>
        <v>0101284482</v>
      </c>
      <c r="E105" s="3" t="str">
        <f>_xlfn.XLOOKUP(Table6[[#This Row],[NIS]],Table2[NIS],Table2[Status],"Not Found",0)</f>
        <v>Aktif</v>
      </c>
      <c r="F105" s="3">
        <f>_xlfn.XLOOKUP(Table6[[#This Row],[NIS]],Table2[NIS],Table2[Tahun Masuk],"Not Found",0)</f>
        <v>2023</v>
      </c>
      <c r="G105" s="3">
        <f>_xlfn.XLOOKUP(Table6[[#This Row],[NIS]],Table2[NIS],Table2[Tahun Keluar],"Not Found",0)</f>
        <v>0</v>
      </c>
      <c r="H105" s="3">
        <f>_xlfn.XLOOKUP(Table6[[#This Row],[NIS]],Table2[NIS],Table2[Kelas],"Not Found",0)</f>
        <v>2</v>
      </c>
      <c r="I105" s="3" t="str">
        <f>_xlfn.XLOOKUP(Table6[[#This Row],[NIS]],Table2[NIS],Table2[Kelas Detail],"Not Found",0)</f>
        <v>2-B</v>
      </c>
    </row>
    <row r="106" spans="1:9">
      <c r="A106" s="3">
        <f>SUBTOTAL(3,B$3:B106)</f>
        <v>104</v>
      </c>
      <c r="B106" s="3">
        <v>24250047</v>
      </c>
      <c r="C106" s="18" t="str">
        <f>_xlfn.XLOOKUP(Table6[[#This Row],[NIS]],Table2[NIS],Table2[Nama lengkap],"Not Found",0)</f>
        <v>Jihan Putri Aulia</v>
      </c>
      <c r="D106" s="18" t="str">
        <f>_xlfn.XLOOKUP(Table6[[#This Row],[NIS]],Table2[NIS],Table2[Nomer Induk Siswa Nasional],"Not Found",0)</f>
        <v>0092337736</v>
      </c>
      <c r="E106" s="3" t="str">
        <f>_xlfn.XLOOKUP(Table6[[#This Row],[NIS]],Table2[NIS],Table2[Status],"Not Found",0)</f>
        <v>Waqof</v>
      </c>
      <c r="F106" s="3">
        <f>_xlfn.XLOOKUP(Table6[[#This Row],[NIS]],Table2[NIS],Table2[Tahun Masuk],"Not Found",0)</f>
        <v>2024</v>
      </c>
      <c r="G106" s="3" t="str">
        <f>_xlfn.XLOOKUP(Table6[[#This Row],[NIS]],Table2[NIS],Table2[Tahun Keluar],"Not Found",0)</f>
        <v>25-26</v>
      </c>
      <c r="H106" s="3">
        <f>_xlfn.XLOOKUP(Table6[[#This Row],[NIS]],Table2[NIS],Table2[Kelas],"Not Found",0)</f>
        <v>0</v>
      </c>
      <c r="I106" s="3" t="str">
        <f>_xlfn.XLOOKUP(Table6[[#This Row],[NIS]],Table2[NIS],Table2[Kelas Detail],"Not Found",0)</f>
        <v>2-B</v>
      </c>
    </row>
    <row r="107" spans="1:9">
      <c r="A107" s="3">
        <f>SUBTOTAL(3,B$3:B107)</f>
        <v>105</v>
      </c>
      <c r="B107" s="3">
        <v>23240090</v>
      </c>
      <c r="C107" s="18" t="str">
        <f>_xlfn.XLOOKUP(Table6[[#This Row],[NIS]],Table2[NIS],Table2[Nama lengkap],"Not Found",0)</f>
        <v>Keisya Ayu Safira</v>
      </c>
      <c r="D107" s="18" t="str">
        <f>_xlfn.XLOOKUP(Table6[[#This Row],[NIS]],Table2[NIS],Table2[Nomer Induk Siswa Nasional],"Not Found",0)</f>
        <v>0071280783</v>
      </c>
      <c r="E107" s="3" t="str">
        <f>_xlfn.XLOOKUP(Table6[[#This Row],[NIS]],Table2[NIS],Table2[Status],"Not Found",0)</f>
        <v>Aktif</v>
      </c>
      <c r="F107" s="3">
        <f>_xlfn.XLOOKUP(Table6[[#This Row],[NIS]],Table2[NIS],Table2[Tahun Masuk],"Not Found",0)</f>
        <v>2023</v>
      </c>
      <c r="G107" s="3">
        <f>_xlfn.XLOOKUP(Table6[[#This Row],[NIS]],Table2[NIS],Table2[Tahun Keluar],"Not Found",0)</f>
        <v>0</v>
      </c>
      <c r="H107" s="3">
        <f>_xlfn.XLOOKUP(Table6[[#This Row],[NIS]],Table2[NIS],Table2[Kelas],"Not Found",0)</f>
        <v>2</v>
      </c>
      <c r="I107" s="3" t="str">
        <f>_xlfn.XLOOKUP(Table6[[#This Row],[NIS]],Table2[NIS],Table2[Kelas Detail],"Not Found",0)</f>
        <v>2-B</v>
      </c>
    </row>
    <row r="108" spans="1:9">
      <c r="A108" s="3">
        <f>SUBTOTAL(3,B$3:B108)</f>
        <v>106</v>
      </c>
      <c r="B108" s="3">
        <v>23240011</v>
      </c>
      <c r="C108" s="18" t="str">
        <f>_xlfn.XLOOKUP(Table6[[#This Row],[NIS]],Table2[NIS],Table2[Nama lengkap],"Not Found",0)</f>
        <v>Kharidah Zahra</v>
      </c>
      <c r="D108" s="18" t="str">
        <f>_xlfn.XLOOKUP(Table6[[#This Row],[NIS]],Table2[NIS],Table2[Nomer Induk Siswa Nasional],"Not Found",0)</f>
        <v>0118390351</v>
      </c>
      <c r="E108" s="3" t="str">
        <f>_xlfn.XLOOKUP(Table6[[#This Row],[NIS]],Table2[NIS],Table2[Status],"Not Found",0)</f>
        <v>Aktif</v>
      </c>
      <c r="F108" s="3">
        <f>_xlfn.XLOOKUP(Table6[[#This Row],[NIS]],Table2[NIS],Table2[Tahun Masuk],"Not Found",0)</f>
        <v>2023</v>
      </c>
      <c r="G108" s="3">
        <f>_xlfn.XLOOKUP(Table6[[#This Row],[NIS]],Table2[NIS],Table2[Tahun Keluar],"Not Found",0)</f>
        <v>0</v>
      </c>
      <c r="H108" s="3">
        <f>_xlfn.XLOOKUP(Table6[[#This Row],[NIS]],Table2[NIS],Table2[Kelas],"Not Found",0)</f>
        <v>2</v>
      </c>
      <c r="I108" s="3" t="str">
        <f>_xlfn.XLOOKUP(Table6[[#This Row],[NIS]],Table2[NIS],Table2[Kelas Detail],"Not Found",0)</f>
        <v>2-B</v>
      </c>
    </row>
    <row r="109" spans="1:9">
      <c r="A109" s="3">
        <f>SUBTOTAL(3,B$3:B109)</f>
        <v>107</v>
      </c>
      <c r="B109" s="3">
        <v>23240038</v>
      </c>
      <c r="C109" s="18" t="str">
        <f>_xlfn.XLOOKUP(Table6[[#This Row],[NIS]],Table2[NIS],Table2[Nama lengkap],"Not Found",0)</f>
        <v>Lailatul Fajriah</v>
      </c>
      <c r="D109" s="18" t="str">
        <f>_xlfn.XLOOKUP(Table6[[#This Row],[NIS]],Table2[NIS],Table2[Nomer Induk Siswa Nasional],"Not Found",0)</f>
        <v>0117052675</v>
      </c>
      <c r="E109" s="3" t="str">
        <f>_xlfn.XLOOKUP(Table6[[#This Row],[NIS]],Table2[NIS],Table2[Status],"Not Found",0)</f>
        <v>Aktif</v>
      </c>
      <c r="F109" s="3">
        <f>_xlfn.XLOOKUP(Table6[[#This Row],[NIS]],Table2[NIS],Table2[Tahun Masuk],"Not Found",0)</f>
        <v>2023</v>
      </c>
      <c r="G109" s="3">
        <f>_xlfn.XLOOKUP(Table6[[#This Row],[NIS]],Table2[NIS],Table2[Tahun Keluar],"Not Found",0)</f>
        <v>0</v>
      </c>
      <c r="H109" s="3">
        <f>_xlfn.XLOOKUP(Table6[[#This Row],[NIS]],Table2[NIS],Table2[Kelas],"Not Found",0)</f>
        <v>2</v>
      </c>
      <c r="I109" s="3" t="str">
        <f>_xlfn.XLOOKUP(Table6[[#This Row],[NIS]],Table2[NIS],Table2[Kelas Detail],"Not Found",0)</f>
        <v>2-B</v>
      </c>
    </row>
    <row r="110" spans="1:9">
      <c r="A110" s="3">
        <f>SUBTOTAL(3,B$3:B110)</f>
        <v>108</v>
      </c>
      <c r="B110" s="3">
        <v>22230163</v>
      </c>
      <c r="C110" s="18" t="str">
        <f>_xlfn.XLOOKUP(Table6[[#This Row],[NIS]],Table2[NIS],Table2[Nama lengkap],"Not Found",0)</f>
        <v>Lulu'I Tsania Putri</v>
      </c>
      <c r="D110" s="18" t="str">
        <f>_xlfn.XLOOKUP(Table6[[#This Row],[NIS]],Table2[NIS],Table2[Nomer Induk Siswa Nasional],"Not Found",0)</f>
        <v>3106714415</v>
      </c>
      <c r="E110" s="3" t="str">
        <f>_xlfn.XLOOKUP(Table6[[#This Row],[NIS]],Table2[NIS],Table2[Status],"Not Found",0)</f>
        <v>Aktif</v>
      </c>
      <c r="F110" s="3">
        <f>_xlfn.XLOOKUP(Table6[[#This Row],[NIS]],Table2[NIS],Table2[Tahun Masuk],"Not Found",0)</f>
        <v>2022</v>
      </c>
      <c r="G110" s="3">
        <f>_xlfn.XLOOKUP(Table6[[#This Row],[NIS]],Table2[NIS],Table2[Tahun Keluar],"Not Found",0)</f>
        <v>0</v>
      </c>
      <c r="H110" s="3">
        <f>_xlfn.XLOOKUP(Table6[[#This Row],[NIS]],Table2[NIS],Table2[Kelas],"Not Found",0)</f>
        <v>2</v>
      </c>
      <c r="I110" s="3" t="str">
        <f>_xlfn.XLOOKUP(Table6[[#This Row],[NIS]],Table2[NIS],Table2[Kelas Detail],"Not Found",0)</f>
        <v>2-B</v>
      </c>
    </row>
    <row r="111" spans="1:9">
      <c r="A111" s="3">
        <f>SUBTOTAL(3,B$3:B111)</f>
        <v>109</v>
      </c>
      <c r="B111" s="3">
        <v>23240032</v>
      </c>
      <c r="C111" s="18" t="str">
        <f>_xlfn.XLOOKUP(Table6[[#This Row],[NIS]],Table2[NIS],Table2[Nama lengkap],"Not Found",0)</f>
        <v>Meisya Lidya Humaira</v>
      </c>
      <c r="D111" s="18" t="str">
        <f>_xlfn.XLOOKUP(Table6[[#This Row],[NIS]],Table2[NIS],Table2[Nomer Induk Siswa Nasional],"Not Found",0)</f>
        <v>3111763689</v>
      </c>
      <c r="E111" s="3" t="str">
        <f>_xlfn.XLOOKUP(Table6[[#This Row],[NIS]],Table2[NIS],Table2[Status],"Not Found",0)</f>
        <v>Aktif</v>
      </c>
      <c r="F111" s="3">
        <f>_xlfn.XLOOKUP(Table6[[#This Row],[NIS]],Table2[NIS],Table2[Tahun Masuk],"Not Found",0)</f>
        <v>2023</v>
      </c>
      <c r="G111" s="3">
        <f>_xlfn.XLOOKUP(Table6[[#This Row],[NIS]],Table2[NIS],Table2[Tahun Keluar],"Not Found",0)</f>
        <v>0</v>
      </c>
      <c r="H111" s="3">
        <f>_xlfn.XLOOKUP(Table6[[#This Row],[NIS]],Table2[NIS],Table2[Kelas],"Not Found",0)</f>
        <v>2</v>
      </c>
      <c r="I111" s="3" t="str">
        <f>_xlfn.XLOOKUP(Table6[[#This Row],[NIS]],Table2[NIS],Table2[Kelas Detail],"Not Found",0)</f>
        <v>2-B</v>
      </c>
    </row>
    <row r="112" spans="1:9">
      <c r="A112" s="3">
        <f>SUBTOTAL(3,B$3:B112)</f>
        <v>110</v>
      </c>
      <c r="B112" s="3">
        <v>23240017</v>
      </c>
      <c r="C112" s="18" t="str">
        <f>_xlfn.XLOOKUP(Table6[[#This Row],[NIS]],Table2[NIS],Table2[Nama lengkap],"Not Found",0)</f>
        <v>Melisa Aidha Saputri</v>
      </c>
      <c r="D112" s="18" t="str">
        <f>_xlfn.XLOOKUP(Table6[[#This Row],[NIS]],Table2[NIS],Table2[Nomer Induk Siswa Nasional],"Not Found",0)</f>
        <v>0104596940</v>
      </c>
      <c r="E112" s="3" t="str">
        <f>_xlfn.XLOOKUP(Table6[[#This Row],[NIS]],Table2[NIS],Table2[Status],"Not Found",0)</f>
        <v>Aktif</v>
      </c>
      <c r="F112" s="3">
        <f>_xlfn.XLOOKUP(Table6[[#This Row],[NIS]],Table2[NIS],Table2[Tahun Masuk],"Not Found",0)</f>
        <v>2023</v>
      </c>
      <c r="G112" s="3">
        <f>_xlfn.XLOOKUP(Table6[[#This Row],[NIS]],Table2[NIS],Table2[Tahun Keluar],"Not Found",0)</f>
        <v>0</v>
      </c>
      <c r="H112" s="3">
        <f>_xlfn.XLOOKUP(Table6[[#This Row],[NIS]],Table2[NIS],Table2[Kelas],"Not Found",0)</f>
        <v>2</v>
      </c>
      <c r="I112" s="3" t="str">
        <f>_xlfn.XLOOKUP(Table6[[#This Row],[NIS]],Table2[NIS],Table2[Kelas Detail],"Not Found",0)</f>
        <v>2-B</v>
      </c>
    </row>
    <row r="113" spans="1:9">
      <c r="A113" s="3">
        <f>SUBTOTAL(3,B$3:B113)</f>
        <v>111</v>
      </c>
      <c r="B113" s="3">
        <v>23240008</v>
      </c>
      <c r="C113" s="18" t="str">
        <f>_xlfn.XLOOKUP(Table6[[#This Row],[NIS]],Table2[NIS],Table2[Nama lengkap],"Not Found",0)</f>
        <v>Nabila Meysun</v>
      </c>
      <c r="D113" s="18" t="str">
        <f>_xlfn.XLOOKUP(Table6[[#This Row],[NIS]],Table2[NIS],Table2[Nomer Induk Siswa Nasional],"Not Found",0)</f>
        <v>0066624313</v>
      </c>
      <c r="E113" s="3" t="str">
        <f>_xlfn.XLOOKUP(Table6[[#This Row],[NIS]],Table2[NIS],Table2[Status],"Not Found",0)</f>
        <v>Aktif</v>
      </c>
      <c r="F113" s="3">
        <f>_xlfn.XLOOKUP(Table6[[#This Row],[NIS]],Table2[NIS],Table2[Tahun Masuk],"Not Found",0)</f>
        <v>2023</v>
      </c>
      <c r="G113" s="3">
        <f>_xlfn.XLOOKUP(Table6[[#This Row],[NIS]],Table2[NIS],Table2[Tahun Keluar],"Not Found",0)</f>
        <v>0</v>
      </c>
      <c r="H113" s="3">
        <f>_xlfn.XLOOKUP(Table6[[#This Row],[NIS]],Table2[NIS],Table2[Kelas],"Not Found",0)</f>
        <v>2</v>
      </c>
      <c r="I113" s="3" t="str">
        <f>_xlfn.XLOOKUP(Table6[[#This Row],[NIS]],Table2[NIS],Table2[Kelas Detail],"Not Found",0)</f>
        <v>2-B</v>
      </c>
    </row>
    <row r="114" spans="1:9">
      <c r="A114" s="3">
        <f>SUBTOTAL(3,B$3:B114)</f>
        <v>112</v>
      </c>
      <c r="B114" s="3">
        <v>23240163</v>
      </c>
      <c r="C114" s="18" t="str">
        <f>_xlfn.XLOOKUP(Table6[[#This Row],[NIS]],Table2[NIS],Table2[Nama lengkap],"Not Found",0)</f>
        <v>Nadiyya Rizski Kamilah</v>
      </c>
      <c r="D114" s="18">
        <f>_xlfn.XLOOKUP(Table6[[#This Row],[NIS]],Table2[NIS],Table2[Nomer Induk Siswa Nasional],"Not Found",0)</f>
        <v>3100352606</v>
      </c>
      <c r="E114" s="3" t="str">
        <f>_xlfn.XLOOKUP(Table6[[#This Row],[NIS]],Table2[NIS],Table2[Status],"Not Found",0)</f>
        <v>Aktif</v>
      </c>
      <c r="F114" s="3">
        <f>_xlfn.XLOOKUP(Table6[[#This Row],[NIS]],Table2[NIS],Table2[Tahun Masuk],"Not Found",0)</f>
        <v>2023</v>
      </c>
      <c r="G114" s="3">
        <f>_xlfn.XLOOKUP(Table6[[#This Row],[NIS]],Table2[NIS],Table2[Tahun Keluar],"Not Found",0)</f>
        <v>0</v>
      </c>
      <c r="H114" s="3">
        <f>_xlfn.XLOOKUP(Table6[[#This Row],[NIS]],Table2[NIS],Table2[Kelas],"Not Found",0)</f>
        <v>2</v>
      </c>
      <c r="I114" s="3" t="str">
        <f>_xlfn.XLOOKUP(Table6[[#This Row],[NIS]],Table2[NIS],Table2[Kelas Detail],"Not Found",0)</f>
        <v>2-B</v>
      </c>
    </row>
    <row r="115" spans="1:9">
      <c r="A115" s="3">
        <f>SUBTOTAL(3,B$3:B115)</f>
        <v>113</v>
      </c>
      <c r="B115" s="3">
        <v>23240045</v>
      </c>
      <c r="C115" s="18" t="str">
        <f>_xlfn.XLOOKUP(Table6[[#This Row],[NIS]],Table2[NIS],Table2[Nama lengkap],"Not Found",0)</f>
        <v>Naila Alfiaturrahmah</v>
      </c>
      <c r="D115" s="18" t="str">
        <f>_xlfn.XLOOKUP(Table6[[#This Row],[NIS]],Table2[NIS],Table2[Nomer Induk Siswa Nasional],"Not Found",0)</f>
        <v>0085097494</v>
      </c>
      <c r="E115" s="3" t="str">
        <f>_xlfn.XLOOKUP(Table6[[#This Row],[NIS]],Table2[NIS],Table2[Status],"Not Found",0)</f>
        <v>Aktif</v>
      </c>
      <c r="F115" s="3">
        <f>_xlfn.XLOOKUP(Table6[[#This Row],[NIS]],Table2[NIS],Table2[Tahun Masuk],"Not Found",0)</f>
        <v>2023</v>
      </c>
      <c r="G115" s="3">
        <f>_xlfn.XLOOKUP(Table6[[#This Row],[NIS]],Table2[NIS],Table2[Tahun Keluar],"Not Found",0)</f>
        <v>0</v>
      </c>
      <c r="H115" s="3">
        <f>_xlfn.XLOOKUP(Table6[[#This Row],[NIS]],Table2[NIS],Table2[Kelas],"Not Found",0)</f>
        <v>2</v>
      </c>
      <c r="I115" s="3" t="str">
        <f>_xlfn.XLOOKUP(Table6[[#This Row],[NIS]],Table2[NIS],Table2[Kelas Detail],"Not Found",0)</f>
        <v>2-B</v>
      </c>
    </row>
    <row r="116" spans="1:9">
      <c r="A116" s="3">
        <f>SUBTOTAL(3,B$3:B116)</f>
        <v>114</v>
      </c>
      <c r="B116" s="3">
        <v>23240123</v>
      </c>
      <c r="C116" s="18" t="str">
        <f>_xlfn.XLOOKUP(Table6[[#This Row],[NIS]],Table2[NIS],Table2[Nama lengkap],"Not Found",0)</f>
        <v>Najla Aqila Mardhiyyah</v>
      </c>
      <c r="D116" s="18" t="str">
        <f>_xlfn.XLOOKUP(Table6[[#This Row],[NIS]],Table2[NIS],Table2[Nomer Induk Siswa Nasional],"Not Found",0)</f>
        <v>0108458499</v>
      </c>
      <c r="E116" s="3" t="str">
        <f>_xlfn.XLOOKUP(Table6[[#This Row],[NIS]],Table2[NIS],Table2[Status],"Not Found",0)</f>
        <v>Aktif</v>
      </c>
      <c r="F116" s="3">
        <f>_xlfn.XLOOKUP(Table6[[#This Row],[NIS]],Table2[NIS],Table2[Tahun Masuk],"Not Found",0)</f>
        <v>2023</v>
      </c>
      <c r="G116" s="3">
        <f>_xlfn.XLOOKUP(Table6[[#This Row],[NIS]],Table2[NIS],Table2[Tahun Keluar],"Not Found",0)</f>
        <v>0</v>
      </c>
      <c r="H116" s="3">
        <f>_xlfn.XLOOKUP(Table6[[#This Row],[NIS]],Table2[NIS],Table2[Kelas],"Not Found",0)</f>
        <v>2</v>
      </c>
      <c r="I116" s="3" t="str">
        <f>_xlfn.XLOOKUP(Table6[[#This Row],[NIS]],Table2[NIS],Table2[Kelas Detail],"Not Found",0)</f>
        <v>2-B</v>
      </c>
    </row>
    <row r="117" spans="1:9">
      <c r="A117" s="3">
        <f>SUBTOTAL(3,B$3:B117)</f>
        <v>115</v>
      </c>
      <c r="B117" s="3">
        <v>23240097</v>
      </c>
      <c r="C117" s="18" t="str">
        <f>_xlfn.XLOOKUP(Table6[[#This Row],[NIS]],Table2[NIS],Table2[Nama lengkap],"Not Found",0)</f>
        <v>Nazwa Aisyah Arridha</v>
      </c>
      <c r="D117" s="18" t="str">
        <f>_xlfn.XLOOKUP(Table6[[#This Row],[NIS]],Table2[NIS],Table2[Nomer Induk Siswa Nasional],"Not Found",0)</f>
        <v>0103218204</v>
      </c>
      <c r="E117" s="3" t="str">
        <f>_xlfn.XLOOKUP(Table6[[#This Row],[NIS]],Table2[NIS],Table2[Status],"Not Found",0)</f>
        <v>Aktif</v>
      </c>
      <c r="F117" s="3">
        <f>_xlfn.XLOOKUP(Table6[[#This Row],[NIS]],Table2[NIS],Table2[Tahun Masuk],"Not Found",0)</f>
        <v>2023</v>
      </c>
      <c r="G117" s="3">
        <f>_xlfn.XLOOKUP(Table6[[#This Row],[NIS]],Table2[NIS],Table2[Tahun Keluar],"Not Found",0)</f>
        <v>0</v>
      </c>
      <c r="H117" s="3">
        <f>_xlfn.XLOOKUP(Table6[[#This Row],[NIS]],Table2[NIS],Table2[Kelas],"Not Found",0)</f>
        <v>2</v>
      </c>
      <c r="I117" s="3" t="str">
        <f>_xlfn.XLOOKUP(Table6[[#This Row],[NIS]],Table2[NIS],Table2[Kelas Detail],"Not Found",0)</f>
        <v>2-B</v>
      </c>
    </row>
    <row r="118" spans="1:9">
      <c r="A118" s="3">
        <f>SUBTOTAL(3,B$3:B118)</f>
        <v>116</v>
      </c>
      <c r="B118" s="3">
        <v>23240026</v>
      </c>
      <c r="C118" s="18" t="str">
        <f>_xlfn.XLOOKUP(Table6[[#This Row],[NIS]],Table2[NIS],Table2[Nama lengkap],"Not Found",0)</f>
        <v>Qaisara Zaina Apta</v>
      </c>
      <c r="D118" s="18" t="str">
        <f>_xlfn.XLOOKUP(Table6[[#This Row],[NIS]],Table2[NIS],Table2[Nomer Induk Siswa Nasional],"Not Found",0)</f>
        <v>0109325692</v>
      </c>
      <c r="E118" s="3" t="str">
        <f>_xlfn.XLOOKUP(Table6[[#This Row],[NIS]],Table2[NIS],Table2[Status],"Not Found",0)</f>
        <v>Aktif</v>
      </c>
      <c r="F118" s="3">
        <f>_xlfn.XLOOKUP(Table6[[#This Row],[NIS]],Table2[NIS],Table2[Tahun Masuk],"Not Found",0)</f>
        <v>2023</v>
      </c>
      <c r="G118" s="3">
        <f>_xlfn.XLOOKUP(Table6[[#This Row],[NIS]],Table2[NIS],Table2[Tahun Keluar],"Not Found",0)</f>
        <v>0</v>
      </c>
      <c r="H118" s="3">
        <f>_xlfn.XLOOKUP(Table6[[#This Row],[NIS]],Table2[NIS],Table2[Kelas],"Not Found",0)</f>
        <v>2</v>
      </c>
      <c r="I118" s="3" t="str">
        <f>_xlfn.XLOOKUP(Table6[[#This Row],[NIS]],Table2[NIS],Table2[Kelas Detail],"Not Found",0)</f>
        <v>2-B</v>
      </c>
    </row>
    <row r="119" spans="1:9">
      <c r="A119" s="3">
        <f>SUBTOTAL(3,B$3:B119)</f>
        <v>117</v>
      </c>
      <c r="B119" s="3">
        <v>23240110</v>
      </c>
      <c r="C119" s="18" t="str">
        <f>_xlfn.XLOOKUP(Table6[[#This Row],[NIS]],Table2[NIS],Table2[Nama lengkap],"Not Found",0)</f>
        <v>Qurotul Aeni</v>
      </c>
      <c r="D119" s="18">
        <f>_xlfn.XLOOKUP(Table6[[#This Row],[NIS]],Table2[NIS],Table2[Nomer Induk Siswa Nasional],"Not Found",0)</f>
        <v>3107534180</v>
      </c>
      <c r="E119" s="3" t="str">
        <f>_xlfn.XLOOKUP(Table6[[#This Row],[NIS]],Table2[NIS],Table2[Status],"Not Found",0)</f>
        <v>Aktif</v>
      </c>
      <c r="F119" s="3">
        <f>_xlfn.XLOOKUP(Table6[[#This Row],[NIS]],Table2[NIS],Table2[Tahun Masuk],"Not Found",0)</f>
        <v>2023</v>
      </c>
      <c r="G119" s="3">
        <f>_xlfn.XLOOKUP(Table6[[#This Row],[NIS]],Table2[NIS],Table2[Tahun Keluar],"Not Found",0)</f>
        <v>0</v>
      </c>
      <c r="H119" s="3">
        <f>_xlfn.XLOOKUP(Table6[[#This Row],[NIS]],Table2[NIS],Table2[Kelas],"Not Found",0)</f>
        <v>2</v>
      </c>
      <c r="I119" s="3" t="str">
        <f>_xlfn.XLOOKUP(Table6[[#This Row],[NIS]],Table2[NIS],Table2[Kelas Detail],"Not Found",0)</f>
        <v>2-B</v>
      </c>
    </row>
    <row r="120" spans="1:9">
      <c r="A120" s="3">
        <f>SUBTOTAL(3,B$3:B120)</f>
        <v>118</v>
      </c>
      <c r="B120" s="3">
        <v>23240064</v>
      </c>
      <c r="C120" s="18" t="str">
        <f>_xlfn.XLOOKUP(Table6[[#This Row],[NIS]],Table2[NIS],Table2[Nama lengkap],"Not Found",0)</f>
        <v>Raisha Aqilah Hardiansah</v>
      </c>
      <c r="D120" s="18" t="str">
        <f>_xlfn.XLOOKUP(Table6[[#This Row],[NIS]],Table2[NIS],Table2[Nomer Induk Siswa Nasional],"Not Found",0)</f>
        <v>0102103390</v>
      </c>
      <c r="E120" s="3" t="str">
        <f>_xlfn.XLOOKUP(Table6[[#This Row],[NIS]],Table2[NIS],Table2[Status],"Not Found",0)</f>
        <v>Aktif</v>
      </c>
      <c r="F120" s="3">
        <f>_xlfn.XLOOKUP(Table6[[#This Row],[NIS]],Table2[NIS],Table2[Tahun Masuk],"Not Found",0)</f>
        <v>2023</v>
      </c>
      <c r="G120" s="3">
        <f>_xlfn.XLOOKUP(Table6[[#This Row],[NIS]],Table2[NIS],Table2[Tahun Keluar],"Not Found",0)</f>
        <v>0</v>
      </c>
      <c r="H120" s="3">
        <f>_xlfn.XLOOKUP(Table6[[#This Row],[NIS]],Table2[NIS],Table2[Kelas],"Not Found",0)</f>
        <v>2</v>
      </c>
      <c r="I120" s="3" t="str">
        <f>_xlfn.XLOOKUP(Table6[[#This Row],[NIS]],Table2[NIS],Table2[Kelas Detail],"Not Found",0)</f>
        <v>2-B</v>
      </c>
    </row>
    <row r="121" spans="1:9">
      <c r="A121" s="3">
        <f>SUBTOTAL(3,B$3:B121)</f>
        <v>119</v>
      </c>
      <c r="B121" s="3">
        <v>23240126</v>
      </c>
      <c r="C121" s="18" t="str">
        <f>_xlfn.XLOOKUP(Table6[[#This Row],[NIS]],Table2[NIS],Table2[Nama lengkap],"Not Found",0)</f>
        <v>Regina Aulia Putri</v>
      </c>
      <c r="D121" s="18" t="str">
        <f>_xlfn.XLOOKUP(Table6[[#This Row],[NIS]],Table2[NIS],Table2[Nomer Induk Siswa Nasional],"Not Found",0)</f>
        <v>0116895729</v>
      </c>
      <c r="E121" s="3" t="str">
        <f>_xlfn.XLOOKUP(Table6[[#This Row],[NIS]],Table2[NIS],Table2[Status],"Not Found",0)</f>
        <v>Aktif</v>
      </c>
      <c r="F121" s="3">
        <f>_xlfn.XLOOKUP(Table6[[#This Row],[NIS]],Table2[NIS],Table2[Tahun Masuk],"Not Found",0)</f>
        <v>2023</v>
      </c>
      <c r="G121" s="3">
        <f>_xlfn.XLOOKUP(Table6[[#This Row],[NIS]],Table2[NIS],Table2[Tahun Keluar],"Not Found",0)</f>
        <v>0</v>
      </c>
      <c r="H121" s="3">
        <f>_xlfn.XLOOKUP(Table6[[#This Row],[NIS]],Table2[NIS],Table2[Kelas],"Not Found",0)</f>
        <v>2</v>
      </c>
      <c r="I121" s="3" t="str">
        <f>_xlfn.XLOOKUP(Table6[[#This Row],[NIS]],Table2[NIS],Table2[Kelas Detail],"Not Found",0)</f>
        <v>2-B</v>
      </c>
    </row>
    <row r="122" spans="1:9">
      <c r="A122" s="3">
        <f>SUBTOTAL(3,B$3:B122)</f>
        <v>120</v>
      </c>
      <c r="B122" s="3">
        <v>23240100</v>
      </c>
      <c r="C122" s="18" t="str">
        <f>_xlfn.XLOOKUP(Table6[[#This Row],[NIS]],Table2[NIS],Table2[Nama lengkap],"Not Found",0)</f>
        <v>Riva Nurjanah</v>
      </c>
      <c r="D122" s="18" t="str">
        <f>_xlfn.XLOOKUP(Table6[[#This Row],[NIS]],Table2[NIS],Table2[Nomer Induk Siswa Nasional],"Not Found",0)</f>
        <v>0107159246</v>
      </c>
      <c r="E122" s="3" t="str">
        <f>_xlfn.XLOOKUP(Table6[[#This Row],[NIS]],Table2[NIS],Table2[Status],"Not Found",0)</f>
        <v>Aktif</v>
      </c>
      <c r="F122" s="3">
        <f>_xlfn.XLOOKUP(Table6[[#This Row],[NIS]],Table2[NIS],Table2[Tahun Masuk],"Not Found",0)</f>
        <v>2023</v>
      </c>
      <c r="G122" s="3">
        <f>_xlfn.XLOOKUP(Table6[[#This Row],[NIS]],Table2[NIS],Table2[Tahun Keluar],"Not Found",0)</f>
        <v>0</v>
      </c>
      <c r="H122" s="3">
        <f>_xlfn.XLOOKUP(Table6[[#This Row],[NIS]],Table2[NIS],Table2[Kelas],"Not Found",0)</f>
        <v>2</v>
      </c>
      <c r="I122" s="3" t="str">
        <f>_xlfn.XLOOKUP(Table6[[#This Row],[NIS]],Table2[NIS],Table2[Kelas Detail],"Not Found",0)</f>
        <v>2-B</v>
      </c>
    </row>
    <row r="123" spans="1:9">
      <c r="A123" s="3">
        <f>SUBTOTAL(3,B$3:B123)</f>
        <v>121</v>
      </c>
      <c r="B123" s="3">
        <v>23240044</v>
      </c>
      <c r="C123" s="18" t="str">
        <f>_xlfn.XLOOKUP(Table6[[#This Row],[NIS]],Table2[NIS],Table2[Nama lengkap],"Not Found",0)</f>
        <v>Salsabila Nur Alifa</v>
      </c>
      <c r="D123" s="18" t="str">
        <f>_xlfn.XLOOKUP(Table6[[#This Row],[NIS]],Table2[NIS],Table2[Nomer Induk Siswa Nasional],"Not Found",0)</f>
        <v>0109909709</v>
      </c>
      <c r="E123" s="3" t="str">
        <f>_xlfn.XLOOKUP(Table6[[#This Row],[NIS]],Table2[NIS],Table2[Status],"Not Found",0)</f>
        <v>Aktif</v>
      </c>
      <c r="F123" s="3">
        <f>_xlfn.XLOOKUP(Table6[[#This Row],[NIS]],Table2[NIS],Table2[Tahun Masuk],"Not Found",0)</f>
        <v>2023</v>
      </c>
      <c r="G123" s="3">
        <f>_xlfn.XLOOKUP(Table6[[#This Row],[NIS]],Table2[NIS],Table2[Tahun Keluar],"Not Found",0)</f>
        <v>0</v>
      </c>
      <c r="H123" s="3">
        <f>_xlfn.XLOOKUP(Table6[[#This Row],[NIS]],Table2[NIS],Table2[Kelas],"Not Found",0)</f>
        <v>2</v>
      </c>
      <c r="I123" s="3" t="str">
        <f>_xlfn.XLOOKUP(Table6[[#This Row],[NIS]],Table2[NIS],Table2[Kelas Detail],"Not Found",0)</f>
        <v>2-B</v>
      </c>
    </row>
    <row r="124" spans="1:9">
      <c r="A124" s="3">
        <f>SUBTOTAL(3,B$3:B124)</f>
        <v>122</v>
      </c>
      <c r="B124" s="3">
        <v>22230149</v>
      </c>
      <c r="C124" s="18" t="str">
        <f>_xlfn.XLOOKUP(Table6[[#This Row],[NIS]],Table2[NIS],Table2[Nama lengkap],"Not Found",0)</f>
        <v>Salsabila Nurul Zannah</v>
      </c>
      <c r="D124" s="18" t="str">
        <f>_xlfn.XLOOKUP(Table6[[#This Row],[NIS]],Table2[NIS],Table2[Nomer Induk Siswa Nasional],"Not Found",0)</f>
        <v>3090147977</v>
      </c>
      <c r="E124" s="3" t="str">
        <f>_xlfn.XLOOKUP(Table6[[#This Row],[NIS]],Table2[NIS],Table2[Status],"Not Found",0)</f>
        <v>Aktif</v>
      </c>
      <c r="F124" s="3">
        <f>_xlfn.XLOOKUP(Table6[[#This Row],[NIS]],Table2[NIS],Table2[Tahun Masuk],"Not Found",0)</f>
        <v>2022</v>
      </c>
      <c r="G124" s="3">
        <f>_xlfn.XLOOKUP(Table6[[#This Row],[NIS]],Table2[NIS],Table2[Tahun Keluar],"Not Found",0)</f>
        <v>0</v>
      </c>
      <c r="H124" s="3">
        <f>_xlfn.XLOOKUP(Table6[[#This Row],[NIS]],Table2[NIS],Table2[Kelas],"Not Found",0)</f>
        <v>2</v>
      </c>
      <c r="I124" s="3" t="str">
        <f>_xlfn.XLOOKUP(Table6[[#This Row],[NIS]],Table2[NIS],Table2[Kelas Detail],"Not Found",0)</f>
        <v>2-B</v>
      </c>
    </row>
    <row r="125" spans="1:9">
      <c r="A125" s="3">
        <f>SUBTOTAL(3,B$3:B125)</f>
        <v>123</v>
      </c>
      <c r="B125" s="3">
        <v>22230164</v>
      </c>
      <c r="C125" s="18" t="str">
        <f>_xlfn.XLOOKUP(Table6[[#This Row],[NIS]],Table2[NIS],Table2[Nama lengkap],"Not Found",0)</f>
        <v xml:space="preserve">Sania Ramadhani Putri </v>
      </c>
      <c r="D125" s="18" t="str">
        <f>_xlfn.XLOOKUP(Table6[[#This Row],[NIS]],Table2[NIS],Table2[Nomer Induk Siswa Nasional],"Not Found",0)</f>
        <v>0099896996</v>
      </c>
      <c r="E125" s="3" t="str">
        <f>_xlfn.XLOOKUP(Table6[[#This Row],[NIS]],Table2[NIS],Table2[Status],"Not Found",0)</f>
        <v>Aktif</v>
      </c>
      <c r="F125" s="3">
        <f>_xlfn.XLOOKUP(Table6[[#This Row],[NIS]],Table2[NIS],Table2[Tahun Masuk],"Not Found",0)</f>
        <v>2022</v>
      </c>
      <c r="G125" s="3">
        <f>_xlfn.XLOOKUP(Table6[[#This Row],[NIS]],Table2[NIS],Table2[Tahun Keluar],"Not Found",0)</f>
        <v>0</v>
      </c>
      <c r="H125" s="3">
        <f>_xlfn.XLOOKUP(Table6[[#This Row],[NIS]],Table2[NIS],Table2[Kelas],"Not Found",0)</f>
        <v>2</v>
      </c>
      <c r="I125" s="3" t="str">
        <f>_xlfn.XLOOKUP(Table6[[#This Row],[NIS]],Table2[NIS],Table2[Kelas Detail],"Not Found",0)</f>
        <v>2-B</v>
      </c>
    </row>
    <row r="126" spans="1:9">
      <c r="A126" s="3">
        <f>SUBTOTAL(3,B$3:B126)</f>
        <v>124</v>
      </c>
      <c r="B126" s="3">
        <v>23240091</v>
      </c>
      <c r="C126" s="18" t="str">
        <f>_xlfn.XLOOKUP(Table6[[#This Row],[NIS]],Table2[NIS],Table2[Nama lengkap],"Not Found",0)</f>
        <v>Saroh Mutmainah</v>
      </c>
      <c r="D126" s="18" t="str">
        <f>_xlfn.XLOOKUP(Table6[[#This Row],[NIS]],Table2[NIS],Table2[Nomer Induk Siswa Nasional],"Not Found",0)</f>
        <v>0097976662</v>
      </c>
      <c r="E126" s="3" t="str">
        <f>_xlfn.XLOOKUP(Table6[[#This Row],[NIS]],Table2[NIS],Table2[Status],"Not Found",0)</f>
        <v>Aktif</v>
      </c>
      <c r="F126" s="3">
        <f>_xlfn.XLOOKUP(Table6[[#This Row],[NIS]],Table2[NIS],Table2[Tahun Masuk],"Not Found",0)</f>
        <v>2023</v>
      </c>
      <c r="G126" s="3">
        <f>_xlfn.XLOOKUP(Table6[[#This Row],[NIS]],Table2[NIS],Table2[Tahun Keluar],"Not Found",0)</f>
        <v>0</v>
      </c>
      <c r="H126" s="3">
        <f>_xlfn.XLOOKUP(Table6[[#This Row],[NIS]],Table2[NIS],Table2[Kelas],"Not Found",0)</f>
        <v>2</v>
      </c>
      <c r="I126" s="3" t="str">
        <f>_xlfn.XLOOKUP(Table6[[#This Row],[NIS]],Table2[NIS],Table2[Kelas Detail],"Not Found",0)</f>
        <v>2-B</v>
      </c>
    </row>
    <row r="127" spans="1:9">
      <c r="A127" s="3">
        <f>SUBTOTAL(3,B$3:B127)</f>
        <v>125</v>
      </c>
      <c r="B127" s="3">
        <v>23240022</v>
      </c>
      <c r="C127" s="18" t="str">
        <f>_xlfn.XLOOKUP(Table6[[#This Row],[NIS]],Table2[NIS],Table2[Nama lengkap],"Not Found",0)</f>
        <v>Shabrina Novelani Gunawan</v>
      </c>
      <c r="D127" s="18" t="str">
        <f>_xlfn.XLOOKUP(Table6[[#This Row],[NIS]],Table2[NIS],Table2[Nomer Induk Siswa Nasional],"Not Found",0)</f>
        <v>0108642740</v>
      </c>
      <c r="E127" s="3" t="str">
        <f>_xlfn.XLOOKUP(Table6[[#This Row],[NIS]],Table2[NIS],Table2[Status],"Not Found",0)</f>
        <v>Aktif</v>
      </c>
      <c r="F127" s="3">
        <f>_xlfn.XLOOKUP(Table6[[#This Row],[NIS]],Table2[NIS],Table2[Tahun Masuk],"Not Found",0)</f>
        <v>2023</v>
      </c>
      <c r="G127" s="3">
        <f>_xlfn.XLOOKUP(Table6[[#This Row],[NIS]],Table2[NIS],Table2[Tahun Keluar],"Not Found",0)</f>
        <v>0</v>
      </c>
      <c r="H127" s="3">
        <f>_xlfn.XLOOKUP(Table6[[#This Row],[NIS]],Table2[NIS],Table2[Kelas],"Not Found",0)</f>
        <v>2</v>
      </c>
      <c r="I127" s="3" t="str">
        <f>_xlfn.XLOOKUP(Table6[[#This Row],[NIS]],Table2[NIS],Table2[Kelas Detail],"Not Found",0)</f>
        <v>2-B</v>
      </c>
    </row>
    <row r="128" spans="1:9">
      <c r="A128" s="3">
        <f>SUBTOTAL(3,B$3:B128)</f>
        <v>126</v>
      </c>
      <c r="B128" s="3">
        <v>23240016</v>
      </c>
      <c r="C128" s="18" t="str">
        <f>_xlfn.XLOOKUP(Table6[[#This Row],[NIS]],Table2[NIS],Table2[Nama lengkap],"Not Found",0)</f>
        <v>Siti Amira Humaira</v>
      </c>
      <c r="D128" s="18" t="str">
        <f>_xlfn.XLOOKUP(Table6[[#This Row],[NIS]],Table2[NIS],Table2[Nomer Induk Siswa Nasional],"Not Found",0)</f>
        <v>0102803310</v>
      </c>
      <c r="E128" s="3" t="str">
        <f>_xlfn.XLOOKUP(Table6[[#This Row],[NIS]],Table2[NIS],Table2[Status],"Not Found",0)</f>
        <v>Aktif</v>
      </c>
      <c r="F128" s="3">
        <f>_xlfn.XLOOKUP(Table6[[#This Row],[NIS]],Table2[NIS],Table2[Tahun Masuk],"Not Found",0)</f>
        <v>2023</v>
      </c>
      <c r="G128" s="3">
        <f>_xlfn.XLOOKUP(Table6[[#This Row],[NIS]],Table2[NIS],Table2[Tahun Keluar],"Not Found",0)</f>
        <v>0</v>
      </c>
      <c r="H128" s="3">
        <f>_xlfn.XLOOKUP(Table6[[#This Row],[NIS]],Table2[NIS],Table2[Kelas],"Not Found",0)</f>
        <v>2</v>
      </c>
      <c r="I128" s="3" t="str">
        <f>_xlfn.XLOOKUP(Table6[[#This Row],[NIS]],Table2[NIS],Table2[Kelas Detail],"Not Found",0)</f>
        <v>2-B</v>
      </c>
    </row>
    <row r="129" spans="1:9">
      <c r="A129" s="3">
        <f>SUBTOTAL(3,B$3:B129)</f>
        <v>127</v>
      </c>
      <c r="B129" s="3">
        <v>23240056</v>
      </c>
      <c r="C129" s="18" t="str">
        <f>_xlfn.XLOOKUP(Table6[[#This Row],[NIS]],Table2[NIS],Table2[Nama lengkap],"Not Found",0)</f>
        <v>Siti Khodijah</v>
      </c>
      <c r="D129" s="18" t="str">
        <f>_xlfn.XLOOKUP(Table6[[#This Row],[NIS]],Table2[NIS],Table2[Nomer Induk Siswa Nasional],"Not Found",0)</f>
        <v>0093386529</v>
      </c>
      <c r="E129" s="3" t="str">
        <f>_xlfn.XLOOKUP(Table6[[#This Row],[NIS]],Table2[NIS],Table2[Status],"Not Found",0)</f>
        <v>Aktif</v>
      </c>
      <c r="F129" s="3">
        <f>_xlfn.XLOOKUP(Table6[[#This Row],[NIS]],Table2[NIS],Table2[Tahun Masuk],"Not Found",0)</f>
        <v>2023</v>
      </c>
      <c r="G129" s="3">
        <f>_xlfn.XLOOKUP(Table6[[#This Row],[NIS]],Table2[NIS],Table2[Tahun Keluar],"Not Found",0)</f>
        <v>0</v>
      </c>
      <c r="H129" s="3">
        <f>_xlfn.XLOOKUP(Table6[[#This Row],[NIS]],Table2[NIS],Table2[Kelas],"Not Found",0)</f>
        <v>2</v>
      </c>
      <c r="I129" s="3" t="str">
        <f>_xlfn.XLOOKUP(Table6[[#This Row],[NIS]],Table2[NIS],Table2[Kelas Detail],"Not Found",0)</f>
        <v>2-B</v>
      </c>
    </row>
    <row r="130" spans="1:9">
      <c r="A130" s="3">
        <f>SUBTOTAL(3,B$3:B130)</f>
        <v>128</v>
      </c>
      <c r="B130" s="3">
        <v>23240082</v>
      </c>
      <c r="C130" s="18" t="str">
        <f>_xlfn.XLOOKUP(Table6[[#This Row],[NIS]],Table2[NIS],Table2[Nama lengkap],"Not Found",0)</f>
        <v>Siti Shofiyah Rahadatul Aisy</v>
      </c>
      <c r="D130" s="18" t="str">
        <f>_xlfn.XLOOKUP(Table6[[#This Row],[NIS]],Table2[NIS],Table2[Nomer Induk Siswa Nasional],"Not Found",0)</f>
        <v>0077486590</v>
      </c>
      <c r="E130" s="3" t="str">
        <f>_xlfn.XLOOKUP(Table6[[#This Row],[NIS]],Table2[NIS],Table2[Status],"Not Found",0)</f>
        <v>Aktif</v>
      </c>
      <c r="F130" s="3">
        <f>_xlfn.XLOOKUP(Table6[[#This Row],[NIS]],Table2[NIS],Table2[Tahun Masuk],"Not Found",0)</f>
        <v>2023</v>
      </c>
      <c r="G130" s="3">
        <f>_xlfn.XLOOKUP(Table6[[#This Row],[NIS]],Table2[NIS],Table2[Tahun Keluar],"Not Found",0)</f>
        <v>0</v>
      </c>
      <c r="H130" s="3">
        <f>_xlfn.XLOOKUP(Table6[[#This Row],[NIS]],Table2[NIS],Table2[Kelas],"Not Found",0)</f>
        <v>2</v>
      </c>
      <c r="I130" s="3" t="str">
        <f>_xlfn.XLOOKUP(Table6[[#This Row],[NIS]],Table2[NIS],Table2[Kelas Detail],"Not Found",0)</f>
        <v>2-B</v>
      </c>
    </row>
    <row r="131" spans="1:9">
      <c r="A131" s="3">
        <f>SUBTOTAL(3,B$3:B131)</f>
        <v>129</v>
      </c>
      <c r="B131" s="3">
        <v>23240007</v>
      </c>
      <c r="C131" s="18" t="str">
        <f>_xlfn.XLOOKUP(Table6[[#This Row],[NIS]],Table2[NIS],Table2[Nama lengkap],"Not Found",0)</f>
        <v>Siti Zahir Narayagung</v>
      </c>
      <c r="D131" s="18" t="str">
        <f>_xlfn.XLOOKUP(Table6[[#This Row],[NIS]],Table2[NIS],Table2[Nomer Induk Siswa Nasional],"Not Found",0)</f>
        <v>0119984944</v>
      </c>
      <c r="E131" s="3" t="str">
        <f>_xlfn.XLOOKUP(Table6[[#This Row],[NIS]],Table2[NIS],Table2[Status],"Not Found",0)</f>
        <v>Aktif</v>
      </c>
      <c r="F131" s="3">
        <f>_xlfn.XLOOKUP(Table6[[#This Row],[NIS]],Table2[NIS],Table2[Tahun Masuk],"Not Found",0)</f>
        <v>2023</v>
      </c>
      <c r="G131" s="3">
        <f>_xlfn.XLOOKUP(Table6[[#This Row],[NIS]],Table2[NIS],Table2[Tahun Keluar],"Not Found",0)</f>
        <v>0</v>
      </c>
      <c r="H131" s="3">
        <f>_xlfn.XLOOKUP(Table6[[#This Row],[NIS]],Table2[NIS],Table2[Kelas],"Not Found",0)</f>
        <v>2</v>
      </c>
      <c r="I131" s="3" t="str">
        <f>_xlfn.XLOOKUP(Table6[[#This Row],[NIS]],Table2[NIS],Table2[Kelas Detail],"Not Found",0)</f>
        <v>2-B</v>
      </c>
    </row>
    <row r="132" spans="1:9">
      <c r="A132" s="3">
        <f>SUBTOTAL(3,B$3:B132)</f>
        <v>130</v>
      </c>
      <c r="B132" s="3">
        <v>22230161</v>
      </c>
      <c r="C132" s="18" t="str">
        <f>_xlfn.XLOOKUP(Table6[[#This Row],[NIS]],Table2[NIS],Table2[Nama lengkap],"Not Found",0)</f>
        <v>Siti Zahra Robiah Adawiyyah</v>
      </c>
      <c r="D132" s="18" t="str">
        <f>_xlfn.XLOOKUP(Table6[[#This Row],[NIS]],Table2[NIS],Table2[Nomer Induk Siswa Nasional],"Not Found",0)</f>
        <v>0091375766</v>
      </c>
      <c r="E132" s="3" t="str">
        <f>_xlfn.XLOOKUP(Table6[[#This Row],[NIS]],Table2[NIS],Table2[Status],"Not Found",0)</f>
        <v>Aktif</v>
      </c>
      <c r="F132" s="3">
        <f>_xlfn.XLOOKUP(Table6[[#This Row],[NIS]],Table2[NIS],Table2[Tahun Masuk],"Not Found",0)</f>
        <v>2022</v>
      </c>
      <c r="G132" s="3">
        <f>_xlfn.XLOOKUP(Table6[[#This Row],[NIS]],Table2[NIS],Table2[Tahun Keluar],"Not Found",0)</f>
        <v>0</v>
      </c>
      <c r="H132" s="3">
        <f>_xlfn.XLOOKUP(Table6[[#This Row],[NIS]],Table2[NIS],Table2[Kelas],"Not Found",0)</f>
        <v>2</v>
      </c>
      <c r="I132" s="3" t="str">
        <f>_xlfn.XLOOKUP(Table6[[#This Row],[NIS]],Table2[NIS],Table2[Kelas Detail],"Not Found",0)</f>
        <v>2-B</v>
      </c>
    </row>
    <row r="133" spans="1:9">
      <c r="A133" s="3">
        <f>SUBTOTAL(3,B$3:B133)</f>
        <v>131</v>
      </c>
      <c r="B133" s="3">
        <v>22230167</v>
      </c>
      <c r="C133" s="18" t="str">
        <f>_xlfn.XLOOKUP(Table6[[#This Row],[NIS]],Table2[NIS],Table2[Nama lengkap],"Not Found",0)</f>
        <v xml:space="preserve">Siti Zulfa Ramadhani </v>
      </c>
      <c r="D133" s="18" t="str">
        <f>_xlfn.XLOOKUP(Table6[[#This Row],[NIS]],Table2[NIS],Table2[Nomer Induk Siswa Nasional],"Not Found",0)</f>
        <v>3093343152</v>
      </c>
      <c r="E133" s="3" t="str">
        <f>_xlfn.XLOOKUP(Table6[[#This Row],[NIS]],Table2[NIS],Table2[Status],"Not Found",0)</f>
        <v>Aktif</v>
      </c>
      <c r="F133" s="3">
        <f>_xlfn.XLOOKUP(Table6[[#This Row],[NIS]],Table2[NIS],Table2[Tahun Masuk],"Not Found",0)</f>
        <v>2022</v>
      </c>
      <c r="G133" s="3">
        <f>_xlfn.XLOOKUP(Table6[[#This Row],[NIS]],Table2[NIS],Table2[Tahun Keluar],"Not Found",0)</f>
        <v>0</v>
      </c>
      <c r="H133" s="3">
        <f>_xlfn.XLOOKUP(Table6[[#This Row],[NIS]],Table2[NIS],Table2[Kelas],"Not Found",0)</f>
        <v>2</v>
      </c>
      <c r="I133" s="3" t="str">
        <f>_xlfn.XLOOKUP(Table6[[#This Row],[NIS]],Table2[NIS],Table2[Kelas Detail],"Not Found",0)</f>
        <v>2-B</v>
      </c>
    </row>
    <row r="134" spans="1:9">
      <c r="A134" s="3">
        <f>SUBTOTAL(3,B$3:B134)</f>
        <v>132</v>
      </c>
      <c r="B134" s="3">
        <v>24250049</v>
      </c>
      <c r="C134" s="18" t="str">
        <f>_xlfn.XLOOKUP(Table6[[#This Row],[NIS]],Table2[NIS],Table2[Nama lengkap],"Not Found",0)</f>
        <v>Sri Sinta Dewi</v>
      </c>
      <c r="D134" s="18" t="str">
        <f>_xlfn.XLOOKUP(Table6[[#This Row],[NIS]],Table2[NIS],Table2[Nomer Induk Siswa Nasional],"Not Found",0)</f>
        <v>0095953341</v>
      </c>
      <c r="E134" s="3" t="str">
        <f>_xlfn.XLOOKUP(Table6[[#This Row],[NIS]],Table2[NIS],Table2[Status],"Not Found",0)</f>
        <v>Aktif</v>
      </c>
      <c r="F134" s="3">
        <f>_xlfn.XLOOKUP(Table6[[#This Row],[NIS]],Table2[NIS],Table2[Tahun Masuk],"Not Found",0)</f>
        <v>2024</v>
      </c>
      <c r="G134" s="3">
        <f>_xlfn.XLOOKUP(Table6[[#This Row],[NIS]],Table2[NIS],Table2[Tahun Keluar],"Not Found",0)</f>
        <v>0</v>
      </c>
      <c r="H134" s="3">
        <f>_xlfn.XLOOKUP(Table6[[#This Row],[NIS]],Table2[NIS],Table2[Kelas],"Not Found",0)</f>
        <v>2</v>
      </c>
      <c r="I134" s="3" t="str">
        <f>_xlfn.XLOOKUP(Table6[[#This Row],[NIS]],Table2[NIS],Table2[Kelas Detail],"Not Found",0)</f>
        <v>2-B</v>
      </c>
    </row>
    <row r="135" spans="1:9">
      <c r="A135" s="3">
        <f>SUBTOTAL(3,B$3:B135)</f>
        <v>133</v>
      </c>
      <c r="B135" s="3">
        <v>23240028</v>
      </c>
      <c r="C135" s="18" t="str">
        <f>_xlfn.XLOOKUP(Table6[[#This Row],[NIS]],Table2[NIS],Table2[Nama lengkap],"Not Found",0)</f>
        <v>Vicka Apriliani Putri</v>
      </c>
      <c r="D135" s="18" t="str">
        <f>_xlfn.XLOOKUP(Table6[[#This Row],[NIS]],Table2[NIS],Table2[Nomer Induk Siswa Nasional],"Not Found",0)</f>
        <v>0114842803</v>
      </c>
      <c r="E135" s="3" t="str">
        <f>_xlfn.XLOOKUP(Table6[[#This Row],[NIS]],Table2[NIS],Table2[Status],"Not Found",0)</f>
        <v>Aktif</v>
      </c>
      <c r="F135" s="3">
        <f>_xlfn.XLOOKUP(Table6[[#This Row],[NIS]],Table2[NIS],Table2[Tahun Masuk],"Not Found",0)</f>
        <v>2023</v>
      </c>
      <c r="G135" s="3">
        <f>_xlfn.XLOOKUP(Table6[[#This Row],[NIS]],Table2[NIS],Table2[Tahun Keluar],"Not Found",0)</f>
        <v>0</v>
      </c>
      <c r="H135" s="3">
        <f>_xlfn.XLOOKUP(Table6[[#This Row],[NIS]],Table2[NIS],Table2[Kelas],"Not Found",0)</f>
        <v>2</v>
      </c>
      <c r="I135" s="3" t="str">
        <f>_xlfn.XLOOKUP(Table6[[#This Row],[NIS]],Table2[NIS],Table2[Kelas Detail],"Not Found",0)</f>
        <v>2-B</v>
      </c>
    </row>
    <row r="136" spans="1:9">
      <c r="A136" s="3">
        <f>SUBTOTAL(3,B$3:B136)</f>
        <v>134</v>
      </c>
      <c r="B136" s="3">
        <v>23240108</v>
      </c>
      <c r="C136" s="18" t="str">
        <f>_xlfn.XLOOKUP(Table6[[#This Row],[NIS]],Table2[NIS],Table2[Nama lengkap],"Not Found",0)</f>
        <v>Zainah Mursyidah</v>
      </c>
      <c r="D136" s="18">
        <f>_xlfn.XLOOKUP(Table6[[#This Row],[NIS]],Table2[NIS],Table2[Nomer Induk Siswa Nasional],"Not Found",0)</f>
        <v>3108096782</v>
      </c>
      <c r="E136" s="3" t="str">
        <f>_xlfn.XLOOKUP(Table6[[#This Row],[NIS]],Table2[NIS],Table2[Status],"Not Found",0)</f>
        <v>Aktif</v>
      </c>
      <c r="F136" s="3">
        <f>_xlfn.XLOOKUP(Table6[[#This Row],[NIS]],Table2[NIS],Table2[Tahun Masuk],"Not Found",0)</f>
        <v>2023</v>
      </c>
      <c r="G136" s="3">
        <f>_xlfn.XLOOKUP(Table6[[#This Row],[NIS]],Table2[NIS],Table2[Tahun Keluar],"Not Found",0)</f>
        <v>0</v>
      </c>
      <c r="H136" s="3">
        <f>_xlfn.XLOOKUP(Table6[[#This Row],[NIS]],Table2[NIS],Table2[Kelas],"Not Found",0)</f>
        <v>2</v>
      </c>
      <c r="I136" s="3" t="str">
        <f>_xlfn.XLOOKUP(Table6[[#This Row],[NIS]],Table2[NIS],Table2[Kelas Detail],"Not Found",0)</f>
        <v>2-B</v>
      </c>
    </row>
    <row r="137" spans="1:9">
      <c r="A137" s="3">
        <f>SUBTOTAL(3,B$3:B137)</f>
        <v>135</v>
      </c>
      <c r="B137" s="3">
        <v>23240025</v>
      </c>
      <c r="C137" s="18" t="str">
        <f>_xlfn.XLOOKUP(Table6[[#This Row],[NIS]],Table2[NIS],Table2[Nama lengkap],"Not Found",0)</f>
        <v>Zakiyyah Robi`Atul Awwaliyyah</v>
      </c>
      <c r="D137" s="18">
        <f>_xlfn.XLOOKUP(Table6[[#This Row],[NIS]],Table2[NIS],Table2[Nomer Induk Siswa Nasional],"Not Found",0)</f>
        <v>0</v>
      </c>
      <c r="E137" s="3" t="str">
        <f>_xlfn.XLOOKUP(Table6[[#This Row],[NIS]],Table2[NIS],Table2[Status],"Not Found",0)</f>
        <v>Waqof</v>
      </c>
      <c r="F137" s="3">
        <f>_xlfn.XLOOKUP(Table6[[#This Row],[NIS]],Table2[NIS],Table2[Tahun Masuk],"Not Found",0)</f>
        <v>2023</v>
      </c>
      <c r="G137" s="3" t="str">
        <f>_xlfn.XLOOKUP(Table6[[#This Row],[NIS]],Table2[NIS],Table2[Tahun Keluar],"Not Found",0)</f>
        <v>25-26</v>
      </c>
      <c r="H137" s="3">
        <f>_xlfn.XLOOKUP(Table6[[#This Row],[NIS]],Table2[NIS],Table2[Kelas],"Not Found",0)</f>
        <v>0</v>
      </c>
      <c r="I137" s="3" t="str">
        <f>_xlfn.XLOOKUP(Table6[[#This Row],[NIS]],Table2[NIS],Table2[Kelas Detail],"Not Found",0)</f>
        <v>2-B</v>
      </c>
    </row>
    <row r="138" spans="1:9">
      <c r="A138" s="3">
        <f>SUBTOTAL(3,B$3:B138)</f>
        <v>136</v>
      </c>
      <c r="B138" s="3">
        <v>23240136</v>
      </c>
      <c r="C138" s="18" t="str">
        <f>_xlfn.XLOOKUP(Table6[[#This Row],[NIS]],Table2[NIS],Table2[Nama lengkap],"Not Found",0)</f>
        <v>Zulaikha Arrojabi Azhar</v>
      </c>
      <c r="D138" s="18" t="str">
        <f>_xlfn.XLOOKUP(Table6[[#This Row],[NIS]],Table2[NIS],Table2[Nomer Induk Siswa Nasional],"Not Found",0)</f>
        <v>0101424256</v>
      </c>
      <c r="E138" s="3" t="str">
        <f>_xlfn.XLOOKUP(Table6[[#This Row],[NIS]],Table2[NIS],Table2[Status],"Not Found",0)</f>
        <v>Aktif</v>
      </c>
      <c r="F138" s="3">
        <f>_xlfn.XLOOKUP(Table6[[#This Row],[NIS]],Table2[NIS],Table2[Tahun Masuk],"Not Found",0)</f>
        <v>2023</v>
      </c>
      <c r="G138" s="3">
        <f>_xlfn.XLOOKUP(Table6[[#This Row],[NIS]],Table2[NIS],Table2[Tahun Keluar],"Not Found",0)</f>
        <v>0</v>
      </c>
      <c r="H138" s="3">
        <f>_xlfn.XLOOKUP(Table6[[#This Row],[NIS]],Table2[NIS],Table2[Kelas],"Not Found",0)</f>
        <v>2</v>
      </c>
      <c r="I138" s="3" t="str">
        <f>_xlfn.XLOOKUP(Table6[[#This Row],[NIS]],Table2[NIS],Table2[Kelas Detail],"Not Found",0)</f>
        <v>2-B</v>
      </c>
    </row>
    <row r="139" spans="1:9">
      <c r="A139" s="3">
        <f>SUBTOTAL(3,B$3:B139)</f>
        <v>137</v>
      </c>
      <c r="B139" s="3">
        <v>22230194</v>
      </c>
      <c r="C139" s="18" t="str">
        <f>_xlfn.XLOOKUP(Table6[[#This Row],[NIS]],Table2[NIS],Table2[Nama lengkap],"Not Found",0)</f>
        <v xml:space="preserve">Aidah </v>
      </c>
      <c r="D139" s="18" t="str">
        <f>_xlfn.XLOOKUP(Table6[[#This Row],[NIS]],Table2[NIS],Table2[Nomer Induk Siswa Nasional],"Not Found",0)</f>
        <v>0103137419</v>
      </c>
      <c r="E139" s="3" t="str">
        <f>_xlfn.XLOOKUP(Table6[[#This Row],[NIS]],Table2[NIS],Table2[Status],"Not Found",0)</f>
        <v>Aktif</v>
      </c>
      <c r="F139" s="3">
        <f>_xlfn.XLOOKUP(Table6[[#This Row],[NIS]],Table2[NIS],Table2[Tahun Masuk],"Not Found",0)</f>
        <v>2022</v>
      </c>
      <c r="G139" s="3">
        <f>_xlfn.XLOOKUP(Table6[[#This Row],[NIS]],Table2[NIS],Table2[Tahun Keluar],"Not Found",0)</f>
        <v>0</v>
      </c>
      <c r="H139" s="3">
        <f>_xlfn.XLOOKUP(Table6[[#This Row],[NIS]],Table2[NIS],Table2[Kelas],"Not Found",0)</f>
        <v>3</v>
      </c>
      <c r="I139" s="3" t="str">
        <f>_xlfn.XLOOKUP(Table6[[#This Row],[NIS]],Table2[NIS],Table2[Kelas Detail],"Not Found",0)</f>
        <v>3-A</v>
      </c>
    </row>
    <row r="140" spans="1:9">
      <c r="A140" s="3">
        <f>SUBTOTAL(3,B$3:B140)</f>
        <v>138</v>
      </c>
      <c r="B140" s="3">
        <v>22230148</v>
      </c>
      <c r="C140" s="18" t="str">
        <f>_xlfn.XLOOKUP(Table6[[#This Row],[NIS]],Table2[NIS],Table2[Nama lengkap],"Not Found",0)</f>
        <v>Aisyah Neysa Sugiarto</v>
      </c>
      <c r="D140" s="18" t="str">
        <f>_xlfn.XLOOKUP(Table6[[#This Row],[NIS]],Table2[NIS],Table2[Nomer Induk Siswa Nasional],"Not Found",0)</f>
        <v>0092306846</v>
      </c>
      <c r="E140" s="3" t="str">
        <f>_xlfn.XLOOKUP(Table6[[#This Row],[NIS]],Table2[NIS],Table2[Status],"Not Found",0)</f>
        <v>Aktif</v>
      </c>
      <c r="F140" s="3">
        <f>_xlfn.XLOOKUP(Table6[[#This Row],[NIS]],Table2[NIS],Table2[Tahun Masuk],"Not Found",0)</f>
        <v>2022</v>
      </c>
      <c r="G140" s="3">
        <f>_xlfn.XLOOKUP(Table6[[#This Row],[NIS]],Table2[NIS],Table2[Tahun Keluar],"Not Found",0)</f>
        <v>0</v>
      </c>
      <c r="H140" s="3">
        <f>_xlfn.XLOOKUP(Table6[[#This Row],[NIS]],Table2[NIS],Table2[Kelas],"Not Found",0)</f>
        <v>3</v>
      </c>
      <c r="I140" s="3" t="str">
        <f>_xlfn.XLOOKUP(Table6[[#This Row],[NIS]],Table2[NIS],Table2[Kelas Detail],"Not Found",0)</f>
        <v>3-A</v>
      </c>
    </row>
    <row r="141" spans="1:9">
      <c r="A141" s="3">
        <f>SUBTOTAL(3,B$3:B141)</f>
        <v>139</v>
      </c>
      <c r="B141" s="3">
        <v>20210191</v>
      </c>
      <c r="C141" s="18" t="str">
        <f>_xlfn.XLOOKUP(Table6[[#This Row],[NIS]],Table2[NIS],Table2[Nama lengkap],"Not Found",0)</f>
        <v>Alifa Zahwa Robbiatul A</v>
      </c>
      <c r="D141" s="18" t="str">
        <f>_xlfn.XLOOKUP(Table6[[#This Row],[NIS]],Table2[NIS],Table2[Nomer Induk Siswa Nasional],"Not Found",0)</f>
        <v>0082919129</v>
      </c>
      <c r="E141" s="3" t="str">
        <f>_xlfn.XLOOKUP(Table6[[#This Row],[NIS]],Table2[NIS],Table2[Status],"Not Found",0)</f>
        <v>Aktif</v>
      </c>
      <c r="F141" s="3">
        <f>_xlfn.XLOOKUP(Table6[[#This Row],[NIS]],Table2[NIS],Table2[Tahun Masuk],"Not Found",0)</f>
        <v>2020</v>
      </c>
      <c r="G141" s="3">
        <f>_xlfn.XLOOKUP(Table6[[#This Row],[NIS]],Table2[NIS],Table2[Tahun Keluar],"Not Found",0)</f>
        <v>0</v>
      </c>
      <c r="H141" s="3">
        <f>_xlfn.XLOOKUP(Table6[[#This Row],[NIS]],Table2[NIS],Table2[Kelas],"Not Found",0)</f>
        <v>3</v>
      </c>
      <c r="I141" s="3" t="str">
        <f>_xlfn.XLOOKUP(Table6[[#This Row],[NIS]],Table2[NIS],Table2[Kelas Detail],"Not Found",0)</f>
        <v>3-A</v>
      </c>
    </row>
    <row r="142" spans="1:9">
      <c r="A142" s="3">
        <f>SUBTOTAL(3,B$3:B142)</f>
        <v>140</v>
      </c>
      <c r="B142" s="3">
        <v>21220121</v>
      </c>
      <c r="C142" s="18" t="str">
        <f>_xlfn.XLOOKUP(Table6[[#This Row],[NIS]],Table2[NIS],Table2[Nama lengkap],"Not Found",0)</f>
        <v>Aliya Putri Anggraeni</v>
      </c>
      <c r="D142" s="18" t="str">
        <f>_xlfn.XLOOKUP(Table6[[#This Row],[NIS]],Table2[NIS],Table2[Nomer Induk Siswa Nasional],"Not Found",0)</f>
        <v>0087480943/0874809472</v>
      </c>
      <c r="E142" s="3" t="str">
        <f>_xlfn.XLOOKUP(Table6[[#This Row],[NIS]],Table2[NIS],Table2[Status],"Not Found",0)</f>
        <v>Aktif</v>
      </c>
      <c r="F142" s="3">
        <f>_xlfn.XLOOKUP(Table6[[#This Row],[NIS]],Table2[NIS],Table2[Tahun Masuk],"Not Found",0)</f>
        <v>2021</v>
      </c>
      <c r="G142" s="3">
        <f>_xlfn.XLOOKUP(Table6[[#This Row],[NIS]],Table2[NIS],Table2[Tahun Keluar],"Not Found",0)</f>
        <v>0</v>
      </c>
      <c r="H142" s="3">
        <f>_xlfn.XLOOKUP(Table6[[#This Row],[NIS]],Table2[NIS],Table2[Kelas],"Not Found",0)</f>
        <v>3</v>
      </c>
      <c r="I142" s="3" t="str">
        <f>_xlfn.XLOOKUP(Table6[[#This Row],[NIS]],Table2[NIS],Table2[Kelas Detail],"Not Found",0)</f>
        <v>3-A</v>
      </c>
    </row>
    <row r="143" spans="1:9">
      <c r="A143" s="3">
        <f>SUBTOTAL(3,B$3:B143)</f>
        <v>141</v>
      </c>
      <c r="B143" s="3">
        <v>22230018</v>
      </c>
      <c r="C143" s="18" t="str">
        <f>_xlfn.XLOOKUP(Table6[[#This Row],[NIS]],Table2[NIS],Table2[Nama lengkap],"Not Found",0)</f>
        <v xml:space="preserve">Asyifa Dzikra Putri Hadian </v>
      </c>
      <c r="D143" s="18" t="str">
        <f>_xlfn.XLOOKUP(Table6[[#This Row],[NIS]],Table2[NIS],Table2[Nomer Induk Siswa Nasional],"Not Found",0)</f>
        <v>0078953732</v>
      </c>
      <c r="E143" s="3" t="str">
        <f>_xlfn.XLOOKUP(Table6[[#This Row],[NIS]],Table2[NIS],Table2[Status],"Not Found",0)</f>
        <v>Aktif</v>
      </c>
      <c r="F143" s="3">
        <f>_xlfn.XLOOKUP(Table6[[#This Row],[NIS]],Table2[NIS],Table2[Tahun Masuk],"Not Found",0)</f>
        <v>2022</v>
      </c>
      <c r="G143" s="3">
        <f>_xlfn.XLOOKUP(Table6[[#This Row],[NIS]],Table2[NIS],Table2[Tahun Keluar],"Not Found",0)</f>
        <v>0</v>
      </c>
      <c r="H143" s="3">
        <f>_xlfn.XLOOKUP(Table6[[#This Row],[NIS]],Table2[NIS],Table2[Kelas],"Not Found",0)</f>
        <v>3</v>
      </c>
      <c r="I143" s="3" t="str">
        <f>_xlfn.XLOOKUP(Table6[[#This Row],[NIS]],Table2[NIS],Table2[Kelas Detail],"Not Found",0)</f>
        <v>3-A</v>
      </c>
    </row>
    <row r="144" spans="1:9">
      <c r="A144" s="3">
        <f>SUBTOTAL(3,B$3:B144)</f>
        <v>142</v>
      </c>
      <c r="B144" s="3">
        <v>22230003</v>
      </c>
      <c r="C144" s="18" t="str">
        <f>_xlfn.XLOOKUP(Table6[[#This Row],[NIS]],Table2[NIS],Table2[Nama lengkap],"Not Found",0)</f>
        <v>Azkia Nur Salsabila</v>
      </c>
      <c r="D144" s="18" t="str">
        <f>_xlfn.XLOOKUP(Table6[[#This Row],[NIS]],Table2[NIS],Table2[Nomer Induk Siswa Nasional],"Not Found",0)</f>
        <v>3092074137</v>
      </c>
      <c r="E144" s="3" t="str">
        <f>_xlfn.XLOOKUP(Table6[[#This Row],[NIS]],Table2[NIS],Table2[Status],"Not Found",0)</f>
        <v>Aktif</v>
      </c>
      <c r="F144" s="3">
        <f>_xlfn.XLOOKUP(Table6[[#This Row],[NIS]],Table2[NIS],Table2[Tahun Masuk],"Not Found",0)</f>
        <v>2022</v>
      </c>
      <c r="G144" s="3">
        <f>_xlfn.XLOOKUP(Table6[[#This Row],[NIS]],Table2[NIS],Table2[Tahun Keluar],"Not Found",0)</f>
        <v>0</v>
      </c>
      <c r="H144" s="3">
        <f>_xlfn.XLOOKUP(Table6[[#This Row],[NIS]],Table2[NIS],Table2[Kelas],"Not Found",0)</f>
        <v>3</v>
      </c>
      <c r="I144" s="3" t="str">
        <f>_xlfn.XLOOKUP(Table6[[#This Row],[NIS]],Table2[NIS],Table2[Kelas Detail],"Not Found",0)</f>
        <v>3-A</v>
      </c>
    </row>
    <row r="145" spans="1:9">
      <c r="A145" s="3">
        <f>SUBTOTAL(3,B$3:B145)</f>
        <v>143</v>
      </c>
      <c r="B145" s="3">
        <v>22230076</v>
      </c>
      <c r="C145" s="18" t="str">
        <f>_xlfn.XLOOKUP(Table6[[#This Row],[NIS]],Table2[NIS],Table2[Nama lengkap],"Not Found",0)</f>
        <v>Cahya Putri Ramadhani</v>
      </c>
      <c r="D145" s="18" t="str">
        <f>_xlfn.XLOOKUP(Table6[[#This Row],[NIS]],Table2[NIS],Table2[Nomer Induk Siswa Nasional],"Not Found",0)</f>
        <v>0097706851</v>
      </c>
      <c r="E145" s="3" t="str">
        <f>_xlfn.XLOOKUP(Table6[[#This Row],[NIS]],Table2[NIS],Table2[Status],"Not Found",0)</f>
        <v>Aktif</v>
      </c>
      <c r="F145" s="3">
        <f>_xlfn.XLOOKUP(Table6[[#This Row],[NIS]],Table2[NIS],Table2[Tahun Masuk],"Not Found",0)</f>
        <v>2022</v>
      </c>
      <c r="G145" s="3">
        <f>_xlfn.XLOOKUP(Table6[[#This Row],[NIS]],Table2[NIS],Table2[Tahun Keluar],"Not Found",0)</f>
        <v>0</v>
      </c>
      <c r="H145" s="3">
        <f>_xlfn.XLOOKUP(Table6[[#This Row],[NIS]],Table2[NIS],Table2[Kelas],"Not Found",0)</f>
        <v>3</v>
      </c>
      <c r="I145" s="3" t="str">
        <f>_xlfn.XLOOKUP(Table6[[#This Row],[NIS]],Table2[NIS],Table2[Kelas Detail],"Not Found",0)</f>
        <v>3-A</v>
      </c>
    </row>
    <row r="146" spans="1:9">
      <c r="A146" s="3">
        <f>SUBTOTAL(3,B$3:B146)</f>
        <v>144</v>
      </c>
      <c r="B146" s="3">
        <v>22230030</v>
      </c>
      <c r="C146" s="18" t="str">
        <f>_xlfn.XLOOKUP(Table6[[#This Row],[NIS]],Table2[NIS],Table2[Nama lengkap],"Not Found",0)</f>
        <v>Dian Khansa Haerani</v>
      </c>
      <c r="D146" s="18" t="str">
        <f>_xlfn.XLOOKUP(Table6[[#This Row],[NIS]],Table2[NIS],Table2[Nomer Induk Siswa Nasional],"Not Found",0)</f>
        <v>3092990349</v>
      </c>
      <c r="E146" s="3" t="str">
        <f>_xlfn.XLOOKUP(Table6[[#This Row],[NIS]],Table2[NIS],Table2[Status],"Not Found",0)</f>
        <v>Aktif</v>
      </c>
      <c r="F146" s="3">
        <f>_xlfn.XLOOKUP(Table6[[#This Row],[NIS]],Table2[NIS],Table2[Tahun Masuk],"Not Found",0)</f>
        <v>2022</v>
      </c>
      <c r="G146" s="3">
        <f>_xlfn.XLOOKUP(Table6[[#This Row],[NIS]],Table2[NIS],Table2[Tahun Keluar],"Not Found",0)</f>
        <v>0</v>
      </c>
      <c r="H146" s="3">
        <f>_xlfn.XLOOKUP(Table6[[#This Row],[NIS]],Table2[NIS],Table2[Kelas],"Not Found",0)</f>
        <v>3</v>
      </c>
      <c r="I146" s="3" t="str">
        <f>_xlfn.XLOOKUP(Table6[[#This Row],[NIS]],Table2[NIS],Table2[Kelas Detail],"Not Found",0)</f>
        <v>3-A</v>
      </c>
    </row>
    <row r="147" spans="1:9">
      <c r="A147" s="3">
        <f>SUBTOTAL(3,B$3:B147)</f>
        <v>145</v>
      </c>
      <c r="B147" s="3">
        <v>22230170</v>
      </c>
      <c r="C147" s="18" t="str">
        <f>_xlfn.XLOOKUP(Table6[[#This Row],[NIS]],Table2[NIS],Table2[Nama lengkap],"Not Found",0)</f>
        <v>Hasna Zakiatus Sa'Adah</v>
      </c>
      <c r="D147" s="18" t="str">
        <f>_xlfn.XLOOKUP(Table6[[#This Row],[NIS]],Table2[NIS],Table2[Nomer Induk Siswa Nasional],"Not Found",0)</f>
        <v>0093488308</v>
      </c>
      <c r="E147" s="3" t="str">
        <f>_xlfn.XLOOKUP(Table6[[#This Row],[NIS]],Table2[NIS],Table2[Status],"Not Found",0)</f>
        <v>Aktif</v>
      </c>
      <c r="F147" s="3">
        <f>_xlfn.XLOOKUP(Table6[[#This Row],[NIS]],Table2[NIS],Table2[Tahun Masuk],"Not Found",0)</f>
        <v>2022</v>
      </c>
      <c r="G147" s="3">
        <f>_xlfn.XLOOKUP(Table6[[#This Row],[NIS]],Table2[NIS],Table2[Tahun Keluar],"Not Found",0)</f>
        <v>0</v>
      </c>
      <c r="H147" s="3">
        <f>_xlfn.XLOOKUP(Table6[[#This Row],[NIS]],Table2[NIS],Table2[Kelas],"Not Found",0)</f>
        <v>3</v>
      </c>
      <c r="I147" s="3" t="str">
        <f>_xlfn.XLOOKUP(Table6[[#This Row],[NIS]],Table2[NIS],Table2[Kelas Detail],"Not Found",0)</f>
        <v>3-A</v>
      </c>
    </row>
    <row r="148" spans="1:9">
      <c r="A148" s="3">
        <f>SUBTOTAL(3,B$3:B148)</f>
        <v>146</v>
      </c>
      <c r="B148" s="3">
        <v>22230144</v>
      </c>
      <c r="C148" s="18" t="str">
        <f>_xlfn.XLOOKUP(Table6[[#This Row],[NIS]],Table2[NIS],Table2[Nama lengkap],"Not Found",0)</f>
        <v>Jasmine Rahmania Az-Zahra</v>
      </c>
      <c r="D148" s="18">
        <f>_xlfn.XLOOKUP(Table6[[#This Row],[NIS]],Table2[NIS],Table2[Nomer Induk Siswa Nasional],"Not Found",0)</f>
        <v>0</v>
      </c>
      <c r="E148" s="3" t="str">
        <f>_xlfn.XLOOKUP(Table6[[#This Row],[NIS]],Table2[NIS],Table2[Status],"Not Found",0)</f>
        <v>Waqof</v>
      </c>
      <c r="F148" s="3">
        <f>_xlfn.XLOOKUP(Table6[[#This Row],[NIS]],Table2[NIS],Table2[Tahun Masuk],"Not Found",0)</f>
        <v>2022</v>
      </c>
      <c r="G148" s="3">
        <f>_xlfn.XLOOKUP(Table6[[#This Row],[NIS]],Table2[NIS],Table2[Tahun Keluar],"Not Found",0)</f>
        <v>0</v>
      </c>
      <c r="H148" s="3">
        <f>_xlfn.XLOOKUP(Table6[[#This Row],[NIS]],Table2[NIS],Table2[Kelas],"Not Found",0)</f>
        <v>0</v>
      </c>
      <c r="I148" s="3" t="str">
        <f>_xlfn.XLOOKUP(Table6[[#This Row],[NIS]],Table2[NIS],Table2[Kelas Detail],"Not Found",0)</f>
        <v>3-A</v>
      </c>
    </row>
    <row r="149" spans="1:9">
      <c r="A149" s="3">
        <f>SUBTOTAL(3,B$3:B149)</f>
        <v>147</v>
      </c>
      <c r="B149" s="3">
        <v>22230136</v>
      </c>
      <c r="C149" s="18" t="str">
        <f>_xlfn.XLOOKUP(Table6[[#This Row],[NIS]],Table2[NIS],Table2[Nama lengkap],"Not Found",0)</f>
        <v xml:space="preserve">Joane Del Agnia </v>
      </c>
      <c r="D149" s="18" t="str">
        <f>_xlfn.XLOOKUP(Table6[[#This Row],[NIS]],Table2[NIS],Table2[Nomer Induk Siswa Nasional],"Not Found",0)</f>
        <v>0098106414</v>
      </c>
      <c r="E149" s="3" t="str">
        <f>_xlfn.XLOOKUP(Table6[[#This Row],[NIS]],Table2[NIS],Table2[Status],"Not Found",0)</f>
        <v>Aktif</v>
      </c>
      <c r="F149" s="3">
        <f>_xlfn.XLOOKUP(Table6[[#This Row],[NIS]],Table2[NIS],Table2[Tahun Masuk],"Not Found",0)</f>
        <v>2022</v>
      </c>
      <c r="G149" s="3">
        <f>_xlfn.XLOOKUP(Table6[[#This Row],[NIS]],Table2[NIS],Table2[Tahun Keluar],"Not Found",0)</f>
        <v>0</v>
      </c>
      <c r="H149" s="3">
        <f>_xlfn.XLOOKUP(Table6[[#This Row],[NIS]],Table2[NIS],Table2[Kelas],"Not Found",0)</f>
        <v>3</v>
      </c>
      <c r="I149" s="3" t="str">
        <f>_xlfn.XLOOKUP(Table6[[#This Row],[NIS]],Table2[NIS],Table2[Kelas Detail],"Not Found",0)</f>
        <v>3-A</v>
      </c>
    </row>
    <row r="150" spans="1:9">
      <c r="A150" s="3">
        <f>SUBTOTAL(3,B$3:B150)</f>
        <v>148</v>
      </c>
      <c r="B150" s="3">
        <v>22230057</v>
      </c>
      <c r="C150" s="18" t="str">
        <f>_xlfn.XLOOKUP(Table6[[#This Row],[NIS]],Table2[NIS],Table2[Nama lengkap],"Not Found",0)</f>
        <v xml:space="preserve">Kalyca Fittra Nur Aini </v>
      </c>
      <c r="D150" s="18" t="str">
        <f>_xlfn.XLOOKUP(Table6[[#This Row],[NIS]],Table2[NIS],Table2[Nomer Induk Siswa Nasional],"Not Found",0)</f>
        <v>3100955270</v>
      </c>
      <c r="E150" s="3" t="str">
        <f>_xlfn.XLOOKUP(Table6[[#This Row],[NIS]],Table2[NIS],Table2[Status],"Not Found",0)</f>
        <v>Aktif</v>
      </c>
      <c r="F150" s="3">
        <f>_xlfn.XLOOKUP(Table6[[#This Row],[NIS]],Table2[NIS],Table2[Tahun Masuk],"Not Found",0)</f>
        <v>2022</v>
      </c>
      <c r="G150" s="3">
        <f>_xlfn.XLOOKUP(Table6[[#This Row],[NIS]],Table2[NIS],Table2[Tahun Keluar],"Not Found",0)</f>
        <v>0</v>
      </c>
      <c r="H150" s="3">
        <f>_xlfn.XLOOKUP(Table6[[#This Row],[NIS]],Table2[NIS],Table2[Kelas],"Not Found",0)</f>
        <v>3</v>
      </c>
      <c r="I150" s="3" t="str">
        <f>_xlfn.XLOOKUP(Table6[[#This Row],[NIS]],Table2[NIS],Table2[Kelas Detail],"Not Found",0)</f>
        <v>3-A</v>
      </c>
    </row>
    <row r="151" spans="1:9">
      <c r="A151" s="3">
        <f>SUBTOTAL(3,B$3:B151)</f>
        <v>149</v>
      </c>
      <c r="B151" s="3">
        <v>22230045</v>
      </c>
      <c r="C151" s="18" t="str">
        <f>_xlfn.XLOOKUP(Table6[[#This Row],[NIS]],Table2[NIS],Table2[Nama lengkap],"Not Found",0)</f>
        <v>Khansa Zahirah Gunawan</v>
      </c>
      <c r="D151" s="18" t="str">
        <f>_xlfn.XLOOKUP(Table6[[#This Row],[NIS]],Table2[NIS],Table2[Nomer Induk Siswa Nasional],"Not Found",0)</f>
        <v>0109589236</v>
      </c>
      <c r="E151" s="3" t="str">
        <f>_xlfn.XLOOKUP(Table6[[#This Row],[NIS]],Table2[NIS],Table2[Status],"Not Found",0)</f>
        <v>Aktif</v>
      </c>
      <c r="F151" s="3">
        <f>_xlfn.XLOOKUP(Table6[[#This Row],[NIS]],Table2[NIS],Table2[Tahun Masuk],"Not Found",0)</f>
        <v>2022</v>
      </c>
      <c r="G151" s="3">
        <f>_xlfn.XLOOKUP(Table6[[#This Row],[NIS]],Table2[NIS],Table2[Tahun Keluar],"Not Found",0)</f>
        <v>0</v>
      </c>
      <c r="H151" s="3">
        <f>_xlfn.XLOOKUP(Table6[[#This Row],[NIS]],Table2[NIS],Table2[Kelas],"Not Found",0)</f>
        <v>3</v>
      </c>
      <c r="I151" s="3" t="str">
        <f>_xlfn.XLOOKUP(Table6[[#This Row],[NIS]],Table2[NIS],Table2[Kelas Detail],"Not Found",0)</f>
        <v>3-A</v>
      </c>
    </row>
    <row r="152" spans="1:9">
      <c r="A152" s="3">
        <f>SUBTOTAL(3,B$3:B152)</f>
        <v>150</v>
      </c>
      <c r="B152" s="3">
        <v>22230125</v>
      </c>
      <c r="C152" s="18" t="str">
        <f>_xlfn.XLOOKUP(Table6[[#This Row],[NIS]],Table2[NIS],Table2[Nama lengkap],"Not Found",0)</f>
        <v xml:space="preserve">Khoirunnisa </v>
      </c>
      <c r="D152" s="18" t="str">
        <f>_xlfn.XLOOKUP(Table6[[#This Row],[NIS]],Table2[NIS],Table2[Nomer Induk Siswa Nasional],"Not Found",0)</f>
        <v>0065820640/3063156427</v>
      </c>
      <c r="E152" s="3" t="str">
        <f>_xlfn.XLOOKUP(Table6[[#This Row],[NIS]],Table2[NIS],Table2[Status],"Not Found",0)</f>
        <v>Aktif</v>
      </c>
      <c r="F152" s="3">
        <f>_xlfn.XLOOKUP(Table6[[#This Row],[NIS]],Table2[NIS],Table2[Tahun Masuk],"Not Found",0)</f>
        <v>2022</v>
      </c>
      <c r="G152" s="3" t="str">
        <f>_xlfn.XLOOKUP(Table6[[#This Row],[NIS]],Table2[NIS],Table2[Tahun Keluar],"Not Found",0)</f>
        <v>TB</v>
      </c>
      <c r="H152" s="3">
        <f>_xlfn.XLOOKUP(Table6[[#This Row],[NIS]],Table2[NIS],Table2[Kelas],"Not Found",0)</f>
        <v>3</v>
      </c>
      <c r="I152" s="3" t="str">
        <f>_xlfn.XLOOKUP(Table6[[#This Row],[NIS]],Table2[NIS],Table2[Kelas Detail],"Not Found",0)</f>
        <v>3-A</v>
      </c>
    </row>
    <row r="153" spans="1:9">
      <c r="A153" s="3">
        <f>SUBTOTAL(3,B$3:B153)</f>
        <v>151</v>
      </c>
      <c r="B153" s="3">
        <v>22230120</v>
      </c>
      <c r="C153" s="18" t="str">
        <f>_xlfn.XLOOKUP(Table6[[#This Row],[NIS]],Table2[NIS],Table2[Nama lengkap],"Not Found",0)</f>
        <v>Nanda Rachel Amanda</v>
      </c>
      <c r="D153" s="18" t="str">
        <f>_xlfn.XLOOKUP(Table6[[#This Row],[NIS]],Table2[NIS],Table2[Nomer Induk Siswa Nasional],"Not Found",0)</f>
        <v>0091055125</v>
      </c>
      <c r="E153" s="3" t="str">
        <f>_xlfn.XLOOKUP(Table6[[#This Row],[NIS]],Table2[NIS],Table2[Status],"Not Found",0)</f>
        <v>Aktif</v>
      </c>
      <c r="F153" s="3">
        <f>_xlfn.XLOOKUP(Table6[[#This Row],[NIS]],Table2[NIS],Table2[Tahun Masuk],"Not Found",0)</f>
        <v>2022</v>
      </c>
      <c r="G153" s="3">
        <f>_xlfn.XLOOKUP(Table6[[#This Row],[NIS]],Table2[NIS],Table2[Tahun Keluar],"Not Found",0)</f>
        <v>0</v>
      </c>
      <c r="H153" s="3">
        <f>_xlfn.XLOOKUP(Table6[[#This Row],[NIS]],Table2[NIS],Table2[Kelas],"Not Found",0)</f>
        <v>3</v>
      </c>
      <c r="I153" s="3" t="str">
        <f>_xlfn.XLOOKUP(Table6[[#This Row],[NIS]],Table2[NIS],Table2[Kelas Detail],"Not Found",0)</f>
        <v>3-A</v>
      </c>
    </row>
    <row r="154" spans="1:9">
      <c r="A154" s="3">
        <f>SUBTOTAL(3,B$3:B154)</f>
        <v>152</v>
      </c>
      <c r="B154" s="3">
        <v>22230117</v>
      </c>
      <c r="C154" s="18" t="str">
        <f>_xlfn.XLOOKUP(Table6[[#This Row],[NIS]],Table2[NIS],Table2[Nama lengkap],"Not Found",0)</f>
        <v xml:space="preserve">Nayla Nurvita Rachman </v>
      </c>
      <c r="D154" s="18" t="str">
        <f>_xlfn.XLOOKUP(Table6[[#This Row],[NIS]],Table2[NIS],Table2[Nomer Induk Siswa Nasional],"Not Found",0)</f>
        <v>0109281161</v>
      </c>
      <c r="E154" s="3" t="str">
        <f>_xlfn.XLOOKUP(Table6[[#This Row],[NIS]],Table2[NIS],Table2[Status],"Not Found",0)</f>
        <v>Aktif</v>
      </c>
      <c r="F154" s="3">
        <f>_xlfn.XLOOKUP(Table6[[#This Row],[NIS]],Table2[NIS],Table2[Tahun Masuk],"Not Found",0)</f>
        <v>2022</v>
      </c>
      <c r="G154" s="3">
        <f>_xlfn.XLOOKUP(Table6[[#This Row],[NIS]],Table2[NIS],Table2[Tahun Keluar],"Not Found",0)</f>
        <v>0</v>
      </c>
      <c r="H154" s="3">
        <f>_xlfn.XLOOKUP(Table6[[#This Row],[NIS]],Table2[NIS],Table2[Kelas],"Not Found",0)</f>
        <v>3</v>
      </c>
      <c r="I154" s="3" t="str">
        <f>_xlfn.XLOOKUP(Table6[[#This Row],[NIS]],Table2[NIS],Table2[Kelas Detail],"Not Found",0)</f>
        <v>3-A</v>
      </c>
    </row>
    <row r="155" spans="1:9">
      <c r="A155" s="3">
        <f>SUBTOTAL(3,B$3:B155)</f>
        <v>153</v>
      </c>
      <c r="B155" s="3">
        <v>22230077</v>
      </c>
      <c r="C155" s="18" t="str">
        <f>_xlfn.XLOOKUP(Table6[[#This Row],[NIS]],Table2[NIS],Table2[Nama lengkap],"Not Found",0)</f>
        <v>Nayra Regina Febrianty</v>
      </c>
      <c r="D155" s="18" t="str">
        <f>_xlfn.XLOOKUP(Table6[[#This Row],[NIS]],Table2[NIS],Table2[Nomer Induk Siswa Nasional],"Not Found",0)</f>
        <v>0105858367</v>
      </c>
      <c r="E155" s="3" t="str">
        <f>_xlfn.XLOOKUP(Table6[[#This Row],[NIS]],Table2[NIS],Table2[Status],"Not Found",0)</f>
        <v>Aktif</v>
      </c>
      <c r="F155" s="3">
        <f>_xlfn.XLOOKUP(Table6[[#This Row],[NIS]],Table2[NIS],Table2[Tahun Masuk],"Not Found",0)</f>
        <v>2022</v>
      </c>
      <c r="G155" s="3">
        <f>_xlfn.XLOOKUP(Table6[[#This Row],[NIS]],Table2[NIS],Table2[Tahun Keluar],"Not Found",0)</f>
        <v>0</v>
      </c>
      <c r="H155" s="3">
        <f>_xlfn.XLOOKUP(Table6[[#This Row],[NIS]],Table2[NIS],Table2[Kelas],"Not Found",0)</f>
        <v>3</v>
      </c>
      <c r="I155" s="3" t="str">
        <f>_xlfn.XLOOKUP(Table6[[#This Row],[NIS]],Table2[NIS],Table2[Kelas Detail],"Not Found",0)</f>
        <v>3-A</v>
      </c>
    </row>
    <row r="156" spans="1:9">
      <c r="A156" s="3">
        <f>SUBTOTAL(3,B$3:B156)</f>
        <v>154</v>
      </c>
      <c r="B156" s="3">
        <v>22230124</v>
      </c>
      <c r="C156" s="18" t="str">
        <f>_xlfn.XLOOKUP(Table6[[#This Row],[NIS]],Table2[NIS],Table2[Nama lengkap],"Not Found",0)</f>
        <v>Niken Aulia Nurasifa</v>
      </c>
      <c r="D156" s="18" t="str">
        <f>_xlfn.XLOOKUP(Table6[[#This Row],[NIS]],Table2[NIS],Table2[Nomer Induk Siswa Nasional],"Not Found",0)</f>
        <v>0077104234</v>
      </c>
      <c r="E156" s="3" t="str">
        <f>_xlfn.XLOOKUP(Table6[[#This Row],[NIS]],Table2[NIS],Table2[Status],"Not Found",0)</f>
        <v>Aktif</v>
      </c>
      <c r="F156" s="3">
        <f>_xlfn.XLOOKUP(Table6[[#This Row],[NIS]],Table2[NIS],Table2[Tahun Masuk],"Not Found",0)</f>
        <v>2022</v>
      </c>
      <c r="G156" s="3">
        <f>_xlfn.XLOOKUP(Table6[[#This Row],[NIS]],Table2[NIS],Table2[Tahun Keluar],"Not Found",0)</f>
        <v>0</v>
      </c>
      <c r="H156" s="3">
        <f>_xlfn.XLOOKUP(Table6[[#This Row],[NIS]],Table2[NIS],Table2[Kelas],"Not Found",0)</f>
        <v>3</v>
      </c>
      <c r="I156" s="3" t="str">
        <f>_xlfn.XLOOKUP(Table6[[#This Row],[NIS]],Table2[NIS],Table2[Kelas Detail],"Not Found",0)</f>
        <v>3-A</v>
      </c>
    </row>
    <row r="157" spans="1:9">
      <c r="A157" s="3">
        <f>SUBTOTAL(3,B$3:B157)</f>
        <v>155</v>
      </c>
      <c r="B157" s="3">
        <v>22230088</v>
      </c>
      <c r="C157" s="18" t="str">
        <f>_xlfn.XLOOKUP(Table6[[#This Row],[NIS]],Table2[NIS],Table2[Nama lengkap],"Not Found",0)</f>
        <v>Raesha Azkia Qolbi</v>
      </c>
      <c r="D157" s="18" t="str">
        <f>_xlfn.XLOOKUP(Table6[[#This Row],[NIS]],Table2[NIS],Table2[Nomer Induk Siswa Nasional],"Not Found",0)</f>
        <v>0101707212</v>
      </c>
      <c r="E157" s="3" t="str">
        <f>_xlfn.XLOOKUP(Table6[[#This Row],[NIS]],Table2[NIS],Table2[Status],"Not Found",0)</f>
        <v>Aktif</v>
      </c>
      <c r="F157" s="3">
        <f>_xlfn.XLOOKUP(Table6[[#This Row],[NIS]],Table2[NIS],Table2[Tahun Masuk],"Not Found",0)</f>
        <v>2022</v>
      </c>
      <c r="G157" s="3">
        <f>_xlfn.XLOOKUP(Table6[[#This Row],[NIS]],Table2[NIS],Table2[Tahun Keluar],"Not Found",0)</f>
        <v>0</v>
      </c>
      <c r="H157" s="3">
        <f>_xlfn.XLOOKUP(Table6[[#This Row],[NIS]],Table2[NIS],Table2[Kelas],"Not Found",0)</f>
        <v>3</v>
      </c>
      <c r="I157" s="3" t="str">
        <f>_xlfn.XLOOKUP(Table6[[#This Row],[NIS]],Table2[NIS],Table2[Kelas Detail],"Not Found",0)</f>
        <v>3-A</v>
      </c>
    </row>
    <row r="158" spans="1:9">
      <c r="A158" s="3">
        <f>SUBTOTAL(3,B$3:B158)</f>
        <v>156</v>
      </c>
      <c r="B158" s="3">
        <v>19200280</v>
      </c>
      <c r="C158" s="18" t="str">
        <f>_xlfn.XLOOKUP(Table6[[#This Row],[NIS]],Table2[NIS],Table2[Nama lengkap],"Not Found",0)</f>
        <v>Risa Nurmalia Sumenda</v>
      </c>
      <c r="D158" s="18" t="str">
        <f>_xlfn.XLOOKUP(Table6[[#This Row],[NIS]],Table2[NIS],Table2[Nomer Induk Siswa Nasional],"Not Found",0)</f>
        <v>0061042380</v>
      </c>
      <c r="E158" s="3" t="str">
        <f>_xlfn.XLOOKUP(Table6[[#This Row],[NIS]],Table2[NIS],Table2[Status],"Not Found",0)</f>
        <v>Aktif</v>
      </c>
      <c r="F158" s="3">
        <f>_xlfn.XLOOKUP(Table6[[#This Row],[NIS]],Table2[NIS],Table2[Tahun Masuk],"Not Found",0)</f>
        <v>2019</v>
      </c>
      <c r="G158" s="3">
        <f>_xlfn.XLOOKUP(Table6[[#This Row],[NIS]],Table2[NIS],Table2[Tahun Keluar],"Not Found",0)</f>
        <v>0</v>
      </c>
      <c r="H158" s="3">
        <f>_xlfn.XLOOKUP(Table6[[#This Row],[NIS]],Table2[NIS],Table2[Kelas],"Not Found",0)</f>
        <v>3</v>
      </c>
      <c r="I158" s="3" t="str">
        <f>_xlfn.XLOOKUP(Table6[[#This Row],[NIS]],Table2[NIS],Table2[Kelas Detail],"Not Found",0)</f>
        <v>3-A</v>
      </c>
    </row>
    <row r="159" spans="1:9">
      <c r="A159" s="3">
        <f>SUBTOTAL(3,B$3:B159)</f>
        <v>157</v>
      </c>
      <c r="B159" s="3">
        <v>22230085</v>
      </c>
      <c r="C159" s="18" t="str">
        <f>_xlfn.XLOOKUP(Table6[[#This Row],[NIS]],Table2[NIS],Table2[Nama lengkap],"Not Found",0)</f>
        <v>Salwa Siti Habsoh Alawiyah</v>
      </c>
      <c r="D159" s="18" t="str">
        <f>_xlfn.XLOOKUP(Table6[[#This Row],[NIS]],Table2[NIS],Table2[Nomer Induk Siswa Nasional],"Not Found",0)</f>
        <v>0099153594</v>
      </c>
      <c r="E159" s="3" t="str">
        <f>_xlfn.XLOOKUP(Table6[[#This Row],[NIS]],Table2[NIS],Table2[Status],"Not Found",0)</f>
        <v>Aktif</v>
      </c>
      <c r="F159" s="3">
        <f>_xlfn.XLOOKUP(Table6[[#This Row],[NIS]],Table2[NIS],Table2[Tahun Masuk],"Not Found",0)</f>
        <v>2022</v>
      </c>
      <c r="G159" s="3">
        <f>_xlfn.XLOOKUP(Table6[[#This Row],[NIS]],Table2[NIS],Table2[Tahun Keluar],"Not Found",0)</f>
        <v>0</v>
      </c>
      <c r="H159" s="3">
        <f>_xlfn.XLOOKUP(Table6[[#This Row],[NIS]],Table2[NIS],Table2[Kelas],"Not Found",0)</f>
        <v>3</v>
      </c>
      <c r="I159" s="3" t="str">
        <f>_xlfn.XLOOKUP(Table6[[#This Row],[NIS]],Table2[NIS],Table2[Kelas Detail],"Not Found",0)</f>
        <v>3-A</v>
      </c>
    </row>
    <row r="160" spans="1:9">
      <c r="A160" s="3">
        <f>SUBTOTAL(3,B$3:B160)</f>
        <v>158</v>
      </c>
      <c r="B160" s="3">
        <v>22230083</v>
      </c>
      <c r="C160" s="18" t="str">
        <f>_xlfn.XLOOKUP(Table6[[#This Row],[NIS]],Table2[NIS],Table2[Nama lengkap],"Not Found",0)</f>
        <v>Silvia Khodijah Falilah</v>
      </c>
      <c r="D160" s="18" t="str">
        <f>_xlfn.XLOOKUP(Table6[[#This Row],[NIS]],Table2[NIS],Table2[Nomer Induk Siswa Nasional],"Not Found",0)</f>
        <v>0101930359</v>
      </c>
      <c r="E160" s="3" t="str">
        <f>_xlfn.XLOOKUP(Table6[[#This Row],[NIS]],Table2[NIS],Table2[Status],"Not Found",0)</f>
        <v>Aktif</v>
      </c>
      <c r="F160" s="3">
        <f>_xlfn.XLOOKUP(Table6[[#This Row],[NIS]],Table2[NIS],Table2[Tahun Masuk],"Not Found",0)</f>
        <v>2022</v>
      </c>
      <c r="G160" s="3">
        <f>_xlfn.XLOOKUP(Table6[[#This Row],[NIS]],Table2[NIS],Table2[Tahun Keluar],"Not Found",0)</f>
        <v>0</v>
      </c>
      <c r="H160" s="3">
        <f>_xlfn.XLOOKUP(Table6[[#This Row],[NIS]],Table2[NIS],Table2[Kelas],"Not Found",0)</f>
        <v>3</v>
      </c>
      <c r="I160" s="3" t="str">
        <f>_xlfn.XLOOKUP(Table6[[#This Row],[NIS]],Table2[NIS],Table2[Kelas Detail],"Not Found",0)</f>
        <v>3-A</v>
      </c>
    </row>
    <row r="161" spans="1:9">
      <c r="A161" s="3">
        <f>SUBTOTAL(3,B$3:B161)</f>
        <v>159</v>
      </c>
      <c r="B161" s="3">
        <v>21220050</v>
      </c>
      <c r="C161" s="18" t="str">
        <f>_xlfn.XLOOKUP(Table6[[#This Row],[NIS]],Table2[NIS],Table2[Nama lengkap],"Not Found",0)</f>
        <v>Siti Aisyah Jamilah</v>
      </c>
      <c r="D161" s="18" t="str">
        <f>_xlfn.XLOOKUP(Table6[[#This Row],[NIS]],Table2[NIS],Table2[Nomer Induk Siswa Nasional],"Not Found",0)</f>
        <v>0059880792</v>
      </c>
      <c r="E161" s="3" t="str">
        <f>_xlfn.XLOOKUP(Table6[[#This Row],[NIS]],Table2[NIS],Table2[Status],"Not Found",0)</f>
        <v>Aktif</v>
      </c>
      <c r="F161" s="3">
        <f>_xlfn.XLOOKUP(Table6[[#This Row],[NIS]],Table2[NIS],Table2[Tahun Masuk],"Not Found",0)</f>
        <v>2021</v>
      </c>
      <c r="G161" s="3">
        <f>_xlfn.XLOOKUP(Table6[[#This Row],[NIS]],Table2[NIS],Table2[Tahun Keluar],"Not Found",0)</f>
        <v>0</v>
      </c>
      <c r="H161" s="3">
        <f>_xlfn.XLOOKUP(Table6[[#This Row],[NIS]],Table2[NIS],Table2[Kelas],"Not Found",0)</f>
        <v>3</v>
      </c>
      <c r="I161" s="3" t="str">
        <f>_xlfn.XLOOKUP(Table6[[#This Row],[NIS]],Table2[NIS],Table2[Kelas Detail],"Not Found",0)</f>
        <v>3-A</v>
      </c>
    </row>
    <row r="162" spans="1:9">
      <c r="A162" s="3">
        <f>SUBTOTAL(3,B$3:B162)</f>
        <v>160</v>
      </c>
      <c r="B162" s="3">
        <v>23240125</v>
      </c>
      <c r="C162" s="18" t="str">
        <f>_xlfn.XLOOKUP(Table6[[#This Row],[NIS]],Table2[NIS],Table2[Nama lengkap],"Not Found",0)</f>
        <v>Siti Fatimah Zahra</v>
      </c>
      <c r="D162" s="18" t="str">
        <f>_xlfn.XLOOKUP(Table6[[#This Row],[NIS]],Table2[NIS],Table2[Nomer Induk Siswa Nasional],"Not Found",0)</f>
        <v>0089984052</v>
      </c>
      <c r="E162" s="3" t="str">
        <f>_xlfn.XLOOKUP(Table6[[#This Row],[NIS]],Table2[NIS],Table2[Status],"Not Found",0)</f>
        <v>Aktif</v>
      </c>
      <c r="F162" s="3">
        <f>_xlfn.XLOOKUP(Table6[[#This Row],[NIS]],Table2[NIS],Table2[Tahun Masuk],"Not Found",0)</f>
        <v>2023</v>
      </c>
      <c r="G162" s="3">
        <f>_xlfn.XLOOKUP(Table6[[#This Row],[NIS]],Table2[NIS],Table2[Tahun Keluar],"Not Found",0)</f>
        <v>0</v>
      </c>
      <c r="H162" s="3">
        <f>_xlfn.XLOOKUP(Table6[[#This Row],[NIS]],Table2[NIS],Table2[Kelas],"Not Found",0)</f>
        <v>3</v>
      </c>
      <c r="I162" s="3" t="str">
        <f>_xlfn.XLOOKUP(Table6[[#This Row],[NIS]],Table2[NIS],Table2[Kelas Detail],"Not Found",0)</f>
        <v>3-A</v>
      </c>
    </row>
    <row r="163" spans="1:9">
      <c r="A163" s="3">
        <f>SUBTOTAL(3,B$3:B163)</f>
        <v>161</v>
      </c>
      <c r="B163" s="3">
        <v>22230032</v>
      </c>
      <c r="C163" s="18" t="str">
        <f>_xlfn.XLOOKUP(Table6[[#This Row],[NIS]],Table2[NIS],Table2[Nama lengkap],"Not Found",0)</f>
        <v xml:space="preserve">Siti Hindun </v>
      </c>
      <c r="D163" s="18" t="str">
        <f>_xlfn.XLOOKUP(Table6[[#This Row],[NIS]],Table2[NIS],Table2[Nomer Induk Siswa Nasional],"Not Found",0)</f>
        <v>0086054941</v>
      </c>
      <c r="E163" s="3" t="str">
        <f>_xlfn.XLOOKUP(Table6[[#This Row],[NIS]],Table2[NIS],Table2[Status],"Not Found",0)</f>
        <v>Aktif</v>
      </c>
      <c r="F163" s="3">
        <f>_xlfn.XLOOKUP(Table6[[#This Row],[NIS]],Table2[NIS],Table2[Tahun Masuk],"Not Found",0)</f>
        <v>2022</v>
      </c>
      <c r="G163" s="3">
        <f>_xlfn.XLOOKUP(Table6[[#This Row],[NIS]],Table2[NIS],Table2[Tahun Keluar],"Not Found",0)</f>
        <v>0</v>
      </c>
      <c r="H163" s="3">
        <f>_xlfn.XLOOKUP(Table6[[#This Row],[NIS]],Table2[NIS],Table2[Kelas],"Not Found",0)</f>
        <v>3</v>
      </c>
      <c r="I163" s="3" t="str">
        <f>_xlfn.XLOOKUP(Table6[[#This Row],[NIS]],Table2[NIS],Table2[Kelas Detail],"Not Found",0)</f>
        <v>3-A</v>
      </c>
    </row>
    <row r="164" spans="1:9">
      <c r="A164" s="3">
        <f>SUBTOTAL(3,B$3:B164)</f>
        <v>162</v>
      </c>
      <c r="B164" s="3">
        <v>22230070</v>
      </c>
      <c r="C164" s="18" t="str">
        <f>_xlfn.XLOOKUP(Table6[[#This Row],[NIS]],Table2[NIS],Table2[Nama lengkap],"Not Found",0)</f>
        <v>Siti Jubaedah</v>
      </c>
      <c r="D164" s="18" t="str">
        <f>_xlfn.XLOOKUP(Table6[[#This Row],[NIS]],Table2[NIS],Table2[Nomer Induk Siswa Nasional],"Not Found",0)</f>
        <v>3094709434</v>
      </c>
      <c r="E164" s="3" t="str">
        <f>_xlfn.XLOOKUP(Table6[[#This Row],[NIS]],Table2[NIS],Table2[Status],"Not Found",0)</f>
        <v>Aktif</v>
      </c>
      <c r="F164" s="3">
        <f>_xlfn.XLOOKUP(Table6[[#This Row],[NIS]],Table2[NIS],Table2[Tahun Masuk],"Not Found",0)</f>
        <v>2022</v>
      </c>
      <c r="G164" s="3">
        <f>_xlfn.XLOOKUP(Table6[[#This Row],[NIS]],Table2[NIS],Table2[Tahun Keluar],"Not Found",0)</f>
        <v>0</v>
      </c>
      <c r="H164" s="3">
        <f>_xlfn.XLOOKUP(Table6[[#This Row],[NIS]],Table2[NIS],Table2[Kelas],"Not Found",0)</f>
        <v>3</v>
      </c>
      <c r="I164" s="3" t="str">
        <f>_xlfn.XLOOKUP(Table6[[#This Row],[NIS]],Table2[NIS],Table2[Kelas Detail],"Not Found",0)</f>
        <v>3-A</v>
      </c>
    </row>
    <row r="165" spans="1:9">
      <c r="A165" s="3">
        <f>SUBTOTAL(3,B$3:B165)</f>
        <v>163</v>
      </c>
      <c r="B165" s="3">
        <v>22230171</v>
      </c>
      <c r="C165" s="18" t="str">
        <f>_xlfn.XLOOKUP(Table6[[#This Row],[NIS]],Table2[NIS],Table2[Nama lengkap],"Not Found",0)</f>
        <v>Siti Nor Hasanah</v>
      </c>
      <c r="D165" s="18" t="str">
        <f>_xlfn.XLOOKUP(Table6[[#This Row],[NIS]],Table2[NIS],Table2[Nomer Induk Siswa Nasional],"Not Found",0)</f>
        <v>0094947799</v>
      </c>
      <c r="E165" s="3" t="str">
        <f>_xlfn.XLOOKUP(Table6[[#This Row],[NIS]],Table2[NIS],Table2[Status],"Not Found",0)</f>
        <v>Aktif</v>
      </c>
      <c r="F165" s="3">
        <f>_xlfn.XLOOKUP(Table6[[#This Row],[NIS]],Table2[NIS],Table2[Tahun Masuk],"Not Found",0)</f>
        <v>2022</v>
      </c>
      <c r="G165" s="3">
        <f>_xlfn.XLOOKUP(Table6[[#This Row],[NIS]],Table2[NIS],Table2[Tahun Keluar],"Not Found",0)</f>
        <v>0</v>
      </c>
      <c r="H165" s="3">
        <f>_xlfn.XLOOKUP(Table6[[#This Row],[NIS]],Table2[NIS],Table2[Kelas],"Not Found",0)</f>
        <v>3</v>
      </c>
      <c r="I165" s="3" t="str">
        <f>_xlfn.XLOOKUP(Table6[[#This Row],[NIS]],Table2[NIS],Table2[Kelas Detail],"Not Found",0)</f>
        <v>3-A</v>
      </c>
    </row>
    <row r="166" spans="1:9">
      <c r="A166" s="3">
        <f>SUBTOTAL(3,B$3:B166)</f>
        <v>164</v>
      </c>
      <c r="B166" s="3">
        <v>22230066</v>
      </c>
      <c r="C166" s="18" t="str">
        <f>_xlfn.XLOOKUP(Table6[[#This Row],[NIS]],Table2[NIS],Table2[Nama lengkap],"Not Found",0)</f>
        <v>Siti Nurlaela Ulfa</v>
      </c>
      <c r="D166" s="18" t="str">
        <f>_xlfn.XLOOKUP(Table6[[#This Row],[NIS]],Table2[NIS],Table2[Nomer Induk Siswa Nasional],"Not Found",0)</f>
        <v>0074376324</v>
      </c>
      <c r="E166" s="3" t="str">
        <f>_xlfn.XLOOKUP(Table6[[#This Row],[NIS]],Table2[NIS],Table2[Status],"Not Found",0)</f>
        <v>Aktif</v>
      </c>
      <c r="F166" s="3">
        <f>_xlfn.XLOOKUP(Table6[[#This Row],[NIS]],Table2[NIS],Table2[Tahun Masuk],"Not Found",0)</f>
        <v>2022</v>
      </c>
      <c r="G166" s="3" t="str">
        <f>_xlfn.XLOOKUP(Table6[[#This Row],[NIS]],Table2[NIS],Table2[Tahun Keluar],"Not Found",0)</f>
        <v>TB</v>
      </c>
      <c r="H166" s="3">
        <f>_xlfn.XLOOKUP(Table6[[#This Row],[NIS]],Table2[NIS],Table2[Kelas],"Not Found",0)</f>
        <v>3</v>
      </c>
      <c r="I166" s="3" t="str">
        <f>_xlfn.XLOOKUP(Table6[[#This Row],[NIS]],Table2[NIS],Table2[Kelas Detail],"Not Found",0)</f>
        <v>3-A</v>
      </c>
    </row>
    <row r="167" spans="1:9">
      <c r="A167" s="3">
        <f>SUBTOTAL(3,B$3:B167)</f>
        <v>165</v>
      </c>
      <c r="B167" s="3">
        <v>20210157</v>
      </c>
      <c r="C167" s="18" t="str">
        <f>_xlfn.XLOOKUP(Table6[[#This Row],[NIS]],Table2[NIS],Table2[Nama lengkap],"Not Found",0)</f>
        <v xml:space="preserve">Siti Romlah </v>
      </c>
      <c r="D167" s="18" t="str">
        <f>_xlfn.XLOOKUP(Table6[[#This Row],[NIS]],Table2[NIS],Table2[Nomer Induk Siswa Nasional],"Not Found",0)</f>
        <v>0088495482</v>
      </c>
      <c r="E167" s="3" t="str">
        <f>_xlfn.XLOOKUP(Table6[[#This Row],[NIS]],Table2[NIS],Table2[Status],"Not Found",0)</f>
        <v>Waqof</v>
      </c>
      <c r="F167" s="3">
        <f>_xlfn.XLOOKUP(Table6[[#This Row],[NIS]],Table2[NIS],Table2[Tahun Masuk],"Not Found",0)</f>
        <v>2020</v>
      </c>
      <c r="G167" s="3">
        <f>_xlfn.XLOOKUP(Table6[[#This Row],[NIS]],Table2[NIS],Table2[Tahun Keluar],"Not Found",0)</f>
        <v>0</v>
      </c>
      <c r="H167" s="3">
        <f>_xlfn.XLOOKUP(Table6[[#This Row],[NIS]],Table2[NIS],Table2[Kelas],"Not Found",0)</f>
        <v>0</v>
      </c>
      <c r="I167" s="3" t="str">
        <f>_xlfn.XLOOKUP(Table6[[#This Row],[NIS]],Table2[NIS],Table2[Kelas Detail],"Not Found",0)</f>
        <v>3-A</v>
      </c>
    </row>
    <row r="168" spans="1:9">
      <c r="A168" s="3">
        <f>SUBTOTAL(3,B$3:B168)</f>
        <v>166</v>
      </c>
      <c r="B168" s="3">
        <v>22230095</v>
      </c>
      <c r="C168" s="18" t="str">
        <f>_xlfn.XLOOKUP(Table6[[#This Row],[NIS]],Table2[NIS],Table2[Nama lengkap],"Not Found",0)</f>
        <v xml:space="preserve">Sovi Salha Adawiyah </v>
      </c>
      <c r="D168" s="18" t="str">
        <f>_xlfn.XLOOKUP(Table6[[#This Row],[NIS]],Table2[NIS],Table2[Nomer Induk Siswa Nasional],"Not Found",0)</f>
        <v>0074253011/3075643054</v>
      </c>
      <c r="E168" s="3" t="str">
        <f>_xlfn.XLOOKUP(Table6[[#This Row],[NIS]],Table2[NIS],Table2[Status],"Not Found",0)</f>
        <v>Aktif</v>
      </c>
      <c r="F168" s="3">
        <f>_xlfn.XLOOKUP(Table6[[#This Row],[NIS]],Table2[NIS],Table2[Tahun Masuk],"Not Found",0)</f>
        <v>2022</v>
      </c>
      <c r="G168" s="3">
        <f>_xlfn.XLOOKUP(Table6[[#This Row],[NIS]],Table2[NIS],Table2[Tahun Keluar],"Not Found",0)</f>
        <v>0</v>
      </c>
      <c r="H168" s="3">
        <f>_xlfn.XLOOKUP(Table6[[#This Row],[NIS]],Table2[NIS],Table2[Kelas],"Not Found",0)</f>
        <v>3</v>
      </c>
      <c r="I168" s="3" t="str">
        <f>_xlfn.XLOOKUP(Table6[[#This Row],[NIS]],Table2[NIS],Table2[Kelas Detail],"Not Found",0)</f>
        <v>3-A</v>
      </c>
    </row>
    <row r="169" spans="1:9">
      <c r="A169" s="3">
        <f>SUBTOTAL(3,B$3:B169)</f>
        <v>167</v>
      </c>
      <c r="B169" s="3">
        <v>22230197</v>
      </c>
      <c r="C169" s="18" t="str">
        <f>_xlfn.XLOOKUP(Table6[[#This Row],[NIS]],Table2[NIS],Table2[Nama lengkap],"Not Found",0)</f>
        <v>Syarifah Dinda Nurhadijah Assegaff</v>
      </c>
      <c r="D169" s="18" t="str">
        <f>_xlfn.XLOOKUP(Table6[[#This Row],[NIS]],Table2[NIS],Table2[Nomer Induk Siswa Nasional],"Not Found",0)</f>
        <v>0086784626</v>
      </c>
      <c r="E169" s="3" t="str">
        <f>_xlfn.XLOOKUP(Table6[[#This Row],[NIS]],Table2[NIS],Table2[Status],"Not Found",0)</f>
        <v>Aktif</v>
      </c>
      <c r="F169" s="3">
        <f>_xlfn.XLOOKUP(Table6[[#This Row],[NIS]],Table2[NIS],Table2[Tahun Masuk],"Not Found",0)</f>
        <v>2022</v>
      </c>
      <c r="G169" s="3">
        <f>_xlfn.XLOOKUP(Table6[[#This Row],[NIS]],Table2[NIS],Table2[Tahun Keluar],"Not Found",0)</f>
        <v>0</v>
      </c>
      <c r="H169" s="3">
        <f>_xlfn.XLOOKUP(Table6[[#This Row],[NIS]],Table2[NIS],Table2[Kelas],"Not Found",0)</f>
        <v>3</v>
      </c>
      <c r="I169" s="3" t="str">
        <f>_xlfn.XLOOKUP(Table6[[#This Row],[NIS]],Table2[NIS],Table2[Kelas Detail],"Not Found",0)</f>
        <v>3-A</v>
      </c>
    </row>
    <row r="170" spans="1:9">
      <c r="A170" s="3">
        <f>SUBTOTAL(3,B$3:B170)</f>
        <v>168</v>
      </c>
      <c r="B170" s="3">
        <v>22230158</v>
      </c>
      <c r="C170" s="18" t="str">
        <f>_xlfn.XLOOKUP(Table6[[#This Row],[NIS]],Table2[NIS],Table2[Nama lengkap],"Not Found",0)</f>
        <v>Syifa Yuliani</v>
      </c>
      <c r="D170" s="18" t="str">
        <f>_xlfn.XLOOKUP(Table6[[#This Row],[NIS]],Table2[NIS],Table2[Nomer Induk Siswa Nasional],"Not Found",0)</f>
        <v>0074715157</v>
      </c>
      <c r="E170" s="3" t="str">
        <f>_xlfn.XLOOKUP(Table6[[#This Row],[NIS]],Table2[NIS],Table2[Status],"Not Found",0)</f>
        <v>Aktif</v>
      </c>
      <c r="F170" s="3">
        <f>_xlfn.XLOOKUP(Table6[[#This Row],[NIS]],Table2[NIS],Table2[Tahun Masuk],"Not Found",0)</f>
        <v>2022</v>
      </c>
      <c r="G170" s="3">
        <f>_xlfn.XLOOKUP(Table6[[#This Row],[NIS]],Table2[NIS],Table2[Tahun Keluar],"Not Found",0)</f>
        <v>0</v>
      </c>
      <c r="H170" s="3">
        <f>_xlfn.XLOOKUP(Table6[[#This Row],[NIS]],Table2[NIS],Table2[Kelas],"Not Found",0)</f>
        <v>3</v>
      </c>
      <c r="I170" s="3" t="str">
        <f>_xlfn.XLOOKUP(Table6[[#This Row],[NIS]],Table2[NIS],Table2[Kelas Detail],"Not Found",0)</f>
        <v>3-A</v>
      </c>
    </row>
    <row r="171" spans="1:9">
      <c r="A171" s="3">
        <f>SUBTOTAL(3,B$3:B171)</f>
        <v>169</v>
      </c>
      <c r="B171" s="3">
        <v>22230126</v>
      </c>
      <c r="C171" s="18" t="str">
        <f>_xlfn.XLOOKUP(Table6[[#This Row],[NIS]],Table2[NIS],Table2[Nama lengkap],"Not Found",0)</f>
        <v>Alika Intan Sarisha</v>
      </c>
      <c r="D171" s="18" t="str">
        <f>_xlfn.XLOOKUP(Table6[[#This Row],[NIS]],Table2[NIS],Table2[Nomer Induk Siswa Nasional],"Not Found",0)</f>
        <v>0091677173</v>
      </c>
      <c r="E171" s="3" t="str">
        <f>_xlfn.XLOOKUP(Table6[[#This Row],[NIS]],Table2[NIS],Table2[Status],"Not Found",0)</f>
        <v>Aktif</v>
      </c>
      <c r="F171" s="3">
        <f>_xlfn.XLOOKUP(Table6[[#This Row],[NIS]],Table2[NIS],Table2[Tahun Masuk],"Not Found",0)</f>
        <v>2022</v>
      </c>
      <c r="G171" s="3">
        <f>_xlfn.XLOOKUP(Table6[[#This Row],[NIS]],Table2[NIS],Table2[Tahun Keluar],"Not Found",0)</f>
        <v>0</v>
      </c>
      <c r="H171" s="3">
        <f>_xlfn.XLOOKUP(Table6[[#This Row],[NIS]],Table2[NIS],Table2[Kelas],"Not Found",0)</f>
        <v>3</v>
      </c>
      <c r="I171" s="3" t="str">
        <f>_xlfn.XLOOKUP(Table6[[#This Row],[NIS]],Table2[NIS],Table2[Kelas Detail],"Not Found",0)</f>
        <v>3-B</v>
      </c>
    </row>
    <row r="172" spans="1:9">
      <c r="A172" s="3">
        <f>SUBTOTAL(3,B$3:B172)</f>
        <v>170</v>
      </c>
      <c r="B172" s="3">
        <v>22230123</v>
      </c>
      <c r="C172" s="18" t="str">
        <f>_xlfn.XLOOKUP(Table6[[#This Row],[NIS]],Table2[NIS],Table2[Nama lengkap],"Not Found",0)</f>
        <v>Asti Puspita Nurul Furqon</v>
      </c>
      <c r="D172" s="18" t="str">
        <f>_xlfn.XLOOKUP(Table6[[#This Row],[NIS]],Table2[NIS],Table2[Nomer Induk Siswa Nasional],"Not Found",0)</f>
        <v>0093231727</v>
      </c>
      <c r="E172" s="3" t="str">
        <f>_xlfn.XLOOKUP(Table6[[#This Row],[NIS]],Table2[NIS],Table2[Status],"Not Found",0)</f>
        <v>Aktif</v>
      </c>
      <c r="F172" s="3">
        <f>_xlfn.XLOOKUP(Table6[[#This Row],[NIS]],Table2[NIS],Table2[Tahun Masuk],"Not Found",0)</f>
        <v>2022</v>
      </c>
      <c r="G172" s="3">
        <f>_xlfn.XLOOKUP(Table6[[#This Row],[NIS]],Table2[NIS],Table2[Tahun Keluar],"Not Found",0)</f>
        <v>0</v>
      </c>
      <c r="H172" s="3">
        <f>_xlfn.XLOOKUP(Table6[[#This Row],[NIS]],Table2[NIS],Table2[Kelas],"Not Found",0)</f>
        <v>3</v>
      </c>
      <c r="I172" s="3" t="str">
        <f>_xlfn.XLOOKUP(Table6[[#This Row],[NIS]],Table2[NIS],Table2[Kelas Detail],"Not Found",0)</f>
        <v>3-B</v>
      </c>
    </row>
    <row r="173" spans="1:9">
      <c r="A173" s="3">
        <f>SUBTOTAL(3,B$3:B173)</f>
        <v>171</v>
      </c>
      <c r="B173" s="3">
        <v>22230179</v>
      </c>
      <c r="C173" s="18" t="str">
        <f>_xlfn.XLOOKUP(Table6[[#This Row],[NIS]],Table2[NIS],Table2[Nama lengkap],"Not Found",0)</f>
        <v>Auliya Apriyani</v>
      </c>
      <c r="D173" s="18" t="str">
        <f>_xlfn.XLOOKUP(Table6[[#This Row],[NIS]],Table2[NIS],Table2[Nomer Induk Siswa Nasional],"Not Found",0)</f>
        <v>3100786288/0105006809</v>
      </c>
      <c r="E173" s="3" t="str">
        <f>_xlfn.XLOOKUP(Table6[[#This Row],[NIS]],Table2[NIS],Table2[Status],"Not Found",0)</f>
        <v>Aktif</v>
      </c>
      <c r="F173" s="3">
        <f>_xlfn.XLOOKUP(Table6[[#This Row],[NIS]],Table2[NIS],Table2[Tahun Masuk],"Not Found",0)</f>
        <v>2022</v>
      </c>
      <c r="G173" s="3">
        <f>_xlfn.XLOOKUP(Table6[[#This Row],[NIS]],Table2[NIS],Table2[Tahun Keluar],"Not Found",0)</f>
        <v>0</v>
      </c>
      <c r="H173" s="3">
        <f>_xlfn.XLOOKUP(Table6[[#This Row],[NIS]],Table2[NIS],Table2[Kelas],"Not Found",0)</f>
        <v>3</v>
      </c>
      <c r="I173" s="3" t="str">
        <f>_xlfn.XLOOKUP(Table6[[#This Row],[NIS]],Table2[NIS],Table2[Kelas Detail],"Not Found",0)</f>
        <v>3-B</v>
      </c>
    </row>
    <row r="174" spans="1:9">
      <c r="A174" s="3">
        <f>SUBTOTAL(3,B$3:B174)</f>
        <v>172</v>
      </c>
      <c r="B174" s="3">
        <v>22230058</v>
      </c>
      <c r="C174" s="18" t="str">
        <f>_xlfn.XLOOKUP(Table6[[#This Row],[NIS]],Table2[NIS],Table2[Nama lengkap],"Not Found",0)</f>
        <v xml:space="preserve">Azelia Rusyadi </v>
      </c>
      <c r="D174" s="18" t="str">
        <f>_xlfn.XLOOKUP(Table6[[#This Row],[NIS]],Table2[NIS],Table2[Nomer Induk Siswa Nasional],"Not Found",0)</f>
        <v>3100487573</v>
      </c>
      <c r="E174" s="3" t="str">
        <f>_xlfn.XLOOKUP(Table6[[#This Row],[NIS]],Table2[NIS],Table2[Status],"Not Found",0)</f>
        <v>Aktif</v>
      </c>
      <c r="F174" s="3">
        <f>_xlfn.XLOOKUP(Table6[[#This Row],[NIS]],Table2[NIS],Table2[Tahun Masuk],"Not Found",0)</f>
        <v>2022</v>
      </c>
      <c r="G174" s="3">
        <f>_xlfn.XLOOKUP(Table6[[#This Row],[NIS]],Table2[NIS],Table2[Tahun Keluar],"Not Found",0)</f>
        <v>0</v>
      </c>
      <c r="H174" s="3">
        <f>_xlfn.XLOOKUP(Table6[[#This Row],[NIS]],Table2[NIS],Table2[Kelas],"Not Found",0)</f>
        <v>3</v>
      </c>
      <c r="I174" s="3" t="str">
        <f>_xlfn.XLOOKUP(Table6[[#This Row],[NIS]],Table2[NIS],Table2[Kelas Detail],"Not Found",0)</f>
        <v>3-B</v>
      </c>
    </row>
    <row r="175" spans="1:9">
      <c r="A175" s="3">
        <f>SUBTOTAL(3,B$3:B175)</f>
        <v>173</v>
      </c>
      <c r="B175" s="3">
        <v>22230166</v>
      </c>
      <c r="C175" s="18" t="str">
        <f>_xlfn.XLOOKUP(Table6[[#This Row],[NIS]],Table2[NIS],Table2[Nama lengkap],"Not Found",0)</f>
        <v>Bilqis Gifri Habibillah</v>
      </c>
      <c r="D175" s="18" t="str">
        <f>_xlfn.XLOOKUP(Table6[[#This Row],[NIS]],Table2[NIS],Table2[Nomer Induk Siswa Nasional],"Not Found",0)</f>
        <v>0097779454</v>
      </c>
      <c r="E175" s="3" t="str">
        <f>_xlfn.XLOOKUP(Table6[[#This Row],[NIS]],Table2[NIS],Table2[Status],"Not Found",0)</f>
        <v>Aktif</v>
      </c>
      <c r="F175" s="3">
        <f>_xlfn.XLOOKUP(Table6[[#This Row],[NIS]],Table2[NIS],Table2[Tahun Masuk],"Not Found",0)</f>
        <v>2022</v>
      </c>
      <c r="G175" s="3">
        <f>_xlfn.XLOOKUP(Table6[[#This Row],[NIS]],Table2[NIS],Table2[Tahun Keluar],"Not Found",0)</f>
        <v>0</v>
      </c>
      <c r="H175" s="3">
        <f>_xlfn.XLOOKUP(Table6[[#This Row],[NIS]],Table2[NIS],Table2[Kelas],"Not Found",0)</f>
        <v>3</v>
      </c>
      <c r="I175" s="3" t="str">
        <f>_xlfn.XLOOKUP(Table6[[#This Row],[NIS]],Table2[NIS],Table2[Kelas Detail],"Not Found",0)</f>
        <v>3-B</v>
      </c>
    </row>
    <row r="176" spans="1:9">
      <c r="A176" s="3">
        <f>SUBTOTAL(3,B$3:B176)</f>
        <v>174</v>
      </c>
      <c r="B176" s="3">
        <v>21220035</v>
      </c>
      <c r="C176" s="18" t="str">
        <f>_xlfn.XLOOKUP(Table6[[#This Row],[NIS]],Table2[NIS],Table2[Nama lengkap],"Not Found",0)</f>
        <v>Cha Cha Hasna  Nur Syafa'Nah</v>
      </c>
      <c r="D176" s="18" t="str">
        <f>_xlfn.XLOOKUP(Table6[[#This Row],[NIS]],Table2[NIS],Table2[Nomer Induk Siswa Nasional],"Not Found",0)</f>
        <v>3082572570/3085842251</v>
      </c>
      <c r="E176" s="3" t="str">
        <f>_xlfn.XLOOKUP(Table6[[#This Row],[NIS]],Table2[NIS],Table2[Status],"Not Found",0)</f>
        <v>Aktif</v>
      </c>
      <c r="F176" s="3">
        <f>_xlfn.XLOOKUP(Table6[[#This Row],[NIS]],Table2[NIS],Table2[Tahun Masuk],"Not Found",0)</f>
        <v>2021</v>
      </c>
      <c r="G176" s="3">
        <f>_xlfn.XLOOKUP(Table6[[#This Row],[NIS]],Table2[NIS],Table2[Tahun Keluar],"Not Found",0)</f>
        <v>0</v>
      </c>
      <c r="H176" s="3">
        <f>_xlfn.XLOOKUP(Table6[[#This Row],[NIS]],Table2[NIS],Table2[Kelas],"Not Found",0)</f>
        <v>3</v>
      </c>
      <c r="I176" s="3" t="str">
        <f>_xlfn.XLOOKUP(Table6[[#This Row],[NIS]],Table2[NIS],Table2[Kelas Detail],"Not Found",0)</f>
        <v>3-B</v>
      </c>
    </row>
    <row r="177" spans="1:9">
      <c r="A177" s="3">
        <f>SUBTOTAL(3,B$3:B177)</f>
        <v>175</v>
      </c>
      <c r="B177" s="3">
        <v>22230075</v>
      </c>
      <c r="C177" s="18" t="str">
        <f>_xlfn.XLOOKUP(Table6[[#This Row],[NIS]],Table2[NIS],Table2[Nama lengkap],"Not Found",0)</f>
        <v>Ghia Azkia Syifaurrahmah</v>
      </c>
      <c r="D177" s="18" t="str">
        <f>_xlfn.XLOOKUP(Table6[[#This Row],[NIS]],Table2[NIS],Table2[Nomer Induk Siswa Nasional],"Not Found",0)</f>
        <v>3090825646</v>
      </c>
      <c r="E177" s="3" t="str">
        <f>_xlfn.XLOOKUP(Table6[[#This Row],[NIS]],Table2[NIS],Table2[Status],"Not Found",0)</f>
        <v>Aktif</v>
      </c>
      <c r="F177" s="3">
        <f>_xlfn.XLOOKUP(Table6[[#This Row],[NIS]],Table2[NIS],Table2[Tahun Masuk],"Not Found",0)</f>
        <v>2022</v>
      </c>
      <c r="G177" s="3">
        <f>_xlfn.XLOOKUP(Table6[[#This Row],[NIS]],Table2[NIS],Table2[Tahun Keluar],"Not Found",0)</f>
        <v>0</v>
      </c>
      <c r="H177" s="3">
        <f>_xlfn.XLOOKUP(Table6[[#This Row],[NIS]],Table2[NIS],Table2[Kelas],"Not Found",0)</f>
        <v>3</v>
      </c>
      <c r="I177" s="3" t="str">
        <f>_xlfn.XLOOKUP(Table6[[#This Row],[NIS]],Table2[NIS],Table2[Kelas Detail],"Not Found",0)</f>
        <v>3-B</v>
      </c>
    </row>
    <row r="178" spans="1:9">
      <c r="A178" s="3">
        <f>SUBTOTAL(3,B$3:B178)</f>
        <v>176</v>
      </c>
      <c r="B178" s="3">
        <v>22230053</v>
      </c>
      <c r="C178" s="18" t="str">
        <f>_xlfn.XLOOKUP(Table6[[#This Row],[NIS]],Table2[NIS],Table2[Nama lengkap],"Not Found",0)</f>
        <v>Giani Aulia Utami</v>
      </c>
      <c r="D178" s="18" t="str">
        <f>_xlfn.XLOOKUP(Table6[[#This Row],[NIS]],Table2[NIS],Table2[Nomer Induk Siswa Nasional],"Not Found",0)</f>
        <v>0065636695</v>
      </c>
      <c r="E178" s="3" t="str">
        <f>_xlfn.XLOOKUP(Table6[[#This Row],[NIS]],Table2[NIS],Table2[Status],"Not Found",0)</f>
        <v>Aktif</v>
      </c>
      <c r="F178" s="3">
        <f>_xlfn.XLOOKUP(Table6[[#This Row],[NIS]],Table2[NIS],Table2[Tahun Masuk],"Not Found",0)</f>
        <v>2022</v>
      </c>
      <c r="G178" s="3">
        <f>_xlfn.XLOOKUP(Table6[[#This Row],[NIS]],Table2[NIS],Table2[Tahun Keluar],"Not Found",0)</f>
        <v>0</v>
      </c>
      <c r="H178" s="3">
        <f>_xlfn.XLOOKUP(Table6[[#This Row],[NIS]],Table2[NIS],Table2[Kelas],"Not Found",0)</f>
        <v>3</v>
      </c>
      <c r="I178" s="3" t="str">
        <f>_xlfn.XLOOKUP(Table6[[#This Row],[NIS]],Table2[NIS],Table2[Kelas Detail],"Not Found",0)</f>
        <v>3-B</v>
      </c>
    </row>
    <row r="179" spans="1:9">
      <c r="A179" s="3">
        <f>SUBTOTAL(3,B$3:B179)</f>
        <v>177</v>
      </c>
      <c r="B179" s="3">
        <v>22230061</v>
      </c>
      <c r="C179" s="18" t="str">
        <f>_xlfn.XLOOKUP(Table6[[#This Row],[NIS]],Table2[NIS],Table2[Nama lengkap],"Not Found",0)</f>
        <v xml:space="preserve">Humaira Azzahra </v>
      </c>
      <c r="D179" s="18" t="str">
        <f>_xlfn.XLOOKUP(Table6[[#This Row],[NIS]],Table2[NIS],Table2[Nomer Induk Siswa Nasional],"Not Found",0)</f>
        <v>0093286526</v>
      </c>
      <c r="E179" s="3" t="str">
        <f>_xlfn.XLOOKUP(Table6[[#This Row],[NIS]],Table2[NIS],Table2[Status],"Not Found",0)</f>
        <v>Aktif</v>
      </c>
      <c r="F179" s="3">
        <f>_xlfn.XLOOKUP(Table6[[#This Row],[NIS]],Table2[NIS],Table2[Tahun Masuk],"Not Found",0)</f>
        <v>2022</v>
      </c>
      <c r="G179" s="3">
        <f>_xlfn.XLOOKUP(Table6[[#This Row],[NIS]],Table2[NIS],Table2[Tahun Keluar],"Not Found",0)</f>
        <v>0</v>
      </c>
      <c r="H179" s="3">
        <f>_xlfn.XLOOKUP(Table6[[#This Row],[NIS]],Table2[NIS],Table2[Kelas],"Not Found",0)</f>
        <v>3</v>
      </c>
      <c r="I179" s="3" t="str">
        <f>_xlfn.XLOOKUP(Table6[[#This Row],[NIS]],Table2[NIS],Table2[Kelas Detail],"Not Found",0)</f>
        <v>3-B</v>
      </c>
    </row>
    <row r="180" spans="1:9">
      <c r="A180" s="3">
        <f>SUBTOTAL(3,B$3:B180)</f>
        <v>178</v>
      </c>
      <c r="B180" s="3">
        <v>22230023</v>
      </c>
      <c r="C180" s="18" t="str">
        <f>_xlfn.XLOOKUP(Table6[[#This Row],[NIS]],Table2[NIS],Table2[Nama lengkap],"Not Found",0)</f>
        <v>Intan Nur Alfiah</v>
      </c>
      <c r="D180" s="18" t="str">
        <f>_xlfn.XLOOKUP(Table6[[#This Row],[NIS]],Table2[NIS],Table2[Nomer Induk Siswa Nasional],"Not Found",0)</f>
        <v>0107540645</v>
      </c>
      <c r="E180" s="3" t="str">
        <f>_xlfn.XLOOKUP(Table6[[#This Row],[NIS]],Table2[NIS],Table2[Status],"Not Found",0)</f>
        <v>Aktif</v>
      </c>
      <c r="F180" s="3">
        <f>_xlfn.XLOOKUP(Table6[[#This Row],[NIS]],Table2[NIS],Table2[Tahun Masuk],"Not Found",0)</f>
        <v>2022</v>
      </c>
      <c r="G180" s="3">
        <f>_xlfn.XLOOKUP(Table6[[#This Row],[NIS]],Table2[NIS],Table2[Tahun Keluar],"Not Found",0)</f>
        <v>0</v>
      </c>
      <c r="H180" s="3">
        <f>_xlfn.XLOOKUP(Table6[[#This Row],[NIS]],Table2[NIS],Table2[Kelas],"Not Found",0)</f>
        <v>3</v>
      </c>
      <c r="I180" s="3" t="str">
        <f>_xlfn.XLOOKUP(Table6[[#This Row],[NIS]],Table2[NIS],Table2[Kelas Detail],"Not Found",0)</f>
        <v>3-B</v>
      </c>
    </row>
    <row r="181" spans="1:9">
      <c r="A181" s="3">
        <f>SUBTOTAL(3,B$3:B181)</f>
        <v>179</v>
      </c>
      <c r="B181" s="3">
        <v>22230041</v>
      </c>
      <c r="C181" s="18" t="str">
        <f>_xlfn.XLOOKUP(Table6[[#This Row],[NIS]],Table2[NIS],Table2[Nama lengkap],"Not Found",0)</f>
        <v>Jihan Chalisa Fikratuha</v>
      </c>
      <c r="D181" s="18" t="str">
        <f>_xlfn.XLOOKUP(Table6[[#This Row],[NIS]],Table2[NIS],Table2[Nomer Induk Siswa Nasional],"Not Found",0)</f>
        <v>0102171919</v>
      </c>
      <c r="E181" s="3" t="str">
        <f>_xlfn.XLOOKUP(Table6[[#This Row],[NIS]],Table2[NIS],Table2[Status],"Not Found",0)</f>
        <v>Aktif</v>
      </c>
      <c r="F181" s="3">
        <f>_xlfn.XLOOKUP(Table6[[#This Row],[NIS]],Table2[NIS],Table2[Tahun Masuk],"Not Found",0)</f>
        <v>2022</v>
      </c>
      <c r="G181" s="3">
        <f>_xlfn.XLOOKUP(Table6[[#This Row],[NIS]],Table2[NIS],Table2[Tahun Keluar],"Not Found",0)</f>
        <v>0</v>
      </c>
      <c r="H181" s="3">
        <f>_xlfn.XLOOKUP(Table6[[#This Row],[NIS]],Table2[NIS],Table2[Kelas],"Not Found",0)</f>
        <v>3</v>
      </c>
      <c r="I181" s="3" t="str">
        <f>_xlfn.XLOOKUP(Table6[[#This Row],[NIS]],Table2[NIS],Table2[Kelas Detail],"Not Found",0)</f>
        <v>3-B</v>
      </c>
    </row>
    <row r="182" spans="1:9">
      <c r="A182" s="3">
        <f>SUBTOTAL(3,B$3:B182)</f>
        <v>180</v>
      </c>
      <c r="B182" s="3">
        <v>22230157</v>
      </c>
      <c r="C182" s="18" t="str">
        <f>_xlfn.XLOOKUP(Table6[[#This Row],[NIS]],Table2[NIS],Table2[Nama lengkap],"Not Found",0)</f>
        <v xml:space="preserve">Kaila Apriliani </v>
      </c>
      <c r="D182" s="18" t="str">
        <f>_xlfn.XLOOKUP(Table6[[#This Row],[NIS]],Table2[NIS],Table2[Nomer Induk Siswa Nasional],"Not Found",0)</f>
        <v>0108520414</v>
      </c>
      <c r="E182" s="3" t="str">
        <f>_xlfn.XLOOKUP(Table6[[#This Row],[NIS]],Table2[NIS],Table2[Status],"Not Found",0)</f>
        <v>Aktif</v>
      </c>
      <c r="F182" s="3">
        <f>_xlfn.XLOOKUP(Table6[[#This Row],[NIS]],Table2[NIS],Table2[Tahun Masuk],"Not Found",0)</f>
        <v>2022</v>
      </c>
      <c r="G182" s="3">
        <f>_xlfn.XLOOKUP(Table6[[#This Row],[NIS]],Table2[NIS],Table2[Tahun Keluar],"Not Found",0)</f>
        <v>0</v>
      </c>
      <c r="H182" s="3">
        <f>_xlfn.XLOOKUP(Table6[[#This Row],[NIS]],Table2[NIS],Table2[Kelas],"Not Found",0)</f>
        <v>3</v>
      </c>
      <c r="I182" s="3" t="str">
        <f>_xlfn.XLOOKUP(Table6[[#This Row],[NIS]],Table2[NIS],Table2[Kelas Detail],"Not Found",0)</f>
        <v>3-B</v>
      </c>
    </row>
    <row r="183" spans="1:9">
      <c r="A183" s="3">
        <f>SUBTOTAL(3,B$3:B183)</f>
        <v>181</v>
      </c>
      <c r="B183" s="3">
        <v>23240151</v>
      </c>
      <c r="C183" s="18" t="str">
        <f>_xlfn.XLOOKUP(Table6[[#This Row],[NIS]],Table2[NIS],Table2[Nama lengkap],"Not Found",0)</f>
        <v>Kartika Rahma Nuur Hamidah</v>
      </c>
      <c r="D183" s="18" t="str">
        <f>_xlfn.XLOOKUP(Table6[[#This Row],[NIS]],Table2[NIS],Table2[Nomer Induk Siswa Nasional],"Not Found",0)</f>
        <v>0082218036</v>
      </c>
      <c r="E183" s="3" t="str">
        <f>_xlfn.XLOOKUP(Table6[[#This Row],[NIS]],Table2[NIS],Table2[Status],"Not Found",0)</f>
        <v>Aktif</v>
      </c>
      <c r="F183" s="3">
        <f>_xlfn.XLOOKUP(Table6[[#This Row],[NIS]],Table2[NIS],Table2[Tahun Masuk],"Not Found",0)</f>
        <v>2023</v>
      </c>
      <c r="G183" s="3">
        <f>_xlfn.XLOOKUP(Table6[[#This Row],[NIS]],Table2[NIS],Table2[Tahun Keluar],"Not Found",0)</f>
        <v>0</v>
      </c>
      <c r="H183" s="3">
        <f>_xlfn.XLOOKUP(Table6[[#This Row],[NIS]],Table2[NIS],Table2[Kelas],"Not Found",0)</f>
        <v>3</v>
      </c>
      <c r="I183" s="3" t="str">
        <f>_xlfn.XLOOKUP(Table6[[#This Row],[NIS]],Table2[NIS],Table2[Kelas Detail],"Not Found",0)</f>
        <v>3-B</v>
      </c>
    </row>
    <row r="184" spans="1:9">
      <c r="A184" s="3">
        <f>SUBTOTAL(3,B$3:B184)</f>
        <v>182</v>
      </c>
      <c r="B184" s="3">
        <v>22230006</v>
      </c>
      <c r="C184" s="18" t="str">
        <f>_xlfn.XLOOKUP(Table6[[#This Row],[NIS]],Table2[NIS],Table2[Nama lengkap],"Not Found",0)</f>
        <v xml:space="preserve">Keyla Nur  Rohmah </v>
      </c>
      <c r="D184" s="18" t="str">
        <f>_xlfn.XLOOKUP(Table6[[#This Row],[NIS]],Table2[NIS],Table2[Nomer Induk Siswa Nasional],"Not Found",0)</f>
        <v>0101659103</v>
      </c>
      <c r="E184" s="3" t="str">
        <f>_xlfn.XLOOKUP(Table6[[#This Row],[NIS]],Table2[NIS],Table2[Status],"Not Found",0)</f>
        <v>Aktif</v>
      </c>
      <c r="F184" s="3">
        <f>_xlfn.XLOOKUP(Table6[[#This Row],[NIS]],Table2[NIS],Table2[Tahun Masuk],"Not Found",0)</f>
        <v>2022</v>
      </c>
      <c r="G184" s="3">
        <f>_xlfn.XLOOKUP(Table6[[#This Row],[NIS]],Table2[NIS],Table2[Tahun Keluar],"Not Found",0)</f>
        <v>0</v>
      </c>
      <c r="H184" s="3">
        <f>_xlfn.XLOOKUP(Table6[[#This Row],[NIS]],Table2[NIS],Table2[Kelas],"Not Found",0)</f>
        <v>3</v>
      </c>
      <c r="I184" s="3" t="str">
        <f>_xlfn.XLOOKUP(Table6[[#This Row],[NIS]],Table2[NIS],Table2[Kelas Detail],"Not Found",0)</f>
        <v>3-B</v>
      </c>
    </row>
    <row r="185" spans="1:9">
      <c r="A185" s="3">
        <f>SUBTOTAL(3,B$3:B185)</f>
        <v>183</v>
      </c>
      <c r="B185" s="3">
        <v>22230005</v>
      </c>
      <c r="C185" s="18" t="str">
        <f>_xlfn.XLOOKUP(Table6[[#This Row],[NIS]],Table2[NIS],Table2[Nama lengkap],"Not Found",0)</f>
        <v xml:space="preserve">Khairunnisa </v>
      </c>
      <c r="D185" s="18" t="str">
        <f>_xlfn.XLOOKUP(Table6[[#This Row],[NIS]],Table2[NIS],Table2[Nomer Induk Siswa Nasional],"Not Found",0)</f>
        <v>0094965019</v>
      </c>
      <c r="E185" s="3" t="str">
        <f>_xlfn.XLOOKUP(Table6[[#This Row],[NIS]],Table2[NIS],Table2[Status],"Not Found",0)</f>
        <v>Aktif</v>
      </c>
      <c r="F185" s="3">
        <f>_xlfn.XLOOKUP(Table6[[#This Row],[NIS]],Table2[NIS],Table2[Tahun Masuk],"Not Found",0)</f>
        <v>2022</v>
      </c>
      <c r="G185" s="3">
        <f>_xlfn.XLOOKUP(Table6[[#This Row],[NIS]],Table2[NIS],Table2[Tahun Keluar],"Not Found",0)</f>
        <v>0</v>
      </c>
      <c r="H185" s="3">
        <f>_xlfn.XLOOKUP(Table6[[#This Row],[NIS]],Table2[NIS],Table2[Kelas],"Not Found",0)</f>
        <v>3</v>
      </c>
      <c r="I185" s="3" t="str">
        <f>_xlfn.XLOOKUP(Table6[[#This Row],[NIS]],Table2[NIS],Table2[Kelas Detail],"Not Found",0)</f>
        <v>3-B</v>
      </c>
    </row>
    <row r="186" spans="1:9">
      <c r="A186" s="3">
        <f>SUBTOTAL(3,B$3:B186)</f>
        <v>184</v>
      </c>
      <c r="B186" s="3">
        <v>22230135</v>
      </c>
      <c r="C186" s="18" t="str">
        <f>_xlfn.XLOOKUP(Table6[[#This Row],[NIS]],Table2[NIS],Table2[Nama lengkap],"Not Found",0)</f>
        <v xml:space="preserve">Latisya Ghaida Najwa </v>
      </c>
      <c r="D186" s="18" t="str">
        <f>_xlfn.XLOOKUP(Table6[[#This Row],[NIS]],Table2[NIS],Table2[Nomer Induk Siswa Nasional],"Not Found",0)</f>
        <v>0106043588</v>
      </c>
      <c r="E186" s="3" t="str">
        <f>_xlfn.XLOOKUP(Table6[[#This Row],[NIS]],Table2[NIS],Table2[Status],"Not Found",0)</f>
        <v>Aktif</v>
      </c>
      <c r="F186" s="3">
        <f>_xlfn.XLOOKUP(Table6[[#This Row],[NIS]],Table2[NIS],Table2[Tahun Masuk],"Not Found",0)</f>
        <v>2022</v>
      </c>
      <c r="G186" s="3">
        <f>_xlfn.XLOOKUP(Table6[[#This Row],[NIS]],Table2[NIS],Table2[Tahun Keluar],"Not Found",0)</f>
        <v>0</v>
      </c>
      <c r="H186" s="3">
        <f>_xlfn.XLOOKUP(Table6[[#This Row],[NIS]],Table2[NIS],Table2[Kelas],"Not Found",0)</f>
        <v>3</v>
      </c>
      <c r="I186" s="3" t="str">
        <f>_xlfn.XLOOKUP(Table6[[#This Row],[NIS]],Table2[NIS],Table2[Kelas Detail],"Not Found",0)</f>
        <v>3-B</v>
      </c>
    </row>
    <row r="187" spans="1:9">
      <c r="A187" s="3">
        <f>SUBTOTAL(3,B$3:B187)</f>
        <v>185</v>
      </c>
      <c r="B187" s="3">
        <v>22230147</v>
      </c>
      <c r="C187" s="18" t="str">
        <f>_xlfn.XLOOKUP(Table6[[#This Row],[NIS]],Table2[NIS],Table2[Nama lengkap],"Not Found",0)</f>
        <v>Maitsa Thurfah Allamah</v>
      </c>
      <c r="D187" s="18" t="str">
        <f>_xlfn.XLOOKUP(Table6[[#This Row],[NIS]],Table2[NIS],Table2[Nomer Induk Siswa Nasional],"Not Found",0)</f>
        <v>0108391461</v>
      </c>
      <c r="E187" s="3" t="str">
        <f>_xlfn.XLOOKUP(Table6[[#This Row],[NIS]],Table2[NIS],Table2[Status],"Not Found",0)</f>
        <v>Aktif</v>
      </c>
      <c r="F187" s="3">
        <f>_xlfn.XLOOKUP(Table6[[#This Row],[NIS]],Table2[NIS],Table2[Tahun Masuk],"Not Found",0)</f>
        <v>2022</v>
      </c>
      <c r="G187" s="3">
        <f>_xlfn.XLOOKUP(Table6[[#This Row],[NIS]],Table2[NIS],Table2[Tahun Keluar],"Not Found",0)</f>
        <v>0</v>
      </c>
      <c r="H187" s="3">
        <f>_xlfn.XLOOKUP(Table6[[#This Row],[NIS]],Table2[NIS],Table2[Kelas],"Not Found",0)</f>
        <v>3</v>
      </c>
      <c r="I187" s="3" t="str">
        <f>_xlfn.XLOOKUP(Table6[[#This Row],[NIS]],Table2[NIS],Table2[Kelas Detail],"Not Found",0)</f>
        <v>3-B</v>
      </c>
    </row>
    <row r="188" spans="1:9">
      <c r="A188" s="3">
        <f>SUBTOTAL(3,B$3:B188)</f>
        <v>186</v>
      </c>
      <c r="B188" s="3">
        <v>23240178</v>
      </c>
      <c r="C188" s="18" t="str">
        <f>_xlfn.XLOOKUP(Table6[[#This Row],[NIS]],Table2[NIS],Table2[Nama lengkap],"Not Found",0)</f>
        <v>Marsya Anjulia Eka Putri</v>
      </c>
      <c r="D188" s="18" t="str">
        <f>_xlfn.XLOOKUP(Table6[[#This Row],[NIS]],Table2[NIS],Table2[Nomer Induk Siswa Nasional],"Not Found",0)</f>
        <v>0073428215</v>
      </c>
      <c r="E188" s="3" t="str">
        <f>_xlfn.XLOOKUP(Table6[[#This Row],[NIS]],Table2[NIS],Table2[Status],"Not Found",0)</f>
        <v>Aktif</v>
      </c>
      <c r="F188" s="3">
        <f>_xlfn.XLOOKUP(Table6[[#This Row],[NIS]],Table2[NIS],Table2[Tahun Masuk],"Not Found",0)</f>
        <v>2023</v>
      </c>
      <c r="G188" s="3">
        <f>_xlfn.XLOOKUP(Table6[[#This Row],[NIS]],Table2[NIS],Table2[Tahun Keluar],"Not Found",0)</f>
        <v>0</v>
      </c>
      <c r="H188" s="3">
        <f>_xlfn.XLOOKUP(Table6[[#This Row],[NIS]],Table2[NIS],Table2[Kelas],"Not Found",0)</f>
        <v>3</v>
      </c>
      <c r="I188" s="3" t="str">
        <f>_xlfn.XLOOKUP(Table6[[#This Row],[NIS]],Table2[NIS],Table2[Kelas Detail],"Not Found",0)</f>
        <v>3-B</v>
      </c>
    </row>
    <row r="189" spans="1:9">
      <c r="A189" s="3">
        <f>SUBTOTAL(3,B$3:B189)</f>
        <v>187</v>
      </c>
      <c r="B189" s="3">
        <v>22230025</v>
      </c>
      <c r="C189" s="18" t="str">
        <f>_xlfn.XLOOKUP(Table6[[#This Row],[NIS]],Table2[NIS],Table2[Nama lengkap],"Not Found",0)</f>
        <v>Najla Qotrunnada Kartawinata</v>
      </c>
      <c r="D189" s="18" t="str">
        <f>_xlfn.XLOOKUP(Table6[[#This Row],[NIS]],Table2[NIS],Table2[Nomer Induk Siswa Nasional],"Not Found",0)</f>
        <v>0108405776</v>
      </c>
      <c r="E189" s="3" t="str">
        <f>_xlfn.XLOOKUP(Table6[[#This Row],[NIS]],Table2[NIS],Table2[Status],"Not Found",0)</f>
        <v>Aktif</v>
      </c>
      <c r="F189" s="3">
        <f>_xlfn.XLOOKUP(Table6[[#This Row],[NIS]],Table2[NIS],Table2[Tahun Masuk],"Not Found",0)</f>
        <v>2022</v>
      </c>
      <c r="G189" s="3">
        <f>_xlfn.XLOOKUP(Table6[[#This Row],[NIS]],Table2[NIS],Table2[Tahun Keluar],"Not Found",0)</f>
        <v>0</v>
      </c>
      <c r="H189" s="3">
        <f>_xlfn.XLOOKUP(Table6[[#This Row],[NIS]],Table2[NIS],Table2[Kelas],"Not Found",0)</f>
        <v>3</v>
      </c>
      <c r="I189" s="3" t="str">
        <f>_xlfn.XLOOKUP(Table6[[#This Row],[NIS]],Table2[NIS],Table2[Kelas Detail],"Not Found",0)</f>
        <v>3-B</v>
      </c>
    </row>
    <row r="190" spans="1:9">
      <c r="A190" s="3">
        <f>SUBTOTAL(3,B$3:B190)</f>
        <v>188</v>
      </c>
      <c r="B190" s="3">
        <v>22230010</v>
      </c>
      <c r="C190" s="18" t="str">
        <f>_xlfn.XLOOKUP(Table6[[#This Row],[NIS]],Table2[NIS],Table2[Nama lengkap],"Not Found",0)</f>
        <v>Naylatul Syawalia Nurul Izza</v>
      </c>
      <c r="D190" s="18" t="str">
        <f>_xlfn.XLOOKUP(Table6[[#This Row],[NIS]],Table2[NIS],Table2[Nomer Induk Siswa Nasional],"Not Found",0)</f>
        <v>0097538957</v>
      </c>
      <c r="E190" s="3" t="str">
        <f>_xlfn.XLOOKUP(Table6[[#This Row],[NIS]],Table2[NIS],Table2[Status],"Not Found",0)</f>
        <v>Aktif</v>
      </c>
      <c r="F190" s="3">
        <f>_xlfn.XLOOKUP(Table6[[#This Row],[NIS]],Table2[NIS],Table2[Tahun Masuk],"Not Found",0)</f>
        <v>2022</v>
      </c>
      <c r="G190" s="3" t="str">
        <f>_xlfn.XLOOKUP(Table6[[#This Row],[NIS]],Table2[NIS],Table2[Tahun Keluar],"Not Found",0)</f>
        <v>TB</v>
      </c>
      <c r="H190" s="3">
        <f>_xlfn.XLOOKUP(Table6[[#This Row],[NIS]],Table2[NIS],Table2[Kelas],"Not Found",0)</f>
        <v>3</v>
      </c>
      <c r="I190" s="3" t="str">
        <f>_xlfn.XLOOKUP(Table6[[#This Row],[NIS]],Table2[NIS],Table2[Kelas Detail],"Not Found",0)</f>
        <v>3-B</v>
      </c>
    </row>
    <row r="191" spans="1:9">
      <c r="A191" s="3">
        <f>SUBTOTAL(3,B$3:B191)</f>
        <v>189</v>
      </c>
      <c r="B191" s="3">
        <v>22230017</v>
      </c>
      <c r="C191" s="18" t="str">
        <f>_xlfn.XLOOKUP(Table6[[#This Row],[NIS]],Table2[NIS],Table2[Nama lengkap],"Not Found",0)</f>
        <v xml:space="preserve">Nida Shohwatulislam </v>
      </c>
      <c r="D191" s="18" t="str">
        <f>_xlfn.XLOOKUP(Table6[[#This Row],[NIS]],Table2[NIS],Table2[Nomer Induk Siswa Nasional],"Not Found",0)</f>
        <v>0106509275</v>
      </c>
      <c r="E191" s="3" t="str">
        <f>_xlfn.XLOOKUP(Table6[[#This Row],[NIS]],Table2[NIS],Table2[Status],"Not Found",0)</f>
        <v>Aktif</v>
      </c>
      <c r="F191" s="3">
        <f>_xlfn.XLOOKUP(Table6[[#This Row],[NIS]],Table2[NIS],Table2[Tahun Masuk],"Not Found",0)</f>
        <v>2022</v>
      </c>
      <c r="G191" s="3">
        <f>_xlfn.XLOOKUP(Table6[[#This Row],[NIS]],Table2[NIS],Table2[Tahun Keluar],"Not Found",0)</f>
        <v>0</v>
      </c>
      <c r="H191" s="3">
        <f>_xlfn.XLOOKUP(Table6[[#This Row],[NIS]],Table2[NIS],Table2[Kelas],"Not Found",0)</f>
        <v>3</v>
      </c>
      <c r="I191" s="3" t="str">
        <f>_xlfn.XLOOKUP(Table6[[#This Row],[NIS]],Table2[NIS],Table2[Kelas Detail],"Not Found",0)</f>
        <v>3-B</v>
      </c>
    </row>
    <row r="192" spans="1:9">
      <c r="A192" s="3">
        <f>SUBTOTAL(3,B$3:B192)</f>
        <v>190</v>
      </c>
      <c r="B192" s="3">
        <v>22230004</v>
      </c>
      <c r="C192" s="18" t="str">
        <f>_xlfn.XLOOKUP(Table6[[#This Row],[NIS]],Table2[NIS],Table2[Nama lengkap],"Not Found",0)</f>
        <v>Nindia Aira Nurhasani</v>
      </c>
      <c r="D192" s="18" t="str">
        <f>_xlfn.XLOOKUP(Table6[[#This Row],[NIS]],Table2[NIS],Table2[Nomer Induk Siswa Nasional],"Not Found",0)</f>
        <v>0091227910</v>
      </c>
      <c r="E192" s="3" t="str">
        <f>_xlfn.XLOOKUP(Table6[[#This Row],[NIS]],Table2[NIS],Table2[Status],"Not Found",0)</f>
        <v>Aktif</v>
      </c>
      <c r="F192" s="3">
        <f>_xlfn.XLOOKUP(Table6[[#This Row],[NIS]],Table2[NIS],Table2[Tahun Masuk],"Not Found",0)</f>
        <v>2022</v>
      </c>
      <c r="G192" s="3">
        <f>_xlfn.XLOOKUP(Table6[[#This Row],[NIS]],Table2[NIS],Table2[Tahun Keluar],"Not Found",0)</f>
        <v>0</v>
      </c>
      <c r="H192" s="3">
        <f>_xlfn.XLOOKUP(Table6[[#This Row],[NIS]],Table2[NIS],Table2[Kelas],"Not Found",0)</f>
        <v>3</v>
      </c>
      <c r="I192" s="3" t="str">
        <f>_xlfn.XLOOKUP(Table6[[#This Row],[NIS]],Table2[NIS],Table2[Kelas Detail],"Not Found",0)</f>
        <v>3-B</v>
      </c>
    </row>
    <row r="193" spans="1:9">
      <c r="A193" s="3">
        <f>SUBTOTAL(3,B$3:B193)</f>
        <v>191</v>
      </c>
      <c r="B193" s="3">
        <v>22230159</v>
      </c>
      <c r="C193" s="18" t="str">
        <f>_xlfn.XLOOKUP(Table6[[#This Row],[NIS]],Table2[NIS],Table2[Nama lengkap],"Not Found",0)</f>
        <v>Putriana Rahma Syifa Agustina</v>
      </c>
      <c r="D193" s="18" t="str">
        <f>_xlfn.XLOOKUP(Table6[[#This Row],[NIS]],Table2[NIS],Table2[Nomer Induk Siswa Nasional],"Not Found",0)</f>
        <v>0104842377</v>
      </c>
      <c r="E193" s="3" t="str">
        <f>_xlfn.XLOOKUP(Table6[[#This Row],[NIS]],Table2[NIS],Table2[Status],"Not Found",0)</f>
        <v>Aktif</v>
      </c>
      <c r="F193" s="3">
        <f>_xlfn.XLOOKUP(Table6[[#This Row],[NIS]],Table2[NIS],Table2[Tahun Masuk],"Not Found",0)</f>
        <v>2022</v>
      </c>
      <c r="G193" s="3">
        <f>_xlfn.XLOOKUP(Table6[[#This Row],[NIS]],Table2[NIS],Table2[Tahun Keluar],"Not Found",0)</f>
        <v>0</v>
      </c>
      <c r="H193" s="3">
        <f>_xlfn.XLOOKUP(Table6[[#This Row],[NIS]],Table2[NIS],Table2[Kelas],"Not Found",0)</f>
        <v>3</v>
      </c>
      <c r="I193" s="3" t="str">
        <f>_xlfn.XLOOKUP(Table6[[#This Row],[NIS]],Table2[NIS],Table2[Kelas Detail],"Not Found",0)</f>
        <v>3-B</v>
      </c>
    </row>
    <row r="194" spans="1:9">
      <c r="A194" s="3">
        <f>SUBTOTAL(3,B$3:B194)</f>
        <v>192</v>
      </c>
      <c r="B194" s="3">
        <v>22230121</v>
      </c>
      <c r="C194" s="18" t="str">
        <f>_xlfn.XLOOKUP(Table6[[#This Row],[NIS]],Table2[NIS],Table2[Nama lengkap],"Not Found",0)</f>
        <v>Raihana Nurul Syafiyah</v>
      </c>
      <c r="D194" s="18" t="str">
        <f>_xlfn.XLOOKUP(Table6[[#This Row],[NIS]],Table2[NIS],Table2[Nomer Induk Siswa Nasional],"Not Found",0)</f>
        <v>3108710587</v>
      </c>
      <c r="E194" s="3" t="str">
        <f>_xlfn.XLOOKUP(Table6[[#This Row],[NIS]],Table2[NIS],Table2[Status],"Not Found",0)</f>
        <v>Aktif</v>
      </c>
      <c r="F194" s="3">
        <f>_xlfn.XLOOKUP(Table6[[#This Row],[NIS]],Table2[NIS],Table2[Tahun Masuk],"Not Found",0)</f>
        <v>2022</v>
      </c>
      <c r="G194" s="3">
        <f>_xlfn.XLOOKUP(Table6[[#This Row],[NIS]],Table2[NIS],Table2[Tahun Keluar],"Not Found",0)</f>
        <v>0</v>
      </c>
      <c r="H194" s="3">
        <f>_xlfn.XLOOKUP(Table6[[#This Row],[NIS]],Table2[NIS],Table2[Kelas],"Not Found",0)</f>
        <v>3</v>
      </c>
      <c r="I194" s="3" t="str">
        <f>_xlfn.XLOOKUP(Table6[[#This Row],[NIS]],Table2[NIS],Table2[Kelas Detail],"Not Found",0)</f>
        <v>3-B</v>
      </c>
    </row>
    <row r="195" spans="1:9">
      <c r="A195" s="3">
        <f>SUBTOTAL(3,B$3:B195)</f>
        <v>193</v>
      </c>
      <c r="B195" s="3">
        <v>22230108</v>
      </c>
      <c r="C195" s="18" t="str">
        <f>_xlfn.XLOOKUP(Table6[[#This Row],[NIS]],Table2[NIS],Table2[Nama lengkap],"Not Found",0)</f>
        <v xml:space="preserve">Risa Maulida </v>
      </c>
      <c r="D195" s="18" t="str">
        <f>_xlfn.XLOOKUP(Table6[[#This Row],[NIS]],Table2[NIS],Table2[Nomer Induk Siswa Nasional],"Not Found",0)</f>
        <v>0108246704</v>
      </c>
      <c r="E195" s="3" t="str">
        <f>_xlfn.XLOOKUP(Table6[[#This Row],[NIS]],Table2[NIS],Table2[Status],"Not Found",0)</f>
        <v>Aktif</v>
      </c>
      <c r="F195" s="3">
        <f>_xlfn.XLOOKUP(Table6[[#This Row],[NIS]],Table2[NIS],Table2[Tahun Masuk],"Not Found",0)</f>
        <v>2022</v>
      </c>
      <c r="G195" s="3">
        <f>_xlfn.XLOOKUP(Table6[[#This Row],[NIS]],Table2[NIS],Table2[Tahun Keluar],"Not Found",0)</f>
        <v>0</v>
      </c>
      <c r="H195" s="3">
        <f>_xlfn.XLOOKUP(Table6[[#This Row],[NIS]],Table2[NIS],Table2[Kelas],"Not Found",0)</f>
        <v>3</v>
      </c>
      <c r="I195" s="3" t="str">
        <f>_xlfn.XLOOKUP(Table6[[#This Row],[NIS]],Table2[NIS],Table2[Kelas Detail],"Not Found",0)</f>
        <v>3-B</v>
      </c>
    </row>
    <row r="196" spans="1:9">
      <c r="A196" s="3">
        <f>SUBTOTAL(3,B$3:B196)</f>
        <v>194</v>
      </c>
      <c r="B196" s="3">
        <v>22230137</v>
      </c>
      <c r="C196" s="18" t="str">
        <f>_xlfn.XLOOKUP(Table6[[#This Row],[NIS]],Table2[NIS],Table2[Nama lengkap],"Not Found",0)</f>
        <v>Salsabila Syifa Mutmainah Aladawiyah</v>
      </c>
      <c r="D196" s="18" t="str">
        <f>_xlfn.XLOOKUP(Table6[[#This Row],[NIS]],Table2[NIS],Table2[Nomer Induk Siswa Nasional],"Not Found",0)</f>
        <v>3105119028</v>
      </c>
      <c r="E196" s="3" t="str">
        <f>_xlfn.XLOOKUP(Table6[[#This Row],[NIS]],Table2[NIS],Table2[Status],"Not Found",0)</f>
        <v>Aktif</v>
      </c>
      <c r="F196" s="3">
        <f>_xlfn.XLOOKUP(Table6[[#This Row],[NIS]],Table2[NIS],Table2[Tahun Masuk],"Not Found",0)</f>
        <v>2022</v>
      </c>
      <c r="G196" s="3">
        <f>_xlfn.XLOOKUP(Table6[[#This Row],[NIS]],Table2[NIS],Table2[Tahun Keluar],"Not Found",0)</f>
        <v>0</v>
      </c>
      <c r="H196" s="3">
        <f>_xlfn.XLOOKUP(Table6[[#This Row],[NIS]],Table2[NIS],Table2[Kelas],"Not Found",0)</f>
        <v>3</v>
      </c>
      <c r="I196" s="3" t="str">
        <f>_xlfn.XLOOKUP(Table6[[#This Row],[NIS]],Table2[NIS],Table2[Kelas Detail],"Not Found",0)</f>
        <v>3-B</v>
      </c>
    </row>
    <row r="197" spans="1:9">
      <c r="A197" s="3">
        <f>SUBTOTAL(3,B$3:B197)</f>
        <v>195</v>
      </c>
      <c r="B197" s="3">
        <v>22230153</v>
      </c>
      <c r="C197" s="18" t="str">
        <f>_xlfn.XLOOKUP(Table6[[#This Row],[NIS]],Table2[NIS],Table2[Nama lengkap],"Not Found",0)</f>
        <v>Siti Ainunnida Nurhalimah</v>
      </c>
      <c r="D197" s="18" t="str">
        <f>_xlfn.XLOOKUP(Table6[[#This Row],[NIS]],Table2[NIS],Table2[Nomer Induk Siswa Nasional],"Not Found",0)</f>
        <v>0106601706</v>
      </c>
      <c r="E197" s="3" t="str">
        <f>_xlfn.XLOOKUP(Table6[[#This Row],[NIS]],Table2[NIS],Table2[Status],"Not Found",0)</f>
        <v>Aktif</v>
      </c>
      <c r="F197" s="3">
        <f>_xlfn.XLOOKUP(Table6[[#This Row],[NIS]],Table2[NIS],Table2[Tahun Masuk],"Not Found",0)</f>
        <v>2022</v>
      </c>
      <c r="G197" s="3">
        <f>_xlfn.XLOOKUP(Table6[[#This Row],[NIS]],Table2[NIS],Table2[Tahun Keluar],"Not Found",0)</f>
        <v>0</v>
      </c>
      <c r="H197" s="3">
        <f>_xlfn.XLOOKUP(Table6[[#This Row],[NIS]],Table2[NIS],Table2[Kelas],"Not Found",0)</f>
        <v>3</v>
      </c>
      <c r="I197" s="3" t="str">
        <f>_xlfn.XLOOKUP(Table6[[#This Row],[NIS]],Table2[NIS],Table2[Kelas Detail],"Not Found",0)</f>
        <v>3-B</v>
      </c>
    </row>
    <row r="198" spans="1:9">
      <c r="A198" s="3">
        <f>SUBTOTAL(3,B$3:B198)</f>
        <v>196</v>
      </c>
      <c r="B198" s="3">
        <v>22230016</v>
      </c>
      <c r="C198" s="18" t="str">
        <f>_xlfn.XLOOKUP(Table6[[#This Row],[NIS]],Table2[NIS],Table2[Nama lengkap],"Not Found",0)</f>
        <v>Siti Aisyah Nurfadila Aulia</v>
      </c>
      <c r="D198" s="18" t="str">
        <f>_xlfn.XLOOKUP(Table6[[#This Row],[NIS]],Table2[NIS],Table2[Nomer Induk Siswa Nasional],"Not Found",0)</f>
        <v>0108848932</v>
      </c>
      <c r="E198" s="3" t="str">
        <f>_xlfn.XLOOKUP(Table6[[#This Row],[NIS]],Table2[NIS],Table2[Status],"Not Found",0)</f>
        <v>Aktif</v>
      </c>
      <c r="F198" s="3">
        <f>_xlfn.XLOOKUP(Table6[[#This Row],[NIS]],Table2[NIS],Table2[Tahun Masuk],"Not Found",0)</f>
        <v>2022</v>
      </c>
      <c r="G198" s="3">
        <f>_xlfn.XLOOKUP(Table6[[#This Row],[NIS]],Table2[NIS],Table2[Tahun Keluar],"Not Found",0)</f>
        <v>0</v>
      </c>
      <c r="H198" s="3">
        <f>_xlfn.XLOOKUP(Table6[[#This Row],[NIS]],Table2[NIS],Table2[Kelas],"Not Found",0)</f>
        <v>3</v>
      </c>
      <c r="I198" s="3" t="str">
        <f>_xlfn.XLOOKUP(Table6[[#This Row],[NIS]],Table2[NIS],Table2[Kelas Detail],"Not Found",0)</f>
        <v>3-B</v>
      </c>
    </row>
    <row r="199" spans="1:9">
      <c r="A199" s="3">
        <f>SUBTOTAL(3,B$3:B199)</f>
        <v>197</v>
      </c>
      <c r="B199" s="3">
        <v>22230089</v>
      </c>
      <c r="C199" s="18" t="str">
        <f>_xlfn.XLOOKUP(Table6[[#This Row],[NIS]],Table2[NIS],Table2[Nama lengkap],"Not Found",0)</f>
        <v>Siti Romlah</v>
      </c>
      <c r="D199" s="18" t="str">
        <f>_xlfn.XLOOKUP(Table6[[#This Row],[NIS]],Table2[NIS],Table2[Nomer Induk Siswa Nasional],"Not Found",0)</f>
        <v>3102991103</v>
      </c>
      <c r="E199" s="3" t="str">
        <f>_xlfn.XLOOKUP(Table6[[#This Row],[NIS]],Table2[NIS],Table2[Status],"Not Found",0)</f>
        <v>Aktif</v>
      </c>
      <c r="F199" s="3">
        <f>_xlfn.XLOOKUP(Table6[[#This Row],[NIS]],Table2[NIS],Table2[Tahun Masuk],"Not Found",0)</f>
        <v>2022</v>
      </c>
      <c r="G199" s="3">
        <f>_xlfn.XLOOKUP(Table6[[#This Row],[NIS]],Table2[NIS],Table2[Tahun Keluar],"Not Found",0)</f>
        <v>0</v>
      </c>
      <c r="H199" s="3">
        <f>_xlfn.XLOOKUP(Table6[[#This Row],[NIS]],Table2[NIS],Table2[Kelas],"Not Found",0)</f>
        <v>3</v>
      </c>
      <c r="I199" s="3" t="str">
        <f>_xlfn.XLOOKUP(Table6[[#This Row],[NIS]],Table2[NIS],Table2[Kelas Detail],"Not Found",0)</f>
        <v>3-B</v>
      </c>
    </row>
    <row r="200" spans="1:9">
      <c r="A200" s="3">
        <f>SUBTOTAL(3,B$3:B200)</f>
        <v>198</v>
      </c>
      <c r="B200" s="3">
        <v>22230069</v>
      </c>
      <c r="C200" s="18" t="str">
        <f>_xlfn.XLOOKUP(Table6[[#This Row],[NIS]],Table2[NIS],Table2[Nama lengkap],"Not Found",0)</f>
        <v xml:space="preserve">Syifaa Siti Khadijah </v>
      </c>
      <c r="D200" s="18" t="str">
        <f>_xlfn.XLOOKUP(Table6[[#This Row],[NIS]],Table2[NIS],Table2[Nomer Induk Siswa Nasional],"Not Found",0)</f>
        <v>0095832955</v>
      </c>
      <c r="E200" s="3" t="str">
        <f>_xlfn.XLOOKUP(Table6[[#This Row],[NIS]],Table2[NIS],Table2[Status],"Not Found",0)</f>
        <v>Aktif</v>
      </c>
      <c r="F200" s="3">
        <f>_xlfn.XLOOKUP(Table6[[#This Row],[NIS]],Table2[NIS],Table2[Tahun Masuk],"Not Found",0)</f>
        <v>2022</v>
      </c>
      <c r="G200" s="3">
        <f>_xlfn.XLOOKUP(Table6[[#This Row],[NIS]],Table2[NIS],Table2[Tahun Keluar],"Not Found",0)</f>
        <v>0</v>
      </c>
      <c r="H200" s="3">
        <f>_xlfn.XLOOKUP(Table6[[#This Row],[NIS]],Table2[NIS],Table2[Kelas],"Not Found",0)</f>
        <v>3</v>
      </c>
      <c r="I200" s="3" t="str">
        <f>_xlfn.XLOOKUP(Table6[[#This Row],[NIS]],Table2[NIS],Table2[Kelas Detail],"Not Found",0)</f>
        <v>3-B</v>
      </c>
    </row>
    <row r="201" spans="1:9">
      <c r="A201" s="3">
        <f>SUBTOTAL(3,B$3:B201)</f>
        <v>199</v>
      </c>
      <c r="B201" s="3">
        <v>22230102</v>
      </c>
      <c r="C201" s="18" t="str">
        <f>_xlfn.XLOOKUP(Table6[[#This Row],[NIS]],Table2[NIS],Table2[Nama lengkap],"Not Found",0)</f>
        <v xml:space="preserve">Tiana Putri </v>
      </c>
      <c r="D201" s="18" t="str">
        <f>_xlfn.XLOOKUP(Table6[[#This Row],[NIS]],Table2[NIS],Table2[Nomer Induk Siswa Nasional],"Not Found",0)</f>
        <v>0105347786</v>
      </c>
      <c r="E201" s="3" t="str">
        <f>_xlfn.XLOOKUP(Table6[[#This Row],[NIS]],Table2[NIS],Table2[Status],"Not Found",0)</f>
        <v>Waqof</v>
      </c>
      <c r="F201" s="3">
        <f>_xlfn.XLOOKUP(Table6[[#This Row],[NIS]],Table2[NIS],Table2[Tahun Masuk],"Not Found",0)</f>
        <v>2022</v>
      </c>
      <c r="G201" s="3">
        <f>_xlfn.XLOOKUP(Table6[[#This Row],[NIS]],Table2[NIS],Table2[Tahun Keluar],"Not Found",0)</f>
        <v>0</v>
      </c>
      <c r="H201" s="3">
        <f>_xlfn.XLOOKUP(Table6[[#This Row],[NIS]],Table2[NIS],Table2[Kelas],"Not Found",0)</f>
        <v>3</v>
      </c>
      <c r="I201" s="3" t="str">
        <f>_xlfn.XLOOKUP(Table6[[#This Row],[NIS]],Table2[NIS],Table2[Kelas Detail],"Not Found",0)</f>
        <v>3-B</v>
      </c>
    </row>
    <row r="202" spans="1:9">
      <c r="A202" s="3">
        <f>SUBTOTAL(3,B$3:B202)</f>
        <v>200</v>
      </c>
      <c r="B202" s="3">
        <v>22230172</v>
      </c>
      <c r="C202" s="18" t="str">
        <f>_xlfn.XLOOKUP(Table6[[#This Row],[NIS]],Table2[NIS],Table2[Nama lengkap],"Not Found",0)</f>
        <v>Widi Rahma Maulida</v>
      </c>
      <c r="D202" s="18" t="str">
        <f>_xlfn.XLOOKUP(Table6[[#This Row],[NIS]],Table2[NIS],Table2[Nomer Induk Siswa Nasional],"Not Found",0)</f>
        <v>0091357049</v>
      </c>
      <c r="E202" s="3" t="str">
        <f>_xlfn.XLOOKUP(Table6[[#This Row],[NIS]],Table2[NIS],Table2[Status],"Not Found",0)</f>
        <v>Aktif</v>
      </c>
      <c r="F202" s="3">
        <f>_xlfn.XLOOKUP(Table6[[#This Row],[NIS]],Table2[NIS],Table2[Tahun Masuk],"Not Found",0)</f>
        <v>2022</v>
      </c>
      <c r="G202" s="3">
        <f>_xlfn.XLOOKUP(Table6[[#This Row],[NIS]],Table2[NIS],Table2[Tahun Keluar],"Not Found",0)</f>
        <v>0</v>
      </c>
      <c r="H202" s="3">
        <f>_xlfn.XLOOKUP(Table6[[#This Row],[NIS]],Table2[NIS],Table2[Kelas],"Not Found",0)</f>
        <v>3</v>
      </c>
      <c r="I202" s="3" t="str">
        <f>_xlfn.XLOOKUP(Table6[[#This Row],[NIS]],Table2[NIS],Table2[Kelas Detail],"Not Found",0)</f>
        <v>3-B</v>
      </c>
    </row>
    <row r="203" spans="1:9">
      <c r="A203" s="3">
        <f>SUBTOTAL(3,B$3:B203)</f>
        <v>201</v>
      </c>
      <c r="B203" s="3">
        <v>22230140</v>
      </c>
      <c r="C203" s="18" t="str">
        <f>_xlfn.XLOOKUP(Table6[[#This Row],[NIS]],Table2[NIS],Table2[Nama lengkap],"Not Found",0)</f>
        <v>Zahrotusita</v>
      </c>
      <c r="D203" s="18" t="str">
        <f>_xlfn.XLOOKUP(Table6[[#This Row],[NIS]],Table2[NIS],Table2[Nomer Induk Siswa Nasional],"Not Found",0)</f>
        <v>0092803688</v>
      </c>
      <c r="E203" s="3" t="str">
        <f>_xlfn.XLOOKUP(Table6[[#This Row],[NIS]],Table2[NIS],Table2[Status],"Not Found",0)</f>
        <v>Aktif</v>
      </c>
      <c r="F203" s="3">
        <f>_xlfn.XLOOKUP(Table6[[#This Row],[NIS]],Table2[NIS],Table2[Tahun Masuk],"Not Found",0)</f>
        <v>2022</v>
      </c>
      <c r="G203" s="3">
        <f>_xlfn.XLOOKUP(Table6[[#This Row],[NIS]],Table2[NIS],Table2[Tahun Keluar],"Not Found",0)</f>
        <v>0</v>
      </c>
      <c r="H203" s="3">
        <f>_xlfn.XLOOKUP(Table6[[#This Row],[NIS]],Table2[NIS],Table2[Kelas],"Not Found",0)</f>
        <v>3</v>
      </c>
      <c r="I203" s="3" t="str">
        <f>_xlfn.XLOOKUP(Table6[[#This Row],[NIS]],Table2[NIS],Table2[Kelas Detail],"Not Found",0)</f>
        <v>3-B</v>
      </c>
    </row>
    <row r="204" spans="1:9">
      <c r="A204" s="3">
        <f>SUBTOTAL(3,B$3:B204)</f>
        <v>202</v>
      </c>
      <c r="B204" s="3">
        <v>21220142</v>
      </c>
      <c r="C204" s="18" t="str">
        <f>_xlfn.XLOOKUP(Table6[[#This Row],[NIS]],Table2[NIS],Table2[Nama lengkap],"Not Found",0)</f>
        <v>Agni Suci Nur Adjkia</v>
      </c>
      <c r="D204" s="18" t="str">
        <f>_xlfn.XLOOKUP(Table6[[#This Row],[NIS]],Table2[NIS],Table2[Nomer Induk Siswa Nasional],"Not Found",0)</f>
        <v>0084243344</v>
      </c>
      <c r="E204" s="3" t="str">
        <f>_xlfn.XLOOKUP(Table6[[#This Row],[NIS]],Table2[NIS],Table2[Status],"Not Found",0)</f>
        <v>Aktif</v>
      </c>
      <c r="F204" s="3">
        <f>_xlfn.XLOOKUP(Table6[[#This Row],[NIS]],Table2[NIS],Table2[Tahun Masuk],"Not Found",0)</f>
        <v>2021</v>
      </c>
      <c r="G204" s="3">
        <f>_xlfn.XLOOKUP(Table6[[#This Row],[NIS]],Table2[NIS],Table2[Tahun Keluar],"Not Found",0)</f>
        <v>0</v>
      </c>
      <c r="H204" s="3">
        <f>_xlfn.XLOOKUP(Table6[[#This Row],[NIS]],Table2[NIS],Table2[Kelas],"Not Found",0)</f>
        <v>4</v>
      </c>
      <c r="I204" s="3" t="str">
        <f>_xlfn.XLOOKUP(Table6[[#This Row],[NIS]],Table2[NIS],Table2[Kelas Detail],"Not Found",0)</f>
        <v>4-A</v>
      </c>
    </row>
    <row r="205" spans="1:9">
      <c r="A205" s="3">
        <f>SUBTOTAL(3,B$3:B205)</f>
        <v>203</v>
      </c>
      <c r="B205" s="3">
        <v>21220083</v>
      </c>
      <c r="C205" s="18" t="str">
        <f>_xlfn.XLOOKUP(Table6[[#This Row],[NIS]],Table2[NIS],Table2[Nama lengkap],"Not Found",0)</f>
        <v xml:space="preserve">Alisha Aghniya Syakir </v>
      </c>
      <c r="D205" s="18" t="str">
        <f>_xlfn.XLOOKUP(Table6[[#This Row],[NIS]],Table2[NIS],Table2[Nomer Induk Siswa Nasional],"Not Found",0)</f>
        <v>0093605989</v>
      </c>
      <c r="E205" s="3" t="str">
        <f>_xlfn.XLOOKUP(Table6[[#This Row],[NIS]],Table2[NIS],Table2[Status],"Not Found",0)</f>
        <v>Aktif</v>
      </c>
      <c r="F205" s="3">
        <f>_xlfn.XLOOKUP(Table6[[#This Row],[NIS]],Table2[NIS],Table2[Tahun Masuk],"Not Found",0)</f>
        <v>2021</v>
      </c>
      <c r="G205" s="3">
        <f>_xlfn.XLOOKUP(Table6[[#This Row],[NIS]],Table2[NIS],Table2[Tahun Keluar],"Not Found",0)</f>
        <v>0</v>
      </c>
      <c r="H205" s="3">
        <f>_xlfn.XLOOKUP(Table6[[#This Row],[NIS]],Table2[NIS],Table2[Kelas],"Not Found",0)</f>
        <v>4</v>
      </c>
      <c r="I205" s="3" t="str">
        <f>_xlfn.XLOOKUP(Table6[[#This Row],[NIS]],Table2[NIS],Table2[Kelas Detail],"Not Found",0)</f>
        <v>4-A</v>
      </c>
    </row>
    <row r="206" spans="1:9">
      <c r="A206" s="3">
        <f>SUBTOTAL(3,B$3:B206)</f>
        <v>204</v>
      </c>
      <c r="B206" s="3">
        <v>21220103</v>
      </c>
      <c r="C206" s="18" t="str">
        <f>_xlfn.XLOOKUP(Table6[[#This Row],[NIS]],Table2[NIS],Table2[Nama lengkap],"Not Found",0)</f>
        <v xml:space="preserve">Alya Ramadhani </v>
      </c>
      <c r="D206" s="18" t="str">
        <f>_xlfn.XLOOKUP(Table6[[#This Row],[NIS]],Table2[NIS],Table2[Nomer Induk Siswa Nasional],"Not Found",0)</f>
        <v>0059846803</v>
      </c>
      <c r="E206" s="3" t="str">
        <f>_xlfn.XLOOKUP(Table6[[#This Row],[NIS]],Table2[NIS],Table2[Status],"Not Found",0)</f>
        <v>Aktif</v>
      </c>
      <c r="F206" s="3">
        <f>_xlfn.XLOOKUP(Table6[[#This Row],[NIS]],Table2[NIS],Table2[Tahun Masuk],"Not Found",0)</f>
        <v>2021</v>
      </c>
      <c r="G206" s="3">
        <f>_xlfn.XLOOKUP(Table6[[#This Row],[NIS]],Table2[NIS],Table2[Tahun Keluar],"Not Found",0)</f>
        <v>0</v>
      </c>
      <c r="H206" s="3">
        <f>_xlfn.XLOOKUP(Table6[[#This Row],[NIS]],Table2[NIS],Table2[Kelas],"Not Found",0)</f>
        <v>4</v>
      </c>
      <c r="I206" s="3" t="str">
        <f>_xlfn.XLOOKUP(Table6[[#This Row],[NIS]],Table2[NIS],Table2[Kelas Detail],"Not Found",0)</f>
        <v>4-A</v>
      </c>
    </row>
    <row r="207" spans="1:9">
      <c r="A207" s="3">
        <f>SUBTOTAL(3,B$3:B207)</f>
        <v>205</v>
      </c>
      <c r="B207" s="3">
        <v>21220135</v>
      </c>
      <c r="C207" s="18" t="str">
        <f>_xlfn.XLOOKUP(Table6[[#This Row],[NIS]],Table2[NIS],Table2[Nama lengkap],"Not Found",0)</f>
        <v xml:space="preserve">Anggia Arisanti Pratiwi </v>
      </c>
      <c r="D207" s="18" t="str">
        <f>_xlfn.XLOOKUP(Table6[[#This Row],[NIS]],Table2[NIS],Table2[Nomer Induk Siswa Nasional],"Not Found",0)</f>
        <v>0058678651</v>
      </c>
      <c r="E207" s="3" t="str">
        <f>_xlfn.XLOOKUP(Table6[[#This Row],[NIS]],Table2[NIS],Table2[Status],"Not Found",0)</f>
        <v>Aktif</v>
      </c>
      <c r="F207" s="3">
        <f>_xlfn.XLOOKUP(Table6[[#This Row],[NIS]],Table2[NIS],Table2[Tahun Masuk],"Not Found",0)</f>
        <v>2021</v>
      </c>
      <c r="G207" s="3">
        <f>_xlfn.XLOOKUP(Table6[[#This Row],[NIS]],Table2[NIS],Table2[Tahun Keluar],"Not Found",0)</f>
        <v>0</v>
      </c>
      <c r="H207" s="3">
        <f>_xlfn.XLOOKUP(Table6[[#This Row],[NIS]],Table2[NIS],Table2[Kelas],"Not Found",0)</f>
        <v>4</v>
      </c>
      <c r="I207" s="3" t="str">
        <f>_xlfn.XLOOKUP(Table6[[#This Row],[NIS]],Table2[NIS],Table2[Kelas Detail],"Not Found",0)</f>
        <v>4-A</v>
      </c>
    </row>
    <row r="208" spans="1:9">
      <c r="A208" s="3">
        <f>SUBTOTAL(3,B$3:B208)</f>
        <v>206</v>
      </c>
      <c r="B208" s="3">
        <v>20210146</v>
      </c>
      <c r="C208" s="18" t="str">
        <f>_xlfn.XLOOKUP(Table6[[#This Row],[NIS]],Table2[NIS],Table2[Nama lengkap],"Not Found",0)</f>
        <v xml:space="preserve">Aulia Nur Hidayah </v>
      </c>
      <c r="D208" s="18" t="str">
        <f>_xlfn.XLOOKUP(Table6[[#This Row],[NIS]],Table2[NIS],Table2[Nomer Induk Siswa Nasional],"Not Found",0)</f>
        <v>0079077941</v>
      </c>
      <c r="E208" s="3" t="str">
        <f>_xlfn.XLOOKUP(Table6[[#This Row],[NIS]],Table2[NIS],Table2[Status],"Not Found",0)</f>
        <v>Aktif</v>
      </c>
      <c r="F208" s="3">
        <f>_xlfn.XLOOKUP(Table6[[#This Row],[NIS]],Table2[NIS],Table2[Tahun Masuk],"Not Found",0)</f>
        <v>2020</v>
      </c>
      <c r="G208" s="3">
        <f>_xlfn.XLOOKUP(Table6[[#This Row],[NIS]],Table2[NIS],Table2[Tahun Keluar],"Not Found",0)</f>
        <v>0</v>
      </c>
      <c r="H208" s="3">
        <f>_xlfn.XLOOKUP(Table6[[#This Row],[NIS]],Table2[NIS],Table2[Kelas],"Not Found",0)</f>
        <v>4</v>
      </c>
      <c r="I208" s="3" t="str">
        <f>_xlfn.XLOOKUP(Table6[[#This Row],[NIS]],Table2[NIS],Table2[Kelas Detail],"Not Found",0)</f>
        <v>4-A</v>
      </c>
    </row>
    <row r="209" spans="1:9">
      <c r="A209" s="3">
        <f>SUBTOTAL(3,B$3:B209)</f>
        <v>207</v>
      </c>
      <c r="B209" s="3">
        <v>20210130</v>
      </c>
      <c r="C209" s="18" t="str">
        <f>_xlfn.XLOOKUP(Table6[[#This Row],[NIS]],Table2[NIS],Table2[Nama lengkap],"Not Found",0)</f>
        <v>Azkhiatul Qolbiah</v>
      </c>
      <c r="D209" s="18" t="str">
        <f>_xlfn.XLOOKUP(Table6[[#This Row],[NIS]],Table2[NIS],Table2[Nomer Induk Siswa Nasional],"Not Found",0)</f>
        <v>0071939934</v>
      </c>
      <c r="E209" s="3" t="str">
        <f>_xlfn.XLOOKUP(Table6[[#This Row],[NIS]],Table2[NIS],Table2[Status],"Not Found",0)</f>
        <v>Aktif</v>
      </c>
      <c r="F209" s="3">
        <f>_xlfn.XLOOKUP(Table6[[#This Row],[NIS]],Table2[NIS],Table2[Tahun Masuk],"Not Found",0)</f>
        <v>2020</v>
      </c>
      <c r="G209" s="3">
        <f>_xlfn.XLOOKUP(Table6[[#This Row],[NIS]],Table2[NIS],Table2[Tahun Keluar],"Not Found",0)</f>
        <v>0</v>
      </c>
      <c r="H209" s="3">
        <f>_xlfn.XLOOKUP(Table6[[#This Row],[NIS]],Table2[NIS],Table2[Kelas],"Not Found",0)</f>
        <v>4</v>
      </c>
      <c r="I209" s="3" t="str">
        <f>_xlfn.XLOOKUP(Table6[[#This Row],[NIS]],Table2[NIS],Table2[Kelas Detail],"Not Found",0)</f>
        <v>4-A</v>
      </c>
    </row>
    <row r="210" spans="1:9">
      <c r="A210" s="3">
        <f>SUBTOTAL(3,B$3:B210)</f>
        <v>208</v>
      </c>
      <c r="B210" s="3">
        <v>20210212</v>
      </c>
      <c r="C210" s="18" t="str">
        <f>_xlfn.XLOOKUP(Table6[[#This Row],[NIS]],Table2[NIS],Table2[Nama lengkap],"Not Found",0)</f>
        <v>Dava Putri Rafael Nur Andika</v>
      </c>
      <c r="D210" s="18" t="str">
        <f>_xlfn.XLOOKUP(Table6[[#This Row],[NIS]],Table2[NIS],Table2[Nomer Induk Siswa Nasional],"Not Found",0)</f>
        <v>0074074725</v>
      </c>
      <c r="E210" s="3" t="str">
        <f>_xlfn.XLOOKUP(Table6[[#This Row],[NIS]],Table2[NIS],Table2[Status],"Not Found",0)</f>
        <v>Aktif</v>
      </c>
      <c r="F210" s="3">
        <f>_xlfn.XLOOKUP(Table6[[#This Row],[NIS]],Table2[NIS],Table2[Tahun Masuk],"Not Found",0)</f>
        <v>2020</v>
      </c>
      <c r="G210" s="3">
        <f>_xlfn.XLOOKUP(Table6[[#This Row],[NIS]],Table2[NIS],Table2[Tahun Keluar],"Not Found",0)</f>
        <v>0</v>
      </c>
      <c r="H210" s="3">
        <f>_xlfn.XLOOKUP(Table6[[#This Row],[NIS]],Table2[NIS],Table2[Kelas],"Not Found",0)</f>
        <v>4</v>
      </c>
      <c r="I210" s="3" t="str">
        <f>_xlfn.XLOOKUP(Table6[[#This Row],[NIS]],Table2[NIS],Table2[Kelas Detail],"Not Found",0)</f>
        <v>4-A</v>
      </c>
    </row>
    <row r="211" spans="1:9">
      <c r="A211" s="3">
        <f>SUBTOTAL(3,B$3:B211)</f>
        <v>209</v>
      </c>
      <c r="B211" s="3">
        <v>20210134</v>
      </c>
      <c r="C211" s="18" t="str">
        <f>_xlfn.XLOOKUP(Table6[[#This Row],[NIS]],Table2[NIS],Table2[Nama lengkap],"Not Found",0)</f>
        <v xml:space="preserve">Dea Nur Sintiani </v>
      </c>
      <c r="D211" s="18" t="str">
        <f>_xlfn.XLOOKUP(Table6[[#This Row],[NIS]],Table2[NIS],Table2[Nomer Induk Siswa Nasional],"Not Found",0)</f>
        <v>0072272278</v>
      </c>
      <c r="E211" s="3" t="str">
        <f>_xlfn.XLOOKUP(Table6[[#This Row],[NIS]],Table2[NIS],Table2[Status],"Not Found",0)</f>
        <v>Aktif</v>
      </c>
      <c r="F211" s="3">
        <f>_xlfn.XLOOKUP(Table6[[#This Row],[NIS]],Table2[NIS],Table2[Tahun Masuk],"Not Found",0)</f>
        <v>2020</v>
      </c>
      <c r="G211" s="3">
        <f>_xlfn.XLOOKUP(Table6[[#This Row],[NIS]],Table2[NIS],Table2[Tahun Keluar],"Not Found",0)</f>
        <v>0</v>
      </c>
      <c r="H211" s="3">
        <f>_xlfn.XLOOKUP(Table6[[#This Row],[NIS]],Table2[NIS],Table2[Kelas],"Not Found",0)</f>
        <v>4</v>
      </c>
      <c r="I211" s="3" t="str">
        <f>_xlfn.XLOOKUP(Table6[[#This Row],[NIS]],Table2[NIS],Table2[Kelas Detail],"Not Found",0)</f>
        <v>4-A</v>
      </c>
    </row>
    <row r="212" spans="1:9">
      <c r="A212" s="3">
        <f>SUBTOTAL(3,B$3:B212)</f>
        <v>210</v>
      </c>
      <c r="B212" s="3">
        <v>20210161</v>
      </c>
      <c r="C212" s="18" t="str">
        <f>_xlfn.XLOOKUP(Table6[[#This Row],[NIS]],Table2[NIS],Table2[Nama lengkap],"Not Found",0)</f>
        <v xml:space="preserve">Dewi Hasna Sofiyah </v>
      </c>
      <c r="D212" s="18" t="str">
        <f>_xlfn.XLOOKUP(Table6[[#This Row],[NIS]],Table2[NIS],Table2[Nomer Induk Siswa Nasional],"Not Found",0)</f>
        <v>belum tamat sd</v>
      </c>
      <c r="E212" s="3" t="str">
        <f>_xlfn.XLOOKUP(Table6[[#This Row],[NIS]],Table2[NIS],Table2[Status],"Not Found",0)</f>
        <v>Aktif</v>
      </c>
      <c r="F212" s="3">
        <f>_xlfn.XLOOKUP(Table6[[#This Row],[NIS]],Table2[NIS],Table2[Tahun Masuk],"Not Found",0)</f>
        <v>2020</v>
      </c>
      <c r="G212" s="3">
        <f>_xlfn.XLOOKUP(Table6[[#This Row],[NIS]],Table2[NIS],Table2[Tahun Keluar],"Not Found",0)</f>
        <v>0</v>
      </c>
      <c r="H212" s="3">
        <f>_xlfn.XLOOKUP(Table6[[#This Row],[NIS]],Table2[NIS],Table2[Kelas],"Not Found",0)</f>
        <v>4</v>
      </c>
      <c r="I212" s="3" t="str">
        <f>_xlfn.XLOOKUP(Table6[[#This Row],[NIS]],Table2[NIS],Table2[Kelas Detail],"Not Found",0)</f>
        <v>4-A</v>
      </c>
    </row>
    <row r="213" spans="1:9">
      <c r="A213" s="3">
        <f>SUBTOTAL(3,B$3:B213)</f>
        <v>211</v>
      </c>
      <c r="B213" s="3">
        <v>21220027</v>
      </c>
      <c r="C213" s="18" t="str">
        <f>_xlfn.XLOOKUP(Table6[[#This Row],[NIS]],Table2[NIS],Table2[Nama lengkap],"Not Found",0)</f>
        <v xml:space="preserve">Dhea  Nafisa Rahardja </v>
      </c>
      <c r="D213" s="18" t="str">
        <f>_xlfn.XLOOKUP(Table6[[#This Row],[NIS]],Table2[NIS],Table2[Nomer Induk Siswa Nasional],"Not Found",0)</f>
        <v>0088664725</v>
      </c>
      <c r="E213" s="3" t="str">
        <f>_xlfn.XLOOKUP(Table6[[#This Row],[NIS]],Table2[NIS],Table2[Status],"Not Found",0)</f>
        <v>Aktif</v>
      </c>
      <c r="F213" s="3">
        <f>_xlfn.XLOOKUP(Table6[[#This Row],[NIS]],Table2[NIS],Table2[Tahun Masuk],"Not Found",0)</f>
        <v>2021</v>
      </c>
      <c r="G213" s="3">
        <f>_xlfn.XLOOKUP(Table6[[#This Row],[NIS]],Table2[NIS],Table2[Tahun Keluar],"Not Found",0)</f>
        <v>0</v>
      </c>
      <c r="H213" s="3">
        <f>_xlfn.XLOOKUP(Table6[[#This Row],[NIS]],Table2[NIS],Table2[Kelas],"Not Found",0)</f>
        <v>4</v>
      </c>
      <c r="I213" s="3" t="str">
        <f>_xlfn.XLOOKUP(Table6[[#This Row],[NIS]],Table2[NIS],Table2[Kelas Detail],"Not Found",0)</f>
        <v>4-A</v>
      </c>
    </row>
    <row r="214" spans="1:9">
      <c r="A214" s="3">
        <f>SUBTOTAL(3,B$3:B214)</f>
        <v>212</v>
      </c>
      <c r="B214" s="3">
        <v>20210195</v>
      </c>
      <c r="C214" s="18" t="str">
        <f>_xlfn.XLOOKUP(Table6[[#This Row],[NIS]],Table2[NIS],Table2[Nama lengkap],"Not Found",0)</f>
        <v xml:space="preserve">Fahrani </v>
      </c>
      <c r="D214" s="18" t="str">
        <f>_xlfn.XLOOKUP(Table6[[#This Row],[NIS]],Table2[NIS],Table2[Nomer Induk Siswa Nasional],"Not Found",0)</f>
        <v>0072309677</v>
      </c>
      <c r="E214" s="3" t="str">
        <f>_xlfn.XLOOKUP(Table6[[#This Row],[NIS]],Table2[NIS],Table2[Status],"Not Found",0)</f>
        <v>Aktif</v>
      </c>
      <c r="F214" s="3">
        <f>_xlfn.XLOOKUP(Table6[[#This Row],[NIS]],Table2[NIS],Table2[Tahun Masuk],"Not Found",0)</f>
        <v>2020</v>
      </c>
      <c r="G214" s="3">
        <f>_xlfn.XLOOKUP(Table6[[#This Row],[NIS]],Table2[NIS],Table2[Tahun Keluar],"Not Found",0)</f>
        <v>0</v>
      </c>
      <c r="H214" s="3">
        <f>_xlfn.XLOOKUP(Table6[[#This Row],[NIS]],Table2[NIS],Table2[Kelas],"Not Found",0)</f>
        <v>4</v>
      </c>
      <c r="I214" s="3" t="str">
        <f>_xlfn.XLOOKUP(Table6[[#This Row],[NIS]],Table2[NIS],Table2[Kelas Detail],"Not Found",0)</f>
        <v>4-A</v>
      </c>
    </row>
    <row r="215" spans="1:9">
      <c r="A215" s="3">
        <f>SUBTOTAL(3,B$3:B215)</f>
        <v>213</v>
      </c>
      <c r="B215" s="3">
        <v>20210174</v>
      </c>
      <c r="C215" s="18" t="str">
        <f>_xlfn.XLOOKUP(Table6[[#This Row],[NIS]],Table2[NIS],Table2[Nama lengkap],"Not Found",0)</f>
        <v xml:space="preserve">Hilmiya Hazimah </v>
      </c>
      <c r="D215" s="18" t="str">
        <f>_xlfn.XLOOKUP(Table6[[#This Row],[NIS]],Table2[NIS],Table2[Nomer Induk Siswa Nasional],"Not Found",0)</f>
        <v>0089162705</v>
      </c>
      <c r="E215" s="3" t="str">
        <f>_xlfn.XLOOKUP(Table6[[#This Row],[NIS]],Table2[NIS],Table2[Status],"Not Found",0)</f>
        <v>Aktif</v>
      </c>
      <c r="F215" s="3">
        <f>_xlfn.XLOOKUP(Table6[[#This Row],[NIS]],Table2[NIS],Table2[Tahun Masuk],"Not Found",0)</f>
        <v>2020</v>
      </c>
      <c r="G215" s="3">
        <f>_xlfn.XLOOKUP(Table6[[#This Row],[NIS]],Table2[NIS],Table2[Tahun Keluar],"Not Found",0)</f>
        <v>0</v>
      </c>
      <c r="H215" s="3">
        <f>_xlfn.XLOOKUP(Table6[[#This Row],[NIS]],Table2[NIS],Table2[Kelas],"Not Found",0)</f>
        <v>4</v>
      </c>
      <c r="I215" s="3" t="str">
        <f>_xlfn.XLOOKUP(Table6[[#This Row],[NIS]],Table2[NIS],Table2[Kelas Detail],"Not Found",0)</f>
        <v>4-A</v>
      </c>
    </row>
    <row r="216" spans="1:9">
      <c r="A216" s="3">
        <f>SUBTOTAL(3,B$3:B216)</f>
        <v>214</v>
      </c>
      <c r="B216" s="3">
        <v>20210204</v>
      </c>
      <c r="C216" s="18" t="str">
        <f>_xlfn.XLOOKUP(Table6[[#This Row],[NIS]],Table2[NIS],Table2[Nama lengkap],"Not Found",0)</f>
        <v>Kalisha Nadya Zahrani</v>
      </c>
      <c r="D216" s="18" t="str">
        <f>_xlfn.XLOOKUP(Table6[[#This Row],[NIS]],Table2[NIS],Table2[Nomer Induk Siswa Nasional],"Not Found",0)</f>
        <v>0086034217</v>
      </c>
      <c r="E216" s="3" t="str">
        <f>_xlfn.XLOOKUP(Table6[[#This Row],[NIS]],Table2[NIS],Table2[Status],"Not Found",0)</f>
        <v>Aktif</v>
      </c>
      <c r="F216" s="3">
        <f>_xlfn.XLOOKUP(Table6[[#This Row],[NIS]],Table2[NIS],Table2[Tahun Masuk],"Not Found",0)</f>
        <v>2020</v>
      </c>
      <c r="G216" s="3">
        <f>_xlfn.XLOOKUP(Table6[[#This Row],[NIS]],Table2[NIS],Table2[Tahun Keluar],"Not Found",0)</f>
        <v>0</v>
      </c>
      <c r="H216" s="3">
        <f>_xlfn.XLOOKUP(Table6[[#This Row],[NIS]],Table2[NIS],Table2[Kelas],"Not Found",0)</f>
        <v>4</v>
      </c>
      <c r="I216" s="3" t="str">
        <f>_xlfn.XLOOKUP(Table6[[#This Row],[NIS]],Table2[NIS],Table2[Kelas Detail],"Not Found",0)</f>
        <v>4-A</v>
      </c>
    </row>
    <row r="217" spans="1:9">
      <c r="A217" s="3">
        <f>SUBTOTAL(3,B$3:B217)</f>
        <v>215</v>
      </c>
      <c r="B217" s="3">
        <v>20210139</v>
      </c>
      <c r="C217" s="18" t="str">
        <f>_xlfn.XLOOKUP(Table6[[#This Row],[NIS]],Table2[NIS],Table2[Nama lengkap],"Not Found",0)</f>
        <v xml:space="preserve">Kesya Sulistiana </v>
      </c>
      <c r="D217" s="18" t="str">
        <f>_xlfn.XLOOKUP(Table6[[#This Row],[NIS]],Table2[NIS],Table2[Nomer Induk Siswa Nasional],"Not Found",0)</f>
        <v>0089263181</v>
      </c>
      <c r="E217" s="3" t="str">
        <f>_xlfn.XLOOKUP(Table6[[#This Row],[NIS]],Table2[NIS],Table2[Status],"Not Found",0)</f>
        <v>Aktif</v>
      </c>
      <c r="F217" s="3">
        <f>_xlfn.XLOOKUP(Table6[[#This Row],[NIS]],Table2[NIS],Table2[Tahun Masuk],"Not Found",0)</f>
        <v>2020</v>
      </c>
      <c r="G217" s="3">
        <f>_xlfn.XLOOKUP(Table6[[#This Row],[NIS]],Table2[NIS],Table2[Tahun Keluar],"Not Found",0)</f>
        <v>0</v>
      </c>
      <c r="H217" s="3">
        <f>_xlfn.XLOOKUP(Table6[[#This Row],[NIS]],Table2[NIS],Table2[Kelas],"Not Found",0)</f>
        <v>4</v>
      </c>
      <c r="I217" s="3" t="str">
        <f>_xlfn.XLOOKUP(Table6[[#This Row],[NIS]],Table2[NIS],Table2[Kelas Detail],"Not Found",0)</f>
        <v>4-A</v>
      </c>
    </row>
    <row r="218" spans="1:9">
      <c r="A218" s="3">
        <f>SUBTOTAL(3,B$3:B218)</f>
        <v>216</v>
      </c>
      <c r="B218" s="3">
        <v>21220059</v>
      </c>
      <c r="C218" s="18" t="str">
        <f>_xlfn.XLOOKUP(Table6[[#This Row],[NIS]],Table2[NIS],Table2[Nama lengkap],"Not Found",0)</f>
        <v>Kezya Asyifa Chesa</v>
      </c>
      <c r="D218" s="18" t="str">
        <f>_xlfn.XLOOKUP(Table6[[#This Row],[NIS]],Table2[NIS],Table2[Nomer Induk Siswa Nasional],"Not Found",0)</f>
        <v>0082465629</v>
      </c>
      <c r="E218" s="3" t="str">
        <f>_xlfn.XLOOKUP(Table6[[#This Row],[NIS]],Table2[NIS],Table2[Status],"Not Found",0)</f>
        <v>Aktif</v>
      </c>
      <c r="F218" s="3">
        <f>_xlfn.XLOOKUP(Table6[[#This Row],[NIS]],Table2[NIS],Table2[Tahun Masuk],"Not Found",0)</f>
        <v>2021</v>
      </c>
      <c r="G218" s="3">
        <f>_xlfn.XLOOKUP(Table6[[#This Row],[NIS]],Table2[NIS],Table2[Tahun Keluar],"Not Found",0)</f>
        <v>0</v>
      </c>
      <c r="H218" s="3">
        <f>_xlfn.XLOOKUP(Table6[[#This Row],[NIS]],Table2[NIS],Table2[Kelas],"Not Found",0)</f>
        <v>4</v>
      </c>
      <c r="I218" s="3" t="str">
        <f>_xlfn.XLOOKUP(Table6[[#This Row],[NIS]],Table2[NIS],Table2[Kelas Detail],"Not Found",0)</f>
        <v>4-A</v>
      </c>
    </row>
    <row r="219" spans="1:9">
      <c r="A219" s="3">
        <f>SUBTOTAL(3,B$3:B219)</f>
        <v>217</v>
      </c>
      <c r="B219" s="3">
        <v>20210149</v>
      </c>
      <c r="C219" s="18" t="str">
        <f>_xlfn.XLOOKUP(Table6[[#This Row],[NIS]],Table2[NIS],Table2[Nama lengkap],"Not Found",0)</f>
        <v>Lyvia Syakirah Aurelya</v>
      </c>
      <c r="D219" s="18" t="str">
        <f>_xlfn.XLOOKUP(Table6[[#This Row],[NIS]],Table2[NIS],Table2[Nomer Induk Siswa Nasional],"Not Found",0)</f>
        <v>0087167342</v>
      </c>
      <c r="E219" s="3" t="str">
        <f>_xlfn.XLOOKUP(Table6[[#This Row],[NIS]],Table2[NIS],Table2[Status],"Not Found",0)</f>
        <v>Aktif</v>
      </c>
      <c r="F219" s="3">
        <f>_xlfn.XLOOKUP(Table6[[#This Row],[NIS]],Table2[NIS],Table2[Tahun Masuk],"Not Found",0)</f>
        <v>2020</v>
      </c>
      <c r="G219" s="3">
        <f>_xlfn.XLOOKUP(Table6[[#This Row],[NIS]],Table2[NIS],Table2[Tahun Keluar],"Not Found",0)</f>
        <v>0</v>
      </c>
      <c r="H219" s="3">
        <f>_xlfn.XLOOKUP(Table6[[#This Row],[NIS]],Table2[NIS],Table2[Kelas],"Not Found",0)</f>
        <v>4</v>
      </c>
      <c r="I219" s="3" t="str">
        <f>_xlfn.XLOOKUP(Table6[[#This Row],[NIS]],Table2[NIS],Table2[Kelas Detail],"Not Found",0)</f>
        <v>4-A</v>
      </c>
    </row>
    <row r="220" spans="1:9">
      <c r="A220" s="3">
        <f>SUBTOTAL(3,B$3:B220)</f>
        <v>218</v>
      </c>
      <c r="B220" s="3">
        <v>20210148</v>
      </c>
      <c r="C220" s="18" t="str">
        <f>_xlfn.XLOOKUP(Table6[[#This Row],[NIS]],Table2[NIS],Table2[Nama lengkap],"Not Found",0)</f>
        <v xml:space="preserve">Maharani Annisa Al Fajr </v>
      </c>
      <c r="D220" s="18" t="str">
        <f>_xlfn.XLOOKUP(Table6[[#This Row],[NIS]],Table2[NIS],Table2[Nomer Induk Siswa Nasional],"Not Found",0)</f>
        <v>0052637042</v>
      </c>
      <c r="E220" s="3" t="str">
        <f>_xlfn.XLOOKUP(Table6[[#This Row],[NIS]],Table2[NIS],Table2[Status],"Not Found",0)</f>
        <v>Aktif</v>
      </c>
      <c r="F220" s="3">
        <f>_xlfn.XLOOKUP(Table6[[#This Row],[NIS]],Table2[NIS],Table2[Tahun Masuk],"Not Found",0)</f>
        <v>2020</v>
      </c>
      <c r="G220" s="3">
        <f>_xlfn.XLOOKUP(Table6[[#This Row],[NIS]],Table2[NIS],Table2[Tahun Keluar],"Not Found",0)</f>
        <v>0</v>
      </c>
      <c r="H220" s="3">
        <f>_xlfn.XLOOKUP(Table6[[#This Row],[NIS]],Table2[NIS],Table2[Kelas],"Not Found",0)</f>
        <v>4</v>
      </c>
      <c r="I220" s="3" t="str">
        <f>_xlfn.XLOOKUP(Table6[[#This Row],[NIS]],Table2[NIS],Table2[Kelas Detail],"Not Found",0)</f>
        <v>4-A</v>
      </c>
    </row>
    <row r="221" spans="1:9">
      <c r="A221" s="3">
        <f>SUBTOTAL(3,B$3:B221)</f>
        <v>219</v>
      </c>
      <c r="B221" s="3">
        <v>21220147</v>
      </c>
      <c r="C221" s="18" t="str">
        <f>_xlfn.XLOOKUP(Table6[[#This Row],[NIS]],Table2[NIS],Table2[Nama lengkap],"Not Found",0)</f>
        <v xml:space="preserve">Mirfah Suciawati </v>
      </c>
      <c r="D221" s="18" t="str">
        <f>_xlfn.XLOOKUP(Table6[[#This Row],[NIS]],Table2[NIS],Table2[Nomer Induk Siswa Nasional],"Not Found",0)</f>
        <v>0095297861</v>
      </c>
      <c r="E221" s="3" t="str">
        <f>_xlfn.XLOOKUP(Table6[[#This Row],[NIS]],Table2[NIS],Table2[Status],"Not Found",0)</f>
        <v>Aktif</v>
      </c>
      <c r="F221" s="3">
        <f>_xlfn.XLOOKUP(Table6[[#This Row],[NIS]],Table2[NIS],Table2[Tahun Masuk],"Not Found",0)</f>
        <v>2021</v>
      </c>
      <c r="G221" s="3">
        <f>_xlfn.XLOOKUP(Table6[[#This Row],[NIS]],Table2[NIS],Table2[Tahun Keluar],"Not Found",0)</f>
        <v>0</v>
      </c>
      <c r="H221" s="3">
        <f>_xlfn.XLOOKUP(Table6[[#This Row],[NIS]],Table2[NIS],Table2[Kelas],"Not Found",0)</f>
        <v>4</v>
      </c>
      <c r="I221" s="3" t="str">
        <f>_xlfn.XLOOKUP(Table6[[#This Row],[NIS]],Table2[NIS],Table2[Kelas Detail],"Not Found",0)</f>
        <v>4-A</v>
      </c>
    </row>
    <row r="222" spans="1:9">
      <c r="A222" s="3">
        <f>SUBTOTAL(3,B$3:B222)</f>
        <v>220</v>
      </c>
      <c r="B222" s="3">
        <v>20210177</v>
      </c>
      <c r="C222" s="18" t="str">
        <f>_xlfn.XLOOKUP(Table6[[#This Row],[NIS]],Table2[NIS],Table2[Nama lengkap],"Not Found",0)</f>
        <v xml:space="preserve">Naila Salsabila </v>
      </c>
      <c r="D222" s="18" t="str">
        <f>_xlfn.XLOOKUP(Table6[[#This Row],[NIS]],Table2[NIS],Table2[Nomer Induk Siswa Nasional],"Not Found",0)</f>
        <v>0087776051</v>
      </c>
      <c r="E222" s="3" t="str">
        <f>_xlfn.XLOOKUP(Table6[[#This Row],[NIS]],Table2[NIS],Table2[Status],"Not Found",0)</f>
        <v>Aktif</v>
      </c>
      <c r="F222" s="3">
        <f>_xlfn.XLOOKUP(Table6[[#This Row],[NIS]],Table2[NIS],Table2[Tahun Masuk],"Not Found",0)</f>
        <v>2020</v>
      </c>
      <c r="G222" s="3">
        <f>_xlfn.XLOOKUP(Table6[[#This Row],[NIS]],Table2[NIS],Table2[Tahun Keluar],"Not Found",0)</f>
        <v>0</v>
      </c>
      <c r="H222" s="3">
        <f>_xlfn.XLOOKUP(Table6[[#This Row],[NIS]],Table2[NIS],Table2[Kelas],"Not Found",0)</f>
        <v>4</v>
      </c>
      <c r="I222" s="3" t="str">
        <f>_xlfn.XLOOKUP(Table6[[#This Row],[NIS]],Table2[NIS],Table2[Kelas Detail],"Not Found",0)</f>
        <v>4-A</v>
      </c>
    </row>
    <row r="223" spans="1:9">
      <c r="A223" s="3">
        <f>SUBTOTAL(3,B$3:B223)</f>
        <v>221</v>
      </c>
      <c r="B223" s="3">
        <v>21220136</v>
      </c>
      <c r="C223" s="18" t="str">
        <f>_xlfn.XLOOKUP(Table6[[#This Row],[NIS]],Table2[NIS],Table2[Nama lengkap],"Not Found",0)</f>
        <v xml:space="preserve">Neng Dewi </v>
      </c>
      <c r="D223" s="18" t="str">
        <f>_xlfn.XLOOKUP(Table6[[#This Row],[NIS]],Table2[NIS],Table2[Nomer Induk Siswa Nasional],"Not Found",0)</f>
        <v>0092542011</v>
      </c>
      <c r="E223" s="3" t="str">
        <f>_xlfn.XLOOKUP(Table6[[#This Row],[NIS]],Table2[NIS],Table2[Status],"Not Found",0)</f>
        <v>Waqof</v>
      </c>
      <c r="F223" s="3">
        <f>_xlfn.XLOOKUP(Table6[[#This Row],[NIS]],Table2[NIS],Table2[Tahun Masuk],"Not Found",0)</f>
        <v>2021</v>
      </c>
      <c r="G223" s="3">
        <f>_xlfn.XLOOKUP(Table6[[#This Row],[NIS]],Table2[NIS],Table2[Tahun Keluar],"Not Found",0)</f>
        <v>0</v>
      </c>
      <c r="H223" s="3">
        <f>_xlfn.XLOOKUP(Table6[[#This Row],[NIS]],Table2[NIS],Table2[Kelas],"Not Found",0)</f>
        <v>4</v>
      </c>
      <c r="I223" s="3" t="str">
        <f>_xlfn.XLOOKUP(Table6[[#This Row],[NIS]],Table2[NIS],Table2[Kelas Detail],"Not Found",0)</f>
        <v>4-A</v>
      </c>
    </row>
    <row r="224" spans="1:9">
      <c r="A224" s="3">
        <f>SUBTOTAL(3,B$3:B224)</f>
        <v>222</v>
      </c>
      <c r="B224" s="3">
        <v>20210187</v>
      </c>
      <c r="C224" s="18" t="str">
        <f>_xlfn.XLOOKUP(Table6[[#This Row],[NIS]],Table2[NIS],Table2[Nama lengkap],"Not Found",0)</f>
        <v xml:space="preserve">Nesa Nur Fadilah </v>
      </c>
      <c r="D224" s="18" t="str">
        <f>_xlfn.XLOOKUP(Table6[[#This Row],[NIS]],Table2[NIS],Table2[Nomer Induk Siswa Nasional],"Not Found",0)</f>
        <v>0088325563</v>
      </c>
      <c r="E224" s="3" t="str">
        <f>_xlfn.XLOOKUP(Table6[[#This Row],[NIS]],Table2[NIS],Table2[Status],"Not Found",0)</f>
        <v>Aktif</v>
      </c>
      <c r="F224" s="3">
        <f>_xlfn.XLOOKUP(Table6[[#This Row],[NIS]],Table2[NIS],Table2[Tahun Masuk],"Not Found",0)</f>
        <v>2020</v>
      </c>
      <c r="G224" s="3">
        <f>_xlfn.XLOOKUP(Table6[[#This Row],[NIS]],Table2[NIS],Table2[Tahun Keluar],"Not Found",0)</f>
        <v>0</v>
      </c>
      <c r="H224" s="3">
        <f>_xlfn.XLOOKUP(Table6[[#This Row],[NIS]],Table2[NIS],Table2[Kelas],"Not Found",0)</f>
        <v>4</v>
      </c>
      <c r="I224" s="3" t="str">
        <f>_xlfn.XLOOKUP(Table6[[#This Row],[NIS]],Table2[NIS],Table2[Kelas Detail],"Not Found",0)</f>
        <v>4-A</v>
      </c>
    </row>
    <row r="225" spans="1:9">
      <c r="A225" s="3">
        <f>SUBTOTAL(3,B$3:B225)</f>
        <v>223</v>
      </c>
      <c r="B225" s="3">
        <v>20210132</v>
      </c>
      <c r="C225" s="18" t="str">
        <f>_xlfn.XLOOKUP(Table6[[#This Row],[NIS]],Table2[NIS],Table2[Nama lengkap],"Not Found",0)</f>
        <v xml:space="preserve">Nisrina Afifah </v>
      </c>
      <c r="D225" s="18" t="str">
        <f>_xlfn.XLOOKUP(Table6[[#This Row],[NIS]],Table2[NIS],Table2[Nomer Induk Siswa Nasional],"Not Found",0)</f>
        <v>0076563802</v>
      </c>
      <c r="E225" s="3" t="str">
        <f>_xlfn.XLOOKUP(Table6[[#This Row],[NIS]],Table2[NIS],Table2[Status],"Not Found",0)</f>
        <v>Aktif</v>
      </c>
      <c r="F225" s="3">
        <f>_xlfn.XLOOKUP(Table6[[#This Row],[NIS]],Table2[NIS],Table2[Tahun Masuk],"Not Found",0)</f>
        <v>2020</v>
      </c>
      <c r="G225" s="3">
        <f>_xlfn.XLOOKUP(Table6[[#This Row],[NIS]],Table2[NIS],Table2[Tahun Keluar],"Not Found",0)</f>
        <v>0</v>
      </c>
      <c r="H225" s="3">
        <f>_xlfn.XLOOKUP(Table6[[#This Row],[NIS]],Table2[NIS],Table2[Kelas],"Not Found",0)</f>
        <v>4</v>
      </c>
      <c r="I225" s="3" t="str">
        <f>_xlfn.XLOOKUP(Table6[[#This Row],[NIS]],Table2[NIS],Table2[Kelas Detail],"Not Found",0)</f>
        <v>4-A</v>
      </c>
    </row>
    <row r="226" spans="1:9">
      <c r="A226" s="3">
        <f>SUBTOTAL(3,B$3:B226)</f>
        <v>224</v>
      </c>
      <c r="B226" s="3">
        <v>20210227</v>
      </c>
      <c r="C226" s="18" t="str">
        <f>_xlfn.XLOOKUP(Table6[[#This Row],[NIS]],Table2[NIS],Table2[Nama lengkap],"Not Found",0)</f>
        <v>Nur Rohmawati</v>
      </c>
      <c r="D226" s="18" t="str">
        <f>_xlfn.XLOOKUP(Table6[[#This Row],[NIS]],Table2[NIS],Table2[Nomer Induk Siswa Nasional],"Not Found",0)</f>
        <v>0081668804</v>
      </c>
      <c r="E226" s="3" t="str">
        <f>_xlfn.XLOOKUP(Table6[[#This Row],[NIS]],Table2[NIS],Table2[Status],"Not Found",0)</f>
        <v>Aktif</v>
      </c>
      <c r="F226" s="3">
        <f>_xlfn.XLOOKUP(Table6[[#This Row],[NIS]],Table2[NIS],Table2[Tahun Masuk],"Not Found",0)</f>
        <v>2020</v>
      </c>
      <c r="G226" s="3">
        <f>_xlfn.XLOOKUP(Table6[[#This Row],[NIS]],Table2[NIS],Table2[Tahun Keluar],"Not Found",0)</f>
        <v>0</v>
      </c>
      <c r="H226" s="3">
        <f>_xlfn.XLOOKUP(Table6[[#This Row],[NIS]],Table2[NIS],Table2[Kelas],"Not Found",0)</f>
        <v>4</v>
      </c>
      <c r="I226" s="3" t="str">
        <f>_xlfn.XLOOKUP(Table6[[#This Row],[NIS]],Table2[NIS],Table2[Kelas Detail],"Not Found",0)</f>
        <v>4-A</v>
      </c>
    </row>
    <row r="227" spans="1:9">
      <c r="A227" s="3">
        <f>SUBTOTAL(3,B$3:B227)</f>
        <v>225</v>
      </c>
      <c r="B227" s="3">
        <v>21220155</v>
      </c>
      <c r="C227" s="18" t="str">
        <f>_xlfn.XLOOKUP(Table6[[#This Row],[NIS]],Table2[NIS],Table2[Nama lengkap],"Not Found",0)</f>
        <v xml:space="preserve">Restu Salsabila </v>
      </c>
      <c r="D227" s="18" t="str">
        <f>_xlfn.XLOOKUP(Table6[[#This Row],[NIS]],Table2[NIS],Table2[Nomer Induk Siswa Nasional],"Not Found",0)</f>
        <v>0074679533</v>
      </c>
      <c r="E227" s="3" t="str">
        <f>_xlfn.XLOOKUP(Table6[[#This Row],[NIS]],Table2[NIS],Table2[Status],"Not Found",0)</f>
        <v>Aktif</v>
      </c>
      <c r="F227" s="3">
        <f>_xlfn.XLOOKUP(Table6[[#This Row],[NIS]],Table2[NIS],Table2[Tahun Masuk],"Not Found",0)</f>
        <v>2021</v>
      </c>
      <c r="G227" s="3">
        <f>_xlfn.XLOOKUP(Table6[[#This Row],[NIS]],Table2[NIS],Table2[Tahun Keluar],"Not Found",0)</f>
        <v>0</v>
      </c>
      <c r="H227" s="3">
        <f>_xlfn.XLOOKUP(Table6[[#This Row],[NIS]],Table2[NIS],Table2[Kelas],"Not Found",0)</f>
        <v>4</v>
      </c>
      <c r="I227" s="3" t="str">
        <f>_xlfn.XLOOKUP(Table6[[#This Row],[NIS]],Table2[NIS],Table2[Kelas Detail],"Not Found",0)</f>
        <v>4-A</v>
      </c>
    </row>
    <row r="228" spans="1:9">
      <c r="A228" s="3">
        <f>SUBTOTAL(3,B$3:B228)</f>
        <v>226</v>
      </c>
      <c r="B228" s="3">
        <v>21220072</v>
      </c>
      <c r="C228" s="18" t="str">
        <f>_xlfn.XLOOKUP(Table6[[#This Row],[NIS]],Table2[NIS],Table2[Nama lengkap],"Not Found",0)</f>
        <v>Rizkia Sifany Salsabila</v>
      </c>
      <c r="D228" s="18" t="str">
        <f>_xlfn.XLOOKUP(Table6[[#This Row],[NIS]],Table2[NIS],Table2[Nomer Induk Siswa Nasional],"Not Found",0)</f>
        <v>0081024688</v>
      </c>
      <c r="E228" s="3" t="str">
        <f>_xlfn.XLOOKUP(Table6[[#This Row],[NIS]],Table2[NIS],Table2[Status],"Not Found",0)</f>
        <v>Aktif</v>
      </c>
      <c r="F228" s="3">
        <f>_xlfn.XLOOKUP(Table6[[#This Row],[NIS]],Table2[NIS],Table2[Tahun Masuk],"Not Found",0)</f>
        <v>2021</v>
      </c>
      <c r="G228" s="3">
        <f>_xlfn.XLOOKUP(Table6[[#This Row],[NIS]],Table2[NIS],Table2[Tahun Keluar],"Not Found",0)</f>
        <v>0</v>
      </c>
      <c r="H228" s="3">
        <f>_xlfn.XLOOKUP(Table6[[#This Row],[NIS]],Table2[NIS],Table2[Kelas],"Not Found",0)</f>
        <v>4</v>
      </c>
      <c r="I228" s="3" t="str">
        <f>_xlfn.XLOOKUP(Table6[[#This Row],[NIS]],Table2[NIS],Table2[Kelas Detail],"Not Found",0)</f>
        <v>4-A</v>
      </c>
    </row>
    <row r="229" spans="1:9">
      <c r="A229" s="3">
        <f>SUBTOTAL(3,B$3:B229)</f>
        <v>227</v>
      </c>
      <c r="B229" s="3">
        <v>23240095</v>
      </c>
      <c r="C229" s="18" t="str">
        <f>_xlfn.XLOOKUP(Table6[[#This Row],[NIS]],Table2[NIS],Table2[Nama lengkap],"Not Found",0)</f>
        <v>Roudya Assyifa</v>
      </c>
      <c r="D229" s="18" t="str">
        <f>_xlfn.XLOOKUP(Table6[[#This Row],[NIS]],Table2[NIS],Table2[Nomer Induk Siswa Nasional],"Not Found",0)</f>
        <v>3079189451</v>
      </c>
      <c r="E229" s="3" t="str">
        <f>_xlfn.XLOOKUP(Table6[[#This Row],[NIS]],Table2[NIS],Table2[Status],"Not Found",0)</f>
        <v>Aktif</v>
      </c>
      <c r="F229" s="3">
        <f>_xlfn.XLOOKUP(Table6[[#This Row],[NIS]],Table2[NIS],Table2[Tahun Masuk],"Not Found",0)</f>
        <v>2023</v>
      </c>
      <c r="G229" s="3">
        <f>_xlfn.XLOOKUP(Table6[[#This Row],[NIS]],Table2[NIS],Table2[Tahun Keluar],"Not Found",0)</f>
        <v>0</v>
      </c>
      <c r="H229" s="3">
        <f>_xlfn.XLOOKUP(Table6[[#This Row],[NIS]],Table2[NIS],Table2[Kelas],"Not Found",0)</f>
        <v>4</v>
      </c>
      <c r="I229" s="3" t="str">
        <f>_xlfn.XLOOKUP(Table6[[#This Row],[NIS]],Table2[NIS],Table2[Kelas Detail],"Not Found",0)</f>
        <v>4-A</v>
      </c>
    </row>
    <row r="230" spans="1:9">
      <c r="A230" s="3">
        <f>SUBTOTAL(3,B$3:B230)</f>
        <v>228</v>
      </c>
      <c r="B230" s="3">
        <v>21220040</v>
      </c>
      <c r="C230" s="18" t="str">
        <f>_xlfn.XLOOKUP(Table6[[#This Row],[NIS]],Table2[NIS],Table2[Nama lengkap],"Not Found",0)</f>
        <v>Salsabila Nabila  Mustiani</v>
      </c>
      <c r="D230" s="18" t="str">
        <f>_xlfn.XLOOKUP(Table6[[#This Row],[NIS]],Table2[NIS],Table2[Nomer Induk Siswa Nasional],"Not Found",0)</f>
        <v>0094421555</v>
      </c>
      <c r="E230" s="3" t="str">
        <f>_xlfn.XLOOKUP(Table6[[#This Row],[NIS]],Table2[NIS],Table2[Status],"Not Found",0)</f>
        <v>Aktif</v>
      </c>
      <c r="F230" s="3">
        <f>_xlfn.XLOOKUP(Table6[[#This Row],[NIS]],Table2[NIS],Table2[Tahun Masuk],"Not Found",0)</f>
        <v>2021</v>
      </c>
      <c r="G230" s="3">
        <f>_xlfn.XLOOKUP(Table6[[#This Row],[NIS]],Table2[NIS],Table2[Tahun Keluar],"Not Found",0)</f>
        <v>0</v>
      </c>
      <c r="H230" s="3">
        <f>_xlfn.XLOOKUP(Table6[[#This Row],[NIS]],Table2[NIS],Table2[Kelas],"Not Found",0)</f>
        <v>4</v>
      </c>
      <c r="I230" s="3" t="str">
        <f>_xlfn.XLOOKUP(Table6[[#This Row],[NIS]],Table2[NIS],Table2[Kelas Detail],"Not Found",0)</f>
        <v>4-A</v>
      </c>
    </row>
    <row r="231" spans="1:9">
      <c r="A231" s="3">
        <f>SUBTOTAL(3,B$3:B231)</f>
        <v>229</v>
      </c>
      <c r="B231" s="3">
        <v>20210180</v>
      </c>
      <c r="C231" s="18" t="str">
        <f>_xlfn.XLOOKUP(Table6[[#This Row],[NIS]],Table2[NIS],Table2[Nama lengkap],"Not Found",0)</f>
        <v>Salwa Siti Auliya</v>
      </c>
      <c r="D231" s="18" t="str">
        <f>_xlfn.XLOOKUP(Table6[[#This Row],[NIS]],Table2[NIS],Table2[Nomer Induk Siswa Nasional],"Not Found",0)</f>
        <v>0089893486</v>
      </c>
      <c r="E231" s="3" t="str">
        <f>_xlfn.XLOOKUP(Table6[[#This Row],[NIS]],Table2[NIS],Table2[Status],"Not Found",0)</f>
        <v>Aktif</v>
      </c>
      <c r="F231" s="3">
        <f>_xlfn.XLOOKUP(Table6[[#This Row],[NIS]],Table2[NIS],Table2[Tahun Masuk],"Not Found",0)</f>
        <v>2020</v>
      </c>
      <c r="G231" s="3">
        <f>_xlfn.XLOOKUP(Table6[[#This Row],[NIS]],Table2[NIS],Table2[Tahun Keluar],"Not Found",0)</f>
        <v>0</v>
      </c>
      <c r="H231" s="3">
        <f>_xlfn.XLOOKUP(Table6[[#This Row],[NIS]],Table2[NIS],Table2[Kelas],"Not Found",0)</f>
        <v>4</v>
      </c>
      <c r="I231" s="3" t="str">
        <f>_xlfn.XLOOKUP(Table6[[#This Row],[NIS]],Table2[NIS],Table2[Kelas Detail],"Not Found",0)</f>
        <v>4-A</v>
      </c>
    </row>
    <row r="232" spans="1:9">
      <c r="A232" s="3">
        <f>SUBTOTAL(3,B$3:B232)</f>
        <v>230</v>
      </c>
      <c r="B232" s="3">
        <v>21220028</v>
      </c>
      <c r="C232" s="18" t="str">
        <f>_xlfn.XLOOKUP(Table6[[#This Row],[NIS]],Table2[NIS],Table2[Nama lengkap],"Not Found",0)</f>
        <v xml:space="preserve">Sazkya Octaviana </v>
      </c>
      <c r="D232" s="18" t="str">
        <f>_xlfn.XLOOKUP(Table6[[#This Row],[NIS]],Table2[NIS],Table2[Nomer Induk Siswa Nasional],"Not Found",0)</f>
        <v>0081958610</v>
      </c>
      <c r="E232" s="3" t="str">
        <f>_xlfn.XLOOKUP(Table6[[#This Row],[NIS]],Table2[NIS],Table2[Status],"Not Found",0)</f>
        <v>Aktif</v>
      </c>
      <c r="F232" s="3">
        <f>_xlfn.XLOOKUP(Table6[[#This Row],[NIS]],Table2[NIS],Table2[Tahun Masuk],"Not Found",0)</f>
        <v>2021</v>
      </c>
      <c r="G232" s="3">
        <f>_xlfn.XLOOKUP(Table6[[#This Row],[NIS]],Table2[NIS],Table2[Tahun Keluar],"Not Found",0)</f>
        <v>0</v>
      </c>
      <c r="H232" s="3">
        <f>_xlfn.XLOOKUP(Table6[[#This Row],[NIS]],Table2[NIS],Table2[Kelas],"Not Found",0)</f>
        <v>4</v>
      </c>
      <c r="I232" s="3" t="str">
        <f>_xlfn.XLOOKUP(Table6[[#This Row],[NIS]],Table2[NIS],Table2[Kelas Detail],"Not Found",0)</f>
        <v>4-A</v>
      </c>
    </row>
    <row r="233" spans="1:9">
      <c r="A233" s="3">
        <f>SUBTOTAL(3,B$3:B233)</f>
        <v>231</v>
      </c>
      <c r="B233" s="3">
        <v>20210213</v>
      </c>
      <c r="C233" s="18" t="str">
        <f>_xlfn.XLOOKUP(Table6[[#This Row],[NIS]],Table2[NIS],Table2[Nama lengkap],"Not Found",0)</f>
        <v>Shyfa Qoidatul Marwah</v>
      </c>
      <c r="D233" s="18" t="str">
        <f>_xlfn.XLOOKUP(Table6[[#This Row],[NIS]],Table2[NIS],Table2[Nomer Induk Siswa Nasional],"Not Found",0)</f>
        <v>0083199647</v>
      </c>
      <c r="E233" s="3" t="str">
        <f>_xlfn.XLOOKUP(Table6[[#This Row],[NIS]],Table2[NIS],Table2[Status],"Not Found",0)</f>
        <v>Aktif</v>
      </c>
      <c r="F233" s="3">
        <f>_xlfn.XLOOKUP(Table6[[#This Row],[NIS]],Table2[NIS],Table2[Tahun Masuk],"Not Found",0)</f>
        <v>2020</v>
      </c>
      <c r="G233" s="3">
        <f>_xlfn.XLOOKUP(Table6[[#This Row],[NIS]],Table2[NIS],Table2[Tahun Keluar],"Not Found",0)</f>
        <v>0</v>
      </c>
      <c r="H233" s="3">
        <f>_xlfn.XLOOKUP(Table6[[#This Row],[NIS]],Table2[NIS],Table2[Kelas],"Not Found",0)</f>
        <v>4</v>
      </c>
      <c r="I233" s="3" t="str">
        <f>_xlfn.XLOOKUP(Table6[[#This Row],[NIS]],Table2[NIS],Table2[Kelas Detail],"Not Found",0)</f>
        <v>4-A</v>
      </c>
    </row>
    <row r="234" spans="1:9">
      <c r="A234" s="3">
        <f>SUBTOTAL(3,B$3:B234)</f>
        <v>232</v>
      </c>
      <c r="B234" s="3">
        <v>20210238</v>
      </c>
      <c r="C234" s="18" t="str">
        <f>_xlfn.XLOOKUP(Table6[[#This Row],[NIS]],Table2[NIS],Table2[Nama lengkap],"Not Found",0)</f>
        <v xml:space="preserve">Siti Fatimah Az Zahra </v>
      </c>
      <c r="D234" s="18" t="str">
        <f>_xlfn.XLOOKUP(Table6[[#This Row],[NIS]],Table2[NIS],Table2[Nomer Induk Siswa Nasional],"Not Found",0)</f>
        <v>0087273336</v>
      </c>
      <c r="E234" s="3" t="str">
        <f>_xlfn.XLOOKUP(Table6[[#This Row],[NIS]],Table2[NIS],Table2[Status],"Not Found",0)</f>
        <v>Aktif</v>
      </c>
      <c r="F234" s="3">
        <f>_xlfn.XLOOKUP(Table6[[#This Row],[NIS]],Table2[NIS],Table2[Tahun Masuk],"Not Found",0)</f>
        <v>2020</v>
      </c>
      <c r="G234" s="3">
        <f>_xlfn.XLOOKUP(Table6[[#This Row],[NIS]],Table2[NIS],Table2[Tahun Keluar],"Not Found",0)</f>
        <v>0</v>
      </c>
      <c r="H234" s="3">
        <f>_xlfn.XLOOKUP(Table6[[#This Row],[NIS]],Table2[NIS],Table2[Kelas],"Not Found",0)</f>
        <v>4</v>
      </c>
      <c r="I234" s="3" t="str">
        <f>_xlfn.XLOOKUP(Table6[[#This Row],[NIS]],Table2[NIS],Table2[Kelas Detail],"Not Found",0)</f>
        <v>4-A</v>
      </c>
    </row>
    <row r="235" spans="1:9">
      <c r="A235" s="3">
        <f>SUBTOTAL(3,B$3:B235)</f>
        <v>233</v>
      </c>
      <c r="B235" s="3">
        <v>20210127</v>
      </c>
      <c r="C235" s="18" t="str">
        <f>_xlfn.XLOOKUP(Table6[[#This Row],[NIS]],Table2[NIS],Table2[Nama lengkap],"Not Found",0)</f>
        <v xml:space="preserve">Siti Fatimah Zahra </v>
      </c>
      <c r="D235" s="18" t="str">
        <f>_xlfn.XLOOKUP(Table6[[#This Row],[NIS]],Table2[NIS],Table2[Nomer Induk Siswa Nasional],"Not Found",0)</f>
        <v>0087585491</v>
      </c>
      <c r="E235" s="3" t="str">
        <f>_xlfn.XLOOKUP(Table6[[#This Row],[NIS]],Table2[NIS],Table2[Status],"Not Found",0)</f>
        <v>Aktif</v>
      </c>
      <c r="F235" s="3">
        <f>_xlfn.XLOOKUP(Table6[[#This Row],[NIS]],Table2[NIS],Table2[Tahun Masuk],"Not Found",0)</f>
        <v>2020</v>
      </c>
      <c r="G235" s="3">
        <f>_xlfn.XLOOKUP(Table6[[#This Row],[NIS]],Table2[NIS],Table2[Tahun Keluar],"Not Found",0)</f>
        <v>0</v>
      </c>
      <c r="H235" s="3">
        <f>_xlfn.XLOOKUP(Table6[[#This Row],[NIS]],Table2[NIS],Table2[Kelas],"Not Found",0)</f>
        <v>4</v>
      </c>
      <c r="I235" s="3" t="str">
        <f>_xlfn.XLOOKUP(Table6[[#This Row],[NIS]],Table2[NIS],Table2[Kelas Detail],"Not Found",0)</f>
        <v>4-A</v>
      </c>
    </row>
    <row r="236" spans="1:9">
      <c r="A236" s="3">
        <f>SUBTOTAL(3,B$3:B236)</f>
        <v>234</v>
      </c>
      <c r="B236" s="3">
        <v>21220037</v>
      </c>
      <c r="C236" s="18" t="str">
        <f>_xlfn.XLOOKUP(Table6[[#This Row],[NIS]],Table2[NIS],Table2[Nama lengkap],"Not Found",0)</f>
        <v xml:space="preserve">Syifa Azzahra </v>
      </c>
      <c r="D236" s="18" t="str">
        <f>_xlfn.XLOOKUP(Table6[[#This Row],[NIS]],Table2[NIS],Table2[Nomer Induk Siswa Nasional],"Not Found",0)</f>
        <v>0091506000</v>
      </c>
      <c r="E236" s="3" t="str">
        <f>_xlfn.XLOOKUP(Table6[[#This Row],[NIS]],Table2[NIS],Table2[Status],"Not Found",0)</f>
        <v>Aktif</v>
      </c>
      <c r="F236" s="3">
        <f>_xlfn.XLOOKUP(Table6[[#This Row],[NIS]],Table2[NIS],Table2[Tahun Masuk],"Not Found",0)</f>
        <v>2021</v>
      </c>
      <c r="G236" s="3">
        <f>_xlfn.XLOOKUP(Table6[[#This Row],[NIS]],Table2[NIS],Table2[Tahun Keluar],"Not Found",0)</f>
        <v>0</v>
      </c>
      <c r="H236" s="3">
        <f>_xlfn.XLOOKUP(Table6[[#This Row],[NIS]],Table2[NIS],Table2[Kelas],"Not Found",0)</f>
        <v>4</v>
      </c>
      <c r="I236" s="3" t="str">
        <f>_xlfn.XLOOKUP(Table6[[#This Row],[NIS]],Table2[NIS],Table2[Kelas Detail],"Not Found",0)</f>
        <v>4-A</v>
      </c>
    </row>
    <row r="237" spans="1:9">
      <c r="A237" s="3">
        <f>SUBTOTAL(3,B$3:B237)</f>
        <v>235</v>
      </c>
      <c r="B237" s="3">
        <v>21220041</v>
      </c>
      <c r="C237" s="18" t="str">
        <f>_xlfn.XLOOKUP(Table6[[#This Row],[NIS]],Table2[NIS],Table2[Nama lengkap],"Not Found",0)</f>
        <v xml:space="preserve">Syifa Nur Janah </v>
      </c>
      <c r="D237" s="18" t="str">
        <f>_xlfn.XLOOKUP(Table6[[#This Row],[NIS]],Table2[NIS],Table2[Nomer Induk Siswa Nasional],"Not Found",0)</f>
        <v>0086496704</v>
      </c>
      <c r="E237" s="3" t="str">
        <f>_xlfn.XLOOKUP(Table6[[#This Row],[NIS]],Table2[NIS],Table2[Status],"Not Found",0)</f>
        <v>Aktif</v>
      </c>
      <c r="F237" s="3">
        <f>_xlfn.XLOOKUP(Table6[[#This Row],[NIS]],Table2[NIS],Table2[Tahun Masuk],"Not Found",0)</f>
        <v>2021</v>
      </c>
      <c r="G237" s="3">
        <f>_xlfn.XLOOKUP(Table6[[#This Row],[NIS]],Table2[NIS],Table2[Tahun Keluar],"Not Found",0)</f>
        <v>0</v>
      </c>
      <c r="H237" s="3">
        <f>_xlfn.XLOOKUP(Table6[[#This Row],[NIS]],Table2[NIS],Table2[Kelas],"Not Found",0)</f>
        <v>4</v>
      </c>
      <c r="I237" s="3" t="str">
        <f>_xlfn.XLOOKUP(Table6[[#This Row],[NIS]],Table2[NIS],Table2[Kelas Detail],"Not Found",0)</f>
        <v>4-A</v>
      </c>
    </row>
    <row r="238" spans="1:9">
      <c r="A238" s="3">
        <f>SUBTOTAL(3,B$3:B238)</f>
        <v>236</v>
      </c>
      <c r="B238" s="3">
        <v>20210175</v>
      </c>
      <c r="C238" s="18" t="str">
        <f>_xlfn.XLOOKUP(Table6[[#This Row],[NIS]],Table2[NIS],Table2[Nama lengkap],"Not Found",0)</f>
        <v xml:space="preserve">Tasya Kania Putri </v>
      </c>
      <c r="D238" s="18" t="str">
        <f>_xlfn.XLOOKUP(Table6[[#This Row],[NIS]],Table2[NIS],Table2[Nomer Induk Siswa Nasional],"Not Found",0)</f>
        <v>0078289405</v>
      </c>
      <c r="E238" s="3" t="str">
        <f>_xlfn.XLOOKUP(Table6[[#This Row],[NIS]],Table2[NIS],Table2[Status],"Not Found",0)</f>
        <v>Aktif</v>
      </c>
      <c r="F238" s="3">
        <f>_xlfn.XLOOKUP(Table6[[#This Row],[NIS]],Table2[NIS],Table2[Tahun Masuk],"Not Found",0)</f>
        <v>2020</v>
      </c>
      <c r="G238" s="3">
        <f>_xlfn.XLOOKUP(Table6[[#This Row],[NIS]],Table2[NIS],Table2[Tahun Keluar],"Not Found",0)</f>
        <v>0</v>
      </c>
      <c r="H238" s="3">
        <f>_xlfn.XLOOKUP(Table6[[#This Row],[NIS]],Table2[NIS],Table2[Kelas],"Not Found",0)</f>
        <v>4</v>
      </c>
      <c r="I238" s="3" t="str">
        <f>_xlfn.XLOOKUP(Table6[[#This Row],[NIS]],Table2[NIS],Table2[Kelas Detail],"Not Found",0)</f>
        <v>4-A</v>
      </c>
    </row>
    <row r="239" spans="1:9">
      <c r="A239" s="3">
        <f>SUBTOTAL(3,B$3:B239)</f>
        <v>237</v>
      </c>
      <c r="B239" s="3">
        <v>21220053</v>
      </c>
      <c r="C239" s="18" t="str">
        <f>_xlfn.XLOOKUP(Table6[[#This Row],[NIS]],Table2[NIS],Table2[Nama lengkap],"Not Found",0)</f>
        <v>Tiara Azka Sanapna</v>
      </c>
      <c r="D239" s="18" t="str">
        <f>_xlfn.XLOOKUP(Table6[[#This Row],[NIS]],Table2[NIS],Table2[Nomer Induk Siswa Nasional],"Not Found",0)</f>
        <v>0098481318</v>
      </c>
      <c r="E239" s="3" t="str">
        <f>_xlfn.XLOOKUP(Table6[[#This Row],[NIS]],Table2[NIS],Table2[Status],"Not Found",0)</f>
        <v>Aktif</v>
      </c>
      <c r="F239" s="3">
        <f>_xlfn.XLOOKUP(Table6[[#This Row],[NIS]],Table2[NIS],Table2[Tahun Masuk],"Not Found",0)</f>
        <v>2021</v>
      </c>
      <c r="G239" s="3">
        <f>_xlfn.XLOOKUP(Table6[[#This Row],[NIS]],Table2[NIS],Table2[Tahun Keluar],"Not Found",0)</f>
        <v>0</v>
      </c>
      <c r="H239" s="3">
        <f>_xlfn.XLOOKUP(Table6[[#This Row],[NIS]],Table2[NIS],Table2[Kelas],"Not Found",0)</f>
        <v>4</v>
      </c>
      <c r="I239" s="3" t="str">
        <f>_xlfn.XLOOKUP(Table6[[#This Row],[NIS]],Table2[NIS],Table2[Kelas Detail],"Not Found",0)</f>
        <v>4-A</v>
      </c>
    </row>
    <row r="240" spans="1:9">
      <c r="A240" s="3">
        <f>SUBTOTAL(3,B$3:B240)</f>
        <v>238</v>
      </c>
      <c r="B240" s="3">
        <v>21220074</v>
      </c>
      <c r="C240" s="18" t="str">
        <f>_xlfn.XLOOKUP(Table6[[#This Row],[NIS]],Table2[NIS],Table2[Nama lengkap],"Not Found",0)</f>
        <v xml:space="preserve">Tiara Nur Azizah </v>
      </c>
      <c r="D240" s="18" t="str">
        <f>_xlfn.XLOOKUP(Table6[[#This Row],[NIS]],Table2[NIS],Table2[Nomer Induk Siswa Nasional],"Not Found",0)</f>
        <v>0097317914</v>
      </c>
      <c r="E240" s="3" t="str">
        <f>_xlfn.XLOOKUP(Table6[[#This Row],[NIS]],Table2[NIS],Table2[Status],"Not Found",0)</f>
        <v>Waqof</v>
      </c>
      <c r="F240" s="3">
        <f>_xlfn.XLOOKUP(Table6[[#This Row],[NIS]],Table2[NIS],Table2[Tahun Masuk],"Not Found",0)</f>
        <v>2021</v>
      </c>
      <c r="G240" s="3">
        <f>_xlfn.XLOOKUP(Table6[[#This Row],[NIS]],Table2[NIS],Table2[Tahun Keluar],"Not Found",0)</f>
        <v>0</v>
      </c>
      <c r="H240" s="3">
        <f>_xlfn.XLOOKUP(Table6[[#This Row],[NIS]],Table2[NIS],Table2[Kelas],"Not Found",0)</f>
        <v>4</v>
      </c>
      <c r="I240" s="3" t="str">
        <f>_xlfn.XLOOKUP(Table6[[#This Row],[NIS]],Table2[NIS],Table2[Kelas Detail],"Not Found",0)</f>
        <v>4-A</v>
      </c>
    </row>
    <row r="241" spans="1:9">
      <c r="A241" s="3">
        <f>SUBTOTAL(3,B$3:B241)</f>
        <v>239</v>
      </c>
      <c r="B241" s="3">
        <v>20210209</v>
      </c>
      <c r="C241" s="18" t="str">
        <f>_xlfn.XLOOKUP(Table6[[#This Row],[NIS]],Table2[NIS],Table2[Nama lengkap],"Not Found",0)</f>
        <v xml:space="preserve">Viqta Ramadhani </v>
      </c>
      <c r="D241" s="18" t="str">
        <f>_xlfn.XLOOKUP(Table6[[#This Row],[NIS]],Table2[NIS],Table2[Nomer Induk Siswa Nasional],"Not Found",0)</f>
        <v>0088305474</v>
      </c>
      <c r="E241" s="3" t="str">
        <f>_xlfn.XLOOKUP(Table6[[#This Row],[NIS]],Table2[NIS],Table2[Status],"Not Found",0)</f>
        <v>Aktif</v>
      </c>
      <c r="F241" s="3">
        <f>_xlfn.XLOOKUP(Table6[[#This Row],[NIS]],Table2[NIS],Table2[Tahun Masuk],"Not Found",0)</f>
        <v>2020</v>
      </c>
      <c r="G241" s="3">
        <f>_xlfn.XLOOKUP(Table6[[#This Row],[NIS]],Table2[NIS],Table2[Tahun Keluar],"Not Found",0)</f>
        <v>0</v>
      </c>
      <c r="H241" s="3">
        <f>_xlfn.XLOOKUP(Table6[[#This Row],[NIS]],Table2[NIS],Table2[Kelas],"Not Found",0)</f>
        <v>4</v>
      </c>
      <c r="I241" s="3" t="str">
        <f>_xlfn.XLOOKUP(Table6[[#This Row],[NIS]],Table2[NIS],Table2[Kelas Detail],"Not Found",0)</f>
        <v>4-A</v>
      </c>
    </row>
    <row r="242" spans="1:9">
      <c r="A242" s="3">
        <f>SUBTOTAL(3,B$3:B242)</f>
        <v>240</v>
      </c>
      <c r="B242" s="3">
        <v>21220026</v>
      </c>
      <c r="C242" s="18" t="str">
        <f>_xlfn.XLOOKUP(Table6[[#This Row],[NIS]],Table2[NIS],Table2[Nama lengkap],"Not Found",0)</f>
        <v xml:space="preserve">Wulan Siti Marwah </v>
      </c>
      <c r="D242" s="18" t="str">
        <f>_xlfn.XLOOKUP(Table6[[#This Row],[NIS]],Table2[NIS],Table2[Nomer Induk Siswa Nasional],"Not Found",0)</f>
        <v>0087688267</v>
      </c>
      <c r="E242" s="3" t="str">
        <f>_xlfn.XLOOKUP(Table6[[#This Row],[NIS]],Table2[NIS],Table2[Status],"Not Found",0)</f>
        <v>Waqof</v>
      </c>
      <c r="F242" s="3">
        <f>_xlfn.XLOOKUP(Table6[[#This Row],[NIS]],Table2[NIS],Table2[Tahun Masuk],"Not Found",0)</f>
        <v>2021</v>
      </c>
      <c r="G242" s="3">
        <f>_xlfn.XLOOKUP(Table6[[#This Row],[NIS]],Table2[NIS],Table2[Tahun Keluar],"Not Found",0)</f>
        <v>0</v>
      </c>
      <c r="H242" s="3">
        <f>_xlfn.XLOOKUP(Table6[[#This Row],[NIS]],Table2[NIS],Table2[Kelas],"Not Found",0)</f>
        <v>4</v>
      </c>
      <c r="I242" s="3" t="str">
        <f>_xlfn.XLOOKUP(Table6[[#This Row],[NIS]],Table2[NIS],Table2[Kelas Detail],"Not Found",0)</f>
        <v>4-A</v>
      </c>
    </row>
    <row r="243" spans="1:9">
      <c r="A243" s="3">
        <f>SUBTOTAL(3,B$3:B243)</f>
        <v>241</v>
      </c>
      <c r="B243" s="3">
        <v>20210140</v>
      </c>
      <c r="C243" s="18" t="str">
        <f>_xlfn.XLOOKUP(Table6[[#This Row],[NIS]],Table2[NIS],Table2[Nama lengkap],"Not Found",0)</f>
        <v xml:space="preserve">Zahra Sabrina </v>
      </c>
      <c r="D243" s="18" t="str">
        <f>_xlfn.XLOOKUP(Table6[[#This Row],[NIS]],Table2[NIS],Table2[Nomer Induk Siswa Nasional],"Not Found",0)</f>
        <v>0083030343</v>
      </c>
      <c r="E243" s="3" t="str">
        <f>_xlfn.XLOOKUP(Table6[[#This Row],[NIS]],Table2[NIS],Table2[Status],"Not Found",0)</f>
        <v>Aktif</v>
      </c>
      <c r="F243" s="3">
        <f>_xlfn.XLOOKUP(Table6[[#This Row],[NIS]],Table2[NIS],Table2[Tahun Masuk],"Not Found",0)</f>
        <v>2020</v>
      </c>
      <c r="G243" s="3">
        <f>_xlfn.XLOOKUP(Table6[[#This Row],[NIS]],Table2[NIS],Table2[Tahun Keluar],"Not Found",0)</f>
        <v>0</v>
      </c>
      <c r="H243" s="3">
        <f>_xlfn.XLOOKUP(Table6[[#This Row],[NIS]],Table2[NIS],Table2[Kelas],"Not Found",0)</f>
        <v>4</v>
      </c>
      <c r="I243" s="3" t="str">
        <f>_xlfn.XLOOKUP(Table6[[#This Row],[NIS]],Table2[NIS],Table2[Kelas Detail],"Not Found",0)</f>
        <v>4-A</v>
      </c>
    </row>
    <row r="244" spans="1:9">
      <c r="A244" s="3">
        <f>SUBTOTAL(3,B$3:B244)</f>
        <v>242</v>
      </c>
      <c r="B244" s="3">
        <v>21220157</v>
      </c>
      <c r="C244" s="18" t="str">
        <f>_xlfn.XLOOKUP(Table6[[#This Row],[NIS]],Table2[NIS],Table2[Nama lengkap],"Not Found",0)</f>
        <v xml:space="preserve">Alawiyah Muthoharoh </v>
      </c>
      <c r="D244" s="18" t="str">
        <f>_xlfn.XLOOKUP(Table6[[#This Row],[NIS]],Table2[NIS],Table2[Nomer Induk Siswa Nasional],"Not Found",0)</f>
        <v>belum tamat sd</v>
      </c>
      <c r="E244" s="3" t="str">
        <f>_xlfn.XLOOKUP(Table6[[#This Row],[NIS]],Table2[NIS],Table2[Status],"Not Found",0)</f>
        <v>Aktif</v>
      </c>
      <c r="F244" s="3">
        <f>_xlfn.XLOOKUP(Table6[[#This Row],[NIS]],Table2[NIS],Table2[Tahun Masuk],"Not Found",0)</f>
        <v>2021</v>
      </c>
      <c r="G244" s="3">
        <f>_xlfn.XLOOKUP(Table6[[#This Row],[NIS]],Table2[NIS],Table2[Tahun Keluar],"Not Found",0)</f>
        <v>0</v>
      </c>
      <c r="H244" s="3">
        <f>_xlfn.XLOOKUP(Table6[[#This Row],[NIS]],Table2[NIS],Table2[Kelas],"Not Found",0)</f>
        <v>4</v>
      </c>
      <c r="I244" s="3" t="str">
        <f>_xlfn.XLOOKUP(Table6[[#This Row],[NIS]],Table2[NIS],Table2[Kelas Detail],"Not Found",0)</f>
        <v>4-B</v>
      </c>
    </row>
    <row r="245" spans="1:9">
      <c r="A245" s="3">
        <f>SUBTOTAL(3,B$3:B245)</f>
        <v>243</v>
      </c>
      <c r="B245" s="3">
        <v>21220143</v>
      </c>
      <c r="C245" s="18" t="str">
        <f>_xlfn.XLOOKUP(Table6[[#This Row],[NIS]],Table2[NIS],Table2[Nama lengkap],"Not Found",0)</f>
        <v>Alif Lutfi Windiana</v>
      </c>
      <c r="D245" s="18" t="str">
        <f>_xlfn.XLOOKUP(Table6[[#This Row],[NIS]],Table2[NIS],Table2[Nomer Induk Siswa Nasional],"Not Found",0)</f>
        <v>0096031199/3094449458</v>
      </c>
      <c r="E245" s="3" t="str">
        <f>_xlfn.XLOOKUP(Table6[[#This Row],[NIS]],Table2[NIS],Table2[Status],"Not Found",0)</f>
        <v>Aktif</v>
      </c>
      <c r="F245" s="3">
        <f>_xlfn.XLOOKUP(Table6[[#This Row],[NIS]],Table2[NIS],Table2[Tahun Masuk],"Not Found",0)</f>
        <v>2021</v>
      </c>
      <c r="G245" s="3" t="str">
        <f>_xlfn.XLOOKUP(Table6[[#This Row],[NIS]],Table2[NIS],Table2[Tahun Keluar],"Not Found",0)</f>
        <v>TB</v>
      </c>
      <c r="H245" s="3">
        <f>_xlfn.XLOOKUP(Table6[[#This Row],[NIS]],Table2[NIS],Table2[Kelas],"Not Found",0)</f>
        <v>4</v>
      </c>
      <c r="I245" s="3" t="str">
        <f>_xlfn.XLOOKUP(Table6[[#This Row],[NIS]],Table2[NIS],Table2[Kelas Detail],"Not Found",0)</f>
        <v>4-B</v>
      </c>
    </row>
    <row r="246" spans="1:9">
      <c r="A246" s="3">
        <f>SUBTOTAL(3,B$3:B246)</f>
        <v>244</v>
      </c>
      <c r="B246" s="3">
        <v>20210260</v>
      </c>
      <c r="C246" s="18" t="str">
        <f>_xlfn.XLOOKUP(Table6[[#This Row],[NIS]],Table2[NIS],Table2[Nama lengkap],"Not Found",0)</f>
        <v>Alifa Putri Rahayu</v>
      </c>
      <c r="D246" s="18" t="str">
        <f>_xlfn.XLOOKUP(Table6[[#This Row],[NIS]],Table2[NIS],Table2[Nomer Induk Siswa Nasional],"Not Found",0)</f>
        <v>0054272031</v>
      </c>
      <c r="E246" s="3" t="str">
        <f>_xlfn.XLOOKUP(Table6[[#This Row],[NIS]],Table2[NIS],Table2[Status],"Not Found",0)</f>
        <v>Waqof</v>
      </c>
      <c r="F246" s="3">
        <f>_xlfn.XLOOKUP(Table6[[#This Row],[NIS]],Table2[NIS],Table2[Tahun Masuk],"Not Found",0)</f>
        <v>2020</v>
      </c>
      <c r="G246" s="3">
        <f>_xlfn.XLOOKUP(Table6[[#This Row],[NIS]],Table2[NIS],Table2[Tahun Keluar],"Not Found",0)</f>
        <v>0</v>
      </c>
      <c r="H246" s="3">
        <f>_xlfn.XLOOKUP(Table6[[#This Row],[NIS]],Table2[NIS],Table2[Kelas],"Not Found",0)</f>
        <v>4</v>
      </c>
      <c r="I246" s="3" t="str">
        <f>_xlfn.XLOOKUP(Table6[[#This Row],[NIS]],Table2[NIS],Table2[Kelas Detail],"Not Found",0)</f>
        <v>4-B</v>
      </c>
    </row>
    <row r="247" spans="1:9">
      <c r="A247" s="3">
        <f>SUBTOTAL(3,B$3:B247)</f>
        <v>245</v>
      </c>
      <c r="B247" s="3">
        <v>21220046</v>
      </c>
      <c r="C247" s="18" t="str">
        <f>_xlfn.XLOOKUP(Table6[[#This Row],[NIS]],Table2[NIS],Table2[Nama lengkap],"Not Found",0)</f>
        <v>Alifia Rahma Putri</v>
      </c>
      <c r="D247" s="18" t="str">
        <f>_xlfn.XLOOKUP(Table6[[#This Row],[NIS]],Table2[NIS],Table2[Nomer Induk Siswa Nasional],"Not Found",0)</f>
        <v>0097398028</v>
      </c>
      <c r="E247" s="3" t="str">
        <f>_xlfn.XLOOKUP(Table6[[#This Row],[NIS]],Table2[NIS],Table2[Status],"Not Found",0)</f>
        <v>Aktif</v>
      </c>
      <c r="F247" s="3">
        <f>_xlfn.XLOOKUP(Table6[[#This Row],[NIS]],Table2[NIS],Table2[Tahun Masuk],"Not Found",0)</f>
        <v>2021</v>
      </c>
      <c r="G247" s="3">
        <f>_xlfn.XLOOKUP(Table6[[#This Row],[NIS]],Table2[NIS],Table2[Tahun Keluar],"Not Found",0)</f>
        <v>0</v>
      </c>
      <c r="H247" s="3">
        <f>_xlfn.XLOOKUP(Table6[[#This Row],[NIS]],Table2[NIS],Table2[Kelas],"Not Found",0)</f>
        <v>4</v>
      </c>
      <c r="I247" s="3" t="str">
        <f>_xlfn.XLOOKUP(Table6[[#This Row],[NIS]],Table2[NIS],Table2[Kelas Detail],"Not Found",0)</f>
        <v>4-B</v>
      </c>
    </row>
    <row r="248" spans="1:9">
      <c r="A248" s="3">
        <f>SUBTOTAL(3,B$3:B248)</f>
        <v>246</v>
      </c>
      <c r="B248" s="3">
        <v>20210194</v>
      </c>
      <c r="C248" s="18" t="str">
        <f>_xlfn.XLOOKUP(Table6[[#This Row],[NIS]],Table2[NIS],Table2[Nama lengkap],"Not Found",0)</f>
        <v xml:space="preserve">Alisya Safitri </v>
      </c>
      <c r="D248" s="18" t="str">
        <f>_xlfn.XLOOKUP(Table6[[#This Row],[NIS]],Table2[NIS],Table2[Nomer Induk Siswa Nasional],"Not Found",0)</f>
        <v>0074518718</v>
      </c>
      <c r="E248" s="3" t="str">
        <f>_xlfn.XLOOKUP(Table6[[#This Row],[NIS]],Table2[NIS],Table2[Status],"Not Found",0)</f>
        <v>Aktif</v>
      </c>
      <c r="F248" s="3">
        <f>_xlfn.XLOOKUP(Table6[[#This Row],[NIS]],Table2[NIS],Table2[Tahun Masuk],"Not Found",0)</f>
        <v>2020</v>
      </c>
      <c r="G248" s="3">
        <f>_xlfn.XLOOKUP(Table6[[#This Row],[NIS]],Table2[NIS],Table2[Tahun Keluar],"Not Found",0)</f>
        <v>0</v>
      </c>
      <c r="H248" s="3">
        <f>_xlfn.XLOOKUP(Table6[[#This Row],[NIS]],Table2[NIS],Table2[Kelas],"Not Found",0)</f>
        <v>4</v>
      </c>
      <c r="I248" s="3" t="str">
        <f>_xlfn.XLOOKUP(Table6[[#This Row],[NIS]],Table2[NIS],Table2[Kelas Detail],"Not Found",0)</f>
        <v>4-B</v>
      </c>
    </row>
    <row r="249" spans="1:9">
      <c r="A249" s="3">
        <f>SUBTOTAL(3,B$3:B249)</f>
        <v>247</v>
      </c>
      <c r="B249" s="3">
        <v>20210185</v>
      </c>
      <c r="C249" s="18" t="str">
        <f>_xlfn.XLOOKUP(Table6[[#This Row],[NIS]],Table2[NIS],Table2[Nama lengkap],"Not Found",0)</f>
        <v>Andini Julianisa</v>
      </c>
      <c r="D249" s="18" t="str">
        <f>_xlfn.XLOOKUP(Table6[[#This Row],[NIS]],Table2[NIS],Table2[Nomer Induk Siswa Nasional],"Not Found",0)</f>
        <v>0057279579</v>
      </c>
      <c r="E249" s="3" t="str">
        <f>_xlfn.XLOOKUP(Table6[[#This Row],[NIS]],Table2[NIS],Table2[Status],"Not Found",0)</f>
        <v>Aktif</v>
      </c>
      <c r="F249" s="3">
        <f>_xlfn.XLOOKUP(Table6[[#This Row],[NIS]],Table2[NIS],Table2[Tahun Masuk],"Not Found",0)</f>
        <v>2020</v>
      </c>
      <c r="G249" s="3">
        <f>_xlfn.XLOOKUP(Table6[[#This Row],[NIS]],Table2[NIS],Table2[Tahun Keluar],"Not Found",0)</f>
        <v>0</v>
      </c>
      <c r="H249" s="3">
        <f>_xlfn.XLOOKUP(Table6[[#This Row],[NIS]],Table2[NIS],Table2[Kelas],"Not Found",0)</f>
        <v>4</v>
      </c>
      <c r="I249" s="3" t="str">
        <f>_xlfn.XLOOKUP(Table6[[#This Row],[NIS]],Table2[NIS],Table2[Kelas Detail],"Not Found",0)</f>
        <v>4-B</v>
      </c>
    </row>
    <row r="250" spans="1:9">
      <c r="A250" s="3">
        <f>SUBTOTAL(3,B$3:B250)</f>
        <v>248</v>
      </c>
      <c r="B250" s="3">
        <v>21220042</v>
      </c>
      <c r="C250" s="18" t="str">
        <f>_xlfn.XLOOKUP(Table6[[#This Row],[NIS]],Table2[NIS],Table2[Nama lengkap],"Not Found",0)</f>
        <v>Azkiya Muti Arumaisa</v>
      </c>
      <c r="D250" s="18" t="str">
        <f>_xlfn.XLOOKUP(Table6[[#This Row],[NIS]],Table2[NIS],Table2[Nomer Induk Siswa Nasional],"Not Found",0)</f>
        <v>0099086208</v>
      </c>
      <c r="E250" s="3" t="str">
        <f>_xlfn.XLOOKUP(Table6[[#This Row],[NIS]],Table2[NIS],Table2[Status],"Not Found",0)</f>
        <v>Aktif</v>
      </c>
      <c r="F250" s="3">
        <f>_xlfn.XLOOKUP(Table6[[#This Row],[NIS]],Table2[NIS],Table2[Tahun Masuk],"Not Found",0)</f>
        <v>2021</v>
      </c>
      <c r="G250" s="3">
        <f>_xlfn.XLOOKUP(Table6[[#This Row],[NIS]],Table2[NIS],Table2[Tahun Keluar],"Not Found",0)</f>
        <v>0</v>
      </c>
      <c r="H250" s="3">
        <f>_xlfn.XLOOKUP(Table6[[#This Row],[NIS]],Table2[NIS],Table2[Kelas],"Not Found",0)</f>
        <v>4</v>
      </c>
      <c r="I250" s="3" t="str">
        <f>_xlfn.XLOOKUP(Table6[[#This Row],[NIS]],Table2[NIS],Table2[Kelas Detail],"Not Found",0)</f>
        <v>4-B</v>
      </c>
    </row>
    <row r="251" spans="1:9">
      <c r="A251" s="3">
        <f>SUBTOTAL(3,B$3:B251)</f>
        <v>249</v>
      </c>
      <c r="B251" s="3">
        <v>21220145</v>
      </c>
      <c r="C251" s="18" t="str">
        <f>_xlfn.XLOOKUP(Table6[[#This Row],[NIS]],Table2[NIS],Table2[Nama lengkap],"Not Found",0)</f>
        <v>Denis Fitria</v>
      </c>
      <c r="D251" s="18" t="str">
        <f>_xlfn.XLOOKUP(Table6[[#This Row],[NIS]],Table2[NIS],Table2[Nomer Induk Siswa Nasional],"Not Found",0)</f>
        <v>0005866681</v>
      </c>
      <c r="E251" s="3" t="str">
        <f>_xlfn.XLOOKUP(Table6[[#This Row],[NIS]],Table2[NIS],Table2[Status],"Not Found",0)</f>
        <v>Aktif</v>
      </c>
      <c r="F251" s="3">
        <f>_xlfn.XLOOKUP(Table6[[#This Row],[NIS]],Table2[NIS],Table2[Tahun Masuk],"Not Found",0)</f>
        <v>2021</v>
      </c>
      <c r="G251" s="3">
        <f>_xlfn.XLOOKUP(Table6[[#This Row],[NIS]],Table2[NIS],Table2[Tahun Keluar],"Not Found",0)</f>
        <v>0</v>
      </c>
      <c r="H251" s="3">
        <f>_xlfn.XLOOKUP(Table6[[#This Row],[NIS]],Table2[NIS],Table2[Kelas],"Not Found",0)</f>
        <v>4</v>
      </c>
      <c r="I251" s="3" t="str">
        <f>_xlfn.XLOOKUP(Table6[[#This Row],[NIS]],Table2[NIS],Table2[Kelas Detail],"Not Found",0)</f>
        <v>4-B</v>
      </c>
    </row>
    <row r="252" spans="1:9">
      <c r="A252" s="3">
        <f>SUBTOTAL(3,B$3:B252)</f>
        <v>250</v>
      </c>
      <c r="B252" s="3">
        <v>21220055</v>
      </c>
      <c r="C252" s="18" t="str">
        <f>_xlfn.XLOOKUP(Table6[[#This Row],[NIS]],Table2[NIS],Table2[Nama lengkap],"Not Found",0)</f>
        <v>Disti Nur Afiyah</v>
      </c>
      <c r="D252" s="18" t="str">
        <f>_xlfn.XLOOKUP(Table6[[#This Row],[NIS]],Table2[NIS],Table2[Nomer Induk Siswa Nasional],"Not Found",0)</f>
        <v>0099222468</v>
      </c>
      <c r="E252" s="3" t="str">
        <f>_xlfn.XLOOKUP(Table6[[#This Row],[NIS]],Table2[NIS],Table2[Status],"Not Found",0)</f>
        <v>Aktif</v>
      </c>
      <c r="F252" s="3">
        <f>_xlfn.XLOOKUP(Table6[[#This Row],[NIS]],Table2[NIS],Table2[Tahun Masuk],"Not Found",0)</f>
        <v>2021</v>
      </c>
      <c r="G252" s="3">
        <f>_xlfn.XLOOKUP(Table6[[#This Row],[NIS]],Table2[NIS],Table2[Tahun Keluar],"Not Found",0)</f>
        <v>0</v>
      </c>
      <c r="H252" s="3">
        <f>_xlfn.XLOOKUP(Table6[[#This Row],[NIS]],Table2[NIS],Table2[Kelas],"Not Found",0)</f>
        <v>4</v>
      </c>
      <c r="I252" s="3" t="str">
        <f>_xlfn.XLOOKUP(Table6[[#This Row],[NIS]],Table2[NIS],Table2[Kelas Detail],"Not Found",0)</f>
        <v>4-B</v>
      </c>
    </row>
    <row r="253" spans="1:9">
      <c r="A253" s="3">
        <f>SUBTOTAL(3,B$3:B253)</f>
        <v>251</v>
      </c>
      <c r="B253" s="3">
        <v>20210156</v>
      </c>
      <c r="C253" s="18" t="str">
        <f>_xlfn.XLOOKUP(Table6[[#This Row],[NIS]],Table2[NIS],Table2[Nama lengkap],"Not Found",0)</f>
        <v xml:space="preserve">Diva Apriliani </v>
      </c>
      <c r="D253" s="18" t="str">
        <f>_xlfn.XLOOKUP(Table6[[#This Row],[NIS]],Table2[NIS],Table2[Nomer Induk Siswa Nasional],"Not Found",0)</f>
        <v>0085685293</v>
      </c>
      <c r="E253" s="3" t="str">
        <f>_xlfn.XLOOKUP(Table6[[#This Row],[NIS]],Table2[NIS],Table2[Status],"Not Found",0)</f>
        <v>Aktif</v>
      </c>
      <c r="F253" s="3">
        <f>_xlfn.XLOOKUP(Table6[[#This Row],[NIS]],Table2[NIS],Table2[Tahun Masuk],"Not Found",0)</f>
        <v>2020</v>
      </c>
      <c r="G253" s="3">
        <f>_xlfn.XLOOKUP(Table6[[#This Row],[NIS]],Table2[NIS],Table2[Tahun Keluar],"Not Found",0)</f>
        <v>0</v>
      </c>
      <c r="H253" s="3">
        <f>_xlfn.XLOOKUP(Table6[[#This Row],[NIS]],Table2[NIS],Table2[Kelas],"Not Found",0)</f>
        <v>4</v>
      </c>
      <c r="I253" s="3" t="str">
        <f>_xlfn.XLOOKUP(Table6[[#This Row],[NIS]],Table2[NIS],Table2[Kelas Detail],"Not Found",0)</f>
        <v>4-B</v>
      </c>
    </row>
    <row r="254" spans="1:9">
      <c r="A254" s="3">
        <f>SUBTOTAL(3,B$3:B254)</f>
        <v>252</v>
      </c>
      <c r="B254" s="3">
        <v>20210138</v>
      </c>
      <c r="C254" s="18" t="str">
        <f>_xlfn.XLOOKUP(Table6[[#This Row],[NIS]],Table2[NIS],Table2[Nama lengkap],"Not Found",0)</f>
        <v>Fatimah Aulia Azzahra</v>
      </c>
      <c r="D254" s="18">
        <f>_xlfn.XLOOKUP(Table6[[#This Row],[NIS]],Table2[NIS],Table2[Nomer Induk Siswa Nasional],"Not Found",0)</f>
        <v>3075700775</v>
      </c>
      <c r="E254" s="3" t="str">
        <f>_xlfn.XLOOKUP(Table6[[#This Row],[NIS]],Table2[NIS],Table2[Status],"Not Found",0)</f>
        <v>Aktif</v>
      </c>
      <c r="F254" s="3">
        <f>_xlfn.XLOOKUP(Table6[[#This Row],[NIS]],Table2[NIS],Table2[Tahun Masuk],"Not Found",0)</f>
        <v>2020</v>
      </c>
      <c r="G254" s="3">
        <f>_xlfn.XLOOKUP(Table6[[#This Row],[NIS]],Table2[NIS],Table2[Tahun Keluar],"Not Found",0)</f>
        <v>0</v>
      </c>
      <c r="H254" s="3">
        <f>_xlfn.XLOOKUP(Table6[[#This Row],[NIS]],Table2[NIS],Table2[Kelas],"Not Found",0)</f>
        <v>4</v>
      </c>
      <c r="I254" s="3" t="str">
        <f>_xlfn.XLOOKUP(Table6[[#This Row],[NIS]],Table2[NIS],Table2[Kelas Detail],"Not Found",0)</f>
        <v>4-B</v>
      </c>
    </row>
    <row r="255" spans="1:9">
      <c r="A255" s="3">
        <f>SUBTOTAL(3,B$3:B255)</f>
        <v>253</v>
      </c>
      <c r="B255" s="3">
        <v>21220073</v>
      </c>
      <c r="C255" s="18" t="str">
        <f>_xlfn.XLOOKUP(Table6[[#This Row],[NIS]],Table2[NIS],Table2[Nama lengkap],"Not Found",0)</f>
        <v xml:space="preserve">Fatimah Mayaail </v>
      </c>
      <c r="D255" s="18" t="str">
        <f>_xlfn.XLOOKUP(Table6[[#This Row],[NIS]],Table2[NIS],Table2[Nomer Induk Siswa Nasional],"Not Found",0)</f>
        <v>0059412755</v>
      </c>
      <c r="E255" s="3" t="str">
        <f>_xlfn.XLOOKUP(Table6[[#This Row],[NIS]],Table2[NIS],Table2[Status],"Not Found",0)</f>
        <v>Aktif</v>
      </c>
      <c r="F255" s="3">
        <f>_xlfn.XLOOKUP(Table6[[#This Row],[NIS]],Table2[NIS],Table2[Tahun Masuk],"Not Found",0)</f>
        <v>2021</v>
      </c>
      <c r="G255" s="3">
        <f>_xlfn.XLOOKUP(Table6[[#This Row],[NIS]],Table2[NIS],Table2[Tahun Keluar],"Not Found",0)</f>
        <v>0</v>
      </c>
      <c r="H255" s="3">
        <f>_xlfn.XLOOKUP(Table6[[#This Row],[NIS]],Table2[NIS],Table2[Kelas],"Not Found",0)</f>
        <v>4</v>
      </c>
      <c r="I255" s="3" t="str">
        <f>_xlfn.XLOOKUP(Table6[[#This Row],[NIS]],Table2[NIS],Table2[Kelas Detail],"Not Found",0)</f>
        <v>4-B</v>
      </c>
    </row>
    <row r="256" spans="1:9">
      <c r="A256" s="3">
        <f>SUBTOTAL(3,B$3:B256)</f>
        <v>254</v>
      </c>
      <c r="B256" s="3">
        <v>21220034</v>
      </c>
      <c r="C256" s="18" t="str">
        <f>_xlfn.XLOOKUP(Table6[[#This Row],[NIS]],Table2[NIS],Table2[Nama lengkap],"Not Found",0)</f>
        <v>Gina Siti Saniyyah</v>
      </c>
      <c r="D256" s="18" t="str">
        <f>_xlfn.XLOOKUP(Table6[[#This Row],[NIS]],Table2[NIS],Table2[Nomer Induk Siswa Nasional],"Not Found",0)</f>
        <v>3090296268/0094992129</v>
      </c>
      <c r="E256" s="3" t="str">
        <f>_xlfn.XLOOKUP(Table6[[#This Row],[NIS]],Table2[NIS],Table2[Status],"Not Found",0)</f>
        <v>Aktif</v>
      </c>
      <c r="F256" s="3">
        <f>_xlfn.XLOOKUP(Table6[[#This Row],[NIS]],Table2[NIS],Table2[Tahun Masuk],"Not Found",0)</f>
        <v>2021</v>
      </c>
      <c r="G256" s="3">
        <f>_xlfn.XLOOKUP(Table6[[#This Row],[NIS]],Table2[NIS],Table2[Tahun Keluar],"Not Found",0)</f>
        <v>0</v>
      </c>
      <c r="H256" s="3">
        <f>_xlfn.XLOOKUP(Table6[[#This Row],[NIS]],Table2[NIS],Table2[Kelas],"Not Found",0)</f>
        <v>4</v>
      </c>
      <c r="I256" s="3" t="str">
        <f>_xlfn.XLOOKUP(Table6[[#This Row],[NIS]],Table2[NIS],Table2[Kelas Detail],"Not Found",0)</f>
        <v>4-B</v>
      </c>
    </row>
    <row r="257" spans="1:9">
      <c r="A257" s="3">
        <f>SUBTOTAL(3,B$3:B257)</f>
        <v>255</v>
      </c>
      <c r="B257" s="3">
        <v>20210123</v>
      </c>
      <c r="C257" s="18" t="str">
        <f>_xlfn.XLOOKUP(Table6[[#This Row],[NIS]],Table2[NIS],Table2[Nama lengkap],"Not Found",0)</f>
        <v xml:space="preserve">Husna Nuraini </v>
      </c>
      <c r="D257" s="18" t="str">
        <f>_xlfn.XLOOKUP(Table6[[#This Row],[NIS]],Table2[NIS],Table2[Nomer Induk Siswa Nasional],"Not Found",0)</f>
        <v>0089594186</v>
      </c>
      <c r="E257" s="3" t="str">
        <f>_xlfn.XLOOKUP(Table6[[#This Row],[NIS]],Table2[NIS],Table2[Status],"Not Found",0)</f>
        <v>Aktif</v>
      </c>
      <c r="F257" s="3">
        <f>_xlfn.XLOOKUP(Table6[[#This Row],[NIS]],Table2[NIS],Table2[Tahun Masuk],"Not Found",0)</f>
        <v>2020</v>
      </c>
      <c r="G257" s="3">
        <f>_xlfn.XLOOKUP(Table6[[#This Row],[NIS]],Table2[NIS],Table2[Tahun Keluar],"Not Found",0)</f>
        <v>0</v>
      </c>
      <c r="H257" s="3">
        <f>_xlfn.XLOOKUP(Table6[[#This Row],[NIS]],Table2[NIS],Table2[Kelas],"Not Found",0)</f>
        <v>4</v>
      </c>
      <c r="I257" s="3" t="str">
        <f>_xlfn.XLOOKUP(Table6[[#This Row],[NIS]],Table2[NIS],Table2[Kelas Detail],"Not Found",0)</f>
        <v>4-B</v>
      </c>
    </row>
    <row r="258" spans="1:9">
      <c r="A258" s="3">
        <f>SUBTOTAL(3,B$3:B258)</f>
        <v>256</v>
      </c>
      <c r="B258" s="3">
        <v>21220076</v>
      </c>
      <c r="C258" s="18" t="str">
        <f>_xlfn.XLOOKUP(Table6[[#This Row],[NIS]],Table2[NIS],Table2[Nama lengkap],"Not Found",0)</f>
        <v xml:space="preserve">Indah Ruswandi </v>
      </c>
      <c r="D258" s="18" t="str">
        <f>_xlfn.XLOOKUP(Table6[[#This Row],[NIS]],Table2[NIS],Table2[Nomer Induk Siswa Nasional],"Not Found",0)</f>
        <v>0088666278</v>
      </c>
      <c r="E258" s="3" t="str">
        <f>_xlfn.XLOOKUP(Table6[[#This Row],[NIS]],Table2[NIS],Table2[Status],"Not Found",0)</f>
        <v>Waqof</v>
      </c>
      <c r="F258" s="3">
        <f>_xlfn.XLOOKUP(Table6[[#This Row],[NIS]],Table2[NIS],Table2[Tahun Masuk],"Not Found",0)</f>
        <v>2021</v>
      </c>
      <c r="G258" s="3">
        <f>_xlfn.XLOOKUP(Table6[[#This Row],[NIS]],Table2[NIS],Table2[Tahun Keluar],"Not Found",0)</f>
        <v>0</v>
      </c>
      <c r="H258" s="3">
        <f>_xlfn.XLOOKUP(Table6[[#This Row],[NIS]],Table2[NIS],Table2[Kelas],"Not Found",0)</f>
        <v>4</v>
      </c>
      <c r="I258" s="3" t="str">
        <f>_xlfn.XLOOKUP(Table6[[#This Row],[NIS]],Table2[NIS],Table2[Kelas Detail],"Not Found",0)</f>
        <v>4-B</v>
      </c>
    </row>
    <row r="259" spans="1:9">
      <c r="A259" s="3">
        <f>SUBTOTAL(3,B$3:B259)</f>
        <v>257</v>
      </c>
      <c r="B259" s="3">
        <v>21220159</v>
      </c>
      <c r="C259" s="18" t="str">
        <f>_xlfn.XLOOKUP(Table6[[#This Row],[NIS]],Table2[NIS],Table2[Nama lengkap],"Not Found",0)</f>
        <v xml:space="preserve">Jaenul Qoriyah </v>
      </c>
      <c r="D259" s="18" t="str">
        <f>_xlfn.XLOOKUP(Table6[[#This Row],[NIS]],Table2[NIS],Table2[Nomer Induk Siswa Nasional],"Not Found",0)</f>
        <v>0059558987</v>
      </c>
      <c r="E259" s="3" t="str">
        <f>_xlfn.XLOOKUP(Table6[[#This Row],[NIS]],Table2[NIS],Table2[Status],"Not Found",0)</f>
        <v>Aktif</v>
      </c>
      <c r="F259" s="3">
        <f>_xlfn.XLOOKUP(Table6[[#This Row],[NIS]],Table2[NIS],Table2[Tahun Masuk],"Not Found",0)</f>
        <v>2021</v>
      </c>
      <c r="G259" s="3">
        <f>_xlfn.XLOOKUP(Table6[[#This Row],[NIS]],Table2[NIS],Table2[Tahun Keluar],"Not Found",0)</f>
        <v>0</v>
      </c>
      <c r="H259" s="3">
        <f>_xlfn.XLOOKUP(Table6[[#This Row],[NIS]],Table2[NIS],Table2[Kelas],"Not Found",0)</f>
        <v>4</v>
      </c>
      <c r="I259" s="3" t="str">
        <f>_xlfn.XLOOKUP(Table6[[#This Row],[NIS]],Table2[NIS],Table2[Kelas Detail],"Not Found",0)</f>
        <v>4-B</v>
      </c>
    </row>
    <row r="260" spans="1:9">
      <c r="A260" s="3">
        <f>SUBTOTAL(3,B$3:B260)</f>
        <v>258</v>
      </c>
      <c r="B260" s="3">
        <v>21220080</v>
      </c>
      <c r="C260" s="18" t="str">
        <f>_xlfn.XLOOKUP(Table6[[#This Row],[NIS]],Table2[NIS],Table2[Nama lengkap],"Not Found",0)</f>
        <v>Khansa Athifa Sholikhah</v>
      </c>
      <c r="D260" s="18">
        <f>_xlfn.XLOOKUP(Table6[[#This Row],[NIS]],Table2[NIS],Table2[Nomer Induk Siswa Nasional],"Not Found",0)</f>
        <v>3085244369</v>
      </c>
      <c r="E260" s="3" t="str">
        <f>_xlfn.XLOOKUP(Table6[[#This Row],[NIS]],Table2[NIS],Table2[Status],"Not Found",0)</f>
        <v>Aktif</v>
      </c>
      <c r="F260" s="3">
        <f>_xlfn.XLOOKUP(Table6[[#This Row],[NIS]],Table2[NIS],Table2[Tahun Masuk],"Not Found",0)</f>
        <v>2021</v>
      </c>
      <c r="G260" s="3">
        <f>_xlfn.XLOOKUP(Table6[[#This Row],[NIS]],Table2[NIS],Table2[Tahun Keluar],"Not Found",0)</f>
        <v>0</v>
      </c>
      <c r="H260" s="3">
        <f>_xlfn.XLOOKUP(Table6[[#This Row],[NIS]],Table2[NIS],Table2[Kelas],"Not Found",0)</f>
        <v>4</v>
      </c>
      <c r="I260" s="3" t="str">
        <f>_xlfn.XLOOKUP(Table6[[#This Row],[NIS]],Table2[NIS],Table2[Kelas Detail],"Not Found",0)</f>
        <v>4-B</v>
      </c>
    </row>
    <row r="261" spans="1:9">
      <c r="A261" s="3">
        <f>SUBTOTAL(3,B$3:B261)</f>
        <v>259</v>
      </c>
      <c r="B261" s="3">
        <v>21220057</v>
      </c>
      <c r="C261" s="18" t="str">
        <f>_xlfn.XLOOKUP(Table6[[#This Row],[NIS]],Table2[NIS],Table2[Nama lengkap],"Not Found",0)</f>
        <v>Khansa Farras Khairan</v>
      </c>
      <c r="D261" s="18" t="str">
        <f>_xlfn.XLOOKUP(Table6[[#This Row],[NIS]],Table2[NIS],Table2[Nomer Induk Siswa Nasional],"Not Found",0)</f>
        <v>0087449217</v>
      </c>
      <c r="E261" s="3" t="str">
        <f>_xlfn.XLOOKUP(Table6[[#This Row],[NIS]],Table2[NIS],Table2[Status],"Not Found",0)</f>
        <v>Aktif</v>
      </c>
      <c r="F261" s="3">
        <f>_xlfn.XLOOKUP(Table6[[#This Row],[NIS]],Table2[NIS],Table2[Tahun Masuk],"Not Found",0)</f>
        <v>2021</v>
      </c>
      <c r="G261" s="3">
        <f>_xlfn.XLOOKUP(Table6[[#This Row],[NIS]],Table2[NIS],Table2[Tahun Keluar],"Not Found",0)</f>
        <v>0</v>
      </c>
      <c r="H261" s="3">
        <f>_xlfn.XLOOKUP(Table6[[#This Row],[NIS]],Table2[NIS],Table2[Kelas],"Not Found",0)</f>
        <v>4</v>
      </c>
      <c r="I261" s="3" t="str">
        <f>_xlfn.XLOOKUP(Table6[[#This Row],[NIS]],Table2[NIS],Table2[Kelas Detail],"Not Found",0)</f>
        <v>4-B</v>
      </c>
    </row>
    <row r="262" spans="1:9">
      <c r="A262" s="3">
        <f>SUBTOTAL(3,B$3:B262)</f>
        <v>260</v>
      </c>
      <c r="B262" s="3">
        <v>21220077</v>
      </c>
      <c r="C262" s="18" t="str">
        <f>_xlfn.XLOOKUP(Table6[[#This Row],[NIS]],Table2[NIS],Table2[Nama lengkap],"Not Found",0)</f>
        <v xml:space="preserve">Mega Cipta </v>
      </c>
      <c r="D262" s="18" t="str">
        <f>_xlfn.XLOOKUP(Table6[[#This Row],[NIS]],Table2[NIS],Table2[Nomer Induk Siswa Nasional],"Not Found",0)</f>
        <v>0099940153</v>
      </c>
      <c r="E262" s="3" t="str">
        <f>_xlfn.XLOOKUP(Table6[[#This Row],[NIS]],Table2[NIS],Table2[Status],"Not Found",0)</f>
        <v>Aktif</v>
      </c>
      <c r="F262" s="3">
        <f>_xlfn.XLOOKUP(Table6[[#This Row],[NIS]],Table2[NIS],Table2[Tahun Masuk],"Not Found",0)</f>
        <v>2021</v>
      </c>
      <c r="G262" s="3">
        <f>_xlfn.XLOOKUP(Table6[[#This Row],[NIS]],Table2[NIS],Table2[Tahun Keluar],"Not Found",0)</f>
        <v>0</v>
      </c>
      <c r="H262" s="3">
        <f>_xlfn.XLOOKUP(Table6[[#This Row],[NIS]],Table2[NIS],Table2[Kelas],"Not Found",0)</f>
        <v>4</v>
      </c>
      <c r="I262" s="3" t="str">
        <f>_xlfn.XLOOKUP(Table6[[#This Row],[NIS]],Table2[NIS],Table2[Kelas Detail],"Not Found",0)</f>
        <v>4-B</v>
      </c>
    </row>
    <row r="263" spans="1:9">
      <c r="A263" s="3">
        <f>SUBTOTAL(3,B$3:B263)</f>
        <v>261</v>
      </c>
      <c r="B263" s="3">
        <v>21220152</v>
      </c>
      <c r="C263" s="18" t="str">
        <f>_xlfn.XLOOKUP(Table6[[#This Row],[NIS]],Table2[NIS],Table2[Nama lengkap],"Not Found",0)</f>
        <v>Moza Aulia Maranata</v>
      </c>
      <c r="D263" s="18">
        <f>_xlfn.XLOOKUP(Table6[[#This Row],[NIS]],Table2[NIS],Table2[Nomer Induk Siswa Nasional],"Not Found",0)</f>
        <v>3097948947</v>
      </c>
      <c r="E263" s="3" t="str">
        <f>_xlfn.XLOOKUP(Table6[[#This Row],[NIS]],Table2[NIS],Table2[Status],"Not Found",0)</f>
        <v>Aktif</v>
      </c>
      <c r="F263" s="3">
        <f>_xlfn.XLOOKUP(Table6[[#This Row],[NIS]],Table2[NIS],Table2[Tahun Masuk],"Not Found",0)</f>
        <v>2021</v>
      </c>
      <c r="G263" s="3">
        <f>_xlfn.XLOOKUP(Table6[[#This Row],[NIS]],Table2[NIS],Table2[Tahun Keluar],"Not Found",0)</f>
        <v>0</v>
      </c>
      <c r="H263" s="3">
        <f>_xlfn.XLOOKUP(Table6[[#This Row],[NIS]],Table2[NIS],Table2[Kelas],"Not Found",0)</f>
        <v>4</v>
      </c>
      <c r="I263" s="3" t="str">
        <f>_xlfn.XLOOKUP(Table6[[#This Row],[NIS]],Table2[NIS],Table2[Kelas Detail],"Not Found",0)</f>
        <v>4-B</v>
      </c>
    </row>
    <row r="264" spans="1:9">
      <c r="A264" s="3">
        <f>SUBTOTAL(3,B$3:B264)</f>
        <v>262</v>
      </c>
      <c r="B264" s="3">
        <v>20210131</v>
      </c>
      <c r="C264" s="18" t="str">
        <f>_xlfn.XLOOKUP(Table6[[#This Row],[NIS]],Table2[NIS],Table2[Nama lengkap],"Not Found",0)</f>
        <v>Mutiara Dwi Nursyifa</v>
      </c>
      <c r="D264" s="18" t="str">
        <f>_xlfn.XLOOKUP(Table6[[#This Row],[NIS]],Table2[NIS],Table2[Nomer Induk Siswa Nasional],"Not Found",0)</f>
        <v>0089143107</v>
      </c>
      <c r="E264" s="3" t="str">
        <f>_xlfn.XLOOKUP(Table6[[#This Row],[NIS]],Table2[NIS],Table2[Status],"Not Found",0)</f>
        <v>Aktif</v>
      </c>
      <c r="F264" s="3">
        <f>_xlfn.XLOOKUP(Table6[[#This Row],[NIS]],Table2[NIS],Table2[Tahun Masuk],"Not Found",0)</f>
        <v>2020</v>
      </c>
      <c r="G264" s="3">
        <f>_xlfn.XLOOKUP(Table6[[#This Row],[NIS]],Table2[NIS],Table2[Tahun Keluar],"Not Found",0)</f>
        <v>0</v>
      </c>
      <c r="H264" s="3">
        <f>_xlfn.XLOOKUP(Table6[[#This Row],[NIS]],Table2[NIS],Table2[Kelas],"Not Found",0)</f>
        <v>4</v>
      </c>
      <c r="I264" s="3" t="str">
        <f>_xlfn.XLOOKUP(Table6[[#This Row],[NIS]],Table2[NIS],Table2[Kelas Detail],"Not Found",0)</f>
        <v>4-B</v>
      </c>
    </row>
    <row r="265" spans="1:9">
      <c r="A265" s="3">
        <f>SUBTOTAL(3,B$3:B265)</f>
        <v>263</v>
      </c>
      <c r="B265" s="3">
        <v>21220160</v>
      </c>
      <c r="C265" s="18" t="str">
        <f>_xlfn.XLOOKUP(Table6[[#This Row],[NIS]],Table2[NIS],Table2[Nama lengkap],"Not Found",0)</f>
        <v>Mutiara Sagita Alindri</v>
      </c>
      <c r="D265" s="18" t="str">
        <f>_xlfn.XLOOKUP(Table6[[#This Row],[NIS]],Table2[NIS],Table2[Nomer Induk Siswa Nasional],"Not Found",0)</f>
        <v>0073775453</v>
      </c>
      <c r="E265" s="3" t="str">
        <f>_xlfn.XLOOKUP(Table6[[#This Row],[NIS]],Table2[NIS],Table2[Status],"Not Found",0)</f>
        <v>Aktif</v>
      </c>
      <c r="F265" s="3">
        <f>_xlfn.XLOOKUP(Table6[[#This Row],[NIS]],Table2[NIS],Table2[Tahun Masuk],"Not Found",0)</f>
        <v>2021</v>
      </c>
      <c r="G265" s="3">
        <f>_xlfn.XLOOKUP(Table6[[#This Row],[NIS]],Table2[NIS],Table2[Tahun Keluar],"Not Found",0)</f>
        <v>0</v>
      </c>
      <c r="H265" s="3">
        <f>_xlfn.XLOOKUP(Table6[[#This Row],[NIS]],Table2[NIS],Table2[Kelas],"Not Found",0)</f>
        <v>4</v>
      </c>
      <c r="I265" s="3" t="str">
        <f>_xlfn.XLOOKUP(Table6[[#This Row],[NIS]],Table2[NIS],Table2[Kelas Detail],"Not Found",0)</f>
        <v>4-B</v>
      </c>
    </row>
    <row r="266" spans="1:9">
      <c r="A266" s="3">
        <f>SUBTOTAL(3,B$3:B266)</f>
        <v>264</v>
      </c>
      <c r="B266" s="3">
        <v>21220025</v>
      </c>
      <c r="C266" s="18" t="str">
        <f>_xlfn.XLOOKUP(Table6[[#This Row],[NIS]],Table2[NIS],Table2[Nama lengkap],"Not Found",0)</f>
        <v xml:space="preserve">Nazwa Maulida </v>
      </c>
      <c r="D266" s="18" t="str">
        <f>_xlfn.XLOOKUP(Table6[[#This Row],[NIS]],Table2[NIS],Table2[Nomer Induk Siswa Nasional],"Not Found",0)</f>
        <v>0091292236</v>
      </c>
      <c r="E266" s="3" t="str">
        <f>_xlfn.XLOOKUP(Table6[[#This Row],[NIS]],Table2[NIS],Table2[Status],"Not Found",0)</f>
        <v>Aktif</v>
      </c>
      <c r="F266" s="3">
        <f>_xlfn.XLOOKUP(Table6[[#This Row],[NIS]],Table2[NIS],Table2[Tahun Masuk],"Not Found",0)</f>
        <v>2021</v>
      </c>
      <c r="G266" s="3">
        <f>_xlfn.XLOOKUP(Table6[[#This Row],[NIS]],Table2[NIS],Table2[Tahun Keluar],"Not Found",0)</f>
        <v>0</v>
      </c>
      <c r="H266" s="3">
        <f>_xlfn.XLOOKUP(Table6[[#This Row],[NIS]],Table2[NIS],Table2[Kelas],"Not Found",0)</f>
        <v>4</v>
      </c>
      <c r="I266" s="3" t="str">
        <f>_xlfn.XLOOKUP(Table6[[#This Row],[NIS]],Table2[NIS],Table2[Kelas Detail],"Not Found",0)</f>
        <v>4-B</v>
      </c>
    </row>
    <row r="267" spans="1:9">
      <c r="A267" s="3">
        <f>SUBTOTAL(3,B$3:B267)</f>
        <v>265</v>
      </c>
      <c r="B267" s="3">
        <v>21220164</v>
      </c>
      <c r="C267" s="18" t="str">
        <f>_xlfn.XLOOKUP(Table6[[#This Row],[NIS]],Table2[NIS],Table2[Nama lengkap],"Not Found",0)</f>
        <v xml:space="preserve">Rahma Siti Patimah </v>
      </c>
      <c r="D267" s="18" t="str">
        <f>_xlfn.XLOOKUP(Table6[[#This Row],[NIS]],Table2[NIS],Table2[Nomer Induk Siswa Nasional],"Not Found",0)</f>
        <v>0091349890</v>
      </c>
      <c r="E267" s="3" t="str">
        <f>_xlfn.XLOOKUP(Table6[[#This Row],[NIS]],Table2[NIS],Table2[Status],"Not Found",0)</f>
        <v>Aktif</v>
      </c>
      <c r="F267" s="3">
        <f>_xlfn.XLOOKUP(Table6[[#This Row],[NIS]],Table2[NIS],Table2[Tahun Masuk],"Not Found",0)</f>
        <v>2021</v>
      </c>
      <c r="G267" s="3">
        <f>_xlfn.XLOOKUP(Table6[[#This Row],[NIS]],Table2[NIS],Table2[Tahun Keluar],"Not Found",0)</f>
        <v>0</v>
      </c>
      <c r="H267" s="3">
        <f>_xlfn.XLOOKUP(Table6[[#This Row],[NIS]],Table2[NIS],Table2[Kelas],"Not Found",0)</f>
        <v>4</v>
      </c>
      <c r="I267" s="3" t="str">
        <f>_xlfn.XLOOKUP(Table6[[#This Row],[NIS]],Table2[NIS],Table2[Kelas Detail],"Not Found",0)</f>
        <v>4-B</v>
      </c>
    </row>
    <row r="268" spans="1:9">
      <c r="A268" s="3">
        <f>SUBTOTAL(3,B$3:B268)</f>
        <v>266</v>
      </c>
      <c r="B268" s="3">
        <v>21220060</v>
      </c>
      <c r="C268" s="18" t="str">
        <f>_xlfn.XLOOKUP(Table6[[#This Row],[NIS]],Table2[NIS],Table2[Nama lengkap],"Not Found",0)</f>
        <v>Reza Mukrimah Purnama Sari</v>
      </c>
      <c r="D268" s="18" t="str">
        <f>_xlfn.XLOOKUP(Table6[[#This Row],[NIS]],Table2[NIS],Table2[Nomer Induk Siswa Nasional],"Not Found",0)</f>
        <v>0092607012</v>
      </c>
      <c r="E268" s="3" t="str">
        <f>_xlfn.XLOOKUP(Table6[[#This Row],[NIS]],Table2[NIS],Table2[Status],"Not Found",0)</f>
        <v>Aktif</v>
      </c>
      <c r="F268" s="3">
        <f>_xlfn.XLOOKUP(Table6[[#This Row],[NIS]],Table2[NIS],Table2[Tahun Masuk],"Not Found",0)</f>
        <v>2021</v>
      </c>
      <c r="G268" s="3">
        <f>_xlfn.XLOOKUP(Table6[[#This Row],[NIS]],Table2[NIS],Table2[Tahun Keluar],"Not Found",0)</f>
        <v>0</v>
      </c>
      <c r="H268" s="3">
        <f>_xlfn.XLOOKUP(Table6[[#This Row],[NIS]],Table2[NIS],Table2[Kelas],"Not Found",0)</f>
        <v>4</v>
      </c>
      <c r="I268" s="3" t="str">
        <f>_xlfn.XLOOKUP(Table6[[#This Row],[NIS]],Table2[NIS],Table2[Kelas Detail],"Not Found",0)</f>
        <v>4-B</v>
      </c>
    </row>
    <row r="269" spans="1:9">
      <c r="A269" s="3">
        <f>SUBTOTAL(3,B$3:B269)</f>
        <v>267</v>
      </c>
      <c r="B269" s="3">
        <v>20210188</v>
      </c>
      <c r="C269" s="18" t="str">
        <f>_xlfn.XLOOKUP(Table6[[#This Row],[NIS]],Table2[NIS],Table2[Nama lengkap],"Not Found",0)</f>
        <v>Salma Siti Patimah</v>
      </c>
      <c r="D269" s="18" t="str">
        <f>_xlfn.XLOOKUP(Table6[[#This Row],[NIS]],Table2[NIS],Table2[Nomer Induk Siswa Nasional],"Not Found",0)</f>
        <v>0071811717</v>
      </c>
      <c r="E269" s="3" t="str">
        <f>_xlfn.XLOOKUP(Table6[[#This Row],[NIS]],Table2[NIS],Table2[Status],"Not Found",0)</f>
        <v>Aktif</v>
      </c>
      <c r="F269" s="3">
        <f>_xlfn.XLOOKUP(Table6[[#This Row],[NIS]],Table2[NIS],Table2[Tahun Masuk],"Not Found",0)</f>
        <v>2020</v>
      </c>
      <c r="G269" s="3">
        <f>_xlfn.XLOOKUP(Table6[[#This Row],[NIS]],Table2[NIS],Table2[Tahun Keluar],"Not Found",0)</f>
        <v>0</v>
      </c>
      <c r="H269" s="3">
        <f>_xlfn.XLOOKUP(Table6[[#This Row],[NIS]],Table2[NIS],Table2[Kelas],"Not Found",0)</f>
        <v>4</v>
      </c>
      <c r="I269" s="3" t="str">
        <f>_xlfn.XLOOKUP(Table6[[#This Row],[NIS]],Table2[NIS],Table2[Kelas Detail],"Not Found",0)</f>
        <v>4-B</v>
      </c>
    </row>
    <row r="270" spans="1:9">
      <c r="A270" s="3">
        <f>SUBTOTAL(3,B$3:B270)</f>
        <v>268</v>
      </c>
      <c r="B270" s="3">
        <v>20210235</v>
      </c>
      <c r="C270" s="18" t="str">
        <f>_xlfn.XLOOKUP(Table6[[#This Row],[NIS]],Table2[NIS],Table2[Nama lengkap],"Not Found",0)</f>
        <v xml:space="preserve">Salwa Khairunnisa </v>
      </c>
      <c r="D270" s="18" t="str">
        <f>_xlfn.XLOOKUP(Table6[[#This Row],[NIS]],Table2[NIS],Table2[Nomer Induk Siswa Nasional],"Not Found",0)</f>
        <v>0084689823</v>
      </c>
      <c r="E270" s="3" t="str">
        <f>_xlfn.XLOOKUP(Table6[[#This Row],[NIS]],Table2[NIS],Table2[Status],"Not Found",0)</f>
        <v>Aktif</v>
      </c>
      <c r="F270" s="3">
        <f>_xlfn.XLOOKUP(Table6[[#This Row],[NIS]],Table2[NIS],Table2[Tahun Masuk],"Not Found",0)</f>
        <v>2020</v>
      </c>
      <c r="G270" s="3">
        <f>_xlfn.XLOOKUP(Table6[[#This Row],[NIS]],Table2[NIS],Table2[Tahun Keluar],"Not Found",0)</f>
        <v>0</v>
      </c>
      <c r="H270" s="3">
        <f>_xlfn.XLOOKUP(Table6[[#This Row],[NIS]],Table2[NIS],Table2[Kelas],"Not Found",0)</f>
        <v>4</v>
      </c>
      <c r="I270" s="3" t="str">
        <f>_xlfn.XLOOKUP(Table6[[#This Row],[NIS]],Table2[NIS],Table2[Kelas Detail],"Not Found",0)</f>
        <v>4-B</v>
      </c>
    </row>
    <row r="271" spans="1:9">
      <c r="A271" s="3">
        <f>SUBTOTAL(3,B$3:B271)</f>
        <v>269</v>
      </c>
      <c r="B271" s="3">
        <v>21220156</v>
      </c>
      <c r="C271" s="18" t="str">
        <f>_xlfn.XLOOKUP(Table6[[#This Row],[NIS]],Table2[NIS],Table2[Nama lengkap],"Not Found",0)</f>
        <v>Shifa Masyrofah</v>
      </c>
      <c r="D271" s="18" t="str">
        <f>_xlfn.XLOOKUP(Table6[[#This Row],[NIS]],Table2[NIS],Table2[Nomer Induk Siswa Nasional],"Not Found",0)</f>
        <v>0088302083</v>
      </c>
      <c r="E271" s="3" t="str">
        <f>_xlfn.XLOOKUP(Table6[[#This Row],[NIS]],Table2[NIS],Table2[Status],"Not Found",0)</f>
        <v>Aktif</v>
      </c>
      <c r="F271" s="3">
        <f>_xlfn.XLOOKUP(Table6[[#This Row],[NIS]],Table2[NIS],Table2[Tahun Masuk],"Not Found",0)</f>
        <v>2021</v>
      </c>
      <c r="G271" s="3">
        <f>_xlfn.XLOOKUP(Table6[[#This Row],[NIS]],Table2[NIS],Table2[Tahun Keluar],"Not Found",0)</f>
        <v>0</v>
      </c>
      <c r="H271" s="3">
        <f>_xlfn.XLOOKUP(Table6[[#This Row],[NIS]],Table2[NIS],Table2[Kelas],"Not Found",0)</f>
        <v>4</v>
      </c>
      <c r="I271" s="3" t="str">
        <f>_xlfn.XLOOKUP(Table6[[#This Row],[NIS]],Table2[NIS],Table2[Kelas Detail],"Not Found",0)</f>
        <v>4-B</v>
      </c>
    </row>
    <row r="272" spans="1:9">
      <c r="A272" s="3">
        <f>SUBTOTAL(3,B$3:B272)</f>
        <v>270</v>
      </c>
      <c r="B272" s="3">
        <v>21220149</v>
      </c>
      <c r="C272" s="18" t="str">
        <f>_xlfn.XLOOKUP(Table6[[#This Row],[NIS]],Table2[NIS],Table2[Nama lengkap],"Not Found",0)</f>
        <v xml:space="preserve">Sintia Bela </v>
      </c>
      <c r="D272" s="18" t="str">
        <f>_xlfn.XLOOKUP(Table6[[#This Row],[NIS]],Table2[NIS],Table2[Nomer Induk Siswa Nasional],"Not Found",0)</f>
        <v>0072848249</v>
      </c>
      <c r="E272" s="3" t="str">
        <f>_xlfn.XLOOKUP(Table6[[#This Row],[NIS]],Table2[NIS],Table2[Status],"Not Found",0)</f>
        <v>Aktif</v>
      </c>
      <c r="F272" s="3">
        <f>_xlfn.XLOOKUP(Table6[[#This Row],[NIS]],Table2[NIS],Table2[Tahun Masuk],"Not Found",0)</f>
        <v>2021</v>
      </c>
      <c r="G272" s="3">
        <f>_xlfn.XLOOKUP(Table6[[#This Row],[NIS]],Table2[NIS],Table2[Tahun Keluar],"Not Found",0)</f>
        <v>0</v>
      </c>
      <c r="H272" s="3">
        <f>_xlfn.XLOOKUP(Table6[[#This Row],[NIS]],Table2[NIS],Table2[Kelas],"Not Found",0)</f>
        <v>4</v>
      </c>
      <c r="I272" s="3" t="str">
        <f>_xlfn.XLOOKUP(Table6[[#This Row],[NIS]],Table2[NIS],Table2[Kelas Detail],"Not Found",0)</f>
        <v>4-B</v>
      </c>
    </row>
    <row r="273" spans="1:12">
      <c r="A273" s="3">
        <f>SUBTOTAL(3,B$3:B273)</f>
        <v>271</v>
      </c>
      <c r="B273" s="3">
        <v>21220166</v>
      </c>
      <c r="C273" s="18" t="str">
        <f>_xlfn.XLOOKUP(Table6[[#This Row],[NIS]],Table2[NIS],Table2[Nama lengkap],"Not Found",0)</f>
        <v>Siti Nailah Ahnaf Sabilah</v>
      </c>
      <c r="D273" s="18" t="str">
        <f>_xlfn.XLOOKUP(Table6[[#This Row],[NIS]],Table2[NIS],Table2[Nomer Induk Siswa Nasional],"Not Found",0)</f>
        <v>0081450873</v>
      </c>
      <c r="E273" s="3" t="str">
        <f>_xlfn.XLOOKUP(Table6[[#This Row],[NIS]],Table2[NIS],Table2[Status],"Not Found",0)</f>
        <v>Aktif</v>
      </c>
      <c r="F273" s="3">
        <f>_xlfn.XLOOKUP(Table6[[#This Row],[NIS]],Table2[NIS],Table2[Tahun Masuk],"Not Found",0)</f>
        <v>2021</v>
      </c>
      <c r="G273" s="3">
        <f>_xlfn.XLOOKUP(Table6[[#This Row],[NIS]],Table2[NIS],Table2[Tahun Keluar],"Not Found",0)</f>
        <v>0</v>
      </c>
      <c r="H273" s="3">
        <f>_xlfn.XLOOKUP(Table6[[#This Row],[NIS]],Table2[NIS],Table2[Kelas],"Not Found",0)</f>
        <v>4</v>
      </c>
      <c r="I273" s="3" t="str">
        <f>_xlfn.XLOOKUP(Table6[[#This Row],[NIS]],Table2[NIS],Table2[Kelas Detail],"Not Found",0)</f>
        <v>4-B</v>
      </c>
    </row>
    <row r="274" spans="1:12">
      <c r="A274" s="3">
        <f>SUBTOTAL(3,B$3:B274)</f>
        <v>272</v>
      </c>
      <c r="B274" s="3">
        <v>20210158</v>
      </c>
      <c r="C274" s="18" t="str">
        <f>_xlfn.XLOOKUP(Table6[[#This Row],[NIS]],Table2[NIS],Table2[Nama lengkap],"Not Found",0)</f>
        <v xml:space="preserve">Siti Rahmawati </v>
      </c>
      <c r="D274" s="18" t="str">
        <f>_xlfn.XLOOKUP(Table6[[#This Row],[NIS]],Table2[NIS],Table2[Nomer Induk Siswa Nasional],"Not Found",0)</f>
        <v>0082474475</v>
      </c>
      <c r="E274" s="3" t="str">
        <f>_xlfn.XLOOKUP(Table6[[#This Row],[NIS]],Table2[NIS],Table2[Status],"Not Found",0)</f>
        <v>Aktif</v>
      </c>
      <c r="F274" s="3">
        <f>_xlfn.XLOOKUP(Table6[[#This Row],[NIS]],Table2[NIS],Table2[Tahun Masuk],"Not Found",0)</f>
        <v>2020</v>
      </c>
      <c r="G274" s="3">
        <f>_xlfn.XLOOKUP(Table6[[#This Row],[NIS]],Table2[NIS],Table2[Tahun Keluar],"Not Found",0)</f>
        <v>0</v>
      </c>
      <c r="H274" s="3">
        <f>_xlfn.XLOOKUP(Table6[[#This Row],[NIS]],Table2[NIS],Table2[Kelas],"Not Found",0)</f>
        <v>4</v>
      </c>
      <c r="I274" s="3" t="str">
        <f>_xlfn.XLOOKUP(Table6[[#This Row],[NIS]],Table2[NIS],Table2[Kelas Detail],"Not Found",0)</f>
        <v>4-B</v>
      </c>
    </row>
    <row r="275" spans="1:12">
      <c r="A275" s="3">
        <f>SUBTOTAL(3,B$3:B275)</f>
        <v>273</v>
      </c>
      <c r="B275" s="3">
        <v>21220070</v>
      </c>
      <c r="C275" s="18" t="str">
        <f>_xlfn.XLOOKUP(Table6[[#This Row],[NIS]],Table2[NIS],Table2[Nama lengkap],"Not Found",0)</f>
        <v>Siti Salma Khodijah</v>
      </c>
      <c r="D275" s="18" t="str">
        <f>_xlfn.XLOOKUP(Table6[[#This Row],[NIS]],Table2[NIS],Table2[Nomer Induk Siswa Nasional],"Not Found",0)</f>
        <v>BLM TAMAT SD</v>
      </c>
      <c r="E275" s="3" t="str">
        <f>_xlfn.XLOOKUP(Table6[[#This Row],[NIS]],Table2[NIS],Table2[Status],"Not Found",0)</f>
        <v>Aktif</v>
      </c>
      <c r="F275" s="3">
        <f>_xlfn.XLOOKUP(Table6[[#This Row],[NIS]],Table2[NIS],Table2[Tahun Masuk],"Not Found",0)</f>
        <v>2021</v>
      </c>
      <c r="G275" s="3">
        <f>_xlfn.XLOOKUP(Table6[[#This Row],[NIS]],Table2[NIS],Table2[Tahun Keluar],"Not Found",0)</f>
        <v>0</v>
      </c>
      <c r="H275" s="3">
        <f>_xlfn.XLOOKUP(Table6[[#This Row],[NIS]],Table2[NIS],Table2[Kelas],"Not Found",0)</f>
        <v>4</v>
      </c>
      <c r="I275" s="3" t="str">
        <f>_xlfn.XLOOKUP(Table6[[#This Row],[NIS]],Table2[NIS],Table2[Kelas Detail],"Not Found",0)</f>
        <v>4-B</v>
      </c>
    </row>
    <row r="276" spans="1:12">
      <c r="A276" s="3">
        <f>SUBTOTAL(3,B$3:B276)</f>
        <v>274</v>
      </c>
      <c r="B276" s="3">
        <v>20210141</v>
      </c>
      <c r="C276" s="18" t="str">
        <f>_xlfn.XLOOKUP(Table6[[#This Row],[NIS]],Table2[NIS],Table2[Nama lengkap],"Not Found",0)</f>
        <v>Siti Syawanah Adawiyah</v>
      </c>
      <c r="D276" s="18">
        <f>_xlfn.XLOOKUP(Table6[[#This Row],[NIS]],Table2[NIS],Table2[Nomer Induk Siswa Nasional],"Not Found",0)</f>
        <v>3070517825</v>
      </c>
      <c r="E276" s="3" t="str">
        <f>_xlfn.XLOOKUP(Table6[[#This Row],[NIS]],Table2[NIS],Table2[Status],"Not Found",0)</f>
        <v>Aktif</v>
      </c>
      <c r="F276" s="3">
        <f>_xlfn.XLOOKUP(Table6[[#This Row],[NIS]],Table2[NIS],Table2[Tahun Masuk],"Not Found",0)</f>
        <v>2020</v>
      </c>
      <c r="G276" s="3" t="str">
        <f>_xlfn.XLOOKUP(Table6[[#This Row],[NIS]],Table2[NIS],Table2[Tahun Keluar],"Not Found",0)</f>
        <v>TB</v>
      </c>
      <c r="H276" s="3">
        <f>_xlfn.XLOOKUP(Table6[[#This Row],[NIS]],Table2[NIS],Table2[Kelas],"Not Found",0)</f>
        <v>4</v>
      </c>
      <c r="I276" s="3" t="str">
        <f>_xlfn.XLOOKUP(Table6[[#This Row],[NIS]],Table2[NIS],Table2[Kelas Detail],"Not Found",0)</f>
        <v>4-B</v>
      </c>
    </row>
    <row r="277" spans="1:12">
      <c r="A277" s="3">
        <f>SUBTOTAL(3,B$3:B277)</f>
        <v>275</v>
      </c>
      <c r="B277" s="3">
        <v>21220048</v>
      </c>
      <c r="C277" s="18" t="str">
        <f>_xlfn.XLOOKUP(Table6[[#This Row],[NIS]],Table2[NIS],Table2[Nama lengkap],"Not Found",0)</f>
        <v xml:space="preserve">Siti Ummu Kultsum </v>
      </c>
      <c r="D277" s="18" t="str">
        <f>_xlfn.XLOOKUP(Table6[[#This Row],[NIS]],Table2[NIS],Table2[Nomer Induk Siswa Nasional],"Not Found",0)</f>
        <v>0099201252</v>
      </c>
      <c r="E277" s="3" t="str">
        <f>_xlfn.XLOOKUP(Table6[[#This Row],[NIS]],Table2[NIS],Table2[Status],"Not Found",0)</f>
        <v>Aktif</v>
      </c>
      <c r="F277" s="3">
        <f>_xlfn.XLOOKUP(Table6[[#This Row],[NIS]],Table2[NIS],Table2[Tahun Masuk],"Not Found",0)</f>
        <v>2021</v>
      </c>
      <c r="G277" s="3">
        <f>_xlfn.XLOOKUP(Table6[[#This Row],[NIS]],Table2[NIS],Table2[Tahun Keluar],"Not Found",0)</f>
        <v>0</v>
      </c>
      <c r="H277" s="3">
        <f>_xlfn.XLOOKUP(Table6[[#This Row],[NIS]],Table2[NIS],Table2[Kelas],"Not Found",0)</f>
        <v>4</v>
      </c>
      <c r="I277" s="3" t="str">
        <f>_xlfn.XLOOKUP(Table6[[#This Row],[NIS]],Table2[NIS],Table2[Kelas Detail],"Not Found",0)</f>
        <v>4-B</v>
      </c>
    </row>
    <row r="278" spans="1:12">
      <c r="A278" s="3">
        <f>SUBTOTAL(3,B$3:B278)</f>
        <v>276</v>
      </c>
      <c r="B278" s="3">
        <v>21220071</v>
      </c>
      <c r="C278" s="18" t="str">
        <f>_xlfn.XLOOKUP(Table6[[#This Row],[NIS]],Table2[NIS],Table2[Nama lengkap],"Not Found",0)</f>
        <v>Siti Zaenah Salsabillah</v>
      </c>
      <c r="D278" s="18" t="str">
        <f>_xlfn.XLOOKUP(Table6[[#This Row],[NIS]],Table2[NIS],Table2[Nomer Induk Siswa Nasional],"Not Found",0)</f>
        <v>0097698260</v>
      </c>
      <c r="E278" s="3" t="str">
        <f>_xlfn.XLOOKUP(Table6[[#This Row],[NIS]],Table2[NIS],Table2[Status],"Not Found",0)</f>
        <v>Aktif</v>
      </c>
      <c r="F278" s="3">
        <f>_xlfn.XLOOKUP(Table6[[#This Row],[NIS]],Table2[NIS],Table2[Tahun Masuk],"Not Found",0)</f>
        <v>2021</v>
      </c>
      <c r="G278" s="3">
        <f>_xlfn.XLOOKUP(Table6[[#This Row],[NIS]],Table2[NIS],Table2[Tahun Keluar],"Not Found",0)</f>
        <v>0</v>
      </c>
      <c r="H278" s="3">
        <f>_xlfn.XLOOKUP(Table6[[#This Row],[NIS]],Table2[NIS],Table2[Kelas],"Not Found",0)</f>
        <v>4</v>
      </c>
      <c r="I278" s="3" t="str">
        <f>_xlfn.XLOOKUP(Table6[[#This Row],[NIS]],Table2[NIS],Table2[Kelas Detail],"Not Found",0)</f>
        <v>4-B</v>
      </c>
    </row>
    <row r="279" spans="1:12">
      <c r="A279" s="3">
        <f>SUBTOTAL(3,B$3:B279)</f>
        <v>277</v>
      </c>
      <c r="B279" s="3">
        <v>21220036</v>
      </c>
      <c r="C279" s="18" t="str">
        <f>_xlfn.XLOOKUP(Table6[[#This Row],[NIS]],Table2[NIS],Table2[Nama lengkap],"Not Found",0)</f>
        <v xml:space="preserve">Syipa Amanatunnisa </v>
      </c>
      <c r="D279" s="18" t="str">
        <f>_xlfn.XLOOKUP(Table6[[#This Row],[NIS]],Table2[NIS],Table2[Nomer Induk Siswa Nasional],"Not Found",0)</f>
        <v>0063145939</v>
      </c>
      <c r="E279" s="3" t="str">
        <f>_xlfn.XLOOKUP(Table6[[#This Row],[NIS]],Table2[NIS],Table2[Status],"Not Found",0)</f>
        <v>Aktif</v>
      </c>
      <c r="F279" s="3">
        <f>_xlfn.XLOOKUP(Table6[[#This Row],[NIS]],Table2[NIS],Table2[Tahun Masuk],"Not Found",0)</f>
        <v>2021</v>
      </c>
      <c r="G279" s="3">
        <f>_xlfn.XLOOKUP(Table6[[#This Row],[NIS]],Table2[NIS],Table2[Tahun Keluar],"Not Found",0)</f>
        <v>0</v>
      </c>
      <c r="H279" s="3">
        <f>_xlfn.XLOOKUP(Table6[[#This Row],[NIS]],Table2[NIS],Table2[Kelas],"Not Found",0)</f>
        <v>4</v>
      </c>
      <c r="I279" s="3" t="str">
        <f>_xlfn.XLOOKUP(Table6[[#This Row],[NIS]],Table2[NIS],Table2[Kelas Detail],"Not Found",0)</f>
        <v>4-B</v>
      </c>
    </row>
    <row r="280" spans="1:12">
      <c r="A280" s="3">
        <f>SUBTOTAL(3,B$3:B280)</f>
        <v>278</v>
      </c>
      <c r="B280" s="3">
        <v>20210201</v>
      </c>
      <c r="C280" s="18" t="str">
        <f>_xlfn.XLOOKUP(Table6[[#This Row],[NIS]],Table2[NIS],Table2[Nama lengkap],"Not Found",0)</f>
        <v>Talita Nabila Manda Ramania</v>
      </c>
      <c r="D280" s="18" t="str">
        <f>_xlfn.XLOOKUP(Table6[[#This Row],[NIS]],Table2[NIS],Table2[Nomer Induk Siswa Nasional],"Not Found",0)</f>
        <v>0082154149</v>
      </c>
      <c r="E280" s="3" t="str">
        <f>_xlfn.XLOOKUP(Table6[[#This Row],[NIS]],Table2[NIS],Table2[Status],"Not Found",0)</f>
        <v>Aktif</v>
      </c>
      <c r="F280" s="3">
        <f>_xlfn.XLOOKUP(Table6[[#This Row],[NIS]],Table2[NIS],Table2[Tahun Masuk],"Not Found",0)</f>
        <v>2020</v>
      </c>
      <c r="G280" s="3">
        <f>_xlfn.XLOOKUP(Table6[[#This Row],[NIS]],Table2[NIS],Table2[Tahun Keluar],"Not Found",0)</f>
        <v>0</v>
      </c>
      <c r="H280" s="3">
        <f>_xlfn.XLOOKUP(Table6[[#This Row],[NIS]],Table2[NIS],Table2[Kelas],"Not Found",0)</f>
        <v>4</v>
      </c>
      <c r="I280" s="3" t="str">
        <f>_xlfn.XLOOKUP(Table6[[#This Row],[NIS]],Table2[NIS],Table2[Kelas Detail],"Not Found",0)</f>
        <v>4-B</v>
      </c>
    </row>
    <row r="281" spans="1:12">
      <c r="A281" s="3">
        <f>SUBTOTAL(3,B$3:B281)</f>
        <v>279</v>
      </c>
      <c r="B281" s="3">
        <v>21220181</v>
      </c>
      <c r="C281" s="18" t="str">
        <f>_xlfn.XLOOKUP(Table6[[#This Row],[NIS]],Table2[NIS],Table2[Nama lengkap],"Not Found",0)</f>
        <v>Tarisa Putri Farizah</v>
      </c>
      <c r="D281" s="18" t="str">
        <f>_xlfn.XLOOKUP(Table6[[#This Row],[NIS]],Table2[NIS],Table2[Nomer Induk Siswa Nasional],"Not Found",0)</f>
        <v>0098600964</v>
      </c>
      <c r="E281" s="3" t="str">
        <f>_xlfn.XLOOKUP(Table6[[#This Row],[NIS]],Table2[NIS],Table2[Status],"Not Found",0)</f>
        <v>Aktif</v>
      </c>
      <c r="F281" s="3">
        <f>_xlfn.XLOOKUP(Table6[[#This Row],[NIS]],Table2[NIS],Table2[Tahun Masuk],"Not Found",0)</f>
        <v>2021</v>
      </c>
      <c r="G281" s="3">
        <f>_xlfn.XLOOKUP(Table6[[#This Row],[NIS]],Table2[NIS],Table2[Tahun Keluar],"Not Found",0)</f>
        <v>0</v>
      </c>
      <c r="H281" s="3">
        <f>_xlfn.XLOOKUP(Table6[[#This Row],[NIS]],Table2[NIS],Table2[Kelas],"Not Found",0)</f>
        <v>4</v>
      </c>
      <c r="I281" s="3" t="str">
        <f>_xlfn.XLOOKUP(Table6[[#This Row],[NIS]],Table2[NIS],Table2[Kelas Detail],"Not Found",0)</f>
        <v>4-B</v>
      </c>
    </row>
    <row r="282" spans="1:12">
      <c r="A282" s="3">
        <f>SUBTOTAL(3,B$3:B282)</f>
        <v>280</v>
      </c>
      <c r="B282" s="3">
        <v>20210193</v>
      </c>
      <c r="C282" s="18" t="str">
        <f>_xlfn.XLOOKUP(Table6[[#This Row],[NIS]],Table2[NIS],Table2[Nama lengkap],"Not Found",0)</f>
        <v xml:space="preserve">Wini Widiana </v>
      </c>
      <c r="D282" s="18" t="str">
        <f>_xlfn.XLOOKUP(Table6[[#This Row],[NIS]],Table2[NIS],Table2[Nomer Induk Siswa Nasional],"Not Found",0)</f>
        <v>0086061454</v>
      </c>
      <c r="E282" s="3" t="str">
        <f>_xlfn.XLOOKUP(Table6[[#This Row],[NIS]],Table2[NIS],Table2[Status],"Not Found",0)</f>
        <v>Aktif</v>
      </c>
      <c r="F282" s="3">
        <f>_xlfn.XLOOKUP(Table6[[#This Row],[NIS]],Table2[NIS],Table2[Tahun Masuk],"Not Found",0)</f>
        <v>2020</v>
      </c>
      <c r="G282" s="3">
        <f>_xlfn.XLOOKUP(Table6[[#This Row],[NIS]],Table2[NIS],Table2[Tahun Keluar],"Not Found",0)</f>
        <v>0</v>
      </c>
      <c r="H282" s="3">
        <f>_xlfn.XLOOKUP(Table6[[#This Row],[NIS]],Table2[NIS],Table2[Kelas],"Not Found",0)</f>
        <v>4</v>
      </c>
      <c r="I282" s="3" t="str">
        <f>_xlfn.XLOOKUP(Table6[[#This Row],[NIS]],Table2[NIS],Table2[Kelas Detail],"Not Found",0)</f>
        <v>4-B</v>
      </c>
    </row>
    <row r="283" spans="1:12">
      <c r="A283" s="3">
        <f>SUBTOTAL(3,B$3:B283)</f>
        <v>281</v>
      </c>
      <c r="B283" s="3">
        <v>20210233</v>
      </c>
      <c r="C283" s="18" t="str">
        <f>_xlfn.XLOOKUP(Table6[[#This Row],[NIS]],Table2[NIS],Table2[Nama lengkap],"Not Found",0)</f>
        <v xml:space="preserve">Zahra Aulia </v>
      </c>
      <c r="D283" s="18" t="str">
        <f>_xlfn.XLOOKUP(Table6[[#This Row],[NIS]],Table2[NIS],Table2[Nomer Induk Siswa Nasional],"Not Found",0)</f>
        <v>0079446833</v>
      </c>
      <c r="E283" s="3" t="str">
        <f>_xlfn.XLOOKUP(Table6[[#This Row],[NIS]],Table2[NIS],Table2[Status],"Not Found",0)</f>
        <v>Aktif</v>
      </c>
      <c r="F283" s="3">
        <f>_xlfn.XLOOKUP(Table6[[#This Row],[NIS]],Table2[NIS],Table2[Tahun Masuk],"Not Found",0)</f>
        <v>2020</v>
      </c>
      <c r="G283" s="3">
        <f>_xlfn.XLOOKUP(Table6[[#This Row],[NIS]],Table2[NIS],Table2[Tahun Keluar],"Not Found",0)</f>
        <v>0</v>
      </c>
      <c r="H283" s="3">
        <f>_xlfn.XLOOKUP(Table6[[#This Row],[NIS]],Table2[NIS],Table2[Kelas],"Not Found",0)</f>
        <v>4</v>
      </c>
      <c r="I283" s="3" t="str">
        <f>_xlfn.XLOOKUP(Table6[[#This Row],[NIS]],Table2[NIS],Table2[Kelas Detail],"Not Found",0)</f>
        <v>4-B</v>
      </c>
    </row>
    <row r="284" spans="1:12">
      <c r="A284" s="3">
        <f>SUBTOTAL(3,B$3:B284)</f>
        <v>282</v>
      </c>
      <c r="B284" s="3">
        <v>20210192</v>
      </c>
      <c r="C284" s="18" t="str">
        <f>_xlfn.XLOOKUP(Table6[[#This Row],[NIS]],Table2[NIS],Table2[Nama lengkap],"Not Found",0)</f>
        <v>Zahra Putri Syarifah</v>
      </c>
      <c r="D284" s="18" t="str">
        <f>_xlfn.XLOOKUP(Table6[[#This Row],[NIS]],Table2[NIS],Table2[Nomer Induk Siswa Nasional],"Not Found",0)</f>
        <v>0056401397</v>
      </c>
      <c r="E284" s="3" t="str">
        <f>_xlfn.XLOOKUP(Table6[[#This Row],[NIS]],Table2[NIS],Table2[Status],"Not Found",0)</f>
        <v>Aktif</v>
      </c>
      <c r="F284" s="3">
        <f>_xlfn.XLOOKUP(Table6[[#This Row],[NIS]],Table2[NIS],Table2[Tahun Masuk],"Not Found",0)</f>
        <v>2020</v>
      </c>
      <c r="G284" s="3">
        <f>_xlfn.XLOOKUP(Table6[[#This Row],[NIS]],Table2[NIS],Table2[Tahun Keluar],"Not Found",0)</f>
        <v>0</v>
      </c>
      <c r="H284" s="3">
        <f>_xlfn.XLOOKUP(Table6[[#This Row],[NIS]],Table2[NIS],Table2[Kelas],"Not Found",0)</f>
        <v>4</v>
      </c>
      <c r="I284" s="3" t="str">
        <f>_xlfn.XLOOKUP(Table6[[#This Row],[NIS]],Table2[NIS],Table2[Kelas Detail],"Not Found",0)</f>
        <v>4-B</v>
      </c>
    </row>
    <row r="285" spans="1:12">
      <c r="A285" s="3">
        <f>SUBTOTAL(3,B$3:B285)</f>
        <v>283</v>
      </c>
      <c r="B285" s="3">
        <v>21220168</v>
      </c>
      <c r="C285" s="18" t="str">
        <f>_xlfn.XLOOKUP(Table6[[#This Row],[NIS]],Table2[NIS],Table2[Nama lengkap],"Not Found",0)</f>
        <v xml:space="preserve">Zulfa Siti Khodijah </v>
      </c>
      <c r="D285" s="18" t="str">
        <f>_xlfn.XLOOKUP(Table6[[#This Row],[NIS]],Table2[NIS],Table2[Nomer Induk Siswa Nasional],"Not Found",0)</f>
        <v>0098108446</v>
      </c>
      <c r="E285" s="3" t="str">
        <f>_xlfn.XLOOKUP(Table6[[#This Row],[NIS]],Table2[NIS],Table2[Status],"Not Found",0)</f>
        <v>Aktif</v>
      </c>
      <c r="F285" s="3">
        <f>_xlfn.XLOOKUP(Table6[[#This Row],[NIS]],Table2[NIS],Table2[Tahun Masuk],"Not Found",0)</f>
        <v>2021</v>
      </c>
      <c r="G285" s="3" t="str">
        <f>_xlfn.XLOOKUP(Table6[[#This Row],[NIS]],Table2[NIS],Table2[Tahun Keluar],"Not Found",0)</f>
        <v>TB</v>
      </c>
      <c r="H285" s="3">
        <f>_xlfn.XLOOKUP(Table6[[#This Row],[NIS]],Table2[NIS],Table2[Kelas],"Not Found",0)</f>
        <v>4</v>
      </c>
      <c r="I285" s="3" t="str">
        <f>_xlfn.XLOOKUP(Table6[[#This Row],[NIS]],Table2[NIS],Table2[Kelas Detail],"Not Found",0)</f>
        <v>4-B</v>
      </c>
    </row>
    <row r="286" spans="1:12">
      <c r="A286" s="3">
        <f>SUBTOTAL(3,B$3:B286)</f>
        <v>284</v>
      </c>
      <c r="B286" s="3">
        <v>20210219</v>
      </c>
      <c r="C286" s="18" t="str">
        <f>_xlfn.XLOOKUP(Table6[[#This Row],[NIS]],Table2[NIS],Table2[Nama lengkap],"Not Found",0)</f>
        <v>Ai Maryati</v>
      </c>
      <c r="D286" s="18" t="str">
        <f>_xlfn.XLOOKUP(Table6[[#This Row],[NIS]],Table2[NIS],Table2[Nomer Induk Siswa Nasional],"Not Found",0)</f>
        <v>3021006927</v>
      </c>
      <c r="E286" s="3" t="str">
        <f>_xlfn.XLOOKUP(Table6[[#This Row],[NIS]],Table2[NIS],Table2[Status],"Not Found",0)</f>
        <v>Aktif</v>
      </c>
      <c r="F286" s="3">
        <f>_xlfn.XLOOKUP(Table6[[#This Row],[NIS]],Table2[NIS],Table2[Tahun Masuk],"Not Found",0)</f>
        <v>2020</v>
      </c>
      <c r="G286" s="3">
        <f>_xlfn.XLOOKUP(Table6[[#This Row],[NIS]],Table2[NIS],Table2[Tahun Keluar],"Not Found",0)</f>
        <v>0</v>
      </c>
      <c r="H286" s="3">
        <f>_xlfn.XLOOKUP(Table6[[#This Row],[NIS]],Table2[NIS],Table2[Kelas],"Not Found",0)</f>
        <v>5</v>
      </c>
      <c r="I286" s="3" t="str">
        <f>_xlfn.XLOOKUP(Table6[[#This Row],[NIS]],Table2[NIS],Table2[Kelas Detail],"Not Found",0)</f>
        <v>5-A</v>
      </c>
      <c r="J286" s="3" t="s">
        <v>2513</v>
      </c>
      <c r="K286" s="3" t="s">
        <v>2513</v>
      </c>
      <c r="L286" s="3" t="s">
        <v>2513</v>
      </c>
    </row>
    <row r="287" spans="1:12">
      <c r="A287" s="3">
        <f>SUBTOTAL(3,B$3:B287)</f>
        <v>285</v>
      </c>
      <c r="B287" s="3">
        <v>19200185</v>
      </c>
      <c r="C287" s="18" t="str">
        <f>_xlfn.XLOOKUP(Table6[[#This Row],[NIS]],Table2[NIS],Table2[Nama lengkap],"Not Found",0)</f>
        <v>Alifa Khoerunnisa</v>
      </c>
      <c r="D287" s="18" t="str">
        <f>_xlfn.XLOOKUP(Table6[[#This Row],[NIS]],Table2[NIS],Table2[Nomer Induk Siswa Nasional],"Not Found",0)</f>
        <v>0079476654</v>
      </c>
      <c r="E287" s="3" t="str">
        <f>_xlfn.XLOOKUP(Table6[[#This Row],[NIS]],Table2[NIS],Table2[Status],"Not Found",0)</f>
        <v>Aktif</v>
      </c>
      <c r="F287" s="3">
        <f>_xlfn.XLOOKUP(Table6[[#This Row],[NIS]],Table2[NIS],Table2[Tahun Masuk],"Not Found",0)</f>
        <v>2019</v>
      </c>
      <c r="G287" s="3">
        <f>_xlfn.XLOOKUP(Table6[[#This Row],[NIS]],Table2[NIS],Table2[Tahun Keluar],"Not Found",0)</f>
        <v>0</v>
      </c>
      <c r="H287" s="3">
        <f>_xlfn.XLOOKUP(Table6[[#This Row],[NIS]],Table2[NIS],Table2[Kelas],"Not Found",0)</f>
        <v>5</v>
      </c>
      <c r="I287" s="3" t="str">
        <f>_xlfn.XLOOKUP(Table6[[#This Row],[NIS]],Table2[NIS],Table2[Kelas Detail],"Not Found",0)</f>
        <v>5-A</v>
      </c>
      <c r="J287" s="3" t="s">
        <v>2513</v>
      </c>
      <c r="K287" s="3" t="s">
        <v>2513</v>
      </c>
      <c r="L287" s="3" t="s">
        <v>2513</v>
      </c>
    </row>
    <row r="288" spans="1:12">
      <c r="A288" s="3">
        <f>SUBTOTAL(3,B$3:B288)</f>
        <v>286</v>
      </c>
      <c r="B288" s="3">
        <v>19200190</v>
      </c>
      <c r="C288" s="18" t="str">
        <f>_xlfn.XLOOKUP(Table6[[#This Row],[NIS]],Table2[NIS],Table2[Nama lengkap],"Not Found",0)</f>
        <v>Amila Kamilatul Umah</v>
      </c>
      <c r="D288" s="18" t="str">
        <f>_xlfn.XLOOKUP(Table6[[#This Row],[NIS]],Table2[NIS],Table2[Nomer Induk Siswa Nasional],"Not Found",0)</f>
        <v>0043699025/0043699020</v>
      </c>
      <c r="E288" s="3" t="str">
        <f>_xlfn.XLOOKUP(Table6[[#This Row],[NIS]],Table2[NIS],Table2[Status],"Not Found",0)</f>
        <v>Aktif</v>
      </c>
      <c r="F288" s="3">
        <f>_xlfn.XLOOKUP(Table6[[#This Row],[NIS]],Table2[NIS],Table2[Tahun Masuk],"Not Found",0)</f>
        <v>2019</v>
      </c>
      <c r="G288" s="3">
        <f>_xlfn.XLOOKUP(Table6[[#This Row],[NIS]],Table2[NIS],Table2[Tahun Keluar],"Not Found",0)</f>
        <v>0</v>
      </c>
      <c r="H288" s="3">
        <f>_xlfn.XLOOKUP(Table6[[#This Row],[NIS]],Table2[NIS],Table2[Kelas],"Not Found",0)</f>
        <v>5</v>
      </c>
      <c r="I288" s="3" t="str">
        <f>_xlfn.XLOOKUP(Table6[[#This Row],[NIS]],Table2[NIS],Table2[Kelas Detail],"Not Found",0)</f>
        <v>5-A</v>
      </c>
      <c r="J288" s="3" t="s">
        <v>2513</v>
      </c>
      <c r="K288" s="3" t="s">
        <v>2513</v>
      </c>
      <c r="L288" s="3" t="s">
        <v>2513</v>
      </c>
    </row>
    <row r="289" spans="1:12">
      <c r="A289" s="3">
        <f>SUBTOTAL(3,B$3:B289)</f>
        <v>287</v>
      </c>
      <c r="B289" s="3">
        <v>20210241</v>
      </c>
      <c r="C289" s="18" t="str">
        <f>_xlfn.XLOOKUP(Table6[[#This Row],[NIS]],Table2[NIS],Table2[Nama lengkap],"Not Found",0)</f>
        <v>Amilia Ndari</v>
      </c>
      <c r="D289" s="18" t="str">
        <f>_xlfn.XLOOKUP(Table6[[#This Row],[NIS]],Table2[NIS],Table2[Nomer Induk Siswa Nasional],"Not Found",0)</f>
        <v>0056609819/0056609810</v>
      </c>
      <c r="E289" s="3" t="str">
        <f>_xlfn.XLOOKUP(Table6[[#This Row],[NIS]],Table2[NIS],Table2[Status],"Not Found",0)</f>
        <v>Aktif</v>
      </c>
      <c r="F289" s="3">
        <f>_xlfn.XLOOKUP(Table6[[#This Row],[NIS]],Table2[NIS],Table2[Tahun Masuk],"Not Found",0)</f>
        <v>2020</v>
      </c>
      <c r="G289" s="3">
        <f>_xlfn.XLOOKUP(Table6[[#This Row],[NIS]],Table2[NIS],Table2[Tahun Keluar],"Not Found",0)</f>
        <v>0</v>
      </c>
      <c r="H289" s="3">
        <f>_xlfn.XLOOKUP(Table6[[#This Row],[NIS]],Table2[NIS],Table2[Kelas],"Not Found",0)</f>
        <v>5</v>
      </c>
      <c r="I289" s="3" t="str">
        <f>_xlfn.XLOOKUP(Table6[[#This Row],[NIS]],Table2[NIS],Table2[Kelas Detail],"Not Found",0)</f>
        <v>5-A</v>
      </c>
      <c r="J289" s="3" t="s">
        <v>2513</v>
      </c>
      <c r="K289" s="3" t="s">
        <v>2513</v>
      </c>
      <c r="L289" s="3" t="s">
        <v>2513</v>
      </c>
    </row>
    <row r="290" spans="1:12">
      <c r="A290" s="3">
        <f>SUBTOTAL(3,B$3:B290)</f>
        <v>288</v>
      </c>
      <c r="B290" s="3">
        <v>19200192</v>
      </c>
      <c r="C290" s="18" t="str">
        <f>_xlfn.XLOOKUP(Table6[[#This Row],[NIS]],Table2[NIS],Table2[Nama lengkap],"Not Found",0)</f>
        <v>Anantasya Siti Fatimah</v>
      </c>
      <c r="D290" s="18" t="str">
        <f>_xlfn.XLOOKUP(Table6[[#This Row],[NIS]],Table2[NIS],Table2[Nomer Induk Siswa Nasional],"Not Found",0)</f>
        <v>0062797907</v>
      </c>
      <c r="E290" s="3" t="str">
        <f>_xlfn.XLOOKUP(Table6[[#This Row],[NIS]],Table2[NIS],Table2[Status],"Not Found",0)</f>
        <v>Aktif</v>
      </c>
      <c r="F290" s="3">
        <f>_xlfn.XLOOKUP(Table6[[#This Row],[NIS]],Table2[NIS],Table2[Tahun Masuk],"Not Found",0)</f>
        <v>2019</v>
      </c>
      <c r="G290" s="3">
        <f>_xlfn.XLOOKUP(Table6[[#This Row],[NIS]],Table2[NIS],Table2[Tahun Keluar],"Not Found",0)</f>
        <v>0</v>
      </c>
      <c r="H290" s="3">
        <f>_xlfn.XLOOKUP(Table6[[#This Row],[NIS]],Table2[NIS],Table2[Kelas],"Not Found",0)</f>
        <v>5</v>
      </c>
      <c r="I290" s="3" t="str">
        <f>_xlfn.XLOOKUP(Table6[[#This Row],[NIS]],Table2[NIS],Table2[Kelas Detail],"Not Found",0)</f>
        <v>5-A</v>
      </c>
      <c r="J290" s="3" t="s">
        <v>2513</v>
      </c>
      <c r="K290" s="3" t="s">
        <v>2513</v>
      </c>
      <c r="L290" s="3" t="s">
        <v>2513</v>
      </c>
    </row>
    <row r="291" spans="1:12">
      <c r="A291" s="3">
        <f>SUBTOTAL(3,B$3:B291)</f>
        <v>289</v>
      </c>
      <c r="B291" s="3">
        <v>20210196</v>
      </c>
      <c r="C291" s="18" t="str">
        <f>_xlfn.XLOOKUP(Table6[[#This Row],[NIS]],Table2[NIS],Table2[Nama lengkap],"Not Found",0)</f>
        <v>Anggun Rahma Putri Utari</v>
      </c>
      <c r="D291" s="18" t="str">
        <f>_xlfn.XLOOKUP(Table6[[#This Row],[NIS]],Table2[NIS],Table2[Nomer Induk Siswa Nasional],"Not Found",0)</f>
        <v>0073031153</v>
      </c>
      <c r="E291" s="3" t="str">
        <f>_xlfn.XLOOKUP(Table6[[#This Row],[NIS]],Table2[NIS],Table2[Status],"Not Found",0)</f>
        <v>Aktif</v>
      </c>
      <c r="F291" s="3">
        <f>_xlfn.XLOOKUP(Table6[[#This Row],[NIS]],Table2[NIS],Table2[Tahun Masuk],"Not Found",0)</f>
        <v>2020</v>
      </c>
      <c r="G291" s="3">
        <f>_xlfn.XLOOKUP(Table6[[#This Row],[NIS]],Table2[NIS],Table2[Tahun Keluar],"Not Found",0)</f>
        <v>0</v>
      </c>
      <c r="H291" s="3">
        <f>_xlfn.XLOOKUP(Table6[[#This Row],[NIS]],Table2[NIS],Table2[Kelas],"Not Found",0)</f>
        <v>5</v>
      </c>
      <c r="I291" s="3" t="str">
        <f>_xlfn.XLOOKUP(Table6[[#This Row],[NIS]],Table2[NIS],Table2[Kelas Detail],"Not Found",0)</f>
        <v>5-A</v>
      </c>
      <c r="J291" s="3" t="s">
        <v>2513</v>
      </c>
      <c r="K291" s="3" t="s">
        <v>2513</v>
      </c>
      <c r="L291" s="3" t="s">
        <v>2513</v>
      </c>
    </row>
    <row r="292" spans="1:12">
      <c r="A292" s="3">
        <f>SUBTOTAL(3,B$3:B292)</f>
        <v>290</v>
      </c>
      <c r="B292" s="3">
        <v>19200195</v>
      </c>
      <c r="C292" s="18" t="str">
        <f>_xlfn.XLOOKUP(Table6[[#This Row],[NIS]],Table2[NIS],Table2[Nama lengkap],"Not Found",0)</f>
        <v>Anisa Nurjanah</v>
      </c>
      <c r="D292" s="18" t="str">
        <f>_xlfn.XLOOKUP(Table6[[#This Row],[NIS]],Table2[NIS],Table2[Nomer Induk Siswa Nasional],"Not Found",0)</f>
        <v>0071552230</v>
      </c>
      <c r="E292" s="3" t="str">
        <f>_xlfn.XLOOKUP(Table6[[#This Row],[NIS]],Table2[NIS],Table2[Status],"Not Found",0)</f>
        <v>Aktif</v>
      </c>
      <c r="F292" s="3">
        <f>_xlfn.XLOOKUP(Table6[[#This Row],[NIS]],Table2[NIS],Table2[Tahun Masuk],"Not Found",0)</f>
        <v>2019</v>
      </c>
      <c r="G292" s="3">
        <f>_xlfn.XLOOKUP(Table6[[#This Row],[NIS]],Table2[NIS],Table2[Tahun Keluar],"Not Found",0)</f>
        <v>0</v>
      </c>
      <c r="H292" s="3">
        <f>_xlfn.XLOOKUP(Table6[[#This Row],[NIS]],Table2[NIS],Table2[Kelas],"Not Found",0)</f>
        <v>5</v>
      </c>
      <c r="I292" s="3" t="str">
        <f>_xlfn.XLOOKUP(Table6[[#This Row],[NIS]],Table2[NIS],Table2[Kelas Detail],"Not Found",0)</f>
        <v>5-A</v>
      </c>
      <c r="J292" s="3" t="s">
        <v>2513</v>
      </c>
      <c r="K292" s="3" t="s">
        <v>2513</v>
      </c>
      <c r="L292" s="3" t="s">
        <v>2513</v>
      </c>
    </row>
    <row r="293" spans="1:12">
      <c r="A293" s="3">
        <f>SUBTOTAL(3,B$3:B293)</f>
        <v>291</v>
      </c>
      <c r="B293" s="3">
        <v>19200198</v>
      </c>
      <c r="C293" s="18" t="str">
        <f>_xlfn.XLOOKUP(Table6[[#This Row],[NIS]],Table2[NIS],Table2[Nama lengkap],"Not Found",0)</f>
        <v>Asma Sayyidatun Nisa</v>
      </c>
      <c r="D293" s="18" t="str">
        <f>_xlfn.XLOOKUP(Table6[[#This Row],[NIS]],Table2[NIS],Table2[Nomer Induk Siswa Nasional],"Not Found",0)</f>
        <v>0078550325</v>
      </c>
      <c r="E293" s="3" t="str">
        <f>_xlfn.XLOOKUP(Table6[[#This Row],[NIS]],Table2[NIS],Table2[Status],"Not Found",0)</f>
        <v>Aktif</v>
      </c>
      <c r="F293" s="3">
        <f>_xlfn.XLOOKUP(Table6[[#This Row],[NIS]],Table2[NIS],Table2[Tahun Masuk],"Not Found",0)</f>
        <v>2019</v>
      </c>
      <c r="G293" s="3">
        <f>_xlfn.XLOOKUP(Table6[[#This Row],[NIS]],Table2[NIS],Table2[Tahun Keluar],"Not Found",0)</f>
        <v>0</v>
      </c>
      <c r="H293" s="3">
        <f>_xlfn.XLOOKUP(Table6[[#This Row],[NIS]],Table2[NIS],Table2[Kelas],"Not Found",0)</f>
        <v>5</v>
      </c>
      <c r="I293" s="3" t="str">
        <f>_xlfn.XLOOKUP(Table6[[#This Row],[NIS]],Table2[NIS],Table2[Kelas Detail],"Not Found",0)</f>
        <v>5-A</v>
      </c>
      <c r="J293" s="3" t="s">
        <v>2513</v>
      </c>
      <c r="K293" s="3" t="s">
        <v>2513</v>
      </c>
      <c r="L293" s="3" t="s">
        <v>2513</v>
      </c>
    </row>
    <row r="294" spans="1:12">
      <c r="A294" s="3">
        <f>SUBTOTAL(3,B$3:B294)</f>
        <v>292</v>
      </c>
      <c r="B294" s="3">
        <v>17180108</v>
      </c>
      <c r="C294" s="18" t="str">
        <f>_xlfn.XLOOKUP(Table6[[#This Row],[NIS]],Table2[NIS],Table2[Nama lengkap],"Not Found",0)</f>
        <v>Eka Fitri Nur Sholeha</v>
      </c>
      <c r="D294" s="18" t="str">
        <f>_xlfn.XLOOKUP(Table6[[#This Row],[NIS]],Table2[NIS],Table2[Nomer Induk Siswa Nasional],"Not Found",0)</f>
        <v>0011185670</v>
      </c>
      <c r="E294" s="3" t="str">
        <f>_xlfn.XLOOKUP(Table6[[#This Row],[NIS]],Table2[NIS],Table2[Status],"Not Found",0)</f>
        <v>Aktif</v>
      </c>
      <c r="F294" s="3">
        <f>_xlfn.XLOOKUP(Table6[[#This Row],[NIS]],Table2[NIS],Table2[Tahun Masuk],"Not Found",0)</f>
        <v>2017</v>
      </c>
      <c r="G294" s="3">
        <f>_xlfn.XLOOKUP(Table6[[#This Row],[NIS]],Table2[NIS],Table2[Tahun Keluar],"Not Found",0)</f>
        <v>0</v>
      </c>
      <c r="H294" s="3">
        <f>_xlfn.XLOOKUP(Table6[[#This Row],[NIS]],Table2[NIS],Table2[Kelas],"Not Found",0)</f>
        <v>5</v>
      </c>
      <c r="I294" s="3" t="str">
        <f>_xlfn.XLOOKUP(Table6[[#This Row],[NIS]],Table2[NIS],Table2[Kelas Detail],"Not Found",0)</f>
        <v>5-A</v>
      </c>
      <c r="J294" s="3" t="s">
        <v>2513</v>
      </c>
      <c r="K294" s="3" t="s">
        <v>2513</v>
      </c>
      <c r="L294" s="3" t="s">
        <v>2513</v>
      </c>
    </row>
    <row r="295" spans="1:12">
      <c r="A295" s="3">
        <f>SUBTOTAL(3,B$3:B295)</f>
        <v>293</v>
      </c>
      <c r="B295" s="3">
        <v>20210152</v>
      </c>
      <c r="C295" s="18" t="str">
        <f>_xlfn.XLOOKUP(Table6[[#This Row],[NIS]],Table2[NIS],Table2[Nama lengkap],"Not Found",0)</f>
        <v>Fadhilah</v>
      </c>
      <c r="D295" s="18" t="str">
        <f>_xlfn.XLOOKUP(Table6[[#This Row],[NIS]],Table2[NIS],Table2[Nomer Induk Siswa Nasional],"Not Found",0)</f>
        <v>0046656828</v>
      </c>
      <c r="E295" s="3" t="str">
        <f>_xlfn.XLOOKUP(Table6[[#This Row],[NIS]],Table2[NIS],Table2[Status],"Not Found",0)</f>
        <v>Aktif</v>
      </c>
      <c r="F295" s="3">
        <f>_xlfn.XLOOKUP(Table6[[#This Row],[NIS]],Table2[NIS],Table2[Tahun Masuk],"Not Found",0)</f>
        <v>2020</v>
      </c>
      <c r="G295" s="3">
        <f>_xlfn.XLOOKUP(Table6[[#This Row],[NIS]],Table2[NIS],Table2[Tahun Keluar],"Not Found",0)</f>
        <v>0</v>
      </c>
      <c r="H295" s="3">
        <f>_xlfn.XLOOKUP(Table6[[#This Row],[NIS]],Table2[NIS],Table2[Kelas],"Not Found",0)</f>
        <v>5</v>
      </c>
      <c r="I295" s="3" t="str">
        <f>_xlfn.XLOOKUP(Table6[[#This Row],[NIS]],Table2[NIS],Table2[Kelas Detail],"Not Found",0)</f>
        <v>5-A</v>
      </c>
      <c r="J295" s="3" t="s">
        <v>2513</v>
      </c>
      <c r="K295" s="3" t="s">
        <v>2513</v>
      </c>
      <c r="L295" s="3" t="s">
        <v>2513</v>
      </c>
    </row>
    <row r="296" spans="1:12">
      <c r="A296" s="3">
        <f>SUBTOTAL(3,B$3:B296)</f>
        <v>294</v>
      </c>
      <c r="B296" s="3">
        <v>20210210</v>
      </c>
      <c r="C296" s="18" t="str">
        <f>_xlfn.XLOOKUP(Table6[[#This Row],[NIS]],Table2[NIS],Table2[Nama lengkap],"Not Found",0)</f>
        <v>Falisha Shamim Nibras</v>
      </c>
      <c r="D296" s="18" t="str">
        <f>_xlfn.XLOOKUP(Table6[[#This Row],[NIS]],Table2[NIS],Table2[Nomer Induk Siswa Nasional],"Not Found",0)</f>
        <v>3082892951</v>
      </c>
      <c r="E296" s="3" t="str">
        <f>_xlfn.XLOOKUP(Table6[[#This Row],[NIS]],Table2[NIS],Table2[Status],"Not Found",0)</f>
        <v>Aktif</v>
      </c>
      <c r="F296" s="3">
        <f>_xlfn.XLOOKUP(Table6[[#This Row],[NIS]],Table2[NIS],Table2[Tahun Masuk],"Not Found",0)</f>
        <v>2020</v>
      </c>
      <c r="G296" s="3">
        <f>_xlfn.XLOOKUP(Table6[[#This Row],[NIS]],Table2[NIS],Table2[Tahun Keluar],"Not Found",0)</f>
        <v>0</v>
      </c>
      <c r="H296" s="3">
        <f>_xlfn.XLOOKUP(Table6[[#This Row],[NIS]],Table2[NIS],Table2[Kelas],"Not Found",0)</f>
        <v>5</v>
      </c>
      <c r="I296" s="3" t="str">
        <f>_xlfn.XLOOKUP(Table6[[#This Row],[NIS]],Table2[NIS],Table2[Kelas Detail],"Not Found",0)</f>
        <v>5-A</v>
      </c>
      <c r="J296" s="3" t="s">
        <v>2513</v>
      </c>
      <c r="K296" s="3" t="s">
        <v>2513</v>
      </c>
      <c r="L296" s="3" t="s">
        <v>2513</v>
      </c>
    </row>
    <row r="297" spans="1:12">
      <c r="A297" s="3">
        <f>SUBTOTAL(3,B$3:B297)</f>
        <v>295</v>
      </c>
      <c r="B297" s="3">
        <v>20210154</v>
      </c>
      <c r="C297" s="18" t="str">
        <f>_xlfn.XLOOKUP(Table6[[#This Row],[NIS]],Table2[NIS],Table2[Nama lengkap],"Not Found",0)</f>
        <v xml:space="preserve">Fatimah Nururrohmah </v>
      </c>
      <c r="D297" s="18" t="str">
        <f>_xlfn.XLOOKUP(Table6[[#This Row],[NIS]],Table2[NIS],Table2[Nomer Induk Siswa Nasional],"Not Found",0)</f>
        <v>0074362449</v>
      </c>
      <c r="E297" s="3" t="str">
        <f>_xlfn.XLOOKUP(Table6[[#This Row],[NIS]],Table2[NIS],Table2[Status],"Not Found",0)</f>
        <v>Aktif</v>
      </c>
      <c r="F297" s="3">
        <f>_xlfn.XLOOKUP(Table6[[#This Row],[NIS]],Table2[NIS],Table2[Tahun Masuk],"Not Found",0)</f>
        <v>2020</v>
      </c>
      <c r="G297" s="3">
        <f>_xlfn.XLOOKUP(Table6[[#This Row],[NIS]],Table2[NIS],Table2[Tahun Keluar],"Not Found",0)</f>
        <v>0</v>
      </c>
      <c r="H297" s="3">
        <f>_xlfn.XLOOKUP(Table6[[#This Row],[NIS]],Table2[NIS],Table2[Kelas],"Not Found",0)</f>
        <v>5</v>
      </c>
      <c r="I297" s="3" t="str">
        <f>_xlfn.XLOOKUP(Table6[[#This Row],[NIS]],Table2[NIS],Table2[Kelas Detail],"Not Found",0)</f>
        <v>5-A</v>
      </c>
      <c r="J297" s="3" t="s">
        <v>2513</v>
      </c>
      <c r="K297" s="3" t="s">
        <v>2513</v>
      </c>
      <c r="L297" s="3" t="s">
        <v>2513</v>
      </c>
    </row>
    <row r="298" spans="1:12">
      <c r="A298" s="3">
        <f>SUBTOTAL(3,B$3:B298)</f>
        <v>296</v>
      </c>
      <c r="B298" s="3">
        <v>20210153</v>
      </c>
      <c r="C298" s="18" t="str">
        <f>_xlfn.XLOOKUP(Table6[[#This Row],[NIS]],Table2[NIS],Table2[Nama lengkap],"Not Found",0)</f>
        <v xml:space="preserve">Fitri Yani Aulia </v>
      </c>
      <c r="D298" s="18" t="str">
        <f>_xlfn.XLOOKUP(Table6[[#This Row],[NIS]],Table2[NIS],Table2[Nomer Induk Siswa Nasional],"Not Found",0)</f>
        <v>0039946408</v>
      </c>
      <c r="E298" s="3" t="str">
        <f>_xlfn.XLOOKUP(Table6[[#This Row],[NIS]],Table2[NIS],Table2[Status],"Not Found",0)</f>
        <v>Aktif</v>
      </c>
      <c r="F298" s="3">
        <f>_xlfn.XLOOKUP(Table6[[#This Row],[NIS]],Table2[NIS],Table2[Tahun Masuk],"Not Found",0)</f>
        <v>2020</v>
      </c>
      <c r="G298" s="3">
        <f>_xlfn.XLOOKUP(Table6[[#This Row],[NIS]],Table2[NIS],Table2[Tahun Keluar],"Not Found",0)</f>
        <v>0</v>
      </c>
      <c r="H298" s="3">
        <f>_xlfn.XLOOKUP(Table6[[#This Row],[NIS]],Table2[NIS],Table2[Kelas],"Not Found",0)</f>
        <v>5</v>
      </c>
      <c r="I298" s="3" t="str">
        <f>_xlfn.XLOOKUP(Table6[[#This Row],[NIS]],Table2[NIS],Table2[Kelas Detail],"Not Found",0)</f>
        <v>5-A</v>
      </c>
      <c r="J298" s="3" t="s">
        <v>2513</v>
      </c>
      <c r="K298" s="3" t="s">
        <v>2513</v>
      </c>
      <c r="L298" s="3" t="s">
        <v>2513</v>
      </c>
    </row>
    <row r="299" spans="1:12">
      <c r="A299" s="3">
        <f>SUBTOTAL(3,B$3:B299)</f>
        <v>297</v>
      </c>
      <c r="B299" s="3">
        <v>19200229</v>
      </c>
      <c r="C299" s="18" t="str">
        <f>_xlfn.XLOOKUP(Table6[[#This Row],[NIS]],Table2[NIS],Table2[Nama lengkap],"Not Found",0)</f>
        <v>Jahra Ramadhani</v>
      </c>
      <c r="D299" s="18" t="str">
        <f>_xlfn.XLOOKUP(Table6[[#This Row],[NIS]],Table2[NIS],Table2[Nomer Induk Siswa Nasional],"Not Found",0)</f>
        <v>0062220557/0064891491</v>
      </c>
      <c r="E299" s="3" t="str">
        <f>_xlfn.XLOOKUP(Table6[[#This Row],[NIS]],Table2[NIS],Table2[Status],"Not Found",0)</f>
        <v>Waqof</v>
      </c>
      <c r="F299" s="3">
        <f>_xlfn.XLOOKUP(Table6[[#This Row],[NIS]],Table2[NIS],Table2[Tahun Masuk],"Not Found",0)</f>
        <v>2019</v>
      </c>
      <c r="G299" s="3" t="str">
        <f>_xlfn.XLOOKUP(Table6[[#This Row],[NIS]],Table2[NIS],Table2[Tahun Keluar],"Not Found",0)</f>
        <v>25-26</v>
      </c>
      <c r="H299" s="3">
        <f>_xlfn.XLOOKUP(Table6[[#This Row],[NIS]],Table2[NIS],Table2[Kelas],"Not Found",0)</f>
        <v>5</v>
      </c>
      <c r="I299" s="3" t="str">
        <f>_xlfn.XLOOKUP(Table6[[#This Row],[NIS]],Table2[NIS],Table2[Kelas Detail],"Not Found",0)</f>
        <v>5-A</v>
      </c>
      <c r="J299" s="3" t="s">
        <v>2513</v>
      </c>
      <c r="K299" s="3" t="s">
        <v>2513</v>
      </c>
      <c r="L299" s="3" t="s">
        <v>2513</v>
      </c>
    </row>
    <row r="300" spans="1:12">
      <c r="A300" s="3">
        <f>SUBTOTAL(3,B$3:B300)</f>
        <v>298</v>
      </c>
      <c r="B300" s="3">
        <v>19200230</v>
      </c>
      <c r="C300" s="18" t="str">
        <f>_xlfn.XLOOKUP(Table6[[#This Row],[NIS]],Table2[NIS],Table2[Nama lengkap],"Not Found",0)</f>
        <v>Jalviani Salsabila</v>
      </c>
      <c r="D300" s="18" t="str">
        <f>_xlfn.XLOOKUP(Table6[[#This Row],[NIS]],Table2[NIS],Table2[Nomer Induk Siswa Nasional],"Not Found",0)</f>
        <v>0076723108</v>
      </c>
      <c r="E300" s="3" t="str">
        <f>_xlfn.XLOOKUP(Table6[[#This Row],[NIS]],Table2[NIS],Table2[Status],"Not Found",0)</f>
        <v>Aktif</v>
      </c>
      <c r="F300" s="3">
        <f>_xlfn.XLOOKUP(Table6[[#This Row],[NIS]],Table2[NIS],Table2[Tahun Masuk],"Not Found",0)</f>
        <v>2019</v>
      </c>
      <c r="G300" s="3">
        <f>_xlfn.XLOOKUP(Table6[[#This Row],[NIS]],Table2[NIS],Table2[Tahun Keluar],"Not Found",0)</f>
        <v>0</v>
      </c>
      <c r="H300" s="3">
        <f>_xlfn.XLOOKUP(Table6[[#This Row],[NIS]],Table2[NIS],Table2[Kelas],"Not Found",0)</f>
        <v>5</v>
      </c>
      <c r="I300" s="3" t="str">
        <f>_xlfn.XLOOKUP(Table6[[#This Row],[NIS]],Table2[NIS],Table2[Kelas Detail],"Not Found",0)</f>
        <v>5-A</v>
      </c>
      <c r="J300" s="3" t="s">
        <v>2513</v>
      </c>
      <c r="K300" s="3" t="s">
        <v>2513</v>
      </c>
      <c r="L300" s="3" t="s">
        <v>2513</v>
      </c>
    </row>
    <row r="301" spans="1:12">
      <c r="A301" s="3">
        <f>SUBTOTAL(3,B$3:B301)</f>
        <v>299</v>
      </c>
      <c r="B301" s="3">
        <v>19200242</v>
      </c>
      <c r="C301" s="18" t="str">
        <f>_xlfn.XLOOKUP(Table6[[#This Row],[NIS]],Table2[NIS],Table2[Nama lengkap],"Not Found",0)</f>
        <v xml:space="preserve">Minatul Maula </v>
      </c>
      <c r="D301" s="18" t="str">
        <f>_xlfn.XLOOKUP(Table6[[#This Row],[NIS]],Table2[NIS],Table2[Nomer Induk Siswa Nasional],"Not Found",0)</f>
        <v>0067910099</v>
      </c>
      <c r="E301" s="3" t="str">
        <f>_xlfn.XLOOKUP(Table6[[#This Row],[NIS]],Table2[NIS],Table2[Status],"Not Found",0)</f>
        <v>Aktif</v>
      </c>
      <c r="F301" s="3">
        <f>_xlfn.XLOOKUP(Table6[[#This Row],[NIS]],Table2[NIS],Table2[Tahun Masuk],"Not Found",0)</f>
        <v>2019</v>
      </c>
      <c r="G301" s="3">
        <f>_xlfn.XLOOKUP(Table6[[#This Row],[NIS]],Table2[NIS],Table2[Tahun Keluar],"Not Found",0)</f>
        <v>0</v>
      </c>
      <c r="H301" s="3">
        <f>_xlfn.XLOOKUP(Table6[[#This Row],[NIS]],Table2[NIS],Table2[Kelas],"Not Found",0)</f>
        <v>5</v>
      </c>
      <c r="I301" s="3" t="str">
        <f>_xlfn.XLOOKUP(Table6[[#This Row],[NIS]],Table2[NIS],Table2[Kelas Detail],"Not Found",0)</f>
        <v>5-A</v>
      </c>
      <c r="J301" s="3" t="s">
        <v>2513</v>
      </c>
      <c r="K301" s="3" t="s">
        <v>2513</v>
      </c>
      <c r="L301" s="3" t="s">
        <v>2513</v>
      </c>
    </row>
    <row r="302" spans="1:12">
      <c r="A302" s="3">
        <f>SUBTOTAL(3,B$3:B302)</f>
        <v>300</v>
      </c>
      <c r="B302" s="3">
        <v>19200247</v>
      </c>
      <c r="C302" s="18" t="str">
        <f>_xlfn.XLOOKUP(Table6[[#This Row],[NIS]],Table2[NIS],Table2[Nama lengkap],"Not Found",0)</f>
        <v>Not Found</v>
      </c>
      <c r="D302" s="18" t="str">
        <f>_xlfn.XLOOKUP(Table6[[#This Row],[NIS]],Table2[NIS],Table2[Nomer Induk Siswa Nasional],"Not Found",0)</f>
        <v>Not Found</v>
      </c>
      <c r="E302" s="3" t="str">
        <f>_xlfn.XLOOKUP(Table6[[#This Row],[NIS]],Table2[NIS],Table2[Status],"Not Found",0)</f>
        <v>Not Found</v>
      </c>
      <c r="F302" s="3" t="str">
        <f>_xlfn.XLOOKUP(Table6[[#This Row],[NIS]],Table2[NIS],Table2[Tahun Masuk],"Not Found",0)</f>
        <v>Not Found</v>
      </c>
      <c r="G302" s="3" t="str">
        <f>_xlfn.XLOOKUP(Table6[[#This Row],[NIS]],Table2[NIS],Table2[Tahun Keluar],"Not Found",0)</f>
        <v>Not Found</v>
      </c>
      <c r="H302" s="3" t="str">
        <f>_xlfn.XLOOKUP(Table6[[#This Row],[NIS]],Table2[NIS],Table2[Kelas],"Not Found",0)</f>
        <v>Not Found</v>
      </c>
      <c r="I302" s="3" t="str">
        <f>_xlfn.XLOOKUP(Table6[[#This Row],[NIS]],Table2[NIS],Table2[Kelas Detail],"Not Found",0)</f>
        <v>Not Found</v>
      </c>
      <c r="J302" s="3" t="s">
        <v>2513</v>
      </c>
      <c r="K302" s="3" t="s">
        <v>2513</v>
      </c>
      <c r="L302" s="3" t="s">
        <v>2513</v>
      </c>
    </row>
    <row r="303" spans="1:12">
      <c r="A303" s="3">
        <f>SUBTOTAL(3,B$3:B303)</f>
        <v>301</v>
      </c>
      <c r="B303" s="3">
        <v>19200251</v>
      </c>
      <c r="C303" s="18" t="str">
        <f>_xlfn.XLOOKUP(Table6[[#This Row],[NIS]],Table2[NIS],Table2[Nama lengkap],"Not Found",0)</f>
        <v>Nadia Aulia Safitri</v>
      </c>
      <c r="D303" s="18" t="str">
        <f>_xlfn.XLOOKUP(Table6[[#This Row],[NIS]],Table2[NIS],Table2[Nomer Induk Siswa Nasional],"Not Found",0)</f>
        <v>0069445436</v>
      </c>
      <c r="E303" s="3" t="str">
        <f>_xlfn.XLOOKUP(Table6[[#This Row],[NIS]],Table2[NIS],Table2[Status],"Not Found",0)</f>
        <v>Aktif</v>
      </c>
      <c r="F303" s="3">
        <f>_xlfn.XLOOKUP(Table6[[#This Row],[NIS]],Table2[NIS],Table2[Tahun Masuk],"Not Found",0)</f>
        <v>2019</v>
      </c>
      <c r="G303" s="3" t="str">
        <f>_xlfn.XLOOKUP(Table6[[#This Row],[NIS]],Table2[NIS],Table2[Tahun Keluar],"Not Found",0)</f>
        <v>TB</v>
      </c>
      <c r="H303" s="3">
        <f>_xlfn.XLOOKUP(Table6[[#This Row],[NIS]],Table2[NIS],Table2[Kelas],"Not Found",0)</f>
        <v>5</v>
      </c>
      <c r="I303" s="3" t="str">
        <f>_xlfn.XLOOKUP(Table6[[#This Row],[NIS]],Table2[NIS],Table2[Kelas Detail],"Not Found",0)</f>
        <v>5-A</v>
      </c>
      <c r="J303" s="3" t="s">
        <v>2513</v>
      </c>
      <c r="K303" s="3" t="s">
        <v>2513</v>
      </c>
      <c r="L303" s="3" t="s">
        <v>2513</v>
      </c>
    </row>
    <row r="304" spans="1:12">
      <c r="A304" s="3">
        <f>SUBTOTAL(3,B$3:B304)</f>
        <v>302</v>
      </c>
      <c r="B304" s="3">
        <v>19200255</v>
      </c>
      <c r="C304" s="18" t="str">
        <f>_xlfn.XLOOKUP(Table6[[#This Row],[NIS]],Table2[NIS],Table2[Nama lengkap],"Not Found",0)</f>
        <v>Nayshila Arzita Kandiaz</v>
      </c>
      <c r="D304" s="18" t="str">
        <f>_xlfn.XLOOKUP(Table6[[#This Row],[NIS]],Table2[NIS],Table2[Nomer Induk Siswa Nasional],"Not Found",0)</f>
        <v>0075717209</v>
      </c>
      <c r="E304" s="3" t="str">
        <f>_xlfn.XLOOKUP(Table6[[#This Row],[NIS]],Table2[NIS],Table2[Status],"Not Found",0)</f>
        <v>Aktif</v>
      </c>
      <c r="F304" s="3">
        <f>_xlfn.XLOOKUP(Table6[[#This Row],[NIS]],Table2[NIS],Table2[Tahun Masuk],"Not Found",0)</f>
        <v>2019</v>
      </c>
      <c r="G304" s="3">
        <f>_xlfn.XLOOKUP(Table6[[#This Row],[NIS]],Table2[NIS],Table2[Tahun Keluar],"Not Found",0)</f>
        <v>0</v>
      </c>
      <c r="H304" s="3">
        <f>_xlfn.XLOOKUP(Table6[[#This Row],[NIS]],Table2[NIS],Table2[Kelas],"Not Found",0)</f>
        <v>5</v>
      </c>
      <c r="I304" s="3" t="str">
        <f>_xlfn.XLOOKUP(Table6[[#This Row],[NIS]],Table2[NIS],Table2[Kelas Detail],"Not Found",0)</f>
        <v>5-A</v>
      </c>
      <c r="J304" s="3" t="s">
        <v>2513</v>
      </c>
      <c r="K304" s="3" t="s">
        <v>2513</v>
      </c>
      <c r="L304" s="3" t="s">
        <v>2513</v>
      </c>
    </row>
    <row r="305" spans="1:12">
      <c r="A305" s="3">
        <f>SUBTOTAL(3,B$3:B305)</f>
        <v>303</v>
      </c>
      <c r="B305" s="3">
        <v>19200259</v>
      </c>
      <c r="C305" s="18" t="str">
        <f>_xlfn.XLOOKUP(Table6[[#This Row],[NIS]],Table2[NIS],Table2[Nama lengkap],"Not Found",0)</f>
        <v>Neng Sela Rismawati</v>
      </c>
      <c r="D305" s="18" t="str">
        <f>_xlfn.XLOOKUP(Table6[[#This Row],[NIS]],Table2[NIS],Table2[Nomer Induk Siswa Nasional],"Not Found",0)</f>
        <v>0073083594</v>
      </c>
      <c r="E305" s="3" t="str">
        <f>_xlfn.XLOOKUP(Table6[[#This Row],[NIS]],Table2[NIS],Table2[Status],"Not Found",0)</f>
        <v>Aktif</v>
      </c>
      <c r="F305" s="3">
        <f>_xlfn.XLOOKUP(Table6[[#This Row],[NIS]],Table2[NIS],Table2[Tahun Masuk],"Not Found",0)</f>
        <v>2019</v>
      </c>
      <c r="G305" s="3">
        <f>_xlfn.XLOOKUP(Table6[[#This Row],[NIS]],Table2[NIS],Table2[Tahun Keluar],"Not Found",0)</f>
        <v>0</v>
      </c>
      <c r="H305" s="3">
        <f>_xlfn.XLOOKUP(Table6[[#This Row],[NIS]],Table2[NIS],Table2[Kelas],"Not Found",0)</f>
        <v>5</v>
      </c>
      <c r="I305" s="3" t="str">
        <f>_xlfn.XLOOKUP(Table6[[#This Row],[NIS]],Table2[NIS],Table2[Kelas Detail],"Not Found",0)</f>
        <v>5-A</v>
      </c>
      <c r="J305" s="3" t="s">
        <v>2513</v>
      </c>
      <c r="K305" s="3" t="s">
        <v>2513</v>
      </c>
      <c r="L305" s="3" t="s">
        <v>2513</v>
      </c>
    </row>
    <row r="306" spans="1:12">
      <c r="A306" s="3">
        <f>SUBTOTAL(3,B$3:B306)</f>
        <v>304</v>
      </c>
      <c r="B306" s="3">
        <v>19200265</v>
      </c>
      <c r="C306" s="18" t="str">
        <f>_xlfn.XLOOKUP(Table6[[#This Row],[NIS]],Table2[NIS],Table2[Nama lengkap],"Not Found",0)</f>
        <v>Nurjanah</v>
      </c>
      <c r="D306" s="18" t="str">
        <f>_xlfn.XLOOKUP(Table6[[#This Row],[NIS]],Table2[NIS],Table2[Nomer Induk Siswa Nasional],"Not Found",0)</f>
        <v>0042254516</v>
      </c>
      <c r="E306" s="3" t="str">
        <f>_xlfn.XLOOKUP(Table6[[#This Row],[NIS]],Table2[NIS],Table2[Status],"Not Found",0)</f>
        <v>Aktif</v>
      </c>
      <c r="F306" s="3">
        <f>_xlfn.XLOOKUP(Table6[[#This Row],[NIS]],Table2[NIS],Table2[Tahun Masuk],"Not Found",0)</f>
        <v>2019</v>
      </c>
      <c r="G306" s="3">
        <f>_xlfn.XLOOKUP(Table6[[#This Row],[NIS]],Table2[NIS],Table2[Tahun Keluar],"Not Found",0)</f>
        <v>0</v>
      </c>
      <c r="H306" s="3">
        <f>_xlfn.XLOOKUP(Table6[[#This Row],[NIS]],Table2[NIS],Table2[Kelas],"Not Found",0)</f>
        <v>5</v>
      </c>
      <c r="I306" s="3" t="str">
        <f>_xlfn.XLOOKUP(Table6[[#This Row],[NIS]],Table2[NIS],Table2[Kelas Detail],"Not Found",0)</f>
        <v>5-A</v>
      </c>
      <c r="J306" s="3" t="s">
        <v>2513</v>
      </c>
      <c r="K306" s="3" t="s">
        <v>2513</v>
      </c>
      <c r="L306" s="3" t="s">
        <v>2513</v>
      </c>
    </row>
    <row r="307" spans="1:12">
      <c r="A307" s="3">
        <f>SUBTOTAL(3,B$3:B307)</f>
        <v>305</v>
      </c>
      <c r="B307" s="3">
        <v>19200267</v>
      </c>
      <c r="C307" s="18" t="str">
        <f>_xlfn.XLOOKUP(Table6[[#This Row],[NIS]],Table2[NIS],Table2[Nama lengkap],"Not Found",0)</f>
        <v>Putri Ismaya Koswara</v>
      </c>
      <c r="D307" s="18" t="str">
        <f>_xlfn.XLOOKUP(Table6[[#This Row],[NIS]],Table2[NIS],Table2[Nomer Induk Siswa Nasional],"Not Found",0)</f>
        <v>0066480724</v>
      </c>
      <c r="E307" s="3" t="str">
        <f>_xlfn.XLOOKUP(Table6[[#This Row],[NIS]],Table2[NIS],Table2[Status],"Not Found",0)</f>
        <v>Aktif</v>
      </c>
      <c r="F307" s="3">
        <f>_xlfn.XLOOKUP(Table6[[#This Row],[NIS]],Table2[NIS],Table2[Tahun Masuk],"Not Found",0)</f>
        <v>2019</v>
      </c>
      <c r="G307" s="3">
        <f>_xlfn.XLOOKUP(Table6[[#This Row],[NIS]],Table2[NIS],Table2[Tahun Keluar],"Not Found",0)</f>
        <v>0</v>
      </c>
      <c r="H307" s="3">
        <f>_xlfn.XLOOKUP(Table6[[#This Row],[NIS]],Table2[NIS],Table2[Kelas],"Not Found",0)</f>
        <v>5</v>
      </c>
      <c r="I307" s="3" t="str">
        <f>_xlfn.XLOOKUP(Table6[[#This Row],[NIS]],Table2[NIS],Table2[Kelas Detail],"Not Found",0)</f>
        <v>5-A</v>
      </c>
      <c r="J307" s="3" t="s">
        <v>2513</v>
      </c>
      <c r="K307" s="3" t="s">
        <v>2513</v>
      </c>
      <c r="L307" s="3" t="s">
        <v>2513</v>
      </c>
    </row>
    <row r="308" spans="1:12">
      <c r="A308" s="3">
        <f>SUBTOTAL(3,B$3:B308)</f>
        <v>306</v>
      </c>
      <c r="B308" s="3">
        <v>19200290</v>
      </c>
      <c r="C308" s="18" t="str">
        <f>_xlfn.XLOOKUP(Table6[[#This Row],[NIS]],Table2[NIS],Table2[Nama lengkap],"Not Found",0)</f>
        <v>R.Salsabila Nur Sabila Solehah</v>
      </c>
      <c r="D308" s="18" t="str">
        <f>_xlfn.XLOOKUP(Table6[[#This Row],[NIS]],Table2[NIS],Table2[Nomer Induk Siswa Nasional],"Not Found",0)</f>
        <v>0134087091</v>
      </c>
      <c r="E308" s="3" t="str">
        <f>_xlfn.XLOOKUP(Table6[[#This Row],[NIS]],Table2[NIS],Table2[Status],"Not Found",0)</f>
        <v>Aktif</v>
      </c>
      <c r="F308" s="3">
        <f>_xlfn.XLOOKUP(Table6[[#This Row],[NIS]],Table2[NIS],Table2[Tahun Masuk],"Not Found",0)</f>
        <v>2019</v>
      </c>
      <c r="G308" s="3">
        <f>_xlfn.XLOOKUP(Table6[[#This Row],[NIS]],Table2[NIS],Table2[Tahun Keluar],"Not Found",0)</f>
        <v>0</v>
      </c>
      <c r="H308" s="3">
        <f>_xlfn.XLOOKUP(Table6[[#This Row],[NIS]],Table2[NIS],Table2[Kelas],"Not Found",0)</f>
        <v>5</v>
      </c>
      <c r="I308" s="3" t="str">
        <f>_xlfn.XLOOKUP(Table6[[#This Row],[NIS]],Table2[NIS],Table2[Kelas Detail],"Not Found",0)</f>
        <v>5-A</v>
      </c>
      <c r="J308" s="3" t="s">
        <v>2513</v>
      </c>
      <c r="K308" s="3" t="s">
        <v>2513</v>
      </c>
      <c r="L308" s="3" t="s">
        <v>2513</v>
      </c>
    </row>
    <row r="309" spans="1:12">
      <c r="A309" s="3">
        <f>SUBTOTAL(3,B$3:B309)</f>
        <v>307</v>
      </c>
      <c r="B309" s="3">
        <v>19200271</v>
      </c>
      <c r="C309" s="18" t="str">
        <f>_xlfn.XLOOKUP(Table6[[#This Row],[NIS]],Table2[NIS],Table2[Nama lengkap],"Not Found",0)</f>
        <v>Raegitha Brilian Novia Hadiawan</v>
      </c>
      <c r="D309" s="18" t="str">
        <f>_xlfn.XLOOKUP(Table6[[#This Row],[NIS]],Table2[NIS],Table2[Nomer Induk Siswa Nasional],"Not Found",0)</f>
        <v>0068030071</v>
      </c>
      <c r="E309" s="3" t="str">
        <f>_xlfn.XLOOKUP(Table6[[#This Row],[NIS]],Table2[NIS],Table2[Status],"Not Found",0)</f>
        <v>Aktif</v>
      </c>
      <c r="F309" s="3">
        <f>_xlfn.XLOOKUP(Table6[[#This Row],[NIS]],Table2[NIS],Table2[Tahun Masuk],"Not Found",0)</f>
        <v>2019</v>
      </c>
      <c r="G309" s="3">
        <f>_xlfn.XLOOKUP(Table6[[#This Row],[NIS]],Table2[NIS],Table2[Tahun Keluar],"Not Found",0)</f>
        <v>0</v>
      </c>
      <c r="H309" s="3">
        <f>_xlfn.XLOOKUP(Table6[[#This Row],[NIS]],Table2[NIS],Table2[Kelas],"Not Found",0)</f>
        <v>5</v>
      </c>
      <c r="I309" s="3" t="str">
        <f>_xlfn.XLOOKUP(Table6[[#This Row],[NIS]],Table2[NIS],Table2[Kelas Detail],"Not Found",0)</f>
        <v>5-A</v>
      </c>
      <c r="J309" s="3" t="s">
        <v>2513</v>
      </c>
      <c r="K309" s="3" t="s">
        <v>2513</v>
      </c>
      <c r="L309" s="3" t="s">
        <v>2513</v>
      </c>
    </row>
    <row r="310" spans="1:12">
      <c r="A310" s="3">
        <f>SUBTOTAL(3,B$3:B310)</f>
        <v>308</v>
      </c>
      <c r="B310" s="3">
        <v>20210181</v>
      </c>
      <c r="C310" s="18" t="str">
        <f>_xlfn.XLOOKUP(Table6[[#This Row],[NIS]],Table2[NIS],Table2[Nama lengkap],"Not Found",0)</f>
        <v>Ridha Sulistiani Falah</v>
      </c>
      <c r="D310" s="18" t="str">
        <f>_xlfn.XLOOKUP(Table6[[#This Row],[NIS]],Table2[NIS],Table2[Nomer Induk Siswa Nasional],"Not Found",0)</f>
        <v>0071765183</v>
      </c>
      <c r="E310" s="3" t="str">
        <f>_xlfn.XLOOKUP(Table6[[#This Row],[NIS]],Table2[NIS],Table2[Status],"Not Found",0)</f>
        <v>Aktif</v>
      </c>
      <c r="F310" s="3">
        <f>_xlfn.XLOOKUP(Table6[[#This Row],[NIS]],Table2[NIS],Table2[Tahun Masuk],"Not Found",0)</f>
        <v>2020</v>
      </c>
      <c r="G310" s="3">
        <f>_xlfn.XLOOKUP(Table6[[#This Row],[NIS]],Table2[NIS],Table2[Tahun Keluar],"Not Found",0)</f>
        <v>0</v>
      </c>
      <c r="H310" s="3">
        <f>_xlfn.XLOOKUP(Table6[[#This Row],[NIS]],Table2[NIS],Table2[Kelas],"Not Found",0)</f>
        <v>5</v>
      </c>
      <c r="I310" s="3" t="str">
        <f>_xlfn.XLOOKUP(Table6[[#This Row],[NIS]],Table2[NIS],Table2[Kelas Detail],"Not Found",0)</f>
        <v>5-A</v>
      </c>
      <c r="J310" s="3" t="s">
        <v>2513</v>
      </c>
      <c r="K310" s="3" t="s">
        <v>2513</v>
      </c>
      <c r="L310" s="3" t="s">
        <v>2513</v>
      </c>
    </row>
    <row r="311" spans="1:12">
      <c r="A311" s="3">
        <f>SUBTOTAL(3,B$3:B311)</f>
        <v>309</v>
      </c>
      <c r="B311" s="3">
        <v>20210236</v>
      </c>
      <c r="C311" s="18" t="str">
        <f>_xlfn.XLOOKUP(Table6[[#This Row],[NIS]],Table2[NIS],Table2[Nama lengkap],"Not Found",0)</f>
        <v>Riha Fauziah</v>
      </c>
      <c r="D311" s="18" t="str">
        <f>_xlfn.XLOOKUP(Table6[[#This Row],[NIS]],Table2[NIS],Table2[Nomer Induk Siswa Nasional],"Not Found",0)</f>
        <v>0071099218</v>
      </c>
      <c r="E311" s="3" t="str">
        <f>_xlfn.XLOOKUP(Table6[[#This Row],[NIS]],Table2[NIS],Table2[Status],"Not Found",0)</f>
        <v>Aktif</v>
      </c>
      <c r="F311" s="3">
        <f>_xlfn.XLOOKUP(Table6[[#This Row],[NIS]],Table2[NIS],Table2[Tahun Masuk],"Not Found",0)</f>
        <v>2020</v>
      </c>
      <c r="G311" s="3">
        <f>_xlfn.XLOOKUP(Table6[[#This Row],[NIS]],Table2[NIS],Table2[Tahun Keluar],"Not Found",0)</f>
        <v>0</v>
      </c>
      <c r="H311" s="3">
        <f>_xlfn.XLOOKUP(Table6[[#This Row],[NIS]],Table2[NIS],Table2[Kelas],"Not Found",0)</f>
        <v>5</v>
      </c>
      <c r="I311" s="3" t="str">
        <f>_xlfn.XLOOKUP(Table6[[#This Row],[NIS]],Table2[NIS],Table2[Kelas Detail],"Not Found",0)</f>
        <v>5-A</v>
      </c>
      <c r="J311" s="3" t="s">
        <v>2513</v>
      </c>
      <c r="K311" s="3" t="s">
        <v>2513</v>
      </c>
      <c r="L311" s="3" t="s">
        <v>2513</v>
      </c>
    </row>
    <row r="312" spans="1:12">
      <c r="A312" s="3">
        <f>SUBTOTAL(3,B$3:B312)</f>
        <v>310</v>
      </c>
      <c r="B312" s="3">
        <v>19200284</v>
      </c>
      <c r="C312" s="18" t="str">
        <f>_xlfn.XLOOKUP(Table6[[#This Row],[NIS]],Table2[NIS],Table2[Nama lengkap],"Not Found",0)</f>
        <v>Rohmah Nurul Muna</v>
      </c>
      <c r="D312" s="18" t="str">
        <f>_xlfn.XLOOKUP(Table6[[#This Row],[NIS]],Table2[NIS],Table2[Nomer Induk Siswa Nasional],"Not Found",0)</f>
        <v>0043124478/2036979722</v>
      </c>
      <c r="E312" s="3" t="str">
        <f>_xlfn.XLOOKUP(Table6[[#This Row],[NIS]],Table2[NIS],Table2[Status],"Not Found",0)</f>
        <v>Aktif</v>
      </c>
      <c r="F312" s="3">
        <f>_xlfn.XLOOKUP(Table6[[#This Row],[NIS]],Table2[NIS],Table2[Tahun Masuk],"Not Found",0)</f>
        <v>2019</v>
      </c>
      <c r="G312" s="3">
        <f>_xlfn.XLOOKUP(Table6[[#This Row],[NIS]],Table2[NIS],Table2[Tahun Keluar],"Not Found",0)</f>
        <v>0</v>
      </c>
      <c r="H312" s="3">
        <f>_xlfn.XLOOKUP(Table6[[#This Row],[NIS]],Table2[NIS],Table2[Kelas],"Not Found",0)</f>
        <v>5</v>
      </c>
      <c r="I312" s="3" t="str">
        <f>_xlfn.XLOOKUP(Table6[[#This Row],[NIS]],Table2[NIS],Table2[Kelas Detail],"Not Found",0)</f>
        <v>5-A</v>
      </c>
      <c r="J312" s="3" t="s">
        <v>2513</v>
      </c>
      <c r="K312" s="3" t="s">
        <v>2513</v>
      </c>
      <c r="L312" s="3" t="s">
        <v>2513</v>
      </c>
    </row>
    <row r="313" spans="1:12">
      <c r="A313" s="3">
        <f>SUBTOTAL(3,B$3:B313)</f>
        <v>311</v>
      </c>
      <c r="B313" s="3">
        <v>19200285</v>
      </c>
      <c r="C313" s="18" t="str">
        <f>_xlfn.XLOOKUP(Table6[[#This Row],[NIS]],Table2[NIS],Table2[Nama lengkap],"Not Found",0)</f>
        <v>Rossa Aulyana</v>
      </c>
      <c r="D313" s="18" t="str">
        <f>_xlfn.XLOOKUP(Table6[[#This Row],[NIS]],Table2[NIS],Table2[Nomer Induk Siswa Nasional],"Not Found",0)</f>
        <v>0076106879</v>
      </c>
      <c r="E313" s="3" t="str">
        <f>_xlfn.XLOOKUP(Table6[[#This Row],[NIS]],Table2[NIS],Table2[Status],"Not Found",0)</f>
        <v>Aktif</v>
      </c>
      <c r="F313" s="3">
        <f>_xlfn.XLOOKUP(Table6[[#This Row],[NIS]],Table2[NIS],Table2[Tahun Masuk],"Not Found",0)</f>
        <v>2019</v>
      </c>
      <c r="G313" s="3">
        <f>_xlfn.XLOOKUP(Table6[[#This Row],[NIS]],Table2[NIS],Table2[Tahun Keluar],"Not Found",0)</f>
        <v>0</v>
      </c>
      <c r="H313" s="3">
        <f>_xlfn.XLOOKUP(Table6[[#This Row],[NIS]],Table2[NIS],Table2[Kelas],"Not Found",0)</f>
        <v>5</v>
      </c>
      <c r="I313" s="3" t="str">
        <f>_xlfn.XLOOKUP(Table6[[#This Row],[NIS]],Table2[NIS],Table2[Kelas Detail],"Not Found",0)</f>
        <v>5-A</v>
      </c>
      <c r="J313" s="3" t="s">
        <v>2513</v>
      </c>
      <c r="K313" s="3" t="s">
        <v>2513</v>
      </c>
      <c r="L313" s="3" t="s">
        <v>2513</v>
      </c>
    </row>
    <row r="314" spans="1:12">
      <c r="A314" s="3">
        <f>SUBTOTAL(3,B$3:B314)</f>
        <v>312</v>
      </c>
      <c r="B314" s="3">
        <v>19200289</v>
      </c>
      <c r="C314" s="18" t="str">
        <f>_xlfn.XLOOKUP(Table6[[#This Row],[NIS]],Table2[NIS],Table2[Nama lengkap],"Not Found",0)</f>
        <v>Salma Rana Raihana</v>
      </c>
      <c r="D314" s="18" t="str">
        <f>_xlfn.XLOOKUP(Table6[[#This Row],[NIS]],Table2[NIS],Table2[Nomer Induk Siswa Nasional],"Not Found",0)</f>
        <v>0074733677</v>
      </c>
      <c r="E314" s="3" t="str">
        <f>_xlfn.XLOOKUP(Table6[[#This Row],[NIS]],Table2[NIS],Table2[Status],"Not Found",0)</f>
        <v>Aktif</v>
      </c>
      <c r="F314" s="3">
        <f>_xlfn.XLOOKUP(Table6[[#This Row],[NIS]],Table2[NIS],Table2[Tahun Masuk],"Not Found",0)</f>
        <v>2019</v>
      </c>
      <c r="G314" s="3">
        <f>_xlfn.XLOOKUP(Table6[[#This Row],[NIS]],Table2[NIS],Table2[Tahun Keluar],"Not Found",0)</f>
        <v>0</v>
      </c>
      <c r="H314" s="3">
        <f>_xlfn.XLOOKUP(Table6[[#This Row],[NIS]],Table2[NIS],Table2[Kelas],"Not Found",0)</f>
        <v>5</v>
      </c>
      <c r="I314" s="3" t="str">
        <f>_xlfn.XLOOKUP(Table6[[#This Row],[NIS]],Table2[NIS],Table2[Kelas Detail],"Not Found",0)</f>
        <v>5-A</v>
      </c>
      <c r="J314" s="3" t="s">
        <v>2513</v>
      </c>
      <c r="K314" s="3" t="s">
        <v>2513</v>
      </c>
      <c r="L314" s="3" t="s">
        <v>2513</v>
      </c>
    </row>
    <row r="315" spans="1:12">
      <c r="A315" s="3">
        <f>SUBTOTAL(3,B$3:B315)</f>
        <v>313</v>
      </c>
      <c r="B315" s="3">
        <v>19200292</v>
      </c>
      <c r="C315" s="18" t="str">
        <f>_xlfn.XLOOKUP(Table6[[#This Row],[NIS]],Table2[NIS],Table2[Nama lengkap],"Not Found",0)</f>
        <v>Sani Siti Fitriani</v>
      </c>
      <c r="D315" s="18" t="str">
        <f>_xlfn.XLOOKUP(Table6[[#This Row],[NIS]],Table2[NIS],Table2[Nomer Induk Siswa Nasional],"Not Found",0)</f>
        <v>0037373505</v>
      </c>
      <c r="E315" s="3" t="str">
        <f>_xlfn.XLOOKUP(Table6[[#This Row],[NIS]],Table2[NIS],Table2[Status],"Not Found",0)</f>
        <v>Aktif</v>
      </c>
      <c r="F315" s="3">
        <f>_xlfn.XLOOKUP(Table6[[#This Row],[NIS]],Table2[NIS],Table2[Tahun Masuk],"Not Found",0)</f>
        <v>2019</v>
      </c>
      <c r="G315" s="3">
        <f>_xlfn.XLOOKUP(Table6[[#This Row],[NIS]],Table2[NIS],Table2[Tahun Keluar],"Not Found",0)</f>
        <v>0</v>
      </c>
      <c r="H315" s="3">
        <f>_xlfn.XLOOKUP(Table6[[#This Row],[NIS]],Table2[NIS],Table2[Kelas],"Not Found",0)</f>
        <v>5</v>
      </c>
      <c r="I315" s="3" t="str">
        <f>_xlfn.XLOOKUP(Table6[[#This Row],[NIS]],Table2[NIS],Table2[Kelas Detail],"Not Found",0)</f>
        <v>5-A</v>
      </c>
      <c r="J315" s="3" t="s">
        <v>2513</v>
      </c>
      <c r="K315" s="3" t="s">
        <v>2513</v>
      </c>
      <c r="L315" s="3" t="s">
        <v>2513</v>
      </c>
    </row>
    <row r="316" spans="1:12">
      <c r="A316" s="3">
        <f>SUBTOTAL(3,B$3:B316)</f>
        <v>314</v>
      </c>
      <c r="B316" s="3">
        <v>18190232</v>
      </c>
      <c r="C316" s="18" t="str">
        <f>_xlfn.XLOOKUP(Table6[[#This Row],[NIS]],Table2[NIS],Table2[Nama lengkap],"Not Found",0)</f>
        <v>Siti Aisyah</v>
      </c>
      <c r="D316" s="18" t="str">
        <f>_xlfn.XLOOKUP(Table6[[#This Row],[NIS]],Table2[NIS],Table2[Nomer Induk Siswa Nasional],"Not Found",0)</f>
        <v>0075214037</v>
      </c>
      <c r="E316" s="3" t="str">
        <f>_xlfn.XLOOKUP(Table6[[#This Row],[NIS]],Table2[NIS],Table2[Status],"Not Found",0)</f>
        <v>Aktif</v>
      </c>
      <c r="F316" s="3">
        <f>_xlfn.XLOOKUP(Table6[[#This Row],[NIS]],Table2[NIS],Table2[Tahun Masuk],"Not Found",0)</f>
        <v>2018</v>
      </c>
      <c r="G316" s="3">
        <f>_xlfn.XLOOKUP(Table6[[#This Row],[NIS]],Table2[NIS],Table2[Tahun Keluar],"Not Found",0)</f>
        <v>0</v>
      </c>
      <c r="H316" s="3">
        <f>_xlfn.XLOOKUP(Table6[[#This Row],[NIS]],Table2[NIS],Table2[Kelas],"Not Found",0)</f>
        <v>5</v>
      </c>
      <c r="I316" s="3" t="str">
        <f>_xlfn.XLOOKUP(Table6[[#This Row],[NIS]],Table2[NIS],Table2[Kelas Detail],"Not Found",0)</f>
        <v>5-A</v>
      </c>
      <c r="J316" s="3" t="s">
        <v>2513</v>
      </c>
      <c r="K316" s="3" t="s">
        <v>2513</v>
      </c>
      <c r="L316" s="3" t="s">
        <v>2513</v>
      </c>
    </row>
    <row r="317" spans="1:12">
      <c r="A317" s="3">
        <f>SUBTOTAL(3,B$3:B317)</f>
        <v>315</v>
      </c>
      <c r="B317" s="3">
        <v>20210170</v>
      </c>
      <c r="C317" s="18" t="str">
        <f>_xlfn.XLOOKUP(Table6[[#This Row],[NIS]],Table2[NIS],Table2[Nama lengkap],"Not Found",0)</f>
        <v>Siti Halimatul Azka Ghranita</v>
      </c>
      <c r="D317" s="18" t="str">
        <f>_xlfn.XLOOKUP(Table6[[#This Row],[NIS]],Table2[NIS],Table2[Nomer Induk Siswa Nasional],"Not Found",0)</f>
        <v>0053526368</v>
      </c>
      <c r="E317" s="3" t="str">
        <f>_xlfn.XLOOKUP(Table6[[#This Row],[NIS]],Table2[NIS],Table2[Status],"Not Found",0)</f>
        <v>Aktif</v>
      </c>
      <c r="F317" s="3">
        <f>_xlfn.XLOOKUP(Table6[[#This Row],[NIS]],Table2[NIS],Table2[Tahun Masuk],"Not Found",0)</f>
        <v>2020</v>
      </c>
      <c r="G317" s="3">
        <f>_xlfn.XLOOKUP(Table6[[#This Row],[NIS]],Table2[NIS],Table2[Tahun Keluar],"Not Found",0)</f>
        <v>0</v>
      </c>
      <c r="H317" s="3">
        <f>_xlfn.XLOOKUP(Table6[[#This Row],[NIS]],Table2[NIS],Table2[Kelas],"Not Found",0)</f>
        <v>5</v>
      </c>
      <c r="I317" s="3" t="str">
        <f>_xlfn.XLOOKUP(Table6[[#This Row],[NIS]],Table2[NIS],Table2[Kelas Detail],"Not Found",0)</f>
        <v>5-A</v>
      </c>
      <c r="J317" s="3" t="s">
        <v>2513</v>
      </c>
      <c r="K317" s="3" t="s">
        <v>2513</v>
      </c>
      <c r="L317" s="3" t="s">
        <v>2513</v>
      </c>
    </row>
    <row r="318" spans="1:12">
      <c r="A318" s="3">
        <f>SUBTOTAL(3,B$3:B318)</f>
        <v>316</v>
      </c>
      <c r="B318" s="3">
        <v>19200305</v>
      </c>
      <c r="C318" s="18" t="str">
        <f>_xlfn.XLOOKUP(Table6[[#This Row],[NIS]],Table2[NIS],Table2[Nama lengkap],"Not Found",0)</f>
        <v>Siti Hanifah Alawiyah</v>
      </c>
      <c r="D318" s="18" t="str">
        <f>_xlfn.XLOOKUP(Table6[[#This Row],[NIS]],Table2[NIS],Table2[Nomer Induk Siswa Nasional],"Not Found",0)</f>
        <v>0072705656</v>
      </c>
      <c r="E318" s="3" t="str">
        <f>_xlfn.XLOOKUP(Table6[[#This Row],[NIS]],Table2[NIS],Table2[Status],"Not Found",0)</f>
        <v>Aktif</v>
      </c>
      <c r="F318" s="3">
        <f>_xlfn.XLOOKUP(Table6[[#This Row],[NIS]],Table2[NIS],Table2[Tahun Masuk],"Not Found",0)</f>
        <v>2019</v>
      </c>
      <c r="G318" s="3">
        <f>_xlfn.XLOOKUP(Table6[[#This Row],[NIS]],Table2[NIS],Table2[Tahun Keluar],"Not Found",0)</f>
        <v>0</v>
      </c>
      <c r="H318" s="3">
        <f>_xlfn.XLOOKUP(Table6[[#This Row],[NIS]],Table2[NIS],Table2[Kelas],"Not Found",0)</f>
        <v>5</v>
      </c>
      <c r="I318" s="3" t="str">
        <f>_xlfn.XLOOKUP(Table6[[#This Row],[NIS]],Table2[NIS],Table2[Kelas Detail],"Not Found",0)</f>
        <v>5-A</v>
      </c>
      <c r="J318" s="3" t="s">
        <v>2513</v>
      </c>
      <c r="K318" s="3" t="s">
        <v>2513</v>
      </c>
      <c r="L318" s="3" t="s">
        <v>2513</v>
      </c>
    </row>
    <row r="319" spans="1:12">
      <c r="A319" s="3">
        <f>SUBTOTAL(3,B$3:B319)</f>
        <v>317</v>
      </c>
      <c r="B319" s="3">
        <v>21220078</v>
      </c>
      <c r="C319" s="18" t="str">
        <f>_xlfn.XLOOKUP(Table6[[#This Row],[NIS]],Table2[NIS],Table2[Nama lengkap],"Not Found",0)</f>
        <v>Siti Khodijah</v>
      </c>
      <c r="D319" s="18" t="str">
        <f>_xlfn.XLOOKUP(Table6[[#This Row],[NIS]],Table2[NIS],Table2[Nomer Induk Siswa Nasional],"Not Found",0)</f>
        <v>0047172665/3043689116</v>
      </c>
      <c r="E319" s="3" t="str">
        <f>_xlfn.XLOOKUP(Table6[[#This Row],[NIS]],Table2[NIS],Table2[Status],"Not Found",0)</f>
        <v>Aktif</v>
      </c>
      <c r="F319" s="3">
        <f>_xlfn.XLOOKUP(Table6[[#This Row],[NIS]],Table2[NIS],Table2[Tahun Masuk],"Not Found",0)</f>
        <v>2021</v>
      </c>
      <c r="G319" s="3">
        <f>_xlfn.XLOOKUP(Table6[[#This Row],[NIS]],Table2[NIS],Table2[Tahun Keluar],"Not Found",0)</f>
        <v>0</v>
      </c>
      <c r="H319" s="3">
        <f>_xlfn.XLOOKUP(Table6[[#This Row],[NIS]],Table2[NIS],Table2[Kelas],"Not Found",0)</f>
        <v>5</v>
      </c>
      <c r="I319" s="3" t="str">
        <f>_xlfn.XLOOKUP(Table6[[#This Row],[NIS]],Table2[NIS],Table2[Kelas Detail],"Not Found",0)</f>
        <v>5-A</v>
      </c>
      <c r="J319" s="3" t="s">
        <v>2513</v>
      </c>
      <c r="K319" s="3" t="s">
        <v>2513</v>
      </c>
      <c r="L319" s="3" t="s">
        <v>2513</v>
      </c>
    </row>
    <row r="320" spans="1:12">
      <c r="A320" s="3">
        <f>SUBTOTAL(3,B$3:B320)</f>
        <v>318</v>
      </c>
      <c r="B320" s="3">
        <v>19200309</v>
      </c>
      <c r="C320" s="18" t="str">
        <f>_xlfn.XLOOKUP(Table6[[#This Row],[NIS]],Table2[NIS],Table2[Nama lengkap],"Not Found",0)</f>
        <v>Siti Khodijah Sa'Diyah Sakinah</v>
      </c>
      <c r="D320" s="18" t="str">
        <f>_xlfn.XLOOKUP(Table6[[#This Row],[NIS]],Table2[NIS],Table2[Nomer Induk Siswa Nasional],"Not Found",0)</f>
        <v>0062667985</v>
      </c>
      <c r="E320" s="3" t="str">
        <f>_xlfn.XLOOKUP(Table6[[#This Row],[NIS]],Table2[NIS],Table2[Status],"Not Found",0)</f>
        <v>Aktif</v>
      </c>
      <c r="F320" s="3">
        <f>_xlfn.XLOOKUP(Table6[[#This Row],[NIS]],Table2[NIS],Table2[Tahun Masuk],"Not Found",0)</f>
        <v>2019</v>
      </c>
      <c r="G320" s="3" t="str">
        <f>_xlfn.XLOOKUP(Table6[[#This Row],[NIS]],Table2[NIS],Table2[Tahun Keluar],"Not Found",0)</f>
        <v>TB</v>
      </c>
      <c r="H320" s="3">
        <f>_xlfn.XLOOKUP(Table6[[#This Row],[NIS]],Table2[NIS],Table2[Kelas],"Not Found",0)</f>
        <v>5</v>
      </c>
      <c r="I320" s="3" t="str">
        <f>_xlfn.XLOOKUP(Table6[[#This Row],[NIS]],Table2[NIS],Table2[Kelas Detail],"Not Found",0)</f>
        <v>5-A</v>
      </c>
      <c r="J320" s="3" t="s">
        <v>2513</v>
      </c>
      <c r="K320" s="3" t="s">
        <v>2513</v>
      </c>
      <c r="L320" s="3" t="s">
        <v>2513</v>
      </c>
    </row>
    <row r="321" spans="1:12">
      <c r="A321" s="3">
        <f>SUBTOTAL(3,B$3:B321)</f>
        <v>319</v>
      </c>
      <c r="B321" s="3">
        <v>20210252</v>
      </c>
      <c r="C321" s="18" t="str">
        <f>_xlfn.XLOOKUP(Table6[[#This Row],[NIS]],Table2[NIS],Table2[Nama lengkap],"Not Found",0)</f>
        <v>Siti Patimah Jahra</v>
      </c>
      <c r="D321" s="18" t="str">
        <f>_xlfn.XLOOKUP(Table6[[#This Row],[NIS]],Table2[NIS],Table2[Nomer Induk Siswa Nasional],"Not Found",0)</f>
        <v>0076280032</v>
      </c>
      <c r="E321" s="3" t="str">
        <f>_xlfn.XLOOKUP(Table6[[#This Row],[NIS]],Table2[NIS],Table2[Status],"Not Found",0)</f>
        <v>Aktif</v>
      </c>
      <c r="F321" s="3">
        <f>_xlfn.XLOOKUP(Table6[[#This Row],[NIS]],Table2[NIS],Table2[Tahun Masuk],"Not Found",0)</f>
        <v>2020</v>
      </c>
      <c r="G321" s="3">
        <f>_xlfn.XLOOKUP(Table6[[#This Row],[NIS]],Table2[NIS],Table2[Tahun Keluar],"Not Found",0)</f>
        <v>0</v>
      </c>
      <c r="H321" s="3">
        <f>_xlfn.XLOOKUP(Table6[[#This Row],[NIS]],Table2[NIS],Table2[Kelas],"Not Found",0)</f>
        <v>5</v>
      </c>
      <c r="I321" s="3" t="str">
        <f>_xlfn.XLOOKUP(Table6[[#This Row],[NIS]],Table2[NIS],Table2[Kelas Detail],"Not Found",0)</f>
        <v>5-A</v>
      </c>
      <c r="J321" s="3" t="s">
        <v>2513</v>
      </c>
      <c r="K321" s="3" t="s">
        <v>2513</v>
      </c>
      <c r="L321" s="3" t="s">
        <v>2513</v>
      </c>
    </row>
    <row r="322" spans="1:12">
      <c r="A322" s="3">
        <f>SUBTOTAL(3,B$3:B322)</f>
        <v>320</v>
      </c>
      <c r="B322" s="3">
        <v>19200316</v>
      </c>
      <c r="C322" s="18" t="str">
        <f>_xlfn.XLOOKUP(Table6[[#This Row],[NIS]],Table2[NIS],Table2[Nama lengkap],"Not Found",0)</f>
        <v>Siti Salwa Nur Fatimah</v>
      </c>
      <c r="D322" s="18" t="str">
        <f>_xlfn.XLOOKUP(Table6[[#This Row],[NIS]],Table2[NIS],Table2[Nomer Induk Siswa Nasional],"Not Found",0)</f>
        <v>0071439009</v>
      </c>
      <c r="E322" s="3" t="str">
        <f>_xlfn.XLOOKUP(Table6[[#This Row],[NIS]],Table2[NIS],Table2[Status],"Not Found",0)</f>
        <v>Aktif</v>
      </c>
      <c r="F322" s="3">
        <f>_xlfn.XLOOKUP(Table6[[#This Row],[NIS]],Table2[NIS],Table2[Tahun Masuk],"Not Found",0)</f>
        <v>2019</v>
      </c>
      <c r="G322" s="3">
        <f>_xlfn.XLOOKUP(Table6[[#This Row],[NIS]],Table2[NIS],Table2[Tahun Keluar],"Not Found",0)</f>
        <v>0</v>
      </c>
      <c r="H322" s="3">
        <f>_xlfn.XLOOKUP(Table6[[#This Row],[NIS]],Table2[NIS],Table2[Kelas],"Not Found",0)</f>
        <v>5</v>
      </c>
      <c r="I322" s="3" t="str">
        <f>_xlfn.XLOOKUP(Table6[[#This Row],[NIS]],Table2[NIS],Table2[Kelas Detail],"Not Found",0)</f>
        <v>5-A</v>
      </c>
      <c r="J322" s="3" t="s">
        <v>2513</v>
      </c>
      <c r="K322" s="3" t="s">
        <v>2513</v>
      </c>
      <c r="L322" s="3" t="s">
        <v>2513</v>
      </c>
    </row>
    <row r="323" spans="1:12">
      <c r="A323" s="3">
        <f>SUBTOTAL(3,B$3:B323)</f>
        <v>321</v>
      </c>
      <c r="B323" s="3">
        <v>18190217</v>
      </c>
      <c r="C323" s="18" t="str">
        <f>_xlfn.XLOOKUP(Table6[[#This Row],[NIS]],Table2[NIS],Table2[Nama lengkap],"Not Found",0)</f>
        <v>Siti Sarah Nurbaety</v>
      </c>
      <c r="D323" s="18" t="str">
        <f>_xlfn.XLOOKUP(Table6[[#This Row],[NIS]],Table2[NIS],Table2[Nomer Induk Siswa Nasional],"Not Found",0)</f>
        <v>0044254817/0045405754</v>
      </c>
      <c r="E323" s="3" t="str">
        <f>_xlfn.XLOOKUP(Table6[[#This Row],[NIS]],Table2[NIS],Table2[Status],"Not Found",0)</f>
        <v>Aktif</v>
      </c>
      <c r="F323" s="3">
        <f>_xlfn.XLOOKUP(Table6[[#This Row],[NIS]],Table2[NIS],Table2[Tahun Masuk],"Not Found",0)</f>
        <v>2018</v>
      </c>
      <c r="G323" s="3">
        <f>_xlfn.XLOOKUP(Table6[[#This Row],[NIS]],Table2[NIS],Table2[Tahun Keluar],"Not Found",0)</f>
        <v>0</v>
      </c>
      <c r="H323" s="3">
        <f>_xlfn.XLOOKUP(Table6[[#This Row],[NIS]],Table2[NIS],Table2[Kelas],"Not Found",0)</f>
        <v>5</v>
      </c>
      <c r="I323" s="3" t="str">
        <f>_xlfn.XLOOKUP(Table6[[#This Row],[NIS]],Table2[NIS],Table2[Kelas Detail],"Not Found",0)</f>
        <v>5-A</v>
      </c>
      <c r="J323" s="3" t="s">
        <v>2513</v>
      </c>
      <c r="K323" s="3" t="s">
        <v>2513</v>
      </c>
      <c r="L323" s="3" t="s">
        <v>2513</v>
      </c>
    </row>
    <row r="324" spans="1:12">
      <c r="A324" s="3">
        <f>SUBTOTAL(3,B$3:B324)</f>
        <v>322</v>
      </c>
      <c r="B324" s="3">
        <v>19200317</v>
      </c>
      <c r="C324" s="18" t="str">
        <f>_xlfn.XLOOKUP(Table6[[#This Row],[NIS]],Table2[NIS],Table2[Nama lengkap],"Not Found",0)</f>
        <v>Siti Shofiyatunnisaai</v>
      </c>
      <c r="D324" s="18" t="str">
        <f>_xlfn.XLOOKUP(Table6[[#This Row],[NIS]],Table2[NIS],Table2[Nomer Induk Siswa Nasional],"Not Found",0)</f>
        <v>0074466012</v>
      </c>
      <c r="E324" s="3" t="str">
        <f>_xlfn.XLOOKUP(Table6[[#This Row],[NIS]],Table2[NIS],Table2[Status],"Not Found",0)</f>
        <v>Aktif</v>
      </c>
      <c r="F324" s="3">
        <f>_xlfn.XLOOKUP(Table6[[#This Row],[NIS]],Table2[NIS],Table2[Tahun Masuk],"Not Found",0)</f>
        <v>2019</v>
      </c>
      <c r="G324" s="3">
        <f>_xlfn.XLOOKUP(Table6[[#This Row],[NIS]],Table2[NIS],Table2[Tahun Keluar],"Not Found",0)</f>
        <v>0</v>
      </c>
      <c r="H324" s="3">
        <f>_xlfn.XLOOKUP(Table6[[#This Row],[NIS]],Table2[NIS],Table2[Kelas],"Not Found",0)</f>
        <v>5</v>
      </c>
      <c r="I324" s="3" t="str">
        <f>_xlfn.XLOOKUP(Table6[[#This Row],[NIS]],Table2[NIS],Table2[Kelas Detail],"Not Found",0)</f>
        <v>5-A</v>
      </c>
      <c r="J324" s="3" t="s">
        <v>2513</v>
      </c>
      <c r="K324" s="3" t="s">
        <v>2513</v>
      </c>
      <c r="L324" s="3" t="s">
        <v>2513</v>
      </c>
    </row>
    <row r="325" spans="1:12">
      <c r="A325" s="3">
        <f>SUBTOTAL(3,B$3:B325)</f>
        <v>323</v>
      </c>
      <c r="B325" s="3">
        <v>19200320</v>
      </c>
      <c r="C325" s="18" t="str">
        <f>_xlfn.XLOOKUP(Table6[[#This Row],[NIS]],Table2[NIS],Table2[Nama lengkap],"Not Found",0)</f>
        <v>Siti Zaenab</v>
      </c>
      <c r="D325" s="18" t="str">
        <f>_xlfn.XLOOKUP(Table6[[#This Row],[NIS]],Table2[NIS],Table2[Nomer Induk Siswa Nasional],"Not Found",0)</f>
        <v>0031024987</v>
      </c>
      <c r="E325" s="3" t="str">
        <f>_xlfn.XLOOKUP(Table6[[#This Row],[NIS]],Table2[NIS],Table2[Status],"Not Found",0)</f>
        <v>Aktif</v>
      </c>
      <c r="F325" s="3">
        <f>_xlfn.XLOOKUP(Table6[[#This Row],[NIS]],Table2[NIS],Table2[Tahun Masuk],"Not Found",0)</f>
        <v>2019</v>
      </c>
      <c r="G325" s="3" t="str">
        <f>_xlfn.XLOOKUP(Table6[[#This Row],[NIS]],Table2[NIS],Table2[Tahun Keluar],"Not Found",0)</f>
        <v>TB</v>
      </c>
      <c r="H325" s="3">
        <f>_xlfn.XLOOKUP(Table6[[#This Row],[NIS]],Table2[NIS],Table2[Kelas],"Not Found",0)</f>
        <v>5</v>
      </c>
      <c r="I325" s="3" t="str">
        <f>_xlfn.XLOOKUP(Table6[[#This Row],[NIS]],Table2[NIS],Table2[Kelas Detail],"Not Found",0)</f>
        <v>5-A</v>
      </c>
      <c r="J325" s="3" t="s">
        <v>2513</v>
      </c>
      <c r="K325" s="3" t="s">
        <v>2513</v>
      </c>
      <c r="L325" s="3" t="s">
        <v>2513</v>
      </c>
    </row>
    <row r="326" spans="1:12">
      <c r="A326" s="3">
        <f>SUBTOTAL(3,B$3:B326)</f>
        <v>324</v>
      </c>
      <c r="B326" s="3">
        <v>20210176</v>
      </c>
      <c r="C326" s="18" t="str">
        <f>_xlfn.XLOOKUP(Table6[[#This Row],[NIS]],Table2[NIS],Table2[Nama lengkap],"Not Found",0)</f>
        <v>Sri Wardhany</v>
      </c>
      <c r="D326" s="18" t="str">
        <f>_xlfn.XLOOKUP(Table6[[#This Row],[NIS]],Table2[NIS],Table2[Nomer Induk Siswa Nasional],"Not Found",0)</f>
        <v>0042967389</v>
      </c>
      <c r="E326" s="3" t="str">
        <f>_xlfn.XLOOKUP(Table6[[#This Row],[NIS]],Table2[NIS],Table2[Status],"Not Found",0)</f>
        <v>Aktif</v>
      </c>
      <c r="F326" s="3">
        <f>_xlfn.XLOOKUP(Table6[[#This Row],[NIS]],Table2[NIS],Table2[Tahun Masuk],"Not Found",0)</f>
        <v>2020</v>
      </c>
      <c r="G326" s="3">
        <f>_xlfn.XLOOKUP(Table6[[#This Row],[NIS]],Table2[NIS],Table2[Tahun Keluar],"Not Found",0)</f>
        <v>0</v>
      </c>
      <c r="H326" s="3">
        <f>_xlfn.XLOOKUP(Table6[[#This Row],[NIS]],Table2[NIS],Table2[Kelas],"Not Found",0)</f>
        <v>5</v>
      </c>
      <c r="I326" s="3" t="str">
        <f>_xlfn.XLOOKUP(Table6[[#This Row],[NIS]],Table2[NIS],Table2[Kelas Detail],"Not Found",0)</f>
        <v>5-A</v>
      </c>
      <c r="J326" s="3" t="s">
        <v>2513</v>
      </c>
      <c r="K326" s="3" t="s">
        <v>2513</v>
      </c>
      <c r="L326" s="3" t="s">
        <v>2513</v>
      </c>
    </row>
    <row r="327" spans="1:12">
      <c r="A327" s="3">
        <f>SUBTOTAL(3,B$3:B327)</f>
        <v>325</v>
      </c>
      <c r="B327" s="3">
        <v>19200330</v>
      </c>
      <c r="C327" s="18" t="str">
        <f>_xlfn.XLOOKUP(Table6[[#This Row],[NIS]],Table2[NIS],Table2[Nama lengkap],"Not Found",0)</f>
        <v>Tasya Putri Nur Alisya</v>
      </c>
      <c r="D327" s="18" t="str">
        <f>_xlfn.XLOOKUP(Table6[[#This Row],[NIS]],Table2[NIS],Table2[Nomer Induk Siswa Nasional],"Not Found",0)</f>
        <v>0065783680</v>
      </c>
      <c r="E327" s="3" t="str">
        <f>_xlfn.XLOOKUP(Table6[[#This Row],[NIS]],Table2[NIS],Table2[Status],"Not Found",0)</f>
        <v>Aktif</v>
      </c>
      <c r="F327" s="3">
        <f>_xlfn.XLOOKUP(Table6[[#This Row],[NIS]],Table2[NIS],Table2[Tahun Masuk],"Not Found",0)</f>
        <v>2019</v>
      </c>
      <c r="G327" s="3">
        <f>_xlfn.XLOOKUP(Table6[[#This Row],[NIS]],Table2[NIS],Table2[Tahun Keluar],"Not Found",0)</f>
        <v>0</v>
      </c>
      <c r="H327" s="3">
        <f>_xlfn.XLOOKUP(Table6[[#This Row],[NIS]],Table2[NIS],Table2[Kelas],"Not Found",0)</f>
        <v>5</v>
      </c>
      <c r="I327" s="3" t="str">
        <f>_xlfn.XLOOKUP(Table6[[#This Row],[NIS]],Table2[NIS],Table2[Kelas Detail],"Not Found",0)</f>
        <v>5-A</v>
      </c>
      <c r="J327" s="3" t="s">
        <v>2513</v>
      </c>
      <c r="K327" s="3" t="s">
        <v>2513</v>
      </c>
      <c r="L327" s="3" t="s">
        <v>2513</v>
      </c>
    </row>
    <row r="328" spans="1:12">
      <c r="A328" s="3">
        <f>SUBTOTAL(3,B$3:B328)</f>
        <v>326</v>
      </c>
      <c r="B328" s="3">
        <v>20210150</v>
      </c>
      <c r="C328" s="18" t="str">
        <f>_xlfn.XLOOKUP(Table6[[#This Row],[NIS]],Table2[NIS],Table2[Nama lengkap],"Not Found",0)</f>
        <v>Yulia Ramadhan</v>
      </c>
      <c r="D328" s="18" t="str">
        <f>_xlfn.XLOOKUP(Table6[[#This Row],[NIS]],Table2[NIS],Table2[Nomer Induk Siswa Nasional],"Not Found",0)</f>
        <v>3026061010</v>
      </c>
      <c r="E328" s="3" t="str">
        <f>_xlfn.XLOOKUP(Table6[[#This Row],[NIS]],Table2[NIS],Table2[Status],"Not Found",0)</f>
        <v>Aktif</v>
      </c>
      <c r="F328" s="3">
        <f>_xlfn.XLOOKUP(Table6[[#This Row],[NIS]],Table2[NIS],Table2[Tahun Masuk],"Not Found",0)</f>
        <v>2020</v>
      </c>
      <c r="G328" s="3">
        <f>_xlfn.XLOOKUP(Table6[[#This Row],[NIS]],Table2[NIS],Table2[Tahun Keluar],"Not Found",0)</f>
        <v>0</v>
      </c>
      <c r="H328" s="3">
        <f>_xlfn.XLOOKUP(Table6[[#This Row],[NIS]],Table2[NIS],Table2[Kelas],"Not Found",0)</f>
        <v>5</v>
      </c>
      <c r="I328" s="3" t="str">
        <f>_xlfn.XLOOKUP(Table6[[#This Row],[NIS]],Table2[NIS],Table2[Kelas Detail],"Not Found",0)</f>
        <v>5-A</v>
      </c>
      <c r="J328" s="3" t="s">
        <v>2513</v>
      </c>
      <c r="K328" s="3" t="s">
        <v>2513</v>
      </c>
      <c r="L328" s="3" t="s">
        <v>2513</v>
      </c>
    </row>
    <row r="329" spans="1:12">
      <c r="A329" s="3">
        <f>SUBTOTAL(3,B$3:B329)</f>
        <v>327</v>
      </c>
      <c r="B329" s="3">
        <v>19200344</v>
      </c>
      <c r="C329" s="18" t="str">
        <f>_xlfn.XLOOKUP(Table6[[#This Row],[NIS]],Table2[NIS],Table2[Nama lengkap],"Not Found",0)</f>
        <v>Zahra Nahda Rizqiyah</v>
      </c>
      <c r="D329" s="18" t="str">
        <f>_xlfn.XLOOKUP(Table6[[#This Row],[NIS]],Table2[NIS],Table2[Nomer Induk Siswa Nasional],"Not Found",0)</f>
        <v>0075819941</v>
      </c>
      <c r="E329" s="3" t="str">
        <f>_xlfn.XLOOKUP(Table6[[#This Row],[NIS]],Table2[NIS],Table2[Status],"Not Found",0)</f>
        <v>Aktif</v>
      </c>
      <c r="F329" s="3">
        <f>_xlfn.XLOOKUP(Table6[[#This Row],[NIS]],Table2[NIS],Table2[Tahun Masuk],"Not Found",0)</f>
        <v>2019</v>
      </c>
      <c r="G329" s="3">
        <f>_xlfn.XLOOKUP(Table6[[#This Row],[NIS]],Table2[NIS],Table2[Tahun Keluar],"Not Found",0)</f>
        <v>0</v>
      </c>
      <c r="H329" s="3">
        <f>_xlfn.XLOOKUP(Table6[[#This Row],[NIS]],Table2[NIS],Table2[Kelas],"Not Found",0)</f>
        <v>5</v>
      </c>
      <c r="I329" s="3" t="str">
        <f>_xlfn.XLOOKUP(Table6[[#This Row],[NIS]],Table2[NIS],Table2[Kelas Detail],"Not Found",0)</f>
        <v>5-A</v>
      </c>
      <c r="J329" s="3" t="s">
        <v>2513</v>
      </c>
      <c r="K329" s="3" t="s">
        <v>2513</v>
      </c>
      <c r="L329" s="3" t="s">
        <v>93</v>
      </c>
    </row>
    <row r="330" spans="1:12">
      <c r="A330" s="3">
        <f>SUBTOTAL(3,B$3:B330)</f>
        <v>328</v>
      </c>
      <c r="B330" s="3">
        <v>19200370</v>
      </c>
      <c r="C330" s="18" t="str">
        <f>_xlfn.XLOOKUP(Table6[[#This Row],[NIS]],Table2[NIS],Table2[Nama lengkap],"Not Found",0)</f>
        <v>Ajeng Wulandari Maulana</v>
      </c>
      <c r="D330" s="18" t="str">
        <f>_xlfn.XLOOKUP(Table6[[#This Row],[NIS]],Table2[NIS],Table2[Nomer Induk Siswa Nasional],"Not Found",0)</f>
        <v>0075287609</v>
      </c>
      <c r="E330" s="3" t="str">
        <f>_xlfn.XLOOKUP(Table6[[#This Row],[NIS]],Table2[NIS],Table2[Status],"Not Found",0)</f>
        <v>Aktif</v>
      </c>
      <c r="F330" s="3">
        <f>_xlfn.XLOOKUP(Table6[[#This Row],[NIS]],Table2[NIS],Table2[Tahun Masuk],"Not Found",0)</f>
        <v>2019</v>
      </c>
      <c r="G330" s="3">
        <f>_xlfn.XLOOKUP(Table6[[#This Row],[NIS]],Table2[NIS],Table2[Tahun Keluar],"Not Found",0)</f>
        <v>0</v>
      </c>
      <c r="H330" s="3">
        <f>_xlfn.XLOOKUP(Table6[[#This Row],[NIS]],Table2[NIS],Table2[Kelas],"Not Found",0)</f>
        <v>5</v>
      </c>
      <c r="I330" s="3" t="str">
        <f>_xlfn.XLOOKUP(Table6[[#This Row],[NIS]],Table2[NIS],Table2[Kelas Detail],"Not Found",0)</f>
        <v>5-B</v>
      </c>
      <c r="J330" s="3" t="s">
        <v>2513</v>
      </c>
      <c r="K330" s="3" t="s">
        <v>2513</v>
      </c>
      <c r="L330" s="3" t="s">
        <v>2513</v>
      </c>
    </row>
    <row r="331" spans="1:12">
      <c r="A331" s="3">
        <f>SUBTOTAL(3,B$3:B331)</f>
        <v>329</v>
      </c>
      <c r="B331" s="3">
        <v>19200373</v>
      </c>
      <c r="C331" s="18" t="str">
        <f>_xlfn.XLOOKUP(Table6[[#This Row],[NIS]],Table2[NIS],Table2[Nama lengkap],"Not Found",0)</f>
        <v xml:space="preserve">Alya Nadila Noviani </v>
      </c>
      <c r="D331" s="18" t="str">
        <f>_xlfn.XLOOKUP(Table6[[#This Row],[NIS]],Table2[NIS],Table2[Nomer Induk Siswa Nasional],"Not Found",0)</f>
        <v>0076215995</v>
      </c>
      <c r="E331" s="3" t="str">
        <f>_xlfn.XLOOKUP(Table6[[#This Row],[NIS]],Table2[NIS],Table2[Status],"Not Found",0)</f>
        <v>Waqof</v>
      </c>
      <c r="F331" s="3">
        <f>_xlfn.XLOOKUP(Table6[[#This Row],[NIS]],Table2[NIS],Table2[Tahun Masuk],"Not Found",0)</f>
        <v>2019</v>
      </c>
      <c r="G331" s="3">
        <f>_xlfn.XLOOKUP(Table6[[#This Row],[NIS]],Table2[NIS],Table2[Tahun Keluar],"Not Found",0)</f>
        <v>0</v>
      </c>
      <c r="H331" s="3">
        <f>_xlfn.XLOOKUP(Table6[[#This Row],[NIS]],Table2[NIS],Table2[Kelas],"Not Found",0)</f>
        <v>5</v>
      </c>
      <c r="I331" s="3" t="str">
        <f>_xlfn.XLOOKUP(Table6[[#This Row],[NIS]],Table2[NIS],Table2[Kelas Detail],"Not Found",0)</f>
        <v>5-B</v>
      </c>
      <c r="J331" s="3" t="s">
        <v>2513</v>
      </c>
      <c r="K331" s="3" t="s">
        <v>2513</v>
      </c>
      <c r="L331" s="3" t="s">
        <v>2513</v>
      </c>
    </row>
    <row r="332" spans="1:12">
      <c r="A332" s="3">
        <f>SUBTOTAL(3,B$3:B332)</f>
        <v>330</v>
      </c>
      <c r="B332" s="3">
        <v>19200189</v>
      </c>
      <c r="C332" s="18" t="str">
        <f>_xlfn.XLOOKUP(Table6[[#This Row],[NIS]],Table2[NIS],Table2[Nama lengkap],"Not Found",0)</f>
        <v xml:space="preserve">Amelia Maylinda </v>
      </c>
      <c r="D332" s="18" t="str">
        <f>_xlfn.XLOOKUP(Table6[[#This Row],[NIS]],Table2[NIS],Table2[Nomer Induk Siswa Nasional],"Not Found",0)</f>
        <v>0032963472</v>
      </c>
      <c r="E332" s="3" t="str">
        <f>_xlfn.XLOOKUP(Table6[[#This Row],[NIS]],Table2[NIS],Table2[Status],"Not Found",0)</f>
        <v>Aktif</v>
      </c>
      <c r="F332" s="3">
        <f>_xlfn.XLOOKUP(Table6[[#This Row],[NIS]],Table2[NIS],Table2[Tahun Masuk],"Not Found",0)</f>
        <v>2019</v>
      </c>
      <c r="G332" s="3">
        <f>_xlfn.XLOOKUP(Table6[[#This Row],[NIS]],Table2[NIS],Table2[Tahun Keluar],"Not Found",0)</f>
        <v>0</v>
      </c>
      <c r="H332" s="3">
        <f>_xlfn.XLOOKUP(Table6[[#This Row],[NIS]],Table2[NIS],Table2[Kelas],"Not Found",0)</f>
        <v>5</v>
      </c>
      <c r="I332" s="3" t="str">
        <f>_xlfn.XLOOKUP(Table6[[#This Row],[NIS]],Table2[NIS],Table2[Kelas Detail],"Not Found",0)</f>
        <v>5-B</v>
      </c>
      <c r="J332" s="3" t="s">
        <v>2513</v>
      </c>
      <c r="K332" s="3" t="s">
        <v>2513</v>
      </c>
      <c r="L332" s="3" t="s">
        <v>2513</v>
      </c>
    </row>
    <row r="333" spans="1:12">
      <c r="A333" s="3">
        <f>SUBTOTAL(3,B$3:B333)</f>
        <v>331</v>
      </c>
      <c r="B333" s="3">
        <v>20210245</v>
      </c>
      <c r="C333" s="18" t="str">
        <f>_xlfn.XLOOKUP(Table6[[#This Row],[NIS]],Table2[NIS],Table2[Nama lengkap],"Not Found",0)</f>
        <v>Amelia Salsabila Ramadhani</v>
      </c>
      <c r="D333" s="18" t="str">
        <f>_xlfn.XLOOKUP(Table6[[#This Row],[NIS]],Table2[NIS],Table2[Nomer Induk Siswa Nasional],"Not Found",0)</f>
        <v>0076568013</v>
      </c>
      <c r="E333" s="3" t="str">
        <f>_xlfn.XLOOKUP(Table6[[#This Row],[NIS]],Table2[NIS],Table2[Status],"Not Found",0)</f>
        <v>Aktif</v>
      </c>
      <c r="F333" s="3">
        <f>_xlfn.XLOOKUP(Table6[[#This Row],[NIS]],Table2[NIS],Table2[Tahun Masuk],"Not Found",0)</f>
        <v>2020</v>
      </c>
      <c r="G333" s="3" t="str">
        <f>_xlfn.XLOOKUP(Table6[[#This Row],[NIS]],Table2[NIS],Table2[Tahun Keluar],"Not Found",0)</f>
        <v>TB</v>
      </c>
      <c r="H333" s="3">
        <f>_xlfn.XLOOKUP(Table6[[#This Row],[NIS]],Table2[NIS],Table2[Kelas],"Not Found",0)</f>
        <v>5</v>
      </c>
      <c r="I333" s="3" t="str">
        <f>_xlfn.XLOOKUP(Table6[[#This Row],[NIS]],Table2[NIS],Table2[Kelas Detail],"Not Found",0)</f>
        <v>5-B</v>
      </c>
      <c r="J333" s="3" t="s">
        <v>2513</v>
      </c>
      <c r="K333" s="3" t="s">
        <v>2513</v>
      </c>
      <c r="L333" s="3" t="s">
        <v>2513</v>
      </c>
    </row>
    <row r="334" spans="1:12">
      <c r="A334" s="3">
        <f>SUBTOTAL(3,B$3:B334)</f>
        <v>332</v>
      </c>
      <c r="B334" s="3">
        <v>20210244</v>
      </c>
      <c r="C334" s="18" t="str">
        <f>_xlfn.XLOOKUP(Table6[[#This Row],[NIS]],Table2[NIS],Table2[Nama lengkap],"Not Found",0)</f>
        <v>Annisa Siti Mariam</v>
      </c>
      <c r="D334" s="18" t="str">
        <f>_xlfn.XLOOKUP(Table6[[#This Row],[NIS]],Table2[NIS],Table2[Nomer Induk Siswa Nasional],"Not Found",0)</f>
        <v>0045362639</v>
      </c>
      <c r="E334" s="3" t="str">
        <f>_xlfn.XLOOKUP(Table6[[#This Row],[NIS]],Table2[NIS],Table2[Status],"Not Found",0)</f>
        <v>Aktif</v>
      </c>
      <c r="F334" s="3">
        <f>_xlfn.XLOOKUP(Table6[[#This Row],[NIS]],Table2[NIS],Table2[Tahun Masuk],"Not Found",0)</f>
        <v>2020</v>
      </c>
      <c r="G334" s="3" t="str">
        <f>_xlfn.XLOOKUP(Table6[[#This Row],[NIS]],Table2[NIS],Table2[Tahun Keluar],"Not Found",0)</f>
        <v>TB</v>
      </c>
      <c r="H334" s="3">
        <f>_xlfn.XLOOKUP(Table6[[#This Row],[NIS]],Table2[NIS],Table2[Kelas],"Not Found",0)</f>
        <v>5</v>
      </c>
      <c r="I334" s="3" t="str">
        <f>_xlfn.XLOOKUP(Table6[[#This Row],[NIS]],Table2[NIS],Table2[Kelas Detail],"Not Found",0)</f>
        <v>5-B</v>
      </c>
      <c r="J334" s="3" t="s">
        <v>2513</v>
      </c>
      <c r="K334" s="3" t="s">
        <v>2513</v>
      </c>
      <c r="L334" s="3" t="s">
        <v>2513</v>
      </c>
    </row>
    <row r="335" spans="1:12">
      <c r="A335" s="3">
        <f>SUBTOTAL(3,B$3:B335)</f>
        <v>333</v>
      </c>
      <c r="B335" s="3">
        <v>19200196</v>
      </c>
      <c r="C335" s="87" t="str">
        <f>_xlfn.XLOOKUP(Table6[[#This Row],[NIS]],Table2[NIS],Table2[Nama lengkap],"Not Found",0)</f>
        <v>Arini Haqi Sofyani</v>
      </c>
      <c r="D335" s="18" t="str">
        <f>_xlfn.XLOOKUP(Table6[[#This Row],[NIS]],Table2[NIS],Table2[Nomer Induk Siswa Nasional],"Not Found",0)</f>
        <v>0078803405</v>
      </c>
      <c r="E335" s="3" t="str">
        <f>_xlfn.XLOOKUP(Table6[[#This Row],[NIS]],Table2[NIS],Table2[Status],"Not Found",0)</f>
        <v>Aktif</v>
      </c>
      <c r="F335" s="3">
        <f>_xlfn.XLOOKUP(Table6[[#This Row],[NIS]],Table2[NIS],Table2[Tahun Masuk],"Not Found",0)</f>
        <v>2019</v>
      </c>
      <c r="G335" s="3">
        <f>_xlfn.XLOOKUP(Table6[[#This Row],[NIS]],Table2[NIS],Table2[Tahun Keluar],"Not Found",0)</f>
        <v>0</v>
      </c>
      <c r="H335" s="3">
        <f>_xlfn.XLOOKUP(Table6[[#This Row],[NIS]],Table2[NIS],Table2[Kelas],"Not Found",0)</f>
        <v>5</v>
      </c>
      <c r="I335" s="3" t="str">
        <f>_xlfn.XLOOKUP(Table6[[#This Row],[NIS]],Table2[NIS],Table2[Kelas Detail],"Not Found",0)</f>
        <v>5-B</v>
      </c>
      <c r="J335" s="3" t="s">
        <v>2513</v>
      </c>
    </row>
    <row r="336" spans="1:12">
      <c r="A336" s="3">
        <f>SUBTOTAL(3,B$3:B336)</f>
        <v>334</v>
      </c>
      <c r="B336" s="3">
        <v>19200200</v>
      </c>
      <c r="C336" s="18" t="str">
        <f>_xlfn.XLOOKUP(Table6[[#This Row],[NIS]],Table2[NIS],Table2[Nama lengkap],"Not Found",0)</f>
        <v xml:space="preserve">Auliya Nurhikam </v>
      </c>
      <c r="D336" s="18" t="str">
        <f>_xlfn.XLOOKUP(Table6[[#This Row],[NIS]],Table2[NIS],Table2[Nomer Induk Siswa Nasional],"Not Found",0)</f>
        <v>0043715881</v>
      </c>
      <c r="E336" s="3" t="str">
        <f>_xlfn.XLOOKUP(Table6[[#This Row],[NIS]],Table2[NIS],Table2[Status],"Not Found",0)</f>
        <v>Waqof</v>
      </c>
      <c r="F336" s="3">
        <f>_xlfn.XLOOKUP(Table6[[#This Row],[NIS]],Table2[NIS],Table2[Tahun Masuk],"Not Found",0)</f>
        <v>2019</v>
      </c>
      <c r="G336" s="3">
        <f>_xlfn.XLOOKUP(Table6[[#This Row],[NIS]],Table2[NIS],Table2[Tahun Keluar],"Not Found",0)</f>
        <v>0</v>
      </c>
      <c r="H336" s="3">
        <f>_xlfn.XLOOKUP(Table6[[#This Row],[NIS]],Table2[NIS],Table2[Kelas],"Not Found",0)</f>
        <v>5</v>
      </c>
      <c r="I336" s="3" t="str">
        <f>_xlfn.XLOOKUP(Table6[[#This Row],[NIS]],Table2[NIS],Table2[Kelas Detail],"Not Found",0)</f>
        <v>5-B</v>
      </c>
      <c r="J336" s="3" t="s">
        <v>2513</v>
      </c>
      <c r="K336" s="3" t="s">
        <v>2513</v>
      </c>
      <c r="L336" s="3" t="s">
        <v>2513</v>
      </c>
    </row>
    <row r="337" spans="1:12">
      <c r="A337" s="3">
        <f>SUBTOTAL(3,B$3:B337)</f>
        <v>335</v>
      </c>
      <c r="B337" s="3">
        <v>19200204</v>
      </c>
      <c r="C337" s="18" t="str">
        <f>_xlfn.XLOOKUP(Table6[[#This Row],[NIS]],Table2[NIS],Table2[Nama lengkap],"Not Found",0)</f>
        <v xml:space="preserve">Bunga Nirmala Ramdhani </v>
      </c>
      <c r="D337" s="18" t="str">
        <f>_xlfn.XLOOKUP(Table6[[#This Row],[NIS]],Table2[NIS],Table2[Nomer Induk Siswa Nasional],"Not Found",0)</f>
        <v>0065108591</v>
      </c>
      <c r="E337" s="3" t="str">
        <f>_xlfn.XLOOKUP(Table6[[#This Row],[NIS]],Table2[NIS],Table2[Status],"Not Found",0)</f>
        <v>Aktif</v>
      </c>
      <c r="F337" s="3">
        <f>_xlfn.XLOOKUP(Table6[[#This Row],[NIS]],Table2[NIS],Table2[Tahun Masuk],"Not Found",0)</f>
        <v>2019</v>
      </c>
      <c r="G337" s="3">
        <f>_xlfn.XLOOKUP(Table6[[#This Row],[NIS]],Table2[NIS],Table2[Tahun Keluar],"Not Found",0)</f>
        <v>0</v>
      </c>
      <c r="H337" s="3">
        <f>_xlfn.XLOOKUP(Table6[[#This Row],[NIS]],Table2[NIS],Table2[Kelas],"Not Found",0)</f>
        <v>5</v>
      </c>
      <c r="I337" s="3" t="str">
        <f>_xlfn.XLOOKUP(Table6[[#This Row],[NIS]],Table2[NIS],Table2[Kelas Detail],"Not Found",0)</f>
        <v>5-B</v>
      </c>
      <c r="J337" s="3" t="s">
        <v>2513</v>
      </c>
      <c r="K337" s="3" t="s">
        <v>2513</v>
      </c>
      <c r="L337" s="3" t="s">
        <v>2513</v>
      </c>
    </row>
    <row r="338" spans="1:12">
      <c r="A338" s="3">
        <f>SUBTOTAL(3,B$3:B338)</f>
        <v>336</v>
      </c>
      <c r="B338" s="3">
        <v>20210240</v>
      </c>
      <c r="C338" s="18" t="str">
        <f>_xlfn.XLOOKUP(Table6[[#This Row],[NIS]],Table2[NIS],Table2[Nama lengkap],"Not Found",0)</f>
        <v xml:space="preserve">Dais Nurur Rosyidah </v>
      </c>
      <c r="D338" s="18" t="str">
        <f>_xlfn.XLOOKUP(Table6[[#This Row],[NIS]],Table2[NIS],Table2[Nomer Induk Siswa Nasional],"Not Found",0)</f>
        <v>0084377849</v>
      </c>
      <c r="E338" s="3" t="str">
        <f>_xlfn.XLOOKUP(Table6[[#This Row],[NIS]],Table2[NIS],Table2[Status],"Not Found",0)</f>
        <v>Aktif</v>
      </c>
      <c r="F338" s="3">
        <f>_xlfn.XLOOKUP(Table6[[#This Row],[NIS]],Table2[NIS],Table2[Tahun Masuk],"Not Found",0)</f>
        <v>2020</v>
      </c>
      <c r="G338" s="3">
        <f>_xlfn.XLOOKUP(Table6[[#This Row],[NIS]],Table2[NIS],Table2[Tahun Keluar],"Not Found",0)</f>
        <v>0</v>
      </c>
      <c r="H338" s="3">
        <f>_xlfn.XLOOKUP(Table6[[#This Row],[NIS]],Table2[NIS],Table2[Kelas],"Not Found",0)</f>
        <v>5</v>
      </c>
      <c r="I338" s="3" t="str">
        <f>_xlfn.XLOOKUP(Table6[[#This Row],[NIS]],Table2[NIS],Table2[Kelas Detail],"Not Found",0)</f>
        <v>5-B</v>
      </c>
      <c r="J338" s="3" t="s">
        <v>2513</v>
      </c>
      <c r="K338" s="3" t="s">
        <v>2513</v>
      </c>
      <c r="L338" s="3" t="s">
        <v>2513</v>
      </c>
    </row>
    <row r="339" spans="1:12">
      <c r="A339" s="3">
        <f>SUBTOTAL(3,B$3:B339)</f>
        <v>337</v>
      </c>
      <c r="B339" s="3">
        <v>19200209</v>
      </c>
      <c r="C339" s="18" t="str">
        <f>_xlfn.XLOOKUP(Table6[[#This Row],[NIS]],Table2[NIS],Table2[Nama lengkap],"Not Found",0)</f>
        <v>Devi Fitriyanti</v>
      </c>
      <c r="D339" s="18" t="str">
        <f>_xlfn.XLOOKUP(Table6[[#This Row],[NIS]],Table2[NIS],Table2[Nomer Induk Siswa Nasional],"Not Found",0)</f>
        <v>0038754979</v>
      </c>
      <c r="E339" s="3" t="str">
        <f>_xlfn.XLOOKUP(Table6[[#This Row],[NIS]],Table2[NIS],Table2[Status],"Not Found",0)</f>
        <v>Aktif</v>
      </c>
      <c r="F339" s="3">
        <f>_xlfn.XLOOKUP(Table6[[#This Row],[NIS]],Table2[NIS],Table2[Tahun Masuk],"Not Found",0)</f>
        <v>2019</v>
      </c>
      <c r="G339" s="3">
        <f>_xlfn.XLOOKUP(Table6[[#This Row],[NIS]],Table2[NIS],Table2[Tahun Keluar],"Not Found",0)</f>
        <v>0</v>
      </c>
      <c r="H339" s="3">
        <f>_xlfn.XLOOKUP(Table6[[#This Row],[NIS]],Table2[NIS],Table2[Kelas],"Not Found",0)</f>
        <v>5</v>
      </c>
      <c r="I339" s="3" t="str">
        <f>_xlfn.XLOOKUP(Table6[[#This Row],[NIS]],Table2[NIS],Table2[Kelas Detail],"Not Found",0)</f>
        <v>5-B</v>
      </c>
      <c r="J339" s="3" t="s">
        <v>2513</v>
      </c>
      <c r="K339" s="3" t="s">
        <v>2513</v>
      </c>
      <c r="L339" s="3" t="s">
        <v>2513</v>
      </c>
    </row>
    <row r="340" spans="1:12">
      <c r="A340" s="3">
        <f>SUBTOTAL(3,B$3:B340)</f>
        <v>338</v>
      </c>
      <c r="B340" s="3">
        <v>20210173</v>
      </c>
      <c r="C340" s="18" t="str">
        <f>_xlfn.XLOOKUP(Table6[[#This Row],[NIS]],Table2[NIS],Table2[Nama lengkap],"Not Found",0)</f>
        <v>Dila Elina Asyifa</v>
      </c>
      <c r="D340" s="18" t="str">
        <f>_xlfn.XLOOKUP(Table6[[#This Row],[NIS]],Table2[NIS],Table2[Nomer Induk Siswa Nasional],"Not Found",0)</f>
        <v>0052677591</v>
      </c>
      <c r="E340" s="3" t="str">
        <f>_xlfn.XLOOKUP(Table6[[#This Row],[NIS]],Table2[NIS],Table2[Status],"Not Found",0)</f>
        <v>Aktif</v>
      </c>
      <c r="F340" s="3">
        <f>_xlfn.XLOOKUP(Table6[[#This Row],[NIS]],Table2[NIS],Table2[Tahun Masuk],"Not Found",0)</f>
        <v>2020</v>
      </c>
      <c r="G340" s="3">
        <f>_xlfn.XLOOKUP(Table6[[#This Row],[NIS]],Table2[NIS],Table2[Tahun Keluar],"Not Found",0)</f>
        <v>0</v>
      </c>
      <c r="H340" s="3">
        <f>_xlfn.XLOOKUP(Table6[[#This Row],[NIS]],Table2[NIS],Table2[Kelas],"Not Found",0)</f>
        <v>5</v>
      </c>
      <c r="I340" s="3" t="str">
        <f>_xlfn.XLOOKUP(Table6[[#This Row],[NIS]],Table2[NIS],Table2[Kelas Detail],"Not Found",0)</f>
        <v>5-B</v>
      </c>
      <c r="J340" s="3" t="s">
        <v>2513</v>
      </c>
      <c r="K340" s="3" t="s">
        <v>2513</v>
      </c>
      <c r="L340" s="3" t="s">
        <v>2513</v>
      </c>
    </row>
    <row r="341" spans="1:12">
      <c r="A341" s="3">
        <f>SUBTOTAL(3,B$3:B341)</f>
        <v>339</v>
      </c>
      <c r="B341" s="3">
        <v>20210211</v>
      </c>
      <c r="C341" s="18" t="str">
        <f>_xlfn.XLOOKUP(Table6[[#This Row],[NIS]],Table2[NIS],Table2[Nama lengkap],"Not Found",0)</f>
        <v xml:space="preserve">Friya Aisya Putri </v>
      </c>
      <c r="D341" s="18" t="str">
        <f>_xlfn.XLOOKUP(Table6[[#This Row],[NIS]],Table2[NIS],Table2[Nomer Induk Siswa Nasional],"Not Found",0)</f>
        <v>0057300535</v>
      </c>
      <c r="E341" s="3" t="str">
        <f>_xlfn.XLOOKUP(Table6[[#This Row],[NIS]],Table2[NIS],Table2[Status],"Not Found",0)</f>
        <v>Aktif</v>
      </c>
      <c r="F341" s="3">
        <f>_xlfn.XLOOKUP(Table6[[#This Row],[NIS]],Table2[NIS],Table2[Tahun Masuk],"Not Found",0)</f>
        <v>2020</v>
      </c>
      <c r="G341" s="3">
        <f>_xlfn.XLOOKUP(Table6[[#This Row],[NIS]],Table2[NIS],Table2[Tahun Keluar],"Not Found",0)</f>
        <v>0</v>
      </c>
      <c r="H341" s="3">
        <f>_xlfn.XLOOKUP(Table6[[#This Row],[NIS]],Table2[NIS],Table2[Kelas],"Not Found",0)</f>
        <v>5</v>
      </c>
      <c r="I341" s="3" t="str">
        <f>_xlfn.XLOOKUP(Table6[[#This Row],[NIS]],Table2[NIS],Table2[Kelas Detail],"Not Found",0)</f>
        <v>5-B</v>
      </c>
      <c r="J341" s="3" t="s">
        <v>2513</v>
      </c>
      <c r="K341" s="3" t="s">
        <v>2513</v>
      </c>
      <c r="L341" s="3" t="s">
        <v>2513</v>
      </c>
    </row>
    <row r="342" spans="1:12">
      <c r="A342" s="3">
        <f>SUBTOTAL(3,B$3:B342)</f>
        <v>340</v>
      </c>
      <c r="B342" s="3">
        <v>19200223</v>
      </c>
      <c r="C342" s="18" t="str">
        <f>_xlfn.XLOOKUP(Table6[[#This Row],[NIS]],Table2[NIS],Table2[Nama lengkap],"Not Found",0)</f>
        <v>Ida Parida</v>
      </c>
      <c r="D342" s="18" t="str">
        <f>_xlfn.XLOOKUP(Table6[[#This Row],[NIS]],Table2[NIS],Table2[Nomer Induk Siswa Nasional],"Not Found",0)</f>
        <v>0036674163</v>
      </c>
      <c r="E342" s="3" t="str">
        <f>_xlfn.XLOOKUP(Table6[[#This Row],[NIS]],Table2[NIS],Table2[Status],"Not Found",0)</f>
        <v>Aktif</v>
      </c>
      <c r="F342" s="3">
        <f>_xlfn.XLOOKUP(Table6[[#This Row],[NIS]],Table2[NIS],Table2[Tahun Masuk],"Not Found",0)</f>
        <v>2019</v>
      </c>
      <c r="G342" s="3">
        <f>_xlfn.XLOOKUP(Table6[[#This Row],[NIS]],Table2[NIS],Table2[Tahun Keluar],"Not Found",0)</f>
        <v>0</v>
      </c>
      <c r="H342" s="3">
        <f>_xlfn.XLOOKUP(Table6[[#This Row],[NIS]],Table2[NIS],Table2[Kelas],"Not Found",0)</f>
        <v>5</v>
      </c>
      <c r="I342" s="3" t="str">
        <f>_xlfn.XLOOKUP(Table6[[#This Row],[NIS]],Table2[NIS],Table2[Kelas Detail],"Not Found",0)</f>
        <v>5-B</v>
      </c>
      <c r="J342" s="3" t="s">
        <v>2513</v>
      </c>
      <c r="K342" s="3" t="s">
        <v>2513</v>
      </c>
      <c r="L342" s="3" t="s">
        <v>2513</v>
      </c>
    </row>
    <row r="343" spans="1:12">
      <c r="A343" s="3">
        <f>SUBTOTAL(3,B$3:B343)</f>
        <v>341</v>
      </c>
      <c r="B343" s="3">
        <v>19200227</v>
      </c>
      <c r="C343" s="18" t="str">
        <f>_xlfn.XLOOKUP(Table6[[#This Row],[NIS]],Table2[NIS],Table2[Nama lengkap],"Not Found",0)</f>
        <v>Indri Yulistiawati</v>
      </c>
      <c r="D343" s="18" t="str">
        <f>_xlfn.XLOOKUP(Table6[[#This Row],[NIS]],Table2[NIS],Table2[Nomer Induk Siswa Nasional],"Not Found",0)</f>
        <v>0000062994</v>
      </c>
      <c r="E343" s="3" t="str">
        <f>_xlfn.XLOOKUP(Table6[[#This Row],[NIS]],Table2[NIS],Table2[Status],"Not Found",0)</f>
        <v>Aktif</v>
      </c>
      <c r="F343" s="3">
        <f>_xlfn.XLOOKUP(Table6[[#This Row],[NIS]],Table2[NIS],Table2[Tahun Masuk],"Not Found",0)</f>
        <v>2019</v>
      </c>
      <c r="G343" s="3">
        <f>_xlfn.XLOOKUP(Table6[[#This Row],[NIS]],Table2[NIS],Table2[Tahun Keluar],"Not Found",0)</f>
        <v>0</v>
      </c>
      <c r="H343" s="3">
        <f>_xlfn.XLOOKUP(Table6[[#This Row],[NIS]],Table2[NIS],Table2[Kelas],"Not Found",0)</f>
        <v>5</v>
      </c>
      <c r="I343" s="3" t="str">
        <f>_xlfn.XLOOKUP(Table6[[#This Row],[NIS]],Table2[NIS],Table2[Kelas Detail],"Not Found",0)</f>
        <v>5-B</v>
      </c>
      <c r="J343" s="3" t="s">
        <v>2513</v>
      </c>
      <c r="K343" s="3" t="s">
        <v>2513</v>
      </c>
      <c r="L343" s="3" t="s">
        <v>2513</v>
      </c>
    </row>
    <row r="344" spans="1:12">
      <c r="A344" s="3">
        <f>SUBTOTAL(3,B$3:B344)</f>
        <v>342</v>
      </c>
      <c r="B344" s="3">
        <v>20210189</v>
      </c>
      <c r="C344" s="18" t="str">
        <f>_xlfn.XLOOKUP(Table6[[#This Row],[NIS]],Table2[NIS],Table2[Nama lengkap],"Not Found",0)</f>
        <v>Keysha Azzahra Sudiana</v>
      </c>
      <c r="D344" s="18" t="str">
        <f>_xlfn.XLOOKUP(Table6[[#This Row],[NIS]],Table2[NIS],Table2[Nomer Induk Siswa Nasional],"Not Found",0)</f>
        <v>0077985707</v>
      </c>
      <c r="E344" s="3" t="str">
        <f>_xlfn.XLOOKUP(Table6[[#This Row],[NIS]],Table2[NIS],Table2[Status],"Not Found",0)</f>
        <v>Aktif</v>
      </c>
      <c r="F344" s="3">
        <f>_xlfn.XLOOKUP(Table6[[#This Row],[NIS]],Table2[NIS],Table2[Tahun Masuk],"Not Found",0)</f>
        <v>2020</v>
      </c>
      <c r="G344" s="3" t="str">
        <f>_xlfn.XLOOKUP(Table6[[#This Row],[NIS]],Table2[NIS],Table2[Tahun Keluar],"Not Found",0)</f>
        <v>TB</v>
      </c>
      <c r="H344" s="3">
        <f>_xlfn.XLOOKUP(Table6[[#This Row],[NIS]],Table2[NIS],Table2[Kelas],"Not Found",0)</f>
        <v>5</v>
      </c>
      <c r="I344" s="3" t="str">
        <f>_xlfn.XLOOKUP(Table6[[#This Row],[NIS]],Table2[NIS],Table2[Kelas Detail],"Not Found",0)</f>
        <v>5-B</v>
      </c>
      <c r="J344" s="3" t="s">
        <v>2513</v>
      </c>
      <c r="K344" s="3" t="s">
        <v>2513</v>
      </c>
      <c r="L344" s="3" t="s">
        <v>2513</v>
      </c>
    </row>
    <row r="345" spans="1:12">
      <c r="A345" s="3">
        <f>SUBTOTAL(3,B$3:B345)</f>
        <v>343</v>
      </c>
      <c r="B345" s="3">
        <v>19200232</v>
      </c>
      <c r="C345" s="18" t="str">
        <f>_xlfn.XLOOKUP(Table6[[#This Row],[NIS]],Table2[NIS],Table2[Nama lengkap],"Not Found",0)</f>
        <v>Kholisa Nurpadilah</v>
      </c>
      <c r="D345" s="18" t="str">
        <f>_xlfn.XLOOKUP(Table6[[#This Row],[NIS]],Table2[NIS],Table2[Nomer Induk Siswa Nasional],"Not Found",0)</f>
        <v>0073978465</v>
      </c>
      <c r="E345" s="3" t="str">
        <f>_xlfn.XLOOKUP(Table6[[#This Row],[NIS]],Table2[NIS],Table2[Status],"Not Found",0)</f>
        <v>Aktif</v>
      </c>
      <c r="F345" s="3">
        <f>_xlfn.XLOOKUP(Table6[[#This Row],[NIS]],Table2[NIS],Table2[Tahun Masuk],"Not Found",0)</f>
        <v>2019</v>
      </c>
      <c r="G345" s="3">
        <f>_xlfn.XLOOKUP(Table6[[#This Row],[NIS]],Table2[NIS],Table2[Tahun Keluar],"Not Found",0)</f>
        <v>0</v>
      </c>
      <c r="H345" s="3">
        <f>_xlfn.XLOOKUP(Table6[[#This Row],[NIS]],Table2[NIS],Table2[Kelas],"Not Found",0)</f>
        <v>5</v>
      </c>
      <c r="I345" s="3" t="str">
        <f>_xlfn.XLOOKUP(Table6[[#This Row],[NIS]],Table2[NIS],Table2[Kelas Detail],"Not Found",0)</f>
        <v>5-B</v>
      </c>
      <c r="J345" s="3" t="s">
        <v>2513</v>
      </c>
      <c r="K345" s="3" t="s">
        <v>2513</v>
      </c>
      <c r="L345" s="3" t="s">
        <v>2513</v>
      </c>
    </row>
    <row r="346" spans="1:12">
      <c r="A346" s="3">
        <f>SUBTOTAL(3,B$3:B346)</f>
        <v>344</v>
      </c>
      <c r="B346" s="3">
        <v>19200234</v>
      </c>
      <c r="C346" s="18" t="str">
        <f>_xlfn.XLOOKUP(Table6[[#This Row],[NIS]],Table2[NIS],Table2[Nama lengkap],"Not Found",0)</f>
        <v>Kirani Aulia Putri Heryana</v>
      </c>
      <c r="D346" s="18" t="str">
        <f>_xlfn.XLOOKUP(Table6[[#This Row],[NIS]],Table2[NIS],Table2[Nomer Induk Siswa Nasional],"Not Found",0)</f>
        <v>0136925880</v>
      </c>
      <c r="E346" s="3" t="str">
        <f>_xlfn.XLOOKUP(Table6[[#This Row],[NIS]],Table2[NIS],Table2[Status],"Not Found",0)</f>
        <v>Aktif</v>
      </c>
      <c r="F346" s="3">
        <f>_xlfn.XLOOKUP(Table6[[#This Row],[NIS]],Table2[NIS],Table2[Tahun Masuk],"Not Found",0)</f>
        <v>2019</v>
      </c>
      <c r="G346" s="3">
        <f>_xlfn.XLOOKUP(Table6[[#This Row],[NIS]],Table2[NIS],Table2[Tahun Keluar],"Not Found",0)</f>
        <v>0</v>
      </c>
      <c r="H346" s="3">
        <f>_xlfn.XLOOKUP(Table6[[#This Row],[NIS]],Table2[NIS],Table2[Kelas],"Not Found",0)</f>
        <v>5</v>
      </c>
      <c r="I346" s="3" t="str">
        <f>_xlfn.XLOOKUP(Table6[[#This Row],[NIS]],Table2[NIS],Table2[Kelas Detail],"Not Found",0)</f>
        <v>5-B</v>
      </c>
      <c r="J346" s="3" t="s">
        <v>2513</v>
      </c>
      <c r="K346" s="3" t="s">
        <v>2513</v>
      </c>
      <c r="L346" s="3" t="s">
        <v>2513</v>
      </c>
    </row>
    <row r="347" spans="1:12">
      <c r="A347" s="3">
        <f>SUBTOTAL(3,B$3:B347)</f>
        <v>345</v>
      </c>
      <c r="B347" s="3">
        <v>20210203</v>
      </c>
      <c r="C347" s="18" t="str">
        <f>_xlfn.XLOOKUP(Table6[[#This Row],[NIS]],Table2[NIS],Table2[Nama lengkap],"Not Found",0)</f>
        <v xml:space="preserve">Mila Rosa </v>
      </c>
      <c r="D347" s="18" t="str">
        <f>_xlfn.XLOOKUP(Table6[[#This Row],[NIS]],Table2[NIS],Table2[Nomer Induk Siswa Nasional],"Not Found",0)</f>
        <v>0043937379</v>
      </c>
      <c r="E347" s="3" t="str">
        <f>_xlfn.XLOOKUP(Table6[[#This Row],[NIS]],Table2[NIS],Table2[Status],"Not Found",0)</f>
        <v>Aktif</v>
      </c>
      <c r="F347" s="3">
        <f>_xlfn.XLOOKUP(Table6[[#This Row],[NIS]],Table2[NIS],Table2[Tahun Masuk],"Not Found",0)</f>
        <v>2020</v>
      </c>
      <c r="G347" s="3">
        <f>_xlfn.XLOOKUP(Table6[[#This Row],[NIS]],Table2[NIS],Table2[Tahun Keluar],"Not Found",0)</f>
        <v>0</v>
      </c>
      <c r="H347" s="3">
        <f>_xlfn.XLOOKUP(Table6[[#This Row],[NIS]],Table2[NIS],Table2[Kelas],"Not Found",0)</f>
        <v>5</v>
      </c>
      <c r="I347" s="3" t="str">
        <f>_xlfn.XLOOKUP(Table6[[#This Row],[NIS]],Table2[NIS],Table2[Kelas Detail],"Not Found",0)</f>
        <v>5-B</v>
      </c>
      <c r="J347" s="3" t="s">
        <v>2513</v>
      </c>
      <c r="K347" s="3" t="s">
        <v>2513</v>
      </c>
      <c r="L347" s="3" t="s">
        <v>2513</v>
      </c>
    </row>
    <row r="348" spans="1:12">
      <c r="A348" s="3">
        <f>SUBTOTAL(3,B$3:B348)</f>
        <v>346</v>
      </c>
      <c r="B348" s="3">
        <v>19200243</v>
      </c>
      <c r="C348" s="18" t="str">
        <f>_xlfn.XLOOKUP(Table6[[#This Row],[NIS]],Table2[NIS],Table2[Nama lengkap],"Not Found",0)</f>
        <v>Mira Latifatul Qolby</v>
      </c>
      <c r="D348" s="18" t="str">
        <f>_xlfn.XLOOKUP(Table6[[#This Row],[NIS]],Table2[NIS],Table2[Nomer Induk Siswa Nasional],"Not Found",0)</f>
        <v>0071169907/0071169007</v>
      </c>
      <c r="E348" s="3" t="str">
        <f>_xlfn.XLOOKUP(Table6[[#This Row],[NIS]],Table2[NIS],Table2[Status],"Not Found",0)</f>
        <v>Aktif</v>
      </c>
      <c r="F348" s="3">
        <f>_xlfn.XLOOKUP(Table6[[#This Row],[NIS]],Table2[NIS],Table2[Tahun Masuk],"Not Found",0)</f>
        <v>2019</v>
      </c>
      <c r="G348" s="3">
        <f>_xlfn.XLOOKUP(Table6[[#This Row],[NIS]],Table2[NIS],Table2[Tahun Keluar],"Not Found",0)</f>
        <v>0</v>
      </c>
      <c r="H348" s="3">
        <f>_xlfn.XLOOKUP(Table6[[#This Row],[NIS]],Table2[NIS],Table2[Kelas],"Not Found",0)</f>
        <v>5</v>
      </c>
      <c r="I348" s="3" t="str">
        <f>_xlfn.XLOOKUP(Table6[[#This Row],[NIS]],Table2[NIS],Table2[Kelas Detail],"Not Found",0)</f>
        <v>5-B</v>
      </c>
      <c r="J348" s="3" t="s">
        <v>2513</v>
      </c>
      <c r="K348" s="3" t="s">
        <v>2513</v>
      </c>
      <c r="L348" s="3" t="s">
        <v>2513</v>
      </c>
    </row>
    <row r="349" spans="1:12">
      <c r="A349" s="3">
        <f>SUBTOTAL(3,B$3:B349)</f>
        <v>347</v>
      </c>
      <c r="B349" s="3">
        <v>19200244</v>
      </c>
      <c r="C349" s="18" t="str">
        <f>_xlfn.XLOOKUP(Table6[[#This Row],[NIS]],Table2[NIS],Table2[Nama lengkap],"Not Found",0)</f>
        <v>Moza Julyanti</v>
      </c>
      <c r="D349" s="18" t="str">
        <f>_xlfn.XLOOKUP(Table6[[#This Row],[NIS]],Table2[NIS],Table2[Nomer Induk Siswa Nasional],"Not Found",0)</f>
        <v>0078646807</v>
      </c>
      <c r="E349" s="3" t="str">
        <f>_xlfn.XLOOKUP(Table6[[#This Row],[NIS]],Table2[NIS],Table2[Status],"Not Found",0)</f>
        <v>Aktif</v>
      </c>
      <c r="F349" s="3">
        <f>_xlfn.XLOOKUP(Table6[[#This Row],[NIS]],Table2[NIS],Table2[Tahun Masuk],"Not Found",0)</f>
        <v>2019</v>
      </c>
      <c r="G349" s="3">
        <f>_xlfn.XLOOKUP(Table6[[#This Row],[NIS]],Table2[NIS],Table2[Tahun Keluar],"Not Found",0)</f>
        <v>0</v>
      </c>
      <c r="H349" s="3">
        <f>_xlfn.XLOOKUP(Table6[[#This Row],[NIS]],Table2[NIS],Table2[Kelas],"Not Found",0)</f>
        <v>5</v>
      </c>
      <c r="I349" s="3" t="str">
        <f>_xlfn.XLOOKUP(Table6[[#This Row],[NIS]],Table2[NIS],Table2[Kelas Detail],"Not Found",0)</f>
        <v>5-B</v>
      </c>
      <c r="J349" s="3" t="s">
        <v>2513</v>
      </c>
      <c r="K349" s="3" t="s">
        <v>2513</v>
      </c>
      <c r="L349" s="3" t="s">
        <v>2513</v>
      </c>
    </row>
    <row r="350" spans="1:12">
      <c r="A350" s="3">
        <f>SUBTOTAL(3,B$3:B350)</f>
        <v>348</v>
      </c>
      <c r="B350" s="3">
        <v>19200249</v>
      </c>
      <c r="C350" s="18" t="str">
        <f>_xlfn.XLOOKUP(Table6[[#This Row],[NIS]],Table2[NIS],Table2[Nama lengkap],"Not Found",0)</f>
        <v>Nabila Azahra Nurazizah</v>
      </c>
      <c r="D350" s="18" t="str">
        <f>_xlfn.XLOOKUP(Table6[[#This Row],[NIS]],Table2[NIS],Table2[Nomer Induk Siswa Nasional],"Not Found",0)</f>
        <v>0063152594</v>
      </c>
      <c r="E350" s="3" t="str">
        <f>_xlfn.XLOOKUP(Table6[[#This Row],[NIS]],Table2[NIS],Table2[Status],"Not Found",0)</f>
        <v>Aktif</v>
      </c>
      <c r="F350" s="3">
        <f>_xlfn.XLOOKUP(Table6[[#This Row],[NIS]],Table2[NIS],Table2[Tahun Masuk],"Not Found",0)</f>
        <v>2019</v>
      </c>
      <c r="G350" s="3">
        <f>_xlfn.XLOOKUP(Table6[[#This Row],[NIS]],Table2[NIS],Table2[Tahun Keluar],"Not Found",0)</f>
        <v>0</v>
      </c>
      <c r="H350" s="3">
        <f>_xlfn.XLOOKUP(Table6[[#This Row],[NIS]],Table2[NIS],Table2[Kelas],"Not Found",0)</f>
        <v>5</v>
      </c>
      <c r="I350" s="3" t="str">
        <f>_xlfn.XLOOKUP(Table6[[#This Row],[NIS]],Table2[NIS],Table2[Kelas Detail],"Not Found",0)</f>
        <v>5-B</v>
      </c>
      <c r="J350" s="3" t="s">
        <v>2513</v>
      </c>
      <c r="K350" s="3" t="s">
        <v>2513</v>
      </c>
      <c r="L350" s="3" t="s">
        <v>2513</v>
      </c>
    </row>
    <row r="351" spans="1:12">
      <c r="A351" s="3">
        <f>SUBTOTAL(3,B$3:B351)</f>
        <v>349</v>
      </c>
      <c r="B351" s="3">
        <v>20210163</v>
      </c>
      <c r="C351" s="18" t="str">
        <f>_xlfn.XLOOKUP(Table6[[#This Row],[NIS]],Table2[NIS],Table2[Nama lengkap],"Not Found",0)</f>
        <v xml:space="preserve">Nabila Hilmi </v>
      </c>
      <c r="D351" s="18" t="str">
        <f>_xlfn.XLOOKUP(Table6[[#This Row],[NIS]],Table2[NIS],Table2[Nomer Induk Siswa Nasional],"Not Found",0)</f>
        <v>0088986318</v>
      </c>
      <c r="E351" s="3" t="str">
        <f>_xlfn.XLOOKUP(Table6[[#This Row],[NIS]],Table2[NIS],Table2[Status],"Not Found",0)</f>
        <v>Aktif</v>
      </c>
      <c r="F351" s="3">
        <f>_xlfn.XLOOKUP(Table6[[#This Row],[NIS]],Table2[NIS],Table2[Tahun Masuk],"Not Found",0)</f>
        <v>2020</v>
      </c>
      <c r="G351" s="3">
        <f>_xlfn.XLOOKUP(Table6[[#This Row],[NIS]],Table2[NIS],Table2[Tahun Keluar],"Not Found",0)</f>
        <v>0</v>
      </c>
      <c r="H351" s="3">
        <f>_xlfn.XLOOKUP(Table6[[#This Row],[NIS]],Table2[NIS],Table2[Kelas],"Not Found",0)</f>
        <v>5</v>
      </c>
      <c r="I351" s="3" t="str">
        <f>_xlfn.XLOOKUP(Table6[[#This Row],[NIS]],Table2[NIS],Table2[Kelas Detail],"Not Found",0)</f>
        <v>5-B</v>
      </c>
      <c r="J351" s="3" t="s">
        <v>2513</v>
      </c>
      <c r="K351" s="3" t="s">
        <v>2513</v>
      </c>
      <c r="L351" s="3" t="s">
        <v>2513</v>
      </c>
    </row>
    <row r="352" spans="1:12">
      <c r="A352" s="3">
        <f>SUBTOTAL(3,B$3:B352)</f>
        <v>350</v>
      </c>
      <c r="B352" s="3">
        <v>20210165</v>
      </c>
      <c r="C352" s="18" t="str">
        <f>_xlfn.XLOOKUP(Table6[[#This Row],[NIS]],Table2[NIS],Table2[Nama lengkap],"Not Found",0)</f>
        <v>Nabila Putri Azzahra</v>
      </c>
      <c r="D352" s="18" t="str">
        <f>_xlfn.XLOOKUP(Table6[[#This Row],[NIS]],Table2[NIS],Table2[Nomer Induk Siswa Nasional],"Not Found",0)</f>
        <v>0079435880</v>
      </c>
      <c r="E352" s="3" t="str">
        <f>_xlfn.XLOOKUP(Table6[[#This Row],[NIS]],Table2[NIS],Table2[Status],"Not Found",0)</f>
        <v>Aktif</v>
      </c>
      <c r="F352" s="3">
        <f>_xlfn.XLOOKUP(Table6[[#This Row],[NIS]],Table2[NIS],Table2[Tahun Masuk],"Not Found",0)</f>
        <v>2020</v>
      </c>
      <c r="G352" s="3">
        <f>_xlfn.XLOOKUP(Table6[[#This Row],[NIS]],Table2[NIS],Table2[Tahun Keluar],"Not Found",0)</f>
        <v>0</v>
      </c>
      <c r="H352" s="3">
        <f>_xlfn.XLOOKUP(Table6[[#This Row],[NIS]],Table2[NIS],Table2[Kelas],"Not Found",0)</f>
        <v>5</v>
      </c>
      <c r="I352" s="3" t="str">
        <f>_xlfn.XLOOKUP(Table6[[#This Row],[NIS]],Table2[NIS],Table2[Kelas Detail],"Not Found",0)</f>
        <v>5-B</v>
      </c>
      <c r="J352" s="3" t="s">
        <v>2513</v>
      </c>
      <c r="K352" s="3" t="s">
        <v>2513</v>
      </c>
      <c r="L352" s="3" t="s">
        <v>2513</v>
      </c>
    </row>
    <row r="353" spans="1:12">
      <c r="A353" s="3">
        <f>SUBTOTAL(3,B$3:B353)</f>
        <v>351</v>
      </c>
      <c r="B353" s="3">
        <v>19200262</v>
      </c>
      <c r="C353" s="18" t="str">
        <f>_xlfn.XLOOKUP(Table6[[#This Row],[NIS]],Table2[NIS],Table2[Nama lengkap],"Not Found",0)</f>
        <v>Nisrina Nazma Ashobar</v>
      </c>
      <c r="D353" s="18" t="str">
        <f>_xlfn.XLOOKUP(Table6[[#This Row],[NIS]],Table2[NIS],Table2[Nomer Induk Siswa Nasional],"Not Found",0)</f>
        <v>0061205118</v>
      </c>
      <c r="E353" s="3" t="str">
        <f>_xlfn.XLOOKUP(Table6[[#This Row],[NIS]],Table2[NIS],Table2[Status],"Not Found",0)</f>
        <v>Aktif</v>
      </c>
      <c r="F353" s="3">
        <f>_xlfn.XLOOKUP(Table6[[#This Row],[NIS]],Table2[NIS],Table2[Tahun Masuk],"Not Found",0)</f>
        <v>2019</v>
      </c>
      <c r="G353" s="3">
        <f>_xlfn.XLOOKUP(Table6[[#This Row],[NIS]],Table2[NIS],Table2[Tahun Keluar],"Not Found",0)</f>
        <v>0</v>
      </c>
      <c r="H353" s="3">
        <f>_xlfn.XLOOKUP(Table6[[#This Row],[NIS]],Table2[NIS],Table2[Kelas],"Not Found",0)</f>
        <v>5</v>
      </c>
      <c r="I353" s="3" t="str">
        <f>_xlfn.XLOOKUP(Table6[[#This Row],[NIS]],Table2[NIS],Table2[Kelas Detail],"Not Found",0)</f>
        <v>5-B</v>
      </c>
      <c r="J353" s="3" t="s">
        <v>2513</v>
      </c>
      <c r="K353" s="3" t="s">
        <v>2513</v>
      </c>
      <c r="L353" s="3" t="s">
        <v>2513</v>
      </c>
    </row>
    <row r="354" spans="1:12">
      <c r="A354" s="3">
        <f>SUBTOTAL(3,B$3:B354)</f>
        <v>352</v>
      </c>
      <c r="B354" s="3">
        <v>19200269</v>
      </c>
      <c r="C354" s="18" t="str">
        <f>_xlfn.XLOOKUP(Table6[[#This Row],[NIS]],Table2[NIS],Table2[Nama lengkap],"Not Found",0)</f>
        <v>Putri Nurhayati</v>
      </c>
      <c r="D354" s="18" t="str">
        <f>_xlfn.XLOOKUP(Table6[[#This Row],[NIS]],Table2[NIS],Table2[Nomer Induk Siswa Nasional],"Not Found",0)</f>
        <v>0031006764</v>
      </c>
      <c r="E354" s="3" t="str">
        <f>_xlfn.XLOOKUP(Table6[[#This Row],[NIS]],Table2[NIS],Table2[Status],"Not Found",0)</f>
        <v>Aktif</v>
      </c>
      <c r="F354" s="3">
        <f>_xlfn.XLOOKUP(Table6[[#This Row],[NIS]],Table2[NIS],Table2[Tahun Masuk],"Not Found",0)</f>
        <v>2019</v>
      </c>
      <c r="G354" s="3" t="str">
        <f>_xlfn.XLOOKUP(Table6[[#This Row],[NIS]],Table2[NIS],Table2[Tahun Keluar],"Not Found",0)</f>
        <v>TB</v>
      </c>
      <c r="H354" s="3">
        <f>_xlfn.XLOOKUP(Table6[[#This Row],[NIS]],Table2[NIS],Table2[Kelas],"Not Found",0)</f>
        <v>5</v>
      </c>
      <c r="I354" s="3" t="str">
        <f>_xlfn.XLOOKUP(Table6[[#This Row],[NIS]],Table2[NIS],Table2[Kelas Detail],"Not Found",0)</f>
        <v>5-B</v>
      </c>
      <c r="J354" s="3" t="s">
        <v>2513</v>
      </c>
      <c r="K354" s="3" t="s">
        <v>2513</v>
      </c>
      <c r="L354" s="3" t="s">
        <v>2513</v>
      </c>
    </row>
    <row r="355" spans="1:12">
      <c r="A355" s="3">
        <f>SUBTOTAL(3,B$3:B355)</f>
        <v>353</v>
      </c>
      <c r="B355" s="3">
        <v>19200273</v>
      </c>
      <c r="C355" s="18" t="str">
        <f>_xlfn.XLOOKUP(Table6[[#This Row],[NIS]],Table2[NIS],Table2[Nama lengkap],"Not Found",0)</f>
        <v xml:space="preserve">Raisha Amelia </v>
      </c>
      <c r="D355" s="18" t="str">
        <f>_xlfn.XLOOKUP(Table6[[#This Row],[NIS]],Table2[NIS],Table2[Nomer Induk Siswa Nasional],"Not Found",0)</f>
        <v>0075478341</v>
      </c>
      <c r="E355" s="3" t="str">
        <f>_xlfn.XLOOKUP(Table6[[#This Row],[NIS]],Table2[NIS],Table2[Status],"Not Found",0)</f>
        <v>Aktif</v>
      </c>
      <c r="F355" s="3">
        <f>_xlfn.XLOOKUP(Table6[[#This Row],[NIS]],Table2[NIS],Table2[Tahun Masuk],"Not Found",0)</f>
        <v>2019</v>
      </c>
      <c r="G355" s="3">
        <f>_xlfn.XLOOKUP(Table6[[#This Row],[NIS]],Table2[NIS],Table2[Tahun Keluar],"Not Found",0)</f>
        <v>0</v>
      </c>
      <c r="H355" s="3">
        <f>_xlfn.XLOOKUP(Table6[[#This Row],[NIS]],Table2[NIS],Table2[Kelas],"Not Found",0)</f>
        <v>5</v>
      </c>
      <c r="I355" s="3" t="str">
        <f>_xlfn.XLOOKUP(Table6[[#This Row],[NIS]],Table2[NIS],Table2[Kelas Detail],"Not Found",0)</f>
        <v>5-B</v>
      </c>
      <c r="J355" s="3" t="s">
        <v>2513</v>
      </c>
      <c r="K355" s="3" t="s">
        <v>2513</v>
      </c>
      <c r="L355" s="3" t="s">
        <v>2513</v>
      </c>
    </row>
    <row r="356" spans="1:12">
      <c r="A356" s="3">
        <f>SUBTOTAL(3,B$3:B356)</f>
        <v>354</v>
      </c>
      <c r="B356" s="3">
        <v>19200277</v>
      </c>
      <c r="C356" s="18" t="str">
        <f>_xlfn.XLOOKUP(Table6[[#This Row],[NIS]],Table2[NIS],Table2[Nama lengkap],"Not Found",0)</f>
        <v>Riani Nur Fauziah</v>
      </c>
      <c r="D356" s="18" t="str">
        <f>_xlfn.XLOOKUP(Table6[[#This Row],[NIS]],Table2[NIS],Table2[Nomer Induk Siswa Nasional],"Not Found",0)</f>
        <v>0075108528</v>
      </c>
      <c r="E356" s="3" t="str">
        <f>_xlfn.XLOOKUP(Table6[[#This Row],[NIS]],Table2[NIS],Table2[Status],"Not Found",0)</f>
        <v>Aktif</v>
      </c>
      <c r="F356" s="3">
        <f>_xlfn.XLOOKUP(Table6[[#This Row],[NIS]],Table2[NIS],Table2[Tahun Masuk],"Not Found",0)</f>
        <v>2019</v>
      </c>
      <c r="G356" s="3">
        <f>_xlfn.XLOOKUP(Table6[[#This Row],[NIS]],Table2[NIS],Table2[Tahun Keluar],"Not Found",0)</f>
        <v>0</v>
      </c>
      <c r="H356" s="3">
        <f>_xlfn.XLOOKUP(Table6[[#This Row],[NIS]],Table2[NIS],Table2[Kelas],"Not Found",0)</f>
        <v>5</v>
      </c>
      <c r="I356" s="3" t="str">
        <f>_xlfn.XLOOKUP(Table6[[#This Row],[NIS]],Table2[NIS],Table2[Kelas Detail],"Not Found",0)</f>
        <v>5-B</v>
      </c>
      <c r="J356" s="3" t="s">
        <v>2513</v>
      </c>
      <c r="K356" s="3" t="s">
        <v>2513</v>
      </c>
      <c r="L356" s="3" t="s">
        <v>2513</v>
      </c>
    </row>
    <row r="357" spans="1:12">
      <c r="A357" s="3">
        <f>SUBTOTAL(3,B$3:B357)</f>
        <v>355</v>
      </c>
      <c r="B357" s="3">
        <v>20210182</v>
      </c>
      <c r="C357" s="18" t="str">
        <f>_xlfn.XLOOKUP(Table6[[#This Row],[NIS]],Table2[NIS],Table2[Nama lengkap],"Not Found",0)</f>
        <v>Salma Nur Karimah Solihin</v>
      </c>
      <c r="D357" s="18" t="str">
        <f>_xlfn.XLOOKUP(Table6[[#This Row],[NIS]],Table2[NIS],Table2[Nomer Induk Siswa Nasional],"Not Found",0)</f>
        <v>0048435374</v>
      </c>
      <c r="E357" s="3" t="str">
        <f>_xlfn.XLOOKUP(Table6[[#This Row],[NIS]],Table2[NIS],Table2[Status],"Not Found",0)</f>
        <v>Aktif</v>
      </c>
      <c r="F357" s="3">
        <f>_xlfn.XLOOKUP(Table6[[#This Row],[NIS]],Table2[NIS],Table2[Tahun Masuk],"Not Found",0)</f>
        <v>2020</v>
      </c>
      <c r="G357" s="3">
        <f>_xlfn.XLOOKUP(Table6[[#This Row],[NIS]],Table2[NIS],Table2[Tahun Keluar],"Not Found",0)</f>
        <v>0</v>
      </c>
      <c r="H357" s="3">
        <f>_xlfn.XLOOKUP(Table6[[#This Row],[NIS]],Table2[NIS],Table2[Kelas],"Not Found",0)</f>
        <v>5</v>
      </c>
      <c r="I357" s="3" t="str">
        <f>_xlfn.XLOOKUP(Table6[[#This Row],[NIS]],Table2[NIS],Table2[Kelas Detail],"Not Found",0)</f>
        <v>5-B</v>
      </c>
      <c r="J357" s="3" t="s">
        <v>2513</v>
      </c>
      <c r="K357" s="3" t="s">
        <v>2513</v>
      </c>
      <c r="L357" s="3" t="s">
        <v>2513</v>
      </c>
    </row>
    <row r="358" spans="1:12">
      <c r="A358" s="3">
        <f>SUBTOTAL(3,B$3:B358)</f>
        <v>356</v>
      </c>
      <c r="B358" s="3">
        <v>19200291</v>
      </c>
      <c r="C358" s="18" t="str">
        <f>_xlfn.XLOOKUP(Table6[[#This Row],[NIS]],Table2[NIS],Table2[Nama lengkap],"Not Found",0)</f>
        <v>Salwa Jamiatul Hasanah</v>
      </c>
      <c r="D358" s="18" t="str">
        <f>_xlfn.XLOOKUP(Table6[[#This Row],[NIS]],Table2[NIS],Table2[Nomer Induk Siswa Nasional],"Not Found",0)</f>
        <v>0057643365</v>
      </c>
      <c r="E358" s="3" t="str">
        <f>_xlfn.XLOOKUP(Table6[[#This Row],[NIS]],Table2[NIS],Table2[Status],"Not Found",0)</f>
        <v>Aktif</v>
      </c>
      <c r="F358" s="3">
        <f>_xlfn.XLOOKUP(Table6[[#This Row],[NIS]],Table2[NIS],Table2[Tahun Masuk],"Not Found",0)</f>
        <v>2019</v>
      </c>
      <c r="G358" s="3">
        <f>_xlfn.XLOOKUP(Table6[[#This Row],[NIS]],Table2[NIS],Table2[Tahun Keluar],"Not Found",0)</f>
        <v>0</v>
      </c>
      <c r="H358" s="3">
        <f>_xlfn.XLOOKUP(Table6[[#This Row],[NIS]],Table2[NIS],Table2[Kelas],"Not Found",0)</f>
        <v>5</v>
      </c>
      <c r="I358" s="3" t="str">
        <f>_xlfn.XLOOKUP(Table6[[#This Row],[NIS]],Table2[NIS],Table2[Kelas Detail],"Not Found",0)</f>
        <v>5-B</v>
      </c>
      <c r="J358" s="3" t="s">
        <v>2513</v>
      </c>
      <c r="K358" s="3" t="s">
        <v>2513</v>
      </c>
      <c r="L358" s="3" t="s">
        <v>2513</v>
      </c>
    </row>
    <row r="359" spans="1:12">
      <c r="A359" s="3">
        <f>SUBTOTAL(3,B$3:B359)</f>
        <v>357</v>
      </c>
      <c r="B359" s="3">
        <v>20210199</v>
      </c>
      <c r="C359" s="18" t="str">
        <f>_xlfn.XLOOKUP(Table6[[#This Row],[NIS]],Table2[NIS],Table2[Nama lengkap],"Not Found",0)</f>
        <v>Siska Mustika</v>
      </c>
      <c r="D359" s="18" t="str">
        <f>_xlfn.XLOOKUP(Table6[[#This Row],[NIS]],Table2[NIS],Table2[Nomer Induk Siswa Nasional],"Not Found",0)</f>
        <v>0081894682</v>
      </c>
      <c r="E359" s="3" t="str">
        <f>_xlfn.XLOOKUP(Table6[[#This Row],[NIS]],Table2[NIS],Table2[Status],"Not Found",0)</f>
        <v>Aktif</v>
      </c>
      <c r="F359" s="3">
        <f>_xlfn.XLOOKUP(Table6[[#This Row],[NIS]],Table2[NIS],Table2[Tahun Masuk],"Not Found",0)</f>
        <v>2020</v>
      </c>
      <c r="G359" s="3">
        <f>_xlfn.XLOOKUP(Table6[[#This Row],[NIS]],Table2[NIS],Table2[Tahun Keluar],"Not Found",0)</f>
        <v>0</v>
      </c>
      <c r="H359" s="3">
        <f>_xlfn.XLOOKUP(Table6[[#This Row],[NIS]],Table2[NIS],Table2[Kelas],"Not Found",0)</f>
        <v>5</v>
      </c>
      <c r="I359" s="3" t="str">
        <f>_xlfn.XLOOKUP(Table6[[#This Row],[NIS]],Table2[NIS],Table2[Kelas Detail],"Not Found",0)</f>
        <v>5-B</v>
      </c>
      <c r="J359" s="3" t="s">
        <v>2513</v>
      </c>
      <c r="K359" s="3" t="s">
        <v>2513</v>
      </c>
      <c r="L359" s="3" t="s">
        <v>2513</v>
      </c>
    </row>
    <row r="360" spans="1:12">
      <c r="A360" s="3">
        <f>SUBTOTAL(3,B$3:B360)</f>
        <v>358</v>
      </c>
      <c r="B360" s="3">
        <v>19200318</v>
      </c>
      <c r="C360" s="18" t="str">
        <f>_xlfn.XLOOKUP(Table6[[#This Row],[NIS]],Table2[NIS],Table2[Nama lengkap],"Not Found",0)</f>
        <v xml:space="preserve">Siti Srinuryani </v>
      </c>
      <c r="D360" s="18" t="str">
        <f>_xlfn.XLOOKUP(Table6[[#This Row],[NIS]],Table2[NIS],Table2[Nomer Induk Siswa Nasional],"Not Found",0)</f>
        <v>0072783062</v>
      </c>
      <c r="E360" s="3" t="str">
        <f>_xlfn.XLOOKUP(Table6[[#This Row],[NIS]],Table2[NIS],Table2[Status],"Not Found",0)</f>
        <v>Aktif</v>
      </c>
      <c r="F360" s="3">
        <f>_xlfn.XLOOKUP(Table6[[#This Row],[NIS]],Table2[NIS],Table2[Tahun Masuk],"Not Found",0)</f>
        <v>2019</v>
      </c>
      <c r="G360" s="3">
        <f>_xlfn.XLOOKUP(Table6[[#This Row],[NIS]],Table2[NIS],Table2[Tahun Keluar],"Not Found",0)</f>
        <v>0</v>
      </c>
      <c r="H360" s="3">
        <f>_xlfn.XLOOKUP(Table6[[#This Row],[NIS]],Table2[NIS],Table2[Kelas],"Not Found",0)</f>
        <v>5</v>
      </c>
      <c r="I360" s="3" t="str">
        <f>_xlfn.XLOOKUP(Table6[[#This Row],[NIS]],Table2[NIS],Table2[Kelas Detail],"Not Found",0)</f>
        <v>5-B</v>
      </c>
      <c r="J360" s="3" t="s">
        <v>2513</v>
      </c>
      <c r="K360" s="3" t="s">
        <v>2513</v>
      </c>
      <c r="L360" s="3" t="s">
        <v>2513</v>
      </c>
    </row>
    <row r="361" spans="1:12">
      <c r="A361" s="3">
        <f>SUBTOTAL(3,B$3:B361)</f>
        <v>359</v>
      </c>
      <c r="B361" s="3">
        <v>19200300</v>
      </c>
      <c r="C361" s="18" t="str">
        <f>_xlfn.XLOOKUP(Table6[[#This Row],[NIS]],Table2[NIS],Table2[Nama lengkap],"Not Found",0)</f>
        <v xml:space="preserve">Siti A'Isyah </v>
      </c>
      <c r="D361" s="18" t="str">
        <f>_xlfn.XLOOKUP(Table6[[#This Row],[NIS]],Table2[NIS],Table2[Nomer Induk Siswa Nasional],"Not Found",0)</f>
        <v>0053285029/0066680664</v>
      </c>
      <c r="E361" s="3" t="str">
        <f>_xlfn.XLOOKUP(Table6[[#This Row],[NIS]],Table2[NIS],Table2[Status],"Not Found",0)</f>
        <v>Aktif</v>
      </c>
      <c r="F361" s="3">
        <f>_xlfn.XLOOKUP(Table6[[#This Row],[NIS]],Table2[NIS],Table2[Tahun Masuk],"Not Found",0)</f>
        <v>2019</v>
      </c>
      <c r="G361" s="3">
        <f>_xlfn.XLOOKUP(Table6[[#This Row],[NIS]],Table2[NIS],Table2[Tahun Keluar],"Not Found",0)</f>
        <v>0</v>
      </c>
      <c r="H361" s="3">
        <f>_xlfn.XLOOKUP(Table6[[#This Row],[NIS]],Table2[NIS],Table2[Kelas],"Not Found",0)</f>
        <v>5</v>
      </c>
      <c r="I361" s="3" t="str">
        <f>_xlfn.XLOOKUP(Table6[[#This Row],[NIS]],Table2[NIS],Table2[Kelas Detail],"Not Found",0)</f>
        <v>5-B</v>
      </c>
      <c r="J361" s="3" t="s">
        <v>2513</v>
      </c>
      <c r="K361" s="3" t="s">
        <v>2513</v>
      </c>
      <c r="L361" s="3" t="s">
        <v>2513</v>
      </c>
    </row>
    <row r="362" spans="1:12">
      <c r="A362" s="3">
        <f>SUBTOTAL(3,B$3:B362)</f>
        <v>360</v>
      </c>
      <c r="B362" s="3">
        <v>19200308</v>
      </c>
      <c r="C362" s="18" t="str">
        <f>_xlfn.XLOOKUP(Table6[[#This Row],[NIS]],Table2[NIS],Table2[Nama lengkap],"Not Found",0)</f>
        <v xml:space="preserve">Siti Khodijah </v>
      </c>
      <c r="D362" s="18" t="str">
        <f>_xlfn.XLOOKUP(Table6[[#This Row],[NIS]],Table2[NIS],Table2[Nomer Induk Siswa Nasional],"Not Found",0)</f>
        <v>0068541997</v>
      </c>
      <c r="E362" s="3" t="str">
        <f>_xlfn.XLOOKUP(Table6[[#This Row],[NIS]],Table2[NIS],Table2[Status],"Not Found",0)</f>
        <v>Aktif</v>
      </c>
      <c r="F362" s="3">
        <f>_xlfn.XLOOKUP(Table6[[#This Row],[NIS]],Table2[NIS],Table2[Tahun Masuk],"Not Found",0)</f>
        <v>2019</v>
      </c>
      <c r="G362" s="3">
        <f>_xlfn.XLOOKUP(Table6[[#This Row],[NIS]],Table2[NIS],Table2[Tahun Keluar],"Not Found",0)</f>
        <v>0</v>
      </c>
      <c r="H362" s="3">
        <f>_xlfn.XLOOKUP(Table6[[#This Row],[NIS]],Table2[NIS],Table2[Kelas],"Not Found",0)</f>
        <v>5</v>
      </c>
      <c r="I362" s="3" t="str">
        <f>_xlfn.XLOOKUP(Table6[[#This Row],[NIS]],Table2[NIS],Table2[Kelas Detail],"Not Found",0)</f>
        <v>5-B</v>
      </c>
      <c r="J362" s="3" t="s">
        <v>2513</v>
      </c>
      <c r="K362" s="3" t="s">
        <v>2513</v>
      </c>
      <c r="L362" s="3" t="s">
        <v>2513</v>
      </c>
    </row>
    <row r="363" spans="1:12">
      <c r="A363" s="3">
        <f>SUBTOTAL(3,B$3:B363)</f>
        <v>361</v>
      </c>
      <c r="B363" s="3">
        <v>19200310</v>
      </c>
      <c r="C363" s="18" t="str">
        <f>_xlfn.XLOOKUP(Table6[[#This Row],[NIS]],Table2[NIS],Table2[Nama lengkap],"Not Found",0)</f>
        <v>Siti Khoiriyatun Najah</v>
      </c>
      <c r="D363" s="18" t="str">
        <f>_xlfn.XLOOKUP(Table6[[#This Row],[NIS]],Table2[NIS],Table2[Nomer Induk Siswa Nasional],"Not Found",0)</f>
        <v>0066283711</v>
      </c>
      <c r="E363" s="3" t="str">
        <f>_xlfn.XLOOKUP(Table6[[#This Row],[NIS]],Table2[NIS],Table2[Status],"Not Found",0)</f>
        <v>Aktif</v>
      </c>
      <c r="F363" s="3">
        <f>_xlfn.XLOOKUP(Table6[[#This Row],[NIS]],Table2[NIS],Table2[Tahun Masuk],"Not Found",0)</f>
        <v>2019</v>
      </c>
      <c r="G363" s="3">
        <f>_xlfn.XLOOKUP(Table6[[#This Row],[NIS]],Table2[NIS],Table2[Tahun Keluar],"Not Found",0)</f>
        <v>0</v>
      </c>
      <c r="H363" s="3">
        <f>_xlfn.XLOOKUP(Table6[[#This Row],[NIS]],Table2[NIS],Table2[Kelas],"Not Found",0)</f>
        <v>5</v>
      </c>
      <c r="I363" s="3" t="str">
        <f>_xlfn.XLOOKUP(Table6[[#This Row],[NIS]],Table2[NIS],Table2[Kelas Detail],"Not Found",0)</f>
        <v>5-B</v>
      </c>
      <c r="J363" s="3" t="s">
        <v>2513</v>
      </c>
      <c r="K363" s="3" t="s">
        <v>2513</v>
      </c>
      <c r="L363" s="3" t="s">
        <v>2513</v>
      </c>
    </row>
    <row r="364" spans="1:12">
      <c r="A364" s="3">
        <f>SUBTOTAL(3,B$3:B364)</f>
        <v>362</v>
      </c>
      <c r="B364" s="3">
        <v>20210144</v>
      </c>
      <c r="C364" s="18" t="str">
        <f>_xlfn.XLOOKUP(Table6[[#This Row],[NIS]],Table2[NIS],Table2[Nama lengkap],"Not Found",0)</f>
        <v xml:space="preserve">Siti Khotimah Lailasari </v>
      </c>
      <c r="D364" s="18" t="str">
        <f>_xlfn.XLOOKUP(Table6[[#This Row],[NIS]],Table2[NIS],Table2[Nomer Induk Siswa Nasional],"Not Found",0)</f>
        <v>0078274458</v>
      </c>
      <c r="E364" s="3" t="str">
        <f>_xlfn.XLOOKUP(Table6[[#This Row],[NIS]],Table2[NIS],Table2[Status],"Not Found",0)</f>
        <v>Aktif</v>
      </c>
      <c r="F364" s="3">
        <f>_xlfn.XLOOKUP(Table6[[#This Row],[NIS]],Table2[NIS],Table2[Tahun Masuk],"Not Found",0)</f>
        <v>2020</v>
      </c>
      <c r="G364" s="3" t="str">
        <f>_xlfn.XLOOKUP(Table6[[#This Row],[NIS]],Table2[NIS],Table2[Tahun Keluar],"Not Found",0)</f>
        <v>TB</v>
      </c>
      <c r="H364" s="3">
        <f>_xlfn.XLOOKUP(Table6[[#This Row],[NIS]],Table2[NIS],Table2[Kelas],"Not Found",0)</f>
        <v>5</v>
      </c>
      <c r="I364" s="3" t="str">
        <f>_xlfn.XLOOKUP(Table6[[#This Row],[NIS]],Table2[NIS],Table2[Kelas Detail],"Not Found",0)</f>
        <v>5-B</v>
      </c>
      <c r="J364" s="3" t="s">
        <v>2513</v>
      </c>
      <c r="K364" s="3" t="s">
        <v>2513</v>
      </c>
      <c r="L364" s="3" t="s">
        <v>2513</v>
      </c>
    </row>
    <row r="365" spans="1:12">
      <c r="A365" s="3">
        <f>SUBTOTAL(3,B$3:B365)</f>
        <v>363</v>
      </c>
      <c r="B365" s="3">
        <v>19200314</v>
      </c>
      <c r="C365" s="18" t="str">
        <f>_xlfn.XLOOKUP(Table6[[#This Row],[NIS]],Table2[NIS],Table2[Nama lengkap],"Not Found",0)</f>
        <v>Siti Rahma Padilah</v>
      </c>
      <c r="D365" s="18" t="str">
        <f>_xlfn.XLOOKUP(Table6[[#This Row],[NIS]],Table2[NIS],Table2[Nomer Induk Siswa Nasional],"Not Found",0)</f>
        <v>0078912054</v>
      </c>
      <c r="E365" s="3" t="str">
        <f>_xlfn.XLOOKUP(Table6[[#This Row],[NIS]],Table2[NIS],Table2[Status],"Not Found",0)</f>
        <v>Aktif</v>
      </c>
      <c r="F365" s="3">
        <f>_xlfn.XLOOKUP(Table6[[#This Row],[NIS]],Table2[NIS],Table2[Tahun Masuk],"Not Found",0)</f>
        <v>2019</v>
      </c>
      <c r="G365" s="3">
        <f>_xlfn.XLOOKUP(Table6[[#This Row],[NIS]],Table2[NIS],Table2[Tahun Keluar],"Not Found",0)</f>
        <v>0</v>
      </c>
      <c r="H365" s="3">
        <f>_xlfn.XLOOKUP(Table6[[#This Row],[NIS]],Table2[NIS],Table2[Kelas],"Not Found",0)</f>
        <v>5</v>
      </c>
      <c r="I365" s="3" t="str">
        <f>_xlfn.XLOOKUP(Table6[[#This Row],[NIS]],Table2[NIS],Table2[Kelas Detail],"Not Found",0)</f>
        <v>5-B</v>
      </c>
      <c r="J365" s="3" t="s">
        <v>2513</v>
      </c>
      <c r="K365" s="3" t="s">
        <v>2513</v>
      </c>
      <c r="L365" s="3" t="s">
        <v>2513</v>
      </c>
    </row>
    <row r="366" spans="1:12">
      <c r="A366" s="3">
        <f>SUBTOTAL(3,B$3:B366)</f>
        <v>364</v>
      </c>
      <c r="B366" s="3">
        <v>19200319</v>
      </c>
      <c r="C366" s="18" t="str">
        <f>_xlfn.XLOOKUP(Table6[[#This Row],[NIS]],Table2[NIS],Table2[Nama lengkap],"Not Found",0)</f>
        <v>Siti Ummu Kultsum</v>
      </c>
      <c r="D366" s="18" t="str">
        <f>_xlfn.XLOOKUP(Table6[[#This Row],[NIS]],Table2[NIS],Table2[Nomer Induk Siswa Nasional],"Not Found",0)</f>
        <v>0078320916</v>
      </c>
      <c r="E366" s="3" t="str">
        <f>_xlfn.XLOOKUP(Table6[[#This Row],[NIS]],Table2[NIS],Table2[Status],"Not Found",0)</f>
        <v>Aktif</v>
      </c>
      <c r="F366" s="3">
        <f>_xlfn.XLOOKUP(Table6[[#This Row],[NIS]],Table2[NIS],Table2[Tahun Masuk],"Not Found",0)</f>
        <v>2019</v>
      </c>
      <c r="G366" s="3">
        <f>_xlfn.XLOOKUP(Table6[[#This Row],[NIS]],Table2[NIS],Table2[Tahun Keluar],"Not Found",0)</f>
        <v>0</v>
      </c>
      <c r="H366" s="3">
        <f>_xlfn.XLOOKUP(Table6[[#This Row],[NIS]],Table2[NIS],Table2[Kelas],"Not Found",0)</f>
        <v>5</v>
      </c>
      <c r="I366" s="3" t="str">
        <f>_xlfn.XLOOKUP(Table6[[#This Row],[NIS]],Table2[NIS],Table2[Kelas Detail],"Not Found",0)</f>
        <v>5-B</v>
      </c>
      <c r="J366" s="3" t="s">
        <v>2513</v>
      </c>
      <c r="K366" s="3" t="s">
        <v>2513</v>
      </c>
      <c r="L366" s="3" t="s">
        <v>2513</v>
      </c>
    </row>
    <row r="367" spans="1:12">
      <c r="A367" s="3">
        <f>SUBTOTAL(3,B$3:B367)</f>
        <v>365</v>
      </c>
      <c r="B367" s="3">
        <v>19200321</v>
      </c>
      <c r="C367" s="18" t="str">
        <f>_xlfn.XLOOKUP(Table6[[#This Row],[NIS]],Table2[NIS],Table2[Nama lengkap],"Not Found",0)</f>
        <v xml:space="preserve">Siti Zahra Aulia </v>
      </c>
      <c r="D367" s="18" t="str">
        <f>_xlfn.XLOOKUP(Table6[[#This Row],[NIS]],Table2[NIS],Table2[Nomer Induk Siswa Nasional],"Not Found",0)</f>
        <v>0072108597</v>
      </c>
      <c r="E367" s="3" t="str">
        <f>_xlfn.XLOOKUP(Table6[[#This Row],[NIS]],Table2[NIS],Table2[Status],"Not Found",0)</f>
        <v>Aktif</v>
      </c>
      <c r="F367" s="3">
        <f>_xlfn.XLOOKUP(Table6[[#This Row],[NIS]],Table2[NIS],Table2[Tahun Masuk],"Not Found",0)</f>
        <v>2019</v>
      </c>
      <c r="G367" s="3" t="str">
        <f>_xlfn.XLOOKUP(Table6[[#This Row],[NIS]],Table2[NIS],Table2[Tahun Keluar],"Not Found",0)</f>
        <v>TB</v>
      </c>
      <c r="H367" s="3">
        <f>_xlfn.XLOOKUP(Table6[[#This Row],[NIS]],Table2[NIS],Table2[Kelas],"Not Found",0)</f>
        <v>5</v>
      </c>
      <c r="I367" s="3" t="str">
        <f>_xlfn.XLOOKUP(Table6[[#This Row],[NIS]],Table2[NIS],Table2[Kelas Detail],"Not Found",0)</f>
        <v>5-B</v>
      </c>
      <c r="J367" s="3" t="s">
        <v>2513</v>
      </c>
      <c r="K367" s="3" t="s">
        <v>2513</v>
      </c>
      <c r="L367" s="3" t="s">
        <v>2513</v>
      </c>
    </row>
    <row r="368" spans="1:12">
      <c r="A368" s="3">
        <f>SUBTOTAL(3,B$3:B368)</f>
        <v>366</v>
      </c>
      <c r="B368" s="3">
        <v>19200322</v>
      </c>
      <c r="C368" s="18" t="str">
        <f>_xlfn.XLOOKUP(Table6[[#This Row],[NIS]],Table2[NIS],Table2[Nama lengkap],"Not Found",0)</f>
        <v>Siva Nur Ahwati</v>
      </c>
      <c r="D368" s="18" t="str">
        <f>_xlfn.XLOOKUP(Table6[[#This Row],[NIS]],Table2[NIS],Table2[Nomer Induk Siswa Nasional],"Not Found",0)</f>
        <v>0071522500</v>
      </c>
      <c r="E368" s="3" t="str">
        <f>_xlfn.XLOOKUP(Table6[[#This Row],[NIS]],Table2[NIS],Table2[Status],"Not Found",0)</f>
        <v>Aktif</v>
      </c>
      <c r="F368" s="3">
        <f>_xlfn.XLOOKUP(Table6[[#This Row],[NIS]],Table2[NIS],Table2[Tahun Masuk],"Not Found",0)</f>
        <v>2019</v>
      </c>
      <c r="G368" s="3">
        <f>_xlfn.XLOOKUP(Table6[[#This Row],[NIS]],Table2[NIS],Table2[Tahun Keluar],"Not Found",0)</f>
        <v>0</v>
      </c>
      <c r="H368" s="3">
        <f>_xlfn.XLOOKUP(Table6[[#This Row],[NIS]],Table2[NIS],Table2[Kelas],"Not Found",0)</f>
        <v>5</v>
      </c>
      <c r="I368" s="3" t="str">
        <f>_xlfn.XLOOKUP(Table6[[#This Row],[NIS]],Table2[NIS],Table2[Kelas Detail],"Not Found",0)</f>
        <v>5-B</v>
      </c>
      <c r="J368" s="3" t="s">
        <v>2513</v>
      </c>
      <c r="K368" s="3" t="s">
        <v>2513</v>
      </c>
      <c r="L368" s="3" t="s">
        <v>2513</v>
      </c>
    </row>
    <row r="369" spans="1:12">
      <c r="A369" s="3">
        <f>SUBTOTAL(3,B$3:B369)</f>
        <v>367</v>
      </c>
      <c r="B369" s="3">
        <v>19200329</v>
      </c>
      <c r="C369" s="18" t="str">
        <f>_xlfn.XLOOKUP(Table6[[#This Row],[NIS]],Table2[NIS],Table2[Nama lengkap],"Not Found",0)</f>
        <v>Syifa Nurjaimah</v>
      </c>
      <c r="D369" s="18" t="str">
        <f>_xlfn.XLOOKUP(Table6[[#This Row],[NIS]],Table2[NIS],Table2[Nomer Induk Siswa Nasional],"Not Found",0)</f>
        <v>0065944046</v>
      </c>
      <c r="E369" s="3" t="str">
        <f>_xlfn.XLOOKUP(Table6[[#This Row],[NIS]],Table2[NIS],Table2[Status],"Not Found",0)</f>
        <v>Aktif</v>
      </c>
      <c r="F369" s="3">
        <f>_xlfn.XLOOKUP(Table6[[#This Row],[NIS]],Table2[NIS],Table2[Tahun Masuk],"Not Found",0)</f>
        <v>2019</v>
      </c>
      <c r="G369" s="3" t="str">
        <f>_xlfn.XLOOKUP(Table6[[#This Row],[NIS]],Table2[NIS],Table2[Tahun Keluar],"Not Found",0)</f>
        <v>TB</v>
      </c>
      <c r="H369" s="3">
        <f>_xlfn.XLOOKUP(Table6[[#This Row],[NIS]],Table2[NIS],Table2[Kelas],"Not Found",0)</f>
        <v>5</v>
      </c>
      <c r="I369" s="3" t="str">
        <f>_xlfn.XLOOKUP(Table6[[#This Row],[NIS]],Table2[NIS],Table2[Kelas Detail],"Not Found",0)</f>
        <v>5-B</v>
      </c>
      <c r="J369" s="3" t="s">
        <v>2513</v>
      </c>
      <c r="K369" s="3" t="s">
        <v>2513</v>
      </c>
      <c r="L369" s="3" t="s">
        <v>2513</v>
      </c>
    </row>
    <row r="370" spans="1:12">
      <c r="A370" s="3">
        <f>SUBTOTAL(3,B$3:B370)</f>
        <v>368</v>
      </c>
      <c r="B370" s="3">
        <v>19200333</v>
      </c>
      <c r="C370" s="18" t="str">
        <f>_xlfn.XLOOKUP(Table6[[#This Row],[NIS]],Table2[NIS],Table2[Nama lengkap],"Not Found",0)</f>
        <v>Tita Herlianti</v>
      </c>
      <c r="D370" s="18" t="str">
        <f>_xlfn.XLOOKUP(Table6[[#This Row],[NIS]],Table2[NIS],Table2[Nomer Induk Siswa Nasional],"Not Found",0)</f>
        <v>0064837654</v>
      </c>
      <c r="E370" s="3" t="str">
        <f>_xlfn.XLOOKUP(Table6[[#This Row],[NIS]],Table2[NIS],Table2[Status],"Not Found",0)</f>
        <v>Aktif</v>
      </c>
      <c r="F370" s="3">
        <f>_xlfn.XLOOKUP(Table6[[#This Row],[NIS]],Table2[NIS],Table2[Tahun Masuk],"Not Found",0)</f>
        <v>2019</v>
      </c>
      <c r="G370" s="3">
        <f>_xlfn.XLOOKUP(Table6[[#This Row],[NIS]],Table2[NIS],Table2[Tahun Keluar],"Not Found",0)</f>
        <v>0</v>
      </c>
      <c r="H370" s="3">
        <f>_xlfn.XLOOKUP(Table6[[#This Row],[NIS]],Table2[NIS],Table2[Kelas],"Not Found",0)</f>
        <v>5</v>
      </c>
      <c r="I370" s="3" t="str">
        <f>_xlfn.XLOOKUP(Table6[[#This Row],[NIS]],Table2[NIS],Table2[Kelas Detail],"Not Found",0)</f>
        <v>5-B</v>
      </c>
      <c r="J370" s="3" t="s">
        <v>2513</v>
      </c>
      <c r="K370" s="3" t="s">
        <v>2513</v>
      </c>
      <c r="L370" s="3" t="s">
        <v>2513</v>
      </c>
    </row>
    <row r="371" spans="1:12">
      <c r="A371" s="3">
        <f>SUBTOTAL(3,B$3:B371)</f>
        <v>369</v>
      </c>
      <c r="B371" s="3">
        <v>19200337</v>
      </c>
      <c r="C371" s="18" t="str">
        <f>_xlfn.XLOOKUP(Table6[[#This Row],[NIS]],Table2[NIS],Table2[Nama lengkap],"Not Found",0)</f>
        <v>Wafa Faikotidina</v>
      </c>
      <c r="D371" s="18" t="str">
        <f>_xlfn.XLOOKUP(Table6[[#This Row],[NIS]],Table2[NIS],Table2[Nomer Induk Siswa Nasional],"Not Found",0)</f>
        <v>0073365723</v>
      </c>
      <c r="E371" s="3" t="str">
        <f>_xlfn.XLOOKUP(Table6[[#This Row],[NIS]],Table2[NIS],Table2[Status],"Not Found",0)</f>
        <v>Aktif</v>
      </c>
      <c r="F371" s="3">
        <f>_xlfn.XLOOKUP(Table6[[#This Row],[NIS]],Table2[NIS],Table2[Tahun Masuk],"Not Found",0)</f>
        <v>2019</v>
      </c>
      <c r="G371" s="3">
        <f>_xlfn.XLOOKUP(Table6[[#This Row],[NIS]],Table2[NIS],Table2[Tahun Keluar],"Not Found",0)</f>
        <v>0</v>
      </c>
      <c r="H371" s="3">
        <f>_xlfn.XLOOKUP(Table6[[#This Row],[NIS]],Table2[NIS],Table2[Kelas],"Not Found",0)</f>
        <v>5</v>
      </c>
      <c r="I371" s="3" t="str">
        <f>_xlfn.XLOOKUP(Table6[[#This Row],[NIS]],Table2[NIS],Table2[Kelas Detail],"Not Found",0)</f>
        <v>5-B</v>
      </c>
      <c r="J371" s="3" t="s">
        <v>2513</v>
      </c>
      <c r="K371" s="3" t="s">
        <v>2513</v>
      </c>
      <c r="L371" s="3" t="s">
        <v>2513</v>
      </c>
    </row>
    <row r="372" spans="1:12">
      <c r="A372" s="3">
        <f>SUBTOTAL(3,B$3:B372)</f>
        <v>370</v>
      </c>
      <c r="B372" s="3">
        <v>20210215</v>
      </c>
      <c r="C372" s="18" t="str">
        <f>_xlfn.XLOOKUP(Table6[[#This Row],[NIS]],Table2[NIS],Table2[Nama lengkap],"Not Found",0)</f>
        <v>Wulan Fitriani</v>
      </c>
      <c r="D372" s="18" t="str">
        <f>_xlfn.XLOOKUP(Table6[[#This Row],[NIS]],Table2[NIS],Table2[Nomer Induk Siswa Nasional],"Not Found",0)</f>
        <v>0073257972</v>
      </c>
      <c r="E372" s="3" t="str">
        <f>_xlfn.XLOOKUP(Table6[[#This Row],[NIS]],Table2[NIS],Table2[Status],"Not Found",0)</f>
        <v>Aktif</v>
      </c>
      <c r="F372" s="3">
        <f>_xlfn.XLOOKUP(Table6[[#This Row],[NIS]],Table2[NIS],Table2[Tahun Masuk],"Not Found",0)</f>
        <v>2020</v>
      </c>
      <c r="G372" s="3">
        <f>_xlfn.XLOOKUP(Table6[[#This Row],[NIS]],Table2[NIS],Table2[Tahun Keluar],"Not Found",0)</f>
        <v>0</v>
      </c>
      <c r="H372" s="3">
        <f>_xlfn.XLOOKUP(Table6[[#This Row],[NIS]],Table2[NIS],Table2[Kelas],"Not Found",0)</f>
        <v>5</v>
      </c>
      <c r="I372" s="3" t="str">
        <f>_xlfn.XLOOKUP(Table6[[#This Row],[NIS]],Table2[NIS],Table2[Kelas Detail],"Not Found",0)</f>
        <v>5-B</v>
      </c>
      <c r="J372" s="3" t="s">
        <v>2513</v>
      </c>
      <c r="K372" s="3" t="s">
        <v>2513</v>
      </c>
      <c r="L372" s="3" t="s">
        <v>2513</v>
      </c>
    </row>
    <row r="373" spans="1:12">
      <c r="A373" s="3">
        <f>SUBTOTAL(3,B$3:B373)</f>
        <v>371</v>
      </c>
      <c r="B373" s="3">
        <v>19200343</v>
      </c>
      <c r="C373" s="18" t="str">
        <f>_xlfn.XLOOKUP(Table6[[#This Row],[NIS]],Table2[NIS],Table2[Nama lengkap],"Not Found",0)</f>
        <v>Yasmin Afifah Mas'Ad Albakkar</v>
      </c>
      <c r="D373" s="18" t="str">
        <f>_xlfn.XLOOKUP(Table6[[#This Row],[NIS]],Table2[NIS],Table2[Nomer Induk Siswa Nasional],"Not Found",0)</f>
        <v>0087998466/0087998460</v>
      </c>
      <c r="E373" s="3" t="str">
        <f>_xlfn.XLOOKUP(Table6[[#This Row],[NIS]],Table2[NIS],Table2[Status],"Not Found",0)</f>
        <v>Aktif</v>
      </c>
      <c r="F373" s="3">
        <f>_xlfn.XLOOKUP(Table6[[#This Row],[NIS]],Table2[NIS],Table2[Tahun Masuk],"Not Found",0)</f>
        <v>2019</v>
      </c>
      <c r="G373" s="3">
        <f>_xlfn.XLOOKUP(Table6[[#This Row],[NIS]],Table2[NIS],Table2[Tahun Keluar],"Not Found",0)</f>
        <v>0</v>
      </c>
      <c r="H373" s="3">
        <f>_xlfn.XLOOKUP(Table6[[#This Row],[NIS]],Table2[NIS],Table2[Kelas],"Not Found",0)</f>
        <v>5</v>
      </c>
      <c r="I373" s="3" t="str">
        <f>_xlfn.XLOOKUP(Table6[[#This Row],[NIS]],Table2[NIS],Table2[Kelas Detail],"Not Found",0)</f>
        <v>5-B</v>
      </c>
      <c r="J373" s="3" t="s">
        <v>2513</v>
      </c>
      <c r="K373" s="3" t="s">
        <v>2513</v>
      </c>
      <c r="L373" s="3" t="s">
        <v>2513</v>
      </c>
    </row>
    <row r="374" spans="1:12">
      <c r="A374" s="3">
        <f>SUBTOTAL(3,B$3:B374)</f>
        <v>372</v>
      </c>
      <c r="B374" s="3">
        <v>19200186</v>
      </c>
      <c r="C374" s="18" t="str">
        <f>_xlfn.XLOOKUP(Table6[[#This Row],[NIS]],Table2[NIS],Table2[Nama lengkap],"Not Found",0)</f>
        <v>Aliffia Zahra</v>
      </c>
      <c r="D374" s="18" t="str">
        <f>_xlfn.XLOOKUP(Table6[[#This Row],[NIS]],Table2[NIS],Table2[Nomer Induk Siswa Nasional],"Not Found",0)</f>
        <v>0042409453</v>
      </c>
      <c r="E374" s="3" t="str">
        <f>_xlfn.XLOOKUP(Table6[[#This Row],[NIS]],Table2[NIS],Table2[Status],"Not Found",0)</f>
        <v>Aktif</v>
      </c>
      <c r="F374" s="3">
        <f>_xlfn.XLOOKUP(Table6[[#This Row],[NIS]],Table2[NIS],Table2[Tahun Masuk],"Not Found",0)</f>
        <v>2019</v>
      </c>
      <c r="G374" s="3">
        <f>_xlfn.XLOOKUP(Table6[[#This Row],[NIS]],Table2[NIS],Table2[Tahun Keluar],"Not Found",0)</f>
        <v>0</v>
      </c>
      <c r="H374" s="3">
        <f>_xlfn.XLOOKUP(Table6[[#This Row],[NIS]],Table2[NIS],Table2[Kelas],"Not Found",0)</f>
        <v>6</v>
      </c>
      <c r="I374" s="3" t="str">
        <f>_xlfn.XLOOKUP(Table6[[#This Row],[NIS]],Table2[NIS],Table2[Kelas Detail],"Not Found",0)</f>
        <v>6-A</v>
      </c>
      <c r="J374" s="3" t="s">
        <v>2513</v>
      </c>
      <c r="K374" s="3" t="s">
        <v>2513</v>
      </c>
      <c r="L374" s="3" t="s">
        <v>2513</v>
      </c>
    </row>
    <row r="375" spans="1:12">
      <c r="A375" s="3">
        <f>SUBTOTAL(3,B$3:B375)</f>
        <v>373</v>
      </c>
      <c r="B375" s="3">
        <v>19200191</v>
      </c>
      <c r="C375" s="18" t="str">
        <f>_xlfn.XLOOKUP(Table6[[#This Row],[NIS]],Table2[NIS],Table2[Nama lengkap],"Not Found",0)</f>
        <v>Aminah Saniah</v>
      </c>
      <c r="D375" s="18" t="str">
        <f>_xlfn.XLOOKUP(Table6[[#This Row],[NIS]],Table2[NIS],Table2[Nomer Induk Siswa Nasional],"Not Found",0)</f>
        <v>0037074783</v>
      </c>
      <c r="E375" s="3" t="str">
        <f>_xlfn.XLOOKUP(Table6[[#This Row],[NIS]],Table2[NIS],Table2[Status],"Not Found",0)</f>
        <v>Aktif</v>
      </c>
      <c r="F375" s="3">
        <f>_xlfn.XLOOKUP(Table6[[#This Row],[NIS]],Table2[NIS],Table2[Tahun Masuk],"Not Found",0)</f>
        <v>2019</v>
      </c>
      <c r="G375" s="3">
        <f>_xlfn.XLOOKUP(Table6[[#This Row],[NIS]],Table2[NIS],Table2[Tahun Keluar],"Not Found",0)</f>
        <v>0</v>
      </c>
      <c r="H375" s="3">
        <f>_xlfn.XLOOKUP(Table6[[#This Row],[NIS]],Table2[NIS],Table2[Kelas],"Not Found",0)</f>
        <v>6</v>
      </c>
      <c r="I375" s="3" t="str">
        <f>_xlfn.XLOOKUP(Table6[[#This Row],[NIS]],Table2[NIS],Table2[Kelas Detail],"Not Found",0)</f>
        <v>6-A</v>
      </c>
      <c r="J375" s="3" t="s">
        <v>2513</v>
      </c>
      <c r="K375" s="3" t="s">
        <v>2513</v>
      </c>
      <c r="L375" s="3" t="s">
        <v>2513</v>
      </c>
    </row>
    <row r="376" spans="1:12">
      <c r="A376" s="3">
        <f>SUBTOTAL(3,B$3:B376)</f>
        <v>374</v>
      </c>
      <c r="B376" s="3">
        <v>18190145</v>
      </c>
      <c r="C376" s="18" t="str">
        <f>_xlfn.XLOOKUP(Table6[[#This Row],[NIS]],Table2[NIS],Table2[Nama lengkap],"Not Found",0)</f>
        <v>Ananda Deliana Putri</v>
      </c>
      <c r="D376" s="18" t="str">
        <f>_xlfn.XLOOKUP(Table6[[#This Row],[NIS]],Table2[NIS],Table2[Nomer Induk Siswa Nasional],"Not Found",0)</f>
        <v>0030247010</v>
      </c>
      <c r="E376" s="3" t="str">
        <f>_xlfn.XLOOKUP(Table6[[#This Row],[NIS]],Table2[NIS],Table2[Status],"Not Found",0)</f>
        <v>Aktif</v>
      </c>
      <c r="F376" s="3">
        <f>_xlfn.XLOOKUP(Table6[[#This Row],[NIS]],Table2[NIS],Table2[Tahun Masuk],"Not Found",0)</f>
        <v>2018</v>
      </c>
      <c r="G376" s="3">
        <f>_xlfn.XLOOKUP(Table6[[#This Row],[NIS]],Table2[NIS],Table2[Tahun Keluar],"Not Found",0)</f>
        <v>0</v>
      </c>
      <c r="H376" s="3">
        <f>_xlfn.XLOOKUP(Table6[[#This Row],[NIS]],Table2[NIS],Table2[Kelas],"Not Found",0)</f>
        <v>6</v>
      </c>
      <c r="I376" s="3" t="str">
        <f>_xlfn.XLOOKUP(Table6[[#This Row],[NIS]],Table2[NIS],Table2[Kelas Detail],"Not Found",0)</f>
        <v>6-A</v>
      </c>
      <c r="J376" s="3" t="s">
        <v>2513</v>
      </c>
      <c r="K376" s="3" t="s">
        <v>2513</v>
      </c>
      <c r="L376" s="3" t="s">
        <v>2513</v>
      </c>
    </row>
    <row r="377" spans="1:12">
      <c r="A377" s="3">
        <f>SUBTOTAL(3,B$3:B377)</f>
        <v>375</v>
      </c>
      <c r="B377" s="3">
        <v>18190148</v>
      </c>
      <c r="C377" s="18" t="str">
        <f>_xlfn.XLOOKUP(Table6[[#This Row],[NIS]],Table2[NIS],Table2[Nama lengkap],"Not Found",0)</f>
        <v>Azka Nur Afifah Siti Fauziyyah</v>
      </c>
      <c r="D377" s="18" t="str">
        <f>_xlfn.XLOOKUP(Table6[[#This Row],[NIS]],Table2[NIS],Table2[Nomer Induk Siswa Nasional],"Not Found",0)</f>
        <v>0056904488</v>
      </c>
      <c r="E377" s="3" t="str">
        <f>_xlfn.XLOOKUP(Table6[[#This Row],[NIS]],Table2[NIS],Table2[Status],"Not Found",0)</f>
        <v>Aktif</v>
      </c>
      <c r="F377" s="3">
        <f>_xlfn.XLOOKUP(Table6[[#This Row],[NIS]],Table2[NIS],Table2[Tahun Masuk],"Not Found",0)</f>
        <v>2018</v>
      </c>
      <c r="G377" s="3">
        <f>_xlfn.XLOOKUP(Table6[[#This Row],[NIS]],Table2[NIS],Table2[Tahun Keluar],"Not Found",0)</f>
        <v>0</v>
      </c>
      <c r="H377" s="3">
        <f>_xlfn.XLOOKUP(Table6[[#This Row],[NIS]],Table2[NIS],Table2[Kelas],"Not Found",0)</f>
        <v>6</v>
      </c>
      <c r="I377" s="3" t="str">
        <f>_xlfn.XLOOKUP(Table6[[#This Row],[NIS]],Table2[NIS],Table2[Kelas Detail],"Not Found",0)</f>
        <v>6-A</v>
      </c>
      <c r="J377" s="3" t="s">
        <v>2513</v>
      </c>
      <c r="K377" s="3" t="s">
        <v>2513</v>
      </c>
      <c r="L377" s="3" t="s">
        <v>2513</v>
      </c>
    </row>
    <row r="378" spans="1:12">
      <c r="A378" s="3">
        <f>SUBTOTAL(3,B$3:B378)</f>
        <v>376</v>
      </c>
      <c r="B378" s="3">
        <v>18190152</v>
      </c>
      <c r="C378" s="18" t="str">
        <f>_xlfn.XLOOKUP(Table6[[#This Row],[NIS]],Table2[NIS],Table2[Nama lengkap],"Not Found",0)</f>
        <v>Dalya Nur Fauziah</v>
      </c>
      <c r="D378" s="18" t="str">
        <f>_xlfn.XLOOKUP(Table6[[#This Row],[NIS]],Table2[NIS],Table2[Nomer Induk Siswa Nasional],"Not Found",0)</f>
        <v>0067339133</v>
      </c>
      <c r="E378" s="3" t="str">
        <f>_xlfn.XLOOKUP(Table6[[#This Row],[NIS]],Table2[NIS],Table2[Status],"Not Found",0)</f>
        <v>Aktif</v>
      </c>
      <c r="F378" s="3">
        <f>_xlfn.XLOOKUP(Table6[[#This Row],[NIS]],Table2[NIS],Table2[Tahun Masuk],"Not Found",0)</f>
        <v>2018</v>
      </c>
      <c r="G378" s="3">
        <f>_xlfn.XLOOKUP(Table6[[#This Row],[NIS]],Table2[NIS],Table2[Tahun Keluar],"Not Found",0)</f>
        <v>0</v>
      </c>
      <c r="H378" s="3">
        <f>_xlfn.XLOOKUP(Table6[[#This Row],[NIS]],Table2[NIS],Table2[Kelas],"Not Found",0)</f>
        <v>6</v>
      </c>
      <c r="I378" s="3" t="str">
        <f>_xlfn.XLOOKUP(Table6[[#This Row],[NIS]],Table2[NIS],Table2[Kelas Detail],"Not Found",0)</f>
        <v>6-A</v>
      </c>
      <c r="J378" s="3" t="s">
        <v>2513</v>
      </c>
      <c r="K378" s="3" t="s">
        <v>2513</v>
      </c>
      <c r="L378" s="3" t="s">
        <v>2513</v>
      </c>
    </row>
    <row r="379" spans="1:12">
      <c r="A379" s="3">
        <f>SUBTOTAL(3,B$3:B379)</f>
        <v>377</v>
      </c>
      <c r="B379" s="3">
        <v>18190156</v>
      </c>
      <c r="C379" s="18" t="str">
        <f>_xlfn.XLOOKUP(Table6[[#This Row],[NIS]],Table2[NIS],Table2[Nama lengkap],"Not Found",0)</f>
        <v>Dyllan Siti Azizah</v>
      </c>
      <c r="D379" s="18" t="str">
        <f>_xlfn.XLOOKUP(Table6[[#This Row],[NIS]],Table2[NIS],Table2[Nomer Induk Siswa Nasional],"Not Found",0)</f>
        <v>0055651251</v>
      </c>
      <c r="E379" s="3" t="str">
        <f>_xlfn.XLOOKUP(Table6[[#This Row],[NIS]],Table2[NIS],Table2[Status],"Not Found",0)</f>
        <v>Aktif</v>
      </c>
      <c r="F379" s="3">
        <f>_xlfn.XLOOKUP(Table6[[#This Row],[NIS]],Table2[NIS],Table2[Tahun Masuk],"Not Found",0)</f>
        <v>2018</v>
      </c>
      <c r="G379" s="3">
        <f>_xlfn.XLOOKUP(Table6[[#This Row],[NIS]],Table2[NIS],Table2[Tahun Keluar],"Not Found",0)</f>
        <v>0</v>
      </c>
      <c r="H379" s="3">
        <f>_xlfn.XLOOKUP(Table6[[#This Row],[NIS]],Table2[NIS],Table2[Kelas],"Not Found",0)</f>
        <v>6</v>
      </c>
      <c r="I379" s="3" t="str">
        <f>_xlfn.XLOOKUP(Table6[[#This Row],[NIS]],Table2[NIS],Table2[Kelas Detail],"Not Found",0)</f>
        <v>6-A</v>
      </c>
      <c r="J379" s="3" t="s">
        <v>2513</v>
      </c>
      <c r="K379" s="3" t="s">
        <v>2513</v>
      </c>
      <c r="L379" s="3" t="s">
        <v>2513</v>
      </c>
    </row>
    <row r="380" spans="1:12">
      <c r="A380" s="3">
        <f>SUBTOTAL(3,B$3:B380)</f>
        <v>378</v>
      </c>
      <c r="B380" s="3">
        <v>17180116</v>
      </c>
      <c r="C380" s="18" t="str">
        <f>_xlfn.XLOOKUP(Table6[[#This Row],[NIS]],Table2[NIS],Table2[Nama lengkap],"Not Found",0)</f>
        <v>Kingkin Putri Ayudita</v>
      </c>
      <c r="D380" s="18" t="str">
        <f>_xlfn.XLOOKUP(Table6[[#This Row],[NIS]],Table2[NIS],Table2[Nomer Induk Siswa Nasional],"Not Found",0)</f>
        <v>0047503662</v>
      </c>
      <c r="E380" s="3" t="str">
        <f>_xlfn.XLOOKUP(Table6[[#This Row],[NIS]],Table2[NIS],Table2[Status],"Not Found",0)</f>
        <v>Aktif</v>
      </c>
      <c r="F380" s="3">
        <f>_xlfn.XLOOKUP(Table6[[#This Row],[NIS]],Table2[NIS],Table2[Tahun Masuk],"Not Found",0)</f>
        <v>2017</v>
      </c>
      <c r="G380" s="3">
        <f>_xlfn.XLOOKUP(Table6[[#This Row],[NIS]],Table2[NIS],Table2[Tahun Keluar],"Not Found",0)</f>
        <v>0</v>
      </c>
      <c r="H380" s="3">
        <f>_xlfn.XLOOKUP(Table6[[#This Row],[NIS]],Table2[NIS],Table2[Kelas],"Not Found",0)</f>
        <v>6</v>
      </c>
      <c r="I380" s="3" t="str">
        <f>_xlfn.XLOOKUP(Table6[[#This Row],[NIS]],Table2[NIS],Table2[Kelas Detail],"Not Found",0)</f>
        <v>6-A</v>
      </c>
      <c r="J380" s="3" t="s">
        <v>2513</v>
      </c>
      <c r="K380" s="3" t="s">
        <v>2513</v>
      </c>
      <c r="L380" s="3" t="s">
        <v>2513</v>
      </c>
    </row>
    <row r="381" spans="1:12">
      <c r="A381" s="3">
        <f>SUBTOTAL(3,B$3:B381)</f>
        <v>379</v>
      </c>
      <c r="B381" s="3">
        <v>19200238</v>
      </c>
      <c r="C381" s="18" t="str">
        <f>_xlfn.XLOOKUP(Table6[[#This Row],[NIS]],Table2[NIS],Table2[Nama lengkap],"Not Found",0)</f>
        <v>Levi Arianti</v>
      </c>
      <c r="D381" s="18" t="str">
        <f>_xlfn.XLOOKUP(Table6[[#This Row],[NIS]],Table2[NIS],Table2[Nomer Induk Siswa Nasional],"Not Found",0)</f>
        <v>0046443199</v>
      </c>
      <c r="E381" s="3" t="str">
        <f>_xlfn.XLOOKUP(Table6[[#This Row],[NIS]],Table2[NIS],Table2[Status],"Not Found",0)</f>
        <v>Aktif</v>
      </c>
      <c r="F381" s="3">
        <f>_xlfn.XLOOKUP(Table6[[#This Row],[NIS]],Table2[NIS],Table2[Tahun Masuk],"Not Found",0)</f>
        <v>2019</v>
      </c>
      <c r="G381" s="3">
        <f>_xlfn.XLOOKUP(Table6[[#This Row],[NIS]],Table2[NIS],Table2[Tahun Keluar],"Not Found",0)</f>
        <v>0</v>
      </c>
      <c r="H381" s="3">
        <f>_xlfn.XLOOKUP(Table6[[#This Row],[NIS]],Table2[NIS],Table2[Kelas],"Not Found",0)</f>
        <v>6</v>
      </c>
      <c r="I381" s="3" t="str">
        <f>_xlfn.XLOOKUP(Table6[[#This Row],[NIS]],Table2[NIS],Table2[Kelas Detail],"Not Found",0)</f>
        <v>6-A</v>
      </c>
      <c r="J381" s="3" t="s">
        <v>2513</v>
      </c>
      <c r="K381" s="3" t="s">
        <v>2513</v>
      </c>
      <c r="L381" s="3" t="s">
        <v>2513</v>
      </c>
    </row>
    <row r="382" spans="1:12">
      <c r="A382" s="3">
        <f>SUBTOTAL(3,B$3:B382)</f>
        <v>380</v>
      </c>
      <c r="B382" s="3">
        <v>19200253</v>
      </c>
      <c r="C382" s="18" t="str">
        <f>_xlfn.XLOOKUP(Table6[[#This Row],[NIS]],Table2[NIS],Table2[Nama lengkap],"Not Found",0)</f>
        <v>Naila Mulkiah Sultan Wahab</v>
      </c>
      <c r="D382" s="18" t="str">
        <f>_xlfn.XLOOKUP(Table6[[#This Row],[NIS]],Table2[NIS],Table2[Nomer Induk Siswa Nasional],"Not Found",0)</f>
        <v>0049517237</v>
      </c>
      <c r="E382" s="3" t="str">
        <f>_xlfn.XLOOKUP(Table6[[#This Row],[NIS]],Table2[NIS],Table2[Status],"Not Found",0)</f>
        <v>Aktif</v>
      </c>
      <c r="F382" s="3">
        <f>_xlfn.XLOOKUP(Table6[[#This Row],[NIS]],Table2[NIS],Table2[Tahun Masuk],"Not Found",0)</f>
        <v>2019</v>
      </c>
      <c r="G382" s="3">
        <f>_xlfn.XLOOKUP(Table6[[#This Row],[NIS]],Table2[NIS],Table2[Tahun Keluar],"Not Found",0)</f>
        <v>0</v>
      </c>
      <c r="H382" s="3">
        <f>_xlfn.XLOOKUP(Table6[[#This Row],[NIS]],Table2[NIS],Table2[Kelas],"Not Found",0)</f>
        <v>6</v>
      </c>
      <c r="I382" s="3" t="str">
        <f>_xlfn.XLOOKUP(Table6[[#This Row],[NIS]],Table2[NIS],Table2[Kelas Detail],"Not Found",0)</f>
        <v>6-A</v>
      </c>
      <c r="J382" s="3" t="s">
        <v>2513</v>
      </c>
      <c r="K382" s="3" t="s">
        <v>2513</v>
      </c>
      <c r="L382" s="3" t="s">
        <v>2513</v>
      </c>
    </row>
    <row r="383" spans="1:12">
      <c r="A383" s="3">
        <f>SUBTOTAL(3,B$3:B383)</f>
        <v>381</v>
      </c>
      <c r="B383" s="3">
        <v>18190180</v>
      </c>
      <c r="C383" s="18" t="str">
        <f>_xlfn.XLOOKUP(Table6[[#This Row],[NIS]],Table2[NIS],Table2[Nama lengkap],"Not Found",0)</f>
        <v>Najwa Quraesin Al Zahro</v>
      </c>
      <c r="D383" s="18" t="str">
        <f>_xlfn.XLOOKUP(Table6[[#This Row],[NIS]],Table2[NIS],Table2[Nomer Induk Siswa Nasional],"Not Found",0)</f>
        <v>0062466450</v>
      </c>
      <c r="E383" s="3" t="str">
        <f>_xlfn.XLOOKUP(Table6[[#This Row],[NIS]],Table2[NIS],Table2[Status],"Not Found",0)</f>
        <v>Aktif</v>
      </c>
      <c r="F383" s="3">
        <f>_xlfn.XLOOKUP(Table6[[#This Row],[NIS]],Table2[NIS],Table2[Tahun Masuk],"Not Found",0)</f>
        <v>2018</v>
      </c>
      <c r="G383" s="3">
        <f>_xlfn.XLOOKUP(Table6[[#This Row],[NIS]],Table2[NIS],Table2[Tahun Keluar],"Not Found",0)</f>
        <v>0</v>
      </c>
      <c r="H383" s="3">
        <f>_xlfn.XLOOKUP(Table6[[#This Row],[NIS]],Table2[NIS],Table2[Kelas],"Not Found",0)</f>
        <v>6</v>
      </c>
      <c r="I383" s="3" t="str">
        <f>_xlfn.XLOOKUP(Table6[[#This Row],[NIS]],Table2[NIS],Table2[Kelas Detail],"Not Found",0)</f>
        <v>6-A</v>
      </c>
      <c r="J383" s="3" t="s">
        <v>2513</v>
      </c>
      <c r="K383" s="3" t="s">
        <v>2513</v>
      </c>
      <c r="L383" s="3" t="s">
        <v>2513</v>
      </c>
    </row>
    <row r="384" spans="1:12">
      <c r="A384" s="3">
        <f>SUBTOTAL(3,B$3:B384)</f>
        <v>382</v>
      </c>
      <c r="B384" s="3">
        <v>17180128</v>
      </c>
      <c r="C384" s="18" t="str">
        <f>_xlfn.XLOOKUP(Table6[[#This Row],[NIS]],Table2[NIS],Table2[Nama lengkap],"Not Found",0)</f>
        <v>Nenden Siti Nur Amanah</v>
      </c>
      <c r="D384" s="18" t="str">
        <f>_xlfn.XLOOKUP(Table6[[#This Row],[NIS]],Table2[NIS],Table2[Nomer Induk Siswa Nasional],"Not Found",0)</f>
        <v>0051934983</v>
      </c>
      <c r="E384" s="3" t="str">
        <f>_xlfn.XLOOKUP(Table6[[#This Row],[NIS]],Table2[NIS],Table2[Status],"Not Found",0)</f>
        <v>Aktif</v>
      </c>
      <c r="F384" s="3">
        <f>_xlfn.XLOOKUP(Table6[[#This Row],[NIS]],Table2[NIS],Table2[Tahun Masuk],"Not Found",0)</f>
        <v>2017</v>
      </c>
      <c r="G384" s="3">
        <f>_xlfn.XLOOKUP(Table6[[#This Row],[NIS]],Table2[NIS],Table2[Tahun Keluar],"Not Found",0)</f>
        <v>0</v>
      </c>
      <c r="H384" s="3">
        <f>_xlfn.XLOOKUP(Table6[[#This Row],[NIS]],Table2[NIS],Table2[Kelas],"Not Found",0)</f>
        <v>6</v>
      </c>
      <c r="I384" s="3" t="str">
        <f>_xlfn.XLOOKUP(Table6[[#This Row],[NIS]],Table2[NIS],Table2[Kelas Detail],"Not Found",0)</f>
        <v>6-A</v>
      </c>
      <c r="J384" s="3" t="s">
        <v>2513</v>
      </c>
      <c r="K384" s="3" t="s">
        <v>2513</v>
      </c>
      <c r="L384" s="3" t="s">
        <v>2513</v>
      </c>
    </row>
    <row r="385" spans="1:12">
      <c r="A385" s="3">
        <f>SUBTOTAL(3,B$3:B385)</f>
        <v>383</v>
      </c>
      <c r="B385" s="3">
        <v>18190183</v>
      </c>
      <c r="C385" s="18" t="str">
        <f>_xlfn.XLOOKUP(Table6[[#This Row],[NIS]],Table2[NIS],Table2[Nama lengkap],"Not Found",0)</f>
        <v>Neneng Samrotussaadah</v>
      </c>
      <c r="D385" s="18" t="str">
        <f>_xlfn.XLOOKUP(Table6[[#This Row],[NIS]],Table2[NIS],Table2[Nomer Induk Siswa Nasional],"Not Found",0)</f>
        <v>0068275619</v>
      </c>
      <c r="E385" s="3" t="str">
        <f>_xlfn.XLOOKUP(Table6[[#This Row],[NIS]],Table2[NIS],Table2[Status],"Not Found",0)</f>
        <v>Aktif</v>
      </c>
      <c r="F385" s="3">
        <f>_xlfn.XLOOKUP(Table6[[#This Row],[NIS]],Table2[NIS],Table2[Tahun Masuk],"Not Found",0)</f>
        <v>2018</v>
      </c>
      <c r="G385" s="3">
        <f>_xlfn.XLOOKUP(Table6[[#This Row],[NIS]],Table2[NIS],Table2[Tahun Keluar],"Not Found",0)</f>
        <v>0</v>
      </c>
      <c r="H385" s="3">
        <f>_xlfn.XLOOKUP(Table6[[#This Row],[NIS]],Table2[NIS],Table2[Kelas],"Not Found",0)</f>
        <v>6</v>
      </c>
      <c r="I385" s="3" t="str">
        <f>_xlfn.XLOOKUP(Table6[[#This Row],[NIS]],Table2[NIS],Table2[Kelas Detail],"Not Found",0)</f>
        <v>6-A</v>
      </c>
      <c r="J385" s="3" t="s">
        <v>2513</v>
      </c>
      <c r="K385" s="3" t="s">
        <v>2513</v>
      </c>
      <c r="L385" s="3" t="s">
        <v>2513</v>
      </c>
    </row>
    <row r="386" spans="1:12">
      <c r="A386" s="3">
        <f>SUBTOTAL(3,B$3:B386)</f>
        <v>384</v>
      </c>
      <c r="B386" s="3">
        <v>18190185</v>
      </c>
      <c r="C386" s="18" t="str">
        <f>_xlfn.XLOOKUP(Table6[[#This Row],[NIS]],Table2[NIS],Table2[Nama lengkap],"Not Found",0)</f>
        <v>Niza Fisallia</v>
      </c>
      <c r="D386" s="18" t="str">
        <f>_xlfn.XLOOKUP(Table6[[#This Row],[NIS]],Table2[NIS],Table2[Nomer Induk Siswa Nasional],"Not Found",0)</f>
        <v>0063608528</v>
      </c>
      <c r="E386" s="3" t="str">
        <f>_xlfn.XLOOKUP(Table6[[#This Row],[NIS]],Table2[NIS],Table2[Status],"Not Found",0)</f>
        <v>Aktif</v>
      </c>
      <c r="F386" s="3">
        <f>_xlfn.XLOOKUP(Table6[[#This Row],[NIS]],Table2[NIS],Table2[Tahun Masuk],"Not Found",0)</f>
        <v>2018</v>
      </c>
      <c r="G386" s="3">
        <f>_xlfn.XLOOKUP(Table6[[#This Row],[NIS]],Table2[NIS],Table2[Tahun Keluar],"Not Found",0)</f>
        <v>0</v>
      </c>
      <c r="H386" s="3">
        <f>_xlfn.XLOOKUP(Table6[[#This Row],[NIS]],Table2[NIS],Table2[Kelas],"Not Found",0)</f>
        <v>6</v>
      </c>
      <c r="I386" s="3" t="str">
        <f>_xlfn.XLOOKUP(Table6[[#This Row],[NIS]],Table2[NIS],Table2[Kelas Detail],"Not Found",0)</f>
        <v>6-A</v>
      </c>
      <c r="J386" s="3" t="s">
        <v>2513</v>
      </c>
      <c r="K386" s="3" t="s">
        <v>2513</v>
      </c>
      <c r="L386" s="3" t="s">
        <v>2513</v>
      </c>
    </row>
    <row r="387" spans="1:12">
      <c r="A387" s="3">
        <f>SUBTOTAL(3,B$3:B387)</f>
        <v>385</v>
      </c>
      <c r="B387" s="3">
        <v>19200264</v>
      </c>
      <c r="C387" s="18" t="str">
        <f>_xlfn.XLOOKUP(Table6[[#This Row],[NIS]],Table2[NIS],Table2[Nama lengkap],"Not Found",0)</f>
        <v>Nur Holis</v>
      </c>
      <c r="D387" s="18" t="str">
        <f>_xlfn.XLOOKUP(Table6[[#This Row],[NIS]],Table2[NIS],Table2[Nomer Induk Siswa Nasional],"Not Found",0)</f>
        <v>0045778173</v>
      </c>
      <c r="E387" s="3" t="str">
        <f>_xlfn.XLOOKUP(Table6[[#This Row],[NIS]],Table2[NIS],Table2[Status],"Not Found",0)</f>
        <v>Aktif</v>
      </c>
      <c r="F387" s="3">
        <f>_xlfn.XLOOKUP(Table6[[#This Row],[NIS]],Table2[NIS],Table2[Tahun Masuk],"Not Found",0)</f>
        <v>2019</v>
      </c>
      <c r="G387" s="3">
        <f>_xlfn.XLOOKUP(Table6[[#This Row],[NIS]],Table2[NIS],Table2[Tahun Keluar],"Not Found",0)</f>
        <v>0</v>
      </c>
      <c r="H387" s="3">
        <f>_xlfn.XLOOKUP(Table6[[#This Row],[NIS]],Table2[NIS],Table2[Kelas],"Not Found",0)</f>
        <v>6</v>
      </c>
      <c r="I387" s="3" t="str">
        <f>_xlfn.XLOOKUP(Table6[[#This Row],[NIS]],Table2[NIS],Table2[Kelas Detail],"Not Found",0)</f>
        <v>6-A</v>
      </c>
      <c r="J387" s="3" t="s">
        <v>2513</v>
      </c>
      <c r="K387" s="3" t="s">
        <v>2513</v>
      </c>
      <c r="L387" s="3" t="s">
        <v>2513</v>
      </c>
    </row>
    <row r="388" spans="1:12">
      <c r="A388" s="3">
        <f>SUBTOTAL(3,B$3:B388)</f>
        <v>386</v>
      </c>
      <c r="B388" s="3">
        <v>18190192</v>
      </c>
      <c r="C388" s="18" t="str">
        <f>_xlfn.XLOOKUP(Table6[[#This Row],[NIS]],Table2[NIS],Table2[Nama lengkap],"Not Found",0)</f>
        <v>Putri Salwa Khoerunissa</v>
      </c>
      <c r="D388" s="18" t="str">
        <f>_xlfn.XLOOKUP(Table6[[#This Row],[NIS]],Table2[NIS],Table2[Nomer Induk Siswa Nasional],"Not Found",0)</f>
        <v>0066902711</v>
      </c>
      <c r="E388" s="3" t="str">
        <f>_xlfn.XLOOKUP(Table6[[#This Row],[NIS]],Table2[NIS],Table2[Status],"Not Found",0)</f>
        <v>Aktif</v>
      </c>
      <c r="F388" s="3">
        <f>_xlfn.XLOOKUP(Table6[[#This Row],[NIS]],Table2[NIS],Table2[Tahun Masuk],"Not Found",0)</f>
        <v>2018</v>
      </c>
      <c r="G388" s="3">
        <f>_xlfn.XLOOKUP(Table6[[#This Row],[NIS]],Table2[NIS],Table2[Tahun Keluar],"Not Found",0)</f>
        <v>0</v>
      </c>
      <c r="H388" s="3">
        <f>_xlfn.XLOOKUP(Table6[[#This Row],[NIS]],Table2[NIS],Table2[Kelas],"Not Found",0)</f>
        <v>6</v>
      </c>
      <c r="I388" s="3" t="str">
        <f>_xlfn.XLOOKUP(Table6[[#This Row],[NIS]],Table2[NIS],Table2[Kelas Detail],"Not Found",0)</f>
        <v>6-A</v>
      </c>
      <c r="J388" s="3" t="s">
        <v>2513</v>
      </c>
      <c r="K388" s="3" t="s">
        <v>2513</v>
      </c>
      <c r="L388" s="3" t="s">
        <v>2513</v>
      </c>
    </row>
    <row r="389" spans="1:12">
      <c r="A389" s="3">
        <f>SUBTOTAL(3,B$3:B389)</f>
        <v>387</v>
      </c>
      <c r="B389" s="3">
        <v>19200274</v>
      </c>
      <c r="C389" s="18" t="str">
        <f>_xlfn.XLOOKUP(Table6[[#This Row],[NIS]],Table2[NIS],Table2[Nama lengkap],"Not Found",0)</f>
        <v>Rani Septiani</v>
      </c>
      <c r="D389" s="18" t="str">
        <f>_xlfn.XLOOKUP(Table6[[#This Row],[NIS]],Table2[NIS],Table2[Nomer Induk Siswa Nasional],"Not Found",0)</f>
        <v>0044687621</v>
      </c>
      <c r="E389" s="3" t="str">
        <f>_xlfn.XLOOKUP(Table6[[#This Row],[NIS]],Table2[NIS],Table2[Status],"Not Found",0)</f>
        <v>Aktif</v>
      </c>
      <c r="F389" s="3">
        <f>_xlfn.XLOOKUP(Table6[[#This Row],[NIS]],Table2[NIS],Table2[Tahun Masuk],"Not Found",0)</f>
        <v>2019</v>
      </c>
      <c r="G389" s="3">
        <f>_xlfn.XLOOKUP(Table6[[#This Row],[NIS]],Table2[NIS],Table2[Tahun Keluar],"Not Found",0)</f>
        <v>0</v>
      </c>
      <c r="H389" s="3">
        <f>_xlfn.XLOOKUP(Table6[[#This Row],[NIS]],Table2[NIS],Table2[Kelas],"Not Found",0)</f>
        <v>6</v>
      </c>
      <c r="I389" s="3" t="str">
        <f>_xlfn.XLOOKUP(Table6[[#This Row],[NIS]],Table2[NIS],Table2[Kelas Detail],"Not Found",0)</f>
        <v>6-A</v>
      </c>
      <c r="J389" s="3" t="s">
        <v>2513</v>
      </c>
      <c r="K389" s="3" t="s">
        <v>2513</v>
      </c>
      <c r="L389" s="3" t="s">
        <v>2513</v>
      </c>
    </row>
    <row r="390" spans="1:12">
      <c r="A390" s="3">
        <f>SUBTOTAL(3,B$3:B390)</f>
        <v>388</v>
      </c>
      <c r="B390" s="3">
        <v>18190195</v>
      </c>
      <c r="C390" s="18" t="str">
        <f>_xlfn.XLOOKUP(Table6[[#This Row],[NIS]],Table2[NIS],Table2[Nama lengkap],"Not Found",0)</f>
        <v>Restu Pauzia Lestari</v>
      </c>
      <c r="D390" s="18" t="str">
        <f>_xlfn.XLOOKUP(Table6[[#This Row],[NIS]],Table2[NIS],Table2[Nomer Induk Siswa Nasional],"Not Found",0)</f>
        <v>0039843983/0039843983</v>
      </c>
      <c r="E390" s="3" t="str">
        <f>_xlfn.XLOOKUP(Table6[[#This Row],[NIS]],Table2[NIS],Table2[Status],"Not Found",0)</f>
        <v>Aktif</v>
      </c>
      <c r="F390" s="3">
        <f>_xlfn.XLOOKUP(Table6[[#This Row],[NIS]],Table2[NIS],Table2[Tahun Masuk],"Not Found",0)</f>
        <v>2018</v>
      </c>
      <c r="G390" s="3">
        <f>_xlfn.XLOOKUP(Table6[[#This Row],[NIS]],Table2[NIS],Table2[Tahun Keluar],"Not Found",0)</f>
        <v>0</v>
      </c>
      <c r="H390" s="3">
        <f>_xlfn.XLOOKUP(Table6[[#This Row],[NIS]],Table2[NIS],Table2[Kelas],"Not Found",0)</f>
        <v>6</v>
      </c>
      <c r="I390" s="3" t="str">
        <f>_xlfn.XLOOKUP(Table6[[#This Row],[NIS]],Table2[NIS],Table2[Kelas Detail],"Not Found",0)</f>
        <v>6-A</v>
      </c>
      <c r="J390" s="3" t="s">
        <v>2513</v>
      </c>
      <c r="K390" s="3" t="s">
        <v>2513</v>
      </c>
      <c r="L390" s="3" t="s">
        <v>2513</v>
      </c>
    </row>
    <row r="391" spans="1:12">
      <c r="A391" s="3">
        <f>SUBTOTAL(3,B$3:B391)</f>
        <v>389</v>
      </c>
      <c r="B391" s="3">
        <v>18190196</v>
      </c>
      <c r="C391" s="18" t="str">
        <f>_xlfn.XLOOKUP(Table6[[#This Row],[NIS]],Table2[NIS],Table2[Nama lengkap],"Not Found",0)</f>
        <v>Rifa Nurul Shifa</v>
      </c>
      <c r="D391" s="18" t="str">
        <f>_xlfn.XLOOKUP(Table6[[#This Row],[NIS]],Table2[NIS],Table2[Nomer Induk Siswa Nasional],"Not Found",0)</f>
        <v>0056231268</v>
      </c>
      <c r="E391" s="3" t="str">
        <f>_xlfn.XLOOKUP(Table6[[#This Row],[NIS]],Table2[NIS],Table2[Status],"Not Found",0)</f>
        <v>Aktif</v>
      </c>
      <c r="F391" s="3">
        <f>_xlfn.XLOOKUP(Table6[[#This Row],[NIS]],Table2[NIS],Table2[Tahun Masuk],"Not Found",0)</f>
        <v>2018</v>
      </c>
      <c r="G391" s="3">
        <f>_xlfn.XLOOKUP(Table6[[#This Row],[NIS]],Table2[NIS],Table2[Tahun Keluar],"Not Found",0)</f>
        <v>0</v>
      </c>
      <c r="H391" s="3">
        <f>_xlfn.XLOOKUP(Table6[[#This Row],[NIS]],Table2[NIS],Table2[Kelas],"Not Found",0)</f>
        <v>6</v>
      </c>
      <c r="I391" s="3" t="str">
        <f>_xlfn.XLOOKUP(Table6[[#This Row],[NIS]],Table2[NIS],Table2[Kelas Detail],"Not Found",0)</f>
        <v>6-A</v>
      </c>
      <c r="J391" s="3" t="s">
        <v>2513</v>
      </c>
      <c r="K391" s="3" t="s">
        <v>2513</v>
      </c>
      <c r="L391" s="3" t="s">
        <v>2513</v>
      </c>
    </row>
    <row r="392" spans="1:12">
      <c r="A392" s="3">
        <f>SUBTOTAL(3,B$3:B392)</f>
        <v>390</v>
      </c>
      <c r="B392" s="3">
        <v>17180137</v>
      </c>
      <c r="C392" s="18" t="str">
        <f>_xlfn.XLOOKUP(Table6[[#This Row],[NIS]],Table2[NIS],Table2[Nama lengkap],"Not Found",0)</f>
        <v>Rika Listia Amanda</v>
      </c>
      <c r="D392" s="18" t="str">
        <f>_xlfn.XLOOKUP(Table6[[#This Row],[NIS]],Table2[NIS],Table2[Nomer Induk Siswa Nasional],"Not Found",0)</f>
        <v>0057348548</v>
      </c>
      <c r="E392" s="3" t="str">
        <f>_xlfn.XLOOKUP(Table6[[#This Row],[NIS]],Table2[NIS],Table2[Status],"Not Found",0)</f>
        <v>Aktif</v>
      </c>
      <c r="F392" s="3">
        <f>_xlfn.XLOOKUP(Table6[[#This Row],[NIS]],Table2[NIS],Table2[Tahun Masuk],"Not Found",0)</f>
        <v>2017</v>
      </c>
      <c r="G392" s="3">
        <f>_xlfn.XLOOKUP(Table6[[#This Row],[NIS]],Table2[NIS],Table2[Tahun Keluar],"Not Found",0)</f>
        <v>0</v>
      </c>
      <c r="H392" s="3">
        <f>_xlfn.XLOOKUP(Table6[[#This Row],[NIS]],Table2[NIS],Table2[Kelas],"Not Found",0)</f>
        <v>6</v>
      </c>
      <c r="I392" s="3" t="str">
        <f>_xlfn.XLOOKUP(Table6[[#This Row],[NIS]],Table2[NIS],Table2[Kelas Detail],"Not Found",0)</f>
        <v>6-A</v>
      </c>
      <c r="J392" s="3" t="s">
        <v>2513</v>
      </c>
      <c r="K392" s="3" t="s">
        <v>2513</v>
      </c>
      <c r="L392" s="3" t="s">
        <v>2513</v>
      </c>
    </row>
    <row r="393" spans="1:12">
      <c r="A393" s="3">
        <f>SUBTOTAL(3,B$3:B393)</f>
        <v>391</v>
      </c>
      <c r="B393" s="3">
        <v>17180142</v>
      </c>
      <c r="C393" s="18" t="str">
        <f>_xlfn.XLOOKUP(Table6[[#This Row],[NIS]],Table2[NIS],Table2[Nama lengkap],"Not Found",0)</f>
        <v>Salma Nur Aulia Almaulidiyyah</v>
      </c>
      <c r="D393" s="18" t="str">
        <f>_xlfn.XLOOKUP(Table6[[#This Row],[NIS]],Table2[NIS],Table2[Nomer Induk Siswa Nasional],"Not Found",0)</f>
        <v>0056747871</v>
      </c>
      <c r="E393" s="3" t="str">
        <f>_xlfn.XLOOKUP(Table6[[#This Row],[NIS]],Table2[NIS],Table2[Status],"Not Found",0)</f>
        <v>Aktif</v>
      </c>
      <c r="F393" s="3">
        <f>_xlfn.XLOOKUP(Table6[[#This Row],[NIS]],Table2[NIS],Table2[Tahun Masuk],"Not Found",0)</f>
        <v>2017</v>
      </c>
      <c r="G393" s="3">
        <f>_xlfn.XLOOKUP(Table6[[#This Row],[NIS]],Table2[NIS],Table2[Tahun Keluar],"Not Found",0)</f>
        <v>0</v>
      </c>
      <c r="H393" s="3">
        <f>_xlfn.XLOOKUP(Table6[[#This Row],[NIS]],Table2[NIS],Table2[Kelas],"Not Found",0)</f>
        <v>6</v>
      </c>
      <c r="I393" s="3" t="str">
        <f>_xlfn.XLOOKUP(Table6[[#This Row],[NIS]],Table2[NIS],Table2[Kelas Detail],"Not Found",0)</f>
        <v>6-A</v>
      </c>
      <c r="J393" s="3" t="s">
        <v>2513</v>
      </c>
      <c r="K393" s="3" t="s">
        <v>2513</v>
      </c>
      <c r="L393" s="3" t="s">
        <v>2513</v>
      </c>
    </row>
    <row r="394" spans="1:12">
      <c r="A394" s="3">
        <f>SUBTOTAL(3,B$3:B394)</f>
        <v>392</v>
      </c>
      <c r="B394" s="3">
        <v>18190205</v>
      </c>
      <c r="C394" s="18" t="str">
        <f>_xlfn.XLOOKUP(Table6[[#This Row],[NIS]],Table2[NIS],Table2[Nama lengkap],"Not Found",0)</f>
        <v>Siti Apipah</v>
      </c>
      <c r="D394" s="18" t="str">
        <f>_xlfn.XLOOKUP(Table6[[#This Row],[NIS]],Table2[NIS],Table2[Nomer Induk Siswa Nasional],"Not Found",0)</f>
        <v>0038034566</v>
      </c>
      <c r="E394" s="3" t="str">
        <f>_xlfn.XLOOKUP(Table6[[#This Row],[NIS]],Table2[NIS],Table2[Status],"Not Found",0)</f>
        <v>Aktif</v>
      </c>
      <c r="F394" s="3">
        <f>_xlfn.XLOOKUP(Table6[[#This Row],[NIS]],Table2[NIS],Table2[Tahun Masuk],"Not Found",0)</f>
        <v>2018</v>
      </c>
      <c r="G394" s="3">
        <f>_xlfn.XLOOKUP(Table6[[#This Row],[NIS]],Table2[NIS],Table2[Tahun Keluar],"Not Found",0)</f>
        <v>0</v>
      </c>
      <c r="H394" s="3">
        <f>_xlfn.XLOOKUP(Table6[[#This Row],[NIS]],Table2[NIS],Table2[Kelas],"Not Found",0)</f>
        <v>6</v>
      </c>
      <c r="I394" s="3" t="str">
        <f>_xlfn.XLOOKUP(Table6[[#This Row],[NIS]],Table2[NIS],Table2[Kelas Detail],"Not Found",0)</f>
        <v>6-A</v>
      </c>
      <c r="J394" s="3" t="s">
        <v>2513</v>
      </c>
      <c r="K394" s="3" t="s">
        <v>2513</v>
      </c>
      <c r="L394" s="3" t="s">
        <v>2513</v>
      </c>
    </row>
    <row r="395" spans="1:12">
      <c r="A395" s="3">
        <f>SUBTOTAL(3,B$3:B395)</f>
        <v>393</v>
      </c>
      <c r="B395" s="3">
        <v>18190238</v>
      </c>
      <c r="C395" s="18" t="str">
        <f>_xlfn.XLOOKUP(Table6[[#This Row],[NIS]],Table2[NIS],Table2[Nama lengkap],"Not Found",0)</f>
        <v>Siti Fatimah Miska Ayuni</v>
      </c>
      <c r="D395" s="18" t="str">
        <f>_xlfn.XLOOKUP(Table6[[#This Row],[NIS]],Table2[NIS],Table2[Nomer Induk Siswa Nasional],"Not Found",0)</f>
        <v>0071963319</v>
      </c>
      <c r="E395" s="3" t="str">
        <f>_xlfn.XLOOKUP(Table6[[#This Row],[NIS]],Table2[NIS],Table2[Status],"Not Found",0)</f>
        <v>Aktif</v>
      </c>
      <c r="F395" s="3">
        <f>_xlfn.XLOOKUP(Table6[[#This Row],[NIS]],Table2[NIS],Table2[Tahun Masuk],"Not Found",0)</f>
        <v>2018</v>
      </c>
      <c r="G395" s="3">
        <f>_xlfn.XLOOKUP(Table6[[#This Row],[NIS]],Table2[NIS],Table2[Tahun Keluar],"Not Found",0)</f>
        <v>0</v>
      </c>
      <c r="H395" s="3">
        <f>_xlfn.XLOOKUP(Table6[[#This Row],[NIS]],Table2[NIS],Table2[Kelas],"Not Found",0)</f>
        <v>6</v>
      </c>
      <c r="I395" s="3" t="str">
        <f>_xlfn.XLOOKUP(Table6[[#This Row],[NIS]],Table2[NIS],Table2[Kelas Detail],"Not Found",0)</f>
        <v>6-A</v>
      </c>
      <c r="J395" s="3" t="s">
        <v>2513</v>
      </c>
      <c r="K395" s="3" t="s">
        <v>2513</v>
      </c>
      <c r="L395" s="3" t="s">
        <v>2513</v>
      </c>
    </row>
    <row r="396" spans="1:12">
      <c r="A396" s="3">
        <f>SUBTOTAL(3,B$3:B396)</f>
        <v>394</v>
      </c>
      <c r="B396" s="3">
        <v>18190207</v>
      </c>
      <c r="C396" s="18" t="str">
        <f>_xlfn.XLOOKUP(Table6[[#This Row],[NIS]],Table2[NIS],Table2[Nama lengkap],"Not Found",0)</f>
        <v xml:space="preserve">Siti Hamidah </v>
      </c>
      <c r="D396" s="18" t="str">
        <f>_xlfn.XLOOKUP(Table6[[#This Row],[NIS]],Table2[NIS],Table2[Nomer Induk Siswa Nasional],"Not Found",0)</f>
        <v>0053876330</v>
      </c>
      <c r="E396" s="3" t="str">
        <f>_xlfn.XLOOKUP(Table6[[#This Row],[NIS]],Table2[NIS],Table2[Status],"Not Found",0)</f>
        <v>Waqof</v>
      </c>
      <c r="F396" s="3">
        <f>_xlfn.XLOOKUP(Table6[[#This Row],[NIS]],Table2[NIS],Table2[Tahun Masuk],"Not Found",0)</f>
        <v>2018</v>
      </c>
      <c r="G396" s="3">
        <f>_xlfn.XLOOKUP(Table6[[#This Row],[NIS]],Table2[NIS],Table2[Tahun Keluar],"Not Found",0)</f>
        <v>0</v>
      </c>
      <c r="H396" s="3">
        <f>_xlfn.XLOOKUP(Table6[[#This Row],[NIS]],Table2[NIS],Table2[Kelas],"Not Found",0)</f>
        <v>6</v>
      </c>
      <c r="I396" s="3" t="str">
        <f>_xlfn.XLOOKUP(Table6[[#This Row],[NIS]],Table2[NIS],Table2[Kelas Detail],"Not Found",0)</f>
        <v>6-A</v>
      </c>
      <c r="J396" s="3" t="s">
        <v>2513</v>
      </c>
      <c r="K396" s="3" t="s">
        <v>2513</v>
      </c>
      <c r="L396" s="3" t="s">
        <v>2513</v>
      </c>
    </row>
    <row r="397" spans="1:12">
      <c r="A397" s="3">
        <f>SUBTOTAL(3,B$3:B397)</f>
        <v>395</v>
      </c>
      <c r="B397" s="3">
        <v>16170124</v>
      </c>
      <c r="C397" s="18" t="str">
        <f>_xlfn.XLOOKUP(Table6[[#This Row],[NIS]],Table2[NIS],Table2[Nama lengkap],"Not Found",0)</f>
        <v>Siti Khodijah</v>
      </c>
      <c r="D397" s="18" t="str">
        <f>_xlfn.XLOOKUP(Table6[[#This Row],[NIS]],Table2[NIS],Table2[Nomer Induk Siswa Nasional],"Not Found",0)</f>
        <v>0057605065/2027628375</v>
      </c>
      <c r="E397" s="3" t="str">
        <f>_xlfn.XLOOKUP(Table6[[#This Row],[NIS]],Table2[NIS],Table2[Status],"Not Found",0)</f>
        <v>Aktif</v>
      </c>
      <c r="F397" s="3">
        <f>_xlfn.XLOOKUP(Table6[[#This Row],[NIS]],Table2[NIS],Table2[Tahun Masuk],"Not Found",0)</f>
        <v>2016</v>
      </c>
      <c r="G397" s="3">
        <f>_xlfn.XLOOKUP(Table6[[#This Row],[NIS]],Table2[NIS],Table2[Tahun Keluar],"Not Found",0)</f>
        <v>0</v>
      </c>
      <c r="H397" s="3">
        <f>_xlfn.XLOOKUP(Table6[[#This Row],[NIS]],Table2[NIS],Table2[Kelas],"Not Found",0)</f>
        <v>6</v>
      </c>
      <c r="I397" s="3" t="str">
        <f>_xlfn.XLOOKUP(Table6[[#This Row],[NIS]],Table2[NIS],Table2[Kelas Detail],"Not Found",0)</f>
        <v>6-A</v>
      </c>
    </row>
    <row r="398" spans="1:12">
      <c r="A398" s="3">
        <f>SUBTOTAL(3,B$3:B398)</f>
        <v>396</v>
      </c>
      <c r="B398" s="3">
        <v>18190208</v>
      </c>
      <c r="C398" s="18" t="str">
        <f>_xlfn.XLOOKUP(Table6[[#This Row],[NIS]],Table2[NIS],Table2[Nama lengkap],"Not Found",0)</f>
        <v xml:space="preserve">Siti Khodijah </v>
      </c>
      <c r="D398" s="18" t="str">
        <f>_xlfn.XLOOKUP(Table6[[#This Row],[NIS]],Table2[NIS],Table2[Nomer Induk Siswa Nasional],"Not Found",0)</f>
        <v>0033528150</v>
      </c>
      <c r="E398" s="3" t="str">
        <f>_xlfn.XLOOKUP(Table6[[#This Row],[NIS]],Table2[NIS],Table2[Status],"Not Found",0)</f>
        <v>Aktif</v>
      </c>
      <c r="F398" s="3">
        <f>_xlfn.XLOOKUP(Table6[[#This Row],[NIS]],Table2[NIS],Table2[Tahun Masuk],"Not Found",0)</f>
        <v>2018</v>
      </c>
      <c r="G398" s="3">
        <f>_xlfn.XLOOKUP(Table6[[#This Row],[NIS]],Table2[NIS],Table2[Tahun Keluar],"Not Found",0)</f>
        <v>0</v>
      </c>
      <c r="H398" s="3">
        <f>_xlfn.XLOOKUP(Table6[[#This Row],[NIS]],Table2[NIS],Table2[Kelas],"Not Found",0)</f>
        <v>6</v>
      </c>
      <c r="I398" s="3" t="str">
        <f>_xlfn.XLOOKUP(Table6[[#This Row],[NIS]],Table2[NIS],Table2[Kelas Detail],"Not Found",0)</f>
        <v>6-A</v>
      </c>
      <c r="J398" s="3" t="s">
        <v>2513</v>
      </c>
      <c r="K398" s="3" t="s">
        <v>2513</v>
      </c>
      <c r="L398" s="3" t="s">
        <v>2513</v>
      </c>
    </row>
    <row r="399" spans="1:12">
      <c r="A399" s="3">
        <f>SUBTOTAL(3,B$3:B399)</f>
        <v>397</v>
      </c>
      <c r="B399" s="3">
        <v>18190212</v>
      </c>
      <c r="C399" s="18" t="str">
        <f>_xlfn.XLOOKUP(Table6[[#This Row],[NIS]],Table2[NIS],Table2[Nama lengkap],"Not Found",0)</f>
        <v>Siti Nurshabrinna Subagja</v>
      </c>
      <c r="D399" s="18" t="str">
        <f>_xlfn.XLOOKUP(Table6[[#This Row],[NIS]],Table2[NIS],Table2[Nomer Induk Siswa Nasional],"Not Found",0)</f>
        <v>0057798288</v>
      </c>
      <c r="E399" s="3" t="str">
        <f>_xlfn.XLOOKUP(Table6[[#This Row],[NIS]],Table2[NIS],Table2[Status],"Not Found",0)</f>
        <v>Aktif</v>
      </c>
      <c r="F399" s="3">
        <f>_xlfn.XLOOKUP(Table6[[#This Row],[NIS]],Table2[NIS],Table2[Tahun Masuk],"Not Found",0)</f>
        <v>2018</v>
      </c>
      <c r="G399" s="3">
        <f>_xlfn.XLOOKUP(Table6[[#This Row],[NIS]],Table2[NIS],Table2[Tahun Keluar],"Not Found",0)</f>
        <v>0</v>
      </c>
      <c r="H399" s="3">
        <f>_xlfn.XLOOKUP(Table6[[#This Row],[NIS]],Table2[NIS],Table2[Kelas],"Not Found",0)</f>
        <v>6</v>
      </c>
      <c r="I399" s="3" t="str">
        <f>_xlfn.XLOOKUP(Table6[[#This Row],[NIS]],Table2[NIS],Table2[Kelas Detail],"Not Found",0)</f>
        <v>6-A</v>
      </c>
      <c r="J399" s="3" t="s">
        <v>2513</v>
      </c>
      <c r="K399" s="3" t="s">
        <v>2513</v>
      </c>
      <c r="L399" s="3" t="s">
        <v>2513</v>
      </c>
    </row>
    <row r="400" spans="1:12">
      <c r="A400" s="3">
        <f>SUBTOTAL(3,B$3:B400)</f>
        <v>398</v>
      </c>
      <c r="B400" s="3">
        <v>17180152</v>
      </c>
      <c r="C400" s="18" t="str">
        <f>_xlfn.XLOOKUP(Table6[[#This Row],[NIS]],Table2[NIS],Table2[Nama lengkap],"Not Found",0)</f>
        <v>Siti Shafa Nurrohmah</v>
      </c>
      <c r="D400" s="18" t="str">
        <f>_xlfn.XLOOKUP(Table6[[#This Row],[NIS]],Table2[NIS],Table2[Nomer Induk Siswa Nasional],"Not Found",0)</f>
        <v>0042486137</v>
      </c>
      <c r="E400" s="3" t="str">
        <f>_xlfn.XLOOKUP(Table6[[#This Row],[NIS]],Table2[NIS],Table2[Status],"Not Found",0)</f>
        <v>Aktif</v>
      </c>
      <c r="F400" s="3">
        <f>_xlfn.XLOOKUP(Table6[[#This Row],[NIS]],Table2[NIS],Table2[Tahun Masuk],"Not Found",0)</f>
        <v>2017</v>
      </c>
      <c r="G400" s="3">
        <f>_xlfn.XLOOKUP(Table6[[#This Row],[NIS]],Table2[NIS],Table2[Tahun Keluar],"Not Found",0)</f>
        <v>0</v>
      </c>
      <c r="H400" s="3">
        <f>_xlfn.XLOOKUP(Table6[[#This Row],[NIS]],Table2[NIS],Table2[Kelas],"Not Found",0)</f>
        <v>6</v>
      </c>
      <c r="I400" s="3" t="str">
        <f>_xlfn.XLOOKUP(Table6[[#This Row],[NIS]],Table2[NIS],Table2[Kelas Detail],"Not Found",0)</f>
        <v>6-A</v>
      </c>
      <c r="J400" s="3" t="s">
        <v>2513</v>
      </c>
      <c r="K400" s="3" t="s">
        <v>2513</v>
      </c>
      <c r="L400" s="3" t="s">
        <v>2513</v>
      </c>
    </row>
    <row r="401" spans="1:12">
      <c r="A401" s="3">
        <f>SUBTOTAL(3,B$3:B401)</f>
        <v>399</v>
      </c>
      <c r="B401" s="3">
        <v>18190225</v>
      </c>
      <c r="C401" s="18" t="str">
        <f>_xlfn.XLOOKUP(Table6[[#This Row],[NIS]],Table2[NIS],Table2[Nama lengkap],"Not Found",0)</f>
        <v>Umi Saadah Fiddaroini</v>
      </c>
      <c r="D401" s="18" t="str">
        <f>_xlfn.XLOOKUP(Table6[[#This Row],[NIS]],Table2[NIS],Table2[Nomer Induk Siswa Nasional],"Not Found",0)</f>
        <v>0051393873</v>
      </c>
      <c r="E401" s="3" t="str">
        <f>_xlfn.XLOOKUP(Table6[[#This Row],[NIS]],Table2[NIS],Table2[Status],"Not Found",0)</f>
        <v>Aktif</v>
      </c>
      <c r="F401" s="3">
        <f>_xlfn.XLOOKUP(Table6[[#This Row],[NIS]],Table2[NIS],Table2[Tahun Masuk],"Not Found",0)</f>
        <v>2018</v>
      </c>
      <c r="G401" s="3">
        <f>_xlfn.XLOOKUP(Table6[[#This Row],[NIS]],Table2[NIS],Table2[Tahun Keluar],"Not Found",0)</f>
        <v>0</v>
      </c>
      <c r="H401" s="3">
        <f>_xlfn.XLOOKUP(Table6[[#This Row],[NIS]],Table2[NIS],Table2[Kelas],"Not Found",0)</f>
        <v>6</v>
      </c>
      <c r="I401" s="3" t="str">
        <f>_xlfn.XLOOKUP(Table6[[#This Row],[NIS]],Table2[NIS],Table2[Kelas Detail],"Not Found",0)</f>
        <v>6-A</v>
      </c>
      <c r="J401" s="3" t="s">
        <v>2513</v>
      </c>
      <c r="K401" s="3" t="s">
        <v>2513</v>
      </c>
      <c r="L401" s="3" t="s">
        <v>2513</v>
      </c>
    </row>
    <row r="402" spans="1:12">
      <c r="A402" s="3">
        <f>SUBTOTAL(3,B$3:B402)</f>
        <v>400</v>
      </c>
      <c r="B402" s="3">
        <v>18190139</v>
      </c>
      <c r="C402" s="18" t="str">
        <f>_xlfn.XLOOKUP(Table6[[#This Row],[NIS]],Table2[NIS],Table2[Nama lengkap],"Not Found",0)</f>
        <v>Aghni Nur Azkia</v>
      </c>
      <c r="D402" s="18" t="str">
        <f>_xlfn.XLOOKUP(Table6[[#This Row],[NIS]],Table2[NIS],Table2[Nomer Induk Siswa Nasional],"Not Found",0)</f>
        <v>0055383197</v>
      </c>
      <c r="E402" s="3" t="str">
        <f>_xlfn.XLOOKUP(Table6[[#This Row],[NIS]],Table2[NIS],Table2[Status],"Not Found",0)</f>
        <v>Aktif</v>
      </c>
      <c r="F402" s="3">
        <f>_xlfn.XLOOKUP(Table6[[#This Row],[NIS]],Table2[NIS],Table2[Tahun Masuk],"Not Found",0)</f>
        <v>2018</v>
      </c>
      <c r="G402" s="3">
        <f>_xlfn.XLOOKUP(Table6[[#This Row],[NIS]],Table2[NIS],Table2[Tahun Keluar],"Not Found",0)</f>
        <v>0</v>
      </c>
      <c r="H402" s="3">
        <f>_xlfn.XLOOKUP(Table6[[#This Row],[NIS]],Table2[NIS],Table2[Kelas],"Not Found",0)</f>
        <v>6</v>
      </c>
      <c r="I402" s="3" t="str">
        <f>_xlfn.XLOOKUP(Table6[[#This Row],[NIS]],Table2[NIS],Table2[Kelas Detail],"Not Found",0)</f>
        <v>6-B</v>
      </c>
      <c r="J402" s="3" t="s">
        <v>2513</v>
      </c>
      <c r="K402" s="3" t="s">
        <v>2513</v>
      </c>
      <c r="L402" s="3" t="s">
        <v>2513</v>
      </c>
    </row>
    <row r="403" spans="1:12">
      <c r="A403" s="3">
        <f>SUBTOTAL(3,B$3:B403)</f>
        <v>401</v>
      </c>
      <c r="B403" s="3">
        <v>17180104</v>
      </c>
      <c r="C403" s="18" t="str">
        <f>_xlfn.XLOOKUP(Table6[[#This Row],[NIS]],Table2[NIS],Table2[Nama lengkap],"Not Found",0)</f>
        <v>Aulia Syifa Rahmawati</v>
      </c>
      <c r="D403" s="18" t="str">
        <f>_xlfn.XLOOKUP(Table6[[#This Row],[NIS]],Table2[NIS],Table2[Nomer Induk Siswa Nasional],"Not Found",0)</f>
        <v>0044211606/0041949534</v>
      </c>
      <c r="E403" s="3" t="str">
        <f>_xlfn.XLOOKUP(Table6[[#This Row],[NIS]],Table2[NIS],Table2[Status],"Not Found",0)</f>
        <v>Aktif</v>
      </c>
      <c r="F403" s="3">
        <f>_xlfn.XLOOKUP(Table6[[#This Row],[NIS]],Table2[NIS],Table2[Tahun Masuk],"Not Found",0)</f>
        <v>2017</v>
      </c>
      <c r="G403" s="3">
        <f>_xlfn.XLOOKUP(Table6[[#This Row],[NIS]],Table2[NIS],Table2[Tahun Keluar],"Not Found",0)</f>
        <v>0</v>
      </c>
      <c r="H403" s="3">
        <f>_xlfn.XLOOKUP(Table6[[#This Row],[NIS]],Table2[NIS],Table2[Kelas],"Not Found",0)</f>
        <v>6</v>
      </c>
      <c r="I403" s="3" t="str">
        <f>_xlfn.XLOOKUP(Table6[[#This Row],[NIS]],Table2[NIS],Table2[Kelas Detail],"Not Found",0)</f>
        <v>6-B</v>
      </c>
      <c r="J403" s="3" t="s">
        <v>2513</v>
      </c>
      <c r="K403" s="3" t="s">
        <v>2513</v>
      </c>
      <c r="L403" s="3" t="s">
        <v>2513</v>
      </c>
    </row>
    <row r="404" spans="1:12">
      <c r="A404" s="3">
        <f>SUBTOTAL(3,B$3:B404)</f>
        <v>402</v>
      </c>
      <c r="B404" s="3">
        <v>19200201</v>
      </c>
      <c r="C404" s="18" t="str">
        <f>_xlfn.XLOOKUP(Table6[[#This Row],[NIS]],Table2[NIS],Table2[Nama lengkap],"Not Found",0)</f>
        <v>Az Zahra Audina</v>
      </c>
      <c r="D404" s="18" t="str">
        <f>_xlfn.XLOOKUP(Table6[[#This Row],[NIS]],Table2[NIS],Table2[Nomer Induk Siswa Nasional],"Not Found",0)</f>
        <v>0042309931</v>
      </c>
      <c r="E404" s="3" t="str">
        <f>_xlfn.XLOOKUP(Table6[[#This Row],[NIS]],Table2[NIS],Table2[Status],"Not Found",0)</f>
        <v>Aktif</v>
      </c>
      <c r="F404" s="3">
        <f>_xlfn.XLOOKUP(Table6[[#This Row],[NIS]],Table2[NIS],Table2[Tahun Masuk],"Not Found",0)</f>
        <v>2019</v>
      </c>
      <c r="G404" s="3">
        <f>_xlfn.XLOOKUP(Table6[[#This Row],[NIS]],Table2[NIS],Table2[Tahun Keluar],"Not Found",0)</f>
        <v>0</v>
      </c>
      <c r="H404" s="3">
        <f>_xlfn.XLOOKUP(Table6[[#This Row],[NIS]],Table2[NIS],Table2[Kelas],"Not Found",0)</f>
        <v>6</v>
      </c>
      <c r="I404" s="3" t="str">
        <f>_xlfn.XLOOKUP(Table6[[#This Row],[NIS]],Table2[NIS],Table2[Kelas Detail],"Not Found",0)</f>
        <v>6-B</v>
      </c>
      <c r="J404" s="3" t="s">
        <v>2513</v>
      </c>
      <c r="K404" s="3" t="s">
        <v>2513</v>
      </c>
      <c r="L404" s="3" t="s">
        <v>2513</v>
      </c>
    </row>
    <row r="405" spans="1:12">
      <c r="A405" s="3">
        <f>SUBTOTAL(3,B$3:B405)</f>
        <v>403</v>
      </c>
      <c r="B405" s="3">
        <v>18190154</v>
      </c>
      <c r="C405" s="18" t="str">
        <f>_xlfn.XLOOKUP(Table6[[#This Row],[NIS]],Table2[NIS],Table2[Nama lengkap],"Not Found",0)</f>
        <v>Dina Nur Aghnia</v>
      </c>
      <c r="D405" s="18" t="str">
        <f>_xlfn.XLOOKUP(Table6[[#This Row],[NIS]],Table2[NIS],Table2[Nomer Induk Siswa Nasional],"Not Found",0)</f>
        <v>0064199424</v>
      </c>
      <c r="E405" s="3" t="str">
        <f>_xlfn.XLOOKUP(Table6[[#This Row],[NIS]],Table2[NIS],Table2[Status],"Not Found",0)</f>
        <v>Aktif</v>
      </c>
      <c r="F405" s="3">
        <f>_xlfn.XLOOKUP(Table6[[#This Row],[NIS]],Table2[NIS],Table2[Tahun Masuk],"Not Found",0)</f>
        <v>2018</v>
      </c>
      <c r="G405" s="3">
        <f>_xlfn.XLOOKUP(Table6[[#This Row],[NIS]],Table2[NIS],Table2[Tahun Keluar],"Not Found",0)</f>
        <v>0</v>
      </c>
      <c r="H405" s="3">
        <f>_xlfn.XLOOKUP(Table6[[#This Row],[NIS]],Table2[NIS],Table2[Kelas],"Not Found",0)</f>
        <v>6</v>
      </c>
      <c r="I405" s="3" t="str">
        <f>_xlfn.XLOOKUP(Table6[[#This Row],[NIS]],Table2[NIS],Table2[Kelas Detail],"Not Found",0)</f>
        <v>6-B</v>
      </c>
      <c r="J405" s="3" t="s">
        <v>2513</v>
      </c>
      <c r="K405" s="3" t="s">
        <v>2513</v>
      </c>
      <c r="L405" s="3" t="s">
        <v>2513</v>
      </c>
    </row>
    <row r="406" spans="1:12">
      <c r="A406" s="3">
        <f>SUBTOTAL(3,B$3:B406)</f>
        <v>404</v>
      </c>
      <c r="B406" s="3">
        <v>18190158</v>
      </c>
      <c r="C406" s="18" t="str">
        <f>_xlfn.XLOOKUP(Table6[[#This Row],[NIS]],Table2[NIS],Table2[Nama lengkap],"Not Found",0)</f>
        <v>Fahira Nur Rahmi</v>
      </c>
      <c r="D406" s="18" t="str">
        <f>_xlfn.XLOOKUP(Table6[[#This Row],[NIS]],Table2[NIS],Table2[Nomer Induk Siswa Nasional],"Not Found",0)</f>
        <v>0054484827/0053148777</v>
      </c>
      <c r="E406" s="3" t="str">
        <f>_xlfn.XLOOKUP(Table6[[#This Row],[NIS]],Table2[NIS],Table2[Status],"Not Found",0)</f>
        <v>Aktif</v>
      </c>
      <c r="F406" s="3">
        <f>_xlfn.XLOOKUP(Table6[[#This Row],[NIS]],Table2[NIS],Table2[Tahun Masuk],"Not Found",0)</f>
        <v>2018</v>
      </c>
      <c r="G406" s="3">
        <f>_xlfn.XLOOKUP(Table6[[#This Row],[NIS]],Table2[NIS],Table2[Tahun Keluar],"Not Found",0)</f>
        <v>0</v>
      </c>
      <c r="H406" s="3">
        <f>_xlfn.XLOOKUP(Table6[[#This Row],[NIS]],Table2[NIS],Table2[Kelas],"Not Found",0)</f>
        <v>6</v>
      </c>
      <c r="I406" s="3" t="str">
        <f>_xlfn.XLOOKUP(Table6[[#This Row],[NIS]],Table2[NIS],Table2[Kelas Detail],"Not Found",0)</f>
        <v>6-B</v>
      </c>
      <c r="J406" s="3" t="s">
        <v>2513</v>
      </c>
      <c r="K406" s="3" t="s">
        <v>2513</v>
      </c>
      <c r="L406" s="3" t="s">
        <v>2513</v>
      </c>
    </row>
    <row r="407" spans="1:12">
      <c r="A407" s="3">
        <f>SUBTOTAL(3,B$3:B407)</f>
        <v>405</v>
      </c>
      <c r="B407" s="3">
        <v>18190171</v>
      </c>
      <c r="C407" s="18" t="str">
        <f>_xlfn.XLOOKUP(Table6[[#This Row],[NIS]],Table2[NIS],Table2[Nama lengkap],"Not Found",0)</f>
        <v>Kania Putri Nabila</v>
      </c>
      <c r="D407" s="18" t="str">
        <f>_xlfn.XLOOKUP(Table6[[#This Row],[NIS]],Table2[NIS],Table2[Nomer Induk Siswa Nasional],"Not Found",0)</f>
        <v>0051779477</v>
      </c>
      <c r="E407" s="3" t="str">
        <f>_xlfn.XLOOKUP(Table6[[#This Row],[NIS]],Table2[NIS],Table2[Status],"Not Found",0)</f>
        <v>Aktif</v>
      </c>
      <c r="F407" s="3">
        <f>_xlfn.XLOOKUP(Table6[[#This Row],[NIS]],Table2[NIS],Table2[Tahun Masuk],"Not Found",0)</f>
        <v>2018</v>
      </c>
      <c r="G407" s="3">
        <f>_xlfn.XLOOKUP(Table6[[#This Row],[NIS]],Table2[NIS],Table2[Tahun Keluar],"Not Found",0)</f>
        <v>0</v>
      </c>
      <c r="H407" s="3">
        <f>_xlfn.XLOOKUP(Table6[[#This Row],[NIS]],Table2[NIS],Table2[Kelas],"Not Found",0)</f>
        <v>6</v>
      </c>
      <c r="I407" s="3" t="str">
        <f>_xlfn.XLOOKUP(Table6[[#This Row],[NIS]],Table2[NIS],Table2[Kelas Detail],"Not Found",0)</f>
        <v>6-B</v>
      </c>
      <c r="J407" s="3" t="s">
        <v>2513</v>
      </c>
      <c r="K407" s="3" t="s">
        <v>2513</v>
      </c>
      <c r="L407" s="3" t="s">
        <v>2513</v>
      </c>
    </row>
    <row r="408" spans="1:12">
      <c r="A408" s="3">
        <f>SUBTOTAL(3,B$3:B408)</f>
        <v>406</v>
      </c>
      <c r="B408" s="3">
        <v>18190173</v>
      </c>
      <c r="C408" s="18" t="str">
        <f>_xlfn.XLOOKUP(Table6[[#This Row],[NIS]],Table2[NIS],Table2[Nama lengkap],"Not Found",0)</f>
        <v>Lea Kania Sari</v>
      </c>
      <c r="D408" s="18" t="str">
        <f>_xlfn.XLOOKUP(Table6[[#This Row],[NIS]],Table2[NIS],Table2[Nomer Induk Siswa Nasional],"Not Found",0)</f>
        <v>0051374064</v>
      </c>
      <c r="E408" s="3" t="str">
        <f>_xlfn.XLOOKUP(Table6[[#This Row],[NIS]],Table2[NIS],Table2[Status],"Not Found",0)</f>
        <v>Aktif</v>
      </c>
      <c r="F408" s="3">
        <f>_xlfn.XLOOKUP(Table6[[#This Row],[NIS]],Table2[NIS],Table2[Tahun Masuk],"Not Found",0)</f>
        <v>2018</v>
      </c>
      <c r="G408" s="3">
        <f>_xlfn.XLOOKUP(Table6[[#This Row],[NIS]],Table2[NIS],Table2[Tahun Keluar],"Not Found",0)</f>
        <v>0</v>
      </c>
      <c r="H408" s="3">
        <f>_xlfn.XLOOKUP(Table6[[#This Row],[NIS]],Table2[NIS],Table2[Kelas],"Not Found",0)</f>
        <v>6</v>
      </c>
      <c r="I408" s="3" t="str">
        <f>_xlfn.XLOOKUP(Table6[[#This Row],[NIS]],Table2[NIS],Table2[Kelas Detail],"Not Found",0)</f>
        <v>6-B</v>
      </c>
      <c r="J408" s="3" t="s">
        <v>2513</v>
      </c>
      <c r="K408" s="3" t="s">
        <v>2513</v>
      </c>
      <c r="L408" s="3" t="s">
        <v>2513</v>
      </c>
    </row>
    <row r="409" spans="1:12">
      <c r="A409" s="3">
        <f>SUBTOTAL(3,B$3:B409)</f>
        <v>407</v>
      </c>
      <c r="B409" s="3">
        <v>18190176</v>
      </c>
      <c r="C409" s="18" t="str">
        <f>_xlfn.XLOOKUP(Table6[[#This Row],[NIS]],Table2[NIS],Table2[Nama lengkap],"Not Found",0)</f>
        <v>Marsha Nur Safitri</v>
      </c>
      <c r="D409" s="18" t="str">
        <f>_xlfn.XLOOKUP(Table6[[#This Row],[NIS]],Table2[NIS],Table2[Nomer Induk Siswa Nasional],"Not Found",0)</f>
        <v>0066546081</v>
      </c>
      <c r="E409" s="3" t="str">
        <f>_xlfn.XLOOKUP(Table6[[#This Row],[NIS]],Table2[NIS],Table2[Status],"Not Found",0)</f>
        <v>Aktif</v>
      </c>
      <c r="F409" s="3">
        <f>_xlfn.XLOOKUP(Table6[[#This Row],[NIS]],Table2[NIS],Table2[Tahun Masuk],"Not Found",0)</f>
        <v>2018</v>
      </c>
      <c r="G409" s="3">
        <f>_xlfn.XLOOKUP(Table6[[#This Row],[NIS]],Table2[NIS],Table2[Tahun Keluar],"Not Found",0)</f>
        <v>0</v>
      </c>
      <c r="H409" s="3">
        <f>_xlfn.XLOOKUP(Table6[[#This Row],[NIS]],Table2[NIS],Table2[Kelas],"Not Found",0)</f>
        <v>6</v>
      </c>
      <c r="I409" s="3" t="str">
        <f>_xlfn.XLOOKUP(Table6[[#This Row],[NIS]],Table2[NIS],Table2[Kelas Detail],"Not Found",0)</f>
        <v>6-B</v>
      </c>
      <c r="J409" s="3" t="s">
        <v>2513</v>
      </c>
      <c r="K409" s="3" t="s">
        <v>2513</v>
      </c>
      <c r="L409" s="3" t="s">
        <v>2513</v>
      </c>
    </row>
    <row r="410" spans="1:12">
      <c r="A410" s="3">
        <f>SUBTOTAL(3,B$3:B410)</f>
        <v>408</v>
      </c>
      <c r="B410" s="3">
        <v>19200245</v>
      </c>
      <c r="C410" s="18" t="str">
        <f>_xlfn.XLOOKUP(Table6[[#This Row],[NIS]],Table2[NIS],Table2[Nama lengkap],"Not Found",0)</f>
        <v>Mozart Lutfa Labiba</v>
      </c>
      <c r="D410" s="18" t="str">
        <f>_xlfn.XLOOKUP(Table6[[#This Row],[NIS]],Table2[NIS],Table2[Nomer Induk Siswa Nasional],"Not Found",0)</f>
        <v>0075742253</v>
      </c>
      <c r="E410" s="3" t="str">
        <f>_xlfn.XLOOKUP(Table6[[#This Row],[NIS]],Table2[NIS],Table2[Status],"Not Found",0)</f>
        <v>Aktif</v>
      </c>
      <c r="F410" s="3">
        <f>_xlfn.XLOOKUP(Table6[[#This Row],[NIS]],Table2[NIS],Table2[Tahun Masuk],"Not Found",0)</f>
        <v>2019</v>
      </c>
      <c r="G410" s="3">
        <f>_xlfn.XLOOKUP(Table6[[#This Row],[NIS]],Table2[NIS],Table2[Tahun Keluar],"Not Found",0)</f>
        <v>0</v>
      </c>
      <c r="H410" s="3">
        <f>_xlfn.XLOOKUP(Table6[[#This Row],[NIS]],Table2[NIS],Table2[Kelas],"Not Found",0)</f>
        <v>6</v>
      </c>
      <c r="I410" s="3" t="str">
        <f>_xlfn.XLOOKUP(Table6[[#This Row],[NIS]],Table2[NIS],Table2[Kelas Detail],"Not Found",0)</f>
        <v>6-B</v>
      </c>
      <c r="J410" s="3" t="s">
        <v>2513</v>
      </c>
      <c r="K410" s="3" t="s">
        <v>2513</v>
      </c>
      <c r="L410" s="3" t="s">
        <v>2513</v>
      </c>
    </row>
    <row r="411" spans="1:12">
      <c r="A411" s="3">
        <f>SUBTOTAL(3,B$3:B411)</f>
        <v>409</v>
      </c>
      <c r="B411" s="3">
        <v>18190181</v>
      </c>
      <c r="C411" s="18" t="str">
        <f>_xlfn.XLOOKUP(Table6[[#This Row],[NIS]],Table2[NIS],Table2[Nama lengkap],"Not Found",0)</f>
        <v>Nazwa Fauziah Amali</v>
      </c>
      <c r="D411" s="18" t="str">
        <f>_xlfn.XLOOKUP(Table6[[#This Row],[NIS]],Table2[NIS],Table2[Nomer Induk Siswa Nasional],"Not Found",0)</f>
        <v>0037221257</v>
      </c>
      <c r="E411" s="3" t="str">
        <f>_xlfn.XLOOKUP(Table6[[#This Row],[NIS]],Table2[NIS],Table2[Status],"Not Found",0)</f>
        <v>Aktif</v>
      </c>
      <c r="F411" s="3">
        <f>_xlfn.XLOOKUP(Table6[[#This Row],[NIS]],Table2[NIS],Table2[Tahun Masuk],"Not Found",0)</f>
        <v>2018</v>
      </c>
      <c r="G411" s="3">
        <f>_xlfn.XLOOKUP(Table6[[#This Row],[NIS]],Table2[NIS],Table2[Tahun Keluar],"Not Found",0)</f>
        <v>0</v>
      </c>
      <c r="H411" s="3">
        <f>_xlfn.XLOOKUP(Table6[[#This Row],[NIS]],Table2[NIS],Table2[Kelas],"Not Found",0)</f>
        <v>6</v>
      </c>
      <c r="I411" s="3" t="str">
        <f>_xlfn.XLOOKUP(Table6[[#This Row],[NIS]],Table2[NIS],Table2[Kelas Detail],"Not Found",0)</f>
        <v>6-B</v>
      </c>
      <c r="J411" s="3" t="s">
        <v>2513</v>
      </c>
      <c r="K411" s="3" t="s">
        <v>2513</v>
      </c>
      <c r="L411" s="3" t="s">
        <v>2513</v>
      </c>
    </row>
    <row r="412" spans="1:12">
      <c r="A412" s="3">
        <f>SUBTOTAL(3,B$3:B412)</f>
        <v>410</v>
      </c>
      <c r="B412" s="3">
        <v>18190184</v>
      </c>
      <c r="C412" s="18" t="str">
        <f>_xlfn.XLOOKUP(Table6[[#This Row],[NIS]],Table2[NIS],Table2[Nama lengkap],"Not Found",0)</f>
        <v>Neneng Julaeha</v>
      </c>
      <c r="D412" s="18" t="str">
        <f>_xlfn.XLOOKUP(Table6[[#This Row],[NIS]],Table2[NIS],Table2[Nomer Induk Siswa Nasional],"Not Found",0)</f>
        <v>0059197458</v>
      </c>
      <c r="E412" s="3" t="str">
        <f>_xlfn.XLOOKUP(Table6[[#This Row],[NIS]],Table2[NIS],Table2[Status],"Not Found",0)</f>
        <v>Aktif</v>
      </c>
      <c r="F412" s="3">
        <f>_xlfn.XLOOKUP(Table6[[#This Row],[NIS]],Table2[NIS],Table2[Tahun Masuk],"Not Found",0)</f>
        <v>2018</v>
      </c>
      <c r="G412" s="3">
        <f>_xlfn.XLOOKUP(Table6[[#This Row],[NIS]],Table2[NIS],Table2[Tahun Keluar],"Not Found",0)</f>
        <v>0</v>
      </c>
      <c r="H412" s="3">
        <f>_xlfn.XLOOKUP(Table6[[#This Row],[NIS]],Table2[NIS],Table2[Kelas],"Not Found",0)</f>
        <v>6</v>
      </c>
      <c r="I412" s="3" t="str">
        <f>_xlfn.XLOOKUP(Table6[[#This Row],[NIS]],Table2[NIS],Table2[Kelas Detail],"Not Found",0)</f>
        <v>6-B</v>
      </c>
      <c r="J412" s="3" t="s">
        <v>2513</v>
      </c>
      <c r="K412" s="3" t="s">
        <v>2513</v>
      </c>
      <c r="L412" s="3" t="s">
        <v>2513</v>
      </c>
    </row>
    <row r="413" spans="1:12">
      <c r="A413" s="3">
        <f>SUBTOTAL(3,B$3:B413)</f>
        <v>411</v>
      </c>
      <c r="B413" s="3">
        <v>18190187</v>
      </c>
      <c r="C413" s="18" t="str">
        <f>_xlfn.XLOOKUP(Table6[[#This Row],[NIS]],Table2[NIS],Table2[Nama lengkap],"Not Found",0)</f>
        <v>Nurhalimah</v>
      </c>
      <c r="D413" s="18" t="str">
        <f>_xlfn.XLOOKUP(Table6[[#This Row],[NIS]],Table2[NIS],Table2[Nomer Induk Siswa Nasional],"Not Found",0)</f>
        <v>0057384448/0049764210</v>
      </c>
      <c r="E413" s="3" t="str">
        <f>_xlfn.XLOOKUP(Table6[[#This Row],[NIS]],Table2[NIS],Table2[Status],"Not Found",0)</f>
        <v>Aktif</v>
      </c>
      <c r="F413" s="3">
        <f>_xlfn.XLOOKUP(Table6[[#This Row],[NIS]],Table2[NIS],Table2[Tahun Masuk],"Not Found",0)</f>
        <v>2018</v>
      </c>
      <c r="G413" s="3">
        <f>_xlfn.XLOOKUP(Table6[[#This Row],[NIS]],Table2[NIS],Table2[Tahun Keluar],"Not Found",0)</f>
        <v>0</v>
      </c>
      <c r="H413" s="3">
        <f>_xlfn.XLOOKUP(Table6[[#This Row],[NIS]],Table2[NIS],Table2[Kelas],"Not Found",0)</f>
        <v>6</v>
      </c>
      <c r="I413" s="3" t="str">
        <f>_xlfn.XLOOKUP(Table6[[#This Row],[NIS]],Table2[NIS],Table2[Kelas Detail],"Not Found",0)</f>
        <v>6-B</v>
      </c>
      <c r="J413" s="3" t="s">
        <v>2513</v>
      </c>
      <c r="K413" s="3" t="s">
        <v>2513</v>
      </c>
      <c r="L413" s="3" t="s">
        <v>2513</v>
      </c>
    </row>
    <row r="414" spans="1:12">
      <c r="A414" s="3">
        <f>SUBTOTAL(3,B$3:B414)</f>
        <v>412</v>
      </c>
      <c r="B414" s="3">
        <v>18190190</v>
      </c>
      <c r="C414" s="18" t="str">
        <f>_xlfn.XLOOKUP(Table6[[#This Row],[NIS]],Table2[NIS],Table2[Nama lengkap],"Not Found",0)</f>
        <v>Nursalsabila</v>
      </c>
      <c r="D414" s="18" t="str">
        <f>_xlfn.XLOOKUP(Table6[[#This Row],[NIS]],Table2[NIS],Table2[Nomer Induk Siswa Nasional],"Not Found",0)</f>
        <v>0029895498</v>
      </c>
      <c r="E414" s="3" t="str">
        <f>_xlfn.XLOOKUP(Table6[[#This Row],[NIS]],Table2[NIS],Table2[Status],"Not Found",0)</f>
        <v>Aktif</v>
      </c>
      <c r="F414" s="3">
        <f>_xlfn.XLOOKUP(Table6[[#This Row],[NIS]],Table2[NIS],Table2[Tahun Masuk],"Not Found",0)</f>
        <v>2018</v>
      </c>
      <c r="G414" s="3">
        <f>_xlfn.XLOOKUP(Table6[[#This Row],[NIS]],Table2[NIS],Table2[Tahun Keluar],"Not Found",0)</f>
        <v>0</v>
      </c>
      <c r="H414" s="3">
        <f>_xlfn.XLOOKUP(Table6[[#This Row],[NIS]],Table2[NIS],Table2[Kelas],"Not Found",0)</f>
        <v>6</v>
      </c>
      <c r="I414" s="3" t="str">
        <f>_xlfn.XLOOKUP(Table6[[#This Row],[NIS]],Table2[NIS],Table2[Kelas Detail],"Not Found",0)</f>
        <v>6-B</v>
      </c>
      <c r="J414" s="3" t="s">
        <v>2513</v>
      </c>
      <c r="K414" s="3" t="s">
        <v>2513</v>
      </c>
      <c r="L414" s="3" t="s">
        <v>2513</v>
      </c>
    </row>
    <row r="415" spans="1:12">
      <c r="A415" s="3">
        <f>SUBTOTAL(3,B$3:B415)</f>
        <v>413</v>
      </c>
      <c r="B415" s="3">
        <v>17180134</v>
      </c>
      <c r="C415" s="18" t="str">
        <f>_xlfn.XLOOKUP(Table6[[#This Row],[NIS]],Table2[NIS],Table2[Nama lengkap],"Not Found",0)</f>
        <v>Putri Mutia Hanifah</v>
      </c>
      <c r="D415" s="18" t="str">
        <f>_xlfn.XLOOKUP(Table6[[#This Row],[NIS]],Table2[NIS],Table2[Nomer Induk Siswa Nasional],"Not Found",0)</f>
        <v>0020778801</v>
      </c>
      <c r="E415" s="3" t="str">
        <f>_xlfn.XLOOKUP(Table6[[#This Row],[NIS]],Table2[NIS],Table2[Status],"Not Found",0)</f>
        <v>Aktif</v>
      </c>
      <c r="F415" s="3">
        <f>_xlfn.XLOOKUP(Table6[[#This Row],[NIS]],Table2[NIS],Table2[Tahun Masuk],"Not Found",0)</f>
        <v>2017</v>
      </c>
      <c r="G415" s="3" t="str">
        <f>_xlfn.XLOOKUP(Table6[[#This Row],[NIS]],Table2[NIS],Table2[Tahun Keluar],"Not Found",0)</f>
        <v>TB</v>
      </c>
      <c r="H415" s="3">
        <f>_xlfn.XLOOKUP(Table6[[#This Row],[NIS]],Table2[NIS],Table2[Kelas],"Not Found",0)</f>
        <v>6</v>
      </c>
      <c r="I415" s="3" t="str">
        <f>_xlfn.XLOOKUP(Table6[[#This Row],[NIS]],Table2[NIS],Table2[Kelas Detail],"Not Found",0)</f>
        <v>6-B</v>
      </c>
      <c r="J415" s="3" t="s">
        <v>2513</v>
      </c>
      <c r="K415" s="3" t="s">
        <v>2513</v>
      </c>
      <c r="L415" s="3" t="s">
        <v>2513</v>
      </c>
    </row>
    <row r="416" spans="1:12">
      <c r="A416" s="3">
        <f>SUBTOTAL(3,B$3:B416)</f>
        <v>414</v>
      </c>
      <c r="B416" s="3">
        <v>17180141</v>
      </c>
      <c r="C416" s="18" t="str">
        <f>_xlfn.XLOOKUP(Table6[[#This Row],[NIS]],Table2[NIS],Table2[Nama lengkap],"Not Found",0)</f>
        <v>Sabrina Alawiyyah</v>
      </c>
      <c r="D416" s="18" t="str">
        <f>_xlfn.XLOOKUP(Table6[[#This Row],[NIS]],Table2[NIS],Table2[Nomer Induk Siswa Nasional],"Not Found",0)</f>
        <v>0007244172</v>
      </c>
      <c r="E416" s="3" t="str">
        <f>_xlfn.XLOOKUP(Table6[[#This Row],[NIS]],Table2[NIS],Table2[Status],"Not Found",0)</f>
        <v>Aktif</v>
      </c>
      <c r="F416" s="3">
        <f>_xlfn.XLOOKUP(Table6[[#This Row],[NIS]],Table2[NIS],Table2[Tahun Masuk],"Not Found",0)</f>
        <v>2017</v>
      </c>
      <c r="G416" s="3">
        <f>_xlfn.XLOOKUP(Table6[[#This Row],[NIS]],Table2[NIS],Table2[Tahun Keluar],"Not Found",0)</f>
        <v>0</v>
      </c>
      <c r="H416" s="3">
        <f>_xlfn.XLOOKUP(Table6[[#This Row],[NIS]],Table2[NIS],Table2[Kelas],"Not Found",0)</f>
        <v>6</v>
      </c>
      <c r="I416" s="3" t="str">
        <f>_xlfn.XLOOKUP(Table6[[#This Row],[NIS]],Table2[NIS],Table2[Kelas Detail],"Not Found",0)</f>
        <v>6-B</v>
      </c>
      <c r="J416" s="3" t="s">
        <v>2513</v>
      </c>
      <c r="K416" s="3" t="s">
        <v>2513</v>
      </c>
      <c r="L416" s="3" t="s">
        <v>2513</v>
      </c>
    </row>
    <row r="417" spans="1:12">
      <c r="A417" s="3">
        <f>SUBTOTAL(3,B$3:B417)</f>
        <v>415</v>
      </c>
      <c r="B417" s="3">
        <v>19200288</v>
      </c>
      <c r="C417" s="18" t="str">
        <f>_xlfn.XLOOKUP(Table6[[#This Row],[NIS]],Table2[NIS],Table2[Nama lengkap],"Not Found",0)</f>
        <v>Salma Putri Ariska</v>
      </c>
      <c r="D417" s="18" t="str">
        <f>_xlfn.XLOOKUP(Table6[[#This Row],[NIS]],Table2[NIS],Table2[Nomer Induk Siswa Nasional],"Not Found",0)</f>
        <v>0061166159</v>
      </c>
      <c r="E417" s="3" t="str">
        <f>_xlfn.XLOOKUP(Table6[[#This Row],[NIS]],Table2[NIS],Table2[Status],"Not Found",0)</f>
        <v>Aktif</v>
      </c>
      <c r="F417" s="3">
        <f>_xlfn.XLOOKUP(Table6[[#This Row],[NIS]],Table2[NIS],Table2[Tahun Masuk],"Not Found",0)</f>
        <v>2019</v>
      </c>
      <c r="G417" s="3">
        <f>_xlfn.XLOOKUP(Table6[[#This Row],[NIS]],Table2[NIS],Table2[Tahun Keluar],"Not Found",0)</f>
        <v>0</v>
      </c>
      <c r="H417" s="3">
        <f>_xlfn.XLOOKUP(Table6[[#This Row],[NIS]],Table2[NIS],Table2[Kelas],"Not Found",0)</f>
        <v>6</v>
      </c>
      <c r="I417" s="3" t="str">
        <f>_xlfn.XLOOKUP(Table6[[#This Row],[NIS]],Table2[NIS],Table2[Kelas Detail],"Not Found",0)</f>
        <v>6-B</v>
      </c>
      <c r="J417" s="3" t="s">
        <v>2513</v>
      </c>
      <c r="K417" s="3" t="s">
        <v>2513</v>
      </c>
      <c r="L417" s="3" t="s">
        <v>2513</v>
      </c>
    </row>
    <row r="418" spans="1:12">
      <c r="A418" s="3">
        <f>SUBTOTAL(3,B$3:B418)</f>
        <v>416</v>
      </c>
      <c r="B418" s="3">
        <v>17180143</v>
      </c>
      <c r="C418" s="18" t="str">
        <f>_xlfn.XLOOKUP(Table6[[#This Row],[NIS]],Table2[NIS],Table2[Nama lengkap],"Not Found",0)</f>
        <v>Salma Razwa Salsabillah</v>
      </c>
      <c r="D418" s="18" t="str">
        <f>_xlfn.XLOOKUP(Table6[[#This Row],[NIS]],Table2[NIS],Table2[Nomer Induk Siswa Nasional],"Not Found",0)</f>
        <v>0044999304</v>
      </c>
      <c r="E418" s="3" t="str">
        <f>_xlfn.XLOOKUP(Table6[[#This Row],[NIS]],Table2[NIS],Table2[Status],"Not Found",0)</f>
        <v>Aktif</v>
      </c>
      <c r="F418" s="3">
        <f>_xlfn.XLOOKUP(Table6[[#This Row],[NIS]],Table2[NIS],Table2[Tahun Masuk],"Not Found",0)</f>
        <v>2017</v>
      </c>
      <c r="G418" s="3">
        <f>_xlfn.XLOOKUP(Table6[[#This Row],[NIS]],Table2[NIS],Table2[Tahun Keluar],"Not Found",0)</f>
        <v>0</v>
      </c>
      <c r="H418" s="3">
        <f>_xlfn.XLOOKUP(Table6[[#This Row],[NIS]],Table2[NIS],Table2[Kelas],"Not Found",0)</f>
        <v>6</v>
      </c>
      <c r="I418" s="3" t="str">
        <f>_xlfn.XLOOKUP(Table6[[#This Row],[NIS]],Table2[NIS],Table2[Kelas Detail],"Not Found",0)</f>
        <v>6-B</v>
      </c>
      <c r="J418" s="3" t="s">
        <v>2513</v>
      </c>
      <c r="K418" s="3" t="s">
        <v>2513</v>
      </c>
      <c r="L418" s="3" t="s">
        <v>2513</v>
      </c>
    </row>
    <row r="419" spans="1:12">
      <c r="A419" s="3">
        <f>SUBTOTAL(3,B$3:B419)</f>
        <v>417</v>
      </c>
      <c r="B419" s="3">
        <v>18190236</v>
      </c>
      <c r="C419" s="18" t="str">
        <f>_xlfn.XLOOKUP(Table6[[#This Row],[NIS]],Table2[NIS],Table2[Nama lengkap],"Not Found",0)</f>
        <v>Salma Salsabila</v>
      </c>
      <c r="D419" s="18" t="str">
        <f>_xlfn.XLOOKUP(Table6[[#This Row],[NIS]],Table2[NIS],Table2[Nomer Induk Siswa Nasional],"Not Found",0)</f>
        <v>0057031183</v>
      </c>
      <c r="E419" s="3" t="str">
        <f>_xlfn.XLOOKUP(Table6[[#This Row],[NIS]],Table2[NIS],Table2[Status],"Not Found",0)</f>
        <v>Aktif</v>
      </c>
      <c r="F419" s="3">
        <f>_xlfn.XLOOKUP(Table6[[#This Row],[NIS]],Table2[NIS],Table2[Tahun Masuk],"Not Found",0)</f>
        <v>2018</v>
      </c>
      <c r="G419" s="3">
        <f>_xlfn.XLOOKUP(Table6[[#This Row],[NIS]],Table2[NIS],Table2[Tahun Keluar],"Not Found",0)</f>
        <v>0</v>
      </c>
      <c r="H419" s="3">
        <f>_xlfn.XLOOKUP(Table6[[#This Row],[NIS]],Table2[NIS],Table2[Kelas],"Not Found",0)</f>
        <v>6</v>
      </c>
      <c r="I419" s="3" t="str">
        <f>_xlfn.XLOOKUP(Table6[[#This Row],[NIS]],Table2[NIS],Table2[Kelas Detail],"Not Found",0)</f>
        <v>6-B</v>
      </c>
      <c r="J419" s="3" t="s">
        <v>2513</v>
      </c>
      <c r="K419" s="3" t="s">
        <v>2513</v>
      </c>
      <c r="L419" s="3" t="s">
        <v>2513</v>
      </c>
    </row>
    <row r="420" spans="1:12">
      <c r="A420" s="3">
        <f>SUBTOTAL(3,B$3:B420)</f>
        <v>418</v>
      </c>
      <c r="B420" s="3">
        <v>18190202</v>
      </c>
      <c r="C420" s="18" t="str">
        <f>_xlfn.XLOOKUP(Table6[[#This Row],[NIS]],Table2[NIS],Table2[Nama lengkap],"Not Found",0)</f>
        <v>Salsabila Aprilla Putri</v>
      </c>
      <c r="D420" s="18" t="str">
        <f>_xlfn.XLOOKUP(Table6[[#This Row],[NIS]],Table2[NIS],Table2[Nomer Induk Siswa Nasional],"Not Found",0)</f>
        <v>0034509069</v>
      </c>
      <c r="E420" s="3" t="str">
        <f>_xlfn.XLOOKUP(Table6[[#This Row],[NIS]],Table2[NIS],Table2[Status],"Not Found",0)</f>
        <v>Aktif</v>
      </c>
      <c r="F420" s="3">
        <f>_xlfn.XLOOKUP(Table6[[#This Row],[NIS]],Table2[NIS],Table2[Tahun Masuk],"Not Found",0)</f>
        <v>2018</v>
      </c>
      <c r="G420" s="3">
        <f>_xlfn.XLOOKUP(Table6[[#This Row],[NIS]],Table2[NIS],Table2[Tahun Keluar],"Not Found",0)</f>
        <v>0</v>
      </c>
      <c r="H420" s="3">
        <f>_xlfn.XLOOKUP(Table6[[#This Row],[NIS]],Table2[NIS],Table2[Kelas],"Not Found",0)</f>
        <v>6</v>
      </c>
      <c r="I420" s="3" t="str">
        <f>_xlfn.XLOOKUP(Table6[[#This Row],[NIS]],Table2[NIS],Table2[Kelas Detail],"Not Found",0)</f>
        <v>6-B</v>
      </c>
      <c r="J420" s="3" t="s">
        <v>2513</v>
      </c>
      <c r="K420" s="3" t="s">
        <v>2513</v>
      </c>
      <c r="L420" s="3" t="s">
        <v>2513</v>
      </c>
    </row>
    <row r="421" spans="1:12">
      <c r="A421" s="3">
        <f>SUBTOTAL(3,B$3:B421)</f>
        <v>419</v>
      </c>
      <c r="B421" s="3">
        <v>17180149</v>
      </c>
      <c r="C421" s="18" t="str">
        <f>_xlfn.XLOOKUP(Table6[[#This Row],[NIS]],Table2[NIS],Table2[Nama lengkap],"Not Found",0)</f>
        <v>Siti Fatimah Nuur Fadliilah</v>
      </c>
      <c r="D421" s="18" t="str">
        <f>_xlfn.XLOOKUP(Table6[[#This Row],[NIS]],Table2[NIS],Table2[Nomer Induk Siswa Nasional],"Not Found",0)</f>
        <v>0056524132</v>
      </c>
      <c r="E421" s="3" t="str">
        <f>_xlfn.XLOOKUP(Table6[[#This Row],[NIS]],Table2[NIS],Table2[Status],"Not Found",0)</f>
        <v>Aktif</v>
      </c>
      <c r="F421" s="3">
        <f>_xlfn.XLOOKUP(Table6[[#This Row],[NIS]],Table2[NIS],Table2[Tahun Masuk],"Not Found",0)</f>
        <v>2017</v>
      </c>
      <c r="G421" s="3">
        <f>_xlfn.XLOOKUP(Table6[[#This Row],[NIS]],Table2[NIS],Table2[Tahun Keluar],"Not Found",0)</f>
        <v>0</v>
      </c>
      <c r="H421" s="3">
        <f>_xlfn.XLOOKUP(Table6[[#This Row],[NIS]],Table2[NIS],Table2[Kelas],"Not Found",0)</f>
        <v>6</v>
      </c>
      <c r="I421" s="3" t="str">
        <f>_xlfn.XLOOKUP(Table6[[#This Row],[NIS]],Table2[NIS],Table2[Kelas Detail],"Not Found",0)</f>
        <v>6-B</v>
      </c>
      <c r="J421" s="3" t="s">
        <v>2513</v>
      </c>
      <c r="K421" s="3" t="s">
        <v>2513</v>
      </c>
      <c r="L421" s="3" t="s">
        <v>2513</v>
      </c>
    </row>
    <row r="422" spans="1:12">
      <c r="A422" s="3">
        <f>SUBTOTAL(3,B$3:B422)</f>
        <v>420</v>
      </c>
      <c r="B422" s="3">
        <v>18190206</v>
      </c>
      <c r="C422" s="18" t="str">
        <f>_xlfn.XLOOKUP(Table6[[#This Row],[NIS]],Table2[NIS],Table2[Nama lengkap],"Not Found",0)</f>
        <v>Siti Hapsoh</v>
      </c>
      <c r="D422" s="18" t="str">
        <f>_xlfn.XLOOKUP(Table6[[#This Row],[NIS]],Table2[NIS],Table2[Nomer Induk Siswa Nasional],"Not Found",0)</f>
        <v>0068192410</v>
      </c>
      <c r="E422" s="3" t="str">
        <f>_xlfn.XLOOKUP(Table6[[#This Row],[NIS]],Table2[NIS],Table2[Status],"Not Found",0)</f>
        <v>Aktif</v>
      </c>
      <c r="F422" s="3">
        <f>_xlfn.XLOOKUP(Table6[[#This Row],[NIS]],Table2[NIS],Table2[Tahun Masuk],"Not Found",0)</f>
        <v>2018</v>
      </c>
      <c r="G422" s="3">
        <f>_xlfn.XLOOKUP(Table6[[#This Row],[NIS]],Table2[NIS],Table2[Tahun Keluar],"Not Found",0)</f>
        <v>0</v>
      </c>
      <c r="H422" s="3">
        <f>_xlfn.XLOOKUP(Table6[[#This Row],[NIS]],Table2[NIS],Table2[Kelas],"Not Found",0)</f>
        <v>6</v>
      </c>
      <c r="I422" s="3" t="str">
        <f>_xlfn.XLOOKUP(Table6[[#This Row],[NIS]],Table2[NIS],Table2[Kelas Detail],"Not Found",0)</f>
        <v>6-B</v>
      </c>
      <c r="J422" s="3" t="s">
        <v>2513</v>
      </c>
      <c r="K422" s="3" t="s">
        <v>2513</v>
      </c>
      <c r="L422" s="3" t="s">
        <v>2513</v>
      </c>
    </row>
    <row r="423" spans="1:12">
      <c r="A423" s="3">
        <f>SUBTOTAL(3,B$3:B423)</f>
        <v>421</v>
      </c>
      <c r="B423" s="3">
        <v>18190209</v>
      </c>
      <c r="C423" s="18" t="str">
        <f>_xlfn.XLOOKUP(Table6[[#This Row],[NIS]],Table2[NIS],Table2[Nama lengkap],"Not Found",0)</f>
        <v>Siti Naziah Sholihah</v>
      </c>
      <c r="D423" s="18" t="str">
        <f>_xlfn.XLOOKUP(Table6[[#This Row],[NIS]],Table2[NIS],Table2[Nomer Induk Siswa Nasional],"Not Found",0)</f>
        <v>0071825720</v>
      </c>
      <c r="E423" s="3" t="str">
        <f>_xlfn.XLOOKUP(Table6[[#This Row],[NIS]],Table2[NIS],Table2[Status],"Not Found",0)</f>
        <v>Aktif</v>
      </c>
      <c r="F423" s="3">
        <f>_xlfn.XLOOKUP(Table6[[#This Row],[NIS]],Table2[NIS],Table2[Tahun Masuk],"Not Found",0)</f>
        <v>2018</v>
      </c>
      <c r="G423" s="3">
        <f>_xlfn.XLOOKUP(Table6[[#This Row],[NIS]],Table2[NIS],Table2[Tahun Keluar],"Not Found",0)</f>
        <v>0</v>
      </c>
      <c r="H423" s="3">
        <f>_xlfn.XLOOKUP(Table6[[#This Row],[NIS]],Table2[NIS],Table2[Kelas],"Not Found",0)</f>
        <v>6</v>
      </c>
      <c r="I423" s="3" t="str">
        <f>_xlfn.XLOOKUP(Table6[[#This Row],[NIS]],Table2[NIS],Table2[Kelas Detail],"Not Found",0)</f>
        <v>6-B</v>
      </c>
      <c r="J423" s="3" t="s">
        <v>2513</v>
      </c>
      <c r="K423" s="3" t="s">
        <v>2513</v>
      </c>
      <c r="L423" s="3" t="s">
        <v>2513</v>
      </c>
    </row>
    <row r="424" spans="1:12">
      <c r="A424" s="3">
        <f>SUBTOTAL(3,B$3:B424)</f>
        <v>422</v>
      </c>
      <c r="B424" s="3">
        <v>19200312</v>
      </c>
      <c r="C424" s="18" t="str">
        <f>_xlfn.XLOOKUP(Table6[[#This Row],[NIS]],Table2[NIS],Table2[Nama lengkap],"Not Found",0)</f>
        <v>Siti Nuraini</v>
      </c>
      <c r="D424" s="18" t="str">
        <f>_xlfn.XLOOKUP(Table6[[#This Row],[NIS]],Table2[NIS],Table2[Nomer Induk Siswa Nasional],"Not Found",0)</f>
        <v>0069685883</v>
      </c>
      <c r="E424" s="3" t="str">
        <f>_xlfn.XLOOKUP(Table6[[#This Row],[NIS]],Table2[NIS],Table2[Status],"Not Found",0)</f>
        <v>Aktif</v>
      </c>
      <c r="F424" s="3">
        <f>_xlfn.XLOOKUP(Table6[[#This Row],[NIS]],Table2[NIS],Table2[Tahun Masuk],"Not Found",0)</f>
        <v>2019</v>
      </c>
      <c r="G424" s="3">
        <f>_xlfn.XLOOKUP(Table6[[#This Row],[NIS]],Table2[NIS],Table2[Tahun Keluar],"Not Found",0)</f>
        <v>0</v>
      </c>
      <c r="H424" s="3">
        <f>_xlfn.XLOOKUP(Table6[[#This Row],[NIS]],Table2[NIS],Table2[Kelas],"Not Found",0)</f>
        <v>6</v>
      </c>
      <c r="I424" s="3" t="str">
        <f>_xlfn.XLOOKUP(Table6[[#This Row],[NIS]],Table2[NIS],Table2[Kelas Detail],"Not Found",0)</f>
        <v>6-B</v>
      </c>
      <c r="J424" s="3" t="s">
        <v>2513</v>
      </c>
      <c r="K424" s="3" t="s">
        <v>2513</v>
      </c>
      <c r="L424" s="3" t="s">
        <v>2513</v>
      </c>
    </row>
    <row r="425" spans="1:12">
      <c r="A425" s="3">
        <f>SUBTOTAL(3,B$3:B425)</f>
        <v>423</v>
      </c>
      <c r="B425" s="3">
        <v>18190213</v>
      </c>
      <c r="C425" s="18" t="str">
        <f>_xlfn.XLOOKUP(Table6[[#This Row],[NIS]],Table2[NIS],Table2[Nama lengkap],"Not Found",0)</f>
        <v>Siti Rahmah Maimunah</v>
      </c>
      <c r="D425" s="18" t="str">
        <f>_xlfn.XLOOKUP(Table6[[#This Row],[NIS]],Table2[NIS],Table2[Nomer Induk Siswa Nasional],"Not Found",0)</f>
        <v>0054907368</v>
      </c>
      <c r="E425" s="3" t="str">
        <f>_xlfn.XLOOKUP(Table6[[#This Row],[NIS]],Table2[NIS],Table2[Status],"Not Found",0)</f>
        <v>Aktif</v>
      </c>
      <c r="F425" s="3">
        <f>_xlfn.XLOOKUP(Table6[[#This Row],[NIS]],Table2[NIS],Table2[Tahun Masuk],"Not Found",0)</f>
        <v>2018</v>
      </c>
      <c r="G425" s="3">
        <f>_xlfn.XLOOKUP(Table6[[#This Row],[NIS]],Table2[NIS],Table2[Tahun Keluar],"Not Found",0)</f>
        <v>0</v>
      </c>
      <c r="H425" s="3">
        <f>_xlfn.XLOOKUP(Table6[[#This Row],[NIS]],Table2[NIS],Table2[Kelas],"Not Found",0)</f>
        <v>6</v>
      </c>
      <c r="I425" s="3" t="str">
        <f>_xlfn.XLOOKUP(Table6[[#This Row],[NIS]],Table2[NIS],Table2[Kelas Detail],"Not Found",0)</f>
        <v>6-B</v>
      </c>
      <c r="J425" s="3" t="s">
        <v>2513</v>
      </c>
      <c r="K425" s="3" t="s">
        <v>2513</v>
      </c>
      <c r="L425" s="3" t="s">
        <v>2513</v>
      </c>
    </row>
    <row r="426" spans="1:12">
      <c r="A426" s="3">
        <f>SUBTOTAL(3,B$3:B426)</f>
        <v>424</v>
      </c>
      <c r="B426" s="3">
        <v>18190214</v>
      </c>
      <c r="C426" s="18" t="str">
        <f>_xlfn.XLOOKUP(Table6[[#This Row],[NIS]],Table2[NIS],Table2[Nama lengkap],"Not Found",0)</f>
        <v>Siti Rohmah</v>
      </c>
      <c r="D426" s="18" t="str">
        <f>_xlfn.XLOOKUP(Table6[[#This Row],[NIS]],Table2[NIS],Table2[Nomer Induk Siswa Nasional],"Not Found",0)</f>
        <v>0068489195</v>
      </c>
      <c r="E426" s="3" t="str">
        <f>_xlfn.XLOOKUP(Table6[[#This Row],[NIS]],Table2[NIS],Table2[Status],"Not Found",0)</f>
        <v>Aktif</v>
      </c>
      <c r="F426" s="3">
        <f>_xlfn.XLOOKUP(Table6[[#This Row],[NIS]],Table2[NIS],Table2[Tahun Masuk],"Not Found",0)</f>
        <v>2018</v>
      </c>
      <c r="G426" s="3">
        <f>_xlfn.XLOOKUP(Table6[[#This Row],[NIS]],Table2[NIS],Table2[Tahun Keluar],"Not Found",0)</f>
        <v>0</v>
      </c>
      <c r="H426" s="3">
        <f>_xlfn.XLOOKUP(Table6[[#This Row],[NIS]],Table2[NIS],Table2[Kelas],"Not Found",0)</f>
        <v>6</v>
      </c>
      <c r="I426" s="3" t="str">
        <f>_xlfn.XLOOKUP(Table6[[#This Row],[NIS]],Table2[NIS],Table2[Kelas Detail],"Not Found",0)</f>
        <v>6-B</v>
      </c>
      <c r="J426" s="3" t="s">
        <v>2513</v>
      </c>
      <c r="K426" s="3" t="s">
        <v>2513</v>
      </c>
      <c r="L426" s="3" t="s">
        <v>2513</v>
      </c>
    </row>
    <row r="427" spans="1:12">
      <c r="A427" s="3">
        <f>SUBTOTAL(3,B$3:B427)</f>
        <v>425</v>
      </c>
      <c r="B427" s="3">
        <v>18190215</v>
      </c>
      <c r="C427" s="18" t="str">
        <f>_xlfn.XLOOKUP(Table6[[#This Row],[NIS]],Table2[NIS],Table2[Nama lengkap],"Not Found",0)</f>
        <v>Siti Sakinah</v>
      </c>
      <c r="D427" s="18" t="str">
        <f>_xlfn.XLOOKUP(Table6[[#This Row],[NIS]],Table2[NIS],Table2[Nomer Induk Siswa Nasional],"Not Found",0)</f>
        <v>0065876192</v>
      </c>
      <c r="E427" s="3" t="str">
        <f>_xlfn.XLOOKUP(Table6[[#This Row],[NIS]],Table2[NIS],Table2[Status],"Not Found",0)</f>
        <v>Aktif</v>
      </c>
      <c r="F427" s="3">
        <f>_xlfn.XLOOKUP(Table6[[#This Row],[NIS]],Table2[NIS],Table2[Tahun Masuk],"Not Found",0)</f>
        <v>2018</v>
      </c>
      <c r="G427" s="3">
        <f>_xlfn.XLOOKUP(Table6[[#This Row],[NIS]],Table2[NIS],Table2[Tahun Keluar],"Not Found",0)</f>
        <v>0</v>
      </c>
      <c r="H427" s="3">
        <f>_xlfn.XLOOKUP(Table6[[#This Row],[NIS]],Table2[NIS],Table2[Kelas],"Not Found",0)</f>
        <v>6</v>
      </c>
      <c r="I427" s="3" t="str">
        <f>_xlfn.XLOOKUP(Table6[[#This Row],[NIS]],Table2[NIS],Table2[Kelas Detail],"Not Found",0)</f>
        <v>6-B</v>
      </c>
      <c r="J427" s="3" t="s">
        <v>2513</v>
      </c>
      <c r="K427" s="3" t="s">
        <v>2513</v>
      </c>
      <c r="L427" s="3" t="s">
        <v>2513</v>
      </c>
    </row>
    <row r="428" spans="1:12">
      <c r="A428" s="3">
        <f>SUBTOTAL(3,B$3:B428)</f>
        <v>426</v>
      </c>
      <c r="B428" s="3">
        <v>18190216</v>
      </c>
      <c r="C428" s="18" t="str">
        <f>_xlfn.XLOOKUP(Table6[[#This Row],[NIS]],Table2[NIS],Table2[Nama lengkap],"Not Found",0)</f>
        <v>Siti Saniah Nurhasanah S</v>
      </c>
      <c r="D428" s="18" t="str">
        <f>_xlfn.XLOOKUP(Table6[[#This Row],[NIS]],Table2[NIS],Table2[Nomer Induk Siswa Nasional],"Not Found",0)</f>
        <v>0067027058</v>
      </c>
      <c r="E428" s="3" t="str">
        <f>_xlfn.XLOOKUP(Table6[[#This Row],[NIS]],Table2[NIS],Table2[Status],"Not Found",0)</f>
        <v>Aktif</v>
      </c>
      <c r="F428" s="3">
        <f>_xlfn.XLOOKUP(Table6[[#This Row],[NIS]],Table2[NIS],Table2[Tahun Masuk],"Not Found",0)</f>
        <v>2018</v>
      </c>
      <c r="G428" s="3" t="str">
        <f>_xlfn.XLOOKUP(Table6[[#This Row],[NIS]],Table2[NIS],Table2[Tahun Keluar],"Not Found",0)</f>
        <v>TB</v>
      </c>
      <c r="H428" s="3">
        <f>_xlfn.XLOOKUP(Table6[[#This Row],[NIS]],Table2[NIS],Table2[Kelas],"Not Found",0)</f>
        <v>6</v>
      </c>
      <c r="I428" s="3" t="str">
        <f>_xlfn.XLOOKUP(Table6[[#This Row],[NIS]],Table2[NIS],Table2[Kelas Detail],"Not Found",0)</f>
        <v>6-B</v>
      </c>
      <c r="J428" s="3" t="s">
        <v>2513</v>
      </c>
      <c r="K428" s="3" t="s">
        <v>2513</v>
      </c>
      <c r="L428" s="3" t="s">
        <v>2513</v>
      </c>
    </row>
    <row r="429" spans="1:12">
      <c r="A429" s="3">
        <f>SUBTOTAL(3,B$3:B429)</f>
        <v>427</v>
      </c>
      <c r="B429" s="3">
        <v>18190240</v>
      </c>
      <c r="C429" s="18" t="str">
        <f>_xlfn.XLOOKUP(Table6[[#This Row],[NIS]],Table2[NIS],Table2[Nama lengkap],"Not Found",0)</f>
        <v>Wardattun Nisa</v>
      </c>
      <c r="D429" s="18" t="str">
        <f>_xlfn.XLOOKUP(Table6[[#This Row],[NIS]],Table2[NIS],Table2[Nomer Induk Siswa Nasional],"Not Found",0)</f>
        <v>0037559983</v>
      </c>
      <c r="E429" s="3" t="str">
        <f>_xlfn.XLOOKUP(Table6[[#This Row],[NIS]],Table2[NIS],Table2[Status],"Not Found",0)</f>
        <v>Aktif</v>
      </c>
      <c r="F429" s="3">
        <f>_xlfn.XLOOKUP(Table6[[#This Row],[NIS]],Table2[NIS],Table2[Tahun Masuk],"Not Found",0)</f>
        <v>2018</v>
      </c>
      <c r="G429" s="3">
        <f>_xlfn.XLOOKUP(Table6[[#This Row],[NIS]],Table2[NIS],Table2[Tahun Keluar],"Not Found",0)</f>
        <v>0</v>
      </c>
      <c r="H429" s="3">
        <f>_xlfn.XLOOKUP(Table6[[#This Row],[NIS]],Table2[NIS],Table2[Kelas],"Not Found",0)</f>
        <v>6</v>
      </c>
      <c r="I429" s="3" t="str">
        <f>_xlfn.XLOOKUP(Table6[[#This Row],[NIS]],Table2[NIS],Table2[Kelas Detail],"Not Found",0)</f>
        <v>6-B</v>
      </c>
      <c r="J429" s="3" t="s">
        <v>2513</v>
      </c>
      <c r="K429" s="3" t="s">
        <v>2513</v>
      </c>
      <c r="L429" s="3" t="s">
        <v>2513</v>
      </c>
    </row>
    <row r="430" spans="1:12">
      <c r="A430" s="3">
        <f>SUBTOTAL(3,B$3:B430)</f>
        <v>428</v>
      </c>
      <c r="B430" s="3">
        <v>19200345</v>
      </c>
      <c r="C430" s="18" t="str">
        <f>_xlfn.XLOOKUP(Table6[[#This Row],[NIS]],Table2[NIS],Table2[Nama lengkap],"Not Found",0)</f>
        <v>Zahra Nazilatur Rohmah</v>
      </c>
      <c r="D430" s="18" t="str">
        <f>_xlfn.XLOOKUP(Table6[[#This Row],[NIS]],Table2[NIS],Table2[Nomer Induk Siswa Nasional],"Not Found",0)</f>
        <v>0072529982</v>
      </c>
      <c r="E430" s="3" t="str">
        <f>_xlfn.XLOOKUP(Table6[[#This Row],[NIS]],Table2[NIS],Table2[Status],"Not Found",0)</f>
        <v>Aktif</v>
      </c>
      <c r="F430" s="3">
        <f>_xlfn.XLOOKUP(Table6[[#This Row],[NIS]],Table2[NIS],Table2[Tahun Masuk],"Not Found",0)</f>
        <v>2019</v>
      </c>
      <c r="G430" s="3">
        <f>_xlfn.XLOOKUP(Table6[[#This Row],[NIS]],Table2[NIS],Table2[Tahun Keluar],"Not Found",0)</f>
        <v>0</v>
      </c>
      <c r="H430" s="3">
        <f>_xlfn.XLOOKUP(Table6[[#This Row],[NIS]],Table2[NIS],Table2[Kelas],"Not Found",0)</f>
        <v>6</v>
      </c>
      <c r="I430" s="3" t="str">
        <f>_xlfn.XLOOKUP(Table6[[#This Row],[NIS]],Table2[NIS],Table2[Kelas Detail],"Not Found",0)</f>
        <v>6-B</v>
      </c>
      <c r="J430" s="3" t="s">
        <v>2513</v>
      </c>
      <c r="K430" s="3" t="s">
        <v>2513</v>
      </c>
      <c r="L430" s="3" t="s">
        <v>2513</v>
      </c>
    </row>
    <row r="431" spans="1:12">
      <c r="A431" s="3">
        <f>SUBTOTAL(3,B$3:B431)</f>
        <v>429</v>
      </c>
      <c r="B431" s="3">
        <v>24250143</v>
      </c>
      <c r="C431" s="18" t="str">
        <f>_xlfn.XLOOKUP(Table6[[#This Row],[NIS]],Table2[NIS],Table2[Nama lengkap],"Not Found",0)</f>
        <v>Alesya Faiha Azhar</v>
      </c>
      <c r="D431" s="18" t="str">
        <f>_xlfn.XLOOKUP(Table6[[#This Row],[NIS]],Table2[NIS],Table2[Nomer Induk Siswa Nasional],"Not Found",0)</f>
        <v>0116792323</v>
      </c>
      <c r="E431" s="3" t="str">
        <f>_xlfn.XLOOKUP(Table6[[#This Row],[NIS]],Table2[NIS],Table2[Status],"Not Found",0)</f>
        <v>Aktif</v>
      </c>
      <c r="F431" s="3">
        <f>_xlfn.XLOOKUP(Table6[[#This Row],[NIS]],Table2[NIS],Table2[Tahun Masuk],"Not Found",0)</f>
        <v>2024</v>
      </c>
      <c r="G431" s="3">
        <f>_xlfn.XLOOKUP(Table6[[#This Row],[NIS]],Table2[NIS],Table2[Tahun Keluar],"Not Found",0)</f>
        <v>0</v>
      </c>
      <c r="H431" s="3" t="str">
        <f>_xlfn.XLOOKUP(Table6[[#This Row],[NIS]],Table2[NIS],Table2[Kelas],"Not Found",0)</f>
        <v>Tamhidi</v>
      </c>
      <c r="I431" s="3" t="str">
        <f>_xlfn.XLOOKUP(Table6[[#This Row],[NIS]],Table2[NIS],Table2[Kelas Detail],"Not Found",0)</f>
        <v>Tamhidi B</v>
      </c>
    </row>
    <row r="432" spans="1:12">
      <c r="A432" s="3">
        <f>SUBTOTAL(3,B$3:B432)</f>
        <v>430</v>
      </c>
      <c r="B432" s="3">
        <v>24250136</v>
      </c>
      <c r="C432" s="18" t="str">
        <f>_xlfn.XLOOKUP(Table6[[#This Row],[NIS]],Table2[NIS],Table2[Nama lengkap],"Not Found",0)</f>
        <v>Ghania Rahmani Muchtar</v>
      </c>
      <c r="D432" s="18" t="str">
        <f>_xlfn.XLOOKUP(Table6[[#This Row],[NIS]],Table2[NIS],Table2[Nomer Induk Siswa Nasional],"Not Found",0)</f>
        <v>0121167139</v>
      </c>
      <c r="E432" s="3" t="str">
        <f>_xlfn.XLOOKUP(Table6[[#This Row],[NIS]],Table2[NIS],Table2[Status],"Not Found",0)</f>
        <v>Aktif</v>
      </c>
      <c r="F432" s="3">
        <f>_xlfn.XLOOKUP(Table6[[#This Row],[NIS]],Table2[NIS],Table2[Tahun Masuk],"Not Found",0)</f>
        <v>2024</v>
      </c>
      <c r="G432" s="3">
        <f>_xlfn.XLOOKUP(Table6[[#This Row],[NIS]],Table2[NIS],Table2[Tahun Keluar],"Not Found",0)</f>
        <v>0</v>
      </c>
      <c r="H432" s="3" t="str">
        <f>_xlfn.XLOOKUP(Table6[[#This Row],[NIS]],Table2[NIS],Table2[Kelas],"Not Found",0)</f>
        <v>Tamhidi</v>
      </c>
      <c r="I432" s="3" t="str">
        <f>_xlfn.XLOOKUP(Table6[[#This Row],[NIS]],Table2[NIS],Table2[Kelas Detail],"Not Found",0)</f>
        <v>Tamhidi B</v>
      </c>
    </row>
    <row r="433" spans="1:9">
      <c r="A433" s="3">
        <f>SUBTOTAL(3,B$3:B433)</f>
        <v>431</v>
      </c>
      <c r="B433" s="3">
        <v>24250149</v>
      </c>
      <c r="C433" s="18" t="str">
        <f>_xlfn.XLOOKUP(Table6[[#This Row],[NIS]],Table2[NIS],Table2[Nama lengkap],"Not Found",0)</f>
        <v>Silpana Anggraeni</v>
      </c>
      <c r="D433" s="18" t="str">
        <f>_xlfn.XLOOKUP(Table6[[#This Row],[NIS]],Table2[NIS],Table2[Nomer Induk Siswa Nasional],"Not Found",0)</f>
        <v>0123367158</v>
      </c>
      <c r="E433" s="3" t="str">
        <f>_xlfn.XLOOKUP(Table6[[#This Row],[NIS]],Table2[NIS],Table2[Status],"Not Found",0)</f>
        <v>Aktif</v>
      </c>
      <c r="F433" s="3">
        <f>_xlfn.XLOOKUP(Table6[[#This Row],[NIS]],Table2[NIS],Table2[Tahun Masuk],"Not Found",0)</f>
        <v>2024</v>
      </c>
      <c r="G433" s="3">
        <f>_xlfn.XLOOKUP(Table6[[#This Row],[NIS]],Table2[NIS],Table2[Tahun Keluar],"Not Found",0)</f>
        <v>0</v>
      </c>
      <c r="H433" s="3" t="str">
        <f>_xlfn.XLOOKUP(Table6[[#This Row],[NIS]],Table2[NIS],Table2[Kelas],"Not Found",0)</f>
        <v>Tamhidi</v>
      </c>
      <c r="I433" s="3" t="str">
        <f>_xlfn.XLOOKUP(Table6[[#This Row],[NIS]],Table2[NIS],Table2[Kelas Detail],"Not Found",0)</f>
        <v>Tamhidi A</v>
      </c>
    </row>
    <row r="434" spans="1:9">
      <c r="A434" s="3">
        <f>SUBTOTAL(3,B$3:B434)</f>
        <v>432</v>
      </c>
      <c r="B434" s="3">
        <v>16170087</v>
      </c>
      <c r="C434" s="18" t="str">
        <f>_xlfn.XLOOKUP(Table6[[#This Row],[NIS]],Table2[NIS],Table2[Nama lengkap],"Not Found",0)</f>
        <v xml:space="preserve">Asti Nur Asyifa </v>
      </c>
      <c r="D434" s="18" t="str">
        <f>_xlfn.XLOOKUP(Table6[[#This Row],[NIS]],Table2[NIS],Table2[Nomer Induk Siswa Nasional],"Not Found",0)</f>
        <v>0043697611/3040619948</v>
      </c>
      <c r="E434" s="3" t="str">
        <f>_xlfn.XLOOKUP(Table6[[#This Row],[NIS]],Table2[NIS],Table2[Status],"Not Found",0)</f>
        <v>Pengabdian</v>
      </c>
      <c r="F434" s="3">
        <f>_xlfn.XLOOKUP(Table6[[#This Row],[NIS]],Table2[NIS],Table2[Tahun Masuk],"Not Found",0)</f>
        <v>2016</v>
      </c>
      <c r="G434" s="3">
        <f>_xlfn.XLOOKUP(Table6[[#This Row],[NIS]],Table2[NIS],Table2[Tahun Keluar],"Not Found",0)</f>
        <v>0</v>
      </c>
      <c r="H434" s="3">
        <f>_xlfn.XLOOKUP(Table6[[#This Row],[NIS]],Table2[NIS],Table2[Kelas],"Not Found",0)</f>
        <v>7</v>
      </c>
      <c r="I434" s="3">
        <f>_xlfn.XLOOKUP(Table6[[#This Row],[NIS]],Table2[NIS],Table2[Kelas Detail],"Not Found",0)</f>
        <v>7</v>
      </c>
    </row>
    <row r="435" spans="1:9">
      <c r="A435" s="3">
        <f>SUBTOTAL(3,B$3:B435)</f>
        <v>433</v>
      </c>
      <c r="B435" s="3">
        <v>17180105</v>
      </c>
      <c r="C435" s="18" t="str">
        <f>_xlfn.XLOOKUP(Table6[[#This Row],[NIS]],Table2[NIS],Table2[Nama lengkap],"Not Found",0)</f>
        <v>Davinna Astrid Chandra</v>
      </c>
      <c r="D435" s="18" t="str">
        <f>_xlfn.XLOOKUP(Table6[[#This Row],[NIS]],Table2[NIS],Table2[Nomer Induk Siswa Nasional],"Not Found",0)</f>
        <v>0056663997</v>
      </c>
      <c r="E435" s="3" t="str">
        <f>_xlfn.XLOOKUP(Table6[[#This Row],[NIS]],Table2[NIS],Table2[Status],"Not Found",0)</f>
        <v>Pengabdian</v>
      </c>
      <c r="F435" s="3">
        <f>_xlfn.XLOOKUP(Table6[[#This Row],[NIS]],Table2[NIS],Table2[Tahun Masuk],"Not Found",0)</f>
        <v>2017</v>
      </c>
      <c r="G435" s="3" t="str">
        <f>_xlfn.XLOOKUP(Table6[[#This Row],[NIS]],Table2[NIS],Table2[Tahun Keluar],"Not Found",0)</f>
        <v>TB</v>
      </c>
      <c r="H435" s="3">
        <f>_xlfn.XLOOKUP(Table6[[#This Row],[NIS]],Table2[NIS],Table2[Kelas],"Not Found",0)</f>
        <v>7</v>
      </c>
      <c r="I435" s="3">
        <f>_xlfn.XLOOKUP(Table6[[#This Row],[NIS]],Table2[NIS],Table2[Kelas Detail],"Not Found",0)</f>
        <v>7</v>
      </c>
    </row>
    <row r="436" spans="1:9">
      <c r="A436" s="3">
        <f>SUBTOTAL(3,B$3:B436)</f>
        <v>434</v>
      </c>
      <c r="B436" s="3">
        <v>16170096</v>
      </c>
      <c r="C436" s="18" t="str">
        <f>_xlfn.XLOOKUP(Table6[[#This Row],[NIS]],Table2[NIS],Table2[Nama lengkap],"Not Found",0)</f>
        <v>Fitri Aulia Ramdani</v>
      </c>
      <c r="D436" s="18" t="str">
        <f>_xlfn.XLOOKUP(Table6[[#This Row],[NIS]],Table2[NIS],Table2[Nomer Induk Siswa Nasional],"Not Found",0)</f>
        <v>0043109590</v>
      </c>
      <c r="E436" s="3" t="str">
        <f>_xlfn.XLOOKUP(Table6[[#This Row],[NIS]],Table2[NIS],Table2[Status],"Not Found",0)</f>
        <v>Pengabdian</v>
      </c>
      <c r="F436" s="3">
        <f>_xlfn.XLOOKUP(Table6[[#This Row],[NIS]],Table2[NIS],Table2[Tahun Masuk],"Not Found",0)</f>
        <v>2016</v>
      </c>
      <c r="G436" s="3">
        <f>_xlfn.XLOOKUP(Table6[[#This Row],[NIS]],Table2[NIS],Table2[Tahun Keluar],"Not Found",0)</f>
        <v>0</v>
      </c>
      <c r="H436" s="3">
        <f>_xlfn.XLOOKUP(Table6[[#This Row],[NIS]],Table2[NIS],Table2[Kelas],"Not Found",0)</f>
        <v>7</v>
      </c>
      <c r="I436" s="3">
        <f>_xlfn.XLOOKUP(Table6[[#This Row],[NIS]],Table2[NIS],Table2[Kelas Detail],"Not Found",0)</f>
        <v>7</v>
      </c>
    </row>
    <row r="437" spans="1:9">
      <c r="A437" s="3">
        <f>SUBTOTAL(3,B$3:B437)</f>
        <v>435</v>
      </c>
      <c r="B437" s="3">
        <v>17180112</v>
      </c>
      <c r="C437" s="18" t="str">
        <f>_xlfn.XLOOKUP(Table6[[#This Row],[NIS]],Table2[NIS],Table2[Nama lengkap],"Not Found",0)</f>
        <v>Hasna Halimatu Sa'Diah</v>
      </c>
      <c r="D437" s="18" t="str">
        <f>_xlfn.XLOOKUP(Table6[[#This Row],[NIS]],Table2[NIS],Table2[Nomer Induk Siswa Nasional],"Not Found",0)</f>
        <v>0049941403</v>
      </c>
      <c r="E437" s="3" t="str">
        <f>_xlfn.XLOOKUP(Table6[[#This Row],[NIS]],Table2[NIS],Table2[Status],"Not Found",0)</f>
        <v>Pengabdian</v>
      </c>
      <c r="F437" s="3">
        <f>_xlfn.XLOOKUP(Table6[[#This Row],[NIS]],Table2[NIS],Table2[Tahun Masuk],"Not Found",0)</f>
        <v>2017</v>
      </c>
      <c r="G437" s="3">
        <f>_xlfn.XLOOKUP(Table6[[#This Row],[NIS]],Table2[NIS],Table2[Tahun Keluar],"Not Found",0)</f>
        <v>0</v>
      </c>
      <c r="H437" s="3">
        <f>_xlfn.XLOOKUP(Table6[[#This Row],[NIS]],Table2[NIS],Table2[Kelas],"Not Found",0)</f>
        <v>7</v>
      </c>
      <c r="I437" s="3">
        <f>_xlfn.XLOOKUP(Table6[[#This Row],[NIS]],Table2[NIS],Table2[Kelas Detail],"Not Found",0)</f>
        <v>7</v>
      </c>
    </row>
    <row r="438" spans="1:9">
      <c r="A438" s="3">
        <f>SUBTOTAL(3,B$3:B438)</f>
        <v>436</v>
      </c>
      <c r="B438" s="3">
        <v>17180118</v>
      </c>
      <c r="C438" s="18" t="str">
        <f>_xlfn.XLOOKUP(Table6[[#This Row],[NIS]],Table2[NIS],Table2[Nama lengkap],"Not Found",0)</f>
        <v>Lailah Nurazizah</v>
      </c>
      <c r="D438" s="18" t="str">
        <f>_xlfn.XLOOKUP(Table6[[#This Row],[NIS]],Table2[NIS],Table2[Nomer Induk Siswa Nasional],"Not Found",0)</f>
        <v>0047878222</v>
      </c>
      <c r="E438" s="3" t="str">
        <f>_xlfn.XLOOKUP(Table6[[#This Row],[NIS]],Table2[NIS],Table2[Status],"Not Found",0)</f>
        <v>Pengabdian</v>
      </c>
      <c r="F438" s="3">
        <f>_xlfn.XLOOKUP(Table6[[#This Row],[NIS]],Table2[NIS],Table2[Tahun Masuk],"Not Found",0)</f>
        <v>2017</v>
      </c>
      <c r="G438" s="3">
        <f>_xlfn.XLOOKUP(Table6[[#This Row],[NIS]],Table2[NIS],Table2[Tahun Keluar],"Not Found",0)</f>
        <v>0</v>
      </c>
      <c r="H438" s="3">
        <f>_xlfn.XLOOKUP(Table6[[#This Row],[NIS]],Table2[NIS],Table2[Kelas],"Not Found",0)</f>
        <v>7</v>
      </c>
      <c r="I438" s="3">
        <f>_xlfn.XLOOKUP(Table6[[#This Row],[NIS]],Table2[NIS],Table2[Kelas Detail],"Not Found",0)</f>
        <v>7</v>
      </c>
    </row>
    <row r="439" spans="1:9">
      <c r="A439" s="3">
        <f>SUBTOTAL(3,B$3:B439)</f>
        <v>437</v>
      </c>
      <c r="B439" s="3">
        <v>17180119</v>
      </c>
      <c r="C439" s="18" t="str">
        <f>_xlfn.XLOOKUP(Table6[[#This Row],[NIS]],Table2[NIS],Table2[Nama lengkap],"Not Found",0)</f>
        <v>Linada Roudhotul Marifah</v>
      </c>
      <c r="D439" s="18" t="str">
        <f>_xlfn.XLOOKUP(Table6[[#This Row],[NIS]],Table2[NIS],Table2[Nomer Induk Siswa Nasional],"Not Found",0)</f>
        <v>0039108474</v>
      </c>
      <c r="E439" s="3" t="str">
        <f>_xlfn.XLOOKUP(Table6[[#This Row],[NIS]],Table2[NIS],Table2[Status],"Not Found",0)</f>
        <v>Pengabdian</v>
      </c>
      <c r="F439" s="3">
        <f>_xlfn.XLOOKUP(Table6[[#This Row],[NIS]],Table2[NIS],Table2[Tahun Masuk],"Not Found",0)</f>
        <v>2017</v>
      </c>
      <c r="G439" s="3">
        <f>_xlfn.XLOOKUP(Table6[[#This Row],[NIS]],Table2[NIS],Table2[Tahun Keluar],"Not Found",0)</f>
        <v>0</v>
      </c>
      <c r="H439" s="3">
        <f>_xlfn.XLOOKUP(Table6[[#This Row],[NIS]],Table2[NIS],Table2[Kelas],"Not Found",0)</f>
        <v>7</v>
      </c>
      <c r="I439" s="3">
        <f>_xlfn.XLOOKUP(Table6[[#This Row],[NIS]],Table2[NIS],Table2[Kelas Detail],"Not Found",0)</f>
        <v>7</v>
      </c>
    </row>
    <row r="440" spans="1:9">
      <c r="A440" s="3">
        <f>SUBTOTAL(3,B$3:B440)</f>
        <v>438</v>
      </c>
      <c r="B440" s="3">
        <v>17180120</v>
      </c>
      <c r="C440" s="18" t="str">
        <f>_xlfn.XLOOKUP(Table6[[#This Row],[NIS]],Table2[NIS],Table2[Nama lengkap],"Not Found",0)</f>
        <v>Lita Zahra Aulia</v>
      </c>
      <c r="D440" s="18" t="str">
        <f>_xlfn.XLOOKUP(Table6[[#This Row],[NIS]],Table2[NIS],Table2[Nomer Induk Siswa Nasional],"Not Found",0)</f>
        <v>0047878222</v>
      </c>
      <c r="E440" s="3" t="str">
        <f>_xlfn.XLOOKUP(Table6[[#This Row],[NIS]],Table2[NIS],Table2[Status],"Not Found",0)</f>
        <v>Pengabdian</v>
      </c>
      <c r="F440" s="3">
        <f>_xlfn.XLOOKUP(Table6[[#This Row],[NIS]],Table2[NIS],Table2[Tahun Masuk],"Not Found",0)</f>
        <v>2017</v>
      </c>
      <c r="G440" s="3">
        <f>_xlfn.XLOOKUP(Table6[[#This Row],[NIS]],Table2[NIS],Table2[Tahun Keluar],"Not Found",0)</f>
        <v>0</v>
      </c>
      <c r="H440" s="3">
        <f>_xlfn.XLOOKUP(Table6[[#This Row],[NIS]],Table2[NIS],Table2[Kelas],"Not Found",0)</f>
        <v>7</v>
      </c>
      <c r="I440" s="3">
        <f>_xlfn.XLOOKUP(Table6[[#This Row],[NIS]],Table2[NIS],Table2[Kelas Detail],"Not Found",0)</f>
        <v>7</v>
      </c>
    </row>
    <row r="441" spans="1:9">
      <c r="A441" s="3">
        <f>SUBTOTAL(3,B$3:B441)</f>
        <v>439</v>
      </c>
      <c r="B441" s="3">
        <v>17180122</v>
      </c>
      <c r="C441" s="18" t="str">
        <f>_xlfn.XLOOKUP(Table6[[#This Row],[NIS]],Table2[NIS],Table2[Nama lengkap],"Not Found",0)</f>
        <v>Melani Nur Halimah Tusadyah</v>
      </c>
      <c r="D441" s="18" t="str">
        <f>_xlfn.XLOOKUP(Table6[[#This Row],[NIS]],Table2[NIS],Table2[Nomer Induk Siswa Nasional],"Not Found",0)</f>
        <v>0049830300</v>
      </c>
      <c r="E441" s="3" t="str">
        <f>_xlfn.XLOOKUP(Table6[[#This Row],[NIS]],Table2[NIS],Table2[Status],"Not Found",0)</f>
        <v>Pengabdian</v>
      </c>
      <c r="F441" s="3">
        <f>_xlfn.XLOOKUP(Table6[[#This Row],[NIS]],Table2[NIS],Table2[Tahun Masuk],"Not Found",0)</f>
        <v>2017</v>
      </c>
      <c r="G441" s="3">
        <f>_xlfn.XLOOKUP(Table6[[#This Row],[NIS]],Table2[NIS],Table2[Tahun Keluar],"Not Found",0)</f>
        <v>0</v>
      </c>
      <c r="H441" s="3">
        <f>_xlfn.XLOOKUP(Table6[[#This Row],[NIS]],Table2[NIS],Table2[Kelas],"Not Found",0)</f>
        <v>7</v>
      </c>
      <c r="I441" s="3">
        <f>_xlfn.XLOOKUP(Table6[[#This Row],[NIS]],Table2[NIS],Table2[Kelas Detail],"Not Found",0)</f>
        <v>7</v>
      </c>
    </row>
    <row r="442" spans="1:9">
      <c r="A442" s="3">
        <f>SUBTOTAL(3,B$3:B442)</f>
        <v>440</v>
      </c>
      <c r="B442" s="3">
        <v>17180126</v>
      </c>
      <c r="C442" s="18" t="str">
        <f>_xlfn.XLOOKUP(Table6[[#This Row],[NIS]],Table2[NIS],Table2[Nama lengkap],"Not Found",0)</f>
        <v>Nazwa Aliza Sopandi</v>
      </c>
      <c r="D442" s="18" t="str">
        <f>_xlfn.XLOOKUP(Table6[[#This Row],[NIS]],Table2[NIS],Table2[Nomer Induk Siswa Nasional],"Not Found",0)</f>
        <v>0043686375</v>
      </c>
      <c r="E442" s="3" t="str">
        <f>_xlfn.XLOOKUP(Table6[[#This Row],[NIS]],Table2[NIS],Table2[Status],"Not Found",0)</f>
        <v>Pengabdian</v>
      </c>
      <c r="F442" s="3">
        <f>_xlfn.XLOOKUP(Table6[[#This Row],[NIS]],Table2[NIS],Table2[Tahun Masuk],"Not Found",0)</f>
        <v>2017</v>
      </c>
      <c r="G442" s="3">
        <f>_xlfn.XLOOKUP(Table6[[#This Row],[NIS]],Table2[NIS],Table2[Tahun Keluar],"Not Found",0)</f>
        <v>0</v>
      </c>
      <c r="H442" s="3">
        <f>_xlfn.XLOOKUP(Table6[[#This Row],[NIS]],Table2[NIS],Table2[Kelas],"Not Found",0)</f>
        <v>7</v>
      </c>
      <c r="I442" s="3">
        <f>_xlfn.XLOOKUP(Table6[[#This Row],[NIS]],Table2[NIS],Table2[Kelas Detail],"Not Found",0)</f>
        <v>7</v>
      </c>
    </row>
    <row r="443" spans="1:9">
      <c r="A443" s="3">
        <f>SUBTOTAL(3,B$3:B443)</f>
        <v>441</v>
      </c>
      <c r="B443" s="3">
        <v>18190241</v>
      </c>
      <c r="C443" s="18" t="str">
        <f>_xlfn.XLOOKUP(Table6[[#This Row],[NIS]],Table2[NIS],Table2[Nama lengkap],"Not Found",0)</f>
        <v>Nur Ulya Shopariyyah</v>
      </c>
      <c r="D443" s="18" t="str">
        <f>_xlfn.XLOOKUP(Table6[[#This Row],[NIS]],Table2[NIS],Table2[Nomer Induk Siswa Nasional],"Not Found",0)</f>
        <v>0001174085</v>
      </c>
      <c r="E443" s="3" t="str">
        <f>_xlfn.XLOOKUP(Table6[[#This Row],[NIS]],Table2[NIS],Table2[Status],"Not Found",0)</f>
        <v>Pengabdian</v>
      </c>
      <c r="F443" s="3">
        <f>_xlfn.XLOOKUP(Table6[[#This Row],[NIS]],Table2[NIS],Table2[Tahun Masuk],"Not Found",0)</f>
        <v>2018</v>
      </c>
      <c r="G443" s="3">
        <f>_xlfn.XLOOKUP(Table6[[#This Row],[NIS]],Table2[NIS],Table2[Tahun Keluar],"Not Found",0)</f>
        <v>0</v>
      </c>
      <c r="H443" s="3">
        <f>_xlfn.XLOOKUP(Table6[[#This Row],[NIS]],Table2[NIS],Table2[Kelas],"Not Found",0)</f>
        <v>7</v>
      </c>
      <c r="I443" s="3">
        <f>_xlfn.XLOOKUP(Table6[[#This Row],[NIS]],Table2[NIS],Table2[Kelas Detail],"Not Found",0)</f>
        <v>7</v>
      </c>
    </row>
    <row r="444" spans="1:9">
      <c r="A444" s="3">
        <f>SUBTOTAL(3,B$3:B444)</f>
        <v>442</v>
      </c>
      <c r="B444" s="3">
        <v>17180135</v>
      </c>
      <c r="C444" s="18" t="str">
        <f>_xlfn.XLOOKUP(Table6[[#This Row],[NIS]],Table2[NIS],Table2[Nama lengkap],"Not Found",0)</f>
        <v>Rahmatia Asri Sholehah</v>
      </c>
      <c r="D444" s="18" t="str">
        <f>_xlfn.XLOOKUP(Table6[[#This Row],[NIS]],Table2[NIS],Table2[Nomer Induk Siswa Nasional],"Not Found",0)</f>
        <v>0058877067</v>
      </c>
      <c r="E444" s="3" t="str">
        <f>_xlfn.XLOOKUP(Table6[[#This Row],[NIS]],Table2[NIS],Table2[Status],"Not Found",0)</f>
        <v>Pengabdian</v>
      </c>
      <c r="F444" s="3">
        <f>_xlfn.XLOOKUP(Table6[[#This Row],[NIS]],Table2[NIS],Table2[Tahun Masuk],"Not Found",0)</f>
        <v>2017</v>
      </c>
      <c r="G444" s="3">
        <f>_xlfn.XLOOKUP(Table6[[#This Row],[NIS]],Table2[NIS],Table2[Tahun Keluar],"Not Found",0)</f>
        <v>0</v>
      </c>
      <c r="H444" s="3">
        <f>_xlfn.XLOOKUP(Table6[[#This Row],[NIS]],Table2[NIS],Table2[Kelas],"Not Found",0)</f>
        <v>7</v>
      </c>
      <c r="I444" s="3">
        <f>_xlfn.XLOOKUP(Table6[[#This Row],[NIS]],Table2[NIS],Table2[Kelas Detail],"Not Found",0)</f>
        <v>7</v>
      </c>
    </row>
    <row r="445" spans="1:9">
      <c r="A445" s="3">
        <f>SUBTOTAL(3,B$3:B445)</f>
        <v>443</v>
      </c>
      <c r="B445" s="3">
        <v>17180136</v>
      </c>
      <c r="C445" s="18" t="str">
        <f>_xlfn.XLOOKUP(Table6[[#This Row],[NIS]],Table2[NIS],Table2[Nama lengkap],"Not Found",0)</f>
        <v>Resa Komala</v>
      </c>
      <c r="D445" s="18" t="str">
        <f>_xlfn.XLOOKUP(Table6[[#This Row],[NIS]],Table2[NIS],Table2[Nomer Induk Siswa Nasional],"Not Found",0)</f>
        <v>0020718238</v>
      </c>
      <c r="E445" s="3" t="str">
        <f>_xlfn.XLOOKUP(Table6[[#This Row],[NIS]],Table2[NIS],Table2[Status],"Not Found",0)</f>
        <v>Pengabdian</v>
      </c>
      <c r="F445" s="3">
        <f>_xlfn.XLOOKUP(Table6[[#This Row],[NIS]],Table2[NIS],Table2[Tahun Masuk],"Not Found",0)</f>
        <v>2017</v>
      </c>
      <c r="G445" s="3">
        <f>_xlfn.XLOOKUP(Table6[[#This Row],[NIS]],Table2[NIS],Table2[Tahun Keluar],"Not Found",0)</f>
        <v>0</v>
      </c>
      <c r="H445" s="3">
        <f>_xlfn.XLOOKUP(Table6[[#This Row],[NIS]],Table2[NIS],Table2[Kelas],"Not Found",0)</f>
        <v>7</v>
      </c>
      <c r="I445" s="3">
        <f>_xlfn.XLOOKUP(Table6[[#This Row],[NIS]],Table2[NIS],Table2[Kelas Detail],"Not Found",0)</f>
        <v>7</v>
      </c>
    </row>
    <row r="446" spans="1:9">
      <c r="A446" s="3">
        <f>SUBTOTAL(3,B$3:B446)</f>
        <v>444</v>
      </c>
      <c r="B446" s="3">
        <v>18190234</v>
      </c>
      <c r="C446" s="18" t="str">
        <f>_xlfn.XLOOKUP(Table6[[#This Row],[NIS]],Table2[NIS],Table2[Nama lengkap],"Not Found",0)</f>
        <v>Siti Mutmainah</v>
      </c>
      <c r="D446" s="18" t="str">
        <f>_xlfn.XLOOKUP(Table6[[#This Row],[NIS]],Table2[NIS],Table2[Nomer Induk Siswa Nasional],"Not Found",0)</f>
        <v>0036062897</v>
      </c>
      <c r="E446" s="3" t="str">
        <f>_xlfn.XLOOKUP(Table6[[#This Row],[NIS]],Table2[NIS],Table2[Status],"Not Found",0)</f>
        <v>Pengabdian</v>
      </c>
      <c r="F446" s="3">
        <f>_xlfn.XLOOKUP(Table6[[#This Row],[NIS]],Table2[NIS],Table2[Tahun Masuk],"Not Found",0)</f>
        <v>2018</v>
      </c>
      <c r="G446" s="3">
        <f>_xlfn.XLOOKUP(Table6[[#This Row],[NIS]],Table2[NIS],Table2[Tahun Keluar],"Not Found",0)</f>
        <v>0</v>
      </c>
      <c r="H446" s="3">
        <f>_xlfn.XLOOKUP(Table6[[#This Row],[NIS]],Table2[NIS],Table2[Kelas],"Not Found",0)</f>
        <v>7</v>
      </c>
      <c r="I446" s="3">
        <f>_xlfn.XLOOKUP(Table6[[#This Row],[NIS]],Table2[NIS],Table2[Kelas Detail],"Not Found",0)</f>
        <v>7</v>
      </c>
    </row>
    <row r="447" spans="1:9">
      <c r="A447" s="3">
        <f>SUBTOTAL(3,B$3:B447)</f>
        <v>445</v>
      </c>
      <c r="B447" s="3">
        <v>17180151</v>
      </c>
      <c r="C447" s="18" t="str">
        <f>_xlfn.XLOOKUP(Table6[[#This Row],[NIS]],Table2[NIS],Table2[Nama lengkap],"Not Found",0)</f>
        <v xml:space="preserve">Siti Nur Khodijah </v>
      </c>
      <c r="D447" s="18" t="str">
        <f>_xlfn.XLOOKUP(Table6[[#This Row],[NIS]],Table2[NIS],Table2[Nomer Induk Siswa Nasional],"Not Found",0)</f>
        <v>0054284152</v>
      </c>
      <c r="E447" s="3" t="str">
        <f>_xlfn.XLOOKUP(Table6[[#This Row],[NIS]],Table2[NIS],Table2[Status],"Not Found",0)</f>
        <v>Pengabdian</v>
      </c>
      <c r="F447" s="3">
        <f>_xlfn.XLOOKUP(Table6[[#This Row],[NIS]],Table2[NIS],Table2[Tahun Masuk],"Not Found",0)</f>
        <v>2017</v>
      </c>
      <c r="G447" s="3">
        <f>_xlfn.XLOOKUP(Table6[[#This Row],[NIS]],Table2[NIS],Table2[Tahun Keluar],"Not Found",0)</f>
        <v>0</v>
      </c>
      <c r="H447" s="3">
        <f>_xlfn.XLOOKUP(Table6[[#This Row],[NIS]],Table2[NIS],Table2[Kelas],"Not Found",0)</f>
        <v>7</v>
      </c>
      <c r="I447" s="3">
        <f>_xlfn.XLOOKUP(Table6[[#This Row],[NIS]],Table2[NIS],Table2[Kelas Detail],"Not Found",0)</f>
        <v>7</v>
      </c>
    </row>
    <row r="448" spans="1:9">
      <c r="A448" s="3">
        <f>SUBTOTAL(3,B$3:B448)</f>
        <v>446</v>
      </c>
      <c r="B448" s="3">
        <v>17180154</v>
      </c>
      <c r="C448" s="18" t="str">
        <f>_xlfn.XLOOKUP(Table6[[#This Row],[NIS]],Table2[NIS],Table2[Nama lengkap],"Not Found",0)</f>
        <v>Syifa Khoirunisa</v>
      </c>
      <c r="D448" s="18" t="str">
        <f>_xlfn.XLOOKUP(Table6[[#This Row],[NIS]],Table2[NIS],Table2[Nomer Induk Siswa Nasional],"Not Found",0)</f>
        <v>0043985598</v>
      </c>
      <c r="E448" s="3" t="str">
        <f>_xlfn.XLOOKUP(Table6[[#This Row],[NIS]],Table2[NIS],Table2[Status],"Not Found",0)</f>
        <v>Pengabdian</v>
      </c>
      <c r="F448" s="3">
        <f>_xlfn.XLOOKUP(Table6[[#This Row],[NIS]],Table2[NIS],Table2[Tahun Masuk],"Not Found",0)</f>
        <v>2017</v>
      </c>
      <c r="G448" s="3">
        <f>_xlfn.XLOOKUP(Table6[[#This Row],[NIS]],Table2[NIS],Table2[Tahun Keluar],"Not Found",0)</f>
        <v>0</v>
      </c>
      <c r="H448" s="3">
        <f>_xlfn.XLOOKUP(Table6[[#This Row],[NIS]],Table2[NIS],Table2[Kelas],"Not Found",0)</f>
        <v>7</v>
      </c>
      <c r="I448" s="3">
        <f>_xlfn.XLOOKUP(Table6[[#This Row],[NIS]],Table2[NIS],Table2[Kelas Detail],"Not Found",0)</f>
        <v>7</v>
      </c>
    </row>
    <row r="449" spans="1:9">
      <c r="A449" s="3">
        <f>SUBTOTAL(3,B$3:B449)</f>
        <v>447</v>
      </c>
      <c r="B449" s="3">
        <v>17180156</v>
      </c>
      <c r="C449" s="18" t="str">
        <f>_xlfn.XLOOKUP(Table6[[#This Row],[NIS]],Table2[NIS],Table2[Nama lengkap],"Not Found",0)</f>
        <v>Tazkia Rahmania Maulidi</v>
      </c>
      <c r="D449" s="18" t="str">
        <f>_xlfn.XLOOKUP(Table6[[#This Row],[NIS]],Table2[NIS],Table2[Nomer Induk Siswa Nasional],"Not Found",0)</f>
        <v>0063398189</v>
      </c>
      <c r="E449" s="3" t="str">
        <f>_xlfn.XLOOKUP(Table6[[#This Row],[NIS]],Table2[NIS],Table2[Status],"Not Found",0)</f>
        <v>Pengabdian</v>
      </c>
      <c r="F449" s="3">
        <f>_xlfn.XLOOKUP(Table6[[#This Row],[NIS]],Table2[NIS],Table2[Tahun Masuk],"Not Found",0)</f>
        <v>2017</v>
      </c>
      <c r="G449" s="3">
        <f>_xlfn.XLOOKUP(Table6[[#This Row],[NIS]],Table2[NIS],Table2[Tahun Keluar],"Not Found",0)</f>
        <v>0</v>
      </c>
      <c r="H449" s="3">
        <f>_xlfn.XLOOKUP(Table6[[#This Row],[NIS]],Table2[NIS],Table2[Kelas],"Not Found",0)</f>
        <v>7</v>
      </c>
      <c r="I449" s="3">
        <f>_xlfn.XLOOKUP(Table6[[#This Row],[NIS]],Table2[NIS],Table2[Kelas Detail],"Not Found",0)</f>
        <v>7</v>
      </c>
    </row>
    <row r="450" spans="1:9">
      <c r="A450" s="3">
        <f>SUBTOTAL(3,B$3:B450)</f>
        <v>448</v>
      </c>
      <c r="B450" s="3">
        <v>17180159</v>
      </c>
      <c r="C450" s="18" t="str">
        <f>_xlfn.XLOOKUP(Table6[[#This Row],[NIS]],Table2[NIS],Table2[Nama lengkap],"Not Found",0)</f>
        <v>Zahra Nurulqolbi</v>
      </c>
      <c r="D450" s="18" t="str">
        <f>_xlfn.XLOOKUP(Table6[[#This Row],[NIS]],Table2[NIS],Table2[Nomer Induk Siswa Nasional],"Not Found",0)</f>
        <v>0055478147</v>
      </c>
      <c r="E450" s="3" t="str">
        <f>_xlfn.XLOOKUP(Table6[[#This Row],[NIS]],Table2[NIS],Table2[Status],"Not Found",0)</f>
        <v>Pengabdian</v>
      </c>
      <c r="F450" s="3">
        <f>_xlfn.XLOOKUP(Table6[[#This Row],[NIS]],Table2[NIS],Table2[Tahun Masuk],"Not Found",0)</f>
        <v>2017</v>
      </c>
      <c r="G450" s="3">
        <f>_xlfn.XLOOKUP(Table6[[#This Row],[NIS]],Table2[NIS],Table2[Tahun Keluar],"Not Found",0)</f>
        <v>0</v>
      </c>
      <c r="H450" s="3">
        <f>_xlfn.XLOOKUP(Table6[[#This Row],[NIS]],Table2[NIS],Table2[Kelas],"Not Found",0)</f>
        <v>7</v>
      </c>
      <c r="I450" s="3">
        <f>_xlfn.XLOOKUP(Table6[[#This Row],[NIS]],Table2[NIS],Table2[Kelas Detail],"Not Found",0)</f>
        <v>7</v>
      </c>
    </row>
    <row r="465" spans="2:2">
      <c r="B465" s="3">
        <v>22230141</v>
      </c>
    </row>
    <row r="466" spans="2:2">
      <c r="B466" s="3">
        <v>23240110</v>
      </c>
    </row>
    <row r="468" spans="2:2">
      <c r="B468" s="3">
        <v>23240064</v>
      </c>
    </row>
    <row r="469" spans="2:2">
      <c r="B469" s="3">
        <v>23240126</v>
      </c>
    </row>
    <row r="470" spans="2:2">
      <c r="B470" s="3">
        <v>23240100</v>
      </c>
    </row>
    <row r="471" spans="2:2">
      <c r="B471" s="3" t="s">
        <v>5483</v>
      </c>
    </row>
    <row r="472" spans="2:2">
      <c r="B472" s="3">
        <v>22230164</v>
      </c>
    </row>
    <row r="473" spans="2:2">
      <c r="B473" s="3">
        <v>23240091</v>
      </c>
    </row>
    <row r="474" spans="2:2">
      <c r="B474" s="3">
        <v>23240022</v>
      </c>
    </row>
    <row r="475" spans="2:2">
      <c r="B475" s="3">
        <v>23240016</v>
      </c>
    </row>
    <row r="476" spans="2:2">
      <c r="B476" s="3">
        <v>23240056</v>
      </c>
    </row>
    <row r="477" spans="2:2">
      <c r="B477" s="3" t="s">
        <v>5484</v>
      </c>
    </row>
    <row r="478" spans="2:2">
      <c r="B478" s="3">
        <v>23240007</v>
      </c>
    </row>
    <row r="479" spans="2:2">
      <c r="B479" s="3">
        <v>22230167</v>
      </c>
    </row>
    <row r="481" spans="2:2">
      <c r="B481" s="3" t="s">
        <v>5485</v>
      </c>
    </row>
    <row r="482" spans="2:2">
      <c r="B482" s="3" t="s">
        <v>5486</v>
      </c>
    </row>
    <row r="483" spans="2:2">
      <c r="B483" s="3" t="s">
        <v>5487</v>
      </c>
    </row>
    <row r="484" spans="2:2">
      <c r="B484" s="3" t="s">
        <v>5488</v>
      </c>
    </row>
    <row r="485" spans="2:2">
      <c r="B485" s="3" t="s">
        <v>5489</v>
      </c>
    </row>
    <row r="486" spans="2:2">
      <c r="B486" s="3" t="s">
        <v>5490</v>
      </c>
    </row>
    <row r="487" spans="2:2">
      <c r="B487" s="3" t="s">
        <v>5491</v>
      </c>
    </row>
    <row r="488" spans="2:2">
      <c r="B488" s="3" t="s">
        <v>5492</v>
      </c>
    </row>
    <row r="489" spans="2:2">
      <c r="B489" s="3" t="s">
        <v>5493</v>
      </c>
    </row>
    <row r="490" spans="2:2">
      <c r="B490" s="3" t="s">
        <v>5494</v>
      </c>
    </row>
    <row r="491" spans="2:2">
      <c r="B491" s="3" t="s">
        <v>5495</v>
      </c>
    </row>
    <row r="492" spans="2:2">
      <c r="B492" s="3">
        <v>22230030</v>
      </c>
    </row>
    <row r="493" spans="2:2">
      <c r="B493" s="3" t="s">
        <v>5496</v>
      </c>
    </row>
    <row r="494" spans="2:2">
      <c r="B494" s="3" t="s">
        <v>5497</v>
      </c>
    </row>
    <row r="495" spans="2:2">
      <c r="B495" s="3" t="s">
        <v>5498</v>
      </c>
    </row>
    <row r="496" spans="2:2">
      <c r="B496" s="3" t="s">
        <v>5499</v>
      </c>
    </row>
    <row r="497" spans="2:2">
      <c r="B497" s="3" t="s">
        <v>5500</v>
      </c>
    </row>
    <row r="498" spans="2:2">
      <c r="B498" s="3" t="s">
        <v>5501</v>
      </c>
    </row>
    <row r="499" spans="2:2">
      <c r="B499" s="3">
        <v>22230163</v>
      </c>
    </row>
    <row r="500" spans="2:2">
      <c r="B500" s="3" t="s">
        <v>5502</v>
      </c>
    </row>
    <row r="501" spans="2:2">
      <c r="B501" s="3" t="s">
        <v>5503</v>
      </c>
    </row>
    <row r="502" spans="2:2">
      <c r="B502" s="3" t="s">
        <v>5504</v>
      </c>
    </row>
    <row r="503" spans="2:2">
      <c r="B503" s="3">
        <v>22230124</v>
      </c>
    </row>
    <row r="504" spans="2:2">
      <c r="B504" s="3" t="s">
        <v>5505</v>
      </c>
    </row>
    <row r="505" spans="2:2">
      <c r="B505" s="3">
        <v>22230149</v>
      </c>
    </row>
    <row r="506" spans="2:2">
      <c r="B506" s="3" t="s">
        <v>5506</v>
      </c>
    </row>
    <row r="507" spans="2:2">
      <c r="B507" s="3" t="s">
        <v>5507</v>
      </c>
    </row>
    <row r="508" spans="2:2">
      <c r="B508" s="3" t="s">
        <v>5508</v>
      </c>
    </row>
    <row r="509" spans="2:2">
      <c r="B509" s="3" t="s">
        <v>5509</v>
      </c>
    </row>
    <row r="510" spans="2:2">
      <c r="B510" s="3">
        <v>22230032</v>
      </c>
    </row>
    <row r="511" spans="2:2">
      <c r="B511" s="3" t="s">
        <v>5510</v>
      </c>
    </row>
    <row r="512" spans="2:2">
      <c r="B512" s="3" t="s">
        <v>5511</v>
      </c>
    </row>
    <row r="514" spans="2:2">
      <c r="B514" s="3" t="s">
        <v>5512</v>
      </c>
    </row>
    <row r="515" spans="2:2">
      <c r="B515" s="3" t="s">
        <v>5513</v>
      </c>
    </row>
    <row r="516" spans="2:2">
      <c r="B516" s="3" t="s">
        <v>5514</v>
      </c>
    </row>
    <row r="517" spans="2:2">
      <c r="B517" s="3">
        <v>22230197</v>
      </c>
    </row>
    <row r="519" spans="2:2">
      <c r="B519" s="3" t="s">
        <v>5515</v>
      </c>
    </row>
    <row r="520" spans="2:2">
      <c r="B520" s="3" t="s">
        <v>5516</v>
      </c>
    </row>
    <row r="521" spans="2:2">
      <c r="B521" s="3" t="s">
        <v>5517</v>
      </c>
    </row>
    <row r="522" spans="2:2">
      <c r="B522" s="3" t="s">
        <v>5518</v>
      </c>
    </row>
    <row r="523" spans="2:2">
      <c r="B523" s="3" t="s">
        <v>5519</v>
      </c>
    </row>
    <row r="524" spans="2:2">
      <c r="B524" s="3" t="s">
        <v>5520</v>
      </c>
    </row>
    <row r="525" spans="2:2">
      <c r="B525" s="3" t="s">
        <v>5521</v>
      </c>
    </row>
    <row r="527" spans="2:2">
      <c r="B527" s="3" t="s">
        <v>5522</v>
      </c>
    </row>
    <row r="528" spans="2:2">
      <c r="B528" s="3" t="s">
        <v>5523</v>
      </c>
    </row>
    <row r="529" spans="2:2">
      <c r="B529" s="3" t="s">
        <v>5524</v>
      </c>
    </row>
    <row r="530" spans="2:2">
      <c r="B530" s="3" t="s">
        <v>5525</v>
      </c>
    </row>
    <row r="531" spans="2:2">
      <c r="B531" s="3" t="s">
        <v>5526</v>
      </c>
    </row>
    <row r="532" spans="2:2">
      <c r="B532" s="3" t="s">
        <v>5527</v>
      </c>
    </row>
    <row r="533" spans="2:2">
      <c r="B533" s="3" t="s">
        <v>5528</v>
      </c>
    </row>
    <row r="534" spans="2:2">
      <c r="B534" s="3" t="s">
        <v>5529</v>
      </c>
    </row>
    <row r="535" spans="2:2">
      <c r="B535" s="3" t="s">
        <v>5530</v>
      </c>
    </row>
    <row r="536" spans="2:2">
      <c r="B536" s="3" t="s">
        <v>5531</v>
      </c>
    </row>
    <row r="537" spans="2:2">
      <c r="B537" s="3" t="s">
        <v>5532</v>
      </c>
    </row>
    <row r="538" spans="2:2">
      <c r="B538" s="3" t="s">
        <v>5533</v>
      </c>
    </row>
    <row r="539" spans="2:2">
      <c r="B539" s="3" t="s">
        <v>5534</v>
      </c>
    </row>
    <row r="540" spans="2:2">
      <c r="B540" s="3" t="s">
        <v>5535</v>
      </c>
    </row>
    <row r="541" spans="2:2">
      <c r="B541" s="3" t="s">
        <v>5536</v>
      </c>
    </row>
    <row r="543" spans="2:2">
      <c r="B543" s="3" t="s">
        <v>5537</v>
      </c>
    </row>
    <row r="544" spans="2:2">
      <c r="B544" s="3" t="s">
        <v>5538</v>
      </c>
    </row>
    <row r="545" spans="2:2">
      <c r="B545" s="3" t="s">
        <v>5539</v>
      </c>
    </row>
    <row r="546" spans="2:2">
      <c r="B546" s="3" t="s">
        <v>5540</v>
      </c>
    </row>
    <row r="547" spans="2:2">
      <c r="B547" s="3" t="s">
        <v>5541</v>
      </c>
    </row>
    <row r="548" spans="2:2">
      <c r="B548" s="3" t="s">
        <v>5542</v>
      </c>
    </row>
    <row r="549" spans="2:2">
      <c r="B549" s="3" t="s">
        <v>5543</v>
      </c>
    </row>
    <row r="550" spans="2:2">
      <c r="B550" s="3" t="s">
        <v>5544</v>
      </c>
    </row>
    <row r="551" spans="2:2">
      <c r="B551" s="3" t="s">
        <v>5545</v>
      </c>
    </row>
    <row r="552" spans="2:2">
      <c r="B552" s="3" t="s">
        <v>5546</v>
      </c>
    </row>
    <row r="553" spans="2:2">
      <c r="B553" s="3" t="s">
        <v>5547</v>
      </c>
    </row>
    <row r="554" spans="2:2">
      <c r="B554" s="3" t="s">
        <v>5548</v>
      </c>
    </row>
    <row r="555" spans="2:2">
      <c r="B555" s="3" t="s">
        <v>5549</v>
      </c>
    </row>
    <row r="556" spans="2:2">
      <c r="B556" s="3" t="s">
        <v>5550</v>
      </c>
    </row>
    <row r="557" spans="2:2">
      <c r="B557" s="3" t="s">
        <v>5551</v>
      </c>
    </row>
    <row r="558" spans="2:2">
      <c r="B558" s="3" t="s">
        <v>5552</v>
      </c>
    </row>
    <row r="559" spans="2:2">
      <c r="B559" s="3" t="s">
        <v>5553</v>
      </c>
    </row>
    <row r="560" spans="2:2">
      <c r="B560" s="3" t="s">
        <v>5554</v>
      </c>
    </row>
    <row r="561" spans="2:2">
      <c r="B561" s="3">
        <v>21220142</v>
      </c>
    </row>
    <row r="562" spans="2:2">
      <c r="B562" s="3">
        <v>21220083</v>
      </c>
    </row>
    <row r="563" spans="2:2">
      <c r="B563" s="3">
        <v>21220103</v>
      </c>
    </row>
    <row r="564" spans="2:2">
      <c r="B564" s="3">
        <v>21220135</v>
      </c>
    </row>
    <row r="565" spans="2:2">
      <c r="B565" s="3">
        <v>20210146</v>
      </c>
    </row>
    <row r="566" spans="2:2">
      <c r="B566" s="3" t="s">
        <v>5555</v>
      </c>
    </row>
    <row r="567" spans="2:2">
      <c r="B567" s="3" t="s">
        <v>5556</v>
      </c>
    </row>
    <row r="568" spans="2:2">
      <c r="B568" s="3" t="s">
        <v>5557</v>
      </c>
    </row>
    <row r="569" spans="2:2">
      <c r="B569" s="3" t="s">
        <v>5558</v>
      </c>
    </row>
    <row r="570" spans="2:2">
      <c r="B570" s="3" t="s">
        <v>5559</v>
      </c>
    </row>
    <row r="571" spans="2:2">
      <c r="B571" s="3" t="s">
        <v>5560</v>
      </c>
    </row>
    <row r="574" spans="2:2">
      <c r="B574" s="3">
        <v>20210174</v>
      </c>
    </row>
    <row r="575" spans="2:2">
      <c r="B575" s="3" t="s">
        <v>5561</v>
      </c>
    </row>
    <row r="576" spans="2:2">
      <c r="B576" s="3">
        <v>20210139</v>
      </c>
    </row>
    <row r="577" spans="2:2">
      <c r="B577" s="3">
        <v>21220059</v>
      </c>
    </row>
    <row r="579" spans="2:2">
      <c r="B579" s="3" t="s">
        <v>5562</v>
      </c>
    </row>
    <row r="580" spans="2:2">
      <c r="B580" s="3">
        <v>20210148</v>
      </c>
    </row>
    <row r="581" spans="2:2">
      <c r="B581" s="3">
        <v>21220147</v>
      </c>
    </row>
    <row r="583" spans="2:2">
      <c r="B583" s="3">
        <v>20210177</v>
      </c>
    </row>
    <row r="584" spans="2:2">
      <c r="B584" s="3" t="s">
        <v>5563</v>
      </c>
    </row>
    <row r="585" spans="2:2">
      <c r="B585" s="3" t="s">
        <v>5564</v>
      </c>
    </row>
    <row r="586" spans="2:2">
      <c r="B586" s="3">
        <v>20210132</v>
      </c>
    </row>
    <row r="587" spans="2:2">
      <c r="B587" s="3" t="s">
        <v>5565</v>
      </c>
    </row>
    <row r="590" spans="2:2">
      <c r="B590" s="3" t="s">
        <v>5566</v>
      </c>
    </row>
    <row r="591" spans="2:2">
      <c r="B591" s="3" t="s">
        <v>5567</v>
      </c>
    </row>
    <row r="593" spans="2:2">
      <c r="B593" s="3">
        <v>21220072</v>
      </c>
    </row>
    <row r="594" spans="2:2">
      <c r="B594" s="3" t="s">
        <v>5568</v>
      </c>
    </row>
    <row r="595" spans="2:2">
      <c r="B595" s="3" t="s">
        <v>5569</v>
      </c>
    </row>
    <row r="596" spans="2:2">
      <c r="B596" s="3" t="s">
        <v>5570</v>
      </c>
    </row>
    <row r="597" spans="2:2">
      <c r="B597" s="3" t="s">
        <v>5571</v>
      </c>
    </row>
    <row r="598" spans="2:2">
      <c r="B598" s="3" t="s">
        <v>5572</v>
      </c>
    </row>
    <row r="599" spans="2:2">
      <c r="B599" s="3" t="s">
        <v>5573</v>
      </c>
    </row>
    <row r="600" spans="2:2">
      <c r="B600" s="3" t="s">
        <v>5574</v>
      </c>
    </row>
    <row r="602" spans="2:2">
      <c r="B602" s="3" t="s">
        <v>5575</v>
      </c>
    </row>
    <row r="603" spans="2:2">
      <c r="B603" s="3" t="s">
        <v>5576</v>
      </c>
    </row>
    <row r="604" spans="2:2">
      <c r="B604" s="3" t="s">
        <v>5577</v>
      </c>
    </row>
    <row r="605" spans="2:2">
      <c r="B605" s="3">
        <v>21220053</v>
      </c>
    </row>
    <row r="606" spans="2:2">
      <c r="B606" s="3" t="s">
        <v>5578</v>
      </c>
    </row>
    <row r="607" spans="2:2">
      <c r="B607" s="3" t="s">
        <v>5579</v>
      </c>
    </row>
    <row r="608" spans="2:2">
      <c r="B608" s="3" t="s">
        <v>5580</v>
      </c>
    </row>
    <row r="609" spans="2:2">
      <c r="B609" s="3">
        <v>21220044</v>
      </c>
    </row>
    <row r="611" spans="2:2">
      <c r="B611" s="3" t="s">
        <v>5581</v>
      </c>
    </row>
    <row r="612" spans="2:2">
      <c r="B612" s="3" t="s">
        <v>5582</v>
      </c>
    </row>
    <row r="613" spans="2:2">
      <c r="B613" s="3" t="s">
        <v>5583</v>
      </c>
    </row>
    <row r="614" spans="2:2">
      <c r="B614" s="3">
        <v>20210260</v>
      </c>
    </row>
    <row r="615" spans="2:2">
      <c r="B615" s="3" t="s">
        <v>5584</v>
      </c>
    </row>
    <row r="616" spans="2:2">
      <c r="B616" s="3">
        <v>20210194</v>
      </c>
    </row>
    <row r="617" spans="2:2">
      <c r="B617" s="3" t="s">
        <v>5585</v>
      </c>
    </row>
    <row r="618" spans="2:2">
      <c r="B618" s="3" t="s">
        <v>5586</v>
      </c>
    </row>
    <row r="619" spans="2:2">
      <c r="B619" s="3" t="s">
        <v>5587</v>
      </c>
    </row>
    <row r="620" spans="2:2">
      <c r="B620" s="3" t="s">
        <v>5588</v>
      </c>
    </row>
    <row r="621" spans="2:2">
      <c r="B621" s="3" t="s">
        <v>5589</v>
      </c>
    </row>
    <row r="622" spans="2:2">
      <c r="B622" s="3" t="s">
        <v>5590</v>
      </c>
    </row>
    <row r="623" spans="2:2">
      <c r="B623" s="3" t="s">
        <v>5591</v>
      </c>
    </row>
    <row r="624" spans="2:2">
      <c r="B624" s="3" t="s">
        <v>5592</v>
      </c>
    </row>
    <row r="625" spans="2:2">
      <c r="B625" s="3" t="s">
        <v>5593</v>
      </c>
    </row>
    <row r="626" spans="2:2">
      <c r="B626" s="3" t="s">
        <v>5594</v>
      </c>
    </row>
    <row r="627" spans="2:2">
      <c r="B627" s="3" t="s">
        <v>5595</v>
      </c>
    </row>
    <row r="628" spans="2:2">
      <c r="B628" s="3" t="s">
        <v>5596</v>
      </c>
    </row>
    <row r="629" spans="2:2">
      <c r="B629" s="3" t="s">
        <v>5597</v>
      </c>
    </row>
    <row r="630" spans="2:2">
      <c r="B630" s="3" t="s">
        <v>5598</v>
      </c>
    </row>
    <row r="631" spans="2:2">
      <c r="B631" s="3" t="s">
        <v>5599</v>
      </c>
    </row>
    <row r="632" spans="2:2">
      <c r="B632" s="3" t="s">
        <v>5600</v>
      </c>
    </row>
    <row r="633" spans="2:2">
      <c r="B633" s="3" t="s">
        <v>5601</v>
      </c>
    </row>
    <row r="634" spans="2:2">
      <c r="B634" s="3" t="s">
        <v>5602</v>
      </c>
    </row>
    <row r="635" spans="2:2">
      <c r="B635" s="3">
        <v>21220164</v>
      </c>
    </row>
    <row r="636" spans="2:2">
      <c r="B636" s="3" t="s">
        <v>5603</v>
      </c>
    </row>
    <row r="637" spans="2:2">
      <c r="B637" s="3" t="s">
        <v>5604</v>
      </c>
    </row>
    <row r="638" spans="2:2">
      <c r="B638" s="3" t="s">
        <v>5605</v>
      </c>
    </row>
    <row r="639" spans="2:2">
      <c r="B639" s="3" t="s">
        <v>5606</v>
      </c>
    </row>
    <row r="640" spans="2:2">
      <c r="B640" s="3" t="s">
        <v>5607</v>
      </c>
    </row>
    <row r="641" spans="2:2">
      <c r="B641" s="3" t="s">
        <v>5608</v>
      </c>
    </row>
    <row r="642" spans="2:2">
      <c r="B642" s="3" t="s">
        <v>5609</v>
      </c>
    </row>
    <row r="643" spans="2:2">
      <c r="B643" s="3" t="s">
        <v>5610</v>
      </c>
    </row>
    <row r="644" spans="2:2">
      <c r="B644" s="3" t="s">
        <v>5611</v>
      </c>
    </row>
    <row r="645" spans="2:2">
      <c r="B645" s="3" t="s">
        <v>5612</v>
      </c>
    </row>
    <row r="646" spans="2:2">
      <c r="B646" s="3" t="s">
        <v>5613</v>
      </c>
    </row>
    <row r="647" spans="2:2">
      <c r="B647" s="3" t="s">
        <v>5614</v>
      </c>
    </row>
    <row r="648" spans="2:2">
      <c r="B648" s="3" t="s">
        <v>5615</v>
      </c>
    </row>
    <row r="649" spans="2:2">
      <c r="B649" s="3" t="s">
        <v>5616</v>
      </c>
    </row>
    <row r="650" spans="2:2">
      <c r="B650" s="3" t="s">
        <v>5617</v>
      </c>
    </row>
    <row r="651" spans="2:2">
      <c r="B651" s="3">
        <v>20210233</v>
      </c>
    </row>
    <row r="652" spans="2:2">
      <c r="B652" s="3" t="s">
        <v>5618</v>
      </c>
    </row>
    <row r="653" spans="2:2">
      <c r="B653" s="3" t="s">
        <v>5619</v>
      </c>
    </row>
    <row r="654" spans="2:2">
      <c r="B654" s="3" t="s">
        <v>5620</v>
      </c>
    </row>
    <row r="655" spans="2:2">
      <c r="B655" s="3" t="s">
        <v>5621</v>
      </c>
    </row>
    <row r="656" spans="2:2">
      <c r="B656" s="3" t="s">
        <v>5622</v>
      </c>
    </row>
    <row r="657" spans="2:2">
      <c r="B657" s="3" t="s">
        <v>5623</v>
      </c>
    </row>
    <row r="658" spans="2:2">
      <c r="B658" s="3" t="s">
        <v>5624</v>
      </c>
    </row>
    <row r="660" spans="2:2">
      <c r="B660" s="3" t="s">
        <v>5625</v>
      </c>
    </row>
    <row r="661" spans="2:2">
      <c r="B661" s="3" t="s">
        <v>5626</v>
      </c>
    </row>
    <row r="662" spans="2:2">
      <c r="B662" s="3" t="s">
        <v>5627</v>
      </c>
    </row>
    <row r="663" spans="2:2">
      <c r="B663" s="3" t="s">
        <v>5628</v>
      </c>
    </row>
    <row r="664" spans="2:2">
      <c r="B664" s="3" t="s">
        <v>5629</v>
      </c>
    </row>
    <row r="665" spans="2:2">
      <c r="B665" s="3" t="s">
        <v>5630</v>
      </c>
    </row>
    <row r="666" spans="2:2">
      <c r="B666" s="3" t="s">
        <v>5631</v>
      </c>
    </row>
    <row r="668" spans="2:2">
      <c r="B668" s="3" t="s">
        <v>5632</v>
      </c>
    </row>
    <row r="669" spans="2:2">
      <c r="B669" s="3" t="s">
        <v>5633</v>
      </c>
    </row>
    <row r="670" spans="2:2">
      <c r="B670" s="3" t="s">
        <v>5634</v>
      </c>
    </row>
    <row r="671" spans="2:2">
      <c r="B671" s="3" t="s">
        <v>5635</v>
      </c>
    </row>
    <row r="672" spans="2:2">
      <c r="B672" s="3" t="s">
        <v>5636</v>
      </c>
    </row>
    <row r="673" spans="2:2">
      <c r="B673" s="3" t="s">
        <v>5637</v>
      </c>
    </row>
    <row r="675" spans="2:2">
      <c r="B675" s="3" t="s">
        <v>5638</v>
      </c>
    </row>
    <row r="676" spans="2:2">
      <c r="B676" s="3" t="s">
        <v>5639</v>
      </c>
    </row>
    <row r="678" spans="2:2">
      <c r="B678" s="3" t="s">
        <v>5640</v>
      </c>
    </row>
    <row r="679" spans="2:2">
      <c r="B679" s="3" t="s">
        <v>5641</v>
      </c>
    </row>
    <row r="680" spans="2:2">
      <c r="B680" s="3" t="s">
        <v>5642</v>
      </c>
    </row>
    <row r="681" spans="2:2">
      <c r="B681" s="3" t="s">
        <v>5643</v>
      </c>
    </row>
    <row r="682" spans="2:2">
      <c r="B682" s="3" t="s">
        <v>5644</v>
      </c>
    </row>
    <row r="683" spans="2:2">
      <c r="B683" s="3" t="s">
        <v>5645</v>
      </c>
    </row>
    <row r="684" spans="2:2">
      <c r="B684" s="3" t="s">
        <v>5646</v>
      </c>
    </row>
    <row r="685" spans="2:2">
      <c r="B685" s="3" t="s">
        <v>5647</v>
      </c>
    </row>
    <row r="686" spans="2:2">
      <c r="B686" s="3" t="s">
        <v>5648</v>
      </c>
    </row>
    <row r="687" spans="2:2">
      <c r="B687" s="3" t="s">
        <v>5649</v>
      </c>
    </row>
    <row r="688" spans="2:2">
      <c r="B688" s="3" t="s">
        <v>5650</v>
      </c>
    </row>
    <row r="689" spans="2:2">
      <c r="B689" s="3" t="s">
        <v>5651</v>
      </c>
    </row>
    <row r="690" spans="2:2">
      <c r="B690" s="3" t="s">
        <v>5652</v>
      </c>
    </row>
    <row r="691" spans="2:2">
      <c r="B691" s="3" t="s">
        <v>5653</v>
      </c>
    </row>
    <row r="692" spans="2:2">
      <c r="B692" s="3" t="s">
        <v>5654</v>
      </c>
    </row>
    <row r="693" spans="2:2">
      <c r="B693" s="3" t="s">
        <v>5655</v>
      </c>
    </row>
    <row r="695" spans="2:2">
      <c r="B695" s="3" t="s">
        <v>5656</v>
      </c>
    </row>
    <row r="696" spans="2:2">
      <c r="B696" s="3" t="s">
        <v>5657</v>
      </c>
    </row>
    <row r="697" spans="2:2">
      <c r="B697" s="3" t="s">
        <v>5658</v>
      </c>
    </row>
    <row r="698" spans="2:2">
      <c r="B698" s="3" t="s">
        <v>5659</v>
      </c>
    </row>
    <row r="699" spans="2:2">
      <c r="B699" s="3" t="s">
        <v>5660</v>
      </c>
    </row>
    <row r="701" spans="2:2">
      <c r="B701" s="3" t="s">
        <v>5661</v>
      </c>
    </row>
    <row r="702" spans="2:2">
      <c r="B702" s="3" t="s">
        <v>5662</v>
      </c>
    </row>
    <row r="703" spans="2:2">
      <c r="B703" s="3" t="s">
        <v>5663</v>
      </c>
    </row>
    <row r="704" spans="2:2">
      <c r="B704" s="3" t="s">
        <v>5664</v>
      </c>
    </row>
    <row r="705" spans="2:2">
      <c r="B705" s="3" t="s">
        <v>5665</v>
      </c>
    </row>
    <row r="706" spans="2:2">
      <c r="B706" s="3" t="s">
        <v>5666</v>
      </c>
    </row>
    <row r="707" spans="2:2">
      <c r="B707" s="3" t="s">
        <v>5667</v>
      </c>
    </row>
    <row r="709" spans="2:2">
      <c r="B709" s="3" t="s">
        <v>5668</v>
      </c>
    </row>
    <row r="710" spans="2:2">
      <c r="B710" s="3" t="s">
        <v>5669</v>
      </c>
    </row>
    <row r="711" spans="2:2">
      <c r="B711" s="3" t="s">
        <v>5670</v>
      </c>
    </row>
    <row r="713" spans="2:2">
      <c r="B713" s="3" t="s">
        <v>5671</v>
      </c>
    </row>
    <row r="714" spans="2:2">
      <c r="B714" s="3" t="s">
        <v>5672</v>
      </c>
    </row>
    <row r="715" spans="2:2">
      <c r="B715" s="3" t="s">
        <v>5673</v>
      </c>
    </row>
    <row r="716" spans="2:2">
      <c r="B716" s="3" t="s">
        <v>5674</v>
      </c>
    </row>
    <row r="717" spans="2:2">
      <c r="B717" s="3" t="s">
        <v>5675</v>
      </c>
    </row>
    <row r="718" spans="2:2">
      <c r="B718" s="3" t="s">
        <v>5676</v>
      </c>
    </row>
    <row r="719" spans="2:2">
      <c r="B719" s="3" t="s">
        <v>5677</v>
      </c>
    </row>
    <row r="720" spans="2:2">
      <c r="B720" s="3" t="s">
        <v>5678</v>
      </c>
    </row>
    <row r="721" spans="2:2">
      <c r="B721" s="3" t="s">
        <v>5679</v>
      </c>
    </row>
    <row r="722" spans="2:2">
      <c r="B722" s="3" t="s">
        <v>5680</v>
      </c>
    </row>
    <row r="723" spans="2:2">
      <c r="B723" s="3" t="s">
        <v>5681</v>
      </c>
    </row>
    <row r="724" spans="2:2">
      <c r="B724" s="3" t="s">
        <v>5682</v>
      </c>
    </row>
    <row r="725" spans="2:2">
      <c r="B725" s="3" t="s">
        <v>5683</v>
      </c>
    </row>
    <row r="726" spans="2:2">
      <c r="B726" s="3" t="s">
        <v>5684</v>
      </c>
    </row>
    <row r="727" spans="2:2">
      <c r="B727" s="3" t="s">
        <v>5685</v>
      </c>
    </row>
    <row r="728" spans="2:2">
      <c r="B728" s="3" t="s">
        <v>5686</v>
      </c>
    </row>
    <row r="729" spans="2:2">
      <c r="B729" s="3" t="s">
        <v>5687</v>
      </c>
    </row>
    <row r="730" spans="2:2">
      <c r="B730" s="3" t="s">
        <v>5688</v>
      </c>
    </row>
    <row r="732" spans="2:2">
      <c r="B732" s="3" t="s">
        <v>5689</v>
      </c>
    </row>
    <row r="733" spans="2:2">
      <c r="B733" s="3" t="s">
        <v>5690</v>
      </c>
    </row>
    <row r="734" spans="2:2">
      <c r="B734" s="3" t="s">
        <v>5691</v>
      </c>
    </row>
    <row r="735" spans="2:2">
      <c r="B735" s="3" t="s">
        <v>5692</v>
      </c>
    </row>
    <row r="736" spans="2:2">
      <c r="B736" s="3" t="s">
        <v>5693</v>
      </c>
    </row>
    <row r="737" spans="2:2">
      <c r="B737" s="3" t="s">
        <v>5694</v>
      </c>
    </row>
    <row r="738" spans="2:2">
      <c r="B738" s="3" t="s">
        <v>5695</v>
      </c>
    </row>
    <row r="739" spans="2:2">
      <c r="B739" s="3" t="s">
        <v>5696</v>
      </c>
    </row>
    <row r="740" spans="2:2">
      <c r="B740" s="3" t="s">
        <v>5697</v>
      </c>
    </row>
    <row r="741" spans="2:2">
      <c r="B741" s="3" t="s">
        <v>5698</v>
      </c>
    </row>
    <row r="742" spans="2:2">
      <c r="B742" s="3" t="s">
        <v>5699</v>
      </c>
    </row>
    <row r="743" spans="2:2">
      <c r="B743" s="3" t="s">
        <v>5700</v>
      </c>
    </row>
    <row r="745" spans="2:2">
      <c r="B745" s="3" t="s">
        <v>5701</v>
      </c>
    </row>
    <row r="746" spans="2:2">
      <c r="B746" s="3" t="s">
        <v>5702</v>
      </c>
    </row>
    <row r="747" spans="2:2">
      <c r="B747" s="3" t="s">
        <v>5703</v>
      </c>
    </row>
    <row r="748" spans="2:2">
      <c r="B748" s="3" t="s">
        <v>5704</v>
      </c>
    </row>
    <row r="749" spans="2:2">
      <c r="B749" s="3" t="s">
        <v>5705</v>
      </c>
    </row>
    <row r="750" spans="2:2">
      <c r="B750" s="3" t="s">
        <v>5706</v>
      </c>
    </row>
    <row r="751" spans="2:2">
      <c r="B751" s="3" t="s">
        <v>5707</v>
      </c>
    </row>
    <row r="752" spans="2:2">
      <c r="B752" s="3" t="s">
        <v>5708</v>
      </c>
    </row>
    <row r="753" spans="2:2">
      <c r="B753" s="3" t="s">
        <v>5709</v>
      </c>
    </row>
    <row r="754" spans="2:2">
      <c r="B754" s="3" t="s">
        <v>5710</v>
      </c>
    </row>
    <row r="755" spans="2:2">
      <c r="B755" s="3" t="s">
        <v>5711</v>
      </c>
    </row>
    <row r="756" spans="2:2">
      <c r="B756" s="3" t="s">
        <v>5712</v>
      </c>
    </row>
    <row r="757" spans="2:2">
      <c r="B757" s="3" t="s">
        <v>5713</v>
      </c>
    </row>
    <row r="758" spans="2:2">
      <c r="B758" s="3" t="s">
        <v>5714</v>
      </c>
    </row>
    <row r="759" spans="2:2">
      <c r="B759" s="3" t="s">
        <v>5715</v>
      </c>
    </row>
    <row r="760" spans="2:2">
      <c r="B760" s="3" t="s">
        <v>5716</v>
      </c>
    </row>
    <row r="761" spans="2:2">
      <c r="B761" s="3" t="s">
        <v>5717</v>
      </c>
    </row>
    <row r="762" spans="2:2">
      <c r="B762" s="3" t="s">
        <v>5718</v>
      </c>
    </row>
    <row r="763" spans="2:2">
      <c r="B763" s="3" t="s">
        <v>5719</v>
      </c>
    </row>
    <row r="764" spans="2:2">
      <c r="B764" s="3" t="s">
        <v>5720</v>
      </c>
    </row>
    <row r="765" spans="2:2">
      <c r="B765" s="3" t="s">
        <v>5721</v>
      </c>
    </row>
    <row r="766" spans="2:2">
      <c r="B766" s="3" t="s">
        <v>5722</v>
      </c>
    </row>
    <row r="767" spans="2:2">
      <c r="B767" s="3" t="s">
        <v>5723</v>
      </c>
    </row>
    <row r="768" spans="2:2">
      <c r="B768" s="3" t="s">
        <v>5724</v>
      </c>
    </row>
    <row r="770" spans="2:2">
      <c r="B770" s="3" t="s">
        <v>5725</v>
      </c>
    </row>
    <row r="771" spans="2:2">
      <c r="B771" s="3" t="s">
        <v>5726</v>
      </c>
    </row>
    <row r="772" spans="2:2">
      <c r="B772" s="3" t="s">
        <v>5727</v>
      </c>
    </row>
    <row r="774" spans="2:2">
      <c r="B774" s="3" t="s">
        <v>5728</v>
      </c>
    </row>
    <row r="775" spans="2:2">
      <c r="B775" s="3" t="s">
        <v>5729</v>
      </c>
    </row>
    <row r="776" spans="2:2">
      <c r="B776" s="3" t="s">
        <v>5730</v>
      </c>
    </row>
    <row r="777" spans="2:2">
      <c r="B777" s="3" t="s">
        <v>5731</v>
      </c>
    </row>
    <row r="778" spans="2:2">
      <c r="B778" s="3" t="s">
        <v>5732</v>
      </c>
    </row>
    <row r="779" spans="2:2">
      <c r="B779" s="3" t="s">
        <v>5733</v>
      </c>
    </row>
    <row r="780" spans="2:2">
      <c r="B780" s="3" t="s">
        <v>5734</v>
      </c>
    </row>
    <row r="781" spans="2:2">
      <c r="B781" s="3" t="s">
        <v>5735</v>
      </c>
    </row>
    <row r="782" spans="2:2">
      <c r="B782" s="3" t="s">
        <v>5736</v>
      </c>
    </row>
    <row r="783" spans="2:2">
      <c r="B783" s="3" t="s">
        <v>5737</v>
      </c>
    </row>
    <row r="784" spans="2:2">
      <c r="B784" s="3" t="s">
        <v>5738</v>
      </c>
    </row>
    <row r="787" spans="2:2">
      <c r="B787" s="3" t="s">
        <v>5739</v>
      </c>
    </row>
    <row r="788" spans="2:2">
      <c r="B788" s="3" t="s">
        <v>5740</v>
      </c>
    </row>
    <row r="789" spans="2:2">
      <c r="B789" s="3" t="s">
        <v>5741</v>
      </c>
    </row>
    <row r="790" spans="2:2">
      <c r="B790" s="3" t="s">
        <v>5742</v>
      </c>
    </row>
    <row r="791" spans="2:2">
      <c r="B791" s="3" t="s">
        <v>5743</v>
      </c>
    </row>
    <row r="792" spans="2:2">
      <c r="B792" s="3" t="s">
        <v>5744</v>
      </c>
    </row>
    <row r="793" spans="2:2">
      <c r="B793" s="3" t="s">
        <v>5745</v>
      </c>
    </row>
    <row r="794" spans="2:2">
      <c r="B794" s="3" t="s">
        <v>5746</v>
      </c>
    </row>
    <row r="795" spans="2:2">
      <c r="B795" s="3" t="s">
        <v>5747</v>
      </c>
    </row>
    <row r="796" spans="2:2">
      <c r="B796" s="3" t="s">
        <v>5748</v>
      </c>
    </row>
    <row r="797" spans="2:2">
      <c r="B797" s="3" t="s">
        <v>5749</v>
      </c>
    </row>
    <row r="798" spans="2:2">
      <c r="B798" s="3" t="s">
        <v>5750</v>
      </c>
    </row>
    <row r="799" spans="2:2">
      <c r="B799" s="3" t="s">
        <v>5751</v>
      </c>
    </row>
    <row r="800" spans="2:2">
      <c r="B800" s="3" t="s">
        <v>5752</v>
      </c>
    </row>
    <row r="801" spans="2:2">
      <c r="B801" s="3" t="s">
        <v>5753</v>
      </c>
    </row>
    <row r="802" spans="2:2">
      <c r="B802" s="3" t="s">
        <v>5754</v>
      </c>
    </row>
    <row r="803" spans="2:2">
      <c r="B803" s="3" t="s">
        <v>5755</v>
      </c>
    </row>
    <row r="804" spans="2:2">
      <c r="B804" s="3" t="s">
        <v>5756</v>
      </c>
    </row>
    <row r="805" spans="2:2">
      <c r="B805" s="3" t="s">
        <v>5757</v>
      </c>
    </row>
    <row r="806" spans="2:2">
      <c r="B806" s="3" t="s">
        <v>5758</v>
      </c>
    </row>
    <row r="807" spans="2:2">
      <c r="B807" s="3" t="s">
        <v>5759</v>
      </c>
    </row>
    <row r="808" spans="2:2">
      <c r="B808" s="3" t="s">
        <v>5760</v>
      </c>
    </row>
    <row r="809" spans="2:2">
      <c r="B809" s="3" t="s">
        <v>5761</v>
      </c>
    </row>
    <row r="810" spans="2:2">
      <c r="B810" s="3" t="s">
        <v>5762</v>
      </c>
    </row>
    <row r="811" spans="2:2">
      <c r="B811" s="3" t="s">
        <v>5763</v>
      </c>
    </row>
    <row r="812" spans="2:2">
      <c r="B812" s="3" t="s">
        <v>5764</v>
      </c>
    </row>
    <row r="814" spans="2:2">
      <c r="B814" s="3">
        <v>24250137</v>
      </c>
    </row>
    <row r="815" spans="2:2">
      <c r="B815" s="3">
        <v>24250061</v>
      </c>
    </row>
    <row r="816" spans="2:2">
      <c r="B816" s="3">
        <v>24250005</v>
      </c>
    </row>
    <row r="817" spans="2:2">
      <c r="B817" s="3">
        <v>24250157</v>
      </c>
    </row>
    <row r="818" spans="2:2">
      <c r="B818" s="3">
        <v>24250165</v>
      </c>
    </row>
    <row r="819" spans="2:2">
      <c r="B819" s="3">
        <v>24250112</v>
      </c>
    </row>
    <row r="820" spans="2:2">
      <c r="B820" s="3">
        <v>24250071</v>
      </c>
    </row>
    <row r="821" spans="2:2">
      <c r="B821" s="3">
        <v>24250168</v>
      </c>
    </row>
    <row r="822" spans="2:2">
      <c r="B822" s="3">
        <v>24250150</v>
      </c>
    </row>
    <row r="823" spans="2:2">
      <c r="B823" s="3">
        <v>24250085</v>
      </c>
    </row>
    <row r="824" spans="2:2">
      <c r="B824" s="3">
        <v>24250072</v>
      </c>
    </row>
    <row r="825" spans="2:2">
      <c r="B825" s="3">
        <v>24250081</v>
      </c>
    </row>
    <row r="826" spans="2:2">
      <c r="B826" s="3">
        <v>24250105</v>
      </c>
    </row>
    <row r="827" spans="2:2">
      <c r="B827" s="3">
        <v>24250117</v>
      </c>
    </row>
    <row r="828" spans="2:2">
      <c r="B828" s="3">
        <v>24250142</v>
      </c>
    </row>
    <row r="829" spans="2:2">
      <c r="B829" s="3">
        <v>24250151</v>
      </c>
    </row>
    <row r="830" spans="2:2">
      <c r="B830" s="3">
        <v>24250076</v>
      </c>
    </row>
    <row r="831" spans="2:2">
      <c r="B831" s="3">
        <v>24250054</v>
      </c>
    </row>
    <row r="832" spans="2:2">
      <c r="B832" s="3">
        <v>24250170</v>
      </c>
    </row>
    <row r="833" spans="2:2">
      <c r="B833" s="3">
        <v>24250090</v>
      </c>
    </row>
    <row r="834" spans="2:2">
      <c r="B834" s="3">
        <v>24250140</v>
      </c>
    </row>
    <row r="835" spans="2:2">
      <c r="B835" s="3">
        <v>24250133</v>
      </c>
    </row>
    <row r="836" spans="2:2">
      <c r="B836" s="3">
        <v>24250086</v>
      </c>
    </row>
    <row r="837" spans="2:2">
      <c r="B837" s="3">
        <v>24250065</v>
      </c>
    </row>
    <row r="838" spans="2:2">
      <c r="B838" s="3">
        <v>24250149</v>
      </c>
    </row>
    <row r="839" spans="2:2">
      <c r="B839" s="3">
        <v>24250155</v>
      </c>
    </row>
    <row r="840" spans="2:2">
      <c r="B840" s="3">
        <v>24250134</v>
      </c>
    </row>
    <row r="841" spans="2:2">
      <c r="B841" s="3">
        <v>24250174</v>
      </c>
    </row>
    <row r="842" spans="2:2">
      <c r="B842" s="3">
        <v>24250107</v>
      </c>
    </row>
    <row r="843" spans="2:2">
      <c r="B843" s="3">
        <v>24250159</v>
      </c>
    </row>
    <row r="844" spans="2:2">
      <c r="B844" s="3">
        <v>24250131</v>
      </c>
    </row>
    <row r="845" spans="2:2">
      <c r="B845" s="3">
        <v>24250078</v>
      </c>
    </row>
    <row r="846" spans="2:2">
      <c r="B846" s="3">
        <v>24250135</v>
      </c>
    </row>
    <row r="847" spans="2:2">
      <c r="B847" s="3">
        <v>24250143</v>
      </c>
    </row>
    <row r="848" spans="2:2">
      <c r="B848" s="3">
        <v>24250019</v>
      </c>
    </row>
    <row r="849" spans="2:2">
      <c r="B849" s="3">
        <v>24250042</v>
      </c>
    </row>
    <row r="850" spans="2:2">
      <c r="B850" s="3">
        <v>24250103</v>
      </c>
    </row>
    <row r="851" spans="2:2">
      <c r="B851" s="3">
        <v>24250099</v>
      </c>
    </row>
    <row r="852" spans="2:2">
      <c r="B852" s="3">
        <v>24250073</v>
      </c>
    </row>
    <row r="853" spans="2:2">
      <c r="B853" s="3">
        <v>24250136</v>
      </c>
    </row>
    <row r="854" spans="2:2">
      <c r="B854" s="3">
        <v>24250037</v>
      </c>
    </row>
    <row r="855" spans="2:2">
      <c r="B855" s="3">
        <v>24250141</v>
      </c>
    </row>
    <row r="856" spans="2:2">
      <c r="B856" s="3">
        <v>24250144</v>
      </c>
    </row>
    <row r="857" spans="2:2">
      <c r="B857" s="3">
        <v>24250083</v>
      </c>
    </row>
    <row r="858" spans="2:2">
      <c r="B858" s="3">
        <v>24250146</v>
      </c>
    </row>
    <row r="859" spans="2:2">
      <c r="B859" s="3">
        <v>24250160</v>
      </c>
    </row>
    <row r="860" spans="2:2">
      <c r="B860" s="3">
        <v>24250154</v>
      </c>
    </row>
    <row r="861" spans="2:2">
      <c r="B861" s="3">
        <v>24250031</v>
      </c>
    </row>
    <row r="862" spans="2:2">
      <c r="B862" s="3">
        <v>24250020</v>
      </c>
    </row>
    <row r="863" spans="2:2">
      <c r="B863" s="3">
        <v>24250068</v>
      </c>
    </row>
    <row r="864" spans="2:2">
      <c r="B864" s="3">
        <v>24250079</v>
      </c>
    </row>
    <row r="865" spans="2:2">
      <c r="B865" s="3">
        <v>24250109</v>
      </c>
    </row>
    <row r="866" spans="2:2">
      <c r="B866" s="3">
        <v>24250094</v>
      </c>
    </row>
    <row r="867" spans="2:2">
      <c r="B867" s="3">
        <v>24250095</v>
      </c>
    </row>
    <row r="868" spans="2:2">
      <c r="B868" s="3">
        <v>24250122</v>
      </c>
    </row>
    <row r="869" spans="2:2">
      <c r="B869" s="3">
        <v>24250156</v>
      </c>
    </row>
    <row r="870" spans="2:2">
      <c r="B870" s="3">
        <v>24250123</v>
      </c>
    </row>
    <row r="871" spans="2:2">
      <c r="B871" s="3">
        <v>24250106</v>
      </c>
    </row>
    <row r="872" spans="2:2">
      <c r="B872" s="3">
        <v>24250115</v>
      </c>
    </row>
    <row r="873" spans="2:2">
      <c r="B873" s="3">
        <v>24250069</v>
      </c>
    </row>
    <row r="874" spans="2:2">
      <c r="B874" s="3">
        <v>24250147</v>
      </c>
    </row>
    <row r="875" spans="2:2">
      <c r="B875" s="3">
        <v>24250024</v>
      </c>
    </row>
    <row r="876" spans="2:2">
      <c r="B876" s="3">
        <v>24250008</v>
      </c>
    </row>
    <row r="877" spans="2:2">
      <c r="B877" s="3">
        <v>24250017</v>
      </c>
    </row>
    <row r="878" spans="2:2">
      <c r="B878" s="3" t="s">
        <v>5765</v>
      </c>
    </row>
    <row r="879" spans="2:2">
      <c r="B879" s="3" t="s">
        <v>5766</v>
      </c>
    </row>
    <row r="880" spans="2:2">
      <c r="B880" s="3" t="s">
        <v>5767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00BF-114A-473A-862B-EBF02D8A6F7B}">
  <dimension ref="A2:J457"/>
  <sheetViews>
    <sheetView topLeftCell="A271" workbookViewId="0">
      <selection activeCell="I15" sqref="I15"/>
    </sheetView>
  </sheetViews>
  <sheetFormatPr defaultRowHeight="15"/>
  <cols>
    <col min="1" max="1" width="6.5703125" style="3" customWidth="1"/>
    <col min="2" max="2" width="9.7109375" style="3" customWidth="1"/>
    <col min="3" max="3" width="6" bestFit="1" customWidth="1"/>
    <col min="4" max="4" width="16" customWidth="1"/>
    <col min="5" max="5" width="16.28515625" customWidth="1"/>
    <col min="6" max="6" width="17.85546875" bestFit="1" customWidth="1"/>
    <col min="7" max="7" width="8.42578125" customWidth="1"/>
    <col min="8" max="8" width="14.85546875" customWidth="1"/>
    <col min="9" max="9" width="9" bestFit="1" customWidth="1"/>
    <col min="10" max="10" width="36.28515625" bestFit="1" customWidth="1"/>
  </cols>
  <sheetData>
    <row r="2" spans="1:10">
      <c r="A2" s="3" t="s">
        <v>5768</v>
      </c>
      <c r="B2" s="3" t="s">
        <v>5769</v>
      </c>
      <c r="C2" t="s">
        <v>5770</v>
      </c>
      <c r="D2" t="s">
        <v>5771</v>
      </c>
      <c r="E2" t="s">
        <v>5772</v>
      </c>
      <c r="F2" t="s">
        <v>5773</v>
      </c>
      <c r="G2" t="s">
        <v>5774</v>
      </c>
      <c r="H2" t="s">
        <v>5775</v>
      </c>
      <c r="I2" t="s">
        <v>84</v>
      </c>
      <c r="J2" t="s">
        <v>5776</v>
      </c>
    </row>
    <row r="3" spans="1:10">
      <c r="A3" s="3">
        <f>SUBTOTAL(3,J$3:J3)</f>
        <v>1</v>
      </c>
      <c r="B3" s="3" t="s">
        <v>86</v>
      </c>
      <c r="C3" t="s">
        <v>5777</v>
      </c>
      <c r="D3" t="s">
        <v>5778</v>
      </c>
      <c r="F3" t="s">
        <v>4837</v>
      </c>
      <c r="G3" t="s">
        <v>5779</v>
      </c>
      <c r="H3" s="3">
        <v>7</v>
      </c>
      <c r="I3">
        <v>16170087</v>
      </c>
      <c r="J3" t="s">
        <v>5780</v>
      </c>
    </row>
    <row r="4" spans="1:10">
      <c r="A4" s="3">
        <f>SUBTOTAL(3,J$3:J4)</f>
        <v>2</v>
      </c>
      <c r="B4" s="3" t="s">
        <v>86</v>
      </c>
      <c r="C4" t="s">
        <v>5777</v>
      </c>
      <c r="D4" t="s">
        <v>5778</v>
      </c>
      <c r="F4" t="s">
        <v>4837</v>
      </c>
      <c r="G4" t="s">
        <v>5779</v>
      </c>
      <c r="H4" s="3">
        <v>7</v>
      </c>
      <c r="I4">
        <v>17180105</v>
      </c>
      <c r="J4" t="s">
        <v>5781</v>
      </c>
    </row>
    <row r="5" spans="1:10">
      <c r="A5" s="3">
        <f>SUBTOTAL(3,J$3:J5)</f>
        <v>3</v>
      </c>
      <c r="B5" s="3" t="s">
        <v>86</v>
      </c>
      <c r="C5" t="s">
        <v>5777</v>
      </c>
      <c r="D5" t="s">
        <v>5778</v>
      </c>
      <c r="F5" t="s">
        <v>4837</v>
      </c>
      <c r="G5" t="s">
        <v>5779</v>
      </c>
      <c r="H5" s="3">
        <v>7</v>
      </c>
      <c r="I5">
        <v>16170096</v>
      </c>
      <c r="J5" t="s">
        <v>5782</v>
      </c>
    </row>
    <row r="6" spans="1:10">
      <c r="A6" s="3">
        <f>SUBTOTAL(3,J$3:J6)</f>
        <v>4</v>
      </c>
      <c r="B6" s="3" t="s">
        <v>86</v>
      </c>
      <c r="C6" t="s">
        <v>5777</v>
      </c>
      <c r="D6" t="s">
        <v>5778</v>
      </c>
      <c r="F6" t="s">
        <v>4837</v>
      </c>
      <c r="G6" t="s">
        <v>5779</v>
      </c>
      <c r="H6" s="3">
        <v>7</v>
      </c>
      <c r="I6">
        <v>17180112</v>
      </c>
      <c r="J6" t="s">
        <v>5783</v>
      </c>
    </row>
    <row r="7" spans="1:10">
      <c r="A7" s="3">
        <f>SUBTOTAL(3,J$3:J7)</f>
        <v>5</v>
      </c>
      <c r="B7" s="3" t="s">
        <v>86</v>
      </c>
      <c r="C7" t="s">
        <v>5777</v>
      </c>
      <c r="D7" t="s">
        <v>5778</v>
      </c>
      <c r="F7" t="s">
        <v>4837</v>
      </c>
      <c r="G7" t="s">
        <v>5779</v>
      </c>
      <c r="H7" s="3">
        <v>7</v>
      </c>
      <c r="I7">
        <v>17180118</v>
      </c>
      <c r="J7" t="s">
        <v>5784</v>
      </c>
    </row>
    <row r="8" spans="1:10">
      <c r="A8" s="3">
        <f>SUBTOTAL(3,J$3:J8)</f>
        <v>6</v>
      </c>
      <c r="B8" s="3" t="s">
        <v>86</v>
      </c>
      <c r="C8" t="s">
        <v>5777</v>
      </c>
      <c r="D8" t="s">
        <v>5778</v>
      </c>
      <c r="F8" t="s">
        <v>4837</v>
      </c>
      <c r="G8" t="s">
        <v>5779</v>
      </c>
      <c r="H8" s="3">
        <v>7</v>
      </c>
      <c r="I8">
        <v>17180119</v>
      </c>
      <c r="J8" t="s">
        <v>5785</v>
      </c>
    </row>
    <row r="9" spans="1:10">
      <c r="A9" s="3">
        <f>SUBTOTAL(3,J$3:J9)</f>
        <v>7</v>
      </c>
      <c r="B9" s="3" t="s">
        <v>86</v>
      </c>
      <c r="C9" t="s">
        <v>5777</v>
      </c>
      <c r="D9" t="s">
        <v>5778</v>
      </c>
      <c r="F9" t="s">
        <v>4837</v>
      </c>
      <c r="G9" t="s">
        <v>5779</v>
      </c>
      <c r="H9" s="3">
        <v>7</v>
      </c>
      <c r="I9">
        <v>17180120</v>
      </c>
      <c r="J9" t="s">
        <v>5786</v>
      </c>
    </row>
    <row r="10" spans="1:10">
      <c r="A10" s="3">
        <f>SUBTOTAL(3,J$3:J10)</f>
        <v>8</v>
      </c>
      <c r="B10" s="3" t="s">
        <v>86</v>
      </c>
      <c r="C10" t="s">
        <v>5777</v>
      </c>
      <c r="D10" t="s">
        <v>5778</v>
      </c>
      <c r="F10" t="s">
        <v>4837</v>
      </c>
      <c r="G10" t="s">
        <v>5779</v>
      </c>
      <c r="H10" s="3">
        <v>7</v>
      </c>
      <c r="I10">
        <v>17180122</v>
      </c>
      <c r="J10" t="s">
        <v>5787</v>
      </c>
    </row>
    <row r="11" spans="1:10">
      <c r="A11" s="3">
        <f>SUBTOTAL(3,J$3:J11)</f>
        <v>9</v>
      </c>
      <c r="B11" s="3" t="s">
        <v>86</v>
      </c>
      <c r="C11" t="s">
        <v>5777</v>
      </c>
      <c r="D11" t="s">
        <v>5778</v>
      </c>
      <c r="F11" t="s">
        <v>4837</v>
      </c>
      <c r="G11" t="s">
        <v>5779</v>
      </c>
      <c r="H11" s="3">
        <v>7</v>
      </c>
      <c r="I11">
        <v>17180126</v>
      </c>
      <c r="J11" t="s">
        <v>5788</v>
      </c>
    </row>
    <row r="12" spans="1:10">
      <c r="A12" s="3">
        <f>SUBTOTAL(3,J$3:J12)</f>
        <v>10</v>
      </c>
      <c r="B12" s="3" t="s">
        <v>86</v>
      </c>
      <c r="C12" t="s">
        <v>5777</v>
      </c>
      <c r="D12" t="s">
        <v>5778</v>
      </c>
      <c r="F12" t="s">
        <v>4837</v>
      </c>
      <c r="G12" t="s">
        <v>5779</v>
      </c>
      <c r="H12" s="3">
        <v>7</v>
      </c>
      <c r="I12">
        <v>18190241</v>
      </c>
      <c r="J12" t="s">
        <v>5789</v>
      </c>
    </row>
    <row r="13" spans="1:10">
      <c r="A13" s="3">
        <f>SUBTOTAL(3,J$3:J13)</f>
        <v>11</v>
      </c>
      <c r="B13" s="3" t="s">
        <v>86</v>
      </c>
      <c r="C13" t="s">
        <v>5777</v>
      </c>
      <c r="D13" t="s">
        <v>5778</v>
      </c>
      <c r="F13" t="s">
        <v>4837</v>
      </c>
      <c r="G13" t="s">
        <v>5779</v>
      </c>
      <c r="H13" s="3">
        <v>7</v>
      </c>
      <c r="I13">
        <v>17180135</v>
      </c>
      <c r="J13" t="s">
        <v>5790</v>
      </c>
    </row>
    <row r="14" spans="1:10">
      <c r="A14" s="3">
        <f>SUBTOTAL(3,J$3:J14)</f>
        <v>12</v>
      </c>
      <c r="B14" s="3" t="s">
        <v>86</v>
      </c>
      <c r="C14" t="s">
        <v>5777</v>
      </c>
      <c r="D14" t="s">
        <v>5778</v>
      </c>
      <c r="F14" t="s">
        <v>4837</v>
      </c>
      <c r="G14" t="s">
        <v>5779</v>
      </c>
      <c r="H14" s="3">
        <v>7</v>
      </c>
      <c r="I14">
        <v>17180136</v>
      </c>
      <c r="J14" t="s">
        <v>5791</v>
      </c>
    </row>
    <row r="15" spans="1:10">
      <c r="A15" s="3">
        <f>SUBTOTAL(3,J$3:J15)</f>
        <v>13</v>
      </c>
      <c r="B15" s="3" t="s">
        <v>86</v>
      </c>
      <c r="C15" t="s">
        <v>5777</v>
      </c>
      <c r="D15" t="s">
        <v>5778</v>
      </c>
      <c r="F15" t="s">
        <v>4837</v>
      </c>
      <c r="G15" t="s">
        <v>5779</v>
      </c>
      <c r="H15" s="3">
        <v>7</v>
      </c>
      <c r="I15">
        <v>18190234</v>
      </c>
      <c r="J15" t="s">
        <v>5792</v>
      </c>
    </row>
    <row r="16" spans="1:10">
      <c r="A16" s="3">
        <f>SUBTOTAL(3,J$3:J16)</f>
        <v>14</v>
      </c>
      <c r="B16" s="3" t="s">
        <v>86</v>
      </c>
      <c r="C16" t="s">
        <v>5777</v>
      </c>
      <c r="D16" t="s">
        <v>5778</v>
      </c>
      <c r="F16" t="s">
        <v>4837</v>
      </c>
      <c r="G16" t="s">
        <v>5779</v>
      </c>
      <c r="H16" s="3">
        <v>7</v>
      </c>
      <c r="I16">
        <v>17180151</v>
      </c>
      <c r="J16" t="s">
        <v>5793</v>
      </c>
    </row>
    <row r="17" spans="1:10">
      <c r="A17" s="3">
        <f>SUBTOTAL(3,J$3:J17)</f>
        <v>15</v>
      </c>
      <c r="B17" s="3" t="s">
        <v>86</v>
      </c>
      <c r="C17" t="s">
        <v>5777</v>
      </c>
      <c r="D17" t="s">
        <v>5778</v>
      </c>
      <c r="F17" t="s">
        <v>4837</v>
      </c>
      <c r="G17" t="s">
        <v>5779</v>
      </c>
      <c r="H17" s="3">
        <v>7</v>
      </c>
      <c r="I17">
        <v>17180154</v>
      </c>
      <c r="J17" t="s">
        <v>5794</v>
      </c>
    </row>
    <row r="18" spans="1:10">
      <c r="A18" s="3">
        <f>SUBTOTAL(3,J$3:J18)</f>
        <v>16</v>
      </c>
      <c r="B18" s="3" t="s">
        <v>86</v>
      </c>
      <c r="C18" t="s">
        <v>5777</v>
      </c>
      <c r="D18" t="s">
        <v>5778</v>
      </c>
      <c r="F18" t="s">
        <v>4837</v>
      </c>
      <c r="G18" t="s">
        <v>5779</v>
      </c>
      <c r="H18" s="3">
        <v>7</v>
      </c>
      <c r="I18">
        <v>17180156</v>
      </c>
      <c r="J18" t="s">
        <v>5795</v>
      </c>
    </row>
    <row r="19" spans="1:10">
      <c r="A19" s="3">
        <f>SUBTOTAL(3,J$3:J19)</f>
        <v>17</v>
      </c>
      <c r="B19" s="3" t="s">
        <v>86</v>
      </c>
      <c r="C19" t="s">
        <v>5777</v>
      </c>
      <c r="D19" t="s">
        <v>5778</v>
      </c>
      <c r="F19" t="s">
        <v>4837</v>
      </c>
      <c r="G19" t="s">
        <v>5779</v>
      </c>
      <c r="H19" s="3">
        <v>7</v>
      </c>
      <c r="I19">
        <v>17180159</v>
      </c>
      <c r="J19" t="s">
        <v>5796</v>
      </c>
    </row>
    <row r="20" spans="1:10">
      <c r="A20" s="3">
        <f>SUBTOTAL(3,J$3:J20)</f>
        <v>18</v>
      </c>
      <c r="B20" s="3" t="s">
        <v>86</v>
      </c>
      <c r="C20" t="s">
        <v>5777</v>
      </c>
      <c r="D20" t="s">
        <v>5778</v>
      </c>
      <c r="F20" t="s">
        <v>5797</v>
      </c>
      <c r="G20">
        <v>1</v>
      </c>
      <c r="H20" s="3" t="s">
        <v>87</v>
      </c>
      <c r="I20">
        <v>24250137</v>
      </c>
      <c r="J20" t="s">
        <v>5798</v>
      </c>
    </row>
    <row r="21" spans="1:10">
      <c r="A21" s="3">
        <f>SUBTOTAL(3,J$3:J21)</f>
        <v>19</v>
      </c>
      <c r="B21" s="3" t="s">
        <v>86</v>
      </c>
      <c r="C21" t="s">
        <v>5777</v>
      </c>
      <c r="D21" t="s">
        <v>5778</v>
      </c>
      <c r="F21" t="s">
        <v>5797</v>
      </c>
      <c r="G21">
        <v>1</v>
      </c>
      <c r="H21" s="3" t="s">
        <v>87</v>
      </c>
      <c r="I21">
        <v>24250061</v>
      </c>
      <c r="J21" t="s">
        <v>5799</v>
      </c>
    </row>
    <row r="22" spans="1:10">
      <c r="A22" s="3">
        <f>SUBTOTAL(3,J$3:J22)</f>
        <v>20</v>
      </c>
      <c r="B22" s="3" t="s">
        <v>86</v>
      </c>
      <c r="C22" t="s">
        <v>5777</v>
      </c>
      <c r="D22" t="s">
        <v>5778</v>
      </c>
      <c r="F22" t="s">
        <v>5797</v>
      </c>
      <c r="G22">
        <v>1</v>
      </c>
      <c r="H22" s="3" t="s">
        <v>87</v>
      </c>
      <c r="I22">
        <v>24250005</v>
      </c>
      <c r="J22" t="s">
        <v>5800</v>
      </c>
    </row>
    <row r="23" spans="1:10">
      <c r="A23" s="3">
        <f>SUBTOTAL(3,J$3:J23)</f>
        <v>21</v>
      </c>
      <c r="B23" s="3" t="s">
        <v>86</v>
      </c>
      <c r="C23" t="s">
        <v>5777</v>
      </c>
      <c r="D23" t="s">
        <v>5778</v>
      </c>
      <c r="F23" t="s">
        <v>5797</v>
      </c>
      <c r="G23">
        <v>1</v>
      </c>
      <c r="H23" s="3" t="s">
        <v>87</v>
      </c>
      <c r="I23">
        <v>21220031</v>
      </c>
      <c r="J23" t="s">
        <v>5801</v>
      </c>
    </row>
    <row r="24" spans="1:10">
      <c r="A24" s="3">
        <f>SUBTOTAL(3,J$3:J24)</f>
        <v>22</v>
      </c>
      <c r="B24" s="3" t="s">
        <v>86</v>
      </c>
      <c r="C24" t="s">
        <v>5777</v>
      </c>
      <c r="D24" t="s">
        <v>5778</v>
      </c>
      <c r="F24" t="s">
        <v>5797</v>
      </c>
      <c r="G24">
        <v>1</v>
      </c>
      <c r="H24" s="3" t="s">
        <v>87</v>
      </c>
      <c r="I24">
        <v>24250112</v>
      </c>
      <c r="J24" t="s">
        <v>5802</v>
      </c>
    </row>
    <row r="25" spans="1:10">
      <c r="A25" s="3">
        <f>SUBTOTAL(3,J$3:J25)</f>
        <v>23</v>
      </c>
      <c r="B25" s="3" t="s">
        <v>86</v>
      </c>
      <c r="C25" t="s">
        <v>5777</v>
      </c>
      <c r="D25" t="s">
        <v>5778</v>
      </c>
      <c r="F25" t="s">
        <v>5797</v>
      </c>
      <c r="G25">
        <v>1</v>
      </c>
      <c r="H25" s="3" t="s">
        <v>87</v>
      </c>
      <c r="I25">
        <v>24250071</v>
      </c>
      <c r="J25" t="s">
        <v>5803</v>
      </c>
    </row>
    <row r="26" spans="1:10">
      <c r="A26" s="3">
        <f>SUBTOTAL(3,J$3:J26)</f>
        <v>24</v>
      </c>
      <c r="B26" s="3" t="s">
        <v>86</v>
      </c>
      <c r="C26" t="s">
        <v>5777</v>
      </c>
      <c r="D26" t="s">
        <v>5778</v>
      </c>
      <c r="F26" t="s">
        <v>5797</v>
      </c>
      <c r="G26">
        <v>1</v>
      </c>
      <c r="H26" s="3" t="s">
        <v>87</v>
      </c>
      <c r="I26">
        <v>23240118</v>
      </c>
      <c r="J26" t="s">
        <v>5804</v>
      </c>
    </row>
    <row r="27" spans="1:10">
      <c r="A27" s="3">
        <f>SUBTOTAL(3,J$3:J27)</f>
        <v>25</v>
      </c>
      <c r="B27" s="3" t="s">
        <v>86</v>
      </c>
      <c r="C27" t="s">
        <v>5777</v>
      </c>
      <c r="D27" t="s">
        <v>5778</v>
      </c>
      <c r="F27" t="s">
        <v>5797</v>
      </c>
      <c r="G27">
        <v>1</v>
      </c>
      <c r="H27" s="3" t="s">
        <v>87</v>
      </c>
      <c r="I27">
        <v>24250168</v>
      </c>
      <c r="J27" t="s">
        <v>5805</v>
      </c>
    </row>
    <row r="28" spans="1:10">
      <c r="A28" s="3">
        <f>SUBTOTAL(3,J$3:J28)</f>
        <v>26</v>
      </c>
      <c r="B28" s="3" t="s">
        <v>86</v>
      </c>
      <c r="C28" t="s">
        <v>5777</v>
      </c>
      <c r="D28" t="s">
        <v>5778</v>
      </c>
      <c r="F28" t="s">
        <v>5797</v>
      </c>
      <c r="G28">
        <v>1</v>
      </c>
      <c r="H28" s="3" t="s">
        <v>87</v>
      </c>
      <c r="I28">
        <v>24250150</v>
      </c>
      <c r="J28" t="s">
        <v>5806</v>
      </c>
    </row>
    <row r="29" spans="1:10">
      <c r="A29" s="3">
        <f>SUBTOTAL(3,J$3:J29)</f>
        <v>27</v>
      </c>
      <c r="B29" s="3" t="s">
        <v>86</v>
      </c>
      <c r="C29" t="s">
        <v>5777</v>
      </c>
      <c r="D29" t="s">
        <v>5778</v>
      </c>
      <c r="F29" t="s">
        <v>5797</v>
      </c>
      <c r="G29">
        <v>1</v>
      </c>
      <c r="H29" s="3" t="s">
        <v>87</v>
      </c>
      <c r="I29">
        <v>24250085</v>
      </c>
      <c r="J29" t="s">
        <v>5807</v>
      </c>
    </row>
    <row r="30" spans="1:10">
      <c r="A30" s="3">
        <f>SUBTOTAL(3,J$3:J30)</f>
        <v>28</v>
      </c>
      <c r="B30" s="3" t="s">
        <v>86</v>
      </c>
      <c r="C30" t="s">
        <v>5777</v>
      </c>
      <c r="D30" t="s">
        <v>5778</v>
      </c>
      <c r="F30" t="s">
        <v>5797</v>
      </c>
      <c r="G30">
        <v>1</v>
      </c>
      <c r="H30" s="3" t="s">
        <v>87</v>
      </c>
      <c r="I30">
        <v>24250072</v>
      </c>
      <c r="J30" t="s">
        <v>5808</v>
      </c>
    </row>
    <row r="31" spans="1:10">
      <c r="A31" s="3">
        <f>SUBTOTAL(3,J$3:J31)</f>
        <v>29</v>
      </c>
      <c r="B31" s="3" t="s">
        <v>86</v>
      </c>
      <c r="C31" t="s">
        <v>5777</v>
      </c>
      <c r="D31" t="s">
        <v>5778</v>
      </c>
      <c r="F31" t="s">
        <v>5797</v>
      </c>
      <c r="G31">
        <v>1</v>
      </c>
      <c r="H31" s="3" t="s">
        <v>87</v>
      </c>
      <c r="I31">
        <v>24250081</v>
      </c>
      <c r="J31" t="s">
        <v>5809</v>
      </c>
    </row>
    <row r="32" spans="1:10">
      <c r="A32" s="3">
        <f>SUBTOTAL(3,J$3:J32)</f>
        <v>30</v>
      </c>
      <c r="B32" s="3" t="s">
        <v>86</v>
      </c>
      <c r="C32" t="s">
        <v>5777</v>
      </c>
      <c r="D32" t="s">
        <v>5778</v>
      </c>
      <c r="F32" t="s">
        <v>5797</v>
      </c>
      <c r="G32">
        <v>1</v>
      </c>
      <c r="H32" s="3" t="s">
        <v>87</v>
      </c>
      <c r="I32">
        <v>24250105</v>
      </c>
      <c r="J32" t="s">
        <v>5810</v>
      </c>
    </row>
    <row r="33" spans="1:10">
      <c r="A33" s="3">
        <f>SUBTOTAL(3,J$3:J33)</f>
        <v>31</v>
      </c>
      <c r="B33" s="3" t="s">
        <v>86</v>
      </c>
      <c r="C33" t="s">
        <v>5777</v>
      </c>
      <c r="D33" t="s">
        <v>5778</v>
      </c>
      <c r="F33" t="s">
        <v>5797</v>
      </c>
      <c r="G33">
        <v>1</v>
      </c>
      <c r="H33" s="3" t="s">
        <v>87</v>
      </c>
      <c r="I33">
        <v>24250117</v>
      </c>
      <c r="J33" t="s">
        <v>5811</v>
      </c>
    </row>
    <row r="34" spans="1:10">
      <c r="A34" s="3">
        <f>SUBTOTAL(3,J$3:J34)</f>
        <v>32</v>
      </c>
      <c r="B34" s="3" t="s">
        <v>86</v>
      </c>
      <c r="C34" t="s">
        <v>5777</v>
      </c>
      <c r="D34" t="s">
        <v>5778</v>
      </c>
      <c r="F34" t="s">
        <v>5797</v>
      </c>
      <c r="G34">
        <v>1</v>
      </c>
      <c r="H34" s="3" t="s">
        <v>87</v>
      </c>
      <c r="I34">
        <v>24250151</v>
      </c>
      <c r="J34" t="s">
        <v>5812</v>
      </c>
    </row>
    <row r="35" spans="1:10">
      <c r="A35" s="3">
        <f>SUBTOTAL(3,J$3:J35)</f>
        <v>33</v>
      </c>
      <c r="B35" s="3" t="s">
        <v>86</v>
      </c>
      <c r="C35" t="s">
        <v>5777</v>
      </c>
      <c r="D35" t="s">
        <v>5778</v>
      </c>
      <c r="F35" t="s">
        <v>5797</v>
      </c>
      <c r="G35">
        <v>1</v>
      </c>
      <c r="H35" s="3" t="s">
        <v>87</v>
      </c>
      <c r="I35">
        <v>24250076</v>
      </c>
      <c r="J35" t="s">
        <v>5813</v>
      </c>
    </row>
    <row r="36" spans="1:10">
      <c r="A36" s="3">
        <f>SUBTOTAL(3,J$3:J36)</f>
        <v>34</v>
      </c>
      <c r="B36" s="3" t="s">
        <v>86</v>
      </c>
      <c r="C36" t="s">
        <v>5777</v>
      </c>
      <c r="D36" t="s">
        <v>5778</v>
      </c>
      <c r="F36" t="s">
        <v>5797</v>
      </c>
      <c r="G36">
        <v>1</v>
      </c>
      <c r="H36" s="3" t="s">
        <v>87</v>
      </c>
      <c r="I36">
        <v>24250054</v>
      </c>
      <c r="J36" t="s">
        <v>5814</v>
      </c>
    </row>
    <row r="37" spans="1:10">
      <c r="A37" s="3">
        <f>SUBTOTAL(3,J$3:J37)</f>
        <v>35</v>
      </c>
      <c r="B37" s="3" t="s">
        <v>86</v>
      </c>
      <c r="C37" t="s">
        <v>5777</v>
      </c>
      <c r="D37" t="s">
        <v>5778</v>
      </c>
      <c r="F37" t="s">
        <v>5797</v>
      </c>
      <c r="G37">
        <v>1</v>
      </c>
      <c r="H37" s="3" t="s">
        <v>87</v>
      </c>
      <c r="I37">
        <v>24250170</v>
      </c>
      <c r="J37" t="s">
        <v>5815</v>
      </c>
    </row>
    <row r="38" spans="1:10">
      <c r="A38" s="3">
        <f>SUBTOTAL(3,J$3:J38)</f>
        <v>36</v>
      </c>
      <c r="B38" s="3" t="s">
        <v>86</v>
      </c>
      <c r="C38" t="s">
        <v>5777</v>
      </c>
      <c r="D38" t="s">
        <v>5778</v>
      </c>
      <c r="F38" t="s">
        <v>5797</v>
      </c>
      <c r="G38">
        <v>1</v>
      </c>
      <c r="H38" s="3" t="s">
        <v>87</v>
      </c>
      <c r="I38">
        <v>24250090</v>
      </c>
      <c r="J38" t="s">
        <v>5816</v>
      </c>
    </row>
    <row r="39" spans="1:10">
      <c r="A39" s="3">
        <f>SUBTOTAL(3,J$3:J39)</f>
        <v>37</v>
      </c>
      <c r="B39" s="3" t="s">
        <v>86</v>
      </c>
      <c r="C39" t="s">
        <v>5777</v>
      </c>
      <c r="D39" t="s">
        <v>5778</v>
      </c>
      <c r="F39" t="s">
        <v>5797</v>
      </c>
      <c r="G39">
        <v>1</v>
      </c>
      <c r="H39" s="3" t="s">
        <v>87</v>
      </c>
      <c r="I39">
        <v>24250140</v>
      </c>
      <c r="J39" t="s">
        <v>5817</v>
      </c>
    </row>
    <row r="40" spans="1:10">
      <c r="A40" s="3">
        <f>SUBTOTAL(3,J$3:J40)</f>
        <v>38</v>
      </c>
      <c r="B40" s="3" t="s">
        <v>86</v>
      </c>
      <c r="C40" t="s">
        <v>5777</v>
      </c>
      <c r="D40" t="s">
        <v>5778</v>
      </c>
      <c r="F40" t="s">
        <v>5797</v>
      </c>
      <c r="G40">
        <v>1</v>
      </c>
      <c r="H40" s="3" t="s">
        <v>87</v>
      </c>
      <c r="I40">
        <v>24250133</v>
      </c>
      <c r="J40" t="s">
        <v>5818</v>
      </c>
    </row>
    <row r="41" spans="1:10">
      <c r="A41" s="3">
        <f>SUBTOTAL(3,J$3:J41)</f>
        <v>39</v>
      </c>
      <c r="B41" s="3" t="s">
        <v>86</v>
      </c>
      <c r="C41" t="s">
        <v>5777</v>
      </c>
      <c r="D41" t="s">
        <v>5778</v>
      </c>
      <c r="F41" t="s">
        <v>5797</v>
      </c>
      <c r="G41">
        <v>1</v>
      </c>
      <c r="H41" s="3" t="s">
        <v>87</v>
      </c>
      <c r="I41">
        <v>24250086</v>
      </c>
      <c r="J41" t="s">
        <v>5819</v>
      </c>
    </row>
    <row r="42" spans="1:10">
      <c r="A42" s="3">
        <f>SUBTOTAL(3,J$3:J42)</f>
        <v>40</v>
      </c>
      <c r="B42" s="3" t="s">
        <v>86</v>
      </c>
      <c r="C42" t="s">
        <v>5777</v>
      </c>
      <c r="D42" t="s">
        <v>5778</v>
      </c>
      <c r="F42" t="s">
        <v>5797</v>
      </c>
      <c r="G42">
        <v>1</v>
      </c>
      <c r="H42" s="3" t="s">
        <v>87</v>
      </c>
      <c r="I42">
        <v>24250065</v>
      </c>
      <c r="J42" t="s">
        <v>5820</v>
      </c>
    </row>
    <row r="43" spans="1:10">
      <c r="A43" s="3">
        <f>SUBTOTAL(3,J$3:J43)</f>
        <v>41</v>
      </c>
      <c r="B43" s="3" t="s">
        <v>86</v>
      </c>
      <c r="C43" t="s">
        <v>5777</v>
      </c>
      <c r="D43" t="s">
        <v>5778</v>
      </c>
      <c r="F43" t="s">
        <v>5797</v>
      </c>
      <c r="G43">
        <v>1</v>
      </c>
      <c r="H43" s="3" t="s">
        <v>87</v>
      </c>
      <c r="I43">
        <v>24250155</v>
      </c>
      <c r="J43" t="s">
        <v>3641</v>
      </c>
    </row>
    <row r="44" spans="1:10">
      <c r="A44" s="3">
        <f>SUBTOTAL(3,J$3:J44)</f>
        <v>42</v>
      </c>
      <c r="B44" s="3" t="s">
        <v>86</v>
      </c>
      <c r="C44" t="s">
        <v>5777</v>
      </c>
      <c r="D44" t="s">
        <v>5778</v>
      </c>
      <c r="F44" t="s">
        <v>5797</v>
      </c>
      <c r="G44">
        <v>1</v>
      </c>
      <c r="H44" s="3" t="s">
        <v>87</v>
      </c>
      <c r="I44">
        <v>24250134</v>
      </c>
      <c r="J44" t="s">
        <v>5821</v>
      </c>
    </row>
    <row r="45" spans="1:10">
      <c r="A45" s="3">
        <f>SUBTOTAL(3,J$3:J45)</f>
        <v>43</v>
      </c>
      <c r="B45" s="3" t="s">
        <v>86</v>
      </c>
      <c r="C45" t="s">
        <v>5777</v>
      </c>
      <c r="D45" t="s">
        <v>5778</v>
      </c>
      <c r="F45" t="s">
        <v>5822</v>
      </c>
      <c r="G45">
        <v>1</v>
      </c>
      <c r="H45" s="3" t="s">
        <v>87</v>
      </c>
      <c r="I45">
        <v>24250182</v>
      </c>
      <c r="J45" t="s">
        <v>5823</v>
      </c>
    </row>
    <row r="46" spans="1:10">
      <c r="A46" s="3">
        <f>SUBTOTAL(3,J$3:J46)</f>
        <v>44</v>
      </c>
      <c r="B46" s="3" t="s">
        <v>86</v>
      </c>
      <c r="C46" t="s">
        <v>5777</v>
      </c>
      <c r="D46" t="s">
        <v>5778</v>
      </c>
      <c r="F46" t="s">
        <v>5797</v>
      </c>
      <c r="G46">
        <v>1</v>
      </c>
      <c r="H46" s="3" t="s">
        <v>87</v>
      </c>
      <c r="I46">
        <v>24250049</v>
      </c>
      <c r="J46" t="s">
        <v>5824</v>
      </c>
    </row>
    <row r="47" spans="1:10">
      <c r="A47" s="3">
        <f>SUBTOTAL(3,J$3:J47)</f>
        <v>45</v>
      </c>
      <c r="B47" s="3" t="s">
        <v>86</v>
      </c>
      <c r="C47" t="s">
        <v>5777</v>
      </c>
      <c r="D47" t="s">
        <v>5778</v>
      </c>
      <c r="F47" t="s">
        <v>5797</v>
      </c>
      <c r="G47">
        <v>1</v>
      </c>
      <c r="H47" s="3" t="s">
        <v>87</v>
      </c>
      <c r="I47">
        <v>24250107</v>
      </c>
      <c r="J47" t="s">
        <v>5825</v>
      </c>
    </row>
    <row r="48" spans="1:10">
      <c r="A48" s="3">
        <f>SUBTOTAL(3,J$3:J48)</f>
        <v>46</v>
      </c>
      <c r="B48" s="3" t="s">
        <v>86</v>
      </c>
      <c r="C48" t="s">
        <v>5777</v>
      </c>
      <c r="D48" t="s">
        <v>5778</v>
      </c>
      <c r="F48" t="s">
        <v>5797</v>
      </c>
      <c r="G48">
        <v>1</v>
      </c>
      <c r="H48" s="3" t="s">
        <v>87</v>
      </c>
      <c r="I48">
        <v>24250131</v>
      </c>
      <c r="J48" t="s">
        <v>5826</v>
      </c>
    </row>
    <row r="49" spans="1:10">
      <c r="A49" s="3">
        <f>SUBTOTAL(3,J$3:J49)</f>
        <v>47</v>
      </c>
      <c r="B49" s="3" t="s">
        <v>86</v>
      </c>
      <c r="C49" t="s">
        <v>5777</v>
      </c>
      <c r="D49" t="s">
        <v>5778</v>
      </c>
      <c r="F49" t="s">
        <v>5797</v>
      </c>
      <c r="G49">
        <v>1</v>
      </c>
      <c r="H49" s="3" t="s">
        <v>87</v>
      </c>
      <c r="I49">
        <v>24250078</v>
      </c>
      <c r="J49" t="s">
        <v>5827</v>
      </c>
    </row>
    <row r="50" spans="1:10">
      <c r="A50" s="3">
        <f>SUBTOTAL(3,J$3:J50)</f>
        <v>48</v>
      </c>
      <c r="B50" s="3" t="s">
        <v>86</v>
      </c>
      <c r="C50" t="s">
        <v>5777</v>
      </c>
      <c r="D50" t="s">
        <v>5778</v>
      </c>
      <c r="F50" t="s">
        <v>5797</v>
      </c>
      <c r="G50">
        <v>1</v>
      </c>
      <c r="H50" s="3" t="s">
        <v>582</v>
      </c>
      <c r="I50">
        <v>24250135</v>
      </c>
      <c r="J50" t="s">
        <v>5828</v>
      </c>
    </row>
    <row r="51" spans="1:10">
      <c r="A51" s="3">
        <f>SUBTOTAL(3,J$3:J51)</f>
        <v>49</v>
      </c>
      <c r="B51" s="3" t="s">
        <v>86</v>
      </c>
      <c r="C51" t="s">
        <v>5777</v>
      </c>
      <c r="D51" t="s">
        <v>5778</v>
      </c>
      <c r="F51" t="s">
        <v>5797</v>
      </c>
      <c r="G51">
        <v>1</v>
      </c>
      <c r="H51" s="3" t="s">
        <v>582</v>
      </c>
      <c r="I51">
        <v>24250143</v>
      </c>
      <c r="J51" t="s">
        <v>5829</v>
      </c>
    </row>
    <row r="52" spans="1:10">
      <c r="A52" s="3">
        <f>SUBTOTAL(3,J$3:J52)</f>
        <v>50</v>
      </c>
      <c r="B52" s="3" t="s">
        <v>86</v>
      </c>
      <c r="C52" t="s">
        <v>5777</v>
      </c>
      <c r="D52" t="s">
        <v>5778</v>
      </c>
      <c r="F52" t="s">
        <v>5797</v>
      </c>
      <c r="G52">
        <v>1</v>
      </c>
      <c r="H52" s="3" t="s">
        <v>582</v>
      </c>
      <c r="I52">
        <v>24250019</v>
      </c>
      <c r="J52" t="s">
        <v>5830</v>
      </c>
    </row>
    <row r="53" spans="1:10">
      <c r="A53" s="3">
        <f>SUBTOTAL(3,J$3:J53)</f>
        <v>51</v>
      </c>
      <c r="B53" s="3" t="s">
        <v>86</v>
      </c>
      <c r="C53" t="s">
        <v>5777</v>
      </c>
      <c r="D53" t="s">
        <v>5778</v>
      </c>
      <c r="F53" t="s">
        <v>5797</v>
      </c>
      <c r="G53">
        <v>1</v>
      </c>
      <c r="H53" s="3" t="s">
        <v>582</v>
      </c>
      <c r="I53">
        <v>24250042</v>
      </c>
      <c r="J53" t="s">
        <v>5831</v>
      </c>
    </row>
    <row r="54" spans="1:10">
      <c r="A54" s="3">
        <f>SUBTOTAL(3,J$3:J54)</f>
        <v>52</v>
      </c>
      <c r="B54" s="3" t="s">
        <v>86</v>
      </c>
      <c r="C54" t="s">
        <v>5777</v>
      </c>
      <c r="D54" t="s">
        <v>5778</v>
      </c>
      <c r="F54" t="s">
        <v>5797</v>
      </c>
      <c r="G54">
        <v>1</v>
      </c>
      <c r="H54" s="3" t="s">
        <v>582</v>
      </c>
      <c r="I54">
        <v>24250103</v>
      </c>
      <c r="J54" t="s">
        <v>5832</v>
      </c>
    </row>
    <row r="55" spans="1:10">
      <c r="A55" s="3">
        <f>SUBTOTAL(3,J$3:J55)</f>
        <v>53</v>
      </c>
      <c r="B55" s="3" t="s">
        <v>86</v>
      </c>
      <c r="C55" t="s">
        <v>5777</v>
      </c>
      <c r="D55" t="s">
        <v>5778</v>
      </c>
      <c r="F55" t="s">
        <v>5797</v>
      </c>
      <c r="G55">
        <v>1</v>
      </c>
      <c r="H55" s="3" t="s">
        <v>582</v>
      </c>
      <c r="I55">
        <v>24250099</v>
      </c>
      <c r="J55" t="s">
        <v>5833</v>
      </c>
    </row>
    <row r="56" spans="1:10">
      <c r="A56" s="3">
        <f>SUBTOTAL(3,J$3:J56)</f>
        <v>54</v>
      </c>
      <c r="B56" s="3" t="s">
        <v>86</v>
      </c>
      <c r="C56" t="s">
        <v>5777</v>
      </c>
      <c r="D56" t="s">
        <v>5778</v>
      </c>
      <c r="F56" t="s">
        <v>5797</v>
      </c>
      <c r="G56">
        <v>1</v>
      </c>
      <c r="H56" s="3" t="s">
        <v>582</v>
      </c>
      <c r="I56">
        <v>24250073</v>
      </c>
      <c r="J56" t="s">
        <v>5834</v>
      </c>
    </row>
    <row r="57" spans="1:10">
      <c r="A57" s="3">
        <f>SUBTOTAL(3,J$3:J57)</f>
        <v>55</v>
      </c>
      <c r="B57" s="3" t="s">
        <v>86</v>
      </c>
      <c r="C57" t="s">
        <v>5777</v>
      </c>
      <c r="D57" t="s">
        <v>5778</v>
      </c>
      <c r="F57" t="s">
        <v>5797</v>
      </c>
      <c r="G57">
        <v>1</v>
      </c>
      <c r="H57" s="3" t="s">
        <v>582</v>
      </c>
      <c r="I57">
        <v>24250037</v>
      </c>
      <c r="J57" t="s">
        <v>5835</v>
      </c>
    </row>
    <row r="58" spans="1:10">
      <c r="A58" s="3">
        <f>SUBTOTAL(3,J$3:J58)</f>
        <v>56</v>
      </c>
      <c r="B58" s="3" t="s">
        <v>86</v>
      </c>
      <c r="C58" t="s">
        <v>5777</v>
      </c>
      <c r="D58" t="s">
        <v>5778</v>
      </c>
      <c r="F58" t="s">
        <v>5797</v>
      </c>
      <c r="G58">
        <v>1</v>
      </c>
      <c r="H58" s="3" t="s">
        <v>582</v>
      </c>
      <c r="I58">
        <v>24250141</v>
      </c>
      <c r="J58" t="s">
        <v>5836</v>
      </c>
    </row>
    <row r="59" spans="1:10">
      <c r="A59" s="3">
        <f>SUBTOTAL(3,J$3:J59)</f>
        <v>57</v>
      </c>
      <c r="B59" s="3" t="s">
        <v>86</v>
      </c>
      <c r="C59" t="s">
        <v>5777</v>
      </c>
      <c r="D59" t="s">
        <v>5778</v>
      </c>
      <c r="F59" t="s">
        <v>5797</v>
      </c>
      <c r="G59">
        <v>1</v>
      </c>
      <c r="H59" s="3" t="s">
        <v>582</v>
      </c>
      <c r="I59">
        <v>23240068</v>
      </c>
      <c r="J59" t="s">
        <v>5837</v>
      </c>
    </row>
    <row r="60" spans="1:10">
      <c r="A60" s="3">
        <f>SUBTOTAL(3,J$3:J60)</f>
        <v>58</v>
      </c>
      <c r="B60" s="3" t="s">
        <v>86</v>
      </c>
      <c r="C60" t="s">
        <v>5777</v>
      </c>
      <c r="D60" t="s">
        <v>5778</v>
      </c>
      <c r="F60" t="s">
        <v>5797</v>
      </c>
      <c r="G60">
        <v>1</v>
      </c>
      <c r="H60" s="3" t="s">
        <v>582</v>
      </c>
      <c r="I60">
        <v>22230195</v>
      </c>
      <c r="J60" t="s">
        <v>5838</v>
      </c>
    </row>
    <row r="61" spans="1:10">
      <c r="A61" s="3">
        <f>SUBTOTAL(3,J$3:J61)</f>
        <v>59</v>
      </c>
      <c r="B61" s="3" t="s">
        <v>86</v>
      </c>
      <c r="C61" t="s">
        <v>5777</v>
      </c>
      <c r="D61" t="s">
        <v>5778</v>
      </c>
      <c r="F61" t="s">
        <v>5797</v>
      </c>
      <c r="G61">
        <v>1</v>
      </c>
      <c r="H61" s="3" t="s">
        <v>582</v>
      </c>
      <c r="I61">
        <v>24250144</v>
      </c>
      <c r="J61" t="s">
        <v>5839</v>
      </c>
    </row>
    <row r="62" spans="1:10">
      <c r="A62" s="3">
        <f>SUBTOTAL(3,J$3:J62)</f>
        <v>60</v>
      </c>
      <c r="B62" s="3" t="s">
        <v>86</v>
      </c>
      <c r="C62" t="s">
        <v>5777</v>
      </c>
      <c r="D62" t="s">
        <v>5778</v>
      </c>
      <c r="F62" t="s">
        <v>5797</v>
      </c>
      <c r="G62">
        <v>1</v>
      </c>
      <c r="H62" s="3" t="s">
        <v>582</v>
      </c>
      <c r="I62">
        <v>24250146</v>
      </c>
      <c r="J62" t="s">
        <v>5840</v>
      </c>
    </row>
    <row r="63" spans="1:10">
      <c r="A63" s="3">
        <f>SUBTOTAL(3,J$3:J63)</f>
        <v>61</v>
      </c>
      <c r="B63" s="3" t="s">
        <v>86</v>
      </c>
      <c r="C63" t="s">
        <v>5777</v>
      </c>
      <c r="D63" t="s">
        <v>5778</v>
      </c>
      <c r="F63" t="s">
        <v>5797</v>
      </c>
      <c r="G63">
        <v>1</v>
      </c>
      <c r="H63" s="3" t="s">
        <v>582</v>
      </c>
      <c r="I63">
        <v>24250160</v>
      </c>
      <c r="J63" t="s">
        <v>5841</v>
      </c>
    </row>
    <row r="64" spans="1:10">
      <c r="A64" s="3">
        <f>SUBTOTAL(3,J$3:J64)</f>
        <v>62</v>
      </c>
      <c r="B64" s="3" t="s">
        <v>86</v>
      </c>
      <c r="C64" t="s">
        <v>5777</v>
      </c>
      <c r="D64" t="s">
        <v>5778</v>
      </c>
      <c r="F64" t="s">
        <v>5797</v>
      </c>
      <c r="G64">
        <v>1</v>
      </c>
      <c r="H64" s="3" t="s">
        <v>582</v>
      </c>
      <c r="I64">
        <v>24250154</v>
      </c>
      <c r="J64" t="s">
        <v>5842</v>
      </c>
    </row>
    <row r="65" spans="1:10">
      <c r="A65" s="3">
        <f>SUBTOTAL(3,J$3:J65)</f>
        <v>63</v>
      </c>
      <c r="B65" s="3" t="s">
        <v>86</v>
      </c>
      <c r="C65" t="s">
        <v>5777</v>
      </c>
      <c r="D65" t="s">
        <v>5778</v>
      </c>
      <c r="F65" t="s">
        <v>5797</v>
      </c>
      <c r="G65">
        <v>1</v>
      </c>
      <c r="H65" s="3" t="s">
        <v>582</v>
      </c>
      <c r="I65">
        <v>24250031</v>
      </c>
      <c r="J65" t="s">
        <v>5843</v>
      </c>
    </row>
    <row r="66" spans="1:10">
      <c r="A66" s="3">
        <f>SUBTOTAL(3,J$3:J66)</f>
        <v>64</v>
      </c>
      <c r="B66" s="3" t="s">
        <v>86</v>
      </c>
      <c r="C66" t="s">
        <v>5777</v>
      </c>
      <c r="D66" t="s">
        <v>5778</v>
      </c>
      <c r="F66" t="s">
        <v>5797</v>
      </c>
      <c r="G66">
        <v>1</v>
      </c>
      <c r="H66" s="3" t="s">
        <v>582</v>
      </c>
      <c r="I66">
        <v>22230141</v>
      </c>
      <c r="J66" t="s">
        <v>5844</v>
      </c>
    </row>
    <row r="67" spans="1:10">
      <c r="A67" s="3">
        <f>SUBTOTAL(3,J$3:J67)</f>
        <v>65</v>
      </c>
      <c r="B67" s="3" t="s">
        <v>86</v>
      </c>
      <c r="C67" t="s">
        <v>5777</v>
      </c>
      <c r="D67" t="s">
        <v>5778</v>
      </c>
      <c r="F67" t="s">
        <v>5797</v>
      </c>
      <c r="G67">
        <v>1</v>
      </c>
      <c r="H67" s="3" t="s">
        <v>582</v>
      </c>
      <c r="I67">
        <v>24250020</v>
      </c>
      <c r="J67" t="s">
        <v>5845</v>
      </c>
    </row>
    <row r="68" spans="1:10">
      <c r="A68" s="3">
        <f>SUBTOTAL(3,J$3:J68)</f>
        <v>66</v>
      </c>
      <c r="B68" s="3" t="s">
        <v>86</v>
      </c>
      <c r="C68" t="s">
        <v>5777</v>
      </c>
      <c r="D68" t="s">
        <v>5778</v>
      </c>
      <c r="F68" t="s">
        <v>5797</v>
      </c>
      <c r="G68">
        <v>1</v>
      </c>
      <c r="H68" s="3" t="s">
        <v>582</v>
      </c>
      <c r="I68">
        <v>24250068</v>
      </c>
      <c r="J68" t="s">
        <v>5846</v>
      </c>
    </row>
    <row r="69" spans="1:10">
      <c r="A69" s="3">
        <f>SUBTOTAL(3,J$3:J69)</f>
        <v>67</v>
      </c>
      <c r="B69" s="3" t="s">
        <v>86</v>
      </c>
      <c r="C69" t="s">
        <v>5777</v>
      </c>
      <c r="D69" t="s">
        <v>5778</v>
      </c>
      <c r="F69" t="s">
        <v>5797</v>
      </c>
      <c r="G69">
        <v>1</v>
      </c>
      <c r="H69" s="3" t="s">
        <v>582</v>
      </c>
      <c r="I69">
        <v>24250079</v>
      </c>
      <c r="J69" t="s">
        <v>5847</v>
      </c>
    </row>
    <row r="70" spans="1:10">
      <c r="A70" s="3">
        <f>SUBTOTAL(3,J$3:J70)</f>
        <v>68</v>
      </c>
      <c r="B70" s="3" t="s">
        <v>86</v>
      </c>
      <c r="C70" t="s">
        <v>5777</v>
      </c>
      <c r="D70" t="s">
        <v>5778</v>
      </c>
      <c r="F70" t="s">
        <v>5797</v>
      </c>
      <c r="G70">
        <v>1</v>
      </c>
      <c r="H70" s="3" t="s">
        <v>582</v>
      </c>
      <c r="I70">
        <v>24250109</v>
      </c>
      <c r="J70" t="s">
        <v>5848</v>
      </c>
    </row>
    <row r="71" spans="1:10">
      <c r="A71" s="3">
        <f>SUBTOTAL(3,J$3:J71)</f>
        <v>69</v>
      </c>
      <c r="B71" s="3" t="s">
        <v>86</v>
      </c>
      <c r="C71" t="s">
        <v>5777</v>
      </c>
      <c r="D71" t="s">
        <v>5778</v>
      </c>
      <c r="F71" t="s">
        <v>5797</v>
      </c>
      <c r="G71">
        <v>1</v>
      </c>
      <c r="H71" s="3" t="s">
        <v>582</v>
      </c>
      <c r="I71">
        <v>24250094</v>
      </c>
      <c r="J71" t="s">
        <v>5849</v>
      </c>
    </row>
    <row r="72" spans="1:10">
      <c r="A72" s="3">
        <f>SUBTOTAL(3,J$3:J72)</f>
        <v>70</v>
      </c>
      <c r="B72" s="3" t="s">
        <v>86</v>
      </c>
      <c r="C72" t="s">
        <v>5777</v>
      </c>
      <c r="D72" t="s">
        <v>5778</v>
      </c>
      <c r="F72" t="s">
        <v>870</v>
      </c>
      <c r="G72">
        <v>1</v>
      </c>
      <c r="H72" s="3" t="s">
        <v>582</v>
      </c>
      <c r="I72">
        <v>24250024</v>
      </c>
      <c r="J72" t="s">
        <v>5850</v>
      </c>
    </row>
    <row r="73" spans="1:10">
      <c r="A73" s="3">
        <f>SUBTOTAL(3,J$3:J73)</f>
        <v>71</v>
      </c>
      <c r="B73" s="3" t="s">
        <v>86</v>
      </c>
      <c r="C73" t="s">
        <v>5777</v>
      </c>
      <c r="D73" t="s">
        <v>5778</v>
      </c>
      <c r="F73" t="s">
        <v>5797</v>
      </c>
      <c r="G73">
        <v>1</v>
      </c>
      <c r="H73" s="3" t="s">
        <v>582</v>
      </c>
      <c r="I73">
        <v>24250122</v>
      </c>
      <c r="J73" t="s">
        <v>5851</v>
      </c>
    </row>
    <row r="74" spans="1:10">
      <c r="A74" s="3">
        <f>SUBTOTAL(3,J$3:J74)</f>
        <v>72</v>
      </c>
      <c r="B74" s="3" t="s">
        <v>86</v>
      </c>
      <c r="C74" t="s">
        <v>5777</v>
      </c>
      <c r="D74" t="s">
        <v>5778</v>
      </c>
      <c r="F74" t="s">
        <v>5797</v>
      </c>
      <c r="G74">
        <v>1</v>
      </c>
      <c r="H74" s="3" t="s">
        <v>582</v>
      </c>
      <c r="I74">
        <v>24250156</v>
      </c>
      <c r="J74" t="s">
        <v>5852</v>
      </c>
    </row>
    <row r="75" spans="1:10">
      <c r="A75" s="3">
        <f>SUBTOTAL(3,J$3:J75)</f>
        <v>73</v>
      </c>
      <c r="B75" s="3" t="s">
        <v>86</v>
      </c>
      <c r="C75" t="s">
        <v>5777</v>
      </c>
      <c r="D75" t="s">
        <v>5778</v>
      </c>
      <c r="F75" t="s">
        <v>870</v>
      </c>
      <c r="G75">
        <v>1</v>
      </c>
      <c r="H75" s="3" t="s">
        <v>582</v>
      </c>
      <c r="I75">
        <v>24250008</v>
      </c>
      <c r="J75" t="s">
        <v>5853</v>
      </c>
    </row>
    <row r="76" spans="1:10">
      <c r="A76" s="3">
        <f>SUBTOTAL(3,J$3:J76)</f>
        <v>74</v>
      </c>
      <c r="B76" s="3" t="s">
        <v>86</v>
      </c>
      <c r="C76" t="s">
        <v>5777</v>
      </c>
      <c r="D76" t="s">
        <v>5778</v>
      </c>
      <c r="F76" t="s">
        <v>5797</v>
      </c>
      <c r="G76">
        <v>1</v>
      </c>
      <c r="H76" s="3" t="s">
        <v>582</v>
      </c>
      <c r="I76">
        <v>24250123</v>
      </c>
      <c r="J76" t="s">
        <v>5854</v>
      </c>
    </row>
    <row r="77" spans="1:10">
      <c r="A77" s="3">
        <f>SUBTOTAL(3,J$3:J77)</f>
        <v>75</v>
      </c>
      <c r="B77" s="3" t="s">
        <v>86</v>
      </c>
      <c r="C77" t="s">
        <v>5777</v>
      </c>
      <c r="D77" t="s">
        <v>5778</v>
      </c>
      <c r="F77" t="s">
        <v>5797</v>
      </c>
      <c r="G77">
        <v>1</v>
      </c>
      <c r="H77" s="3" t="s">
        <v>582</v>
      </c>
      <c r="I77">
        <v>24250106</v>
      </c>
      <c r="J77" t="s">
        <v>5855</v>
      </c>
    </row>
    <row r="78" spans="1:10">
      <c r="A78" s="3">
        <f>SUBTOTAL(3,J$3:J78)</f>
        <v>76</v>
      </c>
      <c r="B78" s="3" t="s">
        <v>86</v>
      </c>
      <c r="C78" t="s">
        <v>5777</v>
      </c>
      <c r="D78" t="s">
        <v>5778</v>
      </c>
      <c r="F78" t="s">
        <v>5797</v>
      </c>
      <c r="G78">
        <v>1</v>
      </c>
      <c r="H78" s="3" t="s">
        <v>582</v>
      </c>
      <c r="I78">
        <v>24250115</v>
      </c>
      <c r="J78" t="s">
        <v>5856</v>
      </c>
    </row>
    <row r="79" spans="1:10">
      <c r="A79" s="3">
        <f>SUBTOTAL(3,J$3:J79)</f>
        <v>77</v>
      </c>
      <c r="B79" s="3" t="s">
        <v>86</v>
      </c>
      <c r="C79" t="s">
        <v>5777</v>
      </c>
      <c r="D79" t="s">
        <v>5778</v>
      </c>
      <c r="F79" t="s">
        <v>5797</v>
      </c>
      <c r="G79">
        <v>1</v>
      </c>
      <c r="H79" s="3" t="s">
        <v>582</v>
      </c>
      <c r="I79">
        <v>24250069</v>
      </c>
      <c r="J79" t="s">
        <v>5857</v>
      </c>
    </row>
    <row r="80" spans="1:10">
      <c r="A80" s="3">
        <f>SUBTOTAL(3,J$3:J80)</f>
        <v>78</v>
      </c>
      <c r="B80" s="3" t="s">
        <v>86</v>
      </c>
      <c r="C80" t="s">
        <v>5777</v>
      </c>
      <c r="D80" t="s">
        <v>5778</v>
      </c>
      <c r="F80" t="s">
        <v>5797</v>
      </c>
      <c r="G80">
        <v>1</v>
      </c>
      <c r="H80" s="3" t="s">
        <v>582</v>
      </c>
      <c r="I80">
        <v>24250147</v>
      </c>
      <c r="J80" t="s">
        <v>5858</v>
      </c>
    </row>
    <row r="81" spans="1:10">
      <c r="A81" s="3">
        <f>SUBTOTAL(3,J$3:J81)</f>
        <v>79</v>
      </c>
      <c r="B81" s="3" t="s">
        <v>86</v>
      </c>
      <c r="C81" t="s">
        <v>5777</v>
      </c>
      <c r="D81" t="s">
        <v>5778</v>
      </c>
      <c r="F81" t="s">
        <v>5797</v>
      </c>
      <c r="G81">
        <v>2</v>
      </c>
      <c r="H81" s="3" t="s">
        <v>979</v>
      </c>
      <c r="I81">
        <v>23240010</v>
      </c>
      <c r="J81" t="s">
        <v>5859</v>
      </c>
    </row>
    <row r="82" spans="1:10">
      <c r="A82" s="3">
        <f>SUBTOTAL(3,J$3:J82)</f>
        <v>80</v>
      </c>
      <c r="B82" s="3" t="s">
        <v>86</v>
      </c>
      <c r="C82" t="s">
        <v>5777</v>
      </c>
      <c r="D82" t="s">
        <v>5778</v>
      </c>
      <c r="F82" t="s">
        <v>5797</v>
      </c>
      <c r="G82">
        <v>2</v>
      </c>
      <c r="H82" s="3" t="s">
        <v>979</v>
      </c>
      <c r="I82">
        <v>23240098</v>
      </c>
      <c r="J82" t="s">
        <v>5860</v>
      </c>
    </row>
    <row r="83" spans="1:10">
      <c r="A83" s="3">
        <f>SUBTOTAL(3,J$3:J83)</f>
        <v>81</v>
      </c>
      <c r="B83" s="3" t="s">
        <v>86</v>
      </c>
      <c r="C83" t="s">
        <v>5777</v>
      </c>
      <c r="D83" t="s">
        <v>5778</v>
      </c>
      <c r="F83" t="s">
        <v>5797</v>
      </c>
      <c r="G83">
        <v>2</v>
      </c>
      <c r="H83" s="3" t="s">
        <v>979</v>
      </c>
      <c r="I83">
        <v>23240135</v>
      </c>
      <c r="J83" t="s">
        <v>5861</v>
      </c>
    </row>
    <row r="84" spans="1:10">
      <c r="A84" s="3">
        <f>SUBTOTAL(3,J$3:J84)</f>
        <v>82</v>
      </c>
      <c r="B84" s="3" t="s">
        <v>86</v>
      </c>
      <c r="C84" t="s">
        <v>5777</v>
      </c>
      <c r="D84" t="s">
        <v>5778</v>
      </c>
      <c r="F84" t="s">
        <v>5797</v>
      </c>
      <c r="G84">
        <v>2</v>
      </c>
      <c r="H84" s="3" t="s">
        <v>979</v>
      </c>
      <c r="I84">
        <v>23240035</v>
      </c>
      <c r="J84" t="s">
        <v>5862</v>
      </c>
    </row>
    <row r="85" spans="1:10">
      <c r="A85" s="3">
        <f>SUBTOTAL(3,J$3:J85)</f>
        <v>83</v>
      </c>
      <c r="B85" s="3" t="s">
        <v>86</v>
      </c>
      <c r="C85" t="s">
        <v>5777</v>
      </c>
      <c r="D85" t="s">
        <v>5778</v>
      </c>
      <c r="F85" t="s">
        <v>5797</v>
      </c>
      <c r="G85">
        <v>2</v>
      </c>
      <c r="H85" s="3" t="s">
        <v>979</v>
      </c>
      <c r="I85">
        <v>23240042</v>
      </c>
      <c r="J85" t="s">
        <v>5863</v>
      </c>
    </row>
    <row r="86" spans="1:10">
      <c r="A86" s="3">
        <f>SUBTOTAL(3,J$3:J86)</f>
        <v>84</v>
      </c>
      <c r="B86" s="3" t="s">
        <v>86</v>
      </c>
      <c r="C86" t="s">
        <v>5777</v>
      </c>
      <c r="D86" t="s">
        <v>5778</v>
      </c>
      <c r="F86" t="s">
        <v>5797</v>
      </c>
      <c r="G86">
        <v>2</v>
      </c>
      <c r="H86" s="3" t="s">
        <v>979</v>
      </c>
      <c r="I86">
        <v>22230034</v>
      </c>
      <c r="J86" t="s">
        <v>5864</v>
      </c>
    </row>
    <row r="87" spans="1:10">
      <c r="A87" s="3">
        <f>SUBTOTAL(3,J$3:J87)</f>
        <v>85</v>
      </c>
      <c r="B87" s="3" t="s">
        <v>86</v>
      </c>
      <c r="C87" t="s">
        <v>5777</v>
      </c>
      <c r="D87" t="s">
        <v>5778</v>
      </c>
      <c r="F87" t="s">
        <v>870</v>
      </c>
      <c r="G87">
        <v>2</v>
      </c>
      <c r="H87" s="3" t="s">
        <v>979</v>
      </c>
      <c r="I87">
        <v>22230116</v>
      </c>
      <c r="J87" t="s">
        <v>5865</v>
      </c>
    </row>
    <row r="88" spans="1:10">
      <c r="A88" s="3">
        <f>SUBTOTAL(3,J$3:J88)</f>
        <v>86</v>
      </c>
      <c r="B88" s="3" t="s">
        <v>86</v>
      </c>
      <c r="C88" t="s">
        <v>5777</v>
      </c>
      <c r="D88" t="s">
        <v>5778</v>
      </c>
      <c r="F88" t="s">
        <v>5797</v>
      </c>
      <c r="G88">
        <v>2</v>
      </c>
      <c r="H88" s="3" t="s">
        <v>979</v>
      </c>
      <c r="I88">
        <v>23240129</v>
      </c>
      <c r="J88" t="s">
        <v>5866</v>
      </c>
    </row>
    <row r="89" spans="1:10">
      <c r="A89" s="3">
        <f>SUBTOTAL(3,J$3:J89)</f>
        <v>87</v>
      </c>
      <c r="B89" s="3" t="s">
        <v>86</v>
      </c>
      <c r="C89" t="s">
        <v>5777</v>
      </c>
      <c r="D89" t="s">
        <v>5778</v>
      </c>
      <c r="F89" t="s">
        <v>5797</v>
      </c>
      <c r="G89">
        <v>2</v>
      </c>
      <c r="H89" s="3" t="s">
        <v>979</v>
      </c>
      <c r="I89">
        <v>22230125</v>
      </c>
      <c r="J89" t="s">
        <v>5867</v>
      </c>
    </row>
    <row r="90" spans="1:10">
      <c r="A90" s="3">
        <f>SUBTOTAL(3,J$3:J90)</f>
        <v>88</v>
      </c>
      <c r="B90" s="3" t="s">
        <v>86</v>
      </c>
      <c r="C90" t="s">
        <v>5777</v>
      </c>
      <c r="D90" t="s">
        <v>5778</v>
      </c>
      <c r="F90" t="s">
        <v>5797</v>
      </c>
      <c r="G90">
        <v>2</v>
      </c>
      <c r="H90" s="3" t="s">
        <v>979</v>
      </c>
      <c r="I90">
        <v>23240072</v>
      </c>
      <c r="J90" t="s">
        <v>5868</v>
      </c>
    </row>
    <row r="91" spans="1:10">
      <c r="A91" s="3">
        <f>SUBTOTAL(3,J$3:J91)</f>
        <v>89</v>
      </c>
      <c r="B91" s="3" t="s">
        <v>86</v>
      </c>
      <c r="C91" t="s">
        <v>5777</v>
      </c>
      <c r="D91" t="s">
        <v>5778</v>
      </c>
      <c r="F91" t="s">
        <v>5797</v>
      </c>
      <c r="G91">
        <v>2</v>
      </c>
      <c r="H91" s="3" t="s">
        <v>979</v>
      </c>
      <c r="I91">
        <v>21220162</v>
      </c>
      <c r="J91" t="s">
        <v>5869</v>
      </c>
    </row>
    <row r="92" spans="1:10">
      <c r="A92" s="3">
        <f>SUBTOTAL(3,J$3:J92)</f>
        <v>90</v>
      </c>
      <c r="B92" s="3" t="s">
        <v>86</v>
      </c>
      <c r="C92" t="s">
        <v>5777</v>
      </c>
      <c r="D92" t="s">
        <v>5778</v>
      </c>
      <c r="F92" t="s">
        <v>5797</v>
      </c>
      <c r="G92">
        <v>2</v>
      </c>
      <c r="H92" s="3" t="s">
        <v>979</v>
      </c>
      <c r="I92">
        <v>23240080</v>
      </c>
      <c r="J92" t="s">
        <v>5870</v>
      </c>
    </row>
    <row r="93" spans="1:10">
      <c r="A93" s="3">
        <f>SUBTOTAL(3,J$3:J93)</f>
        <v>91</v>
      </c>
      <c r="B93" s="3" t="s">
        <v>86</v>
      </c>
      <c r="C93" t="s">
        <v>5777</v>
      </c>
      <c r="D93" t="s">
        <v>5778</v>
      </c>
      <c r="F93" t="s">
        <v>5871</v>
      </c>
      <c r="G93">
        <v>2</v>
      </c>
      <c r="H93" s="3" t="s">
        <v>979</v>
      </c>
      <c r="I93">
        <v>23240153</v>
      </c>
      <c r="J93" t="s">
        <v>5872</v>
      </c>
    </row>
    <row r="94" spans="1:10">
      <c r="A94" s="3">
        <f>SUBTOTAL(3,J$3:J94)</f>
        <v>92</v>
      </c>
      <c r="B94" s="3" t="s">
        <v>86</v>
      </c>
      <c r="C94" t="s">
        <v>5777</v>
      </c>
      <c r="D94" t="s">
        <v>5778</v>
      </c>
      <c r="F94" t="s">
        <v>5797</v>
      </c>
      <c r="G94">
        <v>2</v>
      </c>
      <c r="H94" s="3" t="s">
        <v>979</v>
      </c>
      <c r="I94">
        <v>23240058</v>
      </c>
      <c r="J94" t="s">
        <v>5873</v>
      </c>
    </row>
    <row r="95" spans="1:10">
      <c r="A95" s="3">
        <f>SUBTOTAL(3,J$3:J95)</f>
        <v>93</v>
      </c>
      <c r="B95" s="3" t="s">
        <v>86</v>
      </c>
      <c r="C95" t="s">
        <v>5777</v>
      </c>
      <c r="D95" t="s">
        <v>5778</v>
      </c>
      <c r="F95" t="s">
        <v>5797</v>
      </c>
      <c r="G95">
        <v>2</v>
      </c>
      <c r="H95" s="3" t="s">
        <v>979</v>
      </c>
      <c r="I95">
        <v>21220182</v>
      </c>
      <c r="J95" t="s">
        <v>5874</v>
      </c>
    </row>
    <row r="96" spans="1:10">
      <c r="A96" s="3">
        <f>SUBTOTAL(3,J$3:J96)</f>
        <v>94</v>
      </c>
      <c r="B96" s="3" t="s">
        <v>86</v>
      </c>
      <c r="C96" t="s">
        <v>5777</v>
      </c>
      <c r="D96" t="s">
        <v>5778</v>
      </c>
      <c r="F96" t="s">
        <v>5797</v>
      </c>
      <c r="G96">
        <v>2</v>
      </c>
      <c r="H96" s="3" t="s">
        <v>979</v>
      </c>
      <c r="I96">
        <v>23240085</v>
      </c>
      <c r="J96" t="s">
        <v>5875</v>
      </c>
    </row>
    <row r="97" spans="1:10">
      <c r="A97" s="3">
        <f>SUBTOTAL(3,J$3:J97)</f>
        <v>95</v>
      </c>
      <c r="B97" s="3" t="s">
        <v>86</v>
      </c>
      <c r="C97" t="s">
        <v>5777</v>
      </c>
      <c r="D97" t="s">
        <v>5778</v>
      </c>
      <c r="F97" t="s">
        <v>5797</v>
      </c>
      <c r="G97">
        <v>2</v>
      </c>
      <c r="H97" s="3" t="s">
        <v>979</v>
      </c>
      <c r="I97">
        <v>23240052</v>
      </c>
      <c r="J97" t="s">
        <v>5876</v>
      </c>
    </row>
    <row r="98" spans="1:10">
      <c r="A98" s="3">
        <f>SUBTOTAL(3,J$3:J98)</f>
        <v>96</v>
      </c>
      <c r="B98" s="3" t="s">
        <v>86</v>
      </c>
      <c r="C98" t="s">
        <v>5777</v>
      </c>
      <c r="D98" t="s">
        <v>5778</v>
      </c>
      <c r="F98" t="s">
        <v>5797</v>
      </c>
      <c r="G98">
        <v>2</v>
      </c>
      <c r="H98" s="3" t="s">
        <v>979</v>
      </c>
      <c r="I98">
        <v>23240049</v>
      </c>
      <c r="J98" t="s">
        <v>5877</v>
      </c>
    </row>
    <row r="99" spans="1:10">
      <c r="A99" s="3">
        <f>SUBTOTAL(3,J$3:J99)</f>
        <v>97</v>
      </c>
      <c r="B99" s="3" t="s">
        <v>86</v>
      </c>
      <c r="C99" t="s">
        <v>5777</v>
      </c>
      <c r="D99" t="s">
        <v>5778</v>
      </c>
      <c r="F99" t="s">
        <v>5797</v>
      </c>
      <c r="G99">
        <v>2</v>
      </c>
      <c r="H99" s="3" t="s">
        <v>979</v>
      </c>
      <c r="I99">
        <v>22230068</v>
      </c>
      <c r="J99" t="s">
        <v>5878</v>
      </c>
    </row>
    <row r="100" spans="1:10">
      <c r="A100" s="3">
        <f>SUBTOTAL(3,J$3:J100)</f>
        <v>98</v>
      </c>
      <c r="B100" s="3" t="s">
        <v>86</v>
      </c>
      <c r="C100" t="s">
        <v>5777</v>
      </c>
      <c r="D100" t="s">
        <v>5778</v>
      </c>
      <c r="F100" t="s">
        <v>5797</v>
      </c>
      <c r="G100">
        <v>2</v>
      </c>
      <c r="H100" s="3" t="s">
        <v>979</v>
      </c>
      <c r="I100">
        <v>23240115</v>
      </c>
      <c r="J100" t="s">
        <v>5879</v>
      </c>
    </row>
    <row r="101" spans="1:10">
      <c r="A101" s="3">
        <f>SUBTOTAL(3,J$3:J101)</f>
        <v>99</v>
      </c>
      <c r="B101" s="3" t="s">
        <v>86</v>
      </c>
      <c r="C101" t="s">
        <v>5777</v>
      </c>
      <c r="D101" t="s">
        <v>5778</v>
      </c>
      <c r="F101" t="s">
        <v>5797</v>
      </c>
      <c r="G101">
        <v>2</v>
      </c>
      <c r="H101" s="3" t="s">
        <v>979</v>
      </c>
      <c r="I101">
        <v>20210172</v>
      </c>
      <c r="J101" t="s">
        <v>5880</v>
      </c>
    </row>
    <row r="102" spans="1:10">
      <c r="A102" s="3">
        <f>SUBTOTAL(3,J$3:J102)</f>
        <v>100</v>
      </c>
      <c r="B102" s="3" t="s">
        <v>86</v>
      </c>
      <c r="C102" t="s">
        <v>5777</v>
      </c>
      <c r="D102" t="s">
        <v>5778</v>
      </c>
      <c r="F102" t="s">
        <v>5797</v>
      </c>
      <c r="G102">
        <v>2</v>
      </c>
      <c r="H102" s="3" t="s">
        <v>979</v>
      </c>
      <c r="I102">
        <v>22230188</v>
      </c>
      <c r="J102" t="s">
        <v>5881</v>
      </c>
    </row>
    <row r="103" spans="1:10">
      <c r="A103" s="3">
        <f>SUBTOTAL(3,J$3:J103)</f>
        <v>101</v>
      </c>
      <c r="B103" s="3" t="s">
        <v>86</v>
      </c>
      <c r="C103" t="s">
        <v>5777</v>
      </c>
      <c r="D103" t="s">
        <v>5778</v>
      </c>
      <c r="F103" t="s">
        <v>5797</v>
      </c>
      <c r="G103">
        <v>2</v>
      </c>
      <c r="H103" s="3" t="s">
        <v>979</v>
      </c>
      <c r="I103">
        <v>23240119</v>
      </c>
      <c r="J103" t="s">
        <v>5882</v>
      </c>
    </row>
    <row r="104" spans="1:10">
      <c r="A104" s="3">
        <f>SUBTOTAL(3,J$3:J104)</f>
        <v>102</v>
      </c>
      <c r="B104" s="3" t="s">
        <v>86</v>
      </c>
      <c r="C104" t="s">
        <v>5777</v>
      </c>
      <c r="D104" t="s">
        <v>5778</v>
      </c>
      <c r="F104" t="s">
        <v>5797</v>
      </c>
      <c r="G104">
        <v>2</v>
      </c>
      <c r="H104" s="3" t="s">
        <v>979</v>
      </c>
      <c r="I104">
        <v>23240015</v>
      </c>
      <c r="J104" t="s">
        <v>5883</v>
      </c>
    </row>
    <row r="105" spans="1:10">
      <c r="A105" s="3">
        <f>SUBTOTAL(3,J$3:J105)</f>
        <v>103</v>
      </c>
      <c r="B105" s="3" t="s">
        <v>86</v>
      </c>
      <c r="C105" t="s">
        <v>5777</v>
      </c>
      <c r="D105" t="s">
        <v>5778</v>
      </c>
      <c r="F105" t="s">
        <v>5797</v>
      </c>
      <c r="G105">
        <v>2</v>
      </c>
      <c r="H105" s="3" t="s">
        <v>979</v>
      </c>
      <c r="I105">
        <v>23240020</v>
      </c>
      <c r="J105" t="s">
        <v>5884</v>
      </c>
    </row>
    <row r="106" spans="1:10">
      <c r="A106" s="3">
        <f>SUBTOTAL(3,J$3:J106)</f>
        <v>104</v>
      </c>
      <c r="B106" s="3" t="s">
        <v>86</v>
      </c>
      <c r="C106" t="s">
        <v>5777</v>
      </c>
      <c r="D106" t="s">
        <v>5778</v>
      </c>
      <c r="F106" t="s">
        <v>5797</v>
      </c>
      <c r="G106">
        <v>2</v>
      </c>
      <c r="H106" s="3" t="s">
        <v>979</v>
      </c>
      <c r="I106">
        <v>23240012</v>
      </c>
      <c r="J106" t="s">
        <v>5885</v>
      </c>
    </row>
    <row r="107" spans="1:10">
      <c r="A107" s="3">
        <f>SUBTOTAL(3,J$3:J107)</f>
        <v>105</v>
      </c>
      <c r="B107" s="3" t="s">
        <v>86</v>
      </c>
      <c r="C107" t="s">
        <v>5777</v>
      </c>
      <c r="D107" t="s">
        <v>5778</v>
      </c>
      <c r="F107" t="s">
        <v>5797</v>
      </c>
      <c r="G107">
        <v>2</v>
      </c>
      <c r="H107" s="3" t="s">
        <v>979</v>
      </c>
      <c r="I107">
        <v>23240013</v>
      </c>
      <c r="J107" t="s">
        <v>5886</v>
      </c>
    </row>
    <row r="108" spans="1:10">
      <c r="A108" s="3">
        <f>SUBTOTAL(3,J$3:J108)</f>
        <v>106</v>
      </c>
      <c r="B108" s="3" t="s">
        <v>86</v>
      </c>
      <c r="C108" t="s">
        <v>5777</v>
      </c>
      <c r="D108" t="s">
        <v>5778</v>
      </c>
      <c r="F108" t="s">
        <v>5797</v>
      </c>
      <c r="G108">
        <v>2</v>
      </c>
      <c r="H108" s="3" t="s">
        <v>979</v>
      </c>
      <c r="I108">
        <v>23240158</v>
      </c>
      <c r="J108" t="s">
        <v>5887</v>
      </c>
    </row>
    <row r="109" spans="1:10">
      <c r="A109" s="3">
        <f>SUBTOTAL(3,J$3:J109)</f>
        <v>107</v>
      </c>
      <c r="B109" s="3" t="s">
        <v>86</v>
      </c>
      <c r="C109" t="s">
        <v>5777</v>
      </c>
      <c r="D109" t="s">
        <v>5778</v>
      </c>
      <c r="F109" t="s">
        <v>5797</v>
      </c>
      <c r="G109">
        <v>2</v>
      </c>
      <c r="H109" s="3" t="s">
        <v>979</v>
      </c>
      <c r="I109">
        <v>23240147</v>
      </c>
      <c r="J109" t="s">
        <v>5888</v>
      </c>
    </row>
    <row r="110" spans="1:10">
      <c r="A110" s="3">
        <f>SUBTOTAL(3,J$3:J110)</f>
        <v>108</v>
      </c>
      <c r="B110" s="3" t="s">
        <v>86</v>
      </c>
      <c r="C110" t="s">
        <v>5777</v>
      </c>
      <c r="D110" t="s">
        <v>5778</v>
      </c>
      <c r="F110" t="s">
        <v>5797</v>
      </c>
      <c r="G110">
        <v>2</v>
      </c>
      <c r="H110" s="3" t="s">
        <v>979</v>
      </c>
      <c r="I110">
        <v>23240063</v>
      </c>
      <c r="J110" t="s">
        <v>5889</v>
      </c>
    </row>
    <row r="111" spans="1:10">
      <c r="A111" s="3">
        <f>SUBTOTAL(3,J$3:J111)</f>
        <v>109</v>
      </c>
      <c r="B111" s="3" t="s">
        <v>86</v>
      </c>
      <c r="C111" t="s">
        <v>5777</v>
      </c>
      <c r="D111" t="s">
        <v>5778</v>
      </c>
      <c r="F111" t="s">
        <v>5797</v>
      </c>
      <c r="G111">
        <v>2</v>
      </c>
      <c r="H111" s="3" t="s">
        <v>979</v>
      </c>
      <c r="I111">
        <v>23240078</v>
      </c>
      <c r="J111" t="s">
        <v>5890</v>
      </c>
    </row>
    <row r="112" spans="1:10">
      <c r="A112" s="3">
        <f>SUBTOTAL(3,J$3:J112)</f>
        <v>110</v>
      </c>
      <c r="B112" s="3" t="s">
        <v>86</v>
      </c>
      <c r="C112" t="s">
        <v>5777</v>
      </c>
      <c r="D112" t="s">
        <v>5778</v>
      </c>
      <c r="F112" t="s">
        <v>5797</v>
      </c>
      <c r="G112">
        <v>2</v>
      </c>
      <c r="H112" s="3" t="s">
        <v>979</v>
      </c>
      <c r="I112">
        <v>20210159</v>
      </c>
      <c r="J112" t="s">
        <v>5891</v>
      </c>
    </row>
    <row r="113" spans="1:10">
      <c r="A113" s="3">
        <f>SUBTOTAL(3,J$3:J113)</f>
        <v>111</v>
      </c>
      <c r="B113" s="3" t="s">
        <v>86</v>
      </c>
      <c r="C113" t="s">
        <v>5777</v>
      </c>
      <c r="D113" t="s">
        <v>5778</v>
      </c>
      <c r="F113" t="s">
        <v>5797</v>
      </c>
      <c r="G113">
        <v>2</v>
      </c>
      <c r="H113" s="3" t="s">
        <v>979</v>
      </c>
      <c r="I113">
        <v>23240104</v>
      </c>
      <c r="J113" t="s">
        <v>5892</v>
      </c>
    </row>
    <row r="114" spans="1:10">
      <c r="A114" s="3">
        <f>SUBTOTAL(3,J$3:J114)</f>
        <v>112</v>
      </c>
      <c r="B114" s="3" t="s">
        <v>86</v>
      </c>
      <c r="C114" t="s">
        <v>5777</v>
      </c>
      <c r="D114" t="s">
        <v>5778</v>
      </c>
      <c r="F114" t="s">
        <v>5797</v>
      </c>
      <c r="G114">
        <v>2</v>
      </c>
      <c r="H114" s="3" t="s">
        <v>979</v>
      </c>
      <c r="I114">
        <v>23240021</v>
      </c>
      <c r="J114" t="s">
        <v>5893</v>
      </c>
    </row>
    <row r="115" spans="1:10">
      <c r="A115" s="3">
        <f>SUBTOTAL(3,J$3:J115)</f>
        <v>113</v>
      </c>
      <c r="B115" s="3" t="s">
        <v>86</v>
      </c>
      <c r="C115" t="s">
        <v>5777</v>
      </c>
      <c r="D115" t="s">
        <v>5778</v>
      </c>
      <c r="F115" t="s">
        <v>5797</v>
      </c>
      <c r="G115">
        <v>2</v>
      </c>
      <c r="H115" s="3" t="s">
        <v>979</v>
      </c>
      <c r="I115">
        <v>23240081</v>
      </c>
      <c r="J115" t="s">
        <v>5894</v>
      </c>
    </row>
    <row r="116" spans="1:10">
      <c r="A116" s="3">
        <f>SUBTOTAL(3,J$3:J116)</f>
        <v>114</v>
      </c>
      <c r="B116" s="3" t="s">
        <v>86</v>
      </c>
      <c r="C116" t="s">
        <v>5777</v>
      </c>
      <c r="D116" t="s">
        <v>5778</v>
      </c>
      <c r="F116" t="s">
        <v>5797</v>
      </c>
      <c r="G116">
        <v>2</v>
      </c>
      <c r="H116" s="3" t="s">
        <v>979</v>
      </c>
      <c r="I116">
        <v>22230080</v>
      </c>
      <c r="J116" t="s">
        <v>5895</v>
      </c>
    </row>
    <row r="117" spans="1:10">
      <c r="A117" s="3">
        <f>SUBTOTAL(3,J$3:J117)</f>
        <v>115</v>
      </c>
      <c r="B117" s="3" t="s">
        <v>86</v>
      </c>
      <c r="C117" t="s">
        <v>5777</v>
      </c>
      <c r="D117" t="s">
        <v>5778</v>
      </c>
      <c r="F117" t="s">
        <v>5797</v>
      </c>
      <c r="G117">
        <v>2</v>
      </c>
      <c r="H117" s="3" t="s">
        <v>979</v>
      </c>
      <c r="I117">
        <v>23240096</v>
      </c>
      <c r="J117" t="s">
        <v>5896</v>
      </c>
    </row>
    <row r="118" spans="1:10">
      <c r="A118" s="3">
        <f>SUBTOTAL(3,J$3:J118)</f>
        <v>116</v>
      </c>
      <c r="B118" s="3" t="s">
        <v>86</v>
      </c>
      <c r="C118" t="s">
        <v>5777</v>
      </c>
      <c r="D118" t="s">
        <v>5778</v>
      </c>
      <c r="F118" t="s">
        <v>5797</v>
      </c>
      <c r="G118">
        <v>2</v>
      </c>
      <c r="H118" s="3" t="s">
        <v>979</v>
      </c>
      <c r="I118">
        <v>23240154</v>
      </c>
      <c r="J118" t="s">
        <v>5897</v>
      </c>
    </row>
    <row r="119" spans="1:10">
      <c r="A119" s="3">
        <f>SUBTOTAL(3,J$3:J119)</f>
        <v>117</v>
      </c>
      <c r="B119" s="3" t="s">
        <v>86</v>
      </c>
      <c r="C119" t="s">
        <v>5777</v>
      </c>
      <c r="D119" t="s">
        <v>5778</v>
      </c>
      <c r="F119" t="s">
        <v>5797</v>
      </c>
      <c r="G119">
        <v>2</v>
      </c>
      <c r="H119" s="3" t="s">
        <v>979</v>
      </c>
      <c r="I119">
        <v>22230035</v>
      </c>
      <c r="J119" t="s">
        <v>5898</v>
      </c>
    </row>
    <row r="120" spans="1:10">
      <c r="A120" s="3">
        <f>SUBTOTAL(3,J$3:J120)</f>
        <v>118</v>
      </c>
      <c r="B120" s="3" t="s">
        <v>86</v>
      </c>
      <c r="C120" t="s">
        <v>5777</v>
      </c>
      <c r="D120" t="s">
        <v>5778</v>
      </c>
      <c r="F120" t="s">
        <v>5797</v>
      </c>
      <c r="G120">
        <v>2</v>
      </c>
      <c r="H120" s="3" t="s">
        <v>979</v>
      </c>
      <c r="I120">
        <v>23240183</v>
      </c>
      <c r="J120" t="s">
        <v>5899</v>
      </c>
    </row>
    <row r="121" spans="1:10">
      <c r="A121" s="3">
        <f>SUBTOTAL(3,J$3:J121)</f>
        <v>119</v>
      </c>
      <c r="B121" s="3" t="s">
        <v>86</v>
      </c>
      <c r="C121" t="s">
        <v>5777</v>
      </c>
      <c r="D121" t="s">
        <v>5778</v>
      </c>
      <c r="F121" t="s">
        <v>5797</v>
      </c>
      <c r="G121">
        <v>2</v>
      </c>
      <c r="H121" s="3" t="s">
        <v>979</v>
      </c>
      <c r="I121">
        <v>23240088</v>
      </c>
      <c r="J121" t="s">
        <v>5900</v>
      </c>
    </row>
    <row r="122" spans="1:10">
      <c r="A122" s="3">
        <f>SUBTOTAL(3,J$3:J122)</f>
        <v>120</v>
      </c>
      <c r="B122" s="3" t="s">
        <v>86</v>
      </c>
      <c r="C122" t="s">
        <v>5777</v>
      </c>
      <c r="D122" t="s">
        <v>5778</v>
      </c>
      <c r="F122" t="s">
        <v>5797</v>
      </c>
      <c r="G122">
        <v>2</v>
      </c>
      <c r="H122" s="3" t="s">
        <v>1433</v>
      </c>
      <c r="I122">
        <v>24250017</v>
      </c>
      <c r="J122" t="s">
        <v>5901</v>
      </c>
    </row>
    <row r="123" spans="1:10">
      <c r="A123" s="3">
        <f>SUBTOTAL(3,J$3:J123)</f>
        <v>121</v>
      </c>
      <c r="B123" s="3" t="s">
        <v>86</v>
      </c>
      <c r="C123" t="s">
        <v>5777</v>
      </c>
      <c r="D123" t="s">
        <v>5778</v>
      </c>
      <c r="F123" t="s">
        <v>5797</v>
      </c>
      <c r="G123">
        <v>2</v>
      </c>
      <c r="H123" s="3" t="s">
        <v>1433</v>
      </c>
      <c r="I123">
        <v>23240009</v>
      </c>
      <c r="J123" t="s">
        <v>5902</v>
      </c>
    </row>
    <row r="124" spans="1:10">
      <c r="A124" s="3">
        <f>SUBTOTAL(3,J$3:J124)</f>
        <v>122</v>
      </c>
      <c r="B124" s="3" t="s">
        <v>86</v>
      </c>
      <c r="C124" t="s">
        <v>5777</v>
      </c>
      <c r="D124" t="s">
        <v>5778</v>
      </c>
      <c r="F124" t="s">
        <v>5797</v>
      </c>
      <c r="G124">
        <v>2</v>
      </c>
      <c r="H124" s="3" t="s">
        <v>1433</v>
      </c>
      <c r="I124">
        <v>23240050</v>
      </c>
      <c r="J124" t="s">
        <v>5903</v>
      </c>
    </row>
    <row r="125" spans="1:10">
      <c r="A125" s="3">
        <f>SUBTOTAL(3,J$3:J125)</f>
        <v>123</v>
      </c>
      <c r="B125" s="3" t="s">
        <v>86</v>
      </c>
      <c r="C125" t="s">
        <v>5777</v>
      </c>
      <c r="D125" t="s">
        <v>5778</v>
      </c>
      <c r="F125" t="s">
        <v>870</v>
      </c>
      <c r="G125">
        <v>2</v>
      </c>
      <c r="H125" s="3" t="s">
        <v>1433</v>
      </c>
      <c r="I125">
        <v>23240174</v>
      </c>
      <c r="J125" t="s">
        <v>5904</v>
      </c>
    </row>
    <row r="126" spans="1:10">
      <c r="A126" s="3">
        <f>SUBTOTAL(3,J$3:J126)</f>
        <v>124</v>
      </c>
      <c r="B126" s="3" t="s">
        <v>86</v>
      </c>
      <c r="C126" t="s">
        <v>5777</v>
      </c>
      <c r="D126" t="s">
        <v>5778</v>
      </c>
      <c r="F126" t="s">
        <v>5797</v>
      </c>
      <c r="G126">
        <v>2</v>
      </c>
      <c r="H126" s="3" t="s">
        <v>1433</v>
      </c>
      <c r="I126">
        <v>23240179</v>
      </c>
      <c r="J126" t="s">
        <v>5905</v>
      </c>
    </row>
    <row r="127" spans="1:10">
      <c r="A127" s="3">
        <f>SUBTOTAL(3,J$3:J127)</f>
        <v>125</v>
      </c>
      <c r="B127" s="3" t="s">
        <v>86</v>
      </c>
      <c r="C127" t="s">
        <v>5777</v>
      </c>
      <c r="D127" t="s">
        <v>5778</v>
      </c>
      <c r="F127" t="s">
        <v>5797</v>
      </c>
      <c r="G127">
        <v>2</v>
      </c>
      <c r="H127" s="3" t="s">
        <v>1433</v>
      </c>
      <c r="I127">
        <v>23240086</v>
      </c>
      <c r="J127" t="s">
        <v>5906</v>
      </c>
    </row>
    <row r="128" spans="1:10">
      <c r="A128" s="3">
        <f>SUBTOTAL(3,J$3:J128)</f>
        <v>126</v>
      </c>
      <c r="B128" s="3" t="s">
        <v>86</v>
      </c>
      <c r="C128" t="s">
        <v>5777</v>
      </c>
      <c r="D128" t="s">
        <v>5778</v>
      </c>
      <c r="F128" t="s">
        <v>5797</v>
      </c>
      <c r="G128">
        <v>2</v>
      </c>
      <c r="H128" s="3" t="s">
        <v>1433</v>
      </c>
      <c r="I128">
        <v>23240162</v>
      </c>
      <c r="J128" t="s">
        <v>5907</v>
      </c>
    </row>
    <row r="129" spans="1:10">
      <c r="A129" s="3">
        <f>SUBTOTAL(3,J$3:J129)</f>
        <v>127</v>
      </c>
      <c r="B129" s="3" t="s">
        <v>86</v>
      </c>
      <c r="C129" t="s">
        <v>5777</v>
      </c>
      <c r="D129" t="s">
        <v>5778</v>
      </c>
      <c r="F129" t="s">
        <v>5797</v>
      </c>
      <c r="G129">
        <v>2</v>
      </c>
      <c r="H129" s="3" t="s">
        <v>1433</v>
      </c>
      <c r="I129">
        <v>23240090</v>
      </c>
      <c r="J129" t="s">
        <v>5908</v>
      </c>
    </row>
    <row r="130" spans="1:10">
      <c r="A130" s="3">
        <f>SUBTOTAL(3,J$3:J130)</f>
        <v>128</v>
      </c>
      <c r="B130" s="3" t="s">
        <v>86</v>
      </c>
      <c r="C130" t="s">
        <v>5777</v>
      </c>
      <c r="D130" t="s">
        <v>5778</v>
      </c>
      <c r="F130" t="s">
        <v>5797</v>
      </c>
      <c r="G130">
        <v>2</v>
      </c>
      <c r="H130" s="3" t="s">
        <v>1433</v>
      </c>
      <c r="I130">
        <v>23240011</v>
      </c>
      <c r="J130" t="s">
        <v>5909</v>
      </c>
    </row>
    <row r="131" spans="1:10">
      <c r="A131" s="3">
        <f>SUBTOTAL(3,J$3:J131)</f>
        <v>129</v>
      </c>
      <c r="B131" s="3" t="s">
        <v>86</v>
      </c>
      <c r="C131" t="s">
        <v>5777</v>
      </c>
      <c r="D131" t="s">
        <v>5778</v>
      </c>
      <c r="F131" t="s">
        <v>5797</v>
      </c>
      <c r="G131">
        <v>2</v>
      </c>
      <c r="H131" s="3" t="s">
        <v>1433</v>
      </c>
      <c r="I131">
        <v>23240038</v>
      </c>
      <c r="J131" t="s">
        <v>5910</v>
      </c>
    </row>
    <row r="132" spans="1:10">
      <c r="A132" s="3">
        <f>SUBTOTAL(3,J$3:J132)</f>
        <v>130</v>
      </c>
      <c r="B132" s="3" t="s">
        <v>86</v>
      </c>
      <c r="C132" t="s">
        <v>5777</v>
      </c>
      <c r="D132" t="s">
        <v>5778</v>
      </c>
      <c r="F132" t="s">
        <v>5797</v>
      </c>
      <c r="G132">
        <v>2</v>
      </c>
      <c r="H132" s="3" t="s">
        <v>1433</v>
      </c>
      <c r="I132">
        <v>22230163</v>
      </c>
      <c r="J132" t="s">
        <v>5911</v>
      </c>
    </row>
    <row r="133" spans="1:10">
      <c r="A133" s="3">
        <f>SUBTOTAL(3,J$3:J133)</f>
        <v>131</v>
      </c>
      <c r="B133" s="3" t="s">
        <v>86</v>
      </c>
      <c r="C133" t="s">
        <v>5777</v>
      </c>
      <c r="D133" t="s">
        <v>5778</v>
      </c>
      <c r="F133" t="s">
        <v>5797</v>
      </c>
      <c r="G133">
        <v>2</v>
      </c>
      <c r="H133" s="3" t="s">
        <v>1433</v>
      </c>
      <c r="I133">
        <v>23240032</v>
      </c>
      <c r="J133" t="s">
        <v>5912</v>
      </c>
    </row>
    <row r="134" spans="1:10">
      <c r="A134" s="3">
        <f>SUBTOTAL(3,J$3:J134)</f>
        <v>132</v>
      </c>
      <c r="B134" s="3" t="s">
        <v>86</v>
      </c>
      <c r="C134" t="s">
        <v>5777</v>
      </c>
      <c r="D134" t="s">
        <v>5778</v>
      </c>
      <c r="F134" t="s">
        <v>5797</v>
      </c>
      <c r="G134">
        <v>2</v>
      </c>
      <c r="H134" s="3" t="s">
        <v>1433</v>
      </c>
      <c r="I134">
        <v>23240017</v>
      </c>
      <c r="J134" t="s">
        <v>5913</v>
      </c>
    </row>
    <row r="135" spans="1:10">
      <c r="A135" s="3">
        <f>SUBTOTAL(3,J$3:J135)</f>
        <v>133</v>
      </c>
      <c r="B135" s="3" t="s">
        <v>86</v>
      </c>
      <c r="C135" t="s">
        <v>5777</v>
      </c>
      <c r="D135" t="s">
        <v>5778</v>
      </c>
      <c r="F135" t="s">
        <v>5797</v>
      </c>
      <c r="G135">
        <v>2</v>
      </c>
      <c r="H135" s="3" t="s">
        <v>1433</v>
      </c>
      <c r="I135">
        <v>23240008</v>
      </c>
      <c r="J135" t="s">
        <v>5914</v>
      </c>
    </row>
    <row r="136" spans="1:10">
      <c r="A136" s="3">
        <f>SUBTOTAL(3,J$3:J136)</f>
        <v>134</v>
      </c>
      <c r="B136" s="3" t="s">
        <v>86</v>
      </c>
      <c r="C136" t="s">
        <v>5777</v>
      </c>
      <c r="D136" t="s">
        <v>5778</v>
      </c>
      <c r="F136" t="s">
        <v>5797</v>
      </c>
      <c r="G136">
        <v>2</v>
      </c>
      <c r="H136" s="3" t="s">
        <v>1433</v>
      </c>
      <c r="I136">
        <v>23240163</v>
      </c>
      <c r="J136" t="s">
        <v>5915</v>
      </c>
    </row>
    <row r="137" spans="1:10">
      <c r="A137" s="3">
        <f>SUBTOTAL(3,J$3:J137)</f>
        <v>135</v>
      </c>
      <c r="B137" s="3" t="s">
        <v>86</v>
      </c>
      <c r="C137" t="s">
        <v>5777</v>
      </c>
      <c r="D137" t="s">
        <v>5778</v>
      </c>
      <c r="F137" t="s">
        <v>5797</v>
      </c>
      <c r="G137">
        <v>2</v>
      </c>
      <c r="H137" s="3" t="s">
        <v>1433</v>
      </c>
      <c r="I137">
        <v>23240045</v>
      </c>
      <c r="J137" t="s">
        <v>5916</v>
      </c>
    </row>
    <row r="138" spans="1:10">
      <c r="A138" s="3">
        <f>SUBTOTAL(3,J$3:J138)</f>
        <v>136</v>
      </c>
      <c r="B138" s="3" t="s">
        <v>86</v>
      </c>
      <c r="C138" t="s">
        <v>5777</v>
      </c>
      <c r="D138" t="s">
        <v>5778</v>
      </c>
      <c r="F138" t="s">
        <v>5797</v>
      </c>
      <c r="G138">
        <v>2</v>
      </c>
      <c r="H138" s="3" t="s">
        <v>1433</v>
      </c>
      <c r="I138">
        <v>23240123</v>
      </c>
      <c r="J138" t="s">
        <v>5917</v>
      </c>
    </row>
    <row r="139" spans="1:10">
      <c r="A139" s="3">
        <f>SUBTOTAL(3,J$3:J139)</f>
        <v>137</v>
      </c>
      <c r="B139" s="3" t="s">
        <v>86</v>
      </c>
      <c r="C139" t="s">
        <v>5777</v>
      </c>
      <c r="D139" t="s">
        <v>5778</v>
      </c>
      <c r="F139" t="s">
        <v>5797</v>
      </c>
      <c r="G139">
        <v>2</v>
      </c>
      <c r="H139" s="3" t="s">
        <v>1433</v>
      </c>
      <c r="I139">
        <v>23240097</v>
      </c>
      <c r="J139" t="s">
        <v>5918</v>
      </c>
    </row>
    <row r="140" spans="1:10">
      <c r="A140" s="3">
        <f>SUBTOTAL(3,J$3:J140)</f>
        <v>138</v>
      </c>
      <c r="B140" s="3" t="s">
        <v>86</v>
      </c>
      <c r="C140" t="s">
        <v>5777</v>
      </c>
      <c r="D140" t="s">
        <v>5778</v>
      </c>
      <c r="F140" t="s">
        <v>5797</v>
      </c>
      <c r="G140">
        <v>2</v>
      </c>
      <c r="H140" s="3" t="s">
        <v>1433</v>
      </c>
      <c r="I140">
        <v>23240026</v>
      </c>
      <c r="J140" t="s">
        <v>5919</v>
      </c>
    </row>
    <row r="141" spans="1:10">
      <c r="A141" s="3">
        <f>SUBTOTAL(3,J$3:J141)</f>
        <v>139</v>
      </c>
      <c r="B141" s="3" t="s">
        <v>86</v>
      </c>
      <c r="C141" t="s">
        <v>5777</v>
      </c>
      <c r="D141" t="s">
        <v>5778</v>
      </c>
      <c r="F141" t="s">
        <v>5797</v>
      </c>
      <c r="G141">
        <v>2</v>
      </c>
      <c r="H141" s="3" t="s">
        <v>1433</v>
      </c>
      <c r="I141">
        <v>23240110</v>
      </c>
      <c r="J141" t="s">
        <v>5920</v>
      </c>
    </row>
    <row r="142" spans="1:10">
      <c r="A142" s="3">
        <f>SUBTOTAL(3,J$3:J142)</f>
        <v>140</v>
      </c>
      <c r="B142" s="3" t="s">
        <v>86</v>
      </c>
      <c r="C142" t="s">
        <v>5777</v>
      </c>
      <c r="D142" t="s">
        <v>5778</v>
      </c>
      <c r="F142" t="s">
        <v>5797</v>
      </c>
      <c r="G142">
        <v>2</v>
      </c>
      <c r="H142" s="3" t="s">
        <v>1433</v>
      </c>
      <c r="I142">
        <v>23240064</v>
      </c>
      <c r="J142" t="s">
        <v>5921</v>
      </c>
    </row>
    <row r="143" spans="1:10">
      <c r="A143" s="3">
        <f>SUBTOTAL(3,J$3:J143)</f>
        <v>141</v>
      </c>
      <c r="B143" s="3" t="s">
        <v>86</v>
      </c>
      <c r="C143" t="s">
        <v>5777</v>
      </c>
      <c r="D143" t="s">
        <v>5778</v>
      </c>
      <c r="F143" t="s">
        <v>5797</v>
      </c>
      <c r="G143">
        <v>2</v>
      </c>
      <c r="H143" s="3" t="s">
        <v>1433</v>
      </c>
      <c r="I143">
        <v>21220148</v>
      </c>
      <c r="J143" t="s">
        <v>5922</v>
      </c>
    </row>
    <row r="144" spans="1:10">
      <c r="A144" s="3">
        <f>SUBTOTAL(3,J$3:J144)</f>
        <v>142</v>
      </c>
      <c r="B144" s="3" t="s">
        <v>86</v>
      </c>
      <c r="C144" t="s">
        <v>5777</v>
      </c>
      <c r="D144" t="s">
        <v>5778</v>
      </c>
      <c r="F144" t="s">
        <v>5797</v>
      </c>
      <c r="G144">
        <v>2</v>
      </c>
      <c r="H144" s="3" t="s">
        <v>1433</v>
      </c>
      <c r="I144">
        <v>23240126</v>
      </c>
      <c r="J144" t="s">
        <v>5923</v>
      </c>
    </row>
    <row r="145" spans="1:10">
      <c r="A145" s="3">
        <f>SUBTOTAL(3,J$3:J145)</f>
        <v>143</v>
      </c>
      <c r="B145" s="3" t="s">
        <v>86</v>
      </c>
      <c r="C145" t="s">
        <v>5777</v>
      </c>
      <c r="D145" t="s">
        <v>5778</v>
      </c>
      <c r="F145" t="s">
        <v>5797</v>
      </c>
      <c r="G145">
        <v>2</v>
      </c>
      <c r="H145" s="3" t="s">
        <v>1433</v>
      </c>
      <c r="I145">
        <v>23240100</v>
      </c>
      <c r="J145" t="s">
        <v>5924</v>
      </c>
    </row>
    <row r="146" spans="1:10">
      <c r="A146" s="3">
        <f>SUBTOTAL(3,J$3:J146)</f>
        <v>144</v>
      </c>
      <c r="B146" s="3" t="s">
        <v>86</v>
      </c>
      <c r="C146" t="s">
        <v>5777</v>
      </c>
      <c r="D146" t="s">
        <v>5778</v>
      </c>
      <c r="F146" t="s">
        <v>5797</v>
      </c>
      <c r="G146">
        <v>2</v>
      </c>
      <c r="H146" s="3" t="s">
        <v>1433</v>
      </c>
      <c r="I146">
        <v>23240044</v>
      </c>
      <c r="J146" t="s">
        <v>5925</v>
      </c>
    </row>
    <row r="147" spans="1:10">
      <c r="A147" s="3">
        <f>SUBTOTAL(3,J$3:J147)</f>
        <v>145</v>
      </c>
      <c r="B147" s="3" t="s">
        <v>86</v>
      </c>
      <c r="C147" t="s">
        <v>5777</v>
      </c>
      <c r="D147" t="s">
        <v>5778</v>
      </c>
      <c r="F147" t="s">
        <v>5797</v>
      </c>
      <c r="G147">
        <v>2</v>
      </c>
      <c r="H147" s="3" t="s">
        <v>1433</v>
      </c>
      <c r="I147">
        <v>22230149</v>
      </c>
      <c r="J147" t="s">
        <v>5926</v>
      </c>
    </row>
    <row r="148" spans="1:10">
      <c r="A148" s="3">
        <f>SUBTOTAL(3,J$3:J148)</f>
        <v>146</v>
      </c>
      <c r="B148" s="3" t="s">
        <v>86</v>
      </c>
      <c r="C148" t="s">
        <v>5777</v>
      </c>
      <c r="D148" t="s">
        <v>5778</v>
      </c>
      <c r="F148" t="s">
        <v>5797</v>
      </c>
      <c r="G148">
        <v>2</v>
      </c>
      <c r="H148" s="3" t="s">
        <v>1433</v>
      </c>
      <c r="I148">
        <v>22230164</v>
      </c>
      <c r="J148" t="s">
        <v>5927</v>
      </c>
    </row>
    <row r="149" spans="1:10">
      <c r="A149" s="3">
        <f>SUBTOTAL(3,J$3:J149)</f>
        <v>147</v>
      </c>
      <c r="B149" s="3" t="s">
        <v>86</v>
      </c>
      <c r="C149" t="s">
        <v>5777</v>
      </c>
      <c r="D149" t="s">
        <v>5778</v>
      </c>
      <c r="F149" t="s">
        <v>5797</v>
      </c>
      <c r="G149">
        <v>2</v>
      </c>
      <c r="H149" s="3" t="s">
        <v>1433</v>
      </c>
      <c r="I149">
        <v>23240091</v>
      </c>
      <c r="J149" t="s">
        <v>5928</v>
      </c>
    </row>
    <row r="150" spans="1:10">
      <c r="A150" s="3">
        <f>SUBTOTAL(3,J$3:J150)</f>
        <v>148</v>
      </c>
      <c r="B150" s="3" t="s">
        <v>86</v>
      </c>
      <c r="C150" t="s">
        <v>5777</v>
      </c>
      <c r="D150" t="s">
        <v>5778</v>
      </c>
      <c r="F150" t="s">
        <v>5797</v>
      </c>
      <c r="G150">
        <v>2</v>
      </c>
      <c r="H150" s="3" t="s">
        <v>1433</v>
      </c>
      <c r="I150">
        <v>23240022</v>
      </c>
      <c r="J150" t="s">
        <v>5929</v>
      </c>
    </row>
    <row r="151" spans="1:10">
      <c r="A151" s="3">
        <f>SUBTOTAL(3,J$3:J151)</f>
        <v>149</v>
      </c>
      <c r="B151" s="3" t="s">
        <v>86</v>
      </c>
      <c r="C151" t="s">
        <v>5777</v>
      </c>
      <c r="D151" t="s">
        <v>5778</v>
      </c>
      <c r="F151" t="s">
        <v>5797</v>
      </c>
      <c r="G151">
        <v>2</v>
      </c>
      <c r="H151" s="3" t="s">
        <v>1433</v>
      </c>
      <c r="I151">
        <v>23240016</v>
      </c>
      <c r="J151" t="s">
        <v>5930</v>
      </c>
    </row>
    <row r="152" spans="1:10">
      <c r="A152" s="3">
        <f>SUBTOTAL(3,J$3:J152)</f>
        <v>150</v>
      </c>
      <c r="B152" s="3" t="s">
        <v>86</v>
      </c>
      <c r="C152" t="s">
        <v>5777</v>
      </c>
      <c r="D152" t="s">
        <v>5778</v>
      </c>
      <c r="F152" t="s">
        <v>5797</v>
      </c>
      <c r="G152">
        <v>2</v>
      </c>
      <c r="H152" s="3" t="s">
        <v>1433</v>
      </c>
      <c r="I152">
        <v>23240056</v>
      </c>
      <c r="J152" t="s">
        <v>3673</v>
      </c>
    </row>
    <row r="153" spans="1:10">
      <c r="A153" s="3">
        <f>SUBTOTAL(3,J$3:J153)</f>
        <v>151</v>
      </c>
      <c r="B153" s="3" t="s">
        <v>86</v>
      </c>
      <c r="C153" t="s">
        <v>5777</v>
      </c>
      <c r="D153" t="s">
        <v>5778</v>
      </c>
      <c r="F153" t="s">
        <v>5797</v>
      </c>
      <c r="G153">
        <v>2</v>
      </c>
      <c r="H153" s="3" t="s">
        <v>1433</v>
      </c>
      <c r="I153">
        <v>23240082</v>
      </c>
      <c r="J153" t="s">
        <v>5931</v>
      </c>
    </row>
    <row r="154" spans="1:10">
      <c r="A154" s="3">
        <f>SUBTOTAL(3,J$3:J154)</f>
        <v>152</v>
      </c>
      <c r="B154" s="3" t="s">
        <v>86</v>
      </c>
      <c r="C154" t="s">
        <v>5777</v>
      </c>
      <c r="D154" t="s">
        <v>5778</v>
      </c>
      <c r="F154" t="s">
        <v>5797</v>
      </c>
      <c r="G154">
        <v>2</v>
      </c>
      <c r="H154" s="3" t="s">
        <v>1433</v>
      </c>
      <c r="I154">
        <v>23240007</v>
      </c>
      <c r="J154" t="s">
        <v>5932</v>
      </c>
    </row>
    <row r="155" spans="1:10">
      <c r="A155" s="3">
        <f>SUBTOTAL(3,J$3:J155)</f>
        <v>153</v>
      </c>
      <c r="B155" s="3" t="s">
        <v>86</v>
      </c>
      <c r="C155" t="s">
        <v>5777</v>
      </c>
      <c r="D155" t="s">
        <v>5778</v>
      </c>
      <c r="F155" t="s">
        <v>5797</v>
      </c>
      <c r="G155">
        <v>2</v>
      </c>
      <c r="H155" s="3" t="s">
        <v>1433</v>
      </c>
      <c r="I155">
        <v>22230161</v>
      </c>
      <c r="J155" t="s">
        <v>5933</v>
      </c>
    </row>
    <row r="156" spans="1:10">
      <c r="A156" s="3">
        <f>SUBTOTAL(3,J$3:J156)</f>
        <v>154</v>
      </c>
      <c r="B156" s="3" t="s">
        <v>86</v>
      </c>
      <c r="C156" t="s">
        <v>5777</v>
      </c>
      <c r="D156" t="s">
        <v>5778</v>
      </c>
      <c r="F156" t="s">
        <v>5797</v>
      </c>
      <c r="G156">
        <v>2</v>
      </c>
      <c r="H156" s="3" t="s">
        <v>1433</v>
      </c>
      <c r="I156">
        <v>22230167</v>
      </c>
      <c r="J156" t="s">
        <v>5934</v>
      </c>
    </row>
    <row r="157" spans="1:10">
      <c r="A157" s="3">
        <f>SUBTOTAL(3,J$3:J157)</f>
        <v>155</v>
      </c>
      <c r="B157" s="3" t="s">
        <v>86</v>
      </c>
      <c r="C157" t="s">
        <v>5777</v>
      </c>
      <c r="D157" t="s">
        <v>5778</v>
      </c>
      <c r="F157" t="s">
        <v>5797</v>
      </c>
      <c r="G157">
        <v>2</v>
      </c>
      <c r="H157" s="3" t="s">
        <v>1433</v>
      </c>
      <c r="I157">
        <v>23240028</v>
      </c>
      <c r="J157" t="s">
        <v>5935</v>
      </c>
    </row>
    <row r="158" spans="1:10">
      <c r="A158" s="3">
        <f>SUBTOTAL(3,J$3:J158)</f>
        <v>156</v>
      </c>
      <c r="B158" s="3" t="s">
        <v>86</v>
      </c>
      <c r="C158" t="s">
        <v>5777</v>
      </c>
      <c r="D158" t="s">
        <v>5778</v>
      </c>
      <c r="F158" t="s">
        <v>5797</v>
      </c>
      <c r="G158">
        <v>2</v>
      </c>
      <c r="H158" s="3" t="s">
        <v>1433</v>
      </c>
      <c r="I158">
        <v>23240108</v>
      </c>
      <c r="J158" t="s">
        <v>5936</v>
      </c>
    </row>
    <row r="159" spans="1:10">
      <c r="A159" s="3">
        <f>SUBTOTAL(3,J$3:J159)</f>
        <v>157</v>
      </c>
      <c r="B159" s="3" t="s">
        <v>86</v>
      </c>
      <c r="C159" t="s">
        <v>5777</v>
      </c>
      <c r="D159" t="s">
        <v>5778</v>
      </c>
      <c r="F159" t="s">
        <v>5797</v>
      </c>
      <c r="G159">
        <v>2</v>
      </c>
      <c r="H159" s="3" t="s">
        <v>1433</v>
      </c>
      <c r="I159">
        <v>23240136</v>
      </c>
      <c r="J159" t="s">
        <v>5937</v>
      </c>
    </row>
    <row r="160" spans="1:10">
      <c r="A160" s="3">
        <f>SUBTOTAL(3,J$3:J160)</f>
        <v>158</v>
      </c>
      <c r="B160" s="3" t="s">
        <v>86</v>
      </c>
      <c r="C160" t="s">
        <v>5777</v>
      </c>
      <c r="D160" t="s">
        <v>5778</v>
      </c>
      <c r="F160" t="s">
        <v>5797</v>
      </c>
      <c r="G160">
        <v>3</v>
      </c>
      <c r="H160" s="3" t="s">
        <v>1845</v>
      </c>
      <c r="I160">
        <v>22230194</v>
      </c>
      <c r="J160" t="s">
        <v>5938</v>
      </c>
    </row>
    <row r="161" spans="1:10">
      <c r="A161" s="3">
        <f>SUBTOTAL(3,J$3:J161)</f>
        <v>159</v>
      </c>
      <c r="B161" s="3" t="s">
        <v>86</v>
      </c>
      <c r="C161" t="s">
        <v>5777</v>
      </c>
      <c r="D161" t="s">
        <v>5778</v>
      </c>
      <c r="F161" t="s">
        <v>5797</v>
      </c>
      <c r="G161">
        <v>3</v>
      </c>
      <c r="H161" s="3" t="s">
        <v>1845</v>
      </c>
      <c r="I161">
        <v>22230148</v>
      </c>
      <c r="J161" t="s">
        <v>5939</v>
      </c>
    </row>
    <row r="162" spans="1:10">
      <c r="A162" s="3">
        <f>SUBTOTAL(3,J$3:J162)</f>
        <v>160</v>
      </c>
      <c r="B162" s="3" t="s">
        <v>86</v>
      </c>
      <c r="C162" t="s">
        <v>5777</v>
      </c>
      <c r="D162" t="s">
        <v>5778</v>
      </c>
      <c r="F162" t="s">
        <v>5797</v>
      </c>
      <c r="G162">
        <v>3</v>
      </c>
      <c r="H162" s="3" t="s">
        <v>1845</v>
      </c>
      <c r="I162">
        <v>20210191</v>
      </c>
      <c r="J162" t="s">
        <v>5940</v>
      </c>
    </row>
    <row r="163" spans="1:10">
      <c r="A163" s="3">
        <f>SUBTOTAL(3,J$3:J163)</f>
        <v>161</v>
      </c>
      <c r="B163" s="3" t="s">
        <v>86</v>
      </c>
      <c r="C163" t="s">
        <v>5777</v>
      </c>
      <c r="D163" t="s">
        <v>5778</v>
      </c>
      <c r="F163" t="s">
        <v>5797</v>
      </c>
      <c r="G163">
        <v>3</v>
      </c>
      <c r="H163" s="3" t="s">
        <v>1845</v>
      </c>
      <c r="I163">
        <v>21220121</v>
      </c>
      <c r="J163" t="s">
        <v>5941</v>
      </c>
    </row>
    <row r="164" spans="1:10">
      <c r="A164" s="3">
        <f>SUBTOTAL(3,J$3:J164)</f>
        <v>162</v>
      </c>
      <c r="B164" s="3" t="s">
        <v>86</v>
      </c>
      <c r="C164" t="s">
        <v>5777</v>
      </c>
      <c r="D164" t="s">
        <v>5778</v>
      </c>
      <c r="F164" t="s">
        <v>5797</v>
      </c>
      <c r="G164">
        <v>3</v>
      </c>
      <c r="H164" s="3" t="s">
        <v>1845</v>
      </c>
      <c r="I164">
        <v>22230018</v>
      </c>
      <c r="J164" t="s">
        <v>5942</v>
      </c>
    </row>
    <row r="165" spans="1:10">
      <c r="A165" s="3">
        <f>SUBTOTAL(3,J$3:J165)</f>
        <v>163</v>
      </c>
      <c r="B165" s="3" t="s">
        <v>86</v>
      </c>
      <c r="C165" t="s">
        <v>5777</v>
      </c>
      <c r="D165" t="s">
        <v>5778</v>
      </c>
      <c r="F165" t="s">
        <v>5797</v>
      </c>
      <c r="G165">
        <v>3</v>
      </c>
      <c r="H165" s="3" t="s">
        <v>1845</v>
      </c>
      <c r="I165">
        <v>22230003</v>
      </c>
      <c r="J165" t="s">
        <v>5943</v>
      </c>
    </row>
    <row r="166" spans="1:10">
      <c r="A166" s="3">
        <f>SUBTOTAL(3,J$3:J166)</f>
        <v>164</v>
      </c>
      <c r="B166" s="3" t="s">
        <v>86</v>
      </c>
      <c r="C166" t="s">
        <v>5777</v>
      </c>
      <c r="D166" t="s">
        <v>5778</v>
      </c>
      <c r="F166" t="s">
        <v>5797</v>
      </c>
      <c r="G166">
        <v>3</v>
      </c>
      <c r="H166" s="3" t="s">
        <v>1845</v>
      </c>
      <c r="I166">
        <v>22230076</v>
      </c>
      <c r="J166" t="s">
        <v>5944</v>
      </c>
    </row>
    <row r="167" spans="1:10">
      <c r="A167" s="3">
        <f>SUBTOTAL(3,J$3:J167)</f>
        <v>165</v>
      </c>
      <c r="B167" s="3" t="s">
        <v>86</v>
      </c>
      <c r="C167" t="s">
        <v>5777</v>
      </c>
      <c r="D167" t="s">
        <v>5778</v>
      </c>
      <c r="F167" t="s">
        <v>5797</v>
      </c>
      <c r="G167">
        <v>3</v>
      </c>
      <c r="H167" s="3" t="s">
        <v>1845</v>
      </c>
      <c r="I167">
        <v>22230030</v>
      </c>
      <c r="J167" t="s">
        <v>5945</v>
      </c>
    </row>
    <row r="168" spans="1:10">
      <c r="A168" s="3">
        <f>SUBTOTAL(3,J$3:J168)</f>
        <v>166</v>
      </c>
      <c r="B168" s="3" t="s">
        <v>86</v>
      </c>
      <c r="C168" t="s">
        <v>5777</v>
      </c>
      <c r="D168" t="s">
        <v>5778</v>
      </c>
      <c r="F168" t="s">
        <v>5871</v>
      </c>
      <c r="G168">
        <v>3</v>
      </c>
      <c r="H168" s="3" t="s">
        <v>1845</v>
      </c>
      <c r="I168">
        <v>22230197</v>
      </c>
      <c r="J168" t="s">
        <v>5946</v>
      </c>
    </row>
    <row r="169" spans="1:10">
      <c r="A169" s="3">
        <f>SUBTOTAL(3,J$3:J169)</f>
        <v>167</v>
      </c>
      <c r="B169" s="3" t="s">
        <v>86</v>
      </c>
      <c r="C169" t="s">
        <v>5777</v>
      </c>
      <c r="D169" t="s">
        <v>5778</v>
      </c>
      <c r="F169" t="s">
        <v>5797</v>
      </c>
      <c r="G169">
        <v>3</v>
      </c>
      <c r="H169" s="3" t="s">
        <v>1845</v>
      </c>
      <c r="I169">
        <v>22230170</v>
      </c>
      <c r="J169" t="s">
        <v>5947</v>
      </c>
    </row>
    <row r="170" spans="1:10">
      <c r="A170" s="3">
        <f>SUBTOTAL(3,J$3:J170)</f>
        <v>168</v>
      </c>
      <c r="B170" s="3" t="s">
        <v>86</v>
      </c>
      <c r="C170" t="s">
        <v>5777</v>
      </c>
      <c r="D170" t="s">
        <v>5778</v>
      </c>
      <c r="F170" t="s">
        <v>5797</v>
      </c>
      <c r="G170">
        <v>3</v>
      </c>
      <c r="H170" s="3" t="s">
        <v>1845</v>
      </c>
      <c r="I170">
        <v>22230144</v>
      </c>
      <c r="J170" t="s">
        <v>5948</v>
      </c>
    </row>
    <row r="171" spans="1:10">
      <c r="A171" s="3">
        <f>SUBTOTAL(3,J$3:J171)</f>
        <v>169</v>
      </c>
      <c r="B171" s="3" t="s">
        <v>86</v>
      </c>
      <c r="C171" t="s">
        <v>5777</v>
      </c>
      <c r="D171" t="s">
        <v>5778</v>
      </c>
      <c r="F171" t="s">
        <v>5797</v>
      </c>
      <c r="G171">
        <v>3</v>
      </c>
      <c r="H171" s="3" t="s">
        <v>1845</v>
      </c>
      <c r="I171">
        <v>22230136</v>
      </c>
      <c r="J171" t="s">
        <v>5949</v>
      </c>
    </row>
    <row r="172" spans="1:10">
      <c r="A172" s="3">
        <f>SUBTOTAL(3,J$3:J172)</f>
        <v>170</v>
      </c>
      <c r="B172" s="3" t="s">
        <v>86</v>
      </c>
      <c r="C172" t="s">
        <v>5777</v>
      </c>
      <c r="D172" t="s">
        <v>5778</v>
      </c>
      <c r="F172" t="s">
        <v>5797</v>
      </c>
      <c r="G172">
        <v>3</v>
      </c>
      <c r="H172" s="3" t="s">
        <v>1845</v>
      </c>
      <c r="I172">
        <v>22230057</v>
      </c>
      <c r="J172" t="s">
        <v>5950</v>
      </c>
    </row>
    <row r="173" spans="1:10">
      <c r="A173" s="3">
        <f>SUBTOTAL(3,J$3:J173)</f>
        <v>171</v>
      </c>
      <c r="B173" s="3" t="s">
        <v>86</v>
      </c>
      <c r="C173" t="s">
        <v>5777</v>
      </c>
      <c r="D173" t="s">
        <v>5778</v>
      </c>
      <c r="F173" t="s">
        <v>5797</v>
      </c>
      <c r="G173">
        <v>3</v>
      </c>
      <c r="H173" s="3" t="s">
        <v>1845</v>
      </c>
      <c r="I173">
        <v>22230045</v>
      </c>
      <c r="J173" t="s">
        <v>5951</v>
      </c>
    </row>
    <row r="174" spans="1:10">
      <c r="A174" s="3">
        <f>SUBTOTAL(3,J$3:J174)</f>
        <v>172</v>
      </c>
      <c r="B174" s="3" t="s">
        <v>86</v>
      </c>
      <c r="C174" t="s">
        <v>5777</v>
      </c>
      <c r="D174" t="s">
        <v>5778</v>
      </c>
      <c r="F174" t="s">
        <v>5797</v>
      </c>
      <c r="G174">
        <v>3</v>
      </c>
      <c r="H174" s="3" t="s">
        <v>1845</v>
      </c>
      <c r="I174">
        <v>22230120</v>
      </c>
      <c r="J174" t="s">
        <v>5952</v>
      </c>
    </row>
    <row r="175" spans="1:10">
      <c r="A175" s="3">
        <f>SUBTOTAL(3,J$3:J175)</f>
        <v>173</v>
      </c>
      <c r="B175" s="3" t="s">
        <v>86</v>
      </c>
      <c r="C175" t="s">
        <v>5777</v>
      </c>
      <c r="D175" t="s">
        <v>5778</v>
      </c>
      <c r="F175" t="s">
        <v>5797</v>
      </c>
      <c r="G175">
        <v>3</v>
      </c>
      <c r="H175" s="3" t="s">
        <v>1845</v>
      </c>
      <c r="I175">
        <v>22230117</v>
      </c>
      <c r="J175" t="s">
        <v>5953</v>
      </c>
    </row>
    <row r="176" spans="1:10">
      <c r="A176" s="3">
        <f>SUBTOTAL(3,J$3:J176)</f>
        <v>174</v>
      </c>
      <c r="B176" s="3" t="s">
        <v>86</v>
      </c>
      <c r="C176" t="s">
        <v>5777</v>
      </c>
      <c r="D176" t="s">
        <v>5778</v>
      </c>
      <c r="F176" t="s">
        <v>5797</v>
      </c>
      <c r="G176">
        <v>3</v>
      </c>
      <c r="H176" s="3" t="s">
        <v>1845</v>
      </c>
      <c r="I176">
        <v>22230077</v>
      </c>
      <c r="J176" t="s">
        <v>5954</v>
      </c>
    </row>
    <row r="177" spans="1:10">
      <c r="A177" s="3">
        <f>SUBTOTAL(3,J$3:J177)</f>
        <v>175</v>
      </c>
      <c r="B177" s="3" t="s">
        <v>86</v>
      </c>
      <c r="C177" t="s">
        <v>5777</v>
      </c>
      <c r="D177" t="s">
        <v>5778</v>
      </c>
      <c r="F177" t="s">
        <v>5797</v>
      </c>
      <c r="G177">
        <v>3</v>
      </c>
      <c r="H177" s="3" t="s">
        <v>1845</v>
      </c>
      <c r="I177">
        <v>22230124</v>
      </c>
      <c r="J177" t="s">
        <v>5955</v>
      </c>
    </row>
    <row r="178" spans="1:10">
      <c r="A178" s="3">
        <f>SUBTOTAL(3,J$3:J178)</f>
        <v>176</v>
      </c>
      <c r="B178" s="3" t="s">
        <v>86</v>
      </c>
      <c r="C178" t="s">
        <v>5777</v>
      </c>
      <c r="D178" t="s">
        <v>5778</v>
      </c>
      <c r="F178" t="s">
        <v>5797</v>
      </c>
      <c r="G178">
        <v>3</v>
      </c>
      <c r="H178" s="3" t="s">
        <v>1845</v>
      </c>
      <c r="I178">
        <v>22230088</v>
      </c>
      <c r="J178" t="s">
        <v>5956</v>
      </c>
    </row>
    <row r="179" spans="1:10">
      <c r="A179" s="3">
        <f>SUBTOTAL(3,J$3:J179)</f>
        <v>177</v>
      </c>
      <c r="B179" s="3" t="s">
        <v>86</v>
      </c>
      <c r="C179" t="s">
        <v>5777</v>
      </c>
      <c r="D179" t="s">
        <v>5778</v>
      </c>
      <c r="F179" t="s">
        <v>5797</v>
      </c>
      <c r="G179">
        <v>3</v>
      </c>
      <c r="H179" s="3" t="s">
        <v>1845</v>
      </c>
      <c r="I179">
        <v>19200280</v>
      </c>
      <c r="J179" t="s">
        <v>5957</v>
      </c>
    </row>
    <row r="180" spans="1:10">
      <c r="A180" s="3">
        <f>SUBTOTAL(3,J$3:J180)</f>
        <v>178</v>
      </c>
      <c r="B180" s="3" t="s">
        <v>86</v>
      </c>
      <c r="C180" t="s">
        <v>5777</v>
      </c>
      <c r="D180" t="s">
        <v>5778</v>
      </c>
      <c r="F180" t="s">
        <v>870</v>
      </c>
      <c r="G180">
        <v>3</v>
      </c>
      <c r="H180" s="3" t="s">
        <v>1845</v>
      </c>
      <c r="I180">
        <v>22230085</v>
      </c>
      <c r="J180" t="s">
        <v>5958</v>
      </c>
    </row>
    <row r="181" spans="1:10">
      <c r="A181" s="3">
        <f>SUBTOTAL(3,J$3:J181)</f>
        <v>179</v>
      </c>
      <c r="B181" s="3" t="s">
        <v>86</v>
      </c>
      <c r="C181" t="s">
        <v>5777</v>
      </c>
      <c r="D181" t="s">
        <v>5778</v>
      </c>
      <c r="F181" t="s">
        <v>5797</v>
      </c>
      <c r="G181">
        <v>3</v>
      </c>
      <c r="H181" s="3" t="s">
        <v>1845</v>
      </c>
      <c r="I181">
        <v>22230083</v>
      </c>
      <c r="J181" t="s">
        <v>5959</v>
      </c>
    </row>
    <row r="182" spans="1:10">
      <c r="A182" s="3">
        <f>SUBTOTAL(3,J$3:J182)</f>
        <v>180</v>
      </c>
      <c r="B182" s="3" t="s">
        <v>86</v>
      </c>
      <c r="C182" t="s">
        <v>5777</v>
      </c>
      <c r="D182" t="s">
        <v>5778</v>
      </c>
      <c r="F182" t="s">
        <v>5797</v>
      </c>
      <c r="G182">
        <v>3</v>
      </c>
      <c r="H182" s="3" t="s">
        <v>1845</v>
      </c>
      <c r="I182">
        <v>21220050</v>
      </c>
      <c r="J182" t="s">
        <v>5960</v>
      </c>
    </row>
    <row r="183" spans="1:10">
      <c r="A183" s="3">
        <f>SUBTOTAL(3,J$3:J183)</f>
        <v>181</v>
      </c>
      <c r="B183" s="3" t="s">
        <v>86</v>
      </c>
      <c r="C183" t="s">
        <v>5777</v>
      </c>
      <c r="D183" t="s">
        <v>5778</v>
      </c>
      <c r="F183" t="s">
        <v>870</v>
      </c>
      <c r="G183">
        <v>3</v>
      </c>
      <c r="H183" s="3" t="s">
        <v>1845</v>
      </c>
      <c r="I183">
        <v>23240125</v>
      </c>
      <c r="J183" t="s">
        <v>5961</v>
      </c>
    </row>
    <row r="184" spans="1:10">
      <c r="A184" s="3">
        <f>SUBTOTAL(3,J$3:J184)</f>
        <v>182</v>
      </c>
      <c r="B184" s="3" t="s">
        <v>86</v>
      </c>
      <c r="C184" t="s">
        <v>5777</v>
      </c>
      <c r="D184" t="s">
        <v>5778</v>
      </c>
      <c r="F184" t="s">
        <v>5797</v>
      </c>
      <c r="G184">
        <v>3</v>
      </c>
      <c r="H184" s="3" t="s">
        <v>1845</v>
      </c>
      <c r="I184">
        <v>22230032</v>
      </c>
      <c r="J184" t="s">
        <v>5962</v>
      </c>
    </row>
    <row r="185" spans="1:10">
      <c r="A185" s="3">
        <f>SUBTOTAL(3,J$3:J185)</f>
        <v>183</v>
      </c>
      <c r="B185" s="3" t="s">
        <v>86</v>
      </c>
      <c r="C185" t="s">
        <v>5777</v>
      </c>
      <c r="D185" t="s">
        <v>5778</v>
      </c>
      <c r="F185" t="s">
        <v>5797</v>
      </c>
      <c r="G185">
        <v>3</v>
      </c>
      <c r="H185" s="3" t="s">
        <v>1845</v>
      </c>
      <c r="I185">
        <v>22230070</v>
      </c>
      <c r="J185" t="s">
        <v>5963</v>
      </c>
    </row>
    <row r="186" spans="1:10">
      <c r="A186" s="3">
        <f>SUBTOTAL(3,J$3:J186)</f>
        <v>184</v>
      </c>
      <c r="B186" s="3" t="s">
        <v>86</v>
      </c>
      <c r="C186" t="s">
        <v>5777</v>
      </c>
      <c r="D186" t="s">
        <v>5778</v>
      </c>
      <c r="F186" t="s">
        <v>5797</v>
      </c>
      <c r="G186">
        <v>3</v>
      </c>
      <c r="H186" s="3" t="s">
        <v>1845</v>
      </c>
      <c r="I186">
        <v>22230171</v>
      </c>
      <c r="J186" t="s">
        <v>5964</v>
      </c>
    </row>
    <row r="187" spans="1:10">
      <c r="A187" s="3">
        <f>SUBTOTAL(3,J$3:J187)</f>
        <v>185</v>
      </c>
      <c r="B187" s="3" t="s">
        <v>86</v>
      </c>
      <c r="C187" t="s">
        <v>5777</v>
      </c>
      <c r="D187" t="s">
        <v>5778</v>
      </c>
      <c r="F187" t="s">
        <v>5797</v>
      </c>
      <c r="G187">
        <v>3</v>
      </c>
      <c r="H187" s="3" t="s">
        <v>1845</v>
      </c>
      <c r="I187">
        <v>22230066</v>
      </c>
      <c r="J187" t="s">
        <v>5965</v>
      </c>
    </row>
    <row r="188" spans="1:10">
      <c r="A188" s="3">
        <f>SUBTOTAL(3,J$3:J188)</f>
        <v>186</v>
      </c>
      <c r="B188" s="3" t="s">
        <v>86</v>
      </c>
      <c r="C188" t="s">
        <v>5777</v>
      </c>
      <c r="D188" t="s">
        <v>5778</v>
      </c>
      <c r="F188" t="s">
        <v>5797</v>
      </c>
      <c r="G188">
        <v>3</v>
      </c>
      <c r="H188" s="3" t="s">
        <v>1845</v>
      </c>
      <c r="I188">
        <v>22230158</v>
      </c>
      <c r="J188" t="s">
        <v>5966</v>
      </c>
    </row>
    <row r="189" spans="1:10">
      <c r="A189" s="3">
        <f>SUBTOTAL(3,J$3:J189)</f>
        <v>187</v>
      </c>
      <c r="B189" s="3" t="s">
        <v>86</v>
      </c>
      <c r="C189" t="s">
        <v>5777</v>
      </c>
      <c r="D189" t="s">
        <v>5778</v>
      </c>
      <c r="F189" t="s">
        <v>5797</v>
      </c>
      <c r="G189">
        <v>3</v>
      </c>
      <c r="H189" s="3" t="s">
        <v>1845</v>
      </c>
      <c r="I189">
        <v>21220044</v>
      </c>
      <c r="J189" t="s">
        <v>5967</v>
      </c>
    </row>
    <row r="190" spans="1:10">
      <c r="A190" s="3">
        <f>SUBTOTAL(3,J$3:J190)</f>
        <v>188</v>
      </c>
      <c r="B190" s="3" t="s">
        <v>86</v>
      </c>
      <c r="C190" t="s">
        <v>5777</v>
      </c>
      <c r="D190" t="s">
        <v>5778</v>
      </c>
      <c r="F190" t="s">
        <v>5797</v>
      </c>
      <c r="G190">
        <v>3</v>
      </c>
      <c r="H190" s="3" t="s">
        <v>2199</v>
      </c>
      <c r="I190">
        <v>22230126</v>
      </c>
      <c r="J190" t="s">
        <v>5968</v>
      </c>
    </row>
    <row r="191" spans="1:10">
      <c r="A191" s="3">
        <f>SUBTOTAL(3,J$3:J191)</f>
        <v>189</v>
      </c>
      <c r="B191" s="3" t="s">
        <v>86</v>
      </c>
      <c r="C191" t="s">
        <v>5777</v>
      </c>
      <c r="D191" t="s">
        <v>5778</v>
      </c>
      <c r="F191" t="s">
        <v>5797</v>
      </c>
      <c r="G191">
        <v>3</v>
      </c>
      <c r="H191" s="3" t="s">
        <v>2199</v>
      </c>
      <c r="I191">
        <v>22230123</v>
      </c>
      <c r="J191" t="s">
        <v>5969</v>
      </c>
    </row>
    <row r="192" spans="1:10">
      <c r="A192" s="3">
        <f>SUBTOTAL(3,J$3:J192)</f>
        <v>190</v>
      </c>
      <c r="B192" s="3" t="s">
        <v>86</v>
      </c>
      <c r="C192" t="s">
        <v>5777</v>
      </c>
      <c r="D192" t="s">
        <v>5778</v>
      </c>
      <c r="F192" t="s">
        <v>870</v>
      </c>
      <c r="G192">
        <v>3</v>
      </c>
      <c r="H192" s="3" t="s">
        <v>2199</v>
      </c>
      <c r="I192">
        <v>22230179</v>
      </c>
      <c r="J192" t="s">
        <v>5970</v>
      </c>
    </row>
    <row r="193" spans="1:10">
      <c r="A193" s="3">
        <f>SUBTOTAL(3,J$3:J193)</f>
        <v>191</v>
      </c>
      <c r="B193" s="3" t="s">
        <v>86</v>
      </c>
      <c r="C193" t="s">
        <v>5777</v>
      </c>
      <c r="D193" t="s">
        <v>5778</v>
      </c>
      <c r="F193" t="s">
        <v>5797</v>
      </c>
      <c r="G193">
        <v>3</v>
      </c>
      <c r="H193" s="3" t="s">
        <v>2199</v>
      </c>
      <c r="I193">
        <v>22230058</v>
      </c>
      <c r="J193" t="s">
        <v>5971</v>
      </c>
    </row>
    <row r="194" spans="1:10">
      <c r="A194" s="3">
        <f>SUBTOTAL(3,J$3:J194)</f>
        <v>192</v>
      </c>
      <c r="B194" s="3" t="s">
        <v>86</v>
      </c>
      <c r="C194" t="s">
        <v>5777</v>
      </c>
      <c r="D194" t="s">
        <v>5778</v>
      </c>
      <c r="F194" t="s">
        <v>5797</v>
      </c>
      <c r="G194">
        <v>3</v>
      </c>
      <c r="H194" s="3" t="s">
        <v>2199</v>
      </c>
      <c r="I194">
        <v>22230166</v>
      </c>
      <c r="J194" t="s">
        <v>5972</v>
      </c>
    </row>
    <row r="195" spans="1:10">
      <c r="A195" s="3">
        <f>SUBTOTAL(3,J$3:J195)</f>
        <v>193</v>
      </c>
      <c r="B195" s="3" t="s">
        <v>86</v>
      </c>
      <c r="C195" t="s">
        <v>5777</v>
      </c>
      <c r="D195" t="s">
        <v>5778</v>
      </c>
      <c r="F195" t="s">
        <v>5797</v>
      </c>
      <c r="G195">
        <v>3</v>
      </c>
      <c r="H195" s="3" t="s">
        <v>2199</v>
      </c>
      <c r="I195">
        <v>21220035</v>
      </c>
      <c r="J195" t="s">
        <v>5973</v>
      </c>
    </row>
    <row r="196" spans="1:10">
      <c r="A196" s="3">
        <f>SUBTOTAL(3,J$3:J196)</f>
        <v>194</v>
      </c>
      <c r="B196" s="3" t="s">
        <v>86</v>
      </c>
      <c r="C196" t="s">
        <v>5777</v>
      </c>
      <c r="D196" t="s">
        <v>5778</v>
      </c>
      <c r="F196" t="s">
        <v>5797</v>
      </c>
      <c r="G196">
        <v>3</v>
      </c>
      <c r="H196" s="3" t="s">
        <v>2199</v>
      </c>
      <c r="I196">
        <v>22230075</v>
      </c>
      <c r="J196" t="s">
        <v>5974</v>
      </c>
    </row>
    <row r="197" spans="1:10">
      <c r="A197" s="3">
        <f>SUBTOTAL(3,J$3:J197)</f>
        <v>195</v>
      </c>
      <c r="B197" s="3" t="s">
        <v>86</v>
      </c>
      <c r="C197" t="s">
        <v>5777</v>
      </c>
      <c r="D197" t="s">
        <v>5778</v>
      </c>
      <c r="F197" t="s">
        <v>5797</v>
      </c>
      <c r="G197">
        <v>3</v>
      </c>
      <c r="H197" s="3" t="s">
        <v>2199</v>
      </c>
      <c r="I197">
        <v>22230053</v>
      </c>
      <c r="J197" t="s">
        <v>5975</v>
      </c>
    </row>
    <row r="198" spans="1:10">
      <c r="A198" s="3">
        <f>SUBTOTAL(3,J$3:J198)</f>
        <v>196</v>
      </c>
      <c r="B198" s="3" t="s">
        <v>86</v>
      </c>
      <c r="C198" t="s">
        <v>5777</v>
      </c>
      <c r="D198" t="s">
        <v>5778</v>
      </c>
      <c r="F198" t="s">
        <v>5797</v>
      </c>
      <c r="G198">
        <v>3</v>
      </c>
      <c r="H198" s="3" t="s">
        <v>2199</v>
      </c>
      <c r="I198">
        <v>22230061</v>
      </c>
      <c r="J198" t="s">
        <v>5976</v>
      </c>
    </row>
    <row r="199" spans="1:10">
      <c r="A199" s="3">
        <f>SUBTOTAL(3,J$3:J199)</f>
        <v>197</v>
      </c>
      <c r="B199" s="3" t="s">
        <v>86</v>
      </c>
      <c r="C199" t="s">
        <v>5777</v>
      </c>
      <c r="D199" t="s">
        <v>5778</v>
      </c>
      <c r="F199" t="s">
        <v>5797</v>
      </c>
      <c r="G199">
        <v>3</v>
      </c>
      <c r="H199" s="3" t="s">
        <v>2199</v>
      </c>
      <c r="I199">
        <v>22230023</v>
      </c>
      <c r="J199" t="s">
        <v>5977</v>
      </c>
    </row>
    <row r="200" spans="1:10">
      <c r="A200" s="3">
        <f>SUBTOTAL(3,J$3:J200)</f>
        <v>198</v>
      </c>
      <c r="B200" s="3" t="s">
        <v>86</v>
      </c>
      <c r="C200" t="s">
        <v>5777</v>
      </c>
      <c r="D200" t="s">
        <v>5778</v>
      </c>
      <c r="F200" t="s">
        <v>5797</v>
      </c>
      <c r="G200">
        <v>3</v>
      </c>
      <c r="H200" s="3" t="s">
        <v>2199</v>
      </c>
      <c r="I200">
        <v>22230041</v>
      </c>
      <c r="J200" t="s">
        <v>5978</v>
      </c>
    </row>
    <row r="201" spans="1:10">
      <c r="A201" s="3">
        <f>SUBTOTAL(3,J$3:J201)</f>
        <v>199</v>
      </c>
      <c r="B201" s="3" t="s">
        <v>86</v>
      </c>
      <c r="C201" t="s">
        <v>5777</v>
      </c>
      <c r="D201" t="s">
        <v>5778</v>
      </c>
      <c r="F201" t="s">
        <v>5797</v>
      </c>
      <c r="G201">
        <v>3</v>
      </c>
      <c r="H201" s="3" t="s">
        <v>2199</v>
      </c>
      <c r="I201">
        <v>22230157</v>
      </c>
      <c r="J201" t="s">
        <v>5979</v>
      </c>
    </row>
    <row r="202" spans="1:10">
      <c r="A202" s="3">
        <f>SUBTOTAL(3,J$3:J202)</f>
        <v>200</v>
      </c>
      <c r="B202" s="3" t="s">
        <v>86</v>
      </c>
      <c r="C202" t="s">
        <v>5777</v>
      </c>
      <c r="D202" t="s">
        <v>5778</v>
      </c>
      <c r="F202" t="s">
        <v>5797</v>
      </c>
      <c r="G202">
        <v>3</v>
      </c>
      <c r="H202" s="3" t="s">
        <v>2199</v>
      </c>
      <c r="I202">
        <v>23240151</v>
      </c>
      <c r="J202" t="s">
        <v>5980</v>
      </c>
    </row>
    <row r="203" spans="1:10">
      <c r="A203" s="3">
        <f>SUBTOTAL(3,J$3:J203)</f>
        <v>201</v>
      </c>
      <c r="B203" s="3" t="s">
        <v>86</v>
      </c>
      <c r="C203" t="s">
        <v>5777</v>
      </c>
      <c r="D203" t="s">
        <v>5778</v>
      </c>
      <c r="F203" t="s">
        <v>5797</v>
      </c>
      <c r="G203">
        <v>3</v>
      </c>
      <c r="H203" s="3" t="s">
        <v>2199</v>
      </c>
      <c r="I203">
        <v>22230006</v>
      </c>
      <c r="J203" t="s">
        <v>5981</v>
      </c>
    </row>
    <row r="204" spans="1:10">
      <c r="A204" s="3">
        <f>SUBTOTAL(3,J$3:J204)</f>
        <v>202</v>
      </c>
      <c r="B204" s="3" t="s">
        <v>86</v>
      </c>
      <c r="C204" t="s">
        <v>5777</v>
      </c>
      <c r="D204" t="s">
        <v>5778</v>
      </c>
      <c r="F204" t="s">
        <v>5797</v>
      </c>
      <c r="G204">
        <v>3</v>
      </c>
      <c r="H204" s="3" t="s">
        <v>2199</v>
      </c>
      <c r="I204">
        <v>22230005</v>
      </c>
      <c r="J204" t="s">
        <v>5867</v>
      </c>
    </row>
    <row r="205" spans="1:10">
      <c r="A205" s="3">
        <f>SUBTOTAL(3,J$3:J205)</f>
        <v>203</v>
      </c>
      <c r="B205" s="3" t="s">
        <v>86</v>
      </c>
      <c r="C205" t="s">
        <v>5777</v>
      </c>
      <c r="D205" t="s">
        <v>5778</v>
      </c>
      <c r="F205" t="s">
        <v>5797</v>
      </c>
      <c r="G205">
        <v>3</v>
      </c>
      <c r="H205" s="3" t="s">
        <v>2199</v>
      </c>
      <c r="I205">
        <v>22230135</v>
      </c>
      <c r="J205" t="s">
        <v>5982</v>
      </c>
    </row>
    <row r="206" spans="1:10">
      <c r="A206" s="3">
        <f>SUBTOTAL(3,J$3:J206)</f>
        <v>204</v>
      </c>
      <c r="B206" s="3" t="s">
        <v>86</v>
      </c>
      <c r="C206" t="s">
        <v>5777</v>
      </c>
      <c r="D206" t="s">
        <v>5778</v>
      </c>
      <c r="F206" t="s">
        <v>5797</v>
      </c>
      <c r="G206">
        <v>3</v>
      </c>
      <c r="H206" s="3" t="s">
        <v>2199</v>
      </c>
      <c r="I206">
        <v>22230147</v>
      </c>
      <c r="J206" t="s">
        <v>5983</v>
      </c>
    </row>
    <row r="207" spans="1:10">
      <c r="A207" s="3">
        <f>SUBTOTAL(3,J$3:J207)</f>
        <v>205</v>
      </c>
      <c r="B207" s="3" t="s">
        <v>86</v>
      </c>
      <c r="C207" t="s">
        <v>5777</v>
      </c>
      <c r="D207" t="s">
        <v>5778</v>
      </c>
      <c r="F207" t="s">
        <v>5797</v>
      </c>
      <c r="G207">
        <v>3</v>
      </c>
      <c r="H207" s="3" t="s">
        <v>2199</v>
      </c>
      <c r="I207">
        <v>23240178</v>
      </c>
      <c r="J207" t="s">
        <v>5984</v>
      </c>
    </row>
    <row r="208" spans="1:10">
      <c r="A208" s="3">
        <f>SUBTOTAL(3,J$3:J208)</f>
        <v>206</v>
      </c>
      <c r="B208" s="3" t="s">
        <v>86</v>
      </c>
      <c r="C208" t="s">
        <v>5777</v>
      </c>
      <c r="D208" t="s">
        <v>5778</v>
      </c>
      <c r="F208" t="s">
        <v>5797</v>
      </c>
      <c r="G208">
        <v>3</v>
      </c>
      <c r="H208" s="3" t="s">
        <v>2199</v>
      </c>
      <c r="I208">
        <v>22230025</v>
      </c>
      <c r="J208" t="s">
        <v>5985</v>
      </c>
    </row>
    <row r="209" spans="1:10">
      <c r="A209" s="3">
        <f>SUBTOTAL(3,J$3:J209)</f>
        <v>207</v>
      </c>
      <c r="B209" s="3" t="s">
        <v>86</v>
      </c>
      <c r="C209" t="s">
        <v>5777</v>
      </c>
      <c r="D209" t="s">
        <v>5778</v>
      </c>
      <c r="F209" t="s">
        <v>5797</v>
      </c>
      <c r="G209">
        <v>3</v>
      </c>
      <c r="H209" s="3" t="s">
        <v>2199</v>
      </c>
      <c r="I209">
        <v>22230010</v>
      </c>
      <c r="J209" t="s">
        <v>5986</v>
      </c>
    </row>
    <row r="210" spans="1:10">
      <c r="A210" s="3">
        <f>SUBTOTAL(3,J$3:J210)</f>
        <v>208</v>
      </c>
      <c r="B210" s="3" t="s">
        <v>86</v>
      </c>
      <c r="C210" t="s">
        <v>5777</v>
      </c>
      <c r="D210" t="s">
        <v>5778</v>
      </c>
      <c r="F210" t="s">
        <v>5797</v>
      </c>
      <c r="G210">
        <v>3</v>
      </c>
      <c r="H210" s="3" t="s">
        <v>2199</v>
      </c>
      <c r="I210">
        <v>22230017</v>
      </c>
      <c r="J210" t="s">
        <v>5987</v>
      </c>
    </row>
    <row r="211" spans="1:10">
      <c r="A211" s="3">
        <f>SUBTOTAL(3,J$3:J211)</f>
        <v>209</v>
      </c>
      <c r="B211" s="3" t="s">
        <v>86</v>
      </c>
      <c r="C211" t="s">
        <v>5777</v>
      </c>
      <c r="D211" t="s">
        <v>5778</v>
      </c>
      <c r="F211" t="s">
        <v>5797</v>
      </c>
      <c r="G211">
        <v>3</v>
      </c>
      <c r="H211" s="3" t="s">
        <v>2199</v>
      </c>
      <c r="I211">
        <v>22230004</v>
      </c>
      <c r="J211" t="s">
        <v>5988</v>
      </c>
    </row>
    <row r="212" spans="1:10">
      <c r="A212" s="3">
        <f>SUBTOTAL(3,J$3:J212)</f>
        <v>210</v>
      </c>
      <c r="B212" s="3" t="s">
        <v>86</v>
      </c>
      <c r="C212" t="s">
        <v>5777</v>
      </c>
      <c r="D212" t="s">
        <v>5778</v>
      </c>
      <c r="F212" t="s">
        <v>5797</v>
      </c>
      <c r="G212">
        <v>3</v>
      </c>
      <c r="H212" s="3" t="s">
        <v>2199</v>
      </c>
      <c r="I212">
        <v>22230159</v>
      </c>
      <c r="J212" t="s">
        <v>5989</v>
      </c>
    </row>
    <row r="213" spans="1:10">
      <c r="A213" s="3">
        <f>SUBTOTAL(3,J$3:J213)</f>
        <v>211</v>
      </c>
      <c r="B213" s="3" t="s">
        <v>86</v>
      </c>
      <c r="C213" t="s">
        <v>5777</v>
      </c>
      <c r="D213" t="s">
        <v>5778</v>
      </c>
      <c r="F213" t="s">
        <v>5797</v>
      </c>
      <c r="G213">
        <v>3</v>
      </c>
      <c r="H213" s="3" t="s">
        <v>2199</v>
      </c>
      <c r="I213">
        <v>22230121</v>
      </c>
      <c r="J213" t="s">
        <v>5990</v>
      </c>
    </row>
    <row r="214" spans="1:10">
      <c r="A214" s="3">
        <f>SUBTOTAL(3,J$3:J214)</f>
        <v>212</v>
      </c>
      <c r="B214" s="3" t="s">
        <v>86</v>
      </c>
      <c r="C214" t="s">
        <v>5777</v>
      </c>
      <c r="D214" t="s">
        <v>5778</v>
      </c>
      <c r="F214" t="s">
        <v>5797</v>
      </c>
      <c r="G214">
        <v>3</v>
      </c>
      <c r="H214" s="3" t="s">
        <v>2199</v>
      </c>
      <c r="I214">
        <v>22230108</v>
      </c>
      <c r="J214" t="s">
        <v>5991</v>
      </c>
    </row>
    <row r="215" spans="1:10">
      <c r="A215" s="3">
        <f>SUBTOTAL(3,J$3:J215)</f>
        <v>213</v>
      </c>
      <c r="B215" s="3" t="s">
        <v>86</v>
      </c>
      <c r="C215" t="s">
        <v>5777</v>
      </c>
      <c r="D215" t="s">
        <v>5778</v>
      </c>
      <c r="F215" t="s">
        <v>5797</v>
      </c>
      <c r="G215">
        <v>3</v>
      </c>
      <c r="H215" s="3" t="s">
        <v>2199</v>
      </c>
      <c r="I215">
        <v>22230137</v>
      </c>
      <c r="J215" t="s">
        <v>5992</v>
      </c>
    </row>
    <row r="216" spans="1:10">
      <c r="A216" s="3">
        <f>SUBTOTAL(3,J$3:J216)</f>
        <v>214</v>
      </c>
      <c r="B216" s="3" t="s">
        <v>86</v>
      </c>
      <c r="C216" t="s">
        <v>5777</v>
      </c>
      <c r="D216" t="s">
        <v>5778</v>
      </c>
      <c r="F216" t="s">
        <v>5797</v>
      </c>
      <c r="G216">
        <v>3</v>
      </c>
      <c r="H216" s="3" t="s">
        <v>2199</v>
      </c>
      <c r="I216">
        <v>22230153</v>
      </c>
      <c r="J216" t="s">
        <v>5993</v>
      </c>
    </row>
    <row r="217" spans="1:10">
      <c r="A217" s="3">
        <f>SUBTOTAL(3,J$3:J217)</f>
        <v>215</v>
      </c>
      <c r="B217" s="3" t="s">
        <v>86</v>
      </c>
      <c r="C217" t="s">
        <v>5777</v>
      </c>
      <c r="D217" t="s">
        <v>5778</v>
      </c>
      <c r="F217" t="s">
        <v>5797</v>
      </c>
      <c r="G217">
        <v>3</v>
      </c>
      <c r="H217" s="3" t="s">
        <v>2199</v>
      </c>
      <c r="I217">
        <v>22230016</v>
      </c>
      <c r="J217" t="s">
        <v>5994</v>
      </c>
    </row>
    <row r="218" spans="1:10">
      <c r="A218" s="3">
        <f>SUBTOTAL(3,J$3:J218)</f>
        <v>216</v>
      </c>
      <c r="B218" s="3" t="s">
        <v>86</v>
      </c>
      <c r="C218" t="s">
        <v>5777</v>
      </c>
      <c r="D218" t="s">
        <v>5778</v>
      </c>
      <c r="F218" t="s">
        <v>5797</v>
      </c>
      <c r="G218">
        <v>3</v>
      </c>
      <c r="H218" s="3" t="s">
        <v>2199</v>
      </c>
      <c r="I218">
        <v>22230089</v>
      </c>
      <c r="J218" t="s">
        <v>5995</v>
      </c>
    </row>
    <row r="219" spans="1:10">
      <c r="A219" s="3">
        <f>SUBTOTAL(3,J$3:J219)</f>
        <v>217</v>
      </c>
      <c r="B219" s="3" t="s">
        <v>86</v>
      </c>
      <c r="C219" t="s">
        <v>5777</v>
      </c>
      <c r="D219" t="s">
        <v>5778</v>
      </c>
      <c r="F219" t="s">
        <v>5797</v>
      </c>
      <c r="G219">
        <v>3</v>
      </c>
      <c r="H219" s="3" t="s">
        <v>2199</v>
      </c>
      <c r="I219">
        <v>22230095</v>
      </c>
      <c r="J219" t="s">
        <v>5996</v>
      </c>
    </row>
    <row r="220" spans="1:10">
      <c r="A220" s="3">
        <f>SUBTOTAL(3,J$3:J220)</f>
        <v>218</v>
      </c>
      <c r="B220" s="3" t="s">
        <v>86</v>
      </c>
      <c r="C220" t="s">
        <v>5777</v>
      </c>
      <c r="D220" t="s">
        <v>5778</v>
      </c>
      <c r="F220" t="s">
        <v>5797</v>
      </c>
      <c r="G220">
        <v>3</v>
      </c>
      <c r="H220" s="3" t="s">
        <v>2199</v>
      </c>
      <c r="I220">
        <v>22230069</v>
      </c>
      <c r="J220" t="s">
        <v>5997</v>
      </c>
    </row>
    <row r="221" spans="1:10">
      <c r="A221" s="3">
        <f>SUBTOTAL(3,J$3:J221)</f>
        <v>219</v>
      </c>
      <c r="B221" s="3" t="s">
        <v>86</v>
      </c>
      <c r="C221" t="s">
        <v>5777</v>
      </c>
      <c r="D221" t="s">
        <v>5778</v>
      </c>
      <c r="F221" t="s">
        <v>5797</v>
      </c>
      <c r="G221">
        <v>3</v>
      </c>
      <c r="H221" s="3" t="s">
        <v>2199</v>
      </c>
      <c r="I221">
        <v>22230102</v>
      </c>
      <c r="J221" t="s">
        <v>5998</v>
      </c>
    </row>
    <row r="222" spans="1:10">
      <c r="A222" s="3">
        <f>SUBTOTAL(3,J$3:J222)</f>
        <v>220</v>
      </c>
      <c r="B222" s="3" t="s">
        <v>86</v>
      </c>
      <c r="C222" t="s">
        <v>5777</v>
      </c>
      <c r="D222" t="s">
        <v>5778</v>
      </c>
      <c r="F222" t="s">
        <v>5797</v>
      </c>
      <c r="G222">
        <v>3</v>
      </c>
      <c r="H222" s="3" t="s">
        <v>2199</v>
      </c>
      <c r="I222">
        <v>22230172</v>
      </c>
      <c r="J222" t="s">
        <v>5999</v>
      </c>
    </row>
    <row r="223" spans="1:10">
      <c r="A223" s="3">
        <f>SUBTOTAL(3,J$3:J223)</f>
        <v>221</v>
      </c>
      <c r="B223" s="3" t="s">
        <v>86</v>
      </c>
      <c r="C223" t="s">
        <v>5777</v>
      </c>
      <c r="D223" t="s">
        <v>5778</v>
      </c>
      <c r="F223" t="s">
        <v>5797</v>
      </c>
      <c r="G223">
        <v>3</v>
      </c>
      <c r="H223" s="3" t="s">
        <v>2199</v>
      </c>
      <c r="I223">
        <v>22230140</v>
      </c>
      <c r="J223" t="s">
        <v>6000</v>
      </c>
    </row>
    <row r="224" spans="1:10">
      <c r="A224" s="3">
        <f>SUBTOTAL(3,J$3:J224)</f>
        <v>222</v>
      </c>
      <c r="B224" s="3" t="s">
        <v>86</v>
      </c>
      <c r="C224" t="s">
        <v>5777</v>
      </c>
      <c r="D224" t="s">
        <v>5778</v>
      </c>
      <c r="F224" t="s">
        <v>5797</v>
      </c>
      <c r="G224">
        <v>4</v>
      </c>
      <c r="H224" s="3" t="s">
        <v>2512</v>
      </c>
      <c r="I224">
        <v>21220142</v>
      </c>
      <c r="J224" t="s">
        <v>6001</v>
      </c>
    </row>
    <row r="225" spans="1:10">
      <c r="A225" s="3">
        <f>SUBTOTAL(3,J$3:J225)</f>
        <v>223</v>
      </c>
      <c r="B225" s="3" t="s">
        <v>86</v>
      </c>
      <c r="C225" t="s">
        <v>5777</v>
      </c>
      <c r="D225" t="s">
        <v>5778</v>
      </c>
      <c r="F225" t="s">
        <v>5797</v>
      </c>
      <c r="G225">
        <v>4</v>
      </c>
      <c r="H225" s="3" t="s">
        <v>2512</v>
      </c>
      <c r="I225">
        <v>21220083</v>
      </c>
      <c r="J225" t="s">
        <v>6002</v>
      </c>
    </row>
    <row r="226" spans="1:10">
      <c r="A226" s="3">
        <f>SUBTOTAL(3,J$3:J226)</f>
        <v>224</v>
      </c>
      <c r="B226" s="3" t="s">
        <v>86</v>
      </c>
      <c r="C226" t="s">
        <v>5777</v>
      </c>
      <c r="D226" t="s">
        <v>5778</v>
      </c>
      <c r="F226" t="s">
        <v>870</v>
      </c>
      <c r="G226">
        <v>4</v>
      </c>
      <c r="H226" s="3" t="s">
        <v>2512</v>
      </c>
      <c r="I226">
        <v>21220103</v>
      </c>
      <c r="J226" t="s">
        <v>6003</v>
      </c>
    </row>
    <row r="227" spans="1:10">
      <c r="A227" s="3">
        <f>SUBTOTAL(3,J$3:J227)</f>
        <v>225</v>
      </c>
      <c r="B227" s="3" t="s">
        <v>86</v>
      </c>
      <c r="C227" t="s">
        <v>5777</v>
      </c>
      <c r="D227" t="s">
        <v>5778</v>
      </c>
      <c r="F227" t="s">
        <v>5797</v>
      </c>
      <c r="G227">
        <v>4</v>
      </c>
      <c r="H227" s="3" t="s">
        <v>2512</v>
      </c>
      <c r="I227">
        <v>21220135</v>
      </c>
      <c r="J227" t="s">
        <v>6004</v>
      </c>
    </row>
    <row r="228" spans="1:10">
      <c r="A228" s="3">
        <f>SUBTOTAL(3,J$3:J228)</f>
        <v>226</v>
      </c>
      <c r="B228" s="3" t="s">
        <v>86</v>
      </c>
      <c r="C228" t="s">
        <v>5777</v>
      </c>
      <c r="D228" t="s">
        <v>5778</v>
      </c>
      <c r="F228" t="s">
        <v>5797</v>
      </c>
      <c r="G228">
        <v>4</v>
      </c>
      <c r="H228" s="3" t="s">
        <v>2512</v>
      </c>
      <c r="I228">
        <v>20210146</v>
      </c>
      <c r="J228" t="s">
        <v>6005</v>
      </c>
    </row>
    <row r="229" spans="1:10">
      <c r="A229" s="3">
        <f>SUBTOTAL(3,J$3:J229)</f>
        <v>227</v>
      </c>
      <c r="B229" s="3" t="s">
        <v>86</v>
      </c>
      <c r="C229" t="s">
        <v>5777</v>
      </c>
      <c r="D229" t="s">
        <v>5778</v>
      </c>
      <c r="F229" t="s">
        <v>5797</v>
      </c>
      <c r="G229">
        <v>4</v>
      </c>
      <c r="H229" s="3" t="s">
        <v>2512</v>
      </c>
      <c r="I229">
        <v>20210130</v>
      </c>
      <c r="J229" t="s">
        <v>6006</v>
      </c>
    </row>
    <row r="230" spans="1:10">
      <c r="A230" s="3">
        <f>SUBTOTAL(3,J$3:J230)</f>
        <v>228</v>
      </c>
      <c r="B230" s="3" t="s">
        <v>86</v>
      </c>
      <c r="C230" t="s">
        <v>5777</v>
      </c>
      <c r="D230" t="s">
        <v>5778</v>
      </c>
      <c r="F230" t="s">
        <v>5797</v>
      </c>
      <c r="G230">
        <v>4</v>
      </c>
      <c r="H230" s="3" t="s">
        <v>2512</v>
      </c>
      <c r="I230">
        <v>20210212</v>
      </c>
      <c r="J230" t="s">
        <v>6007</v>
      </c>
    </row>
    <row r="231" spans="1:10">
      <c r="A231" s="3">
        <f>SUBTOTAL(3,J$3:J231)</f>
        <v>229</v>
      </c>
      <c r="B231" s="3" t="s">
        <v>86</v>
      </c>
      <c r="C231" t="s">
        <v>5777</v>
      </c>
      <c r="D231" t="s">
        <v>5778</v>
      </c>
      <c r="F231" t="s">
        <v>5797</v>
      </c>
      <c r="G231">
        <v>4</v>
      </c>
      <c r="H231" s="3" t="s">
        <v>2512</v>
      </c>
      <c r="I231">
        <v>20210134</v>
      </c>
      <c r="J231" t="s">
        <v>6008</v>
      </c>
    </row>
    <row r="232" spans="1:10">
      <c r="A232" s="3">
        <f>SUBTOTAL(3,J$3:J232)</f>
        <v>230</v>
      </c>
      <c r="B232" s="3" t="s">
        <v>86</v>
      </c>
      <c r="C232" t="s">
        <v>5777</v>
      </c>
      <c r="D232" t="s">
        <v>5778</v>
      </c>
      <c r="F232" t="s">
        <v>5797</v>
      </c>
      <c r="G232">
        <v>4</v>
      </c>
      <c r="H232" s="3" t="s">
        <v>2512</v>
      </c>
      <c r="I232">
        <v>20210161</v>
      </c>
      <c r="J232" t="s">
        <v>6009</v>
      </c>
    </row>
    <row r="233" spans="1:10">
      <c r="A233" s="3">
        <f>SUBTOTAL(3,J$3:J233)</f>
        <v>231</v>
      </c>
      <c r="B233" s="3" t="s">
        <v>86</v>
      </c>
      <c r="C233" t="s">
        <v>5777</v>
      </c>
      <c r="D233" t="s">
        <v>5778</v>
      </c>
      <c r="F233" t="s">
        <v>5797</v>
      </c>
      <c r="G233">
        <v>4</v>
      </c>
      <c r="H233" s="3" t="s">
        <v>2512</v>
      </c>
      <c r="I233">
        <v>21220027</v>
      </c>
      <c r="J233" t="s">
        <v>6010</v>
      </c>
    </row>
    <row r="234" spans="1:10">
      <c r="A234" s="3">
        <f>SUBTOTAL(3,J$3:J234)</f>
        <v>232</v>
      </c>
      <c r="B234" s="3" t="s">
        <v>86</v>
      </c>
      <c r="C234" t="s">
        <v>5777</v>
      </c>
      <c r="D234" t="s">
        <v>5778</v>
      </c>
      <c r="F234" t="s">
        <v>5797</v>
      </c>
      <c r="G234">
        <v>4</v>
      </c>
      <c r="H234" s="3" t="s">
        <v>2512</v>
      </c>
      <c r="I234">
        <v>20210195</v>
      </c>
      <c r="J234" t="s">
        <v>6011</v>
      </c>
    </row>
    <row r="235" spans="1:10">
      <c r="A235" s="3">
        <f>SUBTOTAL(3,J$3:J235)</f>
        <v>233</v>
      </c>
      <c r="B235" s="3" t="s">
        <v>86</v>
      </c>
      <c r="C235" t="s">
        <v>5777</v>
      </c>
      <c r="D235" t="s">
        <v>5778</v>
      </c>
      <c r="F235" t="s">
        <v>5797</v>
      </c>
      <c r="G235">
        <v>4</v>
      </c>
      <c r="H235" s="3" t="s">
        <v>2512</v>
      </c>
      <c r="I235">
        <v>20210174</v>
      </c>
      <c r="J235" t="s">
        <v>6012</v>
      </c>
    </row>
    <row r="236" spans="1:10">
      <c r="A236" s="3">
        <f>SUBTOTAL(3,J$3:J236)</f>
        <v>234</v>
      </c>
      <c r="B236" s="3" t="s">
        <v>86</v>
      </c>
      <c r="C236" t="s">
        <v>5777</v>
      </c>
      <c r="D236" t="s">
        <v>5778</v>
      </c>
      <c r="F236" t="s">
        <v>5797</v>
      </c>
      <c r="G236">
        <v>4</v>
      </c>
      <c r="H236" s="3" t="s">
        <v>2512</v>
      </c>
      <c r="I236">
        <v>20210204</v>
      </c>
      <c r="J236" t="s">
        <v>6013</v>
      </c>
    </row>
    <row r="237" spans="1:10">
      <c r="A237" s="3">
        <f>SUBTOTAL(3,J$3:J237)</f>
        <v>235</v>
      </c>
      <c r="B237" s="3" t="s">
        <v>86</v>
      </c>
      <c r="C237" t="s">
        <v>5777</v>
      </c>
      <c r="D237" t="s">
        <v>5778</v>
      </c>
      <c r="F237" t="s">
        <v>5797</v>
      </c>
      <c r="G237">
        <v>4</v>
      </c>
      <c r="H237" s="3" t="s">
        <v>2512</v>
      </c>
      <c r="I237">
        <v>20210139</v>
      </c>
      <c r="J237" t="s">
        <v>6014</v>
      </c>
    </row>
    <row r="238" spans="1:10">
      <c r="A238" s="3">
        <f>SUBTOTAL(3,J$3:J238)</f>
        <v>236</v>
      </c>
      <c r="B238" s="3" t="s">
        <v>86</v>
      </c>
      <c r="C238" t="s">
        <v>5777</v>
      </c>
      <c r="D238" t="s">
        <v>5778</v>
      </c>
      <c r="F238" t="s">
        <v>5797</v>
      </c>
      <c r="G238">
        <v>4</v>
      </c>
      <c r="H238" s="3" t="s">
        <v>2512</v>
      </c>
      <c r="I238">
        <v>21220059</v>
      </c>
      <c r="J238" t="s">
        <v>6015</v>
      </c>
    </row>
    <row r="239" spans="1:10">
      <c r="A239" s="3">
        <f>SUBTOTAL(3,J$3:J239)</f>
        <v>237</v>
      </c>
      <c r="B239" s="3" t="s">
        <v>86</v>
      </c>
      <c r="C239" t="s">
        <v>5777</v>
      </c>
      <c r="D239" t="s">
        <v>5778</v>
      </c>
      <c r="F239" t="s">
        <v>5797</v>
      </c>
      <c r="G239">
        <v>4</v>
      </c>
      <c r="H239" s="3" t="s">
        <v>2512</v>
      </c>
      <c r="I239">
        <v>20210149</v>
      </c>
      <c r="J239" t="s">
        <v>6016</v>
      </c>
    </row>
    <row r="240" spans="1:10">
      <c r="A240" s="3">
        <f>SUBTOTAL(3,J$3:J240)</f>
        <v>238</v>
      </c>
      <c r="B240" s="3" t="s">
        <v>86</v>
      </c>
      <c r="C240" t="s">
        <v>5777</v>
      </c>
      <c r="D240" t="s">
        <v>5778</v>
      </c>
      <c r="F240" t="s">
        <v>5797</v>
      </c>
      <c r="G240">
        <v>4</v>
      </c>
      <c r="H240" s="3" t="s">
        <v>2512</v>
      </c>
      <c r="I240">
        <v>20210148</v>
      </c>
      <c r="J240" t="s">
        <v>6017</v>
      </c>
    </row>
    <row r="241" spans="1:10">
      <c r="A241" s="3">
        <f>SUBTOTAL(3,J$3:J241)</f>
        <v>239</v>
      </c>
      <c r="B241" s="3" t="s">
        <v>86</v>
      </c>
      <c r="C241" t="s">
        <v>5777</v>
      </c>
      <c r="D241" t="s">
        <v>5778</v>
      </c>
      <c r="F241" t="s">
        <v>5797</v>
      </c>
      <c r="G241">
        <v>4</v>
      </c>
      <c r="H241" s="3" t="s">
        <v>2512</v>
      </c>
      <c r="I241">
        <v>21220147</v>
      </c>
      <c r="J241" t="s">
        <v>6018</v>
      </c>
    </row>
    <row r="242" spans="1:10">
      <c r="A242" s="3">
        <f>SUBTOTAL(3,J$3:J242)</f>
        <v>240</v>
      </c>
      <c r="B242" s="3" t="s">
        <v>86</v>
      </c>
      <c r="C242" t="s">
        <v>5777</v>
      </c>
      <c r="D242" t="s">
        <v>5778</v>
      </c>
      <c r="F242" t="s">
        <v>5797</v>
      </c>
      <c r="G242">
        <v>4</v>
      </c>
      <c r="H242" s="3" t="s">
        <v>2512</v>
      </c>
      <c r="I242">
        <v>20210177</v>
      </c>
      <c r="J242" t="s">
        <v>6019</v>
      </c>
    </row>
    <row r="243" spans="1:10">
      <c r="A243" s="3">
        <f>SUBTOTAL(3,J$3:J243)</f>
        <v>241</v>
      </c>
      <c r="B243" s="3" t="s">
        <v>86</v>
      </c>
      <c r="C243" t="s">
        <v>5777</v>
      </c>
      <c r="D243" t="s">
        <v>5778</v>
      </c>
      <c r="F243" t="s">
        <v>5797</v>
      </c>
      <c r="G243">
        <v>4</v>
      </c>
      <c r="H243" s="3" t="s">
        <v>2512</v>
      </c>
      <c r="I243">
        <v>21220136</v>
      </c>
      <c r="J243" t="s">
        <v>6020</v>
      </c>
    </row>
    <row r="244" spans="1:10">
      <c r="A244" s="3">
        <f>SUBTOTAL(3,J$3:J244)</f>
        <v>242</v>
      </c>
      <c r="B244" s="3" t="s">
        <v>86</v>
      </c>
      <c r="C244" t="s">
        <v>5777</v>
      </c>
      <c r="D244" t="s">
        <v>5778</v>
      </c>
      <c r="F244" t="s">
        <v>5797</v>
      </c>
      <c r="G244">
        <v>4</v>
      </c>
      <c r="H244" s="3" t="s">
        <v>2512</v>
      </c>
      <c r="I244">
        <v>20210187</v>
      </c>
      <c r="J244" t="s">
        <v>6021</v>
      </c>
    </row>
    <row r="245" spans="1:10">
      <c r="A245" s="3">
        <f>SUBTOTAL(3,J$3:J245)</f>
        <v>243</v>
      </c>
      <c r="B245" s="3" t="s">
        <v>86</v>
      </c>
      <c r="C245" t="s">
        <v>5777</v>
      </c>
      <c r="D245" t="s">
        <v>5778</v>
      </c>
      <c r="F245" t="s">
        <v>5797</v>
      </c>
      <c r="G245">
        <v>4</v>
      </c>
      <c r="H245" s="3" t="s">
        <v>2512</v>
      </c>
      <c r="I245">
        <v>20210132</v>
      </c>
      <c r="J245" t="s">
        <v>6022</v>
      </c>
    </row>
    <row r="246" spans="1:10">
      <c r="A246" s="3">
        <f>SUBTOTAL(3,J$3:J246)</f>
        <v>244</v>
      </c>
      <c r="B246" s="3" t="s">
        <v>86</v>
      </c>
      <c r="C246" t="s">
        <v>5777</v>
      </c>
      <c r="D246" t="s">
        <v>5778</v>
      </c>
      <c r="F246" t="s">
        <v>5797</v>
      </c>
      <c r="G246">
        <v>4</v>
      </c>
      <c r="H246" s="3" t="s">
        <v>2512</v>
      </c>
      <c r="I246">
        <v>20210227</v>
      </c>
      <c r="J246" t="s">
        <v>6023</v>
      </c>
    </row>
    <row r="247" spans="1:10">
      <c r="A247" s="3">
        <f>SUBTOTAL(3,J$3:J247)</f>
        <v>245</v>
      </c>
      <c r="B247" s="3" t="s">
        <v>86</v>
      </c>
      <c r="C247" t="s">
        <v>5777</v>
      </c>
      <c r="D247" t="s">
        <v>5778</v>
      </c>
      <c r="F247" t="s">
        <v>5797</v>
      </c>
      <c r="G247">
        <v>4</v>
      </c>
      <c r="H247" s="3" t="s">
        <v>2512</v>
      </c>
      <c r="I247">
        <v>20210234</v>
      </c>
      <c r="J247" t="s">
        <v>6024</v>
      </c>
    </row>
    <row r="248" spans="1:10">
      <c r="A248" s="3">
        <f>SUBTOTAL(3,J$3:J248)</f>
        <v>246</v>
      </c>
      <c r="B248" s="3" t="s">
        <v>86</v>
      </c>
      <c r="C248" t="s">
        <v>5777</v>
      </c>
      <c r="D248" t="s">
        <v>5778</v>
      </c>
      <c r="F248" t="s">
        <v>5797</v>
      </c>
      <c r="G248">
        <v>4</v>
      </c>
      <c r="H248" s="3" t="s">
        <v>2512</v>
      </c>
      <c r="I248">
        <v>21220155</v>
      </c>
      <c r="J248" t="s">
        <v>6025</v>
      </c>
    </row>
    <row r="249" spans="1:10">
      <c r="A249" s="3">
        <f>SUBTOTAL(3,J$3:J249)</f>
        <v>247</v>
      </c>
      <c r="B249" s="3" t="s">
        <v>86</v>
      </c>
      <c r="C249" t="s">
        <v>5777</v>
      </c>
      <c r="D249" t="s">
        <v>5778</v>
      </c>
      <c r="F249" t="s">
        <v>5797</v>
      </c>
      <c r="G249">
        <v>4</v>
      </c>
      <c r="H249" s="3" t="s">
        <v>2512</v>
      </c>
      <c r="I249">
        <v>21220072</v>
      </c>
      <c r="J249" t="s">
        <v>6026</v>
      </c>
    </row>
    <row r="250" spans="1:10">
      <c r="A250" s="3">
        <f>SUBTOTAL(3,J$3:J250)</f>
        <v>248</v>
      </c>
      <c r="B250" s="3" t="s">
        <v>86</v>
      </c>
      <c r="C250" t="s">
        <v>5777</v>
      </c>
      <c r="D250" t="s">
        <v>5778</v>
      </c>
      <c r="F250" t="s">
        <v>5797</v>
      </c>
      <c r="G250">
        <v>4</v>
      </c>
      <c r="H250" s="3" t="s">
        <v>2512</v>
      </c>
      <c r="I250">
        <v>23240095</v>
      </c>
      <c r="J250" t="s">
        <v>6027</v>
      </c>
    </row>
    <row r="251" spans="1:10">
      <c r="A251" s="3">
        <f>SUBTOTAL(3,J$3:J251)</f>
        <v>249</v>
      </c>
      <c r="B251" s="3" t="s">
        <v>86</v>
      </c>
      <c r="C251" t="s">
        <v>5777</v>
      </c>
      <c r="D251" t="s">
        <v>5778</v>
      </c>
      <c r="F251" t="s">
        <v>5797</v>
      </c>
      <c r="G251">
        <v>4</v>
      </c>
      <c r="H251" s="3" t="s">
        <v>2512</v>
      </c>
      <c r="I251">
        <v>21220040</v>
      </c>
      <c r="J251" t="s">
        <v>6028</v>
      </c>
    </row>
    <row r="252" spans="1:10">
      <c r="A252" s="3">
        <f>SUBTOTAL(3,J$3:J252)</f>
        <v>250</v>
      </c>
      <c r="B252" s="3" t="s">
        <v>86</v>
      </c>
      <c r="C252" t="s">
        <v>5777</v>
      </c>
      <c r="D252" t="s">
        <v>5778</v>
      </c>
      <c r="F252" t="s">
        <v>5797</v>
      </c>
      <c r="G252">
        <v>4</v>
      </c>
      <c r="H252" s="3" t="s">
        <v>2512</v>
      </c>
      <c r="I252">
        <v>20210180</v>
      </c>
      <c r="J252" t="s">
        <v>6029</v>
      </c>
    </row>
    <row r="253" spans="1:10">
      <c r="A253" s="3">
        <f>SUBTOTAL(3,J$3:J253)</f>
        <v>251</v>
      </c>
      <c r="B253" s="3" t="s">
        <v>86</v>
      </c>
      <c r="C253" t="s">
        <v>5777</v>
      </c>
      <c r="D253" t="s">
        <v>5778</v>
      </c>
      <c r="F253" t="s">
        <v>5797</v>
      </c>
      <c r="G253">
        <v>4</v>
      </c>
      <c r="H253" s="3" t="s">
        <v>2512</v>
      </c>
      <c r="I253">
        <v>21220028</v>
      </c>
      <c r="J253" t="s">
        <v>6030</v>
      </c>
    </row>
    <row r="254" spans="1:10">
      <c r="A254" s="3">
        <f>SUBTOTAL(3,J$3:J254)</f>
        <v>252</v>
      </c>
      <c r="B254" s="3" t="s">
        <v>86</v>
      </c>
      <c r="C254" t="s">
        <v>5777</v>
      </c>
      <c r="D254" t="s">
        <v>5778</v>
      </c>
      <c r="F254" t="s">
        <v>5797</v>
      </c>
      <c r="G254">
        <v>4</v>
      </c>
      <c r="H254" s="3" t="s">
        <v>2512</v>
      </c>
      <c r="I254">
        <v>20210213</v>
      </c>
      <c r="J254" t="s">
        <v>6031</v>
      </c>
    </row>
    <row r="255" spans="1:10">
      <c r="A255" s="3">
        <f>SUBTOTAL(3,J$3:J255)</f>
        <v>253</v>
      </c>
      <c r="B255" s="3" t="s">
        <v>86</v>
      </c>
      <c r="C255" t="s">
        <v>5777</v>
      </c>
      <c r="D255" t="s">
        <v>5778</v>
      </c>
      <c r="F255" t="s">
        <v>5797</v>
      </c>
      <c r="G255">
        <v>4</v>
      </c>
      <c r="H255" s="3" t="s">
        <v>2512</v>
      </c>
      <c r="I255">
        <v>20210238</v>
      </c>
      <c r="J255" t="s">
        <v>6032</v>
      </c>
    </row>
    <row r="256" spans="1:10">
      <c r="A256" s="3">
        <f>SUBTOTAL(3,J$3:J256)</f>
        <v>254</v>
      </c>
      <c r="B256" s="3" t="s">
        <v>86</v>
      </c>
      <c r="C256" t="s">
        <v>5777</v>
      </c>
      <c r="D256" t="s">
        <v>5778</v>
      </c>
      <c r="F256" t="s">
        <v>5797</v>
      </c>
      <c r="G256">
        <v>4</v>
      </c>
      <c r="H256" s="3" t="s">
        <v>2512</v>
      </c>
      <c r="I256">
        <v>20210127</v>
      </c>
      <c r="J256" t="s">
        <v>5961</v>
      </c>
    </row>
    <row r="257" spans="1:10">
      <c r="A257" s="3">
        <f>SUBTOTAL(3,J$3:J257)</f>
        <v>255</v>
      </c>
      <c r="B257" s="3" t="s">
        <v>86</v>
      </c>
      <c r="C257" t="s">
        <v>5777</v>
      </c>
      <c r="D257" t="s">
        <v>5778</v>
      </c>
      <c r="F257" t="s">
        <v>5797</v>
      </c>
      <c r="G257">
        <v>4</v>
      </c>
      <c r="H257" s="3" t="s">
        <v>2512</v>
      </c>
      <c r="I257">
        <v>21220037</v>
      </c>
      <c r="J257" t="s">
        <v>6033</v>
      </c>
    </row>
    <row r="258" spans="1:10">
      <c r="A258" s="3">
        <f>SUBTOTAL(3,J$3:J258)</f>
        <v>256</v>
      </c>
      <c r="B258" s="3" t="s">
        <v>86</v>
      </c>
      <c r="C258" t="s">
        <v>5777</v>
      </c>
      <c r="D258" t="s">
        <v>5778</v>
      </c>
      <c r="F258" t="s">
        <v>5797</v>
      </c>
      <c r="G258">
        <v>4</v>
      </c>
      <c r="H258" s="3" t="s">
        <v>2512</v>
      </c>
      <c r="I258">
        <v>21220041</v>
      </c>
      <c r="J258" t="s">
        <v>6034</v>
      </c>
    </row>
    <row r="259" spans="1:10">
      <c r="A259" s="3">
        <f>SUBTOTAL(3,J$3:J259)</f>
        <v>257</v>
      </c>
      <c r="B259" s="3" t="s">
        <v>86</v>
      </c>
      <c r="C259" t="s">
        <v>5777</v>
      </c>
      <c r="D259" t="s">
        <v>5778</v>
      </c>
      <c r="F259" t="s">
        <v>5797</v>
      </c>
      <c r="G259">
        <v>4</v>
      </c>
      <c r="H259" s="3" t="s">
        <v>2512</v>
      </c>
      <c r="I259">
        <v>20210175</v>
      </c>
      <c r="J259" t="s">
        <v>6035</v>
      </c>
    </row>
    <row r="260" spans="1:10">
      <c r="A260" s="3">
        <f>SUBTOTAL(3,J$3:J260)</f>
        <v>258</v>
      </c>
      <c r="B260" s="3" t="s">
        <v>86</v>
      </c>
      <c r="C260" t="s">
        <v>5777</v>
      </c>
      <c r="D260" t="s">
        <v>5778</v>
      </c>
      <c r="F260" t="s">
        <v>5797</v>
      </c>
      <c r="G260">
        <v>4</v>
      </c>
      <c r="H260" s="3" t="s">
        <v>2512</v>
      </c>
      <c r="I260">
        <v>21220053</v>
      </c>
      <c r="J260" t="s">
        <v>6036</v>
      </c>
    </row>
    <row r="261" spans="1:10">
      <c r="A261" s="3">
        <f>SUBTOTAL(3,J$3:J261)</f>
        <v>259</v>
      </c>
      <c r="B261" s="3" t="s">
        <v>86</v>
      </c>
      <c r="C261" t="s">
        <v>5777</v>
      </c>
      <c r="D261" t="s">
        <v>5778</v>
      </c>
      <c r="F261" t="s">
        <v>5797</v>
      </c>
      <c r="G261">
        <v>4</v>
      </c>
      <c r="H261" s="3" t="s">
        <v>2512</v>
      </c>
      <c r="I261">
        <v>21220074</v>
      </c>
      <c r="J261" t="s">
        <v>6037</v>
      </c>
    </row>
    <row r="262" spans="1:10">
      <c r="A262" s="3">
        <f>SUBTOTAL(3,J$3:J262)</f>
        <v>260</v>
      </c>
      <c r="B262" s="3" t="s">
        <v>86</v>
      </c>
      <c r="C262" t="s">
        <v>5777</v>
      </c>
      <c r="D262" t="s">
        <v>5778</v>
      </c>
      <c r="F262" t="s">
        <v>5797</v>
      </c>
      <c r="G262">
        <v>4</v>
      </c>
      <c r="H262" s="3" t="s">
        <v>2512</v>
      </c>
      <c r="I262">
        <v>20210209</v>
      </c>
      <c r="J262" t="s">
        <v>6038</v>
      </c>
    </row>
    <row r="263" spans="1:10">
      <c r="A263" s="3">
        <f>SUBTOTAL(3,J$3:J263)</f>
        <v>261</v>
      </c>
      <c r="B263" s="3" t="s">
        <v>86</v>
      </c>
      <c r="C263" t="s">
        <v>5777</v>
      </c>
      <c r="D263" t="s">
        <v>5778</v>
      </c>
      <c r="F263" t="s">
        <v>5797</v>
      </c>
      <c r="G263">
        <v>4</v>
      </c>
      <c r="H263" s="3" t="s">
        <v>2512</v>
      </c>
      <c r="I263">
        <v>21220026</v>
      </c>
      <c r="J263" t="s">
        <v>6039</v>
      </c>
    </row>
    <row r="264" spans="1:10">
      <c r="A264" s="3">
        <f>SUBTOTAL(3,J$3:J264)</f>
        <v>262</v>
      </c>
      <c r="B264" s="3" t="s">
        <v>86</v>
      </c>
      <c r="C264" t="s">
        <v>5777</v>
      </c>
      <c r="D264" t="s">
        <v>5778</v>
      </c>
      <c r="F264" t="s">
        <v>5797</v>
      </c>
      <c r="G264">
        <v>4</v>
      </c>
      <c r="H264" s="3" t="s">
        <v>2512</v>
      </c>
      <c r="I264">
        <v>20210140</v>
      </c>
      <c r="J264" t="s">
        <v>6040</v>
      </c>
    </row>
    <row r="265" spans="1:10">
      <c r="A265" s="3">
        <f>SUBTOTAL(3,J$3:J265)</f>
        <v>263</v>
      </c>
      <c r="B265" s="3" t="s">
        <v>86</v>
      </c>
      <c r="C265" t="s">
        <v>5777</v>
      </c>
      <c r="D265" t="s">
        <v>5778</v>
      </c>
      <c r="F265" t="s">
        <v>5797</v>
      </c>
      <c r="G265">
        <v>4</v>
      </c>
      <c r="H265" s="3" t="s">
        <v>2925</v>
      </c>
      <c r="I265">
        <v>21220157</v>
      </c>
      <c r="J265" t="s">
        <v>6041</v>
      </c>
    </row>
    <row r="266" spans="1:10">
      <c r="A266" s="3">
        <f>SUBTOTAL(3,J$3:J266)</f>
        <v>264</v>
      </c>
      <c r="B266" s="3" t="s">
        <v>86</v>
      </c>
      <c r="C266" t="s">
        <v>5777</v>
      </c>
      <c r="D266" t="s">
        <v>5778</v>
      </c>
      <c r="F266" t="s">
        <v>5797</v>
      </c>
      <c r="G266">
        <v>4</v>
      </c>
      <c r="H266" s="3" t="s">
        <v>2925</v>
      </c>
      <c r="I266">
        <v>21220143</v>
      </c>
      <c r="J266" t="s">
        <v>6042</v>
      </c>
    </row>
    <row r="267" spans="1:10">
      <c r="A267" s="3">
        <f>SUBTOTAL(3,J$3:J267)</f>
        <v>265</v>
      </c>
      <c r="B267" s="3" t="s">
        <v>86</v>
      </c>
      <c r="C267" t="s">
        <v>5777</v>
      </c>
      <c r="D267" t="s">
        <v>5778</v>
      </c>
      <c r="F267" t="s">
        <v>5797</v>
      </c>
      <c r="G267">
        <v>4</v>
      </c>
      <c r="H267" s="3" t="s">
        <v>2925</v>
      </c>
      <c r="I267">
        <v>20210260</v>
      </c>
      <c r="J267" t="s">
        <v>6043</v>
      </c>
    </row>
    <row r="268" spans="1:10">
      <c r="A268" s="3">
        <f>SUBTOTAL(3,J$3:J268)</f>
        <v>266</v>
      </c>
      <c r="B268" s="3" t="s">
        <v>86</v>
      </c>
      <c r="C268" t="s">
        <v>5777</v>
      </c>
      <c r="D268" t="s">
        <v>5778</v>
      </c>
      <c r="F268" t="s">
        <v>5797</v>
      </c>
      <c r="G268">
        <v>4</v>
      </c>
      <c r="H268" s="3" t="s">
        <v>2925</v>
      </c>
      <c r="I268">
        <v>21220046</v>
      </c>
      <c r="J268" t="s">
        <v>6044</v>
      </c>
    </row>
    <row r="269" spans="1:10">
      <c r="A269" s="3">
        <f>SUBTOTAL(3,J$3:J269)</f>
        <v>267</v>
      </c>
      <c r="B269" s="3" t="s">
        <v>86</v>
      </c>
      <c r="C269" t="s">
        <v>5777</v>
      </c>
      <c r="D269" t="s">
        <v>5778</v>
      </c>
      <c r="F269" t="s">
        <v>5797</v>
      </c>
      <c r="G269">
        <v>4</v>
      </c>
      <c r="H269" s="3" t="s">
        <v>2925</v>
      </c>
      <c r="I269">
        <v>20210194</v>
      </c>
      <c r="J269" t="s">
        <v>6045</v>
      </c>
    </row>
    <row r="270" spans="1:10">
      <c r="A270" s="3">
        <f>SUBTOTAL(3,J$3:J270)</f>
        <v>268</v>
      </c>
      <c r="B270" s="3" t="s">
        <v>86</v>
      </c>
      <c r="C270" t="s">
        <v>5777</v>
      </c>
      <c r="D270" t="s">
        <v>5778</v>
      </c>
      <c r="F270" t="s">
        <v>5797</v>
      </c>
      <c r="G270">
        <v>4</v>
      </c>
      <c r="H270" s="3" t="s">
        <v>2925</v>
      </c>
      <c r="I270">
        <v>20210185</v>
      </c>
      <c r="J270" t="s">
        <v>6046</v>
      </c>
    </row>
    <row r="271" spans="1:10">
      <c r="A271" s="3">
        <f>SUBTOTAL(3,J$3:J271)</f>
        <v>269</v>
      </c>
      <c r="B271" s="3" t="s">
        <v>86</v>
      </c>
      <c r="C271" t="s">
        <v>5777</v>
      </c>
      <c r="D271" t="s">
        <v>5778</v>
      </c>
      <c r="F271" t="s">
        <v>5797</v>
      </c>
      <c r="G271">
        <v>4</v>
      </c>
      <c r="H271" s="3" t="s">
        <v>2925</v>
      </c>
      <c r="I271">
        <v>21220042</v>
      </c>
      <c r="J271" t="s">
        <v>6047</v>
      </c>
    </row>
    <row r="272" spans="1:10">
      <c r="A272" s="3">
        <f>SUBTOTAL(3,J$3:J272)</f>
        <v>270</v>
      </c>
      <c r="B272" s="3" t="s">
        <v>86</v>
      </c>
      <c r="C272" t="s">
        <v>5777</v>
      </c>
      <c r="D272" t="s">
        <v>5778</v>
      </c>
      <c r="F272" t="s">
        <v>870</v>
      </c>
      <c r="G272">
        <v>4</v>
      </c>
      <c r="H272" s="3" t="s">
        <v>2925</v>
      </c>
      <c r="I272">
        <v>21220145</v>
      </c>
      <c r="J272" t="s">
        <v>6048</v>
      </c>
    </row>
    <row r="273" spans="1:10">
      <c r="A273" s="3">
        <f>SUBTOTAL(3,J$3:J273)</f>
        <v>271</v>
      </c>
      <c r="B273" s="3" t="s">
        <v>86</v>
      </c>
      <c r="C273" t="s">
        <v>5777</v>
      </c>
      <c r="D273" t="s">
        <v>5778</v>
      </c>
      <c r="F273" t="s">
        <v>5797</v>
      </c>
      <c r="G273">
        <v>4</v>
      </c>
      <c r="H273" s="3" t="s">
        <v>2925</v>
      </c>
      <c r="I273">
        <v>21220055</v>
      </c>
      <c r="J273" t="s">
        <v>6049</v>
      </c>
    </row>
    <row r="274" spans="1:10">
      <c r="A274" s="3">
        <f>SUBTOTAL(3,J$3:J274)</f>
        <v>272</v>
      </c>
      <c r="B274" s="3" t="s">
        <v>86</v>
      </c>
      <c r="C274" t="s">
        <v>5777</v>
      </c>
      <c r="D274" t="s">
        <v>5778</v>
      </c>
      <c r="F274" t="s">
        <v>5797</v>
      </c>
      <c r="G274">
        <v>4</v>
      </c>
      <c r="H274" s="3" t="s">
        <v>2925</v>
      </c>
      <c r="I274">
        <v>20210156</v>
      </c>
      <c r="J274" t="s">
        <v>6050</v>
      </c>
    </row>
    <row r="275" spans="1:10">
      <c r="A275" s="3">
        <f>SUBTOTAL(3,J$3:J275)</f>
        <v>273</v>
      </c>
      <c r="B275" s="3" t="s">
        <v>86</v>
      </c>
      <c r="C275" t="s">
        <v>5777</v>
      </c>
      <c r="D275" t="s">
        <v>5778</v>
      </c>
      <c r="F275" t="s">
        <v>5797</v>
      </c>
      <c r="G275">
        <v>4</v>
      </c>
      <c r="H275" s="3" t="s">
        <v>2925</v>
      </c>
      <c r="I275">
        <v>20210138</v>
      </c>
      <c r="J275" t="s">
        <v>6051</v>
      </c>
    </row>
    <row r="276" spans="1:10">
      <c r="A276" s="3">
        <f>SUBTOTAL(3,J$3:J276)</f>
        <v>274</v>
      </c>
      <c r="B276" s="3" t="s">
        <v>86</v>
      </c>
      <c r="C276" t="s">
        <v>5777</v>
      </c>
      <c r="D276" t="s">
        <v>5778</v>
      </c>
      <c r="F276" t="s">
        <v>5797</v>
      </c>
      <c r="G276">
        <v>4</v>
      </c>
      <c r="H276" s="3" t="s">
        <v>2925</v>
      </c>
      <c r="I276">
        <v>21220073</v>
      </c>
      <c r="J276" t="s">
        <v>6052</v>
      </c>
    </row>
    <row r="277" spans="1:10">
      <c r="A277" s="3">
        <f>SUBTOTAL(3,J$3:J277)</f>
        <v>275</v>
      </c>
      <c r="B277" s="3" t="s">
        <v>86</v>
      </c>
      <c r="C277" t="s">
        <v>5777</v>
      </c>
      <c r="D277" t="s">
        <v>5778</v>
      </c>
      <c r="F277" t="s">
        <v>5797</v>
      </c>
      <c r="G277">
        <v>4</v>
      </c>
      <c r="H277" s="3" t="s">
        <v>2925</v>
      </c>
      <c r="I277">
        <v>21220034</v>
      </c>
      <c r="J277" t="s">
        <v>6053</v>
      </c>
    </row>
    <row r="278" spans="1:10">
      <c r="A278" s="3">
        <f>SUBTOTAL(3,J$3:J278)</f>
        <v>276</v>
      </c>
      <c r="B278" s="3" t="s">
        <v>86</v>
      </c>
      <c r="C278" t="s">
        <v>5777</v>
      </c>
      <c r="D278" t="s">
        <v>5778</v>
      </c>
      <c r="F278" t="s">
        <v>5797</v>
      </c>
      <c r="G278">
        <v>4</v>
      </c>
      <c r="H278" s="3" t="s">
        <v>2925</v>
      </c>
      <c r="I278">
        <v>20210123</v>
      </c>
      <c r="J278" t="s">
        <v>6054</v>
      </c>
    </row>
    <row r="279" spans="1:10">
      <c r="A279" s="3">
        <f>SUBTOTAL(3,J$3:J279)</f>
        <v>277</v>
      </c>
      <c r="B279" s="3" t="s">
        <v>86</v>
      </c>
      <c r="C279" t="s">
        <v>5777</v>
      </c>
      <c r="D279" t="s">
        <v>5778</v>
      </c>
      <c r="F279" t="s">
        <v>5797</v>
      </c>
      <c r="G279">
        <v>4</v>
      </c>
      <c r="H279" s="3" t="s">
        <v>2925</v>
      </c>
      <c r="I279">
        <v>21220076</v>
      </c>
      <c r="J279" t="s">
        <v>6055</v>
      </c>
    </row>
    <row r="280" spans="1:10">
      <c r="A280" s="3">
        <f>SUBTOTAL(3,J$3:J280)</f>
        <v>278</v>
      </c>
      <c r="B280" s="3" t="s">
        <v>86</v>
      </c>
      <c r="C280" t="s">
        <v>5777</v>
      </c>
      <c r="D280" t="s">
        <v>5778</v>
      </c>
      <c r="F280" t="s">
        <v>870</v>
      </c>
      <c r="G280">
        <v>4</v>
      </c>
      <c r="H280" s="3" t="s">
        <v>2925</v>
      </c>
      <c r="I280">
        <v>21220159</v>
      </c>
      <c r="J280" t="s">
        <v>6056</v>
      </c>
    </row>
    <row r="281" spans="1:10">
      <c r="A281" s="3">
        <f>SUBTOTAL(3,J$3:J281)</f>
        <v>279</v>
      </c>
      <c r="B281" s="3" t="s">
        <v>86</v>
      </c>
      <c r="C281" t="s">
        <v>5777</v>
      </c>
      <c r="D281" t="s">
        <v>5778</v>
      </c>
      <c r="F281" t="s">
        <v>5797</v>
      </c>
      <c r="G281">
        <v>4</v>
      </c>
      <c r="H281" s="3" t="s">
        <v>2925</v>
      </c>
      <c r="I281">
        <v>21220080</v>
      </c>
      <c r="J281" t="s">
        <v>6057</v>
      </c>
    </row>
    <row r="282" spans="1:10">
      <c r="A282" s="3">
        <f>SUBTOTAL(3,J$3:J282)</f>
        <v>280</v>
      </c>
      <c r="B282" s="3" t="s">
        <v>86</v>
      </c>
      <c r="C282" t="s">
        <v>5777</v>
      </c>
      <c r="D282" t="s">
        <v>5778</v>
      </c>
      <c r="F282" t="s">
        <v>5797</v>
      </c>
      <c r="G282">
        <v>4</v>
      </c>
      <c r="H282" s="3" t="s">
        <v>2925</v>
      </c>
      <c r="I282">
        <v>21220057</v>
      </c>
      <c r="J282" t="s">
        <v>6058</v>
      </c>
    </row>
    <row r="283" spans="1:10">
      <c r="A283" s="3">
        <f>SUBTOTAL(3,J$3:J283)</f>
        <v>281</v>
      </c>
      <c r="B283" s="3" t="s">
        <v>86</v>
      </c>
      <c r="C283" t="s">
        <v>5777</v>
      </c>
      <c r="D283" t="s">
        <v>5778</v>
      </c>
      <c r="F283" t="s">
        <v>5797</v>
      </c>
      <c r="G283">
        <v>4</v>
      </c>
      <c r="H283" s="3" t="s">
        <v>2925</v>
      </c>
      <c r="I283">
        <v>21220077</v>
      </c>
      <c r="J283" t="s">
        <v>6059</v>
      </c>
    </row>
    <row r="284" spans="1:10">
      <c r="A284" s="3">
        <f>SUBTOTAL(3,J$3:J284)</f>
        <v>282</v>
      </c>
      <c r="B284" s="3" t="s">
        <v>86</v>
      </c>
      <c r="C284" t="s">
        <v>5777</v>
      </c>
      <c r="D284" t="s">
        <v>5778</v>
      </c>
      <c r="F284" t="s">
        <v>5797</v>
      </c>
      <c r="G284">
        <v>4</v>
      </c>
      <c r="H284" s="3" t="s">
        <v>2925</v>
      </c>
      <c r="I284">
        <v>21220152</v>
      </c>
      <c r="J284" t="s">
        <v>6060</v>
      </c>
    </row>
    <row r="285" spans="1:10">
      <c r="A285" s="3">
        <f>SUBTOTAL(3,J$3:J285)</f>
        <v>283</v>
      </c>
      <c r="B285" s="3" t="s">
        <v>86</v>
      </c>
      <c r="C285" t="s">
        <v>5777</v>
      </c>
      <c r="D285" t="s">
        <v>5778</v>
      </c>
      <c r="F285" t="s">
        <v>5797</v>
      </c>
      <c r="G285">
        <v>4</v>
      </c>
      <c r="H285" s="3" t="s">
        <v>2925</v>
      </c>
      <c r="I285">
        <v>20210131</v>
      </c>
      <c r="J285" t="s">
        <v>6061</v>
      </c>
    </row>
    <row r="286" spans="1:10">
      <c r="A286" s="3">
        <f>SUBTOTAL(3,J$3:J286)</f>
        <v>284</v>
      </c>
      <c r="B286" s="3" t="s">
        <v>86</v>
      </c>
      <c r="C286" t="s">
        <v>5777</v>
      </c>
      <c r="D286" t="s">
        <v>5778</v>
      </c>
      <c r="F286" t="s">
        <v>870</v>
      </c>
      <c r="G286">
        <v>4</v>
      </c>
      <c r="H286" s="3" t="s">
        <v>2925</v>
      </c>
      <c r="I286">
        <v>21220160</v>
      </c>
      <c r="J286" t="s">
        <v>6062</v>
      </c>
    </row>
    <row r="287" spans="1:10">
      <c r="A287" s="3">
        <f>SUBTOTAL(3,J$3:J287)</f>
        <v>285</v>
      </c>
      <c r="B287" s="3" t="s">
        <v>86</v>
      </c>
      <c r="C287" t="s">
        <v>5777</v>
      </c>
      <c r="D287" t="s">
        <v>5778</v>
      </c>
      <c r="F287" t="s">
        <v>5797</v>
      </c>
      <c r="G287">
        <v>4</v>
      </c>
      <c r="H287" s="3" t="s">
        <v>2925</v>
      </c>
      <c r="I287">
        <v>21220025</v>
      </c>
      <c r="J287" t="s">
        <v>6063</v>
      </c>
    </row>
    <row r="288" spans="1:10">
      <c r="A288" s="3">
        <f>SUBTOTAL(3,J$3:J288)</f>
        <v>286</v>
      </c>
      <c r="B288" s="3" t="s">
        <v>86</v>
      </c>
      <c r="C288" t="s">
        <v>5777</v>
      </c>
      <c r="D288" t="s">
        <v>5778</v>
      </c>
      <c r="F288" t="s">
        <v>5797</v>
      </c>
      <c r="G288">
        <v>4</v>
      </c>
      <c r="H288" s="3" t="s">
        <v>2925</v>
      </c>
      <c r="I288">
        <v>21220164</v>
      </c>
      <c r="J288" t="s">
        <v>6064</v>
      </c>
    </row>
    <row r="289" spans="1:10">
      <c r="A289" s="3">
        <f>SUBTOTAL(3,J$3:J289)</f>
        <v>287</v>
      </c>
      <c r="B289" s="3" t="s">
        <v>86</v>
      </c>
      <c r="C289" t="s">
        <v>5777</v>
      </c>
      <c r="D289" t="s">
        <v>5778</v>
      </c>
      <c r="F289" t="s">
        <v>5797</v>
      </c>
      <c r="G289">
        <v>4</v>
      </c>
      <c r="H289" s="3" t="s">
        <v>2925</v>
      </c>
      <c r="I289">
        <v>21220060</v>
      </c>
      <c r="J289" t="s">
        <v>6065</v>
      </c>
    </row>
    <row r="290" spans="1:10">
      <c r="A290" s="3">
        <f>SUBTOTAL(3,J$3:J290)</f>
        <v>288</v>
      </c>
      <c r="B290" s="3" t="s">
        <v>86</v>
      </c>
      <c r="C290" t="s">
        <v>5777</v>
      </c>
      <c r="D290" t="s">
        <v>5778</v>
      </c>
      <c r="F290" t="s">
        <v>5797</v>
      </c>
      <c r="G290">
        <v>4</v>
      </c>
      <c r="H290" s="3" t="s">
        <v>2925</v>
      </c>
      <c r="I290">
        <v>20210188</v>
      </c>
      <c r="J290" t="s">
        <v>6066</v>
      </c>
    </row>
    <row r="291" spans="1:10">
      <c r="A291" s="3">
        <f>SUBTOTAL(3,J$3:J291)</f>
        <v>289</v>
      </c>
      <c r="B291" s="3" t="s">
        <v>86</v>
      </c>
      <c r="C291" t="s">
        <v>5777</v>
      </c>
      <c r="D291" t="s">
        <v>5778</v>
      </c>
      <c r="F291" t="s">
        <v>5797</v>
      </c>
      <c r="G291">
        <v>4</v>
      </c>
      <c r="H291" s="3" t="s">
        <v>2925</v>
      </c>
      <c r="I291">
        <v>20210235</v>
      </c>
      <c r="J291" t="s">
        <v>6067</v>
      </c>
    </row>
    <row r="292" spans="1:10">
      <c r="A292" s="3">
        <f>SUBTOTAL(3,J$3:J292)</f>
        <v>290</v>
      </c>
      <c r="B292" s="3" t="s">
        <v>86</v>
      </c>
      <c r="C292" t="s">
        <v>5777</v>
      </c>
      <c r="D292" t="s">
        <v>5778</v>
      </c>
      <c r="F292" t="s">
        <v>870</v>
      </c>
      <c r="G292">
        <v>4</v>
      </c>
      <c r="H292" s="3" t="s">
        <v>2925</v>
      </c>
      <c r="I292">
        <v>21220156</v>
      </c>
      <c r="J292" t="s">
        <v>6068</v>
      </c>
    </row>
    <row r="293" spans="1:10">
      <c r="A293" s="3">
        <f>SUBTOTAL(3,J$3:J293)</f>
        <v>291</v>
      </c>
      <c r="B293" s="3" t="s">
        <v>86</v>
      </c>
      <c r="C293" t="s">
        <v>5777</v>
      </c>
      <c r="D293" t="s">
        <v>5778</v>
      </c>
      <c r="F293" t="s">
        <v>5797</v>
      </c>
      <c r="G293">
        <v>4</v>
      </c>
      <c r="H293" s="3" t="s">
        <v>2925</v>
      </c>
      <c r="I293">
        <v>21220149</v>
      </c>
      <c r="J293" t="s">
        <v>6069</v>
      </c>
    </row>
    <row r="294" spans="1:10">
      <c r="A294" s="3">
        <f>SUBTOTAL(3,J$3:J294)</f>
        <v>292</v>
      </c>
      <c r="B294" s="3" t="s">
        <v>86</v>
      </c>
      <c r="C294" t="s">
        <v>5777</v>
      </c>
      <c r="D294" t="s">
        <v>5778</v>
      </c>
      <c r="F294" t="s">
        <v>5797</v>
      </c>
      <c r="G294">
        <v>4</v>
      </c>
      <c r="H294" s="3" t="s">
        <v>2925</v>
      </c>
      <c r="I294">
        <v>21220166</v>
      </c>
      <c r="J294" t="s">
        <v>6070</v>
      </c>
    </row>
    <row r="295" spans="1:10">
      <c r="A295" s="3">
        <f>SUBTOTAL(3,J$3:J295)</f>
        <v>293</v>
      </c>
      <c r="B295" s="3" t="s">
        <v>86</v>
      </c>
      <c r="C295" t="s">
        <v>5777</v>
      </c>
      <c r="D295" t="s">
        <v>5778</v>
      </c>
      <c r="F295" t="s">
        <v>5797</v>
      </c>
      <c r="G295">
        <v>4</v>
      </c>
      <c r="H295" s="3" t="s">
        <v>2925</v>
      </c>
      <c r="I295">
        <v>20210158</v>
      </c>
      <c r="J295" t="s">
        <v>6071</v>
      </c>
    </row>
    <row r="296" spans="1:10">
      <c r="A296" s="3">
        <f>SUBTOTAL(3,J$3:J296)</f>
        <v>294</v>
      </c>
      <c r="B296" s="3" t="s">
        <v>86</v>
      </c>
      <c r="C296" t="s">
        <v>5777</v>
      </c>
      <c r="D296" t="s">
        <v>5778</v>
      </c>
      <c r="F296" t="s">
        <v>5797</v>
      </c>
      <c r="G296">
        <v>4</v>
      </c>
      <c r="H296" s="3" t="s">
        <v>2925</v>
      </c>
      <c r="I296">
        <v>21220070</v>
      </c>
      <c r="J296" t="s">
        <v>6072</v>
      </c>
    </row>
    <row r="297" spans="1:10">
      <c r="A297" s="3">
        <f>SUBTOTAL(3,J$3:J297)</f>
        <v>295</v>
      </c>
      <c r="B297" s="3" t="s">
        <v>86</v>
      </c>
      <c r="C297" t="s">
        <v>5777</v>
      </c>
      <c r="D297" t="s">
        <v>5778</v>
      </c>
      <c r="F297" t="s">
        <v>5797</v>
      </c>
      <c r="G297">
        <v>4</v>
      </c>
      <c r="H297" s="3" t="s">
        <v>2925</v>
      </c>
      <c r="I297">
        <v>20210141</v>
      </c>
      <c r="J297" t="s">
        <v>6073</v>
      </c>
    </row>
    <row r="298" spans="1:10">
      <c r="A298" s="3">
        <f>SUBTOTAL(3,J$3:J298)</f>
        <v>296</v>
      </c>
      <c r="B298" s="3" t="s">
        <v>86</v>
      </c>
      <c r="C298" t="s">
        <v>5777</v>
      </c>
      <c r="D298" t="s">
        <v>5778</v>
      </c>
      <c r="F298" t="s">
        <v>5797</v>
      </c>
      <c r="G298">
        <v>4</v>
      </c>
      <c r="H298" s="3" t="s">
        <v>2925</v>
      </c>
      <c r="I298">
        <v>21220048</v>
      </c>
      <c r="J298" t="s">
        <v>6074</v>
      </c>
    </row>
    <row r="299" spans="1:10">
      <c r="A299" s="3">
        <f>SUBTOTAL(3,J$3:J299)</f>
        <v>297</v>
      </c>
      <c r="B299" s="3" t="s">
        <v>86</v>
      </c>
      <c r="C299" t="s">
        <v>5777</v>
      </c>
      <c r="D299" t="s">
        <v>5778</v>
      </c>
      <c r="F299" t="s">
        <v>5797</v>
      </c>
      <c r="G299">
        <v>4</v>
      </c>
      <c r="H299" s="3" t="s">
        <v>2925</v>
      </c>
      <c r="I299">
        <v>21220071</v>
      </c>
      <c r="J299" t="s">
        <v>6075</v>
      </c>
    </row>
    <row r="300" spans="1:10">
      <c r="A300" s="3">
        <f>SUBTOTAL(3,J$3:J300)</f>
        <v>298</v>
      </c>
      <c r="B300" s="3" t="s">
        <v>86</v>
      </c>
      <c r="C300" t="s">
        <v>5777</v>
      </c>
      <c r="D300" t="s">
        <v>5778</v>
      </c>
      <c r="F300" t="s">
        <v>5797</v>
      </c>
      <c r="G300">
        <v>4</v>
      </c>
      <c r="H300" s="3" t="s">
        <v>2925</v>
      </c>
      <c r="I300">
        <v>21220036</v>
      </c>
      <c r="J300" t="s">
        <v>6076</v>
      </c>
    </row>
    <row r="301" spans="1:10">
      <c r="A301" s="3">
        <f>SUBTOTAL(3,J$3:J301)</f>
        <v>299</v>
      </c>
      <c r="B301" s="3" t="s">
        <v>86</v>
      </c>
      <c r="C301" t="s">
        <v>5777</v>
      </c>
      <c r="D301" t="s">
        <v>5778</v>
      </c>
      <c r="F301" t="s">
        <v>5797</v>
      </c>
      <c r="G301">
        <v>4</v>
      </c>
      <c r="H301" s="3" t="s">
        <v>2925</v>
      </c>
      <c r="I301">
        <v>20210201</v>
      </c>
      <c r="J301" t="s">
        <v>6077</v>
      </c>
    </row>
    <row r="302" spans="1:10">
      <c r="A302" s="3">
        <f>SUBTOTAL(3,J$3:J302)</f>
        <v>300</v>
      </c>
      <c r="B302" s="3" t="s">
        <v>86</v>
      </c>
      <c r="C302" t="s">
        <v>5777</v>
      </c>
      <c r="D302" t="s">
        <v>5778</v>
      </c>
      <c r="F302" t="s">
        <v>5797</v>
      </c>
      <c r="G302">
        <v>4</v>
      </c>
      <c r="H302" s="3" t="s">
        <v>2925</v>
      </c>
      <c r="I302">
        <v>21220181</v>
      </c>
      <c r="J302" t="s">
        <v>6078</v>
      </c>
    </row>
    <row r="303" spans="1:10">
      <c r="A303" s="3">
        <f>SUBTOTAL(3,J$3:J303)</f>
        <v>301</v>
      </c>
      <c r="B303" s="3" t="s">
        <v>86</v>
      </c>
      <c r="C303" t="s">
        <v>5777</v>
      </c>
      <c r="D303" t="s">
        <v>5778</v>
      </c>
      <c r="F303" t="s">
        <v>5797</v>
      </c>
      <c r="G303">
        <v>4</v>
      </c>
      <c r="H303" s="3" t="s">
        <v>2925</v>
      </c>
      <c r="I303">
        <v>20210193</v>
      </c>
      <c r="J303" t="s">
        <v>6079</v>
      </c>
    </row>
    <row r="304" spans="1:10">
      <c r="A304" s="3">
        <f>SUBTOTAL(3,J$3:J304)</f>
        <v>302</v>
      </c>
      <c r="B304" s="3" t="s">
        <v>86</v>
      </c>
      <c r="C304" t="s">
        <v>5777</v>
      </c>
      <c r="D304" t="s">
        <v>5778</v>
      </c>
      <c r="F304" t="s">
        <v>5797</v>
      </c>
      <c r="G304">
        <v>4</v>
      </c>
      <c r="H304" s="3" t="s">
        <v>2925</v>
      </c>
      <c r="I304">
        <v>20210233</v>
      </c>
      <c r="J304" t="s">
        <v>6080</v>
      </c>
    </row>
    <row r="305" spans="1:10">
      <c r="A305" s="3">
        <f>SUBTOTAL(3,J$3:J305)</f>
        <v>303</v>
      </c>
      <c r="B305" s="3" t="s">
        <v>86</v>
      </c>
      <c r="C305" t="s">
        <v>5777</v>
      </c>
      <c r="D305" t="s">
        <v>5778</v>
      </c>
      <c r="F305" t="s">
        <v>5797</v>
      </c>
      <c r="G305">
        <v>4</v>
      </c>
      <c r="H305" s="3" t="s">
        <v>2925</v>
      </c>
      <c r="I305">
        <v>20210192</v>
      </c>
      <c r="J305" t="s">
        <v>6081</v>
      </c>
    </row>
    <row r="306" spans="1:10">
      <c r="A306" s="3">
        <f>SUBTOTAL(3,J$3:J306)</f>
        <v>304</v>
      </c>
      <c r="B306" s="3" t="s">
        <v>86</v>
      </c>
      <c r="C306" t="s">
        <v>5777</v>
      </c>
      <c r="D306" t="s">
        <v>5778</v>
      </c>
      <c r="F306" t="s">
        <v>5822</v>
      </c>
      <c r="G306">
        <v>4</v>
      </c>
      <c r="H306" s="3" t="s">
        <v>2925</v>
      </c>
      <c r="I306">
        <v>21220168</v>
      </c>
      <c r="J306" t="s">
        <v>6082</v>
      </c>
    </row>
    <row r="307" spans="1:10">
      <c r="A307" s="3">
        <f>SUBTOTAL(3,J$3:J307)</f>
        <v>305</v>
      </c>
      <c r="B307" s="3" t="s">
        <v>86</v>
      </c>
      <c r="C307" t="s">
        <v>5777</v>
      </c>
      <c r="D307" t="s">
        <v>5778</v>
      </c>
      <c r="F307" t="s">
        <v>5797</v>
      </c>
      <c r="G307">
        <v>5</v>
      </c>
      <c r="H307" s="3" t="s">
        <v>3320</v>
      </c>
      <c r="I307">
        <v>20210219</v>
      </c>
      <c r="J307" t="s">
        <v>3321</v>
      </c>
    </row>
    <row r="308" spans="1:10">
      <c r="A308" s="3">
        <f>SUBTOTAL(3,J$3:J308)</f>
        <v>306</v>
      </c>
      <c r="B308" s="3" t="s">
        <v>86</v>
      </c>
      <c r="C308" t="s">
        <v>5777</v>
      </c>
      <c r="D308" t="s">
        <v>5778</v>
      </c>
      <c r="F308" t="s">
        <v>5871</v>
      </c>
      <c r="G308">
        <v>5</v>
      </c>
      <c r="H308" s="3" t="s">
        <v>3320</v>
      </c>
      <c r="I308">
        <v>19200185</v>
      </c>
      <c r="J308" t="s">
        <v>3331</v>
      </c>
    </row>
    <row r="309" spans="1:10">
      <c r="A309" s="3">
        <f>SUBTOTAL(3,J$3:J309)</f>
        <v>307</v>
      </c>
      <c r="B309" s="3" t="s">
        <v>86</v>
      </c>
      <c r="C309" t="s">
        <v>5777</v>
      </c>
      <c r="D309" t="s">
        <v>5778</v>
      </c>
      <c r="F309" t="s">
        <v>5797</v>
      </c>
      <c r="G309">
        <v>5</v>
      </c>
      <c r="H309" s="3" t="s">
        <v>3320</v>
      </c>
      <c r="I309">
        <v>19200190</v>
      </c>
      <c r="J309" t="s">
        <v>3344</v>
      </c>
    </row>
    <row r="310" spans="1:10">
      <c r="A310" s="3">
        <f>SUBTOTAL(3,J$3:J310)</f>
        <v>308</v>
      </c>
      <c r="B310" s="3" t="s">
        <v>86</v>
      </c>
      <c r="C310" t="s">
        <v>5777</v>
      </c>
      <c r="D310" t="s">
        <v>5778</v>
      </c>
      <c r="F310" t="s">
        <v>5797</v>
      </c>
      <c r="G310">
        <v>5</v>
      </c>
      <c r="H310" s="3" t="s">
        <v>3320</v>
      </c>
      <c r="I310">
        <v>20210241</v>
      </c>
      <c r="J310" t="s">
        <v>3354</v>
      </c>
    </row>
    <row r="311" spans="1:10">
      <c r="A311" s="3">
        <f>SUBTOTAL(3,J$3:J311)</f>
        <v>309</v>
      </c>
      <c r="B311" s="3" t="s">
        <v>86</v>
      </c>
      <c r="C311" t="s">
        <v>5777</v>
      </c>
      <c r="D311" t="s">
        <v>5778</v>
      </c>
      <c r="F311" t="s">
        <v>5797</v>
      </c>
      <c r="G311">
        <v>5</v>
      </c>
      <c r="H311" s="3" t="s">
        <v>3320</v>
      </c>
      <c r="I311">
        <v>19200192</v>
      </c>
      <c r="J311" t="s">
        <v>3365</v>
      </c>
    </row>
    <row r="312" spans="1:10">
      <c r="A312" s="3">
        <f>SUBTOTAL(3,J$3:J312)</f>
        <v>310</v>
      </c>
      <c r="B312" s="3" t="s">
        <v>86</v>
      </c>
      <c r="C312" t="s">
        <v>5777</v>
      </c>
      <c r="D312" t="s">
        <v>5778</v>
      </c>
      <c r="F312" t="s">
        <v>5797</v>
      </c>
      <c r="G312">
        <v>5</v>
      </c>
      <c r="H312" s="3" t="s">
        <v>3320</v>
      </c>
      <c r="I312">
        <v>20210196</v>
      </c>
      <c r="J312" t="s">
        <v>3372</v>
      </c>
    </row>
    <row r="313" spans="1:10">
      <c r="A313" s="3">
        <f>SUBTOTAL(3,J$3:J313)</f>
        <v>311</v>
      </c>
      <c r="B313" s="3" t="s">
        <v>86</v>
      </c>
      <c r="C313" t="s">
        <v>5777</v>
      </c>
      <c r="D313" t="s">
        <v>5778</v>
      </c>
      <c r="F313" t="s">
        <v>5797</v>
      </c>
      <c r="G313">
        <v>5</v>
      </c>
      <c r="H313" s="3" t="s">
        <v>3320</v>
      </c>
      <c r="I313">
        <v>19200195</v>
      </c>
      <c r="J313" t="s">
        <v>3383</v>
      </c>
    </row>
    <row r="314" spans="1:10">
      <c r="A314" s="3">
        <f>SUBTOTAL(3,J$3:J314)</f>
        <v>312</v>
      </c>
      <c r="B314" s="3" t="s">
        <v>86</v>
      </c>
      <c r="C314" t="s">
        <v>5777</v>
      </c>
      <c r="D314" t="s">
        <v>5778</v>
      </c>
      <c r="F314" t="s">
        <v>5797</v>
      </c>
      <c r="G314">
        <v>5</v>
      </c>
      <c r="H314" s="3" t="s">
        <v>3320</v>
      </c>
      <c r="I314">
        <v>19200198</v>
      </c>
      <c r="J314" t="s">
        <v>3395</v>
      </c>
    </row>
    <row r="315" spans="1:10">
      <c r="A315" s="3">
        <f>SUBTOTAL(3,J$3:J315)</f>
        <v>313</v>
      </c>
      <c r="B315" s="3" t="s">
        <v>86</v>
      </c>
      <c r="C315" t="s">
        <v>5777</v>
      </c>
      <c r="D315" t="s">
        <v>5778</v>
      </c>
      <c r="F315" t="s">
        <v>870</v>
      </c>
      <c r="G315">
        <v>5</v>
      </c>
      <c r="H315" s="3" t="s">
        <v>3320</v>
      </c>
      <c r="I315">
        <v>17180108</v>
      </c>
      <c r="J315" t="s">
        <v>3406</v>
      </c>
    </row>
    <row r="316" spans="1:10">
      <c r="A316" s="3">
        <f>SUBTOTAL(3,J$3:J316)</f>
        <v>314</v>
      </c>
      <c r="B316" s="3" t="s">
        <v>86</v>
      </c>
      <c r="C316" t="s">
        <v>5777</v>
      </c>
      <c r="D316" t="s">
        <v>5778</v>
      </c>
      <c r="F316" t="s">
        <v>5797</v>
      </c>
      <c r="G316">
        <v>5</v>
      </c>
      <c r="H316" s="3" t="s">
        <v>3320</v>
      </c>
      <c r="I316">
        <v>20210152</v>
      </c>
      <c r="J316" t="s">
        <v>6083</v>
      </c>
    </row>
    <row r="317" spans="1:10">
      <c r="A317" s="3">
        <f>SUBTOTAL(3,J$3:J317)</f>
        <v>315</v>
      </c>
      <c r="B317" s="3" t="s">
        <v>86</v>
      </c>
      <c r="C317" t="s">
        <v>5777</v>
      </c>
      <c r="D317" t="s">
        <v>5778</v>
      </c>
      <c r="F317" t="s">
        <v>5871</v>
      </c>
      <c r="G317">
        <v>5</v>
      </c>
      <c r="H317" s="3" t="s">
        <v>3320</v>
      </c>
      <c r="I317">
        <v>20210210</v>
      </c>
      <c r="J317" t="s">
        <v>3426</v>
      </c>
    </row>
    <row r="318" spans="1:10">
      <c r="A318" s="3">
        <f>SUBTOTAL(3,J$3:J318)</f>
        <v>316</v>
      </c>
      <c r="B318" s="3" t="s">
        <v>86</v>
      </c>
      <c r="C318" t="s">
        <v>5777</v>
      </c>
      <c r="D318" t="s">
        <v>5778</v>
      </c>
      <c r="F318" t="s">
        <v>5797</v>
      </c>
      <c r="G318">
        <v>5</v>
      </c>
      <c r="H318" s="3" t="s">
        <v>3320</v>
      </c>
      <c r="I318">
        <v>20210154</v>
      </c>
      <c r="J318" t="s">
        <v>6084</v>
      </c>
    </row>
    <row r="319" spans="1:10">
      <c r="A319" s="3">
        <f>SUBTOTAL(3,J$3:J319)</f>
        <v>317</v>
      </c>
      <c r="B319" s="3" t="s">
        <v>86</v>
      </c>
      <c r="C319" t="s">
        <v>5777</v>
      </c>
      <c r="D319" t="s">
        <v>5778</v>
      </c>
      <c r="F319" t="s">
        <v>5797</v>
      </c>
      <c r="G319">
        <v>5</v>
      </c>
      <c r="H319" s="3" t="s">
        <v>3320</v>
      </c>
      <c r="I319">
        <v>20210153</v>
      </c>
      <c r="J319" t="s">
        <v>6085</v>
      </c>
    </row>
    <row r="320" spans="1:10">
      <c r="A320" s="3">
        <f>SUBTOTAL(3,J$3:J320)</f>
        <v>318</v>
      </c>
      <c r="B320" s="3" t="s">
        <v>86</v>
      </c>
      <c r="C320" t="s">
        <v>5777</v>
      </c>
      <c r="D320" t="s">
        <v>5778</v>
      </c>
      <c r="F320" t="s">
        <v>5797</v>
      </c>
      <c r="G320">
        <v>5</v>
      </c>
      <c r="H320" s="3" t="s">
        <v>3320</v>
      </c>
      <c r="I320">
        <v>19200229</v>
      </c>
      <c r="J320" t="s">
        <v>3457</v>
      </c>
    </row>
    <row r="321" spans="1:10">
      <c r="A321" s="3">
        <f>SUBTOTAL(3,J$3:J321)</f>
        <v>319</v>
      </c>
      <c r="B321" s="3" t="s">
        <v>86</v>
      </c>
      <c r="C321" t="s">
        <v>5777</v>
      </c>
      <c r="D321" t="s">
        <v>5778</v>
      </c>
      <c r="F321" t="s">
        <v>5797</v>
      </c>
      <c r="G321">
        <v>5</v>
      </c>
      <c r="H321" s="3" t="s">
        <v>3320</v>
      </c>
      <c r="I321">
        <v>19200230</v>
      </c>
      <c r="J321" t="s">
        <v>3468</v>
      </c>
    </row>
    <row r="322" spans="1:10">
      <c r="A322" s="3">
        <f>SUBTOTAL(3,J$3:J322)</f>
        <v>320</v>
      </c>
      <c r="B322" s="3" t="s">
        <v>86</v>
      </c>
      <c r="C322" t="s">
        <v>5777</v>
      </c>
      <c r="D322" t="s">
        <v>5778</v>
      </c>
      <c r="F322" t="s">
        <v>5797</v>
      </c>
      <c r="G322">
        <v>5</v>
      </c>
      <c r="H322" s="3" t="s">
        <v>3320</v>
      </c>
      <c r="I322">
        <v>19200242</v>
      </c>
      <c r="J322" t="s">
        <v>6086</v>
      </c>
    </row>
    <row r="323" spans="1:10">
      <c r="A323" s="3">
        <f>SUBTOTAL(3,J$3:J323)</f>
        <v>321</v>
      </c>
      <c r="B323" s="3" t="s">
        <v>86</v>
      </c>
      <c r="C323" t="s">
        <v>5777</v>
      </c>
      <c r="D323" t="s">
        <v>5778</v>
      </c>
      <c r="F323" t="s">
        <v>5797</v>
      </c>
      <c r="G323">
        <v>5</v>
      </c>
      <c r="H323" s="3" t="s">
        <v>3320</v>
      </c>
      <c r="I323">
        <v>19200247</v>
      </c>
      <c r="J323" t="s">
        <v>3493</v>
      </c>
    </row>
    <row r="324" spans="1:10">
      <c r="A324" s="3">
        <f>SUBTOTAL(3,J$3:J324)</f>
        <v>322</v>
      </c>
      <c r="B324" s="3" t="s">
        <v>86</v>
      </c>
      <c r="C324" t="s">
        <v>5777</v>
      </c>
      <c r="D324" t="s">
        <v>5778</v>
      </c>
      <c r="F324" t="s">
        <v>5797</v>
      </c>
      <c r="G324">
        <v>5</v>
      </c>
      <c r="H324" s="3" t="s">
        <v>3320</v>
      </c>
      <c r="I324">
        <v>19200251</v>
      </c>
      <c r="J324" t="s">
        <v>3498</v>
      </c>
    </row>
    <row r="325" spans="1:10">
      <c r="A325" s="3">
        <f>SUBTOTAL(3,J$3:J325)</f>
        <v>323</v>
      </c>
      <c r="B325" s="3" t="s">
        <v>86</v>
      </c>
      <c r="C325" t="s">
        <v>5777</v>
      </c>
      <c r="D325" t="s">
        <v>5778</v>
      </c>
      <c r="F325" t="s">
        <v>5797</v>
      </c>
      <c r="G325">
        <v>5</v>
      </c>
      <c r="H325" s="3" t="s">
        <v>3320</v>
      </c>
      <c r="I325">
        <v>19200255</v>
      </c>
      <c r="J325" t="s">
        <v>3508</v>
      </c>
    </row>
    <row r="326" spans="1:10">
      <c r="A326" s="3">
        <f>SUBTOTAL(3,J$3:J326)</f>
        <v>324</v>
      </c>
      <c r="B326" s="3" t="s">
        <v>86</v>
      </c>
      <c r="C326" t="s">
        <v>5777</v>
      </c>
      <c r="D326" t="s">
        <v>5778</v>
      </c>
      <c r="F326" t="s">
        <v>5797</v>
      </c>
      <c r="G326">
        <v>5</v>
      </c>
      <c r="H326" s="3" t="s">
        <v>3320</v>
      </c>
      <c r="I326">
        <v>19200259</v>
      </c>
      <c r="J326" t="s">
        <v>3521</v>
      </c>
    </row>
    <row r="327" spans="1:10">
      <c r="A327" s="3">
        <f>SUBTOTAL(3,J$3:J327)</f>
        <v>325</v>
      </c>
      <c r="B327" s="3" t="s">
        <v>86</v>
      </c>
      <c r="C327" t="s">
        <v>5777</v>
      </c>
      <c r="D327" t="s">
        <v>5778</v>
      </c>
      <c r="F327" t="s">
        <v>5797</v>
      </c>
      <c r="G327">
        <v>5</v>
      </c>
      <c r="H327" s="3" t="s">
        <v>3320</v>
      </c>
      <c r="I327">
        <v>19200265</v>
      </c>
      <c r="J327" t="s">
        <v>3532</v>
      </c>
    </row>
    <row r="328" spans="1:10">
      <c r="A328" s="3">
        <f>SUBTOTAL(3,J$3:J328)</f>
        <v>326</v>
      </c>
      <c r="B328" s="3" t="s">
        <v>86</v>
      </c>
      <c r="C328" t="s">
        <v>5777</v>
      </c>
      <c r="D328" t="s">
        <v>5778</v>
      </c>
      <c r="F328" t="s">
        <v>5797</v>
      </c>
      <c r="G328">
        <v>5</v>
      </c>
      <c r="H328" s="3" t="s">
        <v>3320</v>
      </c>
      <c r="I328">
        <v>19200267</v>
      </c>
      <c r="J328" t="s">
        <v>3542</v>
      </c>
    </row>
    <row r="329" spans="1:10">
      <c r="A329" s="3">
        <f>SUBTOTAL(3,J$3:J329)</f>
        <v>327</v>
      </c>
      <c r="B329" s="3" t="s">
        <v>86</v>
      </c>
      <c r="C329" t="s">
        <v>5777</v>
      </c>
      <c r="D329" t="s">
        <v>5778</v>
      </c>
      <c r="F329" t="s">
        <v>5797</v>
      </c>
      <c r="G329">
        <v>5</v>
      </c>
      <c r="H329" s="3" t="s">
        <v>3320</v>
      </c>
      <c r="I329">
        <v>19200290</v>
      </c>
      <c r="J329" t="s">
        <v>6087</v>
      </c>
    </row>
    <row r="330" spans="1:10">
      <c r="A330" s="3">
        <f>SUBTOTAL(3,J$3:J330)</f>
        <v>328</v>
      </c>
      <c r="B330" s="3" t="s">
        <v>86</v>
      </c>
      <c r="C330" t="s">
        <v>5777</v>
      </c>
      <c r="D330" t="s">
        <v>5778</v>
      </c>
      <c r="F330" t="s">
        <v>5797</v>
      </c>
      <c r="G330">
        <v>5</v>
      </c>
      <c r="H330" s="3" t="s">
        <v>3320</v>
      </c>
      <c r="I330">
        <v>19200271</v>
      </c>
      <c r="J330" t="s">
        <v>3565</v>
      </c>
    </row>
    <row r="331" spans="1:10">
      <c r="A331" s="3">
        <f>SUBTOTAL(3,J$3:J331)</f>
        <v>329</v>
      </c>
      <c r="B331" s="3" t="s">
        <v>86</v>
      </c>
      <c r="C331" t="s">
        <v>5777</v>
      </c>
      <c r="D331" t="s">
        <v>5778</v>
      </c>
      <c r="F331" t="s">
        <v>5797</v>
      </c>
      <c r="G331">
        <v>5</v>
      </c>
      <c r="H331" s="3" t="s">
        <v>3320</v>
      </c>
      <c r="I331">
        <v>20210181</v>
      </c>
      <c r="J331" t="s">
        <v>3577</v>
      </c>
    </row>
    <row r="332" spans="1:10">
      <c r="A332" s="3">
        <f>SUBTOTAL(3,J$3:J332)</f>
        <v>330</v>
      </c>
      <c r="B332" s="3" t="s">
        <v>86</v>
      </c>
      <c r="C332" t="s">
        <v>5777</v>
      </c>
      <c r="D332" t="s">
        <v>5778</v>
      </c>
      <c r="F332" t="s">
        <v>5797</v>
      </c>
      <c r="G332">
        <v>5</v>
      </c>
      <c r="H332" s="3" t="s">
        <v>3320</v>
      </c>
      <c r="I332">
        <v>20210236</v>
      </c>
      <c r="J332" t="s">
        <v>6088</v>
      </c>
    </row>
    <row r="333" spans="1:10">
      <c r="A333" s="3">
        <f>SUBTOTAL(3,J$3:J333)</f>
        <v>331</v>
      </c>
      <c r="B333" s="3" t="s">
        <v>86</v>
      </c>
      <c r="C333" t="s">
        <v>5777</v>
      </c>
      <c r="D333" t="s">
        <v>5778</v>
      </c>
      <c r="F333" t="s">
        <v>5797</v>
      </c>
      <c r="G333">
        <v>5</v>
      </c>
      <c r="H333" s="3" t="s">
        <v>3320</v>
      </c>
      <c r="I333">
        <v>19200284</v>
      </c>
      <c r="J333" t="s">
        <v>3599</v>
      </c>
    </row>
    <row r="334" spans="1:10">
      <c r="A334" s="3">
        <f>SUBTOTAL(3,J$3:J334)</f>
        <v>332</v>
      </c>
      <c r="B334" s="3" t="s">
        <v>86</v>
      </c>
      <c r="C334" t="s">
        <v>5777</v>
      </c>
      <c r="D334" t="s">
        <v>5778</v>
      </c>
      <c r="F334" t="s">
        <v>5797</v>
      </c>
      <c r="G334">
        <v>5</v>
      </c>
      <c r="H334" s="3" t="s">
        <v>3320</v>
      </c>
      <c r="I334">
        <v>19200285</v>
      </c>
      <c r="J334" t="s">
        <v>3609</v>
      </c>
    </row>
    <row r="335" spans="1:10">
      <c r="A335" s="3">
        <f>SUBTOTAL(3,J$3:J335)</f>
        <v>333</v>
      </c>
      <c r="B335" s="3" t="s">
        <v>86</v>
      </c>
      <c r="C335" t="s">
        <v>5777</v>
      </c>
      <c r="D335" t="s">
        <v>5778</v>
      </c>
      <c r="F335" t="s">
        <v>5797</v>
      </c>
      <c r="G335">
        <v>5</v>
      </c>
      <c r="H335" s="3" t="s">
        <v>3320</v>
      </c>
      <c r="I335">
        <v>19200289</v>
      </c>
      <c r="J335" t="s">
        <v>3620</v>
      </c>
    </row>
    <row r="336" spans="1:10">
      <c r="A336" s="3">
        <f>SUBTOTAL(3,J$3:J336)</f>
        <v>334</v>
      </c>
      <c r="B336" s="3" t="s">
        <v>86</v>
      </c>
      <c r="C336" t="s">
        <v>5777</v>
      </c>
      <c r="D336" t="s">
        <v>5778</v>
      </c>
      <c r="F336" t="s">
        <v>5797</v>
      </c>
      <c r="G336">
        <v>5</v>
      </c>
      <c r="H336" s="3" t="s">
        <v>3320</v>
      </c>
      <c r="I336">
        <v>19200292</v>
      </c>
      <c r="J336" t="s">
        <v>3631</v>
      </c>
    </row>
    <row r="337" spans="1:10">
      <c r="A337" s="3">
        <f>SUBTOTAL(3,J$3:J337)</f>
        <v>335</v>
      </c>
      <c r="B337" s="3" t="s">
        <v>86</v>
      </c>
      <c r="C337" t="s">
        <v>5777</v>
      </c>
      <c r="D337" t="s">
        <v>5778</v>
      </c>
      <c r="F337" t="s">
        <v>6089</v>
      </c>
      <c r="G337">
        <v>5</v>
      </c>
      <c r="H337" s="3" t="s">
        <v>3320</v>
      </c>
      <c r="I337">
        <v>18190232</v>
      </c>
      <c r="J337" t="s">
        <v>6090</v>
      </c>
    </row>
    <row r="338" spans="1:10">
      <c r="A338" s="3">
        <f>SUBTOTAL(3,J$3:J338)</f>
        <v>336</v>
      </c>
      <c r="B338" s="3" t="s">
        <v>86</v>
      </c>
      <c r="C338" t="s">
        <v>5777</v>
      </c>
      <c r="D338" t="s">
        <v>5778</v>
      </c>
      <c r="F338" t="s">
        <v>5797</v>
      </c>
      <c r="G338">
        <v>5</v>
      </c>
      <c r="H338" s="3" t="s">
        <v>3320</v>
      </c>
      <c r="I338">
        <v>20210170</v>
      </c>
      <c r="J338" t="s">
        <v>6091</v>
      </c>
    </row>
    <row r="339" spans="1:10">
      <c r="A339" s="3">
        <f>SUBTOTAL(3,J$3:J339)</f>
        <v>337</v>
      </c>
      <c r="B339" s="3" t="s">
        <v>86</v>
      </c>
      <c r="C339" t="s">
        <v>5777</v>
      </c>
      <c r="D339" t="s">
        <v>5778</v>
      </c>
      <c r="F339" t="s">
        <v>5797</v>
      </c>
      <c r="G339">
        <v>5</v>
      </c>
      <c r="H339" s="3" t="s">
        <v>3320</v>
      </c>
      <c r="I339">
        <v>19200305</v>
      </c>
      <c r="J339" t="s">
        <v>3664</v>
      </c>
    </row>
    <row r="340" spans="1:10">
      <c r="A340" s="3">
        <f>SUBTOTAL(3,J$3:J340)</f>
        <v>338</v>
      </c>
      <c r="B340" s="3" t="s">
        <v>86</v>
      </c>
      <c r="C340" t="s">
        <v>5777</v>
      </c>
      <c r="D340" t="s">
        <v>5778</v>
      </c>
      <c r="F340" t="s">
        <v>5797</v>
      </c>
      <c r="G340">
        <v>5</v>
      </c>
      <c r="H340" s="3" t="s">
        <v>3320</v>
      </c>
      <c r="I340">
        <v>21220078</v>
      </c>
      <c r="J340" t="s">
        <v>5850</v>
      </c>
    </row>
    <row r="341" spans="1:10">
      <c r="A341" s="3">
        <f>SUBTOTAL(3,J$3:J341)</f>
        <v>339</v>
      </c>
      <c r="B341" s="3" t="s">
        <v>86</v>
      </c>
      <c r="C341" t="s">
        <v>5777</v>
      </c>
      <c r="D341" t="s">
        <v>5778</v>
      </c>
      <c r="F341" t="s">
        <v>5797</v>
      </c>
      <c r="G341">
        <v>5</v>
      </c>
      <c r="H341" s="3" t="s">
        <v>3320</v>
      </c>
      <c r="I341">
        <v>19200309</v>
      </c>
      <c r="J341" t="s">
        <v>6092</v>
      </c>
    </row>
    <row r="342" spans="1:10">
      <c r="A342" s="3">
        <f>SUBTOTAL(3,J$3:J342)</f>
        <v>340</v>
      </c>
      <c r="B342" s="3" t="s">
        <v>86</v>
      </c>
      <c r="C342" t="s">
        <v>5777</v>
      </c>
      <c r="D342" t="s">
        <v>5778</v>
      </c>
      <c r="F342" t="s">
        <v>5797</v>
      </c>
      <c r="G342">
        <v>5</v>
      </c>
      <c r="H342" s="3" t="s">
        <v>3320</v>
      </c>
      <c r="I342">
        <v>20210252</v>
      </c>
      <c r="J342" t="s">
        <v>3691</v>
      </c>
    </row>
    <row r="343" spans="1:10">
      <c r="A343" s="3">
        <f>SUBTOTAL(3,J$3:J343)</f>
        <v>341</v>
      </c>
      <c r="B343" s="3" t="s">
        <v>86</v>
      </c>
      <c r="C343" t="s">
        <v>5777</v>
      </c>
      <c r="D343" t="s">
        <v>5778</v>
      </c>
      <c r="F343" t="s">
        <v>5797</v>
      </c>
      <c r="G343">
        <v>5</v>
      </c>
      <c r="H343" s="3" t="s">
        <v>3320</v>
      </c>
      <c r="I343">
        <v>19200316</v>
      </c>
      <c r="J343" t="s">
        <v>3699</v>
      </c>
    </row>
    <row r="344" spans="1:10">
      <c r="A344" s="3">
        <f>SUBTOTAL(3,J$3:J344)</f>
        <v>342</v>
      </c>
      <c r="B344" s="3" t="s">
        <v>86</v>
      </c>
      <c r="C344" t="s">
        <v>5777</v>
      </c>
      <c r="D344" t="s">
        <v>5778</v>
      </c>
      <c r="F344" t="s">
        <v>5797</v>
      </c>
      <c r="G344">
        <v>5</v>
      </c>
      <c r="H344" s="3" t="s">
        <v>3320</v>
      </c>
      <c r="I344">
        <v>18190217</v>
      </c>
      <c r="J344" t="s">
        <v>3711</v>
      </c>
    </row>
    <row r="345" spans="1:10">
      <c r="A345" s="3">
        <f>SUBTOTAL(3,J$3:J345)</f>
        <v>343</v>
      </c>
      <c r="B345" s="3" t="s">
        <v>86</v>
      </c>
      <c r="C345" t="s">
        <v>5777</v>
      </c>
      <c r="D345" t="s">
        <v>5778</v>
      </c>
      <c r="F345" t="s">
        <v>5797</v>
      </c>
      <c r="G345">
        <v>5</v>
      </c>
      <c r="H345" s="3" t="s">
        <v>3320</v>
      </c>
      <c r="I345">
        <v>19200317</v>
      </c>
      <c r="J345" t="s">
        <v>6093</v>
      </c>
    </row>
    <row r="346" spans="1:10">
      <c r="A346" s="3">
        <f>SUBTOTAL(3,J$3:J346)</f>
        <v>344</v>
      </c>
      <c r="B346" s="3" t="s">
        <v>86</v>
      </c>
      <c r="C346" t="s">
        <v>5777</v>
      </c>
      <c r="D346" t="s">
        <v>5778</v>
      </c>
      <c r="F346" t="s">
        <v>5797</v>
      </c>
      <c r="G346">
        <v>5</v>
      </c>
      <c r="H346" s="3" t="s">
        <v>3320</v>
      </c>
      <c r="I346">
        <v>19200320</v>
      </c>
      <c r="J346" t="s">
        <v>3732</v>
      </c>
    </row>
    <row r="347" spans="1:10">
      <c r="A347" s="3">
        <f>SUBTOTAL(3,J$3:J347)</f>
        <v>345</v>
      </c>
      <c r="B347" s="3" t="s">
        <v>86</v>
      </c>
      <c r="C347" t="s">
        <v>5777</v>
      </c>
      <c r="D347" t="s">
        <v>5778</v>
      </c>
      <c r="F347" t="s">
        <v>5797</v>
      </c>
      <c r="G347">
        <v>5</v>
      </c>
      <c r="H347" s="3" t="s">
        <v>3320</v>
      </c>
      <c r="I347">
        <v>20210176</v>
      </c>
      <c r="J347" t="s">
        <v>3742</v>
      </c>
    </row>
    <row r="348" spans="1:10">
      <c r="A348" s="3">
        <f>SUBTOTAL(3,J$3:J348)</f>
        <v>346</v>
      </c>
      <c r="B348" s="3" t="s">
        <v>86</v>
      </c>
      <c r="C348" t="s">
        <v>5777</v>
      </c>
      <c r="D348" t="s">
        <v>5778</v>
      </c>
      <c r="F348" t="s">
        <v>5797</v>
      </c>
      <c r="G348">
        <v>5</v>
      </c>
      <c r="H348" s="3" t="s">
        <v>3320</v>
      </c>
      <c r="I348">
        <v>19200330</v>
      </c>
      <c r="J348" t="s">
        <v>3753</v>
      </c>
    </row>
    <row r="349" spans="1:10">
      <c r="A349" s="3">
        <f>SUBTOTAL(3,J$3:J349)</f>
        <v>347</v>
      </c>
      <c r="B349" s="3" t="s">
        <v>86</v>
      </c>
      <c r="C349" t="s">
        <v>5777</v>
      </c>
      <c r="D349" t="s">
        <v>5778</v>
      </c>
      <c r="F349" t="s">
        <v>5797</v>
      </c>
      <c r="G349">
        <v>5</v>
      </c>
      <c r="H349" s="3" t="s">
        <v>3320</v>
      </c>
      <c r="I349">
        <v>20210150</v>
      </c>
      <c r="J349" t="s">
        <v>3762</v>
      </c>
    </row>
    <row r="350" spans="1:10">
      <c r="A350" s="3">
        <f>SUBTOTAL(3,J$3:J350)</f>
        <v>348</v>
      </c>
      <c r="B350" s="3" t="s">
        <v>86</v>
      </c>
      <c r="C350" t="s">
        <v>5777</v>
      </c>
      <c r="D350" t="s">
        <v>5778</v>
      </c>
      <c r="F350" t="s">
        <v>5797</v>
      </c>
      <c r="G350">
        <v>5</v>
      </c>
      <c r="H350" s="3" t="s">
        <v>3320</v>
      </c>
      <c r="I350">
        <v>19200344</v>
      </c>
      <c r="J350" t="s">
        <v>3772</v>
      </c>
    </row>
    <row r="351" spans="1:10">
      <c r="A351" s="3">
        <f>SUBTOTAL(3,J$3:J351)</f>
        <v>349</v>
      </c>
      <c r="B351" s="3" t="s">
        <v>86</v>
      </c>
      <c r="C351" t="s">
        <v>5777</v>
      </c>
      <c r="D351" t="s">
        <v>5778</v>
      </c>
      <c r="F351" t="s">
        <v>5797</v>
      </c>
      <c r="G351">
        <v>5</v>
      </c>
      <c r="H351" s="3" t="s">
        <v>3783</v>
      </c>
      <c r="I351">
        <v>19200370</v>
      </c>
      <c r="J351" t="s">
        <v>6094</v>
      </c>
    </row>
    <row r="352" spans="1:10">
      <c r="A352" s="3">
        <f>SUBTOTAL(3,J$3:J352)</f>
        <v>350</v>
      </c>
      <c r="B352" s="3" t="s">
        <v>86</v>
      </c>
      <c r="C352" t="s">
        <v>5777</v>
      </c>
      <c r="D352" t="s">
        <v>5778</v>
      </c>
      <c r="F352" t="s">
        <v>5797</v>
      </c>
      <c r="G352">
        <v>5</v>
      </c>
      <c r="H352" s="3" t="s">
        <v>3783</v>
      </c>
      <c r="I352">
        <v>19200373</v>
      </c>
      <c r="J352" t="s">
        <v>6095</v>
      </c>
    </row>
    <row r="353" spans="1:10">
      <c r="A353" s="3">
        <f>SUBTOTAL(3,J$3:J353)</f>
        <v>351</v>
      </c>
      <c r="B353" s="3" t="s">
        <v>86</v>
      </c>
      <c r="C353" t="s">
        <v>5777</v>
      </c>
      <c r="D353" t="s">
        <v>5778</v>
      </c>
      <c r="F353" t="s">
        <v>5797</v>
      </c>
      <c r="G353">
        <v>5</v>
      </c>
      <c r="H353" s="3" t="s">
        <v>3783</v>
      </c>
      <c r="I353">
        <v>19200189</v>
      </c>
      <c r="J353" t="s">
        <v>6096</v>
      </c>
    </row>
    <row r="354" spans="1:10">
      <c r="A354" s="3">
        <f>SUBTOTAL(3,J$3:J354)</f>
        <v>352</v>
      </c>
      <c r="B354" s="3" t="s">
        <v>86</v>
      </c>
      <c r="C354" t="s">
        <v>5777</v>
      </c>
      <c r="D354" t="s">
        <v>5778</v>
      </c>
      <c r="F354" t="s">
        <v>5797</v>
      </c>
      <c r="G354">
        <v>5</v>
      </c>
      <c r="H354" s="3" t="s">
        <v>3783</v>
      </c>
      <c r="I354">
        <v>20210245</v>
      </c>
      <c r="J354" t="s">
        <v>6097</v>
      </c>
    </row>
    <row r="355" spans="1:10">
      <c r="A355" s="3">
        <f>SUBTOTAL(3,J$3:J355)</f>
        <v>353</v>
      </c>
      <c r="B355" s="3" t="s">
        <v>86</v>
      </c>
      <c r="C355" t="s">
        <v>5777</v>
      </c>
      <c r="D355" t="s">
        <v>5778</v>
      </c>
      <c r="F355" t="s">
        <v>5797</v>
      </c>
      <c r="G355">
        <v>5</v>
      </c>
      <c r="H355" s="3" t="s">
        <v>3783</v>
      </c>
      <c r="I355">
        <v>20210244</v>
      </c>
      <c r="J355" t="s">
        <v>6098</v>
      </c>
    </row>
    <row r="356" spans="1:10">
      <c r="A356" s="3">
        <f>SUBTOTAL(3,J$3:J356)</f>
        <v>354</v>
      </c>
      <c r="B356" s="3" t="s">
        <v>86</v>
      </c>
      <c r="C356" t="s">
        <v>5777</v>
      </c>
      <c r="D356" t="s">
        <v>5778</v>
      </c>
      <c r="F356" t="s">
        <v>5797</v>
      </c>
      <c r="G356">
        <v>5</v>
      </c>
      <c r="H356" s="3" t="s">
        <v>3783</v>
      </c>
      <c r="I356">
        <v>19200196</v>
      </c>
      <c r="J356" t="s">
        <v>6099</v>
      </c>
    </row>
    <row r="357" spans="1:10">
      <c r="A357" s="3">
        <f>SUBTOTAL(3,J$3:J357)</f>
        <v>355</v>
      </c>
      <c r="B357" s="3" t="s">
        <v>86</v>
      </c>
      <c r="C357" t="s">
        <v>5777</v>
      </c>
      <c r="D357" t="s">
        <v>5778</v>
      </c>
      <c r="F357" t="s">
        <v>5797</v>
      </c>
      <c r="G357">
        <v>5</v>
      </c>
      <c r="H357" s="3" t="s">
        <v>3783</v>
      </c>
      <c r="I357">
        <v>19200204</v>
      </c>
      <c r="J357" t="s">
        <v>6100</v>
      </c>
    </row>
    <row r="358" spans="1:10">
      <c r="A358" s="3">
        <f>SUBTOTAL(3,J$3:J358)</f>
        <v>356</v>
      </c>
      <c r="B358" s="3" t="s">
        <v>86</v>
      </c>
      <c r="C358" t="s">
        <v>5777</v>
      </c>
      <c r="D358" t="s">
        <v>5778</v>
      </c>
      <c r="F358" t="s">
        <v>5797</v>
      </c>
      <c r="G358">
        <v>5</v>
      </c>
      <c r="H358" s="3" t="s">
        <v>3783</v>
      </c>
      <c r="I358">
        <v>20210240</v>
      </c>
      <c r="J358" t="s">
        <v>6101</v>
      </c>
    </row>
    <row r="359" spans="1:10">
      <c r="A359" s="3">
        <f>SUBTOTAL(3,J$3:J359)</f>
        <v>357</v>
      </c>
      <c r="B359" s="3" t="s">
        <v>86</v>
      </c>
      <c r="C359" t="s">
        <v>5777</v>
      </c>
      <c r="D359" t="s">
        <v>5778</v>
      </c>
      <c r="F359" t="s">
        <v>5797</v>
      </c>
      <c r="G359">
        <v>5</v>
      </c>
      <c r="H359" s="3" t="s">
        <v>3783</v>
      </c>
      <c r="I359">
        <v>19200209</v>
      </c>
      <c r="J359" t="s">
        <v>6102</v>
      </c>
    </row>
    <row r="360" spans="1:10">
      <c r="A360" s="3">
        <f>SUBTOTAL(3,J$3:J360)</f>
        <v>358</v>
      </c>
      <c r="B360" s="3" t="s">
        <v>86</v>
      </c>
      <c r="C360" t="s">
        <v>5777</v>
      </c>
      <c r="D360" t="s">
        <v>5778</v>
      </c>
      <c r="F360" t="s">
        <v>5797</v>
      </c>
      <c r="G360">
        <v>5</v>
      </c>
      <c r="H360" s="3" t="s">
        <v>3783</v>
      </c>
      <c r="I360">
        <v>20210173</v>
      </c>
      <c r="J360" t="s">
        <v>6103</v>
      </c>
    </row>
    <row r="361" spans="1:10">
      <c r="A361" s="3">
        <f>SUBTOTAL(3,J$3:J361)</f>
        <v>359</v>
      </c>
      <c r="B361" s="3" t="s">
        <v>86</v>
      </c>
      <c r="C361" t="s">
        <v>5777</v>
      </c>
      <c r="D361" t="s">
        <v>5778</v>
      </c>
      <c r="F361" t="s">
        <v>5797</v>
      </c>
      <c r="G361">
        <v>5</v>
      </c>
      <c r="H361" s="3" t="s">
        <v>3783</v>
      </c>
      <c r="I361">
        <v>20210211</v>
      </c>
      <c r="J361" t="s">
        <v>6104</v>
      </c>
    </row>
    <row r="362" spans="1:10">
      <c r="A362" s="3">
        <f>SUBTOTAL(3,J$3:J362)</f>
        <v>360</v>
      </c>
      <c r="B362" s="3" t="s">
        <v>86</v>
      </c>
      <c r="C362" t="s">
        <v>5777</v>
      </c>
      <c r="D362" t="s">
        <v>5778</v>
      </c>
      <c r="F362" t="s">
        <v>5797</v>
      </c>
      <c r="G362">
        <v>5</v>
      </c>
      <c r="H362" s="3" t="s">
        <v>3783</v>
      </c>
      <c r="I362">
        <v>19200223</v>
      </c>
      <c r="J362" t="s">
        <v>6105</v>
      </c>
    </row>
    <row r="363" spans="1:10">
      <c r="A363" s="3">
        <f>SUBTOTAL(3,J$3:J363)</f>
        <v>361</v>
      </c>
      <c r="B363" s="3" t="s">
        <v>86</v>
      </c>
      <c r="C363" t="s">
        <v>5777</v>
      </c>
      <c r="D363" t="s">
        <v>5778</v>
      </c>
      <c r="F363" t="s">
        <v>5797</v>
      </c>
      <c r="G363">
        <v>5</v>
      </c>
      <c r="H363" s="3" t="s">
        <v>3783</v>
      </c>
      <c r="I363">
        <v>19200227</v>
      </c>
      <c r="J363" t="s">
        <v>6106</v>
      </c>
    </row>
    <row r="364" spans="1:10">
      <c r="A364" s="3">
        <f>SUBTOTAL(3,J$3:J364)</f>
        <v>362</v>
      </c>
      <c r="B364" s="3" t="s">
        <v>86</v>
      </c>
      <c r="C364" t="s">
        <v>5777</v>
      </c>
      <c r="D364" t="s">
        <v>5778</v>
      </c>
      <c r="F364" t="s">
        <v>5797</v>
      </c>
      <c r="G364">
        <v>5</v>
      </c>
      <c r="H364" s="3" t="s">
        <v>3783</v>
      </c>
      <c r="I364">
        <v>20210189</v>
      </c>
      <c r="J364" t="s">
        <v>6107</v>
      </c>
    </row>
    <row r="365" spans="1:10">
      <c r="A365" s="3">
        <f>SUBTOTAL(3,J$3:J365)</f>
        <v>363</v>
      </c>
      <c r="B365" s="3" t="s">
        <v>86</v>
      </c>
      <c r="C365" t="s">
        <v>5777</v>
      </c>
      <c r="D365" t="s">
        <v>5778</v>
      </c>
      <c r="F365" t="s">
        <v>5797</v>
      </c>
      <c r="G365">
        <v>5</v>
      </c>
      <c r="H365" s="3" t="s">
        <v>3783</v>
      </c>
      <c r="I365">
        <v>19200232</v>
      </c>
      <c r="J365" t="s">
        <v>6108</v>
      </c>
    </row>
    <row r="366" spans="1:10">
      <c r="A366" s="3">
        <f>SUBTOTAL(3,J$3:J366)</f>
        <v>364</v>
      </c>
      <c r="B366" s="3" t="s">
        <v>86</v>
      </c>
      <c r="C366" t="s">
        <v>5777</v>
      </c>
      <c r="D366" t="s">
        <v>5778</v>
      </c>
      <c r="F366" t="s">
        <v>5797</v>
      </c>
      <c r="G366">
        <v>5</v>
      </c>
      <c r="H366" s="3" t="s">
        <v>3783</v>
      </c>
      <c r="I366">
        <v>19200234</v>
      </c>
      <c r="J366" t="s">
        <v>6109</v>
      </c>
    </row>
    <row r="367" spans="1:10">
      <c r="A367" s="3">
        <f>SUBTOTAL(3,J$3:J367)</f>
        <v>365</v>
      </c>
      <c r="B367" s="3" t="s">
        <v>86</v>
      </c>
      <c r="C367" t="s">
        <v>5777</v>
      </c>
      <c r="D367" t="s">
        <v>5778</v>
      </c>
      <c r="F367" t="s">
        <v>5871</v>
      </c>
      <c r="G367">
        <v>5</v>
      </c>
      <c r="H367" s="3" t="s">
        <v>3783</v>
      </c>
      <c r="I367">
        <v>20210203</v>
      </c>
      <c r="J367" t="s">
        <v>6110</v>
      </c>
    </row>
    <row r="368" spans="1:10">
      <c r="A368" s="3">
        <f>SUBTOTAL(3,J$3:J368)</f>
        <v>366</v>
      </c>
      <c r="B368" s="3" t="s">
        <v>86</v>
      </c>
      <c r="C368" t="s">
        <v>5777</v>
      </c>
      <c r="D368" t="s">
        <v>5778</v>
      </c>
      <c r="F368" t="s">
        <v>5797</v>
      </c>
      <c r="G368">
        <v>5</v>
      </c>
      <c r="H368" s="3" t="s">
        <v>3783</v>
      </c>
      <c r="I368">
        <v>19200243</v>
      </c>
      <c r="J368" t="s">
        <v>6111</v>
      </c>
    </row>
    <row r="369" spans="1:10">
      <c r="A369" s="3">
        <f>SUBTOTAL(3,J$3:J369)</f>
        <v>367</v>
      </c>
      <c r="B369" s="3" t="s">
        <v>86</v>
      </c>
      <c r="C369" t="s">
        <v>5777</v>
      </c>
      <c r="D369" t="s">
        <v>5778</v>
      </c>
      <c r="F369" t="s">
        <v>5797</v>
      </c>
      <c r="G369">
        <v>5</v>
      </c>
      <c r="H369" s="3" t="s">
        <v>3783</v>
      </c>
      <c r="I369">
        <v>19200244</v>
      </c>
      <c r="J369" t="s">
        <v>6112</v>
      </c>
    </row>
    <row r="370" spans="1:10">
      <c r="A370" s="3">
        <f>SUBTOTAL(3,J$3:J370)</f>
        <v>368</v>
      </c>
      <c r="B370" s="3" t="s">
        <v>86</v>
      </c>
      <c r="C370" t="s">
        <v>5777</v>
      </c>
      <c r="D370" t="s">
        <v>5778</v>
      </c>
      <c r="F370" t="s">
        <v>5797</v>
      </c>
      <c r="G370">
        <v>5</v>
      </c>
      <c r="H370" s="3" t="s">
        <v>3783</v>
      </c>
      <c r="I370">
        <v>19200249</v>
      </c>
      <c r="J370" t="s">
        <v>6113</v>
      </c>
    </row>
    <row r="371" spans="1:10">
      <c r="A371" s="3">
        <f>SUBTOTAL(3,J$3:J371)</f>
        <v>369</v>
      </c>
      <c r="B371" s="3" t="s">
        <v>86</v>
      </c>
      <c r="C371" t="s">
        <v>5777</v>
      </c>
      <c r="D371" t="s">
        <v>5778</v>
      </c>
      <c r="F371" t="s">
        <v>5797</v>
      </c>
      <c r="G371">
        <v>5</v>
      </c>
      <c r="H371" s="3" t="s">
        <v>3783</v>
      </c>
      <c r="I371">
        <v>20210163</v>
      </c>
      <c r="J371" t="s">
        <v>6114</v>
      </c>
    </row>
    <row r="372" spans="1:10">
      <c r="A372" s="3">
        <f>SUBTOTAL(3,J$3:J372)</f>
        <v>370</v>
      </c>
      <c r="B372" s="3" t="s">
        <v>86</v>
      </c>
      <c r="C372" t="s">
        <v>5777</v>
      </c>
      <c r="D372" t="s">
        <v>5778</v>
      </c>
      <c r="F372" t="s">
        <v>5797</v>
      </c>
      <c r="G372">
        <v>5</v>
      </c>
      <c r="H372" s="3" t="s">
        <v>3783</v>
      </c>
      <c r="I372">
        <v>20210165</v>
      </c>
      <c r="J372" t="s">
        <v>6115</v>
      </c>
    </row>
    <row r="373" spans="1:10">
      <c r="A373" s="3">
        <f>SUBTOTAL(3,J$3:J373)</f>
        <v>371</v>
      </c>
      <c r="B373" s="3" t="s">
        <v>86</v>
      </c>
      <c r="C373" t="s">
        <v>5777</v>
      </c>
      <c r="D373" t="s">
        <v>5778</v>
      </c>
      <c r="F373" t="s">
        <v>5797</v>
      </c>
      <c r="G373">
        <v>5</v>
      </c>
      <c r="H373" s="3" t="s">
        <v>3783</v>
      </c>
      <c r="I373">
        <v>19200262</v>
      </c>
      <c r="J373" t="s">
        <v>6116</v>
      </c>
    </row>
    <row r="374" spans="1:10">
      <c r="A374" s="3">
        <f>SUBTOTAL(3,J$3:J374)</f>
        <v>372</v>
      </c>
      <c r="B374" s="3" t="s">
        <v>86</v>
      </c>
      <c r="C374" t="s">
        <v>5777</v>
      </c>
      <c r="D374" t="s">
        <v>5778</v>
      </c>
      <c r="F374" t="s">
        <v>5797</v>
      </c>
      <c r="G374">
        <v>5</v>
      </c>
      <c r="H374" s="3" t="s">
        <v>3783</v>
      </c>
      <c r="I374">
        <v>19200269</v>
      </c>
      <c r="J374" t="s">
        <v>6117</v>
      </c>
    </row>
    <row r="375" spans="1:10">
      <c r="A375" s="3">
        <f>SUBTOTAL(3,J$3:J375)</f>
        <v>373</v>
      </c>
      <c r="B375" s="3" t="s">
        <v>86</v>
      </c>
      <c r="C375" t="s">
        <v>5777</v>
      </c>
      <c r="D375" t="s">
        <v>5778</v>
      </c>
      <c r="F375" t="s">
        <v>5797</v>
      </c>
      <c r="G375">
        <v>5</v>
      </c>
      <c r="H375" s="3" t="s">
        <v>3783</v>
      </c>
      <c r="I375">
        <v>19200273</v>
      </c>
      <c r="J375" t="s">
        <v>6118</v>
      </c>
    </row>
    <row r="376" spans="1:10">
      <c r="A376" s="3">
        <f>SUBTOTAL(3,J$3:J376)</f>
        <v>374</v>
      </c>
      <c r="B376" s="3" t="s">
        <v>86</v>
      </c>
      <c r="C376" t="s">
        <v>5777</v>
      </c>
      <c r="D376" t="s">
        <v>5778</v>
      </c>
      <c r="F376" t="s">
        <v>5797</v>
      </c>
      <c r="G376">
        <v>5</v>
      </c>
      <c r="H376" s="3" t="s">
        <v>3783</v>
      </c>
      <c r="I376">
        <v>19200277</v>
      </c>
      <c r="J376" t="s">
        <v>6119</v>
      </c>
    </row>
    <row r="377" spans="1:10">
      <c r="A377" s="3">
        <f>SUBTOTAL(3,J$3:J377)</f>
        <v>375</v>
      </c>
      <c r="B377" s="3" t="s">
        <v>86</v>
      </c>
      <c r="C377" t="s">
        <v>5777</v>
      </c>
      <c r="D377" t="s">
        <v>5778</v>
      </c>
      <c r="F377" t="s">
        <v>5797</v>
      </c>
      <c r="G377">
        <v>5</v>
      </c>
      <c r="H377" s="3" t="s">
        <v>3783</v>
      </c>
      <c r="I377">
        <v>20210182</v>
      </c>
      <c r="J377" t="s">
        <v>6120</v>
      </c>
    </row>
    <row r="378" spans="1:10">
      <c r="A378" s="3">
        <f>SUBTOTAL(3,J$3:J378)</f>
        <v>376</v>
      </c>
      <c r="B378" s="3" t="s">
        <v>86</v>
      </c>
      <c r="C378" t="s">
        <v>5777</v>
      </c>
      <c r="D378" t="s">
        <v>5778</v>
      </c>
      <c r="F378" t="s">
        <v>5797</v>
      </c>
      <c r="G378">
        <v>5</v>
      </c>
      <c r="H378" s="3" t="s">
        <v>3783</v>
      </c>
      <c r="I378">
        <v>19200291</v>
      </c>
      <c r="J378" t="s">
        <v>6121</v>
      </c>
    </row>
    <row r="379" spans="1:10">
      <c r="A379" s="3">
        <f>SUBTOTAL(3,J$3:J379)</f>
        <v>377</v>
      </c>
      <c r="B379" s="3" t="s">
        <v>86</v>
      </c>
      <c r="C379" t="s">
        <v>5777</v>
      </c>
      <c r="D379" t="s">
        <v>5778</v>
      </c>
      <c r="F379" t="s">
        <v>5797</v>
      </c>
      <c r="G379">
        <v>5</v>
      </c>
      <c r="H379" s="3" t="s">
        <v>3783</v>
      </c>
      <c r="I379">
        <v>20210199</v>
      </c>
      <c r="J379" t="s">
        <v>6122</v>
      </c>
    </row>
    <row r="380" spans="1:10">
      <c r="A380" s="3">
        <f>SUBTOTAL(3,J$3:J380)</f>
        <v>378</v>
      </c>
      <c r="B380" s="3" t="s">
        <v>86</v>
      </c>
      <c r="C380" t="s">
        <v>5777</v>
      </c>
      <c r="D380" t="s">
        <v>5778</v>
      </c>
      <c r="F380" t="s">
        <v>5797</v>
      </c>
      <c r="G380">
        <v>5</v>
      </c>
      <c r="H380" s="3" t="s">
        <v>3783</v>
      </c>
      <c r="I380">
        <v>19200300</v>
      </c>
      <c r="J380" t="s">
        <v>6090</v>
      </c>
    </row>
    <row r="381" spans="1:10">
      <c r="A381" s="3">
        <f>SUBTOTAL(3,J$3:J381)</f>
        <v>379</v>
      </c>
      <c r="B381" s="3" t="s">
        <v>86</v>
      </c>
      <c r="C381" t="s">
        <v>5777</v>
      </c>
      <c r="D381" t="s">
        <v>5778</v>
      </c>
      <c r="F381" t="s">
        <v>5797</v>
      </c>
      <c r="G381">
        <v>5</v>
      </c>
      <c r="H381" s="3" t="s">
        <v>3783</v>
      </c>
      <c r="I381">
        <v>19200308</v>
      </c>
      <c r="J381" t="s">
        <v>3673</v>
      </c>
    </row>
    <row r="382" spans="1:10">
      <c r="A382" s="3">
        <f>SUBTOTAL(3,J$3:J382)</f>
        <v>380</v>
      </c>
      <c r="B382" s="3" t="s">
        <v>86</v>
      </c>
      <c r="C382" t="s">
        <v>5777</v>
      </c>
      <c r="D382" t="s">
        <v>5778</v>
      </c>
      <c r="F382" t="s">
        <v>5797</v>
      </c>
      <c r="G382">
        <v>5</v>
      </c>
      <c r="H382" s="3" t="s">
        <v>3783</v>
      </c>
      <c r="I382">
        <v>19200310</v>
      </c>
      <c r="J382" t="s">
        <v>6123</v>
      </c>
    </row>
    <row r="383" spans="1:10">
      <c r="A383" s="3">
        <f>SUBTOTAL(3,J$3:J383)</f>
        <v>381</v>
      </c>
      <c r="B383" s="3" t="s">
        <v>86</v>
      </c>
      <c r="C383" t="s">
        <v>5777</v>
      </c>
      <c r="D383" t="s">
        <v>5778</v>
      </c>
      <c r="F383" t="s">
        <v>5797</v>
      </c>
      <c r="G383">
        <v>5</v>
      </c>
      <c r="H383" s="3" t="s">
        <v>3783</v>
      </c>
      <c r="I383">
        <v>20210144</v>
      </c>
      <c r="J383" t="s">
        <v>6124</v>
      </c>
    </row>
    <row r="384" spans="1:10">
      <c r="A384" s="3">
        <f>SUBTOTAL(3,J$3:J384)</f>
        <v>382</v>
      </c>
      <c r="B384" s="3" t="s">
        <v>86</v>
      </c>
      <c r="C384" t="s">
        <v>5777</v>
      </c>
      <c r="D384" t="s">
        <v>5778</v>
      </c>
      <c r="F384" t="s">
        <v>5797</v>
      </c>
      <c r="G384">
        <v>5</v>
      </c>
      <c r="H384" s="3" t="s">
        <v>3783</v>
      </c>
      <c r="I384">
        <v>19200314</v>
      </c>
      <c r="J384" t="s">
        <v>6125</v>
      </c>
    </row>
    <row r="385" spans="1:10">
      <c r="A385" s="3">
        <f>SUBTOTAL(3,J$3:J385)</f>
        <v>383</v>
      </c>
      <c r="B385" s="3" t="s">
        <v>86</v>
      </c>
      <c r="C385" t="s">
        <v>5777</v>
      </c>
      <c r="D385" t="s">
        <v>5778</v>
      </c>
      <c r="F385" t="s">
        <v>5797</v>
      </c>
      <c r="G385">
        <v>5</v>
      </c>
      <c r="H385" s="3" t="s">
        <v>3783</v>
      </c>
      <c r="I385">
        <v>19200318</v>
      </c>
      <c r="J385" t="s">
        <v>6126</v>
      </c>
    </row>
    <row r="386" spans="1:10">
      <c r="A386" s="3">
        <f>SUBTOTAL(3,J$3:J386)</f>
        <v>384</v>
      </c>
      <c r="B386" s="3" t="s">
        <v>86</v>
      </c>
      <c r="C386" t="s">
        <v>5777</v>
      </c>
      <c r="D386" t="s">
        <v>5778</v>
      </c>
      <c r="F386" t="s">
        <v>5797</v>
      </c>
      <c r="G386">
        <v>5</v>
      </c>
      <c r="H386" s="3" t="s">
        <v>3783</v>
      </c>
      <c r="I386">
        <v>19200319</v>
      </c>
      <c r="J386" t="s">
        <v>6074</v>
      </c>
    </row>
    <row r="387" spans="1:10">
      <c r="A387" s="3">
        <f>SUBTOTAL(3,J$3:J387)</f>
        <v>385</v>
      </c>
      <c r="B387" s="3" t="s">
        <v>86</v>
      </c>
      <c r="C387" t="s">
        <v>5777</v>
      </c>
      <c r="D387" t="s">
        <v>5778</v>
      </c>
      <c r="F387" t="s">
        <v>5797</v>
      </c>
      <c r="G387">
        <v>5</v>
      </c>
      <c r="H387" s="3" t="s">
        <v>3783</v>
      </c>
      <c r="I387">
        <v>19200321</v>
      </c>
      <c r="J387" t="s">
        <v>6127</v>
      </c>
    </row>
    <row r="388" spans="1:10">
      <c r="A388" s="3">
        <f>SUBTOTAL(3,J$3:J388)</f>
        <v>386</v>
      </c>
      <c r="B388" s="3" t="s">
        <v>86</v>
      </c>
      <c r="C388" t="s">
        <v>5777</v>
      </c>
      <c r="D388" t="s">
        <v>5778</v>
      </c>
      <c r="F388" t="s">
        <v>5797</v>
      </c>
      <c r="G388">
        <v>5</v>
      </c>
      <c r="H388" s="3" t="s">
        <v>3783</v>
      </c>
      <c r="I388">
        <v>19200322</v>
      </c>
      <c r="J388" t="s">
        <v>6128</v>
      </c>
    </row>
    <row r="389" spans="1:10">
      <c r="A389" s="3">
        <f>SUBTOTAL(3,J$3:J389)</f>
        <v>387</v>
      </c>
      <c r="B389" s="3" t="s">
        <v>86</v>
      </c>
      <c r="C389" t="s">
        <v>5777</v>
      </c>
      <c r="D389" t="s">
        <v>5778</v>
      </c>
      <c r="F389" t="s">
        <v>5797</v>
      </c>
      <c r="G389">
        <v>5</v>
      </c>
      <c r="H389" s="3" t="s">
        <v>3783</v>
      </c>
      <c r="I389">
        <v>19200329</v>
      </c>
      <c r="J389" t="s">
        <v>6129</v>
      </c>
    </row>
    <row r="390" spans="1:10">
      <c r="A390" s="3">
        <f>SUBTOTAL(3,J$3:J390)</f>
        <v>388</v>
      </c>
      <c r="B390" s="3" t="s">
        <v>86</v>
      </c>
      <c r="C390" t="s">
        <v>5777</v>
      </c>
      <c r="D390" t="s">
        <v>5778</v>
      </c>
      <c r="F390" t="s">
        <v>5797</v>
      </c>
      <c r="G390">
        <v>5</v>
      </c>
      <c r="H390" s="3" t="s">
        <v>3783</v>
      </c>
      <c r="I390">
        <v>19200333</v>
      </c>
      <c r="J390" t="s">
        <v>6130</v>
      </c>
    </row>
    <row r="391" spans="1:10">
      <c r="A391" s="3">
        <f>SUBTOTAL(3,J$3:J391)</f>
        <v>389</v>
      </c>
      <c r="B391" s="3" t="s">
        <v>86</v>
      </c>
      <c r="C391" t="s">
        <v>5777</v>
      </c>
      <c r="D391" t="s">
        <v>5778</v>
      </c>
      <c r="F391" t="s">
        <v>5797</v>
      </c>
      <c r="G391">
        <v>5</v>
      </c>
      <c r="H391" s="3" t="s">
        <v>3783</v>
      </c>
      <c r="I391">
        <v>19200337</v>
      </c>
      <c r="J391" t="s">
        <v>6131</v>
      </c>
    </row>
    <row r="392" spans="1:10">
      <c r="A392" s="3">
        <f>SUBTOTAL(3,J$3:J392)</f>
        <v>390</v>
      </c>
      <c r="B392" s="3" t="s">
        <v>86</v>
      </c>
      <c r="C392" t="s">
        <v>5777</v>
      </c>
      <c r="D392" t="s">
        <v>5778</v>
      </c>
      <c r="F392" t="s">
        <v>5797</v>
      </c>
      <c r="G392">
        <v>5</v>
      </c>
      <c r="H392" s="3" t="s">
        <v>3783</v>
      </c>
      <c r="I392">
        <v>20210215</v>
      </c>
      <c r="J392" t="s">
        <v>5826</v>
      </c>
    </row>
    <row r="393" spans="1:10">
      <c r="A393" s="3">
        <f>SUBTOTAL(3,J$3:J393)</f>
        <v>391</v>
      </c>
      <c r="B393" s="3" t="s">
        <v>86</v>
      </c>
      <c r="C393" t="s">
        <v>5777</v>
      </c>
      <c r="D393" t="s">
        <v>5778</v>
      </c>
      <c r="F393" t="s">
        <v>5797</v>
      </c>
      <c r="G393">
        <v>5</v>
      </c>
      <c r="H393" s="3" t="s">
        <v>3783</v>
      </c>
      <c r="I393">
        <v>19200343</v>
      </c>
      <c r="J393" t="s">
        <v>6132</v>
      </c>
    </row>
    <row r="394" spans="1:10">
      <c r="A394" s="3">
        <f>SUBTOTAL(3,J$3:J394)</f>
        <v>392</v>
      </c>
      <c r="B394" s="3" t="s">
        <v>86</v>
      </c>
      <c r="C394" t="s">
        <v>5777</v>
      </c>
      <c r="D394" t="s">
        <v>5778</v>
      </c>
      <c r="F394" t="s">
        <v>5797</v>
      </c>
      <c r="G394">
        <v>6</v>
      </c>
      <c r="H394" s="3" t="s">
        <v>4192</v>
      </c>
      <c r="I394">
        <v>19200186</v>
      </c>
      <c r="J394" t="s">
        <v>6133</v>
      </c>
    </row>
    <row r="395" spans="1:10">
      <c r="A395" s="3">
        <f>SUBTOTAL(3,J$3:J395)</f>
        <v>393</v>
      </c>
      <c r="B395" s="3" t="s">
        <v>86</v>
      </c>
      <c r="C395" t="s">
        <v>5777</v>
      </c>
      <c r="D395" t="s">
        <v>5778</v>
      </c>
      <c r="F395" t="s">
        <v>5797</v>
      </c>
      <c r="G395">
        <v>6</v>
      </c>
      <c r="H395" s="3" t="s">
        <v>4192</v>
      </c>
      <c r="I395">
        <v>19200191</v>
      </c>
      <c r="J395" t="s">
        <v>6134</v>
      </c>
    </row>
    <row r="396" spans="1:10">
      <c r="A396" s="3">
        <f>SUBTOTAL(3,J$3:J396)</f>
        <v>394</v>
      </c>
      <c r="B396" s="3" t="s">
        <v>86</v>
      </c>
      <c r="C396" t="s">
        <v>5777</v>
      </c>
      <c r="D396" t="s">
        <v>5778</v>
      </c>
      <c r="F396" t="s">
        <v>5797</v>
      </c>
      <c r="G396">
        <v>6</v>
      </c>
      <c r="H396" s="3" t="s">
        <v>4192</v>
      </c>
      <c r="I396">
        <v>18190145</v>
      </c>
      <c r="J396" t="s">
        <v>6135</v>
      </c>
    </row>
    <row r="397" spans="1:10">
      <c r="A397" s="3">
        <f>SUBTOTAL(3,J$3:J397)</f>
        <v>395</v>
      </c>
      <c r="B397" s="3" t="s">
        <v>86</v>
      </c>
      <c r="C397" t="s">
        <v>5777</v>
      </c>
      <c r="D397" t="s">
        <v>5778</v>
      </c>
      <c r="F397" t="s">
        <v>5797</v>
      </c>
      <c r="G397">
        <v>6</v>
      </c>
      <c r="H397" s="3" t="s">
        <v>4192</v>
      </c>
      <c r="I397">
        <v>18190148</v>
      </c>
      <c r="J397" t="s">
        <v>6136</v>
      </c>
    </row>
    <row r="398" spans="1:10">
      <c r="A398" s="3">
        <f>SUBTOTAL(3,J$3:J398)</f>
        <v>396</v>
      </c>
      <c r="B398" s="3" t="s">
        <v>86</v>
      </c>
      <c r="C398" t="s">
        <v>5777</v>
      </c>
      <c r="D398" t="s">
        <v>5778</v>
      </c>
      <c r="F398" t="s">
        <v>5797</v>
      </c>
      <c r="G398">
        <v>6</v>
      </c>
      <c r="H398" s="3" t="s">
        <v>4192</v>
      </c>
      <c r="I398">
        <v>18190152</v>
      </c>
      <c r="J398" t="s">
        <v>6137</v>
      </c>
    </row>
    <row r="399" spans="1:10">
      <c r="A399" s="3">
        <f>SUBTOTAL(3,J$3:J399)</f>
        <v>397</v>
      </c>
      <c r="B399" s="3" t="s">
        <v>86</v>
      </c>
      <c r="C399" t="s">
        <v>5777</v>
      </c>
      <c r="D399" t="s">
        <v>5778</v>
      </c>
      <c r="F399" t="s">
        <v>5797</v>
      </c>
      <c r="G399">
        <v>6</v>
      </c>
      <c r="H399" s="3" t="s">
        <v>4192</v>
      </c>
      <c r="I399">
        <v>18190156</v>
      </c>
      <c r="J399" t="s">
        <v>6138</v>
      </c>
    </row>
    <row r="400" spans="1:10">
      <c r="A400" s="3">
        <f>SUBTOTAL(3,J$3:J400)</f>
        <v>398</v>
      </c>
      <c r="B400" s="3" t="s">
        <v>86</v>
      </c>
      <c r="C400" t="s">
        <v>5777</v>
      </c>
      <c r="D400" t="s">
        <v>5778</v>
      </c>
      <c r="F400" t="s">
        <v>5797</v>
      </c>
      <c r="G400">
        <v>6</v>
      </c>
      <c r="H400" s="3" t="s">
        <v>4192</v>
      </c>
      <c r="I400">
        <v>17180116</v>
      </c>
      <c r="J400" t="s">
        <v>6139</v>
      </c>
    </row>
    <row r="401" spans="1:10">
      <c r="A401" s="3">
        <f>SUBTOTAL(3,J$3:J401)</f>
        <v>399</v>
      </c>
      <c r="B401" s="3" t="s">
        <v>86</v>
      </c>
      <c r="C401" t="s">
        <v>5777</v>
      </c>
      <c r="D401" t="s">
        <v>5778</v>
      </c>
      <c r="F401" t="s">
        <v>5871</v>
      </c>
      <c r="G401">
        <v>6</v>
      </c>
      <c r="H401" s="3" t="s">
        <v>4192</v>
      </c>
      <c r="I401">
        <v>19200238</v>
      </c>
      <c r="J401" t="s">
        <v>6140</v>
      </c>
    </row>
    <row r="402" spans="1:10">
      <c r="A402" s="3">
        <f>SUBTOTAL(3,J$3:J402)</f>
        <v>400</v>
      </c>
      <c r="B402" s="3" t="s">
        <v>86</v>
      </c>
      <c r="C402" t="s">
        <v>5777</v>
      </c>
      <c r="D402" t="s">
        <v>5778</v>
      </c>
      <c r="F402" t="s">
        <v>5797</v>
      </c>
      <c r="G402">
        <v>6</v>
      </c>
      <c r="H402" s="3" t="s">
        <v>4192</v>
      </c>
      <c r="I402">
        <v>19200253</v>
      </c>
      <c r="J402" t="s">
        <v>6141</v>
      </c>
    </row>
    <row r="403" spans="1:10">
      <c r="A403" s="3">
        <f>SUBTOTAL(3,J$3:J403)</f>
        <v>401</v>
      </c>
      <c r="B403" s="3" t="s">
        <v>86</v>
      </c>
      <c r="C403" t="s">
        <v>5777</v>
      </c>
      <c r="D403" t="s">
        <v>5778</v>
      </c>
      <c r="F403" t="s">
        <v>5797</v>
      </c>
      <c r="G403">
        <v>6</v>
      </c>
      <c r="H403" s="3" t="s">
        <v>4192</v>
      </c>
      <c r="I403">
        <v>18190180</v>
      </c>
      <c r="J403" t="s">
        <v>6142</v>
      </c>
    </row>
    <row r="404" spans="1:10">
      <c r="A404" s="3">
        <f>SUBTOTAL(3,J$3:J404)</f>
        <v>402</v>
      </c>
      <c r="B404" s="3" t="s">
        <v>86</v>
      </c>
      <c r="C404" t="s">
        <v>5777</v>
      </c>
      <c r="D404" t="s">
        <v>5778</v>
      </c>
      <c r="F404" t="s">
        <v>5797</v>
      </c>
      <c r="G404">
        <v>6</v>
      </c>
      <c r="H404" s="3" t="s">
        <v>4192</v>
      </c>
      <c r="I404">
        <v>17180128</v>
      </c>
      <c r="J404" t="s">
        <v>6143</v>
      </c>
    </row>
    <row r="405" spans="1:10">
      <c r="A405" s="3">
        <f>SUBTOTAL(3,J$3:J405)</f>
        <v>403</v>
      </c>
      <c r="B405" s="3" t="s">
        <v>86</v>
      </c>
      <c r="C405" t="s">
        <v>5777</v>
      </c>
      <c r="D405" t="s">
        <v>5778</v>
      </c>
      <c r="F405" t="s">
        <v>5797</v>
      </c>
      <c r="G405">
        <v>6</v>
      </c>
      <c r="H405" s="3" t="s">
        <v>4192</v>
      </c>
      <c r="I405">
        <v>18190183</v>
      </c>
      <c r="J405" t="s">
        <v>6144</v>
      </c>
    </row>
    <row r="406" spans="1:10">
      <c r="A406" s="3">
        <f>SUBTOTAL(3,J$3:J406)</f>
        <v>404</v>
      </c>
      <c r="B406" s="3" t="s">
        <v>86</v>
      </c>
      <c r="C406" t="s">
        <v>5777</v>
      </c>
      <c r="D406" t="s">
        <v>5778</v>
      </c>
      <c r="F406" t="s">
        <v>5797</v>
      </c>
      <c r="G406">
        <v>6</v>
      </c>
      <c r="H406" s="3" t="s">
        <v>4192</v>
      </c>
      <c r="I406">
        <v>18190185</v>
      </c>
      <c r="J406" t="s">
        <v>6145</v>
      </c>
    </row>
    <row r="407" spans="1:10">
      <c r="A407" s="3">
        <f>SUBTOTAL(3,J$3:J407)</f>
        <v>405</v>
      </c>
      <c r="B407" s="3" t="s">
        <v>86</v>
      </c>
      <c r="C407" t="s">
        <v>5777</v>
      </c>
      <c r="D407" t="s">
        <v>5778</v>
      </c>
      <c r="F407" t="s">
        <v>5797</v>
      </c>
      <c r="G407">
        <v>6</v>
      </c>
      <c r="H407" s="3" t="s">
        <v>4192</v>
      </c>
      <c r="I407">
        <v>19200264</v>
      </c>
      <c r="J407" t="s">
        <v>6146</v>
      </c>
    </row>
    <row r="408" spans="1:10">
      <c r="A408" s="3">
        <f>SUBTOTAL(3,J$3:J408)</f>
        <v>406</v>
      </c>
      <c r="B408" s="3" t="s">
        <v>86</v>
      </c>
      <c r="C408" t="s">
        <v>5777</v>
      </c>
      <c r="D408" t="s">
        <v>5778</v>
      </c>
      <c r="F408" t="s">
        <v>5797</v>
      </c>
      <c r="G408">
        <v>6</v>
      </c>
      <c r="H408" s="3" t="s">
        <v>4192</v>
      </c>
      <c r="I408">
        <v>18190192</v>
      </c>
      <c r="J408" t="s">
        <v>6147</v>
      </c>
    </row>
    <row r="409" spans="1:10">
      <c r="A409" s="3">
        <f>SUBTOTAL(3,J$3:J409)</f>
        <v>407</v>
      </c>
      <c r="B409" s="3" t="s">
        <v>86</v>
      </c>
      <c r="C409" t="s">
        <v>5777</v>
      </c>
      <c r="D409" t="s">
        <v>5778</v>
      </c>
      <c r="F409" t="s">
        <v>5797</v>
      </c>
      <c r="G409">
        <v>6</v>
      </c>
      <c r="H409" s="3" t="s">
        <v>4192</v>
      </c>
      <c r="I409">
        <v>19200274</v>
      </c>
      <c r="J409" t="s">
        <v>6148</v>
      </c>
    </row>
    <row r="410" spans="1:10">
      <c r="A410" s="3">
        <f>SUBTOTAL(3,J$3:J410)</f>
        <v>408</v>
      </c>
      <c r="B410" s="3" t="s">
        <v>86</v>
      </c>
      <c r="C410" t="s">
        <v>5777</v>
      </c>
      <c r="D410" t="s">
        <v>5778</v>
      </c>
      <c r="F410" t="s">
        <v>5797</v>
      </c>
      <c r="G410">
        <v>6</v>
      </c>
      <c r="H410" s="3" t="s">
        <v>4192</v>
      </c>
      <c r="I410">
        <v>18190195</v>
      </c>
      <c r="J410" t="s">
        <v>6149</v>
      </c>
    </row>
    <row r="411" spans="1:10">
      <c r="A411" s="3">
        <f>SUBTOTAL(3,J$3:J411)</f>
        <v>409</v>
      </c>
      <c r="B411" s="3" t="s">
        <v>86</v>
      </c>
      <c r="C411" t="s">
        <v>5777</v>
      </c>
      <c r="D411" t="s">
        <v>5778</v>
      </c>
      <c r="F411" t="s">
        <v>5797</v>
      </c>
      <c r="G411">
        <v>6</v>
      </c>
      <c r="H411" s="3" t="s">
        <v>4192</v>
      </c>
      <c r="I411">
        <v>18190196</v>
      </c>
      <c r="J411" t="s">
        <v>6150</v>
      </c>
    </row>
    <row r="412" spans="1:10">
      <c r="A412" s="3">
        <f>SUBTOTAL(3,J$3:J412)</f>
        <v>410</v>
      </c>
      <c r="B412" s="3" t="s">
        <v>86</v>
      </c>
      <c r="C412" t="s">
        <v>5777</v>
      </c>
      <c r="D412" t="s">
        <v>5778</v>
      </c>
      <c r="F412" t="s">
        <v>5797</v>
      </c>
      <c r="G412">
        <v>6</v>
      </c>
      <c r="H412" s="3" t="s">
        <v>4192</v>
      </c>
      <c r="I412">
        <v>17180137</v>
      </c>
      <c r="J412" t="s">
        <v>6151</v>
      </c>
    </row>
    <row r="413" spans="1:10">
      <c r="A413" s="3">
        <f>SUBTOTAL(3,J$3:J413)</f>
        <v>411</v>
      </c>
      <c r="B413" s="3" t="s">
        <v>86</v>
      </c>
      <c r="C413" t="s">
        <v>5777</v>
      </c>
      <c r="D413" t="s">
        <v>5778</v>
      </c>
      <c r="F413" t="s">
        <v>5797</v>
      </c>
      <c r="G413">
        <v>6</v>
      </c>
      <c r="H413" s="3" t="s">
        <v>4192</v>
      </c>
      <c r="I413">
        <v>17180142</v>
      </c>
      <c r="J413" t="s">
        <v>6152</v>
      </c>
    </row>
    <row r="414" spans="1:10">
      <c r="A414" s="3">
        <f>SUBTOTAL(3,J$3:J414)</f>
        <v>412</v>
      </c>
      <c r="B414" s="3" t="s">
        <v>86</v>
      </c>
      <c r="C414" t="s">
        <v>5777</v>
      </c>
      <c r="D414" t="s">
        <v>5778</v>
      </c>
      <c r="F414" t="s">
        <v>5797</v>
      </c>
      <c r="G414">
        <v>6</v>
      </c>
      <c r="H414" s="3" t="s">
        <v>4192</v>
      </c>
      <c r="I414">
        <v>18190205</v>
      </c>
      <c r="J414" t="s">
        <v>6153</v>
      </c>
    </row>
    <row r="415" spans="1:10">
      <c r="A415" s="3">
        <f>SUBTOTAL(3,J$3:J415)</f>
        <v>413</v>
      </c>
      <c r="B415" s="3" t="s">
        <v>86</v>
      </c>
      <c r="C415" t="s">
        <v>5777</v>
      </c>
      <c r="D415" t="s">
        <v>5778</v>
      </c>
      <c r="F415" t="s">
        <v>5797</v>
      </c>
      <c r="G415">
        <v>6</v>
      </c>
      <c r="H415" s="3" t="s">
        <v>4192</v>
      </c>
      <c r="I415">
        <v>18190238</v>
      </c>
      <c r="J415" t="s">
        <v>6154</v>
      </c>
    </row>
    <row r="416" spans="1:10">
      <c r="A416" s="3">
        <f>SUBTOTAL(3,J$3:J416)</f>
        <v>414</v>
      </c>
      <c r="B416" s="3" t="s">
        <v>86</v>
      </c>
      <c r="C416" t="s">
        <v>5777</v>
      </c>
      <c r="D416" t="s">
        <v>5778</v>
      </c>
      <c r="F416" t="s">
        <v>5797</v>
      </c>
      <c r="G416">
        <v>6</v>
      </c>
      <c r="H416" s="3" t="s">
        <v>4192</v>
      </c>
      <c r="I416">
        <v>18190207</v>
      </c>
      <c r="J416" t="s">
        <v>6155</v>
      </c>
    </row>
    <row r="417" spans="1:10">
      <c r="A417" s="3">
        <f>SUBTOTAL(3,J$3:J417)</f>
        <v>415</v>
      </c>
      <c r="B417" s="3" t="s">
        <v>86</v>
      </c>
      <c r="C417" t="s">
        <v>5777</v>
      </c>
      <c r="D417" t="s">
        <v>5778</v>
      </c>
      <c r="F417" t="s">
        <v>5871</v>
      </c>
      <c r="G417">
        <v>6</v>
      </c>
      <c r="H417" s="3" t="s">
        <v>4192</v>
      </c>
      <c r="I417">
        <v>18190208</v>
      </c>
      <c r="J417" t="s">
        <v>3673</v>
      </c>
    </row>
    <row r="418" spans="1:10">
      <c r="A418" s="3">
        <f>SUBTOTAL(3,J$3:J418)</f>
        <v>416</v>
      </c>
      <c r="B418" s="3" t="s">
        <v>86</v>
      </c>
      <c r="C418" t="s">
        <v>5777</v>
      </c>
      <c r="D418" t="s">
        <v>5778</v>
      </c>
      <c r="F418" t="s">
        <v>5797</v>
      </c>
      <c r="G418">
        <v>6</v>
      </c>
      <c r="H418" s="3" t="s">
        <v>4192</v>
      </c>
      <c r="I418">
        <v>16170124</v>
      </c>
      <c r="J418" t="s">
        <v>3673</v>
      </c>
    </row>
    <row r="419" spans="1:10">
      <c r="A419" s="3">
        <f>SUBTOTAL(3,J$3:J419)</f>
        <v>417</v>
      </c>
      <c r="B419" s="3" t="s">
        <v>86</v>
      </c>
      <c r="C419" t="s">
        <v>5777</v>
      </c>
      <c r="D419" t="s">
        <v>5778</v>
      </c>
      <c r="F419" t="s">
        <v>5871</v>
      </c>
      <c r="G419">
        <v>6</v>
      </c>
      <c r="H419" s="3" t="s">
        <v>4192</v>
      </c>
      <c r="I419">
        <v>18190212</v>
      </c>
      <c r="J419" t="s">
        <v>6156</v>
      </c>
    </row>
    <row r="420" spans="1:10">
      <c r="A420" s="3">
        <f>SUBTOTAL(3,J$3:J420)</f>
        <v>418</v>
      </c>
      <c r="B420" s="3" t="s">
        <v>86</v>
      </c>
      <c r="C420" t="s">
        <v>5777</v>
      </c>
      <c r="D420" t="s">
        <v>5778</v>
      </c>
      <c r="F420" t="s">
        <v>5797</v>
      </c>
      <c r="G420">
        <v>6</v>
      </c>
      <c r="H420" s="3" t="s">
        <v>4192</v>
      </c>
      <c r="I420">
        <v>17180152</v>
      </c>
      <c r="J420" t="s">
        <v>6157</v>
      </c>
    </row>
    <row r="421" spans="1:10">
      <c r="A421" s="3">
        <f>SUBTOTAL(3,J$3:J421)</f>
        <v>419</v>
      </c>
      <c r="B421" s="3" t="s">
        <v>86</v>
      </c>
      <c r="C421" t="s">
        <v>5777</v>
      </c>
      <c r="D421" t="s">
        <v>5778</v>
      </c>
      <c r="F421" t="s">
        <v>870</v>
      </c>
      <c r="G421">
        <v>6</v>
      </c>
      <c r="H421" s="3" t="s">
        <v>4192</v>
      </c>
      <c r="I421">
        <v>18190225</v>
      </c>
      <c r="J421" t="s">
        <v>6158</v>
      </c>
    </row>
    <row r="422" spans="1:10">
      <c r="A422" s="3">
        <f>SUBTOTAL(3,J$3:J422)</f>
        <v>420</v>
      </c>
      <c r="B422" s="3" t="s">
        <v>86</v>
      </c>
      <c r="C422" t="s">
        <v>5777</v>
      </c>
      <c r="D422" t="s">
        <v>5778</v>
      </c>
      <c r="F422" t="s">
        <v>5797</v>
      </c>
      <c r="G422">
        <v>6</v>
      </c>
      <c r="H422" s="3" t="s">
        <v>4489</v>
      </c>
      <c r="I422">
        <v>18190139</v>
      </c>
      <c r="J422" t="s">
        <v>6159</v>
      </c>
    </row>
    <row r="423" spans="1:10">
      <c r="A423" s="3">
        <f>SUBTOTAL(3,J$3:J423)</f>
        <v>421</v>
      </c>
      <c r="B423" s="3" t="s">
        <v>86</v>
      </c>
      <c r="C423" t="s">
        <v>5777</v>
      </c>
      <c r="D423" t="s">
        <v>5778</v>
      </c>
      <c r="F423" t="s">
        <v>5797</v>
      </c>
      <c r="G423">
        <v>6</v>
      </c>
      <c r="H423" s="3" t="s">
        <v>4489</v>
      </c>
      <c r="I423">
        <v>17180104</v>
      </c>
      <c r="J423" t="s">
        <v>6160</v>
      </c>
    </row>
    <row r="424" spans="1:10">
      <c r="A424" s="3">
        <f>SUBTOTAL(3,J$3:J424)</f>
        <v>422</v>
      </c>
      <c r="B424" s="3" t="s">
        <v>86</v>
      </c>
      <c r="C424" t="s">
        <v>5777</v>
      </c>
      <c r="D424" t="s">
        <v>5778</v>
      </c>
      <c r="F424" t="s">
        <v>5797</v>
      </c>
      <c r="G424">
        <v>6</v>
      </c>
      <c r="H424" s="3" t="s">
        <v>4489</v>
      </c>
      <c r="I424">
        <v>19200201</v>
      </c>
      <c r="J424" t="s">
        <v>6161</v>
      </c>
    </row>
    <row r="425" spans="1:10">
      <c r="A425" s="3">
        <f>SUBTOTAL(3,J$3:J425)</f>
        <v>423</v>
      </c>
      <c r="B425" s="3" t="s">
        <v>86</v>
      </c>
      <c r="C425" t="s">
        <v>5777</v>
      </c>
      <c r="D425" t="s">
        <v>5778</v>
      </c>
      <c r="F425" t="s">
        <v>5797</v>
      </c>
      <c r="G425">
        <v>6</v>
      </c>
      <c r="H425" s="3" t="s">
        <v>4489</v>
      </c>
      <c r="I425">
        <v>18190154</v>
      </c>
      <c r="J425" t="s">
        <v>6162</v>
      </c>
    </row>
    <row r="426" spans="1:10">
      <c r="A426" s="3">
        <f>SUBTOTAL(3,J$3:J426)</f>
        <v>424</v>
      </c>
      <c r="B426" s="3" t="s">
        <v>86</v>
      </c>
      <c r="C426" t="s">
        <v>5777</v>
      </c>
      <c r="D426" t="s">
        <v>5778</v>
      </c>
      <c r="F426" t="s">
        <v>5797</v>
      </c>
      <c r="G426">
        <v>6</v>
      </c>
      <c r="H426" s="3" t="s">
        <v>4489</v>
      </c>
      <c r="I426">
        <v>18190158</v>
      </c>
      <c r="J426" t="s">
        <v>6163</v>
      </c>
    </row>
    <row r="427" spans="1:10">
      <c r="A427" s="3">
        <f>SUBTOTAL(3,J$3:J427)</f>
        <v>425</v>
      </c>
      <c r="B427" s="3" t="s">
        <v>86</v>
      </c>
      <c r="C427" t="s">
        <v>5777</v>
      </c>
      <c r="D427" t="s">
        <v>5778</v>
      </c>
      <c r="F427" t="s">
        <v>5797</v>
      </c>
      <c r="G427">
        <v>6</v>
      </c>
      <c r="H427" s="3" t="s">
        <v>4489</v>
      </c>
      <c r="I427">
        <v>18190171</v>
      </c>
      <c r="J427" t="s">
        <v>6164</v>
      </c>
    </row>
    <row r="428" spans="1:10">
      <c r="A428" s="3">
        <f>SUBTOTAL(3,J$3:J428)</f>
        <v>426</v>
      </c>
      <c r="B428" s="3" t="s">
        <v>86</v>
      </c>
      <c r="C428" t="s">
        <v>5777</v>
      </c>
      <c r="D428" t="s">
        <v>5778</v>
      </c>
      <c r="F428" t="s">
        <v>5797</v>
      </c>
      <c r="G428">
        <v>6</v>
      </c>
      <c r="H428" s="3" t="s">
        <v>4489</v>
      </c>
      <c r="I428">
        <v>18190173</v>
      </c>
      <c r="J428" t="s">
        <v>6165</v>
      </c>
    </row>
    <row r="429" spans="1:10">
      <c r="A429" s="3">
        <f>SUBTOTAL(3,J$3:J429)</f>
        <v>427</v>
      </c>
      <c r="B429" s="3" t="s">
        <v>86</v>
      </c>
      <c r="C429" t="s">
        <v>5777</v>
      </c>
      <c r="D429" t="s">
        <v>5778</v>
      </c>
      <c r="F429" t="s">
        <v>5797</v>
      </c>
      <c r="G429">
        <v>6</v>
      </c>
      <c r="H429" s="3" t="s">
        <v>4489</v>
      </c>
      <c r="I429">
        <v>18190176</v>
      </c>
      <c r="J429" t="s">
        <v>6166</v>
      </c>
    </row>
    <row r="430" spans="1:10">
      <c r="A430" s="3">
        <f>SUBTOTAL(3,J$3:J430)</f>
        <v>428</v>
      </c>
      <c r="B430" s="3" t="s">
        <v>86</v>
      </c>
      <c r="C430" t="s">
        <v>5777</v>
      </c>
      <c r="D430" t="s">
        <v>5778</v>
      </c>
      <c r="F430" t="s">
        <v>5797</v>
      </c>
      <c r="G430">
        <v>6</v>
      </c>
      <c r="H430" s="3" t="s">
        <v>4489</v>
      </c>
      <c r="I430">
        <v>19200245</v>
      </c>
      <c r="J430" t="s">
        <v>6167</v>
      </c>
    </row>
    <row r="431" spans="1:10">
      <c r="A431" s="3">
        <f>SUBTOTAL(3,J$3:J431)</f>
        <v>429</v>
      </c>
      <c r="B431" s="3" t="s">
        <v>86</v>
      </c>
      <c r="C431" t="s">
        <v>5777</v>
      </c>
      <c r="D431" t="s">
        <v>5778</v>
      </c>
      <c r="F431" t="s">
        <v>5797</v>
      </c>
      <c r="G431">
        <v>6</v>
      </c>
      <c r="H431" s="3" t="s">
        <v>4489</v>
      </c>
      <c r="I431">
        <v>18190181</v>
      </c>
      <c r="J431" t="s">
        <v>6168</v>
      </c>
    </row>
    <row r="432" spans="1:10">
      <c r="A432" s="3">
        <f>SUBTOTAL(3,J$3:J432)</f>
        <v>430</v>
      </c>
      <c r="B432" s="3" t="s">
        <v>86</v>
      </c>
      <c r="C432" t="s">
        <v>5777</v>
      </c>
      <c r="D432" t="s">
        <v>5778</v>
      </c>
      <c r="F432" t="s">
        <v>5871</v>
      </c>
      <c r="G432">
        <v>6</v>
      </c>
      <c r="H432" s="3" t="s">
        <v>4489</v>
      </c>
      <c r="I432">
        <v>18190184</v>
      </c>
      <c r="J432" t="s">
        <v>6169</v>
      </c>
    </row>
    <row r="433" spans="1:10">
      <c r="A433" s="3">
        <f>SUBTOTAL(3,J$3:J433)</f>
        <v>431</v>
      </c>
      <c r="B433" s="3" t="s">
        <v>86</v>
      </c>
      <c r="C433" t="s">
        <v>5777</v>
      </c>
      <c r="D433" t="s">
        <v>5778</v>
      </c>
      <c r="F433" t="s">
        <v>5797</v>
      </c>
      <c r="G433">
        <v>6</v>
      </c>
      <c r="H433" s="3" t="s">
        <v>4489</v>
      </c>
      <c r="I433">
        <v>18190187</v>
      </c>
      <c r="J433" t="s">
        <v>6170</v>
      </c>
    </row>
    <row r="434" spans="1:10">
      <c r="A434" s="3">
        <f>SUBTOTAL(3,J$3:J434)</f>
        <v>432</v>
      </c>
      <c r="B434" s="3" t="s">
        <v>86</v>
      </c>
      <c r="C434" t="s">
        <v>5777</v>
      </c>
      <c r="D434" t="s">
        <v>5778</v>
      </c>
      <c r="F434" t="s">
        <v>5797</v>
      </c>
      <c r="G434">
        <v>6</v>
      </c>
      <c r="H434" s="3" t="s">
        <v>4489</v>
      </c>
      <c r="I434">
        <v>18190190</v>
      </c>
      <c r="J434" t="s">
        <v>6171</v>
      </c>
    </row>
    <row r="435" spans="1:10">
      <c r="A435" s="3">
        <f>SUBTOTAL(3,J$3:J435)</f>
        <v>433</v>
      </c>
      <c r="B435" s="3" t="s">
        <v>86</v>
      </c>
      <c r="C435" t="s">
        <v>5777</v>
      </c>
      <c r="D435" t="s">
        <v>5778</v>
      </c>
      <c r="F435" t="s">
        <v>5797</v>
      </c>
      <c r="G435">
        <v>6</v>
      </c>
      <c r="H435" s="3" t="s">
        <v>4489</v>
      </c>
      <c r="I435">
        <v>17180134</v>
      </c>
      <c r="J435" t="s">
        <v>6172</v>
      </c>
    </row>
    <row r="436" spans="1:10">
      <c r="A436" s="3">
        <f>SUBTOTAL(3,J$3:J436)</f>
        <v>434</v>
      </c>
      <c r="B436" s="3" t="s">
        <v>86</v>
      </c>
      <c r="C436" t="s">
        <v>5777</v>
      </c>
      <c r="D436" t="s">
        <v>5778</v>
      </c>
      <c r="F436" t="s">
        <v>5797</v>
      </c>
      <c r="G436">
        <v>6</v>
      </c>
      <c r="H436" s="3" t="s">
        <v>4489</v>
      </c>
      <c r="I436">
        <v>17180141</v>
      </c>
      <c r="J436" t="s">
        <v>6173</v>
      </c>
    </row>
    <row r="437" spans="1:10">
      <c r="A437" s="3">
        <f>SUBTOTAL(3,J$3:J437)</f>
        <v>435</v>
      </c>
      <c r="B437" s="3" t="s">
        <v>86</v>
      </c>
      <c r="C437" t="s">
        <v>5777</v>
      </c>
      <c r="D437" t="s">
        <v>5778</v>
      </c>
      <c r="F437" t="s">
        <v>5797</v>
      </c>
      <c r="G437">
        <v>6</v>
      </c>
      <c r="H437" s="3" t="s">
        <v>4489</v>
      </c>
      <c r="I437">
        <v>19200288</v>
      </c>
      <c r="J437" t="s">
        <v>6174</v>
      </c>
    </row>
    <row r="438" spans="1:10">
      <c r="A438" s="3">
        <f>SUBTOTAL(3,J$3:J438)</f>
        <v>436</v>
      </c>
      <c r="B438" s="3" t="s">
        <v>86</v>
      </c>
      <c r="C438" t="s">
        <v>5777</v>
      </c>
      <c r="D438" t="s">
        <v>5778</v>
      </c>
      <c r="F438" t="s">
        <v>5797</v>
      </c>
      <c r="G438">
        <v>6</v>
      </c>
      <c r="H438" s="3" t="s">
        <v>4489</v>
      </c>
      <c r="I438">
        <v>17180143</v>
      </c>
      <c r="J438" t="s">
        <v>6175</v>
      </c>
    </row>
    <row r="439" spans="1:10">
      <c r="A439" s="3">
        <f>SUBTOTAL(3,J$3:J439)</f>
        <v>437</v>
      </c>
      <c r="B439" s="3" t="s">
        <v>86</v>
      </c>
      <c r="C439" t="s">
        <v>5777</v>
      </c>
      <c r="D439" t="s">
        <v>5778</v>
      </c>
      <c r="F439" t="s">
        <v>5797</v>
      </c>
      <c r="G439">
        <v>6</v>
      </c>
      <c r="H439" s="3" t="s">
        <v>4489</v>
      </c>
      <c r="I439">
        <v>18190236</v>
      </c>
      <c r="J439" t="s">
        <v>6176</v>
      </c>
    </row>
    <row r="440" spans="1:10">
      <c r="A440" s="3">
        <f>SUBTOTAL(3,J$3:J440)</f>
        <v>438</v>
      </c>
      <c r="B440" s="3" t="s">
        <v>86</v>
      </c>
      <c r="C440" t="s">
        <v>5777</v>
      </c>
      <c r="D440" t="s">
        <v>5778</v>
      </c>
      <c r="F440" t="s">
        <v>5797</v>
      </c>
      <c r="G440">
        <v>6</v>
      </c>
      <c r="H440" s="3" t="s">
        <v>4489</v>
      </c>
      <c r="I440">
        <v>18190202</v>
      </c>
      <c r="J440" t="s">
        <v>6177</v>
      </c>
    </row>
    <row r="441" spans="1:10">
      <c r="A441" s="3">
        <f>SUBTOTAL(3,J$3:J441)</f>
        <v>439</v>
      </c>
      <c r="B441" s="3" t="s">
        <v>86</v>
      </c>
      <c r="C441" t="s">
        <v>5777</v>
      </c>
      <c r="D441" t="s">
        <v>5778</v>
      </c>
      <c r="F441" t="s">
        <v>5797</v>
      </c>
      <c r="G441">
        <v>6</v>
      </c>
      <c r="H441" s="3" t="s">
        <v>4489</v>
      </c>
      <c r="I441">
        <v>17180149</v>
      </c>
      <c r="J441" t="s">
        <v>6178</v>
      </c>
    </row>
    <row r="442" spans="1:10">
      <c r="A442" s="3">
        <f>SUBTOTAL(3,J$3:J442)</f>
        <v>440</v>
      </c>
      <c r="B442" s="3" t="s">
        <v>86</v>
      </c>
      <c r="C442" t="s">
        <v>5777</v>
      </c>
      <c r="D442" t="s">
        <v>5778</v>
      </c>
      <c r="F442" t="s">
        <v>5797</v>
      </c>
      <c r="G442">
        <v>6</v>
      </c>
      <c r="H442" s="3" t="s">
        <v>4489</v>
      </c>
      <c r="I442">
        <v>18190206</v>
      </c>
      <c r="J442" t="s">
        <v>5890</v>
      </c>
    </row>
    <row r="443" spans="1:10">
      <c r="A443" s="3">
        <f>SUBTOTAL(3,J$3:J443)</f>
        <v>441</v>
      </c>
      <c r="B443" s="3" t="s">
        <v>86</v>
      </c>
      <c r="C443" t="s">
        <v>5777</v>
      </c>
      <c r="D443" t="s">
        <v>5778</v>
      </c>
      <c r="F443" t="s">
        <v>5797</v>
      </c>
      <c r="G443">
        <v>6</v>
      </c>
      <c r="H443" s="3" t="s">
        <v>4489</v>
      </c>
      <c r="I443">
        <v>18190209</v>
      </c>
      <c r="J443" t="s">
        <v>6179</v>
      </c>
    </row>
    <row r="444" spans="1:10">
      <c r="A444" s="3">
        <f>SUBTOTAL(3,J$3:J444)</f>
        <v>442</v>
      </c>
      <c r="B444" s="3" t="s">
        <v>86</v>
      </c>
      <c r="C444" t="s">
        <v>5777</v>
      </c>
      <c r="D444" t="s">
        <v>5778</v>
      </c>
      <c r="F444" t="s">
        <v>5797</v>
      </c>
      <c r="G444">
        <v>6</v>
      </c>
      <c r="H444" s="3" t="s">
        <v>4489</v>
      </c>
      <c r="I444">
        <v>19200312</v>
      </c>
      <c r="J444" t="s">
        <v>6180</v>
      </c>
    </row>
    <row r="445" spans="1:10">
      <c r="A445" s="3">
        <f>SUBTOTAL(3,J$3:J445)</f>
        <v>443</v>
      </c>
      <c r="B445" s="3" t="s">
        <v>86</v>
      </c>
      <c r="C445" t="s">
        <v>5777</v>
      </c>
      <c r="D445" t="s">
        <v>5778</v>
      </c>
      <c r="F445" t="s">
        <v>5797</v>
      </c>
      <c r="G445">
        <v>6</v>
      </c>
      <c r="H445" s="3" t="s">
        <v>4489</v>
      </c>
      <c r="I445">
        <v>18190213</v>
      </c>
      <c r="J445" t="s">
        <v>6181</v>
      </c>
    </row>
    <row r="446" spans="1:10">
      <c r="A446" s="3">
        <f>SUBTOTAL(3,J$3:J446)</f>
        <v>444</v>
      </c>
      <c r="B446" s="3" t="s">
        <v>86</v>
      </c>
      <c r="C446" t="s">
        <v>5777</v>
      </c>
      <c r="D446" t="s">
        <v>5778</v>
      </c>
      <c r="F446" t="s">
        <v>5797</v>
      </c>
      <c r="G446">
        <v>6</v>
      </c>
      <c r="H446" s="3" t="s">
        <v>4489</v>
      </c>
      <c r="I446">
        <v>18190214</v>
      </c>
      <c r="J446" t="s">
        <v>6182</v>
      </c>
    </row>
    <row r="447" spans="1:10">
      <c r="A447" s="3">
        <f>SUBTOTAL(3,J$3:J447)</f>
        <v>445</v>
      </c>
      <c r="B447" s="3" t="s">
        <v>86</v>
      </c>
      <c r="C447" t="s">
        <v>5777</v>
      </c>
      <c r="D447" t="s">
        <v>5778</v>
      </c>
      <c r="F447" t="s">
        <v>5797</v>
      </c>
      <c r="G447">
        <v>6</v>
      </c>
      <c r="H447" s="3" t="s">
        <v>4489</v>
      </c>
      <c r="I447">
        <v>18190215</v>
      </c>
      <c r="J447" t="s">
        <v>6183</v>
      </c>
    </row>
    <row r="448" spans="1:10">
      <c r="A448" s="3">
        <f>SUBTOTAL(3,J$3:J448)</f>
        <v>446</v>
      </c>
      <c r="B448" s="3" t="s">
        <v>86</v>
      </c>
      <c r="C448" t="s">
        <v>5777</v>
      </c>
      <c r="D448" t="s">
        <v>5778</v>
      </c>
      <c r="F448" t="s">
        <v>5797</v>
      </c>
      <c r="G448">
        <v>6</v>
      </c>
      <c r="H448" s="3" t="s">
        <v>4489</v>
      </c>
      <c r="I448">
        <v>18190216</v>
      </c>
      <c r="J448" t="s">
        <v>6184</v>
      </c>
    </row>
    <row r="449" spans="1:10">
      <c r="A449" s="3">
        <f>SUBTOTAL(3,J$3:J449)</f>
        <v>447</v>
      </c>
      <c r="B449" s="3" t="s">
        <v>86</v>
      </c>
      <c r="C449" t="s">
        <v>5777</v>
      </c>
      <c r="D449" t="s">
        <v>5778</v>
      </c>
      <c r="F449" t="s">
        <v>5797</v>
      </c>
      <c r="G449">
        <v>6</v>
      </c>
      <c r="H449" s="3" t="s">
        <v>4489</v>
      </c>
      <c r="I449">
        <v>18190240</v>
      </c>
      <c r="J449" t="s">
        <v>6185</v>
      </c>
    </row>
    <row r="450" spans="1:10">
      <c r="A450" s="3">
        <f>SUBTOTAL(3,J$3:J450)</f>
        <v>448</v>
      </c>
      <c r="B450" s="3" t="s">
        <v>86</v>
      </c>
      <c r="C450" t="s">
        <v>5777</v>
      </c>
      <c r="D450" t="s">
        <v>5778</v>
      </c>
      <c r="F450" t="s">
        <v>5797</v>
      </c>
      <c r="G450">
        <v>6</v>
      </c>
      <c r="H450" s="3" t="s">
        <v>4489</v>
      </c>
      <c r="I450">
        <v>19200345</v>
      </c>
      <c r="J450" t="s">
        <v>6186</v>
      </c>
    </row>
    <row r="451" spans="1:10">
      <c r="A451" s="3">
        <f>SUBTOTAL(3,J$3:J451)</f>
        <v>449</v>
      </c>
      <c r="B451" s="3" t="s">
        <v>86</v>
      </c>
      <c r="C451" t="s">
        <v>5777</v>
      </c>
      <c r="D451" t="s">
        <v>5778</v>
      </c>
      <c r="F451" t="s">
        <v>5797</v>
      </c>
      <c r="G451" t="s">
        <v>4805</v>
      </c>
      <c r="H451" s="3" t="s">
        <v>4805</v>
      </c>
      <c r="I451">
        <v>24250136</v>
      </c>
      <c r="J451" t="s">
        <v>6187</v>
      </c>
    </row>
    <row r="452" spans="1:10">
      <c r="A452" s="3">
        <f>SUBTOTAL(3,J$3:J452)</f>
        <v>450</v>
      </c>
      <c r="B452" s="3" t="s">
        <v>86</v>
      </c>
      <c r="C452" t="s">
        <v>5777</v>
      </c>
      <c r="D452" t="s">
        <v>5778</v>
      </c>
      <c r="F452" t="s">
        <v>5797</v>
      </c>
      <c r="G452" t="s">
        <v>4805</v>
      </c>
      <c r="H452" s="3" t="s">
        <v>4805</v>
      </c>
      <c r="I452">
        <v>24250149</v>
      </c>
      <c r="J452" t="s">
        <v>6188</v>
      </c>
    </row>
    <row r="453" spans="1:10">
      <c r="A453" s="3">
        <f>SUBTOTAL(3,J$3:J453)</f>
        <v>451</v>
      </c>
      <c r="B453" s="3" t="s">
        <v>5032</v>
      </c>
      <c r="C453" t="s">
        <v>5777</v>
      </c>
      <c r="D453" t="s">
        <v>5778</v>
      </c>
      <c r="E453" t="s">
        <v>5778</v>
      </c>
      <c r="F453" t="s">
        <v>6089</v>
      </c>
      <c r="G453">
        <v>6</v>
      </c>
      <c r="H453" s="3">
        <v>6</v>
      </c>
      <c r="I453">
        <v>16170127</v>
      </c>
      <c r="J453" t="s">
        <v>6189</v>
      </c>
    </row>
    <row r="454" spans="1:10">
      <c r="A454" s="3">
        <f>SUBTOTAL(3,J$3:J454)</f>
        <v>452</v>
      </c>
      <c r="B454" s="3" t="s">
        <v>5032</v>
      </c>
      <c r="C454" t="s">
        <v>5777</v>
      </c>
      <c r="D454" t="s">
        <v>5778</v>
      </c>
      <c r="E454" t="s">
        <v>6190</v>
      </c>
      <c r="F454" t="s">
        <v>5797</v>
      </c>
      <c r="G454">
        <v>2</v>
      </c>
      <c r="H454" s="3" t="s">
        <v>1433</v>
      </c>
      <c r="I454">
        <v>24250047</v>
      </c>
      <c r="J454" t="s">
        <v>6191</v>
      </c>
    </row>
    <row r="455" spans="1:10">
      <c r="A455" s="3">
        <f>SUBTOTAL(3,J$3:J455)</f>
        <v>453</v>
      </c>
      <c r="B455" s="3" t="s">
        <v>5032</v>
      </c>
      <c r="C455" t="s">
        <v>5777</v>
      </c>
      <c r="D455" t="s">
        <v>5778</v>
      </c>
      <c r="E455" t="s">
        <v>6190</v>
      </c>
      <c r="F455" t="s">
        <v>5797</v>
      </c>
      <c r="G455">
        <v>2</v>
      </c>
      <c r="H455" s="3" t="s">
        <v>1433</v>
      </c>
      <c r="I455">
        <v>23240025</v>
      </c>
      <c r="J455" t="s">
        <v>6192</v>
      </c>
    </row>
    <row r="456" spans="1:10">
      <c r="A456" s="3">
        <f>SUBTOTAL(3,J$3:J456)</f>
        <v>454</v>
      </c>
      <c r="B456" s="3" t="s">
        <v>5032</v>
      </c>
      <c r="C456" t="s">
        <v>5777</v>
      </c>
      <c r="D456" t="s">
        <v>5778</v>
      </c>
      <c r="E456" t="s">
        <v>5778</v>
      </c>
      <c r="F456" t="s">
        <v>5797</v>
      </c>
      <c r="G456">
        <v>3</v>
      </c>
      <c r="H456" s="3" t="s">
        <v>1845</v>
      </c>
      <c r="I456">
        <v>20210157</v>
      </c>
      <c r="J456" t="s">
        <v>5995</v>
      </c>
    </row>
    <row r="457" spans="1:10">
      <c r="A457" s="3">
        <f>SUBTOTAL(3,J$3:J457)</f>
        <v>455</v>
      </c>
      <c r="B457" s="3" t="s">
        <v>5032</v>
      </c>
      <c r="C457" t="s">
        <v>5777</v>
      </c>
      <c r="D457" t="s">
        <v>5778</v>
      </c>
      <c r="E457" t="s">
        <v>6193</v>
      </c>
      <c r="F457" t="s">
        <v>5797</v>
      </c>
      <c r="G457">
        <v>5</v>
      </c>
      <c r="H457" s="3" t="s">
        <v>3783</v>
      </c>
      <c r="I457">
        <v>19200200</v>
      </c>
      <c r="J457" t="s">
        <v>6194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0B3F-E2CD-4919-8F40-8E8E1B8E3CBF}">
  <dimension ref="A2:J212"/>
  <sheetViews>
    <sheetView workbookViewId="0">
      <selection activeCell="F8" sqref="F8"/>
    </sheetView>
  </sheetViews>
  <sheetFormatPr defaultRowHeight="20.100000000000001" customHeight="1"/>
  <cols>
    <col min="1" max="1" width="5.7109375" bestFit="1" customWidth="1"/>
    <col min="2" max="2" width="39" style="18" bestFit="1" customWidth="1"/>
    <col min="3" max="3" width="34.42578125" bestFit="1" customWidth="1"/>
    <col min="4" max="4" width="14.42578125" style="18" bestFit="1" customWidth="1"/>
    <col min="5" max="5" width="14.7109375" style="42" bestFit="1" customWidth="1"/>
    <col min="6" max="6" width="23" style="3" bestFit="1" customWidth="1"/>
    <col min="7" max="7" width="28.7109375" style="18" bestFit="1" customWidth="1"/>
    <col min="8" max="8" width="19.28515625" style="3" bestFit="1" customWidth="1"/>
    <col min="9" max="9" width="28.7109375" style="18" bestFit="1" customWidth="1"/>
    <col min="10" max="10" width="19.28515625" style="18" bestFit="1" customWidth="1"/>
    <col min="11" max="11" width="26.28515625" bestFit="1" customWidth="1"/>
  </cols>
  <sheetData>
    <row r="2" spans="1:10" s="3" customFormat="1" ht="20.100000000000001" customHeight="1">
      <c r="A2" s="1" t="s">
        <v>75</v>
      </c>
      <c r="B2" s="17" t="s">
        <v>85</v>
      </c>
      <c r="C2" s="2" t="s">
        <v>1</v>
      </c>
      <c r="D2" s="17" t="s">
        <v>2</v>
      </c>
      <c r="E2" s="19" t="s">
        <v>3</v>
      </c>
      <c r="F2" s="2" t="s">
        <v>15</v>
      </c>
      <c r="G2" s="17" t="s">
        <v>6195</v>
      </c>
      <c r="H2" s="2" t="s">
        <v>6196</v>
      </c>
      <c r="I2" s="51" t="s">
        <v>6197</v>
      </c>
    </row>
    <row r="3" spans="1:10" s="3" customFormat="1" ht="20.100000000000001" customHeight="1">
      <c r="A3" s="20">
        <f>SUBTOTAL(3,B$3:B3)</f>
        <v>1</v>
      </c>
      <c r="B3" s="22" t="s">
        <v>2558</v>
      </c>
      <c r="C3" s="21" t="s">
        <v>2560</v>
      </c>
      <c r="D3" s="22" t="s">
        <v>1165</v>
      </c>
      <c r="E3" s="23" t="s">
        <v>2561</v>
      </c>
      <c r="F3" s="21" t="s">
        <v>2563</v>
      </c>
      <c r="G3" s="22" t="s">
        <v>1177</v>
      </c>
      <c r="H3" s="21" t="s">
        <v>111</v>
      </c>
      <c r="I3" s="52" t="s">
        <v>6198</v>
      </c>
    </row>
    <row r="4" spans="1:10" s="3" customFormat="1" ht="20.100000000000001" customHeight="1">
      <c r="A4" s="20">
        <f>SUBTOTAL(3,B$3:B4)</f>
        <v>2</v>
      </c>
      <c r="B4" s="22" t="s">
        <v>2864</v>
      </c>
      <c r="C4" s="21" t="s">
        <v>2866</v>
      </c>
      <c r="D4" s="22" t="s">
        <v>141</v>
      </c>
      <c r="E4" s="23" t="s">
        <v>2867</v>
      </c>
      <c r="F4" s="21" t="s">
        <v>2869</v>
      </c>
      <c r="G4" s="22" t="s">
        <v>1706</v>
      </c>
      <c r="H4" s="21" t="s">
        <v>111</v>
      </c>
      <c r="I4" s="52" t="s">
        <v>6199</v>
      </c>
    </row>
    <row r="5" spans="1:10" s="3" customFormat="1" ht="20.100000000000001" customHeight="1">
      <c r="A5" s="20">
        <f>SUBTOTAL(3,B$3:B5)</f>
        <v>3</v>
      </c>
      <c r="B5" s="22" t="s">
        <v>3990</v>
      </c>
      <c r="C5" s="21" t="s">
        <v>3992</v>
      </c>
      <c r="D5" s="22" t="s">
        <v>1165</v>
      </c>
      <c r="E5" s="23" t="s">
        <v>3993</v>
      </c>
      <c r="F5" s="21" t="s">
        <v>3995</v>
      </c>
      <c r="G5" s="22" t="s">
        <v>141</v>
      </c>
      <c r="H5" s="21" t="s">
        <v>111</v>
      </c>
      <c r="I5" s="52" t="s">
        <v>6200</v>
      </c>
    </row>
    <row r="6" spans="1:10" s="3" customFormat="1" ht="20.100000000000001" customHeight="1">
      <c r="A6" s="20">
        <f>SUBTOTAL(3,B$3:B6)</f>
        <v>4</v>
      </c>
      <c r="B6" s="22" t="s">
        <v>3922</v>
      </c>
      <c r="C6" s="21" t="s">
        <v>3924</v>
      </c>
      <c r="D6" s="22" t="s">
        <v>141</v>
      </c>
      <c r="E6" s="23" t="s">
        <v>3925</v>
      </c>
      <c r="F6" s="21" t="s">
        <v>3927</v>
      </c>
      <c r="G6" s="22" t="s">
        <v>141</v>
      </c>
      <c r="H6" s="21" t="s">
        <v>111</v>
      </c>
      <c r="I6" s="52" t="s">
        <v>6201</v>
      </c>
    </row>
    <row r="7" spans="1:10" s="3" customFormat="1" ht="20.100000000000001" customHeight="1">
      <c r="A7" s="20">
        <f>SUBTOTAL(3,B$3:B7)</f>
        <v>5</v>
      </c>
      <c r="B7" s="22" t="s">
        <v>4064</v>
      </c>
      <c r="C7" s="21" t="s">
        <v>4066</v>
      </c>
      <c r="D7" s="22" t="s">
        <v>512</v>
      </c>
      <c r="E7" s="23" t="s">
        <v>3925</v>
      </c>
      <c r="F7" s="21" t="s">
        <v>4068</v>
      </c>
      <c r="G7" s="22" t="s">
        <v>141</v>
      </c>
      <c r="H7" s="21" t="s">
        <v>111</v>
      </c>
      <c r="I7" s="52" t="s">
        <v>6201</v>
      </c>
    </row>
    <row r="8" spans="1:10" s="3" customFormat="1" ht="20.100000000000001" customHeight="1">
      <c r="A8" s="20">
        <f>SUBTOTAL(3,B$3:B8)</f>
        <v>6</v>
      </c>
      <c r="B8" s="22" t="s">
        <v>6202</v>
      </c>
      <c r="C8" s="21" t="s">
        <v>2778</v>
      </c>
      <c r="D8" s="22" t="s">
        <v>1383</v>
      </c>
      <c r="E8" s="23" t="s">
        <v>2779</v>
      </c>
      <c r="F8" s="21" t="s">
        <v>2780</v>
      </c>
      <c r="G8" s="22" t="s">
        <v>1868</v>
      </c>
      <c r="H8" s="21" t="s">
        <v>111</v>
      </c>
      <c r="I8" s="52" t="s">
        <v>6203</v>
      </c>
    </row>
    <row r="9" spans="1:10" s="3" customFormat="1" ht="20.100000000000001" customHeight="1">
      <c r="A9" s="20">
        <f>SUBTOTAL(3,B$3:B9)</f>
        <v>7</v>
      </c>
      <c r="B9" s="22" t="s">
        <v>2736</v>
      </c>
      <c r="C9" s="21" t="s">
        <v>2738</v>
      </c>
      <c r="D9" s="22" t="s">
        <v>1090</v>
      </c>
      <c r="E9" s="23" t="s">
        <v>2739</v>
      </c>
      <c r="F9" s="21" t="s">
        <v>2740</v>
      </c>
      <c r="G9" s="22" t="s">
        <v>1090</v>
      </c>
      <c r="H9" s="21" t="s">
        <v>111</v>
      </c>
      <c r="I9" s="52" t="s">
        <v>6204</v>
      </c>
    </row>
    <row r="10" spans="1:10" s="3" customFormat="1" ht="20.100000000000001" customHeight="1">
      <c r="A10" s="20">
        <f>SUBTOTAL(3,B$3:B10)</f>
        <v>8</v>
      </c>
      <c r="B10" s="22" t="s">
        <v>3229</v>
      </c>
      <c r="C10" s="21" t="s">
        <v>3230</v>
      </c>
      <c r="D10" s="22" t="s">
        <v>1090</v>
      </c>
      <c r="E10" s="23" t="s">
        <v>3231</v>
      </c>
      <c r="F10" s="21" t="s">
        <v>3233</v>
      </c>
      <c r="G10" s="22" t="s">
        <v>1090</v>
      </c>
      <c r="H10" s="21" t="s">
        <v>111</v>
      </c>
      <c r="I10" s="52" t="s">
        <v>6205</v>
      </c>
    </row>
    <row r="11" spans="1:10" s="3" customFormat="1" ht="20.100000000000001" customHeight="1">
      <c r="A11" s="20">
        <f>SUBTOTAL(3,B$3:B11)</f>
        <v>9</v>
      </c>
      <c r="B11" s="22" t="s">
        <v>1755</v>
      </c>
      <c r="C11" s="21" t="s">
        <v>1756</v>
      </c>
      <c r="D11" s="22" t="s">
        <v>1090</v>
      </c>
      <c r="E11" s="23" t="s">
        <v>1757</v>
      </c>
      <c r="F11" s="21" t="s">
        <v>1756</v>
      </c>
      <c r="G11" s="22" t="s">
        <v>1090</v>
      </c>
      <c r="H11" s="21" t="s">
        <v>111</v>
      </c>
      <c r="I11" s="52" t="s">
        <v>6206</v>
      </c>
    </row>
    <row r="12" spans="1:10" s="3" customFormat="1" ht="20.100000000000001" customHeight="1">
      <c r="A12" s="20">
        <f>SUBTOTAL(3,B$3:B12)</f>
        <v>10</v>
      </c>
      <c r="B12" s="22" t="s">
        <v>3577</v>
      </c>
      <c r="C12" s="21" t="s">
        <v>3579</v>
      </c>
      <c r="D12" s="22" t="s">
        <v>141</v>
      </c>
      <c r="E12" s="23" t="s">
        <v>1757</v>
      </c>
      <c r="F12" s="21" t="s">
        <v>322</v>
      </c>
      <c r="G12" s="22" t="s">
        <v>141</v>
      </c>
      <c r="H12" s="21" t="s">
        <v>111</v>
      </c>
      <c r="I12" s="52" t="s">
        <v>6206</v>
      </c>
    </row>
    <row r="13" spans="1:10" s="3" customFormat="1" ht="20.100000000000001" customHeight="1">
      <c r="A13" s="20">
        <f>SUBTOTAL(3,B$3:B13)</f>
        <v>11</v>
      </c>
      <c r="B13" s="22" t="s">
        <v>3024</v>
      </c>
      <c r="C13" s="21" t="s">
        <v>3025</v>
      </c>
      <c r="D13" s="22" t="s">
        <v>1673</v>
      </c>
      <c r="E13" s="23" t="s">
        <v>3026</v>
      </c>
      <c r="F13" s="21" t="s">
        <v>3027</v>
      </c>
      <c r="G13" s="22" t="s">
        <v>1673</v>
      </c>
      <c r="H13" s="21" t="s">
        <v>111</v>
      </c>
      <c r="I13" s="52" t="s">
        <v>6207</v>
      </c>
    </row>
    <row r="14" spans="1:10" ht="20.100000000000001" customHeight="1">
      <c r="A14" s="20">
        <f>SUBTOTAL(3,B$3:B14)</f>
        <v>12</v>
      </c>
      <c r="B14" s="24" t="s">
        <v>1708</v>
      </c>
      <c r="C14" s="25" t="s">
        <v>1709</v>
      </c>
      <c r="D14" s="35" t="s">
        <v>512</v>
      </c>
      <c r="E14" s="25" t="s">
        <v>1710</v>
      </c>
      <c r="F14" s="25" t="s">
        <v>1713</v>
      </c>
      <c r="G14" s="24" t="s">
        <v>512</v>
      </c>
      <c r="H14" s="47" t="s">
        <v>111</v>
      </c>
      <c r="I14" s="53" t="s">
        <v>6208</v>
      </c>
      <c r="J14"/>
    </row>
    <row r="15" spans="1:10" ht="20.100000000000001" customHeight="1">
      <c r="A15" s="20">
        <f>SUBTOTAL(3,B$3:B15)</f>
        <v>13</v>
      </c>
      <c r="B15" s="26" t="s">
        <v>2968</v>
      </c>
      <c r="C15" s="27" t="s">
        <v>2970</v>
      </c>
      <c r="D15" s="39" t="s">
        <v>1383</v>
      </c>
      <c r="E15" s="27" t="s">
        <v>2971</v>
      </c>
      <c r="F15" s="27" t="s">
        <v>2972</v>
      </c>
      <c r="G15" s="26" t="s">
        <v>1383</v>
      </c>
      <c r="H15" s="48" t="s">
        <v>111</v>
      </c>
      <c r="I15" s="54" t="s">
        <v>6209</v>
      </c>
      <c r="J15"/>
    </row>
    <row r="16" spans="1:10" ht="20.100000000000001" customHeight="1">
      <c r="A16" s="20">
        <f>SUBTOTAL(3,B$3:B16)</f>
        <v>14</v>
      </c>
      <c r="B16" s="24" t="s">
        <v>551</v>
      </c>
      <c r="C16" s="25" t="s">
        <v>4171</v>
      </c>
      <c r="D16" s="35" t="s">
        <v>1090</v>
      </c>
      <c r="E16" s="25" t="s">
        <v>4172</v>
      </c>
      <c r="F16" s="25" t="s">
        <v>4173</v>
      </c>
      <c r="G16" s="24" t="s">
        <v>1090</v>
      </c>
      <c r="H16" s="47" t="s">
        <v>111</v>
      </c>
      <c r="I16" s="53" t="s">
        <v>6210</v>
      </c>
      <c r="J16"/>
    </row>
    <row r="17" spans="1:10" ht="20.100000000000001" customHeight="1">
      <c r="A17" s="20">
        <f>SUBTOTAL(3,B$3:B17)</f>
        <v>15</v>
      </c>
      <c r="B17" s="26" t="s">
        <v>1104</v>
      </c>
      <c r="C17" s="27" t="s">
        <v>1105</v>
      </c>
      <c r="D17" s="39" t="s">
        <v>141</v>
      </c>
      <c r="E17" s="27" t="s">
        <v>1106</v>
      </c>
      <c r="F17" s="15" t="s">
        <v>1108</v>
      </c>
      <c r="G17" s="16" t="s">
        <v>141</v>
      </c>
      <c r="H17" s="48" t="s">
        <v>111</v>
      </c>
      <c r="I17" s="54" t="s">
        <v>6211</v>
      </c>
      <c r="J17"/>
    </row>
    <row r="18" spans="1:10" ht="20.100000000000001" customHeight="1">
      <c r="A18" s="20">
        <f>SUBTOTAL(3,B$3:B18)</f>
        <v>16</v>
      </c>
      <c r="B18" s="24" t="s">
        <v>1022</v>
      </c>
      <c r="C18" s="25" t="s">
        <v>1024</v>
      </c>
      <c r="D18" s="35" t="s">
        <v>141</v>
      </c>
      <c r="E18" s="25" t="s">
        <v>1025</v>
      </c>
      <c r="F18" s="25" t="s">
        <v>1029</v>
      </c>
      <c r="G18" s="24" t="s">
        <v>141</v>
      </c>
      <c r="H18" s="47" t="s">
        <v>111</v>
      </c>
      <c r="I18" s="53" t="s">
        <v>6212</v>
      </c>
      <c r="J18"/>
    </row>
    <row r="19" spans="1:10" ht="20.100000000000001" customHeight="1">
      <c r="A19" s="20">
        <f>SUBTOTAL(3,B$3:B19)</f>
        <v>17</v>
      </c>
      <c r="B19" s="28" t="s">
        <v>3813</v>
      </c>
      <c r="C19" s="29" t="s">
        <v>3815</v>
      </c>
      <c r="D19" s="36" t="s">
        <v>141</v>
      </c>
      <c r="E19" s="29" t="s">
        <v>3816</v>
      </c>
      <c r="F19" s="29" t="s">
        <v>3819</v>
      </c>
      <c r="G19" s="36" t="s">
        <v>141</v>
      </c>
      <c r="H19" s="48" t="s">
        <v>111</v>
      </c>
      <c r="I19" s="54" t="s">
        <v>6213</v>
      </c>
      <c r="J19"/>
    </row>
    <row r="20" spans="1:10" ht="20.100000000000001" customHeight="1">
      <c r="A20" s="20">
        <f>SUBTOTAL(3,B$3:B20)</f>
        <v>18</v>
      </c>
      <c r="B20" s="24" t="s">
        <v>5276</v>
      </c>
      <c r="C20" s="25" t="s">
        <v>5278</v>
      </c>
      <c r="D20" s="35" t="s">
        <v>141</v>
      </c>
      <c r="E20" s="25" t="s">
        <v>5279</v>
      </c>
      <c r="F20" s="25" t="s">
        <v>5280</v>
      </c>
      <c r="G20" s="24" t="s">
        <v>141</v>
      </c>
      <c r="H20" s="47" t="s">
        <v>111</v>
      </c>
      <c r="I20" s="53" t="s">
        <v>6214</v>
      </c>
      <c r="J20"/>
    </row>
    <row r="21" spans="1:10" ht="20.100000000000001" customHeight="1">
      <c r="A21" s="20">
        <f>SUBTOTAL(3,B$3:B21)</f>
        <v>19</v>
      </c>
      <c r="B21" s="26" t="s">
        <v>2620</v>
      </c>
      <c r="C21" s="27" t="s">
        <v>2622</v>
      </c>
      <c r="D21" s="39" t="s">
        <v>141</v>
      </c>
      <c r="E21" s="27" t="s">
        <v>2623</v>
      </c>
      <c r="F21" s="27" t="s">
        <v>2624</v>
      </c>
      <c r="G21" s="26" t="s">
        <v>1706</v>
      </c>
      <c r="H21" s="48" t="s">
        <v>111</v>
      </c>
      <c r="I21" s="54" t="s">
        <v>6215</v>
      </c>
      <c r="J21"/>
    </row>
    <row r="22" spans="1:10" ht="20.100000000000001" customHeight="1">
      <c r="A22" s="20">
        <f>SUBTOTAL(3,B$3:B22)</f>
        <v>20</v>
      </c>
      <c r="B22" s="24" t="s">
        <v>2583</v>
      </c>
      <c r="C22" s="25" t="s">
        <v>2585</v>
      </c>
      <c r="D22" s="35" t="s">
        <v>141</v>
      </c>
      <c r="E22" s="25" t="s">
        <v>2586</v>
      </c>
      <c r="F22" s="25" t="s">
        <v>2588</v>
      </c>
      <c r="G22" s="24" t="s">
        <v>141</v>
      </c>
      <c r="H22" s="47" t="s">
        <v>111</v>
      </c>
      <c r="I22" s="53" t="s">
        <v>6216</v>
      </c>
      <c r="J22"/>
    </row>
    <row r="23" spans="1:10" ht="20.100000000000001" customHeight="1">
      <c r="A23" s="20">
        <f>SUBTOTAL(3,B$3:B23)</f>
        <v>21</v>
      </c>
      <c r="B23" s="28" t="s">
        <v>4072</v>
      </c>
      <c r="C23" s="29" t="s">
        <v>4074</v>
      </c>
      <c r="D23" s="36" t="s">
        <v>141</v>
      </c>
      <c r="E23" s="29" t="s">
        <v>4075</v>
      </c>
      <c r="F23" s="29" t="s">
        <v>4077</v>
      </c>
      <c r="G23" s="36" t="s">
        <v>141</v>
      </c>
      <c r="H23" s="48" t="s">
        <v>111</v>
      </c>
      <c r="I23" s="54" t="s">
        <v>6217</v>
      </c>
      <c r="J23"/>
    </row>
    <row r="24" spans="1:10" ht="20.100000000000001" customHeight="1">
      <c r="A24" s="20">
        <f>SUBTOTAL(3,B$3:B24)</f>
        <v>22</v>
      </c>
      <c r="B24" s="24" t="s">
        <v>3498</v>
      </c>
      <c r="C24" s="25" t="s">
        <v>3500</v>
      </c>
      <c r="D24" s="24" t="s">
        <v>141</v>
      </c>
      <c r="E24" s="25" t="s">
        <v>3501</v>
      </c>
      <c r="F24" s="25" t="s">
        <v>3502</v>
      </c>
      <c r="G24" s="24" t="s">
        <v>141</v>
      </c>
      <c r="H24" s="47" t="s">
        <v>111</v>
      </c>
      <c r="I24" s="53" t="s">
        <v>6218</v>
      </c>
      <c r="J24"/>
    </row>
    <row r="25" spans="1:10" ht="20.100000000000001" customHeight="1">
      <c r="A25" s="20">
        <f>SUBTOTAL(3,B$3:B25)</f>
        <v>23</v>
      </c>
      <c r="B25" s="26" t="s">
        <v>3565</v>
      </c>
      <c r="C25" s="27" t="s">
        <v>3567</v>
      </c>
      <c r="D25" s="30" t="s">
        <v>141</v>
      </c>
      <c r="E25" s="27" t="s">
        <v>3568</v>
      </c>
      <c r="F25" s="43" t="s">
        <v>3571</v>
      </c>
      <c r="G25" s="26" t="s">
        <v>163</v>
      </c>
      <c r="H25" s="48" t="s">
        <v>111</v>
      </c>
      <c r="I25" s="54" t="s">
        <v>6219</v>
      </c>
      <c r="J25"/>
    </row>
    <row r="26" spans="1:10" ht="20.100000000000001" customHeight="1">
      <c r="A26" s="20">
        <f>SUBTOTAL(3,B$3:B26)</f>
        <v>24</v>
      </c>
      <c r="B26" s="24" t="s">
        <v>4708</v>
      </c>
      <c r="C26" s="25" t="s">
        <v>4710</v>
      </c>
      <c r="D26" s="24" t="s">
        <v>1090</v>
      </c>
      <c r="E26" s="25" t="s">
        <v>4711</v>
      </c>
      <c r="F26" s="25" t="s">
        <v>4713</v>
      </c>
      <c r="G26" s="24" t="s">
        <v>1090</v>
      </c>
      <c r="H26" s="47" t="s">
        <v>111</v>
      </c>
      <c r="I26" s="53" t="s">
        <v>6220</v>
      </c>
      <c r="J26"/>
    </row>
    <row r="27" spans="1:10" ht="20.100000000000001" customHeight="1">
      <c r="A27" s="20">
        <f>SUBTOTAL(3,B$3:B27)</f>
        <v>25</v>
      </c>
      <c r="B27" s="26" t="s">
        <v>1992</v>
      </c>
      <c r="C27" s="27" t="s">
        <v>1993</v>
      </c>
      <c r="D27" s="39" t="s">
        <v>1090</v>
      </c>
      <c r="E27" s="27" t="s">
        <v>1994</v>
      </c>
      <c r="F27" s="27" t="s">
        <v>1995</v>
      </c>
      <c r="G27" s="26" t="s">
        <v>1090</v>
      </c>
      <c r="H27" s="48" t="s">
        <v>111</v>
      </c>
      <c r="I27" s="54" t="s">
        <v>6221</v>
      </c>
      <c r="J27"/>
    </row>
    <row r="28" spans="1:10" ht="20.100000000000001" customHeight="1">
      <c r="A28" s="20">
        <f>SUBTOTAL(3,B$3:B28)</f>
        <v>26</v>
      </c>
      <c r="B28" s="24" t="s">
        <v>1579</v>
      </c>
      <c r="C28" s="25" t="s">
        <v>1581</v>
      </c>
      <c r="D28" s="35" t="s">
        <v>141</v>
      </c>
      <c r="E28" s="25" t="s">
        <v>1582</v>
      </c>
      <c r="F28" s="25" t="s">
        <v>1583</v>
      </c>
      <c r="G28" s="24" t="s">
        <v>141</v>
      </c>
      <c r="H28" s="47" t="s">
        <v>111</v>
      </c>
      <c r="I28" s="53" t="s">
        <v>6222</v>
      </c>
      <c r="J28"/>
    </row>
    <row r="29" spans="1:10" ht="20.100000000000001" customHeight="1">
      <c r="A29" s="20">
        <f>SUBTOTAL(3,B$3:B29)</f>
        <v>27</v>
      </c>
      <c r="B29" s="26" t="s">
        <v>4081</v>
      </c>
      <c r="C29" s="27" t="s">
        <v>4083</v>
      </c>
      <c r="D29" s="39" t="s">
        <v>1090</v>
      </c>
      <c r="E29" s="27" t="s">
        <v>4084</v>
      </c>
      <c r="F29" s="27" t="s">
        <v>4085</v>
      </c>
      <c r="G29" s="26" t="s">
        <v>1090</v>
      </c>
      <c r="H29" s="48" t="s">
        <v>111</v>
      </c>
      <c r="I29" s="54" t="s">
        <v>6223</v>
      </c>
      <c r="J29"/>
    </row>
    <row r="30" spans="1:10" ht="20.100000000000001" customHeight="1">
      <c r="A30" s="20">
        <f>SUBTOTAL(3,B$3:B30)</f>
        <v>28</v>
      </c>
      <c r="B30" s="24" t="s">
        <v>3753</v>
      </c>
      <c r="C30" s="25" t="s">
        <v>3755</v>
      </c>
      <c r="D30" s="24" t="s">
        <v>1090</v>
      </c>
      <c r="E30" s="25" t="s">
        <v>3756</v>
      </c>
      <c r="F30" s="25" t="s">
        <v>3758</v>
      </c>
      <c r="G30" s="24" t="s">
        <v>1090</v>
      </c>
      <c r="H30" s="47" t="s">
        <v>111</v>
      </c>
      <c r="I30" s="53" t="s">
        <v>6224</v>
      </c>
      <c r="J30"/>
    </row>
    <row r="31" spans="1:10" ht="20.100000000000001" customHeight="1">
      <c r="A31" s="20">
        <f>SUBTOTAL(3,B$3:B31)</f>
        <v>29</v>
      </c>
      <c r="B31" s="26" t="s">
        <v>3542</v>
      </c>
      <c r="C31" s="27" t="s">
        <v>3544</v>
      </c>
      <c r="D31" s="26" t="s">
        <v>1090</v>
      </c>
      <c r="E31" s="27" t="s">
        <v>3545</v>
      </c>
      <c r="F31" s="27" t="s">
        <v>3546</v>
      </c>
      <c r="G31" s="26" t="s">
        <v>1090</v>
      </c>
      <c r="H31" s="48" t="s">
        <v>111</v>
      </c>
      <c r="I31" s="54" t="s">
        <v>6225</v>
      </c>
      <c r="J31"/>
    </row>
    <row r="32" spans="1:10" ht="20.100000000000001" customHeight="1">
      <c r="A32" s="20">
        <f>SUBTOTAL(3,B$3:B32)</f>
        <v>30</v>
      </c>
      <c r="B32" s="24" t="s">
        <v>4088</v>
      </c>
      <c r="C32" s="25" t="s">
        <v>4090</v>
      </c>
      <c r="D32" s="35" t="s">
        <v>141</v>
      </c>
      <c r="E32" s="25" t="s">
        <v>4091</v>
      </c>
      <c r="F32" s="25" t="s">
        <v>4092</v>
      </c>
      <c r="G32" s="24" t="s">
        <v>141</v>
      </c>
      <c r="H32" s="47" t="s">
        <v>111</v>
      </c>
      <c r="I32" s="53" t="s">
        <v>6226</v>
      </c>
      <c r="J32"/>
    </row>
    <row r="33" spans="1:10" ht="20.100000000000001" customHeight="1">
      <c r="A33" s="20">
        <f>SUBTOTAL(3,B$3:B33)</f>
        <v>31</v>
      </c>
      <c r="B33" s="26" t="s">
        <v>4138</v>
      </c>
      <c r="C33" s="27" t="s">
        <v>4140</v>
      </c>
      <c r="D33" s="39" t="s">
        <v>141</v>
      </c>
      <c r="E33" s="27" t="s">
        <v>4091</v>
      </c>
      <c r="F33" s="27" t="s">
        <v>4142</v>
      </c>
      <c r="G33" s="26" t="s">
        <v>141</v>
      </c>
      <c r="H33" s="48" t="s">
        <v>111</v>
      </c>
      <c r="I33" s="54" t="s">
        <v>6226</v>
      </c>
      <c r="J33"/>
    </row>
    <row r="34" spans="1:10" ht="20.100000000000001" customHeight="1">
      <c r="A34" s="20">
        <f>SUBTOTAL(3,B$3:B34)</f>
        <v>32</v>
      </c>
      <c r="B34" s="24" t="s">
        <v>3383</v>
      </c>
      <c r="C34" s="25" t="s">
        <v>3385</v>
      </c>
      <c r="D34" s="35" t="s">
        <v>1090</v>
      </c>
      <c r="E34" s="25" t="s">
        <v>3386</v>
      </c>
      <c r="F34" s="25" t="s">
        <v>3388</v>
      </c>
      <c r="G34" s="24" t="s">
        <v>1090</v>
      </c>
      <c r="H34" s="47" t="s">
        <v>111</v>
      </c>
      <c r="I34" s="53" t="s">
        <v>6227</v>
      </c>
      <c r="J34"/>
    </row>
    <row r="35" spans="1:10" ht="20.100000000000001" customHeight="1">
      <c r="A35" s="20">
        <f>SUBTOTAL(3,B$3:B35)</f>
        <v>33</v>
      </c>
      <c r="B35" s="26" t="s">
        <v>3508</v>
      </c>
      <c r="C35" s="27" t="s">
        <v>3510</v>
      </c>
      <c r="D35" s="26" t="s">
        <v>141</v>
      </c>
      <c r="E35" s="27" t="s">
        <v>3511</v>
      </c>
      <c r="F35" s="27" t="s">
        <v>3513</v>
      </c>
      <c r="G35" s="26" t="s">
        <v>141</v>
      </c>
      <c r="H35" s="48" t="s">
        <v>111</v>
      </c>
      <c r="I35" s="54" t="s">
        <v>6228</v>
      </c>
      <c r="J35"/>
    </row>
    <row r="36" spans="1:10" ht="20.100000000000001" customHeight="1">
      <c r="A36" s="20">
        <f>SUBTOTAL(3,B$3:B36)</f>
        <v>34</v>
      </c>
      <c r="B36" s="24" t="s">
        <v>3125</v>
      </c>
      <c r="C36" s="25" t="s">
        <v>3127</v>
      </c>
      <c r="D36" s="35" t="s">
        <v>273</v>
      </c>
      <c r="E36" s="25" t="s">
        <v>3128</v>
      </c>
      <c r="F36" s="25" t="s">
        <v>3130</v>
      </c>
      <c r="G36" s="24" t="s">
        <v>3137</v>
      </c>
      <c r="H36" s="47" t="s">
        <v>111</v>
      </c>
      <c r="I36" s="53" t="s">
        <v>6229</v>
      </c>
      <c r="J36"/>
    </row>
    <row r="37" spans="1:10" ht="20.100000000000001" customHeight="1">
      <c r="A37" s="20">
        <f>SUBTOTAL(3,B$3:B37)</f>
        <v>35</v>
      </c>
      <c r="B37" s="26" t="s">
        <v>4162</v>
      </c>
      <c r="C37" s="27" t="s">
        <v>4164</v>
      </c>
      <c r="D37" s="39" t="s">
        <v>141</v>
      </c>
      <c r="E37" s="27" t="s">
        <v>3128</v>
      </c>
      <c r="F37" s="27" t="s">
        <v>4165</v>
      </c>
      <c r="G37" s="26" t="s">
        <v>141</v>
      </c>
      <c r="H37" s="48" t="s">
        <v>111</v>
      </c>
      <c r="I37" s="54" t="s">
        <v>6229</v>
      </c>
      <c r="J37"/>
    </row>
    <row r="38" spans="1:10" ht="20.100000000000001" customHeight="1">
      <c r="A38" s="20">
        <f>SUBTOTAL(3,B$3:B38)</f>
        <v>36</v>
      </c>
      <c r="B38" s="24" t="s">
        <v>4111</v>
      </c>
      <c r="C38" s="25" t="s">
        <v>4113</v>
      </c>
      <c r="D38" s="35" t="s">
        <v>141</v>
      </c>
      <c r="E38" s="25" t="s">
        <v>4114</v>
      </c>
      <c r="F38" s="25" t="s">
        <v>4115</v>
      </c>
      <c r="G38" s="24" t="s">
        <v>1090</v>
      </c>
      <c r="H38" s="47" t="s">
        <v>111</v>
      </c>
      <c r="I38" s="53" t="s">
        <v>6230</v>
      </c>
      <c r="J38"/>
    </row>
    <row r="39" spans="1:10" ht="20.100000000000001" customHeight="1">
      <c r="A39" s="20">
        <f>SUBTOTAL(3,B$3:B39)</f>
        <v>37</v>
      </c>
      <c r="B39" s="26" t="s">
        <v>4096</v>
      </c>
      <c r="C39" s="27" t="s">
        <v>4098</v>
      </c>
      <c r="D39" s="39" t="s">
        <v>141</v>
      </c>
      <c r="E39" s="27" t="s">
        <v>4099</v>
      </c>
      <c r="F39" s="27" t="s">
        <v>4100</v>
      </c>
      <c r="G39" s="26" t="s">
        <v>1165</v>
      </c>
      <c r="H39" s="48" t="s">
        <v>111</v>
      </c>
      <c r="I39" s="54" t="s">
        <v>6231</v>
      </c>
      <c r="J39"/>
    </row>
    <row r="40" spans="1:10" ht="20.100000000000001" customHeight="1">
      <c r="A40" s="20">
        <f>SUBTOTAL(3,B$3:B40)</f>
        <v>38</v>
      </c>
      <c r="B40" s="31" t="s">
        <v>5120</v>
      </c>
      <c r="C40" s="32" t="s">
        <v>5122</v>
      </c>
      <c r="D40" s="40" t="s">
        <v>1090</v>
      </c>
      <c r="E40" s="32" t="s">
        <v>5123</v>
      </c>
      <c r="F40" s="32" t="s">
        <v>5124</v>
      </c>
      <c r="G40" s="40" t="s">
        <v>1090</v>
      </c>
      <c r="H40" s="47" t="s">
        <v>111</v>
      </c>
      <c r="I40" s="53" t="s">
        <v>6232</v>
      </c>
      <c r="J40"/>
    </row>
    <row r="41" spans="1:10" ht="20.100000000000001" customHeight="1">
      <c r="A41" s="20">
        <f>SUBTOTAL(3,B$3:B41)</f>
        <v>39</v>
      </c>
      <c r="B41" s="26" t="s">
        <v>5299</v>
      </c>
      <c r="C41" s="27" t="s">
        <v>5301</v>
      </c>
      <c r="D41" s="26" t="s">
        <v>1090</v>
      </c>
      <c r="E41" s="27" t="s">
        <v>5302</v>
      </c>
      <c r="F41" s="27" t="s">
        <v>5303</v>
      </c>
      <c r="G41" s="26" t="s">
        <v>1090</v>
      </c>
      <c r="H41" s="48" t="s">
        <v>111</v>
      </c>
      <c r="I41" s="54" t="s">
        <v>6233</v>
      </c>
      <c r="J41"/>
    </row>
    <row r="42" spans="1:10" ht="20.100000000000001" customHeight="1">
      <c r="A42" s="20">
        <f>SUBTOTAL(3,B$3:B42)</f>
        <v>40</v>
      </c>
      <c r="B42" s="24" t="s">
        <v>2035</v>
      </c>
      <c r="C42" s="25" t="s">
        <v>2037</v>
      </c>
      <c r="D42" s="35" t="s">
        <v>141</v>
      </c>
      <c r="E42" s="25" t="s">
        <v>6234</v>
      </c>
      <c r="F42" s="25" t="s">
        <v>2041</v>
      </c>
      <c r="G42" s="24" t="s">
        <v>141</v>
      </c>
      <c r="H42" s="47" t="s">
        <v>111</v>
      </c>
      <c r="I42" s="53" t="s">
        <v>6235</v>
      </c>
      <c r="J42"/>
    </row>
    <row r="43" spans="1:10" ht="20.100000000000001" customHeight="1">
      <c r="A43" s="20">
        <f>SUBTOTAL(3,B$3:B43)</f>
        <v>41</v>
      </c>
      <c r="B43" s="26" t="s">
        <v>5355</v>
      </c>
      <c r="C43" s="27" t="s">
        <v>5356</v>
      </c>
      <c r="D43" s="39" t="s">
        <v>1090</v>
      </c>
      <c r="E43" s="27" t="s">
        <v>5357</v>
      </c>
      <c r="F43" s="15" t="s">
        <v>5358</v>
      </c>
      <c r="G43" s="16" t="s">
        <v>1090</v>
      </c>
      <c r="H43" s="48" t="s">
        <v>111</v>
      </c>
      <c r="I43" s="54" t="s">
        <v>6236</v>
      </c>
      <c r="J43"/>
    </row>
    <row r="44" spans="1:10" ht="20.100000000000001" customHeight="1">
      <c r="A44" s="20">
        <f>SUBTOTAL(3,B$3:B44)</f>
        <v>42</v>
      </c>
      <c r="B44" s="31" t="s">
        <v>3968</v>
      </c>
      <c r="C44" s="32" t="s">
        <v>3970</v>
      </c>
      <c r="D44" s="40" t="s">
        <v>141</v>
      </c>
      <c r="E44" s="32" t="s">
        <v>3971</v>
      </c>
      <c r="F44" s="32" t="s">
        <v>3970</v>
      </c>
      <c r="G44" s="40" t="s">
        <v>141</v>
      </c>
      <c r="H44" s="47" t="s">
        <v>111</v>
      </c>
      <c r="I44" s="53" t="s">
        <v>6237</v>
      </c>
      <c r="J44"/>
    </row>
    <row r="45" spans="1:10" ht="20.100000000000001" customHeight="1">
      <c r="A45" s="20">
        <f>SUBTOTAL(3,B$3:B45)</f>
        <v>43</v>
      </c>
      <c r="B45" s="26" t="s">
        <v>2165</v>
      </c>
      <c r="C45" s="27" t="s">
        <v>2166</v>
      </c>
      <c r="D45" s="39" t="s">
        <v>1090</v>
      </c>
      <c r="E45" s="27" t="s">
        <v>2167</v>
      </c>
      <c r="F45" s="27" t="s">
        <v>2168</v>
      </c>
      <c r="G45" s="26" t="s">
        <v>1090</v>
      </c>
      <c r="H45" s="48" t="s">
        <v>111</v>
      </c>
      <c r="I45" s="54" t="s">
        <v>6238</v>
      </c>
      <c r="J45"/>
    </row>
    <row r="46" spans="1:10" ht="20.100000000000001" hidden="1" customHeight="1">
      <c r="A46" s="20">
        <f>SUBTOTAL(3,B$3:B46)</f>
        <v>43</v>
      </c>
      <c r="B46" s="24" t="s">
        <v>2361</v>
      </c>
      <c r="C46" s="25" t="s">
        <v>2363</v>
      </c>
      <c r="D46" s="35" t="s">
        <v>2364</v>
      </c>
      <c r="E46" s="25" t="s">
        <v>2167</v>
      </c>
      <c r="F46" s="33" t="s">
        <v>2365</v>
      </c>
      <c r="G46" s="44" t="s">
        <v>2371</v>
      </c>
      <c r="H46" s="49" t="s">
        <v>2372</v>
      </c>
      <c r="I46" s="53" t="s">
        <v>6238</v>
      </c>
      <c r="J46"/>
    </row>
    <row r="47" spans="1:10" ht="20.100000000000001" customHeight="1">
      <c r="A47" s="20">
        <f>SUBTOTAL(3,B$3:B47)</f>
        <v>44</v>
      </c>
      <c r="B47" s="26" t="s">
        <v>3166</v>
      </c>
      <c r="C47" s="27" t="s">
        <v>3168</v>
      </c>
      <c r="D47" s="39" t="s">
        <v>1090</v>
      </c>
      <c r="E47" s="27" t="s">
        <v>3169</v>
      </c>
      <c r="F47" s="27" t="s">
        <v>3170</v>
      </c>
      <c r="G47" s="26" t="s">
        <v>2136</v>
      </c>
      <c r="H47" s="48" t="s">
        <v>111</v>
      </c>
      <c r="I47" s="54" t="s">
        <v>6239</v>
      </c>
      <c r="J47"/>
    </row>
    <row r="48" spans="1:10" ht="20.100000000000001" customHeight="1">
      <c r="A48" s="20">
        <f>SUBTOTAL(3,B$3:B48)</f>
        <v>45</v>
      </c>
      <c r="B48" s="31" t="s">
        <v>3772</v>
      </c>
      <c r="C48" s="32" t="s">
        <v>3774</v>
      </c>
      <c r="D48" s="40" t="s">
        <v>141</v>
      </c>
      <c r="E48" s="32" t="s">
        <v>3775</v>
      </c>
      <c r="F48" s="32" t="s">
        <v>3776</v>
      </c>
      <c r="G48" s="45" t="s">
        <v>141</v>
      </c>
      <c r="H48" s="47" t="s">
        <v>111</v>
      </c>
      <c r="I48" s="53" t="s">
        <v>6240</v>
      </c>
      <c r="J48"/>
    </row>
    <row r="49" spans="1:10" ht="20.100000000000001" customHeight="1">
      <c r="A49" s="20">
        <f>SUBTOTAL(3,B$3:B49)</f>
        <v>46</v>
      </c>
      <c r="B49" s="28" t="s">
        <v>3836</v>
      </c>
      <c r="C49" s="29" t="s">
        <v>3838</v>
      </c>
      <c r="D49" s="36" t="s">
        <v>141</v>
      </c>
      <c r="E49" s="29" t="s">
        <v>3839</v>
      </c>
      <c r="F49" s="29" t="s">
        <v>3840</v>
      </c>
      <c r="G49" s="36" t="s">
        <v>141</v>
      </c>
      <c r="H49" s="48" t="s">
        <v>111</v>
      </c>
      <c r="I49" s="54" t="s">
        <v>6241</v>
      </c>
      <c r="J49"/>
    </row>
    <row r="50" spans="1:10" ht="20.100000000000001" customHeight="1">
      <c r="A50" s="20">
        <f>SUBTOTAL(3,B$3:B50)</f>
        <v>47</v>
      </c>
      <c r="B50" s="24" t="s">
        <v>4412</v>
      </c>
      <c r="C50" s="25" t="s">
        <v>4414</v>
      </c>
      <c r="D50" s="35" t="s">
        <v>141</v>
      </c>
      <c r="E50" s="25" t="s">
        <v>4415</v>
      </c>
      <c r="F50" s="25" t="s">
        <v>4416</v>
      </c>
      <c r="G50" s="24" t="s">
        <v>141</v>
      </c>
      <c r="H50" s="47" t="s">
        <v>111</v>
      </c>
      <c r="I50" s="53" t="s">
        <v>6242</v>
      </c>
      <c r="J50"/>
    </row>
    <row r="51" spans="1:10" ht="20.100000000000001" customHeight="1">
      <c r="A51" s="20">
        <f>SUBTOTAL(3,B$3:B51)</f>
        <v>48</v>
      </c>
      <c r="B51" s="26" t="s">
        <v>6243</v>
      </c>
      <c r="C51" s="27" t="s">
        <v>6244</v>
      </c>
      <c r="D51" s="39" t="s">
        <v>141</v>
      </c>
      <c r="E51" s="27" t="s">
        <v>3471</v>
      </c>
      <c r="F51" s="27" t="s">
        <v>3472</v>
      </c>
      <c r="G51" s="26" t="s">
        <v>1090</v>
      </c>
      <c r="H51" s="48" t="s">
        <v>111</v>
      </c>
      <c r="I51" s="54" t="s">
        <v>6245</v>
      </c>
      <c r="J51"/>
    </row>
    <row r="52" spans="1:10" ht="20.100000000000001" customHeight="1">
      <c r="A52" s="20">
        <f>SUBTOTAL(3,B$3:B52)</f>
        <v>49</v>
      </c>
      <c r="B52" s="24" t="s">
        <v>4719</v>
      </c>
      <c r="C52" s="25" t="s">
        <v>4721</v>
      </c>
      <c r="D52" s="24" t="s">
        <v>1090</v>
      </c>
      <c r="E52" s="25" t="s">
        <v>4722</v>
      </c>
      <c r="F52" s="25" t="s">
        <v>4723</v>
      </c>
      <c r="G52" s="24" t="s">
        <v>1090</v>
      </c>
      <c r="H52" s="47" t="s">
        <v>111</v>
      </c>
      <c r="I52" s="53" t="s">
        <v>6246</v>
      </c>
      <c r="J52"/>
    </row>
    <row r="53" spans="1:10" ht="20.100000000000001" customHeight="1">
      <c r="A53" s="20">
        <f>SUBTOTAL(3,B$3:B53)</f>
        <v>50</v>
      </c>
      <c r="B53" s="26" t="s">
        <v>4791</v>
      </c>
      <c r="C53" s="27" t="s">
        <v>4793</v>
      </c>
      <c r="D53" s="26" t="s">
        <v>934</v>
      </c>
      <c r="E53" s="27" t="s">
        <v>4794</v>
      </c>
      <c r="F53" s="27" t="s">
        <v>4795</v>
      </c>
      <c r="G53" s="26" t="s">
        <v>934</v>
      </c>
      <c r="H53" s="48" t="s">
        <v>111</v>
      </c>
      <c r="I53" s="54" t="s">
        <v>6247</v>
      </c>
      <c r="J53"/>
    </row>
    <row r="54" spans="1:10" ht="20.100000000000001" customHeight="1">
      <c r="A54" s="20">
        <f>SUBTOTAL(3,B$3:B54)</f>
        <v>51</v>
      </c>
      <c r="B54" s="24" t="s">
        <v>3722</v>
      </c>
      <c r="C54" s="25" t="s">
        <v>3724</v>
      </c>
      <c r="D54" s="24" t="s">
        <v>1090</v>
      </c>
      <c r="E54" s="25" t="s">
        <v>3725</v>
      </c>
      <c r="F54" s="25" t="s">
        <v>3726</v>
      </c>
      <c r="G54" s="24" t="s">
        <v>1090</v>
      </c>
      <c r="H54" s="47" t="s">
        <v>111</v>
      </c>
      <c r="I54" s="53" t="s">
        <v>6248</v>
      </c>
      <c r="J54"/>
    </row>
    <row r="55" spans="1:10" ht="20.100000000000001" customHeight="1">
      <c r="A55" s="20">
        <f>SUBTOTAL(3,B$3:B55)</f>
        <v>52</v>
      </c>
      <c r="B55" s="26" t="s">
        <v>3521</v>
      </c>
      <c r="C55" s="27" t="s">
        <v>3523</v>
      </c>
      <c r="D55" s="26" t="s">
        <v>651</v>
      </c>
      <c r="E55" s="27" t="s">
        <v>3524</v>
      </c>
      <c r="F55" s="27" t="s">
        <v>3525</v>
      </c>
      <c r="G55" s="26" t="s">
        <v>651</v>
      </c>
      <c r="H55" s="48" t="s">
        <v>111</v>
      </c>
      <c r="I55" s="54" t="s">
        <v>6249</v>
      </c>
      <c r="J55"/>
    </row>
    <row r="56" spans="1:10" ht="20.100000000000001" customHeight="1">
      <c r="A56" s="20">
        <f>SUBTOTAL(3,B$3:B56)</f>
        <v>53</v>
      </c>
      <c r="B56" s="24" t="s">
        <v>3372</v>
      </c>
      <c r="C56" s="25" t="s">
        <v>3374</v>
      </c>
      <c r="D56" s="35" t="s">
        <v>141</v>
      </c>
      <c r="E56" s="25" t="s">
        <v>3375</v>
      </c>
      <c r="F56" s="25" t="s">
        <v>3376</v>
      </c>
      <c r="G56" s="24" t="s">
        <v>141</v>
      </c>
      <c r="H56" s="47" t="s">
        <v>111</v>
      </c>
      <c r="I56" s="53" t="s">
        <v>6250</v>
      </c>
      <c r="J56"/>
    </row>
    <row r="57" spans="1:10" ht="20.100000000000001" customHeight="1">
      <c r="A57" s="20">
        <f>SUBTOTAL(3,B$3:B57)</f>
        <v>54</v>
      </c>
      <c r="B57" s="26" t="s">
        <v>3440</v>
      </c>
      <c r="C57" s="27" t="s">
        <v>3442</v>
      </c>
      <c r="D57" s="39" t="s">
        <v>141</v>
      </c>
      <c r="E57" s="27" t="s">
        <v>3443</v>
      </c>
      <c r="F57" s="27" t="s">
        <v>1227</v>
      </c>
      <c r="G57" s="26" t="s">
        <v>141</v>
      </c>
      <c r="H57" s="48" t="s">
        <v>111</v>
      </c>
      <c r="I57" s="54" t="s">
        <v>6251</v>
      </c>
      <c r="J57"/>
    </row>
    <row r="58" spans="1:10" ht="20.100000000000001" customHeight="1">
      <c r="A58" s="20">
        <f>SUBTOTAL(3,B$3:B58)</f>
        <v>55</v>
      </c>
      <c r="B58" s="24" t="s">
        <v>2188</v>
      </c>
      <c r="C58" s="25" t="s">
        <v>2190</v>
      </c>
      <c r="D58" s="35" t="s">
        <v>1090</v>
      </c>
      <c r="E58" s="25" t="s">
        <v>2191</v>
      </c>
      <c r="F58" s="25" t="s">
        <v>2192</v>
      </c>
      <c r="G58" s="24" t="s">
        <v>1090</v>
      </c>
      <c r="H58" s="47" t="s">
        <v>111</v>
      </c>
      <c r="I58" s="53" t="s">
        <v>6252</v>
      </c>
      <c r="J58"/>
    </row>
    <row r="59" spans="1:10" ht="20.100000000000001" customHeight="1">
      <c r="A59" s="20">
        <f>SUBTOTAL(3,B$3:B59)</f>
        <v>56</v>
      </c>
      <c r="B59" s="26" t="s">
        <v>4120</v>
      </c>
      <c r="C59" s="27" t="s">
        <v>4122</v>
      </c>
      <c r="D59" s="39" t="s">
        <v>1090</v>
      </c>
      <c r="E59" s="27" t="s">
        <v>4123</v>
      </c>
      <c r="F59" s="27" t="s">
        <v>4125</v>
      </c>
      <c r="G59" s="26" t="s">
        <v>1090</v>
      </c>
      <c r="H59" s="48" t="s">
        <v>111</v>
      </c>
      <c r="I59" s="54" t="s">
        <v>6253</v>
      </c>
      <c r="J59"/>
    </row>
    <row r="60" spans="1:10" ht="20.100000000000001" customHeight="1">
      <c r="A60" s="20">
        <f>SUBTOTAL(3,B$3:B60)</f>
        <v>57</v>
      </c>
      <c r="B60" s="24" t="s">
        <v>2926</v>
      </c>
      <c r="C60" s="25" t="s">
        <v>2927</v>
      </c>
      <c r="D60" s="35" t="s">
        <v>1319</v>
      </c>
      <c r="E60" s="25" t="s">
        <v>2928</v>
      </c>
      <c r="F60" s="25" t="s">
        <v>2931</v>
      </c>
      <c r="G60" s="24" t="s">
        <v>1319</v>
      </c>
      <c r="H60" s="47" t="s">
        <v>111</v>
      </c>
      <c r="I60" s="53" t="s">
        <v>6254</v>
      </c>
      <c r="J60"/>
    </row>
    <row r="61" spans="1:10" ht="20.100000000000001" customHeight="1">
      <c r="A61" s="20">
        <f>SUBTOTAL(3,B$3:B61)</f>
        <v>58</v>
      </c>
      <c r="B61" s="28" t="s">
        <v>3930</v>
      </c>
      <c r="C61" s="29" t="s">
        <v>3932</v>
      </c>
      <c r="D61" s="36" t="s">
        <v>141</v>
      </c>
      <c r="E61" s="29" t="s">
        <v>3933</v>
      </c>
      <c r="F61" s="29" t="s">
        <v>3935</v>
      </c>
      <c r="G61" s="36" t="s">
        <v>141</v>
      </c>
      <c r="H61" s="48" t="s">
        <v>111</v>
      </c>
      <c r="I61" s="54" t="s">
        <v>6255</v>
      </c>
      <c r="J61"/>
    </row>
    <row r="62" spans="1:10" ht="20.100000000000001" customHeight="1">
      <c r="A62" s="20">
        <f>SUBTOTAL(3,B$3:B62)</f>
        <v>59</v>
      </c>
      <c r="B62" s="24" t="s">
        <v>702</v>
      </c>
      <c r="C62" s="25" t="s">
        <v>704</v>
      </c>
      <c r="D62" s="35" t="s">
        <v>512</v>
      </c>
      <c r="E62" s="25" t="s">
        <v>705</v>
      </c>
      <c r="F62" s="25" t="s">
        <v>708</v>
      </c>
      <c r="G62" s="24" t="s">
        <v>141</v>
      </c>
      <c r="H62" s="47" t="s">
        <v>111</v>
      </c>
      <c r="I62" s="53" t="s">
        <v>6256</v>
      </c>
      <c r="J62"/>
    </row>
    <row r="63" spans="1:10" ht="20.100000000000001" customHeight="1">
      <c r="A63" s="20">
        <f>SUBTOTAL(3,B$3:B63)</f>
        <v>60</v>
      </c>
      <c r="B63" s="28" t="s">
        <v>4031</v>
      </c>
      <c r="C63" s="29" t="s">
        <v>4033</v>
      </c>
      <c r="D63" s="36" t="s">
        <v>141</v>
      </c>
      <c r="E63" s="29" t="s">
        <v>4034</v>
      </c>
      <c r="F63" s="29" t="s">
        <v>4035</v>
      </c>
      <c r="G63" s="36" t="s">
        <v>163</v>
      </c>
      <c r="H63" s="48" t="s">
        <v>111</v>
      </c>
      <c r="I63" s="54" t="s">
        <v>6257</v>
      </c>
      <c r="J63"/>
    </row>
    <row r="64" spans="1:10" ht="20.100000000000001" customHeight="1">
      <c r="A64" s="20">
        <f>SUBTOTAL(3,B$3:B64)</f>
        <v>61</v>
      </c>
      <c r="B64" s="24" t="s">
        <v>3553</v>
      </c>
      <c r="C64" s="25" t="s">
        <v>3555</v>
      </c>
      <c r="D64" s="24" t="s">
        <v>141</v>
      </c>
      <c r="E64" s="25" t="s">
        <v>3556</v>
      </c>
      <c r="F64" s="25" t="s">
        <v>3557</v>
      </c>
      <c r="G64" s="24" t="s">
        <v>141</v>
      </c>
      <c r="H64" s="47" t="s">
        <v>111</v>
      </c>
      <c r="I64" s="53" t="s">
        <v>6258</v>
      </c>
      <c r="J64"/>
    </row>
    <row r="65" spans="1:10" ht="20.100000000000001" customHeight="1">
      <c r="A65" s="20">
        <f>SUBTOTAL(3,B$3:B65)</f>
        <v>62</v>
      </c>
      <c r="B65" s="26" t="s">
        <v>2140</v>
      </c>
      <c r="C65" s="27" t="s">
        <v>2142</v>
      </c>
      <c r="D65" s="39" t="s">
        <v>1165</v>
      </c>
      <c r="E65" s="27" t="s">
        <v>2143</v>
      </c>
      <c r="F65" s="34" t="s">
        <v>2144</v>
      </c>
      <c r="G65" s="46" t="s">
        <v>1177</v>
      </c>
      <c r="H65" s="48" t="s">
        <v>111</v>
      </c>
      <c r="I65" s="54" t="s">
        <v>6259</v>
      </c>
      <c r="J65"/>
    </row>
    <row r="66" spans="1:10" ht="20.100000000000001" customHeight="1">
      <c r="A66" s="20">
        <f>SUBTOTAL(3,B$3:B66)</f>
        <v>63</v>
      </c>
      <c r="B66" s="31" t="s">
        <v>3784</v>
      </c>
      <c r="C66" s="32" t="s">
        <v>3786</v>
      </c>
      <c r="D66" s="40" t="s">
        <v>141</v>
      </c>
      <c r="E66" s="32" t="s">
        <v>3787</v>
      </c>
      <c r="F66" s="32" t="s">
        <v>3788</v>
      </c>
      <c r="G66" s="40" t="s">
        <v>141</v>
      </c>
      <c r="H66" s="47" t="s">
        <v>111</v>
      </c>
      <c r="I66" s="53" t="s">
        <v>6260</v>
      </c>
      <c r="J66"/>
    </row>
    <row r="67" spans="1:10" ht="20.100000000000001" customHeight="1">
      <c r="A67" s="20">
        <f>SUBTOTAL(3,B$3:B67)</f>
        <v>64</v>
      </c>
      <c r="B67" s="26" t="s">
        <v>2756</v>
      </c>
      <c r="C67" s="27" t="s">
        <v>2758</v>
      </c>
      <c r="D67" s="39" t="s">
        <v>141</v>
      </c>
      <c r="E67" s="27" t="s">
        <v>2759</v>
      </c>
      <c r="F67" s="27" t="s">
        <v>2760</v>
      </c>
      <c r="G67" s="26" t="s">
        <v>141</v>
      </c>
      <c r="H67" s="48" t="s">
        <v>111</v>
      </c>
      <c r="I67" s="54" t="s">
        <v>6261</v>
      </c>
      <c r="J67"/>
    </row>
    <row r="68" spans="1:10" ht="20.100000000000001" customHeight="1">
      <c r="A68" s="20">
        <f>SUBTOTAL(3,B$3:B68)</f>
        <v>65</v>
      </c>
      <c r="B68" s="24" t="s">
        <v>3331</v>
      </c>
      <c r="C68" s="25" t="s">
        <v>3333</v>
      </c>
      <c r="D68" s="24" t="s">
        <v>141</v>
      </c>
      <c r="E68" s="25" t="s">
        <v>3334</v>
      </c>
      <c r="F68" s="25" t="s">
        <v>3336</v>
      </c>
      <c r="G68" s="24" t="s">
        <v>141</v>
      </c>
      <c r="H68" s="47" t="s">
        <v>111</v>
      </c>
      <c r="I68" s="53" t="s">
        <v>6262</v>
      </c>
      <c r="J68"/>
    </row>
    <row r="69" spans="1:10" ht="20.100000000000001" customHeight="1">
      <c r="A69" s="20">
        <f>SUBTOTAL(3,B$3:B69)</f>
        <v>66</v>
      </c>
      <c r="B69" s="26" t="s">
        <v>3699</v>
      </c>
      <c r="C69" s="27" t="s">
        <v>3701</v>
      </c>
      <c r="D69" s="26" t="s">
        <v>141</v>
      </c>
      <c r="E69" s="27" t="s">
        <v>3702</v>
      </c>
      <c r="F69" s="27" t="s">
        <v>3703</v>
      </c>
      <c r="G69" s="26" t="s">
        <v>163</v>
      </c>
      <c r="H69" s="48" t="s">
        <v>111</v>
      </c>
      <c r="I69" s="54" t="s">
        <v>6263</v>
      </c>
      <c r="J69"/>
    </row>
    <row r="70" spans="1:10" ht="20.100000000000001" customHeight="1">
      <c r="A70" s="20">
        <f>SUBTOTAL(3,B$3:B70)</f>
        <v>67</v>
      </c>
      <c r="B70" s="31" t="s">
        <v>4021</v>
      </c>
      <c r="C70" s="32" t="s">
        <v>4023</v>
      </c>
      <c r="D70" s="40" t="s">
        <v>141</v>
      </c>
      <c r="E70" s="32" t="s">
        <v>4024</v>
      </c>
      <c r="F70" s="32" t="s">
        <v>4026</v>
      </c>
      <c r="G70" s="40" t="s">
        <v>141</v>
      </c>
      <c r="H70" s="47" t="s">
        <v>111</v>
      </c>
      <c r="I70" s="53" t="s">
        <v>6264</v>
      </c>
      <c r="J70"/>
    </row>
    <row r="71" spans="1:10" ht="20.100000000000001" customHeight="1">
      <c r="A71" s="20">
        <f>SUBTOTAL(3,B$3:B71)</f>
        <v>68</v>
      </c>
      <c r="B71" s="26" t="s">
        <v>5405</v>
      </c>
      <c r="C71" s="27" t="s">
        <v>5407</v>
      </c>
      <c r="D71" s="26" t="s">
        <v>141</v>
      </c>
      <c r="E71" s="27" t="s">
        <v>5408</v>
      </c>
      <c r="F71" s="27" t="s">
        <v>5409</v>
      </c>
      <c r="G71" s="26" t="s">
        <v>141</v>
      </c>
      <c r="H71" s="48" t="s">
        <v>111</v>
      </c>
      <c r="I71" s="54" t="s">
        <v>6265</v>
      </c>
      <c r="J71"/>
    </row>
    <row r="72" spans="1:10" ht="20.100000000000001" customHeight="1">
      <c r="A72" s="20">
        <f>SUBTOTAL(3,B$3:B72)</f>
        <v>69</v>
      </c>
      <c r="B72" s="31" t="s">
        <v>3960</v>
      </c>
      <c r="C72" s="32" t="s">
        <v>3962</v>
      </c>
      <c r="D72" s="40" t="s">
        <v>141</v>
      </c>
      <c r="E72" s="32" t="s">
        <v>3963</v>
      </c>
      <c r="F72" s="32" t="s">
        <v>3964</v>
      </c>
      <c r="G72" s="40" t="s">
        <v>141</v>
      </c>
      <c r="H72" s="47" t="s">
        <v>111</v>
      </c>
      <c r="I72" s="53" t="s">
        <v>6266</v>
      </c>
      <c r="J72"/>
    </row>
    <row r="73" spans="1:10" ht="20.100000000000001" customHeight="1">
      <c r="A73" s="20">
        <f>SUBTOTAL(3,B$3:B73)</f>
        <v>70</v>
      </c>
      <c r="B73" s="26" t="s">
        <v>6267</v>
      </c>
      <c r="C73" s="27" t="s">
        <v>3666</v>
      </c>
      <c r="D73" s="26" t="s">
        <v>1090</v>
      </c>
      <c r="E73" s="27" t="s">
        <v>3667</v>
      </c>
      <c r="F73" s="27" t="s">
        <v>3668</v>
      </c>
      <c r="G73" s="26" t="s">
        <v>2136</v>
      </c>
      <c r="H73" s="48" t="s">
        <v>111</v>
      </c>
      <c r="I73" s="54" t="s">
        <v>6268</v>
      </c>
      <c r="J73"/>
    </row>
    <row r="74" spans="1:10" ht="20.100000000000001" customHeight="1">
      <c r="A74" s="20">
        <f>SUBTOTAL(3,B$3:B74)</f>
        <v>71</v>
      </c>
      <c r="B74" s="24" t="s">
        <v>1890</v>
      </c>
      <c r="C74" s="25" t="s">
        <v>1892</v>
      </c>
      <c r="D74" s="35" t="s">
        <v>141</v>
      </c>
      <c r="E74" s="25" t="s">
        <v>1893</v>
      </c>
      <c r="F74" s="25" t="s">
        <v>1896</v>
      </c>
      <c r="G74" s="24" t="s">
        <v>141</v>
      </c>
      <c r="H74" s="47" t="s">
        <v>111</v>
      </c>
      <c r="I74" s="53" t="s">
        <v>6269</v>
      </c>
      <c r="J74"/>
    </row>
    <row r="75" spans="1:10" ht="20.100000000000001" customHeight="1">
      <c r="A75" s="20">
        <f>SUBTOTAL(3,B$3:B75)</f>
        <v>72</v>
      </c>
      <c r="B75" s="26" t="s">
        <v>3395</v>
      </c>
      <c r="C75" s="27" t="s">
        <v>3397</v>
      </c>
      <c r="D75" s="39" t="s">
        <v>141</v>
      </c>
      <c r="E75" s="27" t="s">
        <v>3398</v>
      </c>
      <c r="F75" s="27" t="s">
        <v>3400</v>
      </c>
      <c r="G75" s="26" t="s">
        <v>141</v>
      </c>
      <c r="H75" s="48" t="s">
        <v>111</v>
      </c>
      <c r="I75" s="54" t="s">
        <v>6270</v>
      </c>
      <c r="J75"/>
    </row>
    <row r="76" spans="1:10" ht="20.100000000000001" customHeight="1">
      <c r="A76" s="20">
        <f>SUBTOTAL(3,B$3:B76)</f>
        <v>73</v>
      </c>
      <c r="B76" s="24" t="s">
        <v>4129</v>
      </c>
      <c r="C76" s="25" t="s">
        <v>4131</v>
      </c>
      <c r="D76" s="35" t="s">
        <v>141</v>
      </c>
      <c r="E76" s="25" t="s">
        <v>4132</v>
      </c>
      <c r="F76" s="25" t="s">
        <v>4133</v>
      </c>
      <c r="G76" s="24" t="s">
        <v>141</v>
      </c>
      <c r="H76" s="47" t="s">
        <v>111</v>
      </c>
      <c r="I76" s="53" t="s">
        <v>6271</v>
      </c>
      <c r="J76"/>
    </row>
    <row r="77" spans="1:10" ht="20.100000000000001" customHeight="1">
      <c r="A77" s="20">
        <f>SUBTOTAL(3,B$3:B77)</f>
        <v>74</v>
      </c>
      <c r="B77" s="26" t="s">
        <v>4104</v>
      </c>
      <c r="C77" s="27" t="s">
        <v>4106</v>
      </c>
      <c r="D77" s="39" t="s">
        <v>141</v>
      </c>
      <c r="E77" s="27" t="s">
        <v>4107</v>
      </c>
      <c r="F77" s="27" t="s">
        <v>4108</v>
      </c>
      <c r="G77" s="26" t="s">
        <v>141</v>
      </c>
      <c r="H77" s="48" t="s">
        <v>111</v>
      </c>
      <c r="I77" s="54" t="s">
        <v>6272</v>
      </c>
      <c r="J77"/>
    </row>
    <row r="78" spans="1:10" ht="20.100000000000001" customHeight="1">
      <c r="A78" s="20">
        <f>SUBTOTAL(3,B$3:B78)</f>
        <v>75</v>
      </c>
      <c r="B78" s="24" t="s">
        <v>3620</v>
      </c>
      <c r="C78" s="25" t="s">
        <v>3622</v>
      </c>
      <c r="D78" s="24" t="s">
        <v>141</v>
      </c>
      <c r="E78" s="25" t="s">
        <v>3623</v>
      </c>
      <c r="F78" s="25" t="s">
        <v>3624</v>
      </c>
      <c r="G78" s="24" t="s">
        <v>141</v>
      </c>
      <c r="H78" s="47" t="s">
        <v>111</v>
      </c>
      <c r="I78" s="53" t="s">
        <v>6273</v>
      </c>
      <c r="J78"/>
    </row>
    <row r="79" spans="1:10" ht="20.100000000000001" customHeight="1">
      <c r="A79" s="20">
        <f>SUBTOTAL(3,B$3:B79)</f>
        <v>76</v>
      </c>
      <c r="B79" s="26" t="s">
        <v>6090</v>
      </c>
      <c r="C79" s="27" t="s">
        <v>3643</v>
      </c>
      <c r="D79" s="26" t="s">
        <v>141</v>
      </c>
      <c r="E79" s="27" t="s">
        <v>3644</v>
      </c>
      <c r="F79" s="27" t="s">
        <v>3645</v>
      </c>
      <c r="G79" s="26" t="s">
        <v>651</v>
      </c>
      <c r="H79" s="48" t="s">
        <v>111</v>
      </c>
      <c r="I79" s="54" t="s">
        <v>6274</v>
      </c>
      <c r="J79"/>
    </row>
    <row r="80" spans="1:10" ht="20.100000000000001" customHeight="1">
      <c r="A80" s="20">
        <f>SUBTOTAL(3,B$3:B80)</f>
        <v>77</v>
      </c>
      <c r="B80" s="24" t="s">
        <v>3609</v>
      </c>
      <c r="C80" s="25" t="s">
        <v>3611</v>
      </c>
      <c r="D80" s="24" t="s">
        <v>141</v>
      </c>
      <c r="E80" s="25" t="s">
        <v>3612</v>
      </c>
      <c r="F80" s="25" t="s">
        <v>3613</v>
      </c>
      <c r="G80" s="24" t="s">
        <v>141</v>
      </c>
      <c r="H80" s="47" t="s">
        <v>111</v>
      </c>
      <c r="I80" s="53" t="s">
        <v>6275</v>
      </c>
      <c r="J80"/>
    </row>
    <row r="81" spans="1:10" ht="20.100000000000001" customHeight="1">
      <c r="A81" s="20">
        <f>SUBTOTAL(3,B$3:B81)</f>
        <v>78</v>
      </c>
      <c r="B81" s="26" t="s">
        <v>3691</v>
      </c>
      <c r="C81" s="27" t="s">
        <v>3693</v>
      </c>
      <c r="D81" s="26" t="s">
        <v>141</v>
      </c>
      <c r="E81" s="27" t="s">
        <v>3694</v>
      </c>
      <c r="F81" s="27" t="s">
        <v>3695</v>
      </c>
      <c r="G81" s="26" t="s">
        <v>141</v>
      </c>
      <c r="H81" s="48" t="s">
        <v>111</v>
      </c>
      <c r="I81" s="54" t="s">
        <v>6276</v>
      </c>
      <c r="J81"/>
    </row>
    <row r="82" spans="1:10" ht="20.100000000000001" customHeight="1">
      <c r="A82" s="20">
        <f>SUBTOTAL(3,B$3:B82)</f>
        <v>79</v>
      </c>
      <c r="B82" s="24" t="s">
        <v>4651</v>
      </c>
      <c r="C82" s="25" t="s">
        <v>4653</v>
      </c>
      <c r="D82" s="35" t="s">
        <v>141</v>
      </c>
      <c r="E82" s="25" t="s">
        <v>4654</v>
      </c>
      <c r="F82" s="25" t="s">
        <v>4655</v>
      </c>
      <c r="G82" s="24" t="s">
        <v>141</v>
      </c>
      <c r="H82" s="47" t="s">
        <v>111</v>
      </c>
      <c r="I82" s="53" t="s">
        <v>6277</v>
      </c>
      <c r="J82"/>
    </row>
    <row r="83" spans="1:10" ht="20.100000000000001" customHeight="1">
      <c r="A83" s="20">
        <f>SUBTOTAL(3,B$3:B83)</f>
        <v>80</v>
      </c>
      <c r="B83" s="26" t="s">
        <v>3457</v>
      </c>
      <c r="C83" s="27" t="s">
        <v>3459</v>
      </c>
      <c r="D83" s="39" t="s">
        <v>512</v>
      </c>
      <c r="E83" s="27" t="s">
        <v>3460</v>
      </c>
      <c r="F83" s="27" t="s">
        <v>3462</v>
      </c>
      <c r="G83" s="26" t="s">
        <v>512</v>
      </c>
      <c r="H83" s="48" t="s">
        <v>111</v>
      </c>
      <c r="I83" s="54" t="s">
        <v>6278</v>
      </c>
      <c r="J83"/>
    </row>
    <row r="84" spans="1:10" ht="20.100000000000001" customHeight="1">
      <c r="A84" s="20">
        <f>SUBTOTAL(3,B$3:B84)</f>
        <v>81</v>
      </c>
      <c r="B84" s="24" t="s">
        <v>3683</v>
      </c>
      <c r="C84" s="25" t="s">
        <v>3685</v>
      </c>
      <c r="D84" s="24" t="s">
        <v>1090</v>
      </c>
      <c r="E84" s="25" t="s">
        <v>3460</v>
      </c>
      <c r="F84" s="25" t="s">
        <v>3686</v>
      </c>
      <c r="G84" s="24" t="s">
        <v>141</v>
      </c>
      <c r="H84" s="47" t="s">
        <v>111</v>
      </c>
      <c r="I84" s="53" t="s">
        <v>6278</v>
      </c>
      <c r="J84"/>
    </row>
    <row r="85" spans="1:10" ht="20.100000000000001" customHeight="1">
      <c r="A85" s="20">
        <f>SUBTOTAL(3,B$3:B85)</f>
        <v>82</v>
      </c>
      <c r="B85" s="28" t="s">
        <v>3852</v>
      </c>
      <c r="C85" s="29" t="s">
        <v>3854</v>
      </c>
      <c r="D85" s="36" t="s">
        <v>1090</v>
      </c>
      <c r="E85" s="29" t="s">
        <v>3855</v>
      </c>
      <c r="F85" s="29" t="s">
        <v>3856</v>
      </c>
      <c r="G85" s="36" t="s">
        <v>1090</v>
      </c>
      <c r="H85" s="48" t="s">
        <v>111</v>
      </c>
      <c r="I85" s="54" t="s">
        <v>6279</v>
      </c>
      <c r="J85"/>
    </row>
    <row r="86" spans="1:10" ht="20.100000000000001" customHeight="1">
      <c r="A86" s="20">
        <f>SUBTOTAL(3,B$3:B86)</f>
        <v>83</v>
      </c>
      <c r="B86" s="24" t="s">
        <v>5209</v>
      </c>
      <c r="C86" s="25" t="s">
        <v>5210</v>
      </c>
      <c r="D86" s="35" t="s">
        <v>141</v>
      </c>
      <c r="E86" s="25" t="s">
        <v>5211</v>
      </c>
      <c r="F86" s="25" t="s">
        <v>5212</v>
      </c>
      <c r="G86" s="24" t="s">
        <v>90</v>
      </c>
      <c r="H86" s="47" t="s">
        <v>111</v>
      </c>
      <c r="I86" s="53" t="s">
        <v>6280</v>
      </c>
      <c r="J86"/>
    </row>
    <row r="87" spans="1:10" ht="20.100000000000001" customHeight="1">
      <c r="A87" s="20">
        <f>SUBTOTAL(3,B$3:B87)</f>
        <v>84</v>
      </c>
      <c r="B87" s="26" t="s">
        <v>4729</v>
      </c>
      <c r="C87" s="27" t="s">
        <v>4731</v>
      </c>
      <c r="D87" s="26" t="s">
        <v>141</v>
      </c>
      <c r="E87" s="27" t="s">
        <v>4732</v>
      </c>
      <c r="F87" s="27" t="s">
        <v>4733</v>
      </c>
      <c r="G87" s="26" t="s">
        <v>141</v>
      </c>
      <c r="H87" s="48" t="s">
        <v>111</v>
      </c>
      <c r="I87" s="54" t="s">
        <v>6281</v>
      </c>
      <c r="J87"/>
    </row>
    <row r="88" spans="1:10" ht="20.100000000000001" customHeight="1">
      <c r="A88" s="20">
        <f>SUBTOTAL(3,B$3:B88)</f>
        <v>85</v>
      </c>
      <c r="B88" s="24" t="s">
        <v>2264</v>
      </c>
      <c r="C88" s="25" t="s">
        <v>2266</v>
      </c>
      <c r="D88" s="35" t="s">
        <v>141</v>
      </c>
      <c r="E88" s="25" t="s">
        <v>2267</v>
      </c>
      <c r="F88" s="33" t="s">
        <v>2268</v>
      </c>
      <c r="G88" s="44" t="s">
        <v>1706</v>
      </c>
      <c r="H88" s="47" t="s">
        <v>111</v>
      </c>
      <c r="I88" s="53" t="s">
        <v>6282</v>
      </c>
      <c r="J88"/>
    </row>
    <row r="89" spans="1:10" ht="20.100000000000001" customHeight="1">
      <c r="A89" s="20">
        <f>SUBTOTAL(3,B$3:B89)</f>
        <v>86</v>
      </c>
      <c r="B89" s="26" t="s">
        <v>4307</v>
      </c>
      <c r="C89" s="27" t="s">
        <v>4309</v>
      </c>
      <c r="D89" s="39" t="s">
        <v>1165</v>
      </c>
      <c r="E89" s="27" t="s">
        <v>4310</v>
      </c>
      <c r="F89" s="27" t="s">
        <v>4311</v>
      </c>
      <c r="G89" s="26" t="s">
        <v>1177</v>
      </c>
      <c r="H89" s="48" t="s">
        <v>111</v>
      </c>
      <c r="I89" s="54" t="s">
        <v>6283</v>
      </c>
      <c r="J89"/>
    </row>
    <row r="90" spans="1:10" ht="20.100000000000001" customHeight="1">
      <c r="A90" s="20">
        <f>SUBTOTAL(3,B$3:B90)</f>
        <v>87</v>
      </c>
      <c r="B90" s="31" t="s">
        <v>3976</v>
      </c>
      <c r="C90" s="32" t="s">
        <v>3978</v>
      </c>
      <c r="D90" s="40" t="s">
        <v>141</v>
      </c>
      <c r="E90" s="32" t="s">
        <v>3979</v>
      </c>
      <c r="F90" s="32" t="s">
        <v>3981</v>
      </c>
      <c r="G90" s="40" t="s">
        <v>141</v>
      </c>
      <c r="H90" s="47" t="s">
        <v>111</v>
      </c>
      <c r="I90" s="53" t="s">
        <v>6284</v>
      </c>
      <c r="J90"/>
    </row>
    <row r="91" spans="1:10" ht="20.100000000000001" customHeight="1">
      <c r="A91" s="20">
        <f>SUBTOTAL(3,B$3:B91)</f>
        <v>88</v>
      </c>
      <c r="B91" s="26" t="s">
        <v>4490</v>
      </c>
      <c r="C91" s="27" t="s">
        <v>4492</v>
      </c>
      <c r="D91" s="39" t="s">
        <v>141</v>
      </c>
      <c r="E91" s="27" t="s">
        <v>4493</v>
      </c>
      <c r="F91" s="27" t="s">
        <v>4496</v>
      </c>
      <c r="G91" s="26" t="s">
        <v>90</v>
      </c>
      <c r="H91" s="48" t="s">
        <v>111</v>
      </c>
      <c r="I91" s="54" t="s">
        <v>6285</v>
      </c>
      <c r="J91"/>
    </row>
    <row r="92" spans="1:10" ht="20.100000000000001" customHeight="1">
      <c r="A92" s="20">
        <f>SUBTOTAL(3,B$3:B92)</f>
        <v>89</v>
      </c>
      <c r="B92" s="24" t="s">
        <v>4536</v>
      </c>
      <c r="C92" s="25" t="s">
        <v>4538</v>
      </c>
      <c r="D92" s="35" t="s">
        <v>141</v>
      </c>
      <c r="E92" s="25" t="s">
        <v>4539</v>
      </c>
      <c r="F92" s="25" t="s">
        <v>4541</v>
      </c>
      <c r="G92" s="24" t="s">
        <v>141</v>
      </c>
      <c r="H92" s="47" t="s">
        <v>111</v>
      </c>
      <c r="I92" s="53" t="s">
        <v>6286</v>
      </c>
      <c r="J92"/>
    </row>
    <row r="93" spans="1:10" ht="20.100000000000001" customHeight="1">
      <c r="A93" s="20">
        <f>SUBTOTAL(3,B$3:B93)</f>
        <v>90</v>
      </c>
      <c r="B93" s="26" t="s">
        <v>4219</v>
      </c>
      <c r="C93" s="27" t="s">
        <v>4221</v>
      </c>
      <c r="D93" s="39" t="s">
        <v>141</v>
      </c>
      <c r="E93" s="27" t="s">
        <v>4222</v>
      </c>
      <c r="F93" s="27" t="s">
        <v>4223</v>
      </c>
      <c r="G93" s="26" t="s">
        <v>141</v>
      </c>
      <c r="H93" s="48" t="s">
        <v>111</v>
      </c>
      <c r="I93" s="54" t="s">
        <v>6287</v>
      </c>
      <c r="J93"/>
    </row>
    <row r="94" spans="1:10" ht="20.100000000000001" customHeight="1">
      <c r="A94" s="20">
        <f>SUBTOTAL(3,B$3:B94)</f>
        <v>91</v>
      </c>
      <c r="B94" s="24" t="s">
        <v>2244</v>
      </c>
      <c r="C94" s="25" t="s">
        <v>2245</v>
      </c>
      <c r="D94" s="35" t="s">
        <v>1090</v>
      </c>
      <c r="E94" s="25" t="s">
        <v>2246</v>
      </c>
      <c r="F94" s="10" t="s">
        <v>2247</v>
      </c>
      <c r="G94" s="14" t="s">
        <v>1090</v>
      </c>
      <c r="H94" s="47" t="s">
        <v>111</v>
      </c>
      <c r="I94" s="53" t="s">
        <v>6288</v>
      </c>
      <c r="J94"/>
    </row>
    <row r="95" spans="1:10" ht="20.100000000000001" hidden="1" customHeight="1">
      <c r="A95" s="20">
        <f>SUBTOTAL(3,B$3:B95)</f>
        <v>91</v>
      </c>
      <c r="B95" s="26" t="s">
        <v>5013</v>
      </c>
      <c r="C95" s="27" t="s">
        <v>5015</v>
      </c>
      <c r="D95" s="39" t="s">
        <v>141</v>
      </c>
      <c r="E95" s="27" t="s">
        <v>5016</v>
      </c>
      <c r="F95" s="27" t="s">
        <v>5019</v>
      </c>
      <c r="G95" s="26" t="s">
        <v>5029</v>
      </c>
      <c r="H95" s="48" t="s">
        <v>5030</v>
      </c>
      <c r="I95" s="54" t="s">
        <v>6289</v>
      </c>
      <c r="J95"/>
    </row>
    <row r="96" spans="1:10" ht="20.100000000000001" customHeight="1">
      <c r="A96" s="20">
        <f>SUBTOTAL(3,B$3:B96)</f>
        <v>92</v>
      </c>
      <c r="B96" s="24" t="s">
        <v>4528</v>
      </c>
      <c r="C96" s="25" t="s">
        <v>4529</v>
      </c>
      <c r="D96" s="35" t="s">
        <v>1090</v>
      </c>
      <c r="E96" s="25" t="s">
        <v>4530</v>
      </c>
      <c r="F96" s="25" t="s">
        <v>4531</v>
      </c>
      <c r="G96" s="24" t="s">
        <v>1090</v>
      </c>
      <c r="H96" s="47" t="s">
        <v>111</v>
      </c>
      <c r="I96" s="53" t="s">
        <v>6290</v>
      </c>
      <c r="J96"/>
    </row>
    <row r="97" spans="1:10" ht="20.100000000000001" customHeight="1">
      <c r="A97" s="20">
        <f>SUBTOTAL(3,B$3:B97)</f>
        <v>93</v>
      </c>
      <c r="B97" s="26" t="s">
        <v>2086</v>
      </c>
      <c r="C97" s="27" t="s">
        <v>2088</v>
      </c>
      <c r="D97" s="39" t="s">
        <v>1090</v>
      </c>
      <c r="E97" s="27" t="s">
        <v>2089</v>
      </c>
      <c r="F97" s="27" t="s">
        <v>2090</v>
      </c>
      <c r="G97" s="26" t="s">
        <v>1090</v>
      </c>
      <c r="H97" s="48" t="s">
        <v>111</v>
      </c>
      <c r="I97" s="54" t="s">
        <v>6291</v>
      </c>
      <c r="J97"/>
    </row>
    <row r="98" spans="1:10" ht="20.100000000000001" customHeight="1">
      <c r="A98" s="20">
        <f>SUBTOTAL(3,B$3:B98)</f>
        <v>94</v>
      </c>
      <c r="B98" s="24" t="s">
        <v>4761</v>
      </c>
      <c r="C98" s="25" t="s">
        <v>4763</v>
      </c>
      <c r="D98" s="24" t="s">
        <v>1090</v>
      </c>
      <c r="E98" s="25" t="s">
        <v>4764</v>
      </c>
      <c r="F98" s="25" t="s">
        <v>4766</v>
      </c>
      <c r="G98" s="24" t="s">
        <v>1090</v>
      </c>
      <c r="H98" s="47" t="s">
        <v>111</v>
      </c>
      <c r="I98" s="53" t="s">
        <v>6292</v>
      </c>
      <c r="J98"/>
    </row>
    <row r="99" spans="1:10" ht="20.100000000000001" customHeight="1">
      <c r="A99" s="20">
        <f>SUBTOTAL(3,B$3:B99)</f>
        <v>95</v>
      </c>
      <c r="B99" s="26" t="s">
        <v>4334</v>
      </c>
      <c r="C99" s="27" t="s">
        <v>4336</v>
      </c>
      <c r="D99" s="39" t="s">
        <v>1090</v>
      </c>
      <c r="E99" s="27" t="s">
        <v>4337</v>
      </c>
      <c r="F99" s="27"/>
      <c r="G99" s="26" t="s">
        <v>1090</v>
      </c>
      <c r="H99" s="48" t="s">
        <v>111</v>
      </c>
      <c r="I99" s="54" t="s">
        <v>6293</v>
      </c>
      <c r="J99"/>
    </row>
    <row r="100" spans="1:10" ht="20.100000000000001" customHeight="1">
      <c r="A100" s="20">
        <f>SUBTOTAL(3,B$3:B100)</f>
        <v>96</v>
      </c>
      <c r="B100" s="24" t="s">
        <v>1135</v>
      </c>
      <c r="C100" s="25" t="s">
        <v>1137</v>
      </c>
      <c r="D100" s="35" t="s">
        <v>141</v>
      </c>
      <c r="E100" s="25" t="s">
        <v>1138</v>
      </c>
      <c r="F100" s="10" t="s">
        <v>1142</v>
      </c>
      <c r="G100" s="14" t="s">
        <v>141</v>
      </c>
      <c r="H100" s="47" t="s">
        <v>111</v>
      </c>
      <c r="I100" s="53" t="s">
        <v>6294</v>
      </c>
      <c r="J100"/>
    </row>
    <row r="101" spans="1:10" ht="20.100000000000001" hidden="1" customHeight="1">
      <c r="A101" s="20">
        <f>SUBTOTAL(3,B$3:B101)</f>
        <v>96</v>
      </c>
      <c r="B101" s="26" t="s">
        <v>5451</v>
      </c>
      <c r="C101" s="27" t="s">
        <v>5453</v>
      </c>
      <c r="D101" s="39" t="s">
        <v>797</v>
      </c>
      <c r="E101" s="27" t="s">
        <v>5454</v>
      </c>
      <c r="F101" s="27" t="s">
        <v>5455</v>
      </c>
      <c r="G101" s="26" t="s">
        <v>2178</v>
      </c>
      <c r="H101" s="48" t="s">
        <v>2185</v>
      </c>
      <c r="I101" s="54" t="s">
        <v>6295</v>
      </c>
      <c r="J101"/>
    </row>
    <row r="102" spans="1:10" ht="20.100000000000001" customHeight="1">
      <c r="A102" s="20">
        <f>SUBTOTAL(3,B$3:B102)</f>
        <v>97</v>
      </c>
      <c r="B102" s="24" t="s">
        <v>4517</v>
      </c>
      <c r="C102" s="25" t="s">
        <v>4519</v>
      </c>
      <c r="D102" s="35" t="s">
        <v>1383</v>
      </c>
      <c r="E102" s="25" t="s">
        <v>4520</v>
      </c>
      <c r="F102" s="25" t="s">
        <v>4522</v>
      </c>
      <c r="G102" s="24" t="s">
        <v>1383</v>
      </c>
      <c r="H102" s="47" t="s">
        <v>111</v>
      </c>
      <c r="I102" s="53" t="s">
        <v>6296</v>
      </c>
      <c r="J102"/>
    </row>
    <row r="103" spans="1:10" ht="20.100000000000001" customHeight="1">
      <c r="A103" s="20">
        <f>SUBTOTAL(3,B$3:B103)</f>
        <v>98</v>
      </c>
      <c r="B103" s="28" t="s">
        <v>3483</v>
      </c>
      <c r="C103" s="29" t="s">
        <v>3485</v>
      </c>
      <c r="D103" s="36" t="s">
        <v>141</v>
      </c>
      <c r="E103" s="29" t="s">
        <v>3486</v>
      </c>
      <c r="F103" s="29" t="s">
        <v>3487</v>
      </c>
      <c r="G103" s="36" t="s">
        <v>141</v>
      </c>
      <c r="H103" s="48" t="s">
        <v>111</v>
      </c>
      <c r="I103" s="54" t="s">
        <v>6297</v>
      </c>
      <c r="J103"/>
    </row>
    <row r="104" spans="1:10" ht="20.100000000000001" customHeight="1">
      <c r="A104" s="20">
        <f>SUBTOTAL(3,B$3:B104)</f>
        <v>99</v>
      </c>
      <c r="B104" s="24" t="s">
        <v>3365</v>
      </c>
      <c r="C104" s="25" t="s">
        <v>3367</v>
      </c>
      <c r="D104" s="35" t="s">
        <v>141</v>
      </c>
      <c r="E104" s="25" t="s">
        <v>3368</v>
      </c>
      <c r="F104" s="25" t="s">
        <v>99</v>
      </c>
      <c r="G104" s="24" t="s">
        <v>141</v>
      </c>
      <c r="H104" s="47" t="s">
        <v>111</v>
      </c>
      <c r="I104" s="53" t="s">
        <v>6298</v>
      </c>
      <c r="J104"/>
    </row>
    <row r="105" spans="1:10" ht="20.100000000000001" customHeight="1">
      <c r="A105" s="20">
        <f>SUBTOTAL(3,B$3:B105)</f>
        <v>100</v>
      </c>
      <c r="B105" s="26" t="s">
        <v>5000</v>
      </c>
      <c r="C105" s="27" t="s">
        <v>5002</v>
      </c>
      <c r="D105" s="39" t="s">
        <v>141</v>
      </c>
      <c r="E105" s="27" t="s">
        <v>5003</v>
      </c>
      <c r="F105" s="27" t="s">
        <v>5005</v>
      </c>
      <c r="G105" s="26" t="s">
        <v>141</v>
      </c>
      <c r="H105" s="48" t="s">
        <v>111</v>
      </c>
      <c r="I105" s="54" t="s">
        <v>6299</v>
      </c>
      <c r="J105"/>
    </row>
    <row r="106" spans="1:10" ht="20.100000000000001" customHeight="1">
      <c r="A106" s="20">
        <f>SUBTOTAL(3,B$3:B106)</f>
        <v>101</v>
      </c>
      <c r="B106" s="24" t="s">
        <v>1483</v>
      </c>
      <c r="C106" s="25" t="s">
        <v>4748</v>
      </c>
      <c r="D106" s="24" t="s">
        <v>512</v>
      </c>
      <c r="E106" s="25" t="s">
        <v>4749</v>
      </c>
      <c r="F106" s="25" t="s">
        <v>4751</v>
      </c>
      <c r="G106" s="24" t="s">
        <v>141</v>
      </c>
      <c r="H106" s="47" t="s">
        <v>111</v>
      </c>
      <c r="I106" s="53" t="s">
        <v>6300</v>
      </c>
      <c r="J106"/>
    </row>
    <row r="107" spans="1:10" ht="20.100000000000001" customHeight="1">
      <c r="A107" s="20">
        <f>SUBTOTAL(3,B$3:B107)</f>
        <v>102</v>
      </c>
      <c r="B107" s="26" t="s">
        <v>4559</v>
      </c>
      <c r="C107" s="27" t="s">
        <v>4561</v>
      </c>
      <c r="D107" s="39" t="s">
        <v>1090</v>
      </c>
      <c r="E107" s="27" t="s">
        <v>4562</v>
      </c>
      <c r="F107" s="27" t="s">
        <v>971</v>
      </c>
      <c r="G107" s="26" t="s">
        <v>1090</v>
      </c>
      <c r="H107" s="48" t="s">
        <v>111</v>
      </c>
      <c r="I107" s="54" t="s">
        <v>6301</v>
      </c>
      <c r="J107"/>
    </row>
    <row r="108" spans="1:10" ht="20.100000000000001" hidden="1" customHeight="1">
      <c r="A108" s="20">
        <f>SUBTOTAL(3,B$3:B108)</f>
        <v>102</v>
      </c>
      <c r="B108" s="24" t="s">
        <v>3256</v>
      </c>
      <c r="C108" s="25" t="s">
        <v>6302</v>
      </c>
      <c r="D108" s="35" t="s">
        <v>1090</v>
      </c>
      <c r="E108" s="25" t="s">
        <v>3259</v>
      </c>
      <c r="F108" s="25" t="s">
        <v>3261</v>
      </c>
      <c r="G108" s="24" t="s">
        <v>1474</v>
      </c>
      <c r="H108" s="47" t="s">
        <v>806</v>
      </c>
      <c r="I108" s="53" t="s">
        <v>6303</v>
      </c>
      <c r="J108"/>
    </row>
    <row r="109" spans="1:10" ht="20.100000000000001" customHeight="1">
      <c r="A109" s="20">
        <f>SUBTOTAL(3,B$3:B109)</f>
        <v>103</v>
      </c>
      <c r="B109" s="26" t="s">
        <v>4279</v>
      </c>
      <c r="C109" s="27" t="s">
        <v>4281</v>
      </c>
      <c r="D109" s="39" t="s">
        <v>273</v>
      </c>
      <c r="E109" s="27" t="s">
        <v>3259</v>
      </c>
      <c r="F109" s="27" t="s">
        <v>4283</v>
      </c>
      <c r="G109" s="26" t="s">
        <v>4284</v>
      </c>
      <c r="H109" s="48" t="s">
        <v>111</v>
      </c>
      <c r="I109" s="54" t="s">
        <v>6303</v>
      </c>
      <c r="J109"/>
    </row>
    <row r="110" spans="1:10" ht="20.100000000000001" customHeight="1">
      <c r="A110" s="20">
        <f>SUBTOTAL(3,B$3:B110)</f>
        <v>104</v>
      </c>
      <c r="B110" s="31" t="s">
        <v>3999</v>
      </c>
      <c r="C110" s="32" t="s">
        <v>4001</v>
      </c>
      <c r="D110" s="40" t="s">
        <v>1090</v>
      </c>
      <c r="E110" s="32" t="s">
        <v>4002</v>
      </c>
      <c r="F110" s="32" t="s">
        <v>4004</v>
      </c>
      <c r="G110" s="40" t="s">
        <v>1090</v>
      </c>
      <c r="H110" s="47" t="s">
        <v>111</v>
      </c>
      <c r="I110" s="53" t="s">
        <v>6304</v>
      </c>
      <c r="J110"/>
    </row>
    <row r="111" spans="1:10" ht="20.100000000000001" customHeight="1">
      <c r="A111" s="20">
        <f>SUBTOTAL(3,B$3:B111)</f>
        <v>105</v>
      </c>
      <c r="B111" s="26" t="s">
        <v>4771</v>
      </c>
      <c r="C111" s="27" t="s">
        <v>4773</v>
      </c>
      <c r="D111" s="26" t="s">
        <v>1090</v>
      </c>
      <c r="E111" s="27" t="s">
        <v>4774</v>
      </c>
      <c r="F111" s="27" t="s">
        <v>4775</v>
      </c>
      <c r="G111" s="26" t="s">
        <v>1090</v>
      </c>
      <c r="H111" s="48" t="s">
        <v>111</v>
      </c>
      <c r="I111" s="54" t="s">
        <v>6305</v>
      </c>
      <c r="J111"/>
    </row>
    <row r="112" spans="1:10" ht="20.100000000000001" customHeight="1">
      <c r="A112" s="20">
        <f>SUBTOTAL(3,B$3:B112)</f>
        <v>106</v>
      </c>
      <c r="B112" s="24" t="s">
        <v>4317</v>
      </c>
      <c r="C112" s="25" t="s">
        <v>4319</v>
      </c>
      <c r="D112" s="35" t="s">
        <v>141</v>
      </c>
      <c r="E112" s="25" t="s">
        <v>4320</v>
      </c>
      <c r="F112" s="25" t="s">
        <v>1436</v>
      </c>
      <c r="G112" s="24" t="s">
        <v>141</v>
      </c>
      <c r="H112" s="47" t="s">
        <v>111</v>
      </c>
      <c r="I112" s="53" t="s">
        <v>6306</v>
      </c>
      <c r="J112"/>
    </row>
    <row r="113" spans="1:10" ht="20.100000000000001" customHeight="1">
      <c r="A113" s="20">
        <f>SUBTOTAL(3,B$3:B113)</f>
        <v>107</v>
      </c>
      <c r="B113" s="26" t="s">
        <v>4227</v>
      </c>
      <c r="C113" s="27" t="s">
        <v>4229</v>
      </c>
      <c r="D113" s="39" t="s">
        <v>141</v>
      </c>
      <c r="E113" s="27" t="s">
        <v>4230</v>
      </c>
      <c r="F113" s="27" t="s">
        <v>4232</v>
      </c>
      <c r="G113" s="26" t="s">
        <v>141</v>
      </c>
      <c r="H113" s="48" t="s">
        <v>111</v>
      </c>
      <c r="I113" s="54" t="s">
        <v>6307</v>
      </c>
      <c r="J113"/>
    </row>
    <row r="114" spans="1:10" ht="20.100000000000001" customHeight="1">
      <c r="A114" s="20">
        <f>SUBTOTAL(3,B$3:B114)</f>
        <v>108</v>
      </c>
      <c r="B114" s="24" t="s">
        <v>4237</v>
      </c>
      <c r="C114" s="25" t="s">
        <v>4239</v>
      </c>
      <c r="D114" s="35" t="s">
        <v>141</v>
      </c>
      <c r="E114" s="25" t="s">
        <v>4230</v>
      </c>
      <c r="F114" s="25" t="s">
        <v>4241</v>
      </c>
      <c r="G114" s="24" t="s">
        <v>141</v>
      </c>
      <c r="H114" s="47" t="s">
        <v>111</v>
      </c>
      <c r="I114" s="53" t="s">
        <v>6307</v>
      </c>
      <c r="J114"/>
    </row>
    <row r="115" spans="1:10" ht="20.100000000000001" customHeight="1">
      <c r="A115" s="20">
        <f>SUBTOTAL(3,B$3:B115)</f>
        <v>109</v>
      </c>
      <c r="B115" s="26" t="s">
        <v>4151</v>
      </c>
      <c r="C115" s="27" t="s">
        <v>4153</v>
      </c>
      <c r="D115" s="39" t="s">
        <v>1090</v>
      </c>
      <c r="E115" s="27" t="s">
        <v>4154</v>
      </c>
      <c r="F115" s="27" t="s">
        <v>4157</v>
      </c>
      <c r="G115" s="26" t="s">
        <v>1090</v>
      </c>
      <c r="H115" s="48" t="s">
        <v>111</v>
      </c>
      <c r="I115" s="54" t="s">
        <v>6308</v>
      </c>
      <c r="J115"/>
    </row>
    <row r="116" spans="1:10" ht="20.100000000000001" customHeight="1">
      <c r="A116" s="20">
        <f>SUBTOTAL(3,B$3:B116)</f>
        <v>110</v>
      </c>
      <c r="B116" s="24" t="s">
        <v>4458</v>
      </c>
      <c r="C116" s="25" t="s">
        <v>4460</v>
      </c>
      <c r="D116" s="35" t="s">
        <v>1090</v>
      </c>
      <c r="E116" s="25" t="s">
        <v>4461</v>
      </c>
      <c r="F116" s="25" t="s">
        <v>4462</v>
      </c>
      <c r="G116" s="24" t="s">
        <v>1090</v>
      </c>
      <c r="H116" s="47" t="s">
        <v>111</v>
      </c>
      <c r="I116" s="53" t="s">
        <v>6309</v>
      </c>
      <c r="J116"/>
    </row>
    <row r="117" spans="1:10" ht="20.100000000000001" customHeight="1">
      <c r="A117" s="20">
        <f>SUBTOTAL(3,B$3:B117)</f>
        <v>111</v>
      </c>
      <c r="B117" s="26" t="s">
        <v>2536</v>
      </c>
      <c r="C117" s="27" t="s">
        <v>2538</v>
      </c>
      <c r="D117" s="39" t="s">
        <v>141</v>
      </c>
      <c r="E117" s="27" t="s">
        <v>2539</v>
      </c>
      <c r="F117" s="27" t="s">
        <v>2540</v>
      </c>
      <c r="G117" s="26" t="s">
        <v>90</v>
      </c>
      <c r="H117" s="48" t="s">
        <v>111</v>
      </c>
      <c r="I117" s="54" t="s">
        <v>6310</v>
      </c>
      <c r="J117"/>
    </row>
    <row r="118" spans="1:10" ht="20.100000000000001" customHeight="1">
      <c r="A118" s="20">
        <f>SUBTOTAL(3,B$3:B118)</f>
        <v>112</v>
      </c>
      <c r="B118" s="24" t="s">
        <v>4368</v>
      </c>
      <c r="C118" s="25" t="s">
        <v>4370</v>
      </c>
      <c r="D118" s="35" t="s">
        <v>1090</v>
      </c>
      <c r="E118" s="25" t="s">
        <v>4371</v>
      </c>
      <c r="F118" s="25" t="s">
        <v>4372</v>
      </c>
      <c r="G118" s="24" t="s">
        <v>122</v>
      </c>
      <c r="H118" s="47" t="s">
        <v>111</v>
      </c>
      <c r="I118" s="53" t="s">
        <v>6311</v>
      </c>
      <c r="J118"/>
    </row>
    <row r="119" spans="1:10" ht="20.100000000000001" customHeight="1">
      <c r="A119" s="20">
        <f>SUBTOTAL(3,B$3:B119)</f>
        <v>113</v>
      </c>
      <c r="B119" s="26" t="s">
        <v>4478</v>
      </c>
      <c r="C119" s="27" t="s">
        <v>4480</v>
      </c>
      <c r="D119" s="39" t="s">
        <v>141</v>
      </c>
      <c r="E119" s="27" t="s">
        <v>4481</v>
      </c>
      <c r="F119" s="27" t="s">
        <v>4484</v>
      </c>
      <c r="G119" s="26" t="s">
        <v>90</v>
      </c>
      <c r="H119" s="48" t="s">
        <v>111</v>
      </c>
      <c r="I119" s="54" t="s">
        <v>6312</v>
      </c>
      <c r="J119"/>
    </row>
    <row r="120" spans="1:10" ht="20.100000000000001" customHeight="1">
      <c r="A120" s="20">
        <f>SUBTOTAL(3,B$3:B120)</f>
        <v>114</v>
      </c>
      <c r="B120" s="24" t="s">
        <v>4738</v>
      </c>
      <c r="C120" s="25" t="s">
        <v>4740</v>
      </c>
      <c r="D120" s="24" t="s">
        <v>1090</v>
      </c>
      <c r="E120" s="25" t="s">
        <v>4741</v>
      </c>
      <c r="F120" s="25" t="s">
        <v>4742</v>
      </c>
      <c r="G120" s="24" t="s">
        <v>1090</v>
      </c>
      <c r="H120" s="47" t="s">
        <v>111</v>
      </c>
      <c r="I120" s="53" t="s">
        <v>6313</v>
      </c>
      <c r="J120"/>
    </row>
    <row r="121" spans="1:10" ht="20.100000000000001" customHeight="1">
      <c r="A121" s="20">
        <f>SUBTOTAL(3,B$3:B121)</f>
        <v>115</v>
      </c>
      <c r="B121" s="26" t="s">
        <v>1744</v>
      </c>
      <c r="C121" s="27" t="s">
        <v>4436</v>
      </c>
      <c r="D121" s="39" t="s">
        <v>1090</v>
      </c>
      <c r="E121" s="27" t="s">
        <v>4437</v>
      </c>
      <c r="F121" s="27" t="s">
        <v>4438</v>
      </c>
      <c r="G121" s="26" t="s">
        <v>1090</v>
      </c>
      <c r="H121" s="48" t="s">
        <v>111</v>
      </c>
      <c r="I121" s="54" t="s">
        <v>6314</v>
      </c>
      <c r="J121"/>
    </row>
    <row r="122" spans="1:10" ht="20.100000000000001" customHeight="1">
      <c r="A122" s="20">
        <f>SUBTOTAL(3,B$3:B122)</f>
        <v>116</v>
      </c>
      <c r="B122" s="24" t="s">
        <v>4918</v>
      </c>
      <c r="C122" s="25" t="s">
        <v>4920</v>
      </c>
      <c r="D122" s="35" t="s">
        <v>1165</v>
      </c>
      <c r="E122" s="25" t="s">
        <v>4261</v>
      </c>
      <c r="F122" s="25" t="s">
        <v>4922</v>
      </c>
      <c r="G122" s="24" t="s">
        <v>1090</v>
      </c>
      <c r="H122" s="47" t="s">
        <v>111</v>
      </c>
      <c r="I122" s="53" t="s">
        <v>6315</v>
      </c>
      <c r="J122"/>
    </row>
    <row r="123" spans="1:10" ht="20.100000000000001" customHeight="1">
      <c r="A123" s="20">
        <f>SUBTOTAL(3,B$3:B123)</f>
        <v>117</v>
      </c>
      <c r="B123" s="26" t="s">
        <v>4258</v>
      </c>
      <c r="C123" s="27" t="s">
        <v>4260</v>
      </c>
      <c r="D123" s="39" t="s">
        <v>1090</v>
      </c>
      <c r="E123" s="27" t="s">
        <v>4261</v>
      </c>
      <c r="F123" s="27" t="s">
        <v>4262</v>
      </c>
      <c r="G123" s="26" t="s">
        <v>1090</v>
      </c>
      <c r="H123" s="48" t="s">
        <v>111</v>
      </c>
      <c r="I123" s="54" t="s">
        <v>6315</v>
      </c>
      <c r="J123"/>
    </row>
    <row r="124" spans="1:10" ht="20.100000000000001" customHeight="1">
      <c r="A124" s="20">
        <f>SUBTOTAL(3,B$3:B124)</f>
        <v>118</v>
      </c>
      <c r="B124" s="24" t="s">
        <v>3742</v>
      </c>
      <c r="C124" s="25" t="s">
        <v>3744</v>
      </c>
      <c r="D124" s="24" t="s">
        <v>141</v>
      </c>
      <c r="E124" s="25" t="s">
        <v>3745</v>
      </c>
      <c r="F124" s="25" t="s">
        <v>3748</v>
      </c>
      <c r="G124" s="24" t="s">
        <v>141</v>
      </c>
      <c r="H124" s="47" t="s">
        <v>111</v>
      </c>
      <c r="I124" s="53" t="s">
        <v>6316</v>
      </c>
      <c r="J124"/>
    </row>
    <row r="125" spans="1:10" ht="20.100000000000001" customHeight="1">
      <c r="A125" s="20">
        <f>SUBTOTAL(3,B$3:B125)</f>
        <v>119</v>
      </c>
      <c r="B125" s="28" t="s">
        <v>4039</v>
      </c>
      <c r="C125" s="29" t="s">
        <v>4041</v>
      </c>
      <c r="D125" s="36" t="s">
        <v>141</v>
      </c>
      <c r="E125" s="29" t="s">
        <v>4042</v>
      </c>
      <c r="F125" s="29" t="s">
        <v>4043</v>
      </c>
      <c r="G125" s="36" t="s">
        <v>141</v>
      </c>
      <c r="H125" s="48" t="s">
        <v>111</v>
      </c>
      <c r="I125" s="54" t="s">
        <v>6317</v>
      </c>
      <c r="J125"/>
    </row>
    <row r="126" spans="1:10" ht="20.100000000000001" customHeight="1">
      <c r="A126" s="20">
        <f>SUBTOTAL(3,B$3:B126)</f>
        <v>120</v>
      </c>
      <c r="B126" s="31" t="s">
        <v>5164</v>
      </c>
      <c r="C126" s="32" t="s">
        <v>5166</v>
      </c>
      <c r="D126" s="40" t="s">
        <v>1383</v>
      </c>
      <c r="E126" s="32" t="s">
        <v>5167</v>
      </c>
      <c r="F126" s="32" t="s">
        <v>5168</v>
      </c>
      <c r="G126" s="40" t="s">
        <v>1383</v>
      </c>
      <c r="H126" s="47" t="s">
        <v>111</v>
      </c>
      <c r="I126" s="53" t="s">
        <v>6318</v>
      </c>
      <c r="J126"/>
    </row>
    <row r="127" spans="1:10" ht="20.100000000000001" customHeight="1">
      <c r="A127" s="20">
        <f>SUBTOTAL(3,B$3:B127)</f>
        <v>121</v>
      </c>
      <c r="B127" s="26" t="s">
        <v>4500</v>
      </c>
      <c r="C127" s="27" t="s">
        <v>4501</v>
      </c>
      <c r="D127" s="39" t="s">
        <v>141</v>
      </c>
      <c r="E127" s="27" t="s">
        <v>4502</v>
      </c>
      <c r="F127" s="27" t="s">
        <v>4503</v>
      </c>
      <c r="G127" s="26" t="s">
        <v>1090</v>
      </c>
      <c r="H127" s="48" t="s">
        <v>111</v>
      </c>
      <c r="I127" s="54" t="s">
        <v>6319</v>
      </c>
      <c r="J127"/>
    </row>
    <row r="128" spans="1:10" ht="20.100000000000001" customHeight="1">
      <c r="A128" s="20">
        <f>SUBTOTAL(3,B$3:B128)</f>
        <v>122</v>
      </c>
      <c r="B128" s="24" t="s">
        <v>4662</v>
      </c>
      <c r="C128" s="25" t="s">
        <v>4664</v>
      </c>
      <c r="D128" s="24" t="s">
        <v>141</v>
      </c>
      <c r="E128" s="25" t="s">
        <v>4665</v>
      </c>
      <c r="F128" s="25" t="s">
        <v>4666</v>
      </c>
      <c r="G128" s="24" t="s">
        <v>141</v>
      </c>
      <c r="H128" s="47" t="s">
        <v>111</v>
      </c>
      <c r="I128" s="53" t="s">
        <v>6320</v>
      </c>
      <c r="J128"/>
    </row>
    <row r="129" spans="1:10" ht="20.100000000000001" customHeight="1">
      <c r="A129" s="20">
        <f>SUBTOTAL(3,B$3:B129)</f>
        <v>123</v>
      </c>
      <c r="B129" s="26" t="s">
        <v>3415</v>
      </c>
      <c r="C129" s="27" t="s">
        <v>3417</v>
      </c>
      <c r="D129" s="39" t="s">
        <v>141</v>
      </c>
      <c r="E129" s="27" t="s">
        <v>3418</v>
      </c>
      <c r="F129" s="27" t="s">
        <v>3420</v>
      </c>
      <c r="G129" s="26" t="s">
        <v>141</v>
      </c>
      <c r="H129" s="48" t="s">
        <v>111</v>
      </c>
      <c r="I129" s="54" t="s">
        <v>6321</v>
      </c>
      <c r="J129"/>
    </row>
    <row r="130" spans="1:10" ht="20.100000000000001" customHeight="1">
      <c r="A130" s="20">
        <f>SUBTOTAL(3,B$3:B130)</f>
        <v>124</v>
      </c>
      <c r="B130" s="24" t="s">
        <v>4878</v>
      </c>
      <c r="C130" s="25" t="s">
        <v>4880</v>
      </c>
      <c r="D130" s="35" t="s">
        <v>1090</v>
      </c>
      <c r="E130" s="25" t="s">
        <v>4881</v>
      </c>
      <c r="F130" s="25" t="s">
        <v>4882</v>
      </c>
      <c r="G130" s="24" t="s">
        <v>1090</v>
      </c>
      <c r="H130" s="47" t="s">
        <v>111</v>
      </c>
      <c r="I130" s="53" t="s">
        <v>6322</v>
      </c>
      <c r="J130"/>
    </row>
    <row r="131" spans="1:10" ht="20.100000000000001" customHeight="1">
      <c r="A131" s="20">
        <f>SUBTOTAL(3,B$3:B131)</f>
        <v>125</v>
      </c>
      <c r="B131" s="26" t="s">
        <v>3493</v>
      </c>
      <c r="C131" s="27" t="s">
        <v>3495</v>
      </c>
      <c r="D131" s="30" t="s">
        <v>141</v>
      </c>
      <c r="E131" s="27" t="s">
        <v>3496</v>
      </c>
      <c r="F131" s="27" t="s">
        <v>3112</v>
      </c>
      <c r="G131" s="26" t="s">
        <v>141</v>
      </c>
      <c r="H131" s="48" t="s">
        <v>111</v>
      </c>
      <c r="I131" s="54" t="s">
        <v>6323</v>
      </c>
      <c r="J131"/>
    </row>
    <row r="132" spans="1:10" ht="20.100000000000001" customHeight="1">
      <c r="A132" s="20">
        <f>SUBTOTAL(3,B$3:B132)</f>
        <v>126</v>
      </c>
      <c r="B132" s="24" t="s">
        <v>5364</v>
      </c>
      <c r="C132" s="25" t="s">
        <v>5366</v>
      </c>
      <c r="D132" s="35" t="s">
        <v>1090</v>
      </c>
      <c r="E132" s="25" t="s">
        <v>5367</v>
      </c>
      <c r="F132" s="25" t="s">
        <v>5368</v>
      </c>
      <c r="G132" s="24" t="s">
        <v>1090</v>
      </c>
      <c r="H132" s="47" t="s">
        <v>111</v>
      </c>
      <c r="I132" s="53" t="s">
        <v>6324</v>
      </c>
      <c r="J132"/>
    </row>
    <row r="133" spans="1:10" ht="20.100000000000001" customHeight="1">
      <c r="A133" s="20">
        <f>SUBTOTAL(3,B$3:B133)</f>
        <v>127</v>
      </c>
      <c r="B133" s="26" t="s">
        <v>4674</v>
      </c>
      <c r="C133" s="27" t="s">
        <v>4676</v>
      </c>
      <c r="D133" s="26" t="s">
        <v>141</v>
      </c>
      <c r="E133" s="27" t="s">
        <v>4677</v>
      </c>
      <c r="F133" s="27" t="s">
        <v>4680</v>
      </c>
      <c r="G133" s="26" t="s">
        <v>141</v>
      </c>
      <c r="H133" s="48" t="s">
        <v>111</v>
      </c>
      <c r="I133" s="54" t="s">
        <v>6325</v>
      </c>
      <c r="J133"/>
    </row>
    <row r="134" spans="1:10" ht="20.100000000000001" customHeight="1">
      <c r="A134" s="20">
        <f>SUBTOTAL(3,B$3:B134)</f>
        <v>128</v>
      </c>
      <c r="B134" s="24" t="s">
        <v>4901</v>
      </c>
      <c r="C134" s="25" t="s">
        <v>4902</v>
      </c>
      <c r="D134" s="35" t="s">
        <v>1090</v>
      </c>
      <c r="E134" s="25" t="s">
        <v>4903</v>
      </c>
      <c r="F134" s="25" t="s">
        <v>4904</v>
      </c>
      <c r="G134" s="24" t="s">
        <v>1090</v>
      </c>
      <c r="H134" s="47" t="s">
        <v>111</v>
      </c>
      <c r="I134" s="53" t="s">
        <v>6326</v>
      </c>
      <c r="J134"/>
    </row>
    <row r="135" spans="1:10" ht="20.100000000000001" customHeight="1">
      <c r="A135" s="20">
        <f>SUBTOTAL(3,B$3:B135)</f>
        <v>129</v>
      </c>
      <c r="B135" s="26" t="s">
        <v>4548</v>
      </c>
      <c r="C135" s="27" t="s">
        <v>4550</v>
      </c>
      <c r="D135" s="39" t="s">
        <v>1090</v>
      </c>
      <c r="E135" s="27" t="s">
        <v>4551</v>
      </c>
      <c r="F135" s="27" t="s">
        <v>4552</v>
      </c>
      <c r="G135" s="26" t="s">
        <v>1090</v>
      </c>
      <c r="H135" s="48" t="s">
        <v>111</v>
      </c>
      <c r="I135" s="54" t="s">
        <v>6327</v>
      </c>
      <c r="J135"/>
    </row>
    <row r="136" spans="1:10" ht="20.100000000000001" customHeight="1">
      <c r="A136" s="20">
        <f>SUBTOTAL(3,B$3:B136)</f>
        <v>130</v>
      </c>
      <c r="B136" s="24" t="s">
        <v>2905</v>
      </c>
      <c r="C136" s="25" t="s">
        <v>2907</v>
      </c>
      <c r="D136" s="35" t="s">
        <v>1090</v>
      </c>
      <c r="E136" s="25" t="s">
        <v>2908</v>
      </c>
      <c r="F136" s="25" t="s">
        <v>2909</v>
      </c>
      <c r="G136" s="24" t="s">
        <v>122</v>
      </c>
      <c r="H136" s="47" t="s">
        <v>111</v>
      </c>
      <c r="I136" s="53" t="s">
        <v>6328</v>
      </c>
      <c r="J136"/>
    </row>
    <row r="137" spans="1:10" ht="20.100000000000001" customHeight="1">
      <c r="A137" s="20">
        <f>SUBTOTAL(3,B$3:B137)</f>
        <v>131</v>
      </c>
      <c r="B137" s="28" t="s">
        <v>4048</v>
      </c>
      <c r="C137" s="29" t="s">
        <v>4050</v>
      </c>
      <c r="D137" s="36" t="s">
        <v>1090</v>
      </c>
      <c r="E137" s="29" t="s">
        <v>4051</v>
      </c>
      <c r="F137" s="29" t="s">
        <v>4053</v>
      </c>
      <c r="G137" s="36" t="s">
        <v>1090</v>
      </c>
      <c r="H137" s="48" t="s">
        <v>111</v>
      </c>
      <c r="I137" s="54" t="s">
        <v>6329</v>
      </c>
      <c r="J137"/>
    </row>
    <row r="138" spans="1:10" ht="20.100000000000001" customHeight="1">
      <c r="A138" s="20">
        <f>SUBTOTAL(3,B$3:B138)</f>
        <v>132</v>
      </c>
      <c r="B138" s="24" t="s">
        <v>6330</v>
      </c>
      <c r="C138" s="25" t="s">
        <v>2548</v>
      </c>
      <c r="D138" s="35" t="s">
        <v>141</v>
      </c>
      <c r="E138" s="25" t="s">
        <v>2549</v>
      </c>
      <c r="F138" s="25" t="s">
        <v>2550</v>
      </c>
      <c r="G138" s="24" t="s">
        <v>982</v>
      </c>
      <c r="H138" s="47" t="s">
        <v>111</v>
      </c>
      <c r="I138" s="53" t="s">
        <v>6331</v>
      </c>
      <c r="J138"/>
    </row>
    <row r="139" spans="1:10" ht="20.100000000000001" customHeight="1">
      <c r="A139" s="20">
        <f>SUBTOTAL(3,B$3:B139)</f>
        <v>133</v>
      </c>
      <c r="B139" s="26" t="s">
        <v>3039</v>
      </c>
      <c r="C139" s="27" t="s">
        <v>3041</v>
      </c>
      <c r="D139" s="39" t="s">
        <v>1165</v>
      </c>
      <c r="E139" s="27" t="s">
        <v>3042</v>
      </c>
      <c r="F139" s="27" t="s">
        <v>3043</v>
      </c>
      <c r="G139" s="26" t="s">
        <v>1165</v>
      </c>
      <c r="H139" s="48" t="s">
        <v>111</v>
      </c>
      <c r="I139" s="54" t="s">
        <v>6332</v>
      </c>
      <c r="J139"/>
    </row>
    <row r="140" spans="1:10" ht="20.100000000000001" customHeight="1">
      <c r="A140" s="20">
        <f>SUBTOTAL(3,B$3:B140)</f>
        <v>134</v>
      </c>
      <c r="B140" s="24" t="s">
        <v>2950</v>
      </c>
      <c r="C140" s="25" t="s">
        <v>2952</v>
      </c>
      <c r="D140" s="35" t="s">
        <v>141</v>
      </c>
      <c r="E140" s="25" t="s">
        <v>2953</v>
      </c>
      <c r="F140" s="25" t="s">
        <v>2954</v>
      </c>
      <c r="G140" s="24" t="s">
        <v>141</v>
      </c>
      <c r="H140" s="47" t="s">
        <v>111</v>
      </c>
      <c r="I140" s="53" t="s">
        <v>6333</v>
      </c>
      <c r="J140"/>
    </row>
    <row r="141" spans="1:10" ht="20.100000000000001" customHeight="1">
      <c r="A141" s="20">
        <f>SUBTOTAL(3,B$3:B141)</f>
        <v>135</v>
      </c>
      <c r="B141" s="26" t="s">
        <v>4846</v>
      </c>
      <c r="C141" s="27" t="s">
        <v>4848</v>
      </c>
      <c r="D141" s="39" t="s">
        <v>141</v>
      </c>
      <c r="E141" s="27" t="s">
        <v>4849</v>
      </c>
      <c r="F141" s="27" t="s">
        <v>4851</v>
      </c>
      <c r="G141" s="26" t="s">
        <v>141</v>
      </c>
      <c r="H141" s="48" t="s">
        <v>111</v>
      </c>
      <c r="I141" s="54" t="s">
        <v>6334</v>
      </c>
      <c r="J141"/>
    </row>
    <row r="142" spans="1:10" ht="20.100000000000001" customHeight="1">
      <c r="A142" s="20">
        <f>SUBTOTAL(3,B$3:B142)</f>
        <v>136</v>
      </c>
      <c r="B142" s="24" t="s">
        <v>5340</v>
      </c>
      <c r="C142" s="25" t="s">
        <v>5341</v>
      </c>
      <c r="D142" s="35" t="s">
        <v>141</v>
      </c>
      <c r="E142" s="25" t="s">
        <v>5342</v>
      </c>
      <c r="F142" s="10" t="s">
        <v>5343</v>
      </c>
      <c r="G142" s="14" t="s">
        <v>141</v>
      </c>
      <c r="H142" s="47" t="s">
        <v>111</v>
      </c>
      <c r="I142" s="53" t="s">
        <v>6335</v>
      </c>
      <c r="J142"/>
    </row>
    <row r="143" spans="1:10" ht="20.100000000000001" customHeight="1">
      <c r="A143" s="20">
        <f>SUBTOTAL(3,B$3:B143)</f>
        <v>137</v>
      </c>
      <c r="B143" s="26" t="s">
        <v>3354</v>
      </c>
      <c r="C143" s="27" t="s">
        <v>3356</v>
      </c>
      <c r="D143" s="26" t="s">
        <v>1090</v>
      </c>
      <c r="E143" s="27" t="s">
        <v>3357</v>
      </c>
      <c r="F143" s="27" t="s">
        <v>3358</v>
      </c>
      <c r="G143" s="26" t="s">
        <v>1090</v>
      </c>
      <c r="H143" s="48" t="s">
        <v>111</v>
      </c>
      <c r="I143" s="54" t="s">
        <v>6336</v>
      </c>
      <c r="J143"/>
    </row>
    <row r="144" spans="1:10" ht="20.100000000000001" customHeight="1">
      <c r="A144" s="20">
        <f>SUBTOTAL(3,B$3:B144)</f>
        <v>138</v>
      </c>
      <c r="B144" s="24" t="s">
        <v>4424</v>
      </c>
      <c r="C144" s="25" t="s">
        <v>4426</v>
      </c>
      <c r="D144" s="35" t="s">
        <v>1090</v>
      </c>
      <c r="E144" s="25" t="s">
        <v>3357</v>
      </c>
      <c r="F144" s="25" t="s">
        <v>4428</v>
      </c>
      <c r="G144" s="24" t="s">
        <v>1090</v>
      </c>
      <c r="H144" s="47" t="s">
        <v>111</v>
      </c>
      <c r="I144" s="53" t="s">
        <v>6336</v>
      </c>
      <c r="J144"/>
    </row>
    <row r="145" spans="1:10" ht="20.100000000000001" customHeight="1">
      <c r="A145" s="20">
        <f>SUBTOTAL(3,B$3:B145)</f>
        <v>139</v>
      </c>
      <c r="B145" s="26" t="s">
        <v>3307</v>
      </c>
      <c r="C145" s="27" t="s">
        <v>3309</v>
      </c>
      <c r="D145" s="39" t="s">
        <v>1165</v>
      </c>
      <c r="E145" s="27" t="s">
        <v>3310</v>
      </c>
      <c r="F145" s="27" t="s">
        <v>3311</v>
      </c>
      <c r="G145" s="26" t="s">
        <v>141</v>
      </c>
      <c r="H145" s="48" t="s">
        <v>111</v>
      </c>
      <c r="I145" s="54" t="s">
        <v>6337</v>
      </c>
      <c r="J145"/>
    </row>
    <row r="146" spans="1:10" ht="20.100000000000001" customHeight="1">
      <c r="A146" s="20">
        <f>SUBTOTAL(3,B$3:B146)</f>
        <v>140</v>
      </c>
      <c r="B146" s="24" t="s">
        <v>4389</v>
      </c>
      <c r="C146" s="25" t="s">
        <v>4390</v>
      </c>
      <c r="D146" s="35" t="s">
        <v>1090</v>
      </c>
      <c r="E146" s="25" t="s">
        <v>4391</v>
      </c>
      <c r="F146" s="25" t="s">
        <v>4392</v>
      </c>
      <c r="G146" s="24" t="s">
        <v>1090</v>
      </c>
      <c r="H146" s="47" t="s">
        <v>111</v>
      </c>
      <c r="I146" s="53" t="s">
        <v>6338</v>
      </c>
      <c r="J146"/>
    </row>
    <row r="147" spans="1:10" ht="20.100000000000001" customHeight="1">
      <c r="A147" s="20">
        <f>SUBTOTAL(3,B$3:B147)</f>
        <v>141</v>
      </c>
      <c r="B147" s="26" t="s">
        <v>3653</v>
      </c>
      <c r="C147" s="27" t="s">
        <v>3655</v>
      </c>
      <c r="D147" s="26" t="s">
        <v>1090</v>
      </c>
      <c r="E147" s="27" t="s">
        <v>3656</v>
      </c>
      <c r="F147" s="27" t="s">
        <v>3658</v>
      </c>
      <c r="G147" s="24" t="s">
        <v>122</v>
      </c>
      <c r="H147" s="48" t="s">
        <v>111</v>
      </c>
      <c r="I147" s="54" t="s">
        <v>6339</v>
      </c>
      <c r="J147"/>
    </row>
    <row r="148" spans="1:10" ht="20.100000000000001" customHeight="1">
      <c r="A148" s="20">
        <f>SUBTOTAL(3,B$3:B148)</f>
        <v>142</v>
      </c>
      <c r="B148" s="31" t="s">
        <v>2686</v>
      </c>
      <c r="C148" s="32" t="s">
        <v>2688</v>
      </c>
      <c r="D148" s="40" t="s">
        <v>1165</v>
      </c>
      <c r="E148" s="32" t="s">
        <v>6340</v>
      </c>
      <c r="F148" s="32" t="s">
        <v>2690</v>
      </c>
      <c r="G148" s="40" t="s">
        <v>1165</v>
      </c>
      <c r="H148" s="47" t="s">
        <v>111</v>
      </c>
      <c r="I148" s="53" t="s">
        <v>6341</v>
      </c>
      <c r="J148"/>
    </row>
    <row r="149" spans="1:10" ht="20.100000000000001" customHeight="1">
      <c r="A149" s="20">
        <f>SUBTOTAL(3,B$3:B149)</f>
        <v>143</v>
      </c>
      <c r="B149" s="26" t="s">
        <v>4376</v>
      </c>
      <c r="C149" s="27" t="s">
        <v>6342</v>
      </c>
      <c r="D149" s="39" t="s">
        <v>1673</v>
      </c>
      <c r="E149" s="27" t="s">
        <v>4379</v>
      </c>
      <c r="F149" s="27" t="s">
        <v>4381</v>
      </c>
      <c r="G149" s="26" t="s">
        <v>1383</v>
      </c>
      <c r="H149" s="48" t="s">
        <v>111</v>
      </c>
      <c r="I149" s="54" t="s">
        <v>6343</v>
      </c>
      <c r="J149"/>
    </row>
    <row r="150" spans="1:10" ht="20.100000000000001" customHeight="1">
      <c r="A150" s="20">
        <f>SUBTOTAL(3,B$3:B150)</f>
        <v>144</v>
      </c>
      <c r="B150" s="24" t="s">
        <v>4604</v>
      </c>
      <c r="C150" s="25" t="s">
        <v>4605</v>
      </c>
      <c r="D150" s="35" t="s">
        <v>141</v>
      </c>
      <c r="E150" s="25" t="s">
        <v>4606</v>
      </c>
      <c r="F150" s="25" t="s">
        <v>4607</v>
      </c>
      <c r="G150" s="24" t="s">
        <v>163</v>
      </c>
      <c r="H150" s="47" t="s">
        <v>111</v>
      </c>
      <c r="I150" s="53" t="s">
        <v>6344</v>
      </c>
      <c r="J150"/>
    </row>
    <row r="151" spans="1:10" ht="20.100000000000001" customHeight="1">
      <c r="A151" s="20">
        <f>SUBTOTAL(3,B$3:B151)</f>
        <v>145</v>
      </c>
      <c r="B151" s="26" t="s">
        <v>3074</v>
      </c>
      <c r="C151" s="27" t="s">
        <v>3076</v>
      </c>
      <c r="D151" s="39" t="s">
        <v>1090</v>
      </c>
      <c r="E151" s="27" t="s">
        <v>3077</v>
      </c>
      <c r="F151" s="27" t="s">
        <v>3079</v>
      </c>
      <c r="G151" s="24" t="s">
        <v>122</v>
      </c>
      <c r="H151" s="48" t="s">
        <v>111</v>
      </c>
      <c r="I151" s="54" t="s">
        <v>6345</v>
      </c>
      <c r="J151"/>
    </row>
    <row r="152" spans="1:10" ht="20.100000000000001" customHeight="1">
      <c r="A152" s="20">
        <f>SUBTOTAL(3,B$3:B152)</f>
        <v>146</v>
      </c>
      <c r="B152" s="24" t="s">
        <v>4944</v>
      </c>
      <c r="C152" s="25" t="s">
        <v>4946</v>
      </c>
      <c r="D152" s="35" t="s">
        <v>1090</v>
      </c>
      <c r="E152" s="25" t="s">
        <v>4299</v>
      </c>
      <c r="F152" s="25" t="s">
        <v>4947</v>
      </c>
      <c r="G152" s="24" t="s">
        <v>1090</v>
      </c>
      <c r="H152" s="47" t="s">
        <v>111</v>
      </c>
      <c r="I152" s="53" t="s">
        <v>6346</v>
      </c>
      <c r="J152"/>
    </row>
    <row r="153" spans="1:10" ht="20.100000000000001" customHeight="1">
      <c r="A153" s="20">
        <f>SUBTOTAL(3,B$3:B153)</f>
        <v>147</v>
      </c>
      <c r="B153" s="26" t="s">
        <v>4296</v>
      </c>
      <c r="C153" s="27" t="s">
        <v>4298</v>
      </c>
      <c r="D153" s="39" t="s">
        <v>1090</v>
      </c>
      <c r="E153" s="27" t="s">
        <v>4299</v>
      </c>
      <c r="F153" s="27" t="s">
        <v>4300</v>
      </c>
      <c r="G153" s="26" t="s">
        <v>1090</v>
      </c>
      <c r="H153" s="48" t="s">
        <v>111</v>
      </c>
      <c r="I153" s="54" t="s">
        <v>6346</v>
      </c>
      <c r="J153"/>
    </row>
    <row r="154" spans="1:10" ht="20.100000000000001" customHeight="1">
      <c r="A154" s="20">
        <f>SUBTOTAL(3,B$3:B154)</f>
        <v>148</v>
      </c>
      <c r="B154" s="31" t="s">
        <v>3878</v>
      </c>
      <c r="C154" s="32" t="s">
        <v>3880</v>
      </c>
      <c r="D154" s="40" t="s">
        <v>1090</v>
      </c>
      <c r="E154" s="32" t="s">
        <v>3881</v>
      </c>
      <c r="F154" s="32" t="s">
        <v>3882</v>
      </c>
      <c r="G154" s="40" t="s">
        <v>1090</v>
      </c>
      <c r="H154" s="47" t="s">
        <v>111</v>
      </c>
      <c r="I154" s="53" t="s">
        <v>6347</v>
      </c>
      <c r="J154"/>
    </row>
    <row r="155" spans="1:10" ht="20.100000000000001" customHeight="1">
      <c r="A155" s="20">
        <f>SUBTOTAL(3,B$3:B155)</f>
        <v>149</v>
      </c>
      <c r="B155" s="26" t="s">
        <v>5415</v>
      </c>
      <c r="C155" s="27" t="s">
        <v>5416</v>
      </c>
      <c r="D155" s="39" t="s">
        <v>141</v>
      </c>
      <c r="E155" s="27" t="s">
        <v>5417</v>
      </c>
      <c r="F155" s="27" t="s">
        <v>5418</v>
      </c>
      <c r="G155" s="26" t="s">
        <v>141</v>
      </c>
      <c r="H155" s="48" t="s">
        <v>111</v>
      </c>
      <c r="I155" s="54" t="s">
        <v>6348</v>
      </c>
      <c r="J155"/>
    </row>
    <row r="156" spans="1:10" ht="20.100000000000001" customHeight="1">
      <c r="A156" s="20">
        <f>SUBTOTAL(3,B$3:B156)</f>
        <v>150</v>
      </c>
      <c r="B156" s="24" t="s">
        <v>5094</v>
      </c>
      <c r="C156" s="25" t="s">
        <v>5096</v>
      </c>
      <c r="D156" s="35" t="s">
        <v>1090</v>
      </c>
      <c r="E156" s="25" t="s">
        <v>5097</v>
      </c>
      <c r="F156" s="25" t="s">
        <v>5098</v>
      </c>
      <c r="G156" s="24" t="s">
        <v>1090</v>
      </c>
      <c r="H156" s="47" t="s">
        <v>111</v>
      </c>
      <c r="I156" s="53" t="s">
        <v>6349</v>
      </c>
      <c r="J156"/>
    </row>
    <row r="157" spans="1:10" ht="20.100000000000001" customHeight="1">
      <c r="A157" s="20">
        <f>SUBTOTAL(3,B$3:B157)</f>
        <v>151</v>
      </c>
      <c r="B157" s="26" t="s">
        <v>4974</v>
      </c>
      <c r="C157" s="27" t="s">
        <v>4976</v>
      </c>
      <c r="D157" s="39" t="s">
        <v>1165</v>
      </c>
      <c r="E157" s="27" t="s">
        <v>4977</v>
      </c>
      <c r="F157" s="27" t="s">
        <v>4979</v>
      </c>
      <c r="G157" s="26" t="s">
        <v>4985</v>
      </c>
      <c r="H157" s="48" t="s">
        <v>111</v>
      </c>
      <c r="I157" s="54" t="s">
        <v>6350</v>
      </c>
      <c r="J157"/>
    </row>
    <row r="158" spans="1:10" ht="20.100000000000001" customHeight="1">
      <c r="A158" s="20">
        <f>SUBTOTAL(3,B$3:B158)</f>
        <v>152</v>
      </c>
      <c r="B158" s="31" t="s">
        <v>3888</v>
      </c>
      <c r="C158" s="32" t="s">
        <v>3890</v>
      </c>
      <c r="D158" s="40" t="s">
        <v>141</v>
      </c>
      <c r="E158" s="32" t="s">
        <v>3891</v>
      </c>
      <c r="F158" s="32" t="s">
        <v>3893</v>
      </c>
      <c r="G158" s="40" t="s">
        <v>141</v>
      </c>
      <c r="H158" s="47" t="s">
        <v>111</v>
      </c>
      <c r="I158" s="53" t="s">
        <v>6351</v>
      </c>
      <c r="J158"/>
    </row>
    <row r="159" spans="1:10" ht="20.100000000000001" customHeight="1">
      <c r="A159" s="20">
        <f>SUBTOTAL(3,B$3:B159)</f>
        <v>153</v>
      </c>
      <c r="B159" s="26" t="s">
        <v>4699</v>
      </c>
      <c r="C159" s="27" t="s">
        <v>4701</v>
      </c>
      <c r="D159" s="26" t="s">
        <v>141</v>
      </c>
      <c r="E159" s="27" t="s">
        <v>4702</v>
      </c>
      <c r="F159" s="27" t="s">
        <v>4703</v>
      </c>
      <c r="G159" s="26" t="s">
        <v>1090</v>
      </c>
      <c r="H159" s="48" t="s">
        <v>111</v>
      </c>
      <c r="I159" s="54" t="s">
        <v>6352</v>
      </c>
      <c r="J159"/>
    </row>
    <row r="160" spans="1:10" ht="20.100000000000001" customHeight="1">
      <c r="A160" s="20">
        <f>SUBTOTAL(3,B$3:B160)</f>
        <v>154</v>
      </c>
      <c r="B160" s="24" t="s">
        <v>4988</v>
      </c>
      <c r="C160" s="25" t="s">
        <v>4990</v>
      </c>
      <c r="D160" s="35" t="s">
        <v>1090</v>
      </c>
      <c r="E160" s="25" t="s">
        <v>4991</v>
      </c>
      <c r="F160" s="25" t="s">
        <v>4993</v>
      </c>
      <c r="G160" s="24" t="s">
        <v>1090</v>
      </c>
      <c r="H160" s="47" t="s">
        <v>111</v>
      </c>
      <c r="I160" s="53" t="s">
        <v>6353</v>
      </c>
      <c r="J160"/>
    </row>
    <row r="161" spans="1:10" ht="20.100000000000001" customHeight="1">
      <c r="A161" s="20">
        <f>SUBTOTAL(3,B$3:B161)</f>
        <v>155</v>
      </c>
      <c r="B161" s="26" t="s">
        <v>4857</v>
      </c>
      <c r="C161" s="27" t="s">
        <v>4859</v>
      </c>
      <c r="D161" s="39" t="s">
        <v>141</v>
      </c>
      <c r="E161" s="27" t="s">
        <v>3828</v>
      </c>
      <c r="F161" s="27" t="s">
        <v>4860</v>
      </c>
      <c r="G161" s="26" t="s">
        <v>141</v>
      </c>
      <c r="H161" s="48" t="s">
        <v>111</v>
      </c>
      <c r="I161" s="54" t="s">
        <v>6354</v>
      </c>
      <c r="J161"/>
    </row>
    <row r="162" spans="1:10" ht="20.100000000000001" customHeight="1">
      <c r="A162" s="20">
        <f>SUBTOTAL(3,B$3:B162)</f>
        <v>156</v>
      </c>
      <c r="B162" s="31" t="s">
        <v>3825</v>
      </c>
      <c r="C162" s="32" t="s">
        <v>3827</v>
      </c>
      <c r="D162" s="40" t="s">
        <v>141</v>
      </c>
      <c r="E162" s="32" t="s">
        <v>6355</v>
      </c>
      <c r="F162" s="32" t="s">
        <v>3829</v>
      </c>
      <c r="G162" s="40" t="s">
        <v>141</v>
      </c>
      <c r="H162" s="47" t="s">
        <v>111</v>
      </c>
      <c r="I162" s="53" t="s">
        <v>6356</v>
      </c>
      <c r="J162"/>
    </row>
    <row r="163" spans="1:10" ht="20.100000000000001" customHeight="1">
      <c r="A163" s="20">
        <f>SUBTOTAL(3,B$3:B163)</f>
        <v>157</v>
      </c>
      <c r="B163" s="26" t="s">
        <v>5850</v>
      </c>
      <c r="C163" s="27" t="s">
        <v>3675</v>
      </c>
      <c r="D163" s="26" t="s">
        <v>141</v>
      </c>
      <c r="E163" s="27" t="s">
        <v>3676</v>
      </c>
      <c r="F163" s="27" t="s">
        <v>3677</v>
      </c>
      <c r="G163" s="26" t="s">
        <v>141</v>
      </c>
      <c r="H163" s="48" t="s">
        <v>111</v>
      </c>
      <c r="I163" s="54" t="s">
        <v>6357</v>
      </c>
      <c r="J163"/>
    </row>
    <row r="164" spans="1:10" ht="20.100000000000001" customHeight="1">
      <c r="A164" s="20">
        <f>SUBTOTAL(3,B$3:B164)</f>
        <v>158</v>
      </c>
      <c r="B164" s="24" t="s">
        <v>4345</v>
      </c>
      <c r="C164" s="25" t="s">
        <v>4347</v>
      </c>
      <c r="D164" s="35" t="s">
        <v>141</v>
      </c>
      <c r="E164" s="25" t="s">
        <v>4348</v>
      </c>
      <c r="F164" s="25" t="s">
        <v>4350</v>
      </c>
      <c r="G164" s="24" t="s">
        <v>6358</v>
      </c>
      <c r="H164" s="47" t="s">
        <v>111</v>
      </c>
      <c r="I164" s="53" t="s">
        <v>6359</v>
      </c>
      <c r="J164"/>
    </row>
    <row r="165" spans="1:10" ht="20.100000000000001" customHeight="1">
      <c r="A165" s="20">
        <f>SUBTOTAL(3,B$3:B165)</f>
        <v>159</v>
      </c>
      <c r="B165" s="26" t="s">
        <v>4246</v>
      </c>
      <c r="C165" s="27" t="s">
        <v>4248</v>
      </c>
      <c r="D165" s="39" t="s">
        <v>4249</v>
      </c>
      <c r="E165" s="27" t="s">
        <v>4250</v>
      </c>
      <c r="F165" s="27" t="s">
        <v>4251</v>
      </c>
      <c r="G165" s="26" t="s">
        <v>141</v>
      </c>
      <c r="H165" s="48" t="s">
        <v>111</v>
      </c>
      <c r="I165" s="54" t="s">
        <v>6360</v>
      </c>
      <c r="J165"/>
    </row>
    <row r="166" spans="1:10" ht="20.100000000000001" customHeight="1">
      <c r="A166" s="20">
        <f>SUBTOTAL(3,B$3:B166)</f>
        <v>160</v>
      </c>
      <c r="B166" s="24" t="s">
        <v>5173</v>
      </c>
      <c r="C166" s="25" t="s">
        <v>5175</v>
      </c>
      <c r="D166" s="35" t="s">
        <v>141</v>
      </c>
      <c r="E166" s="25" t="s">
        <v>5176</v>
      </c>
      <c r="F166" s="25" t="s">
        <v>5178</v>
      </c>
      <c r="G166" s="24" t="s">
        <v>141</v>
      </c>
      <c r="H166" s="47" t="s">
        <v>111</v>
      </c>
      <c r="I166" s="53" t="s">
        <v>6361</v>
      </c>
      <c r="J166"/>
    </row>
    <row r="167" spans="1:10" ht="20.100000000000001" customHeight="1">
      <c r="A167" s="20">
        <f>SUBTOTAL(3,B$3:B167)</f>
        <v>161</v>
      </c>
      <c r="B167" s="26" t="s">
        <v>4962</v>
      </c>
      <c r="C167" s="27" t="s">
        <v>4964</v>
      </c>
      <c r="D167" s="39" t="s">
        <v>651</v>
      </c>
      <c r="E167" s="27" t="s">
        <v>4965</v>
      </c>
      <c r="F167" s="27" t="s">
        <v>4966</v>
      </c>
      <c r="G167" s="26" t="s">
        <v>651</v>
      </c>
      <c r="H167" s="48" t="s">
        <v>111</v>
      </c>
      <c r="I167" s="54" t="s">
        <v>6362</v>
      </c>
      <c r="J167"/>
    </row>
    <row r="168" spans="1:10" ht="20.100000000000001" customHeight="1">
      <c r="A168" s="20">
        <f>SUBTOTAL(3,B$3:B168)</f>
        <v>162</v>
      </c>
      <c r="B168" s="24" t="s">
        <v>4909</v>
      </c>
      <c r="C168" s="25" t="s">
        <v>4911</v>
      </c>
      <c r="D168" s="35" t="s">
        <v>1090</v>
      </c>
      <c r="E168" s="25" t="s">
        <v>4912</v>
      </c>
      <c r="F168" s="25" t="s">
        <v>4913</v>
      </c>
      <c r="G168" s="24" t="s">
        <v>1090</v>
      </c>
      <c r="H168" s="47" t="s">
        <v>111</v>
      </c>
      <c r="I168" s="53" t="s">
        <v>6363</v>
      </c>
      <c r="J168"/>
    </row>
    <row r="169" spans="1:10" ht="20.100000000000001" customHeight="1">
      <c r="A169" s="20">
        <f>SUBTOTAL(3,B$3:B169)</f>
        <v>163</v>
      </c>
      <c r="B169" s="26" t="s">
        <v>3599</v>
      </c>
      <c r="C169" s="27" t="s">
        <v>3601</v>
      </c>
      <c r="D169" s="26" t="s">
        <v>1090</v>
      </c>
      <c r="E169" s="27" t="s">
        <v>3602</v>
      </c>
      <c r="F169" s="27" t="s">
        <v>3603</v>
      </c>
      <c r="G169" s="26" t="s">
        <v>1090</v>
      </c>
      <c r="H169" s="48" t="s">
        <v>111</v>
      </c>
      <c r="I169" s="54" t="s">
        <v>6364</v>
      </c>
      <c r="J169"/>
    </row>
    <row r="170" spans="1:10" ht="20.100000000000001" customHeight="1">
      <c r="A170" s="20">
        <f>SUBTOTAL(3,B$3:B170)</f>
        <v>164</v>
      </c>
      <c r="B170" s="31" t="s">
        <v>3899</v>
      </c>
      <c r="C170" s="32" t="s">
        <v>3901</v>
      </c>
      <c r="D170" s="40" t="s">
        <v>3902</v>
      </c>
      <c r="E170" s="32" t="s">
        <v>3903</v>
      </c>
      <c r="F170" s="32" t="s">
        <v>3904</v>
      </c>
      <c r="G170" s="40" t="s">
        <v>3902</v>
      </c>
      <c r="H170" s="47" t="s">
        <v>111</v>
      </c>
      <c r="I170" s="53" t="s">
        <v>6365</v>
      </c>
      <c r="J170"/>
    </row>
    <row r="171" spans="1:10" ht="20.100000000000001" customHeight="1">
      <c r="A171" s="20">
        <f>SUBTOTAL(3,B$3:B171)</f>
        <v>165</v>
      </c>
      <c r="B171" s="26" t="s">
        <v>4210</v>
      </c>
      <c r="C171" s="27" t="s">
        <v>4212</v>
      </c>
      <c r="D171" s="39" t="s">
        <v>141</v>
      </c>
      <c r="E171" s="27" t="s">
        <v>4213</v>
      </c>
      <c r="F171" s="27" t="s">
        <v>4214</v>
      </c>
      <c r="G171" s="26" t="s">
        <v>141</v>
      </c>
      <c r="H171" s="48" t="s">
        <v>111</v>
      </c>
      <c r="I171" s="54" t="s">
        <v>6366</v>
      </c>
      <c r="J171"/>
    </row>
    <row r="172" spans="1:10" ht="20.100000000000001" customHeight="1">
      <c r="A172" s="20">
        <f>SUBTOTAL(3,B$3:B172)</f>
        <v>166</v>
      </c>
      <c r="B172" s="24" t="s">
        <v>3631</v>
      </c>
      <c r="C172" s="25" t="s">
        <v>3633</v>
      </c>
      <c r="D172" s="24" t="s">
        <v>1090</v>
      </c>
      <c r="E172" s="25" t="s">
        <v>3634</v>
      </c>
      <c r="F172" s="25" t="s">
        <v>3636</v>
      </c>
      <c r="G172" s="24" t="s">
        <v>1090</v>
      </c>
      <c r="H172" s="47" t="s">
        <v>111</v>
      </c>
      <c r="I172" s="53" t="s">
        <v>6367</v>
      </c>
      <c r="J172"/>
    </row>
    <row r="173" spans="1:10" ht="20.100000000000001" customHeight="1">
      <c r="A173" s="20">
        <f>SUBTOTAL(3,B$3:B173)</f>
        <v>167</v>
      </c>
      <c r="B173" s="28" t="s">
        <v>3871</v>
      </c>
      <c r="C173" s="29" t="s">
        <v>3873</v>
      </c>
      <c r="D173" s="36" t="s">
        <v>141</v>
      </c>
      <c r="E173" s="29" t="s">
        <v>3634</v>
      </c>
      <c r="F173" s="29" t="s">
        <v>3874</v>
      </c>
      <c r="G173" s="36" t="s">
        <v>141</v>
      </c>
      <c r="H173" s="48" t="s">
        <v>111</v>
      </c>
      <c r="I173" s="54" t="s">
        <v>6367</v>
      </c>
      <c r="J173"/>
    </row>
    <row r="174" spans="1:10" ht="20.100000000000001" customHeight="1">
      <c r="A174" s="20">
        <f>SUBTOTAL(3,B$3:B174)</f>
        <v>168</v>
      </c>
      <c r="B174" s="24" t="s">
        <v>2980</v>
      </c>
      <c r="C174" s="25" t="s">
        <v>2982</v>
      </c>
      <c r="D174" s="35" t="s">
        <v>141</v>
      </c>
      <c r="E174" s="25" t="s">
        <v>2983</v>
      </c>
      <c r="F174" s="25" t="s">
        <v>2984</v>
      </c>
      <c r="G174" s="24" t="s">
        <v>141</v>
      </c>
      <c r="H174" s="47" t="s">
        <v>111</v>
      </c>
      <c r="I174" s="53" t="s">
        <v>6368</v>
      </c>
      <c r="J174"/>
    </row>
    <row r="175" spans="1:10" ht="20.100000000000001" customHeight="1">
      <c r="A175" s="20">
        <f>SUBTOTAL(3,B$3:B175)</f>
        <v>169</v>
      </c>
      <c r="B175" s="26" t="s">
        <v>4867</v>
      </c>
      <c r="C175" s="27" t="s">
        <v>4869</v>
      </c>
      <c r="D175" s="39" t="s">
        <v>1090</v>
      </c>
      <c r="E175" s="27" t="s">
        <v>4870</v>
      </c>
      <c r="F175" s="27" t="s">
        <v>4872</v>
      </c>
      <c r="G175" s="26" t="s">
        <v>1090</v>
      </c>
      <c r="H175" s="48" t="s">
        <v>111</v>
      </c>
      <c r="I175" s="54" t="s">
        <v>6369</v>
      </c>
      <c r="J175"/>
    </row>
    <row r="176" spans="1:10" ht="20.100000000000001" customHeight="1">
      <c r="A176" s="20">
        <f>SUBTOTAL(3,B$3:B176)</f>
        <v>170</v>
      </c>
      <c r="B176" s="24" t="s">
        <v>3344</v>
      </c>
      <c r="C176" s="25" t="s">
        <v>3346</v>
      </c>
      <c r="D176" s="24" t="s">
        <v>1090</v>
      </c>
      <c r="E176" s="25" t="s">
        <v>3347</v>
      </c>
      <c r="F176" s="25" t="s">
        <v>3348</v>
      </c>
      <c r="G176" s="24" t="s">
        <v>1090</v>
      </c>
      <c r="H176" s="47" t="s">
        <v>111</v>
      </c>
      <c r="I176" s="53" t="s">
        <v>6370</v>
      </c>
      <c r="J176"/>
    </row>
    <row r="177" spans="1:10" ht="20.100000000000001" customHeight="1">
      <c r="A177" s="20">
        <f>SUBTOTAL(3,B$3:B177)</f>
        <v>171</v>
      </c>
      <c r="B177" s="26" t="s">
        <v>4591</v>
      </c>
      <c r="C177" s="27" t="s">
        <v>4593</v>
      </c>
      <c r="D177" s="39" t="s">
        <v>141</v>
      </c>
      <c r="E177" s="27" t="s">
        <v>4594</v>
      </c>
      <c r="F177" s="27" t="s">
        <v>4596</v>
      </c>
      <c r="G177" s="26" t="s">
        <v>141</v>
      </c>
      <c r="H177" s="48" t="s">
        <v>111</v>
      </c>
      <c r="I177" s="54" t="s">
        <v>6371</v>
      </c>
      <c r="J177"/>
    </row>
    <row r="178" spans="1:10" ht="20.100000000000001" customHeight="1">
      <c r="A178" s="20">
        <f>SUBTOTAL(3,B$3:B178)</f>
        <v>172</v>
      </c>
      <c r="B178" s="31" t="s">
        <v>3447</v>
      </c>
      <c r="C178" s="32" t="s">
        <v>6372</v>
      </c>
      <c r="D178" s="40" t="s">
        <v>1058</v>
      </c>
      <c r="E178" s="32" t="s">
        <v>3450</v>
      </c>
      <c r="F178" s="32" t="s">
        <v>3452</v>
      </c>
      <c r="G178" s="40" t="s">
        <v>1058</v>
      </c>
      <c r="H178" s="47" t="s">
        <v>111</v>
      </c>
      <c r="I178" s="53" t="s">
        <v>6373</v>
      </c>
      <c r="J178"/>
    </row>
    <row r="179" spans="1:10" ht="20.100000000000001" customHeight="1">
      <c r="A179" s="20">
        <f>SUBTOTAL(3,B$3:B179)</f>
        <v>173</v>
      </c>
      <c r="B179" s="26" t="s">
        <v>3532</v>
      </c>
      <c r="C179" s="27" t="s">
        <v>3534</v>
      </c>
      <c r="D179" s="26" t="s">
        <v>1090</v>
      </c>
      <c r="E179" s="27" t="s">
        <v>3535</v>
      </c>
      <c r="F179" s="27" t="s">
        <v>3538</v>
      </c>
      <c r="G179" s="26" t="s">
        <v>1090</v>
      </c>
      <c r="H179" s="48" t="s">
        <v>111</v>
      </c>
      <c r="I179" s="54" t="s">
        <v>6374</v>
      </c>
      <c r="J179"/>
    </row>
    <row r="180" spans="1:10" ht="20.100000000000001" customHeight="1">
      <c r="A180" s="20">
        <f>SUBTOTAL(3,B$3:B180)</f>
        <v>174</v>
      </c>
      <c r="B180" s="24" t="s">
        <v>4888</v>
      </c>
      <c r="C180" s="25" t="s">
        <v>4890</v>
      </c>
      <c r="D180" s="35" t="s">
        <v>512</v>
      </c>
      <c r="E180" s="25" t="s">
        <v>4891</v>
      </c>
      <c r="F180" s="25" t="s">
        <v>4893</v>
      </c>
      <c r="G180" s="24" t="s">
        <v>512</v>
      </c>
      <c r="H180" s="47" t="s">
        <v>111</v>
      </c>
      <c r="I180" s="53" t="s">
        <v>6375</v>
      </c>
      <c r="J180"/>
    </row>
    <row r="181" spans="1:10" ht="20.100000000000001" customHeight="1">
      <c r="A181" s="20">
        <f>SUBTOTAL(3,B$3:B181)</f>
        <v>175</v>
      </c>
      <c r="B181" s="26" t="s">
        <v>4469</v>
      </c>
      <c r="C181" s="27" t="s">
        <v>4471</v>
      </c>
      <c r="D181" s="39" t="s">
        <v>141</v>
      </c>
      <c r="E181" s="27" t="s">
        <v>4472</v>
      </c>
      <c r="F181" s="27" t="s">
        <v>4092</v>
      </c>
      <c r="G181" s="26" t="s">
        <v>1706</v>
      </c>
      <c r="H181" s="48" t="s">
        <v>111</v>
      </c>
      <c r="I181" s="54" t="s">
        <v>6376</v>
      </c>
      <c r="J181"/>
    </row>
    <row r="182" spans="1:10" ht="20.100000000000001" customHeight="1">
      <c r="A182" s="20">
        <f>SUBTOTAL(3,B$3:B182)</f>
        <v>176</v>
      </c>
      <c r="B182" s="24" t="s">
        <v>4838</v>
      </c>
      <c r="C182" s="25" t="s">
        <v>4839</v>
      </c>
      <c r="D182" s="35" t="s">
        <v>1090</v>
      </c>
      <c r="E182" s="25" t="s">
        <v>4840</v>
      </c>
      <c r="F182" s="25" t="s">
        <v>2288</v>
      </c>
      <c r="G182" s="24" t="s">
        <v>1090</v>
      </c>
      <c r="H182" s="47" t="s">
        <v>111</v>
      </c>
      <c r="I182" s="53" t="s">
        <v>6377</v>
      </c>
      <c r="J182"/>
    </row>
    <row r="183" spans="1:10" ht="20.100000000000001" customHeight="1">
      <c r="A183" s="20">
        <f>SUBTOTAL(3,B$3:B183)</f>
        <v>177</v>
      </c>
      <c r="B183" s="26" t="s">
        <v>3711</v>
      </c>
      <c r="C183" s="27" t="s">
        <v>3713</v>
      </c>
      <c r="D183" s="26" t="s">
        <v>141</v>
      </c>
      <c r="E183" s="27" t="s">
        <v>3714</v>
      </c>
      <c r="F183" s="27" t="s">
        <v>3717</v>
      </c>
      <c r="G183" s="26" t="s">
        <v>141</v>
      </c>
      <c r="H183" s="48" t="s">
        <v>111</v>
      </c>
      <c r="I183" s="54" t="s">
        <v>6378</v>
      </c>
      <c r="J183"/>
    </row>
    <row r="184" spans="1:10" ht="20.100000000000001" customHeight="1">
      <c r="A184" s="20">
        <f>SUBTOTAL(3,B$3:B184)</f>
        <v>178</v>
      </c>
      <c r="B184" s="24" t="s">
        <v>4193</v>
      </c>
      <c r="C184" s="25" t="s">
        <v>4195</v>
      </c>
      <c r="D184" s="35" t="s">
        <v>141</v>
      </c>
      <c r="E184" s="25" t="s">
        <v>4196</v>
      </c>
      <c r="F184" s="25" t="s">
        <v>2635</v>
      </c>
      <c r="G184" s="24" t="s">
        <v>141</v>
      </c>
      <c r="H184" s="47" t="s">
        <v>111</v>
      </c>
      <c r="I184" s="53" t="s">
        <v>6379</v>
      </c>
      <c r="J184"/>
    </row>
    <row r="185" spans="1:10" ht="20.100000000000001" customHeight="1">
      <c r="A185" s="20">
        <f>SUBTOTAL(3,B$3:B185)</f>
        <v>179</v>
      </c>
      <c r="B185" s="26" t="s">
        <v>4324</v>
      </c>
      <c r="C185" s="27" t="s">
        <v>4326</v>
      </c>
      <c r="D185" s="39" t="s">
        <v>141</v>
      </c>
      <c r="E185" s="27" t="s">
        <v>4327</v>
      </c>
      <c r="F185" s="27" t="s">
        <v>4328</v>
      </c>
      <c r="G185" s="26" t="s">
        <v>163</v>
      </c>
      <c r="H185" s="48" t="s">
        <v>111</v>
      </c>
      <c r="I185" s="54" t="s">
        <v>6380</v>
      </c>
      <c r="J185"/>
    </row>
    <row r="186" spans="1:10" ht="20.100000000000001" customHeight="1">
      <c r="A186" s="20">
        <f>SUBTOTAL(3,B$3:B186)</f>
        <v>180</v>
      </c>
      <c r="B186" s="24" t="s">
        <v>3732</v>
      </c>
      <c r="C186" s="25" t="s">
        <v>3734</v>
      </c>
      <c r="D186" s="24" t="s">
        <v>1090</v>
      </c>
      <c r="E186" s="25" t="s">
        <v>3735</v>
      </c>
      <c r="F186" s="25" t="s">
        <v>3737</v>
      </c>
      <c r="G186" s="24" t="s">
        <v>1090</v>
      </c>
      <c r="H186" s="47" t="s">
        <v>111</v>
      </c>
      <c r="I186" s="53" t="s">
        <v>6381</v>
      </c>
      <c r="J186"/>
    </row>
    <row r="187" spans="1:10" ht="20.100000000000001" customHeight="1">
      <c r="A187" s="20">
        <f>SUBTOTAL(3,B$3:B187)</f>
        <v>181</v>
      </c>
      <c r="B187" s="26" t="s">
        <v>4509</v>
      </c>
      <c r="C187" s="27" t="s">
        <v>4511</v>
      </c>
      <c r="D187" s="39" t="s">
        <v>141</v>
      </c>
      <c r="E187" s="27" t="s">
        <v>4512</v>
      </c>
      <c r="F187" s="27" t="s">
        <v>4513</v>
      </c>
      <c r="G187" s="26" t="s">
        <v>141</v>
      </c>
      <c r="H187" s="48" t="s">
        <v>111</v>
      </c>
      <c r="I187" s="54" t="s">
        <v>6382</v>
      </c>
      <c r="J187"/>
    </row>
    <row r="188" spans="1:10" ht="20.100000000000001" customHeight="1">
      <c r="A188" s="20">
        <f>SUBTOTAL(3,B$3:B188)</f>
        <v>182</v>
      </c>
      <c r="B188" s="31" t="s">
        <v>3950</v>
      </c>
      <c r="C188" s="32" t="s">
        <v>3952</v>
      </c>
      <c r="D188" s="40" t="s">
        <v>512</v>
      </c>
      <c r="E188" s="32" t="s">
        <v>3953</v>
      </c>
      <c r="F188" s="32" t="s">
        <v>3955</v>
      </c>
      <c r="G188" s="40" t="s">
        <v>1706</v>
      </c>
      <c r="H188" s="47" t="s">
        <v>111</v>
      </c>
      <c r="I188" s="53" t="s">
        <v>6383</v>
      </c>
      <c r="J188"/>
    </row>
    <row r="189" spans="1:10" ht="20.100000000000001" customHeight="1">
      <c r="A189" s="20">
        <f>SUBTOTAL(3,B$3:B189)</f>
        <v>183</v>
      </c>
      <c r="B189" s="26" t="s">
        <v>4269</v>
      </c>
      <c r="C189" s="27" t="s">
        <v>4271</v>
      </c>
      <c r="D189" s="39" t="s">
        <v>141</v>
      </c>
      <c r="E189" s="27" t="s">
        <v>4272</v>
      </c>
      <c r="F189" s="27" t="s">
        <v>4273</v>
      </c>
      <c r="G189" s="26" t="s">
        <v>141</v>
      </c>
      <c r="H189" s="48" t="s">
        <v>111</v>
      </c>
      <c r="I189" s="54" t="s">
        <v>6384</v>
      </c>
      <c r="J189"/>
    </row>
    <row r="190" spans="1:10" ht="20.100000000000001" customHeight="1">
      <c r="A190" s="20">
        <f>SUBTOTAL(3,B$3:B190)</f>
        <v>184</v>
      </c>
      <c r="B190" s="31" t="s">
        <v>3846</v>
      </c>
      <c r="C190" s="32" t="s">
        <v>3848</v>
      </c>
      <c r="D190" s="40" t="s">
        <v>512</v>
      </c>
      <c r="E190" s="32" t="s">
        <v>3849</v>
      </c>
      <c r="F190" s="32" t="s">
        <v>750</v>
      </c>
      <c r="G190" s="40" t="s">
        <v>512</v>
      </c>
      <c r="H190" s="47" t="s">
        <v>111</v>
      </c>
      <c r="I190" s="53" t="s">
        <v>6385</v>
      </c>
      <c r="J190"/>
    </row>
    <row r="191" spans="1:10" ht="20.100000000000001" customHeight="1">
      <c r="A191" s="20">
        <f>SUBTOTAL(3,B$3:B191)</f>
        <v>185</v>
      </c>
      <c r="B191" s="28" t="s">
        <v>3803</v>
      </c>
      <c r="C191" s="29" t="s">
        <v>3805</v>
      </c>
      <c r="D191" s="36" t="s">
        <v>141</v>
      </c>
      <c r="E191" s="29" t="s">
        <v>3806</v>
      </c>
      <c r="F191" s="29" t="s">
        <v>3807</v>
      </c>
      <c r="G191" s="36" t="s">
        <v>163</v>
      </c>
      <c r="H191" s="48" t="s">
        <v>111</v>
      </c>
      <c r="I191" s="54" t="s">
        <v>6386</v>
      </c>
      <c r="J191"/>
    </row>
    <row r="192" spans="1:10" ht="20.100000000000001" customHeight="1">
      <c r="A192" s="20">
        <f>SUBTOTAL(3,B$3:B192)</f>
        <v>186</v>
      </c>
      <c r="B192" s="24" t="s">
        <v>4615</v>
      </c>
      <c r="C192" s="25" t="s">
        <v>4617</v>
      </c>
      <c r="D192" s="35" t="s">
        <v>141</v>
      </c>
      <c r="E192" s="25" t="s">
        <v>4618</v>
      </c>
      <c r="F192" s="25" t="s">
        <v>4620</v>
      </c>
      <c r="G192" s="24" t="s">
        <v>163</v>
      </c>
      <c r="H192" s="47" t="s">
        <v>111</v>
      </c>
      <c r="I192" s="53" t="s">
        <v>6387</v>
      </c>
      <c r="J192"/>
    </row>
    <row r="193" spans="1:10" ht="20.100000000000001" customHeight="1">
      <c r="A193" s="20">
        <f>SUBTOTAL(3,B$3:B193)</f>
        <v>187</v>
      </c>
      <c r="B193" s="26" t="s">
        <v>4627</v>
      </c>
      <c r="C193" s="27" t="s">
        <v>4629</v>
      </c>
      <c r="D193" s="39" t="s">
        <v>1090</v>
      </c>
      <c r="E193" s="27" t="s">
        <v>4630</v>
      </c>
      <c r="F193" s="27" t="s">
        <v>4632</v>
      </c>
      <c r="G193" s="26" t="s">
        <v>1090</v>
      </c>
      <c r="H193" s="48" t="s">
        <v>111</v>
      </c>
      <c r="I193" s="54" t="s">
        <v>6388</v>
      </c>
      <c r="J193"/>
    </row>
    <row r="194" spans="1:10" ht="20.100000000000001" customHeight="1">
      <c r="A194" s="20">
        <f>SUBTOTAL(3,B$3:B194)</f>
        <v>188</v>
      </c>
      <c r="B194" s="31" t="s">
        <v>4010</v>
      </c>
      <c r="C194" s="32" t="s">
        <v>4012</v>
      </c>
      <c r="D194" s="40" t="s">
        <v>141</v>
      </c>
      <c r="E194" s="32" t="s">
        <v>4013</v>
      </c>
      <c r="F194" s="32" t="s">
        <v>4015</v>
      </c>
      <c r="G194" s="40" t="s">
        <v>141</v>
      </c>
      <c r="H194" s="47" t="s">
        <v>111</v>
      </c>
      <c r="I194" s="53" t="s">
        <v>6389</v>
      </c>
      <c r="J194"/>
    </row>
    <row r="195" spans="1:10" ht="20.100000000000001" customHeight="1">
      <c r="A195" s="20">
        <f>SUBTOTAL(3,B$3:B195)</f>
        <v>189</v>
      </c>
      <c r="B195" s="26" t="s">
        <v>4783</v>
      </c>
      <c r="C195" s="27" t="s">
        <v>4785</v>
      </c>
      <c r="D195" s="26" t="s">
        <v>1058</v>
      </c>
      <c r="E195" s="27" t="s">
        <v>4786</v>
      </c>
      <c r="F195" s="27" t="s">
        <v>4787</v>
      </c>
      <c r="G195" s="26" t="s">
        <v>1058</v>
      </c>
      <c r="H195" s="48" t="s">
        <v>111</v>
      </c>
      <c r="I195" s="54" t="s">
        <v>6390</v>
      </c>
      <c r="J195"/>
    </row>
    <row r="196" spans="1:10" ht="20.100000000000001" customHeight="1">
      <c r="A196" s="20">
        <f>SUBTOTAL(3,B$3:B196)</f>
        <v>190</v>
      </c>
      <c r="B196" s="24" t="s">
        <v>4577</v>
      </c>
      <c r="C196" s="25" t="s">
        <v>4579</v>
      </c>
      <c r="D196" s="35" t="s">
        <v>141</v>
      </c>
      <c r="E196" s="25" t="s">
        <v>4580</v>
      </c>
      <c r="F196" s="25" t="s">
        <v>4582</v>
      </c>
      <c r="G196" s="24" t="s">
        <v>163</v>
      </c>
      <c r="H196" s="47" t="s">
        <v>111</v>
      </c>
      <c r="I196" s="53" t="s">
        <v>6391</v>
      </c>
      <c r="J196"/>
    </row>
    <row r="197" spans="1:10" ht="20.100000000000001" customHeight="1">
      <c r="A197" s="20">
        <f>SUBTOTAL(3,B$3:B197)</f>
        <v>191</v>
      </c>
      <c r="B197" s="26" t="s">
        <v>4081</v>
      </c>
      <c r="C197" s="27" t="s">
        <v>4449</v>
      </c>
      <c r="D197" s="39" t="s">
        <v>141</v>
      </c>
      <c r="E197" s="27" t="s">
        <v>4450</v>
      </c>
      <c r="F197" s="27" t="s">
        <v>4451</v>
      </c>
      <c r="G197" s="26" t="s">
        <v>1090</v>
      </c>
      <c r="H197" s="48" t="s">
        <v>111</v>
      </c>
      <c r="I197" s="54" t="s">
        <v>6392</v>
      </c>
      <c r="J197"/>
    </row>
    <row r="198" spans="1:10" ht="20.100000000000001" customHeight="1">
      <c r="A198" s="20">
        <f>SUBTOTAL(3,B$3:B198)</f>
        <v>192</v>
      </c>
      <c r="B198" s="24" t="s">
        <v>4200</v>
      </c>
      <c r="C198" s="25" t="s">
        <v>4202</v>
      </c>
      <c r="D198" s="35" t="s">
        <v>1165</v>
      </c>
      <c r="E198" s="25" t="s">
        <v>4203</v>
      </c>
      <c r="F198" s="25" t="s">
        <v>4205</v>
      </c>
      <c r="G198" s="24" t="s">
        <v>1177</v>
      </c>
      <c r="H198" s="47" t="s">
        <v>111</v>
      </c>
      <c r="I198" s="53" t="s">
        <v>6393</v>
      </c>
      <c r="J198"/>
    </row>
    <row r="199" spans="1:10" ht="20.100000000000001" customHeight="1">
      <c r="A199" s="20">
        <f>SUBTOTAL(3,B$3:B199)</f>
        <v>193</v>
      </c>
      <c r="B199" s="26" t="s">
        <v>4400</v>
      </c>
      <c r="C199" s="27" t="s">
        <v>4402</v>
      </c>
      <c r="D199" s="39" t="s">
        <v>141</v>
      </c>
      <c r="E199" s="27" t="s">
        <v>4403</v>
      </c>
      <c r="F199" s="27" t="s">
        <v>4404</v>
      </c>
      <c r="G199" s="26" t="s">
        <v>141</v>
      </c>
      <c r="H199" s="48" t="s">
        <v>111</v>
      </c>
      <c r="I199" s="54" t="s">
        <v>6394</v>
      </c>
      <c r="J199"/>
    </row>
    <row r="200" spans="1:10" ht="20.100000000000001" customHeight="1">
      <c r="A200" s="20">
        <f>SUBTOTAL(3,B$3:B200)</f>
        <v>194</v>
      </c>
      <c r="B200" s="24" t="s">
        <v>4357</v>
      </c>
      <c r="C200" s="25" t="s">
        <v>4359</v>
      </c>
      <c r="D200" s="35" t="s">
        <v>273</v>
      </c>
      <c r="E200" s="25" t="s">
        <v>4360</v>
      </c>
      <c r="F200" s="25" t="s">
        <v>4362</v>
      </c>
      <c r="G200" s="24" t="s">
        <v>273</v>
      </c>
      <c r="H200" s="47" t="s">
        <v>111</v>
      </c>
      <c r="I200" s="53" t="s">
        <v>6395</v>
      </c>
      <c r="J200"/>
    </row>
    <row r="201" spans="1:10" ht="20.100000000000001" customHeight="1">
      <c r="A201" s="20">
        <f>SUBTOTAL(3,B$3:B201)</f>
        <v>195</v>
      </c>
      <c r="B201" s="26" t="s">
        <v>4687</v>
      </c>
      <c r="C201" s="27" t="s">
        <v>4689</v>
      </c>
      <c r="D201" s="26" t="s">
        <v>141</v>
      </c>
      <c r="E201" s="27" t="s">
        <v>4690</v>
      </c>
      <c r="F201" s="27" t="s">
        <v>4692</v>
      </c>
      <c r="G201" s="26" t="s">
        <v>141</v>
      </c>
      <c r="H201" s="48" t="s">
        <v>111</v>
      </c>
      <c r="I201" s="54" t="s">
        <v>6396</v>
      </c>
      <c r="J201"/>
    </row>
    <row r="202" spans="1:10" ht="20.100000000000001" customHeight="1">
      <c r="A202" s="20">
        <f>SUBTOTAL(3,B$3:B202)</f>
        <v>196</v>
      </c>
      <c r="B202" s="24" t="s">
        <v>3762</v>
      </c>
      <c r="C202" s="25" t="s">
        <v>3764</v>
      </c>
      <c r="D202" s="24" t="s">
        <v>1090</v>
      </c>
      <c r="E202" s="25" t="s">
        <v>3765</v>
      </c>
      <c r="F202" s="25" t="s">
        <v>3767</v>
      </c>
      <c r="G202" s="24" t="s">
        <v>1090</v>
      </c>
      <c r="H202" s="47" t="s">
        <v>111</v>
      </c>
      <c r="I202" s="53" t="s">
        <v>6397</v>
      </c>
      <c r="J202"/>
    </row>
    <row r="203" spans="1:10" ht="20.100000000000001" customHeight="1">
      <c r="A203" s="20">
        <f>SUBTOTAL(3,B$3:B203)</f>
        <v>197</v>
      </c>
      <c r="B203" s="26" t="s">
        <v>4954</v>
      </c>
      <c r="C203" s="27" t="s">
        <v>4956</v>
      </c>
      <c r="D203" s="39" t="s">
        <v>1090</v>
      </c>
      <c r="E203" s="27" t="s">
        <v>4957</v>
      </c>
      <c r="F203" s="27" t="s">
        <v>4958</v>
      </c>
      <c r="G203" s="26" t="s">
        <v>1090</v>
      </c>
      <c r="H203" s="48" t="s">
        <v>111</v>
      </c>
      <c r="I203" s="54" t="s">
        <v>6398</v>
      </c>
      <c r="J203"/>
    </row>
    <row r="204" spans="1:10" ht="20.100000000000001" customHeight="1">
      <c r="A204" s="20">
        <f>SUBTOTAL(3,B$3:B204)</f>
        <v>198</v>
      </c>
      <c r="B204" s="24" t="s">
        <v>3321</v>
      </c>
      <c r="C204" s="25" t="s">
        <v>3323</v>
      </c>
      <c r="D204" s="24" t="s">
        <v>1090</v>
      </c>
      <c r="E204" s="25" t="s">
        <v>3324</v>
      </c>
      <c r="F204" s="25" t="s">
        <v>3325</v>
      </c>
      <c r="G204" s="24" t="s">
        <v>122</v>
      </c>
      <c r="H204" s="47" t="s">
        <v>111</v>
      </c>
      <c r="I204" s="53" t="s">
        <v>6399</v>
      </c>
      <c r="J204"/>
    </row>
    <row r="205" spans="1:10" ht="20.100000000000001" customHeight="1">
      <c r="A205" s="20">
        <f>SUBTOTAL(3,B$3:B205)</f>
        <v>199</v>
      </c>
      <c r="B205" s="26" t="s">
        <v>2998</v>
      </c>
      <c r="C205" s="27" t="s">
        <v>3000</v>
      </c>
      <c r="D205" s="39" t="s">
        <v>141</v>
      </c>
      <c r="E205" s="27" t="s">
        <v>3001</v>
      </c>
      <c r="F205" s="27" t="s">
        <v>3004</v>
      </c>
      <c r="G205" s="26" t="s">
        <v>90</v>
      </c>
      <c r="H205" s="48" t="s">
        <v>111</v>
      </c>
      <c r="I205" s="54" t="s">
        <v>6400</v>
      </c>
      <c r="J205"/>
    </row>
    <row r="206" spans="1:10" ht="20.100000000000001" hidden="1" customHeight="1">
      <c r="A206" s="20">
        <f>SUBTOTAL(3,B$3:B206)</f>
        <v>199</v>
      </c>
      <c r="B206" s="24" t="s">
        <v>2500</v>
      </c>
      <c r="C206" s="25" t="s">
        <v>2502</v>
      </c>
      <c r="D206" s="35" t="s">
        <v>797</v>
      </c>
      <c r="E206" s="25" t="s">
        <v>2503</v>
      </c>
      <c r="F206" s="33" t="s">
        <v>2505</v>
      </c>
      <c r="G206" s="44" t="s">
        <v>805</v>
      </c>
      <c r="H206" s="49" t="s">
        <v>806</v>
      </c>
      <c r="I206" s="53" t="s">
        <v>6401</v>
      </c>
      <c r="J206"/>
    </row>
    <row r="207" spans="1:10" ht="20.100000000000001" customHeight="1">
      <c r="A207" s="20">
        <f>SUBTOTAL(3,B$3:B207)</f>
        <v>200</v>
      </c>
      <c r="B207" s="26" t="s">
        <v>5194</v>
      </c>
      <c r="C207" s="27" t="s">
        <v>5195</v>
      </c>
      <c r="D207" s="39" t="s">
        <v>141</v>
      </c>
      <c r="E207" s="27" t="s">
        <v>5196</v>
      </c>
      <c r="F207" s="27" t="s">
        <v>5197</v>
      </c>
      <c r="G207" s="26" t="s">
        <v>141</v>
      </c>
      <c r="H207" s="48" t="s">
        <v>111</v>
      </c>
      <c r="I207" s="54" t="s">
        <v>6402</v>
      </c>
      <c r="J207"/>
    </row>
    <row r="208" spans="1:10" ht="20.100000000000001" customHeight="1">
      <c r="A208" s="20">
        <f>SUBTOTAL(3,B$3:B208)</f>
        <v>201</v>
      </c>
      <c r="B208" s="24" t="s">
        <v>3406</v>
      </c>
      <c r="C208" s="25" t="s">
        <v>3408</v>
      </c>
      <c r="D208" s="35" t="s">
        <v>141</v>
      </c>
      <c r="E208" s="25" t="s">
        <v>3409</v>
      </c>
      <c r="F208" s="25" t="s">
        <v>3411</v>
      </c>
      <c r="G208" s="24" t="s">
        <v>90</v>
      </c>
      <c r="H208" s="47" t="s">
        <v>111</v>
      </c>
      <c r="I208" s="53" t="s">
        <v>6403</v>
      </c>
      <c r="J208"/>
    </row>
    <row r="209" spans="1:10" ht="20.100000000000001" customHeight="1">
      <c r="A209" s="20">
        <f>SUBTOTAL(3,B$3:B209)</f>
        <v>202</v>
      </c>
      <c r="B209" s="36" t="s">
        <v>4640</v>
      </c>
      <c r="C209" s="29" t="s">
        <v>4642</v>
      </c>
      <c r="D209" s="28" t="s">
        <v>141</v>
      </c>
      <c r="E209" s="29" t="s">
        <v>4643</v>
      </c>
      <c r="F209" s="29" t="s">
        <v>4644</v>
      </c>
      <c r="G209" s="36" t="s">
        <v>141</v>
      </c>
      <c r="H209" s="48" t="s">
        <v>111</v>
      </c>
      <c r="I209" s="54" t="s">
        <v>6404</v>
      </c>
      <c r="J209"/>
    </row>
    <row r="210" spans="1:10" ht="20.100000000000001" customHeight="1">
      <c r="A210" s="20">
        <f>SUBTOTAL(3,B$3:B210)</f>
        <v>203</v>
      </c>
      <c r="B210" s="31" t="s">
        <v>3912</v>
      </c>
      <c r="C210" s="32" t="s">
        <v>3914</v>
      </c>
      <c r="D210" s="40" t="s">
        <v>1090</v>
      </c>
      <c r="E210" s="32" t="s">
        <v>3915</v>
      </c>
      <c r="F210" s="32" t="s">
        <v>3916</v>
      </c>
      <c r="G210" s="40" t="s">
        <v>1090</v>
      </c>
      <c r="H210" s="47" t="s">
        <v>111</v>
      </c>
      <c r="I210" s="53" t="s">
        <v>6405</v>
      </c>
      <c r="J210"/>
    </row>
    <row r="211" spans="1:10" ht="20.100000000000001" customHeight="1">
      <c r="A211" s="20">
        <f>SUBTOTAL(3,B$3:B211)</f>
        <v>204</v>
      </c>
      <c r="B211" s="26" t="s">
        <v>4928</v>
      </c>
      <c r="C211" s="27" t="s">
        <v>4930</v>
      </c>
      <c r="D211" s="39" t="s">
        <v>141</v>
      </c>
      <c r="E211" s="27" t="s">
        <v>4931</v>
      </c>
      <c r="F211" s="27" t="s">
        <v>4933</v>
      </c>
      <c r="G211" s="39" t="s">
        <v>141</v>
      </c>
      <c r="H211" s="48" t="s">
        <v>111</v>
      </c>
      <c r="I211" s="54" t="s">
        <v>6406</v>
      </c>
      <c r="J211"/>
    </row>
    <row r="212" spans="1:10" ht="20.100000000000001" customHeight="1">
      <c r="A212" s="20">
        <f>SUBTOTAL(3,B$3:B212)</f>
        <v>205</v>
      </c>
      <c r="B212" s="37" t="s">
        <v>5316</v>
      </c>
      <c r="C212" s="38" t="s">
        <v>5318</v>
      </c>
      <c r="D212" s="41" t="s">
        <v>273</v>
      </c>
      <c r="E212" s="38" t="s">
        <v>5319</v>
      </c>
      <c r="F212" s="38" t="s">
        <v>5320</v>
      </c>
      <c r="G212" s="41" t="s">
        <v>273</v>
      </c>
      <c r="H212" s="50" t="s">
        <v>111</v>
      </c>
      <c r="I212" s="55" t="s">
        <v>6407</v>
      </c>
      <c r="J212"/>
    </row>
  </sheetData>
  <conditionalFormatting sqref="B3:B212">
    <cfRule type="duplicateValues" dxfId="6" priority="16"/>
  </conditionalFormatting>
  <conditionalFormatting sqref="C3:C212">
    <cfRule type="duplicateValues" dxfId="5" priority="15"/>
  </conditionalFormatting>
  <conditionalFormatting sqref="C3:H212">
    <cfRule type="cellIs" dxfId="4" priority="18" operator="equal">
      <formula>""</formula>
    </cfRule>
  </conditionalFormatting>
  <conditionalFormatting sqref="G3:H212">
    <cfRule type="expression" dxfId="3" priority="13">
      <formula>#REF!="Tidak Diketahui"</formula>
    </cfRule>
    <cfRule type="expression" dxfId="2" priority="14">
      <formula>#REF!="Sudah Meninggal"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C282-0B3E-4743-A9D7-672F8E0FCAB0}">
  <dimension ref="A1:J20"/>
  <sheetViews>
    <sheetView workbookViewId="0">
      <selection activeCell="F18" sqref="F18"/>
    </sheetView>
  </sheetViews>
  <sheetFormatPr defaultRowHeight="15"/>
  <cols>
    <col min="1" max="1" width="9.140625" style="3"/>
    <col min="4" max="4" width="9.140625" style="3"/>
    <col min="5" max="5" width="34.42578125" customWidth="1"/>
    <col min="6" max="6" width="19.28515625" customWidth="1"/>
    <col min="7" max="7" width="9.28515625" customWidth="1"/>
    <col min="8" max="8" width="11" bestFit="1" customWidth="1"/>
    <col min="9" max="9" width="17.28515625" bestFit="1" customWidth="1"/>
    <col min="10" max="10" width="17.7109375" customWidth="1"/>
  </cols>
  <sheetData>
    <row r="1" spans="1:10" ht="15.75" thickBot="1">
      <c r="A1" s="78" t="s">
        <v>5768</v>
      </c>
      <c r="B1" s="79" t="s">
        <v>84</v>
      </c>
      <c r="C1" s="79" t="s">
        <v>5770</v>
      </c>
      <c r="D1" s="79" t="s">
        <v>5774</v>
      </c>
      <c r="E1" s="79" t="s">
        <v>6408</v>
      </c>
      <c r="F1" s="79" t="s">
        <v>6409</v>
      </c>
      <c r="G1" s="79" t="s">
        <v>6410</v>
      </c>
      <c r="H1" s="79" t="s">
        <v>5478</v>
      </c>
      <c r="I1" s="79" t="s">
        <v>6411</v>
      </c>
      <c r="J1" s="79" t="s">
        <v>6412</v>
      </c>
    </row>
    <row r="2" spans="1:10" ht="15.75" thickTop="1">
      <c r="A2" s="80">
        <v>1</v>
      </c>
      <c r="B2" s="81">
        <v>21220142</v>
      </c>
      <c r="C2" s="82" t="s">
        <v>5777</v>
      </c>
      <c r="D2" s="81" t="s">
        <v>1845</v>
      </c>
      <c r="E2" s="82" t="s">
        <v>6001</v>
      </c>
      <c r="F2" s="82"/>
      <c r="G2" s="83"/>
      <c r="H2" s="83" t="str">
        <f>_xlfn.XLOOKUP(Table5[[#This Row],[NIS]],Table2[NIS],Table2[Nomer Induk Siswa Nasional],"Not found",0)</f>
        <v>0084243344</v>
      </c>
      <c r="I2" s="83" t="str">
        <f>_xlfn.XLOOKUP(Table5[[#This Row],[NIS]],Table2[NIS],Table2[Nomer Induk Kependudukan (NIK)],"Not found",0)</f>
        <v>3217085809080010</v>
      </c>
      <c r="J2" s="83"/>
    </row>
    <row r="3" spans="1:10">
      <c r="A3" s="3">
        <v>2</v>
      </c>
      <c r="B3">
        <v>21220157</v>
      </c>
      <c r="C3" t="s">
        <v>5777</v>
      </c>
      <c r="D3" s="3" t="s">
        <v>2199</v>
      </c>
      <c r="E3" t="s">
        <v>6041</v>
      </c>
      <c r="F3" t="s">
        <v>6413</v>
      </c>
      <c r="H3" s="83" t="str">
        <f>_xlfn.XLOOKUP(Table5[[#This Row],[NIS]],Table2[NIS],Table2[Nomer Induk Siswa Nasional],"Not found",0)</f>
        <v>belum tamat sd</v>
      </c>
      <c r="I3" s="83" t="str">
        <f>_xlfn.XLOOKUP(Table5[[#This Row],[NIS]],Table2[NIS],Table2[Nomer Induk Kependudukan (NIK)],"Not found",0)</f>
        <v>3274034505070005</v>
      </c>
    </row>
    <row r="4" spans="1:10">
      <c r="A4" s="80">
        <v>3</v>
      </c>
      <c r="B4">
        <v>21220143</v>
      </c>
      <c r="C4" t="s">
        <v>5777</v>
      </c>
      <c r="D4" s="3" t="s">
        <v>2199</v>
      </c>
      <c r="E4" t="s">
        <v>6042</v>
      </c>
      <c r="F4" t="s">
        <v>6414</v>
      </c>
      <c r="H4" s="83" t="str">
        <f>_xlfn.XLOOKUP(Table5[[#This Row],[NIS]],Table2[NIS],Table2[Nomer Induk Siswa Nasional],"Not found",0)</f>
        <v>0096031199/3094449458</v>
      </c>
      <c r="I4" s="83" t="str">
        <f>_xlfn.XLOOKUP(Table5[[#This Row],[NIS]],Table2[NIS],Table2[Nomer Induk Kependudukan (NIK)],"Not found",0)</f>
        <v>3214012105090002</v>
      </c>
    </row>
    <row r="5" spans="1:10">
      <c r="A5" s="3">
        <v>4</v>
      </c>
      <c r="B5">
        <v>20210194</v>
      </c>
      <c r="C5" t="s">
        <v>5777</v>
      </c>
      <c r="D5" s="3" t="s">
        <v>2199</v>
      </c>
      <c r="E5" t="s">
        <v>6045</v>
      </c>
      <c r="F5" t="s">
        <v>6415</v>
      </c>
      <c r="H5" s="83" t="str">
        <f>_xlfn.XLOOKUP(Table5[[#This Row],[NIS]],Table2[NIS],Table2[Nomer Induk Siswa Nasional],"Not found",0)</f>
        <v>0074518718</v>
      </c>
      <c r="I5" s="83" t="str">
        <f>_xlfn.XLOOKUP(Table5[[#This Row],[NIS]],Table2[NIS],Table2[Nomer Induk Kependudukan (NIK)],"Not found",0)</f>
        <v>3216195410070006</v>
      </c>
    </row>
    <row r="6" spans="1:10">
      <c r="A6" s="80">
        <v>5</v>
      </c>
      <c r="B6">
        <v>19200230</v>
      </c>
      <c r="C6" t="s">
        <v>5777</v>
      </c>
      <c r="D6" s="3" t="s">
        <v>2512</v>
      </c>
      <c r="E6" t="s">
        <v>3468</v>
      </c>
      <c r="F6" t="s">
        <v>6416</v>
      </c>
      <c r="H6" s="83" t="str">
        <f>_xlfn.XLOOKUP(Table5[[#This Row],[NIS]],Table2[NIS],Table2[Nomer Induk Siswa Nasional],"Not found",0)</f>
        <v>0076723108</v>
      </c>
      <c r="I6" s="83" t="str">
        <f>_xlfn.XLOOKUP(Table5[[#This Row],[NIS]],Table2[NIS],Table2[Nomer Induk Kependudukan (NIK)],"Not found",0)</f>
        <v>3211156007070004</v>
      </c>
    </row>
    <row r="7" spans="1:10">
      <c r="A7" s="3">
        <v>6</v>
      </c>
      <c r="B7">
        <v>20210163</v>
      </c>
      <c r="C7" t="s">
        <v>5777</v>
      </c>
      <c r="D7" s="3" t="s">
        <v>2925</v>
      </c>
      <c r="E7" t="s">
        <v>6114</v>
      </c>
      <c r="F7" t="s">
        <v>6417</v>
      </c>
      <c r="H7" s="83" t="str">
        <f>_xlfn.XLOOKUP(Table5[[#This Row],[NIS]],Table2[NIS],Table2[Nomer Induk Siswa Nasional],"Not found",0)</f>
        <v>0088986318</v>
      </c>
      <c r="I7" s="83" t="str">
        <f>_xlfn.XLOOKUP(Table5[[#This Row],[NIS]],Table2[NIS],Table2[Nomer Induk Kependudukan (NIK)],"Not found",0)</f>
        <v>3211144308080002</v>
      </c>
    </row>
    <row r="8" spans="1:10">
      <c r="A8" s="80">
        <v>7</v>
      </c>
      <c r="B8">
        <v>19200251</v>
      </c>
      <c r="C8" t="s">
        <v>5777</v>
      </c>
      <c r="D8" s="3" t="s">
        <v>2512</v>
      </c>
      <c r="E8" t="s">
        <v>3498</v>
      </c>
      <c r="F8" t="s">
        <v>6418</v>
      </c>
      <c r="H8" s="83" t="str">
        <f>_xlfn.XLOOKUP(Table5[[#This Row],[NIS]],Table2[NIS],Table2[Nomer Induk Siswa Nasional],"Not found",0)</f>
        <v>0069445436</v>
      </c>
      <c r="I8" s="83" t="str">
        <f>_xlfn.XLOOKUP(Table5[[#This Row],[NIS]],Table2[NIS],Table2[Nomer Induk Kependudukan (NIK)],"Not found",0)</f>
        <v>3273044312060002</v>
      </c>
    </row>
    <row r="9" spans="1:10">
      <c r="A9" s="3">
        <v>8</v>
      </c>
      <c r="B9">
        <v>21220136</v>
      </c>
      <c r="C9" t="s">
        <v>5777</v>
      </c>
      <c r="D9" s="3" t="s">
        <v>1845</v>
      </c>
      <c r="E9" t="s">
        <v>6020</v>
      </c>
      <c r="F9" t="s">
        <v>6419</v>
      </c>
      <c r="H9" s="83" t="str">
        <f>_xlfn.XLOOKUP(Table5[[#This Row],[NIS]],Table2[NIS],Table2[Nomer Induk Siswa Nasional],"Not found",0)</f>
        <v>0092542011</v>
      </c>
      <c r="I9" s="83" t="str">
        <f>_xlfn.XLOOKUP(Table5[[#This Row],[NIS]],Table2[NIS],Table2[Nomer Induk Kependudukan (NIK)],"Not found",0)</f>
        <v>3204466811090003</v>
      </c>
    </row>
    <row r="10" spans="1:10">
      <c r="A10" s="80">
        <v>9</v>
      </c>
      <c r="B10">
        <v>19200271</v>
      </c>
      <c r="C10" t="s">
        <v>5777</v>
      </c>
      <c r="D10" s="3" t="s">
        <v>2512</v>
      </c>
      <c r="E10" t="s">
        <v>3565</v>
      </c>
      <c r="F10" t="s">
        <v>6420</v>
      </c>
      <c r="H10" s="83" t="str">
        <f>_xlfn.XLOOKUP(Table5[[#This Row],[NIS]],Table2[NIS],Table2[Nomer Induk Siswa Nasional],"Not found",0)</f>
        <v>0068030071</v>
      </c>
      <c r="I10" s="83" t="str">
        <f>_xlfn.XLOOKUP(Table5[[#This Row],[NIS]],Table2[NIS],Table2[Nomer Induk Kependudukan (NIK)],"Not found",0)</f>
        <v>3217016911060003</v>
      </c>
    </row>
    <row r="11" spans="1:10">
      <c r="A11" s="3">
        <v>10</v>
      </c>
      <c r="B11">
        <v>20210234</v>
      </c>
      <c r="C11" t="s">
        <v>5777</v>
      </c>
      <c r="D11" s="3" t="s">
        <v>1845</v>
      </c>
      <c r="E11" t="s">
        <v>6024</v>
      </c>
      <c r="F11" t="s">
        <v>6421</v>
      </c>
      <c r="H11" s="83" t="str">
        <f>_xlfn.XLOOKUP(Table5[[#This Row],[NIS]],Table2[NIS],Table2[Nomer Induk Siswa Nasional],"Not found",0)</f>
        <v>0088731694</v>
      </c>
      <c r="I11" s="83" t="str">
        <f>_xlfn.XLOOKUP(Table5[[#This Row],[NIS]],Table2[NIS],Table2[Nomer Induk Kependudukan (NIK)],"Not found",0)</f>
        <v>3217086403080001</v>
      </c>
    </row>
    <row r="12" spans="1:10">
      <c r="A12" s="80">
        <v>11</v>
      </c>
      <c r="B12">
        <v>17180142</v>
      </c>
      <c r="C12" t="s">
        <v>5777</v>
      </c>
      <c r="D12" s="3" t="s">
        <v>3320</v>
      </c>
      <c r="E12" t="s">
        <v>6152</v>
      </c>
      <c r="F12" t="s">
        <v>6422</v>
      </c>
      <c r="H12" s="83" t="str">
        <f>_xlfn.XLOOKUP(Table5[[#This Row],[NIS]],Table2[NIS],Table2[Nomer Induk Siswa Nasional],"Not found",0)</f>
        <v>0056747871</v>
      </c>
      <c r="I12" s="83" t="str">
        <f>_xlfn.XLOOKUP(Table5[[#This Row],[NIS]],Table2[NIS],Table2[Nomer Induk Kependudukan (NIK)],"Not found",0)</f>
        <v>3211114205050006</v>
      </c>
    </row>
    <row r="13" spans="1:10">
      <c r="A13" s="3">
        <v>12</v>
      </c>
      <c r="B13">
        <v>20210180</v>
      </c>
      <c r="C13" t="s">
        <v>5777</v>
      </c>
      <c r="D13" s="3" t="s">
        <v>1845</v>
      </c>
      <c r="E13" t="s">
        <v>6029</v>
      </c>
      <c r="F13" t="s">
        <v>6423</v>
      </c>
      <c r="H13" s="83" t="str">
        <f>_xlfn.XLOOKUP(Table5[[#This Row],[NIS]],Table2[NIS],Table2[Nomer Induk Siswa Nasional],"Not found",0)</f>
        <v>0089893486</v>
      </c>
      <c r="I13" s="83" t="str">
        <f>_xlfn.XLOOKUP(Table5[[#This Row],[NIS]],Table2[NIS],Table2[Nomer Induk Kependudukan (NIK)],"Not found",0)</f>
        <v>3204376001080004</v>
      </c>
    </row>
    <row r="14" spans="1:10">
      <c r="A14" s="80">
        <v>13</v>
      </c>
      <c r="B14">
        <v>21220149</v>
      </c>
      <c r="C14" t="s">
        <v>5777</v>
      </c>
      <c r="D14" s="3" t="s">
        <v>2199</v>
      </c>
      <c r="E14" t="s">
        <v>6069</v>
      </c>
      <c r="H14" s="83" t="str">
        <f>_xlfn.XLOOKUP(Table5[[#This Row],[NIS]],Table2[NIS],Table2[Nomer Induk Siswa Nasional],"Not found",0)</f>
        <v>0072848249</v>
      </c>
      <c r="I14" s="83" t="str">
        <f>_xlfn.XLOOKUP(Table5[[#This Row],[NIS]],Table2[NIS],Table2[Nomer Induk Kependudukan (NIK)],"Not found",0)</f>
        <v>3210056012070001</v>
      </c>
    </row>
    <row r="15" spans="1:10">
      <c r="A15" s="3">
        <v>14</v>
      </c>
      <c r="B15">
        <v>21220166</v>
      </c>
      <c r="C15" t="s">
        <v>5777</v>
      </c>
      <c r="D15" s="3" t="s">
        <v>2199</v>
      </c>
      <c r="E15" t="s">
        <v>6070</v>
      </c>
      <c r="F15" t="s">
        <v>6424</v>
      </c>
      <c r="H15" s="83" t="str">
        <f>_xlfn.XLOOKUP(Table5[[#This Row],[NIS]],Table2[NIS],Table2[Nomer Induk Siswa Nasional],"Not found",0)</f>
        <v>0081450873</v>
      </c>
      <c r="I15" s="83" t="str">
        <f>_xlfn.XLOOKUP(Table5[[#This Row],[NIS]],Table2[NIS],Table2[Nomer Induk Kependudukan (NIK)],"Not found",0)</f>
        <v>3204461912080003</v>
      </c>
    </row>
    <row r="16" spans="1:10">
      <c r="A16" s="80">
        <v>15</v>
      </c>
      <c r="B16">
        <v>19200314</v>
      </c>
      <c r="C16" t="s">
        <v>5777</v>
      </c>
      <c r="D16" s="3" t="s">
        <v>2925</v>
      </c>
      <c r="E16" t="s">
        <v>6125</v>
      </c>
      <c r="F16" t="s">
        <v>6425</v>
      </c>
      <c r="H16" s="83" t="str">
        <f>_xlfn.XLOOKUP(Table5[[#This Row],[NIS]],Table2[NIS],Table2[Nomer Induk Siswa Nasional],"Not found",0)</f>
        <v>0078912054</v>
      </c>
      <c r="I16" s="83" t="str">
        <f>_xlfn.XLOOKUP(Table5[[#This Row],[NIS]],Table2[NIS],Table2[Nomer Induk Kependudukan (NIK)],"Not found",0)</f>
        <v>3204447101070002</v>
      </c>
    </row>
    <row r="17" spans="1:9">
      <c r="A17" s="3">
        <v>16</v>
      </c>
      <c r="B17">
        <v>21220070</v>
      </c>
      <c r="C17" t="s">
        <v>5777</v>
      </c>
      <c r="D17" s="3" t="s">
        <v>2199</v>
      </c>
      <c r="E17" t="s">
        <v>6072</v>
      </c>
      <c r="F17" t="s">
        <v>6426</v>
      </c>
      <c r="H17" s="83" t="str">
        <f>_xlfn.XLOOKUP(Table5[[#This Row],[NIS]],Table2[NIS],Table2[Nomer Induk Siswa Nasional],"Not found",0)</f>
        <v>BLM TAMAT SD</v>
      </c>
      <c r="I17" s="83" t="str">
        <f>_xlfn.XLOOKUP(Table5[[#This Row],[NIS]],Table2[NIS],Table2[Nomer Induk Kependudukan (NIK)],"Not found",0)</f>
        <v>3211184201110002</v>
      </c>
    </row>
    <row r="18" spans="1:9">
      <c r="A18" s="80">
        <v>17</v>
      </c>
      <c r="B18">
        <v>19200319</v>
      </c>
      <c r="C18" t="s">
        <v>5777</v>
      </c>
      <c r="D18" s="3" t="s">
        <v>2925</v>
      </c>
      <c r="E18" t="s">
        <v>6074</v>
      </c>
      <c r="F18" t="s">
        <v>6427</v>
      </c>
      <c r="H18" s="83" t="str">
        <f>_xlfn.XLOOKUP(Table5[[#This Row],[NIS]],Table2[NIS],Table2[Nomer Induk Siswa Nasional],"Not found",0)</f>
        <v>0078320916</v>
      </c>
      <c r="I18" s="83" t="str">
        <f>_xlfn.XLOOKUP(Table5[[#This Row],[NIS]],Table2[NIS],Table2[Nomer Induk Kependudukan (NIK)],"Not found",0)</f>
        <v>3204054605070008</v>
      </c>
    </row>
    <row r="19" spans="1:9">
      <c r="A19" s="3">
        <v>18</v>
      </c>
      <c r="B19">
        <v>21220074</v>
      </c>
      <c r="C19" t="s">
        <v>5777</v>
      </c>
      <c r="D19" s="3" t="s">
        <v>1845</v>
      </c>
      <c r="E19" t="s">
        <v>6037</v>
      </c>
      <c r="F19" t="s">
        <v>6428</v>
      </c>
      <c r="H19" s="83" t="str">
        <f>_xlfn.XLOOKUP(Table5[[#This Row],[NIS]],Table2[NIS],Table2[Nomer Induk Siswa Nasional],"Not found",0)</f>
        <v>0097317914</v>
      </c>
      <c r="I19" s="83" t="str">
        <f>_xlfn.XLOOKUP(Table5[[#This Row],[NIS]],Table2[NIS],Table2[Nomer Induk Kependudukan (NIK)],"Not found",0)</f>
        <v>3204104612090009</v>
      </c>
    </row>
    <row r="20" spans="1:9">
      <c r="A20" s="80">
        <v>19</v>
      </c>
      <c r="B20">
        <v>21220044</v>
      </c>
      <c r="C20" t="s">
        <v>5777</v>
      </c>
      <c r="D20" s="3" t="s">
        <v>1845</v>
      </c>
      <c r="E20" t="s">
        <v>5967</v>
      </c>
      <c r="F20" t="s">
        <v>6429</v>
      </c>
      <c r="H20" s="83" t="str">
        <f>_xlfn.XLOOKUP(Table5[[#This Row],[NIS]],Table2[NIS],Table2[Nomer Induk Siswa Nasional],"Not found",0)</f>
        <v>0065781886</v>
      </c>
      <c r="I20" s="83" t="str">
        <f>_xlfn.XLOOKUP(Table5[[#This Row],[NIS]],Table2[NIS],Table2[Nomer Induk Kependudukan (NIK)],"Not found",0)</f>
        <v>3603184906060004</v>
      </c>
    </row>
  </sheetData>
  <conditionalFormatting sqref="B1:B2">
    <cfRule type="duplicateValues" dxfId="1" priority="2"/>
  </conditionalFormatting>
  <conditionalFormatting sqref="E1:E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5777-A661-4337-AE31-E481B489DE5B}">
  <dimension ref="A1:I36"/>
  <sheetViews>
    <sheetView workbookViewId="0">
      <selection activeCell="B9" sqref="B9"/>
    </sheetView>
  </sheetViews>
  <sheetFormatPr defaultRowHeight="15"/>
  <cols>
    <col min="1" max="1" width="3.7109375" bestFit="1" customWidth="1"/>
    <col min="2" max="3" width="31.7109375" bestFit="1" customWidth="1"/>
    <col min="4" max="4" width="13.7109375" bestFit="1" customWidth="1"/>
    <col min="5" max="5" width="12.7109375" bestFit="1" customWidth="1"/>
    <col min="6" max="6" width="20.7109375" bestFit="1" customWidth="1"/>
    <col min="7" max="7" width="15.5703125" bestFit="1" customWidth="1"/>
    <col min="8" max="8" width="10.28515625" bestFit="1" customWidth="1"/>
    <col min="9" max="9" width="24.42578125" bestFit="1" customWidth="1"/>
  </cols>
  <sheetData>
    <row r="1" spans="1:9" ht="35.25" customHeight="1">
      <c r="A1" s="56" t="s">
        <v>75</v>
      </c>
      <c r="B1" s="56" t="s">
        <v>85</v>
      </c>
      <c r="C1" s="56" t="s">
        <v>1</v>
      </c>
      <c r="D1" s="56" t="s">
        <v>2</v>
      </c>
      <c r="E1" s="56" t="s">
        <v>3</v>
      </c>
      <c r="F1" s="56" t="s">
        <v>15</v>
      </c>
      <c r="G1" s="56" t="s">
        <v>6195</v>
      </c>
      <c r="H1" s="56" t="s">
        <v>6196</v>
      </c>
      <c r="I1" s="56" t="s">
        <v>6197</v>
      </c>
    </row>
    <row r="2" spans="1:9">
      <c r="A2" s="56">
        <f>SUBTOTAL(3,B$2:B2)</f>
        <v>1</v>
      </c>
      <c r="B2" s="56" t="s">
        <v>4988</v>
      </c>
      <c r="C2" s="56" t="s">
        <v>4990</v>
      </c>
      <c r="D2" s="56" t="s">
        <v>1090</v>
      </c>
      <c r="E2" s="56" t="s">
        <v>4991</v>
      </c>
      <c r="F2" s="56" t="s">
        <v>4993</v>
      </c>
      <c r="G2" s="56" t="s">
        <v>1090</v>
      </c>
      <c r="H2" s="56" t="s">
        <v>111</v>
      </c>
      <c r="I2" s="56" t="s">
        <v>6353</v>
      </c>
    </row>
    <row r="3" spans="1:9">
      <c r="A3" s="56">
        <f>SUBTOTAL(3,B$2:B3)</f>
        <v>2</v>
      </c>
      <c r="B3" s="56" t="s">
        <v>4857</v>
      </c>
      <c r="C3" s="56" t="s">
        <v>4859</v>
      </c>
      <c r="D3" s="56" t="s">
        <v>141</v>
      </c>
      <c r="E3" s="56" t="s">
        <v>3828</v>
      </c>
      <c r="F3" s="56" t="s">
        <v>4860</v>
      </c>
      <c r="G3" s="56" t="s">
        <v>141</v>
      </c>
      <c r="H3" s="56" t="s">
        <v>111</v>
      </c>
      <c r="I3" s="56" t="s">
        <v>6354</v>
      </c>
    </row>
    <row r="4" spans="1:9">
      <c r="A4" s="56">
        <f>SUBTOTAL(3,B$2:B4)</f>
        <v>3</v>
      </c>
      <c r="B4" s="56" t="s">
        <v>4962</v>
      </c>
      <c r="C4" s="56" t="s">
        <v>4964</v>
      </c>
      <c r="D4" s="56" t="s">
        <v>651</v>
      </c>
      <c r="E4" s="56" t="s">
        <v>4965</v>
      </c>
      <c r="F4" s="56" t="s">
        <v>4966</v>
      </c>
      <c r="G4" s="56" t="s">
        <v>651</v>
      </c>
      <c r="H4" s="56" t="s">
        <v>111</v>
      </c>
      <c r="I4" s="56" t="s">
        <v>6362</v>
      </c>
    </row>
    <row r="5" spans="1:9">
      <c r="A5" s="56">
        <f>SUBTOTAL(3,B$2:B5)</f>
        <v>4</v>
      </c>
      <c r="B5" s="56" t="s">
        <v>4909</v>
      </c>
      <c r="C5" s="56" t="s">
        <v>4911</v>
      </c>
      <c r="D5" s="56" t="s">
        <v>1090</v>
      </c>
      <c r="E5" s="56" t="s">
        <v>4912</v>
      </c>
      <c r="F5" s="56" t="s">
        <v>4913</v>
      </c>
      <c r="G5" s="56" t="s">
        <v>1090</v>
      </c>
      <c r="H5" s="56" t="s">
        <v>111</v>
      </c>
      <c r="I5" s="56" t="s">
        <v>6363</v>
      </c>
    </row>
    <row r="6" spans="1:9">
      <c r="A6" s="56">
        <f>SUBTOTAL(3,B$2:B6)</f>
        <v>5</v>
      </c>
      <c r="B6" s="56" t="s">
        <v>3599</v>
      </c>
      <c r="C6" s="56" t="s">
        <v>3601</v>
      </c>
      <c r="D6" s="56" t="s">
        <v>1090</v>
      </c>
      <c r="E6" s="56" t="s">
        <v>3602</v>
      </c>
      <c r="F6" s="56" t="s">
        <v>3603</v>
      </c>
      <c r="G6" s="56" t="s">
        <v>1090</v>
      </c>
      <c r="H6" s="56" t="s">
        <v>111</v>
      </c>
      <c r="I6" s="56" t="s">
        <v>6364</v>
      </c>
    </row>
    <row r="7" spans="1:9">
      <c r="A7" s="56">
        <f>SUBTOTAL(3,B$2:B7)</f>
        <v>6</v>
      </c>
      <c r="B7" s="56" t="s">
        <v>3899</v>
      </c>
      <c r="C7" s="56" t="s">
        <v>3901</v>
      </c>
      <c r="D7" s="56" t="s">
        <v>3902</v>
      </c>
      <c r="E7" s="56" t="s">
        <v>3903</v>
      </c>
      <c r="F7" s="56" t="s">
        <v>3904</v>
      </c>
      <c r="G7" s="56" t="s">
        <v>3902</v>
      </c>
      <c r="H7" s="56" t="s">
        <v>111</v>
      </c>
      <c r="I7" s="56" t="s">
        <v>6365</v>
      </c>
    </row>
    <row r="8" spans="1:9">
      <c r="A8" s="56">
        <f>SUBTOTAL(3,B$2:B8)</f>
        <v>7</v>
      </c>
      <c r="B8" s="56" t="s">
        <v>4210</v>
      </c>
      <c r="C8" s="56" t="s">
        <v>4212</v>
      </c>
      <c r="D8" s="56" t="s">
        <v>141</v>
      </c>
      <c r="E8" s="56" t="s">
        <v>4213</v>
      </c>
      <c r="F8" s="56" t="s">
        <v>4214</v>
      </c>
      <c r="G8" s="56" t="s">
        <v>141</v>
      </c>
      <c r="H8" s="56" t="s">
        <v>111</v>
      </c>
      <c r="I8" s="56" t="s">
        <v>6366</v>
      </c>
    </row>
    <row r="9" spans="1:9">
      <c r="A9" s="56">
        <f>SUBTOTAL(3,B$2:B9)</f>
        <v>8</v>
      </c>
      <c r="B9" s="56" t="s">
        <v>3631</v>
      </c>
      <c r="C9" s="56" t="s">
        <v>3633</v>
      </c>
      <c r="D9" s="56" t="s">
        <v>1090</v>
      </c>
      <c r="E9" s="56" t="s">
        <v>3634</v>
      </c>
      <c r="F9" s="56" t="s">
        <v>3636</v>
      </c>
      <c r="G9" s="56" t="s">
        <v>1090</v>
      </c>
      <c r="H9" s="56" t="s">
        <v>111</v>
      </c>
      <c r="I9" s="56" t="s">
        <v>6367</v>
      </c>
    </row>
    <row r="10" spans="1:9">
      <c r="A10" s="56">
        <f>SUBTOTAL(3,B$2:B10)</f>
        <v>9</v>
      </c>
      <c r="B10" s="56" t="s">
        <v>3871</v>
      </c>
      <c r="C10" s="56" t="s">
        <v>3873</v>
      </c>
      <c r="D10" s="56" t="s">
        <v>141</v>
      </c>
      <c r="E10" s="56" t="s">
        <v>3634</v>
      </c>
      <c r="F10" s="56" t="s">
        <v>3874</v>
      </c>
      <c r="G10" s="56" t="s">
        <v>141</v>
      </c>
      <c r="H10" s="56" t="s">
        <v>111</v>
      </c>
      <c r="I10" s="56" t="s">
        <v>6367</v>
      </c>
    </row>
    <row r="11" spans="1:9">
      <c r="A11" s="56">
        <f>SUBTOTAL(3,B$2:B11)</f>
        <v>10</v>
      </c>
      <c r="B11" s="56" t="s">
        <v>2980</v>
      </c>
      <c r="C11" s="56" t="s">
        <v>2982</v>
      </c>
      <c r="D11" s="56" t="s">
        <v>141</v>
      </c>
      <c r="E11" s="56" t="s">
        <v>2983</v>
      </c>
      <c r="F11" s="56" t="s">
        <v>2984</v>
      </c>
      <c r="G11" s="56" t="s">
        <v>141</v>
      </c>
      <c r="H11" s="56" t="s">
        <v>111</v>
      </c>
      <c r="I11" s="56" t="s">
        <v>6368</v>
      </c>
    </row>
    <row r="12" spans="1:9">
      <c r="A12" s="56">
        <f>SUBTOTAL(3,B$2:B12)</f>
        <v>11</v>
      </c>
      <c r="B12" s="56" t="s">
        <v>4867</v>
      </c>
      <c r="C12" s="56" t="s">
        <v>4869</v>
      </c>
      <c r="D12" s="56" t="s">
        <v>1090</v>
      </c>
      <c r="E12" s="56" t="s">
        <v>4870</v>
      </c>
      <c r="F12" s="56" t="s">
        <v>4872</v>
      </c>
      <c r="G12" s="56" t="s">
        <v>1090</v>
      </c>
      <c r="H12" s="56" t="s">
        <v>111</v>
      </c>
      <c r="I12" s="56" t="s">
        <v>6369</v>
      </c>
    </row>
    <row r="13" spans="1:9">
      <c r="A13" s="56">
        <f>SUBTOTAL(3,B$2:B13)</f>
        <v>12</v>
      </c>
      <c r="B13" s="56" t="s">
        <v>3344</v>
      </c>
      <c r="C13" s="56" t="s">
        <v>3346</v>
      </c>
      <c r="D13" s="56" t="s">
        <v>1090</v>
      </c>
      <c r="E13" s="56" t="s">
        <v>3347</v>
      </c>
      <c r="F13" s="56" t="s">
        <v>3348</v>
      </c>
      <c r="G13" s="56" t="s">
        <v>1090</v>
      </c>
      <c r="H13" s="56" t="s">
        <v>111</v>
      </c>
      <c r="I13" s="56" t="s">
        <v>6370</v>
      </c>
    </row>
    <row r="14" spans="1:9">
      <c r="A14" s="56">
        <f>SUBTOTAL(3,B$2:B14)</f>
        <v>13</v>
      </c>
      <c r="B14" s="56" t="s">
        <v>4591</v>
      </c>
      <c r="C14" s="56" t="s">
        <v>4593</v>
      </c>
      <c r="D14" s="56" t="s">
        <v>141</v>
      </c>
      <c r="E14" s="56" t="s">
        <v>4594</v>
      </c>
      <c r="F14" s="56" t="s">
        <v>4596</v>
      </c>
      <c r="G14" s="56" t="s">
        <v>141</v>
      </c>
      <c r="H14" s="56" t="s">
        <v>111</v>
      </c>
      <c r="I14" s="56" t="s">
        <v>6371</v>
      </c>
    </row>
    <row r="15" spans="1:9">
      <c r="A15" s="56">
        <f>SUBTOTAL(3,B$2:B15)</f>
        <v>14</v>
      </c>
      <c r="B15" s="56" t="s">
        <v>3447</v>
      </c>
      <c r="C15" s="56" t="s">
        <v>6372</v>
      </c>
      <c r="D15" s="56" t="s">
        <v>1058</v>
      </c>
      <c r="E15" s="56" t="s">
        <v>3450</v>
      </c>
      <c r="F15" s="56" t="s">
        <v>3452</v>
      </c>
      <c r="G15" s="56" t="s">
        <v>1058</v>
      </c>
      <c r="H15" s="56" t="s">
        <v>111</v>
      </c>
      <c r="I15" s="56" t="s">
        <v>6373</v>
      </c>
    </row>
    <row r="16" spans="1:9">
      <c r="A16" s="56">
        <f>SUBTOTAL(3,B$2:B16)</f>
        <v>15</v>
      </c>
      <c r="B16" s="56" t="s">
        <v>3532</v>
      </c>
      <c r="C16" s="56" t="s">
        <v>3534</v>
      </c>
      <c r="D16" s="56" t="s">
        <v>1090</v>
      </c>
      <c r="E16" s="56" t="s">
        <v>3535</v>
      </c>
      <c r="F16" s="56" t="s">
        <v>3538</v>
      </c>
      <c r="G16" s="56" t="s">
        <v>1090</v>
      </c>
      <c r="H16" s="56" t="s">
        <v>111</v>
      </c>
      <c r="I16" s="56" t="s">
        <v>6374</v>
      </c>
    </row>
    <row r="17" spans="1:9">
      <c r="A17" s="56">
        <f>SUBTOTAL(3,B$2:B17)</f>
        <v>16</v>
      </c>
      <c r="B17" s="56" t="s">
        <v>4888</v>
      </c>
      <c r="C17" s="56" t="s">
        <v>4890</v>
      </c>
      <c r="D17" s="56" t="s">
        <v>512</v>
      </c>
      <c r="E17" s="56" t="s">
        <v>4891</v>
      </c>
      <c r="F17" s="56" t="s">
        <v>4893</v>
      </c>
      <c r="G17" s="56" t="s">
        <v>512</v>
      </c>
      <c r="H17" s="56" t="s">
        <v>111</v>
      </c>
      <c r="I17" s="56" t="s">
        <v>6375</v>
      </c>
    </row>
    <row r="18" spans="1:9">
      <c r="A18" s="56">
        <f>SUBTOTAL(3,B$2:B18)</f>
        <v>17</v>
      </c>
      <c r="B18" s="56" t="s">
        <v>4469</v>
      </c>
      <c r="C18" s="56" t="s">
        <v>4471</v>
      </c>
      <c r="D18" s="56" t="s">
        <v>141</v>
      </c>
      <c r="E18" s="56" t="s">
        <v>4472</v>
      </c>
      <c r="F18" s="56" t="s">
        <v>4092</v>
      </c>
      <c r="G18" s="56" t="s">
        <v>1706</v>
      </c>
      <c r="H18" s="56" t="s">
        <v>111</v>
      </c>
      <c r="I18" s="56" t="s">
        <v>6376</v>
      </c>
    </row>
    <row r="19" spans="1:9">
      <c r="A19" s="56">
        <f>SUBTOTAL(3,B$2:B19)</f>
        <v>18</v>
      </c>
      <c r="B19" s="56" t="s">
        <v>4838</v>
      </c>
      <c r="C19" s="56" t="s">
        <v>4839</v>
      </c>
      <c r="D19" s="56" t="s">
        <v>1090</v>
      </c>
      <c r="E19" s="56" t="s">
        <v>4840</v>
      </c>
      <c r="F19" s="56" t="s">
        <v>2288</v>
      </c>
      <c r="G19" s="56" t="s">
        <v>1090</v>
      </c>
      <c r="H19" s="56" t="s">
        <v>111</v>
      </c>
      <c r="I19" s="56" t="s">
        <v>6377</v>
      </c>
    </row>
    <row r="20" spans="1:9">
      <c r="A20" s="56">
        <f>SUBTOTAL(3,B$2:B20)</f>
        <v>19</v>
      </c>
      <c r="B20" s="56" t="s">
        <v>4974</v>
      </c>
      <c r="C20" s="56" t="s">
        <v>4976</v>
      </c>
      <c r="D20" s="56" t="s">
        <v>1165</v>
      </c>
      <c r="E20" s="56" t="s">
        <v>4977</v>
      </c>
      <c r="F20" s="56" t="s">
        <v>4979</v>
      </c>
      <c r="G20" s="56" t="s">
        <v>4985</v>
      </c>
      <c r="H20" s="56" t="s">
        <v>111</v>
      </c>
      <c r="I20" s="56" t="s">
        <v>6350</v>
      </c>
    </row>
    <row r="21" spans="1:9">
      <c r="A21" s="56">
        <f>SUBTOTAL(3,B$2:B21)</f>
        <v>20</v>
      </c>
      <c r="B21" s="56" t="s">
        <v>4193</v>
      </c>
      <c r="C21" s="56" t="s">
        <v>4195</v>
      </c>
      <c r="D21" s="56" t="s">
        <v>141</v>
      </c>
      <c r="E21" s="56" t="s">
        <v>4196</v>
      </c>
      <c r="F21" s="56" t="s">
        <v>2635</v>
      </c>
      <c r="G21" s="56" t="s">
        <v>141</v>
      </c>
      <c r="H21" s="56" t="s">
        <v>111</v>
      </c>
      <c r="I21" s="56" t="s">
        <v>6379</v>
      </c>
    </row>
    <row r="22" spans="1:9">
      <c r="A22" s="56">
        <f>SUBTOTAL(3,B$2:B22)</f>
        <v>21</v>
      </c>
      <c r="B22" s="56" t="s">
        <v>4324</v>
      </c>
      <c r="C22" s="56" t="s">
        <v>4326</v>
      </c>
      <c r="D22" s="56" t="s">
        <v>141</v>
      </c>
      <c r="E22" s="56" t="s">
        <v>4327</v>
      </c>
      <c r="F22" s="56" t="s">
        <v>4328</v>
      </c>
      <c r="G22" s="56" t="s">
        <v>163</v>
      </c>
      <c r="H22" s="56" t="s">
        <v>111</v>
      </c>
      <c r="I22" s="56" t="s">
        <v>6380</v>
      </c>
    </row>
    <row r="23" spans="1:9">
      <c r="A23" s="56">
        <f>SUBTOTAL(3,B$2:B23)</f>
        <v>22</v>
      </c>
      <c r="B23" s="56" t="s">
        <v>3732</v>
      </c>
      <c r="C23" s="56" t="s">
        <v>3734</v>
      </c>
      <c r="D23" s="56" t="s">
        <v>1090</v>
      </c>
      <c r="E23" s="56" t="s">
        <v>3735</v>
      </c>
      <c r="F23" s="56" t="s">
        <v>3737</v>
      </c>
      <c r="G23" s="56" t="s">
        <v>1090</v>
      </c>
      <c r="H23" s="56" t="s">
        <v>111</v>
      </c>
      <c r="I23" s="56" t="s">
        <v>6381</v>
      </c>
    </row>
    <row r="24" spans="1:9">
      <c r="A24" s="56">
        <f>SUBTOTAL(3,B$2:B24)</f>
        <v>23</v>
      </c>
      <c r="B24" s="56" t="s">
        <v>4509</v>
      </c>
      <c r="C24" s="56" t="s">
        <v>4511</v>
      </c>
      <c r="D24" s="56" t="s">
        <v>141</v>
      </c>
      <c r="E24" s="56" t="s">
        <v>4512</v>
      </c>
      <c r="F24" s="56" t="s">
        <v>4513</v>
      </c>
      <c r="G24" s="56" t="s">
        <v>141</v>
      </c>
      <c r="H24" s="56" t="s">
        <v>111</v>
      </c>
      <c r="I24" s="56" t="s">
        <v>6382</v>
      </c>
    </row>
    <row r="25" spans="1:9">
      <c r="A25" s="56">
        <f>SUBTOTAL(3,B$2:B25)</f>
        <v>24</v>
      </c>
      <c r="B25" s="56" t="s">
        <v>3950</v>
      </c>
      <c r="C25" s="56" t="s">
        <v>3952</v>
      </c>
      <c r="D25" s="56" t="s">
        <v>512</v>
      </c>
      <c r="E25" s="56" t="s">
        <v>3953</v>
      </c>
      <c r="F25" s="56" t="s">
        <v>3955</v>
      </c>
      <c r="G25" s="56" t="s">
        <v>1706</v>
      </c>
      <c r="H25" s="56" t="s">
        <v>111</v>
      </c>
      <c r="I25" s="56" t="s">
        <v>6383</v>
      </c>
    </row>
    <row r="26" spans="1:9">
      <c r="A26" s="56">
        <f>SUBTOTAL(3,B$2:B26)</f>
        <v>25</v>
      </c>
      <c r="B26" s="56" t="s">
        <v>4269</v>
      </c>
      <c r="C26" s="56" t="s">
        <v>4271</v>
      </c>
      <c r="D26" s="56" t="s">
        <v>141</v>
      </c>
      <c r="E26" s="56" t="s">
        <v>4272</v>
      </c>
      <c r="F26" s="56" t="s">
        <v>4273</v>
      </c>
      <c r="G26" s="56" t="s">
        <v>141</v>
      </c>
      <c r="H26" s="56" t="s">
        <v>111</v>
      </c>
      <c r="I26" s="56" t="s">
        <v>6384</v>
      </c>
    </row>
    <row r="27" spans="1:9">
      <c r="A27" s="56">
        <f>SUBTOTAL(3,B$2:B27)</f>
        <v>26</v>
      </c>
      <c r="B27" s="56" t="s">
        <v>3846</v>
      </c>
      <c r="C27" s="56" t="s">
        <v>3848</v>
      </c>
      <c r="D27" s="56" t="s">
        <v>512</v>
      </c>
      <c r="E27" s="56" t="s">
        <v>3849</v>
      </c>
      <c r="F27" s="56" t="s">
        <v>750</v>
      </c>
      <c r="G27" s="56" t="s">
        <v>512</v>
      </c>
      <c r="H27" s="56" t="s">
        <v>111</v>
      </c>
      <c r="I27" s="56" t="s">
        <v>6385</v>
      </c>
    </row>
    <row r="28" spans="1:9">
      <c r="A28" s="56">
        <f>SUBTOTAL(3,B$2:B28)</f>
        <v>27</v>
      </c>
      <c r="B28" s="56" t="s">
        <v>3803</v>
      </c>
      <c r="C28" s="56" t="s">
        <v>3805</v>
      </c>
      <c r="D28" s="56" t="s">
        <v>141</v>
      </c>
      <c r="E28" s="56" t="s">
        <v>3806</v>
      </c>
      <c r="F28" s="56" t="s">
        <v>3807</v>
      </c>
      <c r="G28" s="56" t="s">
        <v>163</v>
      </c>
      <c r="H28" s="56" t="s">
        <v>111</v>
      </c>
      <c r="I28" s="56" t="s">
        <v>6386</v>
      </c>
    </row>
    <row r="29" spans="1:9">
      <c r="A29" s="56">
        <f>SUBTOTAL(3,B$2:B29)</f>
        <v>28</v>
      </c>
      <c r="B29" s="56" t="s">
        <v>4615</v>
      </c>
      <c r="C29" s="56" t="s">
        <v>4617</v>
      </c>
      <c r="D29" s="56" t="s">
        <v>141</v>
      </c>
      <c r="E29" s="56" t="s">
        <v>4618</v>
      </c>
      <c r="F29" s="56" t="s">
        <v>4620</v>
      </c>
      <c r="G29" s="56" t="s">
        <v>163</v>
      </c>
      <c r="H29" s="56" t="s">
        <v>111</v>
      </c>
      <c r="I29" s="56" t="s">
        <v>6387</v>
      </c>
    </row>
    <row r="30" spans="1:9">
      <c r="A30" s="56">
        <f>SUBTOTAL(3,B$2:B30)</f>
        <v>29</v>
      </c>
      <c r="B30" s="56" t="s">
        <v>4627</v>
      </c>
      <c r="C30" s="56" t="s">
        <v>4629</v>
      </c>
      <c r="D30" s="56" t="s">
        <v>1090</v>
      </c>
      <c r="E30" s="56" t="s">
        <v>4630</v>
      </c>
      <c r="F30" s="56" t="s">
        <v>4632</v>
      </c>
      <c r="G30" s="56" t="s">
        <v>1090</v>
      </c>
      <c r="H30" s="56" t="s">
        <v>111</v>
      </c>
      <c r="I30" s="56" t="s">
        <v>6388</v>
      </c>
    </row>
    <row r="31" spans="1:9">
      <c r="A31" s="57">
        <f>SUBTOTAL(3,B$2:B31)</f>
        <v>30</v>
      </c>
      <c r="B31" s="57" t="s">
        <v>4010</v>
      </c>
      <c r="C31" s="57" t="s">
        <v>4012</v>
      </c>
      <c r="D31" s="57" t="s">
        <v>141</v>
      </c>
      <c r="E31" s="57" t="s">
        <v>4013</v>
      </c>
      <c r="F31" s="57" t="s">
        <v>4015</v>
      </c>
      <c r="G31" s="57" t="s">
        <v>141</v>
      </c>
      <c r="H31" s="57" t="s">
        <v>111</v>
      </c>
      <c r="I31" s="57" t="s">
        <v>6389</v>
      </c>
    </row>
    <row r="32" spans="1:9">
      <c r="A32" s="56">
        <f>SUBTOTAL(3,B$2:B32)</f>
        <v>31</v>
      </c>
      <c r="B32" s="56" t="s">
        <v>4783</v>
      </c>
      <c r="C32" s="56" t="s">
        <v>4785</v>
      </c>
      <c r="D32" s="56" t="s">
        <v>1058</v>
      </c>
      <c r="E32" s="56" t="s">
        <v>4786</v>
      </c>
      <c r="F32" s="56" t="s">
        <v>4787</v>
      </c>
      <c r="G32" s="56" t="s">
        <v>1058</v>
      </c>
      <c r="H32" s="56" t="s">
        <v>111</v>
      </c>
      <c r="I32" s="56" t="s">
        <v>6390</v>
      </c>
    </row>
    <row r="33" spans="1:9">
      <c r="A33" s="56">
        <f>SUBTOTAL(3,B$2:B33)</f>
        <v>32</v>
      </c>
      <c r="B33" s="56" t="s">
        <v>4577</v>
      </c>
      <c r="C33" s="56" t="s">
        <v>4579</v>
      </c>
      <c r="D33" s="56" t="s">
        <v>141</v>
      </c>
      <c r="E33" s="56" t="s">
        <v>4580</v>
      </c>
      <c r="F33" s="56" t="s">
        <v>4582</v>
      </c>
      <c r="G33" s="56" t="s">
        <v>163</v>
      </c>
      <c r="H33" s="56" t="s">
        <v>111</v>
      </c>
      <c r="I33" s="56" t="s">
        <v>6391</v>
      </c>
    </row>
    <row r="34" spans="1:9">
      <c r="A34" s="56">
        <f>SUBTOTAL(3,B$2:B34)</f>
        <v>33</v>
      </c>
      <c r="B34" s="56" t="s">
        <v>4081</v>
      </c>
      <c r="C34" s="56" t="s">
        <v>4449</v>
      </c>
      <c r="D34" s="56" t="s">
        <v>141</v>
      </c>
      <c r="E34" s="56" t="s">
        <v>4450</v>
      </c>
      <c r="F34" s="56" t="s">
        <v>4451</v>
      </c>
      <c r="G34" s="56" t="s">
        <v>1090</v>
      </c>
      <c r="H34" s="56" t="s">
        <v>111</v>
      </c>
      <c r="I34" s="56" t="s">
        <v>6392</v>
      </c>
    </row>
    <row r="35" spans="1:9">
      <c r="A35" s="56">
        <f>SUBTOTAL(3,B$2:B35)</f>
        <v>34</v>
      </c>
      <c r="B35" s="56" t="s">
        <v>4200</v>
      </c>
      <c r="C35" s="56" t="s">
        <v>4202</v>
      </c>
      <c r="D35" s="56" t="s">
        <v>1165</v>
      </c>
      <c r="E35" s="56" t="s">
        <v>4203</v>
      </c>
      <c r="F35" s="56" t="s">
        <v>4205</v>
      </c>
      <c r="G35" s="56" t="s">
        <v>1177</v>
      </c>
      <c r="H35" s="56" t="s">
        <v>111</v>
      </c>
      <c r="I35" s="56" t="s">
        <v>6393</v>
      </c>
    </row>
    <row r="36" spans="1:9">
      <c r="A36" s="56">
        <f>SUBTOTAL(3,B$2:B36)</f>
        <v>35</v>
      </c>
      <c r="B36" s="56" t="s">
        <v>4400</v>
      </c>
      <c r="C36" s="56" t="s">
        <v>4402</v>
      </c>
      <c r="D36" s="56" t="s">
        <v>141</v>
      </c>
      <c r="E36" s="56" t="s">
        <v>4403</v>
      </c>
      <c r="F36" s="56" t="s">
        <v>4404</v>
      </c>
      <c r="G36" s="56" t="s">
        <v>141</v>
      </c>
      <c r="H36" s="56" t="s">
        <v>111</v>
      </c>
      <c r="I36" s="56" t="s">
        <v>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Sheet3</vt:lpstr>
      <vt:lpstr>Emis</vt:lpstr>
      <vt:lpstr>Sheet4</vt:lpstr>
      <vt:lpstr>Sheet1</vt:lpstr>
      <vt:lpstr>Sheet2</vt:lpstr>
      <vt:lpstr>YANG NYOBLOS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Kantor Banin</cp:lastModifiedBy>
  <cp:revision/>
  <dcterms:created xsi:type="dcterms:W3CDTF">2024-03-02T14:22:16Z</dcterms:created>
  <dcterms:modified xsi:type="dcterms:W3CDTF">2026-01-23T03:26:41Z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7b094873bae544389bd951b4a0b1a39d</vt:lpwstr>
  </property>
</Properties>
</file>