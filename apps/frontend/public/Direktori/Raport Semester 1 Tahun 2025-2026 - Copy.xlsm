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257b6b33f1196d2/Ujian/2025-2026/Semester 1/"/>
    </mc:Choice>
  </mc:AlternateContent>
  <xr:revisionPtr revIDLastSave="6110" documentId="8_{0ACE5750-E2A9-4DB7-B2F4-876882A29E2B}" xr6:coauthVersionLast="47" xr6:coauthVersionMax="47" xr10:uidLastSave="{E2CED167-C1F0-4C71-9096-7268646637AB}"/>
  <bookViews>
    <workbookView xWindow="-120" yWindow="-120" windowWidth="20730" windowHeight="11040" tabRatio="863" activeTab="2" xr2:uid="{C4C211BA-40A7-4934-ACED-0EAF51EF9283}"/>
  </bookViews>
  <sheets>
    <sheet name="DASHBOARD" sheetId="25" r:id="rId1"/>
    <sheet name="6a" sheetId="2" r:id="rId2"/>
    <sheet name="6b" sheetId="4" r:id="rId3"/>
    <sheet name="5A" sheetId="5" r:id="rId4"/>
    <sheet name="5b" sheetId="6" r:id="rId5"/>
    <sheet name="Raport" sheetId="1" r:id="rId6"/>
    <sheet name="5c" sheetId="7" r:id="rId7"/>
    <sheet name="4A" sheetId="8" r:id="rId8"/>
    <sheet name="4b" sheetId="13" r:id="rId9"/>
    <sheet name="4c" sheetId="14" r:id="rId10"/>
    <sheet name="3a" sheetId="9" r:id="rId11"/>
    <sheet name="3b" sheetId="15" r:id="rId12"/>
    <sheet name="3c" sheetId="16" r:id="rId13"/>
    <sheet name="2a" sheetId="10" r:id="rId14"/>
    <sheet name="2b" sheetId="17" r:id="rId15"/>
    <sheet name="2c" sheetId="18" r:id="rId16"/>
    <sheet name="2d" sheetId="19" r:id="rId17"/>
    <sheet name="1a" sheetId="11" r:id="rId18"/>
    <sheet name="1b" sheetId="20" r:id="rId19"/>
    <sheet name="1c" sheetId="21" r:id="rId20"/>
    <sheet name="TA" sheetId="12" r:id="rId21"/>
    <sheet name="TB" sheetId="22" r:id="rId22"/>
    <sheet name="TC" sheetId="23" r:id="rId23"/>
  </sheets>
  <definedNames>
    <definedName name="_xlnm._FilterDatabase" localSheetId="14" hidden="1">'2b'!$B$4:$BQ$28</definedName>
    <definedName name="_xlnm._FilterDatabase" localSheetId="16" hidden="1">'2d'!$B$4:$BP$33</definedName>
    <definedName name="_xlnm._FilterDatabase" localSheetId="7" hidden="1">'4A'!$AE$2:$AE$30</definedName>
    <definedName name="_xlnm._FilterDatabase" localSheetId="8" hidden="1">'4b'!$AE$2:$AE$29</definedName>
    <definedName name="_xlnm._FilterDatabase" localSheetId="9" hidden="1">'4c'!$AE$2:$AE$30</definedName>
    <definedName name="_xlnm._FilterDatabase" localSheetId="6" hidden="1">'5c'!$B$4:$BU$29</definedName>
    <definedName name="_xlnm.Print_Area" localSheetId="17">'1a'!$A$1:$AH$41</definedName>
    <definedName name="_xlnm.Print_Area" localSheetId="18">'1b'!$A$1:$AG$41</definedName>
    <definedName name="_xlnm.Print_Area" localSheetId="19">'1c'!$A$1:$AH$27</definedName>
    <definedName name="_xlnm.Print_Area" localSheetId="13">'2a'!$A$1:$AG$35</definedName>
    <definedName name="_xlnm.Print_Area" localSheetId="14">'2b'!$A$1:$AG$36</definedName>
    <definedName name="_xlnm.Print_Area" localSheetId="15">'2c'!$A$1:$AH$33</definedName>
    <definedName name="_xlnm.Print_Area" localSheetId="16">'2d'!$A$1:$AH$33</definedName>
    <definedName name="_xlnm.Print_Area" localSheetId="10">'3a'!$A$1:$AG$37</definedName>
    <definedName name="_xlnm.Print_Area" localSheetId="11">'3b'!$A$1:$AH$42</definedName>
    <definedName name="_xlnm.Print_Area" localSheetId="12">'3c'!$A$1:$AH$40</definedName>
    <definedName name="_xlnm.Print_Area" localSheetId="7">'4A'!$A$1:$AK$41</definedName>
    <definedName name="_xlnm.Print_Area" localSheetId="8">'4b'!$A$1:$AL$40</definedName>
    <definedName name="_xlnm.Print_Area" localSheetId="9">'4c'!$A$1:$AK$40</definedName>
    <definedName name="_xlnm.Print_Area" localSheetId="3">'5A'!$A$1:$AI$39</definedName>
    <definedName name="_xlnm.Print_Area" localSheetId="4">'5b'!$A$1:$AJ$36</definedName>
    <definedName name="_xlnm.Print_Area" localSheetId="6">'5c'!$A$1:$AI$38</definedName>
    <definedName name="_xlnm.Print_Area" localSheetId="1">'6a'!$A$1:$AL$31</definedName>
    <definedName name="_xlnm.Print_Area" localSheetId="2">'6b'!$A$1:$AL$36</definedName>
    <definedName name="_xlnm.Print_Area" localSheetId="5">Raport!$A$376:$AH$404</definedName>
    <definedName name="_xlnm.Print_Area" localSheetId="20">TA!$A$1:$AB$35</definedName>
    <definedName name="_xlnm.Print_Area" localSheetId="21">TB!$A$1:$AA$35</definedName>
    <definedName name="_xlnm.Print_Area" localSheetId="22">TC!$A$1:$Z$36</definedName>
    <definedName name="_xlnm.Print_Titles" localSheetId="17">'1a'!$1:$3</definedName>
    <definedName name="_xlnm.Print_Titles" localSheetId="18">'1b'!$1:$3</definedName>
    <definedName name="_xlnm.Print_Titles" localSheetId="19">'1c'!$1:$3</definedName>
    <definedName name="_xlnm.Print_Titles" localSheetId="13">'2a'!$1:$3</definedName>
    <definedName name="_xlnm.Print_Titles" localSheetId="14">'2b'!$1:$3</definedName>
    <definedName name="_xlnm.Print_Titles" localSheetId="15">'2c'!$1:$3</definedName>
    <definedName name="_xlnm.Print_Titles" localSheetId="16">'2d'!$1:$3</definedName>
    <definedName name="_xlnm.Print_Titles" localSheetId="10">'3a'!$2:$3</definedName>
    <definedName name="_xlnm.Print_Titles" localSheetId="11">'3b'!$2:$3</definedName>
    <definedName name="_xlnm.Print_Titles" localSheetId="12">'3c'!$2:$3</definedName>
    <definedName name="_xlnm.Print_Titles" localSheetId="7">'4A'!$1:$3</definedName>
    <definedName name="_xlnm.Print_Titles" localSheetId="8">'4b'!$1:$3</definedName>
    <definedName name="_xlnm.Print_Titles" localSheetId="9">'4c'!$1:$3</definedName>
    <definedName name="_xlnm.Print_Titles" localSheetId="3">'5A'!$2:$3</definedName>
    <definedName name="_xlnm.Print_Titles" localSheetId="4">'5b'!$2:$3</definedName>
    <definedName name="_xlnm.Print_Titles" localSheetId="6">'5c'!$2:$3</definedName>
    <definedName name="_xlnm.Print_Titles" localSheetId="1">'6a'!$2:$3</definedName>
    <definedName name="_xlnm.Print_Titles" localSheetId="2">'6b'!$2:$3</definedName>
    <definedName name="_xlnm.Print_Titles" localSheetId="20">TA!$2:$3</definedName>
    <definedName name="_xlnm.Print_Titles" localSheetId="21">TB!$2:$3</definedName>
    <definedName name="_xlnm.Print_Titles" localSheetId="22">TC!$2:$3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1" l="1"/>
  <c r="G90" i="1" l="1"/>
  <c r="G673" i="1"/>
  <c r="U584" i="1" l="1"/>
  <c r="U583" i="1"/>
  <c r="U582" i="1"/>
  <c r="V579" i="1"/>
  <c r="V578" i="1"/>
  <c r="V577" i="1"/>
  <c r="U186" i="1"/>
  <c r="U185" i="1"/>
  <c r="U184" i="1"/>
  <c r="V181" i="1"/>
  <c r="V180" i="1"/>
  <c r="V179" i="1"/>
  <c r="U118" i="1"/>
  <c r="U117" i="1"/>
  <c r="U116" i="1"/>
  <c r="V113" i="1"/>
  <c r="V112" i="1"/>
  <c r="V111" i="1"/>
  <c r="U52" i="1"/>
  <c r="U51" i="1"/>
  <c r="U50" i="1"/>
  <c r="V47" i="1"/>
  <c r="V46" i="1"/>
  <c r="V45" i="1"/>
  <c r="U18" i="1"/>
  <c r="U17" i="1"/>
  <c r="U16" i="1"/>
  <c r="V13" i="1"/>
  <c r="V12" i="1"/>
  <c r="V11" i="1"/>
  <c r="BL12" i="4" l="1"/>
  <c r="BL17" i="4"/>
  <c r="BL13" i="4"/>
  <c r="BL22" i="4"/>
  <c r="BL16" i="4"/>
  <c r="BL4" i="4"/>
  <c r="BL11" i="4"/>
  <c r="BL7" i="4"/>
  <c r="BL9" i="4"/>
  <c r="BL27" i="4"/>
  <c r="BL8" i="4"/>
  <c r="BL14" i="4"/>
  <c r="BL6" i="4"/>
  <c r="BL24" i="4"/>
  <c r="BL5" i="4"/>
  <c r="BL20" i="4"/>
  <c r="BL26" i="4"/>
  <c r="BL19" i="4"/>
  <c r="BL18" i="4"/>
  <c r="BL15" i="4"/>
  <c r="BL21" i="4"/>
  <c r="BL10" i="4"/>
  <c r="BL23" i="4"/>
  <c r="BL25" i="4"/>
  <c r="U359" i="1" l="1"/>
  <c r="U358" i="1"/>
  <c r="U357" i="1"/>
  <c r="V354" i="1"/>
  <c r="V353" i="1"/>
  <c r="V352" i="1"/>
  <c r="P12" i="4"/>
  <c r="Q12" i="4"/>
  <c r="P17" i="4"/>
  <c r="Q17" i="4"/>
  <c r="P13" i="4"/>
  <c r="Q13" i="4"/>
  <c r="P22" i="4"/>
  <c r="Q22" i="4"/>
  <c r="P16" i="4"/>
  <c r="Q16" i="4"/>
  <c r="P4" i="4"/>
  <c r="Q4" i="4"/>
  <c r="P11" i="4"/>
  <c r="Q11" i="4"/>
  <c r="P7" i="4"/>
  <c r="Q7" i="4"/>
  <c r="P9" i="4"/>
  <c r="Q9" i="4"/>
  <c r="P27" i="4"/>
  <c r="Q27" i="4"/>
  <c r="P8" i="4"/>
  <c r="Q8" i="4"/>
  <c r="P14" i="4"/>
  <c r="Q14" i="4"/>
  <c r="P6" i="4"/>
  <c r="Q6" i="4"/>
  <c r="P24" i="4"/>
  <c r="Q24" i="4"/>
  <c r="P5" i="4"/>
  <c r="Q5" i="4"/>
  <c r="P20" i="4"/>
  <c r="Q20" i="4"/>
  <c r="P26" i="4"/>
  <c r="Q26" i="4"/>
  <c r="P19" i="4"/>
  <c r="Q19" i="4"/>
  <c r="P18" i="4"/>
  <c r="Q18" i="4"/>
  <c r="P15" i="4"/>
  <c r="Q15" i="4"/>
  <c r="P21" i="4"/>
  <c r="Q21" i="4"/>
  <c r="P10" i="4"/>
  <c r="Q10" i="4"/>
  <c r="P23" i="4"/>
  <c r="Q23" i="4"/>
  <c r="Q25" i="4"/>
  <c r="G490" i="1" l="1"/>
  <c r="U457" i="1"/>
  <c r="U456" i="1"/>
  <c r="U455" i="1"/>
  <c r="V452" i="1"/>
  <c r="V451" i="1"/>
  <c r="V450" i="1"/>
  <c r="U521" i="1"/>
  <c r="U520" i="1"/>
  <c r="U519" i="1"/>
  <c r="V516" i="1"/>
  <c r="V515" i="1"/>
  <c r="V514" i="1"/>
  <c r="G554" i="1"/>
  <c r="U222" i="1"/>
  <c r="U221" i="1"/>
  <c r="U220" i="1"/>
  <c r="V217" i="1"/>
  <c r="V216" i="1"/>
  <c r="V215" i="1"/>
  <c r="G296" i="1"/>
  <c r="M27" i="2"/>
  <c r="M9" i="2"/>
  <c r="M20" i="2"/>
  <c r="M29" i="2"/>
  <c r="M7" i="2"/>
  <c r="M22" i="2"/>
  <c r="M28" i="2"/>
  <c r="M31" i="2"/>
  <c r="M24" i="2"/>
  <c r="M19" i="2"/>
  <c r="M12" i="2"/>
  <c r="M17" i="2"/>
  <c r="M10" i="2"/>
  <c r="M30" i="2"/>
  <c r="M25" i="2"/>
  <c r="M4" i="2"/>
  <c r="M11" i="2"/>
  <c r="M14" i="2"/>
  <c r="M8" i="2"/>
  <c r="M16" i="2"/>
  <c r="M26" i="2"/>
  <c r="M13" i="2"/>
  <c r="M21" i="2"/>
  <c r="M15" i="2"/>
  <c r="M18" i="2"/>
  <c r="M23" i="2"/>
  <c r="M5" i="2"/>
  <c r="M6" i="2"/>
  <c r="U27" i="2"/>
  <c r="V27" i="2"/>
  <c r="U9" i="2"/>
  <c r="V9" i="2"/>
  <c r="U20" i="2"/>
  <c r="V20" i="2"/>
  <c r="U29" i="2"/>
  <c r="V29" i="2"/>
  <c r="U7" i="2"/>
  <c r="V7" i="2"/>
  <c r="U22" i="2"/>
  <c r="V22" i="2"/>
  <c r="U28" i="2"/>
  <c r="V28" i="2"/>
  <c r="U31" i="2"/>
  <c r="V31" i="2"/>
  <c r="U24" i="2"/>
  <c r="V24" i="2"/>
  <c r="U19" i="2"/>
  <c r="V19" i="2"/>
  <c r="U12" i="2"/>
  <c r="V12" i="2"/>
  <c r="U17" i="2"/>
  <c r="V17" i="2"/>
  <c r="U10" i="2"/>
  <c r="V10" i="2"/>
  <c r="U30" i="2"/>
  <c r="V30" i="2"/>
  <c r="U25" i="2"/>
  <c r="V25" i="2"/>
  <c r="U4" i="2"/>
  <c r="V4" i="2"/>
  <c r="U11" i="2"/>
  <c r="V11" i="2"/>
  <c r="U14" i="2"/>
  <c r="V14" i="2"/>
  <c r="U8" i="2"/>
  <c r="V8" i="2"/>
  <c r="U16" i="2"/>
  <c r="V16" i="2"/>
  <c r="U26" i="2"/>
  <c r="V26" i="2"/>
  <c r="U13" i="2"/>
  <c r="V13" i="2"/>
  <c r="U21" i="2"/>
  <c r="V21" i="2"/>
  <c r="U15" i="2"/>
  <c r="V15" i="2"/>
  <c r="U18" i="2"/>
  <c r="V18" i="2"/>
  <c r="U23" i="2"/>
  <c r="V23" i="2"/>
  <c r="U5" i="2"/>
  <c r="V5" i="2"/>
  <c r="U6" i="2"/>
  <c r="V6" i="2"/>
  <c r="AC114" i="1"/>
  <c r="M33" i="2" l="1"/>
  <c r="M32" i="2"/>
  <c r="U32" i="2"/>
  <c r="U33" i="2"/>
  <c r="Y23" i="4"/>
  <c r="X23" i="4"/>
  <c r="Z10" i="4"/>
  <c r="Y10" i="4"/>
  <c r="X10" i="4"/>
  <c r="W10" i="4"/>
  <c r="Z21" i="4"/>
  <c r="AA15" i="4"/>
  <c r="Z15" i="4"/>
  <c r="Y15" i="4"/>
  <c r="X15" i="4"/>
  <c r="W15" i="4"/>
  <c r="AB19" i="4"/>
  <c r="AA19" i="4"/>
  <c r="Z19" i="4"/>
  <c r="Y19" i="4"/>
  <c r="X19" i="4"/>
  <c r="W19" i="4"/>
  <c r="AB20" i="4"/>
  <c r="AA20" i="4"/>
  <c r="Z20" i="4"/>
  <c r="Y20" i="4"/>
  <c r="W20" i="4"/>
  <c r="W5" i="4"/>
  <c r="AB24" i="4"/>
  <c r="AA24" i="4"/>
  <c r="X24" i="4"/>
  <c r="W24" i="4"/>
  <c r="X6" i="4"/>
  <c r="W6" i="4"/>
  <c r="Y14" i="4"/>
  <c r="X14" i="4"/>
  <c r="W14" i="4"/>
  <c r="Y8" i="4"/>
  <c r="X8" i="4"/>
  <c r="Z27" i="4"/>
  <c r="Y27" i="4"/>
  <c r="X27" i="4"/>
  <c r="W27" i="4"/>
  <c r="Z9" i="4"/>
  <c r="AA7" i="4"/>
  <c r="Z7" i="4"/>
  <c r="Y7" i="4"/>
  <c r="X7" i="4"/>
  <c r="W7" i="4"/>
  <c r="AB4" i="4"/>
  <c r="AA4" i="4"/>
  <c r="Z4" i="4"/>
  <c r="Y4" i="4"/>
  <c r="X4" i="4"/>
  <c r="W4" i="4"/>
  <c r="AB22" i="4"/>
  <c r="AA22" i="4"/>
  <c r="Z22" i="4"/>
  <c r="Y22" i="4"/>
  <c r="W22" i="4"/>
  <c r="W13" i="4"/>
  <c r="AB17" i="4"/>
  <c r="AA17" i="4"/>
  <c r="X17" i="4"/>
  <c r="W17" i="4"/>
  <c r="X12" i="4"/>
  <c r="W12" i="4"/>
  <c r="Y25" i="4"/>
  <c r="X25" i="4"/>
  <c r="W25" i="4"/>
  <c r="V12" i="4"/>
  <c r="Y12" i="4"/>
  <c r="Z12" i="4"/>
  <c r="AA12" i="4"/>
  <c r="AB12" i="4"/>
  <c r="V17" i="4"/>
  <c r="Y17" i="4"/>
  <c r="Z17" i="4"/>
  <c r="V13" i="4"/>
  <c r="X13" i="4"/>
  <c r="Y13" i="4"/>
  <c r="Z13" i="4"/>
  <c r="AA13" i="4"/>
  <c r="AB13" i="4"/>
  <c r="V22" i="4"/>
  <c r="X22" i="4"/>
  <c r="V16" i="4"/>
  <c r="W16" i="4"/>
  <c r="X16" i="4"/>
  <c r="Y16" i="4"/>
  <c r="Z16" i="4"/>
  <c r="AA16" i="4"/>
  <c r="AB16" i="4"/>
  <c r="V4" i="4"/>
  <c r="V11" i="4"/>
  <c r="W11" i="4"/>
  <c r="X11" i="4"/>
  <c r="Y11" i="4"/>
  <c r="Z11" i="4"/>
  <c r="AA11" i="4"/>
  <c r="AB11" i="4"/>
  <c r="V7" i="4"/>
  <c r="AB7" i="4"/>
  <c r="V9" i="4"/>
  <c r="W9" i="4"/>
  <c r="X9" i="4"/>
  <c r="Y9" i="4"/>
  <c r="AA9" i="4"/>
  <c r="AB9" i="4"/>
  <c r="V27" i="4"/>
  <c r="AA27" i="4"/>
  <c r="AB27" i="4"/>
  <c r="V8" i="4"/>
  <c r="W8" i="4"/>
  <c r="Z8" i="4"/>
  <c r="AA8" i="4"/>
  <c r="AB8" i="4"/>
  <c r="V14" i="4"/>
  <c r="Z14" i="4"/>
  <c r="AA14" i="4"/>
  <c r="AB14" i="4"/>
  <c r="V6" i="4"/>
  <c r="Y43" i="1" s="1"/>
  <c r="Y6" i="4"/>
  <c r="Z6" i="4"/>
  <c r="H63" i="1" s="1"/>
  <c r="J63" i="1" s="1"/>
  <c r="AA6" i="4"/>
  <c r="AB6" i="4"/>
  <c r="V24" i="4"/>
  <c r="Y24" i="4"/>
  <c r="Z24" i="4"/>
  <c r="V5" i="4"/>
  <c r="X5" i="4"/>
  <c r="Y5" i="4"/>
  <c r="Z5" i="4"/>
  <c r="AA5" i="4"/>
  <c r="AB5" i="4"/>
  <c r="V20" i="4"/>
  <c r="X20" i="4"/>
  <c r="V26" i="4"/>
  <c r="W26" i="4"/>
  <c r="X26" i="4"/>
  <c r="Y26" i="4"/>
  <c r="Z26" i="4"/>
  <c r="AA26" i="4"/>
  <c r="AB26" i="4"/>
  <c r="V19" i="4"/>
  <c r="V18" i="4"/>
  <c r="W18" i="4"/>
  <c r="X18" i="4"/>
  <c r="Y18" i="4"/>
  <c r="Z18" i="4"/>
  <c r="AA18" i="4"/>
  <c r="AB18" i="4"/>
  <c r="V15" i="4"/>
  <c r="AB15" i="4"/>
  <c r="V21" i="4"/>
  <c r="W21" i="4"/>
  <c r="X21" i="4"/>
  <c r="Y21" i="4"/>
  <c r="AA21" i="4"/>
  <c r="AB21" i="4"/>
  <c r="V10" i="4"/>
  <c r="AA10" i="4"/>
  <c r="AB10" i="4"/>
  <c r="V23" i="4"/>
  <c r="W23" i="4"/>
  <c r="Z23" i="4"/>
  <c r="AA23" i="4"/>
  <c r="AB23" i="4"/>
  <c r="Z25" i="4"/>
  <c r="AA25" i="4"/>
  <c r="AB25" i="4"/>
  <c r="W9" i="2"/>
  <c r="X9" i="2"/>
  <c r="Y9" i="2"/>
  <c r="Z9" i="2"/>
  <c r="AA9" i="2"/>
  <c r="AB9" i="2"/>
  <c r="W20" i="2"/>
  <c r="X20" i="2"/>
  <c r="Y20" i="2"/>
  <c r="Z20" i="2"/>
  <c r="AA20" i="2"/>
  <c r="AB20" i="2"/>
  <c r="W29" i="2"/>
  <c r="X29" i="2"/>
  <c r="Y29" i="2"/>
  <c r="Z29" i="2"/>
  <c r="AA29" i="2"/>
  <c r="AB29" i="2"/>
  <c r="W7" i="2"/>
  <c r="X7" i="2"/>
  <c r="Y7" i="2"/>
  <c r="Z7" i="2"/>
  <c r="AA7" i="2"/>
  <c r="AB7" i="2"/>
  <c r="W22" i="2"/>
  <c r="X22" i="2"/>
  <c r="Y22" i="2"/>
  <c r="Z22" i="2"/>
  <c r="AA22" i="2"/>
  <c r="AB22" i="2"/>
  <c r="W28" i="2"/>
  <c r="X28" i="2"/>
  <c r="Y28" i="2"/>
  <c r="Z28" i="2"/>
  <c r="AA28" i="2"/>
  <c r="AB28" i="2"/>
  <c r="W31" i="2"/>
  <c r="X31" i="2"/>
  <c r="Y31" i="2"/>
  <c r="Z31" i="2"/>
  <c r="AA31" i="2"/>
  <c r="AB31" i="2"/>
  <c r="W24" i="2"/>
  <c r="X24" i="2"/>
  <c r="Y24" i="2"/>
  <c r="Z24" i="2"/>
  <c r="AA24" i="2"/>
  <c r="AB24" i="2"/>
  <c r="W19" i="2"/>
  <c r="X19" i="2"/>
  <c r="Y19" i="2"/>
  <c r="Z19" i="2"/>
  <c r="AA19" i="2"/>
  <c r="AB19" i="2"/>
  <c r="W12" i="2"/>
  <c r="X12" i="2"/>
  <c r="Y12" i="2"/>
  <c r="Z12" i="2"/>
  <c r="AA12" i="2"/>
  <c r="AB12" i="2"/>
  <c r="W17" i="2"/>
  <c r="X17" i="2"/>
  <c r="Y17" i="2"/>
  <c r="Z17" i="2"/>
  <c r="AA17" i="2"/>
  <c r="AB17" i="2"/>
  <c r="W10" i="2"/>
  <c r="X10" i="2"/>
  <c r="Y10" i="2"/>
  <c r="Z10" i="2"/>
  <c r="AA10" i="2"/>
  <c r="AB10" i="2"/>
  <c r="W30" i="2"/>
  <c r="X30" i="2"/>
  <c r="Y30" i="2"/>
  <c r="Z30" i="2"/>
  <c r="AA30" i="2"/>
  <c r="AB30" i="2"/>
  <c r="W25" i="2"/>
  <c r="X25" i="2"/>
  <c r="Y25" i="2"/>
  <c r="Z25" i="2"/>
  <c r="AA25" i="2"/>
  <c r="AB25" i="2"/>
  <c r="W4" i="2"/>
  <c r="X4" i="2"/>
  <c r="Y4" i="2"/>
  <c r="Z4" i="2"/>
  <c r="AA4" i="2"/>
  <c r="AB4" i="2"/>
  <c r="W11" i="2"/>
  <c r="H26" i="1" s="1"/>
  <c r="X11" i="2"/>
  <c r="Y11" i="2"/>
  <c r="Z11" i="2"/>
  <c r="AA11" i="2"/>
  <c r="AB11" i="2"/>
  <c r="W14" i="2"/>
  <c r="X14" i="2"/>
  <c r="Y14" i="2"/>
  <c r="Z14" i="2"/>
  <c r="AA14" i="2"/>
  <c r="AB14" i="2"/>
  <c r="W8" i="2"/>
  <c r="X8" i="2"/>
  <c r="Y8" i="2"/>
  <c r="Z8" i="2"/>
  <c r="AA8" i="2"/>
  <c r="AB8" i="2"/>
  <c r="W16" i="2"/>
  <c r="X16" i="2"/>
  <c r="Y16" i="2"/>
  <c r="Z16" i="2"/>
  <c r="AA16" i="2"/>
  <c r="AB16" i="2"/>
  <c r="W26" i="2"/>
  <c r="X26" i="2"/>
  <c r="Y26" i="2"/>
  <c r="Z26" i="2"/>
  <c r="AA26" i="2"/>
  <c r="AB26" i="2"/>
  <c r="W13" i="2"/>
  <c r="X13" i="2"/>
  <c r="Y13" i="2"/>
  <c r="Z13" i="2"/>
  <c r="AA13" i="2"/>
  <c r="AB13" i="2"/>
  <c r="W21" i="2"/>
  <c r="X21" i="2"/>
  <c r="Y21" i="2"/>
  <c r="Z21" i="2"/>
  <c r="AA21" i="2"/>
  <c r="AB21" i="2"/>
  <c r="W15" i="2"/>
  <c r="X15" i="2"/>
  <c r="Y15" i="2"/>
  <c r="Z15" i="2"/>
  <c r="AA15" i="2"/>
  <c r="AB15" i="2"/>
  <c r="W18" i="2"/>
  <c r="X18" i="2"/>
  <c r="Y18" i="2"/>
  <c r="Z18" i="2"/>
  <c r="AA18" i="2"/>
  <c r="AB18" i="2"/>
  <c r="W23" i="2"/>
  <c r="X23" i="2"/>
  <c r="Y23" i="2"/>
  <c r="Z23" i="2"/>
  <c r="AA23" i="2"/>
  <c r="AB23" i="2"/>
  <c r="W5" i="2"/>
  <c r="X5" i="2"/>
  <c r="Y5" i="2"/>
  <c r="Z5" i="2"/>
  <c r="AA5" i="2"/>
  <c r="AB5" i="2"/>
  <c r="W6" i="2"/>
  <c r="X6" i="2"/>
  <c r="Y6" i="2"/>
  <c r="Z6" i="2"/>
  <c r="AA6" i="2"/>
  <c r="AB6" i="2"/>
  <c r="W27" i="2"/>
  <c r="X27" i="2"/>
  <c r="Y27" i="2"/>
  <c r="Z27" i="2"/>
  <c r="AA27" i="2"/>
  <c r="AB27" i="2"/>
  <c r="V28" i="7"/>
  <c r="W28" i="7"/>
  <c r="V20" i="7"/>
  <c r="W20" i="7"/>
  <c r="V5" i="7"/>
  <c r="W5" i="7"/>
  <c r="V26" i="7"/>
  <c r="W26" i="7"/>
  <c r="V22" i="7"/>
  <c r="W22" i="7"/>
  <c r="V15" i="7"/>
  <c r="W15" i="7"/>
  <c r="V10" i="7"/>
  <c r="W10" i="7"/>
  <c r="V13" i="7"/>
  <c r="W13" i="7"/>
  <c r="V9" i="7"/>
  <c r="W9" i="7"/>
  <c r="V27" i="7"/>
  <c r="W27" i="7"/>
  <c r="V6" i="7"/>
  <c r="W6" i="7"/>
  <c r="V19" i="7"/>
  <c r="W19" i="7"/>
  <c r="V18" i="7"/>
  <c r="W18" i="7"/>
  <c r="V24" i="7"/>
  <c r="W24" i="7"/>
  <c r="V14" i="7"/>
  <c r="W14" i="7"/>
  <c r="V23" i="7"/>
  <c r="W23" i="7"/>
  <c r="V11" i="7"/>
  <c r="W11" i="7"/>
  <c r="V12" i="7"/>
  <c r="W12" i="7"/>
  <c r="V4" i="7"/>
  <c r="W4" i="7"/>
  <c r="V16" i="7"/>
  <c r="W16" i="7"/>
  <c r="V8" i="7"/>
  <c r="W8" i="7"/>
  <c r="V17" i="7"/>
  <c r="W17" i="7"/>
  <c r="V29" i="7"/>
  <c r="W29" i="7"/>
  <c r="V21" i="7"/>
  <c r="W21" i="7"/>
  <c r="V25" i="7"/>
  <c r="W25" i="7"/>
  <c r="W7" i="7"/>
  <c r="X22" i="14"/>
  <c r="Y22" i="14"/>
  <c r="X18" i="14"/>
  <c r="Y18" i="14"/>
  <c r="X7" i="14"/>
  <c r="Y7" i="14"/>
  <c r="X29" i="14"/>
  <c r="Y29" i="14"/>
  <c r="X4" i="14"/>
  <c r="Y4" i="14"/>
  <c r="X25" i="14"/>
  <c r="Y25" i="14"/>
  <c r="X21" i="14"/>
  <c r="Y21" i="14"/>
  <c r="X14" i="14"/>
  <c r="Y14" i="14"/>
  <c r="X20" i="14"/>
  <c r="Y20" i="14"/>
  <c r="X24" i="14"/>
  <c r="Y24" i="14"/>
  <c r="X27" i="14"/>
  <c r="Y27" i="14"/>
  <c r="X23" i="14"/>
  <c r="Y23" i="14"/>
  <c r="X15" i="14"/>
  <c r="Y15" i="14"/>
  <c r="X13" i="14"/>
  <c r="Y13" i="14"/>
  <c r="X10" i="14"/>
  <c r="Y10" i="14"/>
  <c r="X28" i="14"/>
  <c r="Y28" i="14"/>
  <c r="X8" i="14"/>
  <c r="Y8" i="14"/>
  <c r="X19" i="14"/>
  <c r="Y19" i="14"/>
  <c r="X11" i="14"/>
  <c r="Y11" i="14"/>
  <c r="X17" i="14"/>
  <c r="Y17" i="14"/>
  <c r="X6" i="14"/>
  <c r="Y6" i="14"/>
  <c r="X31" i="14"/>
  <c r="Y31" i="14"/>
  <c r="X5" i="14"/>
  <c r="Y5" i="14"/>
  <c r="X16" i="14"/>
  <c r="Y16" i="14"/>
  <c r="X12" i="14"/>
  <c r="Y12" i="14"/>
  <c r="X26" i="14"/>
  <c r="Y26" i="14"/>
  <c r="X30" i="14"/>
  <c r="Y30" i="14"/>
  <c r="Y9" i="14"/>
  <c r="D26" i="20"/>
  <c r="E26" i="20"/>
  <c r="F26" i="20"/>
  <c r="G26" i="20"/>
  <c r="H26" i="20"/>
  <c r="I26" i="20"/>
  <c r="J26" i="20"/>
  <c r="K26" i="20"/>
  <c r="L26" i="20"/>
  <c r="M26" i="20"/>
  <c r="N26" i="20"/>
  <c r="O26" i="20"/>
  <c r="P26" i="20"/>
  <c r="Q26" i="20"/>
  <c r="R26" i="20"/>
  <c r="S26" i="20"/>
  <c r="T26" i="20"/>
  <c r="U26" i="20"/>
  <c r="V26" i="20"/>
  <c r="W26" i="20"/>
  <c r="X26" i="20"/>
  <c r="D25" i="20"/>
  <c r="E25" i="20"/>
  <c r="F25" i="20"/>
  <c r="G25" i="20"/>
  <c r="H25" i="20"/>
  <c r="I25" i="20"/>
  <c r="J25" i="20"/>
  <c r="K25" i="20"/>
  <c r="L25" i="20"/>
  <c r="M25" i="20"/>
  <c r="N25" i="20"/>
  <c r="O25" i="20"/>
  <c r="P25" i="20"/>
  <c r="Q25" i="20"/>
  <c r="R25" i="20"/>
  <c r="S25" i="20"/>
  <c r="T25" i="20"/>
  <c r="U25" i="20"/>
  <c r="V25" i="20"/>
  <c r="W25" i="20"/>
  <c r="X25" i="20"/>
  <c r="D28" i="20"/>
  <c r="E28" i="20"/>
  <c r="F28" i="20"/>
  <c r="G28" i="20"/>
  <c r="H28" i="20"/>
  <c r="I28" i="20"/>
  <c r="J28" i="20"/>
  <c r="K28" i="20"/>
  <c r="L28" i="20"/>
  <c r="M28" i="20"/>
  <c r="N28" i="20"/>
  <c r="O28" i="20"/>
  <c r="P28" i="20"/>
  <c r="Q28" i="20"/>
  <c r="R28" i="20"/>
  <c r="S28" i="20"/>
  <c r="T28" i="20"/>
  <c r="U28" i="20"/>
  <c r="V28" i="20"/>
  <c r="W28" i="20"/>
  <c r="X28" i="20"/>
  <c r="D30" i="20"/>
  <c r="E30" i="20"/>
  <c r="F30" i="20"/>
  <c r="G30" i="20"/>
  <c r="H30" i="20"/>
  <c r="I30" i="20"/>
  <c r="J30" i="20"/>
  <c r="K30" i="20"/>
  <c r="L30" i="20"/>
  <c r="M30" i="20"/>
  <c r="N30" i="20"/>
  <c r="O30" i="20"/>
  <c r="P30" i="20"/>
  <c r="Q30" i="20"/>
  <c r="R30" i="20"/>
  <c r="S30" i="20"/>
  <c r="T30" i="20"/>
  <c r="U30" i="20"/>
  <c r="V30" i="20"/>
  <c r="W30" i="20"/>
  <c r="X30" i="20"/>
  <c r="H27" i="1" l="1"/>
  <c r="J27" i="1" s="1"/>
  <c r="H64" i="1"/>
  <c r="J64" i="1" s="1"/>
  <c r="H61" i="1"/>
  <c r="J61" i="1" s="1"/>
  <c r="H65" i="1"/>
  <c r="J65" i="1" s="1"/>
  <c r="H60" i="1"/>
  <c r="J60" i="1" s="1"/>
  <c r="H30" i="1"/>
  <c r="J30" i="1" s="1"/>
  <c r="H29" i="1"/>
  <c r="J29" i="1" s="1"/>
  <c r="H31" i="1"/>
  <c r="J31" i="1" s="1"/>
  <c r="J26" i="1"/>
  <c r="Z30" i="20"/>
  <c r="Y30" i="20"/>
  <c r="Y25" i="20"/>
  <c r="Z28" i="20"/>
  <c r="Y28" i="20"/>
  <c r="Y26" i="20"/>
  <c r="Z26" i="20"/>
  <c r="Z25" i="20"/>
  <c r="D22" i="21"/>
  <c r="E22" i="21"/>
  <c r="F22" i="21"/>
  <c r="G22" i="21"/>
  <c r="H22" i="21"/>
  <c r="I22" i="21"/>
  <c r="J22" i="21"/>
  <c r="K22" i="21"/>
  <c r="L22" i="21"/>
  <c r="M22" i="21"/>
  <c r="N22" i="21"/>
  <c r="O22" i="21"/>
  <c r="P22" i="21"/>
  <c r="Q22" i="21"/>
  <c r="R22" i="21"/>
  <c r="S22" i="21"/>
  <c r="T22" i="21"/>
  <c r="U22" i="21"/>
  <c r="V22" i="21"/>
  <c r="W22" i="21"/>
  <c r="X22" i="21"/>
  <c r="D17" i="21"/>
  <c r="E17" i="21"/>
  <c r="F17" i="21"/>
  <c r="G17" i="21"/>
  <c r="H17" i="21"/>
  <c r="I17" i="21"/>
  <c r="J17" i="21"/>
  <c r="K17" i="21"/>
  <c r="L17" i="21"/>
  <c r="M17" i="21"/>
  <c r="N17" i="21"/>
  <c r="O17" i="21"/>
  <c r="P17" i="21"/>
  <c r="Q17" i="21"/>
  <c r="R17" i="21"/>
  <c r="S17" i="21"/>
  <c r="T17" i="21"/>
  <c r="U17" i="21"/>
  <c r="V17" i="21"/>
  <c r="W17" i="21"/>
  <c r="X17" i="21"/>
  <c r="R18" i="11"/>
  <c r="S18" i="11"/>
  <c r="T18" i="11"/>
  <c r="U18" i="11"/>
  <c r="V18" i="11"/>
  <c r="W18" i="11"/>
  <c r="X18" i="11"/>
  <c r="R24" i="11"/>
  <c r="S24" i="11"/>
  <c r="T24" i="11"/>
  <c r="U24" i="11"/>
  <c r="V24" i="11"/>
  <c r="W24" i="11"/>
  <c r="X24" i="11"/>
  <c r="R6" i="11"/>
  <c r="S6" i="11"/>
  <c r="T6" i="11"/>
  <c r="U6" i="11"/>
  <c r="V6" i="11"/>
  <c r="W6" i="11"/>
  <c r="X6" i="11"/>
  <c r="R13" i="11"/>
  <c r="S13" i="11"/>
  <c r="T13" i="11"/>
  <c r="U13" i="11"/>
  <c r="V13" i="11"/>
  <c r="W13" i="11"/>
  <c r="X13" i="11"/>
  <c r="R4" i="11"/>
  <c r="S4" i="11"/>
  <c r="T4" i="11"/>
  <c r="U4" i="11"/>
  <c r="V4" i="11"/>
  <c r="W4" i="11"/>
  <c r="X4" i="11"/>
  <c r="R17" i="11"/>
  <c r="S17" i="11"/>
  <c r="T17" i="11"/>
  <c r="U17" i="11"/>
  <c r="V17" i="11"/>
  <c r="W17" i="11"/>
  <c r="X17" i="11"/>
  <c r="R8" i="11"/>
  <c r="S8" i="11"/>
  <c r="T8" i="11"/>
  <c r="U8" i="11"/>
  <c r="V8" i="11"/>
  <c r="W8" i="11"/>
  <c r="X8" i="11"/>
  <c r="R27" i="11"/>
  <c r="S27" i="11"/>
  <c r="T27" i="11"/>
  <c r="U27" i="11"/>
  <c r="V27" i="11"/>
  <c r="W27" i="11"/>
  <c r="X27" i="11"/>
  <c r="R30" i="11"/>
  <c r="S30" i="11"/>
  <c r="T30" i="11"/>
  <c r="U30" i="11"/>
  <c r="V30" i="11"/>
  <c r="W30" i="11"/>
  <c r="X30" i="11"/>
  <c r="R16" i="11"/>
  <c r="S16" i="11"/>
  <c r="T16" i="11"/>
  <c r="U16" i="11"/>
  <c r="V16" i="11"/>
  <c r="W16" i="11"/>
  <c r="X16" i="11"/>
  <c r="R7" i="11"/>
  <c r="S7" i="11"/>
  <c r="T7" i="11"/>
  <c r="U7" i="11"/>
  <c r="V7" i="11"/>
  <c r="W7" i="11"/>
  <c r="X7" i="11"/>
  <c r="R15" i="11"/>
  <c r="S15" i="11"/>
  <c r="T15" i="11"/>
  <c r="U15" i="11"/>
  <c r="V15" i="11"/>
  <c r="W15" i="11"/>
  <c r="X15" i="11"/>
  <c r="R23" i="11"/>
  <c r="S23" i="11"/>
  <c r="T23" i="11"/>
  <c r="U23" i="11"/>
  <c r="V23" i="11"/>
  <c r="W23" i="11"/>
  <c r="X23" i="11"/>
  <c r="R19" i="11"/>
  <c r="S19" i="11"/>
  <c r="T19" i="11"/>
  <c r="U19" i="11"/>
  <c r="V19" i="11"/>
  <c r="W19" i="11"/>
  <c r="X19" i="11"/>
  <c r="R26" i="11"/>
  <c r="S26" i="11"/>
  <c r="T26" i="11"/>
  <c r="U26" i="11"/>
  <c r="V26" i="11"/>
  <c r="W26" i="11"/>
  <c r="X26" i="11"/>
  <c r="R5" i="11"/>
  <c r="S5" i="11"/>
  <c r="T5" i="11"/>
  <c r="U5" i="11"/>
  <c r="V5" i="11"/>
  <c r="W5" i="11"/>
  <c r="X5" i="11"/>
  <c r="R28" i="11"/>
  <c r="S28" i="11"/>
  <c r="T28" i="11"/>
  <c r="U28" i="11"/>
  <c r="V28" i="11"/>
  <c r="W28" i="11"/>
  <c r="X28" i="11"/>
  <c r="R25" i="11"/>
  <c r="S25" i="11"/>
  <c r="T25" i="11"/>
  <c r="U25" i="11"/>
  <c r="V25" i="11"/>
  <c r="W25" i="11"/>
  <c r="X25" i="11"/>
  <c r="R11" i="11"/>
  <c r="S11" i="11"/>
  <c r="T11" i="11"/>
  <c r="U11" i="11"/>
  <c r="V11" i="11"/>
  <c r="W11" i="11"/>
  <c r="X11" i="11"/>
  <c r="R29" i="11"/>
  <c r="S29" i="11"/>
  <c r="T29" i="11"/>
  <c r="U29" i="11"/>
  <c r="V29" i="11"/>
  <c r="W29" i="11"/>
  <c r="X29" i="11"/>
  <c r="R31" i="11"/>
  <c r="S31" i="11"/>
  <c r="T31" i="11"/>
  <c r="U31" i="11"/>
  <c r="V31" i="11"/>
  <c r="W31" i="11"/>
  <c r="X31" i="11"/>
  <c r="R22" i="11"/>
  <c r="S22" i="11"/>
  <c r="T22" i="11"/>
  <c r="U22" i="11"/>
  <c r="V22" i="11"/>
  <c r="W22" i="11"/>
  <c r="X22" i="11"/>
  <c r="R14" i="11"/>
  <c r="S14" i="11"/>
  <c r="T14" i="11"/>
  <c r="U14" i="11"/>
  <c r="V14" i="11"/>
  <c r="W14" i="11"/>
  <c r="X14" i="11"/>
  <c r="R10" i="11"/>
  <c r="S10" i="11"/>
  <c r="T10" i="11"/>
  <c r="U10" i="11"/>
  <c r="V10" i="11"/>
  <c r="W10" i="11"/>
  <c r="X10" i="11"/>
  <c r="R12" i="11"/>
  <c r="S12" i="11"/>
  <c r="T12" i="11"/>
  <c r="U12" i="11"/>
  <c r="V12" i="11"/>
  <c r="W12" i="11"/>
  <c r="X12" i="11"/>
  <c r="R9" i="11"/>
  <c r="S9" i="11"/>
  <c r="T9" i="11"/>
  <c r="U9" i="11"/>
  <c r="V9" i="11"/>
  <c r="W9" i="11"/>
  <c r="X9" i="11"/>
  <c r="R20" i="11"/>
  <c r="S20" i="11"/>
  <c r="T20" i="11"/>
  <c r="U20" i="11"/>
  <c r="V20" i="11"/>
  <c r="W20" i="11"/>
  <c r="X20" i="11"/>
  <c r="S21" i="11"/>
  <c r="T21" i="11"/>
  <c r="U21" i="11"/>
  <c r="V21" i="11"/>
  <c r="W21" i="11"/>
  <c r="X21" i="11"/>
  <c r="H529" i="1" l="1"/>
  <c r="H528" i="1"/>
  <c r="J528" i="1" s="1"/>
  <c r="H527" i="1"/>
  <c r="J527" i="1" s="1"/>
  <c r="H526" i="1"/>
  <c r="H525" i="1"/>
  <c r="Y512" i="1"/>
  <c r="H530" i="1"/>
  <c r="Y22" i="21"/>
  <c r="Z22" i="21"/>
  <c r="Z17" i="21"/>
  <c r="Y17" i="21"/>
  <c r="AA9" i="6"/>
  <c r="Y9" i="6"/>
  <c r="X9" i="6"/>
  <c r="W9" i="6"/>
  <c r="V9" i="6"/>
  <c r="AA21" i="6"/>
  <c r="Z21" i="6"/>
  <c r="Y21" i="6"/>
  <c r="X21" i="6"/>
  <c r="W21" i="6"/>
  <c r="V21" i="6"/>
  <c r="Z25" i="6"/>
  <c r="Y25" i="6"/>
  <c r="X25" i="6"/>
  <c r="W25" i="6"/>
  <c r="Z19" i="6"/>
  <c r="X19" i="6"/>
  <c r="W19" i="6"/>
  <c r="V19" i="6"/>
  <c r="Z24" i="6"/>
  <c r="Y24" i="6"/>
  <c r="X24" i="6"/>
  <c r="W24" i="6"/>
  <c r="V24" i="6"/>
  <c r="AA20" i="6"/>
  <c r="Z20" i="6"/>
  <c r="X20" i="6"/>
  <c r="V20" i="6"/>
  <c r="AA4" i="6"/>
  <c r="Z4" i="6"/>
  <c r="Y4" i="6"/>
  <c r="X4" i="6"/>
  <c r="W4" i="6"/>
  <c r="AA13" i="6"/>
  <c r="Z13" i="6"/>
  <c r="Y13" i="6"/>
  <c r="X13" i="6"/>
  <c r="W13" i="6"/>
  <c r="V13" i="6"/>
  <c r="Z15" i="6"/>
  <c r="Y15" i="6"/>
  <c r="X15" i="6"/>
  <c r="W15" i="6"/>
  <c r="V15" i="6"/>
  <c r="AA23" i="6"/>
  <c r="Z23" i="6"/>
  <c r="Y23" i="6"/>
  <c r="X23" i="6"/>
  <c r="W23" i="6"/>
  <c r="Z27" i="6"/>
  <c r="Y27" i="6"/>
  <c r="X27" i="6"/>
  <c r="W27" i="6"/>
  <c r="V27" i="6"/>
  <c r="Z14" i="6"/>
  <c r="X14" i="6"/>
  <c r="W14" i="6"/>
  <c r="V14" i="6"/>
  <c r="Y26" i="6"/>
  <c r="X26" i="6"/>
  <c r="W26" i="6"/>
  <c r="V26" i="6"/>
  <c r="AA8" i="6"/>
  <c r="Z8" i="6"/>
  <c r="Y8" i="6"/>
  <c r="X8" i="6"/>
  <c r="W8" i="6"/>
  <c r="V8" i="6"/>
  <c r="Z6" i="6"/>
  <c r="Y6" i="6"/>
  <c r="X6" i="6"/>
  <c r="W6" i="6"/>
  <c r="V6" i="6"/>
  <c r="AA10" i="6"/>
  <c r="Z10" i="6"/>
  <c r="Y10" i="6"/>
  <c r="X10" i="6"/>
  <c r="W10" i="6"/>
  <c r="V10" i="6"/>
  <c r="AA5" i="6"/>
  <c r="Y5" i="6"/>
  <c r="X5" i="6"/>
  <c r="W5" i="6"/>
  <c r="V5" i="6"/>
  <c r="AA7" i="6"/>
  <c r="Z7" i="6"/>
  <c r="Y7" i="6"/>
  <c r="W7" i="6"/>
  <c r="V7" i="6"/>
  <c r="Z12" i="6"/>
  <c r="Y12" i="6"/>
  <c r="X12" i="6"/>
  <c r="Z11" i="6"/>
  <c r="Y11" i="6"/>
  <c r="X11" i="6"/>
  <c r="W11" i="6"/>
  <c r="V11" i="6"/>
  <c r="Z22" i="6"/>
  <c r="Y22" i="6"/>
  <c r="X22" i="6"/>
  <c r="W22" i="6"/>
  <c r="V22" i="6"/>
  <c r="AA16" i="6"/>
  <c r="Z16" i="6"/>
  <c r="Y16" i="6"/>
  <c r="X16" i="6"/>
  <c r="W16" i="6"/>
  <c r="V16" i="6"/>
  <c r="AA18" i="6"/>
  <c r="Z18" i="6"/>
  <c r="Y18" i="6"/>
  <c r="X18" i="6"/>
  <c r="W18" i="6"/>
  <c r="V18" i="6"/>
  <c r="AA17" i="6"/>
  <c r="Z17" i="6"/>
  <c r="X17" i="6"/>
  <c r="W17" i="6"/>
  <c r="V17" i="6"/>
  <c r="AA22" i="6"/>
  <c r="AA11" i="6"/>
  <c r="V12" i="6"/>
  <c r="W12" i="6"/>
  <c r="AA12" i="6"/>
  <c r="X7" i="6"/>
  <c r="Z5" i="6"/>
  <c r="AA6" i="6"/>
  <c r="Z26" i="6"/>
  <c r="AA26" i="6"/>
  <c r="Y14" i="6"/>
  <c r="AA14" i="6"/>
  <c r="AA27" i="6"/>
  <c r="V23" i="6"/>
  <c r="AA15" i="6"/>
  <c r="V4" i="6"/>
  <c r="W20" i="6"/>
  <c r="Y20" i="6"/>
  <c r="AA24" i="6"/>
  <c r="Y19" i="6"/>
  <c r="AA19" i="6"/>
  <c r="V25" i="6"/>
  <c r="AA25" i="6"/>
  <c r="Z9" i="6"/>
  <c r="Y17" i="6"/>
  <c r="H128" i="1" s="1"/>
  <c r="U151" i="1"/>
  <c r="U150" i="1"/>
  <c r="U149" i="1"/>
  <c r="V146" i="1"/>
  <c r="V145" i="1"/>
  <c r="V144" i="1"/>
  <c r="Y21" i="7"/>
  <c r="U17" i="7"/>
  <c r="Y16" i="7"/>
  <c r="U12" i="7"/>
  <c r="Y23" i="7"/>
  <c r="U24" i="7"/>
  <c r="Y19" i="7"/>
  <c r="U6" i="7"/>
  <c r="U27" i="7"/>
  <c r="Y13" i="7"/>
  <c r="U10" i="7"/>
  <c r="U15" i="7"/>
  <c r="Y26" i="7"/>
  <c r="U5" i="7"/>
  <c r="U20" i="7"/>
  <c r="Z28" i="7"/>
  <c r="U28" i="7"/>
  <c r="X28" i="7"/>
  <c r="Y28" i="7"/>
  <c r="X20" i="7"/>
  <c r="Y20" i="7"/>
  <c r="Z20" i="7"/>
  <c r="X5" i="7"/>
  <c r="Y5" i="7"/>
  <c r="Z5" i="7"/>
  <c r="U26" i="7"/>
  <c r="X26" i="7"/>
  <c r="Z26" i="7"/>
  <c r="U22" i="7"/>
  <c r="X22" i="7"/>
  <c r="Y22" i="7"/>
  <c r="Z22" i="7"/>
  <c r="X15" i="7"/>
  <c r="Y15" i="7"/>
  <c r="Z15" i="7"/>
  <c r="X10" i="7"/>
  <c r="Y10" i="7"/>
  <c r="Z10" i="7"/>
  <c r="U13" i="7"/>
  <c r="X13" i="7"/>
  <c r="Z13" i="7"/>
  <c r="U9" i="7"/>
  <c r="X9" i="7"/>
  <c r="Y9" i="7"/>
  <c r="Z9" i="7"/>
  <c r="X27" i="7"/>
  <c r="Y27" i="7"/>
  <c r="Z27" i="7"/>
  <c r="X6" i="7"/>
  <c r="Y6" i="7"/>
  <c r="Z6" i="7"/>
  <c r="U19" i="7"/>
  <c r="X19" i="7"/>
  <c r="Z19" i="7"/>
  <c r="U18" i="7"/>
  <c r="X18" i="7"/>
  <c r="Y18" i="7"/>
  <c r="Z18" i="7"/>
  <c r="X24" i="7"/>
  <c r="Y24" i="7"/>
  <c r="Z24" i="7"/>
  <c r="U14" i="7"/>
  <c r="X14" i="7"/>
  <c r="Y14" i="7"/>
  <c r="Z14" i="7"/>
  <c r="U23" i="7"/>
  <c r="X23" i="7"/>
  <c r="Z23" i="7"/>
  <c r="U11" i="7"/>
  <c r="X11" i="7"/>
  <c r="Y11" i="7"/>
  <c r="Z11" i="7"/>
  <c r="X12" i="7"/>
  <c r="Y12" i="7"/>
  <c r="Z12" i="7"/>
  <c r="U4" i="7"/>
  <c r="X4" i="7"/>
  <c r="Y4" i="7"/>
  <c r="Z4" i="7"/>
  <c r="U16" i="7"/>
  <c r="X16" i="7"/>
  <c r="Z16" i="7"/>
  <c r="U8" i="7"/>
  <c r="X8" i="7"/>
  <c r="Y8" i="7"/>
  <c r="Z8" i="7"/>
  <c r="X17" i="7"/>
  <c r="Y17" i="7"/>
  <c r="Z17" i="7"/>
  <c r="U29" i="7"/>
  <c r="X29" i="7"/>
  <c r="Y29" i="7"/>
  <c r="Z29" i="7"/>
  <c r="U21" i="7"/>
  <c r="X21" i="7"/>
  <c r="Z21" i="7"/>
  <c r="U25" i="7"/>
  <c r="X25" i="7"/>
  <c r="Y25" i="7"/>
  <c r="Z25" i="7"/>
  <c r="U7" i="7"/>
  <c r="V7" i="7"/>
  <c r="X7" i="7"/>
  <c r="Y7" i="7"/>
  <c r="Z7" i="7"/>
  <c r="U258" i="1"/>
  <c r="U257" i="1"/>
  <c r="U256" i="1"/>
  <c r="V253" i="1"/>
  <c r="V252" i="1"/>
  <c r="V251" i="1"/>
  <c r="H126" i="1" l="1"/>
  <c r="H130" i="1"/>
  <c r="H161" i="1"/>
  <c r="H162" i="1"/>
  <c r="H129" i="1"/>
  <c r="H125" i="1"/>
  <c r="H158" i="1"/>
  <c r="H159" i="1"/>
  <c r="H163" i="1"/>
  <c r="S14" i="21" l="1"/>
  <c r="T14" i="21"/>
  <c r="U14" i="21"/>
  <c r="V14" i="21"/>
  <c r="W14" i="21"/>
  <c r="X14" i="21"/>
  <c r="S23" i="21"/>
  <c r="T23" i="21"/>
  <c r="U23" i="21"/>
  <c r="V23" i="21"/>
  <c r="W23" i="21"/>
  <c r="X23" i="21"/>
  <c r="S21" i="21"/>
  <c r="T21" i="21"/>
  <c r="U21" i="21"/>
  <c r="V21" i="21"/>
  <c r="W21" i="21"/>
  <c r="X21" i="21"/>
  <c r="S9" i="21"/>
  <c r="T9" i="21"/>
  <c r="U9" i="21"/>
  <c r="V9" i="21"/>
  <c r="W9" i="21"/>
  <c r="X9" i="21"/>
  <c r="S26" i="21"/>
  <c r="T26" i="21"/>
  <c r="U26" i="21"/>
  <c r="V26" i="21"/>
  <c r="W26" i="21"/>
  <c r="X26" i="21"/>
  <c r="S15" i="21"/>
  <c r="T15" i="21"/>
  <c r="U15" i="21"/>
  <c r="V15" i="21"/>
  <c r="W15" i="21"/>
  <c r="X15" i="21"/>
  <c r="S16" i="21"/>
  <c r="T16" i="21"/>
  <c r="U16" i="21"/>
  <c r="V16" i="21"/>
  <c r="W16" i="21"/>
  <c r="X16" i="21"/>
  <c r="S6" i="21"/>
  <c r="T6" i="21"/>
  <c r="U6" i="21"/>
  <c r="V6" i="21"/>
  <c r="W6" i="21"/>
  <c r="X6" i="21"/>
  <c r="S7" i="21"/>
  <c r="T7" i="21"/>
  <c r="U7" i="21"/>
  <c r="V7" i="21"/>
  <c r="W7" i="21"/>
  <c r="X7" i="21"/>
  <c r="S8" i="21"/>
  <c r="T8" i="21"/>
  <c r="U8" i="21"/>
  <c r="V8" i="21"/>
  <c r="W8" i="21"/>
  <c r="X8" i="21"/>
  <c r="S24" i="21"/>
  <c r="T24" i="21"/>
  <c r="U24" i="21"/>
  <c r="V24" i="21"/>
  <c r="W24" i="21"/>
  <c r="X24" i="21"/>
  <c r="S27" i="21"/>
  <c r="T27" i="21"/>
  <c r="U27" i="21"/>
  <c r="V27" i="21"/>
  <c r="W27" i="21"/>
  <c r="X27" i="21"/>
  <c r="S19" i="21"/>
  <c r="T19" i="21"/>
  <c r="U19" i="21"/>
  <c r="V19" i="21"/>
  <c r="W19" i="21"/>
  <c r="X19" i="21"/>
  <c r="S4" i="21"/>
  <c r="T4" i="21"/>
  <c r="U4" i="21"/>
  <c r="V4" i="21"/>
  <c r="W4" i="21"/>
  <c r="X4" i="21"/>
  <c r="S12" i="21"/>
  <c r="T12" i="21"/>
  <c r="U12" i="21"/>
  <c r="V12" i="21"/>
  <c r="W12" i="21"/>
  <c r="X12" i="21"/>
  <c r="S10" i="21"/>
  <c r="T10" i="21"/>
  <c r="U10" i="21"/>
  <c r="V10" i="21"/>
  <c r="W10" i="21"/>
  <c r="X10" i="21"/>
  <c r="S20" i="21"/>
  <c r="T20" i="21"/>
  <c r="U20" i="21"/>
  <c r="V20" i="21"/>
  <c r="W20" i="21"/>
  <c r="X20" i="21"/>
  <c r="S18" i="21"/>
  <c r="T18" i="21"/>
  <c r="U18" i="21"/>
  <c r="V18" i="21"/>
  <c r="W18" i="21"/>
  <c r="X18" i="21"/>
  <c r="S25" i="21"/>
  <c r="H588" i="1" s="1"/>
  <c r="T25" i="21"/>
  <c r="H589" i="1" s="1"/>
  <c r="U25" i="21"/>
  <c r="H590" i="1" s="1"/>
  <c r="V25" i="21"/>
  <c r="H591" i="1" s="1"/>
  <c r="W25" i="21"/>
  <c r="H592" i="1" s="1"/>
  <c r="X25" i="21"/>
  <c r="H593" i="1" s="1"/>
  <c r="S11" i="21"/>
  <c r="T11" i="21"/>
  <c r="U11" i="21"/>
  <c r="V11" i="21"/>
  <c r="W11" i="21"/>
  <c r="X11" i="21"/>
  <c r="S13" i="21"/>
  <c r="T13" i="21"/>
  <c r="U13" i="21"/>
  <c r="V13" i="21"/>
  <c r="W13" i="21"/>
  <c r="X13" i="21"/>
  <c r="S5" i="21"/>
  <c r="T5" i="21"/>
  <c r="U5" i="21"/>
  <c r="V5" i="21"/>
  <c r="W5" i="21"/>
  <c r="X5" i="21"/>
  <c r="L5" i="12"/>
  <c r="N7" i="5"/>
  <c r="M5" i="23"/>
  <c r="N5" i="23"/>
  <c r="O5" i="23"/>
  <c r="P5" i="23"/>
  <c r="Q5" i="23"/>
  <c r="M6" i="23"/>
  <c r="N6" i="23"/>
  <c r="O6" i="23"/>
  <c r="P6" i="23"/>
  <c r="Q6" i="23"/>
  <c r="M7" i="23"/>
  <c r="N7" i="23"/>
  <c r="O7" i="23"/>
  <c r="P7" i="23"/>
  <c r="Q7" i="23"/>
  <c r="M8" i="23"/>
  <c r="N8" i="23"/>
  <c r="O8" i="23"/>
  <c r="P8" i="23"/>
  <c r="Q8" i="23"/>
  <c r="M10" i="23"/>
  <c r="N10" i="23"/>
  <c r="O10" i="23"/>
  <c r="P10" i="23"/>
  <c r="Q10" i="23"/>
  <c r="M9" i="23"/>
  <c r="N9" i="23"/>
  <c r="O9" i="23"/>
  <c r="P9" i="23"/>
  <c r="Q9" i="23"/>
  <c r="M12" i="23"/>
  <c r="N12" i="23"/>
  <c r="O12" i="23"/>
  <c r="P12" i="23"/>
  <c r="Q12" i="23"/>
  <c r="M11" i="23"/>
  <c r="N11" i="23"/>
  <c r="O11" i="23"/>
  <c r="P11" i="23"/>
  <c r="Q11" i="23"/>
  <c r="M13" i="23"/>
  <c r="N13" i="23"/>
  <c r="O13" i="23"/>
  <c r="P13" i="23"/>
  <c r="Q13" i="23"/>
  <c r="M15" i="23"/>
  <c r="N15" i="23"/>
  <c r="O15" i="23"/>
  <c r="P15" i="23"/>
  <c r="Q15" i="23"/>
  <c r="M14" i="23"/>
  <c r="N14" i="23"/>
  <c r="O14" i="23"/>
  <c r="P14" i="23"/>
  <c r="Q14" i="23"/>
  <c r="M16" i="23"/>
  <c r="N16" i="23"/>
  <c r="O16" i="23"/>
  <c r="P16" i="23"/>
  <c r="Q16" i="23"/>
  <c r="M17" i="23"/>
  <c r="N17" i="23"/>
  <c r="O17" i="23"/>
  <c r="P17" i="23"/>
  <c r="Q17" i="23"/>
  <c r="M22" i="23"/>
  <c r="N22" i="23"/>
  <c r="O22" i="23"/>
  <c r="P22" i="23"/>
  <c r="Q22" i="23"/>
  <c r="M19" i="23"/>
  <c r="N19" i="23"/>
  <c r="O19" i="23"/>
  <c r="P19" i="23"/>
  <c r="Q19" i="23"/>
  <c r="M18" i="23"/>
  <c r="N18" i="23"/>
  <c r="O18" i="23"/>
  <c r="P18" i="23"/>
  <c r="Q18" i="23"/>
  <c r="M20" i="23"/>
  <c r="N20" i="23"/>
  <c r="O20" i="23"/>
  <c r="P20" i="23"/>
  <c r="Q20" i="23"/>
  <c r="M21" i="23"/>
  <c r="N21" i="23"/>
  <c r="O21" i="23"/>
  <c r="P21" i="23"/>
  <c r="Q21" i="23"/>
  <c r="M23" i="23"/>
  <c r="N23" i="23"/>
  <c r="O23" i="23"/>
  <c r="P23" i="23"/>
  <c r="Q23" i="23"/>
  <c r="M26" i="23"/>
  <c r="N26" i="23"/>
  <c r="O26" i="23"/>
  <c r="P26" i="23"/>
  <c r="Q26" i="23"/>
  <c r="M24" i="23"/>
  <c r="N24" i="23"/>
  <c r="O24" i="23"/>
  <c r="P24" i="23"/>
  <c r="Q24" i="23"/>
  <c r="M25" i="23"/>
  <c r="N25" i="23"/>
  <c r="O25" i="23"/>
  <c r="P25" i="23"/>
  <c r="Q25" i="23"/>
  <c r="M27" i="23"/>
  <c r="N27" i="23"/>
  <c r="O27" i="23"/>
  <c r="P27" i="23"/>
  <c r="Q27" i="23"/>
  <c r="M28" i="23"/>
  <c r="N28" i="23"/>
  <c r="O28" i="23"/>
  <c r="P28" i="23"/>
  <c r="Q28" i="23"/>
  <c r="M4" i="23"/>
  <c r="N4" i="23"/>
  <c r="O4" i="23"/>
  <c r="P4" i="23"/>
  <c r="Q4" i="23"/>
  <c r="U644" i="1"/>
  <c r="U643" i="1"/>
  <c r="U642" i="1"/>
  <c r="V639" i="1"/>
  <c r="V638" i="1"/>
  <c r="V637" i="1"/>
  <c r="U673" i="1"/>
  <c r="U672" i="1"/>
  <c r="U671" i="1"/>
  <c r="V668" i="1"/>
  <c r="V667" i="1"/>
  <c r="V666" i="1"/>
  <c r="AG29" i="23"/>
  <c r="AG30" i="23"/>
  <c r="AT28" i="23"/>
  <c r="AU28" i="23"/>
  <c r="D28" i="23"/>
  <c r="E28" i="23"/>
  <c r="F28" i="23"/>
  <c r="G28" i="23"/>
  <c r="H28" i="23"/>
  <c r="I28" i="23"/>
  <c r="J28" i="23"/>
  <c r="K28" i="23"/>
  <c r="L28" i="23"/>
  <c r="O30" i="23" l="1"/>
  <c r="O29" i="23"/>
  <c r="P29" i="23"/>
  <c r="P30" i="23"/>
  <c r="S28" i="23"/>
  <c r="R28" i="23"/>
  <c r="BI32" i="13" l="1"/>
  <c r="BI33" i="13"/>
  <c r="BH32" i="13"/>
  <c r="BH33" i="13"/>
  <c r="BG32" i="13"/>
  <c r="BG33" i="13"/>
  <c r="BE32" i="13"/>
  <c r="BE33" i="13"/>
  <c r="BP14" i="13"/>
  <c r="BQ14" i="13"/>
  <c r="BP15" i="13"/>
  <c r="BQ15" i="13"/>
  <c r="V23" i="13"/>
  <c r="W23" i="13"/>
  <c r="X23" i="13"/>
  <c r="Y23" i="13"/>
  <c r="Z23" i="13"/>
  <c r="AA23" i="13"/>
  <c r="AB23" i="13"/>
  <c r="V31" i="13"/>
  <c r="W31" i="13"/>
  <c r="X31" i="13"/>
  <c r="Y31" i="13"/>
  <c r="Z31" i="13"/>
  <c r="AA31" i="13"/>
  <c r="AB31" i="13"/>
  <c r="V13" i="13"/>
  <c r="W13" i="13"/>
  <c r="X13" i="13"/>
  <c r="Y13" i="13"/>
  <c r="Z13" i="13"/>
  <c r="AA13" i="13"/>
  <c r="AB13" i="13"/>
  <c r="V29" i="13"/>
  <c r="W29" i="13"/>
  <c r="X29" i="13"/>
  <c r="Y29" i="13"/>
  <c r="Z29" i="13"/>
  <c r="AA29" i="13"/>
  <c r="AB29" i="13"/>
  <c r="V24" i="13"/>
  <c r="W24" i="13"/>
  <c r="X24" i="13"/>
  <c r="Y24" i="13"/>
  <c r="Z24" i="13"/>
  <c r="AA24" i="13"/>
  <c r="AB24" i="13"/>
  <c r="V12" i="13"/>
  <c r="W12" i="13"/>
  <c r="X12" i="13"/>
  <c r="Y12" i="13"/>
  <c r="Z12" i="13"/>
  <c r="AA12" i="13"/>
  <c r="AB12" i="13"/>
  <c r="V5" i="13"/>
  <c r="W5" i="13"/>
  <c r="X5" i="13"/>
  <c r="Y5" i="13"/>
  <c r="Z5" i="13"/>
  <c r="AA5" i="13"/>
  <c r="AB5" i="13"/>
  <c r="V18" i="13"/>
  <c r="W18" i="13"/>
  <c r="X18" i="13"/>
  <c r="Y18" i="13"/>
  <c r="Z18" i="13"/>
  <c r="AA18" i="13"/>
  <c r="AB18" i="13"/>
  <c r="V8" i="13"/>
  <c r="W8" i="13"/>
  <c r="X8" i="13"/>
  <c r="Y8" i="13"/>
  <c r="Z8" i="13"/>
  <c r="AA8" i="13"/>
  <c r="AB8" i="13"/>
  <c r="V6" i="13"/>
  <c r="W6" i="13"/>
  <c r="X6" i="13"/>
  <c r="Y6" i="13"/>
  <c r="Z6" i="13"/>
  <c r="AA6" i="13"/>
  <c r="AB6" i="13"/>
  <c r="V26" i="13"/>
  <c r="W26" i="13"/>
  <c r="X26" i="13"/>
  <c r="Y26" i="13"/>
  <c r="Z26" i="13"/>
  <c r="AA26" i="13"/>
  <c r="AB26" i="13"/>
  <c r="V30" i="13"/>
  <c r="W30" i="13"/>
  <c r="X30" i="13"/>
  <c r="Y30" i="13"/>
  <c r="Z30" i="13"/>
  <c r="AA30" i="13"/>
  <c r="AB30" i="13"/>
  <c r="V16" i="13"/>
  <c r="W16" i="13"/>
  <c r="X16" i="13"/>
  <c r="Y16" i="13"/>
  <c r="Z16" i="13"/>
  <c r="AA16" i="13"/>
  <c r="AB16" i="13"/>
  <c r="V7" i="13"/>
  <c r="W7" i="13"/>
  <c r="X7" i="13"/>
  <c r="Y7" i="13"/>
  <c r="Z7" i="13"/>
  <c r="AA7" i="13"/>
  <c r="AB7" i="13"/>
  <c r="V20" i="13"/>
  <c r="W20" i="13"/>
  <c r="X20" i="13"/>
  <c r="Y20" i="13"/>
  <c r="Z20" i="13"/>
  <c r="AA20" i="13"/>
  <c r="AB20" i="13"/>
  <c r="V28" i="13"/>
  <c r="W28" i="13"/>
  <c r="X28" i="13"/>
  <c r="Y28" i="13"/>
  <c r="Z28" i="13"/>
  <c r="AA28" i="13"/>
  <c r="AB28" i="13"/>
  <c r="V27" i="13"/>
  <c r="W27" i="13"/>
  <c r="X27" i="13"/>
  <c r="Y27" i="13"/>
  <c r="Z27" i="13"/>
  <c r="AA27" i="13"/>
  <c r="AB27" i="13"/>
  <c r="V19" i="13"/>
  <c r="W19" i="13"/>
  <c r="X19" i="13"/>
  <c r="Y19" i="13"/>
  <c r="Z19" i="13"/>
  <c r="AA19" i="13"/>
  <c r="AB19" i="13"/>
  <c r="V10" i="13"/>
  <c r="W10" i="13"/>
  <c r="X10" i="13"/>
  <c r="Y10" i="13"/>
  <c r="Z10" i="13"/>
  <c r="AA10" i="13"/>
  <c r="AB10" i="13"/>
  <c r="V11" i="13"/>
  <c r="W11" i="13"/>
  <c r="X11" i="13"/>
  <c r="Y11" i="13"/>
  <c r="Z11" i="13"/>
  <c r="AA11" i="13"/>
  <c r="AB11" i="13"/>
  <c r="V22" i="13"/>
  <c r="W22" i="13"/>
  <c r="X22" i="13"/>
  <c r="Y22" i="13"/>
  <c r="Z22" i="13"/>
  <c r="AA22" i="13"/>
  <c r="AB22" i="13"/>
  <c r="V21" i="13"/>
  <c r="W21" i="13"/>
  <c r="X21" i="13"/>
  <c r="Y21" i="13"/>
  <c r="Z21" i="13"/>
  <c r="AA21" i="13"/>
  <c r="AB21" i="13"/>
  <c r="V25" i="13"/>
  <c r="W25" i="13"/>
  <c r="X25" i="13"/>
  <c r="Y25" i="13"/>
  <c r="Z25" i="13"/>
  <c r="AA25" i="13"/>
  <c r="AB25" i="13"/>
  <c r="V4" i="13"/>
  <c r="W4" i="13"/>
  <c r="X4" i="13"/>
  <c r="Y4" i="13"/>
  <c r="Z4" i="13"/>
  <c r="AA4" i="13"/>
  <c r="AB4" i="13"/>
  <c r="V9" i="13"/>
  <c r="W9" i="13"/>
  <c r="X9" i="13"/>
  <c r="Y9" i="13"/>
  <c r="Z9" i="13"/>
  <c r="AA9" i="13"/>
  <c r="AB9" i="13"/>
  <c r="V15" i="13"/>
  <c r="W15" i="13"/>
  <c r="X15" i="13"/>
  <c r="Y15" i="13"/>
  <c r="Z15" i="13"/>
  <c r="AA15" i="13"/>
  <c r="AB15" i="13"/>
  <c r="V14" i="13"/>
  <c r="W14" i="13"/>
  <c r="X14" i="13"/>
  <c r="Y14" i="13"/>
  <c r="Z14" i="13"/>
  <c r="AA14" i="13"/>
  <c r="AB14" i="13"/>
  <c r="W17" i="13"/>
  <c r="X17" i="13"/>
  <c r="H231" i="1" s="1"/>
  <c r="Y17" i="13"/>
  <c r="Z17" i="13"/>
  <c r="AA17" i="13"/>
  <c r="H234" i="1" s="1"/>
  <c r="AB17" i="13"/>
  <c r="H230" i="1" l="1"/>
  <c r="H233" i="1"/>
  <c r="H235" i="1"/>
  <c r="S31" i="18"/>
  <c r="T31" i="18"/>
  <c r="U31" i="18"/>
  <c r="V31" i="18"/>
  <c r="W31" i="18"/>
  <c r="X31" i="18"/>
  <c r="S29" i="18"/>
  <c r="T29" i="18"/>
  <c r="U29" i="18"/>
  <c r="V29" i="18"/>
  <c r="W29" i="18"/>
  <c r="X29" i="18"/>
  <c r="S17" i="18"/>
  <c r="T17" i="18"/>
  <c r="U17" i="18"/>
  <c r="V17" i="18"/>
  <c r="W17" i="18"/>
  <c r="X17" i="18"/>
  <c r="S16" i="18"/>
  <c r="T16" i="18"/>
  <c r="U16" i="18"/>
  <c r="V16" i="18"/>
  <c r="W16" i="18"/>
  <c r="X16" i="18"/>
  <c r="S4" i="18"/>
  <c r="T4" i="18"/>
  <c r="U4" i="18"/>
  <c r="V4" i="18"/>
  <c r="W4" i="18"/>
  <c r="X4" i="18"/>
  <c r="S8" i="18"/>
  <c r="T8" i="18"/>
  <c r="U8" i="18"/>
  <c r="V8" i="18"/>
  <c r="W8" i="18"/>
  <c r="X8" i="18"/>
  <c r="S27" i="18"/>
  <c r="T27" i="18"/>
  <c r="U27" i="18"/>
  <c r="V27" i="18"/>
  <c r="W27" i="18"/>
  <c r="X27" i="18"/>
  <c r="S10" i="18"/>
  <c r="T10" i="18"/>
  <c r="U10" i="18"/>
  <c r="V10" i="18"/>
  <c r="W10" i="18"/>
  <c r="X10" i="18"/>
  <c r="S5" i="18"/>
  <c r="T5" i="18"/>
  <c r="U5" i="18"/>
  <c r="V5" i="18"/>
  <c r="W5" i="18"/>
  <c r="X5" i="18"/>
  <c r="S32" i="18"/>
  <c r="T32" i="18"/>
  <c r="U32" i="18"/>
  <c r="V32" i="18"/>
  <c r="W32" i="18"/>
  <c r="X32" i="18"/>
  <c r="S33" i="18"/>
  <c r="T33" i="18"/>
  <c r="U33" i="18"/>
  <c r="V33" i="18"/>
  <c r="W33" i="18"/>
  <c r="X33" i="18"/>
  <c r="S21" i="18"/>
  <c r="T21" i="18"/>
  <c r="U21" i="18"/>
  <c r="V21" i="18"/>
  <c r="W21" i="18"/>
  <c r="X21" i="18"/>
  <c r="S24" i="18"/>
  <c r="T24" i="18"/>
  <c r="U24" i="18"/>
  <c r="V24" i="18"/>
  <c r="W24" i="18"/>
  <c r="X24" i="18"/>
  <c r="S12" i="18"/>
  <c r="T12" i="18"/>
  <c r="U12" i="18"/>
  <c r="V12" i="18"/>
  <c r="W12" i="18"/>
  <c r="X12" i="18"/>
  <c r="S18" i="18"/>
  <c r="T18" i="18"/>
  <c r="U18" i="18"/>
  <c r="V18" i="18"/>
  <c r="W18" i="18"/>
  <c r="X18" i="18"/>
  <c r="S13" i="18"/>
  <c r="T13" i="18"/>
  <c r="U13" i="18"/>
  <c r="V13" i="18"/>
  <c r="W13" i="18"/>
  <c r="X13" i="18"/>
  <c r="S26" i="18"/>
  <c r="T26" i="18"/>
  <c r="U26" i="18"/>
  <c r="V26" i="18"/>
  <c r="W26" i="18"/>
  <c r="X26" i="18"/>
  <c r="S20" i="18"/>
  <c r="T20" i="18"/>
  <c r="U20" i="18"/>
  <c r="V20" i="18"/>
  <c r="W20" i="18"/>
  <c r="X20" i="18"/>
  <c r="S15" i="18"/>
  <c r="T15" i="18"/>
  <c r="U15" i="18"/>
  <c r="V15" i="18"/>
  <c r="W15" i="18"/>
  <c r="X15" i="18"/>
  <c r="S9" i="18"/>
  <c r="T9" i="18"/>
  <c r="U9" i="18"/>
  <c r="V9" i="18"/>
  <c r="W9" i="18"/>
  <c r="X9" i="18"/>
  <c r="S30" i="18"/>
  <c r="T30" i="18"/>
  <c r="U30" i="18"/>
  <c r="V30" i="18"/>
  <c r="W30" i="18"/>
  <c r="X30" i="18"/>
  <c r="S6" i="18"/>
  <c r="T6" i="18"/>
  <c r="U6" i="18"/>
  <c r="V6" i="18"/>
  <c r="W6" i="18"/>
  <c r="X6" i="18"/>
  <c r="S7" i="18"/>
  <c r="T7" i="18"/>
  <c r="U7" i="18"/>
  <c r="V7" i="18"/>
  <c r="W7" i="18"/>
  <c r="X7" i="18"/>
  <c r="S19" i="18"/>
  <c r="T19" i="18"/>
  <c r="U19" i="18"/>
  <c r="V19" i="18"/>
  <c r="W19" i="18"/>
  <c r="X19" i="18"/>
  <c r="S14" i="18"/>
  <c r="T14" i="18"/>
  <c r="U14" i="18"/>
  <c r="V14" i="18"/>
  <c r="W14" i="18"/>
  <c r="X14" i="18"/>
  <c r="S23" i="18"/>
  <c r="T23" i="18"/>
  <c r="U23" i="18"/>
  <c r="V23" i="18"/>
  <c r="W23" i="18"/>
  <c r="X23" i="18"/>
  <c r="S25" i="18"/>
  <c r="T25" i="18"/>
  <c r="U25" i="18"/>
  <c r="V25" i="18"/>
  <c r="W25" i="18"/>
  <c r="X25" i="18"/>
  <c r="S22" i="18"/>
  <c r="T22" i="18"/>
  <c r="U22" i="18"/>
  <c r="V22" i="18"/>
  <c r="W22" i="18"/>
  <c r="X22" i="18"/>
  <c r="S11" i="18"/>
  <c r="T11" i="18"/>
  <c r="U11" i="18"/>
  <c r="V11" i="18"/>
  <c r="W11" i="18"/>
  <c r="X11" i="18"/>
  <c r="S28" i="18"/>
  <c r="T28" i="18"/>
  <c r="U28" i="18"/>
  <c r="V28" i="18"/>
  <c r="W28" i="18"/>
  <c r="X28" i="18"/>
  <c r="BA34" i="18"/>
  <c r="BA35" i="18"/>
  <c r="AZ34" i="18"/>
  <c r="AZ35" i="18"/>
  <c r="AY34" i="18"/>
  <c r="AY35" i="18"/>
  <c r="AX34" i="18"/>
  <c r="AX35" i="18"/>
  <c r="AW34" i="18"/>
  <c r="AW35" i="18"/>
  <c r="BH11" i="18"/>
  <c r="BI11" i="18"/>
  <c r="BH22" i="18"/>
  <c r="BI22" i="18"/>
  <c r="BH25" i="18"/>
  <c r="BI25" i="18"/>
  <c r="BH23" i="18"/>
  <c r="BI23" i="18"/>
  <c r="BH14" i="18"/>
  <c r="BI14" i="18"/>
  <c r="H466" i="1" l="1"/>
  <c r="H464" i="1"/>
  <c r="H463" i="1"/>
  <c r="H462" i="1"/>
  <c r="H465" i="1"/>
  <c r="H461" i="1"/>
  <c r="U86" i="1"/>
  <c r="U85" i="1"/>
  <c r="U84" i="1"/>
  <c r="V81" i="1"/>
  <c r="V80" i="1"/>
  <c r="V79" i="1"/>
  <c r="T4" i="5"/>
  <c r="U4" i="5"/>
  <c r="V4" i="5"/>
  <c r="W4" i="5"/>
  <c r="X4" i="5"/>
  <c r="Y4" i="5"/>
  <c r="T30" i="5"/>
  <c r="U30" i="5"/>
  <c r="V30" i="5"/>
  <c r="W30" i="5"/>
  <c r="X30" i="5"/>
  <c r="Y30" i="5"/>
  <c r="T6" i="5"/>
  <c r="U6" i="5"/>
  <c r="V6" i="5"/>
  <c r="W6" i="5"/>
  <c r="X6" i="5"/>
  <c r="Y6" i="5"/>
  <c r="T5" i="5"/>
  <c r="U5" i="5"/>
  <c r="V5" i="5"/>
  <c r="W5" i="5"/>
  <c r="X5" i="5"/>
  <c r="Y5" i="5"/>
  <c r="T22" i="5"/>
  <c r="U22" i="5"/>
  <c r="V22" i="5"/>
  <c r="W22" i="5"/>
  <c r="X22" i="5"/>
  <c r="Y22" i="5"/>
  <c r="T14" i="5"/>
  <c r="U14" i="5"/>
  <c r="V14" i="5"/>
  <c r="W14" i="5"/>
  <c r="X14" i="5"/>
  <c r="Y14" i="5"/>
  <c r="T23" i="5"/>
  <c r="U23" i="5"/>
  <c r="V23" i="5"/>
  <c r="W23" i="5"/>
  <c r="X23" i="5"/>
  <c r="Y23" i="5"/>
  <c r="T19" i="5"/>
  <c r="U19" i="5"/>
  <c r="V19" i="5"/>
  <c r="W19" i="5"/>
  <c r="X19" i="5"/>
  <c r="Y19" i="5"/>
  <c r="T28" i="5"/>
  <c r="U28" i="5"/>
  <c r="V28" i="5"/>
  <c r="W28" i="5"/>
  <c r="X28" i="5"/>
  <c r="Y28" i="5"/>
  <c r="T16" i="5"/>
  <c r="U16" i="5"/>
  <c r="V16" i="5"/>
  <c r="W16" i="5"/>
  <c r="X16" i="5"/>
  <c r="Y16" i="5"/>
  <c r="T17" i="5"/>
  <c r="U17" i="5"/>
  <c r="V17" i="5"/>
  <c r="W17" i="5"/>
  <c r="X17" i="5"/>
  <c r="Y17" i="5"/>
  <c r="T20" i="5"/>
  <c r="U20" i="5"/>
  <c r="V20" i="5"/>
  <c r="W20" i="5"/>
  <c r="X20" i="5"/>
  <c r="Y20" i="5"/>
  <c r="T26" i="5"/>
  <c r="U26" i="5"/>
  <c r="V26" i="5"/>
  <c r="W26" i="5"/>
  <c r="X26" i="5"/>
  <c r="Y26" i="5"/>
  <c r="T13" i="5"/>
  <c r="U13" i="5"/>
  <c r="V13" i="5"/>
  <c r="W13" i="5"/>
  <c r="X13" i="5"/>
  <c r="Y13" i="5"/>
  <c r="T11" i="5"/>
  <c r="U11" i="5"/>
  <c r="V11" i="5"/>
  <c r="W11" i="5"/>
  <c r="X11" i="5"/>
  <c r="Y11" i="5"/>
  <c r="T12" i="5"/>
  <c r="U12" i="5"/>
  <c r="V12" i="5"/>
  <c r="W12" i="5"/>
  <c r="X12" i="5"/>
  <c r="Y12" i="5"/>
  <c r="T8" i="5"/>
  <c r="U8" i="5"/>
  <c r="V8" i="5"/>
  <c r="W8" i="5"/>
  <c r="X8" i="5"/>
  <c r="Y8" i="5"/>
  <c r="T15" i="5"/>
  <c r="U15" i="5"/>
  <c r="V15" i="5"/>
  <c r="W15" i="5"/>
  <c r="X15" i="5"/>
  <c r="Y15" i="5"/>
  <c r="T21" i="5"/>
  <c r="U21" i="5"/>
  <c r="V21" i="5"/>
  <c r="W21" i="5"/>
  <c r="X21" i="5"/>
  <c r="Y21" i="5"/>
  <c r="T25" i="5"/>
  <c r="U25" i="5"/>
  <c r="V25" i="5"/>
  <c r="W25" i="5"/>
  <c r="X25" i="5"/>
  <c r="Y25" i="5"/>
  <c r="T18" i="5"/>
  <c r="U18" i="5"/>
  <c r="V18" i="5"/>
  <c r="W18" i="5"/>
  <c r="X18" i="5"/>
  <c r="Y18" i="5"/>
  <c r="T9" i="5"/>
  <c r="U9" i="5"/>
  <c r="V9" i="5"/>
  <c r="W9" i="5"/>
  <c r="X9" i="5"/>
  <c r="Y9" i="5"/>
  <c r="T24" i="5"/>
  <c r="U24" i="5"/>
  <c r="V24" i="5"/>
  <c r="W24" i="5"/>
  <c r="X24" i="5"/>
  <c r="Y24" i="5"/>
  <c r="T27" i="5"/>
  <c r="U27" i="5"/>
  <c r="V27" i="5"/>
  <c r="W27" i="5"/>
  <c r="X27" i="5"/>
  <c r="Y27" i="5"/>
  <c r="T10" i="5"/>
  <c r="U10" i="5"/>
  <c r="V10" i="5"/>
  <c r="W10" i="5"/>
  <c r="X10" i="5"/>
  <c r="Y10" i="5"/>
  <c r="T29" i="5"/>
  <c r="U29" i="5"/>
  <c r="V29" i="5"/>
  <c r="W29" i="5"/>
  <c r="X29" i="5"/>
  <c r="Y29" i="5"/>
  <c r="T7" i="5"/>
  <c r="U7" i="5"/>
  <c r="V7" i="5"/>
  <c r="W7" i="5"/>
  <c r="X7" i="5"/>
  <c r="Y7" i="5"/>
  <c r="D28" i="9"/>
  <c r="E28" i="9"/>
  <c r="F28" i="9"/>
  <c r="G28" i="9"/>
  <c r="H28" i="9"/>
  <c r="I28" i="9"/>
  <c r="J28" i="9"/>
  <c r="K28" i="9"/>
  <c r="L28" i="9"/>
  <c r="M28" i="9"/>
  <c r="N28" i="9"/>
  <c r="O28" i="9"/>
  <c r="P28" i="9"/>
  <c r="Q28" i="9"/>
  <c r="R28" i="9"/>
  <c r="S28" i="9"/>
  <c r="T28" i="9"/>
  <c r="U28" i="9"/>
  <c r="V28" i="9"/>
  <c r="W28" i="9"/>
  <c r="X28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U326" i="1"/>
  <c r="U325" i="1"/>
  <c r="U324" i="1"/>
  <c r="V321" i="1"/>
  <c r="V320" i="1"/>
  <c r="V319" i="1"/>
  <c r="S5" i="15"/>
  <c r="T5" i="15"/>
  <c r="U5" i="15"/>
  <c r="V5" i="15"/>
  <c r="W5" i="15"/>
  <c r="X5" i="15"/>
  <c r="S13" i="15"/>
  <c r="T13" i="15"/>
  <c r="U13" i="15"/>
  <c r="V13" i="15"/>
  <c r="W13" i="15"/>
  <c r="X13" i="15"/>
  <c r="S24" i="15"/>
  <c r="T24" i="15"/>
  <c r="U24" i="15"/>
  <c r="V24" i="15"/>
  <c r="W24" i="15"/>
  <c r="X24" i="15"/>
  <c r="S20" i="15"/>
  <c r="T20" i="15"/>
  <c r="U20" i="15"/>
  <c r="V20" i="15"/>
  <c r="W20" i="15"/>
  <c r="X20" i="15"/>
  <c r="S7" i="15"/>
  <c r="T7" i="15"/>
  <c r="U7" i="15"/>
  <c r="V7" i="15"/>
  <c r="W7" i="15"/>
  <c r="X7" i="15"/>
  <c r="S18" i="15"/>
  <c r="T18" i="15"/>
  <c r="U18" i="15"/>
  <c r="V18" i="15"/>
  <c r="W18" i="15"/>
  <c r="X18" i="15"/>
  <c r="S4" i="15"/>
  <c r="T4" i="15"/>
  <c r="U4" i="15"/>
  <c r="V4" i="15"/>
  <c r="W4" i="15"/>
  <c r="X4" i="15"/>
  <c r="S19" i="15"/>
  <c r="T19" i="15"/>
  <c r="U19" i="15"/>
  <c r="V19" i="15"/>
  <c r="W19" i="15"/>
  <c r="X19" i="15"/>
  <c r="S23" i="15"/>
  <c r="T23" i="15"/>
  <c r="U23" i="15"/>
  <c r="V23" i="15"/>
  <c r="W23" i="15"/>
  <c r="X23" i="15"/>
  <c r="S27" i="15"/>
  <c r="T27" i="15"/>
  <c r="U27" i="15"/>
  <c r="V27" i="15"/>
  <c r="W27" i="15"/>
  <c r="X27" i="15"/>
  <c r="S6" i="15"/>
  <c r="T6" i="15"/>
  <c r="U6" i="15"/>
  <c r="V6" i="15"/>
  <c r="W6" i="15"/>
  <c r="X6" i="15"/>
  <c r="S14" i="15"/>
  <c r="T14" i="15"/>
  <c r="U14" i="15"/>
  <c r="V14" i="15"/>
  <c r="W14" i="15"/>
  <c r="X14" i="15"/>
  <c r="S11" i="15"/>
  <c r="T11" i="15"/>
  <c r="U11" i="15"/>
  <c r="V11" i="15"/>
  <c r="W11" i="15"/>
  <c r="X11" i="15"/>
  <c r="S34" i="15"/>
  <c r="T34" i="15"/>
  <c r="U34" i="15"/>
  <c r="V34" i="15"/>
  <c r="W34" i="15"/>
  <c r="X34" i="15"/>
  <c r="S15" i="15"/>
  <c r="T15" i="15"/>
  <c r="U15" i="15"/>
  <c r="V15" i="15"/>
  <c r="W15" i="15"/>
  <c r="X15" i="15"/>
  <c r="S10" i="15"/>
  <c r="T10" i="15"/>
  <c r="U10" i="15"/>
  <c r="V10" i="15"/>
  <c r="W10" i="15"/>
  <c r="X10" i="15"/>
  <c r="S12" i="15"/>
  <c r="T12" i="15"/>
  <c r="U12" i="15"/>
  <c r="V12" i="15"/>
  <c r="W12" i="15"/>
  <c r="X12" i="15"/>
  <c r="S21" i="15"/>
  <c r="T21" i="15"/>
  <c r="U21" i="15"/>
  <c r="V21" i="15"/>
  <c r="W21" i="15"/>
  <c r="X21" i="15"/>
  <c r="S9" i="15"/>
  <c r="T9" i="15"/>
  <c r="U9" i="15"/>
  <c r="V9" i="15"/>
  <c r="W9" i="15"/>
  <c r="X9" i="15"/>
  <c r="S33" i="15"/>
  <c r="T33" i="15"/>
  <c r="U33" i="15"/>
  <c r="V33" i="15"/>
  <c r="W33" i="15"/>
  <c r="X33" i="15"/>
  <c r="S25" i="15"/>
  <c r="T25" i="15"/>
  <c r="U25" i="15"/>
  <c r="V25" i="15"/>
  <c r="W25" i="15"/>
  <c r="X25" i="15"/>
  <c r="S22" i="15"/>
  <c r="T22" i="15"/>
  <c r="U22" i="15"/>
  <c r="V22" i="15"/>
  <c r="W22" i="15"/>
  <c r="X22" i="15"/>
  <c r="S16" i="15"/>
  <c r="T16" i="15"/>
  <c r="U16" i="15"/>
  <c r="V16" i="15"/>
  <c r="W16" i="15"/>
  <c r="X16" i="15"/>
  <c r="S30" i="15"/>
  <c r="T30" i="15"/>
  <c r="U30" i="15"/>
  <c r="V30" i="15"/>
  <c r="W30" i="15"/>
  <c r="X30" i="15"/>
  <c r="S28" i="15"/>
  <c r="T28" i="15"/>
  <c r="U28" i="15"/>
  <c r="V28" i="15"/>
  <c r="W28" i="15"/>
  <c r="X28" i="15"/>
  <c r="S26" i="15"/>
  <c r="T26" i="15"/>
  <c r="U26" i="15"/>
  <c r="V26" i="15"/>
  <c r="W26" i="15"/>
  <c r="X26" i="15"/>
  <c r="S17" i="15"/>
  <c r="T17" i="15"/>
  <c r="U17" i="15"/>
  <c r="V17" i="15"/>
  <c r="W17" i="15"/>
  <c r="X17" i="15"/>
  <c r="S8" i="15"/>
  <c r="T8" i="15"/>
  <c r="U8" i="15"/>
  <c r="V8" i="15"/>
  <c r="W8" i="15"/>
  <c r="X8" i="15"/>
  <c r="S29" i="15"/>
  <c r="T29" i="15"/>
  <c r="U29" i="15"/>
  <c r="V29" i="15"/>
  <c r="W29" i="15"/>
  <c r="X29" i="15"/>
  <c r="S32" i="15"/>
  <c r="T32" i="15"/>
  <c r="U32" i="15"/>
  <c r="V32" i="15"/>
  <c r="W32" i="15"/>
  <c r="X32" i="15"/>
  <c r="S31" i="15"/>
  <c r="T31" i="15"/>
  <c r="U31" i="15"/>
  <c r="V31" i="15"/>
  <c r="W31" i="15"/>
  <c r="X31" i="15"/>
  <c r="BA35" i="15"/>
  <c r="BA36" i="15"/>
  <c r="AZ35" i="15"/>
  <c r="AZ36" i="15"/>
  <c r="AY35" i="15"/>
  <c r="AY36" i="15"/>
  <c r="AX35" i="15"/>
  <c r="AX36" i="15"/>
  <c r="BH32" i="15"/>
  <c r="BI32" i="15"/>
  <c r="BH29" i="15"/>
  <c r="BI29" i="15"/>
  <c r="BH8" i="15"/>
  <c r="BI8" i="15"/>
  <c r="BH17" i="15"/>
  <c r="BI17" i="15"/>
  <c r="BH26" i="15"/>
  <c r="BI26" i="15"/>
  <c r="BA33" i="16"/>
  <c r="BA34" i="16"/>
  <c r="AZ33" i="16"/>
  <c r="AZ34" i="16"/>
  <c r="AY33" i="16"/>
  <c r="AY34" i="16"/>
  <c r="AX33" i="16"/>
  <c r="AX34" i="16"/>
  <c r="BH16" i="16"/>
  <c r="BI16" i="16"/>
  <c r="BH19" i="16"/>
  <c r="BI19" i="16"/>
  <c r="BH14" i="16"/>
  <c r="BI14" i="16"/>
  <c r="S10" i="16"/>
  <c r="T10" i="16"/>
  <c r="U10" i="16"/>
  <c r="V10" i="16"/>
  <c r="W10" i="16"/>
  <c r="X10" i="16"/>
  <c r="S22" i="16"/>
  <c r="T22" i="16"/>
  <c r="U22" i="16"/>
  <c r="V22" i="16"/>
  <c r="W22" i="16"/>
  <c r="X22" i="16"/>
  <c r="S18" i="16"/>
  <c r="T18" i="16"/>
  <c r="U18" i="16"/>
  <c r="V18" i="16"/>
  <c r="W18" i="16"/>
  <c r="X18" i="16"/>
  <c r="S20" i="16"/>
  <c r="T20" i="16"/>
  <c r="U20" i="16"/>
  <c r="V20" i="16"/>
  <c r="W20" i="16"/>
  <c r="X20" i="16"/>
  <c r="S7" i="16"/>
  <c r="T7" i="16"/>
  <c r="U7" i="16"/>
  <c r="V7" i="16"/>
  <c r="W7" i="16"/>
  <c r="X7" i="16"/>
  <c r="S12" i="16"/>
  <c r="T12" i="16"/>
  <c r="U12" i="16"/>
  <c r="V12" i="16"/>
  <c r="W12" i="16"/>
  <c r="X12" i="16"/>
  <c r="S28" i="16"/>
  <c r="T28" i="16"/>
  <c r="U28" i="16"/>
  <c r="V28" i="16"/>
  <c r="W28" i="16"/>
  <c r="X28" i="16"/>
  <c r="S17" i="16"/>
  <c r="T17" i="16"/>
  <c r="U17" i="16"/>
  <c r="V17" i="16"/>
  <c r="W17" i="16"/>
  <c r="X17" i="16"/>
  <c r="S11" i="16"/>
  <c r="T11" i="16"/>
  <c r="U11" i="16"/>
  <c r="V11" i="16"/>
  <c r="W11" i="16"/>
  <c r="X11" i="16"/>
  <c r="S21" i="16"/>
  <c r="T21" i="16"/>
  <c r="U21" i="16"/>
  <c r="V21" i="16"/>
  <c r="W21" i="16"/>
  <c r="X21" i="16"/>
  <c r="S32" i="16"/>
  <c r="T32" i="16"/>
  <c r="U32" i="16"/>
  <c r="V32" i="16"/>
  <c r="W32" i="16"/>
  <c r="X32" i="16"/>
  <c r="S23" i="16"/>
  <c r="T23" i="16"/>
  <c r="U23" i="16"/>
  <c r="V23" i="16"/>
  <c r="W23" i="16"/>
  <c r="X23" i="16"/>
  <c r="S15" i="16"/>
  <c r="T15" i="16"/>
  <c r="U15" i="16"/>
  <c r="V15" i="16"/>
  <c r="W15" i="16"/>
  <c r="X15" i="16"/>
  <c r="S31" i="16"/>
  <c r="T31" i="16"/>
  <c r="U31" i="16"/>
  <c r="V31" i="16"/>
  <c r="W31" i="16"/>
  <c r="X31" i="16"/>
  <c r="S6" i="16"/>
  <c r="T6" i="16"/>
  <c r="U6" i="16"/>
  <c r="V6" i="16"/>
  <c r="W6" i="16"/>
  <c r="X6" i="16"/>
  <c r="S26" i="16"/>
  <c r="T26" i="16"/>
  <c r="U26" i="16"/>
  <c r="V26" i="16"/>
  <c r="W26" i="16"/>
  <c r="X26" i="16"/>
  <c r="S30" i="16"/>
  <c r="T30" i="16"/>
  <c r="U30" i="16"/>
  <c r="V30" i="16"/>
  <c r="W30" i="16"/>
  <c r="X30" i="16"/>
  <c r="S9" i="16"/>
  <c r="T9" i="16"/>
  <c r="U9" i="16"/>
  <c r="V9" i="16"/>
  <c r="W9" i="16"/>
  <c r="X9" i="16"/>
  <c r="S8" i="16"/>
  <c r="T8" i="16"/>
  <c r="U8" i="16"/>
  <c r="V8" i="16"/>
  <c r="W8" i="16"/>
  <c r="X8" i="16"/>
  <c r="S5" i="16"/>
  <c r="T5" i="16"/>
  <c r="U5" i="16"/>
  <c r="V5" i="16"/>
  <c r="W5" i="16"/>
  <c r="X5" i="16"/>
  <c r="S13" i="16"/>
  <c r="T13" i="16"/>
  <c r="U13" i="16"/>
  <c r="V13" i="16"/>
  <c r="W13" i="16"/>
  <c r="X13" i="16"/>
  <c r="S27" i="16"/>
  <c r="T27" i="16"/>
  <c r="U27" i="16"/>
  <c r="V27" i="16"/>
  <c r="W27" i="16"/>
  <c r="X27" i="16"/>
  <c r="S29" i="16"/>
  <c r="T29" i="16"/>
  <c r="U29" i="16"/>
  <c r="V29" i="16"/>
  <c r="W29" i="16"/>
  <c r="X29" i="16"/>
  <c r="S24" i="16"/>
  <c r="T24" i="16"/>
  <c r="U24" i="16"/>
  <c r="V24" i="16"/>
  <c r="W24" i="16"/>
  <c r="X24" i="16"/>
  <c r="S4" i="16"/>
  <c r="T4" i="16"/>
  <c r="U4" i="16"/>
  <c r="V4" i="16"/>
  <c r="W4" i="16"/>
  <c r="X4" i="16"/>
  <c r="S14" i="16"/>
  <c r="T14" i="16"/>
  <c r="U14" i="16"/>
  <c r="V14" i="16"/>
  <c r="W14" i="16"/>
  <c r="X14" i="16"/>
  <c r="S19" i="16"/>
  <c r="T19" i="16"/>
  <c r="U19" i="16"/>
  <c r="V19" i="16"/>
  <c r="W19" i="16"/>
  <c r="X19" i="16"/>
  <c r="S16" i="16"/>
  <c r="T16" i="16"/>
  <c r="U16" i="16"/>
  <c r="V16" i="16"/>
  <c r="W16" i="16"/>
  <c r="X16" i="16"/>
  <c r="S25" i="16"/>
  <c r="T25" i="16"/>
  <c r="U25" i="16"/>
  <c r="V25" i="16"/>
  <c r="W25" i="16"/>
  <c r="X25" i="16"/>
  <c r="R10" i="16"/>
  <c r="R22" i="16"/>
  <c r="R18" i="16"/>
  <c r="R20" i="16"/>
  <c r="R7" i="16"/>
  <c r="R12" i="16"/>
  <c r="R28" i="16"/>
  <c r="R17" i="16"/>
  <c r="R11" i="16"/>
  <c r="R21" i="16"/>
  <c r="R32" i="16"/>
  <c r="R23" i="16"/>
  <c r="R15" i="16"/>
  <c r="R31" i="16"/>
  <c r="R6" i="16"/>
  <c r="R26" i="16"/>
  <c r="R30" i="16"/>
  <c r="R9" i="16"/>
  <c r="R8" i="16"/>
  <c r="R5" i="16"/>
  <c r="R13" i="16"/>
  <c r="R27" i="16"/>
  <c r="R29" i="16"/>
  <c r="R24" i="16"/>
  <c r="R4" i="16"/>
  <c r="R14" i="16"/>
  <c r="R19" i="16"/>
  <c r="R16" i="16"/>
  <c r="R25" i="16"/>
  <c r="AJ43" i="16"/>
  <c r="AJ44" i="16"/>
  <c r="AJ45" i="16"/>
  <c r="AJ46" i="16"/>
  <c r="AJ47" i="16"/>
  <c r="AJ48" i="16"/>
  <c r="AJ49" i="16"/>
  <c r="AJ50" i="16"/>
  <c r="AJ51" i="16"/>
  <c r="AJ52" i="16"/>
  <c r="AJ53" i="16"/>
  <c r="AJ54" i="16"/>
  <c r="AJ55" i="16"/>
  <c r="AJ56" i="16"/>
  <c r="AJ57" i="16"/>
  <c r="AJ58" i="16"/>
  <c r="AJ59" i="16"/>
  <c r="AJ60" i="16"/>
  <c r="AJ61" i="16"/>
  <c r="AJ62" i="16"/>
  <c r="AJ63" i="16"/>
  <c r="AJ64" i="16"/>
  <c r="AJ65" i="16"/>
  <c r="AJ66" i="16"/>
  <c r="AJ67" i="16"/>
  <c r="AJ68" i="16"/>
  <c r="AJ69" i="16"/>
  <c r="AJ70" i="16"/>
  <c r="AJ42" i="16"/>
  <c r="BI32" i="14"/>
  <c r="BI33" i="14"/>
  <c r="BH32" i="14"/>
  <c r="BH33" i="14"/>
  <c r="BG32" i="14"/>
  <c r="BG33" i="14"/>
  <c r="BF32" i="14"/>
  <c r="BF33" i="14"/>
  <c r="BP30" i="14"/>
  <c r="BQ30" i="14"/>
  <c r="V22" i="14"/>
  <c r="W22" i="14"/>
  <c r="Z22" i="14"/>
  <c r="AA22" i="14"/>
  <c r="AB22" i="14"/>
  <c r="V18" i="14"/>
  <c r="W18" i="14"/>
  <c r="Z18" i="14"/>
  <c r="AA18" i="14"/>
  <c r="AB18" i="14"/>
  <c r="V7" i="14"/>
  <c r="W7" i="14"/>
  <c r="Z7" i="14"/>
  <c r="AA7" i="14"/>
  <c r="AB7" i="14"/>
  <c r="V29" i="14"/>
  <c r="W29" i="14"/>
  <c r="Z29" i="14"/>
  <c r="AA29" i="14"/>
  <c r="AB29" i="14"/>
  <c r="V4" i="14"/>
  <c r="W4" i="14"/>
  <c r="Z4" i="14"/>
  <c r="AA4" i="14"/>
  <c r="AB4" i="14"/>
  <c r="V25" i="14"/>
  <c r="W25" i="14"/>
  <c r="Z25" i="14"/>
  <c r="AA25" i="14"/>
  <c r="AB25" i="14"/>
  <c r="V21" i="14"/>
  <c r="W21" i="14"/>
  <c r="Z21" i="14"/>
  <c r="AA21" i="14"/>
  <c r="AB21" i="14"/>
  <c r="V14" i="14"/>
  <c r="W14" i="14"/>
  <c r="Z14" i="14"/>
  <c r="AA14" i="14"/>
  <c r="AB14" i="14"/>
  <c r="V20" i="14"/>
  <c r="W20" i="14"/>
  <c r="Z20" i="14"/>
  <c r="AA20" i="14"/>
  <c r="AB20" i="14"/>
  <c r="V24" i="14"/>
  <c r="W24" i="14"/>
  <c r="Z24" i="14"/>
  <c r="AA24" i="14"/>
  <c r="AB24" i="14"/>
  <c r="V27" i="14"/>
  <c r="W27" i="14"/>
  <c r="Z27" i="14"/>
  <c r="AA27" i="14"/>
  <c r="AB27" i="14"/>
  <c r="V23" i="14"/>
  <c r="W23" i="14"/>
  <c r="Z23" i="14"/>
  <c r="AA23" i="14"/>
  <c r="AB23" i="14"/>
  <c r="V15" i="14"/>
  <c r="W15" i="14"/>
  <c r="Z15" i="14"/>
  <c r="AA15" i="14"/>
  <c r="AB15" i="14"/>
  <c r="V13" i="14"/>
  <c r="W13" i="14"/>
  <c r="Z13" i="14"/>
  <c r="AA13" i="14"/>
  <c r="AB13" i="14"/>
  <c r="V10" i="14"/>
  <c r="W10" i="14"/>
  <c r="Z10" i="14"/>
  <c r="AA10" i="14"/>
  <c r="AB10" i="14"/>
  <c r="V28" i="14"/>
  <c r="W28" i="14"/>
  <c r="Z28" i="14"/>
  <c r="AA28" i="14"/>
  <c r="AB28" i="14"/>
  <c r="V8" i="14"/>
  <c r="W8" i="14"/>
  <c r="Z8" i="14"/>
  <c r="AA8" i="14"/>
  <c r="AB8" i="14"/>
  <c r="V19" i="14"/>
  <c r="W19" i="14"/>
  <c r="Z19" i="14"/>
  <c r="AA19" i="14"/>
  <c r="AB19" i="14"/>
  <c r="V11" i="14"/>
  <c r="W11" i="14"/>
  <c r="Z11" i="14"/>
  <c r="AA11" i="14"/>
  <c r="AB11" i="14"/>
  <c r="V17" i="14"/>
  <c r="W17" i="14"/>
  <c r="Z17" i="14"/>
  <c r="AA17" i="14"/>
  <c r="AB17" i="14"/>
  <c r="V6" i="14"/>
  <c r="W6" i="14"/>
  <c r="Z6" i="14"/>
  <c r="AA6" i="14"/>
  <c r="AB6" i="14"/>
  <c r="V31" i="14"/>
  <c r="W31" i="14"/>
  <c r="Z31" i="14"/>
  <c r="AA31" i="14"/>
  <c r="AB31" i="14"/>
  <c r="V5" i="14"/>
  <c r="W5" i="14"/>
  <c r="Z5" i="14"/>
  <c r="AA5" i="14"/>
  <c r="AB5" i="14"/>
  <c r="V16" i="14"/>
  <c r="W16" i="14"/>
  <c r="Z16" i="14"/>
  <c r="AA16" i="14"/>
  <c r="AB16" i="14"/>
  <c r="V12" i="14"/>
  <c r="W12" i="14"/>
  <c r="Z12" i="14"/>
  <c r="AA12" i="14"/>
  <c r="AB12" i="14"/>
  <c r="V26" i="14"/>
  <c r="W26" i="14"/>
  <c r="Z26" i="14"/>
  <c r="AA26" i="14"/>
  <c r="AB26" i="14"/>
  <c r="V30" i="14"/>
  <c r="W30" i="14"/>
  <c r="Z30" i="14"/>
  <c r="AA30" i="14"/>
  <c r="AB30" i="14"/>
  <c r="W9" i="14"/>
  <c r="X9" i="14"/>
  <c r="H267" i="1" s="1"/>
  <c r="Z9" i="14"/>
  <c r="AA9" i="14"/>
  <c r="AB9" i="14"/>
  <c r="V26" i="8"/>
  <c r="W26" i="8"/>
  <c r="X26" i="8"/>
  <c r="Y26" i="8"/>
  <c r="Z26" i="8"/>
  <c r="AA26" i="8"/>
  <c r="AB26" i="8"/>
  <c r="V10" i="8"/>
  <c r="W10" i="8"/>
  <c r="X10" i="8"/>
  <c r="Y10" i="8"/>
  <c r="Z10" i="8"/>
  <c r="AA10" i="8"/>
  <c r="AB10" i="8"/>
  <c r="V27" i="8"/>
  <c r="W27" i="8"/>
  <c r="X27" i="8"/>
  <c r="Y27" i="8"/>
  <c r="Z27" i="8"/>
  <c r="AA27" i="8"/>
  <c r="AB27" i="8"/>
  <c r="V4" i="8"/>
  <c r="W4" i="8"/>
  <c r="X4" i="8"/>
  <c r="Y4" i="8"/>
  <c r="Z4" i="8"/>
  <c r="AA4" i="8"/>
  <c r="AB4" i="8"/>
  <c r="V16" i="8"/>
  <c r="W16" i="8"/>
  <c r="X16" i="8"/>
  <c r="Y16" i="8"/>
  <c r="Z16" i="8"/>
  <c r="AA16" i="8"/>
  <c r="AB16" i="8"/>
  <c r="V31" i="8"/>
  <c r="W31" i="8"/>
  <c r="X31" i="8"/>
  <c r="Y31" i="8"/>
  <c r="Z31" i="8"/>
  <c r="AA31" i="8"/>
  <c r="AB31" i="8"/>
  <c r="V6" i="8"/>
  <c r="W6" i="8"/>
  <c r="X6" i="8"/>
  <c r="Y6" i="8"/>
  <c r="Z6" i="8"/>
  <c r="AA6" i="8"/>
  <c r="AB6" i="8"/>
  <c r="V24" i="8"/>
  <c r="W24" i="8"/>
  <c r="X24" i="8"/>
  <c r="Y24" i="8"/>
  <c r="Z24" i="8"/>
  <c r="AA24" i="8"/>
  <c r="AB24" i="8"/>
  <c r="V5" i="8"/>
  <c r="W5" i="8"/>
  <c r="X5" i="8"/>
  <c r="Y5" i="8"/>
  <c r="Z5" i="8"/>
  <c r="AA5" i="8"/>
  <c r="AB5" i="8"/>
  <c r="V15" i="8"/>
  <c r="W15" i="8"/>
  <c r="X15" i="8"/>
  <c r="Y15" i="8"/>
  <c r="Z15" i="8"/>
  <c r="AA15" i="8"/>
  <c r="AB15" i="8"/>
  <c r="V8" i="8"/>
  <c r="W8" i="8"/>
  <c r="X8" i="8"/>
  <c r="Y8" i="8"/>
  <c r="Z8" i="8"/>
  <c r="AA8" i="8"/>
  <c r="AB8" i="8"/>
  <c r="V13" i="8"/>
  <c r="W13" i="8"/>
  <c r="X13" i="8"/>
  <c r="Y13" i="8"/>
  <c r="Z13" i="8"/>
  <c r="AA13" i="8"/>
  <c r="AB13" i="8"/>
  <c r="V18" i="8"/>
  <c r="W18" i="8"/>
  <c r="X18" i="8"/>
  <c r="Y18" i="8"/>
  <c r="Z18" i="8"/>
  <c r="AA18" i="8"/>
  <c r="AB18" i="8"/>
  <c r="V17" i="8"/>
  <c r="W17" i="8"/>
  <c r="X17" i="8"/>
  <c r="Y17" i="8"/>
  <c r="Z17" i="8"/>
  <c r="AA17" i="8"/>
  <c r="AB17" i="8"/>
  <c r="V22" i="8"/>
  <c r="W22" i="8"/>
  <c r="X22" i="8"/>
  <c r="Y22" i="8"/>
  <c r="Z22" i="8"/>
  <c r="AA22" i="8"/>
  <c r="AB22" i="8"/>
  <c r="V12" i="8"/>
  <c r="W12" i="8"/>
  <c r="X12" i="8"/>
  <c r="Y12" i="8"/>
  <c r="Z12" i="8"/>
  <c r="AA12" i="8"/>
  <c r="AB12" i="8"/>
  <c r="V28" i="8"/>
  <c r="W28" i="8"/>
  <c r="X28" i="8"/>
  <c r="Y28" i="8"/>
  <c r="Z28" i="8"/>
  <c r="AA28" i="8"/>
  <c r="AB28" i="8"/>
  <c r="V23" i="8"/>
  <c r="W23" i="8"/>
  <c r="X23" i="8"/>
  <c r="Y23" i="8"/>
  <c r="Z23" i="8"/>
  <c r="AA23" i="8"/>
  <c r="AB23" i="8"/>
  <c r="V32" i="8"/>
  <c r="W32" i="8"/>
  <c r="X32" i="8"/>
  <c r="Y32" i="8"/>
  <c r="Z32" i="8"/>
  <c r="AA32" i="8"/>
  <c r="AB32" i="8"/>
  <c r="V11" i="8"/>
  <c r="W11" i="8"/>
  <c r="X11" i="8"/>
  <c r="Y11" i="8"/>
  <c r="Z11" i="8"/>
  <c r="AA11" i="8"/>
  <c r="AB11" i="8"/>
  <c r="V29" i="8"/>
  <c r="W29" i="8"/>
  <c r="X29" i="8"/>
  <c r="Y29" i="8"/>
  <c r="Z29" i="8"/>
  <c r="AA29" i="8"/>
  <c r="AB29" i="8"/>
  <c r="V14" i="8"/>
  <c r="W14" i="8"/>
  <c r="X14" i="8"/>
  <c r="Y14" i="8"/>
  <c r="Z14" i="8"/>
  <c r="AA14" i="8"/>
  <c r="AB14" i="8"/>
  <c r="V30" i="8"/>
  <c r="W30" i="8"/>
  <c r="X30" i="8"/>
  <c r="Y30" i="8"/>
  <c r="Z30" i="8"/>
  <c r="AA30" i="8"/>
  <c r="AB30" i="8"/>
  <c r="V9" i="8"/>
  <c r="W9" i="8"/>
  <c r="X9" i="8"/>
  <c r="Y9" i="8"/>
  <c r="Z9" i="8"/>
  <c r="AA9" i="8"/>
  <c r="AB9" i="8"/>
  <c r="V7" i="8"/>
  <c r="W7" i="8"/>
  <c r="X7" i="8"/>
  <c r="Y7" i="8"/>
  <c r="Z7" i="8"/>
  <c r="AA7" i="8"/>
  <c r="AB7" i="8"/>
  <c r="V21" i="8"/>
  <c r="W21" i="8"/>
  <c r="X21" i="8"/>
  <c r="Y21" i="8"/>
  <c r="Z21" i="8"/>
  <c r="AA21" i="8"/>
  <c r="AB21" i="8"/>
  <c r="V25" i="8"/>
  <c r="W25" i="8"/>
  <c r="X25" i="8"/>
  <c r="Y25" i="8"/>
  <c r="Z25" i="8"/>
  <c r="AA25" i="8"/>
  <c r="AB25" i="8"/>
  <c r="V20" i="8"/>
  <c r="W20" i="8"/>
  <c r="X20" i="8"/>
  <c r="Y20" i="8"/>
  <c r="Z20" i="8"/>
  <c r="AA20" i="8"/>
  <c r="AB20" i="8"/>
  <c r="W19" i="8"/>
  <c r="H194" i="1" s="1"/>
  <c r="X19" i="8"/>
  <c r="Y19" i="8"/>
  <c r="Z19" i="8"/>
  <c r="AA19" i="8"/>
  <c r="AB19" i="8"/>
  <c r="R5" i="20"/>
  <c r="S5" i="20"/>
  <c r="T5" i="20"/>
  <c r="U5" i="20"/>
  <c r="V5" i="20"/>
  <c r="W5" i="20"/>
  <c r="X5" i="20"/>
  <c r="R6" i="20"/>
  <c r="S6" i="20"/>
  <c r="T6" i="20"/>
  <c r="U6" i="20"/>
  <c r="V6" i="20"/>
  <c r="W6" i="20"/>
  <c r="X6" i="20"/>
  <c r="R7" i="20"/>
  <c r="S7" i="20"/>
  <c r="T7" i="20"/>
  <c r="U7" i="20"/>
  <c r="V7" i="20"/>
  <c r="W7" i="20"/>
  <c r="X7" i="20"/>
  <c r="R8" i="20"/>
  <c r="S8" i="20"/>
  <c r="T8" i="20"/>
  <c r="U8" i="20"/>
  <c r="V8" i="20"/>
  <c r="W8" i="20"/>
  <c r="X8" i="20"/>
  <c r="R9" i="20"/>
  <c r="S9" i="20"/>
  <c r="T9" i="20"/>
  <c r="U9" i="20"/>
  <c r="V9" i="20"/>
  <c r="W9" i="20"/>
  <c r="X9" i="20"/>
  <c r="R10" i="20"/>
  <c r="S10" i="20"/>
  <c r="T10" i="20"/>
  <c r="U10" i="20"/>
  <c r="V10" i="20"/>
  <c r="W10" i="20"/>
  <c r="X10" i="20"/>
  <c r="R11" i="20"/>
  <c r="S11" i="20"/>
  <c r="T11" i="20"/>
  <c r="U11" i="20"/>
  <c r="V11" i="20"/>
  <c r="W11" i="20"/>
  <c r="X11" i="20"/>
  <c r="R12" i="20"/>
  <c r="S12" i="20"/>
  <c r="T12" i="20"/>
  <c r="U12" i="20"/>
  <c r="V12" i="20"/>
  <c r="W12" i="20"/>
  <c r="X12" i="20"/>
  <c r="R13" i="20"/>
  <c r="S13" i="20"/>
  <c r="T13" i="20"/>
  <c r="U13" i="20"/>
  <c r="V13" i="20"/>
  <c r="W13" i="20"/>
  <c r="X13" i="20"/>
  <c r="R14" i="20"/>
  <c r="S14" i="20"/>
  <c r="T14" i="20"/>
  <c r="U14" i="20"/>
  <c r="V14" i="20"/>
  <c r="W14" i="20"/>
  <c r="X14" i="20"/>
  <c r="R15" i="20"/>
  <c r="S15" i="20"/>
  <c r="T15" i="20"/>
  <c r="U15" i="20"/>
  <c r="V15" i="20"/>
  <c r="W15" i="20"/>
  <c r="X15" i="20"/>
  <c r="R16" i="20"/>
  <c r="S16" i="20"/>
  <c r="T16" i="20"/>
  <c r="U16" i="20"/>
  <c r="V16" i="20"/>
  <c r="W16" i="20"/>
  <c r="X16" i="20"/>
  <c r="R17" i="20"/>
  <c r="S17" i="20"/>
  <c r="T17" i="20"/>
  <c r="U17" i="20"/>
  <c r="V17" i="20"/>
  <c r="W17" i="20"/>
  <c r="X17" i="20"/>
  <c r="R18" i="20"/>
  <c r="S18" i="20"/>
  <c r="T18" i="20"/>
  <c r="U18" i="20"/>
  <c r="V18" i="20"/>
  <c r="W18" i="20"/>
  <c r="X18" i="20"/>
  <c r="R19" i="20"/>
  <c r="S19" i="20"/>
  <c r="T19" i="20"/>
  <c r="U19" i="20"/>
  <c r="V19" i="20"/>
  <c r="W19" i="20"/>
  <c r="X19" i="20"/>
  <c r="R20" i="20"/>
  <c r="S20" i="20"/>
  <c r="T20" i="20"/>
  <c r="U20" i="20"/>
  <c r="V20" i="20"/>
  <c r="W20" i="20"/>
  <c r="X20" i="20"/>
  <c r="R21" i="20"/>
  <c r="S21" i="20"/>
  <c r="T21" i="20"/>
  <c r="U21" i="20"/>
  <c r="V21" i="20"/>
  <c r="W21" i="20"/>
  <c r="X21" i="20"/>
  <c r="R22" i="20"/>
  <c r="S22" i="20"/>
  <c r="T22" i="20"/>
  <c r="U22" i="20"/>
  <c r="V22" i="20"/>
  <c r="W22" i="20"/>
  <c r="X22" i="20"/>
  <c r="R23" i="20"/>
  <c r="S23" i="20"/>
  <c r="T23" i="20"/>
  <c r="U23" i="20"/>
  <c r="V23" i="20"/>
  <c r="W23" i="20"/>
  <c r="X23" i="20"/>
  <c r="R24" i="20"/>
  <c r="S24" i="20"/>
  <c r="T24" i="20"/>
  <c r="U24" i="20"/>
  <c r="V24" i="20"/>
  <c r="W24" i="20"/>
  <c r="X24" i="20"/>
  <c r="R27" i="20"/>
  <c r="S27" i="20"/>
  <c r="T27" i="20"/>
  <c r="U27" i="20"/>
  <c r="V27" i="20"/>
  <c r="W27" i="20"/>
  <c r="X27" i="20"/>
  <c r="R29" i="20"/>
  <c r="S29" i="20"/>
  <c r="T29" i="20"/>
  <c r="U29" i="20"/>
  <c r="V29" i="20"/>
  <c r="W29" i="20"/>
  <c r="X29" i="20"/>
  <c r="R31" i="20"/>
  <c r="S31" i="20"/>
  <c r="T31" i="20"/>
  <c r="U31" i="20"/>
  <c r="V31" i="20"/>
  <c r="W31" i="20"/>
  <c r="X31" i="20"/>
  <c r="S4" i="20"/>
  <c r="T4" i="20"/>
  <c r="U4" i="20"/>
  <c r="V4" i="20"/>
  <c r="W4" i="20"/>
  <c r="X4" i="20"/>
  <c r="R5" i="10"/>
  <c r="S5" i="10"/>
  <c r="T5" i="10"/>
  <c r="U5" i="10"/>
  <c r="V5" i="10"/>
  <c r="W5" i="10"/>
  <c r="X5" i="10"/>
  <c r="R6" i="10"/>
  <c r="S6" i="10"/>
  <c r="T6" i="10"/>
  <c r="U6" i="10"/>
  <c r="V6" i="10"/>
  <c r="W6" i="10"/>
  <c r="X6" i="10"/>
  <c r="R7" i="10"/>
  <c r="S7" i="10"/>
  <c r="T7" i="10"/>
  <c r="U7" i="10"/>
  <c r="V7" i="10"/>
  <c r="W7" i="10"/>
  <c r="X7" i="10"/>
  <c r="R8" i="10"/>
  <c r="S8" i="10"/>
  <c r="T8" i="10"/>
  <c r="U8" i="10"/>
  <c r="V8" i="10"/>
  <c r="W8" i="10"/>
  <c r="X8" i="10"/>
  <c r="R9" i="10"/>
  <c r="S9" i="10"/>
  <c r="T9" i="10"/>
  <c r="U9" i="10"/>
  <c r="V9" i="10"/>
  <c r="W9" i="10"/>
  <c r="X9" i="10"/>
  <c r="R10" i="10"/>
  <c r="S10" i="10"/>
  <c r="T10" i="10"/>
  <c r="U10" i="10"/>
  <c r="V10" i="10"/>
  <c r="W10" i="10"/>
  <c r="X10" i="10"/>
  <c r="R11" i="10"/>
  <c r="S11" i="10"/>
  <c r="T11" i="10"/>
  <c r="U11" i="10"/>
  <c r="V11" i="10"/>
  <c r="W11" i="10"/>
  <c r="X11" i="10"/>
  <c r="R12" i="10"/>
  <c r="S12" i="10"/>
  <c r="T12" i="10"/>
  <c r="U12" i="10"/>
  <c r="V12" i="10"/>
  <c r="W12" i="10"/>
  <c r="X12" i="10"/>
  <c r="R13" i="10"/>
  <c r="S13" i="10"/>
  <c r="T13" i="10"/>
  <c r="U13" i="10"/>
  <c r="V13" i="10"/>
  <c r="W13" i="10"/>
  <c r="X13" i="10"/>
  <c r="R14" i="10"/>
  <c r="S14" i="10"/>
  <c r="T14" i="10"/>
  <c r="U14" i="10"/>
  <c r="V14" i="10"/>
  <c r="W14" i="10"/>
  <c r="X14" i="10"/>
  <c r="R15" i="10"/>
  <c r="S15" i="10"/>
  <c r="T15" i="10"/>
  <c r="U15" i="10"/>
  <c r="V15" i="10"/>
  <c r="W15" i="10"/>
  <c r="X15" i="10"/>
  <c r="R16" i="10"/>
  <c r="S16" i="10"/>
  <c r="T16" i="10"/>
  <c r="U16" i="10"/>
  <c r="V16" i="10"/>
  <c r="W16" i="10"/>
  <c r="X16" i="10"/>
  <c r="R17" i="10"/>
  <c r="S17" i="10"/>
  <c r="T17" i="10"/>
  <c r="U17" i="10"/>
  <c r="V17" i="10"/>
  <c r="W17" i="10"/>
  <c r="X17" i="10"/>
  <c r="R18" i="10"/>
  <c r="S18" i="10"/>
  <c r="T18" i="10"/>
  <c r="U18" i="10"/>
  <c r="V18" i="10"/>
  <c r="W18" i="10"/>
  <c r="X18" i="10"/>
  <c r="R19" i="10"/>
  <c r="S19" i="10"/>
  <c r="T19" i="10"/>
  <c r="U19" i="10"/>
  <c r="V19" i="10"/>
  <c r="W19" i="10"/>
  <c r="X19" i="10"/>
  <c r="R20" i="10"/>
  <c r="S20" i="10"/>
  <c r="T20" i="10"/>
  <c r="U20" i="10"/>
  <c r="V20" i="10"/>
  <c r="W20" i="10"/>
  <c r="X20" i="10"/>
  <c r="R21" i="10"/>
  <c r="S21" i="10"/>
  <c r="T21" i="10"/>
  <c r="U21" i="10"/>
  <c r="V21" i="10"/>
  <c r="W21" i="10"/>
  <c r="X21" i="10"/>
  <c r="R22" i="10"/>
  <c r="S22" i="10"/>
  <c r="T22" i="10"/>
  <c r="U22" i="10"/>
  <c r="V22" i="10"/>
  <c r="W22" i="10"/>
  <c r="X22" i="10"/>
  <c r="R23" i="10"/>
  <c r="S23" i="10"/>
  <c r="T23" i="10"/>
  <c r="U23" i="10"/>
  <c r="V23" i="10"/>
  <c r="W23" i="10"/>
  <c r="X23" i="10"/>
  <c r="R24" i="10"/>
  <c r="S24" i="10"/>
  <c r="T24" i="10"/>
  <c r="U24" i="10"/>
  <c r="V24" i="10"/>
  <c r="W24" i="10"/>
  <c r="X24" i="10"/>
  <c r="R25" i="10"/>
  <c r="S25" i="10"/>
  <c r="T25" i="10"/>
  <c r="U25" i="10"/>
  <c r="V25" i="10"/>
  <c r="W25" i="10"/>
  <c r="X25" i="10"/>
  <c r="R26" i="10"/>
  <c r="S26" i="10"/>
  <c r="T26" i="10"/>
  <c r="U26" i="10"/>
  <c r="V26" i="10"/>
  <c r="W26" i="10"/>
  <c r="X26" i="10"/>
  <c r="R27" i="10"/>
  <c r="S27" i="10"/>
  <c r="T27" i="10"/>
  <c r="U27" i="10"/>
  <c r="V27" i="10"/>
  <c r="W27" i="10"/>
  <c r="X27" i="10"/>
  <c r="S4" i="10"/>
  <c r="T4" i="10"/>
  <c r="U4" i="10"/>
  <c r="V4" i="10"/>
  <c r="W4" i="10"/>
  <c r="X4" i="10"/>
  <c r="R4" i="10"/>
  <c r="BH4" i="9"/>
  <c r="BI4" i="9"/>
  <c r="R5" i="9"/>
  <c r="S5" i="9"/>
  <c r="T5" i="9"/>
  <c r="U5" i="9"/>
  <c r="V5" i="9"/>
  <c r="W5" i="9"/>
  <c r="X5" i="9"/>
  <c r="R6" i="9"/>
  <c r="S6" i="9"/>
  <c r="T6" i="9"/>
  <c r="U6" i="9"/>
  <c r="V6" i="9"/>
  <c r="W6" i="9"/>
  <c r="X6" i="9"/>
  <c r="R7" i="9"/>
  <c r="S7" i="9"/>
  <c r="T7" i="9"/>
  <c r="U7" i="9"/>
  <c r="V7" i="9"/>
  <c r="W7" i="9"/>
  <c r="X7" i="9"/>
  <c r="R8" i="9"/>
  <c r="S8" i="9"/>
  <c r="T8" i="9"/>
  <c r="U8" i="9"/>
  <c r="V8" i="9"/>
  <c r="W8" i="9"/>
  <c r="X8" i="9"/>
  <c r="R9" i="9"/>
  <c r="S9" i="9"/>
  <c r="T9" i="9"/>
  <c r="U9" i="9"/>
  <c r="V9" i="9"/>
  <c r="W9" i="9"/>
  <c r="X9" i="9"/>
  <c r="R10" i="9"/>
  <c r="S10" i="9"/>
  <c r="T10" i="9"/>
  <c r="U10" i="9"/>
  <c r="V10" i="9"/>
  <c r="W10" i="9"/>
  <c r="X10" i="9"/>
  <c r="R11" i="9"/>
  <c r="S11" i="9"/>
  <c r="T11" i="9"/>
  <c r="U11" i="9"/>
  <c r="V11" i="9"/>
  <c r="W11" i="9"/>
  <c r="X11" i="9"/>
  <c r="R12" i="9"/>
  <c r="S12" i="9"/>
  <c r="T12" i="9"/>
  <c r="U12" i="9"/>
  <c r="V12" i="9"/>
  <c r="W12" i="9"/>
  <c r="X12" i="9"/>
  <c r="R13" i="9"/>
  <c r="S13" i="9"/>
  <c r="T13" i="9"/>
  <c r="U13" i="9"/>
  <c r="V13" i="9"/>
  <c r="W13" i="9"/>
  <c r="X13" i="9"/>
  <c r="R15" i="9"/>
  <c r="S15" i="9"/>
  <c r="T15" i="9"/>
  <c r="U15" i="9"/>
  <c r="V15" i="9"/>
  <c r="W15" i="9"/>
  <c r="X15" i="9"/>
  <c r="R16" i="9"/>
  <c r="S16" i="9"/>
  <c r="T16" i="9"/>
  <c r="U16" i="9"/>
  <c r="V16" i="9"/>
  <c r="W16" i="9"/>
  <c r="X16" i="9"/>
  <c r="R17" i="9"/>
  <c r="S17" i="9"/>
  <c r="T17" i="9"/>
  <c r="U17" i="9"/>
  <c r="V17" i="9"/>
  <c r="W17" i="9"/>
  <c r="X17" i="9"/>
  <c r="R18" i="9"/>
  <c r="S18" i="9"/>
  <c r="T18" i="9"/>
  <c r="U18" i="9"/>
  <c r="V18" i="9"/>
  <c r="W18" i="9"/>
  <c r="X18" i="9"/>
  <c r="R19" i="9"/>
  <c r="S19" i="9"/>
  <c r="T19" i="9"/>
  <c r="U19" i="9"/>
  <c r="V19" i="9"/>
  <c r="W19" i="9"/>
  <c r="X19" i="9"/>
  <c r="R20" i="9"/>
  <c r="S20" i="9"/>
  <c r="T20" i="9"/>
  <c r="U20" i="9"/>
  <c r="V20" i="9"/>
  <c r="W20" i="9"/>
  <c r="X20" i="9"/>
  <c r="R21" i="9"/>
  <c r="S21" i="9"/>
  <c r="T21" i="9"/>
  <c r="U21" i="9"/>
  <c r="V21" i="9"/>
  <c r="W21" i="9"/>
  <c r="X21" i="9"/>
  <c r="R22" i="9"/>
  <c r="S22" i="9"/>
  <c r="T22" i="9"/>
  <c r="U22" i="9"/>
  <c r="V22" i="9"/>
  <c r="W22" i="9"/>
  <c r="X22" i="9"/>
  <c r="R23" i="9"/>
  <c r="S23" i="9"/>
  <c r="T23" i="9"/>
  <c r="U23" i="9"/>
  <c r="V23" i="9"/>
  <c r="W23" i="9"/>
  <c r="X23" i="9"/>
  <c r="R24" i="9"/>
  <c r="S24" i="9"/>
  <c r="T24" i="9"/>
  <c r="U24" i="9"/>
  <c r="V24" i="9"/>
  <c r="W24" i="9"/>
  <c r="X24" i="9"/>
  <c r="R25" i="9"/>
  <c r="S25" i="9"/>
  <c r="T25" i="9"/>
  <c r="U25" i="9"/>
  <c r="V25" i="9"/>
  <c r="W25" i="9"/>
  <c r="X25" i="9"/>
  <c r="R26" i="9"/>
  <c r="S26" i="9"/>
  <c r="T26" i="9"/>
  <c r="U26" i="9"/>
  <c r="V26" i="9"/>
  <c r="W26" i="9"/>
  <c r="X26" i="9"/>
  <c r="R27" i="9"/>
  <c r="S27" i="9"/>
  <c r="T27" i="9"/>
  <c r="U27" i="9"/>
  <c r="V27" i="9"/>
  <c r="W27" i="9"/>
  <c r="X27" i="9"/>
  <c r="R29" i="9"/>
  <c r="S29" i="9"/>
  <c r="T29" i="9"/>
  <c r="U29" i="9"/>
  <c r="V29" i="9"/>
  <c r="W29" i="9"/>
  <c r="X29" i="9"/>
  <c r="S4" i="9"/>
  <c r="T4" i="9"/>
  <c r="U4" i="9"/>
  <c r="V4" i="9"/>
  <c r="W4" i="9"/>
  <c r="X4" i="9"/>
  <c r="BG33" i="8"/>
  <c r="BG34" i="8"/>
  <c r="BE33" i="8"/>
  <c r="BE34" i="8"/>
  <c r="BP20" i="8"/>
  <c r="BQ20" i="8"/>
  <c r="BP25" i="8"/>
  <c r="BQ25" i="8"/>
  <c r="Y350" i="1" l="1"/>
  <c r="H270" i="1"/>
  <c r="H97" i="1"/>
  <c r="H197" i="1"/>
  <c r="H271" i="1"/>
  <c r="H269" i="1"/>
  <c r="H266" i="1"/>
  <c r="H198" i="1"/>
  <c r="H195" i="1"/>
  <c r="H199" i="1"/>
  <c r="H370" i="1"/>
  <c r="H369" i="1"/>
  <c r="H368" i="1"/>
  <c r="H367" i="1"/>
  <c r="H366" i="1"/>
  <c r="H365" i="1"/>
  <c r="H94" i="1"/>
  <c r="H93" i="1"/>
  <c r="H98" i="1"/>
  <c r="H96" i="1"/>
  <c r="H335" i="1"/>
  <c r="H332" i="1"/>
  <c r="H336" i="1"/>
  <c r="Z28" i="9"/>
  <c r="Y28" i="9"/>
  <c r="Z14" i="9"/>
  <c r="Y14" i="9"/>
  <c r="H334" i="1"/>
  <c r="H333" i="1"/>
  <c r="H337" i="1"/>
  <c r="U293" i="1"/>
  <c r="U292" i="1"/>
  <c r="U291" i="1"/>
  <c r="V288" i="1"/>
  <c r="V287" i="1"/>
  <c r="V286" i="1"/>
  <c r="H304" i="1"/>
  <c r="H303" i="1"/>
  <c r="H302" i="1"/>
  <c r="H301" i="1"/>
  <c r="H300" i="1"/>
  <c r="H299" i="1"/>
  <c r="U553" i="1"/>
  <c r="U552" i="1"/>
  <c r="U551" i="1"/>
  <c r="V548" i="1"/>
  <c r="V547" i="1"/>
  <c r="V546" i="1"/>
  <c r="H562" i="1"/>
  <c r="H561" i="1"/>
  <c r="H560" i="1"/>
  <c r="H559" i="1"/>
  <c r="H558" i="1"/>
  <c r="H557" i="1"/>
  <c r="H305" i="1" l="1"/>
  <c r="U393" i="1"/>
  <c r="U392" i="1"/>
  <c r="U391" i="1"/>
  <c r="V388" i="1"/>
  <c r="V387" i="1"/>
  <c r="V386" i="1"/>
  <c r="H402" i="1"/>
  <c r="H401" i="1"/>
  <c r="H400" i="1"/>
  <c r="H399" i="1"/>
  <c r="H398" i="1"/>
  <c r="H397" i="1"/>
  <c r="U425" i="1" l="1"/>
  <c r="U424" i="1"/>
  <c r="U423" i="1"/>
  <c r="V420" i="1"/>
  <c r="V419" i="1"/>
  <c r="V418" i="1"/>
  <c r="R26" i="17" l="1"/>
  <c r="S26" i="17"/>
  <c r="T26" i="17"/>
  <c r="U26" i="17"/>
  <c r="V26" i="17"/>
  <c r="W26" i="17"/>
  <c r="X26" i="17"/>
  <c r="R25" i="17"/>
  <c r="S25" i="17"/>
  <c r="T25" i="17"/>
  <c r="U25" i="17"/>
  <c r="V25" i="17"/>
  <c r="W25" i="17"/>
  <c r="X25" i="17"/>
  <c r="R27" i="17"/>
  <c r="S27" i="17"/>
  <c r="T27" i="17"/>
  <c r="U27" i="17"/>
  <c r="V27" i="17"/>
  <c r="W27" i="17"/>
  <c r="X27" i="17"/>
  <c r="R6" i="17"/>
  <c r="S6" i="17"/>
  <c r="T6" i="17"/>
  <c r="U6" i="17"/>
  <c r="V6" i="17"/>
  <c r="W6" i="17"/>
  <c r="X6" i="17"/>
  <c r="R7" i="17"/>
  <c r="S7" i="17"/>
  <c r="T7" i="17"/>
  <c r="U7" i="17"/>
  <c r="V7" i="17"/>
  <c r="W7" i="17"/>
  <c r="X7" i="17"/>
  <c r="R11" i="17"/>
  <c r="S11" i="17"/>
  <c r="T11" i="17"/>
  <c r="U11" i="17"/>
  <c r="V11" i="17"/>
  <c r="W11" i="17"/>
  <c r="X11" i="17"/>
  <c r="R10" i="17"/>
  <c r="S10" i="17"/>
  <c r="T10" i="17"/>
  <c r="U10" i="17"/>
  <c r="V10" i="17"/>
  <c r="W10" i="17"/>
  <c r="X10" i="17"/>
  <c r="R17" i="17"/>
  <c r="S17" i="17"/>
  <c r="T17" i="17"/>
  <c r="U17" i="17"/>
  <c r="V17" i="17"/>
  <c r="W17" i="17"/>
  <c r="X17" i="17"/>
  <c r="R15" i="17"/>
  <c r="S15" i="17"/>
  <c r="T15" i="17"/>
  <c r="U15" i="17"/>
  <c r="V15" i="17"/>
  <c r="W15" i="17"/>
  <c r="X15" i="17"/>
  <c r="R14" i="17"/>
  <c r="S14" i="17"/>
  <c r="T14" i="17"/>
  <c r="U14" i="17"/>
  <c r="V14" i="17"/>
  <c r="W14" i="17"/>
  <c r="X14" i="17"/>
  <c r="R20" i="17"/>
  <c r="S20" i="17"/>
  <c r="T20" i="17"/>
  <c r="U20" i="17"/>
  <c r="V20" i="17"/>
  <c r="W20" i="17"/>
  <c r="X20" i="17"/>
  <c r="R24" i="17"/>
  <c r="S24" i="17"/>
  <c r="T24" i="17"/>
  <c r="U24" i="17"/>
  <c r="V24" i="17"/>
  <c r="W24" i="17"/>
  <c r="X24" i="17"/>
  <c r="R9" i="17"/>
  <c r="S9" i="17"/>
  <c r="T9" i="17"/>
  <c r="U9" i="17"/>
  <c r="V9" i="17"/>
  <c r="W9" i="17"/>
  <c r="X9" i="17"/>
  <c r="R13" i="17"/>
  <c r="S13" i="17"/>
  <c r="T13" i="17"/>
  <c r="U13" i="17"/>
  <c r="V13" i="17"/>
  <c r="W13" i="17"/>
  <c r="X13" i="17"/>
  <c r="R5" i="17"/>
  <c r="S5" i="17"/>
  <c r="T5" i="17"/>
  <c r="U5" i="17"/>
  <c r="V5" i="17"/>
  <c r="W5" i="17"/>
  <c r="X5" i="17"/>
  <c r="R18" i="17"/>
  <c r="S18" i="17"/>
  <c r="T18" i="17"/>
  <c r="U18" i="17"/>
  <c r="V18" i="17"/>
  <c r="W18" i="17"/>
  <c r="X18" i="17"/>
  <c r="R23" i="17"/>
  <c r="S23" i="17"/>
  <c r="T23" i="17"/>
  <c r="U23" i="17"/>
  <c r="V23" i="17"/>
  <c r="W23" i="17"/>
  <c r="X23" i="17"/>
  <c r="R4" i="17"/>
  <c r="S4" i="17"/>
  <c r="T4" i="17"/>
  <c r="U4" i="17"/>
  <c r="V4" i="17"/>
  <c r="W4" i="17"/>
  <c r="X4" i="17"/>
  <c r="R8" i="17"/>
  <c r="S8" i="17"/>
  <c r="T8" i="17"/>
  <c r="U8" i="17"/>
  <c r="V8" i="17"/>
  <c r="W8" i="17"/>
  <c r="X8" i="17"/>
  <c r="R22" i="17"/>
  <c r="S22" i="17"/>
  <c r="T22" i="17"/>
  <c r="U22" i="17"/>
  <c r="V22" i="17"/>
  <c r="W22" i="17"/>
  <c r="X22" i="17"/>
  <c r="R21" i="17"/>
  <c r="S21" i="17"/>
  <c r="T21" i="17"/>
  <c r="U21" i="17"/>
  <c r="V21" i="17"/>
  <c r="W21" i="17"/>
  <c r="X21" i="17"/>
  <c r="R19" i="17"/>
  <c r="S19" i="17"/>
  <c r="T19" i="17"/>
  <c r="U19" i="17"/>
  <c r="V19" i="17"/>
  <c r="W19" i="17"/>
  <c r="X19" i="17"/>
  <c r="R16" i="17"/>
  <c r="S16" i="17"/>
  <c r="T16" i="17"/>
  <c r="U16" i="17"/>
  <c r="V16" i="17"/>
  <c r="W16" i="17"/>
  <c r="X16" i="17"/>
  <c r="R28" i="17"/>
  <c r="S28" i="17"/>
  <c r="T28" i="17"/>
  <c r="U28" i="17"/>
  <c r="V28" i="17"/>
  <c r="W28" i="17"/>
  <c r="X28" i="17"/>
  <c r="S12" i="17"/>
  <c r="T12" i="17"/>
  <c r="U12" i="17"/>
  <c r="V12" i="17"/>
  <c r="W12" i="17"/>
  <c r="X12" i="17"/>
  <c r="AT6" i="23"/>
  <c r="AU6" i="23"/>
  <c r="AT13" i="23"/>
  <c r="AU13" i="23"/>
  <c r="BA34" i="19"/>
  <c r="BA35" i="19"/>
  <c r="AZ34" i="19"/>
  <c r="AZ35" i="19"/>
  <c r="AY34" i="19"/>
  <c r="AY35" i="19"/>
  <c r="AX34" i="19"/>
  <c r="AX35" i="19"/>
  <c r="AW34" i="19"/>
  <c r="AW35" i="19"/>
  <c r="BH12" i="19"/>
  <c r="BI12" i="19"/>
  <c r="BH4" i="19"/>
  <c r="BI4" i="19"/>
  <c r="BH18" i="19"/>
  <c r="BI18" i="19"/>
  <c r="BH32" i="19"/>
  <c r="BI32" i="19"/>
  <c r="BH11" i="19"/>
  <c r="BI11" i="19"/>
  <c r="BH17" i="19"/>
  <c r="BI17" i="19"/>
  <c r="BH24" i="19"/>
  <c r="BI24" i="19"/>
  <c r="U489" i="1"/>
  <c r="U488" i="1"/>
  <c r="U487" i="1"/>
  <c r="V484" i="1"/>
  <c r="V483" i="1"/>
  <c r="V482" i="1"/>
  <c r="R31" i="19"/>
  <c r="S31" i="19"/>
  <c r="T31" i="19"/>
  <c r="U31" i="19"/>
  <c r="V31" i="19"/>
  <c r="W31" i="19"/>
  <c r="X31" i="19"/>
  <c r="R21" i="19"/>
  <c r="S21" i="19"/>
  <c r="T21" i="19"/>
  <c r="U21" i="19"/>
  <c r="V21" i="19"/>
  <c r="W21" i="19"/>
  <c r="X21" i="19"/>
  <c r="R7" i="19"/>
  <c r="S7" i="19"/>
  <c r="T7" i="19"/>
  <c r="U7" i="19"/>
  <c r="V7" i="19"/>
  <c r="W7" i="19"/>
  <c r="X7" i="19"/>
  <c r="R19" i="19"/>
  <c r="S19" i="19"/>
  <c r="T19" i="19"/>
  <c r="U19" i="19"/>
  <c r="V19" i="19"/>
  <c r="W19" i="19"/>
  <c r="X19" i="19"/>
  <c r="R27" i="19"/>
  <c r="S27" i="19"/>
  <c r="T27" i="19"/>
  <c r="U27" i="19"/>
  <c r="V27" i="19"/>
  <c r="W27" i="19"/>
  <c r="X27" i="19"/>
  <c r="R28" i="19"/>
  <c r="S28" i="19"/>
  <c r="T28" i="19"/>
  <c r="U28" i="19"/>
  <c r="V28" i="19"/>
  <c r="W28" i="19"/>
  <c r="X28" i="19"/>
  <c r="R5" i="19"/>
  <c r="S5" i="19"/>
  <c r="T5" i="19"/>
  <c r="U5" i="19"/>
  <c r="V5" i="19"/>
  <c r="W5" i="19"/>
  <c r="X5" i="19"/>
  <c r="R9" i="19"/>
  <c r="S9" i="19"/>
  <c r="T9" i="19"/>
  <c r="U9" i="19"/>
  <c r="V9" i="19"/>
  <c r="W9" i="19"/>
  <c r="X9" i="19"/>
  <c r="R14" i="19"/>
  <c r="S14" i="19"/>
  <c r="T14" i="19"/>
  <c r="U14" i="19"/>
  <c r="V14" i="19"/>
  <c r="W14" i="19"/>
  <c r="X14" i="19"/>
  <c r="R30" i="19"/>
  <c r="S30" i="19"/>
  <c r="T30" i="19"/>
  <c r="U30" i="19"/>
  <c r="V30" i="19"/>
  <c r="W30" i="19"/>
  <c r="X30" i="19"/>
  <c r="R29" i="19"/>
  <c r="S29" i="19"/>
  <c r="T29" i="19"/>
  <c r="U29" i="19"/>
  <c r="V29" i="19"/>
  <c r="W29" i="19"/>
  <c r="X29" i="19"/>
  <c r="R15" i="19"/>
  <c r="S15" i="19"/>
  <c r="T15" i="19"/>
  <c r="U15" i="19"/>
  <c r="V15" i="19"/>
  <c r="W15" i="19"/>
  <c r="X15" i="19"/>
  <c r="R6" i="19"/>
  <c r="S6" i="19"/>
  <c r="T6" i="19"/>
  <c r="U6" i="19"/>
  <c r="V6" i="19"/>
  <c r="W6" i="19"/>
  <c r="X6" i="19"/>
  <c r="R8" i="19"/>
  <c r="S8" i="19"/>
  <c r="T8" i="19"/>
  <c r="U8" i="19"/>
  <c r="V8" i="19"/>
  <c r="W8" i="19"/>
  <c r="X8" i="19"/>
  <c r="R33" i="19"/>
  <c r="S33" i="19"/>
  <c r="T33" i="19"/>
  <c r="U33" i="19"/>
  <c r="V33" i="19"/>
  <c r="W33" i="19"/>
  <c r="X33" i="19"/>
  <c r="R10" i="19"/>
  <c r="S10" i="19"/>
  <c r="T10" i="19"/>
  <c r="U10" i="19"/>
  <c r="V10" i="19"/>
  <c r="W10" i="19"/>
  <c r="X10" i="19"/>
  <c r="R13" i="19"/>
  <c r="S13" i="19"/>
  <c r="T13" i="19"/>
  <c r="U13" i="19"/>
  <c r="V13" i="19"/>
  <c r="W13" i="19"/>
  <c r="X13" i="19"/>
  <c r="R26" i="19"/>
  <c r="S26" i="19"/>
  <c r="T26" i="19"/>
  <c r="U26" i="19"/>
  <c r="V26" i="19"/>
  <c r="W26" i="19"/>
  <c r="X26" i="19"/>
  <c r="R23" i="19"/>
  <c r="S23" i="19"/>
  <c r="T23" i="19"/>
  <c r="U23" i="19"/>
  <c r="V23" i="19"/>
  <c r="W23" i="19"/>
  <c r="X23" i="19"/>
  <c r="R20" i="19"/>
  <c r="S20" i="19"/>
  <c r="T20" i="19"/>
  <c r="U20" i="19"/>
  <c r="V20" i="19"/>
  <c r="W20" i="19"/>
  <c r="X20" i="19"/>
  <c r="R22" i="19"/>
  <c r="S22" i="19"/>
  <c r="T22" i="19"/>
  <c r="U22" i="19"/>
  <c r="V22" i="19"/>
  <c r="W22" i="19"/>
  <c r="X22" i="19"/>
  <c r="R16" i="19"/>
  <c r="S16" i="19"/>
  <c r="T16" i="19"/>
  <c r="U16" i="19"/>
  <c r="V16" i="19"/>
  <c r="W16" i="19"/>
  <c r="X16" i="19"/>
  <c r="R24" i="19"/>
  <c r="S24" i="19"/>
  <c r="T24" i="19"/>
  <c r="U24" i="19"/>
  <c r="V24" i="19"/>
  <c r="W24" i="19"/>
  <c r="X24" i="19"/>
  <c r="R17" i="19"/>
  <c r="S17" i="19"/>
  <c r="T17" i="19"/>
  <c r="U17" i="19"/>
  <c r="V17" i="19"/>
  <c r="W17" i="19"/>
  <c r="X17" i="19"/>
  <c r="R11" i="19"/>
  <c r="S11" i="19"/>
  <c r="T11" i="19"/>
  <c r="U11" i="19"/>
  <c r="V11" i="19"/>
  <c r="W11" i="19"/>
  <c r="X11" i="19"/>
  <c r="R32" i="19"/>
  <c r="S32" i="19"/>
  <c r="T32" i="19"/>
  <c r="U32" i="19"/>
  <c r="V32" i="19"/>
  <c r="W32" i="19"/>
  <c r="X32" i="19"/>
  <c r="R18" i="19"/>
  <c r="S18" i="19"/>
  <c r="T18" i="19"/>
  <c r="U18" i="19"/>
  <c r="V18" i="19"/>
  <c r="W18" i="19"/>
  <c r="X18" i="19"/>
  <c r="R4" i="19"/>
  <c r="S4" i="19"/>
  <c r="T4" i="19"/>
  <c r="U4" i="19"/>
  <c r="V4" i="19"/>
  <c r="W4" i="19"/>
  <c r="X4" i="19"/>
  <c r="R12" i="19"/>
  <c r="S12" i="19"/>
  <c r="T12" i="19"/>
  <c r="U12" i="19"/>
  <c r="V12" i="19"/>
  <c r="W12" i="19"/>
  <c r="X12" i="19"/>
  <c r="S25" i="19"/>
  <c r="T25" i="19"/>
  <c r="U25" i="19"/>
  <c r="V25" i="19"/>
  <c r="W25" i="19"/>
  <c r="X25" i="19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R25" i="4"/>
  <c r="S25" i="4"/>
  <c r="T25" i="4"/>
  <c r="U25" i="4"/>
  <c r="V25" i="4"/>
  <c r="D12" i="4"/>
  <c r="E12" i="4"/>
  <c r="F12" i="4"/>
  <c r="G12" i="4"/>
  <c r="H12" i="4"/>
  <c r="I12" i="4"/>
  <c r="J12" i="4"/>
  <c r="K12" i="4"/>
  <c r="L12" i="4"/>
  <c r="M12" i="4"/>
  <c r="N12" i="4"/>
  <c r="O12" i="4"/>
  <c r="R12" i="4"/>
  <c r="S12" i="4"/>
  <c r="T12" i="4"/>
  <c r="U12" i="4"/>
  <c r="D17" i="4"/>
  <c r="E17" i="4"/>
  <c r="F17" i="4"/>
  <c r="G17" i="4"/>
  <c r="H17" i="4"/>
  <c r="I17" i="4"/>
  <c r="J17" i="4"/>
  <c r="K17" i="4"/>
  <c r="L17" i="4"/>
  <c r="M17" i="4"/>
  <c r="N17" i="4"/>
  <c r="O17" i="4"/>
  <c r="R17" i="4"/>
  <c r="S17" i="4"/>
  <c r="T17" i="4"/>
  <c r="U17" i="4"/>
  <c r="D13" i="4"/>
  <c r="E13" i="4"/>
  <c r="F13" i="4"/>
  <c r="G13" i="4"/>
  <c r="H13" i="4"/>
  <c r="I13" i="4"/>
  <c r="J13" i="4"/>
  <c r="K13" i="4"/>
  <c r="L13" i="4"/>
  <c r="M13" i="4"/>
  <c r="N13" i="4"/>
  <c r="O13" i="4"/>
  <c r="R13" i="4"/>
  <c r="S13" i="4"/>
  <c r="T13" i="4"/>
  <c r="U13" i="4"/>
  <c r="D22" i="4"/>
  <c r="E22" i="4"/>
  <c r="F22" i="4"/>
  <c r="G22" i="4"/>
  <c r="H22" i="4"/>
  <c r="I22" i="4"/>
  <c r="J22" i="4"/>
  <c r="K22" i="4"/>
  <c r="L22" i="4"/>
  <c r="M22" i="4"/>
  <c r="N22" i="4"/>
  <c r="O22" i="4"/>
  <c r="R22" i="4"/>
  <c r="S22" i="4"/>
  <c r="T22" i="4"/>
  <c r="U22" i="4"/>
  <c r="D16" i="4"/>
  <c r="E16" i="4"/>
  <c r="F16" i="4"/>
  <c r="G16" i="4"/>
  <c r="H16" i="4"/>
  <c r="I16" i="4"/>
  <c r="J16" i="4"/>
  <c r="K16" i="4"/>
  <c r="L16" i="4"/>
  <c r="M16" i="4"/>
  <c r="N16" i="4"/>
  <c r="O16" i="4"/>
  <c r="R16" i="4"/>
  <c r="S16" i="4"/>
  <c r="T16" i="4"/>
  <c r="U16" i="4"/>
  <c r="D4" i="4"/>
  <c r="E4" i="4"/>
  <c r="F4" i="4"/>
  <c r="G4" i="4"/>
  <c r="H4" i="4"/>
  <c r="I4" i="4"/>
  <c r="J4" i="4"/>
  <c r="K4" i="4"/>
  <c r="L4" i="4"/>
  <c r="M4" i="4"/>
  <c r="N4" i="4"/>
  <c r="O4" i="4"/>
  <c r="R4" i="4"/>
  <c r="S4" i="4"/>
  <c r="T4" i="4"/>
  <c r="U4" i="4"/>
  <c r="D11" i="4"/>
  <c r="E11" i="4"/>
  <c r="F11" i="4"/>
  <c r="G11" i="4"/>
  <c r="H11" i="4"/>
  <c r="I11" i="4"/>
  <c r="J11" i="4"/>
  <c r="K11" i="4"/>
  <c r="L11" i="4"/>
  <c r="M11" i="4"/>
  <c r="N11" i="4"/>
  <c r="O11" i="4"/>
  <c r="R11" i="4"/>
  <c r="S11" i="4"/>
  <c r="T11" i="4"/>
  <c r="U11" i="4"/>
  <c r="D7" i="4"/>
  <c r="E7" i="4"/>
  <c r="F7" i="4"/>
  <c r="G7" i="4"/>
  <c r="H7" i="4"/>
  <c r="I7" i="4"/>
  <c r="J7" i="4"/>
  <c r="K7" i="4"/>
  <c r="L7" i="4"/>
  <c r="M7" i="4"/>
  <c r="N7" i="4"/>
  <c r="O7" i="4"/>
  <c r="R7" i="4"/>
  <c r="S7" i="4"/>
  <c r="T7" i="4"/>
  <c r="U7" i="4"/>
  <c r="D9" i="4"/>
  <c r="E9" i="4"/>
  <c r="F9" i="4"/>
  <c r="G9" i="4"/>
  <c r="H9" i="4"/>
  <c r="I9" i="4"/>
  <c r="J9" i="4"/>
  <c r="K9" i="4"/>
  <c r="L9" i="4"/>
  <c r="M9" i="4"/>
  <c r="N9" i="4"/>
  <c r="O9" i="4"/>
  <c r="R9" i="4"/>
  <c r="S9" i="4"/>
  <c r="T9" i="4"/>
  <c r="U9" i="4"/>
  <c r="D27" i="4"/>
  <c r="E27" i="4"/>
  <c r="F27" i="4"/>
  <c r="G27" i="4"/>
  <c r="H27" i="4"/>
  <c r="I27" i="4"/>
  <c r="J27" i="4"/>
  <c r="K27" i="4"/>
  <c r="L27" i="4"/>
  <c r="M27" i="4"/>
  <c r="N27" i="4"/>
  <c r="O27" i="4"/>
  <c r="R27" i="4"/>
  <c r="S27" i="4"/>
  <c r="T27" i="4"/>
  <c r="U27" i="4"/>
  <c r="D8" i="4"/>
  <c r="E8" i="4"/>
  <c r="F8" i="4"/>
  <c r="G8" i="4"/>
  <c r="H8" i="4"/>
  <c r="I8" i="4"/>
  <c r="J8" i="4"/>
  <c r="K8" i="4"/>
  <c r="L8" i="4"/>
  <c r="M8" i="4"/>
  <c r="N8" i="4"/>
  <c r="O8" i="4"/>
  <c r="R8" i="4"/>
  <c r="S8" i="4"/>
  <c r="T8" i="4"/>
  <c r="U8" i="4"/>
  <c r="D14" i="4"/>
  <c r="E14" i="4"/>
  <c r="F14" i="4"/>
  <c r="G14" i="4"/>
  <c r="H14" i="4"/>
  <c r="I14" i="4"/>
  <c r="J14" i="4"/>
  <c r="K14" i="4"/>
  <c r="L14" i="4"/>
  <c r="M14" i="4"/>
  <c r="N14" i="4"/>
  <c r="O14" i="4"/>
  <c r="R14" i="4"/>
  <c r="S14" i="4"/>
  <c r="T14" i="4"/>
  <c r="U14" i="4"/>
  <c r="D6" i="4"/>
  <c r="E6" i="4"/>
  <c r="F6" i="4"/>
  <c r="G6" i="4"/>
  <c r="H6" i="4"/>
  <c r="I6" i="4"/>
  <c r="J6" i="4"/>
  <c r="K6" i="4"/>
  <c r="L6" i="4"/>
  <c r="M6" i="4"/>
  <c r="N6" i="4"/>
  <c r="O6" i="4"/>
  <c r="R6" i="4"/>
  <c r="S6" i="4"/>
  <c r="T6" i="4"/>
  <c r="U6" i="4"/>
  <c r="D24" i="4"/>
  <c r="E24" i="4"/>
  <c r="F24" i="4"/>
  <c r="G24" i="4"/>
  <c r="H24" i="4"/>
  <c r="I24" i="4"/>
  <c r="J24" i="4"/>
  <c r="K24" i="4"/>
  <c r="L24" i="4"/>
  <c r="M24" i="4"/>
  <c r="N24" i="4"/>
  <c r="O24" i="4"/>
  <c r="R24" i="4"/>
  <c r="S24" i="4"/>
  <c r="T24" i="4"/>
  <c r="U24" i="4"/>
  <c r="D5" i="4"/>
  <c r="E5" i="4"/>
  <c r="F5" i="4"/>
  <c r="G5" i="4"/>
  <c r="H5" i="4"/>
  <c r="I5" i="4"/>
  <c r="J5" i="4"/>
  <c r="K5" i="4"/>
  <c r="L5" i="4"/>
  <c r="M5" i="4"/>
  <c r="N5" i="4"/>
  <c r="O5" i="4"/>
  <c r="R5" i="4"/>
  <c r="S5" i="4"/>
  <c r="T5" i="4"/>
  <c r="U5" i="4"/>
  <c r="D20" i="4"/>
  <c r="E20" i="4"/>
  <c r="F20" i="4"/>
  <c r="G20" i="4"/>
  <c r="H20" i="4"/>
  <c r="I20" i="4"/>
  <c r="J20" i="4"/>
  <c r="K20" i="4"/>
  <c r="L20" i="4"/>
  <c r="M20" i="4"/>
  <c r="N20" i="4"/>
  <c r="O20" i="4"/>
  <c r="R20" i="4"/>
  <c r="S20" i="4"/>
  <c r="T20" i="4"/>
  <c r="U20" i="4"/>
  <c r="D26" i="4"/>
  <c r="E26" i="4"/>
  <c r="F26" i="4"/>
  <c r="G26" i="4"/>
  <c r="H26" i="4"/>
  <c r="I26" i="4"/>
  <c r="J26" i="4"/>
  <c r="K26" i="4"/>
  <c r="L26" i="4"/>
  <c r="M26" i="4"/>
  <c r="N26" i="4"/>
  <c r="O26" i="4"/>
  <c r="R26" i="4"/>
  <c r="S26" i="4"/>
  <c r="T26" i="4"/>
  <c r="U26" i="4"/>
  <c r="D19" i="4"/>
  <c r="E19" i="4"/>
  <c r="F19" i="4"/>
  <c r="G19" i="4"/>
  <c r="H19" i="4"/>
  <c r="I19" i="4"/>
  <c r="J19" i="4"/>
  <c r="K19" i="4"/>
  <c r="L19" i="4"/>
  <c r="M19" i="4"/>
  <c r="N19" i="4"/>
  <c r="O19" i="4"/>
  <c r="R19" i="4"/>
  <c r="S19" i="4"/>
  <c r="T19" i="4"/>
  <c r="U19" i="4"/>
  <c r="D18" i="4"/>
  <c r="E18" i="4"/>
  <c r="F18" i="4"/>
  <c r="G18" i="4"/>
  <c r="H18" i="4"/>
  <c r="I18" i="4"/>
  <c r="J18" i="4"/>
  <c r="K18" i="4"/>
  <c r="L18" i="4"/>
  <c r="M18" i="4"/>
  <c r="N18" i="4"/>
  <c r="O18" i="4"/>
  <c r="R18" i="4"/>
  <c r="S18" i="4"/>
  <c r="T18" i="4"/>
  <c r="U18" i="4"/>
  <c r="D15" i="4"/>
  <c r="E15" i="4"/>
  <c r="F15" i="4"/>
  <c r="G15" i="4"/>
  <c r="H15" i="4"/>
  <c r="I15" i="4"/>
  <c r="J15" i="4"/>
  <c r="K15" i="4"/>
  <c r="L15" i="4"/>
  <c r="M15" i="4"/>
  <c r="N15" i="4"/>
  <c r="O15" i="4"/>
  <c r="R15" i="4"/>
  <c r="S15" i="4"/>
  <c r="T15" i="4"/>
  <c r="U15" i="4"/>
  <c r="D21" i="4"/>
  <c r="E21" i="4"/>
  <c r="F21" i="4"/>
  <c r="G21" i="4"/>
  <c r="H21" i="4"/>
  <c r="I21" i="4"/>
  <c r="J21" i="4"/>
  <c r="K21" i="4"/>
  <c r="L21" i="4"/>
  <c r="M21" i="4"/>
  <c r="N21" i="4"/>
  <c r="O21" i="4"/>
  <c r="R21" i="4"/>
  <c r="S21" i="4"/>
  <c r="T21" i="4"/>
  <c r="U21" i="4"/>
  <c r="D10" i="4"/>
  <c r="E10" i="4"/>
  <c r="F10" i="4"/>
  <c r="G10" i="4"/>
  <c r="H10" i="4"/>
  <c r="I10" i="4"/>
  <c r="J10" i="4"/>
  <c r="K10" i="4"/>
  <c r="L10" i="4"/>
  <c r="M10" i="4"/>
  <c r="N10" i="4"/>
  <c r="O10" i="4"/>
  <c r="R10" i="4"/>
  <c r="S10" i="4"/>
  <c r="T10" i="4"/>
  <c r="U10" i="4"/>
  <c r="D23" i="4"/>
  <c r="E23" i="4"/>
  <c r="F23" i="4"/>
  <c r="G23" i="4"/>
  <c r="H23" i="4"/>
  <c r="I23" i="4"/>
  <c r="J23" i="4"/>
  <c r="K23" i="4"/>
  <c r="L23" i="4"/>
  <c r="M23" i="4"/>
  <c r="N23" i="4"/>
  <c r="O23" i="4"/>
  <c r="R23" i="4"/>
  <c r="S23" i="4"/>
  <c r="T23" i="4"/>
  <c r="U23" i="4"/>
  <c r="J461" i="1"/>
  <c r="AC669" i="1"/>
  <c r="AC640" i="1"/>
  <c r="AC613" i="1"/>
  <c r="AC580" i="1"/>
  <c r="AC549" i="1"/>
  <c r="AC517" i="1"/>
  <c r="AC485" i="1"/>
  <c r="AC453" i="1"/>
  <c r="AC421" i="1"/>
  <c r="AC389" i="1"/>
  <c r="AC355" i="1"/>
  <c r="AC322" i="1"/>
  <c r="AC289" i="1"/>
  <c r="AC254" i="1"/>
  <c r="AC218" i="1"/>
  <c r="AC182" i="1"/>
  <c r="AC147" i="1"/>
  <c r="D656" i="1"/>
  <c r="U656" i="1" s="1"/>
  <c r="K657" i="1"/>
  <c r="AB657" i="1" s="1"/>
  <c r="K628" i="1"/>
  <c r="AB628" i="1" s="1"/>
  <c r="G644" i="1"/>
  <c r="L644" i="1" s="1"/>
  <c r="D627" i="1"/>
  <c r="U627" i="1" s="1"/>
  <c r="K599" i="1"/>
  <c r="AB599" i="1" s="1"/>
  <c r="U617" i="1"/>
  <c r="U616" i="1"/>
  <c r="U615" i="1"/>
  <c r="V612" i="1"/>
  <c r="V611" i="1"/>
  <c r="V610" i="1"/>
  <c r="D598" i="1"/>
  <c r="U598" i="1" s="1"/>
  <c r="AB674" i="1"/>
  <c r="L673" i="1"/>
  <c r="D659" i="1"/>
  <c r="D658" i="1"/>
  <c r="U657" i="1"/>
  <c r="AB645" i="1"/>
  <c r="D630" i="1"/>
  <c r="D629" i="1"/>
  <c r="U628" i="1"/>
  <c r="G615" i="1"/>
  <c r="L615" i="1" s="1"/>
  <c r="AB618" i="1"/>
  <c r="U599" i="1"/>
  <c r="D601" i="1"/>
  <c r="D600" i="1"/>
  <c r="D567" i="1"/>
  <c r="K568" i="1"/>
  <c r="K537" i="1"/>
  <c r="H595" i="1"/>
  <c r="J595" i="1" s="1"/>
  <c r="H594" i="1"/>
  <c r="J594" i="1" s="1"/>
  <c r="J593" i="1"/>
  <c r="J592" i="1"/>
  <c r="J591" i="1"/>
  <c r="J590" i="1"/>
  <c r="J589" i="1"/>
  <c r="J588" i="1"/>
  <c r="G585" i="1"/>
  <c r="J560" i="1"/>
  <c r="J559" i="1"/>
  <c r="J557" i="1"/>
  <c r="D536" i="1"/>
  <c r="K505" i="1"/>
  <c r="G522" i="1"/>
  <c r="J562" i="1"/>
  <c r="J561" i="1"/>
  <c r="J558" i="1"/>
  <c r="D504" i="1"/>
  <c r="K473" i="1"/>
  <c r="D472" i="1"/>
  <c r="K441" i="1"/>
  <c r="H467" i="1"/>
  <c r="H468" i="1"/>
  <c r="G458" i="1"/>
  <c r="D440" i="1"/>
  <c r="K409" i="1"/>
  <c r="J464" i="1"/>
  <c r="J463" i="1"/>
  <c r="D408" i="1"/>
  <c r="K377" i="1"/>
  <c r="G426" i="1"/>
  <c r="G394" i="1"/>
  <c r="G362" i="1"/>
  <c r="G329" i="1"/>
  <c r="H403" i="1"/>
  <c r="J400" i="1"/>
  <c r="J399" i="1"/>
  <c r="D376" i="1"/>
  <c r="D343" i="1"/>
  <c r="K344" i="1"/>
  <c r="J368" i="1"/>
  <c r="J367" i="1"/>
  <c r="K311" i="1"/>
  <c r="D310" i="1"/>
  <c r="J337" i="1"/>
  <c r="J336" i="1"/>
  <c r="J335" i="1"/>
  <c r="J334" i="1"/>
  <c r="J333" i="1"/>
  <c r="J332" i="1"/>
  <c r="D22" i="22"/>
  <c r="E22" i="22"/>
  <c r="F22" i="22"/>
  <c r="G22" i="22"/>
  <c r="H22" i="22"/>
  <c r="I22" i="22"/>
  <c r="J22" i="22"/>
  <c r="K22" i="22"/>
  <c r="L22" i="22"/>
  <c r="M22" i="22"/>
  <c r="N22" i="22"/>
  <c r="O22" i="22"/>
  <c r="P22" i="22"/>
  <c r="Q22" i="22"/>
  <c r="D4" i="22"/>
  <c r="E4" i="22"/>
  <c r="F4" i="22"/>
  <c r="G4" i="22"/>
  <c r="H4" i="22"/>
  <c r="I4" i="22"/>
  <c r="J4" i="22"/>
  <c r="K4" i="22"/>
  <c r="L4" i="22"/>
  <c r="M4" i="22"/>
  <c r="N4" i="22"/>
  <c r="O4" i="22"/>
  <c r="P4" i="22"/>
  <c r="Q4" i="22"/>
  <c r="D26" i="22"/>
  <c r="E26" i="22"/>
  <c r="F26" i="22"/>
  <c r="G26" i="22"/>
  <c r="H26" i="22"/>
  <c r="I26" i="22"/>
  <c r="J26" i="22"/>
  <c r="K26" i="22"/>
  <c r="L26" i="22"/>
  <c r="M26" i="22"/>
  <c r="N26" i="22"/>
  <c r="O26" i="22"/>
  <c r="P26" i="22"/>
  <c r="Q26" i="22"/>
  <c r="D15" i="22"/>
  <c r="E15" i="22"/>
  <c r="F15" i="22"/>
  <c r="G15" i="22"/>
  <c r="H15" i="22"/>
  <c r="I15" i="22"/>
  <c r="J15" i="22"/>
  <c r="K15" i="22"/>
  <c r="L15" i="22"/>
  <c r="M15" i="22"/>
  <c r="N15" i="22"/>
  <c r="O15" i="22"/>
  <c r="P15" i="22"/>
  <c r="Q15" i="22"/>
  <c r="D8" i="22"/>
  <c r="E8" i="22"/>
  <c r="F8" i="22"/>
  <c r="G8" i="22"/>
  <c r="H8" i="22"/>
  <c r="I8" i="22"/>
  <c r="J8" i="22"/>
  <c r="K8" i="22"/>
  <c r="L8" i="22"/>
  <c r="M8" i="22"/>
  <c r="N8" i="22"/>
  <c r="O8" i="22"/>
  <c r="P8" i="22"/>
  <c r="Q8" i="22"/>
  <c r="D21" i="22"/>
  <c r="E21" i="22"/>
  <c r="F21" i="22"/>
  <c r="G21" i="22"/>
  <c r="H21" i="22"/>
  <c r="I21" i="22"/>
  <c r="J21" i="22"/>
  <c r="K21" i="22"/>
  <c r="L21" i="22"/>
  <c r="M21" i="22"/>
  <c r="N21" i="22"/>
  <c r="O21" i="22"/>
  <c r="P21" i="22"/>
  <c r="Q21" i="22"/>
  <c r="D14" i="22"/>
  <c r="E14" i="22"/>
  <c r="F14" i="22"/>
  <c r="G14" i="22"/>
  <c r="H14" i="22"/>
  <c r="I14" i="22"/>
  <c r="J14" i="22"/>
  <c r="K14" i="22"/>
  <c r="L14" i="22"/>
  <c r="M14" i="22"/>
  <c r="N14" i="22"/>
  <c r="O14" i="22"/>
  <c r="P14" i="22"/>
  <c r="Q14" i="22"/>
  <c r="D16" i="22"/>
  <c r="E16" i="22"/>
  <c r="F16" i="22"/>
  <c r="G16" i="22"/>
  <c r="H16" i="22"/>
  <c r="I16" i="22"/>
  <c r="J16" i="22"/>
  <c r="K16" i="22"/>
  <c r="L16" i="22"/>
  <c r="M16" i="22"/>
  <c r="N16" i="22"/>
  <c r="O16" i="22"/>
  <c r="P16" i="22"/>
  <c r="Q16" i="22"/>
  <c r="D17" i="22"/>
  <c r="E17" i="22"/>
  <c r="F17" i="22"/>
  <c r="G17" i="22"/>
  <c r="H17" i="22"/>
  <c r="I17" i="22"/>
  <c r="J17" i="22"/>
  <c r="K17" i="22"/>
  <c r="L17" i="22"/>
  <c r="M17" i="22"/>
  <c r="N17" i="22"/>
  <c r="O17" i="22"/>
  <c r="P17" i="22"/>
  <c r="Q17" i="22"/>
  <c r="D23" i="22"/>
  <c r="E23" i="22"/>
  <c r="F23" i="22"/>
  <c r="G23" i="22"/>
  <c r="H23" i="22"/>
  <c r="I23" i="22"/>
  <c r="J23" i="22"/>
  <c r="K23" i="22"/>
  <c r="L23" i="22"/>
  <c r="M23" i="22"/>
  <c r="N23" i="22"/>
  <c r="O23" i="22"/>
  <c r="P23" i="22"/>
  <c r="Q23" i="22"/>
  <c r="D9" i="22"/>
  <c r="E9" i="22"/>
  <c r="F9" i="22"/>
  <c r="G9" i="22"/>
  <c r="H9" i="22"/>
  <c r="I9" i="22"/>
  <c r="J9" i="22"/>
  <c r="K9" i="22"/>
  <c r="L9" i="22"/>
  <c r="M9" i="22"/>
  <c r="N9" i="22"/>
  <c r="O9" i="22"/>
  <c r="P9" i="22"/>
  <c r="Q9" i="22"/>
  <c r="D7" i="22"/>
  <c r="E7" i="22"/>
  <c r="F7" i="22"/>
  <c r="G7" i="22"/>
  <c r="H7" i="22"/>
  <c r="I7" i="22"/>
  <c r="J7" i="22"/>
  <c r="K7" i="22"/>
  <c r="L7" i="22"/>
  <c r="M7" i="22"/>
  <c r="N7" i="22"/>
  <c r="O7" i="22"/>
  <c r="P7" i="22"/>
  <c r="Q7" i="22"/>
  <c r="D20" i="22"/>
  <c r="E20" i="22"/>
  <c r="F20" i="22"/>
  <c r="G20" i="22"/>
  <c r="H20" i="22"/>
  <c r="I20" i="22"/>
  <c r="J20" i="22"/>
  <c r="K20" i="22"/>
  <c r="L20" i="22"/>
  <c r="M20" i="22"/>
  <c r="N20" i="22"/>
  <c r="O20" i="22"/>
  <c r="P20" i="22"/>
  <c r="Q20" i="22"/>
  <c r="D5" i="22"/>
  <c r="E5" i="22"/>
  <c r="F5" i="22"/>
  <c r="G5" i="22"/>
  <c r="H5" i="22"/>
  <c r="I5" i="22"/>
  <c r="J5" i="22"/>
  <c r="K5" i="22"/>
  <c r="L5" i="22"/>
  <c r="M5" i="22"/>
  <c r="N5" i="22"/>
  <c r="O5" i="22"/>
  <c r="P5" i="22"/>
  <c r="Q5" i="22"/>
  <c r="D6" i="22"/>
  <c r="E6" i="22"/>
  <c r="F6" i="22"/>
  <c r="G6" i="22"/>
  <c r="H6" i="22"/>
  <c r="I6" i="22"/>
  <c r="J6" i="22"/>
  <c r="K6" i="22"/>
  <c r="L6" i="22"/>
  <c r="M6" i="22"/>
  <c r="N6" i="22"/>
  <c r="O6" i="22"/>
  <c r="P6" i="22"/>
  <c r="Q6" i="22"/>
  <c r="D27" i="22"/>
  <c r="E27" i="22"/>
  <c r="F27" i="22"/>
  <c r="G27" i="22"/>
  <c r="H27" i="22"/>
  <c r="I27" i="22"/>
  <c r="J27" i="22"/>
  <c r="K27" i="22"/>
  <c r="L27" i="22"/>
  <c r="M27" i="22"/>
  <c r="N27" i="22"/>
  <c r="O27" i="22"/>
  <c r="P27" i="22"/>
  <c r="Q27" i="22"/>
  <c r="D18" i="22"/>
  <c r="E18" i="22"/>
  <c r="F18" i="22"/>
  <c r="G18" i="22"/>
  <c r="H18" i="22"/>
  <c r="I18" i="22"/>
  <c r="J18" i="22"/>
  <c r="K18" i="22"/>
  <c r="L18" i="22"/>
  <c r="M18" i="22"/>
  <c r="N18" i="22"/>
  <c r="O18" i="22"/>
  <c r="P18" i="22"/>
  <c r="Q18" i="22"/>
  <c r="D19" i="22"/>
  <c r="E19" i="22"/>
  <c r="F19" i="22"/>
  <c r="G19" i="22"/>
  <c r="H19" i="22"/>
  <c r="I19" i="22"/>
  <c r="J19" i="22"/>
  <c r="K19" i="22"/>
  <c r="L19" i="22"/>
  <c r="M19" i="22"/>
  <c r="N19" i="22"/>
  <c r="O19" i="22"/>
  <c r="P19" i="22"/>
  <c r="Q19" i="22"/>
  <c r="D13" i="22"/>
  <c r="E13" i="22"/>
  <c r="F13" i="22"/>
  <c r="G13" i="22"/>
  <c r="H13" i="22"/>
  <c r="I13" i="22"/>
  <c r="J13" i="22"/>
  <c r="K13" i="22"/>
  <c r="L13" i="22"/>
  <c r="M13" i="22"/>
  <c r="N13" i="22"/>
  <c r="O13" i="22"/>
  <c r="P13" i="22"/>
  <c r="Q13" i="22"/>
  <c r="D10" i="22"/>
  <c r="E10" i="22"/>
  <c r="F10" i="22"/>
  <c r="G10" i="22"/>
  <c r="H10" i="22"/>
  <c r="I10" i="22"/>
  <c r="J10" i="22"/>
  <c r="K10" i="22"/>
  <c r="L10" i="22"/>
  <c r="M10" i="22"/>
  <c r="N10" i="22"/>
  <c r="O10" i="22"/>
  <c r="P10" i="22"/>
  <c r="Q10" i="22"/>
  <c r="D11" i="22"/>
  <c r="E11" i="22"/>
  <c r="F11" i="22"/>
  <c r="G11" i="22"/>
  <c r="H11" i="22"/>
  <c r="I11" i="22"/>
  <c r="J11" i="22"/>
  <c r="K11" i="22"/>
  <c r="L11" i="22"/>
  <c r="M11" i="22"/>
  <c r="N11" i="22"/>
  <c r="O11" i="22"/>
  <c r="P11" i="22"/>
  <c r="Q11" i="22"/>
  <c r="D12" i="22"/>
  <c r="E12" i="22"/>
  <c r="F12" i="22"/>
  <c r="G12" i="22"/>
  <c r="H12" i="22"/>
  <c r="I12" i="22"/>
  <c r="J12" i="22"/>
  <c r="K12" i="22"/>
  <c r="L12" i="22"/>
  <c r="M12" i="22"/>
  <c r="N12" i="22"/>
  <c r="O12" i="22"/>
  <c r="P12" i="22"/>
  <c r="Q12" i="22"/>
  <c r="D25" i="22"/>
  <c r="E25" i="22"/>
  <c r="F25" i="22"/>
  <c r="G25" i="22"/>
  <c r="H25" i="22"/>
  <c r="I25" i="22"/>
  <c r="J25" i="22"/>
  <c r="K25" i="22"/>
  <c r="L25" i="22"/>
  <c r="M25" i="22"/>
  <c r="N25" i="22"/>
  <c r="O25" i="22"/>
  <c r="P25" i="22"/>
  <c r="Q25" i="22"/>
  <c r="D24" i="22"/>
  <c r="E24" i="22"/>
  <c r="F24" i="22"/>
  <c r="G24" i="22"/>
  <c r="H24" i="22"/>
  <c r="I24" i="22"/>
  <c r="J24" i="22"/>
  <c r="K24" i="22"/>
  <c r="L24" i="22"/>
  <c r="M24" i="22"/>
  <c r="N24" i="22"/>
  <c r="O24" i="22"/>
  <c r="P24" i="22"/>
  <c r="Q24" i="22"/>
  <c r="D21" i="11"/>
  <c r="E21" i="11"/>
  <c r="F21" i="11"/>
  <c r="G21" i="11"/>
  <c r="H21" i="11"/>
  <c r="I21" i="11"/>
  <c r="J21" i="11"/>
  <c r="K21" i="11"/>
  <c r="L21" i="11"/>
  <c r="M21" i="11"/>
  <c r="N21" i="11"/>
  <c r="O21" i="11"/>
  <c r="P21" i="11"/>
  <c r="Q21" i="11"/>
  <c r="R21" i="11"/>
  <c r="D18" i="11"/>
  <c r="E18" i="11"/>
  <c r="F18" i="11"/>
  <c r="G18" i="11"/>
  <c r="H18" i="11"/>
  <c r="I18" i="11"/>
  <c r="J18" i="11"/>
  <c r="K18" i="11"/>
  <c r="L18" i="11"/>
  <c r="M18" i="11"/>
  <c r="N18" i="11"/>
  <c r="O18" i="11"/>
  <c r="P18" i="11"/>
  <c r="Q18" i="11"/>
  <c r="D24" i="11"/>
  <c r="E24" i="11"/>
  <c r="F24" i="11"/>
  <c r="G24" i="11"/>
  <c r="H24" i="11"/>
  <c r="I24" i="11"/>
  <c r="J24" i="11"/>
  <c r="K24" i="11"/>
  <c r="L24" i="11"/>
  <c r="M24" i="11"/>
  <c r="N24" i="11"/>
  <c r="O24" i="11"/>
  <c r="P24" i="11"/>
  <c r="Q24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D13" i="11"/>
  <c r="E13" i="11"/>
  <c r="F13" i="11"/>
  <c r="G13" i="11"/>
  <c r="H13" i="11"/>
  <c r="I13" i="11"/>
  <c r="J13" i="11"/>
  <c r="K13" i="11"/>
  <c r="L13" i="11"/>
  <c r="M13" i="11"/>
  <c r="N13" i="11"/>
  <c r="O13" i="11"/>
  <c r="P13" i="11"/>
  <c r="Q13" i="11"/>
  <c r="D4" i="11"/>
  <c r="E4" i="11"/>
  <c r="F4" i="11"/>
  <c r="G4" i="11"/>
  <c r="H4" i="11"/>
  <c r="I4" i="11"/>
  <c r="J4" i="11"/>
  <c r="K4" i="11"/>
  <c r="L4" i="11"/>
  <c r="M4" i="11"/>
  <c r="N4" i="11"/>
  <c r="O4" i="11"/>
  <c r="P4" i="11"/>
  <c r="Q4" i="11"/>
  <c r="D17" i="11"/>
  <c r="E17" i="11"/>
  <c r="F17" i="11"/>
  <c r="G17" i="11"/>
  <c r="H17" i="11"/>
  <c r="I17" i="11"/>
  <c r="J17" i="11"/>
  <c r="K17" i="11"/>
  <c r="L17" i="11"/>
  <c r="M17" i="11"/>
  <c r="N17" i="11"/>
  <c r="O17" i="11"/>
  <c r="P17" i="11"/>
  <c r="Q1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D27" i="11"/>
  <c r="E27" i="11"/>
  <c r="F27" i="11"/>
  <c r="G27" i="11"/>
  <c r="H27" i="11"/>
  <c r="I27" i="11"/>
  <c r="J27" i="11"/>
  <c r="K27" i="11"/>
  <c r="L27" i="11"/>
  <c r="M27" i="11"/>
  <c r="N27" i="11"/>
  <c r="O27" i="11"/>
  <c r="P27" i="11"/>
  <c r="Q27" i="11"/>
  <c r="D30" i="11"/>
  <c r="E30" i="11"/>
  <c r="F30" i="11"/>
  <c r="G30" i="11"/>
  <c r="H30" i="11"/>
  <c r="I30" i="11"/>
  <c r="J30" i="11"/>
  <c r="K30" i="11"/>
  <c r="L30" i="11"/>
  <c r="M30" i="11"/>
  <c r="N30" i="11"/>
  <c r="O30" i="11"/>
  <c r="P30" i="11"/>
  <c r="Q30" i="11"/>
  <c r="D16" i="11"/>
  <c r="E16" i="11"/>
  <c r="F16" i="11"/>
  <c r="G16" i="11"/>
  <c r="H16" i="11"/>
  <c r="I16" i="11"/>
  <c r="J16" i="11"/>
  <c r="K16" i="11"/>
  <c r="L16" i="11"/>
  <c r="M16" i="11"/>
  <c r="N16" i="11"/>
  <c r="O16" i="11"/>
  <c r="P16" i="11"/>
  <c r="Q1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D15" i="11"/>
  <c r="E15" i="11"/>
  <c r="F15" i="11"/>
  <c r="G15" i="11"/>
  <c r="H15" i="11"/>
  <c r="I15" i="11"/>
  <c r="J15" i="11"/>
  <c r="K15" i="11"/>
  <c r="L15" i="11"/>
  <c r="M15" i="11"/>
  <c r="N15" i="11"/>
  <c r="O15" i="11"/>
  <c r="P15" i="11"/>
  <c r="Q15" i="11"/>
  <c r="D23" i="11"/>
  <c r="E23" i="11"/>
  <c r="F23" i="11"/>
  <c r="G23" i="11"/>
  <c r="H23" i="11"/>
  <c r="I23" i="11"/>
  <c r="J23" i="11"/>
  <c r="K23" i="11"/>
  <c r="L23" i="11"/>
  <c r="M23" i="11"/>
  <c r="N23" i="11"/>
  <c r="O23" i="11"/>
  <c r="P23" i="11"/>
  <c r="Q23" i="11"/>
  <c r="D19" i="11"/>
  <c r="E19" i="11"/>
  <c r="F19" i="11"/>
  <c r="G19" i="11"/>
  <c r="H19" i="11"/>
  <c r="I19" i="11"/>
  <c r="J19" i="11"/>
  <c r="K19" i="11"/>
  <c r="L19" i="11"/>
  <c r="M19" i="11"/>
  <c r="N19" i="11"/>
  <c r="O19" i="11"/>
  <c r="P19" i="11"/>
  <c r="Q19" i="11"/>
  <c r="D26" i="11"/>
  <c r="E26" i="11"/>
  <c r="F26" i="11"/>
  <c r="G26" i="11"/>
  <c r="H26" i="11"/>
  <c r="I26" i="11"/>
  <c r="J26" i="11"/>
  <c r="K26" i="11"/>
  <c r="L26" i="11"/>
  <c r="M26" i="11"/>
  <c r="N26" i="11"/>
  <c r="O26" i="11"/>
  <c r="P26" i="11"/>
  <c r="Q26" i="11"/>
  <c r="D5" i="11"/>
  <c r="E5" i="11"/>
  <c r="F5" i="11"/>
  <c r="G5" i="11"/>
  <c r="H5" i="11"/>
  <c r="I5" i="11"/>
  <c r="J5" i="11"/>
  <c r="K5" i="11"/>
  <c r="L5" i="11"/>
  <c r="M5" i="11"/>
  <c r="N5" i="11"/>
  <c r="O5" i="11"/>
  <c r="P5" i="11"/>
  <c r="Q5" i="11"/>
  <c r="D28" i="11"/>
  <c r="E28" i="11"/>
  <c r="F28" i="11"/>
  <c r="G28" i="11"/>
  <c r="H28" i="11"/>
  <c r="I28" i="11"/>
  <c r="J28" i="11"/>
  <c r="K28" i="11"/>
  <c r="L28" i="11"/>
  <c r="M28" i="11"/>
  <c r="N28" i="11"/>
  <c r="O28" i="11"/>
  <c r="P28" i="11"/>
  <c r="Q28" i="11"/>
  <c r="D25" i="11"/>
  <c r="E25" i="11"/>
  <c r="F25" i="11"/>
  <c r="G25" i="11"/>
  <c r="H25" i="11"/>
  <c r="I25" i="11"/>
  <c r="J25" i="11"/>
  <c r="K25" i="11"/>
  <c r="L25" i="11"/>
  <c r="M25" i="11"/>
  <c r="N25" i="11"/>
  <c r="O25" i="11"/>
  <c r="P25" i="11"/>
  <c r="Q25" i="11"/>
  <c r="D11" i="11"/>
  <c r="E11" i="11"/>
  <c r="F11" i="11"/>
  <c r="G11" i="11"/>
  <c r="H11" i="11"/>
  <c r="I11" i="11"/>
  <c r="J11" i="11"/>
  <c r="K11" i="11"/>
  <c r="L11" i="11"/>
  <c r="M11" i="11"/>
  <c r="N11" i="11"/>
  <c r="O11" i="11"/>
  <c r="P11" i="11"/>
  <c r="Q11" i="11"/>
  <c r="D29" i="11"/>
  <c r="E29" i="11"/>
  <c r="F29" i="11"/>
  <c r="G29" i="11"/>
  <c r="H29" i="11"/>
  <c r="I29" i="11"/>
  <c r="J29" i="11"/>
  <c r="K29" i="11"/>
  <c r="L29" i="11"/>
  <c r="M29" i="11"/>
  <c r="N29" i="11"/>
  <c r="O29" i="11"/>
  <c r="P29" i="11"/>
  <c r="Q29" i="11"/>
  <c r="D31" i="11"/>
  <c r="E31" i="11"/>
  <c r="F31" i="11"/>
  <c r="G31" i="11"/>
  <c r="H31" i="11"/>
  <c r="I31" i="11"/>
  <c r="J31" i="11"/>
  <c r="K31" i="11"/>
  <c r="L31" i="11"/>
  <c r="M31" i="11"/>
  <c r="N31" i="11"/>
  <c r="O31" i="11"/>
  <c r="P31" i="11"/>
  <c r="Q31" i="11"/>
  <c r="D22" i="11"/>
  <c r="E22" i="11"/>
  <c r="F22" i="11"/>
  <c r="G22" i="11"/>
  <c r="H22" i="11"/>
  <c r="I22" i="11"/>
  <c r="J22" i="11"/>
  <c r="K22" i="11"/>
  <c r="L22" i="11"/>
  <c r="M22" i="11"/>
  <c r="N22" i="11"/>
  <c r="O22" i="11"/>
  <c r="P22" i="11"/>
  <c r="Q22" i="11"/>
  <c r="D14" i="11"/>
  <c r="E14" i="11"/>
  <c r="F14" i="11"/>
  <c r="G14" i="11"/>
  <c r="H14" i="11"/>
  <c r="I14" i="11"/>
  <c r="J14" i="11"/>
  <c r="K14" i="11"/>
  <c r="L14" i="11"/>
  <c r="M14" i="11"/>
  <c r="N14" i="11"/>
  <c r="O14" i="11"/>
  <c r="P14" i="11"/>
  <c r="Q14" i="11"/>
  <c r="D10" i="11"/>
  <c r="E10" i="11"/>
  <c r="F10" i="11"/>
  <c r="G10" i="11"/>
  <c r="H10" i="11"/>
  <c r="I10" i="11"/>
  <c r="J10" i="11"/>
  <c r="K10" i="11"/>
  <c r="L10" i="11"/>
  <c r="M10" i="11"/>
  <c r="N10" i="11"/>
  <c r="O10" i="11"/>
  <c r="P10" i="11"/>
  <c r="Q10" i="11"/>
  <c r="D12" i="11"/>
  <c r="E12" i="11"/>
  <c r="F12" i="11"/>
  <c r="G12" i="11"/>
  <c r="H12" i="11"/>
  <c r="I12" i="11"/>
  <c r="J12" i="11"/>
  <c r="K12" i="11"/>
  <c r="L12" i="11"/>
  <c r="M12" i="11"/>
  <c r="N12" i="11"/>
  <c r="O12" i="11"/>
  <c r="P12" i="11"/>
  <c r="Q12" i="11"/>
  <c r="D9" i="11"/>
  <c r="E9" i="11"/>
  <c r="F9" i="11"/>
  <c r="G9" i="11"/>
  <c r="H9" i="11"/>
  <c r="I9" i="11"/>
  <c r="J9" i="11"/>
  <c r="K9" i="11"/>
  <c r="L9" i="11"/>
  <c r="M9" i="11"/>
  <c r="N9" i="11"/>
  <c r="O9" i="11"/>
  <c r="P9" i="11"/>
  <c r="Q9" i="11"/>
  <c r="D20" i="11"/>
  <c r="E20" i="11"/>
  <c r="F20" i="11"/>
  <c r="G20" i="11"/>
  <c r="H20" i="11"/>
  <c r="I20" i="11"/>
  <c r="J20" i="11"/>
  <c r="K20" i="11"/>
  <c r="L20" i="11"/>
  <c r="M20" i="11"/>
  <c r="N20" i="11"/>
  <c r="O20" i="11"/>
  <c r="P20" i="11"/>
  <c r="Q20" i="11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D28" i="18"/>
  <c r="E28" i="18"/>
  <c r="F28" i="18"/>
  <c r="G28" i="18"/>
  <c r="H28" i="18"/>
  <c r="I28" i="18"/>
  <c r="J28" i="18"/>
  <c r="K28" i="18"/>
  <c r="L28" i="18"/>
  <c r="M28" i="18"/>
  <c r="H455" i="1" s="1"/>
  <c r="N28" i="18"/>
  <c r="O28" i="18"/>
  <c r="P28" i="18"/>
  <c r="Q28" i="18"/>
  <c r="R28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D17" i="18"/>
  <c r="E17" i="18"/>
  <c r="F17" i="18"/>
  <c r="G17" i="18"/>
  <c r="H17" i="18"/>
  <c r="I17" i="18"/>
  <c r="J17" i="18"/>
  <c r="K17" i="18"/>
  <c r="L17" i="18"/>
  <c r="M17" i="18"/>
  <c r="N17" i="18"/>
  <c r="O17" i="18"/>
  <c r="P17" i="18"/>
  <c r="Q17" i="18"/>
  <c r="R17" i="18"/>
  <c r="D16" i="18"/>
  <c r="E16" i="18"/>
  <c r="F16" i="18"/>
  <c r="G16" i="18"/>
  <c r="H16" i="18"/>
  <c r="I16" i="18"/>
  <c r="J16" i="18"/>
  <c r="K16" i="18"/>
  <c r="L16" i="18"/>
  <c r="M16" i="18"/>
  <c r="N16" i="18"/>
  <c r="O16" i="18"/>
  <c r="P16" i="18"/>
  <c r="Q16" i="18"/>
  <c r="R16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D27" i="18"/>
  <c r="E27" i="18"/>
  <c r="F27" i="18"/>
  <c r="G27" i="18"/>
  <c r="H27" i="18"/>
  <c r="I27" i="18"/>
  <c r="J27" i="18"/>
  <c r="K27" i="18"/>
  <c r="L27" i="18"/>
  <c r="M27" i="18"/>
  <c r="N27" i="18"/>
  <c r="O27" i="18"/>
  <c r="P27" i="18"/>
  <c r="Q27" i="18"/>
  <c r="R27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D5" i="18"/>
  <c r="E5" i="18"/>
  <c r="F5" i="18"/>
  <c r="G5" i="18"/>
  <c r="H5" i="18"/>
  <c r="I5" i="18"/>
  <c r="J5" i="18"/>
  <c r="K5" i="18"/>
  <c r="L5" i="18"/>
  <c r="M5" i="18"/>
  <c r="N5" i="18"/>
  <c r="O5" i="18"/>
  <c r="P5" i="18"/>
  <c r="Q5" i="18"/>
  <c r="R5" i="18"/>
  <c r="D32" i="18"/>
  <c r="E32" i="18"/>
  <c r="F32" i="18"/>
  <c r="G32" i="18"/>
  <c r="H32" i="18"/>
  <c r="I32" i="18"/>
  <c r="J32" i="18"/>
  <c r="K32" i="18"/>
  <c r="L32" i="18"/>
  <c r="M32" i="18"/>
  <c r="N32" i="18"/>
  <c r="O32" i="18"/>
  <c r="P32" i="18"/>
  <c r="Q32" i="18"/>
  <c r="R32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D21" i="18"/>
  <c r="E21" i="18"/>
  <c r="F21" i="18"/>
  <c r="G21" i="18"/>
  <c r="H21" i="18"/>
  <c r="I21" i="18"/>
  <c r="J21" i="18"/>
  <c r="K21" i="18"/>
  <c r="L21" i="18"/>
  <c r="M21" i="18"/>
  <c r="N21" i="18"/>
  <c r="O21" i="18"/>
  <c r="P21" i="18"/>
  <c r="Q21" i="18"/>
  <c r="R21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D18" i="18"/>
  <c r="E18" i="18"/>
  <c r="F18" i="18"/>
  <c r="G18" i="18"/>
  <c r="H18" i="18"/>
  <c r="I18" i="18"/>
  <c r="J18" i="18"/>
  <c r="K18" i="18"/>
  <c r="L18" i="18"/>
  <c r="M18" i="18"/>
  <c r="N18" i="18"/>
  <c r="O18" i="18"/>
  <c r="P18" i="18"/>
  <c r="Q18" i="18"/>
  <c r="R18" i="18"/>
  <c r="D13" i="18"/>
  <c r="E13" i="18"/>
  <c r="F13" i="18"/>
  <c r="G13" i="18"/>
  <c r="H13" i="18"/>
  <c r="I13" i="18"/>
  <c r="J13" i="18"/>
  <c r="K13" i="18"/>
  <c r="L13" i="18"/>
  <c r="M13" i="18"/>
  <c r="N13" i="18"/>
  <c r="O13" i="18"/>
  <c r="P13" i="18"/>
  <c r="Q13" i="18"/>
  <c r="R13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D20" i="18"/>
  <c r="E20" i="18"/>
  <c r="F20" i="18"/>
  <c r="G20" i="18"/>
  <c r="H20" i="18"/>
  <c r="I20" i="18"/>
  <c r="J20" i="18"/>
  <c r="K20" i="18"/>
  <c r="L20" i="18"/>
  <c r="M20" i="18"/>
  <c r="N20" i="18"/>
  <c r="O20" i="18"/>
  <c r="P20" i="18"/>
  <c r="Q20" i="18"/>
  <c r="R20" i="18"/>
  <c r="D15" i="18"/>
  <c r="E15" i="18"/>
  <c r="F15" i="18"/>
  <c r="G15" i="18"/>
  <c r="H15" i="18"/>
  <c r="I15" i="18"/>
  <c r="J15" i="18"/>
  <c r="K15" i="18"/>
  <c r="L15" i="18"/>
  <c r="M15" i="18"/>
  <c r="N15" i="18"/>
  <c r="O15" i="18"/>
  <c r="P15" i="18"/>
  <c r="Q15" i="18"/>
  <c r="R15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D6" i="18"/>
  <c r="E6" i="18"/>
  <c r="F6" i="18"/>
  <c r="G6" i="18"/>
  <c r="H6" i="18"/>
  <c r="I6" i="18"/>
  <c r="J6" i="18"/>
  <c r="K6" i="18"/>
  <c r="L6" i="18"/>
  <c r="M6" i="18"/>
  <c r="N6" i="18"/>
  <c r="O6" i="18"/>
  <c r="P6" i="18"/>
  <c r="Q6" i="18"/>
  <c r="R6" i="18"/>
  <c r="D7" i="18"/>
  <c r="E7" i="18"/>
  <c r="F7" i="18"/>
  <c r="G7" i="18"/>
  <c r="H7" i="18"/>
  <c r="I7" i="18"/>
  <c r="J7" i="18"/>
  <c r="K7" i="18"/>
  <c r="L7" i="18"/>
  <c r="M7" i="18"/>
  <c r="N7" i="18"/>
  <c r="O7" i="18"/>
  <c r="P7" i="18"/>
  <c r="Q7" i="18"/>
  <c r="R7" i="18"/>
  <c r="D19" i="18"/>
  <c r="E19" i="18"/>
  <c r="F19" i="18"/>
  <c r="G19" i="18"/>
  <c r="H19" i="18"/>
  <c r="I19" i="18"/>
  <c r="J19" i="18"/>
  <c r="K19" i="18"/>
  <c r="L19" i="18"/>
  <c r="M19" i="18"/>
  <c r="N19" i="18"/>
  <c r="O19" i="18"/>
  <c r="P19" i="18"/>
  <c r="Q19" i="18"/>
  <c r="R19" i="18"/>
  <c r="D14" i="18"/>
  <c r="E14" i="18"/>
  <c r="F14" i="18"/>
  <c r="G14" i="18"/>
  <c r="H14" i="18"/>
  <c r="I14" i="18"/>
  <c r="J14" i="18"/>
  <c r="K14" i="18"/>
  <c r="L14" i="18"/>
  <c r="M14" i="18"/>
  <c r="N14" i="18"/>
  <c r="O14" i="18"/>
  <c r="P14" i="18"/>
  <c r="Q14" i="18"/>
  <c r="R14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D25" i="18"/>
  <c r="E25" i="18"/>
  <c r="F25" i="18"/>
  <c r="G25" i="18"/>
  <c r="H25" i="18"/>
  <c r="I25" i="18"/>
  <c r="J25" i="18"/>
  <c r="K25" i="18"/>
  <c r="L25" i="18"/>
  <c r="M25" i="18"/>
  <c r="N25" i="18"/>
  <c r="O25" i="18"/>
  <c r="P25" i="18"/>
  <c r="Q25" i="18"/>
  <c r="R25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D11" i="18"/>
  <c r="E11" i="18"/>
  <c r="F11" i="18"/>
  <c r="G11" i="18"/>
  <c r="H11" i="18"/>
  <c r="I11" i="18"/>
  <c r="J11" i="18"/>
  <c r="K11" i="18"/>
  <c r="L11" i="18"/>
  <c r="M11" i="18"/>
  <c r="N11" i="18"/>
  <c r="O11" i="18"/>
  <c r="P11" i="18"/>
  <c r="Q11" i="18"/>
  <c r="R11" i="18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Y416" i="1" s="1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D25" i="17"/>
  <c r="E25" i="17"/>
  <c r="F25" i="17"/>
  <c r="G25" i="17"/>
  <c r="H25" i="17"/>
  <c r="I25" i="17"/>
  <c r="J25" i="17"/>
  <c r="K25" i="17"/>
  <c r="L25" i="17"/>
  <c r="M25" i="17"/>
  <c r="N25" i="17"/>
  <c r="O25" i="17"/>
  <c r="P25" i="17"/>
  <c r="Q25" i="17"/>
  <c r="D27" i="17"/>
  <c r="E27" i="17"/>
  <c r="F27" i="17"/>
  <c r="G27" i="17"/>
  <c r="H27" i="17"/>
  <c r="I27" i="17"/>
  <c r="J27" i="17"/>
  <c r="K27" i="17"/>
  <c r="L27" i="17"/>
  <c r="M27" i="17"/>
  <c r="N27" i="17"/>
  <c r="O27" i="17"/>
  <c r="P27" i="17"/>
  <c r="Q27" i="17"/>
  <c r="D6" i="17"/>
  <c r="E6" i="17"/>
  <c r="F6" i="17"/>
  <c r="G6" i="17"/>
  <c r="H6" i="17"/>
  <c r="I6" i="17"/>
  <c r="J6" i="17"/>
  <c r="K6" i="17"/>
  <c r="L6" i="17"/>
  <c r="M6" i="17"/>
  <c r="N6" i="17"/>
  <c r="O6" i="17"/>
  <c r="P6" i="17"/>
  <c r="Q6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D17" i="17"/>
  <c r="E17" i="17"/>
  <c r="F17" i="17"/>
  <c r="G17" i="17"/>
  <c r="H17" i="17"/>
  <c r="I17" i="17"/>
  <c r="J17" i="17"/>
  <c r="K17" i="17"/>
  <c r="L17" i="17"/>
  <c r="M17" i="17"/>
  <c r="N17" i="17"/>
  <c r="O17" i="17"/>
  <c r="P17" i="17"/>
  <c r="Q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D13" i="17"/>
  <c r="E13" i="17"/>
  <c r="F13" i="17"/>
  <c r="G13" i="17"/>
  <c r="H13" i="17"/>
  <c r="I13" i="17"/>
  <c r="J13" i="17"/>
  <c r="K13" i="17"/>
  <c r="L13" i="17"/>
  <c r="M13" i="17"/>
  <c r="N13" i="17"/>
  <c r="O13" i="17"/>
  <c r="P13" i="17"/>
  <c r="Q13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D19" i="17"/>
  <c r="E19" i="17"/>
  <c r="F19" i="17"/>
  <c r="G19" i="17"/>
  <c r="H19" i="17"/>
  <c r="I19" i="17"/>
  <c r="J19" i="17"/>
  <c r="K19" i="17"/>
  <c r="L19" i="17"/>
  <c r="M19" i="17"/>
  <c r="N19" i="17"/>
  <c r="O19" i="17"/>
  <c r="P19" i="17"/>
  <c r="Q19" i="17"/>
  <c r="D16" i="17"/>
  <c r="E16" i="17"/>
  <c r="F16" i="17"/>
  <c r="G16" i="17"/>
  <c r="H16" i="17"/>
  <c r="I16" i="17"/>
  <c r="J16" i="17"/>
  <c r="K16" i="17"/>
  <c r="L16" i="17"/>
  <c r="M16" i="17"/>
  <c r="N16" i="17"/>
  <c r="O16" i="17"/>
  <c r="P16" i="17"/>
  <c r="Q16" i="17"/>
  <c r="D28" i="17"/>
  <c r="E28" i="17"/>
  <c r="F28" i="17"/>
  <c r="G28" i="17"/>
  <c r="H28" i="17"/>
  <c r="I28" i="17"/>
  <c r="J28" i="17"/>
  <c r="K28" i="17"/>
  <c r="L28" i="17"/>
  <c r="M28" i="17"/>
  <c r="N28" i="17"/>
  <c r="O28" i="17"/>
  <c r="P28" i="17"/>
  <c r="Q28" i="17"/>
  <c r="D25" i="16"/>
  <c r="E25" i="16"/>
  <c r="F25" i="16"/>
  <c r="G25" i="16"/>
  <c r="H25" i="16"/>
  <c r="I25" i="16"/>
  <c r="J25" i="16"/>
  <c r="K25" i="16"/>
  <c r="L25" i="16"/>
  <c r="M25" i="16"/>
  <c r="N25" i="16"/>
  <c r="O25" i="16"/>
  <c r="P25" i="16"/>
  <c r="Q25" i="16"/>
  <c r="D10" i="16"/>
  <c r="E10" i="16"/>
  <c r="F10" i="16"/>
  <c r="G10" i="16"/>
  <c r="H10" i="16"/>
  <c r="I10" i="16"/>
  <c r="J10" i="16"/>
  <c r="K10" i="16"/>
  <c r="L10" i="16"/>
  <c r="M10" i="16"/>
  <c r="N10" i="16"/>
  <c r="O10" i="16"/>
  <c r="P10" i="16"/>
  <c r="Q10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D20" i="16"/>
  <c r="E20" i="16"/>
  <c r="F20" i="16"/>
  <c r="G20" i="16"/>
  <c r="H20" i="16"/>
  <c r="I20" i="16"/>
  <c r="J20" i="16"/>
  <c r="K20" i="16"/>
  <c r="L20" i="16"/>
  <c r="M20" i="16"/>
  <c r="N20" i="16"/>
  <c r="O20" i="16"/>
  <c r="P20" i="16"/>
  <c r="Q20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D17" i="16"/>
  <c r="E17" i="16"/>
  <c r="F17" i="16"/>
  <c r="G17" i="16"/>
  <c r="H17" i="16"/>
  <c r="I17" i="16"/>
  <c r="J17" i="16"/>
  <c r="K17" i="16"/>
  <c r="L17" i="16"/>
  <c r="M17" i="16"/>
  <c r="N17" i="16"/>
  <c r="O17" i="16"/>
  <c r="P17" i="16"/>
  <c r="Q17" i="16"/>
  <c r="D11" i="16"/>
  <c r="E11" i="16"/>
  <c r="F11" i="16"/>
  <c r="G11" i="16"/>
  <c r="H11" i="16"/>
  <c r="I11" i="16"/>
  <c r="J11" i="16"/>
  <c r="K11" i="16"/>
  <c r="L11" i="16"/>
  <c r="M11" i="16"/>
  <c r="N11" i="16"/>
  <c r="O11" i="16"/>
  <c r="P11" i="16"/>
  <c r="Q1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P21" i="16"/>
  <c r="Q21" i="16"/>
  <c r="D32" i="16"/>
  <c r="E32" i="16"/>
  <c r="F32" i="16"/>
  <c r="G32" i="16"/>
  <c r="H32" i="16"/>
  <c r="I32" i="16"/>
  <c r="J32" i="16"/>
  <c r="K32" i="16"/>
  <c r="L32" i="16"/>
  <c r="M32" i="16"/>
  <c r="N32" i="16"/>
  <c r="O32" i="16"/>
  <c r="P32" i="16"/>
  <c r="Q32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D31" i="16"/>
  <c r="E31" i="16"/>
  <c r="F31" i="16"/>
  <c r="G31" i="16"/>
  <c r="H31" i="16"/>
  <c r="I31" i="16"/>
  <c r="J31" i="16"/>
  <c r="K31" i="16"/>
  <c r="L31" i="16"/>
  <c r="M31" i="16"/>
  <c r="N31" i="16"/>
  <c r="O31" i="16"/>
  <c r="P31" i="16"/>
  <c r="Q31" i="16"/>
  <c r="D6" i="16"/>
  <c r="E6" i="16"/>
  <c r="F6" i="16"/>
  <c r="G6" i="16"/>
  <c r="H6" i="16"/>
  <c r="I6" i="16"/>
  <c r="J6" i="16"/>
  <c r="K6" i="16"/>
  <c r="L6" i="16"/>
  <c r="M6" i="16"/>
  <c r="N6" i="16"/>
  <c r="O6" i="16"/>
  <c r="P6" i="16"/>
  <c r="Q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P26" i="16"/>
  <c r="Q26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D5" i="16"/>
  <c r="E5" i="16"/>
  <c r="F5" i="16"/>
  <c r="G5" i="16"/>
  <c r="H5" i="16"/>
  <c r="I5" i="16"/>
  <c r="J5" i="16"/>
  <c r="K5" i="16"/>
  <c r="L5" i="16"/>
  <c r="M5" i="16"/>
  <c r="N5" i="16"/>
  <c r="O5" i="16"/>
  <c r="P5" i="16"/>
  <c r="Q5" i="16"/>
  <c r="D13" i="16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D27" i="16"/>
  <c r="E27" i="16"/>
  <c r="F27" i="16"/>
  <c r="G27" i="16"/>
  <c r="H27" i="16"/>
  <c r="I27" i="16"/>
  <c r="J27" i="16"/>
  <c r="K27" i="16"/>
  <c r="L27" i="16"/>
  <c r="M27" i="16"/>
  <c r="N27" i="16"/>
  <c r="O27" i="16"/>
  <c r="P27" i="16"/>
  <c r="Q27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D24" i="16"/>
  <c r="E24" i="16"/>
  <c r="F24" i="16"/>
  <c r="G24" i="16"/>
  <c r="H24" i="16"/>
  <c r="I24" i="16"/>
  <c r="J24" i="16"/>
  <c r="K24" i="16"/>
  <c r="L24" i="16"/>
  <c r="M24" i="16"/>
  <c r="N24" i="16"/>
  <c r="O24" i="16"/>
  <c r="P24" i="16"/>
  <c r="Q24" i="16"/>
  <c r="D4" i="16"/>
  <c r="E4" i="16"/>
  <c r="F4" i="16"/>
  <c r="G4" i="16"/>
  <c r="H4" i="16"/>
  <c r="I4" i="16"/>
  <c r="J4" i="16"/>
  <c r="K4" i="16"/>
  <c r="L4" i="16"/>
  <c r="M4" i="16"/>
  <c r="N4" i="16"/>
  <c r="O4" i="16"/>
  <c r="P4" i="16"/>
  <c r="Q4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D20" i="15"/>
  <c r="E20" i="15"/>
  <c r="F20" i="15"/>
  <c r="G20" i="15"/>
  <c r="H20" i="15"/>
  <c r="I20" i="15"/>
  <c r="J20" i="15"/>
  <c r="K20" i="15"/>
  <c r="L20" i="15"/>
  <c r="M20" i="15"/>
  <c r="N20" i="15"/>
  <c r="O20" i="15"/>
  <c r="P20" i="15"/>
  <c r="Q20" i="15"/>
  <c r="R20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Q4" i="15"/>
  <c r="R4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D27" i="15"/>
  <c r="E27" i="15"/>
  <c r="F27" i="15"/>
  <c r="G27" i="15"/>
  <c r="H27" i="15"/>
  <c r="I27" i="15"/>
  <c r="J27" i="15"/>
  <c r="K27" i="15"/>
  <c r="L27" i="15"/>
  <c r="M27" i="15"/>
  <c r="N27" i="15"/>
  <c r="O27" i="15"/>
  <c r="P27" i="15"/>
  <c r="Q27" i="15"/>
  <c r="R27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D34" i="15"/>
  <c r="E34" i="15"/>
  <c r="F34" i="15"/>
  <c r="G34" i="15"/>
  <c r="H34" i="15"/>
  <c r="I34" i="15"/>
  <c r="J34" i="15"/>
  <c r="K34" i="15"/>
  <c r="L34" i="15"/>
  <c r="M34" i="15"/>
  <c r="N34" i="15"/>
  <c r="O34" i="15"/>
  <c r="P34" i="15"/>
  <c r="Q34" i="15"/>
  <c r="R3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D21" i="15"/>
  <c r="E21" i="15"/>
  <c r="F21" i="15"/>
  <c r="G21" i="15"/>
  <c r="H21" i="15"/>
  <c r="I21" i="15"/>
  <c r="J21" i="15"/>
  <c r="K21" i="15"/>
  <c r="L21" i="15"/>
  <c r="M21" i="15"/>
  <c r="N21" i="15"/>
  <c r="O21" i="15"/>
  <c r="P21" i="15"/>
  <c r="Q21" i="15"/>
  <c r="R21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Q25" i="15"/>
  <c r="R25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D32" i="15"/>
  <c r="E32" i="15"/>
  <c r="F32" i="15"/>
  <c r="G32" i="15"/>
  <c r="H32" i="15"/>
  <c r="I32" i="15"/>
  <c r="J32" i="15"/>
  <c r="K32" i="15"/>
  <c r="L32" i="15"/>
  <c r="M32" i="15"/>
  <c r="N32" i="15"/>
  <c r="O32" i="15"/>
  <c r="P32" i="15"/>
  <c r="Q32" i="15"/>
  <c r="R32" i="15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S9" i="14"/>
  <c r="T9" i="14"/>
  <c r="U9" i="14"/>
  <c r="V9" i="14"/>
  <c r="Y249" i="1" s="1"/>
  <c r="AA249" i="1" s="1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S22" i="14"/>
  <c r="T22" i="14"/>
  <c r="U22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S18" i="14"/>
  <c r="T18" i="14"/>
  <c r="U18" i="14"/>
  <c r="D7" i="14"/>
  <c r="E7" i="14"/>
  <c r="F7" i="14"/>
  <c r="G7" i="14"/>
  <c r="H7" i="14"/>
  <c r="I7" i="14"/>
  <c r="J7" i="14"/>
  <c r="K7" i="14"/>
  <c r="L7" i="14"/>
  <c r="M7" i="14"/>
  <c r="N7" i="14"/>
  <c r="O7" i="14"/>
  <c r="P7" i="14"/>
  <c r="Q7" i="14"/>
  <c r="R7" i="14"/>
  <c r="S7" i="14"/>
  <c r="T7" i="14"/>
  <c r="U7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S29" i="14"/>
  <c r="T29" i="14"/>
  <c r="U29" i="14"/>
  <c r="D4" i="14"/>
  <c r="E4" i="14"/>
  <c r="F4" i="14"/>
  <c r="G4" i="14"/>
  <c r="H4" i="14"/>
  <c r="I4" i="14"/>
  <c r="J4" i="14"/>
  <c r="K4" i="14"/>
  <c r="L4" i="14"/>
  <c r="M4" i="14"/>
  <c r="N4" i="14"/>
  <c r="O4" i="14"/>
  <c r="P4" i="14"/>
  <c r="Q4" i="14"/>
  <c r="R4" i="14"/>
  <c r="S4" i="14"/>
  <c r="T4" i="14"/>
  <c r="U4" i="14"/>
  <c r="D25" i="14"/>
  <c r="E25" i="14"/>
  <c r="F25" i="14"/>
  <c r="G25" i="14"/>
  <c r="H25" i="14"/>
  <c r="I25" i="14"/>
  <c r="J25" i="14"/>
  <c r="K25" i="14"/>
  <c r="L25" i="14"/>
  <c r="M25" i="14"/>
  <c r="N25" i="14"/>
  <c r="O25" i="14"/>
  <c r="P25" i="14"/>
  <c r="Q25" i="14"/>
  <c r="R25" i="14"/>
  <c r="S25" i="14"/>
  <c r="T25" i="14"/>
  <c r="U25" i="14"/>
  <c r="D21" i="14"/>
  <c r="E21" i="14"/>
  <c r="F21" i="14"/>
  <c r="G21" i="14"/>
  <c r="H21" i="14"/>
  <c r="I21" i="14"/>
  <c r="J21" i="14"/>
  <c r="K21" i="14"/>
  <c r="L21" i="14"/>
  <c r="M21" i="14"/>
  <c r="N21" i="14"/>
  <c r="O21" i="14"/>
  <c r="P21" i="14"/>
  <c r="Q21" i="14"/>
  <c r="R21" i="14"/>
  <c r="S21" i="14"/>
  <c r="T21" i="14"/>
  <c r="U21" i="14"/>
  <c r="D14" i="14"/>
  <c r="E14" i="14"/>
  <c r="F14" i="14"/>
  <c r="G14" i="14"/>
  <c r="H14" i="14"/>
  <c r="I14" i="14"/>
  <c r="J14" i="14"/>
  <c r="K14" i="14"/>
  <c r="L14" i="14"/>
  <c r="M14" i="14"/>
  <c r="N14" i="14"/>
  <c r="O14" i="14"/>
  <c r="P14" i="14"/>
  <c r="Q14" i="14"/>
  <c r="R14" i="14"/>
  <c r="S14" i="14"/>
  <c r="T14" i="14"/>
  <c r="U14" i="14"/>
  <c r="D20" i="14"/>
  <c r="E20" i="14"/>
  <c r="F20" i="14"/>
  <c r="G20" i="14"/>
  <c r="H20" i="14"/>
  <c r="I20" i="14"/>
  <c r="J20" i="14"/>
  <c r="K20" i="14"/>
  <c r="L20" i="14"/>
  <c r="M20" i="14"/>
  <c r="N20" i="14"/>
  <c r="O20" i="14"/>
  <c r="P20" i="14"/>
  <c r="Q20" i="14"/>
  <c r="R20" i="14"/>
  <c r="S20" i="14"/>
  <c r="T20" i="14"/>
  <c r="U20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S24" i="14"/>
  <c r="T24" i="14"/>
  <c r="U24" i="14"/>
  <c r="D27" i="14"/>
  <c r="E27" i="14"/>
  <c r="F27" i="14"/>
  <c r="G27" i="14"/>
  <c r="H27" i="14"/>
  <c r="I27" i="14"/>
  <c r="J27" i="14"/>
  <c r="K27" i="14"/>
  <c r="L27" i="14"/>
  <c r="M27" i="14"/>
  <c r="N27" i="14"/>
  <c r="O27" i="14"/>
  <c r="P27" i="14"/>
  <c r="Q27" i="14"/>
  <c r="R27" i="14"/>
  <c r="S27" i="14"/>
  <c r="T27" i="14"/>
  <c r="U27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S23" i="14"/>
  <c r="T23" i="14"/>
  <c r="U23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S15" i="14"/>
  <c r="T15" i="14"/>
  <c r="U15" i="14"/>
  <c r="D13" i="14"/>
  <c r="E13" i="14"/>
  <c r="F13" i="14"/>
  <c r="G13" i="14"/>
  <c r="H13" i="14"/>
  <c r="I13" i="14"/>
  <c r="J13" i="14"/>
  <c r="K13" i="14"/>
  <c r="L13" i="14"/>
  <c r="M13" i="14"/>
  <c r="N13" i="14"/>
  <c r="O13" i="14"/>
  <c r="P13" i="14"/>
  <c r="Q13" i="14"/>
  <c r="R13" i="14"/>
  <c r="S13" i="14"/>
  <c r="T13" i="14"/>
  <c r="U13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S10" i="14"/>
  <c r="T10" i="14"/>
  <c r="U10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S8" i="14"/>
  <c r="T8" i="14"/>
  <c r="U8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S19" i="14"/>
  <c r="T19" i="14"/>
  <c r="U19" i="14"/>
  <c r="D11" i="14"/>
  <c r="E11" i="14"/>
  <c r="F11" i="14"/>
  <c r="G11" i="14"/>
  <c r="H11" i="14"/>
  <c r="I11" i="14"/>
  <c r="J11" i="14"/>
  <c r="K11" i="14"/>
  <c r="L11" i="14"/>
  <c r="M11" i="14"/>
  <c r="N11" i="14"/>
  <c r="O11" i="14"/>
  <c r="P11" i="14"/>
  <c r="Q11" i="14"/>
  <c r="R11" i="14"/>
  <c r="S11" i="14"/>
  <c r="T11" i="14"/>
  <c r="U11" i="14"/>
  <c r="D17" i="14"/>
  <c r="E17" i="14"/>
  <c r="F17" i="14"/>
  <c r="G17" i="14"/>
  <c r="H17" i="14"/>
  <c r="I17" i="14"/>
  <c r="J17" i="14"/>
  <c r="K17" i="14"/>
  <c r="L17" i="14"/>
  <c r="M17" i="14"/>
  <c r="N17" i="14"/>
  <c r="O17" i="14"/>
  <c r="P17" i="14"/>
  <c r="Q17" i="14"/>
  <c r="R17" i="14"/>
  <c r="S17" i="14"/>
  <c r="T17" i="14"/>
  <c r="U17" i="14"/>
  <c r="D6" i="14"/>
  <c r="E6" i="14"/>
  <c r="F6" i="14"/>
  <c r="G6" i="14"/>
  <c r="H6" i="14"/>
  <c r="I6" i="14"/>
  <c r="J6" i="14"/>
  <c r="K6" i="14"/>
  <c r="L6" i="14"/>
  <c r="M6" i="14"/>
  <c r="N6" i="14"/>
  <c r="O6" i="14"/>
  <c r="P6" i="14"/>
  <c r="Q6" i="14"/>
  <c r="R6" i="14"/>
  <c r="S6" i="14"/>
  <c r="T6" i="14"/>
  <c r="U6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S31" i="14"/>
  <c r="T31" i="14"/>
  <c r="U31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S5" i="14"/>
  <c r="T5" i="14"/>
  <c r="U5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S16" i="14"/>
  <c r="T16" i="14"/>
  <c r="U16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S12" i="14"/>
  <c r="T12" i="14"/>
  <c r="U12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S26" i="14"/>
  <c r="T26" i="14"/>
  <c r="U26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S30" i="14"/>
  <c r="T30" i="14"/>
  <c r="U30" i="14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Y213" i="1" s="1"/>
  <c r="AA213" i="1" s="1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D31" i="13"/>
  <c r="E31" i="13"/>
  <c r="F31" i="13"/>
  <c r="G31" i="13"/>
  <c r="H31" i="13"/>
  <c r="I31" i="13"/>
  <c r="J31" i="13"/>
  <c r="K31" i="13"/>
  <c r="L31" i="13"/>
  <c r="M31" i="13"/>
  <c r="N31" i="13"/>
  <c r="O31" i="13"/>
  <c r="P31" i="13"/>
  <c r="Q31" i="13"/>
  <c r="R31" i="13"/>
  <c r="S31" i="13"/>
  <c r="T31" i="13"/>
  <c r="U31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R13" i="13"/>
  <c r="S13" i="13"/>
  <c r="T13" i="13"/>
  <c r="U13" i="13"/>
  <c r="D29" i="13"/>
  <c r="E29" i="13"/>
  <c r="F29" i="13"/>
  <c r="G29" i="13"/>
  <c r="H29" i="13"/>
  <c r="I29" i="13"/>
  <c r="J29" i="13"/>
  <c r="K29" i="13"/>
  <c r="L29" i="13"/>
  <c r="M29" i="13"/>
  <c r="N29" i="13"/>
  <c r="O29" i="13"/>
  <c r="P29" i="13"/>
  <c r="Q29" i="13"/>
  <c r="R29" i="13"/>
  <c r="S29" i="13"/>
  <c r="T29" i="13"/>
  <c r="U29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D5" i="13"/>
  <c r="E5" i="13"/>
  <c r="F5" i="13"/>
  <c r="G5" i="13"/>
  <c r="H5" i="13"/>
  <c r="I5" i="13"/>
  <c r="J5" i="13"/>
  <c r="K5" i="13"/>
  <c r="L5" i="13"/>
  <c r="M5" i="13"/>
  <c r="N5" i="13"/>
  <c r="O5" i="13"/>
  <c r="P5" i="13"/>
  <c r="Q5" i="13"/>
  <c r="R5" i="13"/>
  <c r="S5" i="13"/>
  <c r="T5" i="13"/>
  <c r="U5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D6" i="13"/>
  <c r="E6" i="13"/>
  <c r="F6" i="13"/>
  <c r="G6" i="13"/>
  <c r="H6" i="13"/>
  <c r="I6" i="13"/>
  <c r="J6" i="13"/>
  <c r="K6" i="13"/>
  <c r="L6" i="13"/>
  <c r="M6" i="13"/>
  <c r="N6" i="13"/>
  <c r="O6" i="13"/>
  <c r="P6" i="13"/>
  <c r="Q6" i="13"/>
  <c r="R6" i="13"/>
  <c r="S6" i="13"/>
  <c r="T6" i="13"/>
  <c r="U6" i="13"/>
  <c r="D26" i="13"/>
  <c r="E26" i="13"/>
  <c r="F26" i="13"/>
  <c r="G26" i="13"/>
  <c r="H26" i="13"/>
  <c r="I26" i="13"/>
  <c r="J26" i="13"/>
  <c r="K26" i="13"/>
  <c r="L26" i="13"/>
  <c r="M26" i="13"/>
  <c r="N26" i="13"/>
  <c r="O26" i="13"/>
  <c r="P26" i="13"/>
  <c r="Q26" i="13"/>
  <c r="R26" i="13"/>
  <c r="S26" i="13"/>
  <c r="T26" i="13"/>
  <c r="U26" i="13"/>
  <c r="D30" i="13"/>
  <c r="E30" i="13"/>
  <c r="F30" i="13"/>
  <c r="G30" i="13"/>
  <c r="H30" i="13"/>
  <c r="I30" i="13"/>
  <c r="J30" i="13"/>
  <c r="K30" i="13"/>
  <c r="L30" i="13"/>
  <c r="M30" i="13"/>
  <c r="N30" i="13"/>
  <c r="O30" i="13"/>
  <c r="P30" i="13"/>
  <c r="Q30" i="13"/>
  <c r="R30" i="13"/>
  <c r="S30" i="13"/>
  <c r="T30" i="13"/>
  <c r="U30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D28" i="13"/>
  <c r="E28" i="13"/>
  <c r="F28" i="13"/>
  <c r="G28" i="13"/>
  <c r="H28" i="13"/>
  <c r="I28" i="13"/>
  <c r="J28" i="13"/>
  <c r="K28" i="13"/>
  <c r="L28" i="13"/>
  <c r="M28" i="13"/>
  <c r="N28" i="13"/>
  <c r="O28" i="13"/>
  <c r="P28" i="13"/>
  <c r="Q28" i="13"/>
  <c r="R28" i="13"/>
  <c r="S28" i="13"/>
  <c r="T28" i="13"/>
  <c r="U28" i="13"/>
  <c r="D27" i="13"/>
  <c r="E27" i="13"/>
  <c r="F27" i="13"/>
  <c r="G27" i="13"/>
  <c r="H27" i="13"/>
  <c r="I27" i="13"/>
  <c r="J27" i="13"/>
  <c r="K27" i="13"/>
  <c r="L27" i="13"/>
  <c r="M27" i="13"/>
  <c r="N27" i="13"/>
  <c r="O27" i="13"/>
  <c r="P27" i="13"/>
  <c r="Q27" i="13"/>
  <c r="R27" i="13"/>
  <c r="S27" i="13"/>
  <c r="T27" i="13"/>
  <c r="U27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R11" i="13"/>
  <c r="S11" i="13"/>
  <c r="T11" i="13"/>
  <c r="U11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D25" i="13"/>
  <c r="E25" i="13"/>
  <c r="F25" i="13"/>
  <c r="G25" i="13"/>
  <c r="H25" i="13"/>
  <c r="I25" i="13"/>
  <c r="J25" i="13"/>
  <c r="K25" i="13"/>
  <c r="L25" i="13"/>
  <c r="M25" i="13"/>
  <c r="N25" i="13"/>
  <c r="O25" i="13"/>
  <c r="P25" i="13"/>
  <c r="Q25" i="13"/>
  <c r="R25" i="13"/>
  <c r="S25" i="13"/>
  <c r="T25" i="13"/>
  <c r="U25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D19" i="8"/>
  <c r="E19" i="8"/>
  <c r="F19" i="8"/>
  <c r="G19" i="8"/>
  <c r="H19" i="8"/>
  <c r="I19" i="8"/>
  <c r="J19" i="8"/>
  <c r="K19" i="8"/>
  <c r="L19" i="8"/>
  <c r="M19" i="8"/>
  <c r="N19" i="8"/>
  <c r="O19" i="8"/>
  <c r="P19" i="8"/>
  <c r="Q19" i="8"/>
  <c r="R19" i="8"/>
  <c r="S19" i="8"/>
  <c r="T19" i="8"/>
  <c r="U19" i="8"/>
  <c r="V19" i="8"/>
  <c r="Y177" i="1" s="1"/>
  <c r="D26" i="8"/>
  <c r="E26" i="8"/>
  <c r="F26" i="8"/>
  <c r="G26" i="8"/>
  <c r="H26" i="8"/>
  <c r="I26" i="8"/>
  <c r="J26" i="8"/>
  <c r="K26" i="8"/>
  <c r="L26" i="8"/>
  <c r="M26" i="8"/>
  <c r="N26" i="8"/>
  <c r="O26" i="8"/>
  <c r="P26" i="8"/>
  <c r="Q26" i="8"/>
  <c r="R26" i="8"/>
  <c r="S26" i="8"/>
  <c r="T26" i="8"/>
  <c r="U26" i="8"/>
  <c r="D10" i="8"/>
  <c r="E10" i="8"/>
  <c r="F10" i="8"/>
  <c r="G10" i="8"/>
  <c r="H10" i="8"/>
  <c r="I10" i="8"/>
  <c r="J10" i="8"/>
  <c r="K10" i="8"/>
  <c r="L10" i="8"/>
  <c r="M10" i="8"/>
  <c r="N10" i="8"/>
  <c r="O10" i="8"/>
  <c r="P10" i="8"/>
  <c r="Q10" i="8"/>
  <c r="R10" i="8"/>
  <c r="S10" i="8"/>
  <c r="T10" i="8"/>
  <c r="U10" i="8"/>
  <c r="D27" i="8"/>
  <c r="E27" i="8"/>
  <c r="F27" i="8"/>
  <c r="G27" i="8"/>
  <c r="H27" i="8"/>
  <c r="I27" i="8"/>
  <c r="J27" i="8"/>
  <c r="K27" i="8"/>
  <c r="L27" i="8"/>
  <c r="M27" i="8"/>
  <c r="N27" i="8"/>
  <c r="O27" i="8"/>
  <c r="P27" i="8"/>
  <c r="Q27" i="8"/>
  <c r="R27" i="8"/>
  <c r="S27" i="8"/>
  <c r="T27" i="8"/>
  <c r="U27" i="8"/>
  <c r="D4" i="8"/>
  <c r="E4" i="8"/>
  <c r="F4" i="8"/>
  <c r="G4" i="8"/>
  <c r="H4" i="8"/>
  <c r="I4" i="8"/>
  <c r="J4" i="8"/>
  <c r="K4" i="8"/>
  <c r="L4" i="8"/>
  <c r="M4" i="8"/>
  <c r="N4" i="8"/>
  <c r="O4" i="8"/>
  <c r="P4" i="8"/>
  <c r="Q4" i="8"/>
  <c r="R4" i="8"/>
  <c r="S4" i="8"/>
  <c r="T4" i="8"/>
  <c r="U4" i="8"/>
  <c r="D16" i="8"/>
  <c r="E16" i="8"/>
  <c r="F16" i="8"/>
  <c r="G16" i="8"/>
  <c r="H16" i="8"/>
  <c r="I16" i="8"/>
  <c r="J16" i="8"/>
  <c r="K16" i="8"/>
  <c r="L16" i="8"/>
  <c r="M16" i="8"/>
  <c r="N16" i="8"/>
  <c r="O16" i="8"/>
  <c r="P16" i="8"/>
  <c r="Q16" i="8"/>
  <c r="R16" i="8"/>
  <c r="S16" i="8"/>
  <c r="T16" i="8"/>
  <c r="U16" i="8"/>
  <c r="D31" i="8"/>
  <c r="E31" i="8"/>
  <c r="F31" i="8"/>
  <c r="G31" i="8"/>
  <c r="H31" i="8"/>
  <c r="I31" i="8"/>
  <c r="J31" i="8"/>
  <c r="K31" i="8"/>
  <c r="L31" i="8"/>
  <c r="M31" i="8"/>
  <c r="N31" i="8"/>
  <c r="O31" i="8"/>
  <c r="P31" i="8"/>
  <c r="Q31" i="8"/>
  <c r="R31" i="8"/>
  <c r="S31" i="8"/>
  <c r="T31" i="8"/>
  <c r="U31" i="8"/>
  <c r="D6" i="8"/>
  <c r="E6" i="8"/>
  <c r="F6" i="8"/>
  <c r="G6" i="8"/>
  <c r="H6" i="8"/>
  <c r="I6" i="8"/>
  <c r="J6" i="8"/>
  <c r="K6" i="8"/>
  <c r="L6" i="8"/>
  <c r="M6" i="8"/>
  <c r="N6" i="8"/>
  <c r="O6" i="8"/>
  <c r="P6" i="8"/>
  <c r="Q6" i="8"/>
  <c r="R6" i="8"/>
  <c r="S6" i="8"/>
  <c r="T6" i="8"/>
  <c r="U6" i="8"/>
  <c r="D24" i="8"/>
  <c r="E24" i="8"/>
  <c r="F24" i="8"/>
  <c r="G24" i="8"/>
  <c r="H24" i="8"/>
  <c r="I24" i="8"/>
  <c r="J24" i="8"/>
  <c r="K24" i="8"/>
  <c r="L24" i="8"/>
  <c r="M24" i="8"/>
  <c r="N24" i="8"/>
  <c r="O24" i="8"/>
  <c r="P24" i="8"/>
  <c r="Q24" i="8"/>
  <c r="R24" i="8"/>
  <c r="S24" i="8"/>
  <c r="T24" i="8"/>
  <c r="U24" i="8"/>
  <c r="D5" i="8"/>
  <c r="E5" i="8"/>
  <c r="F5" i="8"/>
  <c r="G5" i="8"/>
  <c r="H5" i="8"/>
  <c r="I5" i="8"/>
  <c r="J5" i="8"/>
  <c r="K5" i="8"/>
  <c r="L5" i="8"/>
  <c r="M5" i="8"/>
  <c r="N5" i="8"/>
  <c r="O5" i="8"/>
  <c r="P5" i="8"/>
  <c r="Q5" i="8"/>
  <c r="R5" i="8"/>
  <c r="S5" i="8"/>
  <c r="T5" i="8"/>
  <c r="U5" i="8"/>
  <c r="D15" i="8"/>
  <c r="E15" i="8"/>
  <c r="F15" i="8"/>
  <c r="G15" i="8"/>
  <c r="H15" i="8"/>
  <c r="I15" i="8"/>
  <c r="J15" i="8"/>
  <c r="K15" i="8"/>
  <c r="L15" i="8"/>
  <c r="M15" i="8"/>
  <c r="N15" i="8"/>
  <c r="O15" i="8"/>
  <c r="P15" i="8"/>
  <c r="Q15" i="8"/>
  <c r="R15" i="8"/>
  <c r="S15" i="8"/>
  <c r="T15" i="8"/>
  <c r="U15" i="8"/>
  <c r="D8" i="8"/>
  <c r="E8" i="8"/>
  <c r="F8" i="8"/>
  <c r="G8" i="8"/>
  <c r="H8" i="8"/>
  <c r="I8" i="8"/>
  <c r="J8" i="8"/>
  <c r="K8" i="8"/>
  <c r="L8" i="8"/>
  <c r="M8" i="8"/>
  <c r="N8" i="8"/>
  <c r="O8" i="8"/>
  <c r="P8" i="8"/>
  <c r="Q8" i="8"/>
  <c r="R8" i="8"/>
  <c r="S8" i="8"/>
  <c r="T8" i="8"/>
  <c r="U8" i="8"/>
  <c r="D13" i="8"/>
  <c r="E13" i="8"/>
  <c r="F13" i="8"/>
  <c r="G13" i="8"/>
  <c r="H13" i="8"/>
  <c r="I13" i="8"/>
  <c r="J13" i="8"/>
  <c r="K13" i="8"/>
  <c r="L13" i="8"/>
  <c r="M13" i="8"/>
  <c r="N13" i="8"/>
  <c r="O13" i="8"/>
  <c r="P13" i="8"/>
  <c r="Q13" i="8"/>
  <c r="R13" i="8"/>
  <c r="S13" i="8"/>
  <c r="T13" i="8"/>
  <c r="U13" i="8"/>
  <c r="D18" i="8"/>
  <c r="E18" i="8"/>
  <c r="F18" i="8"/>
  <c r="G18" i="8"/>
  <c r="H18" i="8"/>
  <c r="I18" i="8"/>
  <c r="J18" i="8"/>
  <c r="K18" i="8"/>
  <c r="L18" i="8"/>
  <c r="M18" i="8"/>
  <c r="N18" i="8"/>
  <c r="O18" i="8"/>
  <c r="P18" i="8"/>
  <c r="Q18" i="8"/>
  <c r="R18" i="8"/>
  <c r="S18" i="8"/>
  <c r="T18" i="8"/>
  <c r="U18" i="8"/>
  <c r="D17" i="8"/>
  <c r="E17" i="8"/>
  <c r="F17" i="8"/>
  <c r="G17" i="8"/>
  <c r="H17" i="8"/>
  <c r="I17" i="8"/>
  <c r="J17" i="8"/>
  <c r="K17" i="8"/>
  <c r="L17" i="8"/>
  <c r="M17" i="8"/>
  <c r="N17" i="8"/>
  <c r="O17" i="8"/>
  <c r="P17" i="8"/>
  <c r="Q17" i="8"/>
  <c r="R17" i="8"/>
  <c r="S17" i="8"/>
  <c r="T17" i="8"/>
  <c r="U17" i="8"/>
  <c r="D22" i="8"/>
  <c r="E22" i="8"/>
  <c r="F22" i="8"/>
  <c r="G22" i="8"/>
  <c r="H22" i="8"/>
  <c r="I22" i="8"/>
  <c r="J22" i="8"/>
  <c r="K22" i="8"/>
  <c r="L22" i="8"/>
  <c r="M22" i="8"/>
  <c r="N22" i="8"/>
  <c r="O22" i="8"/>
  <c r="P22" i="8"/>
  <c r="Q22" i="8"/>
  <c r="R22" i="8"/>
  <c r="S22" i="8"/>
  <c r="T22" i="8"/>
  <c r="U22" i="8"/>
  <c r="D12" i="8"/>
  <c r="E12" i="8"/>
  <c r="F12" i="8"/>
  <c r="G12" i="8"/>
  <c r="H12" i="8"/>
  <c r="I12" i="8"/>
  <c r="J12" i="8"/>
  <c r="K12" i="8"/>
  <c r="L12" i="8"/>
  <c r="M12" i="8"/>
  <c r="N12" i="8"/>
  <c r="O12" i="8"/>
  <c r="P12" i="8"/>
  <c r="Q12" i="8"/>
  <c r="R12" i="8"/>
  <c r="S12" i="8"/>
  <c r="T12" i="8"/>
  <c r="U12" i="8"/>
  <c r="D28" i="8"/>
  <c r="E28" i="8"/>
  <c r="F28" i="8"/>
  <c r="G28" i="8"/>
  <c r="H28" i="8"/>
  <c r="I28" i="8"/>
  <c r="J28" i="8"/>
  <c r="K28" i="8"/>
  <c r="L28" i="8"/>
  <c r="M28" i="8"/>
  <c r="N28" i="8"/>
  <c r="O28" i="8"/>
  <c r="P28" i="8"/>
  <c r="Q28" i="8"/>
  <c r="R28" i="8"/>
  <c r="S28" i="8"/>
  <c r="T28" i="8"/>
  <c r="U28" i="8"/>
  <c r="D23" i="8"/>
  <c r="E23" i="8"/>
  <c r="F23" i="8"/>
  <c r="G23" i="8"/>
  <c r="H23" i="8"/>
  <c r="I23" i="8"/>
  <c r="J23" i="8"/>
  <c r="K23" i="8"/>
  <c r="L23" i="8"/>
  <c r="M23" i="8"/>
  <c r="N23" i="8"/>
  <c r="O23" i="8"/>
  <c r="P23" i="8"/>
  <c r="Q23" i="8"/>
  <c r="R23" i="8"/>
  <c r="S23" i="8"/>
  <c r="T23" i="8"/>
  <c r="U23" i="8"/>
  <c r="D32" i="8"/>
  <c r="E32" i="8"/>
  <c r="F32" i="8"/>
  <c r="G32" i="8"/>
  <c r="H32" i="8"/>
  <c r="I32" i="8"/>
  <c r="J32" i="8"/>
  <c r="K32" i="8"/>
  <c r="L32" i="8"/>
  <c r="M32" i="8"/>
  <c r="N32" i="8"/>
  <c r="O32" i="8"/>
  <c r="P32" i="8"/>
  <c r="Q32" i="8"/>
  <c r="R32" i="8"/>
  <c r="S32" i="8"/>
  <c r="T32" i="8"/>
  <c r="U32" i="8"/>
  <c r="D11" i="8"/>
  <c r="E11" i="8"/>
  <c r="F11" i="8"/>
  <c r="G11" i="8"/>
  <c r="H11" i="8"/>
  <c r="I11" i="8"/>
  <c r="J11" i="8"/>
  <c r="K11" i="8"/>
  <c r="L11" i="8"/>
  <c r="M11" i="8"/>
  <c r="N11" i="8"/>
  <c r="O11" i="8"/>
  <c r="P11" i="8"/>
  <c r="Q11" i="8"/>
  <c r="R11" i="8"/>
  <c r="S11" i="8"/>
  <c r="T11" i="8"/>
  <c r="U11" i="8"/>
  <c r="D29" i="8"/>
  <c r="E29" i="8"/>
  <c r="F29" i="8"/>
  <c r="G29" i="8"/>
  <c r="H29" i="8"/>
  <c r="I29" i="8"/>
  <c r="J29" i="8"/>
  <c r="K29" i="8"/>
  <c r="L29" i="8"/>
  <c r="M29" i="8"/>
  <c r="N29" i="8"/>
  <c r="O29" i="8"/>
  <c r="P29" i="8"/>
  <c r="Q29" i="8"/>
  <c r="R29" i="8"/>
  <c r="S29" i="8"/>
  <c r="T29" i="8"/>
  <c r="U29" i="8"/>
  <c r="D14" i="8"/>
  <c r="E14" i="8"/>
  <c r="F14" i="8"/>
  <c r="G14" i="8"/>
  <c r="H14" i="8"/>
  <c r="I14" i="8"/>
  <c r="J14" i="8"/>
  <c r="K14" i="8"/>
  <c r="L14" i="8"/>
  <c r="M14" i="8"/>
  <c r="N14" i="8"/>
  <c r="O14" i="8"/>
  <c r="P14" i="8"/>
  <c r="Q14" i="8"/>
  <c r="R14" i="8"/>
  <c r="S14" i="8"/>
  <c r="T14" i="8"/>
  <c r="U14" i="8"/>
  <c r="D30" i="8"/>
  <c r="E30" i="8"/>
  <c r="F30" i="8"/>
  <c r="G30" i="8"/>
  <c r="H30" i="8"/>
  <c r="I30" i="8"/>
  <c r="J30" i="8"/>
  <c r="K30" i="8"/>
  <c r="L30" i="8"/>
  <c r="M30" i="8"/>
  <c r="N30" i="8"/>
  <c r="O30" i="8"/>
  <c r="P30" i="8"/>
  <c r="Q30" i="8"/>
  <c r="R30" i="8"/>
  <c r="S30" i="8"/>
  <c r="T30" i="8"/>
  <c r="U30" i="8"/>
  <c r="D9" i="8"/>
  <c r="E9" i="8"/>
  <c r="F9" i="8"/>
  <c r="G9" i="8"/>
  <c r="H9" i="8"/>
  <c r="I9" i="8"/>
  <c r="J9" i="8"/>
  <c r="K9" i="8"/>
  <c r="L9" i="8"/>
  <c r="M9" i="8"/>
  <c r="N9" i="8"/>
  <c r="O9" i="8"/>
  <c r="P9" i="8"/>
  <c r="Q9" i="8"/>
  <c r="R9" i="8"/>
  <c r="S9" i="8"/>
  <c r="T9" i="8"/>
  <c r="U9" i="8"/>
  <c r="D7" i="8"/>
  <c r="E7" i="8"/>
  <c r="F7" i="8"/>
  <c r="G7" i="8"/>
  <c r="H7" i="8"/>
  <c r="I7" i="8"/>
  <c r="J7" i="8"/>
  <c r="K7" i="8"/>
  <c r="L7" i="8"/>
  <c r="M7" i="8"/>
  <c r="N7" i="8"/>
  <c r="O7" i="8"/>
  <c r="P7" i="8"/>
  <c r="Q7" i="8"/>
  <c r="R7" i="8"/>
  <c r="S7" i="8"/>
  <c r="T7" i="8"/>
  <c r="U7" i="8"/>
  <c r="D21" i="8"/>
  <c r="E21" i="8"/>
  <c r="F21" i="8"/>
  <c r="G21" i="8"/>
  <c r="H21" i="8"/>
  <c r="I21" i="8"/>
  <c r="J21" i="8"/>
  <c r="K21" i="8"/>
  <c r="L21" i="8"/>
  <c r="M21" i="8"/>
  <c r="N21" i="8"/>
  <c r="O21" i="8"/>
  <c r="P21" i="8"/>
  <c r="Q21" i="8"/>
  <c r="R21" i="8"/>
  <c r="S21" i="8"/>
  <c r="T21" i="8"/>
  <c r="U21" i="8"/>
  <c r="D25" i="8"/>
  <c r="E25" i="8"/>
  <c r="F25" i="8"/>
  <c r="G25" i="8"/>
  <c r="H25" i="8"/>
  <c r="I25" i="8"/>
  <c r="J25" i="8"/>
  <c r="K25" i="8"/>
  <c r="L25" i="8"/>
  <c r="M25" i="8"/>
  <c r="N25" i="8"/>
  <c r="O25" i="8"/>
  <c r="P25" i="8"/>
  <c r="Q25" i="8"/>
  <c r="R25" i="8"/>
  <c r="S25" i="8"/>
  <c r="T25" i="8"/>
  <c r="U25" i="8"/>
  <c r="D20" i="8"/>
  <c r="E20" i="8"/>
  <c r="F20" i="8"/>
  <c r="G20" i="8"/>
  <c r="H20" i="8"/>
  <c r="I20" i="8"/>
  <c r="J20" i="8"/>
  <c r="K20" i="8"/>
  <c r="L20" i="8"/>
  <c r="M20" i="8"/>
  <c r="N20" i="8"/>
  <c r="O20" i="8"/>
  <c r="P20" i="8"/>
  <c r="Q20" i="8"/>
  <c r="R20" i="8"/>
  <c r="S20" i="8"/>
  <c r="T20" i="8"/>
  <c r="U20" i="8"/>
  <c r="D7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T28" i="7"/>
  <c r="D20" i="7"/>
  <c r="E20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T20" i="7"/>
  <c r="D5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T26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T22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T15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T10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S13" i="7"/>
  <c r="T13" i="7"/>
  <c r="D9" i="7"/>
  <c r="E9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T9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T27" i="7"/>
  <c r="D6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T19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T18" i="7"/>
  <c r="D24" i="7"/>
  <c r="E24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T2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T14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T23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T11" i="7"/>
  <c r="D12" i="7"/>
  <c r="E12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T12" i="7"/>
  <c r="D4" i="7"/>
  <c r="E4" i="7"/>
  <c r="F4" i="7"/>
  <c r="G4" i="7"/>
  <c r="H4" i="7"/>
  <c r="I4" i="7"/>
  <c r="J4" i="7"/>
  <c r="H146" i="1" s="1"/>
  <c r="K4" i="7"/>
  <c r="L4" i="7"/>
  <c r="M4" i="7"/>
  <c r="N4" i="7"/>
  <c r="O4" i="7"/>
  <c r="P4" i="7"/>
  <c r="Q4" i="7"/>
  <c r="R4" i="7"/>
  <c r="S4" i="7"/>
  <c r="T4" i="7"/>
  <c r="Y141" i="1" s="1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S16" i="7"/>
  <c r="T16" i="7"/>
  <c r="D8" i="7"/>
  <c r="E8" i="7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T8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T17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T29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T21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T25" i="7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D12" i="6"/>
  <c r="E12" i="6"/>
  <c r="F12" i="6"/>
  <c r="G12" i="6"/>
  <c r="H12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T7" i="6"/>
  <c r="U7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T5" i="6"/>
  <c r="U5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T6" i="6"/>
  <c r="U6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S26" i="6"/>
  <c r="T26" i="6"/>
  <c r="U26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D23" i="6"/>
  <c r="E23" i="6"/>
  <c r="F23" i="6"/>
  <c r="G23" i="6"/>
  <c r="H23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D24" i="6"/>
  <c r="E24" i="6"/>
  <c r="F24" i="6"/>
  <c r="G24" i="6"/>
  <c r="H24" i="6"/>
  <c r="I24" i="6"/>
  <c r="J24" i="6"/>
  <c r="K24" i="6"/>
  <c r="L24" i="6"/>
  <c r="M24" i="6"/>
  <c r="N24" i="6"/>
  <c r="O24" i="6"/>
  <c r="P24" i="6"/>
  <c r="Q24" i="6"/>
  <c r="R24" i="6"/>
  <c r="S24" i="6"/>
  <c r="T24" i="6"/>
  <c r="U24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D25" i="6"/>
  <c r="E25" i="6"/>
  <c r="F25" i="6"/>
  <c r="G25" i="6"/>
  <c r="H25" i="6"/>
  <c r="I25" i="6"/>
  <c r="J25" i="6"/>
  <c r="K25" i="6"/>
  <c r="L25" i="6"/>
  <c r="M25" i="6"/>
  <c r="N25" i="6"/>
  <c r="O25" i="6"/>
  <c r="P25" i="6"/>
  <c r="Q25" i="6"/>
  <c r="R25" i="6"/>
  <c r="S25" i="6"/>
  <c r="T25" i="6"/>
  <c r="U25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T9" i="6"/>
  <c r="U9" i="6"/>
  <c r="D7" i="5"/>
  <c r="E7" i="5"/>
  <c r="F7" i="5"/>
  <c r="G7" i="5"/>
  <c r="H7" i="5"/>
  <c r="I7" i="5"/>
  <c r="J7" i="5"/>
  <c r="K7" i="5"/>
  <c r="L7" i="5"/>
  <c r="M7" i="5"/>
  <c r="O7" i="5"/>
  <c r="P7" i="5"/>
  <c r="Q7" i="5"/>
  <c r="R7" i="5"/>
  <c r="S7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S4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S30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S6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S5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S22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S14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S23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S19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S28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S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S20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S26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S13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S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S12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S8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S15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S21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S25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S1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S24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S27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S10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S29" i="5"/>
  <c r="D27" i="2"/>
  <c r="E27" i="2"/>
  <c r="F27" i="2"/>
  <c r="G27" i="2"/>
  <c r="H27" i="2"/>
  <c r="I27" i="2"/>
  <c r="J27" i="2"/>
  <c r="K27" i="2"/>
  <c r="L27" i="2"/>
  <c r="N27" i="2"/>
  <c r="O27" i="2"/>
  <c r="P27" i="2"/>
  <c r="Q27" i="2"/>
  <c r="R27" i="2"/>
  <c r="S27" i="2"/>
  <c r="T27" i="2"/>
  <c r="D9" i="2"/>
  <c r="E9" i="2"/>
  <c r="F9" i="2"/>
  <c r="G9" i="2"/>
  <c r="H9" i="2"/>
  <c r="I9" i="2"/>
  <c r="J9" i="2"/>
  <c r="K9" i="2"/>
  <c r="L9" i="2"/>
  <c r="N9" i="2"/>
  <c r="O9" i="2"/>
  <c r="P9" i="2"/>
  <c r="Q9" i="2"/>
  <c r="R9" i="2"/>
  <c r="S9" i="2"/>
  <c r="T9" i="2"/>
  <c r="D20" i="2"/>
  <c r="E20" i="2"/>
  <c r="F20" i="2"/>
  <c r="G20" i="2"/>
  <c r="H20" i="2"/>
  <c r="I20" i="2"/>
  <c r="J20" i="2"/>
  <c r="K20" i="2"/>
  <c r="L20" i="2"/>
  <c r="N20" i="2"/>
  <c r="O20" i="2"/>
  <c r="P20" i="2"/>
  <c r="Q20" i="2"/>
  <c r="R20" i="2"/>
  <c r="S20" i="2"/>
  <c r="T20" i="2"/>
  <c r="D29" i="2"/>
  <c r="E29" i="2"/>
  <c r="F29" i="2"/>
  <c r="G29" i="2"/>
  <c r="H29" i="2"/>
  <c r="I29" i="2"/>
  <c r="J29" i="2"/>
  <c r="K29" i="2"/>
  <c r="L29" i="2"/>
  <c r="N29" i="2"/>
  <c r="O29" i="2"/>
  <c r="P29" i="2"/>
  <c r="Q29" i="2"/>
  <c r="R29" i="2"/>
  <c r="S29" i="2"/>
  <c r="T29" i="2"/>
  <c r="D7" i="2"/>
  <c r="E7" i="2"/>
  <c r="F7" i="2"/>
  <c r="G7" i="2"/>
  <c r="H7" i="2"/>
  <c r="I7" i="2"/>
  <c r="J7" i="2"/>
  <c r="K7" i="2"/>
  <c r="L7" i="2"/>
  <c r="N7" i="2"/>
  <c r="O7" i="2"/>
  <c r="P7" i="2"/>
  <c r="Q7" i="2"/>
  <c r="R7" i="2"/>
  <c r="S7" i="2"/>
  <c r="T7" i="2"/>
  <c r="D22" i="2"/>
  <c r="E22" i="2"/>
  <c r="F22" i="2"/>
  <c r="G22" i="2"/>
  <c r="H22" i="2"/>
  <c r="I22" i="2"/>
  <c r="J22" i="2"/>
  <c r="K22" i="2"/>
  <c r="L22" i="2"/>
  <c r="N22" i="2"/>
  <c r="O22" i="2"/>
  <c r="P22" i="2"/>
  <c r="Q22" i="2"/>
  <c r="R22" i="2"/>
  <c r="S22" i="2"/>
  <c r="T22" i="2"/>
  <c r="D28" i="2"/>
  <c r="E28" i="2"/>
  <c r="F28" i="2"/>
  <c r="G28" i="2"/>
  <c r="H28" i="2"/>
  <c r="I28" i="2"/>
  <c r="J28" i="2"/>
  <c r="K28" i="2"/>
  <c r="L28" i="2"/>
  <c r="N28" i="2"/>
  <c r="O28" i="2"/>
  <c r="P28" i="2"/>
  <c r="Q28" i="2"/>
  <c r="R28" i="2"/>
  <c r="S28" i="2"/>
  <c r="T28" i="2"/>
  <c r="D31" i="2"/>
  <c r="E31" i="2"/>
  <c r="F31" i="2"/>
  <c r="G31" i="2"/>
  <c r="H31" i="2"/>
  <c r="I31" i="2"/>
  <c r="J31" i="2"/>
  <c r="K31" i="2"/>
  <c r="L31" i="2"/>
  <c r="N31" i="2"/>
  <c r="O31" i="2"/>
  <c r="P31" i="2"/>
  <c r="Q31" i="2"/>
  <c r="R31" i="2"/>
  <c r="S31" i="2"/>
  <c r="T31" i="2"/>
  <c r="D24" i="2"/>
  <c r="E24" i="2"/>
  <c r="F24" i="2"/>
  <c r="G24" i="2"/>
  <c r="H24" i="2"/>
  <c r="I24" i="2"/>
  <c r="J24" i="2"/>
  <c r="K24" i="2"/>
  <c r="L24" i="2"/>
  <c r="N24" i="2"/>
  <c r="O24" i="2"/>
  <c r="P24" i="2"/>
  <c r="Q24" i="2"/>
  <c r="R24" i="2"/>
  <c r="S24" i="2"/>
  <c r="T24" i="2"/>
  <c r="D19" i="2"/>
  <c r="E19" i="2"/>
  <c r="F19" i="2"/>
  <c r="G19" i="2"/>
  <c r="H19" i="2"/>
  <c r="I19" i="2"/>
  <c r="J19" i="2"/>
  <c r="K19" i="2"/>
  <c r="L19" i="2"/>
  <c r="N19" i="2"/>
  <c r="O19" i="2"/>
  <c r="P19" i="2"/>
  <c r="Q19" i="2"/>
  <c r="R19" i="2"/>
  <c r="S19" i="2"/>
  <c r="T19" i="2"/>
  <c r="D12" i="2"/>
  <c r="E12" i="2"/>
  <c r="F12" i="2"/>
  <c r="G12" i="2"/>
  <c r="H12" i="2"/>
  <c r="I12" i="2"/>
  <c r="J12" i="2"/>
  <c r="K12" i="2"/>
  <c r="L12" i="2"/>
  <c r="N12" i="2"/>
  <c r="O12" i="2"/>
  <c r="P12" i="2"/>
  <c r="Q12" i="2"/>
  <c r="R12" i="2"/>
  <c r="S12" i="2"/>
  <c r="T12" i="2"/>
  <c r="D17" i="2"/>
  <c r="E17" i="2"/>
  <c r="F17" i="2"/>
  <c r="G17" i="2"/>
  <c r="H17" i="2"/>
  <c r="I17" i="2"/>
  <c r="J17" i="2"/>
  <c r="K17" i="2"/>
  <c r="L17" i="2"/>
  <c r="N17" i="2"/>
  <c r="O17" i="2"/>
  <c r="P17" i="2"/>
  <c r="Q17" i="2"/>
  <c r="R17" i="2"/>
  <c r="S17" i="2"/>
  <c r="T17" i="2"/>
  <c r="D10" i="2"/>
  <c r="E10" i="2"/>
  <c r="F10" i="2"/>
  <c r="G10" i="2"/>
  <c r="H10" i="2"/>
  <c r="I10" i="2"/>
  <c r="J10" i="2"/>
  <c r="K10" i="2"/>
  <c r="L10" i="2"/>
  <c r="N10" i="2"/>
  <c r="O10" i="2"/>
  <c r="P10" i="2"/>
  <c r="Q10" i="2"/>
  <c r="R10" i="2"/>
  <c r="S10" i="2"/>
  <c r="T10" i="2"/>
  <c r="D30" i="2"/>
  <c r="E30" i="2"/>
  <c r="F30" i="2"/>
  <c r="G30" i="2"/>
  <c r="H30" i="2"/>
  <c r="I30" i="2"/>
  <c r="J30" i="2"/>
  <c r="K30" i="2"/>
  <c r="L30" i="2"/>
  <c r="N30" i="2"/>
  <c r="O30" i="2"/>
  <c r="P30" i="2"/>
  <c r="Q30" i="2"/>
  <c r="R30" i="2"/>
  <c r="S30" i="2"/>
  <c r="T30" i="2"/>
  <c r="D25" i="2"/>
  <c r="E25" i="2"/>
  <c r="F25" i="2"/>
  <c r="G25" i="2"/>
  <c r="H25" i="2"/>
  <c r="I25" i="2"/>
  <c r="J25" i="2"/>
  <c r="K25" i="2"/>
  <c r="L25" i="2"/>
  <c r="N25" i="2"/>
  <c r="O25" i="2"/>
  <c r="P25" i="2"/>
  <c r="Q25" i="2"/>
  <c r="R25" i="2"/>
  <c r="S25" i="2"/>
  <c r="T25" i="2"/>
  <c r="D4" i="2"/>
  <c r="E4" i="2"/>
  <c r="F4" i="2"/>
  <c r="G4" i="2"/>
  <c r="H4" i="2"/>
  <c r="I4" i="2"/>
  <c r="J4" i="2"/>
  <c r="K4" i="2"/>
  <c r="L4" i="2"/>
  <c r="N4" i="2"/>
  <c r="O4" i="2"/>
  <c r="P4" i="2"/>
  <c r="Q4" i="2"/>
  <c r="R4" i="2"/>
  <c r="S4" i="2"/>
  <c r="T4" i="2"/>
  <c r="D11" i="2"/>
  <c r="E11" i="2"/>
  <c r="F11" i="2"/>
  <c r="G11" i="2"/>
  <c r="H11" i="2"/>
  <c r="I11" i="2"/>
  <c r="J11" i="2"/>
  <c r="K11" i="2"/>
  <c r="L11" i="2"/>
  <c r="N11" i="2"/>
  <c r="O11" i="2"/>
  <c r="P11" i="2"/>
  <c r="Q11" i="2"/>
  <c r="R11" i="2"/>
  <c r="S11" i="2"/>
  <c r="T11" i="2"/>
  <c r="Y7" i="1" s="1"/>
  <c r="D14" i="2"/>
  <c r="E14" i="2"/>
  <c r="F14" i="2"/>
  <c r="G14" i="2"/>
  <c r="H14" i="2"/>
  <c r="I14" i="2"/>
  <c r="J14" i="2"/>
  <c r="K14" i="2"/>
  <c r="L14" i="2"/>
  <c r="N14" i="2"/>
  <c r="O14" i="2"/>
  <c r="P14" i="2"/>
  <c r="Q14" i="2"/>
  <c r="R14" i="2"/>
  <c r="S14" i="2"/>
  <c r="T14" i="2"/>
  <c r="D8" i="2"/>
  <c r="E8" i="2"/>
  <c r="F8" i="2"/>
  <c r="G8" i="2"/>
  <c r="H8" i="2"/>
  <c r="I8" i="2"/>
  <c r="J8" i="2"/>
  <c r="K8" i="2"/>
  <c r="L8" i="2"/>
  <c r="N8" i="2"/>
  <c r="O8" i="2"/>
  <c r="P8" i="2"/>
  <c r="Q8" i="2"/>
  <c r="R8" i="2"/>
  <c r="S8" i="2"/>
  <c r="T8" i="2"/>
  <c r="D16" i="2"/>
  <c r="E16" i="2"/>
  <c r="F16" i="2"/>
  <c r="G16" i="2"/>
  <c r="H16" i="2"/>
  <c r="I16" i="2"/>
  <c r="J16" i="2"/>
  <c r="K16" i="2"/>
  <c r="L16" i="2"/>
  <c r="N16" i="2"/>
  <c r="O16" i="2"/>
  <c r="P16" i="2"/>
  <c r="Q16" i="2"/>
  <c r="R16" i="2"/>
  <c r="S16" i="2"/>
  <c r="T16" i="2"/>
  <c r="D26" i="2"/>
  <c r="E26" i="2"/>
  <c r="F26" i="2"/>
  <c r="G26" i="2"/>
  <c r="H26" i="2"/>
  <c r="I26" i="2"/>
  <c r="J26" i="2"/>
  <c r="K26" i="2"/>
  <c r="L26" i="2"/>
  <c r="N26" i="2"/>
  <c r="O26" i="2"/>
  <c r="P26" i="2"/>
  <c r="Q26" i="2"/>
  <c r="R26" i="2"/>
  <c r="S26" i="2"/>
  <c r="T26" i="2"/>
  <c r="D13" i="2"/>
  <c r="E13" i="2"/>
  <c r="F13" i="2"/>
  <c r="G13" i="2"/>
  <c r="H13" i="2"/>
  <c r="I13" i="2"/>
  <c r="J13" i="2"/>
  <c r="K13" i="2"/>
  <c r="L13" i="2"/>
  <c r="N13" i="2"/>
  <c r="O13" i="2"/>
  <c r="P13" i="2"/>
  <c r="Q13" i="2"/>
  <c r="R13" i="2"/>
  <c r="S13" i="2"/>
  <c r="T13" i="2"/>
  <c r="D21" i="2"/>
  <c r="E21" i="2"/>
  <c r="F21" i="2"/>
  <c r="G21" i="2"/>
  <c r="H21" i="2"/>
  <c r="I21" i="2"/>
  <c r="J21" i="2"/>
  <c r="K21" i="2"/>
  <c r="L21" i="2"/>
  <c r="N21" i="2"/>
  <c r="O21" i="2"/>
  <c r="P21" i="2"/>
  <c r="Q21" i="2"/>
  <c r="R21" i="2"/>
  <c r="S21" i="2"/>
  <c r="T21" i="2"/>
  <c r="D15" i="2"/>
  <c r="E15" i="2"/>
  <c r="F15" i="2"/>
  <c r="G15" i="2"/>
  <c r="H15" i="2"/>
  <c r="I15" i="2"/>
  <c r="J15" i="2"/>
  <c r="K15" i="2"/>
  <c r="L15" i="2"/>
  <c r="N15" i="2"/>
  <c r="O15" i="2"/>
  <c r="P15" i="2"/>
  <c r="Q15" i="2"/>
  <c r="R15" i="2"/>
  <c r="S15" i="2"/>
  <c r="T15" i="2"/>
  <c r="D18" i="2"/>
  <c r="E18" i="2"/>
  <c r="F18" i="2"/>
  <c r="G18" i="2"/>
  <c r="H18" i="2"/>
  <c r="I18" i="2"/>
  <c r="J18" i="2"/>
  <c r="K18" i="2"/>
  <c r="L18" i="2"/>
  <c r="N18" i="2"/>
  <c r="O18" i="2"/>
  <c r="P18" i="2"/>
  <c r="Q18" i="2"/>
  <c r="R18" i="2"/>
  <c r="S18" i="2"/>
  <c r="T18" i="2"/>
  <c r="D23" i="2"/>
  <c r="E23" i="2"/>
  <c r="F23" i="2"/>
  <c r="G23" i="2"/>
  <c r="H23" i="2"/>
  <c r="I23" i="2"/>
  <c r="J23" i="2"/>
  <c r="K23" i="2"/>
  <c r="L23" i="2"/>
  <c r="N23" i="2"/>
  <c r="O23" i="2"/>
  <c r="P23" i="2"/>
  <c r="Q23" i="2"/>
  <c r="R23" i="2"/>
  <c r="S23" i="2"/>
  <c r="T23" i="2"/>
  <c r="D5" i="2"/>
  <c r="E5" i="2"/>
  <c r="F5" i="2"/>
  <c r="G5" i="2"/>
  <c r="H5" i="2"/>
  <c r="I5" i="2"/>
  <c r="J5" i="2"/>
  <c r="K5" i="2"/>
  <c r="L5" i="2"/>
  <c r="N5" i="2"/>
  <c r="O5" i="2"/>
  <c r="P5" i="2"/>
  <c r="Q5" i="2"/>
  <c r="R5" i="2"/>
  <c r="S5" i="2"/>
  <c r="T5" i="2"/>
  <c r="D6" i="2"/>
  <c r="E6" i="2"/>
  <c r="F6" i="2"/>
  <c r="G6" i="2"/>
  <c r="H6" i="2"/>
  <c r="I6" i="2"/>
  <c r="J6" i="2"/>
  <c r="K6" i="2"/>
  <c r="L6" i="2"/>
  <c r="N6" i="2"/>
  <c r="O6" i="2"/>
  <c r="P6" i="2"/>
  <c r="Q6" i="2"/>
  <c r="R6" i="2"/>
  <c r="S6" i="2"/>
  <c r="T6" i="2"/>
  <c r="D277" i="1"/>
  <c r="K278" i="1"/>
  <c r="J303" i="1"/>
  <c r="J302" i="1"/>
  <c r="G191" i="1"/>
  <c r="G227" i="1"/>
  <c r="G263" i="1"/>
  <c r="D241" i="1"/>
  <c r="K242" i="1"/>
  <c r="J270" i="1"/>
  <c r="J269" i="1"/>
  <c r="D205" i="1"/>
  <c r="K206" i="1"/>
  <c r="J235" i="1"/>
  <c r="J234" i="1"/>
  <c r="J233" i="1"/>
  <c r="J231" i="1"/>
  <c r="J230" i="1"/>
  <c r="D169" i="1"/>
  <c r="K170" i="1"/>
  <c r="J198" i="1"/>
  <c r="J197" i="1"/>
  <c r="G122" i="1"/>
  <c r="G155" i="1"/>
  <c r="D134" i="1"/>
  <c r="K135" i="1"/>
  <c r="J130" i="1"/>
  <c r="J129" i="1"/>
  <c r="J128" i="1"/>
  <c r="J126" i="1"/>
  <c r="J125" i="1"/>
  <c r="J163" i="1"/>
  <c r="J162" i="1"/>
  <c r="J161" i="1"/>
  <c r="J159" i="1"/>
  <c r="J158" i="1"/>
  <c r="D101" i="1"/>
  <c r="K102" i="1"/>
  <c r="J98" i="1"/>
  <c r="J97" i="1"/>
  <c r="J96" i="1"/>
  <c r="J94" i="1"/>
  <c r="J93" i="1"/>
  <c r="K70" i="1"/>
  <c r="E69" i="1"/>
  <c r="K36" i="1"/>
  <c r="D35" i="1"/>
  <c r="U35" i="1" s="1"/>
  <c r="G57" i="1"/>
  <c r="AC82" i="1"/>
  <c r="D70" i="1"/>
  <c r="AC48" i="1"/>
  <c r="D570" i="1"/>
  <c r="D569" i="1"/>
  <c r="D539" i="1"/>
  <c r="D538" i="1"/>
  <c r="D507" i="1"/>
  <c r="D506" i="1"/>
  <c r="D475" i="1"/>
  <c r="D474" i="1"/>
  <c r="D443" i="1"/>
  <c r="D442" i="1"/>
  <c r="D411" i="1"/>
  <c r="D410" i="1"/>
  <c r="D379" i="1"/>
  <c r="D378" i="1"/>
  <c r="D346" i="1"/>
  <c r="D345" i="1"/>
  <c r="D313" i="1"/>
  <c r="D312" i="1"/>
  <c r="D280" i="1"/>
  <c r="D279" i="1"/>
  <c r="D244" i="1"/>
  <c r="D243" i="1"/>
  <c r="D208" i="1"/>
  <c r="D207" i="1"/>
  <c r="D172" i="1"/>
  <c r="D171" i="1"/>
  <c r="D137" i="1"/>
  <c r="D136" i="1"/>
  <c r="D104" i="1"/>
  <c r="D103" i="1"/>
  <c r="D72" i="1"/>
  <c r="D71" i="1"/>
  <c r="D4" i="1"/>
  <c r="D3" i="1"/>
  <c r="D36" i="1"/>
  <c r="AB19" i="1"/>
  <c r="AB53" i="1"/>
  <c r="AB87" i="1"/>
  <c r="AB119" i="1"/>
  <c r="AB152" i="1"/>
  <c r="AB187" i="1"/>
  <c r="AB223" i="1"/>
  <c r="AB259" i="1"/>
  <c r="AB294" i="1"/>
  <c r="AB327" i="1"/>
  <c r="AB360" i="1"/>
  <c r="AB394" i="1"/>
  <c r="AB426" i="1"/>
  <c r="AB458" i="1"/>
  <c r="AB490" i="1"/>
  <c r="AB522" i="1"/>
  <c r="AB554" i="1"/>
  <c r="AB585" i="1"/>
  <c r="D37" i="1"/>
  <c r="D38" i="1"/>
  <c r="I12" i="25"/>
  <c r="J4" i="1" s="1"/>
  <c r="AC14" i="1"/>
  <c r="D2" i="1"/>
  <c r="H143" i="1" l="1"/>
  <c r="Y139" i="1"/>
  <c r="H212" i="1"/>
  <c r="J212" i="1" s="1"/>
  <c r="H151" i="1"/>
  <c r="H220" i="1"/>
  <c r="J220" i="1" s="1"/>
  <c r="H86" i="1"/>
  <c r="H110" i="1"/>
  <c r="H152" i="1"/>
  <c r="H144" i="1"/>
  <c r="Y448" i="1"/>
  <c r="AC4" i="8"/>
  <c r="H142" i="1"/>
  <c r="H149" i="1"/>
  <c r="H141" i="1"/>
  <c r="Y109" i="1"/>
  <c r="H116" i="1"/>
  <c r="Y105" i="1"/>
  <c r="H112" i="1"/>
  <c r="Y248" i="1"/>
  <c r="AA248" i="1" s="1"/>
  <c r="H256" i="1"/>
  <c r="H255" i="1"/>
  <c r="Y246" i="1"/>
  <c r="H253" i="1"/>
  <c r="H252" i="1"/>
  <c r="H250" i="1"/>
  <c r="Y211" i="1"/>
  <c r="AA211" i="1" s="1"/>
  <c r="Y210" i="1"/>
  <c r="AA210" i="1" s="1"/>
  <c r="H217" i="1"/>
  <c r="J217" i="1" s="1"/>
  <c r="H221" i="1"/>
  <c r="J221" i="1" s="1"/>
  <c r="Y174" i="1"/>
  <c r="Y173" i="1"/>
  <c r="H179" i="1"/>
  <c r="H178" i="1"/>
  <c r="H177" i="1"/>
  <c r="H215" i="1"/>
  <c r="J215" i="1" s="1"/>
  <c r="AD6" i="2"/>
  <c r="AC6" i="2"/>
  <c r="AC5" i="2"/>
  <c r="AD5" i="2"/>
  <c r="AD23" i="2"/>
  <c r="AC23" i="2"/>
  <c r="AD18" i="2"/>
  <c r="AC18" i="2"/>
  <c r="AC15" i="2"/>
  <c r="AD15" i="2"/>
  <c r="AD21" i="2"/>
  <c r="AC21" i="2"/>
  <c r="AC13" i="2"/>
  <c r="AD13" i="2"/>
  <c r="AC26" i="2"/>
  <c r="AD26" i="2"/>
  <c r="AC16" i="2"/>
  <c r="AD16" i="2"/>
  <c r="AC8" i="2"/>
  <c r="AD8" i="2"/>
  <c r="AD14" i="2"/>
  <c r="AC14" i="2"/>
  <c r="AD11" i="2"/>
  <c r="AC11" i="2"/>
  <c r="AD4" i="2"/>
  <c r="AC4" i="2"/>
  <c r="AD25" i="2"/>
  <c r="AC25" i="2"/>
  <c r="AC30" i="2"/>
  <c r="AD30" i="2"/>
  <c r="AC10" i="2"/>
  <c r="AD10" i="2"/>
  <c r="AC17" i="2"/>
  <c r="AD17" i="2"/>
  <c r="AC12" i="2"/>
  <c r="AD12" i="2"/>
  <c r="AD19" i="2"/>
  <c r="AC19" i="2"/>
  <c r="AD24" i="2"/>
  <c r="AC24" i="2"/>
  <c r="AD31" i="2"/>
  <c r="AC31" i="2"/>
  <c r="AD28" i="2"/>
  <c r="AC28" i="2"/>
  <c r="AC22" i="2"/>
  <c r="AD22" i="2"/>
  <c r="AC7" i="2"/>
  <c r="AD7" i="2"/>
  <c r="AC29" i="2"/>
  <c r="AD29" i="2"/>
  <c r="AC20" i="2"/>
  <c r="AD20" i="2"/>
  <c r="AD9" i="2"/>
  <c r="AC9" i="2"/>
  <c r="AC27" i="2"/>
  <c r="AD27" i="2"/>
  <c r="AD23" i="4"/>
  <c r="AC23" i="4"/>
  <c r="AD10" i="4"/>
  <c r="AC10" i="4"/>
  <c r="AD21" i="4"/>
  <c r="AC21" i="4"/>
  <c r="AD15" i="4"/>
  <c r="AC15" i="4"/>
  <c r="AD18" i="4"/>
  <c r="AC18" i="4"/>
  <c r="AD19" i="4"/>
  <c r="AC19" i="4"/>
  <c r="AD26" i="4"/>
  <c r="AC26" i="4"/>
  <c r="AD20" i="4"/>
  <c r="AC20" i="4"/>
  <c r="AD5" i="4"/>
  <c r="AC5" i="4"/>
  <c r="AC24" i="4"/>
  <c r="AD24" i="4"/>
  <c r="AD6" i="4"/>
  <c r="AC6" i="4"/>
  <c r="AD14" i="4"/>
  <c r="AC14" i="4"/>
  <c r="AD8" i="4"/>
  <c r="AC8" i="4"/>
  <c r="AD27" i="4"/>
  <c r="AC27" i="4"/>
  <c r="AC9" i="4"/>
  <c r="AD9" i="4"/>
  <c r="AD7" i="4"/>
  <c r="AC7" i="4"/>
  <c r="AD11" i="4"/>
  <c r="AC11" i="4"/>
  <c r="AD4" i="4"/>
  <c r="AC4" i="4"/>
  <c r="AD16" i="4"/>
  <c r="AC16" i="4"/>
  <c r="AD22" i="4"/>
  <c r="AC22" i="4"/>
  <c r="AD13" i="4"/>
  <c r="AC13" i="4"/>
  <c r="AD17" i="4"/>
  <c r="AC17" i="4"/>
  <c r="AD12" i="4"/>
  <c r="AC12" i="4"/>
  <c r="AD25" i="4"/>
  <c r="AC25" i="4"/>
  <c r="H41" i="1"/>
  <c r="H447" i="1"/>
  <c r="H453" i="1"/>
  <c r="H510" i="1"/>
  <c r="H429" i="1"/>
  <c r="Y212" i="1"/>
  <c r="AA212" i="1" s="1"/>
  <c r="Y412" i="1"/>
  <c r="H423" i="1"/>
  <c r="H422" i="1"/>
  <c r="H421" i="1"/>
  <c r="H516" i="1"/>
  <c r="H515" i="1"/>
  <c r="Y510" i="1"/>
  <c r="H514" i="1"/>
  <c r="H513" i="1"/>
  <c r="H512" i="1"/>
  <c r="H433" i="1"/>
  <c r="H219" i="1"/>
  <c r="J219" i="1" s="1"/>
  <c r="H498" i="1"/>
  <c r="H213" i="1"/>
  <c r="J213" i="1" s="1"/>
  <c r="H359" i="1"/>
  <c r="Y347" i="1"/>
  <c r="H115" i="1"/>
  <c r="H119" i="1"/>
  <c r="H117" i="1"/>
  <c r="H517" i="1"/>
  <c r="Y511" i="1"/>
  <c r="H511" i="1"/>
  <c r="Y509" i="1"/>
  <c r="Y508" i="1"/>
  <c r="H519" i="1"/>
  <c r="H518" i="1"/>
  <c r="H118" i="1"/>
  <c r="H114" i="1"/>
  <c r="H127" i="1" s="1"/>
  <c r="J127" i="1" s="1"/>
  <c r="H113" i="1"/>
  <c r="H111" i="1"/>
  <c r="Y107" i="1"/>
  <c r="Y106" i="1"/>
  <c r="H109" i="1"/>
  <c r="Y108" i="1"/>
  <c r="Y631" i="1"/>
  <c r="AA631" i="1" s="1"/>
  <c r="H254" i="1"/>
  <c r="H268" i="1"/>
  <c r="H180" i="1"/>
  <c r="H148" i="1"/>
  <c r="H140" i="1"/>
  <c r="Y140" i="1"/>
  <c r="H160" i="1"/>
  <c r="J160" i="1" s="1"/>
  <c r="Y138" i="1"/>
  <c r="H145" i="1"/>
  <c r="H147" i="1"/>
  <c r="H150" i="1"/>
  <c r="H634" i="1"/>
  <c r="J634" i="1" s="1"/>
  <c r="H641" i="1"/>
  <c r="J641" i="1" s="1"/>
  <c r="H432" i="1"/>
  <c r="J432" i="1" s="1"/>
  <c r="H636" i="1"/>
  <c r="J636" i="1" s="1"/>
  <c r="Y633" i="1"/>
  <c r="AA633" i="1" s="1"/>
  <c r="H431" i="1"/>
  <c r="J431" i="1" s="1"/>
  <c r="J601" i="1"/>
  <c r="H494" i="1"/>
  <c r="J494" i="1" s="1"/>
  <c r="H326" i="1"/>
  <c r="H481" i="1"/>
  <c r="H248" i="1"/>
  <c r="Y175" i="1"/>
  <c r="Y632" i="1"/>
  <c r="AA632" i="1" s="1"/>
  <c r="H635" i="1"/>
  <c r="J635" i="1" s="1"/>
  <c r="H633" i="1"/>
  <c r="J633" i="1" s="1"/>
  <c r="H640" i="1"/>
  <c r="J640" i="1" s="1"/>
  <c r="H639" i="1"/>
  <c r="J639" i="1" s="1"/>
  <c r="Y635" i="1"/>
  <c r="AA635" i="1" s="1"/>
  <c r="H638" i="1"/>
  <c r="J638" i="1" s="1"/>
  <c r="Y634" i="1"/>
  <c r="AA634" i="1" s="1"/>
  <c r="H637" i="1"/>
  <c r="J637" i="1" s="1"/>
  <c r="H224" i="1"/>
  <c r="J224" i="1" s="1"/>
  <c r="H216" i="1"/>
  <c r="J216" i="1" s="1"/>
  <c r="H223" i="1"/>
  <c r="J223" i="1" s="1"/>
  <c r="H222" i="1"/>
  <c r="J222" i="1" s="1"/>
  <c r="H214" i="1"/>
  <c r="J214" i="1" s="1"/>
  <c r="H211" i="1"/>
  <c r="J211" i="1" s="1"/>
  <c r="H218" i="1"/>
  <c r="Y209" i="1"/>
  <c r="AA209" i="1" s="1"/>
  <c r="H452" i="1"/>
  <c r="Y447" i="1"/>
  <c r="H451" i="1"/>
  <c r="Y446" i="1"/>
  <c r="H450" i="1"/>
  <c r="Y445" i="1"/>
  <c r="H449" i="1"/>
  <c r="Y444" i="1"/>
  <c r="H448" i="1"/>
  <c r="H454" i="1"/>
  <c r="H446" i="1"/>
  <c r="Z24" i="5"/>
  <c r="AA24" i="5"/>
  <c r="AA21" i="5"/>
  <c r="Z21" i="5"/>
  <c r="Z11" i="5"/>
  <c r="AA11" i="5"/>
  <c r="AA17" i="5"/>
  <c r="Z17" i="5"/>
  <c r="Z23" i="5"/>
  <c r="AA23" i="5"/>
  <c r="AA6" i="5"/>
  <c r="Z6" i="5"/>
  <c r="AA29" i="5"/>
  <c r="Z29" i="5"/>
  <c r="Z9" i="5"/>
  <c r="AA9" i="5"/>
  <c r="AA15" i="5"/>
  <c r="Z15" i="5"/>
  <c r="Z13" i="5"/>
  <c r="AA13" i="5"/>
  <c r="AA16" i="5"/>
  <c r="Z16" i="5"/>
  <c r="Z14" i="5"/>
  <c r="AA14" i="5"/>
  <c r="AA30" i="5"/>
  <c r="Z30" i="5"/>
  <c r="AA10" i="5"/>
  <c r="Z10" i="5"/>
  <c r="Z18" i="5"/>
  <c r="AA18" i="5"/>
  <c r="AA8" i="5"/>
  <c r="Z8" i="5"/>
  <c r="Z26" i="5"/>
  <c r="AA26" i="5"/>
  <c r="AA28" i="5"/>
  <c r="Z28" i="5"/>
  <c r="Z22" i="5"/>
  <c r="AA22" i="5"/>
  <c r="AA4" i="5"/>
  <c r="Z4" i="5"/>
  <c r="Z27" i="5"/>
  <c r="AA27" i="5"/>
  <c r="AA25" i="5"/>
  <c r="Z25" i="5"/>
  <c r="Z12" i="5"/>
  <c r="AA12" i="5"/>
  <c r="AA20" i="5"/>
  <c r="Z20" i="5"/>
  <c r="Z19" i="5"/>
  <c r="AA19" i="5"/>
  <c r="AA5" i="5"/>
  <c r="Z5" i="5"/>
  <c r="Z7" i="5"/>
  <c r="AA7" i="5"/>
  <c r="H430" i="1"/>
  <c r="H434" i="1"/>
  <c r="Y314" i="1"/>
  <c r="H319" i="1"/>
  <c r="H318" i="1"/>
  <c r="H325" i="1"/>
  <c r="J325" i="1" s="1"/>
  <c r="H317" i="1"/>
  <c r="H324" i="1"/>
  <c r="H316" i="1"/>
  <c r="H323" i="1"/>
  <c r="Y317" i="1"/>
  <c r="H322" i="1"/>
  <c r="Y316" i="1"/>
  <c r="H321" i="1"/>
  <c r="Y315" i="1"/>
  <c r="H320" i="1"/>
  <c r="H356" i="1"/>
  <c r="H354" i="1"/>
  <c r="H353" i="1"/>
  <c r="H358" i="1"/>
  <c r="J358" i="1" s="1"/>
  <c r="H352" i="1"/>
  <c r="H355" i="1"/>
  <c r="H351" i="1"/>
  <c r="Y349" i="1"/>
  <c r="H350" i="1"/>
  <c r="H357" i="1"/>
  <c r="Y348" i="1"/>
  <c r="H349" i="1"/>
  <c r="H249" i="1"/>
  <c r="H257" i="1"/>
  <c r="J257" i="1" s="1"/>
  <c r="Y247" i="1"/>
  <c r="H251" i="1"/>
  <c r="Y245" i="1"/>
  <c r="H260" i="1"/>
  <c r="H259" i="1"/>
  <c r="J259" i="1" s="1"/>
  <c r="H247" i="1"/>
  <c r="H258" i="1"/>
  <c r="J258" i="1" s="1"/>
  <c r="H183" i="1"/>
  <c r="H182" i="1"/>
  <c r="H196" i="1" s="1"/>
  <c r="Y176" i="1"/>
  <c r="H176" i="1"/>
  <c r="H175" i="1"/>
  <c r="H186" i="1"/>
  <c r="H184" i="1"/>
  <c r="H188" i="1"/>
  <c r="H185" i="1"/>
  <c r="H181" i="1"/>
  <c r="H187" i="1"/>
  <c r="H496" i="1"/>
  <c r="Y477" i="1"/>
  <c r="Y413" i="1"/>
  <c r="H420" i="1"/>
  <c r="H419" i="1"/>
  <c r="H418" i="1"/>
  <c r="H417" i="1"/>
  <c r="H416" i="1"/>
  <c r="Y415" i="1"/>
  <c r="H415" i="1"/>
  <c r="Y414" i="1"/>
  <c r="H414" i="1"/>
  <c r="H483" i="1"/>
  <c r="H482" i="1"/>
  <c r="H497" i="1"/>
  <c r="H484" i="1"/>
  <c r="H485" i="1"/>
  <c r="H495" i="1"/>
  <c r="J495" i="1" s="1"/>
  <c r="Y476" i="1"/>
  <c r="H487" i="1"/>
  <c r="H486" i="1"/>
  <c r="Y480" i="1"/>
  <c r="H480" i="1"/>
  <c r="Y479" i="1"/>
  <c r="H479" i="1"/>
  <c r="Y478" i="1"/>
  <c r="H478" i="1"/>
  <c r="H493" i="1"/>
  <c r="J659" i="1"/>
  <c r="J630" i="1"/>
  <c r="H563" i="1"/>
  <c r="J563" i="1" s="1"/>
  <c r="H564" i="1"/>
  <c r="J564" i="1" s="1"/>
  <c r="J72" i="1"/>
  <c r="J208" i="1"/>
  <c r="J346" i="1"/>
  <c r="J475" i="1"/>
  <c r="J104" i="1"/>
  <c r="J244" i="1"/>
  <c r="J379" i="1"/>
  <c r="J507" i="1"/>
  <c r="J137" i="1"/>
  <c r="J280" i="1"/>
  <c r="J411" i="1"/>
  <c r="J539" i="1"/>
  <c r="J38" i="1"/>
  <c r="J172" i="1"/>
  <c r="J313" i="1"/>
  <c r="J443" i="1"/>
  <c r="J570" i="1"/>
  <c r="Y42" i="1"/>
  <c r="Y41" i="1"/>
  <c r="Y40" i="1"/>
  <c r="Y39" i="1"/>
  <c r="H54" i="1"/>
  <c r="H53" i="1"/>
  <c r="H52" i="1"/>
  <c r="H51" i="1"/>
  <c r="H50" i="1"/>
  <c r="H49" i="1"/>
  <c r="H48" i="1"/>
  <c r="H62" i="1" s="1"/>
  <c r="J62" i="1" s="1"/>
  <c r="H47" i="1"/>
  <c r="H46" i="1"/>
  <c r="H45" i="1"/>
  <c r="H44" i="1"/>
  <c r="H43" i="1"/>
  <c r="H42" i="1"/>
  <c r="Y6" i="1"/>
  <c r="Y5" i="1"/>
  <c r="H20" i="1"/>
  <c r="H19" i="1"/>
  <c r="H18" i="1"/>
  <c r="H17" i="1"/>
  <c r="H16" i="1"/>
  <c r="H15" i="1"/>
  <c r="H14" i="1"/>
  <c r="H28" i="1" s="1"/>
  <c r="H13" i="1"/>
  <c r="H12" i="1"/>
  <c r="H11" i="1"/>
  <c r="H10" i="1"/>
  <c r="H9" i="1"/>
  <c r="H8" i="1"/>
  <c r="H7" i="1"/>
  <c r="D1" i="1"/>
  <c r="D13" i="23"/>
  <c r="E13" i="23"/>
  <c r="F13" i="23"/>
  <c r="G13" i="23"/>
  <c r="H13" i="23"/>
  <c r="I13" i="23"/>
  <c r="J13" i="23"/>
  <c r="K13" i="23"/>
  <c r="L13" i="23"/>
  <c r="D6" i="23"/>
  <c r="E6" i="23"/>
  <c r="F6" i="23"/>
  <c r="G6" i="23"/>
  <c r="H6" i="23"/>
  <c r="I6" i="23"/>
  <c r="J6" i="23"/>
  <c r="K6" i="23"/>
  <c r="L6" i="23"/>
  <c r="D22" i="23"/>
  <c r="E22" i="23"/>
  <c r="F22" i="23"/>
  <c r="G22" i="23"/>
  <c r="H22" i="23"/>
  <c r="I22" i="23"/>
  <c r="J22" i="23"/>
  <c r="K22" i="23"/>
  <c r="L22" i="23"/>
  <c r="H22" i="1" l="1"/>
  <c r="H88" i="1"/>
  <c r="H55" i="1"/>
  <c r="H56" i="1"/>
  <c r="J28" i="1"/>
  <c r="H32" i="1"/>
  <c r="H232" i="1"/>
  <c r="H236" i="1" s="1"/>
  <c r="J236" i="1" s="1"/>
  <c r="J218" i="1"/>
  <c r="AE11" i="2"/>
  <c r="H21" i="1"/>
  <c r="AE18" i="2"/>
  <c r="AE7" i="2"/>
  <c r="AE10" i="2"/>
  <c r="AE26" i="2"/>
  <c r="AE9" i="2"/>
  <c r="AE19" i="2"/>
  <c r="AE14" i="2"/>
  <c r="AE23" i="2"/>
  <c r="AE24" i="2"/>
  <c r="AE22" i="2"/>
  <c r="AE30" i="2"/>
  <c r="AE13" i="2"/>
  <c r="AE28" i="2"/>
  <c r="AE25" i="2"/>
  <c r="AE21" i="2"/>
  <c r="AE20" i="2"/>
  <c r="AE12" i="2"/>
  <c r="AE8" i="2"/>
  <c r="AE5" i="2"/>
  <c r="AE31" i="2"/>
  <c r="AE4" i="2"/>
  <c r="AE6" i="2"/>
  <c r="AE29" i="2"/>
  <c r="AE17" i="2"/>
  <c r="AE16" i="2"/>
  <c r="AE15" i="2"/>
  <c r="H89" i="1"/>
  <c r="R13" i="23"/>
  <c r="R6" i="23"/>
  <c r="S22" i="23"/>
  <c r="S6" i="23"/>
  <c r="S13" i="23"/>
  <c r="AS30" i="23"/>
  <c r="AR30" i="23"/>
  <c r="AQ30" i="23"/>
  <c r="AP30" i="23"/>
  <c r="AO30" i="23"/>
  <c r="AN30" i="23"/>
  <c r="AM30" i="23"/>
  <c r="AL30" i="23"/>
  <c r="AK30" i="23"/>
  <c r="AJ30" i="23"/>
  <c r="AI30" i="23"/>
  <c r="AH30" i="23"/>
  <c r="AF30" i="23"/>
  <c r="AS29" i="23"/>
  <c r="AR29" i="23"/>
  <c r="AQ29" i="23"/>
  <c r="AP29" i="23"/>
  <c r="AO29" i="23"/>
  <c r="AN29" i="23"/>
  <c r="AM29" i="23"/>
  <c r="AL29" i="23"/>
  <c r="AK29" i="23"/>
  <c r="AJ29" i="23"/>
  <c r="AI29" i="23"/>
  <c r="AH29" i="23"/>
  <c r="AF29" i="23"/>
  <c r="AU22" i="23"/>
  <c r="AT22" i="23"/>
  <c r="R22" i="23" s="1"/>
  <c r="AU11" i="23"/>
  <c r="AT11" i="23"/>
  <c r="L11" i="23"/>
  <c r="K11" i="23"/>
  <c r="J11" i="23"/>
  <c r="I11" i="23"/>
  <c r="H11" i="23"/>
  <c r="G11" i="23"/>
  <c r="F11" i="23"/>
  <c r="E11" i="23"/>
  <c r="D11" i="23"/>
  <c r="AU24" i="23"/>
  <c r="AT24" i="23"/>
  <c r="L24" i="23"/>
  <c r="K24" i="23"/>
  <c r="J24" i="23"/>
  <c r="I24" i="23"/>
  <c r="H24" i="23"/>
  <c r="G24" i="23"/>
  <c r="F24" i="23"/>
  <c r="E24" i="23"/>
  <c r="D24" i="23"/>
  <c r="AU21" i="23"/>
  <c r="AT21" i="23"/>
  <c r="L21" i="23"/>
  <c r="K21" i="23"/>
  <c r="J21" i="23"/>
  <c r="I21" i="23"/>
  <c r="H21" i="23"/>
  <c r="G21" i="23"/>
  <c r="F21" i="23"/>
  <c r="E21" i="23"/>
  <c r="D21" i="23"/>
  <c r="AU18" i="23"/>
  <c r="AT18" i="23"/>
  <c r="L18" i="23"/>
  <c r="K18" i="23"/>
  <c r="J18" i="23"/>
  <c r="I18" i="23"/>
  <c r="H18" i="23"/>
  <c r="G18" i="23"/>
  <c r="F18" i="23"/>
  <c r="E18" i="23"/>
  <c r="D18" i="23"/>
  <c r="AU4" i="23"/>
  <c r="AT4" i="23"/>
  <c r="L4" i="23"/>
  <c r="K4" i="23"/>
  <c r="J4" i="23"/>
  <c r="I4" i="23"/>
  <c r="H4" i="23"/>
  <c r="G4" i="23"/>
  <c r="F4" i="23"/>
  <c r="E4" i="23"/>
  <c r="D4" i="23"/>
  <c r="AU16" i="23"/>
  <c r="AT16" i="23"/>
  <c r="L16" i="23"/>
  <c r="K16" i="23"/>
  <c r="J16" i="23"/>
  <c r="I16" i="23"/>
  <c r="H16" i="23"/>
  <c r="G16" i="23"/>
  <c r="F16" i="23"/>
  <c r="E16" i="23"/>
  <c r="D16" i="23"/>
  <c r="AU23" i="23"/>
  <c r="AT23" i="23"/>
  <c r="L23" i="23"/>
  <c r="K23" i="23"/>
  <c r="J23" i="23"/>
  <c r="I23" i="23"/>
  <c r="H23" i="23"/>
  <c r="G23" i="23"/>
  <c r="F23" i="23"/>
  <c r="E23" i="23"/>
  <c r="D23" i="23"/>
  <c r="AU19" i="23"/>
  <c r="AT19" i="23"/>
  <c r="L19" i="23"/>
  <c r="K19" i="23"/>
  <c r="J19" i="23"/>
  <c r="I19" i="23"/>
  <c r="H19" i="23"/>
  <c r="G19" i="23"/>
  <c r="F19" i="23"/>
  <c r="E19" i="23"/>
  <c r="D19" i="23"/>
  <c r="AU17" i="23"/>
  <c r="AT17" i="23"/>
  <c r="L17" i="23"/>
  <c r="K17" i="23"/>
  <c r="J17" i="23"/>
  <c r="I17" i="23"/>
  <c r="H17" i="23"/>
  <c r="G17" i="23"/>
  <c r="F17" i="23"/>
  <c r="E17" i="23"/>
  <c r="D17" i="23"/>
  <c r="AU14" i="23"/>
  <c r="AT14" i="23"/>
  <c r="L14" i="23"/>
  <c r="K14" i="23"/>
  <c r="J14" i="23"/>
  <c r="I14" i="23"/>
  <c r="H14" i="23"/>
  <c r="G14" i="23"/>
  <c r="F14" i="23"/>
  <c r="E14" i="23"/>
  <c r="D14" i="23"/>
  <c r="AU25" i="23"/>
  <c r="AT25" i="23"/>
  <c r="L25" i="23"/>
  <c r="K25" i="23"/>
  <c r="J25" i="23"/>
  <c r="I25" i="23"/>
  <c r="H25" i="23"/>
  <c r="G25" i="23"/>
  <c r="F25" i="23"/>
  <c r="E25" i="23"/>
  <c r="D25" i="23"/>
  <c r="AU10" i="23"/>
  <c r="AT10" i="23"/>
  <c r="L10" i="23"/>
  <c r="K10" i="23"/>
  <c r="J10" i="23"/>
  <c r="I10" i="23"/>
  <c r="H10" i="23"/>
  <c r="G10" i="23"/>
  <c r="F10" i="23"/>
  <c r="E10" i="23"/>
  <c r="D10" i="23"/>
  <c r="AU9" i="23"/>
  <c r="AT9" i="23"/>
  <c r="L9" i="23"/>
  <c r="K9" i="23"/>
  <c r="J9" i="23"/>
  <c r="I9" i="23"/>
  <c r="H9" i="23"/>
  <c r="G9" i="23"/>
  <c r="F9" i="23"/>
  <c r="E9" i="23"/>
  <c r="D9" i="23"/>
  <c r="AU15" i="23"/>
  <c r="AT15" i="23"/>
  <c r="L15" i="23"/>
  <c r="K15" i="23"/>
  <c r="J15" i="23"/>
  <c r="I15" i="23"/>
  <c r="H15" i="23"/>
  <c r="G15" i="23"/>
  <c r="F15" i="23"/>
  <c r="E15" i="23"/>
  <c r="D15" i="23"/>
  <c r="AU27" i="23"/>
  <c r="AT27" i="23"/>
  <c r="L27" i="23"/>
  <c r="K27" i="23"/>
  <c r="J27" i="23"/>
  <c r="I27" i="23"/>
  <c r="H27" i="23"/>
  <c r="G27" i="23"/>
  <c r="F27" i="23"/>
  <c r="E27" i="23"/>
  <c r="D27" i="23"/>
  <c r="AU26" i="23"/>
  <c r="AT26" i="23"/>
  <c r="L26" i="23"/>
  <c r="K26" i="23"/>
  <c r="J26" i="23"/>
  <c r="I26" i="23"/>
  <c r="H26" i="23"/>
  <c r="G26" i="23"/>
  <c r="F26" i="23"/>
  <c r="E26" i="23"/>
  <c r="D26" i="23"/>
  <c r="AU12" i="23"/>
  <c r="AT12" i="23"/>
  <c r="L12" i="23"/>
  <c r="K12" i="23"/>
  <c r="J12" i="23"/>
  <c r="I12" i="23"/>
  <c r="H12" i="23"/>
  <c r="G12" i="23"/>
  <c r="F12" i="23"/>
  <c r="E12" i="23"/>
  <c r="D12" i="23"/>
  <c r="AU7" i="23"/>
  <c r="AT7" i="23"/>
  <c r="Y664" i="1" s="1"/>
  <c r="Y663" i="1"/>
  <c r="AA663" i="1" s="1"/>
  <c r="Y662" i="1"/>
  <c r="Y661" i="1"/>
  <c r="Y660" i="1"/>
  <c r="L7" i="23"/>
  <c r="K7" i="23"/>
  <c r="J7" i="23"/>
  <c r="I7" i="23"/>
  <c r="H7" i="23"/>
  <c r="G7" i="23"/>
  <c r="F7" i="23"/>
  <c r="E7" i="23"/>
  <c r="D7" i="23"/>
  <c r="AU5" i="23"/>
  <c r="AT5" i="23"/>
  <c r="L5" i="23"/>
  <c r="K5" i="23"/>
  <c r="J5" i="23"/>
  <c r="I5" i="23"/>
  <c r="H5" i="23"/>
  <c r="G5" i="23"/>
  <c r="F5" i="23"/>
  <c r="E5" i="23"/>
  <c r="D5" i="23"/>
  <c r="AU8" i="23"/>
  <c r="AT8" i="23"/>
  <c r="L8" i="23"/>
  <c r="K8" i="23"/>
  <c r="J8" i="23"/>
  <c r="I8" i="23"/>
  <c r="H8" i="23"/>
  <c r="G8" i="23"/>
  <c r="F8" i="23"/>
  <c r="E8" i="23"/>
  <c r="D8" i="23"/>
  <c r="AU20" i="23"/>
  <c r="AT20" i="23"/>
  <c r="L20" i="23"/>
  <c r="K20" i="23"/>
  <c r="J20" i="23"/>
  <c r="I20" i="23"/>
  <c r="H20" i="23"/>
  <c r="G20" i="23"/>
  <c r="F20" i="23"/>
  <c r="E20" i="23"/>
  <c r="D20" i="23"/>
  <c r="AS29" i="22"/>
  <c r="AR29" i="22"/>
  <c r="AQ29" i="22"/>
  <c r="AP29" i="22"/>
  <c r="AO29" i="22"/>
  <c r="AN29" i="22"/>
  <c r="AM29" i="22"/>
  <c r="AL29" i="22"/>
  <c r="AK29" i="22"/>
  <c r="AJ29" i="22"/>
  <c r="AI29" i="22"/>
  <c r="AH29" i="22"/>
  <c r="AG29" i="22"/>
  <c r="AF29" i="22"/>
  <c r="AS28" i="22"/>
  <c r="AR28" i="22"/>
  <c r="AQ28" i="22"/>
  <c r="AP28" i="22"/>
  <c r="AO28" i="22"/>
  <c r="AN28" i="22"/>
  <c r="AM28" i="22"/>
  <c r="AL28" i="22"/>
  <c r="AK28" i="22"/>
  <c r="AJ28" i="22"/>
  <c r="AI28" i="22"/>
  <c r="AH28" i="22"/>
  <c r="AG28" i="22"/>
  <c r="AF28" i="22"/>
  <c r="AU24" i="22"/>
  <c r="AT24" i="22"/>
  <c r="R24" i="22"/>
  <c r="AU25" i="22"/>
  <c r="AT25" i="22"/>
  <c r="AU12" i="22"/>
  <c r="AT12" i="22"/>
  <c r="AU11" i="22"/>
  <c r="AT11" i="22"/>
  <c r="AU10" i="22"/>
  <c r="AT10" i="22"/>
  <c r="R10" i="22"/>
  <c r="AU13" i="22"/>
  <c r="AT13" i="22"/>
  <c r="AU19" i="22"/>
  <c r="AT19" i="22"/>
  <c r="AU18" i="22"/>
  <c r="AT18" i="22"/>
  <c r="AU27" i="22"/>
  <c r="AT27" i="22"/>
  <c r="R27" i="22"/>
  <c r="AU6" i="22"/>
  <c r="AT6" i="22"/>
  <c r="AU5" i="22"/>
  <c r="AT5" i="22"/>
  <c r="AU20" i="22"/>
  <c r="AT20" i="22"/>
  <c r="AU7" i="22"/>
  <c r="AT7" i="22"/>
  <c r="R7" i="22"/>
  <c r="AU9" i="22"/>
  <c r="AT9" i="22"/>
  <c r="AU23" i="22"/>
  <c r="AT23" i="22"/>
  <c r="AU17" i="22"/>
  <c r="AT17" i="22"/>
  <c r="AU16" i="22"/>
  <c r="AT16" i="22"/>
  <c r="R16" i="22"/>
  <c r="AU14" i="22"/>
  <c r="AT14" i="22"/>
  <c r="AU21" i="22"/>
  <c r="AT21" i="22"/>
  <c r="AU8" i="22"/>
  <c r="AT8" i="22"/>
  <c r="R8" i="22"/>
  <c r="AU15" i="22"/>
  <c r="AT15" i="22"/>
  <c r="AU26" i="22"/>
  <c r="AT26" i="22"/>
  <c r="AU4" i="22"/>
  <c r="AT4" i="22"/>
  <c r="R4" i="22"/>
  <c r="AU22" i="22"/>
  <c r="AT22" i="22"/>
  <c r="O29" i="22"/>
  <c r="N29" i="22"/>
  <c r="G29" i="22"/>
  <c r="F29" i="22"/>
  <c r="BA29" i="21"/>
  <c r="AZ29" i="21"/>
  <c r="AY29" i="21"/>
  <c r="AX29" i="21"/>
  <c r="AW29" i="21"/>
  <c r="AV29" i="21"/>
  <c r="AU29" i="21"/>
  <c r="AT29" i="21"/>
  <c r="AS29" i="21"/>
  <c r="AR29" i="21"/>
  <c r="AQ29" i="21"/>
  <c r="AP29" i="21"/>
  <c r="AO29" i="21"/>
  <c r="AN29" i="21"/>
  <c r="AM29" i="21"/>
  <c r="BA28" i="21"/>
  <c r="AZ28" i="21"/>
  <c r="AY28" i="21"/>
  <c r="AX28" i="21"/>
  <c r="AW28" i="21"/>
  <c r="AV28" i="21"/>
  <c r="AU28" i="21"/>
  <c r="AT28" i="21"/>
  <c r="AS28" i="21"/>
  <c r="AR28" i="21"/>
  <c r="AQ28" i="21"/>
  <c r="AP28" i="21"/>
  <c r="AO28" i="21"/>
  <c r="AN28" i="21"/>
  <c r="AM28" i="21"/>
  <c r="BI17" i="21"/>
  <c r="BH17" i="21"/>
  <c r="BI13" i="21"/>
  <c r="BH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BI11" i="21"/>
  <c r="BH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BI25" i="21"/>
  <c r="BH25" i="21"/>
  <c r="R25" i="21"/>
  <c r="Y575" i="1" s="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BI18" i="21"/>
  <c r="BH18" i="21"/>
  <c r="R18" i="21"/>
  <c r="Q18" i="21"/>
  <c r="P18" i="21"/>
  <c r="O18" i="21"/>
  <c r="N18" i="21"/>
  <c r="M18" i="21"/>
  <c r="L18" i="21"/>
  <c r="K18" i="21"/>
  <c r="J18" i="21"/>
  <c r="I18" i="21"/>
  <c r="H18" i="21"/>
  <c r="G18" i="21"/>
  <c r="F18" i="21"/>
  <c r="E18" i="21"/>
  <c r="D18" i="21"/>
  <c r="BI20" i="21"/>
  <c r="BH20" i="21"/>
  <c r="R20" i="21"/>
  <c r="Q20" i="21"/>
  <c r="P20" i="21"/>
  <c r="O20" i="21"/>
  <c r="N20" i="21"/>
  <c r="M20" i="21"/>
  <c r="L20" i="21"/>
  <c r="K20" i="21"/>
  <c r="J20" i="21"/>
  <c r="I20" i="21"/>
  <c r="H20" i="21"/>
  <c r="G20" i="21"/>
  <c r="F20" i="21"/>
  <c r="E20" i="21"/>
  <c r="D20" i="21"/>
  <c r="BI10" i="21"/>
  <c r="BH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BI12" i="21"/>
  <c r="BH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BI4" i="21"/>
  <c r="BH4" i="21"/>
  <c r="R4" i="21"/>
  <c r="Q4" i="21"/>
  <c r="P4" i="21"/>
  <c r="O4" i="21"/>
  <c r="N4" i="21"/>
  <c r="M4" i="21"/>
  <c r="L4" i="21"/>
  <c r="K4" i="21"/>
  <c r="J4" i="21"/>
  <c r="I4" i="21"/>
  <c r="H4" i="21"/>
  <c r="G4" i="21"/>
  <c r="F4" i="21"/>
  <c r="E4" i="21"/>
  <c r="D4" i="21"/>
  <c r="BI19" i="21"/>
  <c r="BH19" i="21"/>
  <c r="R19" i="21"/>
  <c r="Q19" i="21"/>
  <c r="P19" i="21"/>
  <c r="O19" i="21"/>
  <c r="N19" i="21"/>
  <c r="M19" i="21"/>
  <c r="L19" i="21"/>
  <c r="K19" i="21"/>
  <c r="J19" i="21"/>
  <c r="I19" i="21"/>
  <c r="H19" i="21"/>
  <c r="G19" i="21"/>
  <c r="F19" i="21"/>
  <c r="E19" i="21"/>
  <c r="D19" i="21"/>
  <c r="BI27" i="21"/>
  <c r="BH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BI24" i="21"/>
  <c r="BH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BI8" i="21"/>
  <c r="BH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BI7" i="21"/>
  <c r="BH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BI6" i="21"/>
  <c r="BH6" i="21"/>
  <c r="R6" i="21"/>
  <c r="Q6" i="21"/>
  <c r="P6" i="21"/>
  <c r="O6" i="21"/>
  <c r="N6" i="21"/>
  <c r="M6" i="21"/>
  <c r="L6" i="21"/>
  <c r="K6" i="21"/>
  <c r="J6" i="21"/>
  <c r="I6" i="21"/>
  <c r="H6" i="21"/>
  <c r="G6" i="21"/>
  <c r="F6" i="21"/>
  <c r="E6" i="21"/>
  <c r="D6" i="21"/>
  <c r="BI16" i="21"/>
  <c r="BH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BI15" i="21"/>
  <c r="BH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BI26" i="21"/>
  <c r="BH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BI9" i="21"/>
  <c r="BH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BI21" i="21"/>
  <c r="BH21" i="21"/>
  <c r="R21" i="21"/>
  <c r="Q21" i="21"/>
  <c r="P21" i="21"/>
  <c r="O21" i="21"/>
  <c r="N21" i="21"/>
  <c r="M21" i="21"/>
  <c r="L21" i="21"/>
  <c r="K21" i="21"/>
  <c r="J21" i="21"/>
  <c r="I21" i="21"/>
  <c r="H21" i="21"/>
  <c r="G21" i="21"/>
  <c r="F21" i="21"/>
  <c r="E21" i="21"/>
  <c r="D21" i="21"/>
  <c r="BI23" i="21"/>
  <c r="BH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BI14" i="21"/>
  <c r="BH14" i="21"/>
  <c r="R14" i="21"/>
  <c r="Q14" i="21"/>
  <c r="P14" i="21"/>
  <c r="O14" i="21"/>
  <c r="N14" i="21"/>
  <c r="M14" i="21"/>
  <c r="L14" i="21"/>
  <c r="K14" i="21"/>
  <c r="J14" i="21"/>
  <c r="I14" i="21"/>
  <c r="H14" i="21"/>
  <c r="G14" i="21"/>
  <c r="F14" i="21"/>
  <c r="E14" i="21"/>
  <c r="D14" i="21"/>
  <c r="BI5" i="21"/>
  <c r="BH5" i="21"/>
  <c r="R5" i="21"/>
  <c r="Q5" i="21"/>
  <c r="P5" i="21"/>
  <c r="O5" i="21"/>
  <c r="N5" i="21"/>
  <c r="M5" i="21"/>
  <c r="L5" i="21"/>
  <c r="K5" i="21"/>
  <c r="J5" i="21"/>
  <c r="I5" i="21"/>
  <c r="H5" i="21"/>
  <c r="G5" i="21"/>
  <c r="F5" i="21"/>
  <c r="E5" i="21"/>
  <c r="D5" i="21"/>
  <c r="BA33" i="20"/>
  <c r="AZ33" i="20"/>
  <c r="AY33" i="20"/>
  <c r="AX33" i="20"/>
  <c r="AW33" i="20"/>
  <c r="AV33" i="20"/>
  <c r="AU33" i="20"/>
  <c r="AT33" i="20"/>
  <c r="AS33" i="20"/>
  <c r="AR33" i="20"/>
  <c r="AQ33" i="20"/>
  <c r="AP33" i="20"/>
  <c r="AO33" i="20"/>
  <c r="AN33" i="20"/>
  <c r="AM33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BI22" i="20"/>
  <c r="BH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E22" i="20"/>
  <c r="D22" i="20"/>
  <c r="BI29" i="20"/>
  <c r="BH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E29" i="20"/>
  <c r="D29" i="20"/>
  <c r="BI6" i="20"/>
  <c r="BH6" i="20"/>
  <c r="Q6" i="20"/>
  <c r="P6" i="20"/>
  <c r="O6" i="20"/>
  <c r="N6" i="20"/>
  <c r="M6" i="20"/>
  <c r="L6" i="20"/>
  <c r="K6" i="20"/>
  <c r="J6" i="20"/>
  <c r="I6" i="20"/>
  <c r="H6" i="20"/>
  <c r="G6" i="20"/>
  <c r="F6" i="20"/>
  <c r="E6" i="20"/>
  <c r="D6" i="20"/>
  <c r="BI10" i="20"/>
  <c r="BH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E10" i="20"/>
  <c r="D10" i="20"/>
  <c r="BI8" i="20"/>
  <c r="BH8" i="20"/>
  <c r="Q8" i="20"/>
  <c r="P8" i="20"/>
  <c r="O8" i="20"/>
  <c r="N8" i="20"/>
  <c r="M8" i="20"/>
  <c r="L8" i="20"/>
  <c r="K8" i="20"/>
  <c r="J8" i="20"/>
  <c r="I8" i="20"/>
  <c r="H8" i="20"/>
  <c r="G8" i="20"/>
  <c r="F8" i="20"/>
  <c r="E8" i="20"/>
  <c r="D8" i="20"/>
  <c r="BI7" i="20"/>
  <c r="BH7" i="20"/>
  <c r="Q7" i="20"/>
  <c r="P7" i="20"/>
  <c r="O7" i="20"/>
  <c r="N7" i="20"/>
  <c r="M7" i="20"/>
  <c r="L7" i="20"/>
  <c r="K7" i="20"/>
  <c r="J7" i="20"/>
  <c r="I7" i="20"/>
  <c r="H7" i="20"/>
  <c r="G7" i="20"/>
  <c r="F7" i="20"/>
  <c r="E7" i="20"/>
  <c r="D7" i="20"/>
  <c r="BI5" i="20"/>
  <c r="BH5" i="20"/>
  <c r="Q5" i="20"/>
  <c r="P5" i="20"/>
  <c r="O5" i="20"/>
  <c r="N5" i="20"/>
  <c r="M5" i="20"/>
  <c r="L5" i="20"/>
  <c r="K5" i="20"/>
  <c r="J5" i="20"/>
  <c r="I5" i="20"/>
  <c r="H5" i="20"/>
  <c r="G5" i="20"/>
  <c r="F5" i="20"/>
  <c r="E5" i="20"/>
  <c r="D5" i="20"/>
  <c r="BI23" i="20"/>
  <c r="BH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E23" i="20"/>
  <c r="D23" i="20"/>
  <c r="BI14" i="20"/>
  <c r="BH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E14" i="20"/>
  <c r="D14" i="20"/>
  <c r="BI12" i="20"/>
  <c r="BH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E12" i="20"/>
  <c r="D12" i="20"/>
  <c r="BI18" i="20"/>
  <c r="BH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E18" i="20"/>
  <c r="D18" i="20"/>
  <c r="BI15" i="20"/>
  <c r="BH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E15" i="20"/>
  <c r="D15" i="20"/>
  <c r="BI20" i="20"/>
  <c r="BH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E20" i="20"/>
  <c r="D20" i="20"/>
  <c r="BI9" i="20"/>
  <c r="BH9" i="20"/>
  <c r="Q9" i="20"/>
  <c r="P9" i="20"/>
  <c r="O9" i="20"/>
  <c r="N9" i="20"/>
  <c r="M9" i="20"/>
  <c r="L9" i="20"/>
  <c r="K9" i="20"/>
  <c r="J9" i="20"/>
  <c r="I9" i="20"/>
  <c r="H9" i="20"/>
  <c r="G9" i="20"/>
  <c r="F9" i="20"/>
  <c r="E9" i="20"/>
  <c r="D9" i="20"/>
  <c r="BI19" i="20"/>
  <c r="BH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E19" i="20"/>
  <c r="D19" i="20"/>
  <c r="BI4" i="20"/>
  <c r="BH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E4" i="20"/>
  <c r="D4" i="20"/>
  <c r="BI17" i="20"/>
  <c r="BH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E17" i="20"/>
  <c r="D17" i="20"/>
  <c r="BI31" i="20"/>
  <c r="BH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BI24" i="20"/>
  <c r="BH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E24" i="20"/>
  <c r="D24" i="20"/>
  <c r="BI11" i="20"/>
  <c r="BH11" i="20"/>
  <c r="Q11" i="20"/>
  <c r="P11" i="20"/>
  <c r="O11" i="20"/>
  <c r="N11" i="20"/>
  <c r="M11" i="20"/>
  <c r="L11" i="20"/>
  <c r="K11" i="20"/>
  <c r="J11" i="20"/>
  <c r="I11" i="20"/>
  <c r="H11" i="20"/>
  <c r="G11" i="20"/>
  <c r="F11" i="20"/>
  <c r="E11" i="20"/>
  <c r="D11" i="20"/>
  <c r="BI13" i="20"/>
  <c r="BH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E13" i="20"/>
  <c r="D13" i="20"/>
  <c r="BI16" i="20"/>
  <c r="BH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E16" i="20"/>
  <c r="D16" i="20"/>
  <c r="BI21" i="20"/>
  <c r="BH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E21" i="20"/>
  <c r="D21" i="20"/>
  <c r="BI27" i="20"/>
  <c r="BH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E27" i="20"/>
  <c r="D27" i="20"/>
  <c r="Z4" i="19"/>
  <c r="Y4" i="19"/>
  <c r="Y12" i="19"/>
  <c r="AV35" i="19"/>
  <c r="AU35" i="19"/>
  <c r="AT35" i="19"/>
  <c r="AS35" i="19"/>
  <c r="AR35" i="19"/>
  <c r="AQ35" i="19"/>
  <c r="AP35" i="19"/>
  <c r="AO35" i="19"/>
  <c r="AN35" i="19"/>
  <c r="AM35" i="19"/>
  <c r="AV34" i="19"/>
  <c r="AU34" i="19"/>
  <c r="AT34" i="19"/>
  <c r="AS34" i="19"/>
  <c r="AR34" i="19"/>
  <c r="AQ34" i="19"/>
  <c r="AP34" i="19"/>
  <c r="AO34" i="19"/>
  <c r="AN34" i="19"/>
  <c r="AM34" i="19"/>
  <c r="BI16" i="19"/>
  <c r="BH16" i="19"/>
  <c r="BI22" i="19"/>
  <c r="BH22" i="19"/>
  <c r="BI20" i="19"/>
  <c r="BH20" i="19"/>
  <c r="Y20" i="19"/>
  <c r="BI23" i="19"/>
  <c r="BH23" i="19"/>
  <c r="BI26" i="19"/>
  <c r="BH26" i="19"/>
  <c r="Y26" i="19"/>
  <c r="BI13" i="19"/>
  <c r="BH13" i="19"/>
  <c r="BI10" i="19"/>
  <c r="BH10" i="19"/>
  <c r="BI33" i="19"/>
  <c r="BH33" i="19"/>
  <c r="BI8" i="19"/>
  <c r="BH8" i="19"/>
  <c r="BI6" i="19"/>
  <c r="BH6" i="19"/>
  <c r="Y6" i="19"/>
  <c r="BI15" i="19"/>
  <c r="BH15" i="19"/>
  <c r="BI29" i="19"/>
  <c r="BH29" i="19"/>
  <c r="Y29" i="19"/>
  <c r="BI30" i="19"/>
  <c r="BH30" i="19"/>
  <c r="BI14" i="19"/>
  <c r="BH14" i="19"/>
  <c r="BI9" i="19"/>
  <c r="BH9" i="19"/>
  <c r="BI5" i="19"/>
  <c r="BH5" i="19"/>
  <c r="BI28" i="19"/>
  <c r="BH28" i="19"/>
  <c r="BI27" i="19"/>
  <c r="BH27" i="19"/>
  <c r="BI19" i="19"/>
  <c r="BH19" i="19"/>
  <c r="K35" i="19"/>
  <c r="BI7" i="19"/>
  <c r="BH7" i="19"/>
  <c r="Z7" i="19"/>
  <c r="BI21" i="19"/>
  <c r="BH21" i="19"/>
  <c r="BI31" i="19"/>
  <c r="BH31" i="19"/>
  <c r="BI25" i="19"/>
  <c r="BH25" i="19"/>
  <c r="O34" i="19"/>
  <c r="G34" i="19"/>
  <c r="Z14" i="18"/>
  <c r="Y14" i="18"/>
  <c r="Y23" i="18"/>
  <c r="Y25" i="18"/>
  <c r="Y22" i="18"/>
  <c r="Y11" i="18"/>
  <c r="AV35" i="18"/>
  <c r="AU35" i="18"/>
  <c r="AT35" i="18"/>
  <c r="AS35" i="18"/>
  <c r="AR35" i="18"/>
  <c r="AQ35" i="18"/>
  <c r="AP35" i="18"/>
  <c r="AO35" i="18"/>
  <c r="AN35" i="18"/>
  <c r="AM35" i="18"/>
  <c r="AV34" i="18"/>
  <c r="AU34" i="18"/>
  <c r="AT34" i="18"/>
  <c r="AS34" i="18"/>
  <c r="AR34" i="18"/>
  <c r="AQ34" i="18"/>
  <c r="AP34" i="18"/>
  <c r="AO34" i="18"/>
  <c r="AN34" i="18"/>
  <c r="AM34" i="18"/>
  <c r="BI19" i="18"/>
  <c r="BH19" i="18"/>
  <c r="BI7" i="18"/>
  <c r="BH7" i="18"/>
  <c r="BI6" i="18"/>
  <c r="BH6" i="18"/>
  <c r="BI30" i="18"/>
  <c r="BH30" i="18"/>
  <c r="BI9" i="18"/>
  <c r="BH9" i="18"/>
  <c r="BI15" i="18"/>
  <c r="BH15" i="18"/>
  <c r="BI20" i="18"/>
  <c r="BH20" i="18"/>
  <c r="BI26" i="18"/>
  <c r="BH26" i="18"/>
  <c r="BI13" i="18"/>
  <c r="BH13" i="18"/>
  <c r="BI18" i="18"/>
  <c r="BH18" i="18"/>
  <c r="BI12" i="18"/>
  <c r="BH12" i="18"/>
  <c r="BI24" i="18"/>
  <c r="BH24" i="18"/>
  <c r="BI21" i="18"/>
  <c r="BH21" i="18"/>
  <c r="BI33" i="18"/>
  <c r="BH33" i="18"/>
  <c r="BI32" i="18"/>
  <c r="BH32" i="18"/>
  <c r="BI5" i="18"/>
  <c r="BH5" i="18"/>
  <c r="BI10" i="18"/>
  <c r="BH10" i="18"/>
  <c r="BI27" i="18"/>
  <c r="BH27" i="18"/>
  <c r="BI8" i="18"/>
  <c r="BH8" i="18"/>
  <c r="BI4" i="18"/>
  <c r="BH4" i="18"/>
  <c r="BI16" i="18"/>
  <c r="BH16" i="18"/>
  <c r="BI17" i="18"/>
  <c r="BH17" i="18"/>
  <c r="BI29" i="18"/>
  <c r="BH29" i="18"/>
  <c r="BI31" i="18"/>
  <c r="BH31" i="18"/>
  <c r="BI28" i="18"/>
  <c r="BH28" i="18"/>
  <c r="BA30" i="17"/>
  <c r="AZ30" i="17"/>
  <c r="AY30" i="17"/>
  <c r="AX30" i="17"/>
  <c r="AW30" i="17"/>
  <c r="AV30" i="17"/>
  <c r="AU30" i="17"/>
  <c r="AT30" i="17"/>
  <c r="AS30" i="17"/>
  <c r="AR30" i="17"/>
  <c r="AQ30" i="17"/>
  <c r="AP30" i="17"/>
  <c r="AO30" i="17"/>
  <c r="AN30" i="17"/>
  <c r="AM30" i="17"/>
  <c r="BA29" i="17"/>
  <c r="AZ29" i="17"/>
  <c r="AY29" i="17"/>
  <c r="AX29" i="17"/>
  <c r="AW29" i="17"/>
  <c r="AV29" i="17"/>
  <c r="AU29" i="17"/>
  <c r="AT29" i="17"/>
  <c r="AS29" i="17"/>
  <c r="AR29" i="17"/>
  <c r="AQ29" i="17"/>
  <c r="AP29" i="17"/>
  <c r="AO29" i="17"/>
  <c r="AN29" i="17"/>
  <c r="AM29" i="17"/>
  <c r="BI28" i="17"/>
  <c r="BH28" i="17"/>
  <c r="Z28" i="17"/>
  <c r="BI16" i="17"/>
  <c r="BH16" i="17"/>
  <c r="Z16" i="17"/>
  <c r="BI19" i="17"/>
  <c r="BH19" i="17"/>
  <c r="Z19" i="17"/>
  <c r="BI21" i="17"/>
  <c r="BH21" i="17"/>
  <c r="Y21" i="17"/>
  <c r="BI22" i="17"/>
  <c r="BH22" i="17"/>
  <c r="Z22" i="17"/>
  <c r="BI8" i="17"/>
  <c r="BH8" i="17"/>
  <c r="Z8" i="17"/>
  <c r="BI4" i="17"/>
  <c r="BH4" i="17"/>
  <c r="Y4" i="17"/>
  <c r="Z4" i="17"/>
  <c r="BI23" i="17"/>
  <c r="BH23" i="17"/>
  <c r="Z23" i="17"/>
  <c r="BI18" i="17"/>
  <c r="BH18" i="17"/>
  <c r="Z18" i="17"/>
  <c r="BI5" i="17"/>
  <c r="BH5" i="17"/>
  <c r="Z5" i="17"/>
  <c r="BI13" i="17"/>
  <c r="BH13" i="17"/>
  <c r="Z13" i="17"/>
  <c r="BI9" i="17"/>
  <c r="BH9" i="17"/>
  <c r="Y9" i="17"/>
  <c r="BI24" i="17"/>
  <c r="BH24" i="17"/>
  <c r="Z24" i="17"/>
  <c r="BI20" i="17"/>
  <c r="BH20" i="17"/>
  <c r="Z20" i="17"/>
  <c r="BI14" i="17"/>
  <c r="BH14" i="17"/>
  <c r="Y14" i="17"/>
  <c r="Z14" i="17"/>
  <c r="BI15" i="17"/>
  <c r="BH15" i="17"/>
  <c r="Z15" i="17"/>
  <c r="BI17" i="17"/>
  <c r="BH17" i="17"/>
  <c r="Z17" i="17"/>
  <c r="BI10" i="17"/>
  <c r="BH10" i="17"/>
  <c r="R30" i="17"/>
  <c r="J30" i="17"/>
  <c r="Y10" i="17"/>
  <c r="Z10" i="17"/>
  <c r="BI11" i="17"/>
  <c r="BH11" i="17"/>
  <c r="Z11" i="17"/>
  <c r="BI7" i="17"/>
  <c r="BH7" i="17"/>
  <c r="Y7" i="17"/>
  <c r="BI6" i="17"/>
  <c r="BH6" i="17"/>
  <c r="Z6" i="17"/>
  <c r="BI27" i="17"/>
  <c r="BH27" i="17"/>
  <c r="Z27" i="17"/>
  <c r="BI25" i="17"/>
  <c r="BH25" i="17"/>
  <c r="Y25" i="17"/>
  <c r="Z25" i="17"/>
  <c r="BI26" i="17"/>
  <c r="BH26" i="17"/>
  <c r="P29" i="17"/>
  <c r="H29" i="17"/>
  <c r="Z26" i="17"/>
  <c r="BI12" i="17"/>
  <c r="BH12" i="17"/>
  <c r="R29" i="17"/>
  <c r="Q30" i="17"/>
  <c r="P30" i="17"/>
  <c r="O29" i="17"/>
  <c r="N29" i="17"/>
  <c r="M29" i="17"/>
  <c r="L29" i="17"/>
  <c r="K29" i="17"/>
  <c r="J29" i="17"/>
  <c r="I30" i="17"/>
  <c r="H30" i="17"/>
  <c r="G29" i="17"/>
  <c r="F29" i="17"/>
  <c r="E29" i="17"/>
  <c r="Z12" i="17"/>
  <c r="AW34" i="16"/>
  <c r="AV34" i="16"/>
  <c r="AU34" i="16"/>
  <c r="AT34" i="16"/>
  <c r="AS34" i="16"/>
  <c r="AR34" i="16"/>
  <c r="AQ34" i="16"/>
  <c r="AP34" i="16"/>
  <c r="AO34" i="16"/>
  <c r="AN34" i="16"/>
  <c r="AM34" i="16"/>
  <c r="AW33" i="16"/>
  <c r="AV33" i="16"/>
  <c r="AU33" i="16"/>
  <c r="AT33" i="16"/>
  <c r="AS33" i="16"/>
  <c r="AR33" i="16"/>
  <c r="AQ33" i="16"/>
  <c r="AP33" i="16"/>
  <c r="AO33" i="16"/>
  <c r="AN33" i="16"/>
  <c r="AM33" i="16"/>
  <c r="BI4" i="16"/>
  <c r="BH4" i="16"/>
  <c r="BI24" i="16"/>
  <c r="BH24" i="16"/>
  <c r="BI29" i="16"/>
  <c r="BH29" i="16"/>
  <c r="BI27" i="16"/>
  <c r="BH27" i="16"/>
  <c r="BI13" i="16"/>
  <c r="BH13" i="16"/>
  <c r="Z13" i="16"/>
  <c r="BI5" i="16"/>
  <c r="BH5" i="16"/>
  <c r="BI8" i="16"/>
  <c r="BH8" i="16"/>
  <c r="BI9" i="16"/>
  <c r="BH9" i="16"/>
  <c r="BI30" i="16"/>
  <c r="BH30" i="16"/>
  <c r="BI26" i="16"/>
  <c r="BH26" i="16"/>
  <c r="BI6" i="16"/>
  <c r="BH6" i="16"/>
  <c r="BI31" i="16"/>
  <c r="BH31" i="16"/>
  <c r="BI15" i="16"/>
  <c r="BH15" i="16"/>
  <c r="Z15" i="16"/>
  <c r="BI23" i="16"/>
  <c r="BH23" i="16"/>
  <c r="BI32" i="16"/>
  <c r="BH32" i="16"/>
  <c r="BI21" i="16"/>
  <c r="BH21" i="16"/>
  <c r="BI11" i="16"/>
  <c r="BH11" i="16"/>
  <c r="BI17" i="16"/>
  <c r="BH17" i="16"/>
  <c r="BI28" i="16"/>
  <c r="BH28" i="16"/>
  <c r="BI12" i="16"/>
  <c r="BH12" i="16"/>
  <c r="BI7" i="16"/>
  <c r="BH7" i="16"/>
  <c r="Z7" i="16"/>
  <c r="BI20" i="16"/>
  <c r="BH20" i="16"/>
  <c r="BI18" i="16"/>
  <c r="BH18" i="16"/>
  <c r="BI22" i="16"/>
  <c r="BH22" i="16"/>
  <c r="BI10" i="16"/>
  <c r="BH10" i="16"/>
  <c r="BI25" i="16"/>
  <c r="BH25" i="16"/>
  <c r="Q34" i="16"/>
  <c r="I34" i="16"/>
  <c r="Z26" i="15"/>
  <c r="Y26" i="15"/>
  <c r="Y17" i="15"/>
  <c r="Y8" i="15"/>
  <c r="Y29" i="15"/>
  <c r="Z32" i="15"/>
  <c r="Y32" i="15"/>
  <c r="AW36" i="15"/>
  <c r="AV36" i="15"/>
  <c r="AU36" i="15"/>
  <c r="AT36" i="15"/>
  <c r="AS36" i="15"/>
  <c r="AR36" i="15"/>
  <c r="AQ36" i="15"/>
  <c r="AP36" i="15"/>
  <c r="AO36" i="15"/>
  <c r="AN36" i="15"/>
  <c r="AM36" i="15"/>
  <c r="AW35" i="15"/>
  <c r="AV35" i="15"/>
  <c r="AU35" i="15"/>
  <c r="AT35" i="15"/>
  <c r="AS35" i="15"/>
  <c r="AR35" i="15"/>
  <c r="AQ35" i="15"/>
  <c r="AP35" i="15"/>
  <c r="AO35" i="15"/>
  <c r="AN35" i="15"/>
  <c r="AM35" i="15"/>
  <c r="BI28" i="15"/>
  <c r="BH28" i="15"/>
  <c r="BI30" i="15"/>
  <c r="BH30" i="15"/>
  <c r="Z30" i="15"/>
  <c r="BI16" i="15"/>
  <c r="BH16" i="15"/>
  <c r="BI22" i="15"/>
  <c r="BH22" i="15"/>
  <c r="BI25" i="15"/>
  <c r="BH25" i="15"/>
  <c r="BI33" i="15"/>
  <c r="BH33" i="15"/>
  <c r="BI9" i="15"/>
  <c r="BH9" i="15"/>
  <c r="BI21" i="15"/>
  <c r="BH21" i="15"/>
  <c r="BI12" i="15"/>
  <c r="BH12" i="15"/>
  <c r="BI10" i="15"/>
  <c r="BH10" i="15"/>
  <c r="Z10" i="15"/>
  <c r="BI15" i="15"/>
  <c r="BH15" i="15"/>
  <c r="BI34" i="15"/>
  <c r="BH34" i="15"/>
  <c r="BI11" i="15"/>
  <c r="BH11" i="15"/>
  <c r="BI14" i="15"/>
  <c r="BH14" i="15"/>
  <c r="BI6" i="15"/>
  <c r="BH6" i="15"/>
  <c r="BI27" i="15"/>
  <c r="BH27" i="15"/>
  <c r="BI23" i="15"/>
  <c r="BH23" i="15"/>
  <c r="BI19" i="15"/>
  <c r="BH19" i="15"/>
  <c r="Z19" i="15"/>
  <c r="BI4" i="15"/>
  <c r="BH4" i="15"/>
  <c r="BI18" i="15"/>
  <c r="BH18" i="15"/>
  <c r="BI7" i="15"/>
  <c r="BH7" i="15"/>
  <c r="BI20" i="15"/>
  <c r="BH20" i="15"/>
  <c r="BI24" i="15"/>
  <c r="BH24" i="15"/>
  <c r="BI13" i="15"/>
  <c r="BH13" i="15"/>
  <c r="BI5" i="15"/>
  <c r="BH5" i="15"/>
  <c r="BI31" i="15"/>
  <c r="BH31" i="15"/>
  <c r="L36" i="15"/>
  <c r="D36" i="15"/>
  <c r="AN1" i="14"/>
  <c r="BE33" i="14"/>
  <c r="BD33" i="14"/>
  <c r="BC33" i="14"/>
  <c r="BB33" i="14"/>
  <c r="BA33" i="14"/>
  <c r="AZ33" i="14"/>
  <c r="AY33" i="14"/>
  <c r="AX33" i="14"/>
  <c r="AW33" i="14"/>
  <c r="AV33" i="14"/>
  <c r="AU33" i="14"/>
  <c r="AT33" i="14"/>
  <c r="AS33" i="14"/>
  <c r="AR33" i="14"/>
  <c r="AQ33" i="14"/>
  <c r="BE32" i="14"/>
  <c r="BD32" i="14"/>
  <c r="BC32" i="14"/>
  <c r="BB32" i="14"/>
  <c r="BA32" i="14"/>
  <c r="AZ32" i="14"/>
  <c r="AY32" i="14"/>
  <c r="AX32" i="14"/>
  <c r="AW32" i="14"/>
  <c r="AV32" i="14"/>
  <c r="AU32" i="14"/>
  <c r="AT32" i="14"/>
  <c r="AS32" i="14"/>
  <c r="AR32" i="14"/>
  <c r="AQ32" i="14"/>
  <c r="BQ26" i="14"/>
  <c r="BP26" i="14"/>
  <c r="AD26" i="14"/>
  <c r="BQ12" i="14"/>
  <c r="BP12" i="14"/>
  <c r="BQ16" i="14"/>
  <c r="BP16" i="14"/>
  <c r="BQ5" i="14"/>
  <c r="BP5" i="14"/>
  <c r="BQ31" i="14"/>
  <c r="BP31" i="14"/>
  <c r="AD31" i="14"/>
  <c r="BQ6" i="14"/>
  <c r="BP6" i="14"/>
  <c r="BQ17" i="14"/>
  <c r="BP17" i="14"/>
  <c r="BQ11" i="14"/>
  <c r="BP11" i="14"/>
  <c r="BQ19" i="14"/>
  <c r="BP19" i="14"/>
  <c r="AD19" i="14"/>
  <c r="BQ8" i="14"/>
  <c r="BP8" i="14"/>
  <c r="BQ28" i="14"/>
  <c r="BP28" i="14"/>
  <c r="BQ10" i="14"/>
  <c r="BP10" i="14"/>
  <c r="BQ13" i="14"/>
  <c r="BP13" i="14"/>
  <c r="AD13" i="14"/>
  <c r="BQ15" i="14"/>
  <c r="BP15" i="14"/>
  <c r="BQ23" i="14"/>
  <c r="BP23" i="14"/>
  <c r="BQ27" i="14"/>
  <c r="BP27" i="14"/>
  <c r="BQ24" i="14"/>
  <c r="BP24" i="14"/>
  <c r="AD24" i="14"/>
  <c r="BQ20" i="14"/>
  <c r="BP20" i="14"/>
  <c r="BQ14" i="14"/>
  <c r="BP14" i="14"/>
  <c r="BQ21" i="14"/>
  <c r="BP21" i="14"/>
  <c r="BQ25" i="14"/>
  <c r="BP25" i="14"/>
  <c r="AD25" i="14"/>
  <c r="BQ4" i="14"/>
  <c r="BP4" i="14"/>
  <c r="BQ29" i="14"/>
  <c r="BP29" i="14"/>
  <c r="BQ7" i="14"/>
  <c r="BP7" i="14"/>
  <c r="BQ18" i="14"/>
  <c r="BP18" i="14"/>
  <c r="AD18" i="14"/>
  <c r="BQ22" i="14"/>
  <c r="BP22" i="14"/>
  <c r="BQ9" i="14"/>
  <c r="BP9" i="14"/>
  <c r="V32" i="14"/>
  <c r="N32" i="14"/>
  <c r="F32" i="14"/>
  <c r="BF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BF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BQ9" i="13"/>
  <c r="BP9" i="13"/>
  <c r="AC9" i="13"/>
  <c r="BQ4" i="13"/>
  <c r="BP4" i="13"/>
  <c r="BQ25" i="13"/>
  <c r="BP25" i="13"/>
  <c r="BQ21" i="13"/>
  <c r="BP21" i="13"/>
  <c r="BQ22" i="13"/>
  <c r="BP22" i="13"/>
  <c r="BQ11" i="13"/>
  <c r="BP11" i="13"/>
  <c r="BQ10" i="13"/>
  <c r="BP10" i="13"/>
  <c r="AD10" i="13"/>
  <c r="BQ19" i="13"/>
  <c r="BP19" i="13"/>
  <c r="BQ27" i="13"/>
  <c r="BP27" i="13"/>
  <c r="BQ28" i="13"/>
  <c r="BP28" i="13"/>
  <c r="BQ20" i="13"/>
  <c r="BP20" i="13"/>
  <c r="BQ7" i="13"/>
  <c r="BP7" i="13"/>
  <c r="BQ16" i="13"/>
  <c r="BP16" i="13"/>
  <c r="BQ30" i="13"/>
  <c r="BP30" i="13"/>
  <c r="BQ26" i="13"/>
  <c r="BP26" i="13"/>
  <c r="AD26" i="13"/>
  <c r="BQ6" i="13"/>
  <c r="BP6" i="13"/>
  <c r="BQ8" i="13"/>
  <c r="BP8" i="13"/>
  <c r="BQ18" i="13"/>
  <c r="BP18" i="13"/>
  <c r="BQ5" i="13"/>
  <c r="BP5" i="13"/>
  <c r="BQ12" i="13"/>
  <c r="BP12" i="13"/>
  <c r="BQ24" i="13"/>
  <c r="BP24" i="13"/>
  <c r="BQ29" i="13"/>
  <c r="BP29" i="13"/>
  <c r="BQ13" i="13"/>
  <c r="BP13" i="13"/>
  <c r="AD13" i="13"/>
  <c r="BQ31" i="13"/>
  <c r="BP31" i="13"/>
  <c r="BQ23" i="13"/>
  <c r="BP23" i="13"/>
  <c r="BQ17" i="13"/>
  <c r="BP17" i="13"/>
  <c r="S33" i="13"/>
  <c r="K33" i="13"/>
  <c r="AC25" i="8"/>
  <c r="AD25" i="8"/>
  <c r="AC20" i="8"/>
  <c r="AD20" i="8"/>
  <c r="AW29" i="12"/>
  <c r="AV29" i="12"/>
  <c r="AU29" i="12"/>
  <c r="AT29" i="12"/>
  <c r="AS29" i="12"/>
  <c r="AR29" i="12"/>
  <c r="AQ29" i="12"/>
  <c r="AP29" i="12"/>
  <c r="AO29" i="12"/>
  <c r="AN29" i="12"/>
  <c r="AM29" i="12"/>
  <c r="AL29" i="12"/>
  <c r="AK29" i="12"/>
  <c r="AJ29" i="12"/>
  <c r="AI29" i="12"/>
  <c r="AH29" i="12"/>
  <c r="AW28" i="12"/>
  <c r="AV28" i="12"/>
  <c r="AU28" i="12"/>
  <c r="AT28" i="12"/>
  <c r="AS28" i="12"/>
  <c r="AR28" i="12"/>
  <c r="AQ28" i="12"/>
  <c r="AP28" i="12"/>
  <c r="AO28" i="12"/>
  <c r="AN28" i="12"/>
  <c r="AM28" i="12"/>
  <c r="AL28" i="12"/>
  <c r="AK28" i="12"/>
  <c r="AJ28" i="12"/>
  <c r="AI28" i="12"/>
  <c r="AH28" i="12"/>
  <c r="AY24" i="12"/>
  <c r="AX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AY4" i="12"/>
  <c r="AX4" i="12"/>
  <c r="S4" i="12"/>
  <c r="R4" i="12"/>
  <c r="Q4" i="12"/>
  <c r="P4" i="12"/>
  <c r="O4" i="12"/>
  <c r="N4" i="12"/>
  <c r="M4" i="12"/>
  <c r="L4" i="12"/>
  <c r="K4" i="12"/>
  <c r="J4" i="12"/>
  <c r="I4" i="12"/>
  <c r="H4" i="12"/>
  <c r="G4" i="12"/>
  <c r="F4" i="12"/>
  <c r="E4" i="12"/>
  <c r="D4" i="12"/>
  <c r="AY10" i="12"/>
  <c r="AX10" i="12"/>
  <c r="S10" i="12"/>
  <c r="R10" i="12"/>
  <c r="Q10" i="12"/>
  <c r="P10" i="12"/>
  <c r="O10" i="12"/>
  <c r="N10" i="12"/>
  <c r="M10" i="12"/>
  <c r="L10" i="12"/>
  <c r="K10" i="12"/>
  <c r="J10" i="12"/>
  <c r="I10" i="12"/>
  <c r="H10" i="12"/>
  <c r="G10" i="12"/>
  <c r="F10" i="12"/>
  <c r="E10" i="12"/>
  <c r="D10" i="12"/>
  <c r="AY22" i="12"/>
  <c r="AX22" i="12"/>
  <c r="S22" i="12"/>
  <c r="R22" i="12"/>
  <c r="Q22" i="12"/>
  <c r="P22" i="12"/>
  <c r="O22" i="12"/>
  <c r="N22" i="12"/>
  <c r="M22" i="12"/>
  <c r="L22" i="12"/>
  <c r="K22" i="12"/>
  <c r="J22" i="12"/>
  <c r="I22" i="12"/>
  <c r="H22" i="12"/>
  <c r="G22" i="12"/>
  <c r="F22" i="12"/>
  <c r="E22" i="12"/>
  <c r="D22" i="12"/>
  <c r="AY20" i="12"/>
  <c r="AX20" i="12"/>
  <c r="S20" i="12"/>
  <c r="R20" i="12"/>
  <c r="Q20" i="12"/>
  <c r="P20" i="12"/>
  <c r="O20" i="12"/>
  <c r="N20" i="12"/>
  <c r="M20" i="12"/>
  <c r="L20" i="12"/>
  <c r="K20" i="12"/>
  <c r="J20" i="12"/>
  <c r="I20" i="12"/>
  <c r="H20" i="12"/>
  <c r="G20" i="12"/>
  <c r="F20" i="12"/>
  <c r="E20" i="12"/>
  <c r="D20" i="12"/>
  <c r="AY7" i="12"/>
  <c r="AX7" i="12"/>
  <c r="S7" i="12"/>
  <c r="R7" i="12"/>
  <c r="Q7" i="12"/>
  <c r="P7" i="12"/>
  <c r="O7" i="12"/>
  <c r="N7" i="12"/>
  <c r="M7" i="12"/>
  <c r="L7" i="12"/>
  <c r="K7" i="12"/>
  <c r="J7" i="12"/>
  <c r="I7" i="12"/>
  <c r="H7" i="12"/>
  <c r="G7" i="12"/>
  <c r="F7" i="12"/>
  <c r="E7" i="12"/>
  <c r="D7" i="12"/>
  <c r="AY5" i="12"/>
  <c r="AX5" i="12"/>
  <c r="S5" i="12"/>
  <c r="R5" i="12"/>
  <c r="Q5" i="12"/>
  <c r="P5" i="12"/>
  <c r="O5" i="12"/>
  <c r="N5" i="12"/>
  <c r="M5" i="12"/>
  <c r="K5" i="12"/>
  <c r="J5" i="12"/>
  <c r="I5" i="12"/>
  <c r="H5" i="12"/>
  <c r="G5" i="12"/>
  <c r="F5" i="12"/>
  <c r="E5" i="12"/>
  <c r="D5" i="12"/>
  <c r="AY12" i="12"/>
  <c r="AX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AY19" i="12"/>
  <c r="AX19" i="12"/>
  <c r="S19" i="12"/>
  <c r="R19" i="12"/>
  <c r="Q19" i="12"/>
  <c r="P19" i="12"/>
  <c r="O19" i="12"/>
  <c r="N19" i="12"/>
  <c r="M19" i="12"/>
  <c r="L19" i="12"/>
  <c r="K19" i="12"/>
  <c r="J19" i="12"/>
  <c r="I19" i="12"/>
  <c r="H19" i="12"/>
  <c r="G19" i="12"/>
  <c r="F19" i="12"/>
  <c r="E19" i="12"/>
  <c r="D19" i="12"/>
  <c r="AY11" i="12"/>
  <c r="AX11" i="12"/>
  <c r="S11" i="12"/>
  <c r="R11" i="12"/>
  <c r="Q11" i="12"/>
  <c r="P11" i="12"/>
  <c r="O11" i="12"/>
  <c r="N11" i="12"/>
  <c r="M11" i="12"/>
  <c r="L11" i="12"/>
  <c r="K11" i="12"/>
  <c r="J11" i="12"/>
  <c r="I11" i="12"/>
  <c r="H11" i="12"/>
  <c r="G11" i="12"/>
  <c r="F11" i="12"/>
  <c r="E11" i="12"/>
  <c r="D11" i="12"/>
  <c r="AY8" i="12"/>
  <c r="AX8" i="12"/>
  <c r="S8" i="12"/>
  <c r="R8" i="12"/>
  <c r="Q8" i="12"/>
  <c r="P8" i="12"/>
  <c r="O8" i="12"/>
  <c r="N8" i="12"/>
  <c r="M8" i="12"/>
  <c r="L8" i="12"/>
  <c r="K8" i="12"/>
  <c r="J8" i="12"/>
  <c r="I8" i="12"/>
  <c r="H8" i="12"/>
  <c r="G8" i="12"/>
  <c r="F8" i="12"/>
  <c r="E8" i="12"/>
  <c r="D8" i="12"/>
  <c r="AY16" i="12"/>
  <c r="AX16" i="12"/>
  <c r="S16" i="12"/>
  <c r="R16" i="12"/>
  <c r="Q16" i="12"/>
  <c r="P16" i="12"/>
  <c r="O16" i="12"/>
  <c r="N16" i="12"/>
  <c r="M16" i="12"/>
  <c r="L16" i="12"/>
  <c r="K16" i="12"/>
  <c r="J16" i="12"/>
  <c r="I16" i="12"/>
  <c r="H16" i="12"/>
  <c r="G16" i="12"/>
  <c r="F16" i="12"/>
  <c r="E16" i="12"/>
  <c r="D16" i="12"/>
  <c r="AY6" i="12"/>
  <c r="AX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AY15" i="12"/>
  <c r="AX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AY27" i="12"/>
  <c r="AX27" i="12"/>
  <c r="S27" i="12"/>
  <c r="R27" i="12"/>
  <c r="Q27" i="12"/>
  <c r="P27" i="12"/>
  <c r="O27" i="12"/>
  <c r="N27" i="12"/>
  <c r="M27" i="12"/>
  <c r="L27" i="12"/>
  <c r="K27" i="12"/>
  <c r="J27" i="12"/>
  <c r="I27" i="12"/>
  <c r="H27" i="12"/>
  <c r="G27" i="12"/>
  <c r="F27" i="12"/>
  <c r="E27" i="12"/>
  <c r="D27" i="12"/>
  <c r="AY17" i="12"/>
  <c r="AX17" i="12"/>
  <c r="S17" i="12"/>
  <c r="R17" i="12"/>
  <c r="Q17" i="12"/>
  <c r="P17" i="12"/>
  <c r="O17" i="12"/>
  <c r="N17" i="12"/>
  <c r="M17" i="12"/>
  <c r="L17" i="12"/>
  <c r="K17" i="12"/>
  <c r="J17" i="12"/>
  <c r="I17" i="12"/>
  <c r="H17" i="12"/>
  <c r="G17" i="12"/>
  <c r="F17" i="12"/>
  <c r="E17" i="12"/>
  <c r="D17" i="12"/>
  <c r="AY9" i="12"/>
  <c r="AX9" i="12"/>
  <c r="S9" i="12"/>
  <c r="R9" i="12"/>
  <c r="Q9" i="12"/>
  <c r="P9" i="12"/>
  <c r="O9" i="12"/>
  <c r="N9" i="12"/>
  <c r="M9" i="12"/>
  <c r="L9" i="12"/>
  <c r="K9" i="12"/>
  <c r="J9" i="12"/>
  <c r="I9" i="12"/>
  <c r="H9" i="12"/>
  <c r="G9" i="12"/>
  <c r="F9" i="12"/>
  <c r="E9" i="12"/>
  <c r="D9" i="12"/>
  <c r="AY13" i="12"/>
  <c r="AX13" i="12"/>
  <c r="S13" i="12"/>
  <c r="R13" i="12"/>
  <c r="Q13" i="12"/>
  <c r="P13" i="12"/>
  <c r="O13" i="12"/>
  <c r="N13" i="12"/>
  <c r="M13" i="12"/>
  <c r="L13" i="12"/>
  <c r="K13" i="12"/>
  <c r="J13" i="12"/>
  <c r="I13" i="12"/>
  <c r="H13" i="12"/>
  <c r="G13" i="12"/>
  <c r="F13" i="12"/>
  <c r="E13" i="12"/>
  <c r="D13" i="12"/>
  <c r="AY21" i="12"/>
  <c r="AX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AY23" i="12"/>
  <c r="AX23" i="12"/>
  <c r="S23" i="12"/>
  <c r="R23" i="12"/>
  <c r="Q23" i="12"/>
  <c r="P23" i="12"/>
  <c r="O23" i="12"/>
  <c r="N23" i="12"/>
  <c r="M23" i="12"/>
  <c r="L23" i="12"/>
  <c r="K23" i="12"/>
  <c r="J23" i="12"/>
  <c r="I23" i="12"/>
  <c r="H23" i="12"/>
  <c r="G23" i="12"/>
  <c r="F23" i="12"/>
  <c r="E23" i="12"/>
  <c r="D23" i="12"/>
  <c r="AY25" i="12"/>
  <c r="AX25" i="12"/>
  <c r="S25" i="12"/>
  <c r="R25" i="12"/>
  <c r="Q25" i="12"/>
  <c r="P25" i="12"/>
  <c r="O25" i="12"/>
  <c r="N25" i="12"/>
  <c r="M25" i="12"/>
  <c r="L25" i="12"/>
  <c r="K25" i="12"/>
  <c r="J25" i="12"/>
  <c r="I25" i="12"/>
  <c r="H25" i="12"/>
  <c r="G25" i="12"/>
  <c r="F25" i="12"/>
  <c r="E25" i="12"/>
  <c r="D25" i="12"/>
  <c r="AY26" i="12"/>
  <c r="AX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E26" i="12"/>
  <c r="D26" i="12"/>
  <c r="AY18" i="12"/>
  <c r="AX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AY14" i="12"/>
  <c r="AX14" i="12"/>
  <c r="S14" i="12"/>
  <c r="R14" i="12"/>
  <c r="Q14" i="12"/>
  <c r="P14" i="12"/>
  <c r="O14" i="12"/>
  <c r="N14" i="12"/>
  <c r="M14" i="12"/>
  <c r="L14" i="12"/>
  <c r="K14" i="12"/>
  <c r="J14" i="12"/>
  <c r="I14" i="12"/>
  <c r="H14" i="12"/>
  <c r="H608" i="1" s="1"/>
  <c r="J608" i="1" s="1"/>
  <c r="G14" i="12"/>
  <c r="F14" i="12"/>
  <c r="E14" i="12"/>
  <c r="D14" i="12"/>
  <c r="BA33" i="11"/>
  <c r="AZ33" i="11"/>
  <c r="AY33" i="11"/>
  <c r="AX33" i="11"/>
  <c r="AW33" i="11"/>
  <c r="AV33" i="11"/>
  <c r="AU33" i="11"/>
  <c r="AT33" i="11"/>
  <c r="AS33" i="11"/>
  <c r="AR33" i="11"/>
  <c r="AQ33" i="11"/>
  <c r="AP33" i="11"/>
  <c r="AO33" i="11"/>
  <c r="AN33" i="11"/>
  <c r="AM33" i="11"/>
  <c r="BA32" i="11"/>
  <c r="AZ32" i="11"/>
  <c r="AY32" i="11"/>
  <c r="AX32" i="11"/>
  <c r="AW32" i="11"/>
  <c r="AV32" i="11"/>
  <c r="AU32" i="11"/>
  <c r="AT32" i="11"/>
  <c r="AS32" i="11"/>
  <c r="AR32" i="11"/>
  <c r="AQ32" i="11"/>
  <c r="AP32" i="11"/>
  <c r="AO32" i="11"/>
  <c r="AN32" i="11"/>
  <c r="AM32" i="11"/>
  <c r="BI20" i="11"/>
  <c r="BH20" i="11"/>
  <c r="BI9" i="11"/>
  <c r="BH9" i="11"/>
  <c r="BI12" i="11"/>
  <c r="BH12" i="11"/>
  <c r="BI10" i="11"/>
  <c r="BH10" i="11"/>
  <c r="BI14" i="11"/>
  <c r="BH14" i="11"/>
  <c r="Z14" i="11"/>
  <c r="BI22" i="11"/>
  <c r="BH22" i="11"/>
  <c r="BI31" i="11"/>
  <c r="BH31" i="11"/>
  <c r="BI29" i="11"/>
  <c r="BH29" i="11"/>
  <c r="BI11" i="11"/>
  <c r="BH11" i="11"/>
  <c r="BI25" i="11"/>
  <c r="BH25" i="11"/>
  <c r="BI28" i="11"/>
  <c r="BH28" i="11"/>
  <c r="BI5" i="11"/>
  <c r="BH5" i="11"/>
  <c r="BI26" i="11"/>
  <c r="BH26" i="11"/>
  <c r="BI19" i="11"/>
  <c r="BH19" i="11"/>
  <c r="BI23" i="11"/>
  <c r="BH23" i="11"/>
  <c r="BI15" i="11"/>
  <c r="BH15" i="11"/>
  <c r="BI7" i="11"/>
  <c r="BH7" i="11"/>
  <c r="BI16" i="11"/>
  <c r="BH16" i="11"/>
  <c r="BI30" i="11"/>
  <c r="BH30" i="11"/>
  <c r="BI27" i="11"/>
  <c r="BH27" i="11"/>
  <c r="BI8" i="11"/>
  <c r="BH8" i="11"/>
  <c r="Z8" i="11"/>
  <c r="BI17" i="11"/>
  <c r="BH17" i="11"/>
  <c r="BI4" i="11"/>
  <c r="BH4" i="11"/>
  <c r="BI13" i="11"/>
  <c r="BH13" i="11"/>
  <c r="BI6" i="11"/>
  <c r="BH6" i="11"/>
  <c r="BI24" i="11"/>
  <c r="BH24" i="11"/>
  <c r="BI18" i="11"/>
  <c r="BH18" i="11"/>
  <c r="BI21" i="11"/>
  <c r="BH21" i="11"/>
  <c r="K33" i="11"/>
  <c r="BA29" i="10"/>
  <c r="AZ29" i="10"/>
  <c r="AY29" i="10"/>
  <c r="AX29" i="10"/>
  <c r="AW29" i="10"/>
  <c r="AV29" i="10"/>
  <c r="AU29" i="10"/>
  <c r="AT29" i="10"/>
  <c r="AS29" i="10"/>
  <c r="AR29" i="10"/>
  <c r="AQ29" i="10"/>
  <c r="AP29" i="10"/>
  <c r="AO29" i="10"/>
  <c r="AN29" i="10"/>
  <c r="AM29" i="10"/>
  <c r="BA28" i="10"/>
  <c r="AZ28" i="10"/>
  <c r="AY28" i="10"/>
  <c r="AX28" i="10"/>
  <c r="AW28" i="10"/>
  <c r="AV28" i="10"/>
  <c r="AU28" i="10"/>
  <c r="AT28" i="10"/>
  <c r="AS28" i="10"/>
  <c r="AR28" i="10"/>
  <c r="AQ28" i="10"/>
  <c r="AP28" i="10"/>
  <c r="AO28" i="10"/>
  <c r="AN28" i="10"/>
  <c r="AM28" i="10"/>
  <c r="BI23" i="10"/>
  <c r="BH23" i="10"/>
  <c r="Q23" i="10"/>
  <c r="P23" i="10"/>
  <c r="O23" i="10"/>
  <c r="N23" i="10"/>
  <c r="M23" i="10"/>
  <c r="L23" i="10"/>
  <c r="K23" i="10"/>
  <c r="J23" i="10"/>
  <c r="I23" i="10"/>
  <c r="H23" i="10"/>
  <c r="G23" i="10"/>
  <c r="F23" i="10"/>
  <c r="E23" i="10"/>
  <c r="D23" i="10"/>
  <c r="BI26" i="10"/>
  <c r="BH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E26" i="10"/>
  <c r="D26" i="10"/>
  <c r="BI25" i="10"/>
  <c r="BH25" i="10"/>
  <c r="Q25" i="10"/>
  <c r="P25" i="10"/>
  <c r="O25" i="10"/>
  <c r="N25" i="10"/>
  <c r="M25" i="10"/>
  <c r="L25" i="10"/>
  <c r="K25" i="10"/>
  <c r="J25" i="10"/>
  <c r="I25" i="10"/>
  <c r="H25" i="10"/>
  <c r="G25" i="10"/>
  <c r="F25" i="10"/>
  <c r="E25" i="10"/>
  <c r="D25" i="10"/>
  <c r="BI15" i="10"/>
  <c r="BH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BI14" i="10"/>
  <c r="BH14" i="10"/>
  <c r="Q14" i="10"/>
  <c r="P14" i="10"/>
  <c r="O14" i="10"/>
  <c r="N14" i="10"/>
  <c r="M14" i="10"/>
  <c r="L14" i="10"/>
  <c r="K14" i="10"/>
  <c r="J14" i="10"/>
  <c r="I14" i="10"/>
  <c r="H14" i="10"/>
  <c r="G14" i="10"/>
  <c r="F14" i="10"/>
  <c r="E14" i="10"/>
  <c r="D14" i="10"/>
  <c r="BI6" i="10"/>
  <c r="BH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BI8" i="10"/>
  <c r="BH8" i="10"/>
  <c r="Q8" i="10"/>
  <c r="P8" i="10"/>
  <c r="O8" i="10"/>
  <c r="N8" i="10"/>
  <c r="M8" i="10"/>
  <c r="L8" i="10"/>
  <c r="K8" i="10"/>
  <c r="J8" i="10"/>
  <c r="I8" i="10"/>
  <c r="H8" i="10"/>
  <c r="G8" i="10"/>
  <c r="F8" i="10"/>
  <c r="E8" i="10"/>
  <c r="D8" i="10"/>
  <c r="BI12" i="10"/>
  <c r="BH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BI20" i="10"/>
  <c r="BH20" i="10"/>
  <c r="Q20" i="10"/>
  <c r="P20" i="10"/>
  <c r="O20" i="10"/>
  <c r="N20" i="10"/>
  <c r="M20" i="10"/>
  <c r="L20" i="10"/>
  <c r="K20" i="10"/>
  <c r="J20" i="10"/>
  <c r="I20" i="10"/>
  <c r="H20" i="10"/>
  <c r="G20" i="10"/>
  <c r="F20" i="10"/>
  <c r="E20" i="10"/>
  <c r="D20" i="10"/>
  <c r="BI10" i="10"/>
  <c r="BH10" i="10"/>
  <c r="Q10" i="10"/>
  <c r="P10" i="10"/>
  <c r="O10" i="10"/>
  <c r="N10" i="10"/>
  <c r="M10" i="10"/>
  <c r="L10" i="10"/>
  <c r="K10" i="10"/>
  <c r="J10" i="10"/>
  <c r="I10" i="10"/>
  <c r="H10" i="10"/>
  <c r="G10" i="10"/>
  <c r="F10" i="10"/>
  <c r="E10" i="10"/>
  <c r="D10" i="10"/>
  <c r="BI13" i="10"/>
  <c r="BH13" i="10"/>
  <c r="Q13" i="10"/>
  <c r="P13" i="10"/>
  <c r="O13" i="10"/>
  <c r="N13" i="10"/>
  <c r="M13" i="10"/>
  <c r="L13" i="10"/>
  <c r="K13" i="10"/>
  <c r="J13" i="10"/>
  <c r="I13" i="10"/>
  <c r="H13" i="10"/>
  <c r="G13" i="10"/>
  <c r="F13" i="10"/>
  <c r="E13" i="10"/>
  <c r="D13" i="10"/>
  <c r="BI9" i="10"/>
  <c r="BH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BI11" i="10"/>
  <c r="BH11" i="10"/>
  <c r="Q11" i="10"/>
  <c r="P11" i="10"/>
  <c r="O11" i="10"/>
  <c r="N11" i="10"/>
  <c r="M11" i="10"/>
  <c r="L11" i="10"/>
  <c r="K11" i="10"/>
  <c r="J11" i="10"/>
  <c r="I11" i="10"/>
  <c r="H11" i="10"/>
  <c r="G11" i="10"/>
  <c r="F11" i="10"/>
  <c r="E11" i="10"/>
  <c r="D11" i="10"/>
  <c r="BI27" i="10"/>
  <c r="BH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BI5" i="10"/>
  <c r="BH5" i="10"/>
  <c r="Q5" i="10"/>
  <c r="P5" i="10"/>
  <c r="O5" i="10"/>
  <c r="N5" i="10"/>
  <c r="M5" i="10"/>
  <c r="L5" i="10"/>
  <c r="K5" i="10"/>
  <c r="J5" i="10"/>
  <c r="I5" i="10"/>
  <c r="H5" i="10"/>
  <c r="G5" i="10"/>
  <c r="F5" i="10"/>
  <c r="E5" i="10"/>
  <c r="D5" i="10"/>
  <c r="BI18" i="10"/>
  <c r="BH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BI21" i="10"/>
  <c r="BH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BI16" i="10"/>
  <c r="BH16" i="10"/>
  <c r="Q16" i="10"/>
  <c r="P16" i="10"/>
  <c r="O16" i="10"/>
  <c r="N16" i="10"/>
  <c r="M16" i="10"/>
  <c r="L16" i="10"/>
  <c r="K16" i="10"/>
  <c r="J16" i="10"/>
  <c r="I16" i="10"/>
  <c r="H16" i="10"/>
  <c r="G16" i="10"/>
  <c r="F16" i="10"/>
  <c r="E16" i="10"/>
  <c r="D16" i="10"/>
  <c r="BI17" i="10"/>
  <c r="BH17" i="10"/>
  <c r="Q17" i="10"/>
  <c r="P17" i="10"/>
  <c r="O17" i="10"/>
  <c r="N17" i="10"/>
  <c r="M17" i="10"/>
  <c r="L17" i="10"/>
  <c r="K17" i="10"/>
  <c r="J17" i="10"/>
  <c r="I17" i="10"/>
  <c r="H17" i="10"/>
  <c r="G17" i="10"/>
  <c r="F17" i="10"/>
  <c r="E17" i="10"/>
  <c r="D17" i="10"/>
  <c r="BI19" i="10"/>
  <c r="BH19" i="10"/>
  <c r="Q19" i="10"/>
  <c r="Y383" i="1" s="1"/>
  <c r="P19" i="10"/>
  <c r="O19" i="10"/>
  <c r="N19" i="10"/>
  <c r="M19" i="10"/>
  <c r="L19" i="10"/>
  <c r="K19" i="10"/>
  <c r="J19" i="10"/>
  <c r="I19" i="10"/>
  <c r="H19" i="10"/>
  <c r="G19" i="10"/>
  <c r="F19" i="10"/>
  <c r="E19" i="10"/>
  <c r="H383" i="1" s="1"/>
  <c r="D19" i="10"/>
  <c r="BI24" i="10"/>
  <c r="BH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BI7" i="10"/>
  <c r="BH7" i="10"/>
  <c r="Q7" i="10"/>
  <c r="P7" i="10"/>
  <c r="O7" i="10"/>
  <c r="N7" i="10"/>
  <c r="M7" i="10"/>
  <c r="L7" i="10"/>
  <c r="K7" i="10"/>
  <c r="J7" i="10"/>
  <c r="I7" i="10"/>
  <c r="H7" i="10"/>
  <c r="G7" i="10"/>
  <c r="F7" i="10"/>
  <c r="E7" i="10"/>
  <c r="D7" i="10"/>
  <c r="BI22" i="10"/>
  <c r="BH22" i="10"/>
  <c r="Q22" i="10"/>
  <c r="P22" i="10"/>
  <c r="O22" i="10"/>
  <c r="N22" i="10"/>
  <c r="M22" i="10"/>
  <c r="L22" i="10"/>
  <c r="K22" i="10"/>
  <c r="J22" i="10"/>
  <c r="I22" i="10"/>
  <c r="H22" i="10"/>
  <c r="G22" i="10"/>
  <c r="F22" i="10"/>
  <c r="E22" i="10"/>
  <c r="D22" i="10"/>
  <c r="BI4" i="10"/>
  <c r="BH4" i="10"/>
  <c r="Q4" i="10"/>
  <c r="P4" i="10"/>
  <c r="O4" i="10"/>
  <c r="N4" i="10"/>
  <c r="M4" i="10"/>
  <c r="L4" i="10"/>
  <c r="K4" i="10"/>
  <c r="J4" i="10"/>
  <c r="I4" i="10"/>
  <c r="H4" i="10"/>
  <c r="G4" i="10"/>
  <c r="F4" i="10"/>
  <c r="E4" i="10"/>
  <c r="D4" i="10"/>
  <c r="BA31" i="9"/>
  <c r="AZ31" i="9"/>
  <c r="AY31" i="9"/>
  <c r="AX31" i="9"/>
  <c r="AW31" i="9"/>
  <c r="AV31" i="9"/>
  <c r="AU31" i="9"/>
  <c r="AT31" i="9"/>
  <c r="AS31" i="9"/>
  <c r="AR31" i="9"/>
  <c r="AQ31" i="9"/>
  <c r="AP31" i="9"/>
  <c r="AO31" i="9"/>
  <c r="AN31" i="9"/>
  <c r="AM31" i="9"/>
  <c r="BA30" i="9"/>
  <c r="AZ30" i="9"/>
  <c r="AY30" i="9"/>
  <c r="AX30" i="9"/>
  <c r="AW30" i="9"/>
  <c r="AV30" i="9"/>
  <c r="AU30" i="9"/>
  <c r="AT30" i="9"/>
  <c r="AS30" i="9"/>
  <c r="AR30" i="9"/>
  <c r="AQ30" i="9"/>
  <c r="AP30" i="9"/>
  <c r="AO30" i="9"/>
  <c r="AN30" i="9"/>
  <c r="AM30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BI29" i="9"/>
  <c r="BH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BI16" i="9"/>
  <c r="BH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BI15" i="9"/>
  <c r="BH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BI12" i="9"/>
  <c r="BH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BI11" i="9"/>
  <c r="BH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BI7" i="9"/>
  <c r="BH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BI21" i="9"/>
  <c r="BH21" i="9"/>
  <c r="Q21" i="9"/>
  <c r="P21" i="9"/>
  <c r="O21" i="9"/>
  <c r="N21" i="9"/>
  <c r="M21" i="9"/>
  <c r="L21" i="9"/>
  <c r="K21" i="9"/>
  <c r="J21" i="9"/>
  <c r="I21" i="9"/>
  <c r="H21" i="9"/>
  <c r="G21" i="9"/>
  <c r="F21" i="9"/>
  <c r="E21" i="9"/>
  <c r="D21" i="9"/>
  <c r="BI6" i="9"/>
  <c r="BH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BI26" i="9"/>
  <c r="BH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BI25" i="9"/>
  <c r="BH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BI17" i="9"/>
  <c r="BH17" i="9"/>
  <c r="Q17" i="9"/>
  <c r="P17" i="9"/>
  <c r="O17" i="9"/>
  <c r="N17" i="9"/>
  <c r="M17" i="9"/>
  <c r="L17" i="9"/>
  <c r="K17" i="9"/>
  <c r="J17" i="9"/>
  <c r="I17" i="9"/>
  <c r="H17" i="9"/>
  <c r="G17" i="9"/>
  <c r="F17" i="9"/>
  <c r="E17" i="9"/>
  <c r="D17" i="9"/>
  <c r="BI20" i="9"/>
  <c r="BH20" i="9"/>
  <c r="Q20" i="9"/>
  <c r="P20" i="9"/>
  <c r="O20" i="9"/>
  <c r="N20" i="9"/>
  <c r="M20" i="9"/>
  <c r="L20" i="9"/>
  <c r="K20" i="9"/>
  <c r="J20" i="9"/>
  <c r="I20" i="9"/>
  <c r="H20" i="9"/>
  <c r="G20" i="9"/>
  <c r="F20" i="9"/>
  <c r="E20" i="9"/>
  <c r="D20" i="9"/>
  <c r="BI18" i="9"/>
  <c r="BH18" i="9"/>
  <c r="Q18" i="9"/>
  <c r="P18" i="9"/>
  <c r="O18" i="9"/>
  <c r="N18" i="9"/>
  <c r="M18" i="9"/>
  <c r="L18" i="9"/>
  <c r="K18" i="9"/>
  <c r="J18" i="9"/>
  <c r="I18" i="9"/>
  <c r="H18" i="9"/>
  <c r="G18" i="9"/>
  <c r="F18" i="9"/>
  <c r="E18" i="9"/>
  <c r="D18" i="9"/>
  <c r="BI13" i="9"/>
  <c r="BH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BI22" i="9"/>
  <c r="BH22" i="9"/>
  <c r="Q22" i="9"/>
  <c r="P22" i="9"/>
  <c r="O22" i="9"/>
  <c r="N22" i="9"/>
  <c r="M22" i="9"/>
  <c r="L22" i="9"/>
  <c r="K22" i="9"/>
  <c r="J22" i="9"/>
  <c r="I22" i="9"/>
  <c r="H22" i="9"/>
  <c r="G22" i="9"/>
  <c r="F22" i="9"/>
  <c r="E22" i="9"/>
  <c r="D22" i="9"/>
  <c r="BI24" i="9"/>
  <c r="BH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BI8" i="9"/>
  <c r="BH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BI19" i="9"/>
  <c r="BH19" i="9"/>
  <c r="Q19" i="9"/>
  <c r="P19" i="9"/>
  <c r="O19" i="9"/>
  <c r="N19" i="9"/>
  <c r="M19" i="9"/>
  <c r="L19" i="9"/>
  <c r="K19" i="9"/>
  <c r="J19" i="9"/>
  <c r="I19" i="9"/>
  <c r="H19" i="9"/>
  <c r="G19" i="9"/>
  <c r="F19" i="9"/>
  <c r="E19" i="9"/>
  <c r="D19" i="9"/>
  <c r="BI27" i="9"/>
  <c r="BH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BI5" i="9"/>
  <c r="BH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BI10" i="9"/>
  <c r="BH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BI23" i="9"/>
  <c r="BH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BI9" i="9"/>
  <c r="BH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BI34" i="8"/>
  <c r="BH34" i="8"/>
  <c r="BF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BI33" i="8"/>
  <c r="BH33" i="8"/>
  <c r="BF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BQ21" i="8"/>
  <c r="BP21" i="8"/>
  <c r="BQ7" i="8"/>
  <c r="BP7" i="8"/>
  <c r="BQ9" i="8"/>
  <c r="BP9" i="8"/>
  <c r="BQ30" i="8"/>
  <c r="BP30" i="8"/>
  <c r="BQ14" i="8"/>
  <c r="BP14" i="8"/>
  <c r="BQ29" i="8"/>
  <c r="BP29" i="8"/>
  <c r="BQ11" i="8"/>
  <c r="BP11" i="8"/>
  <c r="BQ32" i="8"/>
  <c r="BP32" i="8"/>
  <c r="BQ23" i="8"/>
  <c r="BP23" i="8"/>
  <c r="BQ28" i="8"/>
  <c r="BP28" i="8"/>
  <c r="BQ12" i="8"/>
  <c r="BP12" i="8"/>
  <c r="BQ22" i="8"/>
  <c r="BP22" i="8"/>
  <c r="BQ17" i="8"/>
  <c r="BP17" i="8"/>
  <c r="BQ18" i="8"/>
  <c r="BP18" i="8"/>
  <c r="BQ13" i="8"/>
  <c r="BP13" i="8"/>
  <c r="BQ8" i="8"/>
  <c r="BP8" i="8"/>
  <c r="BQ15" i="8"/>
  <c r="BP15" i="8"/>
  <c r="BQ5" i="8"/>
  <c r="BP5" i="8"/>
  <c r="BQ24" i="8"/>
  <c r="BP24" i="8"/>
  <c r="BQ6" i="8"/>
  <c r="BP6" i="8"/>
  <c r="BQ31" i="8"/>
  <c r="BP31" i="8"/>
  <c r="BQ16" i="8"/>
  <c r="BP16" i="8"/>
  <c r="BQ4" i="8"/>
  <c r="BP4" i="8"/>
  <c r="BQ27" i="8"/>
  <c r="BP27" i="8"/>
  <c r="BQ10" i="8"/>
  <c r="BP10" i="8"/>
  <c r="BQ26" i="8"/>
  <c r="BP26" i="8"/>
  <c r="BQ19" i="8"/>
  <c r="BP19" i="8"/>
  <c r="BE31" i="7"/>
  <c r="BD31" i="7"/>
  <c r="BC31" i="7"/>
  <c r="BB31" i="7"/>
  <c r="BA31" i="7"/>
  <c r="AZ31" i="7"/>
  <c r="AY31" i="7"/>
  <c r="AX31" i="7"/>
  <c r="AW31" i="7"/>
  <c r="AV31" i="7"/>
  <c r="AU31" i="7"/>
  <c r="AT31" i="7"/>
  <c r="AS31" i="7"/>
  <c r="AR31" i="7"/>
  <c r="AQ31" i="7"/>
  <c r="AP31" i="7"/>
  <c r="AO31" i="7"/>
  <c r="BE30" i="7"/>
  <c r="BD30" i="7"/>
  <c r="BC30" i="7"/>
  <c r="BB30" i="7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BM25" i="7"/>
  <c r="BL25" i="7"/>
  <c r="BM21" i="7"/>
  <c r="BL21" i="7"/>
  <c r="AA21" i="7"/>
  <c r="BM29" i="7"/>
  <c r="BL29" i="7"/>
  <c r="BM17" i="7"/>
  <c r="BL17" i="7"/>
  <c r="AA17" i="7"/>
  <c r="BM8" i="7"/>
  <c r="BL8" i="7"/>
  <c r="BM16" i="7"/>
  <c r="BL16" i="7"/>
  <c r="AA16" i="7"/>
  <c r="BM4" i="7"/>
  <c r="BL4" i="7"/>
  <c r="BM12" i="7"/>
  <c r="BL12" i="7"/>
  <c r="AB12" i="7"/>
  <c r="BM11" i="7"/>
  <c r="BL11" i="7"/>
  <c r="BM23" i="7"/>
  <c r="BL23" i="7"/>
  <c r="BM14" i="7"/>
  <c r="BL14" i="7"/>
  <c r="BM24" i="7"/>
  <c r="BL24" i="7"/>
  <c r="AB24" i="7"/>
  <c r="BM18" i="7"/>
  <c r="BL18" i="7"/>
  <c r="BM19" i="7"/>
  <c r="BL19" i="7"/>
  <c r="AB19" i="7"/>
  <c r="BM6" i="7"/>
  <c r="BL6" i="7"/>
  <c r="BM27" i="7"/>
  <c r="BL27" i="7"/>
  <c r="AB27" i="7"/>
  <c r="BM9" i="7"/>
  <c r="BL9" i="7"/>
  <c r="BM13" i="7"/>
  <c r="BL13" i="7"/>
  <c r="AB13" i="7"/>
  <c r="BM10" i="7"/>
  <c r="BL10" i="7"/>
  <c r="BM15" i="7"/>
  <c r="BL15" i="7"/>
  <c r="BM22" i="7"/>
  <c r="BL22" i="7"/>
  <c r="BM26" i="7"/>
  <c r="BL26" i="7"/>
  <c r="AB26" i="7"/>
  <c r="BM5" i="7"/>
  <c r="BL5" i="7"/>
  <c r="BM20" i="7"/>
  <c r="BL20" i="7"/>
  <c r="AB20" i="7"/>
  <c r="BM28" i="7"/>
  <c r="BL28" i="7"/>
  <c r="BM7" i="7"/>
  <c r="BL7" i="7"/>
  <c r="T31" i="7"/>
  <c r="S31" i="7"/>
  <c r="R31" i="7"/>
  <c r="Q31" i="7"/>
  <c r="O30" i="7"/>
  <c r="N30" i="7"/>
  <c r="M31" i="7"/>
  <c r="L31" i="7"/>
  <c r="K31" i="7"/>
  <c r="J31" i="7"/>
  <c r="I31" i="7"/>
  <c r="G30" i="7"/>
  <c r="F30" i="7"/>
  <c r="E31" i="7"/>
  <c r="AB7" i="7"/>
  <c r="BG29" i="6"/>
  <c r="BF29" i="6"/>
  <c r="BE29" i="6"/>
  <c r="BD29" i="6"/>
  <c r="BC29" i="6"/>
  <c r="BB29" i="6"/>
  <c r="BA29" i="6"/>
  <c r="AZ29" i="6"/>
  <c r="AY29" i="6"/>
  <c r="AX29" i="6"/>
  <c r="AW29" i="6"/>
  <c r="AV29" i="6"/>
  <c r="AU29" i="6"/>
  <c r="AT29" i="6"/>
  <c r="AS29" i="6"/>
  <c r="AR29" i="6"/>
  <c r="AQ29" i="6"/>
  <c r="AP29" i="6"/>
  <c r="I29" i="6"/>
  <c r="BG28" i="6"/>
  <c r="BF28" i="6"/>
  <c r="BE28" i="6"/>
  <c r="BD28" i="6"/>
  <c r="BC28" i="6"/>
  <c r="BB28" i="6"/>
  <c r="BA28" i="6"/>
  <c r="AZ28" i="6"/>
  <c r="AY28" i="6"/>
  <c r="AX28" i="6"/>
  <c r="AW28" i="6"/>
  <c r="AV28" i="6"/>
  <c r="AU28" i="6"/>
  <c r="AT28" i="6"/>
  <c r="AS28" i="6"/>
  <c r="AR28" i="6"/>
  <c r="AQ28" i="6"/>
  <c r="AP28" i="6"/>
  <c r="BO9" i="6"/>
  <c r="BN9" i="6"/>
  <c r="BO21" i="6"/>
  <c r="BN21" i="6"/>
  <c r="BO25" i="6"/>
  <c r="BN25" i="6"/>
  <c r="BO19" i="6"/>
  <c r="BN19" i="6"/>
  <c r="BO24" i="6"/>
  <c r="BN24" i="6"/>
  <c r="BO20" i="6"/>
  <c r="BN20" i="6"/>
  <c r="AB20" i="6"/>
  <c r="BO4" i="6"/>
  <c r="BN4" i="6"/>
  <c r="BO13" i="6"/>
  <c r="BN13" i="6"/>
  <c r="AB13" i="6"/>
  <c r="BO15" i="6"/>
  <c r="BN15" i="6"/>
  <c r="BO23" i="6"/>
  <c r="BN23" i="6"/>
  <c r="AB23" i="6"/>
  <c r="BO27" i="6"/>
  <c r="BN27" i="6"/>
  <c r="BO14" i="6"/>
  <c r="BN14" i="6"/>
  <c r="AB14" i="6"/>
  <c r="BO26" i="6"/>
  <c r="BN26" i="6"/>
  <c r="BO8" i="6"/>
  <c r="BN8" i="6"/>
  <c r="AB8" i="6"/>
  <c r="BO6" i="6"/>
  <c r="BN6" i="6"/>
  <c r="BO10" i="6"/>
  <c r="BN10" i="6"/>
  <c r="AB10" i="6"/>
  <c r="BO5" i="6"/>
  <c r="BN5" i="6"/>
  <c r="BO7" i="6"/>
  <c r="BN7" i="6"/>
  <c r="AB7" i="6"/>
  <c r="BO12" i="6"/>
  <c r="BN12" i="6"/>
  <c r="BO11" i="6"/>
  <c r="BN11" i="6"/>
  <c r="AB11" i="6"/>
  <c r="BO22" i="6"/>
  <c r="BN22" i="6"/>
  <c r="BO16" i="6"/>
  <c r="BN16" i="6"/>
  <c r="AB16" i="6"/>
  <c r="BO18" i="6"/>
  <c r="BN18" i="6"/>
  <c r="H29" i="6"/>
  <c r="BO17" i="6"/>
  <c r="BN17" i="6"/>
  <c r="U29" i="6"/>
  <c r="T29" i="6"/>
  <c r="O28" i="6"/>
  <c r="N28" i="6"/>
  <c r="M29" i="6"/>
  <c r="L29" i="6"/>
  <c r="G28" i="6"/>
  <c r="F28" i="6"/>
  <c r="BC32" i="5"/>
  <c r="BB32" i="5"/>
  <c r="BA32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N32" i="5"/>
  <c r="BC31" i="5"/>
  <c r="BB31" i="5"/>
  <c r="BA31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N31" i="5"/>
  <c r="BK29" i="5"/>
  <c r="BJ29" i="5"/>
  <c r="BK10" i="5"/>
  <c r="BJ10" i="5"/>
  <c r="BK27" i="5"/>
  <c r="BJ27" i="5"/>
  <c r="BK24" i="5"/>
  <c r="BJ24" i="5"/>
  <c r="BK9" i="5"/>
  <c r="BJ9" i="5"/>
  <c r="BK18" i="5"/>
  <c r="BJ18" i="5"/>
  <c r="BK25" i="5"/>
  <c r="BJ25" i="5"/>
  <c r="BK21" i="5"/>
  <c r="BJ21" i="5"/>
  <c r="BK15" i="5"/>
  <c r="BJ15" i="5"/>
  <c r="BK8" i="5"/>
  <c r="BJ8" i="5"/>
  <c r="BK12" i="5"/>
  <c r="BJ12" i="5"/>
  <c r="BK11" i="5"/>
  <c r="BJ11" i="5"/>
  <c r="BK13" i="5"/>
  <c r="BJ13" i="5"/>
  <c r="BK26" i="5"/>
  <c r="BJ26" i="5"/>
  <c r="BK20" i="5"/>
  <c r="BJ20" i="5"/>
  <c r="BK17" i="5"/>
  <c r="BJ17" i="5"/>
  <c r="BK16" i="5"/>
  <c r="BJ16" i="5"/>
  <c r="BK28" i="5"/>
  <c r="BJ28" i="5"/>
  <c r="BK19" i="5"/>
  <c r="BJ19" i="5"/>
  <c r="BK23" i="5"/>
  <c r="BJ23" i="5"/>
  <c r="BK14" i="5"/>
  <c r="BJ14" i="5"/>
  <c r="BK22" i="5"/>
  <c r="BJ22" i="5"/>
  <c r="BK5" i="5"/>
  <c r="BJ5" i="5"/>
  <c r="BK6" i="5"/>
  <c r="BJ6" i="5"/>
  <c r="BK30" i="5"/>
  <c r="BJ30" i="5"/>
  <c r="BK4" i="5"/>
  <c r="BJ4" i="5"/>
  <c r="BK7" i="5"/>
  <c r="BJ7" i="5"/>
  <c r="Y74" i="1"/>
  <c r="Y73" i="1"/>
  <c r="H84" i="1"/>
  <c r="H83" i="1"/>
  <c r="H81" i="1"/>
  <c r="H80" i="1"/>
  <c r="H78" i="1"/>
  <c r="H76" i="1"/>
  <c r="H75" i="1"/>
  <c r="Y572" i="1" l="1"/>
  <c r="H605" i="1"/>
  <c r="J605" i="1" s="1"/>
  <c r="J232" i="1"/>
  <c r="H607" i="1"/>
  <c r="J607" i="1" s="1"/>
  <c r="H575" i="1"/>
  <c r="H574" i="1"/>
  <c r="H573" i="1"/>
  <c r="Y573" i="1"/>
  <c r="H576" i="1"/>
  <c r="H606" i="1"/>
  <c r="J606" i="1" s="1"/>
  <c r="H669" i="1"/>
  <c r="J669" i="1" s="1"/>
  <c r="H425" i="1"/>
  <c r="Y574" i="1"/>
  <c r="H667" i="1"/>
  <c r="J667" i="1" s="1"/>
  <c r="Y607" i="1"/>
  <c r="AA607" i="1" s="1"/>
  <c r="Y608" i="1"/>
  <c r="AA608" i="1" s="1"/>
  <c r="H611" i="1"/>
  <c r="J611" i="1" s="1"/>
  <c r="H550" i="1"/>
  <c r="Y602" i="1"/>
  <c r="AA602" i="1" s="1"/>
  <c r="H580" i="1"/>
  <c r="H581" i="1"/>
  <c r="J581" i="1" s="1"/>
  <c r="H662" i="1"/>
  <c r="J662" i="1" s="1"/>
  <c r="H610" i="1"/>
  <c r="J610" i="1" s="1"/>
  <c r="H577" i="1"/>
  <c r="H578" i="1"/>
  <c r="H582" i="1"/>
  <c r="Y571" i="1"/>
  <c r="Y603" i="1"/>
  <c r="AA603" i="1" s="1"/>
  <c r="BM31" i="7"/>
  <c r="H579" i="1"/>
  <c r="BI29" i="21"/>
  <c r="H612" i="1"/>
  <c r="J612" i="1" s="1"/>
  <c r="H284" i="1"/>
  <c r="Y283" i="1"/>
  <c r="H670" i="1"/>
  <c r="J670" i="1" s="1"/>
  <c r="H604" i="1"/>
  <c r="J604" i="1" s="1"/>
  <c r="Y605" i="1"/>
  <c r="AA605" i="1" s="1"/>
  <c r="H609" i="1"/>
  <c r="J609" i="1" s="1"/>
  <c r="Y606" i="1"/>
  <c r="AA606" i="1" s="1"/>
  <c r="Y604" i="1"/>
  <c r="AA604" i="1" s="1"/>
  <c r="H663" i="1"/>
  <c r="J663" i="1" s="1"/>
  <c r="M30" i="23"/>
  <c r="M29" i="23"/>
  <c r="H664" i="1"/>
  <c r="J664" i="1" s="1"/>
  <c r="N29" i="23"/>
  <c r="N30" i="23"/>
  <c r="H665" i="1"/>
  <c r="J665" i="1" s="1"/>
  <c r="H666" i="1"/>
  <c r="J666" i="1" s="1"/>
  <c r="H668" i="1"/>
  <c r="J668" i="1" s="1"/>
  <c r="Q30" i="23"/>
  <c r="Q29" i="23"/>
  <c r="AA660" i="1"/>
  <c r="AA661" i="1"/>
  <c r="AA662" i="1"/>
  <c r="Y9" i="9"/>
  <c r="H388" i="1"/>
  <c r="H387" i="1"/>
  <c r="H391" i="1"/>
  <c r="H286" i="1"/>
  <c r="H293" i="1"/>
  <c r="Y281" i="1"/>
  <c r="H283" i="1"/>
  <c r="H290" i="1"/>
  <c r="H292" i="1"/>
  <c r="H285" i="1"/>
  <c r="Y284" i="1"/>
  <c r="H288" i="1"/>
  <c r="H289" i="1"/>
  <c r="H291" i="1"/>
  <c r="Y5" i="9"/>
  <c r="Z5" i="20"/>
  <c r="BI33" i="20"/>
  <c r="Z31" i="20"/>
  <c r="Z7" i="20"/>
  <c r="H384" i="1"/>
  <c r="Y384" i="1"/>
  <c r="H390" i="1"/>
  <c r="H389" i="1"/>
  <c r="Y380" i="1"/>
  <c r="Y381" i="1"/>
  <c r="Y382" i="1"/>
  <c r="H385" i="1"/>
  <c r="H386" i="1"/>
  <c r="P29" i="10"/>
  <c r="Z9" i="10"/>
  <c r="O32" i="20"/>
  <c r="Y541" i="1"/>
  <c r="Z17" i="20"/>
  <c r="Z8" i="20"/>
  <c r="BH32" i="20"/>
  <c r="Y27" i="20"/>
  <c r="H542" i="1"/>
  <c r="P33" i="20"/>
  <c r="Y542" i="1"/>
  <c r="R33" i="20"/>
  <c r="H32" i="20"/>
  <c r="Y19" i="20"/>
  <c r="Z15" i="20"/>
  <c r="Y18" i="20"/>
  <c r="Y7" i="20"/>
  <c r="E33" i="20"/>
  <c r="H543" i="1"/>
  <c r="P31" i="9"/>
  <c r="Y282" i="1"/>
  <c r="Y13" i="9"/>
  <c r="Z17" i="9"/>
  <c r="Z19" i="10"/>
  <c r="H382" i="1"/>
  <c r="F32" i="20"/>
  <c r="H544" i="1"/>
  <c r="R32" i="20"/>
  <c r="Y544" i="1"/>
  <c r="Z9" i="20"/>
  <c r="Z29" i="20"/>
  <c r="G32" i="20"/>
  <c r="H545" i="1"/>
  <c r="Z13" i="20"/>
  <c r="Z14" i="20"/>
  <c r="H33" i="20"/>
  <c r="H546" i="1"/>
  <c r="O33" i="20"/>
  <c r="J33" i="20"/>
  <c r="Q32" i="20"/>
  <c r="N33" i="20"/>
  <c r="Y4" i="20"/>
  <c r="Y14" i="20"/>
  <c r="Y5" i="20"/>
  <c r="Z10" i="20"/>
  <c r="Y6" i="20"/>
  <c r="Q33" i="20"/>
  <c r="Y543" i="1"/>
  <c r="Z24" i="20"/>
  <c r="I33" i="20"/>
  <c r="H547" i="1"/>
  <c r="Z21" i="20"/>
  <c r="Z18" i="20"/>
  <c r="K33" i="20"/>
  <c r="H549" i="1"/>
  <c r="Z20" i="20"/>
  <c r="Z22" i="20"/>
  <c r="Z15" i="9"/>
  <c r="J32" i="20"/>
  <c r="H548" i="1"/>
  <c r="L32" i="20"/>
  <c r="Y21" i="20"/>
  <c r="I32" i="20"/>
  <c r="Z11" i="20"/>
  <c r="P32" i="20"/>
  <c r="Y24" i="20"/>
  <c r="F33" i="20"/>
  <c r="Y9" i="20"/>
  <c r="Y23" i="20"/>
  <c r="BI32" i="20"/>
  <c r="BM30" i="7"/>
  <c r="M33" i="20"/>
  <c r="H551" i="1"/>
  <c r="Z19" i="20"/>
  <c r="Z6" i="20"/>
  <c r="H31" i="9"/>
  <c r="H287" i="1"/>
  <c r="Z27" i="9"/>
  <c r="H29" i="10"/>
  <c r="Z14" i="10"/>
  <c r="N32" i="20"/>
  <c r="Y540" i="1"/>
  <c r="Z16" i="20"/>
  <c r="Z12" i="20"/>
  <c r="E29" i="6"/>
  <c r="H108" i="1"/>
  <c r="BO29" i="6"/>
  <c r="D29" i="6"/>
  <c r="H107" i="1"/>
  <c r="H31" i="5"/>
  <c r="H79" i="1"/>
  <c r="P31" i="5"/>
  <c r="H87" i="1"/>
  <c r="N31" i="5"/>
  <c r="H85" i="1"/>
  <c r="F31" i="5"/>
  <c r="H77" i="1"/>
  <c r="K31" i="5"/>
  <c r="H82" i="1"/>
  <c r="H95" i="1" s="1"/>
  <c r="J95" i="1" s="1"/>
  <c r="S31" i="5"/>
  <c r="Y75" i="1"/>
  <c r="K30" i="23"/>
  <c r="S14" i="23"/>
  <c r="S24" i="23"/>
  <c r="G30" i="23"/>
  <c r="S20" i="23"/>
  <c r="AA664" i="1" s="1"/>
  <c r="S15" i="23"/>
  <c r="S16" i="23"/>
  <c r="I30" i="23"/>
  <c r="J30" i="23"/>
  <c r="H30" i="23"/>
  <c r="D30" i="23"/>
  <c r="L30" i="23"/>
  <c r="R27" i="23"/>
  <c r="R25" i="23"/>
  <c r="R23" i="23"/>
  <c r="R21" i="23"/>
  <c r="E30" i="23"/>
  <c r="F30" i="23"/>
  <c r="R8" i="23"/>
  <c r="S12" i="23"/>
  <c r="R9" i="23"/>
  <c r="R17" i="23"/>
  <c r="R4" i="23"/>
  <c r="R11" i="23"/>
  <c r="S5" i="23"/>
  <c r="S26" i="23"/>
  <c r="S10" i="23"/>
  <c r="S19" i="23"/>
  <c r="S18" i="23"/>
  <c r="M29" i="22"/>
  <c r="S4" i="22"/>
  <c r="H643" i="1" s="1"/>
  <c r="S8" i="22"/>
  <c r="S16" i="22"/>
  <c r="S7" i="22"/>
  <c r="S27" i="22"/>
  <c r="S10" i="22"/>
  <c r="S24" i="22"/>
  <c r="H29" i="22"/>
  <c r="P29" i="22"/>
  <c r="L29" i="22"/>
  <c r="R21" i="22"/>
  <c r="R17" i="22"/>
  <c r="R20" i="22"/>
  <c r="R18" i="22"/>
  <c r="R11" i="22"/>
  <c r="I29" i="22"/>
  <c r="Q29" i="22"/>
  <c r="J29" i="22"/>
  <c r="S26" i="22"/>
  <c r="S23" i="22"/>
  <c r="S5" i="22"/>
  <c r="S19" i="22"/>
  <c r="S12" i="22"/>
  <c r="K29" i="22"/>
  <c r="R22" i="22"/>
  <c r="R15" i="22"/>
  <c r="R14" i="22"/>
  <c r="R9" i="22"/>
  <c r="R6" i="22"/>
  <c r="R13" i="22"/>
  <c r="R25" i="22"/>
  <c r="S22" i="22"/>
  <c r="S15" i="22"/>
  <c r="S14" i="22"/>
  <c r="S9" i="22"/>
  <c r="S6" i="22"/>
  <c r="S13" i="22"/>
  <c r="S25" i="22"/>
  <c r="S7" i="23"/>
  <c r="S25" i="23"/>
  <c r="S23" i="23"/>
  <c r="S21" i="23"/>
  <c r="E29" i="23"/>
  <c r="R5" i="23"/>
  <c r="R26" i="23"/>
  <c r="R10" i="23"/>
  <c r="R19" i="23"/>
  <c r="R18" i="23"/>
  <c r="F29" i="23"/>
  <c r="R7" i="23"/>
  <c r="D29" i="23"/>
  <c r="S27" i="23"/>
  <c r="G29" i="23"/>
  <c r="R12" i="23"/>
  <c r="H29" i="23"/>
  <c r="S8" i="23"/>
  <c r="S9" i="23"/>
  <c r="S17" i="23"/>
  <c r="S4" i="23"/>
  <c r="S11" i="23"/>
  <c r="I29" i="23"/>
  <c r="L29" i="23"/>
  <c r="R20" i="23"/>
  <c r="R15" i="23"/>
  <c r="R14" i="23"/>
  <c r="R16" i="23"/>
  <c r="R24" i="23"/>
  <c r="J29" i="23"/>
  <c r="K29" i="23"/>
  <c r="R26" i="22"/>
  <c r="R23" i="22"/>
  <c r="R5" i="22"/>
  <c r="R19" i="22"/>
  <c r="R12" i="22"/>
  <c r="D28" i="22"/>
  <c r="L28" i="22"/>
  <c r="D29" i="22"/>
  <c r="E28" i="22"/>
  <c r="M28" i="22"/>
  <c r="E29" i="22"/>
  <c r="N28" i="22"/>
  <c r="S21" i="22"/>
  <c r="S17" i="22"/>
  <c r="S20" i="22"/>
  <c r="S18" i="22"/>
  <c r="S11" i="22"/>
  <c r="G28" i="22"/>
  <c r="O28" i="22"/>
  <c r="F28" i="22"/>
  <c r="H28" i="22"/>
  <c r="P28" i="22"/>
  <c r="I28" i="22"/>
  <c r="Q28" i="22"/>
  <c r="J28" i="22"/>
  <c r="K28" i="22"/>
  <c r="F29" i="12"/>
  <c r="N29" i="12"/>
  <c r="U22" i="12"/>
  <c r="G29" i="12"/>
  <c r="O29" i="12"/>
  <c r="U26" i="12"/>
  <c r="U21" i="12"/>
  <c r="U27" i="12"/>
  <c r="U8" i="12"/>
  <c r="U5" i="12"/>
  <c r="U10" i="12"/>
  <c r="T18" i="12"/>
  <c r="U17" i="12"/>
  <c r="U16" i="12"/>
  <c r="U12" i="12"/>
  <c r="I29" i="12"/>
  <c r="Q29" i="12"/>
  <c r="J29" i="12"/>
  <c r="R29" i="12"/>
  <c r="H29" i="12"/>
  <c r="P29" i="12"/>
  <c r="D29" i="12"/>
  <c r="L29" i="12"/>
  <c r="T13" i="12"/>
  <c r="T15" i="12"/>
  <c r="T11" i="12"/>
  <c r="T7" i="12"/>
  <c r="T4" i="12"/>
  <c r="T23" i="12"/>
  <c r="K29" i="12"/>
  <c r="S29" i="12"/>
  <c r="E29" i="12"/>
  <c r="M29" i="12"/>
  <c r="U14" i="12"/>
  <c r="U25" i="12"/>
  <c r="U9" i="12"/>
  <c r="U6" i="12"/>
  <c r="U19" i="12"/>
  <c r="U20" i="12"/>
  <c r="U24" i="12"/>
  <c r="Y5" i="21"/>
  <c r="L29" i="21"/>
  <c r="Y9" i="21"/>
  <c r="Y6" i="21"/>
  <c r="Y27" i="21"/>
  <c r="Y10" i="21"/>
  <c r="Y11" i="21"/>
  <c r="E29" i="21"/>
  <c r="M29" i="21"/>
  <c r="Z14" i="21"/>
  <c r="Z7" i="21"/>
  <c r="Z20" i="21"/>
  <c r="Z18" i="21"/>
  <c r="G28" i="21"/>
  <c r="O28" i="21"/>
  <c r="Z21" i="21"/>
  <c r="K28" i="21"/>
  <c r="Z24" i="21"/>
  <c r="Z25" i="21"/>
  <c r="H584" i="1" s="1"/>
  <c r="F28" i="21"/>
  <c r="J28" i="21"/>
  <c r="Y14" i="21"/>
  <c r="Z9" i="21"/>
  <c r="Y24" i="21"/>
  <c r="Z27" i="21"/>
  <c r="Z12" i="21"/>
  <c r="Z11" i="21"/>
  <c r="N28" i="21"/>
  <c r="R28" i="21"/>
  <c r="I28" i="21"/>
  <c r="Q28" i="21"/>
  <c r="Z26" i="21"/>
  <c r="Z19" i="21"/>
  <c r="Z13" i="21"/>
  <c r="P29" i="21"/>
  <c r="J29" i="21"/>
  <c r="R29" i="21"/>
  <c r="I29" i="21"/>
  <c r="Q29" i="21"/>
  <c r="Y26" i="21"/>
  <c r="Z15" i="21"/>
  <c r="Y16" i="21"/>
  <c r="Y19" i="21"/>
  <c r="Z4" i="21"/>
  <c r="Y12" i="21"/>
  <c r="Y13" i="21"/>
  <c r="Z23" i="21"/>
  <c r="H29" i="21"/>
  <c r="Z8" i="21"/>
  <c r="BI28" i="21"/>
  <c r="K29" i="21"/>
  <c r="H28" i="21"/>
  <c r="P28" i="21"/>
  <c r="Z16" i="21"/>
  <c r="Z5" i="21"/>
  <c r="Z6" i="21"/>
  <c r="Z10" i="21"/>
  <c r="F29" i="21"/>
  <c r="N29" i="21"/>
  <c r="Y23" i="21"/>
  <c r="Y8" i="21"/>
  <c r="Y18" i="21"/>
  <c r="G29" i="21"/>
  <c r="O29" i="21"/>
  <c r="Y7" i="21"/>
  <c r="Y20" i="21"/>
  <c r="D28" i="21"/>
  <c r="L28" i="21"/>
  <c r="BH28" i="21"/>
  <c r="Y15" i="21"/>
  <c r="Y4" i="21"/>
  <c r="E28" i="21"/>
  <c r="M28" i="21"/>
  <c r="Y21" i="21"/>
  <c r="Y25" i="21"/>
  <c r="H583" i="1" s="1"/>
  <c r="D29" i="21"/>
  <c r="BH29" i="21"/>
  <c r="Y17" i="20"/>
  <c r="Y22" i="20"/>
  <c r="Z4" i="20"/>
  <c r="Y16" i="20"/>
  <c r="G33" i="20"/>
  <c r="Y11" i="20"/>
  <c r="Y15" i="20"/>
  <c r="Y10" i="20"/>
  <c r="K32" i="20"/>
  <c r="Z23" i="20"/>
  <c r="D32" i="20"/>
  <c r="Y31" i="20"/>
  <c r="Y12" i="20"/>
  <c r="Y29" i="20"/>
  <c r="E32" i="20"/>
  <c r="M32" i="20"/>
  <c r="Y13" i="20"/>
  <c r="Y20" i="20"/>
  <c r="Y8" i="20"/>
  <c r="D33" i="20"/>
  <c r="L33" i="20"/>
  <c r="BH33" i="20"/>
  <c r="Z27" i="20"/>
  <c r="E33" i="11"/>
  <c r="M33" i="11"/>
  <c r="Y18" i="11"/>
  <c r="Y6" i="11"/>
  <c r="H32" i="11"/>
  <c r="P32" i="11"/>
  <c r="F33" i="11"/>
  <c r="N33" i="11"/>
  <c r="Y30" i="11"/>
  <c r="Y7" i="11"/>
  <c r="Y28" i="11"/>
  <c r="Y11" i="11"/>
  <c r="Y12" i="11"/>
  <c r="Y20" i="11"/>
  <c r="F32" i="11"/>
  <c r="N32" i="11"/>
  <c r="Z24" i="11"/>
  <c r="Z16" i="11"/>
  <c r="Z25" i="11"/>
  <c r="Z9" i="11"/>
  <c r="G32" i="11"/>
  <c r="O32" i="11"/>
  <c r="Z6" i="11"/>
  <c r="Z7" i="11"/>
  <c r="Z11" i="11"/>
  <c r="Z20" i="11"/>
  <c r="BI33" i="11"/>
  <c r="D33" i="11"/>
  <c r="H33" i="11"/>
  <c r="P33" i="11"/>
  <c r="Z13" i="11"/>
  <c r="Z15" i="11"/>
  <c r="Z29" i="11"/>
  <c r="BI32" i="11"/>
  <c r="Z27" i="11"/>
  <c r="Z5" i="11"/>
  <c r="I32" i="11"/>
  <c r="Q33" i="11"/>
  <c r="G33" i="11"/>
  <c r="O33" i="11"/>
  <c r="Z4" i="11"/>
  <c r="Y17" i="11"/>
  <c r="Y27" i="11"/>
  <c r="Z23" i="11"/>
  <c r="Y19" i="11"/>
  <c r="Y5" i="11"/>
  <c r="Z31" i="11"/>
  <c r="Y22" i="11"/>
  <c r="Y10" i="11"/>
  <c r="Z26" i="11"/>
  <c r="L33" i="11"/>
  <c r="Z10" i="11"/>
  <c r="J33" i="11"/>
  <c r="R33" i="11"/>
  <c r="Z17" i="11"/>
  <c r="Z19" i="11"/>
  <c r="Z22" i="11"/>
  <c r="Z12" i="19"/>
  <c r="H35" i="19"/>
  <c r="P35" i="19"/>
  <c r="Z29" i="19"/>
  <c r="Z26" i="19"/>
  <c r="P34" i="19"/>
  <c r="I35" i="19"/>
  <c r="Q35" i="19"/>
  <c r="Z27" i="19"/>
  <c r="Z15" i="19"/>
  <c r="Z23" i="19"/>
  <c r="Z18" i="19"/>
  <c r="J34" i="19"/>
  <c r="R34" i="19"/>
  <c r="Y31" i="19"/>
  <c r="Z6" i="19"/>
  <c r="Z20" i="19"/>
  <c r="Y32" i="19"/>
  <c r="Y18" i="19"/>
  <c r="K34" i="19"/>
  <c r="J35" i="19"/>
  <c r="R35" i="19"/>
  <c r="H34" i="19"/>
  <c r="Y28" i="19"/>
  <c r="Y9" i="19"/>
  <c r="Y8" i="19"/>
  <c r="Y10" i="19"/>
  <c r="Y22" i="19"/>
  <c r="Y24" i="19"/>
  <c r="Z11" i="19"/>
  <c r="Z30" i="19"/>
  <c r="Z25" i="19"/>
  <c r="L34" i="19"/>
  <c r="Q34" i="19"/>
  <c r="Z5" i="19"/>
  <c r="Z33" i="19"/>
  <c r="Z16" i="19"/>
  <c r="Z17" i="19"/>
  <c r="E34" i="19"/>
  <c r="M34" i="19"/>
  <c r="Z31" i="19"/>
  <c r="Z9" i="19"/>
  <c r="Z10" i="19"/>
  <c r="Z24" i="19"/>
  <c r="F34" i="19"/>
  <c r="N34" i="19"/>
  <c r="Z21" i="19"/>
  <c r="Z14" i="19"/>
  <c r="Z13" i="19"/>
  <c r="D35" i="19"/>
  <c r="L35" i="19"/>
  <c r="Y19" i="19"/>
  <c r="Z28" i="19"/>
  <c r="Z8" i="19"/>
  <c r="Z22" i="19"/>
  <c r="I34" i="19"/>
  <c r="Y7" i="19"/>
  <c r="Y30" i="19"/>
  <c r="Y17" i="19"/>
  <c r="E35" i="19"/>
  <c r="M35" i="19"/>
  <c r="Z19" i="19"/>
  <c r="Y25" i="19"/>
  <c r="Y5" i="19"/>
  <c r="Y33" i="19"/>
  <c r="Y16" i="19"/>
  <c r="D34" i="19"/>
  <c r="F35" i="19"/>
  <c r="N35" i="19"/>
  <c r="Y27" i="19"/>
  <c r="Y15" i="19"/>
  <c r="Y23" i="19"/>
  <c r="Y11" i="19"/>
  <c r="G35" i="19"/>
  <c r="O35" i="19"/>
  <c r="Z32" i="19"/>
  <c r="Y21" i="19"/>
  <c r="Y14" i="19"/>
  <c r="Y13" i="19"/>
  <c r="Z11" i="18"/>
  <c r="Z22" i="18"/>
  <c r="Z25" i="18"/>
  <c r="Z23" i="18"/>
  <c r="Z27" i="18"/>
  <c r="Z18" i="18"/>
  <c r="Z7" i="18"/>
  <c r="Z13" i="18"/>
  <c r="Y28" i="18"/>
  <c r="M34" i="18"/>
  <c r="Z31" i="18"/>
  <c r="L34" i="18"/>
  <c r="Y29" i="18"/>
  <c r="Y8" i="18"/>
  <c r="Y10" i="18"/>
  <c r="Z5" i="18"/>
  <c r="Y32" i="18"/>
  <c r="Y12" i="18"/>
  <c r="Z26" i="18"/>
  <c r="Y20" i="18"/>
  <c r="Y6" i="18"/>
  <c r="L35" i="18"/>
  <c r="F34" i="18"/>
  <c r="N35" i="18"/>
  <c r="Z29" i="18"/>
  <c r="Z32" i="18"/>
  <c r="Z20" i="18"/>
  <c r="G34" i="18"/>
  <c r="O34" i="18"/>
  <c r="Z17" i="18"/>
  <c r="Z33" i="18"/>
  <c r="Z15" i="18"/>
  <c r="Z28" i="18"/>
  <c r="Z10" i="18"/>
  <c r="H35" i="18"/>
  <c r="P35" i="18"/>
  <c r="Z16" i="18"/>
  <c r="Z21" i="18"/>
  <c r="Z9" i="18"/>
  <c r="K34" i="18"/>
  <c r="I35" i="18"/>
  <c r="Q35" i="18"/>
  <c r="H34" i="18"/>
  <c r="P34" i="18"/>
  <c r="Y17" i="18"/>
  <c r="Y16" i="18"/>
  <c r="Y4" i="18"/>
  <c r="J35" i="18"/>
  <c r="R35" i="18"/>
  <c r="Y33" i="18"/>
  <c r="Y21" i="18"/>
  <c r="Y24" i="18"/>
  <c r="Y18" i="18"/>
  <c r="Y15" i="18"/>
  <c r="Y30" i="18"/>
  <c r="Y7" i="18"/>
  <c r="Z19" i="18"/>
  <c r="J34" i="18"/>
  <c r="R34" i="18"/>
  <c r="Z8" i="18"/>
  <c r="Z12" i="18"/>
  <c r="Z6" i="18"/>
  <c r="Z4" i="18"/>
  <c r="Y27" i="18"/>
  <c r="Q34" i="18"/>
  <c r="Y9" i="18"/>
  <c r="D35" i="18"/>
  <c r="I34" i="18"/>
  <c r="K35" i="18"/>
  <c r="Y31" i="18"/>
  <c r="Y5" i="18"/>
  <c r="Y26" i="18"/>
  <c r="E35" i="18"/>
  <c r="M35" i="18"/>
  <c r="Z24" i="18"/>
  <c r="D34" i="18"/>
  <c r="E34" i="18"/>
  <c r="G35" i="18"/>
  <c r="O35" i="18"/>
  <c r="Z30" i="18"/>
  <c r="F35" i="18"/>
  <c r="Y13" i="18"/>
  <c r="Y19" i="18"/>
  <c r="N34" i="18"/>
  <c r="Y5" i="17"/>
  <c r="Y16" i="17"/>
  <c r="I29" i="17"/>
  <c r="Q29" i="17"/>
  <c r="K30" i="17"/>
  <c r="Y6" i="17"/>
  <c r="Y24" i="17"/>
  <c r="Y22" i="17"/>
  <c r="D30" i="17"/>
  <c r="L30" i="17"/>
  <c r="Z7" i="17"/>
  <c r="Z21" i="17"/>
  <c r="Y26" i="17"/>
  <c r="Y15" i="17"/>
  <c r="Y23" i="17"/>
  <c r="E30" i="17"/>
  <c r="M30" i="17"/>
  <c r="Z9" i="17"/>
  <c r="Y11" i="17"/>
  <c r="Y13" i="17"/>
  <c r="Y19" i="17"/>
  <c r="D29" i="17"/>
  <c r="F30" i="17"/>
  <c r="N30" i="17"/>
  <c r="Y27" i="17"/>
  <c r="Y20" i="17"/>
  <c r="Y8" i="17"/>
  <c r="G30" i="17"/>
  <c r="O30" i="17"/>
  <c r="Y12" i="17"/>
  <c r="Y17" i="17"/>
  <c r="Y18" i="17"/>
  <c r="Y28" i="17"/>
  <c r="I29" i="10"/>
  <c r="Q29" i="10"/>
  <c r="Z17" i="10"/>
  <c r="Z13" i="10"/>
  <c r="Z15" i="10"/>
  <c r="J28" i="10"/>
  <c r="R28" i="10"/>
  <c r="Z16" i="10"/>
  <c r="Z10" i="10"/>
  <c r="Z25" i="10"/>
  <c r="K28" i="10"/>
  <c r="Y22" i="10"/>
  <c r="R29" i="10"/>
  <c r="H28" i="10"/>
  <c r="P28" i="10"/>
  <c r="Y21" i="10"/>
  <c r="Y5" i="10"/>
  <c r="Y11" i="10"/>
  <c r="Y20" i="10"/>
  <c r="Y6" i="10"/>
  <c r="Y26" i="10"/>
  <c r="Z4" i="10"/>
  <c r="L28" i="10"/>
  <c r="K29" i="10"/>
  <c r="I28" i="10"/>
  <c r="Q28" i="10"/>
  <c r="Z18" i="10"/>
  <c r="Z12" i="10"/>
  <c r="Z23" i="10"/>
  <c r="E28" i="10"/>
  <c r="M28" i="10"/>
  <c r="Z22" i="10"/>
  <c r="Z5" i="10"/>
  <c r="F28" i="10"/>
  <c r="N28" i="10"/>
  <c r="Z7" i="10"/>
  <c r="Z27" i="10"/>
  <c r="Z8" i="10"/>
  <c r="G28" i="10"/>
  <c r="O28" i="10"/>
  <c r="Y7" i="10"/>
  <c r="Z24" i="10"/>
  <c r="Y19" i="10"/>
  <c r="Z11" i="10"/>
  <c r="Y9" i="10"/>
  <c r="Z6" i="10"/>
  <c r="Y14" i="10"/>
  <c r="Z12" i="16"/>
  <c r="Z31" i="16"/>
  <c r="H361" i="1" s="1"/>
  <c r="Z27" i="16"/>
  <c r="K33" i="16"/>
  <c r="Y12" i="16"/>
  <c r="Z28" i="16"/>
  <c r="Y31" i="16"/>
  <c r="Z6" i="16"/>
  <c r="Z29" i="16"/>
  <c r="Y25" i="16"/>
  <c r="L33" i="16"/>
  <c r="J33" i="16"/>
  <c r="R33" i="16"/>
  <c r="H33" i="16"/>
  <c r="P33" i="16"/>
  <c r="Y17" i="16"/>
  <c r="Y26" i="16"/>
  <c r="Y24" i="16"/>
  <c r="Z16" i="16"/>
  <c r="E33" i="16"/>
  <c r="M33" i="16"/>
  <c r="Z10" i="16"/>
  <c r="Z11" i="16"/>
  <c r="Z30" i="16"/>
  <c r="Z4" i="16"/>
  <c r="Z19" i="16"/>
  <c r="F33" i="16"/>
  <c r="N33" i="16"/>
  <c r="Z22" i="16"/>
  <c r="Z21" i="16"/>
  <c r="Z9" i="16"/>
  <c r="Z14" i="16"/>
  <c r="G33" i="16"/>
  <c r="O33" i="16"/>
  <c r="Z18" i="16"/>
  <c r="Z32" i="16"/>
  <c r="Z8" i="16"/>
  <c r="H34" i="16"/>
  <c r="P34" i="16"/>
  <c r="Z20" i="16"/>
  <c r="Y7" i="16"/>
  <c r="Y28" i="16"/>
  <c r="Z23" i="16"/>
  <c r="Y15" i="16"/>
  <c r="Y6" i="16"/>
  <c r="Z5" i="16"/>
  <c r="Y13" i="16"/>
  <c r="Y29" i="16"/>
  <c r="Z25" i="16"/>
  <c r="Z17" i="16"/>
  <c r="Z26" i="16"/>
  <c r="Z24" i="16"/>
  <c r="J34" i="16"/>
  <c r="R34" i="16"/>
  <c r="Y22" i="16"/>
  <c r="Y21" i="16"/>
  <c r="Y9" i="16"/>
  <c r="Y14" i="16"/>
  <c r="I33" i="16"/>
  <c r="Q33" i="16"/>
  <c r="K34" i="16"/>
  <c r="L34" i="16"/>
  <c r="Y20" i="16"/>
  <c r="Y23" i="16"/>
  <c r="Y5" i="16"/>
  <c r="Y19" i="16"/>
  <c r="E34" i="16"/>
  <c r="M34" i="16"/>
  <c r="Y10" i="16"/>
  <c r="Y11" i="16"/>
  <c r="Y30" i="16"/>
  <c r="Y4" i="16"/>
  <c r="D33" i="16"/>
  <c r="F34" i="16"/>
  <c r="N34" i="16"/>
  <c r="Y27" i="16"/>
  <c r="Y16" i="16"/>
  <c r="G34" i="16"/>
  <c r="O34" i="16"/>
  <c r="Y18" i="16"/>
  <c r="Y32" i="16"/>
  <c r="Y8" i="16"/>
  <c r="D34" i="16"/>
  <c r="Z29" i="15"/>
  <c r="Z8" i="15"/>
  <c r="Z17" i="15"/>
  <c r="E35" i="15"/>
  <c r="M35" i="15"/>
  <c r="Z5" i="15"/>
  <c r="Y4" i="15"/>
  <c r="Z23" i="15"/>
  <c r="Y15" i="15"/>
  <c r="Z12" i="15"/>
  <c r="Z28" i="15"/>
  <c r="Z21" i="15"/>
  <c r="G35" i="15"/>
  <c r="O35" i="15"/>
  <c r="Z24" i="15"/>
  <c r="Z6" i="15"/>
  <c r="Z9" i="15"/>
  <c r="Z13" i="15"/>
  <c r="Y7" i="15"/>
  <c r="Y9" i="15"/>
  <c r="Y16" i="15"/>
  <c r="H36" i="15"/>
  <c r="P36" i="15"/>
  <c r="Z20" i="15"/>
  <c r="Z14" i="15"/>
  <c r="Z33" i="15"/>
  <c r="N35" i="15"/>
  <c r="Z27" i="15"/>
  <c r="I36" i="15"/>
  <c r="Q36" i="15"/>
  <c r="Z7" i="15"/>
  <c r="Z11" i="15"/>
  <c r="Z25" i="15"/>
  <c r="F35" i="15"/>
  <c r="Y11" i="15"/>
  <c r="Y25" i="15"/>
  <c r="J35" i="15"/>
  <c r="R35" i="15"/>
  <c r="H35" i="15"/>
  <c r="P35" i="15"/>
  <c r="Y18" i="15"/>
  <c r="Y34" i="15"/>
  <c r="Y22" i="15"/>
  <c r="Y24" i="15"/>
  <c r="Y6" i="15"/>
  <c r="K35" i="15"/>
  <c r="Z4" i="15"/>
  <c r="Z15" i="15"/>
  <c r="Z16" i="15"/>
  <c r="Z18" i="15"/>
  <c r="Z34" i="15"/>
  <c r="Z22" i="15"/>
  <c r="J36" i="15"/>
  <c r="R36" i="15"/>
  <c r="Y31" i="15"/>
  <c r="Y19" i="15"/>
  <c r="Y10" i="15"/>
  <c r="Y30" i="15"/>
  <c r="I35" i="15"/>
  <c r="Q35" i="15"/>
  <c r="K36" i="15"/>
  <c r="Y13" i="15"/>
  <c r="Y27" i="15"/>
  <c r="Y21" i="15"/>
  <c r="E36" i="15"/>
  <c r="M36" i="15"/>
  <c r="D35" i="15"/>
  <c r="L35" i="15"/>
  <c r="F36" i="15"/>
  <c r="N36" i="15"/>
  <c r="Y20" i="15"/>
  <c r="Y14" i="15"/>
  <c r="Y33" i="15"/>
  <c r="G36" i="15"/>
  <c r="O36" i="15"/>
  <c r="Y5" i="15"/>
  <c r="Y23" i="15"/>
  <c r="Y12" i="15"/>
  <c r="Y28" i="15"/>
  <c r="Z31" i="15"/>
  <c r="J31" i="9"/>
  <c r="R31" i="9"/>
  <c r="Z8" i="9"/>
  <c r="Y24" i="9"/>
  <c r="Z26" i="9"/>
  <c r="Y6" i="9"/>
  <c r="Z29" i="9"/>
  <c r="Y4" i="9"/>
  <c r="K30" i="9"/>
  <c r="Z24" i="9"/>
  <c r="Z6" i="9"/>
  <c r="Z4" i="9"/>
  <c r="Q31" i="9"/>
  <c r="L30" i="9"/>
  <c r="Y22" i="9"/>
  <c r="Y21" i="9"/>
  <c r="I31" i="9"/>
  <c r="E30" i="9"/>
  <c r="M30" i="9"/>
  <c r="Z23" i="9"/>
  <c r="Z13" i="9"/>
  <c r="Z7" i="9"/>
  <c r="Z16" i="9"/>
  <c r="F30" i="9"/>
  <c r="N30" i="9"/>
  <c r="Y23" i="9"/>
  <c r="D31" i="9"/>
  <c r="L31" i="9"/>
  <c r="J30" i="9"/>
  <c r="R30" i="9"/>
  <c r="Z18" i="9"/>
  <c r="Y17" i="9"/>
  <c r="Z11" i="9"/>
  <c r="Y15" i="9"/>
  <c r="Z19" i="9"/>
  <c r="Z25" i="9"/>
  <c r="G30" i="9"/>
  <c r="O30" i="9"/>
  <c r="Z5" i="9"/>
  <c r="Z20" i="9"/>
  <c r="Z12" i="9"/>
  <c r="D32" i="13"/>
  <c r="L32" i="13"/>
  <c r="T32" i="13"/>
  <c r="AD7" i="13"/>
  <c r="AC28" i="13"/>
  <c r="AC27" i="13"/>
  <c r="AD21" i="13"/>
  <c r="AC4" i="13"/>
  <c r="AD9" i="13"/>
  <c r="E32" i="13"/>
  <c r="M32" i="13"/>
  <c r="U32" i="13"/>
  <c r="AD23" i="13"/>
  <c r="AC13" i="13"/>
  <c r="AD24" i="13"/>
  <c r="L33" i="13"/>
  <c r="T33" i="13"/>
  <c r="J32" i="13"/>
  <c r="R32" i="13"/>
  <c r="AD18" i="13"/>
  <c r="AD8" i="13"/>
  <c r="AC26" i="13"/>
  <c r="AC16" i="13"/>
  <c r="AC7" i="13"/>
  <c r="AC22" i="13"/>
  <c r="AC21" i="13"/>
  <c r="F32" i="13"/>
  <c r="N32" i="13"/>
  <c r="V32" i="13"/>
  <c r="AD19" i="13"/>
  <c r="AD14" i="13"/>
  <c r="G33" i="13"/>
  <c r="O33" i="13"/>
  <c r="AD15" i="13"/>
  <c r="H33" i="13"/>
  <c r="P33" i="13"/>
  <c r="AD29" i="13"/>
  <c r="AD30" i="13"/>
  <c r="AD20" i="13"/>
  <c r="AD28" i="13"/>
  <c r="AC19" i="13"/>
  <c r="AD11" i="13"/>
  <c r="AD25" i="13"/>
  <c r="AD4" i="13"/>
  <c r="I32" i="13"/>
  <c r="Q32" i="13"/>
  <c r="AC23" i="13"/>
  <c r="AC31" i="13"/>
  <c r="O32" i="13"/>
  <c r="U33" i="13"/>
  <c r="AD5" i="13"/>
  <c r="AC8" i="13"/>
  <c r="AD6" i="13"/>
  <c r="AC15" i="13"/>
  <c r="J33" i="13"/>
  <c r="R33" i="13"/>
  <c r="E33" i="13"/>
  <c r="M33" i="13"/>
  <c r="K32" i="13"/>
  <c r="S32" i="13"/>
  <c r="AC12" i="13"/>
  <c r="AC5" i="13"/>
  <c r="AC14" i="13"/>
  <c r="D32" i="14"/>
  <c r="L32" i="14"/>
  <c r="T32" i="14"/>
  <c r="AD14" i="14"/>
  <c r="AD28" i="14"/>
  <c r="AD16" i="14"/>
  <c r="AC14" i="14"/>
  <c r="E32" i="14"/>
  <c r="M32" i="14"/>
  <c r="U32" i="14"/>
  <c r="H32" i="14"/>
  <c r="P32" i="14"/>
  <c r="AD4" i="14"/>
  <c r="AD15" i="14"/>
  <c r="AD6" i="14"/>
  <c r="AC18" i="14"/>
  <c r="H33" i="14"/>
  <c r="P33" i="14"/>
  <c r="AD29" i="14"/>
  <c r="AD23" i="14"/>
  <c r="AD17" i="14"/>
  <c r="G32" i="14"/>
  <c r="AC24" i="14"/>
  <c r="AC26" i="14"/>
  <c r="I33" i="14"/>
  <c r="Q33" i="14"/>
  <c r="AC22" i="14"/>
  <c r="AC29" i="14"/>
  <c r="AC20" i="14"/>
  <c r="AC23" i="14"/>
  <c r="AC8" i="14"/>
  <c r="AC17" i="14"/>
  <c r="AC12" i="14"/>
  <c r="AC28" i="14"/>
  <c r="AC25" i="14"/>
  <c r="AC21" i="14"/>
  <c r="AC13" i="14"/>
  <c r="AC10" i="14"/>
  <c r="AC31" i="14"/>
  <c r="AC5" i="14"/>
  <c r="O32" i="14"/>
  <c r="AC19" i="14"/>
  <c r="AC16" i="14"/>
  <c r="K32" i="14"/>
  <c r="S32" i="14"/>
  <c r="AD22" i="14"/>
  <c r="D33" i="14"/>
  <c r="L33" i="14"/>
  <c r="T33" i="14"/>
  <c r="J32" i="14"/>
  <c r="R32" i="14"/>
  <c r="AD21" i="14"/>
  <c r="AD20" i="14"/>
  <c r="AD27" i="14"/>
  <c r="AD10" i="14"/>
  <c r="AD8" i="14"/>
  <c r="AD11" i="14"/>
  <c r="AD5" i="14"/>
  <c r="AD12" i="14"/>
  <c r="AD30" i="14"/>
  <c r="AC9" i="14"/>
  <c r="J33" i="14"/>
  <c r="R33" i="14"/>
  <c r="AD9" i="14"/>
  <c r="I32" i="14"/>
  <c r="Q32" i="14"/>
  <c r="K33" i="14"/>
  <c r="S33" i="14"/>
  <c r="AC7" i="14"/>
  <c r="AC27" i="14"/>
  <c r="AC11" i="14"/>
  <c r="AC30" i="14"/>
  <c r="E33" i="14"/>
  <c r="M33" i="14"/>
  <c r="U33" i="14"/>
  <c r="AD7" i="14"/>
  <c r="F33" i="14"/>
  <c r="N33" i="14"/>
  <c r="V33" i="14"/>
  <c r="AC4" i="14"/>
  <c r="AC15" i="14"/>
  <c r="AC6" i="14"/>
  <c r="G33" i="14"/>
  <c r="O33" i="14"/>
  <c r="AC6" i="13"/>
  <c r="AD22" i="13"/>
  <c r="G32" i="13"/>
  <c r="AC17" i="13"/>
  <c r="AC18" i="13"/>
  <c r="AC20" i="13"/>
  <c r="AC25" i="13"/>
  <c r="H32" i="13"/>
  <c r="P32" i="13"/>
  <c r="D33" i="13"/>
  <c r="AD12" i="13"/>
  <c r="AD16" i="13"/>
  <c r="I33" i="13"/>
  <c r="Q33" i="13"/>
  <c r="AD17" i="13"/>
  <c r="AD27" i="13"/>
  <c r="AC29" i="13"/>
  <c r="AC10" i="13"/>
  <c r="F33" i="13"/>
  <c r="N33" i="13"/>
  <c r="V33" i="13"/>
  <c r="AD31" i="13"/>
  <c r="AC24" i="13"/>
  <c r="AC30" i="13"/>
  <c r="AC11" i="13"/>
  <c r="E33" i="8"/>
  <c r="M33" i="8"/>
  <c r="U33" i="8"/>
  <c r="AD26" i="8"/>
  <c r="AD16" i="8"/>
  <c r="AD18" i="8"/>
  <c r="AD28" i="8"/>
  <c r="AD29" i="8"/>
  <c r="F33" i="8"/>
  <c r="AD10" i="8"/>
  <c r="AD15" i="8"/>
  <c r="AD23" i="8"/>
  <c r="AD21" i="8"/>
  <c r="G33" i="8"/>
  <c r="O33" i="8"/>
  <c r="J34" i="8"/>
  <c r="R34" i="8"/>
  <c r="H33" i="8"/>
  <c r="P33" i="8"/>
  <c r="AC16" i="8"/>
  <c r="AD6" i="8"/>
  <c r="AD8" i="8"/>
  <c r="AC18" i="8"/>
  <c r="AD22" i="8"/>
  <c r="AD32" i="8"/>
  <c r="AC29" i="8"/>
  <c r="AD30" i="8"/>
  <c r="V33" i="8"/>
  <c r="H34" i="8"/>
  <c r="P34" i="8"/>
  <c r="N33" i="8"/>
  <c r="I34" i="8"/>
  <c r="J33" i="8"/>
  <c r="R33" i="8"/>
  <c r="AC26" i="8"/>
  <c r="AC31" i="8"/>
  <c r="AD5" i="8"/>
  <c r="AD17" i="8"/>
  <c r="Q34" i="8"/>
  <c r="AC28" i="8"/>
  <c r="K33" i="8"/>
  <c r="S33" i="8"/>
  <c r="I33" i="8"/>
  <c r="Q33" i="8"/>
  <c r="AD4" i="8"/>
  <c r="AD31" i="8"/>
  <c r="AD13" i="8"/>
  <c r="AC32" i="8"/>
  <c r="AD11" i="8"/>
  <c r="AD14" i="8"/>
  <c r="AC10" i="8"/>
  <c r="AC23" i="8"/>
  <c r="AD7" i="8"/>
  <c r="AD19" i="8"/>
  <c r="H190" i="1" s="1"/>
  <c r="L33" i="8"/>
  <c r="T33" i="8"/>
  <c r="AC27" i="8"/>
  <c r="AD24" i="8"/>
  <c r="AC8" i="8"/>
  <c r="AD12" i="8"/>
  <c r="AD9" i="8"/>
  <c r="D28" i="12"/>
  <c r="L28" i="12"/>
  <c r="U13" i="12"/>
  <c r="U11" i="12"/>
  <c r="U7" i="12"/>
  <c r="E28" i="12"/>
  <c r="T26" i="12"/>
  <c r="T21" i="12"/>
  <c r="T27" i="12"/>
  <c r="T8" i="12"/>
  <c r="T5" i="12"/>
  <c r="T10" i="12"/>
  <c r="F28" i="12"/>
  <c r="N28" i="12"/>
  <c r="U15" i="12"/>
  <c r="U4" i="12"/>
  <c r="M28" i="12"/>
  <c r="G28" i="12"/>
  <c r="O28" i="12"/>
  <c r="T17" i="12"/>
  <c r="T16" i="12"/>
  <c r="T12" i="12"/>
  <c r="T22" i="12"/>
  <c r="P28" i="12"/>
  <c r="U18" i="12"/>
  <c r="U23" i="12"/>
  <c r="I28" i="12"/>
  <c r="Q28" i="12"/>
  <c r="T14" i="12"/>
  <c r="T25" i="12"/>
  <c r="T9" i="12"/>
  <c r="T6" i="12"/>
  <c r="T19" i="12"/>
  <c r="T20" i="12"/>
  <c r="T24" i="12"/>
  <c r="J28" i="12"/>
  <c r="R28" i="12"/>
  <c r="H28" i="12"/>
  <c r="K28" i="12"/>
  <c r="S28" i="12"/>
  <c r="Y21" i="11"/>
  <c r="J32" i="11"/>
  <c r="R32" i="11"/>
  <c r="Z18" i="11"/>
  <c r="Z12" i="11"/>
  <c r="Q32" i="11"/>
  <c r="Z21" i="11"/>
  <c r="Y4" i="11"/>
  <c r="Y23" i="11"/>
  <c r="Y31" i="11"/>
  <c r="K32" i="11"/>
  <c r="I33" i="11"/>
  <c r="Z28" i="11"/>
  <c r="Y24" i="11"/>
  <c r="Y16" i="11"/>
  <c r="Y25" i="11"/>
  <c r="Y9" i="11"/>
  <c r="D32" i="11"/>
  <c r="L32" i="11"/>
  <c r="BH32" i="11"/>
  <c r="Y8" i="11"/>
  <c r="Y26" i="11"/>
  <c r="Y14" i="11"/>
  <c r="E32" i="11"/>
  <c r="M32" i="11"/>
  <c r="Y13" i="11"/>
  <c r="Y15" i="11"/>
  <c r="Y29" i="11"/>
  <c r="BH33" i="11"/>
  <c r="Z30" i="11"/>
  <c r="Y16" i="10"/>
  <c r="Y10" i="10"/>
  <c r="Y25" i="10"/>
  <c r="D29" i="10"/>
  <c r="L29" i="10"/>
  <c r="Z20" i="10"/>
  <c r="Y24" i="10"/>
  <c r="E29" i="10"/>
  <c r="M29" i="10"/>
  <c r="J29" i="10"/>
  <c r="Y4" i="10"/>
  <c r="Y18" i="10"/>
  <c r="Y12" i="10"/>
  <c r="Y23" i="10"/>
  <c r="D28" i="10"/>
  <c r="F29" i="10"/>
  <c r="N29" i="10"/>
  <c r="Z21" i="10"/>
  <c r="Y17" i="10"/>
  <c r="Y13" i="10"/>
  <c r="Y15" i="10"/>
  <c r="G29" i="10"/>
  <c r="O29" i="10"/>
  <c r="Z26" i="10"/>
  <c r="Y27" i="10"/>
  <c r="Y8" i="10"/>
  <c r="Z9" i="9"/>
  <c r="Y19" i="9"/>
  <c r="Z22" i="9"/>
  <c r="Y25" i="9"/>
  <c r="Z21" i="9"/>
  <c r="Y16" i="9"/>
  <c r="H30" i="9"/>
  <c r="P30" i="9"/>
  <c r="Y10" i="9"/>
  <c r="Y18" i="9"/>
  <c r="Y11" i="9"/>
  <c r="I30" i="9"/>
  <c r="Q30" i="9"/>
  <c r="K31" i="9"/>
  <c r="Z10" i="9"/>
  <c r="Y27" i="9"/>
  <c r="E31" i="9"/>
  <c r="M31" i="9"/>
  <c r="Y7" i="9"/>
  <c r="D30" i="9"/>
  <c r="F31" i="9"/>
  <c r="N31" i="9"/>
  <c r="Y8" i="9"/>
  <c r="Y26" i="9"/>
  <c r="Y29" i="9"/>
  <c r="G31" i="9"/>
  <c r="O31" i="9"/>
  <c r="Y20" i="9"/>
  <c r="Y12" i="9"/>
  <c r="AC13" i="8"/>
  <c r="AC11" i="8"/>
  <c r="K34" i="8"/>
  <c r="S34" i="8"/>
  <c r="AC17" i="8"/>
  <c r="AC14" i="8"/>
  <c r="D34" i="8"/>
  <c r="L34" i="8"/>
  <c r="T34" i="8"/>
  <c r="AC6" i="8"/>
  <c r="AC22" i="8"/>
  <c r="AC30" i="8"/>
  <c r="E34" i="8"/>
  <c r="M34" i="8"/>
  <c r="U34" i="8"/>
  <c r="AD27" i="8"/>
  <c r="AC19" i="8"/>
  <c r="H189" i="1" s="1"/>
  <c r="AC24" i="8"/>
  <c r="AC12" i="8"/>
  <c r="AC9" i="8"/>
  <c r="D33" i="8"/>
  <c r="F34" i="8"/>
  <c r="N34" i="8"/>
  <c r="V34" i="8"/>
  <c r="AC5" i="8"/>
  <c r="AC7" i="8"/>
  <c r="G34" i="8"/>
  <c r="O34" i="8"/>
  <c r="AC15" i="8"/>
  <c r="AC21" i="8"/>
  <c r="AB15" i="7"/>
  <c r="AB23" i="7"/>
  <c r="F31" i="7"/>
  <c r="AB16" i="7"/>
  <c r="AB17" i="7"/>
  <c r="AB21" i="7"/>
  <c r="G31" i="7"/>
  <c r="H30" i="7"/>
  <c r="P31" i="7"/>
  <c r="AB28" i="7"/>
  <c r="AB5" i="7"/>
  <c r="AB22" i="7"/>
  <c r="AB10" i="7"/>
  <c r="AB9" i="7"/>
  <c r="AB6" i="7"/>
  <c r="AB18" i="7"/>
  <c r="AB14" i="7"/>
  <c r="AB11" i="7"/>
  <c r="AB4" i="7"/>
  <c r="AA8" i="7"/>
  <c r="AA29" i="7"/>
  <c r="AA25" i="7"/>
  <c r="N31" i="7"/>
  <c r="O31" i="7"/>
  <c r="AB8" i="7"/>
  <c r="AB29" i="7"/>
  <c r="AB25" i="7"/>
  <c r="P30" i="7"/>
  <c r="Q30" i="7"/>
  <c r="J30" i="7"/>
  <c r="R30" i="7"/>
  <c r="H31" i="7"/>
  <c r="I30" i="7"/>
  <c r="K30" i="7"/>
  <c r="S30" i="7"/>
  <c r="BL30" i="7"/>
  <c r="D30" i="7"/>
  <c r="L30" i="7"/>
  <c r="T30" i="7"/>
  <c r="E30" i="7"/>
  <c r="M30" i="7"/>
  <c r="BL31" i="7"/>
  <c r="AA7" i="7"/>
  <c r="AA28" i="7"/>
  <c r="AA20" i="7"/>
  <c r="AA5" i="7"/>
  <c r="AA26" i="7"/>
  <c r="AA22" i="7"/>
  <c r="AA15" i="7"/>
  <c r="AA10" i="7"/>
  <c r="AA13" i="7"/>
  <c r="AA9" i="7"/>
  <c r="AA27" i="7"/>
  <c r="AA6" i="7"/>
  <c r="AA19" i="7"/>
  <c r="AA18" i="7"/>
  <c r="AA24" i="7"/>
  <c r="AA14" i="7"/>
  <c r="AA23" i="7"/>
  <c r="AA11" i="7"/>
  <c r="AA12" i="7"/>
  <c r="AA4" i="7"/>
  <c r="D31" i="7"/>
  <c r="AB19" i="6"/>
  <c r="AB21" i="6"/>
  <c r="BO28" i="6"/>
  <c r="BN28" i="6"/>
  <c r="AC16" i="6"/>
  <c r="AC7" i="6"/>
  <c r="AC23" i="6"/>
  <c r="H28" i="6"/>
  <c r="P28" i="6"/>
  <c r="AB18" i="6"/>
  <c r="AB22" i="6"/>
  <c r="AB12" i="6"/>
  <c r="AB5" i="6"/>
  <c r="AB6" i="6"/>
  <c r="AB26" i="6"/>
  <c r="AB27" i="6"/>
  <c r="AB15" i="6"/>
  <c r="AB4" i="6"/>
  <c r="AB24" i="6"/>
  <c r="AB25" i="6"/>
  <c r="AB9" i="6"/>
  <c r="P29" i="6"/>
  <c r="AC19" i="6"/>
  <c r="I28" i="6"/>
  <c r="Q28" i="6"/>
  <c r="Q29" i="6"/>
  <c r="AC11" i="6"/>
  <c r="AC8" i="6"/>
  <c r="AC14" i="6"/>
  <c r="AC13" i="6"/>
  <c r="AC20" i="6"/>
  <c r="AC21" i="6"/>
  <c r="J29" i="6"/>
  <c r="R29" i="6"/>
  <c r="AC10" i="6"/>
  <c r="K29" i="6"/>
  <c r="S29" i="6"/>
  <c r="AC18" i="6"/>
  <c r="AC22" i="6"/>
  <c r="AC12" i="6"/>
  <c r="AC5" i="6"/>
  <c r="AC6" i="6"/>
  <c r="AC26" i="6"/>
  <c r="AC27" i="6"/>
  <c r="AC15" i="6"/>
  <c r="AC4" i="6"/>
  <c r="AC24" i="6"/>
  <c r="AC25" i="6"/>
  <c r="AC9" i="6"/>
  <c r="F29" i="6"/>
  <c r="N29" i="6"/>
  <c r="R28" i="6"/>
  <c r="G29" i="6"/>
  <c r="O29" i="6"/>
  <c r="J28" i="6"/>
  <c r="S28" i="6"/>
  <c r="D28" i="6"/>
  <c r="L28" i="6"/>
  <c r="T28" i="6"/>
  <c r="K28" i="6"/>
  <c r="E28" i="6"/>
  <c r="M28" i="6"/>
  <c r="U28" i="6"/>
  <c r="BN29" i="6"/>
  <c r="AB17" i="6"/>
  <c r="AC17" i="6"/>
  <c r="G31" i="5"/>
  <c r="BK31" i="5"/>
  <c r="J32" i="5"/>
  <c r="R32" i="5"/>
  <c r="Q31" i="5"/>
  <c r="I31" i="5"/>
  <c r="BJ31" i="5"/>
  <c r="H32" i="5"/>
  <c r="I32" i="5"/>
  <c r="L32" i="5"/>
  <c r="P32" i="5"/>
  <c r="E32" i="5"/>
  <c r="Q32" i="5"/>
  <c r="M32" i="5"/>
  <c r="BK32" i="5"/>
  <c r="O31" i="5"/>
  <c r="F32" i="5"/>
  <c r="N32" i="5"/>
  <c r="J31" i="5"/>
  <c r="G32" i="5"/>
  <c r="O32" i="5"/>
  <c r="R31" i="5"/>
  <c r="D31" i="5"/>
  <c r="L31" i="5"/>
  <c r="E31" i="5"/>
  <c r="M31" i="5"/>
  <c r="K32" i="5"/>
  <c r="S32" i="5"/>
  <c r="BJ32" i="5"/>
  <c r="D32" i="5"/>
  <c r="H261" i="1" l="1"/>
  <c r="H121" i="1"/>
  <c r="H120" i="1"/>
  <c r="H360" i="1"/>
  <c r="H672" i="1"/>
  <c r="H153" i="1"/>
  <c r="H262" i="1"/>
  <c r="H226" i="1"/>
  <c r="J226" i="1" s="1"/>
  <c r="H225" i="1"/>
  <c r="J225" i="1" s="1"/>
  <c r="H521" i="1"/>
  <c r="H520" i="1"/>
  <c r="H424" i="1"/>
  <c r="H457" i="1"/>
  <c r="H489" i="1"/>
  <c r="H456" i="1"/>
  <c r="AE6" i="8"/>
  <c r="AE20" i="8"/>
  <c r="AA8" i="20"/>
  <c r="AA24" i="21"/>
  <c r="AA15" i="20"/>
  <c r="AA23" i="21"/>
  <c r="AA21" i="20"/>
  <c r="AA19" i="20"/>
  <c r="AE10" i="8"/>
  <c r="AA20" i="20"/>
  <c r="AA11" i="20"/>
  <c r="AA4" i="21"/>
  <c r="AA13" i="20"/>
  <c r="AA15" i="21"/>
  <c r="AA13" i="21"/>
  <c r="AA14" i="21"/>
  <c r="AE15" i="8"/>
  <c r="AE24" i="8"/>
  <c r="AE14" i="8"/>
  <c r="AE32" i="8"/>
  <c r="AE31" i="8"/>
  <c r="AA6" i="20"/>
  <c r="AA16" i="20"/>
  <c r="AE8" i="8"/>
  <c r="AE26" i="8"/>
  <c r="AE18" i="8"/>
  <c r="AA29" i="20"/>
  <c r="AA22" i="20"/>
  <c r="AA19" i="21"/>
  <c r="AA11" i="21"/>
  <c r="AA23" i="20"/>
  <c r="AA12" i="21"/>
  <c r="AA12" i="20"/>
  <c r="AA17" i="20"/>
  <c r="AA20" i="21"/>
  <c r="AA16" i="21"/>
  <c r="AA10" i="21"/>
  <c r="AA9" i="20"/>
  <c r="AA5" i="20"/>
  <c r="AA27" i="20"/>
  <c r="AA26" i="20"/>
  <c r="AA28" i="20"/>
  <c r="AA25" i="20"/>
  <c r="AA30" i="20"/>
  <c r="AE17" i="8"/>
  <c r="AE27" i="8"/>
  <c r="AA31" i="20"/>
  <c r="AA7" i="21"/>
  <c r="AA27" i="21"/>
  <c r="AA14" i="20"/>
  <c r="AE12" i="8"/>
  <c r="AE11" i="8"/>
  <c r="AE16" i="8"/>
  <c r="AA26" i="21"/>
  <c r="AA6" i="21"/>
  <c r="AA24" i="20"/>
  <c r="AA4" i="20"/>
  <c r="AE23" i="8"/>
  <c r="AE21" i="8"/>
  <c r="AE7" i="8"/>
  <c r="AE5" i="8"/>
  <c r="AE13" i="8"/>
  <c r="AA25" i="21"/>
  <c r="AA9" i="21"/>
  <c r="AA7" i="20"/>
  <c r="AE25" i="8"/>
  <c r="AE28" i="8"/>
  <c r="AE9" i="8"/>
  <c r="AE4" i="8"/>
  <c r="AE30" i="8"/>
  <c r="AA21" i="21"/>
  <c r="AA18" i="21"/>
  <c r="AA18" i="20"/>
  <c r="AE29" i="8"/>
  <c r="AE19" i="8"/>
  <c r="AE22" i="8"/>
  <c r="AA10" i="20"/>
  <c r="AA8" i="21"/>
  <c r="AA5" i="21"/>
  <c r="AA17" i="21"/>
  <c r="AA22" i="21"/>
  <c r="H552" i="1"/>
  <c r="H553" i="1"/>
  <c r="BP29" i="6"/>
  <c r="H154" i="1"/>
  <c r="BN31" i="7"/>
  <c r="H614" i="1"/>
  <c r="J614" i="1" s="1"/>
  <c r="AV4" i="23" a="1"/>
  <c r="AV4" i="23" s="1"/>
  <c r="T14" i="23"/>
  <c r="T26" i="23"/>
  <c r="T9" i="23"/>
  <c r="T15" i="23"/>
  <c r="T27" i="23"/>
  <c r="T28" i="23"/>
  <c r="H671" i="1"/>
  <c r="J671" i="1" s="1"/>
  <c r="T7" i="23"/>
  <c r="P673" i="1" s="1"/>
  <c r="T8" i="23"/>
  <c r="T25" i="23"/>
  <c r="T5" i="23"/>
  <c r="T12" i="23"/>
  <c r="T18" i="23"/>
  <c r="T11" i="23"/>
  <c r="T13" i="23"/>
  <c r="T24" i="23"/>
  <c r="T19" i="23"/>
  <c r="T4" i="23"/>
  <c r="T21" i="23"/>
  <c r="T6" i="23"/>
  <c r="T16" i="23"/>
  <c r="T10" i="23"/>
  <c r="T17" i="23"/>
  <c r="T23" i="23"/>
  <c r="T22" i="23"/>
  <c r="J643" i="1"/>
  <c r="H642" i="1"/>
  <c r="J642" i="1" s="1"/>
  <c r="T20" i="23"/>
  <c r="J672" i="1" s="1"/>
  <c r="AV28" i="23"/>
  <c r="AE30" i="13"/>
  <c r="AE20" i="13"/>
  <c r="AE18" i="13"/>
  <c r="AE7" i="13"/>
  <c r="AE17" i="13"/>
  <c r="AE14" i="13"/>
  <c r="AE23" i="13"/>
  <c r="AE16" i="13"/>
  <c r="AE5" i="13"/>
  <c r="AE15" i="13"/>
  <c r="AE26" i="13"/>
  <c r="AE13" i="13"/>
  <c r="AE27" i="13"/>
  <c r="AE31" i="13"/>
  <c r="AE10" i="13"/>
  <c r="AE12" i="13"/>
  <c r="AE28" i="13"/>
  <c r="AE4" i="13"/>
  <c r="AE11" i="13"/>
  <c r="AE29" i="13"/>
  <c r="AE6" i="13"/>
  <c r="AE8" i="13"/>
  <c r="AE24" i="13"/>
  <c r="AE25" i="13"/>
  <c r="AE21" i="13"/>
  <c r="AE19" i="13"/>
  <c r="AE22" i="13"/>
  <c r="AE9" i="13"/>
  <c r="BR14" i="13"/>
  <c r="BR15" i="13"/>
  <c r="AA17" i="18"/>
  <c r="AA25" i="18"/>
  <c r="AA19" i="18"/>
  <c r="AA21" i="18"/>
  <c r="AA20" i="18"/>
  <c r="AA13" i="18"/>
  <c r="AA9" i="18"/>
  <c r="AA33" i="18"/>
  <c r="AA12" i="18"/>
  <c r="AA24" i="18"/>
  <c r="AA32" i="18"/>
  <c r="AA28" i="18"/>
  <c r="AA23" i="18"/>
  <c r="AA26" i="18"/>
  <c r="AA27" i="18"/>
  <c r="AA5" i="18"/>
  <c r="AA30" i="18"/>
  <c r="AA4" i="18"/>
  <c r="AA10" i="18"/>
  <c r="AA22" i="18"/>
  <c r="AA7" i="18"/>
  <c r="AA31" i="18"/>
  <c r="AA15" i="18"/>
  <c r="AA16" i="18"/>
  <c r="AA8" i="18"/>
  <c r="AA11" i="18"/>
  <c r="AA18" i="18"/>
  <c r="AA6" i="18"/>
  <c r="AA29" i="18"/>
  <c r="AA14" i="18"/>
  <c r="BJ22" i="18"/>
  <c r="BJ25" i="18"/>
  <c r="BJ14" i="18"/>
  <c r="BJ11" i="18"/>
  <c r="BJ23" i="18"/>
  <c r="Z32" i="5"/>
  <c r="AB32" i="5" s="1"/>
  <c r="Z31" i="5"/>
  <c r="AB31" i="5" s="1"/>
  <c r="H328" i="1"/>
  <c r="AA8" i="9"/>
  <c r="AA4" i="9"/>
  <c r="AA5" i="9"/>
  <c r="AA12" i="9"/>
  <c r="AA6" i="9"/>
  <c r="AA13" i="9"/>
  <c r="AA7" i="9"/>
  <c r="AA11" i="9"/>
  <c r="AA10" i="9"/>
  <c r="AA9" i="9"/>
  <c r="H327" i="1"/>
  <c r="BJ17" i="15"/>
  <c r="BJ32" i="15"/>
  <c r="BJ26" i="15"/>
  <c r="BJ8" i="15"/>
  <c r="BJ29" i="15"/>
  <c r="AA5" i="15"/>
  <c r="AA23" i="15"/>
  <c r="AA12" i="15"/>
  <c r="AA28" i="15"/>
  <c r="AA13" i="15"/>
  <c r="AA27" i="15"/>
  <c r="AA21" i="15"/>
  <c r="AA26" i="15"/>
  <c r="AA32" i="15"/>
  <c r="AA24" i="15"/>
  <c r="AA6" i="15"/>
  <c r="AA9" i="15"/>
  <c r="AA17" i="15"/>
  <c r="AA34" i="15"/>
  <c r="AA20" i="15"/>
  <c r="AA14" i="15"/>
  <c r="AA33" i="15"/>
  <c r="AA8" i="15"/>
  <c r="AA22" i="15"/>
  <c r="AA7" i="15"/>
  <c r="AA11" i="15"/>
  <c r="AA25" i="15"/>
  <c r="AA29" i="15"/>
  <c r="AA18" i="15"/>
  <c r="AA4" i="15"/>
  <c r="AA15" i="15"/>
  <c r="AA16" i="15"/>
  <c r="AA31" i="15"/>
  <c r="AA19" i="15"/>
  <c r="AA10" i="15"/>
  <c r="AA30" i="15"/>
  <c r="AA30" i="16"/>
  <c r="AA13" i="16"/>
  <c r="AA4" i="16"/>
  <c r="AA29" i="16"/>
  <c r="AA32" i="16"/>
  <c r="AA10" i="16"/>
  <c r="AA9" i="16"/>
  <c r="AA6" i="16"/>
  <c r="AA14" i="16"/>
  <c r="AA25" i="16"/>
  <c r="AA18" i="16"/>
  <c r="AA21" i="16"/>
  <c r="AA15" i="16"/>
  <c r="AA11" i="16"/>
  <c r="AA31" i="16"/>
  <c r="AA28" i="16"/>
  <c r="AA24" i="16"/>
  <c r="AA16" i="16"/>
  <c r="AA5" i="16"/>
  <c r="AA7" i="16"/>
  <c r="AA26" i="16"/>
  <c r="AA12" i="16"/>
  <c r="AA8" i="16"/>
  <c r="AA27" i="16"/>
  <c r="AA23" i="16"/>
  <c r="AA17" i="16"/>
  <c r="AA22" i="16"/>
  <c r="AA19" i="16"/>
  <c r="AA20" i="16"/>
  <c r="BJ14" i="16"/>
  <c r="BJ16" i="16"/>
  <c r="BJ19" i="16"/>
  <c r="AE20" i="14"/>
  <c r="AE21" i="14"/>
  <c r="AE4" i="14"/>
  <c r="AE17" i="14"/>
  <c r="AE16" i="14"/>
  <c r="AE8" i="14"/>
  <c r="AE14" i="14"/>
  <c r="AE19" i="14"/>
  <c r="AE23" i="14"/>
  <c r="AE29" i="14"/>
  <c r="AE22" i="14"/>
  <c r="AE5" i="14"/>
  <c r="AE10" i="14"/>
  <c r="AE18" i="14"/>
  <c r="AE31" i="14"/>
  <c r="AE9" i="14"/>
  <c r="AE13" i="14"/>
  <c r="AE26" i="14"/>
  <c r="AE11" i="14"/>
  <c r="AE25" i="14"/>
  <c r="AE6" i="14"/>
  <c r="AE27" i="14"/>
  <c r="AE28" i="14"/>
  <c r="AE30" i="14"/>
  <c r="AE24" i="14"/>
  <c r="AE15" i="14"/>
  <c r="AE7" i="14"/>
  <c r="AE12" i="14"/>
  <c r="BR30" i="14"/>
  <c r="BR25" i="8"/>
  <c r="BR20" i="8"/>
  <c r="H294" i="1"/>
  <c r="H295" i="1"/>
  <c r="H392" i="1"/>
  <c r="H393" i="1"/>
  <c r="AV6" i="23"/>
  <c r="AV13" i="23"/>
  <c r="AA29" i="19"/>
  <c r="AA15" i="19"/>
  <c r="AA17" i="19"/>
  <c r="AA30" i="19"/>
  <c r="AA5" i="19"/>
  <c r="AA19" i="19"/>
  <c r="AA22" i="19"/>
  <c r="AA4" i="19"/>
  <c r="AA25" i="19"/>
  <c r="AA10" i="19"/>
  <c r="AA31" i="19"/>
  <c r="AA8" i="19"/>
  <c r="AA11" i="19"/>
  <c r="AA9" i="19"/>
  <c r="AA23" i="19"/>
  <c r="AA28" i="19"/>
  <c r="AA27" i="19"/>
  <c r="AA13" i="19"/>
  <c r="AA18" i="19"/>
  <c r="AA26" i="19"/>
  <c r="AA12" i="19"/>
  <c r="AA14" i="19"/>
  <c r="AA16" i="19"/>
  <c r="AA32" i="19"/>
  <c r="AA6" i="19"/>
  <c r="AA7" i="19"/>
  <c r="AA21" i="19"/>
  <c r="AA33" i="19"/>
  <c r="AA24" i="19"/>
  <c r="AA20" i="19"/>
  <c r="H488" i="1"/>
  <c r="BJ18" i="19"/>
  <c r="BJ32" i="19"/>
  <c r="BJ4" i="19"/>
  <c r="BJ24" i="19"/>
  <c r="BJ17" i="19"/>
  <c r="BJ12" i="19"/>
  <c r="BJ11" i="19"/>
  <c r="H613" i="1"/>
  <c r="J613" i="1" s="1"/>
  <c r="BJ5" i="21"/>
  <c r="T15" i="22"/>
  <c r="AA4" i="17"/>
  <c r="AA18" i="17"/>
  <c r="AA28" i="17"/>
  <c r="AA17" i="17"/>
  <c r="AA14" i="17"/>
  <c r="AA8" i="17"/>
  <c r="AC29" i="6"/>
  <c r="AD6" i="6"/>
  <c r="AD15" i="6"/>
  <c r="AV25" i="23"/>
  <c r="T5" i="22"/>
  <c r="AV23" i="23"/>
  <c r="AV15" i="23"/>
  <c r="AV14" i="23"/>
  <c r="AV27" i="23"/>
  <c r="AV20" i="23"/>
  <c r="AV21" i="23"/>
  <c r="AV16" i="23"/>
  <c r="AV22" i="23"/>
  <c r="AV18" i="23"/>
  <c r="AV19" i="23"/>
  <c r="AV10" i="23"/>
  <c r="AV26" i="23"/>
  <c r="AV5" i="23"/>
  <c r="AV11" i="23"/>
  <c r="AV17" i="23"/>
  <c r="AV8" i="23"/>
  <c r="AV9" i="23"/>
  <c r="AV12" i="23"/>
  <c r="AV24" i="23"/>
  <c r="AV7" i="23"/>
  <c r="AV4" i="22"/>
  <c r="T23" i="22"/>
  <c r="T27" i="22"/>
  <c r="T4" i="22"/>
  <c r="E644" i="1" s="1"/>
  <c r="AV6" i="22"/>
  <c r="AV22" i="22"/>
  <c r="AV12" i="22"/>
  <c r="AV11" i="22"/>
  <c r="AV7" i="22"/>
  <c r="T6" i="22"/>
  <c r="T22" i="22"/>
  <c r="T13" i="22"/>
  <c r="T26" i="22"/>
  <c r="T11" i="22"/>
  <c r="T7" i="22"/>
  <c r="AV9" i="22"/>
  <c r="AV26" i="22"/>
  <c r="AV27" i="22"/>
  <c r="T18" i="22"/>
  <c r="AV24" i="22"/>
  <c r="AV16" i="22"/>
  <c r="T9" i="22"/>
  <c r="AV21" i="22"/>
  <c r="T20" i="22"/>
  <c r="T24" i="22"/>
  <c r="T16" i="22"/>
  <c r="AV25" i="22"/>
  <c r="AV14" i="22"/>
  <c r="AV23" i="22"/>
  <c r="AV17" i="22"/>
  <c r="T12" i="22"/>
  <c r="T17" i="22"/>
  <c r="AV10" i="22"/>
  <c r="AV8" i="22"/>
  <c r="T25" i="22"/>
  <c r="T14" i="22"/>
  <c r="AV5" i="22"/>
  <c r="AV20" i="22"/>
  <c r="T19" i="22"/>
  <c r="T21" i="22"/>
  <c r="T10" i="22"/>
  <c r="T8" i="22"/>
  <c r="AV13" i="22"/>
  <c r="AV15" i="22"/>
  <c r="AV19" i="22"/>
  <c r="AV18" i="22"/>
  <c r="AZ25" i="12"/>
  <c r="V6" i="12"/>
  <c r="BJ19" i="21"/>
  <c r="BJ9" i="21"/>
  <c r="BJ8" i="21"/>
  <c r="Z29" i="21"/>
  <c r="Y29" i="21"/>
  <c r="BJ17" i="21"/>
  <c r="BJ24" i="21"/>
  <c r="BJ10" i="21"/>
  <c r="BJ16" i="21"/>
  <c r="BJ14" i="21"/>
  <c r="BJ25" i="21"/>
  <c r="BJ6" i="21"/>
  <c r="BJ20" i="21"/>
  <c r="BJ27" i="21"/>
  <c r="BJ18" i="21"/>
  <c r="BJ13" i="21"/>
  <c r="Y28" i="21"/>
  <c r="Z28" i="21"/>
  <c r="BJ11" i="21"/>
  <c r="BJ15" i="21"/>
  <c r="BJ12" i="21"/>
  <c r="BJ7" i="21"/>
  <c r="BJ21" i="21"/>
  <c r="BJ26" i="21"/>
  <c r="BJ23" i="21"/>
  <c r="BJ4" i="21"/>
  <c r="BJ16" i="20"/>
  <c r="BJ5" i="20"/>
  <c r="BJ27" i="20"/>
  <c r="BJ12" i="20"/>
  <c r="BJ18" i="20"/>
  <c r="Z32" i="20"/>
  <c r="Y32" i="20"/>
  <c r="BJ4" i="20"/>
  <c r="BJ31" i="20"/>
  <c r="BJ21" i="20"/>
  <c r="BJ23" i="20"/>
  <c r="BJ13" i="20"/>
  <c r="BJ24" i="20"/>
  <c r="BJ22" i="20"/>
  <c r="BJ29" i="20"/>
  <c r="BJ11" i="20"/>
  <c r="BJ14" i="20"/>
  <c r="BJ6" i="20"/>
  <c r="Z33" i="20"/>
  <c r="Y33" i="20"/>
  <c r="BJ19" i="20"/>
  <c r="BJ7" i="20"/>
  <c r="BJ15" i="20"/>
  <c r="BJ17" i="20"/>
  <c r="BJ8" i="20"/>
  <c r="BJ9" i="20"/>
  <c r="BJ10" i="20"/>
  <c r="BJ20" i="20"/>
  <c r="Y33" i="11"/>
  <c r="AA9" i="11"/>
  <c r="Z33" i="11"/>
  <c r="BJ8" i="19"/>
  <c r="BJ29" i="19"/>
  <c r="BJ26" i="19"/>
  <c r="BJ13" i="19"/>
  <c r="BJ28" i="19"/>
  <c r="BJ22" i="19"/>
  <c r="BJ6" i="19"/>
  <c r="BJ33" i="19"/>
  <c r="BJ7" i="19"/>
  <c r="BJ19" i="19"/>
  <c r="BJ5" i="19"/>
  <c r="BJ16" i="19"/>
  <c r="BJ30" i="19"/>
  <c r="BJ14" i="19"/>
  <c r="BJ21" i="19"/>
  <c r="BJ23" i="19"/>
  <c r="BJ10" i="19"/>
  <c r="BJ15" i="19"/>
  <c r="BJ9" i="19"/>
  <c r="BJ25" i="19"/>
  <c r="BJ27" i="19"/>
  <c r="BJ31" i="19"/>
  <c r="BJ20" i="19"/>
  <c r="BJ5" i="18"/>
  <c r="BJ24" i="18"/>
  <c r="BJ19" i="18"/>
  <c r="BJ26" i="18"/>
  <c r="BJ4" i="18"/>
  <c r="BJ9" i="18"/>
  <c r="BJ15" i="18"/>
  <c r="BJ21" i="18"/>
  <c r="BJ30" i="18"/>
  <c r="BJ33" i="18"/>
  <c r="BJ16" i="18"/>
  <c r="BJ29" i="18"/>
  <c r="BJ17" i="18"/>
  <c r="BJ31" i="18"/>
  <c r="BJ7" i="18"/>
  <c r="BJ8" i="18"/>
  <c r="BJ32" i="18"/>
  <c r="BJ13" i="18"/>
  <c r="BJ18" i="18"/>
  <c r="BJ12" i="18"/>
  <c r="BJ20" i="18"/>
  <c r="BJ10" i="18"/>
  <c r="BJ27" i="18"/>
  <c r="BJ6" i="18"/>
  <c r="BJ28" i="18"/>
  <c r="AA13" i="17"/>
  <c r="AA21" i="17"/>
  <c r="BJ8" i="17"/>
  <c r="AA11" i="17"/>
  <c r="BJ13" i="17"/>
  <c r="BJ20" i="17"/>
  <c r="AA20" i="17"/>
  <c r="AA16" i="17"/>
  <c r="AA9" i="17"/>
  <c r="AA27" i="17"/>
  <c r="AA5" i="17"/>
  <c r="BJ21" i="17"/>
  <c r="AA10" i="17"/>
  <c r="AA22" i="17"/>
  <c r="BJ16" i="17"/>
  <c r="BJ9" i="17"/>
  <c r="BJ27" i="17"/>
  <c r="AA23" i="17"/>
  <c r="AA24" i="17"/>
  <c r="BJ17" i="17"/>
  <c r="BJ11" i="17"/>
  <c r="BJ24" i="17"/>
  <c r="BJ6" i="17"/>
  <c r="BJ5" i="17"/>
  <c r="BJ10" i="17"/>
  <c r="BJ4" i="17"/>
  <c r="BJ14" i="17"/>
  <c r="BJ25" i="17"/>
  <c r="BJ7" i="17"/>
  <c r="BJ23" i="17"/>
  <c r="BJ18" i="17"/>
  <c r="BJ26" i="17"/>
  <c r="BJ15" i="17"/>
  <c r="AA12" i="17"/>
  <c r="AA15" i="17"/>
  <c r="AA6" i="17"/>
  <c r="BJ12" i="17"/>
  <c r="AA7" i="17"/>
  <c r="AA25" i="17"/>
  <c r="AA19" i="17"/>
  <c r="AA26" i="17"/>
  <c r="BJ19" i="17"/>
  <c r="BJ22" i="17"/>
  <c r="BJ28" i="17"/>
  <c r="BJ19" i="10"/>
  <c r="BJ32" i="16"/>
  <c r="BJ7" i="16"/>
  <c r="BJ26" i="16"/>
  <c r="BJ18" i="16"/>
  <c r="BJ11" i="16"/>
  <c r="BJ15" i="16"/>
  <c r="BJ12" i="16"/>
  <c r="BJ9" i="16"/>
  <c r="BJ13" i="16"/>
  <c r="BJ17" i="16"/>
  <c r="BJ31" i="16"/>
  <c r="BJ30" i="16"/>
  <c r="BJ21" i="16"/>
  <c r="BJ10" i="16"/>
  <c r="BJ28" i="16"/>
  <c r="BJ5" i="16"/>
  <c r="BJ24" i="16"/>
  <c r="BJ22" i="16"/>
  <c r="BJ20" i="16"/>
  <c r="BJ6" i="16"/>
  <c r="BJ25" i="16"/>
  <c r="BJ8" i="16"/>
  <c r="BJ4" i="16"/>
  <c r="BJ23" i="16"/>
  <c r="BJ29" i="16"/>
  <c r="BJ27" i="16"/>
  <c r="BJ18" i="15"/>
  <c r="BJ22" i="15"/>
  <c r="BJ9" i="15"/>
  <c r="BJ15" i="15"/>
  <c r="BJ34" i="15"/>
  <c r="BJ4" i="15"/>
  <c r="BJ24" i="15"/>
  <c r="BJ30" i="15"/>
  <c r="BJ33" i="15"/>
  <c r="BJ10" i="15"/>
  <c r="BJ14" i="15"/>
  <c r="BJ25" i="15"/>
  <c r="BJ11" i="15"/>
  <c r="BJ7" i="15"/>
  <c r="BJ12" i="15"/>
  <c r="BJ23" i="15"/>
  <c r="BJ5" i="15"/>
  <c r="BJ16" i="15"/>
  <c r="BJ21" i="15"/>
  <c r="BJ27" i="15"/>
  <c r="BJ13" i="15"/>
  <c r="BJ19" i="15"/>
  <c r="BJ6" i="15"/>
  <c r="BJ20" i="15"/>
  <c r="BJ28" i="15"/>
  <c r="BJ31" i="15"/>
  <c r="BR26" i="14"/>
  <c r="BR19" i="14"/>
  <c r="BR24" i="14"/>
  <c r="BR18" i="14"/>
  <c r="BR31" i="14"/>
  <c r="BR13" i="14"/>
  <c r="BR25" i="14"/>
  <c r="BR11" i="14"/>
  <c r="BR27" i="14"/>
  <c r="BR7" i="14"/>
  <c r="BR12" i="14"/>
  <c r="BR29" i="14"/>
  <c r="BR8" i="14"/>
  <c r="BR21" i="14"/>
  <c r="BR16" i="14"/>
  <c r="BR20" i="14"/>
  <c r="BR14" i="14"/>
  <c r="BR22" i="14"/>
  <c r="BR5" i="14"/>
  <c r="BR9" i="14"/>
  <c r="BR15" i="14"/>
  <c r="BR23" i="14"/>
  <c r="BR4" i="14"/>
  <c r="BR6" i="14"/>
  <c r="BR17" i="14"/>
  <c r="BR10" i="14"/>
  <c r="BR28" i="14"/>
  <c r="BR25" i="13"/>
  <c r="BR26" i="13"/>
  <c r="BR13" i="13"/>
  <c r="BR18" i="13"/>
  <c r="BR10" i="13"/>
  <c r="BR5" i="13"/>
  <c r="BR20" i="13"/>
  <c r="BR4" i="13"/>
  <c r="BR28" i="13"/>
  <c r="BR8" i="13"/>
  <c r="BR23" i="13"/>
  <c r="BR11" i="13"/>
  <c r="BR22" i="13"/>
  <c r="BR16" i="13"/>
  <c r="BR12" i="13"/>
  <c r="BR6" i="13"/>
  <c r="BR31" i="13"/>
  <c r="BR30" i="13"/>
  <c r="BR9" i="13"/>
  <c r="BR27" i="13"/>
  <c r="BR24" i="13"/>
  <c r="BR17" i="13"/>
  <c r="BR29" i="13"/>
  <c r="BR7" i="13"/>
  <c r="BR19" i="13"/>
  <c r="BR21" i="13"/>
  <c r="BR15" i="8"/>
  <c r="BR11" i="8"/>
  <c r="AZ6" i="12"/>
  <c r="V9" i="12"/>
  <c r="AZ26" i="12"/>
  <c r="V7" i="12"/>
  <c r="AZ9" i="12"/>
  <c r="V25" i="12"/>
  <c r="V11" i="12"/>
  <c r="V13" i="12"/>
  <c r="V26" i="12"/>
  <c r="AZ4" i="12"/>
  <c r="AZ7" i="12"/>
  <c r="AZ11" i="12"/>
  <c r="AZ15" i="12"/>
  <c r="AZ13" i="12"/>
  <c r="V14" i="12"/>
  <c r="AZ12" i="12"/>
  <c r="AZ16" i="12"/>
  <c r="AZ23" i="12"/>
  <c r="AZ22" i="12"/>
  <c r="AZ17" i="12"/>
  <c r="AZ18" i="12"/>
  <c r="V10" i="12"/>
  <c r="AZ14" i="12"/>
  <c r="V22" i="12"/>
  <c r="V5" i="12"/>
  <c r="AZ10" i="12"/>
  <c r="V24" i="12"/>
  <c r="V12" i="12"/>
  <c r="V8" i="12"/>
  <c r="AZ5" i="12"/>
  <c r="AZ24" i="12"/>
  <c r="V20" i="12"/>
  <c r="V16" i="12"/>
  <c r="V27" i="12"/>
  <c r="AZ8" i="12"/>
  <c r="V23" i="12"/>
  <c r="AZ20" i="12"/>
  <c r="V4" i="12"/>
  <c r="AZ21" i="12"/>
  <c r="V19" i="12"/>
  <c r="V17" i="12"/>
  <c r="V21" i="12"/>
  <c r="AZ27" i="12"/>
  <c r="V18" i="12"/>
  <c r="AZ19" i="12"/>
  <c r="V15" i="12"/>
  <c r="AA23" i="11"/>
  <c r="BJ21" i="11"/>
  <c r="BJ25" i="11"/>
  <c r="BJ24" i="11"/>
  <c r="BJ31" i="11"/>
  <c r="BJ11" i="11"/>
  <c r="BJ7" i="11"/>
  <c r="BJ6" i="11"/>
  <c r="BJ23" i="11"/>
  <c r="BJ22" i="11"/>
  <c r="BJ19" i="11"/>
  <c r="BJ17" i="11"/>
  <c r="AA21" i="11"/>
  <c r="BJ9" i="11"/>
  <c r="BJ16" i="11"/>
  <c r="BJ4" i="11"/>
  <c r="AA30" i="11"/>
  <c r="AA10" i="11"/>
  <c r="AA25" i="11"/>
  <c r="AA4" i="11"/>
  <c r="BJ20" i="11"/>
  <c r="AA6" i="11"/>
  <c r="AA22" i="11"/>
  <c r="AA14" i="11"/>
  <c r="AA16" i="11"/>
  <c r="AA18" i="11"/>
  <c r="BJ10" i="11"/>
  <c r="AA5" i="11"/>
  <c r="AA26" i="11"/>
  <c r="AA24" i="11"/>
  <c r="AA20" i="11"/>
  <c r="BJ15" i="11"/>
  <c r="BJ5" i="11"/>
  <c r="AA19" i="11"/>
  <c r="AA8" i="11"/>
  <c r="AA12" i="11"/>
  <c r="BJ12" i="11"/>
  <c r="BJ27" i="11"/>
  <c r="AA27" i="11"/>
  <c r="AA29" i="11"/>
  <c r="AA11" i="11"/>
  <c r="BJ28" i="11"/>
  <c r="BJ14" i="11"/>
  <c r="AA17" i="11"/>
  <c r="AA15" i="11"/>
  <c r="AA28" i="11"/>
  <c r="BJ30" i="11"/>
  <c r="BJ26" i="11"/>
  <c r="BJ13" i="11"/>
  <c r="AA13" i="11"/>
  <c r="Z32" i="11"/>
  <c r="Y32" i="11"/>
  <c r="AA31" i="11"/>
  <c r="AA7" i="11"/>
  <c r="BJ18" i="11"/>
  <c r="BJ8" i="11"/>
  <c r="BJ29" i="11"/>
  <c r="BJ21" i="10"/>
  <c r="AA5" i="10"/>
  <c r="BJ25" i="10"/>
  <c r="BJ14" i="10"/>
  <c r="BJ10" i="10"/>
  <c r="BJ16" i="10"/>
  <c r="BJ9" i="10"/>
  <c r="AA12" i="10"/>
  <c r="BJ27" i="10"/>
  <c r="BJ8" i="10"/>
  <c r="AA9" i="10"/>
  <c r="AA11" i="10"/>
  <c r="AA13" i="10"/>
  <c r="AA6" i="10"/>
  <c r="BJ7" i="10"/>
  <c r="BJ15" i="10"/>
  <c r="BJ18" i="10"/>
  <c r="BJ6" i="10"/>
  <c r="BJ5" i="10"/>
  <c r="BJ22" i="10"/>
  <c r="AA4" i="10"/>
  <c r="BJ23" i="10"/>
  <c r="BJ4" i="10"/>
  <c r="BJ11" i="10"/>
  <c r="BJ12" i="10"/>
  <c r="BJ24" i="10"/>
  <c r="BJ26" i="10"/>
  <c r="BJ13" i="10"/>
  <c r="AA8" i="10"/>
  <c r="AA10" i="10"/>
  <c r="BJ20" i="10"/>
  <c r="BJ17" i="10"/>
  <c r="AA7" i="10"/>
  <c r="BJ11" i="9"/>
  <c r="BJ17" i="9"/>
  <c r="BJ20" i="9"/>
  <c r="BJ9" i="9"/>
  <c r="BJ25" i="9"/>
  <c r="BJ18" i="9"/>
  <c r="BJ15" i="9"/>
  <c r="BJ12" i="9"/>
  <c r="BJ4" i="9"/>
  <c r="BJ26" i="9"/>
  <c r="BJ19" i="9"/>
  <c r="BJ8" i="9"/>
  <c r="BJ6" i="9"/>
  <c r="BJ23" i="9"/>
  <c r="BJ10" i="9"/>
  <c r="BJ13" i="9"/>
  <c r="BJ24" i="9"/>
  <c r="BJ29" i="9"/>
  <c r="BJ7" i="9"/>
  <c r="BJ21" i="9"/>
  <c r="BJ27" i="9"/>
  <c r="BJ5" i="9"/>
  <c r="BJ22" i="9"/>
  <c r="BJ16" i="9"/>
  <c r="BR8" i="8"/>
  <c r="BR7" i="8"/>
  <c r="BR12" i="8"/>
  <c r="BR29" i="8"/>
  <c r="BR18" i="8"/>
  <c r="BR16" i="8"/>
  <c r="BR30" i="8"/>
  <c r="BR24" i="8"/>
  <c r="BR6" i="8"/>
  <c r="BR9" i="8"/>
  <c r="BR19" i="8"/>
  <c r="BR22" i="8"/>
  <c r="BR27" i="8"/>
  <c r="BR28" i="8"/>
  <c r="BR32" i="8"/>
  <c r="BR21" i="8"/>
  <c r="BR13" i="8"/>
  <c r="BR23" i="8"/>
  <c r="BR14" i="8"/>
  <c r="BR5" i="8"/>
  <c r="BR4" i="8"/>
  <c r="BR10" i="8"/>
  <c r="BR17" i="8"/>
  <c r="BR31" i="8"/>
  <c r="BR26" i="8"/>
  <c r="BN22" i="7"/>
  <c r="BN5" i="7"/>
  <c r="AC24" i="7"/>
  <c r="AC15" i="7"/>
  <c r="BN13" i="7"/>
  <c r="BN21" i="7"/>
  <c r="AC26" i="7"/>
  <c r="BN17" i="7"/>
  <c r="BN15" i="7"/>
  <c r="BN25" i="7"/>
  <c r="BN9" i="7"/>
  <c r="BN27" i="7"/>
  <c r="BN6" i="7"/>
  <c r="AC19" i="7"/>
  <c r="AC4" i="7"/>
  <c r="AC6" i="7"/>
  <c r="AC5" i="7"/>
  <c r="BN16" i="7"/>
  <c r="BN26" i="7"/>
  <c r="BN29" i="7"/>
  <c r="BN10" i="7"/>
  <c r="BN18" i="7"/>
  <c r="AC27" i="7"/>
  <c r="AC20" i="7"/>
  <c r="BN12" i="7"/>
  <c r="BN20" i="7"/>
  <c r="BN8" i="7"/>
  <c r="AC18" i="7"/>
  <c r="AC11" i="7"/>
  <c r="AC9" i="7"/>
  <c r="AC28" i="7"/>
  <c r="AB30" i="7"/>
  <c r="AA30" i="7"/>
  <c r="BN23" i="7"/>
  <c r="BN7" i="7"/>
  <c r="BN4" i="7"/>
  <c r="AC16" i="7"/>
  <c r="AC22" i="7"/>
  <c r="AC29" i="7"/>
  <c r="AC23" i="7"/>
  <c r="AC13" i="7"/>
  <c r="AC7" i="7"/>
  <c r="BN30" i="7"/>
  <c r="BN24" i="7"/>
  <c r="AC21" i="7"/>
  <c r="BN11" i="7"/>
  <c r="BN28" i="7"/>
  <c r="AB31" i="7"/>
  <c r="AA31" i="7"/>
  <c r="AC12" i="7"/>
  <c r="AC14" i="7"/>
  <c r="AC10" i="7"/>
  <c r="AC25" i="7"/>
  <c r="BN19" i="7"/>
  <c r="AC17" i="7"/>
  <c r="BN14" i="7"/>
  <c r="AC8" i="7"/>
  <c r="AB29" i="6"/>
  <c r="AD29" i="6" s="1"/>
  <c r="AD19" i="6"/>
  <c r="AD23" i="6"/>
  <c r="AD10" i="6"/>
  <c r="AD14" i="6"/>
  <c r="AD20" i="6"/>
  <c r="AD27" i="6"/>
  <c r="AD11" i="6"/>
  <c r="AD13" i="6"/>
  <c r="AD26" i="6"/>
  <c r="AD12" i="6"/>
  <c r="BP28" i="6"/>
  <c r="AD7" i="6"/>
  <c r="AD9" i="6"/>
  <c r="AD22" i="6"/>
  <c r="AD8" i="6"/>
  <c r="BP16" i="6"/>
  <c r="BP19" i="6"/>
  <c r="BP20" i="6"/>
  <c r="BP15" i="6"/>
  <c r="BP6" i="6"/>
  <c r="BP25" i="6"/>
  <c r="BP4" i="6"/>
  <c r="BP27" i="6"/>
  <c r="BP26" i="6"/>
  <c r="BP5" i="6"/>
  <c r="BP12" i="6"/>
  <c r="BP18" i="6"/>
  <c r="BP9" i="6"/>
  <c r="BP21" i="6"/>
  <c r="BP8" i="6"/>
  <c r="BP7" i="6"/>
  <c r="BP22" i="6"/>
  <c r="BP13" i="6"/>
  <c r="BP23" i="6"/>
  <c r="BP10" i="6"/>
  <c r="BP11" i="6"/>
  <c r="AD17" i="6"/>
  <c r="BP24" i="6"/>
  <c r="BP14" i="6"/>
  <c r="BP17" i="6"/>
  <c r="AD25" i="6"/>
  <c r="AD16" i="6"/>
  <c r="AD24" i="6"/>
  <c r="AD5" i="6"/>
  <c r="AC28" i="6"/>
  <c r="AB28" i="6"/>
  <c r="AD28" i="6" s="1"/>
  <c r="AD21" i="6"/>
  <c r="AD4" i="6"/>
  <c r="AD18" i="6"/>
  <c r="AB4" i="5"/>
  <c r="AB22" i="5"/>
  <c r="AB16" i="5"/>
  <c r="BL32" i="5"/>
  <c r="AB19" i="5"/>
  <c r="AB24" i="5"/>
  <c r="AB18" i="5"/>
  <c r="AA32" i="5"/>
  <c r="AB13" i="5"/>
  <c r="AA31" i="5"/>
  <c r="BL18" i="5"/>
  <c r="BL11" i="5"/>
  <c r="BL16" i="5"/>
  <c r="BL22" i="5"/>
  <c r="BL7" i="5"/>
  <c r="BL17" i="5"/>
  <c r="BL30" i="5"/>
  <c r="BL10" i="5"/>
  <c r="BL24" i="5"/>
  <c r="BL9" i="5"/>
  <c r="BL21" i="5"/>
  <c r="BL19" i="5"/>
  <c r="BL5" i="5"/>
  <c r="BL6" i="5"/>
  <c r="BL25" i="5"/>
  <c r="BL4" i="5"/>
  <c r="BL27" i="5"/>
  <c r="BL15" i="5"/>
  <c r="BL20" i="5"/>
  <c r="BL28" i="5"/>
  <c r="BL23" i="5"/>
  <c r="BL14" i="5"/>
  <c r="AB7" i="5"/>
  <c r="BL29" i="5"/>
  <c r="BL8" i="5"/>
  <c r="BL12" i="5"/>
  <c r="BL13" i="5"/>
  <c r="BL26" i="5"/>
  <c r="AB12" i="5"/>
  <c r="AB20" i="5"/>
  <c r="AB10" i="5"/>
  <c r="AB27" i="5"/>
  <c r="BL31" i="5"/>
  <c r="AB21" i="5"/>
  <c r="AB5" i="5"/>
  <c r="AB29" i="5"/>
  <c r="AB9" i="5"/>
  <c r="AB8" i="5"/>
  <c r="AB11" i="5"/>
  <c r="AB6" i="5"/>
  <c r="AB25" i="5"/>
  <c r="AB26" i="5"/>
  <c r="AB17" i="5"/>
  <c r="AB14" i="5"/>
  <c r="AB30" i="5"/>
  <c r="AB15" i="5"/>
  <c r="AB28" i="5"/>
  <c r="AB23" i="5"/>
  <c r="E155" i="1" l="1"/>
  <c r="P155" i="1" s="1"/>
  <c r="P122" i="1"/>
  <c r="P191" i="1"/>
  <c r="P522" i="1"/>
  <c r="P585" i="1"/>
  <c r="P644" i="1"/>
  <c r="P227" i="1"/>
  <c r="P90" i="1"/>
  <c r="P329" i="1"/>
  <c r="P362" i="1"/>
  <c r="P263" i="1"/>
  <c r="P394" i="1"/>
  <c r="P296" i="1"/>
  <c r="P554" i="1"/>
  <c r="P426" i="1"/>
  <c r="P490" i="1"/>
  <c r="P615" i="1"/>
  <c r="BI29" i="4"/>
  <c r="BH29" i="4"/>
  <c r="BG29" i="4"/>
  <c r="BF29" i="4"/>
  <c r="BE29" i="4"/>
  <c r="BC29" i="4"/>
  <c r="BB29" i="4"/>
  <c r="BA29" i="4"/>
  <c r="AZ29" i="4"/>
  <c r="AY29" i="4"/>
  <c r="AX29" i="4"/>
  <c r="AW29" i="4"/>
  <c r="AV29" i="4"/>
  <c r="AU29" i="4"/>
  <c r="AT29" i="4"/>
  <c r="AS29" i="4"/>
  <c r="AR29" i="4"/>
  <c r="AQ29" i="4"/>
  <c r="BI28" i="4"/>
  <c r="BH28" i="4"/>
  <c r="BG28" i="4"/>
  <c r="BF28" i="4"/>
  <c r="BE28" i="4"/>
  <c r="BC28" i="4"/>
  <c r="BB28" i="4"/>
  <c r="BA28" i="4"/>
  <c r="AZ28" i="4"/>
  <c r="AY28" i="4"/>
  <c r="AX28" i="4"/>
  <c r="AW28" i="4"/>
  <c r="AV28" i="4"/>
  <c r="AU28" i="4"/>
  <c r="AT28" i="4"/>
  <c r="AS28" i="4"/>
  <c r="AR28" i="4"/>
  <c r="AQ28" i="4"/>
  <c r="BQ23" i="4"/>
  <c r="BP23" i="4"/>
  <c r="BQ10" i="4"/>
  <c r="BP10" i="4"/>
  <c r="BQ21" i="4"/>
  <c r="BP21" i="4"/>
  <c r="BQ15" i="4"/>
  <c r="BP15" i="4"/>
  <c r="BQ18" i="4"/>
  <c r="BP18" i="4"/>
  <c r="BQ19" i="4"/>
  <c r="BP19" i="4"/>
  <c r="BQ26" i="4"/>
  <c r="BP26" i="4"/>
  <c r="BQ20" i="4"/>
  <c r="BP20" i="4"/>
  <c r="BQ5" i="4"/>
  <c r="BP5" i="4"/>
  <c r="BQ24" i="4"/>
  <c r="BP24" i="4"/>
  <c r="BQ6" i="4"/>
  <c r="BP6" i="4"/>
  <c r="BQ14" i="4"/>
  <c r="BP14" i="4"/>
  <c r="BQ8" i="4"/>
  <c r="BP8" i="4"/>
  <c r="BQ27" i="4"/>
  <c r="BP27" i="4"/>
  <c r="BQ9" i="4"/>
  <c r="BP9" i="4"/>
  <c r="BQ7" i="4"/>
  <c r="BP7" i="4"/>
  <c r="BQ11" i="4"/>
  <c r="BP11" i="4"/>
  <c r="BQ4" i="4"/>
  <c r="BP4" i="4"/>
  <c r="BQ16" i="4"/>
  <c r="BP16" i="4"/>
  <c r="BQ22" i="4"/>
  <c r="BP22" i="4"/>
  <c r="BQ13" i="4"/>
  <c r="BP13" i="4"/>
  <c r="BQ17" i="4"/>
  <c r="BP17" i="4"/>
  <c r="BQ12" i="4"/>
  <c r="BP12" i="4"/>
  <c r="BQ25" i="4"/>
  <c r="BP25" i="4"/>
  <c r="S29" i="4"/>
  <c r="R29" i="4"/>
  <c r="K29" i="4"/>
  <c r="J29" i="4"/>
  <c r="I29" i="4"/>
  <c r="H29" i="4"/>
  <c r="K2" i="1"/>
  <c r="AB2" i="1" s="1"/>
  <c r="U1" i="1"/>
  <c r="BI33" i="2"/>
  <c r="BH33" i="2"/>
  <c r="BG33" i="2"/>
  <c r="BF33" i="2"/>
  <c r="BE33" i="2"/>
  <c r="BC33" i="2"/>
  <c r="BB33" i="2"/>
  <c r="BA33" i="2"/>
  <c r="AZ33" i="2"/>
  <c r="AY33" i="2"/>
  <c r="AX33" i="2"/>
  <c r="AW33" i="2"/>
  <c r="AV33" i="2"/>
  <c r="AU33" i="2"/>
  <c r="AT33" i="2"/>
  <c r="AS33" i="2"/>
  <c r="AR33" i="2"/>
  <c r="AQ33" i="2"/>
  <c r="BI32" i="2"/>
  <c r="BH32" i="2"/>
  <c r="BG32" i="2"/>
  <c r="BF32" i="2"/>
  <c r="BE32" i="2"/>
  <c r="BC32" i="2"/>
  <c r="BB32" i="2"/>
  <c r="BA32" i="2"/>
  <c r="AZ32" i="2"/>
  <c r="AY32" i="2"/>
  <c r="AX32" i="2"/>
  <c r="AW32" i="2"/>
  <c r="AV32" i="2"/>
  <c r="AU32" i="2"/>
  <c r="AT32" i="2"/>
  <c r="AS32" i="2"/>
  <c r="AR32" i="2"/>
  <c r="AQ32" i="2"/>
  <c r="BQ6" i="2"/>
  <c r="BP6" i="2"/>
  <c r="BQ5" i="2"/>
  <c r="BP5" i="2"/>
  <c r="BQ23" i="2"/>
  <c r="BP23" i="2"/>
  <c r="BQ18" i="2"/>
  <c r="BP18" i="2"/>
  <c r="BQ15" i="2"/>
  <c r="BP15" i="2"/>
  <c r="BQ21" i="2"/>
  <c r="BP21" i="2"/>
  <c r="BQ13" i="2"/>
  <c r="BP13" i="2"/>
  <c r="BQ26" i="2"/>
  <c r="BP26" i="2"/>
  <c r="BQ16" i="2"/>
  <c r="BP16" i="2"/>
  <c r="BQ8" i="2"/>
  <c r="BP8" i="2"/>
  <c r="BQ14" i="2"/>
  <c r="BP14" i="2"/>
  <c r="BQ11" i="2"/>
  <c r="BP11" i="2"/>
  <c r="BQ4" i="2"/>
  <c r="BP4" i="2"/>
  <c r="BQ25" i="2"/>
  <c r="BP25" i="2"/>
  <c r="BQ30" i="2"/>
  <c r="BP30" i="2"/>
  <c r="BQ10" i="2"/>
  <c r="BP10" i="2"/>
  <c r="BQ17" i="2"/>
  <c r="BP17" i="2"/>
  <c r="BQ12" i="2"/>
  <c r="BP12" i="2"/>
  <c r="BQ19" i="2"/>
  <c r="BP19" i="2"/>
  <c r="BQ24" i="2"/>
  <c r="BP24" i="2"/>
  <c r="BQ31" i="2"/>
  <c r="BP31" i="2"/>
  <c r="BQ28" i="2"/>
  <c r="BP28" i="2"/>
  <c r="BQ22" i="2"/>
  <c r="BP22" i="2"/>
  <c r="BQ7" i="2"/>
  <c r="BP7" i="2"/>
  <c r="BQ29" i="2"/>
  <c r="BP29" i="2"/>
  <c r="BQ20" i="2"/>
  <c r="BP20" i="2"/>
  <c r="BQ9" i="2"/>
  <c r="BP9" i="2"/>
  <c r="BQ27" i="2"/>
  <c r="BP27" i="2"/>
  <c r="P33" i="2"/>
  <c r="L585" i="1"/>
  <c r="J584" i="1"/>
  <c r="J583" i="1"/>
  <c r="J582" i="1"/>
  <c r="J580" i="1"/>
  <c r="J579" i="1"/>
  <c r="J578" i="1"/>
  <c r="J577" i="1"/>
  <c r="J576" i="1"/>
  <c r="AA575" i="1"/>
  <c r="J575" i="1"/>
  <c r="AA574" i="1"/>
  <c r="J574" i="1"/>
  <c r="AA573" i="1"/>
  <c r="J573" i="1"/>
  <c r="AA572" i="1"/>
  <c r="AA571" i="1"/>
  <c r="U568" i="1"/>
  <c r="AB568" i="1"/>
  <c r="U567" i="1"/>
  <c r="L554" i="1"/>
  <c r="J553" i="1"/>
  <c r="J552" i="1"/>
  <c r="J551" i="1"/>
  <c r="J549" i="1"/>
  <c r="J548" i="1"/>
  <c r="J547" i="1"/>
  <c r="J546" i="1"/>
  <c r="J545" i="1"/>
  <c r="AA544" i="1"/>
  <c r="J544" i="1"/>
  <c r="AA543" i="1"/>
  <c r="J543" i="1"/>
  <c r="AA542" i="1"/>
  <c r="J542" i="1"/>
  <c r="AA541" i="1"/>
  <c r="AA540" i="1"/>
  <c r="U537" i="1"/>
  <c r="AB537" i="1"/>
  <c r="U536" i="1"/>
  <c r="L522" i="1"/>
  <c r="J521" i="1"/>
  <c r="J520" i="1"/>
  <c r="J519" i="1"/>
  <c r="J526" i="1"/>
  <c r="J517" i="1"/>
  <c r="J516" i="1"/>
  <c r="J530" i="1"/>
  <c r="J513" i="1"/>
  <c r="AA512" i="1"/>
  <c r="J512" i="1"/>
  <c r="AA511" i="1"/>
  <c r="J511" i="1"/>
  <c r="AA510" i="1"/>
  <c r="J510" i="1"/>
  <c r="AA509" i="1"/>
  <c r="J529" i="1"/>
  <c r="U505" i="1"/>
  <c r="AB505" i="1"/>
  <c r="U504" i="1"/>
  <c r="L490" i="1"/>
  <c r="J489" i="1"/>
  <c r="J488" i="1"/>
  <c r="J487" i="1"/>
  <c r="J486" i="1"/>
  <c r="J485" i="1"/>
  <c r="J484" i="1"/>
  <c r="J483" i="1"/>
  <c r="J482" i="1"/>
  <c r="J481" i="1"/>
  <c r="AA480" i="1"/>
  <c r="J480" i="1"/>
  <c r="AA479" i="1"/>
  <c r="J479" i="1"/>
  <c r="AA478" i="1"/>
  <c r="J478" i="1"/>
  <c r="AA477" i="1"/>
  <c r="J497" i="1"/>
  <c r="U473" i="1"/>
  <c r="AB473" i="1"/>
  <c r="U472" i="1"/>
  <c r="P458" i="1"/>
  <c r="L458" i="1"/>
  <c r="J457" i="1"/>
  <c r="J456" i="1"/>
  <c r="J455" i="1"/>
  <c r="J454" i="1"/>
  <c r="J453" i="1"/>
  <c r="J452" i="1"/>
  <c r="J451" i="1"/>
  <c r="J449" i="1"/>
  <c r="AA448" i="1"/>
  <c r="J448" i="1"/>
  <c r="AA447" i="1"/>
  <c r="J447" i="1"/>
  <c r="AA446" i="1"/>
  <c r="J446" i="1"/>
  <c r="AA445" i="1"/>
  <c r="AA444" i="1"/>
  <c r="U441" i="1"/>
  <c r="AB441" i="1"/>
  <c r="U440" i="1"/>
  <c r="L426" i="1"/>
  <c r="J425" i="1"/>
  <c r="J424" i="1"/>
  <c r="J423" i="1"/>
  <c r="J421" i="1"/>
  <c r="J420" i="1"/>
  <c r="J418" i="1"/>
  <c r="J417" i="1"/>
  <c r="AA416" i="1"/>
  <c r="J416" i="1"/>
  <c r="AA415" i="1"/>
  <c r="J415" i="1"/>
  <c r="AA414" i="1"/>
  <c r="J414" i="1"/>
  <c r="AA413" i="1"/>
  <c r="J433" i="1"/>
  <c r="U409" i="1"/>
  <c r="AB409" i="1"/>
  <c r="U408" i="1"/>
  <c r="L394" i="1"/>
  <c r="J393" i="1"/>
  <c r="J392" i="1"/>
  <c r="J391" i="1"/>
  <c r="J398" i="1"/>
  <c r="J389" i="1"/>
  <c r="J388" i="1"/>
  <c r="J402" i="1"/>
  <c r="J385" i="1"/>
  <c r="AA384" i="1"/>
  <c r="J384" i="1"/>
  <c r="AA383" i="1"/>
  <c r="J383" i="1"/>
  <c r="AA382" i="1"/>
  <c r="J382" i="1"/>
  <c r="AA381" i="1"/>
  <c r="U377" i="1"/>
  <c r="AB377" i="1"/>
  <c r="U376" i="1"/>
  <c r="L362" i="1"/>
  <c r="J361" i="1"/>
  <c r="J360" i="1"/>
  <c r="J359" i="1"/>
  <c r="J357" i="1"/>
  <c r="J356" i="1"/>
  <c r="J370" i="1"/>
  <c r="J354" i="1"/>
  <c r="J352" i="1"/>
  <c r="J351" i="1"/>
  <c r="AA350" i="1"/>
  <c r="J350" i="1"/>
  <c r="AA349" i="1"/>
  <c r="J349" i="1"/>
  <c r="AA348" i="1"/>
  <c r="AA347" i="1"/>
  <c r="U344" i="1"/>
  <c r="AB344" i="1"/>
  <c r="U343" i="1"/>
  <c r="L329" i="1"/>
  <c r="J328" i="1"/>
  <c r="J327" i="1"/>
  <c r="J326" i="1"/>
  <c r="J323" i="1"/>
  <c r="J322" i="1"/>
  <c r="J321" i="1"/>
  <c r="J320" i="1"/>
  <c r="J319" i="1"/>
  <c r="J318" i="1"/>
  <c r="AA317" i="1"/>
  <c r="J317" i="1"/>
  <c r="AA316" i="1"/>
  <c r="J316" i="1"/>
  <c r="AA315" i="1"/>
  <c r="U311" i="1"/>
  <c r="AB311" i="1"/>
  <c r="U310" i="1"/>
  <c r="L296" i="1"/>
  <c r="J295" i="1"/>
  <c r="J294" i="1"/>
  <c r="J293" i="1"/>
  <c r="J292" i="1"/>
  <c r="J291" i="1"/>
  <c r="J290" i="1"/>
  <c r="J288" i="1"/>
  <c r="J286" i="1"/>
  <c r="J285" i="1"/>
  <c r="AA284" i="1"/>
  <c r="J284" i="1"/>
  <c r="AA283" i="1"/>
  <c r="J283" i="1"/>
  <c r="AA282" i="1"/>
  <c r="J301" i="1"/>
  <c r="U278" i="1"/>
  <c r="AB278" i="1"/>
  <c r="U277" i="1"/>
  <c r="L263" i="1"/>
  <c r="J262" i="1"/>
  <c r="J261" i="1"/>
  <c r="J260" i="1"/>
  <c r="J256" i="1"/>
  <c r="J266" i="1"/>
  <c r="J254" i="1"/>
  <c r="J253" i="1"/>
  <c r="J252" i="1"/>
  <c r="J271" i="1"/>
  <c r="J250" i="1"/>
  <c r="J249" i="1"/>
  <c r="J248" i="1"/>
  <c r="AA247" i="1"/>
  <c r="J247" i="1"/>
  <c r="AA246" i="1"/>
  <c r="J268" i="1"/>
  <c r="U242" i="1"/>
  <c r="AB242" i="1"/>
  <c r="U241" i="1"/>
  <c r="L227" i="1"/>
  <c r="U206" i="1"/>
  <c r="AB206" i="1"/>
  <c r="U205" i="1"/>
  <c r="L191" i="1"/>
  <c r="J190" i="1"/>
  <c r="J189" i="1"/>
  <c r="J188" i="1"/>
  <c r="J187" i="1"/>
  <c r="J186" i="1"/>
  <c r="J199" i="1"/>
  <c r="J184" i="1"/>
  <c r="J183" i="1"/>
  <c r="J181" i="1"/>
  <c r="J180" i="1"/>
  <c r="J179" i="1"/>
  <c r="J178" i="1"/>
  <c r="AA177" i="1"/>
  <c r="J177" i="1"/>
  <c r="AA176" i="1"/>
  <c r="J176" i="1"/>
  <c r="AA175" i="1"/>
  <c r="J175" i="1"/>
  <c r="AA174" i="1"/>
  <c r="AA173" i="1"/>
  <c r="U170" i="1"/>
  <c r="AB170" i="1"/>
  <c r="U169" i="1"/>
  <c r="L155" i="1"/>
  <c r="J154" i="1"/>
  <c r="J153" i="1"/>
  <c r="J152" i="1"/>
  <c r="J151" i="1"/>
  <c r="J150" i="1"/>
  <c r="J149" i="1"/>
  <c r="J147" i="1"/>
  <c r="J146" i="1"/>
  <c r="J145" i="1"/>
  <c r="J143" i="1"/>
  <c r="J142" i="1"/>
  <c r="AA141" i="1"/>
  <c r="J141" i="1"/>
  <c r="AA140" i="1"/>
  <c r="J140" i="1"/>
  <c r="AA139" i="1"/>
  <c r="U135" i="1"/>
  <c r="AB135" i="1"/>
  <c r="U134" i="1"/>
  <c r="L122" i="1"/>
  <c r="J121" i="1"/>
  <c r="J120" i="1"/>
  <c r="J119" i="1"/>
  <c r="J118" i="1"/>
  <c r="J117" i="1"/>
  <c r="J116" i="1"/>
  <c r="J113" i="1"/>
  <c r="J112" i="1"/>
  <c r="J111" i="1"/>
  <c r="J110" i="1"/>
  <c r="AA109" i="1"/>
  <c r="J109" i="1"/>
  <c r="AA108" i="1"/>
  <c r="J108" i="1"/>
  <c r="AA107" i="1"/>
  <c r="J107" i="1"/>
  <c r="AA106" i="1"/>
  <c r="AA105" i="1"/>
  <c r="U102" i="1"/>
  <c r="AB102" i="1"/>
  <c r="U101" i="1"/>
  <c r="L90" i="1"/>
  <c r="J89" i="1"/>
  <c r="J88" i="1"/>
  <c r="J87" i="1"/>
  <c r="J86" i="1"/>
  <c r="J84" i="1"/>
  <c r="J81" i="1"/>
  <c r="J80" i="1"/>
  <c r="J79" i="1"/>
  <c r="J78" i="1"/>
  <c r="J77" i="1"/>
  <c r="J76" i="1"/>
  <c r="AA75" i="1"/>
  <c r="J75" i="1"/>
  <c r="AA74" i="1"/>
  <c r="AA73" i="1"/>
  <c r="AI70" i="1"/>
  <c r="U70" i="1"/>
  <c r="AB70" i="1"/>
  <c r="U69" i="1"/>
  <c r="K58" i="1"/>
  <c r="L57" i="1"/>
  <c r="J53" i="1"/>
  <c r="J52" i="1"/>
  <c r="J50" i="1"/>
  <c r="J49" i="1"/>
  <c r="J48" i="1"/>
  <c r="J47" i="1"/>
  <c r="J46" i="1"/>
  <c r="J45" i="1"/>
  <c r="J44" i="1"/>
  <c r="AA43" i="1"/>
  <c r="J43" i="1"/>
  <c r="AA42" i="1"/>
  <c r="J42" i="1"/>
  <c r="AA41" i="1"/>
  <c r="J41" i="1"/>
  <c r="AA40" i="1"/>
  <c r="AA39" i="1"/>
  <c r="AI36" i="1"/>
  <c r="U36" i="1"/>
  <c r="AB36" i="1"/>
  <c r="L23" i="1"/>
  <c r="J20" i="1"/>
  <c r="J19" i="1"/>
  <c r="J18" i="1"/>
  <c r="J16" i="1"/>
  <c r="J15" i="1"/>
  <c r="J13" i="1"/>
  <c r="J12" i="1"/>
  <c r="J11" i="1"/>
  <c r="J10" i="1"/>
  <c r="J9" i="1"/>
  <c r="J8" i="1"/>
  <c r="AA7" i="1"/>
  <c r="AA6" i="1"/>
  <c r="AA5" i="1"/>
  <c r="AI2" i="1"/>
  <c r="U2" i="1"/>
  <c r="D29" i="4" l="1"/>
  <c r="L29" i="4"/>
  <c r="T29" i="4"/>
  <c r="P29" i="4"/>
  <c r="J114" i="1"/>
  <c r="J85" i="1"/>
  <c r="BQ28" i="4"/>
  <c r="E28" i="4"/>
  <c r="M28" i="4"/>
  <c r="U29" i="4"/>
  <c r="F28" i="4"/>
  <c r="N29" i="4"/>
  <c r="E29" i="4"/>
  <c r="G28" i="4"/>
  <c r="O28" i="4"/>
  <c r="M29" i="4"/>
  <c r="BQ29" i="4"/>
  <c r="N28" i="4"/>
  <c r="H28" i="4"/>
  <c r="P28" i="4"/>
  <c r="G29" i="4"/>
  <c r="O29" i="4"/>
  <c r="F29" i="4"/>
  <c r="I28" i="4"/>
  <c r="R28" i="4"/>
  <c r="J28" i="4"/>
  <c r="S28" i="4"/>
  <c r="BP28" i="4"/>
  <c r="K28" i="4"/>
  <c r="T28" i="4"/>
  <c r="BP29" i="4"/>
  <c r="D28" i="4"/>
  <c r="L28" i="4"/>
  <c r="U28" i="4"/>
  <c r="H32" i="2"/>
  <c r="R33" i="2"/>
  <c r="J33" i="2"/>
  <c r="S33" i="2"/>
  <c r="I33" i="2"/>
  <c r="K33" i="2"/>
  <c r="T33" i="2"/>
  <c r="N33" i="2"/>
  <c r="F33" i="2"/>
  <c r="G33" i="2"/>
  <c r="O33" i="2"/>
  <c r="L33" i="2"/>
  <c r="F32" i="2"/>
  <c r="N32" i="2"/>
  <c r="BQ33" i="2"/>
  <c r="E33" i="2"/>
  <c r="G32" i="2"/>
  <c r="O32" i="2"/>
  <c r="BQ32" i="2"/>
  <c r="P32" i="2"/>
  <c r="I32" i="2"/>
  <c r="J32" i="2"/>
  <c r="S32" i="2"/>
  <c r="H33" i="2"/>
  <c r="R32" i="2"/>
  <c r="K32" i="2"/>
  <c r="T32" i="2"/>
  <c r="BP32" i="2"/>
  <c r="D32" i="2"/>
  <c r="L32" i="2"/>
  <c r="E32" i="2"/>
  <c r="BP33" i="2"/>
  <c r="J21" i="1"/>
  <c r="D33" i="2"/>
  <c r="J185" i="1"/>
  <c r="J465" i="1"/>
  <c r="J366" i="1"/>
  <c r="J429" i="1"/>
  <c r="J115" i="1"/>
  <c r="J255" i="1"/>
  <c r="AA314" i="1"/>
  <c r="AA508" i="1"/>
  <c r="J195" i="1"/>
  <c r="J299" i="1"/>
  <c r="J493" i="1"/>
  <c r="J14" i="1"/>
  <c r="J196" i="1"/>
  <c r="AA281" i="1"/>
  <c r="J51" i="1"/>
  <c r="J144" i="1"/>
  <c r="J267" i="1"/>
  <c r="AA245" i="1"/>
  <c r="J7" i="1"/>
  <c r="J369" i="1"/>
  <c r="J466" i="1"/>
  <c r="J422" i="1"/>
  <c r="J430" i="1"/>
  <c r="J17" i="1"/>
  <c r="J32" i="1"/>
  <c r="J148" i="1"/>
  <c r="J289" i="1"/>
  <c r="J300" i="1"/>
  <c r="AA138" i="1"/>
  <c r="J82" i="1"/>
  <c r="J386" i="1"/>
  <c r="J419" i="1"/>
  <c r="J434" i="1"/>
  <c r="J83" i="1"/>
  <c r="J194" i="1"/>
  <c r="J304" i="1"/>
  <c r="J287" i="1"/>
  <c r="AA380" i="1"/>
  <c r="J401" i="1"/>
  <c r="H531" i="1"/>
  <c r="J531" i="1" s="1"/>
  <c r="H532" i="1"/>
  <c r="J532" i="1" s="1"/>
  <c r="J525" i="1"/>
  <c r="J365" i="1"/>
  <c r="J182" i="1"/>
  <c r="J251" i="1"/>
  <c r="J353" i="1"/>
  <c r="J387" i="1"/>
  <c r="J390" i="1"/>
  <c r="AA412" i="1"/>
  <c r="J462" i="1"/>
  <c r="AA476" i="1"/>
  <c r="J498" i="1"/>
  <c r="J515" i="1"/>
  <c r="J518" i="1"/>
  <c r="J324" i="1"/>
  <c r="J355" i="1"/>
  <c r="J450" i="1"/>
  <c r="J514" i="1"/>
  <c r="J22" i="1" l="1"/>
  <c r="J56" i="1"/>
  <c r="J55" i="1"/>
  <c r="AE17" i="4"/>
  <c r="AE15" i="4"/>
  <c r="H435" i="1"/>
  <c r="J435" i="1" s="1"/>
  <c r="H371" i="1"/>
  <c r="J371" i="1" s="1"/>
  <c r="H164" i="1"/>
  <c r="J164" i="1" s="1"/>
  <c r="H372" i="1"/>
  <c r="J372" i="1" s="1"/>
  <c r="BR28" i="4"/>
  <c r="AC29" i="4"/>
  <c r="AE29" i="4" s="1"/>
  <c r="BR22" i="4"/>
  <c r="AE11" i="4"/>
  <c r="BR23" i="4"/>
  <c r="BR9" i="4"/>
  <c r="AE9" i="4"/>
  <c r="BR24" i="4"/>
  <c r="BR21" i="4"/>
  <c r="BR11" i="4"/>
  <c r="BR19" i="4"/>
  <c r="AE13" i="4"/>
  <c r="AE14" i="4"/>
  <c r="BR18" i="4"/>
  <c r="BR16" i="4"/>
  <c r="AE20" i="4"/>
  <c r="BR6" i="4"/>
  <c r="AE4" i="4"/>
  <c r="BR26" i="4"/>
  <c r="BR13" i="4"/>
  <c r="BR14" i="4"/>
  <c r="AE8" i="4"/>
  <c r="AE23" i="4"/>
  <c r="BR12" i="4"/>
  <c r="AE12" i="4"/>
  <c r="AE26" i="4"/>
  <c r="AE24" i="4"/>
  <c r="BR7" i="4"/>
  <c r="AE21" i="4"/>
  <c r="AD29" i="4"/>
  <c r="BR17" i="4"/>
  <c r="BR5" i="4"/>
  <c r="BR20" i="4"/>
  <c r="BR10" i="4"/>
  <c r="BR4" i="4"/>
  <c r="AE18" i="4"/>
  <c r="AE27" i="4"/>
  <c r="AE19" i="4"/>
  <c r="AE16" i="4"/>
  <c r="AE5" i="4"/>
  <c r="BR27" i="4"/>
  <c r="AE10" i="4"/>
  <c r="AC28" i="4"/>
  <c r="AE28" i="4" s="1"/>
  <c r="AD28" i="4"/>
  <c r="BR29" i="4"/>
  <c r="AE25" i="4"/>
  <c r="AE22" i="4"/>
  <c r="AE6" i="4"/>
  <c r="BR8" i="4"/>
  <c r="AE7" i="4"/>
  <c r="BR15" i="4"/>
  <c r="BR25" i="4"/>
  <c r="BR21" i="2"/>
  <c r="BR9" i="2"/>
  <c r="BR17" i="2"/>
  <c r="BR26" i="2"/>
  <c r="BR20" i="2"/>
  <c r="BR15" i="2"/>
  <c r="BR31" i="2"/>
  <c r="BR18" i="2"/>
  <c r="AD32" i="2"/>
  <c r="AC32" i="2"/>
  <c r="BR8" i="2"/>
  <c r="BR27" i="2"/>
  <c r="BR13" i="2"/>
  <c r="BR22" i="2"/>
  <c r="BR7" i="2"/>
  <c r="BR32" i="2"/>
  <c r="BR11" i="2"/>
  <c r="BR16" i="2"/>
  <c r="BR29" i="2"/>
  <c r="BR6" i="2"/>
  <c r="BR33" i="2"/>
  <c r="BR12" i="2"/>
  <c r="BR25" i="2"/>
  <c r="BR14" i="2"/>
  <c r="BR19" i="2"/>
  <c r="BR10" i="2"/>
  <c r="BR4" i="2"/>
  <c r="AC33" i="2"/>
  <c r="AD33" i="2"/>
  <c r="BR28" i="2"/>
  <c r="BR23" i="2"/>
  <c r="AE27" i="2"/>
  <c r="BR5" i="2"/>
  <c r="BR24" i="2"/>
  <c r="BR30" i="2"/>
  <c r="H436" i="1"/>
  <c r="J436" i="1" s="1"/>
  <c r="H165" i="1"/>
  <c r="J165" i="1" s="1"/>
  <c r="H132" i="1"/>
  <c r="J132" i="1" s="1"/>
  <c r="H338" i="1"/>
  <c r="J338" i="1" s="1"/>
  <c r="H339" i="1"/>
  <c r="J339" i="1" s="1"/>
  <c r="H272" i="1"/>
  <c r="J272" i="1" s="1"/>
  <c r="H131" i="1"/>
  <c r="J131" i="1" s="1"/>
  <c r="H273" i="1"/>
  <c r="J273" i="1" s="1"/>
  <c r="J305" i="1"/>
  <c r="H201" i="1"/>
  <c r="J201" i="1" s="1"/>
  <c r="H200" i="1"/>
  <c r="J200" i="1" s="1"/>
  <c r="H306" i="1"/>
  <c r="J306" i="1" s="1"/>
  <c r="H67" i="1"/>
  <c r="J67" i="1" s="1"/>
  <c r="J467" i="1"/>
  <c r="H100" i="1"/>
  <c r="J100" i="1" s="1"/>
  <c r="H99" i="1"/>
  <c r="J99" i="1" s="1"/>
  <c r="H237" i="1"/>
  <c r="J237" i="1" s="1"/>
  <c r="H500" i="1"/>
  <c r="J500" i="1" s="1"/>
  <c r="H66" i="1"/>
  <c r="J66" i="1" s="1"/>
  <c r="H404" i="1"/>
  <c r="J404" i="1" s="1"/>
  <c r="J397" i="1"/>
  <c r="J403" i="1"/>
  <c r="H33" i="1"/>
  <c r="J33" i="1" s="1"/>
  <c r="J496" i="1"/>
  <c r="H499" i="1"/>
  <c r="J499" i="1" s="1"/>
  <c r="J468" i="1"/>
  <c r="P23" i="1" l="1"/>
  <c r="P5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<sst xmlns="http://schemas.openxmlformats.org/spreadsheetml/2006/main" count="7258" uniqueCount="812">
  <si>
    <t>Nama</t>
  </si>
  <si>
    <t>:</t>
  </si>
  <si>
    <t>Kelas</t>
  </si>
  <si>
    <t>NIS :</t>
  </si>
  <si>
    <t>Tahun</t>
  </si>
  <si>
    <t>BIDANG STUDI</t>
  </si>
  <si>
    <t>NILAI</t>
  </si>
  <si>
    <t>الدرجات</t>
  </si>
  <si>
    <t>المواد الدراسية</t>
  </si>
  <si>
    <t>Urutan</t>
  </si>
  <si>
    <t>Semester</t>
  </si>
  <si>
    <t>اختبار الدور</t>
  </si>
  <si>
    <t>(Hafalan)</t>
  </si>
  <si>
    <t>(قسم الحفظي)</t>
  </si>
  <si>
    <t>Nahwu</t>
  </si>
  <si>
    <t>النحو</t>
  </si>
  <si>
    <t>(Tulisan)</t>
  </si>
  <si>
    <t>(قسم التحريري)</t>
  </si>
  <si>
    <t xml:space="preserve">Hadits </t>
  </si>
  <si>
    <t>التفسير</t>
  </si>
  <si>
    <t>Tafsir</t>
  </si>
  <si>
    <t>البلاغة</t>
  </si>
  <si>
    <t>Hadits</t>
  </si>
  <si>
    <t>الحديث</t>
  </si>
  <si>
    <t>Ulumut Tafsir</t>
  </si>
  <si>
    <t>علوم التفسير</t>
  </si>
  <si>
    <t>Musthalah al-Hadits</t>
  </si>
  <si>
    <t>مصطلح الحديث</t>
  </si>
  <si>
    <t>Dorongan/Saran/Peringatan</t>
  </si>
  <si>
    <t>Tanda Tangan</t>
  </si>
  <si>
    <t>Sirah Nabawiyyah</t>
  </si>
  <si>
    <t>السيرة النبوية</t>
  </si>
  <si>
    <t>1. Kelakuan</t>
  </si>
  <si>
    <t>Wali Kelas</t>
  </si>
  <si>
    <t>Fiqih</t>
  </si>
  <si>
    <t>الفقه</t>
  </si>
  <si>
    <t>2. Kerajinan</t>
  </si>
  <si>
    <t>Ushul Fiqih</t>
  </si>
  <si>
    <t>أصول الفقه</t>
  </si>
  <si>
    <t>3. Kecakapan</t>
  </si>
  <si>
    <t>Ilmu Faraidh</t>
  </si>
  <si>
    <t>علم الفرائض</t>
  </si>
  <si>
    <t xml:space="preserve">TIDAK MASUK </t>
  </si>
  <si>
    <t>KARENA :</t>
  </si>
  <si>
    <t>Wali Santri</t>
  </si>
  <si>
    <t>Sharaf</t>
  </si>
  <si>
    <t>الصرف</t>
  </si>
  <si>
    <t>1. Sakit</t>
  </si>
  <si>
    <t>pel</t>
  </si>
  <si>
    <t>Tashawuf</t>
  </si>
  <si>
    <t>التصوف</t>
  </si>
  <si>
    <t>2. Idzin</t>
  </si>
  <si>
    <t>Balaghah</t>
  </si>
  <si>
    <t>3. Alpha</t>
  </si>
  <si>
    <t>(                                    )</t>
  </si>
  <si>
    <t>Tauhid</t>
  </si>
  <si>
    <t>التوحيد</t>
  </si>
  <si>
    <t xml:space="preserve">  </t>
  </si>
  <si>
    <t>Mantiq</t>
  </si>
  <si>
    <t>المنطق</t>
  </si>
  <si>
    <t>Mengetahui,</t>
  </si>
  <si>
    <t>Kepala Bagian</t>
  </si>
  <si>
    <t>JUMLAH NILAI</t>
  </si>
  <si>
    <t>مجموع النتائج</t>
  </si>
  <si>
    <t>Pendidikan Kepesantrenan</t>
  </si>
  <si>
    <t>NILAI RATA-RATA</t>
  </si>
  <si>
    <t>المعدلة</t>
  </si>
  <si>
    <t>RANGKING KE</t>
  </si>
  <si>
    <t>-</t>
  </si>
  <si>
    <t>DARI</t>
  </si>
  <si>
    <t xml:space="preserve"> </t>
  </si>
  <si>
    <t>من ال</t>
  </si>
  <si>
    <t>الدرجة 1 من ال 32</t>
  </si>
  <si>
    <t>TETAP DI / NAIK KE KELAS :</t>
  </si>
  <si>
    <t>راسبة في/منقل إلى :</t>
  </si>
  <si>
    <t>MATA PELAJARAN UMUM</t>
  </si>
  <si>
    <r>
      <t>( Ustadz Muhammad Sabit</t>
    </r>
    <r>
      <rPr>
        <sz val="12"/>
        <color theme="1"/>
        <rFont val="Arial"/>
        <family val="2"/>
      </rPr>
      <t xml:space="preserve"> </t>
    </r>
    <r>
      <rPr>
        <b/>
        <sz val="12"/>
        <color theme="1"/>
        <rFont val="Arial"/>
        <family val="2"/>
      </rPr>
      <t>)</t>
    </r>
  </si>
  <si>
    <t>Matematika</t>
  </si>
  <si>
    <t>الرياضيات</t>
  </si>
  <si>
    <t>Bahasa Indonesia</t>
  </si>
  <si>
    <t>الإندونيسية</t>
  </si>
  <si>
    <t>Ilmu Pengetahuan Alam</t>
  </si>
  <si>
    <t>علم الطبيعة</t>
  </si>
  <si>
    <t>Kewarganegaraan</t>
  </si>
  <si>
    <t>الوطنية</t>
  </si>
  <si>
    <t>Mustolah Hadits</t>
  </si>
  <si>
    <t>مصطلاح الحديث</t>
  </si>
  <si>
    <t>Balaqhoh</t>
  </si>
  <si>
    <t>Mu'allim Ahmad</t>
  </si>
  <si>
    <t>5-B</t>
  </si>
  <si>
    <t>4-A</t>
  </si>
  <si>
    <t>Faroid</t>
  </si>
  <si>
    <t>الفرائض</t>
  </si>
  <si>
    <t>Usul Fiqih</t>
  </si>
  <si>
    <t>اصول الفقه</t>
  </si>
  <si>
    <r>
      <t>(</t>
    </r>
    <r>
      <rPr>
        <b/>
        <u/>
        <sz val="12"/>
        <color theme="1"/>
        <rFont val="Arial"/>
        <family val="2"/>
      </rPr>
      <t xml:space="preserve">                              </t>
    </r>
    <r>
      <rPr>
        <b/>
        <sz val="12"/>
        <color theme="1"/>
        <rFont val="Arial"/>
        <family val="2"/>
      </rPr>
      <t>)</t>
    </r>
  </si>
  <si>
    <t>Arobiyyah</t>
  </si>
  <si>
    <t>العربية</t>
  </si>
  <si>
    <t>4-B</t>
  </si>
  <si>
    <t>Mu'allim Hambali</t>
  </si>
  <si>
    <t>hari</t>
  </si>
  <si>
    <t>4-C</t>
  </si>
  <si>
    <t>3-A</t>
  </si>
  <si>
    <t>Al-Qur'an</t>
  </si>
  <si>
    <t>القرأن</t>
  </si>
  <si>
    <t>Bahasa Arab</t>
  </si>
  <si>
    <t>اللغة العربية</t>
  </si>
  <si>
    <t>Mu'allim Yaasin</t>
  </si>
  <si>
    <t>Ilmu Hisab</t>
  </si>
  <si>
    <t>علم الحساب</t>
  </si>
  <si>
    <t>Tibyan</t>
  </si>
  <si>
    <t>Imla</t>
  </si>
  <si>
    <t>الإملاء</t>
  </si>
  <si>
    <t>3-B</t>
  </si>
  <si>
    <t>Mu'allim Muwaffaq</t>
  </si>
  <si>
    <t>3-C</t>
  </si>
  <si>
    <t>البيان</t>
  </si>
  <si>
    <t>2-A</t>
  </si>
  <si>
    <t>Tajwid</t>
  </si>
  <si>
    <t>التجويد</t>
  </si>
  <si>
    <t>Shorof</t>
  </si>
  <si>
    <t xml:space="preserve">Fiqih </t>
  </si>
  <si>
    <t>Mu'allim Cahya</t>
  </si>
  <si>
    <t>2-B</t>
  </si>
  <si>
    <t>Mu'allim Wail Akhyar</t>
  </si>
  <si>
    <t>2-C</t>
  </si>
  <si>
    <t>Akhlaq</t>
  </si>
  <si>
    <t>الأخلاق</t>
  </si>
  <si>
    <t>Imla'</t>
  </si>
  <si>
    <t>Mu'allim Abdul Muhyi</t>
  </si>
  <si>
    <t>1-A</t>
  </si>
  <si>
    <t>Mu'allim Salahudien</t>
  </si>
  <si>
    <t>1-B</t>
  </si>
  <si>
    <t>Mu'allim Jamaluddin</t>
  </si>
  <si>
    <t>1-C</t>
  </si>
  <si>
    <t>Mu'allim Abdurrozaq</t>
  </si>
  <si>
    <t>Tamhidi A</t>
  </si>
  <si>
    <t xml:space="preserve">Al-Qur'an </t>
  </si>
  <si>
    <t>القران</t>
  </si>
  <si>
    <t>Do'a-Do'a</t>
  </si>
  <si>
    <t>الأدعية</t>
  </si>
  <si>
    <t>Mufrodat</t>
  </si>
  <si>
    <t>المفردات</t>
  </si>
  <si>
    <t>Nadzoman</t>
  </si>
  <si>
    <t>المنظومات</t>
  </si>
  <si>
    <t>Mu'allim Jalaluddin</t>
  </si>
  <si>
    <t>Tamhidi B</t>
  </si>
  <si>
    <t>Ilmu Pengetahuan Sosial</t>
  </si>
  <si>
    <t>Bahasa Inggris</t>
  </si>
  <si>
    <t>الإنجليزية</t>
  </si>
  <si>
    <t>Kelas 5A</t>
  </si>
  <si>
    <t>No.</t>
  </si>
  <si>
    <t>NIS</t>
  </si>
  <si>
    <t>Tulisan</t>
  </si>
  <si>
    <t>Lisan</t>
  </si>
  <si>
    <t>Jumlah</t>
  </si>
  <si>
    <t>Rata Rata</t>
  </si>
  <si>
    <t>Rangking</t>
  </si>
  <si>
    <t>Kelakuan</t>
  </si>
  <si>
    <t>Kerajinan</t>
  </si>
  <si>
    <t>Kecakapan</t>
  </si>
  <si>
    <t>Sakit</t>
  </si>
  <si>
    <t xml:space="preserve">Idzin </t>
  </si>
  <si>
    <t>Alpha</t>
  </si>
  <si>
    <t>Kehadiran</t>
  </si>
  <si>
    <t>Ulumu Tafsir</t>
  </si>
  <si>
    <t>Mustholah Hadits</t>
  </si>
  <si>
    <t>Siroh</t>
  </si>
  <si>
    <t>Fiqh</t>
  </si>
  <si>
    <t>Ushul Fiqh</t>
  </si>
  <si>
    <t>Faroidl</t>
  </si>
  <si>
    <t>Tashowwuf</t>
  </si>
  <si>
    <t>Balaghoh</t>
  </si>
  <si>
    <t>Muhammad Haykal Baihaqi</t>
  </si>
  <si>
    <t>Nazriel Rochmandani Zaydan SS</t>
  </si>
  <si>
    <t>Muhamad Akhdan Hazimul Fikri</t>
  </si>
  <si>
    <t>Mochammad Riki Kurniawan</t>
  </si>
  <si>
    <t>Wildan Raflyansyah</t>
  </si>
  <si>
    <t>Muhammad Rifki Fauzan</t>
  </si>
  <si>
    <t>Abdul Mughits Hidayatulloh</t>
  </si>
  <si>
    <t>Muhammad Rofiyudin</t>
  </si>
  <si>
    <t>Mildan Syafrudin Hamid</t>
  </si>
  <si>
    <t>Muhammad Jaenal Abidin</t>
  </si>
  <si>
    <t xml:space="preserve">Muhammad Yusuf </t>
  </si>
  <si>
    <t>Solahudin Fauzia Rahman</t>
  </si>
  <si>
    <t>Aldi Kamaluddin</t>
  </si>
  <si>
    <t>Fakhrudin Zafar Sauki</t>
  </si>
  <si>
    <t>Aldi Ramdani</t>
  </si>
  <si>
    <t xml:space="preserve">Muhammad Yazid Abdul Qodir </t>
  </si>
  <si>
    <t>Adi Irawan</t>
  </si>
  <si>
    <t>Fahir Fauzan Mudoffar</t>
  </si>
  <si>
    <t>Muhammad Hafizh Abdul Qodir</t>
  </si>
  <si>
    <t>Nafis Ahmad Musthofa</t>
  </si>
  <si>
    <t>Paisal Wahyudin</t>
  </si>
  <si>
    <t>c</t>
  </si>
  <si>
    <t>Muhammad Ibad Mukrom</t>
  </si>
  <si>
    <t>Aditia Firmansyah</t>
  </si>
  <si>
    <t>Rendi Setiawan</t>
  </si>
  <si>
    <t>Muhammad Dhafa Rizky Fauzi</t>
  </si>
  <si>
    <t>Abdul Azis</t>
  </si>
  <si>
    <t>M Sahla Fahlevi Rafsanjani</t>
  </si>
  <si>
    <t>Alieffa Nur Hakiim</t>
  </si>
  <si>
    <t>Jumlah Nilai</t>
  </si>
  <si>
    <t>Rata - rata Kelas</t>
  </si>
  <si>
    <t>Keterangan :</t>
  </si>
  <si>
    <t>Tidak naik kelas karena nilai</t>
  </si>
  <si>
    <t>Tidak naik kelas karena kasus</t>
  </si>
  <si>
    <t>Tidak naik kelas karena nilai &amp; kasus</t>
  </si>
  <si>
    <t>Naik Bersyarat (kalo melakukan lagi pelanggaran maka otomatis tahun itu tidak akan naik kelas)</t>
  </si>
  <si>
    <t xml:space="preserve">Nahwu </t>
  </si>
  <si>
    <t>M Hadist</t>
  </si>
  <si>
    <t>Agis Muhamad Abdillah</t>
  </si>
  <si>
    <t>Ahmad Yasin</t>
  </si>
  <si>
    <t>Alwi Muhammad Asnawi</t>
  </si>
  <si>
    <t>Andre Ramadhan</t>
  </si>
  <si>
    <t>Fazkia Ramadhan Hafidz</t>
  </si>
  <si>
    <t>Hadi Hermawan</t>
  </si>
  <si>
    <t>Haris Juliyansah</t>
  </si>
  <si>
    <t>Mochamad Alief Attallah</t>
  </si>
  <si>
    <t>Mohamad Regi Rahmadani</t>
  </si>
  <si>
    <t>Mohammad Abdul Aziz</t>
  </si>
  <si>
    <t>Muhamad Aldi Saputra</t>
  </si>
  <si>
    <t>Muhammad Abdul Fatih</t>
  </si>
  <si>
    <t>Muhammad Abdul Malik</t>
  </si>
  <si>
    <t>Muhammad 'Aly Sholaahuddin A.</t>
  </si>
  <si>
    <t>Muhammad Dhafa Attoilah</t>
  </si>
  <si>
    <t>Muhammad Ilham Rizqi Muttaqin</t>
  </si>
  <si>
    <t>Muhammad Iqbaal Rizqulloh</t>
  </si>
  <si>
    <t>Muhammad Jamaluddin Rozzaq</t>
  </si>
  <si>
    <t>Paturohman</t>
  </si>
  <si>
    <t>Rendi</t>
  </si>
  <si>
    <t>Ridwan</t>
  </si>
  <si>
    <t>Rudi Febriansyah</t>
  </si>
  <si>
    <t>Taupan Muhammad Rhamdan Pratama</t>
  </si>
  <si>
    <t>Yasir Akmal Maulid</t>
  </si>
  <si>
    <t>Abdulloh Syakir</t>
  </si>
  <si>
    <t>Abul Khoirsyah</t>
  </si>
  <si>
    <t>Arbian Mardana Putra</t>
  </si>
  <si>
    <t>Arju Muhamad Marjuq</t>
  </si>
  <si>
    <t>Giandra Magenta</t>
  </si>
  <si>
    <t>Mada Ahmad Banani</t>
  </si>
  <si>
    <t>Maulana Yusuf Ibrohim</t>
  </si>
  <si>
    <t>Moch Fadiel Rhamadhani</t>
  </si>
  <si>
    <t>Mochammad Hasby Khoeri R</t>
  </si>
  <si>
    <t>Muhamad Aden Arya C F</t>
  </si>
  <si>
    <t>Muhamad Azka Azkiya</t>
  </si>
  <si>
    <t>Muhamad Reyza Rachmawan</t>
  </si>
  <si>
    <t>Muhammad Alfakhrul Mubarok</t>
  </si>
  <si>
    <t>Muhammad Azmi Al Ghifari</t>
  </si>
  <si>
    <t>Muhammad Fahmi Al Farisyi</t>
  </si>
  <si>
    <t>Rafi Diyaul Hikam</t>
  </si>
  <si>
    <t>Rafi Kurnianto</t>
  </si>
  <si>
    <t>Rezan Alfaridzy</t>
  </si>
  <si>
    <t>Rifa Nurfadla</t>
  </si>
  <si>
    <t>Rifal Afandi Hardiansah</t>
  </si>
  <si>
    <t>Sandika</t>
  </si>
  <si>
    <t>Wahyu Hidayat</t>
  </si>
  <si>
    <t>Wendi Nurfadilah</t>
  </si>
  <si>
    <t>Yusuf Moch Ramdhan</t>
  </si>
  <si>
    <t>Zaenudin Alamsyah</t>
  </si>
  <si>
    <t>Zainal Dzilfashihi</t>
  </si>
  <si>
    <t>Firmansyah Putra Maulana</t>
  </si>
  <si>
    <t>Abidzar Takia Rahmani</t>
  </si>
  <si>
    <t>Ahmad Sahrul</t>
  </si>
  <si>
    <t xml:space="preserve">Akbar Eka Putra </t>
  </si>
  <si>
    <t>Akbar Maulana Ishaq</t>
  </si>
  <si>
    <t>Akmal Maulana</t>
  </si>
  <si>
    <t>Aldi Ardiansah</t>
  </si>
  <si>
    <t>Alvian Maulana Firmansyah</t>
  </si>
  <si>
    <t>Fakhri Hibban Masturon</t>
  </si>
  <si>
    <t>Faqih Jalupaya Respati G</t>
  </si>
  <si>
    <t>Faqih Mubarok</t>
  </si>
  <si>
    <t>Ibnu Sayyid Hari Ramdani</t>
  </si>
  <si>
    <t>Muhamad Iksan</t>
  </si>
  <si>
    <t>Muhamad Jalalludin</t>
  </si>
  <si>
    <t>Muhamad Maulana Abdul R</t>
  </si>
  <si>
    <t>Muhamad Sobahul</t>
  </si>
  <si>
    <t>Muhammad Chairi Naufal I</t>
  </si>
  <si>
    <t>Muhammad Fahrurozzi</t>
  </si>
  <si>
    <t>Muhammad Rizqy Abdul K</t>
  </si>
  <si>
    <t>Naufal Rifki Fauzan</t>
  </si>
  <si>
    <t>Qika Febriansyah</t>
  </si>
  <si>
    <t>Rifki Surya Azhar</t>
  </si>
  <si>
    <t>Rizal Fahriansyah</t>
  </si>
  <si>
    <t>Rohmat Sarif Hidayat</t>
  </si>
  <si>
    <t>Sinan Achmad Baihaqi</t>
  </si>
  <si>
    <t>Kelas 5B</t>
  </si>
  <si>
    <t>Kelas 6A</t>
  </si>
  <si>
    <t>Kelas 6B</t>
  </si>
  <si>
    <t>Amin Ma’ruf</t>
  </si>
  <si>
    <t>Andana Haris</t>
  </si>
  <si>
    <t>Angga Febri Triana</t>
  </si>
  <si>
    <t>Arkan Khoiri Lukman</t>
  </si>
  <si>
    <t>Asep Cahyadi</t>
  </si>
  <si>
    <t>Azi Maulana</t>
  </si>
  <si>
    <t>Fariz Fadhillah</t>
  </si>
  <si>
    <t>Fatir Nursyam</t>
  </si>
  <si>
    <t>Fikri Maulana Muhamad F</t>
  </si>
  <si>
    <t>Isep Sopian</t>
  </si>
  <si>
    <t>M Afdal Dzul Fikri</t>
  </si>
  <si>
    <t>M. Lutfi Abdulloh</t>
  </si>
  <si>
    <t>Muhammad Farrel S. S.</t>
  </si>
  <si>
    <t>Muhammad Hasan Siddiq</t>
  </si>
  <si>
    <t>Muhammad Hilman Hasbulloh</t>
  </si>
  <si>
    <t>Muhammad Raafi Aliyyunaafi</t>
  </si>
  <si>
    <t>Muhammad Ramdhan R</t>
  </si>
  <si>
    <t>Muhammad Sariyyissaqoti</t>
  </si>
  <si>
    <t>Muhammad Syamsul Anwar</t>
  </si>
  <si>
    <t>Muhammad Zibral Felipe F</t>
  </si>
  <si>
    <t>Rizal Firmansyah</t>
  </si>
  <si>
    <t>Robiansyah Nur Fadilah</t>
  </si>
  <si>
    <t>Sultan Habib</t>
  </si>
  <si>
    <t>Tata Resta Ramadhani</t>
  </si>
  <si>
    <t>Zayyan Sakhi Maulawi</t>
  </si>
  <si>
    <t>Muhammad Zuhayr Ar Rashaad</t>
  </si>
  <si>
    <t>Kelas 4 A</t>
  </si>
  <si>
    <t>Hafalan</t>
  </si>
  <si>
    <t>Ahmad Fadlil Farij</t>
  </si>
  <si>
    <t>Kelas 3 A</t>
  </si>
  <si>
    <t>Alief Wirayudha Mustolih</t>
  </si>
  <si>
    <t>Muhamad Daffa Raditya Putra</t>
  </si>
  <si>
    <t>Kalvin Ramadhan</t>
  </si>
  <si>
    <t>Rezqi Putra Almutaqin</t>
  </si>
  <si>
    <t>Muhammad Hafidz Nugraha</t>
  </si>
  <si>
    <t>Fakhir Muhammad Muntaz</t>
  </si>
  <si>
    <t>Dinovior kombala</t>
  </si>
  <si>
    <t>Muhammad Izzatul Islam</t>
  </si>
  <si>
    <t>Muhammad Nurzamzam Almaliki</t>
  </si>
  <si>
    <t>Maulana Malik Ibrahim</t>
  </si>
  <si>
    <t>Aureal Dwi Anugrah</t>
  </si>
  <si>
    <t xml:space="preserve">Waqi Abdul Hamid </t>
  </si>
  <si>
    <t>Kafi Rizal Afifuddin</t>
  </si>
  <si>
    <t>Moch. Krisna Gala Mukti</t>
  </si>
  <si>
    <t>M. Nazriel Alamsyah</t>
  </si>
  <si>
    <t>Ahmad Khotib Sambas</t>
  </si>
  <si>
    <t>M. Adzki Arrafi</t>
  </si>
  <si>
    <t>Affap Nizar Qobani</t>
  </si>
  <si>
    <t>Muhamad Lubis Abiyasa</t>
  </si>
  <si>
    <t>Agung Firmansyah</t>
  </si>
  <si>
    <t>Ahmad Wafa Mudzaki</t>
  </si>
  <si>
    <t>Muhammad Fazri Ramadhan</t>
  </si>
  <si>
    <t>Faiz Zain Al Asyrof</t>
  </si>
  <si>
    <t xml:space="preserve">Muhammad Luthfi Ramdhan </t>
  </si>
  <si>
    <t>Dhika Muhamad Ramdan</t>
  </si>
  <si>
    <t>Muhamad David Jalalludin</t>
  </si>
  <si>
    <t>Muhammad Hikamudin</t>
  </si>
  <si>
    <t>Kelas 2 A</t>
  </si>
  <si>
    <t>Sandi Arasid</t>
  </si>
  <si>
    <t>Karan Nuroshan Al Ghiffari</t>
  </si>
  <si>
    <t>Muhammad Rafa Rizqi Ramdan Putra</t>
  </si>
  <si>
    <t>Muhamad Farhanudin</t>
  </si>
  <si>
    <t>Ahmad Dani Apriana</t>
  </si>
  <si>
    <t>Muhammad Targana</t>
  </si>
  <si>
    <t>Hamzah Muhammad Jaffar</t>
  </si>
  <si>
    <t>Muhammad Azka Maulana Zarkasy</t>
  </si>
  <si>
    <t>Naufal Ma'mur Afif</t>
  </si>
  <si>
    <t>Muhammad Zulfa Rizqi Abdullah</t>
  </si>
  <si>
    <t>Muhammad Faqiih Mukhtar</t>
  </si>
  <si>
    <t>Raysakha Athaya Desfilino</t>
  </si>
  <si>
    <t>Rifki Hidayatulloh</t>
  </si>
  <si>
    <t>Muhammad Fauzan Zulfiqor</t>
  </si>
  <si>
    <t>Muhamad Alvaro Eka Radhitya P S</t>
  </si>
  <si>
    <t>Muhammad Fauzan Dhiya'ulhaq</t>
  </si>
  <si>
    <t>Rival Pratama</t>
  </si>
  <si>
    <t>Muhammad Syahiroel Al-Fatih</t>
  </si>
  <si>
    <t>Muhammad Arsyad Al Madani</t>
  </si>
  <si>
    <t>Muhammad Nabil Ar Rasidu Syarif</t>
  </si>
  <si>
    <t>Mochamad Eka Ferdiansyah</t>
  </si>
  <si>
    <t>Dadang Hariadi</t>
  </si>
  <si>
    <t>Muhammad Abdul Nashir Rodibillah</t>
  </si>
  <si>
    <t>Muhammad Iqbal Zauhari</t>
  </si>
  <si>
    <t>Kelas 1 A</t>
  </si>
  <si>
    <t xml:space="preserve">Mu'allim Salahudien </t>
  </si>
  <si>
    <t>Abdil Hadi</t>
  </si>
  <si>
    <t>Mohamad Yusuf Asyid</t>
  </si>
  <si>
    <t>Fathurrohman Al Ghozi K P</t>
  </si>
  <si>
    <t>Ibnu Rafiif Al Mubariq</t>
  </si>
  <si>
    <t>Afrizal Faturahman</t>
  </si>
  <si>
    <t>Mochamad Dzikran Putra Hadian</t>
  </si>
  <si>
    <t>Maulana Mahmud Ramadhan</t>
  </si>
  <si>
    <t>Ibnu Alsyina Shihab</t>
  </si>
  <si>
    <t>Luthfi Rizzuana</t>
  </si>
  <si>
    <t>Kaysan Naufal Ali</t>
  </si>
  <si>
    <t>Muhamad Rifky Haditya</t>
  </si>
  <si>
    <t>Iqbal Qhotrunada Muflih</t>
  </si>
  <si>
    <t>Bagus Sandia Putra</t>
  </si>
  <si>
    <t>Muhammad Adiba Al-Faruq R</t>
  </si>
  <si>
    <t>Dian Nasrulloh</t>
  </si>
  <si>
    <t>Fajar Rifaldi</t>
  </si>
  <si>
    <t>Ahmad Marzuuqi</t>
  </si>
  <si>
    <t>Muhammad Fajrin Maulana</t>
  </si>
  <si>
    <t>Abdulloh Ibrahim Al Yamani</t>
  </si>
  <si>
    <t>Elnino Fachrezi</t>
  </si>
  <si>
    <t>Muhammad Rangga Abdul Gholib</t>
  </si>
  <si>
    <t>Aghisni Mochammad Toha</t>
  </si>
  <si>
    <t>Frananda Rayyan Ramdhani</t>
  </si>
  <si>
    <t>Muhammad Nabil Zada K</t>
  </si>
  <si>
    <t xml:space="preserve">Asep Rizki </t>
  </si>
  <si>
    <t>Haykal Luqmannur Hakim</t>
  </si>
  <si>
    <t>Kelas Tamhidi A</t>
  </si>
  <si>
    <t>Nadzom</t>
  </si>
  <si>
    <t>Do'a Do'a</t>
  </si>
  <si>
    <t>Habiburrahman Al-Qayubi</t>
  </si>
  <si>
    <t>Muhammad Zaid Musthofa</t>
  </si>
  <si>
    <t>Muhammad Abdul Malik Aljaami</t>
  </si>
  <si>
    <t>Agus Evi Dirgahayu</t>
  </si>
  <si>
    <t>Muhammad Nur Ramdayani</t>
  </si>
  <si>
    <t>Daffa Fadhilah Kamil</t>
  </si>
  <si>
    <t>Rifqi Arif Wudiansyah</t>
  </si>
  <si>
    <t>Muhammad Latif Khoeruloh</t>
  </si>
  <si>
    <t>Muhammad Eijaz Althair</t>
  </si>
  <si>
    <t>Rizki Nurputih</t>
  </si>
  <si>
    <t>Muhammad Rafie Al Azfar</t>
  </si>
  <si>
    <t>Abrisam Abbasy Upavasa Komara</t>
  </si>
  <si>
    <t>Muhammad Alief Ma'rifatulloh</t>
  </si>
  <si>
    <t>Arifal Irsyadi Rahman</t>
  </si>
  <si>
    <t>Muhammad Kamil Assidiq</t>
  </si>
  <si>
    <t>Muhamad Fadlan Abdulrohman</t>
  </si>
  <si>
    <t>Muhamad Ardi Tia Wijaya</t>
  </si>
  <si>
    <t>Alfin Wahyudin Faulia</t>
  </si>
  <si>
    <t>Muhammad Ibrahim Maulana</t>
  </si>
  <si>
    <t>Refan Azis Mustofa</t>
  </si>
  <si>
    <t>Ibrohim Bajuri</t>
  </si>
  <si>
    <t>Muhammad Ichsan Andriansyah</t>
  </si>
  <si>
    <t>Reyhan Khoirul Azam</t>
  </si>
  <si>
    <t>Alwi Habsyi</t>
  </si>
  <si>
    <t>Muhamad Salman</t>
  </si>
  <si>
    <t>Hasbulloh Ibrahim Wibowo</t>
  </si>
  <si>
    <t>M. Rizky Wijaya</t>
  </si>
  <si>
    <t>Muhammad Zam Zam Mubaraq</t>
  </si>
  <si>
    <t>Muhammad Syahid Abdurrohman</t>
  </si>
  <si>
    <t>Muhammad Nail Dzakwan</t>
  </si>
  <si>
    <t>Muhamad Ilham</t>
  </si>
  <si>
    <t>M. Ridwan Kurniawan</t>
  </si>
  <si>
    <t>Rifaldi Sufyana</t>
  </si>
  <si>
    <t>Rasya Aditya</t>
  </si>
  <si>
    <t>Muhamad Raihan Nurdiansyah</t>
  </si>
  <si>
    <t>Deva Trya Bagus Dian N</t>
  </si>
  <si>
    <t>Agus Raihan Isnanto</t>
  </si>
  <si>
    <t>Avrillyansyah Putra Mahendra</t>
  </si>
  <si>
    <t>Azhar Aufal Ramadhan</t>
  </si>
  <si>
    <t>Chikal Putra Pratama</t>
  </si>
  <si>
    <t>Dhafa Maulana Abdillah</t>
  </si>
  <si>
    <t>Dimas Adhyaksa Rusnady</t>
  </si>
  <si>
    <t>Fahmi Maulana Idris</t>
  </si>
  <si>
    <t>Faiq Imam Fadilah</t>
  </si>
  <si>
    <t>Fairuz Fadhilah</t>
  </si>
  <si>
    <t>M Rifdhal Mughni</t>
  </si>
  <si>
    <t>M. Fahri Husaini</t>
  </si>
  <si>
    <t>M. Farghan Al Gifahri</t>
  </si>
  <si>
    <t>M. Ilham Al Fahri</t>
  </si>
  <si>
    <t>Moch. Raffly Fringgie P</t>
  </si>
  <si>
    <t>Muhamad Arief</t>
  </si>
  <si>
    <t>Muhamad Syamsudin Arif</t>
  </si>
  <si>
    <t>Muhamad Taufik</t>
  </si>
  <si>
    <t>Muhamad Zaki</t>
  </si>
  <si>
    <t>Muhammad Abdul Fatah R</t>
  </si>
  <si>
    <t>Muhammad Akhila Ramdhani</t>
  </si>
  <si>
    <t>Muhammad Alif Maulana H</t>
  </si>
  <si>
    <t>Muhammad An Naba Kumara</t>
  </si>
  <si>
    <t>Muhammad Dzikra Fattah</t>
  </si>
  <si>
    <t xml:space="preserve">Muhammad Fathurrohman </t>
  </si>
  <si>
    <t>Muhammad Ghani Alghifari</t>
  </si>
  <si>
    <t>Muhammad Rizki</t>
  </si>
  <si>
    <t>Muhammad Syahrul R</t>
  </si>
  <si>
    <t>Muhammad Abdul Muhyi</t>
  </si>
  <si>
    <t>Kelas 4 B</t>
  </si>
  <si>
    <t>Alvan Ramadhan Darmawan</t>
  </si>
  <si>
    <t>Alwa Pinuja Suhadi</t>
  </si>
  <si>
    <t>Bagas Saf Putra</t>
  </si>
  <si>
    <t>Bagus eka rachman</t>
  </si>
  <si>
    <t>Dede Muhaimin</t>
  </si>
  <si>
    <t>Fais Adi Nugroho</t>
  </si>
  <si>
    <t>Hanif Fauzan Arrabbani</t>
  </si>
  <si>
    <t>Ikhsan Nur Alim</t>
  </si>
  <si>
    <t>Kemal Novsa Menlicho</t>
  </si>
  <si>
    <t>Kemas M. Akmal Firdaus</t>
  </si>
  <si>
    <t>Marvel Faridz Baihaqi</t>
  </si>
  <si>
    <t>Mochammad Rizky Rasya</t>
  </si>
  <si>
    <t>Muhamad Arifin</t>
  </si>
  <si>
    <t>Muhamad Ilham Ramadhan</t>
  </si>
  <si>
    <t>Muhamad Irsyad Ardiansyah</t>
  </si>
  <si>
    <t>Muhamad Rizki</t>
  </si>
  <si>
    <t>Muhammad Alifta Ferdiansyah</t>
  </si>
  <si>
    <t>Muhammad Daffa Attariq</t>
  </si>
  <si>
    <t>Muhammad Syahid Asnawi</t>
  </si>
  <si>
    <t>Nahyu Hidayat</t>
  </si>
  <si>
    <t>Raghib Ismail</t>
  </si>
  <si>
    <t>Raka Fadhil Saputra</t>
  </si>
  <si>
    <t>Rayhan Nu'man Fuady</t>
  </si>
  <si>
    <t>Reza Pratama</t>
  </si>
  <si>
    <t>Riza Fauzi Fazrin</t>
  </si>
  <si>
    <t>Rizqi Ahmad Fadillah</t>
  </si>
  <si>
    <t>Septian Ramdani</t>
  </si>
  <si>
    <t>Zidan Ramadani</t>
  </si>
  <si>
    <t>Kelas 4 C</t>
  </si>
  <si>
    <t>Ahmad Fauzan Al Qomari</t>
  </si>
  <si>
    <t>Mulla Hasan Mufarid</t>
  </si>
  <si>
    <t>Abdul Muhyi Al Qorni</t>
  </si>
  <si>
    <t>Ahmad</t>
  </si>
  <si>
    <t>Cahaya Nugraha</t>
  </si>
  <si>
    <t>El Nisham Ramadhan</t>
  </si>
  <si>
    <t>Faiz Maulana Ihsan</t>
  </si>
  <si>
    <t>Firman Alimusaban</t>
  </si>
  <si>
    <t>Harish Al Fahrezi</t>
  </si>
  <si>
    <t>Jillan Nur Sya'ban</t>
  </si>
  <si>
    <t>Kaisar Dzulfadly Ula</t>
  </si>
  <si>
    <t>Kgs M. Nur Kahfi</t>
  </si>
  <si>
    <t>Muhamad Arkaan Saajid Siddiq</t>
  </si>
  <si>
    <t>Muhamad Fauzan Nawawi</t>
  </si>
  <si>
    <t>Muhammad Abdul Manaf</t>
  </si>
  <si>
    <t>Muhammad Abi Bagja Firdaus</t>
  </si>
  <si>
    <t>Muhammad Dapi Syam</t>
  </si>
  <si>
    <t>Muhammad Hikari Alfathir Sugiarto</t>
  </si>
  <si>
    <t>Muhammad Muhsin Anwar</t>
  </si>
  <si>
    <t>Muhammad Nawawi</t>
  </si>
  <si>
    <t>Muhammad Nizam Fakhurozi</t>
  </si>
  <si>
    <t>Muhammad Nur Albadawi</t>
  </si>
  <si>
    <t>Muhammad Nurdin</t>
  </si>
  <si>
    <t>Muhammad Nurudin Ali Asy-Syaun</t>
  </si>
  <si>
    <t>Muhammad Rizqi Ramdhani</t>
  </si>
  <si>
    <t>Muhammad Shofwan Dzakirullail</t>
  </si>
  <si>
    <t>Muhammad Sulaiman Azami</t>
  </si>
  <si>
    <t>Muhammad Tsabit Dzakwan Nasihin</t>
  </si>
  <si>
    <t>Naufal Fadhil Fauzan</t>
  </si>
  <si>
    <t>Radithya Radjasadimirat</t>
  </si>
  <si>
    <t>Rizky Zahran Cahyono</t>
  </si>
  <si>
    <t>Shihab Al Mahri</t>
  </si>
  <si>
    <t>Muhammad Fathurahman</t>
  </si>
  <si>
    <t>Kelas 3 B</t>
  </si>
  <si>
    <t>Ahmad Kamal Sofyan</t>
  </si>
  <si>
    <t>Ahmad Kevin Aqiel</t>
  </si>
  <si>
    <t>Alvin Muhammad Rafif Taufik</t>
  </si>
  <si>
    <t>Cahya Haery Pratama</t>
  </si>
  <si>
    <t>Cecep Ahmad Masmu</t>
  </si>
  <si>
    <t>Daffa Ahmad Zakariya</t>
  </si>
  <si>
    <t>Ferry Ardiyansyah</t>
  </si>
  <si>
    <t>M. Ridho Priadi</t>
  </si>
  <si>
    <t>M. Zam-Zam Latiful Qolbi</t>
  </si>
  <si>
    <t>Mochammad Fachri Bahaudin Hasbi</t>
  </si>
  <si>
    <t>Muhamad Adestian Sutisna</t>
  </si>
  <si>
    <t>Muhamad Irfa Nurfauzi</t>
  </si>
  <si>
    <t>Muhammad Abil Futuh</t>
  </si>
  <si>
    <t>Muhammad A'rifin Siddiq S.</t>
  </si>
  <si>
    <t>Muhammad Azkiya Aulia</t>
  </si>
  <si>
    <t>Muhammad Da'I Bahtiar</t>
  </si>
  <si>
    <t>Muhammad Dzakwan</t>
  </si>
  <si>
    <t>Muhammad Fathirrizqi</t>
  </si>
  <si>
    <t>Muhammad Khandias</t>
  </si>
  <si>
    <t>Muhammad Nijam Al Hasani</t>
  </si>
  <si>
    <t>Muhammad Rajip Putra Pratama</t>
  </si>
  <si>
    <t>Muhammad Syafi'i</t>
  </si>
  <si>
    <t>Muhammad Syaroffuddin</t>
  </si>
  <si>
    <t>Rakha Septiandi</t>
  </si>
  <si>
    <t>Raziq Hanan Widhayanto</t>
  </si>
  <si>
    <t>Rio Ferdian</t>
  </si>
  <si>
    <t>Alwi Ahmad Fauzy</t>
  </si>
  <si>
    <t>Rayhan Rizwar Arifki</t>
  </si>
  <si>
    <t>Deva Abdurrahman S</t>
  </si>
  <si>
    <t>Kelas 3 C</t>
  </si>
  <si>
    <t>Kelas 2 B</t>
  </si>
  <si>
    <t>Aufar Rizky Alera</t>
  </si>
  <si>
    <t>Faateh Ahmad Zachary</t>
  </si>
  <si>
    <t>Fadhil Nugraha</t>
  </si>
  <si>
    <t>M. Rifki Paturohman</t>
  </si>
  <si>
    <t>Moch Alwi Maulana</t>
  </si>
  <si>
    <t>Mochamad Maulana Ibrahim</t>
  </si>
  <si>
    <t>Muhamad Arfa Arifin</t>
  </si>
  <si>
    <t>Muhamad Fathir Rozaq Arrumi Mutaqin</t>
  </si>
  <si>
    <t>Muhamad Irsyaad Mutakin</t>
  </si>
  <si>
    <t>Muhamad Luthfi A</t>
  </si>
  <si>
    <t>Muhamad Nova Maulana</t>
  </si>
  <si>
    <t>Muhamad Yasin Ghazi</t>
  </si>
  <si>
    <t>Muhammad Abdul Latif Nawawi</t>
  </si>
  <si>
    <t>Muhammad Ali Anwar Syafi'i</t>
  </si>
  <si>
    <t>Muhammad Aria Basyuni Al Fairuz</t>
  </si>
  <si>
    <t>Muhammad Azka Maulana</t>
  </si>
  <si>
    <t>Muhammad Bahrudin Maki Assyafii</t>
  </si>
  <si>
    <t>Muhammad Farizky Pratama</t>
  </si>
  <si>
    <t>Muhammad Irsyad Setiawan</t>
  </si>
  <si>
    <t>Muhammad Jami Maulana</t>
  </si>
  <si>
    <t>Muhammad Rizky Abdillah</t>
  </si>
  <si>
    <t>Muhammad Syafi'i  Abi Yusuf</t>
  </si>
  <si>
    <t>Muhammad Zikri Nugraha</t>
  </si>
  <si>
    <t>Raihan Al Hasby</t>
  </si>
  <si>
    <t>Ahmad Yani</t>
  </si>
  <si>
    <t>Kelas 2 C</t>
  </si>
  <si>
    <t>Arrizal Ihsan Firdaus</t>
  </si>
  <si>
    <t>Muhamad Fatir Ramdani</t>
  </si>
  <si>
    <t>Muhammad Abdillah Ramdhani</t>
  </si>
  <si>
    <t>Muhammad Fadhil Abdillah</t>
  </si>
  <si>
    <t>Muhammad Hafizh Hanif Hasbullah</t>
  </si>
  <si>
    <t>Muhammad Jalaaluddin Mahalli</t>
  </si>
  <si>
    <t>Muhammad Ma'ruf Syamsul Arifin</t>
  </si>
  <si>
    <t>Muhammad Maulana Malik Ibrahim</t>
  </si>
  <si>
    <t>Muhammad Muhyiddin Alfath</t>
  </si>
  <si>
    <t>Muhammad Mulki Albar</t>
  </si>
  <si>
    <t>Muhammad Naufal Ghojali</t>
  </si>
  <si>
    <t>Muhammad Nuruddin Al Ihsan</t>
  </si>
  <si>
    <t>Muhammad Pandu Ismail</t>
  </si>
  <si>
    <t>Muhammad Razka Al-Ghifari</t>
  </si>
  <si>
    <t>Muhammad Zarkasih</t>
  </si>
  <si>
    <t>Nizam Zada Fahrezi</t>
  </si>
  <si>
    <t>Pandi Hendrawan</t>
  </si>
  <si>
    <t>Raazan Muhammad Dzafin</t>
  </si>
  <si>
    <t>Raden Michael Habibi</t>
  </si>
  <si>
    <t>Radit Yuliansyah</t>
  </si>
  <si>
    <t>Raffa Ahmad Firdaus</t>
  </si>
  <si>
    <t>Rafka Nurmaulanaaffandi</t>
  </si>
  <si>
    <t>Raga Permana Sidik</t>
  </si>
  <si>
    <t>Rizky Malikul Jabar</t>
  </si>
  <si>
    <t>Rohiman</t>
  </si>
  <si>
    <t>Satria Fazriansyah</t>
  </si>
  <si>
    <t>Sayyid Ahmad Sabiq</t>
  </si>
  <si>
    <t xml:space="preserve">Umar </t>
  </si>
  <si>
    <t>Zahwan Abdul Hamid</t>
  </si>
  <si>
    <t>Zulfan Achmad</t>
  </si>
  <si>
    <t>Abdul Basit</t>
  </si>
  <si>
    <t>Abdurrohman Fauzan</t>
  </si>
  <si>
    <t>Ahmad Imam Baihaqi</t>
  </si>
  <si>
    <t>Ahmad Syaeful Baari</t>
  </si>
  <si>
    <t>Airlangga Santoso Putra</t>
  </si>
  <si>
    <t>Andriana Miftahul Anwar</t>
  </si>
  <si>
    <t>Arief Susanto</t>
  </si>
  <si>
    <t>Catur Purnama Asshidik</t>
  </si>
  <si>
    <t>Dafa Rabbani Zaidan</t>
  </si>
  <si>
    <t>Fakhri Rahmat Fauzan</t>
  </si>
  <si>
    <t>Fauzan Maulana Aziz</t>
  </si>
  <si>
    <t>Haris Saeful Mujab</t>
  </si>
  <si>
    <t>Hasby Muhammad Khair</t>
  </si>
  <si>
    <t>Hilmi Damanhuri Cahyadin</t>
  </si>
  <si>
    <t>Jupiter Maqil Ghaisan</t>
  </si>
  <si>
    <t>Muhammad Alwi Zamzami Muslim</t>
  </si>
  <si>
    <t>Muhammad Aqila Az Zaidan</t>
  </si>
  <si>
    <t>Muhammad Hijaz Al Ramdhani</t>
  </si>
  <si>
    <t>Muhammad Kahfi Ali Ramdani</t>
  </si>
  <si>
    <t>Muhammad Miftah Musyaffa</t>
  </si>
  <si>
    <t>Muhammad Nizar Arrasyid</t>
  </si>
  <si>
    <t>Muhammad Raffi Friadin</t>
  </si>
  <si>
    <t>Muhammad Rif'at Fauzi</t>
  </si>
  <si>
    <t>Muhammad Rofii Solehudin</t>
  </si>
  <si>
    <t>Muhammad Shidqi Fariz Azzamy</t>
  </si>
  <si>
    <t>Muhammad Yasir Aswan Faisal</t>
  </si>
  <si>
    <t>Muhammad Zein Arkan Al Musawwa</t>
  </si>
  <si>
    <t>Naori Yama Surya Almubaroq</t>
  </si>
  <si>
    <t>Ridwan Ardiansyah</t>
  </si>
  <si>
    <t>Rizzan Putra Mulyandi</t>
  </si>
  <si>
    <t>Fadly Raihan Sabil</t>
  </si>
  <si>
    <t>M. Fahri Zahran Abdillah</t>
  </si>
  <si>
    <t>Mohamad Pebri Alpiana</t>
  </si>
  <si>
    <t>Muhamad Risfan Maulana</t>
  </si>
  <si>
    <t>Muhammad Khaidir Akbar Hidayatulloh</t>
  </si>
  <si>
    <t>Muhammad Ma'ruf Karkhi</t>
  </si>
  <si>
    <t>Muhammad Rehan Ardiansyah</t>
  </si>
  <si>
    <t>Muhammad Syihab Musaddad</t>
  </si>
  <si>
    <t>Rangga Setyaji</t>
  </si>
  <si>
    <t>Aufa Damar Galih</t>
  </si>
  <si>
    <t>Ahmad Sirojy Mubarok</t>
  </si>
  <si>
    <t>Beril hamizan arrobani</t>
  </si>
  <si>
    <t>Fajri Ilham Fauzan</t>
  </si>
  <si>
    <t>Muhamad Jangkar Jaelani Akbar</t>
  </si>
  <si>
    <t>Muhammad Alif Effendi</t>
  </si>
  <si>
    <t>Zaki Aftar Abdul Ghani</t>
  </si>
  <si>
    <t>Kelas 1 B</t>
  </si>
  <si>
    <t>Akhmad Maulana Bintoro</t>
  </si>
  <si>
    <t>Chairul Iqbal Putra</t>
  </si>
  <si>
    <t>Kamil</t>
  </si>
  <si>
    <t>Muhamad Daffa Rizky Rohmana</t>
  </si>
  <si>
    <t>Muhamad Rapa Ramadan</t>
  </si>
  <si>
    <t>Muhammad Aditya Al Misbah</t>
  </si>
  <si>
    <t>Muhammad Fadli</t>
  </si>
  <si>
    <t>Muhammad Nizam Ashari</t>
  </si>
  <si>
    <t>Muhammad Zakky Ghozali</t>
  </si>
  <si>
    <t>Naufal Arya Rizki</t>
  </si>
  <si>
    <t>Naufal Muhammad Mulky Yaasiin</t>
  </si>
  <si>
    <t>Oke Auliya</t>
  </si>
  <si>
    <t>Vizra Abdul Hafizh</t>
  </si>
  <si>
    <t>Zamzam Muhamad Tijani</t>
  </si>
  <si>
    <t>Nazar Rizkie Afriliana</t>
  </si>
  <si>
    <t>Raka Arinda Syahputra</t>
  </si>
  <si>
    <t>Muhamad Rizki Firmansyah</t>
  </si>
  <si>
    <t>Muhammad Hasan Bashri</t>
  </si>
  <si>
    <t>Muhammad Syafiq Muhajir Fillah</t>
  </si>
  <si>
    <t>Muhammad Yahya Hisyamuddin</t>
  </si>
  <si>
    <t>Muhammad Zaky Al Musthofa</t>
  </si>
  <si>
    <t>Muhammad Zamzam Al Manafi</t>
  </si>
  <si>
    <t>Nandika Putra Rizkyansyah</t>
  </si>
  <si>
    <t>Nizam Zihad Al Ghozali</t>
  </si>
  <si>
    <t>Muhamad khoerul Azmi</t>
  </si>
  <si>
    <t>Rizal Fikri Nugraha</t>
  </si>
  <si>
    <t>Kelas 1 C</t>
  </si>
  <si>
    <t>Akmal Abdul Latief</t>
  </si>
  <si>
    <t>Apip Ramdani</t>
  </si>
  <si>
    <t>Arzachel Athar Al Azzam</t>
  </si>
  <si>
    <t>Dirga Ibrahim</t>
  </si>
  <si>
    <t>Feiza Dzul 'Azmi</t>
  </si>
  <si>
    <t>Hammad Alfatih Abdul Wali</t>
  </si>
  <si>
    <t>M Robert Hardika A M</t>
  </si>
  <si>
    <t>Mughni Haydar Ali Fahrurozi</t>
  </si>
  <si>
    <t>Muhamad Iqbal Ramdhani</t>
  </si>
  <si>
    <t>Muhamad Siddiq Zainul Asyiqin</t>
  </si>
  <si>
    <t>Muhammad Abdulkariim Nawawi</t>
  </si>
  <si>
    <t>Muhammad Alif Ghozali</t>
  </si>
  <si>
    <t>Muhammad Azkha El-Aazkhiya</t>
  </si>
  <si>
    <t>Muhammad Dzaji Firmansyah</t>
  </si>
  <si>
    <t>Muhammad Hasan</t>
  </si>
  <si>
    <t>Muhammad Kafin Mujtaba</t>
  </si>
  <si>
    <t>Muhammad Ramdhan As Shidiq</t>
  </si>
  <si>
    <t>Muhammad Syarofuddin</t>
  </si>
  <si>
    <t>Muhammad Zahran Zaidan</t>
  </si>
  <si>
    <t>Raffi Abhipraya</t>
  </si>
  <si>
    <t>Refan Kautsar Rezalla</t>
  </si>
  <si>
    <t>Sulthan Al Rasyid</t>
  </si>
  <si>
    <t>Syakera Habiburrohman Azzahid Zaini</t>
  </si>
  <si>
    <t>Taufiqut Tamam</t>
  </si>
  <si>
    <t>Kelas Tamhidi B</t>
  </si>
  <si>
    <t>Alfin Muzahid</t>
  </si>
  <si>
    <t>Arfa Mahardhika Mustolih</t>
  </si>
  <si>
    <t>Dalpin Ajril</t>
  </si>
  <si>
    <t>Fahry Ali Mulyadi</t>
  </si>
  <si>
    <t>Ghiyats Ahmad Fawwaz Irawan</t>
  </si>
  <si>
    <t>Iyus Muhammad Rizqi</t>
  </si>
  <si>
    <t>Moch Rakha Raffi Zain</t>
  </si>
  <si>
    <t>Muhamad Fariduddin Abdul Qodir</t>
  </si>
  <si>
    <t>Muhamad Nur Ali</t>
  </si>
  <si>
    <t>Muhamad Yusup</t>
  </si>
  <si>
    <t>Muhammad Abidzar Alghifari</t>
  </si>
  <si>
    <t>Muhammad Alif Pratama</t>
  </si>
  <si>
    <t>Muhammad Baghowi</t>
  </si>
  <si>
    <t>Muhammad Bushiri</t>
  </si>
  <si>
    <t>Muhammad Fadhil Abdul Aziz</t>
  </si>
  <si>
    <t>Muhammad Ilham Assayuuti</t>
  </si>
  <si>
    <t>Muhammad Khaizman Al Bani</t>
  </si>
  <si>
    <t>Muhammad Rois Khoirun</t>
  </si>
  <si>
    <t>Muhammad Yusuf Nabhani</t>
  </si>
  <si>
    <t>Muhammad Zamzam Amrrulloh Rosyana</t>
  </si>
  <si>
    <t>Raka Nizam Dzulghani</t>
  </si>
  <si>
    <t>Ridho Muhammad Maulana</t>
  </si>
  <si>
    <t>Suryana Purwadinata</t>
  </si>
  <si>
    <t>Zulmi Ikhwan Hairi</t>
  </si>
  <si>
    <t>Alif Nur Padilah</t>
  </si>
  <si>
    <t>Arman Muhammad Fauzi</t>
  </si>
  <si>
    <t>Azriel Fadillah</t>
  </si>
  <si>
    <t>Danist Agam Pratama</t>
  </si>
  <si>
    <t>Hazrat Fadhlikal Azim</t>
  </si>
  <si>
    <t>Jazilian Alfarabi</t>
  </si>
  <si>
    <t>Mochamad Zufar Zakwan Alwibawa</t>
  </si>
  <si>
    <t>Muhamad Hidayat Fauzan</t>
  </si>
  <si>
    <t>Muhamad Shonhaaji</t>
  </si>
  <si>
    <t>Muhammad Akbar</t>
  </si>
  <si>
    <t>Muhammad Athar Rabbani Adriansyah</t>
  </si>
  <si>
    <t>Muhammad Dimaz Raditiya</t>
  </si>
  <si>
    <t>Muhammad Habibi</t>
  </si>
  <si>
    <t>Muhammad Jalaludin Assuyuti</t>
  </si>
  <si>
    <t>Muhammad Nawawi Al Maulana</t>
  </si>
  <si>
    <t>Muhammad Sulaeman Jamal</t>
  </si>
  <si>
    <t>Muhammad Zacky Al Ghiffary</t>
  </si>
  <si>
    <t>Paujan Abdul Azis</t>
  </si>
  <si>
    <t>Razka Nur Alam</t>
  </si>
  <si>
    <t>Rizky Akbar Permana</t>
  </si>
  <si>
    <t>Syahid Abdul Rohman</t>
  </si>
  <si>
    <t>Syakib Asyam Hibrizi</t>
  </si>
  <si>
    <t>Kelas Tamhidi C</t>
  </si>
  <si>
    <t>Isam Efendi</t>
  </si>
  <si>
    <t>Muhamad Sihab Marbawi</t>
  </si>
  <si>
    <t>6-B</t>
  </si>
  <si>
    <t>(Prof.Dr.(H.C) Abuya KH. Muhammad Muhyiddin Abdul Qodir)</t>
  </si>
  <si>
    <r>
      <t>( Ustadz Muhammad Sabit</t>
    </r>
    <r>
      <rPr>
        <sz val="11"/>
        <color theme="1"/>
        <rFont val="Arial"/>
        <family val="2"/>
      </rPr>
      <t xml:space="preserve"> </t>
    </r>
    <r>
      <rPr>
        <b/>
        <sz val="11"/>
        <color theme="1"/>
        <rFont val="Arial"/>
        <family val="2"/>
      </rPr>
      <t>)</t>
    </r>
  </si>
  <si>
    <t>Kepribadian</t>
  </si>
  <si>
    <r>
      <t>(</t>
    </r>
    <r>
      <rPr>
        <b/>
        <u/>
        <sz val="11"/>
        <color theme="1"/>
        <rFont val="Arial"/>
        <family val="2"/>
      </rPr>
      <t xml:space="preserve">                             </t>
    </r>
    <r>
      <rPr>
        <b/>
        <sz val="11"/>
        <color theme="1"/>
        <rFont val="Arial"/>
        <family val="2"/>
      </rPr>
      <t>)</t>
    </r>
  </si>
  <si>
    <r>
      <t>(</t>
    </r>
    <r>
      <rPr>
        <b/>
        <u/>
        <sz val="11"/>
        <color theme="1"/>
        <rFont val="Arial"/>
        <family val="2"/>
      </rPr>
      <t xml:space="preserve">                              </t>
    </r>
    <r>
      <rPr>
        <b/>
        <sz val="11"/>
        <color theme="1"/>
        <rFont val="Arial"/>
        <family val="2"/>
      </rPr>
      <t>)</t>
    </r>
  </si>
  <si>
    <t>KELAS</t>
  </si>
  <si>
    <t>WALI KELAS</t>
  </si>
  <si>
    <t>TAHUN AJARAN</t>
  </si>
  <si>
    <t>SEMESTER</t>
  </si>
  <si>
    <t>TITIMANGSA</t>
  </si>
  <si>
    <t xml:space="preserve">[PONTREN] ISLAM INTERNASIONAL TERPADU </t>
  </si>
  <si>
    <t>ASY-SYIFAA WAL MAHMUUDIYYAH</t>
  </si>
  <si>
    <t>NO.</t>
  </si>
  <si>
    <t>6-A</t>
  </si>
  <si>
    <t>5-A</t>
  </si>
  <si>
    <t>5-C</t>
  </si>
  <si>
    <t>2-D</t>
  </si>
  <si>
    <t>KET.</t>
  </si>
  <si>
    <t>Tamhidi C</t>
  </si>
  <si>
    <t>2025/2026</t>
  </si>
  <si>
    <t>1 (Satu)</t>
  </si>
  <si>
    <t>Kelas 5C</t>
  </si>
  <si>
    <t>No Urut</t>
  </si>
  <si>
    <t>Hadist</t>
  </si>
  <si>
    <t>Mu'allim Zaenuddin</t>
  </si>
  <si>
    <t>Mu'allim Najib Jibril</t>
  </si>
  <si>
    <t>Mu'allim Qomaruddin</t>
  </si>
  <si>
    <t>Mu'allim Muhammad</t>
  </si>
  <si>
    <t>Mu'allim Deden T</t>
  </si>
  <si>
    <t>Mu'allim Adnan</t>
  </si>
  <si>
    <t>Mu'allim Deva</t>
  </si>
  <si>
    <t>Mu'allim A Wahya</t>
  </si>
  <si>
    <t>Umum</t>
  </si>
  <si>
    <t xml:space="preserve">PKN </t>
  </si>
  <si>
    <t>INDO</t>
  </si>
  <si>
    <t>MTK</t>
  </si>
  <si>
    <t>IPA</t>
  </si>
  <si>
    <t>IPS</t>
  </si>
  <si>
    <t>INGGRIS</t>
  </si>
  <si>
    <t>B</t>
  </si>
  <si>
    <t>A</t>
  </si>
  <si>
    <t>C</t>
  </si>
  <si>
    <t>Sumedang, 05 September 2025</t>
  </si>
  <si>
    <t>Mu'allim Farhan S</t>
  </si>
  <si>
    <t>Mu'allim Fachrudin</t>
  </si>
  <si>
    <t>Muhammad Ilham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</si>
</sst>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2000000]0"/>
    <numFmt numFmtId="165" formatCode="[$-2000000]0.00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4"/>
      <color theme="1"/>
      <name val="Arial"/>
      <family val="2"/>
    </font>
    <font>
      <b/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u/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i/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b/>
      <sz val="11"/>
      <color rgb="FF000000"/>
      <name val="Arial"/>
      <family val="2"/>
    </font>
    <font>
      <b/>
      <sz val="20"/>
      <color theme="1"/>
      <name val="Calibri"/>
      <family val="2"/>
      <scheme val="minor"/>
    </font>
    <font>
      <sz val="14"/>
      <color theme="1"/>
      <name val="Times New Roman"/>
      <family val="1"/>
    </font>
    <font>
      <sz val="1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sz val="12"/>
      <name val="Calibri"/>
      <family val="2"/>
    </font>
    <font>
      <sz val="12"/>
      <color rgb="FF000000"/>
      <name val="Calibri"/>
      <family val="2"/>
    </font>
    <font>
      <sz val="11"/>
      <color theme="1"/>
      <name val="Times New Roman"/>
      <family val="1"/>
    </font>
    <font>
      <sz val="12"/>
      <color theme="1"/>
      <name val="Calibri"/>
      <family val="2"/>
    </font>
    <font>
      <b/>
      <sz val="12"/>
      <color rgb="FF000000"/>
      <name val="Arial"/>
      <family val="2"/>
    </font>
    <font>
      <b/>
      <u/>
      <sz val="11"/>
      <color theme="1"/>
      <name val="Arial"/>
      <family val="2"/>
    </font>
    <font>
      <b/>
      <u/>
      <sz val="11"/>
      <name val="Arial"/>
      <family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sz val="11"/>
      <name val="TRUENO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rgb="FF95B3D7"/>
        <bgColor rgb="FF000000"/>
      </patternFill>
    </fill>
    <fill>
      <patternFill patternType="solid">
        <fgColor rgb="FFB7DEE8"/>
        <bgColor rgb="FF000000"/>
      </patternFill>
    </fill>
    <fill>
      <patternFill patternType="solid">
        <fgColor rgb="FFE6B8B7"/>
        <bgColor rgb="FF000000"/>
      </patternFill>
    </fill>
    <fill>
      <patternFill patternType="solid">
        <fgColor theme="4" tint="0.39997558519241921"/>
        <bgColor rgb="FF000000"/>
      </patternFill>
    </fill>
    <fill>
      <patternFill patternType="solid">
        <fgColor rgb="FFE5E4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44B3E1"/>
        <bgColor rgb="FF000000"/>
      </patternFill>
    </fill>
    <fill>
      <patternFill patternType="solid">
        <fgColor rgb="FFFF0000"/>
        <bgColor rgb="FF000000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7" fillId="0" borderId="0"/>
    <xf numFmtId="0" fontId="27" fillId="0" borderId="0"/>
    <xf numFmtId="0" fontId="7" fillId="0" borderId="0"/>
    <xf numFmtId="0" fontId="47" fillId="0" borderId="0" applyNumberFormat="0" applyFill="0" applyBorder="0" applyAlignment="0" applyProtection="0"/>
  </cellStyleXfs>
  <cellXfs count="450">
    <xf numFmtId="0" fontId="0" fillId="0" borderId="0" xfId="0"/>
    <xf numFmtId="0" fontId="8" fillId="0" borderId="11" xfId="0" applyFont="1" applyBorder="1" applyAlignment="1">
      <alignment horizontal="left" vertical="center"/>
    </xf>
    <xf numFmtId="0" fontId="0" fillId="2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9" fillId="0" borderId="11" xfId="0" applyFont="1" applyBorder="1" applyAlignment="1">
      <alignment horizontal="left" vertical="center"/>
    </xf>
    <xf numFmtId="0" fontId="9" fillId="0" borderId="11" xfId="0" applyFont="1" applyBorder="1" applyAlignment="1">
      <alignment horizontal="center" vertical="center"/>
    </xf>
    <xf numFmtId="164" fontId="9" fillId="0" borderId="14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top"/>
    </xf>
    <xf numFmtId="0" fontId="9" fillId="0" borderId="5" xfId="0" applyFont="1" applyBorder="1" applyAlignment="1">
      <alignment horizontal="left" vertical="top"/>
    </xf>
    <xf numFmtId="0" fontId="9" fillId="0" borderId="7" xfId="0" applyFont="1" applyBorder="1" applyAlignment="1">
      <alignment horizontal="center" vertical="top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9" fillId="0" borderId="8" xfId="0" applyFont="1" applyBorder="1" applyAlignment="1">
      <alignment horizontal="left" vertical="top"/>
    </xf>
    <xf numFmtId="0" fontId="9" fillId="0" borderId="4" xfId="0" applyFont="1" applyBorder="1" applyAlignment="1">
      <alignment vertical="top"/>
    </xf>
    <xf numFmtId="0" fontId="9" fillId="0" borderId="0" xfId="0" applyFont="1" applyAlignment="1">
      <alignment vertical="top"/>
    </xf>
    <xf numFmtId="0" fontId="0" fillId="0" borderId="4" xfId="0" applyBorder="1" applyAlignment="1">
      <alignment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vertical="center"/>
    </xf>
    <xf numFmtId="0" fontId="9" fillId="0" borderId="6" xfId="0" applyFont="1" applyBorder="1" applyAlignment="1">
      <alignment vertical="top"/>
    </xf>
    <xf numFmtId="0" fontId="9" fillId="0" borderId="7" xfId="0" applyFont="1" applyBorder="1" applyAlignment="1">
      <alignment vertical="top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10" fillId="0" borderId="8" xfId="0" applyFont="1" applyBorder="1"/>
    <xf numFmtId="0" fontId="10" fillId="0" borderId="4" xfId="0" applyFont="1" applyBorder="1"/>
    <xf numFmtId="0" fontId="10" fillId="0" borderId="0" xfId="0" applyFont="1"/>
    <xf numFmtId="0" fontId="12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0" borderId="4" xfId="0" applyFont="1" applyBorder="1"/>
    <xf numFmtId="0" fontId="12" fillId="0" borderId="0" xfId="0" applyFont="1"/>
    <xf numFmtId="0" fontId="12" fillId="0" borderId="5" xfId="0" applyFont="1" applyBorder="1"/>
    <xf numFmtId="0" fontId="13" fillId="0" borderId="10" xfId="0" applyFont="1" applyBorder="1" applyAlignment="1">
      <alignment horizontal="left" vertical="center"/>
    </xf>
    <xf numFmtId="0" fontId="14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164" fontId="15" fillId="0" borderId="10" xfId="0" applyNumberFormat="1" applyFont="1" applyBorder="1" applyAlignment="1">
      <alignment vertical="center"/>
    </xf>
    <xf numFmtId="164" fontId="15" fillId="0" borderId="10" xfId="0" applyNumberFormat="1" applyFont="1" applyBorder="1" applyAlignment="1">
      <alignment horizontal="center" vertical="center"/>
    </xf>
    <xf numFmtId="0" fontId="16" fillId="0" borderId="11" xfId="0" applyFont="1" applyBorder="1" applyAlignment="1">
      <alignment horizontal="right" vertical="center"/>
    </xf>
    <xf numFmtId="0" fontId="10" fillId="0" borderId="9" xfId="0" applyFont="1" applyBorder="1"/>
    <xf numFmtId="0" fontId="8" fillId="0" borderId="10" xfId="0" applyFont="1" applyBorder="1" applyAlignment="1">
      <alignment horizontal="right"/>
    </xf>
    <xf numFmtId="164" fontId="20" fillId="3" borderId="14" xfId="0" applyNumberFormat="1" applyFont="1" applyFill="1" applyBorder="1" applyAlignment="1">
      <alignment horizontal="center" vertical="center"/>
    </xf>
    <xf numFmtId="165" fontId="20" fillId="3" borderId="14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2" fontId="12" fillId="0" borderId="0" xfId="0" applyNumberFormat="1" applyFont="1" applyAlignment="1">
      <alignment horizontal="center" vertical="center"/>
    </xf>
    <xf numFmtId="165" fontId="20" fillId="3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right" vertical="center"/>
    </xf>
    <xf numFmtId="0" fontId="0" fillId="2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2" fillId="0" borderId="2" xfId="0" applyFont="1" applyBorder="1"/>
    <xf numFmtId="164" fontId="16" fillId="0" borderId="1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16" fillId="0" borderId="14" xfId="0" applyNumberFormat="1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0" applyFont="1"/>
    <xf numFmtId="0" fontId="23" fillId="0" borderId="0" xfId="0" applyFont="1"/>
    <xf numFmtId="0" fontId="14" fillId="0" borderId="0" xfId="0" applyFont="1"/>
    <xf numFmtId="0" fontId="20" fillId="4" borderId="10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/>
    </xf>
    <xf numFmtId="0" fontId="20" fillId="4" borderId="14" xfId="0" applyFont="1" applyFill="1" applyBorder="1" applyAlignment="1">
      <alignment horizontal="center" textRotation="90"/>
    </xf>
    <xf numFmtId="0" fontId="20" fillId="5" borderId="14" xfId="0" applyFont="1" applyFill="1" applyBorder="1" applyAlignment="1">
      <alignment horizontal="center" textRotation="90"/>
    </xf>
    <xf numFmtId="0" fontId="20" fillId="8" borderId="14" xfId="0" applyFont="1" applyFill="1" applyBorder="1" applyAlignment="1">
      <alignment horizontal="center" textRotation="90"/>
    </xf>
    <xf numFmtId="0" fontId="24" fillId="3" borderId="14" xfId="0" applyFont="1" applyFill="1" applyBorder="1" applyAlignment="1">
      <alignment horizontal="center" vertical="center"/>
    </xf>
    <xf numFmtId="0" fontId="24" fillId="9" borderId="14" xfId="0" applyFont="1" applyFill="1" applyBorder="1"/>
    <xf numFmtId="1" fontId="25" fillId="4" borderId="14" xfId="0" applyNumberFormat="1" applyFont="1" applyFill="1" applyBorder="1" applyAlignment="1">
      <alignment horizontal="center" vertical="center"/>
    </xf>
    <xf numFmtId="1" fontId="25" fillId="5" borderId="14" xfId="0" applyNumberFormat="1" applyFont="1" applyFill="1" applyBorder="1" applyAlignment="1">
      <alignment horizontal="center" vertical="center"/>
    </xf>
    <xf numFmtId="1" fontId="14" fillId="2" borderId="14" xfId="0" applyNumberFormat="1" applyFont="1" applyFill="1" applyBorder="1" applyAlignment="1">
      <alignment horizontal="center" vertical="center"/>
    </xf>
    <xf numFmtId="2" fontId="14" fillId="2" borderId="14" xfId="0" applyNumberFormat="1" applyFont="1" applyFill="1" applyBorder="1" applyAlignment="1">
      <alignment horizontal="center" vertical="center"/>
    </xf>
    <xf numFmtId="0" fontId="14" fillId="2" borderId="14" xfId="0" applyFont="1" applyFill="1" applyBorder="1" applyAlignment="1">
      <alignment horizontal="center" vertical="center"/>
    </xf>
    <xf numFmtId="0" fontId="14" fillId="6" borderId="14" xfId="0" applyFont="1" applyFill="1" applyBorder="1" applyAlignment="1">
      <alignment horizontal="center" vertical="center"/>
    </xf>
    <xf numFmtId="0" fontId="14" fillId="7" borderId="14" xfId="0" applyFont="1" applyFill="1" applyBorder="1" applyAlignment="1">
      <alignment horizontal="center" vertical="center"/>
    </xf>
    <xf numFmtId="0" fontId="14" fillId="7" borderId="14" xfId="0" applyFont="1" applyFill="1" applyBorder="1"/>
    <xf numFmtId="0" fontId="25" fillId="10" borderId="14" xfId="0" applyFont="1" applyFill="1" applyBorder="1" applyAlignment="1">
      <alignment horizontal="center" vertical="center"/>
    </xf>
    <xf numFmtId="0" fontId="24" fillId="9" borderId="14" xfId="0" applyFont="1" applyFill="1" applyBorder="1" applyAlignment="1">
      <alignment vertical="center"/>
    </xf>
    <xf numFmtId="0" fontId="24" fillId="11" borderId="14" xfId="0" applyFont="1" applyFill="1" applyBorder="1"/>
    <xf numFmtId="0" fontId="24" fillId="11" borderId="14" xfId="0" applyFont="1" applyFill="1" applyBorder="1" applyAlignment="1">
      <alignment vertical="center"/>
    </xf>
    <xf numFmtId="0" fontId="24" fillId="3" borderId="14" xfId="0" applyFont="1" applyFill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14" fillId="0" borderId="14" xfId="0" applyFont="1" applyBorder="1"/>
    <xf numFmtId="0" fontId="14" fillId="0" borderId="0" xfId="0" applyFont="1" applyAlignment="1">
      <alignment horizontal="center" vertical="center"/>
    </xf>
    <xf numFmtId="0" fontId="20" fillId="0" borderId="0" xfId="0" applyFont="1"/>
    <xf numFmtId="0" fontId="26" fillId="0" borderId="0" xfId="0" applyFont="1"/>
    <xf numFmtId="0" fontId="14" fillId="13" borderId="0" xfId="0" applyFont="1" applyFill="1"/>
    <xf numFmtId="0" fontId="14" fillId="12" borderId="0" xfId="0" applyFont="1" applyFill="1"/>
    <xf numFmtId="0" fontId="14" fillId="14" borderId="0" xfId="0" applyFont="1" applyFill="1"/>
    <xf numFmtId="0" fontId="14" fillId="2" borderId="0" xfId="0" applyFont="1" applyFill="1"/>
    <xf numFmtId="0" fontId="20" fillId="5" borderId="2" xfId="0" applyFont="1" applyFill="1" applyBorder="1" applyAlignment="1">
      <alignment horizontal="center"/>
    </xf>
    <xf numFmtId="0" fontId="24" fillId="0" borderId="14" xfId="0" applyFont="1" applyBorder="1" applyAlignment="1">
      <alignment horizontal="center" vertical="center"/>
    </xf>
    <xf numFmtId="0" fontId="24" fillId="0" borderId="14" xfId="0" applyFont="1" applyBorder="1" applyAlignment="1">
      <alignment vertical="center"/>
    </xf>
    <xf numFmtId="0" fontId="28" fillId="3" borderId="14" xfId="0" applyFont="1" applyFill="1" applyBorder="1" applyAlignment="1">
      <alignment horizontal="center" vertical="center" wrapText="1"/>
    </xf>
    <xf numFmtId="0" fontId="29" fillId="3" borderId="14" xfId="0" applyFont="1" applyFill="1" applyBorder="1" applyAlignment="1">
      <alignment horizontal="center" vertical="center"/>
    </xf>
    <xf numFmtId="0" fontId="29" fillId="11" borderId="14" xfId="0" applyFont="1" applyFill="1" applyBorder="1" applyAlignment="1">
      <alignment vertical="center"/>
    </xf>
    <xf numFmtId="0" fontId="29" fillId="9" borderId="14" xfId="0" applyFont="1" applyFill="1" applyBorder="1" applyAlignment="1">
      <alignment vertical="center"/>
    </xf>
    <xf numFmtId="0" fontId="29" fillId="3" borderId="14" xfId="0" applyFont="1" applyFill="1" applyBorder="1" applyAlignment="1">
      <alignment vertical="center"/>
    </xf>
    <xf numFmtId="0" fontId="20" fillId="10" borderId="14" xfId="0" applyFont="1" applyFill="1" applyBorder="1" applyAlignment="1">
      <alignment horizontal="center" textRotation="90"/>
    </xf>
    <xf numFmtId="0" fontId="29" fillId="0" borderId="14" xfId="0" applyFont="1" applyBorder="1" applyAlignment="1">
      <alignment horizontal="center" vertical="center" wrapText="1"/>
    </xf>
    <xf numFmtId="0" fontId="29" fillId="9" borderId="14" xfId="0" applyFont="1" applyFill="1" applyBorder="1" applyAlignment="1">
      <alignment vertical="center" wrapText="1"/>
    </xf>
    <xf numFmtId="0" fontId="25" fillId="2" borderId="14" xfId="0" applyFont="1" applyFill="1" applyBorder="1" applyAlignment="1">
      <alignment horizontal="center" vertical="center"/>
    </xf>
    <xf numFmtId="0" fontId="29" fillId="11" borderId="14" xfId="0" applyFont="1" applyFill="1" applyBorder="1" applyAlignment="1">
      <alignment vertical="center" wrapText="1"/>
    </xf>
    <xf numFmtId="0" fontId="29" fillId="3" borderId="14" xfId="0" applyFont="1" applyFill="1" applyBorder="1" applyAlignment="1">
      <alignment vertical="center" wrapText="1"/>
    </xf>
    <xf numFmtId="0" fontId="20" fillId="10" borderId="2" xfId="0" applyFont="1" applyFill="1" applyBorder="1" applyAlignment="1">
      <alignment horizontal="center"/>
    </xf>
    <xf numFmtId="0" fontId="29" fillId="3" borderId="14" xfId="0" applyFont="1" applyFill="1" applyBorder="1" applyAlignment="1">
      <alignment horizontal="center" vertical="center" wrapText="1"/>
    </xf>
    <xf numFmtId="0" fontId="29" fillId="9" borderId="14" xfId="0" applyFont="1" applyFill="1" applyBorder="1" applyAlignment="1">
      <alignment horizontal="center" vertical="center" wrapText="1"/>
    </xf>
    <xf numFmtId="0" fontId="29" fillId="0" borderId="14" xfId="0" applyFont="1" applyBorder="1" applyAlignment="1">
      <alignment vertical="center" wrapText="1"/>
    </xf>
    <xf numFmtId="0" fontId="29" fillId="0" borderId="14" xfId="0" applyFont="1" applyBorder="1" applyAlignment="1">
      <alignment vertical="center"/>
    </xf>
    <xf numFmtId="0" fontId="29" fillId="11" borderId="14" xfId="0" applyFont="1" applyFill="1" applyBorder="1" applyAlignment="1">
      <alignment horizontal="center" vertical="center" wrapText="1"/>
    </xf>
    <xf numFmtId="1" fontId="29" fillId="9" borderId="14" xfId="0" applyNumberFormat="1" applyFont="1" applyFill="1" applyBorder="1" applyAlignment="1">
      <alignment horizontal="center" vertical="center" wrapText="1"/>
    </xf>
    <xf numFmtId="0" fontId="29" fillId="9" borderId="14" xfId="0" applyFont="1" applyFill="1" applyBorder="1" applyAlignment="1">
      <alignment horizontal="left" vertical="center" wrapText="1"/>
    </xf>
    <xf numFmtId="1" fontId="29" fillId="11" borderId="14" xfId="0" applyNumberFormat="1" applyFont="1" applyFill="1" applyBorder="1" applyAlignment="1">
      <alignment horizontal="center" vertical="center" wrapText="1"/>
    </xf>
    <xf numFmtId="1" fontId="29" fillId="0" borderId="14" xfId="0" applyNumberFormat="1" applyFont="1" applyBorder="1" applyAlignment="1">
      <alignment horizontal="center" vertical="center" wrapText="1"/>
    </xf>
    <xf numFmtId="0" fontId="29" fillId="9" borderId="14" xfId="0" applyFont="1" applyFill="1" applyBorder="1" applyAlignment="1">
      <alignment horizontal="center" vertical="center"/>
    </xf>
    <xf numFmtId="0" fontId="30" fillId="0" borderId="0" xfId="0" applyFont="1"/>
    <xf numFmtId="0" fontId="30" fillId="0" borderId="0" xfId="0" applyFont="1" applyAlignment="1">
      <alignment horizontal="center"/>
    </xf>
    <xf numFmtId="0" fontId="31" fillId="16" borderId="14" xfId="0" applyFont="1" applyFill="1" applyBorder="1" applyAlignment="1">
      <alignment horizontal="center" textRotation="90"/>
    </xf>
    <xf numFmtId="0" fontId="32" fillId="0" borderId="0" xfId="0" applyFont="1"/>
    <xf numFmtId="0" fontId="33" fillId="0" borderId="14" xfId="0" applyFont="1" applyBorder="1" applyAlignment="1">
      <alignment horizontal="center" vertical="center" wrapText="1"/>
    </xf>
    <xf numFmtId="0" fontId="33" fillId="0" borderId="14" xfId="0" applyFont="1" applyBorder="1" applyAlignment="1">
      <alignment vertical="center" wrapText="1"/>
    </xf>
    <xf numFmtId="1" fontId="34" fillId="16" borderId="14" xfId="0" applyNumberFormat="1" applyFont="1" applyFill="1" applyBorder="1" applyAlignment="1">
      <alignment horizontal="center" vertical="center"/>
    </xf>
    <xf numFmtId="1" fontId="34" fillId="20" borderId="14" xfId="0" applyNumberFormat="1" applyFont="1" applyFill="1" applyBorder="1" applyAlignment="1">
      <alignment horizontal="center" vertical="center"/>
    </xf>
    <xf numFmtId="1" fontId="35" fillId="15" borderId="14" xfId="0" applyNumberFormat="1" applyFont="1" applyFill="1" applyBorder="1" applyAlignment="1">
      <alignment horizontal="center" vertical="center"/>
    </xf>
    <xf numFmtId="2" fontId="35" fillId="15" borderId="14" xfId="0" applyNumberFormat="1" applyFont="1" applyFill="1" applyBorder="1" applyAlignment="1">
      <alignment horizontal="center" vertical="center"/>
    </xf>
    <xf numFmtId="0" fontId="35" fillId="15" borderId="14" xfId="0" applyFont="1" applyFill="1" applyBorder="1" applyAlignment="1">
      <alignment horizontal="center" vertical="center"/>
    </xf>
    <xf numFmtId="0" fontId="35" fillId="18" borderId="14" xfId="0" applyFont="1" applyFill="1" applyBorder="1" applyAlignment="1">
      <alignment horizontal="center" vertical="center"/>
    </xf>
    <xf numFmtId="0" fontId="35" fillId="19" borderId="14" xfId="0" applyFont="1" applyFill="1" applyBorder="1" applyAlignment="1">
      <alignment horizontal="center" vertical="center"/>
    </xf>
    <xf numFmtId="0" fontId="0" fillId="7" borderId="14" xfId="0" applyFill="1" applyBorder="1"/>
    <xf numFmtId="2" fontId="34" fillId="16" borderId="14" xfId="0" applyNumberFormat="1" applyFont="1" applyFill="1" applyBorder="1" applyAlignment="1">
      <alignment horizontal="center" vertical="center"/>
    </xf>
    <xf numFmtId="0" fontId="34" fillId="17" borderId="14" xfId="0" applyFont="1" applyFill="1" applyBorder="1" applyAlignment="1">
      <alignment horizontal="center" vertical="center"/>
    </xf>
    <xf numFmtId="1" fontId="33" fillId="0" borderId="14" xfId="1" applyNumberFormat="1" applyFont="1" applyBorder="1" applyAlignment="1">
      <alignment horizontal="center" vertical="center" wrapText="1"/>
    </xf>
    <xf numFmtId="2" fontId="35" fillId="16" borderId="14" xfId="0" applyNumberFormat="1" applyFont="1" applyFill="1" applyBorder="1" applyAlignment="1">
      <alignment horizontal="center" vertical="center"/>
    </xf>
    <xf numFmtId="0" fontId="35" fillId="17" borderId="14" xfId="0" applyFont="1" applyFill="1" applyBorder="1" applyAlignment="1">
      <alignment horizontal="center" vertical="center"/>
    </xf>
    <xf numFmtId="1" fontId="33" fillId="0" borderId="14" xfId="0" applyNumberFormat="1" applyFont="1" applyBorder="1" applyAlignment="1">
      <alignment horizontal="center" vertical="center" wrapText="1"/>
    </xf>
    <xf numFmtId="0" fontId="35" fillId="0" borderId="14" xfId="0" applyFont="1" applyBorder="1" applyAlignment="1">
      <alignment vertical="center"/>
    </xf>
    <xf numFmtId="0" fontId="0" fillId="0" borderId="14" xfId="0" applyBorder="1"/>
    <xf numFmtId="0" fontId="20" fillId="4" borderId="1" xfId="0" applyFont="1" applyFill="1" applyBorder="1" applyAlignment="1">
      <alignment horizontal="center"/>
    </xf>
    <xf numFmtId="0" fontId="28" fillId="0" borderId="14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/>
    </xf>
    <xf numFmtId="0" fontId="36" fillId="11" borderId="14" xfId="0" applyFont="1" applyFill="1" applyBorder="1" applyAlignment="1">
      <alignment vertical="center" wrapText="1"/>
    </xf>
    <xf numFmtId="0" fontId="14" fillId="0" borderId="14" xfId="2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3" borderId="14" xfId="0" applyFont="1" applyFill="1" applyBorder="1" applyAlignment="1">
      <alignment vertical="center"/>
    </xf>
    <xf numFmtId="0" fontId="14" fillId="3" borderId="14" xfId="0" applyFont="1" applyFill="1" applyBorder="1" applyAlignment="1">
      <alignment horizontal="left" vertical="center"/>
    </xf>
    <xf numFmtId="0" fontId="14" fillId="0" borderId="14" xfId="0" applyFont="1" applyBorder="1" applyAlignment="1">
      <alignment horizontal="left" vertical="center"/>
    </xf>
    <xf numFmtId="0" fontId="37" fillId="0" borderId="14" xfId="0" applyFont="1" applyBorder="1" applyAlignment="1">
      <alignment vertical="center"/>
    </xf>
    <xf numFmtId="0" fontId="14" fillId="0" borderId="9" xfId="2" applyFont="1" applyBorder="1" applyAlignment="1">
      <alignment horizontal="center" vertical="center"/>
    </xf>
    <xf numFmtId="0" fontId="14" fillId="0" borderId="14" xfId="2" applyFont="1" applyBorder="1" applyAlignment="1">
      <alignment vertical="center"/>
    </xf>
    <xf numFmtId="0" fontId="37" fillId="0" borderId="14" xfId="2" applyFont="1" applyBorder="1" applyAlignment="1">
      <alignment vertical="center"/>
    </xf>
    <xf numFmtId="0" fontId="14" fillId="0" borderId="14" xfId="2" applyFont="1" applyBorder="1" applyAlignment="1">
      <alignment horizontal="left" vertical="center"/>
    </xf>
    <xf numFmtId="0" fontId="14" fillId="0" borderId="10" xfId="2" applyFont="1" applyBorder="1" applyAlignment="1">
      <alignment horizontal="center" vertical="center"/>
    </xf>
    <xf numFmtId="0" fontId="14" fillId="0" borderId="11" xfId="2" applyFont="1" applyBorder="1" applyAlignment="1">
      <alignment vertical="center"/>
    </xf>
    <xf numFmtId="0" fontId="9" fillId="0" borderId="2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12" fillId="0" borderId="10" xfId="0" applyFont="1" applyBorder="1" applyAlignment="1">
      <alignment horizontal="left" vertical="center"/>
    </xf>
    <xf numFmtId="0" fontId="18" fillId="0" borderId="0" xfId="0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12" fillId="0" borderId="9" xfId="0" applyFont="1" applyBorder="1" applyAlignment="1">
      <alignment horizontal="left" vertical="center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/>
    </xf>
    <xf numFmtId="0" fontId="39" fillId="0" borderId="10" xfId="0" quotePrefix="1" applyFont="1" applyBorder="1" applyAlignment="1">
      <alignment horizontal="center" vertical="center"/>
    </xf>
    <xf numFmtId="0" fontId="39" fillId="0" borderId="10" xfId="0" applyFont="1" applyBorder="1" applyAlignment="1">
      <alignment horizontal="left" vertical="center"/>
    </xf>
    <xf numFmtId="0" fontId="12" fillId="0" borderId="11" xfId="0" applyFont="1" applyBorder="1" applyAlignment="1">
      <alignment horizontal="center" vertical="center"/>
    </xf>
    <xf numFmtId="0" fontId="14" fillId="0" borderId="9" xfId="0" applyFont="1" applyBorder="1"/>
    <xf numFmtId="164" fontId="9" fillId="0" borderId="10" xfId="0" applyNumberFormat="1" applyFont="1" applyBorder="1" applyAlignment="1">
      <alignment horizontal="right" vertical="center"/>
    </xf>
    <xf numFmtId="164" fontId="12" fillId="0" borderId="14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right" vertical="center"/>
    </xf>
    <xf numFmtId="0" fontId="12" fillId="0" borderId="10" xfId="0" applyFont="1" applyBorder="1" applyAlignment="1">
      <alignment horizontal="right" vertical="center"/>
    </xf>
    <xf numFmtId="0" fontId="12" fillId="0" borderId="11" xfId="0" applyFont="1" applyBorder="1" applyAlignment="1">
      <alignment horizontal="right" vertical="center"/>
    </xf>
    <xf numFmtId="165" fontId="12" fillId="0" borderId="14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2" fillId="0" borderId="10" xfId="0" applyFont="1" applyBorder="1" applyAlignment="1">
      <alignment vertical="center"/>
    </xf>
    <xf numFmtId="164" fontId="40" fillId="0" borderId="10" xfId="0" applyNumberFormat="1" applyFont="1" applyBorder="1" applyAlignment="1">
      <alignment vertical="center"/>
    </xf>
    <xf numFmtId="164" fontId="40" fillId="0" borderId="10" xfId="0" applyNumberFormat="1" applyFont="1" applyBorder="1" applyAlignment="1">
      <alignment horizontal="center" vertical="center"/>
    </xf>
    <xf numFmtId="0" fontId="41" fillId="0" borderId="11" xfId="0" applyFont="1" applyBorder="1" applyAlignment="1">
      <alignment horizontal="right" vertical="center"/>
    </xf>
    <xf numFmtId="164" fontId="42" fillId="3" borderId="14" xfId="0" applyNumberFormat="1" applyFont="1" applyFill="1" applyBorder="1" applyAlignment="1">
      <alignment horizontal="center" vertical="center"/>
    </xf>
    <xf numFmtId="165" fontId="42" fillId="3" borderId="14" xfId="0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top"/>
    </xf>
    <xf numFmtId="0" fontId="12" fillId="0" borderId="5" xfId="0" applyFont="1" applyBorder="1" applyAlignment="1">
      <alignment horizontal="left" vertical="top"/>
    </xf>
    <xf numFmtId="0" fontId="12" fillId="0" borderId="7" xfId="0" applyFont="1" applyBorder="1" applyAlignment="1">
      <alignment horizontal="center" vertical="top"/>
    </xf>
    <xf numFmtId="0" fontId="12" fillId="0" borderId="8" xfId="0" applyFont="1" applyBorder="1" applyAlignment="1">
      <alignment horizontal="left" vertical="top"/>
    </xf>
    <xf numFmtId="0" fontId="12" fillId="0" borderId="4" xfId="0" applyFont="1" applyBorder="1" applyAlignment="1">
      <alignment vertical="top"/>
    </xf>
    <xf numFmtId="0" fontId="12" fillId="0" borderId="0" xfId="0" applyFont="1" applyAlignment="1">
      <alignment vertical="top"/>
    </xf>
    <xf numFmtId="0" fontId="12" fillId="0" borderId="6" xfId="0" applyFont="1" applyBorder="1" applyAlignment="1">
      <alignment vertical="top"/>
    </xf>
    <xf numFmtId="0" fontId="12" fillId="0" borderId="7" xfId="0" applyFont="1" applyBorder="1" applyAlignment="1">
      <alignment vertical="top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0" fillId="0" borderId="8" xfId="0" applyBorder="1"/>
    <xf numFmtId="0" fontId="12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0" fontId="12" fillId="0" borderId="13" xfId="0" applyFont="1" applyBorder="1" applyAlignment="1">
      <alignment horizontal="center" vertical="center"/>
    </xf>
    <xf numFmtId="164" fontId="12" fillId="0" borderId="13" xfId="0" applyNumberFormat="1" applyFont="1" applyBorder="1" applyAlignment="1">
      <alignment horizontal="center" vertical="center"/>
    </xf>
    <xf numFmtId="0" fontId="9" fillId="0" borderId="10" xfId="0" applyFont="1" applyBorder="1" applyAlignment="1">
      <alignment horizontal="right"/>
    </xf>
    <xf numFmtId="0" fontId="9" fillId="0" borderId="2" xfId="0" applyFont="1" applyBorder="1" applyAlignment="1">
      <alignment vertical="center"/>
    </xf>
    <xf numFmtId="164" fontId="41" fillId="0" borderId="14" xfId="0" applyNumberFormat="1" applyFont="1" applyBorder="1" applyAlignment="1">
      <alignment horizontal="center" vertical="center"/>
    </xf>
    <xf numFmtId="165" fontId="41" fillId="0" borderId="14" xfId="0" applyNumberFormat="1" applyFont="1" applyBorder="1" applyAlignment="1">
      <alignment horizontal="center" vertical="center"/>
    </xf>
    <xf numFmtId="0" fontId="39" fillId="0" borderId="10" xfId="0" applyFont="1" applyBorder="1" applyAlignment="1">
      <alignment horizontal="center" vertical="center"/>
    </xf>
    <xf numFmtId="0" fontId="44" fillId="21" borderId="0" xfId="3" applyFont="1" applyFill="1" applyAlignment="1">
      <alignment horizontal="left" vertical="center"/>
    </xf>
    <xf numFmtId="0" fontId="7" fillId="21" borderId="0" xfId="3" applyFill="1"/>
    <xf numFmtId="0" fontId="45" fillId="21" borderId="0" xfId="3" applyFont="1" applyFill="1"/>
    <xf numFmtId="0" fontId="7" fillId="3" borderId="0" xfId="3" applyFill="1"/>
    <xf numFmtId="0" fontId="7" fillId="0" borderId="0" xfId="3"/>
    <xf numFmtId="0" fontId="42" fillId="0" borderId="0" xfId="3" applyFont="1" applyAlignment="1">
      <alignment horizontal="center" vertical="center"/>
    </xf>
    <xf numFmtId="0" fontId="7" fillId="0" borderId="14" xfId="3" applyBorder="1"/>
    <xf numFmtId="0" fontId="7" fillId="21" borderId="0" xfId="3" applyFill="1" applyAlignment="1">
      <alignment vertical="center"/>
    </xf>
    <xf numFmtId="0" fontId="7" fillId="0" borderId="0" xfId="3" applyAlignment="1">
      <alignment vertical="center"/>
    </xf>
    <xf numFmtId="0" fontId="7" fillId="0" borderId="0" xfId="3" applyAlignment="1">
      <alignment horizontal="center" vertical="center"/>
    </xf>
    <xf numFmtId="0" fontId="47" fillId="0" borderId="0" xfId="4" applyAlignment="1">
      <alignment horizontal="center" vertical="center"/>
    </xf>
    <xf numFmtId="0" fontId="6" fillId="0" borderId="0" xfId="3" applyFont="1" applyAlignment="1">
      <alignment vertical="center"/>
    </xf>
    <xf numFmtId="0" fontId="6" fillId="0" borderId="0" xfId="3" applyFont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165" fontId="42" fillId="3" borderId="2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right" vertical="center"/>
    </xf>
    <xf numFmtId="0" fontId="12" fillId="0" borderId="3" xfId="0" applyFont="1" applyBorder="1" applyAlignment="1">
      <alignment horizontal="right" vertical="center"/>
    </xf>
    <xf numFmtId="0" fontId="36" fillId="0" borderId="14" xfId="0" applyFont="1" applyBorder="1" applyAlignment="1">
      <alignment horizontal="center" vertical="center" wrapText="1"/>
    </xf>
    <xf numFmtId="0" fontId="36" fillId="0" borderId="14" xfId="0" applyFont="1" applyBorder="1" applyAlignment="1">
      <alignment vertical="center" wrapText="1"/>
    </xf>
    <xf numFmtId="1" fontId="36" fillId="0" borderId="14" xfId="1" applyNumberFormat="1" applyFont="1" applyBorder="1" applyAlignment="1">
      <alignment horizontal="center" vertical="center" wrapText="1"/>
    </xf>
    <xf numFmtId="1" fontId="36" fillId="0" borderId="14" xfId="0" applyNumberFormat="1" applyFont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165" fontId="42" fillId="3" borderId="0" xfId="0" applyNumberFormat="1" applyFont="1" applyFill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4" fillId="0" borderId="0" xfId="3" applyFont="1" applyAlignment="1">
      <alignment horizontal="left" vertical="center"/>
    </xf>
    <xf numFmtId="0" fontId="7" fillId="22" borderId="0" xfId="3" applyFill="1"/>
    <xf numFmtId="0" fontId="7" fillId="22" borderId="0" xfId="3" applyFill="1" applyAlignment="1">
      <alignment vertical="center"/>
    </xf>
    <xf numFmtId="0" fontId="20" fillId="5" borderId="11" xfId="0" applyFont="1" applyFill="1" applyBorder="1" applyAlignment="1">
      <alignment horizontal="center"/>
    </xf>
    <xf numFmtId="0" fontId="20" fillId="10" borderId="10" xfId="0" applyFont="1" applyFill="1" applyBorder="1" applyAlignment="1">
      <alignment horizontal="center"/>
    </xf>
    <xf numFmtId="0" fontId="20" fillId="10" borderId="11" xfId="0" applyFont="1" applyFill="1" applyBorder="1" applyAlignment="1">
      <alignment horizontal="center"/>
    </xf>
    <xf numFmtId="0" fontId="20" fillId="5" borderId="13" xfId="0" applyFont="1" applyFill="1" applyBorder="1" applyAlignment="1">
      <alignment horizontal="center" textRotation="90"/>
    </xf>
    <xf numFmtId="0" fontId="20" fillId="23" borderId="13" xfId="0" applyFont="1" applyFill="1" applyBorder="1" applyAlignment="1">
      <alignment horizontal="center" textRotation="90"/>
    </xf>
    <xf numFmtId="1" fontId="25" fillId="23" borderId="14" xfId="0" applyNumberFormat="1" applyFont="1" applyFill="1" applyBorder="1" applyAlignment="1">
      <alignment horizontal="center" vertical="center"/>
    </xf>
    <xf numFmtId="0" fontId="0" fillId="5" borderId="14" xfId="0" applyFill="1" applyBorder="1" applyAlignment="1">
      <alignment horizontal="center"/>
    </xf>
    <xf numFmtId="1" fontId="0" fillId="5" borderId="14" xfId="0" applyNumberFormat="1" applyFill="1" applyBorder="1" applyAlignment="1">
      <alignment horizontal="center"/>
    </xf>
    <xf numFmtId="2" fontId="0" fillId="5" borderId="14" xfId="0" applyNumberFormat="1" applyFill="1" applyBorder="1" applyAlignment="1">
      <alignment horizontal="center"/>
    </xf>
    <xf numFmtId="0" fontId="20" fillId="10" borderId="9" xfId="0" applyFont="1" applyFill="1" applyBorder="1" applyAlignment="1">
      <alignment horizontal="center" textRotation="90"/>
    </xf>
    <xf numFmtId="0" fontId="20" fillId="10" borderId="9" xfId="0" applyFont="1" applyFill="1" applyBorder="1" applyAlignment="1">
      <alignment horizontal="center"/>
    </xf>
    <xf numFmtId="0" fontId="25" fillId="23" borderId="14" xfId="0" applyFont="1" applyFill="1" applyBorder="1" applyAlignment="1">
      <alignment horizontal="center" vertical="center"/>
    </xf>
    <xf numFmtId="1" fontId="34" fillId="24" borderId="14" xfId="0" applyNumberFormat="1" applyFont="1" applyFill="1" applyBorder="1" applyAlignment="1">
      <alignment horizontal="center" vertical="center"/>
    </xf>
    <xf numFmtId="0" fontId="20" fillId="10" borderId="13" xfId="0" applyFont="1" applyFill="1" applyBorder="1" applyAlignment="1">
      <alignment horizontal="center" textRotation="90"/>
    </xf>
    <xf numFmtId="0" fontId="34" fillId="24" borderId="14" xfId="0" applyFont="1" applyFill="1" applyBorder="1" applyAlignment="1">
      <alignment horizontal="center" vertical="center"/>
    </xf>
    <xf numFmtId="0" fontId="35" fillId="24" borderId="14" xfId="0" applyFont="1" applyFill="1" applyBorder="1" applyAlignment="1">
      <alignment horizontal="center" vertical="center"/>
    </xf>
    <xf numFmtId="1" fontId="14" fillId="0" borderId="0" xfId="0" applyNumberFormat="1" applyFont="1"/>
    <xf numFmtId="1" fontId="14" fillId="7" borderId="14" xfId="0" applyNumberFormat="1" applyFont="1" applyFill="1" applyBorder="1"/>
    <xf numFmtId="0" fontId="28" fillId="3" borderId="9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/>
    <xf numFmtId="0" fontId="25" fillId="25" borderId="14" xfId="0" applyFont="1" applyFill="1" applyBorder="1" applyAlignment="1">
      <alignment horizontal="center" vertical="center"/>
    </xf>
    <xf numFmtId="0" fontId="48" fillId="25" borderId="14" xfId="0" applyFont="1" applyFill="1" applyBorder="1" applyAlignment="1">
      <alignment horizontal="center" vertical="center"/>
    </xf>
    <xf numFmtId="0" fontId="48" fillId="26" borderId="14" xfId="0" applyFont="1" applyFill="1" applyBorder="1" applyAlignment="1">
      <alignment horizontal="center" vertical="center"/>
    </xf>
    <xf numFmtId="0" fontId="49" fillId="18" borderId="14" xfId="0" applyFont="1" applyFill="1" applyBorder="1" applyAlignment="1">
      <alignment horizontal="center" vertical="center"/>
    </xf>
    <xf numFmtId="0" fontId="49" fillId="26" borderId="14" xfId="0" applyFont="1" applyFill="1" applyBorder="1" applyAlignment="1">
      <alignment horizontal="center" vertical="center"/>
    </xf>
    <xf numFmtId="0" fontId="49" fillId="15" borderId="14" xfId="0" applyFont="1" applyFill="1" applyBorder="1" applyAlignment="1">
      <alignment horizontal="center" vertical="center"/>
    </xf>
    <xf numFmtId="0" fontId="33" fillId="0" borderId="10" xfId="0" applyFont="1" applyBorder="1" applyAlignment="1">
      <alignment horizontal="center" vertical="center" wrapText="1"/>
    </xf>
    <xf numFmtId="0" fontId="33" fillId="0" borderId="11" xfId="0" applyFont="1" applyBorder="1" applyAlignment="1">
      <alignment vertical="center" wrapText="1"/>
    </xf>
    <xf numFmtId="1" fontId="33" fillId="0" borderId="10" xfId="1" applyNumberFormat="1" applyFont="1" applyBorder="1" applyAlignment="1">
      <alignment horizontal="center" vertical="center" wrapText="1"/>
    </xf>
    <xf numFmtId="0" fontId="2" fillId="0" borderId="0" xfId="3" applyFont="1" applyAlignment="1">
      <alignment horizontal="left" vertical="center"/>
    </xf>
    <xf numFmtId="1" fontId="25" fillId="10" borderId="14" xfId="0" applyNumberFormat="1" applyFont="1" applyFill="1" applyBorder="1" applyAlignment="1">
      <alignment horizontal="center" vertical="center"/>
    </xf>
    <xf numFmtId="0" fontId="1" fillId="0" borderId="0" xfId="3" applyFont="1" applyAlignment="1">
      <alignment horizontal="left" vertical="center"/>
    </xf>
    <xf numFmtId="0" fontId="42" fillId="3" borderId="14" xfId="3" applyFont="1" applyFill="1" applyBorder="1" applyAlignment="1">
      <alignment horizontal="left"/>
    </xf>
    <xf numFmtId="1" fontId="46" fillId="21" borderId="0" xfId="3" quotePrefix="1" applyNumberFormat="1" applyFont="1" applyFill="1" applyAlignment="1">
      <alignment horizontal="left" vertical="center"/>
    </xf>
    <xf numFmtId="0" fontId="5" fillId="0" borderId="9" xfId="3" applyFont="1" applyBorder="1" applyAlignment="1">
      <alignment horizontal="left"/>
    </xf>
    <xf numFmtId="0" fontId="7" fillId="0" borderId="11" xfId="3" applyBorder="1" applyAlignment="1">
      <alignment horizontal="left"/>
    </xf>
    <xf numFmtId="0" fontId="3" fillId="0" borderId="9" xfId="3" applyFont="1" applyBorder="1" applyAlignment="1">
      <alignment horizontal="left"/>
    </xf>
    <xf numFmtId="0" fontId="20" fillId="0" borderId="9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6" borderId="12" xfId="0" applyFont="1" applyFill="1" applyBorder="1" applyAlignment="1">
      <alignment horizontal="center" textRotation="90"/>
    </xf>
    <xf numFmtId="0" fontId="20" fillId="6" borderId="13" xfId="0" applyFont="1" applyFill="1" applyBorder="1" applyAlignment="1">
      <alignment horizontal="center" textRotation="90"/>
    </xf>
    <xf numFmtId="0" fontId="20" fillId="4" borderId="9" xfId="0" applyFont="1" applyFill="1" applyBorder="1" applyAlignment="1">
      <alignment horizontal="center"/>
    </xf>
    <xf numFmtId="0" fontId="20" fillId="4" borderId="10" xfId="0" applyFont="1" applyFill="1" applyBorder="1" applyAlignment="1">
      <alignment horizontal="center"/>
    </xf>
    <xf numFmtId="0" fontId="20" fillId="8" borderId="10" xfId="0" applyFont="1" applyFill="1" applyBorder="1" applyAlignment="1">
      <alignment horizontal="center"/>
    </xf>
    <xf numFmtId="0" fontId="20" fillId="8" borderId="11" xfId="0" applyFont="1" applyFill="1" applyBorder="1" applyAlignment="1">
      <alignment horizontal="center"/>
    </xf>
    <xf numFmtId="0" fontId="20" fillId="2" borderId="12" xfId="0" applyFont="1" applyFill="1" applyBorder="1" applyAlignment="1">
      <alignment horizontal="center" textRotation="90"/>
    </xf>
    <xf numFmtId="0" fontId="20" fillId="2" borderId="13" xfId="0" applyFont="1" applyFill="1" applyBorder="1" applyAlignment="1">
      <alignment horizontal="center" textRotation="90"/>
    </xf>
    <xf numFmtId="0" fontId="20" fillId="7" borderId="12" xfId="0" applyFont="1" applyFill="1" applyBorder="1" applyAlignment="1">
      <alignment horizontal="center" textRotation="90"/>
    </xf>
    <xf numFmtId="0" fontId="20" fillId="7" borderId="13" xfId="0" applyFont="1" applyFill="1" applyBorder="1" applyAlignment="1">
      <alignment horizontal="center" textRotation="90"/>
    </xf>
    <xf numFmtId="0" fontId="20" fillId="7" borderId="14" xfId="0" applyFont="1" applyFill="1" applyBorder="1" applyAlignment="1">
      <alignment horizontal="center" textRotation="90"/>
    </xf>
    <xf numFmtId="0" fontId="20" fillId="2" borderId="12" xfId="0" applyFont="1" applyFill="1" applyBorder="1" applyAlignment="1">
      <alignment horizontal="center" vertical="center"/>
    </xf>
    <xf numFmtId="0" fontId="20" fillId="2" borderId="13" xfId="0" applyFont="1" applyFill="1" applyBorder="1" applyAlignment="1">
      <alignment horizontal="center" vertical="center"/>
    </xf>
    <xf numFmtId="0" fontId="20" fillId="23" borderId="9" xfId="0" applyFont="1" applyFill="1" applyBorder="1" applyAlignment="1">
      <alignment horizontal="center"/>
    </xf>
    <xf numFmtId="0" fontId="20" fillId="23" borderId="10" xfId="0" applyFont="1" applyFill="1" applyBorder="1" applyAlignment="1">
      <alignment horizontal="center"/>
    </xf>
    <xf numFmtId="0" fontId="20" fillId="23" borderId="11" xfId="0" applyFont="1" applyFill="1" applyBorder="1" applyAlignment="1">
      <alignment horizontal="center"/>
    </xf>
    <xf numFmtId="0" fontId="20" fillId="5" borderId="10" xfId="0" applyFont="1" applyFill="1" applyBorder="1" applyAlignment="1">
      <alignment horizontal="center"/>
    </xf>
    <xf numFmtId="0" fontId="20" fillId="5" borderId="11" xfId="0" applyFont="1" applyFill="1" applyBorder="1" applyAlignment="1">
      <alignment horizontal="center"/>
    </xf>
    <xf numFmtId="0" fontId="12" fillId="0" borderId="9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11" xfId="0" applyFont="1" applyBorder="1" applyAlignment="1">
      <alignment horizontal="left" vertical="center"/>
    </xf>
    <xf numFmtId="2" fontId="12" fillId="0" borderId="9" xfId="0" applyNumberFormat="1" applyFont="1" applyBorder="1" applyAlignment="1">
      <alignment horizontal="center" vertical="center"/>
    </xf>
    <xf numFmtId="2" fontId="12" fillId="0" borderId="11" xfId="0" applyNumberFormat="1" applyFont="1" applyBorder="1" applyAlignment="1">
      <alignment horizontal="center" vertical="center"/>
    </xf>
    <xf numFmtId="0" fontId="12" fillId="0" borderId="9" xfId="0" applyFont="1" applyBorder="1" applyAlignment="1">
      <alignment horizontal="right" vertical="center"/>
    </xf>
    <xf numFmtId="0" fontId="12" fillId="0" borderId="10" xfId="0" applyFont="1" applyBorder="1" applyAlignment="1">
      <alignment horizontal="right" vertical="center"/>
    </xf>
    <xf numFmtId="0" fontId="12" fillId="0" borderId="11" xfId="0" applyFont="1" applyBorder="1" applyAlignment="1">
      <alignment horizontal="right" vertical="center"/>
    </xf>
    <xf numFmtId="0" fontId="12" fillId="0" borderId="4" xfId="0" applyFont="1" applyBorder="1" applyAlignment="1">
      <alignment horizontal="center" vertical="top"/>
    </xf>
    <xf numFmtId="0" fontId="12" fillId="0" borderId="0" xfId="0" applyFont="1" applyAlignment="1">
      <alignment horizontal="center" vertical="top"/>
    </xf>
    <xf numFmtId="0" fontId="12" fillId="0" borderId="5" xfId="0" applyFont="1" applyBorder="1" applyAlignment="1">
      <alignment horizontal="center" vertical="top"/>
    </xf>
    <xf numFmtId="0" fontId="12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41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horizontal="left" vertical="center"/>
    </xf>
    <xf numFmtId="0" fontId="9" fillId="0" borderId="10" xfId="0" applyFont="1" applyBorder="1" applyAlignment="1">
      <alignment horizontal="left" vertical="center"/>
    </xf>
    <xf numFmtId="0" fontId="16" fillId="0" borderId="10" xfId="0" applyFont="1" applyBorder="1" applyAlignment="1">
      <alignment horizontal="right"/>
    </xf>
    <xf numFmtId="0" fontId="16" fillId="0" borderId="11" xfId="0" applyFont="1" applyBorder="1" applyAlignment="1">
      <alignment horizontal="right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1" fontId="12" fillId="0" borderId="9" xfId="0" applyNumberFormat="1" applyFont="1" applyBorder="1" applyAlignment="1">
      <alignment horizontal="center" vertical="center"/>
    </xf>
    <xf numFmtId="1" fontId="12" fillId="0" borderId="11" xfId="0" applyNumberFormat="1" applyFont="1" applyBorder="1" applyAlignment="1">
      <alignment horizontal="center" vertical="center"/>
    </xf>
    <xf numFmtId="0" fontId="12" fillId="0" borderId="4" xfId="0" applyFont="1" applyBorder="1" applyAlignment="1">
      <alignment horizontal="left" vertical="top"/>
    </xf>
    <xf numFmtId="0" fontId="12" fillId="0" borderId="0" xfId="0" applyFont="1" applyAlignment="1">
      <alignment horizontal="left" vertical="top"/>
    </xf>
    <xf numFmtId="0" fontId="12" fillId="0" borderId="6" xfId="0" applyFont="1" applyBorder="1" applyAlignment="1">
      <alignment horizontal="center" vertical="top"/>
    </xf>
    <xf numFmtId="0" fontId="12" fillId="0" borderId="7" xfId="0" applyFont="1" applyBorder="1" applyAlignment="1">
      <alignment horizontal="center" vertical="top"/>
    </xf>
    <xf numFmtId="0" fontId="12" fillId="0" borderId="8" xfId="0" applyFont="1" applyBorder="1" applyAlignment="1">
      <alignment horizontal="center" vertical="top"/>
    </xf>
    <xf numFmtId="0" fontId="12" fillId="0" borderId="14" xfId="0" applyFont="1" applyBorder="1" applyAlignment="1">
      <alignment horizontal="left" vertical="center"/>
    </xf>
    <xf numFmtId="0" fontId="12" fillId="0" borderId="6" xfId="0" applyFont="1" applyBorder="1" applyAlignment="1">
      <alignment horizontal="left" vertical="top"/>
    </xf>
    <xf numFmtId="0" fontId="12" fillId="0" borderId="7" xfId="0" applyFont="1" applyBorder="1" applyAlignment="1">
      <alignment horizontal="left" vertical="top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6" xfId="0" applyFont="1" applyBorder="1" applyAlignment="1">
      <alignment horizontal="center" vertical="top"/>
    </xf>
    <xf numFmtId="0" fontId="9" fillId="0" borderId="7" xfId="0" applyFont="1" applyBorder="1" applyAlignment="1">
      <alignment horizontal="center" vertical="top"/>
    </xf>
    <xf numFmtId="0" fontId="9" fillId="0" borderId="8" xfId="0" applyFont="1" applyBorder="1" applyAlignment="1">
      <alignment horizontal="center" vertical="top"/>
    </xf>
    <xf numFmtId="0" fontId="12" fillId="0" borderId="14" xfId="0" applyFont="1" applyBorder="1" applyAlignment="1">
      <alignment horizontal="righ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9" fillId="0" borderId="6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11" xfId="0" applyFont="1" applyBorder="1" applyAlignment="1">
      <alignment horizontal="left" vertical="center"/>
    </xf>
    <xf numFmtId="0" fontId="38" fillId="0" borderId="10" xfId="0" applyFont="1" applyBorder="1" applyAlignment="1">
      <alignment horizontal="left" vertical="center"/>
    </xf>
    <xf numFmtId="0" fontId="38" fillId="0" borderId="11" xfId="0" applyFont="1" applyBorder="1" applyAlignment="1">
      <alignment horizontal="left" vertical="center"/>
    </xf>
    <xf numFmtId="0" fontId="38" fillId="0" borderId="9" xfId="0" applyFont="1" applyBorder="1" applyAlignment="1">
      <alignment horizontal="right" vertical="center" readingOrder="2"/>
    </xf>
    <xf numFmtId="0" fontId="38" fillId="0" borderId="10" xfId="0" applyFont="1" applyBorder="1" applyAlignment="1">
      <alignment horizontal="right" vertical="center" readingOrder="2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1" fontId="12" fillId="0" borderId="14" xfId="0" applyNumberFormat="1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9" fillId="0" borderId="6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21" fillId="0" borderId="14" xfId="0" applyFont="1" applyBorder="1" applyAlignment="1">
      <alignment horizontal="center" vertical="center"/>
    </xf>
    <xf numFmtId="1" fontId="41" fillId="0" borderId="9" xfId="0" applyNumberFormat="1" applyFont="1" applyBorder="1" applyAlignment="1">
      <alignment horizontal="center" vertical="center"/>
    </xf>
    <xf numFmtId="1" fontId="41" fillId="0" borderId="11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9" xfId="0" applyFont="1" applyBorder="1" applyAlignment="1">
      <alignment horizontal="right" vertical="center"/>
    </xf>
    <xf numFmtId="0" fontId="9" fillId="0" borderId="10" xfId="0" applyFont="1" applyBorder="1" applyAlignment="1">
      <alignment horizontal="right" vertical="center"/>
    </xf>
    <xf numFmtId="0" fontId="9" fillId="0" borderId="11" xfId="0" applyFont="1" applyBorder="1" applyAlignment="1">
      <alignment horizontal="right" vertical="center"/>
    </xf>
    <xf numFmtId="2" fontId="16" fillId="0" borderId="9" xfId="0" applyNumberFormat="1" applyFont="1" applyBorder="1" applyAlignment="1">
      <alignment horizontal="center" vertical="center"/>
    </xf>
    <xf numFmtId="2" fontId="16" fillId="0" borderId="11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center" vertical="center"/>
    </xf>
    <xf numFmtId="1" fontId="9" fillId="0" borderId="9" xfId="0" applyNumberFormat="1" applyFont="1" applyBorder="1" applyAlignment="1">
      <alignment horizontal="center" vertical="center"/>
    </xf>
    <xf numFmtId="1" fontId="9" fillId="0" borderId="11" xfId="0" applyNumberFormat="1" applyFont="1" applyBorder="1" applyAlignment="1">
      <alignment horizontal="center" vertical="center"/>
    </xf>
    <xf numFmtId="1" fontId="16" fillId="0" borderId="9" xfId="0" applyNumberFormat="1" applyFont="1" applyBorder="1" applyAlignment="1">
      <alignment horizontal="center" vertical="center"/>
    </xf>
    <xf numFmtId="1" fontId="16" fillId="0" borderId="11" xfId="0" applyNumberFormat="1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4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top"/>
    </xf>
    <xf numFmtId="0" fontId="9" fillId="0" borderId="5" xfId="0" applyFont="1" applyBorder="1" applyAlignment="1">
      <alignment horizontal="center" vertical="top"/>
    </xf>
    <xf numFmtId="2" fontId="41" fillId="0" borderId="9" xfId="0" applyNumberFormat="1" applyFont="1" applyBorder="1" applyAlignment="1">
      <alignment horizontal="center" vertical="center"/>
    </xf>
    <xf numFmtId="2" fontId="41" fillId="0" borderId="11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top"/>
    </xf>
    <xf numFmtId="0" fontId="9" fillId="0" borderId="4" xfId="0" applyFont="1" applyBorder="1" applyAlignment="1">
      <alignment horizontal="left" vertical="top"/>
    </xf>
    <xf numFmtId="0" fontId="9" fillId="0" borderId="0" xfId="0" applyFont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9" xfId="0" applyFont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17" fillId="0" borderId="10" xfId="0" applyFont="1" applyBorder="1" applyAlignment="1">
      <alignment horizontal="right"/>
    </xf>
    <xf numFmtId="0" fontId="17" fillId="0" borderId="11" xfId="0" applyFont="1" applyBorder="1" applyAlignment="1">
      <alignment horizontal="right"/>
    </xf>
    <xf numFmtId="0" fontId="18" fillId="0" borderId="9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9" fillId="0" borderId="14" xfId="0" applyFont="1" applyBorder="1" applyAlignment="1">
      <alignment horizontal="right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9" fillId="0" borderId="14" xfId="0" applyFont="1" applyBorder="1" applyAlignment="1">
      <alignment horizontal="left" vertical="center"/>
    </xf>
    <xf numFmtId="0" fontId="21" fillId="0" borderId="2" xfId="0" applyFont="1" applyBorder="1" applyAlignment="1">
      <alignment horizontal="center" vertical="center"/>
    </xf>
    <xf numFmtId="0" fontId="21" fillId="0" borderId="3" xfId="0" applyFont="1" applyBorder="1" applyAlignment="1">
      <alignment horizontal="center" vertical="center"/>
    </xf>
    <xf numFmtId="2" fontId="12" fillId="0" borderId="14" xfId="0" applyNumberFormat="1" applyFont="1" applyBorder="1" applyAlignment="1">
      <alignment horizontal="center" vertical="center"/>
    </xf>
    <xf numFmtId="0" fontId="16" fillId="0" borderId="10" xfId="0" applyFont="1" applyBorder="1" applyAlignment="1">
      <alignment horizontal="right" vertical="center"/>
    </xf>
    <xf numFmtId="0" fontId="16" fillId="0" borderId="11" xfId="0" applyFont="1" applyBorder="1" applyAlignment="1">
      <alignment horizontal="right" vertical="center"/>
    </xf>
    <xf numFmtId="0" fontId="12" fillId="0" borderId="13" xfId="0" applyFont="1" applyBorder="1" applyAlignment="1">
      <alignment horizontal="left" vertical="center"/>
    </xf>
    <xf numFmtId="0" fontId="12" fillId="0" borderId="13" xfId="0" applyFont="1" applyBorder="1" applyAlignment="1">
      <alignment horizontal="right" vertical="center"/>
    </xf>
    <xf numFmtId="1" fontId="12" fillId="0" borderId="13" xfId="0" applyNumberFormat="1" applyFont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5" xfId="0" applyFont="1" applyBorder="1" applyAlignment="1">
      <alignment horizontal="left" vertical="center"/>
    </xf>
    <xf numFmtId="0" fontId="9" fillId="0" borderId="5" xfId="0" applyFont="1" applyBorder="1" applyAlignment="1">
      <alignment horizontal="center"/>
    </xf>
    <xf numFmtId="0" fontId="20" fillId="23" borderId="14" xfId="0" applyFont="1" applyFill="1" applyBorder="1" applyAlignment="1">
      <alignment horizontal="center"/>
    </xf>
    <xf numFmtId="0" fontId="20" fillId="10" borderId="10" xfId="0" applyFont="1" applyFill="1" applyBorder="1" applyAlignment="1">
      <alignment horizontal="center"/>
    </xf>
    <xf numFmtId="0" fontId="20" fillId="10" borderId="11" xfId="0" applyFont="1" applyFill="1" applyBorder="1" applyAlignment="1">
      <alignment horizontal="center"/>
    </xf>
    <xf numFmtId="0" fontId="20" fillId="5" borderId="9" xfId="0" applyFont="1" applyFill="1" applyBorder="1" applyAlignment="1">
      <alignment horizontal="center"/>
    </xf>
    <xf numFmtId="0" fontId="30" fillId="15" borderId="12" xfId="0" applyFont="1" applyFill="1" applyBorder="1" applyAlignment="1">
      <alignment horizontal="center" textRotation="90"/>
    </xf>
    <xf numFmtId="0" fontId="30" fillId="15" borderId="13" xfId="0" applyFont="1" applyFill="1" applyBorder="1" applyAlignment="1">
      <alignment horizontal="center" textRotation="90"/>
    </xf>
    <xf numFmtId="0" fontId="30" fillId="15" borderId="12" xfId="0" applyFont="1" applyFill="1" applyBorder="1" applyAlignment="1">
      <alignment horizontal="center" vertical="center"/>
    </xf>
    <xf numFmtId="0" fontId="30" fillId="15" borderId="13" xfId="0" applyFont="1" applyFill="1" applyBorder="1" applyAlignment="1">
      <alignment horizontal="center" vertical="center"/>
    </xf>
    <xf numFmtId="0" fontId="30" fillId="16" borderId="10" xfId="0" applyFont="1" applyFill="1" applyBorder="1" applyAlignment="1">
      <alignment horizontal="center"/>
    </xf>
    <xf numFmtId="0" fontId="30" fillId="17" borderId="14" xfId="0" applyFont="1" applyFill="1" applyBorder="1" applyAlignment="1">
      <alignment horizontal="center"/>
    </xf>
    <xf numFmtId="0" fontId="30" fillId="18" borderId="12" xfId="0" applyFont="1" applyFill="1" applyBorder="1" applyAlignment="1">
      <alignment horizontal="center" textRotation="90"/>
    </xf>
    <xf numFmtId="0" fontId="30" fillId="18" borderId="13" xfId="0" applyFont="1" applyFill="1" applyBorder="1" applyAlignment="1">
      <alignment horizontal="center" textRotation="90"/>
    </xf>
    <xf numFmtId="0" fontId="30" fillId="19" borderId="12" xfId="0" applyFont="1" applyFill="1" applyBorder="1" applyAlignment="1">
      <alignment horizontal="center" textRotation="90"/>
    </xf>
    <xf numFmtId="0" fontId="30" fillId="19" borderId="13" xfId="0" applyFont="1" applyFill="1" applyBorder="1" applyAlignment="1">
      <alignment horizontal="center" textRotation="90"/>
    </xf>
    <xf numFmtId="0" fontId="30" fillId="0" borderId="9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20" fillId="2" borderId="14" xfId="0" applyFont="1" applyFill="1" applyBorder="1" applyAlignment="1">
      <alignment horizontal="center" textRotation="90"/>
    </xf>
    <xf numFmtId="0" fontId="20" fillId="2" borderId="14" xfId="0" applyFont="1" applyFill="1" applyBorder="1" applyAlignment="1">
      <alignment horizontal="center" vertical="center"/>
    </xf>
    <xf numFmtId="0" fontId="20" fillId="4" borderId="14" xfId="0" applyFont="1" applyFill="1" applyBorder="1" applyAlignment="1">
      <alignment horizontal="center"/>
    </xf>
    <xf numFmtId="0" fontId="20" fillId="5" borderId="14" xfId="0" applyFont="1" applyFill="1" applyBorder="1" applyAlignment="1">
      <alignment horizontal="center"/>
    </xf>
    <xf numFmtId="0" fontId="20" fillId="6" borderId="14" xfId="0" applyFont="1" applyFill="1" applyBorder="1" applyAlignment="1">
      <alignment horizontal="center" textRotation="90"/>
    </xf>
    <xf numFmtId="0" fontId="20" fillId="10" borderId="1" xfId="0" applyFont="1" applyFill="1" applyBorder="1" applyAlignment="1">
      <alignment horizontal="center"/>
    </xf>
    <xf numFmtId="0" fontId="20" fillId="10" borderId="2" xfId="0" applyFont="1" applyFill="1" applyBorder="1" applyAlignment="1">
      <alignment horizontal="center"/>
    </xf>
    <xf numFmtId="0" fontId="20" fillId="10" borderId="3" xfId="0" applyFont="1" applyFill="1" applyBorder="1" applyAlignment="1">
      <alignment horizontal="center"/>
    </xf>
  </cellXfs>
  <cellStyles count="5">
    <cellStyle name="Hyperlink" xfId="4" builtinId="8"/>
    <cellStyle name="Normal" xfId="0" builtinId="0"/>
    <cellStyle name="Normal 2" xfId="2" xr:uid="{999D5B9D-772C-4492-A276-C16DE3AC6437}"/>
    <cellStyle name="Normal 3" xfId="3" xr:uid="{324EAB71-3F93-4B4B-B5D6-666EAC74E0AA}"/>
    <cellStyle name="Normal 4" xfId="1" xr:uid="{E374152C-A694-485E-8453-8DF5CAE04305}"/>
  </cellStyles>
  <dxfs count="106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>
          <fgColor auto="1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microsoft.com/office/2017/06/relationships/rdRichValueTypes" Target="richData/rdRichValueTyp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Spin" dx="22" fmlaLink="$AI$4" max="30000" page="10" val="28"/>
</file>

<file path=xl/ctrlProps/ctrlProp2.xml><?xml version="1.0" encoding="utf-8"?>
<formControlPr xmlns="http://schemas.microsoft.com/office/spreadsheetml/2009/9/main" objectType="Spin" dx="22" fmlaLink="$AI$38" max="30000" page="10" val="24"/>
</file>

<file path=xl/ctrlProps/ctrlProp3.xml><?xml version="1.0" encoding="utf-8"?>
<formControlPr xmlns="http://schemas.microsoft.com/office/spreadsheetml/2009/9/main" objectType="Spin" dx="22" fmlaLink="$AI$104" max="30000" page="10" val="23"/>
</file>

<file path=xl/ctrlProps/ctrlProp4.xml><?xml version="1.0" encoding="utf-8"?>
<formControlPr xmlns="http://schemas.microsoft.com/office/spreadsheetml/2009/9/main" objectType="Spin" dx="22" fmlaLink="$AI$172" max="30000" page="10" val="17"/>
</file>

<file path=xl/ctrlProps/ctrlProp5.xml><?xml version="1.0" encoding="utf-8"?>
<formControlPr xmlns="http://schemas.microsoft.com/office/spreadsheetml/2009/9/main" objectType="Spin" dx="22" fmlaLink="$AI$244" max="30000" page="10" val="20"/>
</file>

<file path=xl/ctrlProps/ctrlProp6.xml><?xml version="1.0" encoding="utf-8"?>
<formControlPr xmlns="http://schemas.microsoft.com/office/spreadsheetml/2009/9/main" objectType="Spin" dx="22" fmlaLink="$AI$280" max="30000" page="10" val="25"/>
</file>

<file path=xl/ctrlProps/ctrlProp7.xml><?xml version="1.0" encoding="utf-8"?>
<formControlPr xmlns="http://schemas.microsoft.com/office/spreadsheetml/2009/9/main" objectType="Spin" dx="22" fmlaLink="$AI$72" max="30000" page="10" val="24"/>
</file>

<file path=xl/ctrlProps/ctrlProp8.xml><?xml version="1.0" encoding="utf-8"?>
<formControlPr xmlns="http://schemas.microsoft.com/office/spreadsheetml/2009/9/main" objectType="Spin" dx="22" fmlaLink="$AI$137" max="30000" page="10"/>
</file>

<file path=xl/ctrlProps/ctrlProp9.xml><?xml version="1.0" encoding="utf-8"?>
<formControlPr xmlns="http://schemas.microsoft.com/office/spreadsheetml/2009/9/main" objectType="Spin" dx="22" fmlaLink="$AI$208" max="30000" page="10" val="28"/>
</file>

<file path=xl/ctrlProps/ctrlProp10.xml><?xml version="1.0" encoding="utf-8"?>
<formControlPr xmlns="http://schemas.microsoft.com/office/spreadsheetml/2009/9/main" objectType="Spin" dx="22" fmlaLink="$AI$313" max="30000" page="10" val="31"/>
</file>

<file path=xl/ctrlProps/ctrlProp11.xml><?xml version="1.0" encoding="utf-8"?>
<formControlPr xmlns="http://schemas.microsoft.com/office/spreadsheetml/2009/9/main" objectType="Spin" dx="22" fmlaLink="$AI$346" max="30000" page="10" val="28"/>
</file>

<file path=xl/ctrlProps/ctrlProp12.xml><?xml version="1.0" encoding="utf-8"?>
<formControlPr xmlns="http://schemas.microsoft.com/office/spreadsheetml/2009/9/main" objectType="Spin" dx="22" fmlaLink="$AI$379" max="30000" page="10" val="21"/>
</file>

<file path=xl/ctrlProps/ctrlProp13.xml><?xml version="1.0" encoding="utf-8"?>
<formControlPr xmlns="http://schemas.microsoft.com/office/spreadsheetml/2009/9/main" objectType="Spin" dx="22" fmlaLink="$AI$411" max="30000" page="10" val="9"/>
</file>

<file path=xl/ctrlProps/ctrlProp14.xml><?xml version="1.0" encoding="utf-8"?>
<formControlPr xmlns="http://schemas.microsoft.com/office/spreadsheetml/2009/9/main" objectType="Spin" dx="31" fmlaLink="$AI$443" max="30000" page="10" val="25"/>
</file>

<file path=xl/ctrlProps/ctrlProp15.xml><?xml version="1.0" encoding="utf-8"?>
<formControlPr xmlns="http://schemas.microsoft.com/office/spreadsheetml/2009/9/main" objectType="Spin" dx="31" fmlaLink="$AI$475" max="30000" page="10" val="30"/>
</file>

<file path=xl/ctrlProps/ctrlProp16.xml><?xml version="1.0" encoding="utf-8"?>
<formControlPr xmlns="http://schemas.microsoft.com/office/spreadsheetml/2009/9/main" objectType="Spin" dx="31" fmlaLink="$AI$507" max="30000" page="10" val="28"/>
</file>

<file path=xl/ctrlProps/ctrlProp17.xml><?xml version="1.0" encoding="utf-8"?>
<formControlPr xmlns="http://schemas.microsoft.com/office/spreadsheetml/2009/9/main" objectType="Spin" dx="31" fmlaLink="$AI$539" max="30000" page="10" val="27"/>
</file>

<file path=xl/ctrlProps/ctrlProp18.xml><?xml version="1.0" encoding="utf-8"?>
<formControlPr xmlns="http://schemas.microsoft.com/office/spreadsheetml/2009/9/main" objectType="Spin" dx="31" fmlaLink="$AI$570" max="30000" page="10" val="22"/>
</file>

<file path=xl/ctrlProps/ctrlProp19.xml><?xml version="1.0" encoding="utf-8"?>
<formControlPr xmlns="http://schemas.microsoft.com/office/spreadsheetml/2009/9/main" objectType="Spin" dx="31" fmlaLink="$AI$601" max="30000" page="10" val="24"/>
</file>

<file path=xl/ctrlProps/ctrlProp20.xml><?xml version="1.0" encoding="utf-8"?>
<formControlPr xmlns="http://schemas.microsoft.com/office/spreadsheetml/2009/9/main" objectType="Spin" dx="31" fmlaLink="$AI$630" max="30000" page="10"/>
</file>

<file path=xl/ctrlProps/ctrlProp21.xml><?xml version="1.0" encoding="utf-8"?>
<formControlPr xmlns="http://schemas.microsoft.com/office/spreadsheetml/2009/9/main" objectType="Spin" dx="31" fmlaLink="$AI$659" max="30000" page="10" val="9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DASHBOARD!F15:I36"/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Raport!A1"/><Relationship Id="rId5" Type="http://schemas.openxmlformats.org/officeDocument/2006/relationships/image" Target="../media/image4.png"/><Relationship Id="rId10" Type="http://schemas.openxmlformats.org/officeDocument/2006/relationships/image" Target="../media/image7.png"/><Relationship Id="rId4" Type="http://schemas.openxmlformats.org/officeDocument/2006/relationships/hyperlink" Target="#DASHBOARD!A1"/><Relationship Id="rId9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26" Type="http://schemas.openxmlformats.org/officeDocument/2006/relationships/image" Target="../media/image32.png"/><Relationship Id="rId3" Type="http://schemas.openxmlformats.org/officeDocument/2006/relationships/image" Target="../media/image10.png"/><Relationship Id="rId21" Type="http://schemas.openxmlformats.org/officeDocument/2006/relationships/image" Target="../media/image27.png"/><Relationship Id="rId7" Type="http://schemas.openxmlformats.org/officeDocument/2006/relationships/image" Target="../media/image14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9.png"/><Relationship Id="rId2" Type="http://schemas.openxmlformats.org/officeDocument/2006/relationships/image" Target="../media/image9.png"/><Relationship Id="rId16" Type="http://schemas.openxmlformats.org/officeDocument/2006/relationships/image" Target="../media/image22.png"/><Relationship Id="rId20" Type="http://schemas.openxmlformats.org/officeDocument/2006/relationships/image" Target="../media/image26.png"/><Relationship Id="rId29" Type="http://schemas.openxmlformats.org/officeDocument/2006/relationships/image" Target="../media/image35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8.png"/><Relationship Id="rId5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image" Target="../media/image34.png"/><Relationship Id="rId10" Type="http://schemas.openxmlformats.org/officeDocument/2006/relationships/hyperlink" Target="#DASHBOARD!A1"/><Relationship Id="rId19" Type="http://schemas.openxmlformats.org/officeDocument/2006/relationships/image" Target="../media/image25.png"/><Relationship Id="rId31" Type="http://schemas.openxmlformats.org/officeDocument/2006/relationships/image" Target="../media/image37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6.png"/><Relationship Id="rId8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6</xdr:row>
      <xdr:rowOff>28575</xdr:rowOff>
    </xdr:from>
    <xdr:to>
      <xdr:col>3</xdr:col>
      <xdr:colOff>0</xdr:colOff>
      <xdr:row>9</xdr:row>
      <xdr:rowOff>182160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A76F661-BB75-49AC-9D7E-32EDBE7D11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300" y="219075"/>
          <a:ext cx="1171575" cy="725085"/>
        </a:xfrm>
        <a:prstGeom prst="rect">
          <a:avLst/>
        </a:prstGeom>
      </xdr:spPr>
    </xdr:pic>
    <xdr:clientData/>
  </xdr:twoCellAnchor>
  <xdr:twoCellAnchor editAs="absolute">
    <xdr:from>
      <xdr:col>4</xdr:col>
      <xdr:colOff>200025</xdr:colOff>
      <xdr:row>0</xdr:row>
      <xdr:rowOff>105255</xdr:rowOff>
    </xdr:from>
    <xdr:to>
      <xdr:col>5</xdr:col>
      <xdr:colOff>709310</xdr:colOff>
      <xdr:row>4</xdr:row>
      <xdr:rowOff>66675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55277C3-A514-442B-A16D-D9E42F6B4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33625" y="105255"/>
          <a:ext cx="785510" cy="780570"/>
        </a:xfrm>
        <a:prstGeom prst="rect">
          <a:avLst/>
        </a:prstGeom>
        <a:effectLst/>
      </xdr:spPr>
    </xdr:pic>
    <xdr:clientData/>
  </xdr:twoCellAnchor>
  <xdr:twoCellAnchor editAs="absolute">
    <xdr:from>
      <xdr:col>4</xdr:col>
      <xdr:colOff>274983</xdr:colOff>
      <xdr:row>4</xdr:row>
      <xdr:rowOff>180974</xdr:rowOff>
    </xdr:from>
    <xdr:to>
      <xdr:col>19</xdr:col>
      <xdr:colOff>318466</xdr:colOff>
      <xdr:row>8</xdr:row>
      <xdr:rowOff>57149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F625A990-52B4-47EE-9827-7D13512B85E8}"/>
            </a:ext>
          </a:extLst>
        </xdr:cNvPr>
        <xdr:cNvSpPr/>
      </xdr:nvSpPr>
      <xdr:spPr>
        <a:xfrm>
          <a:off x="2408583" y="1000124"/>
          <a:ext cx="9959008" cy="638175"/>
        </a:xfrm>
        <a:prstGeom prst="roundRect">
          <a:avLst/>
        </a:prstGeom>
        <a:solidFill>
          <a:srgbClr val="69847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D" sz="1100"/>
        </a:p>
      </xdr:txBody>
    </xdr:sp>
    <xdr:clientData/>
  </xdr:twoCellAnchor>
  <xdr:twoCellAnchor editAs="absolute">
    <xdr:from>
      <xdr:col>1</xdr:col>
      <xdr:colOff>400050</xdr:colOff>
      <xdr:row>1</xdr:row>
      <xdr:rowOff>76200</xdr:rowOff>
    </xdr:from>
    <xdr:to>
      <xdr:col>2</xdr:col>
      <xdr:colOff>219076</xdr:colOff>
      <xdr:row>3</xdr:row>
      <xdr:rowOff>38101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5A6CF2D3-6256-47F0-9FCB-40227134A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6775" y="238125"/>
          <a:ext cx="428626" cy="428626"/>
        </a:xfrm>
        <a:prstGeom prst="rect">
          <a:avLst/>
        </a:prstGeom>
      </xdr:spPr>
    </xdr:pic>
    <xdr:clientData/>
  </xdr:twoCellAnchor>
  <xdr:twoCellAnchor editAs="absolute">
    <xdr:from>
      <xdr:col>1</xdr:col>
      <xdr:colOff>304801</xdr:colOff>
      <xdr:row>2</xdr:row>
      <xdr:rowOff>257175</xdr:rowOff>
    </xdr:from>
    <xdr:to>
      <xdr:col>2</xdr:col>
      <xdr:colOff>266701</xdr:colOff>
      <xdr:row>4</xdr:row>
      <xdr:rowOff>66675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D3DD01E7-842F-4F7B-A738-557D80A0DE75}"/>
            </a:ext>
          </a:extLst>
        </xdr:cNvPr>
        <xdr:cNvSpPr txBox="1"/>
      </xdr:nvSpPr>
      <xdr:spPr>
        <a:xfrm>
          <a:off x="771526" y="619125"/>
          <a:ext cx="57150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D" sz="1100"/>
            <a:t>Admin</a:t>
          </a:r>
        </a:p>
      </xdr:txBody>
    </xdr:sp>
    <xdr:clientData/>
  </xdr:twoCellAnchor>
  <xdr:twoCellAnchor>
    <xdr:from>
      <xdr:col>5</xdr:col>
      <xdr:colOff>66676</xdr:colOff>
      <xdr:row>5</xdr:row>
      <xdr:rowOff>28575</xdr:rowOff>
    </xdr:from>
    <xdr:to>
      <xdr:col>6</xdr:col>
      <xdr:colOff>733426</xdr:colOff>
      <xdr:row>6</xdr:row>
      <xdr:rowOff>152400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C0B911F1-FF1A-4737-B0F6-5E0CB9B4829D}"/>
            </a:ext>
          </a:extLst>
        </xdr:cNvPr>
        <xdr:cNvSpPr txBox="1"/>
      </xdr:nvSpPr>
      <xdr:spPr>
        <a:xfrm>
          <a:off x="2476501" y="1066800"/>
          <a:ext cx="127635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D" sz="1200">
              <a:solidFill>
                <a:schemeClr val="bg1"/>
              </a:solidFill>
            </a:rPr>
            <a:t>Ahlan Wa Sahlan,</a:t>
          </a:r>
        </a:p>
      </xdr:txBody>
    </xdr:sp>
    <xdr:clientData/>
  </xdr:twoCellAnchor>
  <xdr:twoCellAnchor>
    <xdr:from>
      <xdr:col>0</xdr:col>
      <xdr:colOff>314325</xdr:colOff>
      <xdr:row>11</xdr:row>
      <xdr:rowOff>76200</xdr:rowOff>
    </xdr:from>
    <xdr:to>
      <xdr:col>3</xdr:col>
      <xdr:colOff>200025</xdr:colOff>
      <xdr:row>13</xdr:row>
      <xdr:rowOff>28575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98C0D47-F2DD-EF91-8928-01FE6709F5C4}"/>
            </a:ext>
          </a:extLst>
        </xdr:cNvPr>
        <xdr:cNvGrpSpPr/>
      </xdr:nvGrpSpPr>
      <xdr:grpSpPr>
        <a:xfrm>
          <a:off x="314325" y="2228850"/>
          <a:ext cx="1552575" cy="333375"/>
          <a:chOff x="314325" y="2228850"/>
          <a:chExt cx="1552575" cy="333375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2F15081D-2049-F29F-E159-D5E964D0DAC7}"/>
              </a:ext>
            </a:extLst>
          </xdr:cNvPr>
          <xdr:cNvSpPr/>
        </xdr:nvSpPr>
        <xdr:spPr>
          <a:xfrm>
            <a:off x="314325" y="2228850"/>
            <a:ext cx="1552575" cy="333375"/>
          </a:xfrm>
          <a:prstGeom prst="roundRect">
            <a:avLst/>
          </a:prstGeom>
          <a:solidFill>
            <a:srgbClr val="698474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pic>
        <xdr:nvPicPr>
          <xdr:cNvPr id="13" name="Picture 12">
            <a:extLst>
              <a:ext uri="{FF2B5EF4-FFF2-40B4-BE49-F238E27FC236}">
                <a16:creationId xmlns:a16="http://schemas.microsoft.com/office/drawing/2014/main" id="{0FF52708-5317-30FC-C2CC-CE97366E87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2426" y="2260148"/>
            <a:ext cx="266096" cy="266176"/>
          </a:xfrm>
          <a:prstGeom prst="rect">
            <a:avLst/>
          </a:prstGeom>
        </xdr:spPr>
      </xdr:pic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9CE625CE-73A7-A95A-100B-53E150F8E9C2}"/>
              </a:ext>
            </a:extLst>
          </xdr:cNvPr>
          <xdr:cNvSpPr txBox="1"/>
        </xdr:nvSpPr>
        <xdr:spPr>
          <a:xfrm>
            <a:off x="693860" y="2265485"/>
            <a:ext cx="1112226" cy="2710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ID" sz="1100" b="1">
                <a:solidFill>
                  <a:schemeClr val="bg1"/>
                </a:solidFill>
              </a:rPr>
              <a:t>Dashboard</a:t>
            </a:r>
          </a:p>
        </xdr:txBody>
      </xdr:sp>
    </xdr:grpSp>
    <xdr:clientData/>
  </xdr:twoCellAnchor>
  <xdr:twoCellAnchor>
    <xdr:from>
      <xdr:col>5</xdr:col>
      <xdr:colOff>72664</xdr:colOff>
      <xdr:row>6</xdr:row>
      <xdr:rowOff>73903</xdr:rowOff>
    </xdr:from>
    <xdr:to>
      <xdr:col>8</xdr:col>
      <xdr:colOff>581025</xdr:colOff>
      <xdr:row>7</xdr:row>
      <xdr:rowOff>154499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77E46633-8878-47AB-9CF8-CE345084ACB4}"/>
            </a:ext>
          </a:extLst>
        </xdr:cNvPr>
        <xdr:cNvSpPr txBox="1"/>
      </xdr:nvSpPr>
      <xdr:spPr>
        <a:xfrm>
          <a:off x="2482489" y="1274053"/>
          <a:ext cx="3032486" cy="2710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n-ID" sz="1400" b="1">
              <a:solidFill>
                <a:schemeClr val="bg1"/>
              </a:solidFill>
            </a:rPr>
            <a:t>RAPOR WUSTHA &amp; ULYA </a:t>
          </a:r>
        </a:p>
      </xdr:txBody>
    </xdr:sp>
    <xdr:clientData/>
  </xdr:twoCellAnchor>
  <xdr:twoCellAnchor editAs="absolute">
    <xdr:from>
      <xdr:col>0</xdr:col>
      <xdr:colOff>314325</xdr:colOff>
      <xdr:row>13</xdr:row>
      <xdr:rowOff>114300</xdr:rowOff>
    </xdr:from>
    <xdr:to>
      <xdr:col>3</xdr:col>
      <xdr:colOff>200025</xdr:colOff>
      <xdr:row>14</xdr:row>
      <xdr:rowOff>257175</xdr:rowOff>
    </xdr:to>
    <xdr:grpSp>
      <xdr:nvGrpSpPr>
        <xdr:cNvPr id="24" name="Group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52326D5-22A2-45B6-94DE-7095422AF10D}"/>
            </a:ext>
          </a:extLst>
        </xdr:cNvPr>
        <xdr:cNvGrpSpPr/>
      </xdr:nvGrpSpPr>
      <xdr:grpSpPr>
        <a:xfrm>
          <a:off x="314325" y="2647950"/>
          <a:ext cx="1552575" cy="333375"/>
          <a:chOff x="314325" y="1781175"/>
          <a:chExt cx="1552575" cy="333375"/>
        </a:xfrm>
      </xdr:grpSpPr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C7EA104D-5C0F-1ED9-78E3-CFCE0E14ED0F}"/>
              </a:ext>
            </a:extLst>
          </xdr:cNvPr>
          <xdr:cNvSpPr/>
        </xdr:nvSpPr>
        <xdr:spPr>
          <a:xfrm>
            <a:off x="314325" y="1781175"/>
            <a:ext cx="1552575" cy="333375"/>
          </a:xfrm>
          <a:prstGeom prst="roundRect">
            <a:avLst/>
          </a:prstGeom>
          <a:solidFill>
            <a:srgbClr val="698474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3193DA03-E776-1DAB-D52C-917C433BEEC7}"/>
              </a:ext>
            </a:extLst>
          </xdr:cNvPr>
          <xdr:cNvSpPr txBox="1"/>
        </xdr:nvSpPr>
        <xdr:spPr>
          <a:xfrm>
            <a:off x="693860" y="1817810"/>
            <a:ext cx="1112226" cy="2710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ID" sz="1100" b="1">
                <a:solidFill>
                  <a:schemeClr val="bg1"/>
                </a:solidFill>
              </a:rPr>
              <a:t>Rapor</a:t>
            </a:r>
          </a:p>
        </xdr:txBody>
      </xdr:sp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772F7180-276D-0B6E-04C5-63B04318CF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81000" y="1828800"/>
            <a:ext cx="261571" cy="261687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314325</xdr:colOff>
      <xdr:row>15</xdr:row>
      <xdr:rowOff>66675</xdr:rowOff>
    </xdr:from>
    <xdr:to>
      <xdr:col>3</xdr:col>
      <xdr:colOff>200025</xdr:colOff>
      <xdr:row>16</xdr:row>
      <xdr:rowOff>123825</xdr:rowOff>
    </xdr:to>
    <xdr:grpSp>
      <xdr:nvGrpSpPr>
        <xdr:cNvPr id="28" name="Group 2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A52DC8C-07F6-4252-9D75-DA619C8A656C}"/>
            </a:ext>
          </a:extLst>
        </xdr:cNvPr>
        <xdr:cNvGrpSpPr/>
      </xdr:nvGrpSpPr>
      <xdr:grpSpPr>
        <a:xfrm>
          <a:off x="314325" y="3067050"/>
          <a:ext cx="1552575" cy="333375"/>
          <a:chOff x="314325" y="2247900"/>
          <a:chExt cx="1552575" cy="333375"/>
        </a:xfrm>
      </xdr:grpSpPr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197A9D-E15A-6D63-297F-8CE72D478186}"/>
              </a:ext>
            </a:extLst>
          </xdr:cNvPr>
          <xdr:cNvSpPr/>
        </xdr:nvSpPr>
        <xdr:spPr>
          <a:xfrm>
            <a:off x="314325" y="2247900"/>
            <a:ext cx="1552575" cy="333375"/>
          </a:xfrm>
          <a:prstGeom prst="roundRect">
            <a:avLst/>
          </a:prstGeom>
          <a:solidFill>
            <a:srgbClr val="698474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0" name="TextBox 29">
            <a:extLst>
              <a:ext uri="{FF2B5EF4-FFF2-40B4-BE49-F238E27FC236}">
                <a16:creationId xmlns:a16="http://schemas.microsoft.com/office/drawing/2014/main" id="{7B965236-FB2A-78C3-6C4F-5ED34F8306BE}"/>
              </a:ext>
            </a:extLst>
          </xdr:cNvPr>
          <xdr:cNvSpPr txBox="1"/>
        </xdr:nvSpPr>
        <xdr:spPr>
          <a:xfrm>
            <a:off x="693860" y="2284535"/>
            <a:ext cx="1112226" cy="2710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ID" sz="1100" b="1">
                <a:solidFill>
                  <a:schemeClr val="bg1"/>
                </a:solidFill>
              </a:rPr>
              <a:t>Wali</a:t>
            </a:r>
            <a:r>
              <a:rPr lang="en-ID" sz="1100" b="1" baseline="0">
                <a:solidFill>
                  <a:schemeClr val="bg1"/>
                </a:solidFill>
              </a:rPr>
              <a:t> Kelas</a:t>
            </a:r>
            <a:endParaRPr lang="en-ID" sz="1100" b="1">
              <a:solidFill>
                <a:schemeClr val="bg1"/>
              </a:solidFill>
            </a:endParaRPr>
          </a:p>
        </xdr:txBody>
      </xdr:sp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659A23A-E756-D0DE-1B30-7625F94C9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23851" y="2258159"/>
            <a:ext cx="311138" cy="311394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243910</xdr:colOff>
      <xdr:row>16</xdr:row>
      <xdr:rowOff>206620</xdr:rowOff>
    </xdr:from>
    <xdr:to>
      <xdr:col>3</xdr:col>
      <xdr:colOff>200025</xdr:colOff>
      <xdr:row>17</xdr:row>
      <xdr:rowOff>263770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1F7B9358-9190-41F2-967D-E970A21D0D20}"/>
            </a:ext>
          </a:extLst>
        </xdr:cNvPr>
        <xdr:cNvGrpSpPr/>
      </xdr:nvGrpSpPr>
      <xdr:grpSpPr>
        <a:xfrm>
          <a:off x="243910" y="3483220"/>
          <a:ext cx="1622990" cy="333375"/>
          <a:chOff x="243910" y="2702170"/>
          <a:chExt cx="1622990" cy="333375"/>
        </a:xfrm>
      </xdr:grpSpPr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C21F8A04-E103-1D97-62F0-AC7D98DF9E9F}"/>
              </a:ext>
            </a:extLst>
          </xdr:cNvPr>
          <xdr:cNvSpPr/>
        </xdr:nvSpPr>
        <xdr:spPr>
          <a:xfrm>
            <a:off x="314325" y="2702170"/>
            <a:ext cx="1552575" cy="333375"/>
          </a:xfrm>
          <a:prstGeom prst="roundRect">
            <a:avLst/>
          </a:prstGeom>
          <a:solidFill>
            <a:srgbClr val="698474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D" sz="1100"/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4C65CC33-0D93-C65D-9C2B-4A585252EC78}"/>
              </a:ext>
            </a:extLst>
          </xdr:cNvPr>
          <xdr:cNvSpPr txBox="1"/>
        </xdr:nvSpPr>
        <xdr:spPr>
          <a:xfrm>
            <a:off x="693860" y="2738805"/>
            <a:ext cx="1112226" cy="2710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n-ID" sz="1100" b="1">
                <a:solidFill>
                  <a:schemeClr val="bg1"/>
                </a:solidFill>
              </a:rPr>
              <a:t>Laporan</a:t>
            </a:r>
          </a:p>
        </xdr:txBody>
      </xdr:sp>
      <xdr:pic>
        <xdr:nvPicPr>
          <xdr:cNvPr id="35" name="Picture 34">
            <a:extLst>
              <a:ext uri="{FF2B5EF4-FFF2-40B4-BE49-F238E27FC236}">
                <a16:creationId xmlns:a16="http://schemas.microsoft.com/office/drawing/2014/main" id="{63B1AA34-AE1C-84BB-4736-333B4C68E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3910" y="2747596"/>
            <a:ext cx="470804" cy="246993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104775</xdr:colOff>
      <xdr:row>2</xdr:row>
      <xdr:rowOff>142875</xdr:rowOff>
    </xdr:from>
    <xdr:to>
      <xdr:col>2</xdr:col>
      <xdr:colOff>221197</xdr:colOff>
      <xdr:row>2</xdr:row>
      <xdr:rowOff>259297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7B17A95A-1E1B-40E4-825A-8803F5AF6270}"/>
            </a:ext>
          </a:extLst>
        </xdr:cNvPr>
        <xdr:cNvSpPr/>
      </xdr:nvSpPr>
      <xdr:spPr>
        <a:xfrm>
          <a:off x="1181100" y="504825"/>
          <a:ext cx="116422" cy="116422"/>
        </a:xfrm>
        <a:prstGeom prst="ellipse">
          <a:avLst/>
        </a:prstGeom>
        <a:solidFill>
          <a:srgbClr val="00B050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1</xdr:row>
          <xdr:rowOff>257175</xdr:rowOff>
        </xdr:from>
        <xdr:to>
          <xdr:col>35</xdr:col>
          <xdr:colOff>447675</xdr:colOff>
          <xdr:row>3</xdr:row>
          <xdr:rowOff>257175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54</xdr:row>
      <xdr:rowOff>85725</xdr:rowOff>
    </xdr:from>
    <xdr:ext cx="1810808" cy="968376"/>
    <xdr:pic>
      <xdr:nvPicPr>
        <xdr:cNvPr id="2" name="Picture 1" descr="C:\Users\Asy Syifaa\Downloads\Ttd Paduka copy.png">
          <a:extLst>
            <a:ext uri="{FF2B5EF4-FFF2-40B4-BE49-F238E27FC236}">
              <a16:creationId xmlns:a16="http://schemas.microsoft.com/office/drawing/2014/main" id="{BCBEDFF3-392F-4517-8AE5-B5ED0A81BCD5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48304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35</xdr:row>
          <xdr:rowOff>257175</xdr:rowOff>
        </xdr:from>
        <xdr:to>
          <xdr:col>35</xdr:col>
          <xdr:colOff>447675</xdr:colOff>
          <xdr:row>37</xdr:row>
          <xdr:rowOff>257175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120</xdr:row>
      <xdr:rowOff>85725</xdr:rowOff>
    </xdr:from>
    <xdr:ext cx="1810808" cy="968376"/>
    <xdr:pic>
      <xdr:nvPicPr>
        <xdr:cNvPr id="3" name="Picture 2" descr="C:\Users\Asy Syifaa\Downloads\Ttd Paduka copy.png">
          <a:extLst>
            <a:ext uri="{FF2B5EF4-FFF2-40B4-BE49-F238E27FC236}">
              <a16:creationId xmlns:a16="http://schemas.microsoft.com/office/drawing/2014/main" id="{C63EB075-4E77-4F72-8197-72B131CB8D5C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312134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85725</xdr:colOff>
          <xdr:row>102</xdr:row>
          <xdr:rowOff>28575</xdr:rowOff>
        </xdr:from>
        <xdr:to>
          <xdr:col>35</xdr:col>
          <xdr:colOff>428625</xdr:colOff>
          <xdr:row>104</xdr:row>
          <xdr:rowOff>28575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188</xdr:row>
      <xdr:rowOff>85725</xdr:rowOff>
    </xdr:from>
    <xdr:ext cx="1810808" cy="968376"/>
    <xdr:pic>
      <xdr:nvPicPr>
        <xdr:cNvPr id="4" name="Picture 3" descr="C:\Users\Asy Syifaa\Downloads\Ttd Paduka copy.png">
          <a:extLst>
            <a:ext uri="{FF2B5EF4-FFF2-40B4-BE49-F238E27FC236}">
              <a16:creationId xmlns:a16="http://schemas.microsoft.com/office/drawing/2014/main" id="{3213FCB6-2BDD-40C0-9E17-DEFF9458C74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486886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123825</xdr:colOff>
          <xdr:row>169</xdr:row>
          <xdr:rowOff>257175</xdr:rowOff>
        </xdr:from>
        <xdr:to>
          <xdr:col>35</xdr:col>
          <xdr:colOff>466725</xdr:colOff>
          <xdr:row>172</xdr:row>
          <xdr:rowOff>38100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260</xdr:row>
      <xdr:rowOff>85725</xdr:rowOff>
    </xdr:from>
    <xdr:ext cx="1810808" cy="968376"/>
    <xdr:pic>
      <xdr:nvPicPr>
        <xdr:cNvPr id="5" name="Picture 4" descr="C:\Users\Asy Syifaa\Downloads\Ttd Paduka copy.png">
          <a:extLst>
            <a:ext uri="{FF2B5EF4-FFF2-40B4-BE49-F238E27FC236}">
              <a16:creationId xmlns:a16="http://schemas.microsoft.com/office/drawing/2014/main" id="{64C97106-47D8-49CB-940B-3A55480858A7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661638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66675</xdr:colOff>
          <xdr:row>242</xdr:row>
          <xdr:rowOff>19050</xdr:rowOff>
        </xdr:from>
        <xdr:to>
          <xdr:col>35</xdr:col>
          <xdr:colOff>409575</xdr:colOff>
          <xdr:row>244</xdr:row>
          <xdr:rowOff>19050</xdr:rowOff>
        </xdr:to>
        <xdr:sp macro="" textlink="">
          <xdr:nvSpPr>
            <xdr:cNvPr id="1029" name="Spinner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295</xdr:row>
      <xdr:rowOff>85725</xdr:rowOff>
    </xdr:from>
    <xdr:ext cx="1810808" cy="968376"/>
    <xdr:pic>
      <xdr:nvPicPr>
        <xdr:cNvPr id="6" name="Picture 5" descr="C:\Users\Asy Syifaa\Downloads\Ttd Paduka copy.png">
          <a:extLst>
            <a:ext uri="{FF2B5EF4-FFF2-40B4-BE49-F238E27FC236}">
              <a16:creationId xmlns:a16="http://schemas.microsoft.com/office/drawing/2014/main" id="{AAEDEDBA-165A-40D0-A668-11966EC08663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746283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66675</xdr:colOff>
          <xdr:row>277</xdr:row>
          <xdr:rowOff>257175</xdr:rowOff>
        </xdr:from>
        <xdr:to>
          <xdr:col>35</xdr:col>
          <xdr:colOff>409575</xdr:colOff>
          <xdr:row>279</xdr:row>
          <xdr:rowOff>257175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395</xdr:row>
      <xdr:rowOff>85725</xdr:rowOff>
    </xdr:from>
    <xdr:ext cx="1810808" cy="968376"/>
    <xdr:pic>
      <xdr:nvPicPr>
        <xdr:cNvPr id="7" name="Picture 6" descr="C:\Users\Asy Syifaa\Downloads\Ttd Paduka copy.png">
          <a:extLst>
            <a:ext uri="{FF2B5EF4-FFF2-40B4-BE49-F238E27FC236}">
              <a16:creationId xmlns:a16="http://schemas.microsoft.com/office/drawing/2014/main" id="{0B0CD2AB-CC19-4CDA-8CD5-174E97676E5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997489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427</xdr:row>
      <xdr:rowOff>85725</xdr:rowOff>
    </xdr:from>
    <xdr:ext cx="1810808" cy="968376"/>
    <xdr:pic>
      <xdr:nvPicPr>
        <xdr:cNvPr id="8" name="Picture 7" descr="C:\Users\Asy Syifaa\Downloads\Ttd Paduka copy.png">
          <a:extLst>
            <a:ext uri="{FF2B5EF4-FFF2-40B4-BE49-F238E27FC236}">
              <a16:creationId xmlns:a16="http://schemas.microsoft.com/office/drawing/2014/main" id="{53B03202-988C-4B5F-95C8-909D402145DE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079341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523</xdr:row>
      <xdr:rowOff>85725</xdr:rowOff>
    </xdr:from>
    <xdr:ext cx="1810808" cy="968376"/>
    <xdr:pic>
      <xdr:nvPicPr>
        <xdr:cNvPr id="9" name="Picture 8" descr="C:\Users\Asy Syifaa\Downloads\Ttd Paduka copy.png">
          <a:extLst>
            <a:ext uri="{FF2B5EF4-FFF2-40B4-BE49-F238E27FC236}">
              <a16:creationId xmlns:a16="http://schemas.microsoft.com/office/drawing/2014/main" id="{AA0D841E-4E81-4A5A-A14E-77BC22B9676B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324260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555</xdr:row>
      <xdr:rowOff>85725</xdr:rowOff>
    </xdr:from>
    <xdr:ext cx="1810808" cy="968376"/>
    <xdr:pic>
      <xdr:nvPicPr>
        <xdr:cNvPr id="10" name="Picture 9" descr="C:\Users\Asy Syifaa\Downloads\Ttd Paduka copy.png">
          <a:extLst>
            <a:ext uri="{FF2B5EF4-FFF2-40B4-BE49-F238E27FC236}">
              <a16:creationId xmlns:a16="http://schemas.microsoft.com/office/drawing/2014/main" id="{678FC5EE-3E46-42EB-AF1E-769BE59BDDBA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405667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38</xdr:col>
      <xdr:colOff>27215</xdr:colOff>
      <xdr:row>406</xdr:row>
      <xdr:rowOff>9072</xdr:rowOff>
    </xdr:from>
    <xdr:to>
      <xdr:col>39</xdr:col>
      <xdr:colOff>90714</xdr:colOff>
      <xdr:row>407</xdr:row>
      <xdr:rowOff>163738</xdr:rowOff>
    </xdr:to>
    <xdr:pic>
      <xdr:nvPicPr>
        <xdr:cNvPr id="11" name="Gambar 50" descr="TTD Mu'allim Syarif">
          <a:extLst>
            <a:ext uri="{FF2B5EF4-FFF2-40B4-BE49-F238E27FC236}">
              <a16:creationId xmlns:a16="http://schemas.microsoft.com/office/drawing/2014/main" id="{C61CA57D-EA99-4032-A439-1B0616FFB559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-812739" r="-609117"/>
        <a:stretch/>
      </xdr:blipFill>
      <xdr:spPr bwMode="auto">
        <a:xfrm>
          <a:off x="13971815" y="109768822"/>
          <a:ext cx="704850" cy="418191"/>
        </a:xfrm>
        <a:prstGeom prst="rect">
          <a:avLst/>
        </a:prstGeom>
        <a:noFill/>
      </xdr:spPr>
    </xdr:pic>
    <xdr:clientData/>
  </xdr:twoCellAnchor>
  <xdr:twoCellAnchor editAs="oneCell">
    <xdr:from>
      <xdr:col>37</xdr:col>
      <xdr:colOff>54430</xdr:colOff>
      <xdr:row>369</xdr:row>
      <xdr:rowOff>36286</xdr:rowOff>
    </xdr:from>
    <xdr:to>
      <xdr:col>39</xdr:col>
      <xdr:colOff>226788</xdr:colOff>
      <xdr:row>373</xdr:row>
      <xdr:rowOff>128815</xdr:rowOff>
    </xdr:to>
    <xdr:pic>
      <xdr:nvPicPr>
        <xdr:cNvPr id="12" name="Gambar 51" descr="TTD Mu'allim Syarif">
          <a:extLst>
            <a:ext uri="{FF2B5EF4-FFF2-40B4-BE49-F238E27FC236}">
              <a16:creationId xmlns:a16="http://schemas.microsoft.com/office/drawing/2014/main" id="{2588A3A6-059C-451A-8806-2222FC838EF3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2500000" r="-1363705" b="100000"/>
        <a:stretch/>
      </xdr:blipFill>
      <xdr:spPr bwMode="auto">
        <a:xfrm>
          <a:off x="13357680" y="99699536"/>
          <a:ext cx="1455058" cy="1146629"/>
        </a:xfrm>
        <a:prstGeom prst="rect">
          <a:avLst/>
        </a:prstGeom>
        <a:noFill/>
      </xdr:spPr>
    </xdr:pic>
    <xdr:clientData/>
  </xdr:twoCellAnchor>
  <xdr:twoCellAnchor editAs="oneCell">
    <xdr:from>
      <xdr:col>35</xdr:col>
      <xdr:colOff>281213</xdr:colOff>
      <xdr:row>52</xdr:row>
      <xdr:rowOff>127000</xdr:rowOff>
    </xdr:from>
    <xdr:to>
      <xdr:col>37</xdr:col>
      <xdr:colOff>453568</xdr:colOff>
      <xdr:row>56</xdr:row>
      <xdr:rowOff>219528</xdr:rowOff>
    </xdr:to>
    <xdr:pic>
      <xdr:nvPicPr>
        <xdr:cNvPr id="13" name="Gambar 56" descr="TTD Mu'allim Syarif">
          <a:extLst>
            <a:ext uri="{FF2B5EF4-FFF2-40B4-BE49-F238E27FC236}">
              <a16:creationId xmlns:a16="http://schemas.microsoft.com/office/drawing/2014/main" id="{FDFF77BB-35C6-47CC-82E3-A5B91EB4D414}"/>
            </a:ext>
          </a:extLst>
        </xdr:cNvPr>
        <xdr:cNvPicPr/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-1699857" r="-3094863" b="-1"/>
        <a:stretch/>
      </xdr:blipFill>
      <xdr:spPr bwMode="auto">
        <a:xfrm>
          <a:off x="12301763" y="14325600"/>
          <a:ext cx="1455056" cy="1146629"/>
        </a:xfrm>
        <a:prstGeom prst="rect">
          <a:avLst/>
        </a:prstGeom>
        <a:noFill/>
      </xdr:spPr>
    </xdr:pic>
    <xdr:clientData/>
  </xdr:twoCellAnchor>
  <xdr:twoCellAnchor editAs="oneCell">
    <xdr:from>
      <xdr:col>38</xdr:col>
      <xdr:colOff>181429</xdr:colOff>
      <xdr:row>17</xdr:row>
      <xdr:rowOff>208643</xdr:rowOff>
    </xdr:from>
    <xdr:to>
      <xdr:col>40</xdr:col>
      <xdr:colOff>353783</xdr:colOff>
      <xdr:row>22</xdr:row>
      <xdr:rowOff>34472</xdr:rowOff>
    </xdr:to>
    <xdr:pic>
      <xdr:nvPicPr>
        <xdr:cNvPr id="14" name="Gambar 57" descr="TTD Mu'allim Syarif">
          <a:extLst>
            <a:ext uri="{FF2B5EF4-FFF2-40B4-BE49-F238E27FC236}">
              <a16:creationId xmlns:a16="http://schemas.microsoft.com/office/drawing/2014/main" id="{054B874E-C7AC-4776-BEA1-849890D8F838}"/>
            </a:ext>
          </a:extLst>
        </xdr:cNvPr>
        <xdr:cNvPicPr/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" t="-2400000" r="-2199925"/>
        <a:stretch/>
      </xdr:blipFill>
      <xdr:spPr bwMode="auto">
        <a:xfrm>
          <a:off x="14126029" y="4850493"/>
          <a:ext cx="1455055" cy="1146629"/>
        </a:xfrm>
        <a:prstGeom prst="rect">
          <a:avLst/>
        </a:prstGeom>
        <a:noFill/>
      </xdr:spPr>
    </xdr:pic>
    <xdr:clientData/>
  </xdr:twoCellAnchor>
  <xdr:oneCellAnchor>
    <xdr:from>
      <xdr:col>18</xdr:col>
      <xdr:colOff>352425</xdr:colOff>
      <xdr:row>88</xdr:row>
      <xdr:rowOff>85725</xdr:rowOff>
    </xdr:from>
    <xdr:ext cx="1810808" cy="968376"/>
    <xdr:pic>
      <xdr:nvPicPr>
        <xdr:cNvPr id="16" name="Picture 7" descr="C:\Users\Asy Syifaa\Downloads\Ttd Paduka copy.png">
          <a:extLst>
            <a:ext uri="{FF2B5EF4-FFF2-40B4-BE49-F238E27FC236}">
              <a16:creationId xmlns:a16="http://schemas.microsoft.com/office/drawing/2014/main" id="{777A47CF-5682-4ECF-AD65-F6CB61E755A7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230219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69</xdr:row>
          <xdr:rowOff>257175</xdr:rowOff>
        </xdr:from>
        <xdr:to>
          <xdr:col>35</xdr:col>
          <xdr:colOff>447675</xdr:colOff>
          <xdr:row>71</xdr:row>
          <xdr:rowOff>257175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5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153</xdr:row>
      <xdr:rowOff>85725</xdr:rowOff>
    </xdr:from>
    <xdr:ext cx="1810808" cy="968376"/>
    <xdr:pic>
      <xdr:nvPicPr>
        <xdr:cNvPr id="17" name="Picture 10" descr="C:\Users\Asy Syifaa\Downloads\Ttd Paduka copy.png">
          <a:extLst>
            <a:ext uri="{FF2B5EF4-FFF2-40B4-BE49-F238E27FC236}">
              <a16:creationId xmlns:a16="http://schemas.microsoft.com/office/drawing/2014/main" id="{00CA0F0F-7E2B-4B5F-9598-60EE1E43BDDE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396779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134</xdr:row>
          <xdr:rowOff>257175</xdr:rowOff>
        </xdr:from>
        <xdr:to>
          <xdr:col>35</xdr:col>
          <xdr:colOff>447675</xdr:colOff>
          <xdr:row>136</xdr:row>
          <xdr:rowOff>257175</xdr:rowOff>
        </xdr:to>
        <xdr:sp macro="" textlink="">
          <xdr:nvSpPr>
            <xdr:cNvPr id="1036" name="Spinner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5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224</xdr:row>
      <xdr:rowOff>85725</xdr:rowOff>
    </xdr:from>
    <xdr:ext cx="1810808" cy="968376"/>
    <xdr:pic>
      <xdr:nvPicPr>
        <xdr:cNvPr id="18" name="Picture 17" descr="C:\Users\Asy Syifaa\Downloads\Ttd Paduka copy.png">
          <a:extLst>
            <a:ext uri="{FF2B5EF4-FFF2-40B4-BE49-F238E27FC236}">
              <a16:creationId xmlns:a16="http://schemas.microsoft.com/office/drawing/2014/main" id="{1FCC8526-BE28-43F9-A768-6B2C715E8648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576992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76200</xdr:colOff>
          <xdr:row>206</xdr:row>
          <xdr:rowOff>9525</xdr:rowOff>
        </xdr:from>
        <xdr:to>
          <xdr:col>35</xdr:col>
          <xdr:colOff>419100</xdr:colOff>
          <xdr:row>208</xdr:row>
          <xdr:rowOff>9525</xdr:rowOff>
        </xdr:to>
        <xdr:sp macro="" textlink="">
          <xdr:nvSpPr>
            <xdr:cNvPr id="1037" name="Spinner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328</xdr:row>
      <xdr:rowOff>85725</xdr:rowOff>
    </xdr:from>
    <xdr:ext cx="1810808" cy="968376"/>
    <xdr:pic>
      <xdr:nvPicPr>
        <xdr:cNvPr id="19" name="Picture 18" descr="C:\Users\Asy Syifaa\Downloads\Ttd Paduka copy.png">
          <a:extLst>
            <a:ext uri="{FF2B5EF4-FFF2-40B4-BE49-F238E27FC236}">
              <a16:creationId xmlns:a16="http://schemas.microsoft.com/office/drawing/2014/main" id="{9871D087-8B0F-4E4E-8567-A88EF955416E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833659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</xdr:colOff>
          <xdr:row>310</xdr:row>
          <xdr:rowOff>257175</xdr:rowOff>
        </xdr:from>
        <xdr:to>
          <xdr:col>35</xdr:col>
          <xdr:colOff>390525</xdr:colOff>
          <xdr:row>313</xdr:row>
          <xdr:rowOff>9525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5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361</xdr:row>
      <xdr:rowOff>85725</xdr:rowOff>
    </xdr:from>
    <xdr:ext cx="1810808" cy="968376"/>
    <xdr:pic>
      <xdr:nvPicPr>
        <xdr:cNvPr id="21" name="Picture 20" descr="C:\Users\Asy Syifaa\Downloads\Ttd Paduka copy.png">
          <a:extLst>
            <a:ext uri="{FF2B5EF4-FFF2-40B4-BE49-F238E27FC236}">
              <a16:creationId xmlns:a16="http://schemas.microsoft.com/office/drawing/2014/main" id="{AE3BEA29-77FC-438F-B03E-DE0DFF604FC3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915574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133350</xdr:colOff>
          <xdr:row>344</xdr:row>
          <xdr:rowOff>19050</xdr:rowOff>
        </xdr:from>
        <xdr:to>
          <xdr:col>35</xdr:col>
          <xdr:colOff>428625</xdr:colOff>
          <xdr:row>346</xdr:row>
          <xdr:rowOff>19050</xdr:rowOff>
        </xdr:to>
        <xdr:sp macro="" textlink="">
          <xdr:nvSpPr>
            <xdr:cNvPr id="1039" name="Spinner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5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37</xdr:col>
      <xdr:colOff>203695</xdr:colOff>
      <xdr:row>338</xdr:row>
      <xdr:rowOff>167408</xdr:rowOff>
    </xdr:from>
    <xdr:ext cx="1361398" cy="1132732"/>
    <xdr:pic>
      <xdr:nvPicPr>
        <xdr:cNvPr id="22" name="Gambar 52" descr="TTD Mu'allim Syarif">
          <a:extLst>
            <a:ext uri="{FF2B5EF4-FFF2-40B4-BE49-F238E27FC236}">
              <a16:creationId xmlns:a16="http://schemas.microsoft.com/office/drawing/2014/main" id="{8485E04F-7455-44BD-A4E0-15ADF7861A65}"/>
            </a:ext>
          </a:extLst>
        </xdr:cNvPr>
        <xdr:cNvPicPr/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-10" t="-2400000" r="-1912472"/>
        <a:stretch/>
      </xdr:blipFill>
      <xdr:spPr bwMode="auto">
        <a:xfrm>
          <a:off x="13506945" y="91366108"/>
          <a:ext cx="1361398" cy="1132732"/>
        </a:xfrm>
        <a:prstGeom prst="rect">
          <a:avLst/>
        </a:prstGeom>
        <a:noFill/>
      </xdr:spPr>
    </xdr:pic>
    <xdr:clientData/>
  </xdr:oneCellAnchor>
  <xdr:oneCellAnchor>
    <xdr:from>
      <xdr:col>18</xdr:col>
      <xdr:colOff>352425</xdr:colOff>
      <xdr:row>459</xdr:row>
      <xdr:rowOff>85725</xdr:rowOff>
    </xdr:from>
    <xdr:ext cx="1810808" cy="968376"/>
    <xdr:pic>
      <xdr:nvPicPr>
        <xdr:cNvPr id="23" name="Picture 22" descr="C:\Users\Asy Syifaa\Downloads\Ttd Paduka copy.png">
          <a:extLst>
            <a:ext uri="{FF2B5EF4-FFF2-40B4-BE49-F238E27FC236}">
              <a16:creationId xmlns:a16="http://schemas.microsoft.com/office/drawing/2014/main" id="{D764E812-E96C-498A-A77C-EF7D0FD0878C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161129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38</xdr:col>
      <xdr:colOff>27215</xdr:colOff>
      <xdr:row>438</xdr:row>
      <xdr:rowOff>9072</xdr:rowOff>
    </xdr:from>
    <xdr:ext cx="674537" cy="414717"/>
    <xdr:pic>
      <xdr:nvPicPr>
        <xdr:cNvPr id="24" name="Gambar 50" descr="TTD Mu'allim Syarif">
          <a:extLst>
            <a:ext uri="{FF2B5EF4-FFF2-40B4-BE49-F238E27FC236}">
              <a16:creationId xmlns:a16="http://schemas.microsoft.com/office/drawing/2014/main" id="{AFCD9116-CD6B-4AC5-9271-26B2569D0C38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-812739" r="-609117"/>
        <a:stretch/>
      </xdr:blipFill>
      <xdr:spPr bwMode="auto">
        <a:xfrm>
          <a:off x="13971815" y="118493722"/>
          <a:ext cx="674537" cy="414717"/>
        </a:xfrm>
        <a:prstGeom prst="rect">
          <a:avLst/>
        </a:prstGeom>
        <a:noFill/>
      </xdr:spPr>
    </xdr:pic>
    <xdr:clientData/>
  </xdr:oneCellAnchor>
  <xdr:oneCellAnchor>
    <xdr:from>
      <xdr:col>18</xdr:col>
      <xdr:colOff>352425</xdr:colOff>
      <xdr:row>491</xdr:row>
      <xdr:rowOff>85725</xdr:rowOff>
    </xdr:from>
    <xdr:ext cx="1810808" cy="968376"/>
    <xdr:pic>
      <xdr:nvPicPr>
        <xdr:cNvPr id="25" name="Picture 24" descr="C:\Users\Asy Syifaa\Downloads\Ttd Paduka copy.png">
          <a:extLst>
            <a:ext uri="{FF2B5EF4-FFF2-40B4-BE49-F238E27FC236}">
              <a16:creationId xmlns:a16="http://schemas.microsoft.com/office/drawing/2014/main" id="{EBCA3FBD-B47D-4D11-8CE8-9E0D825FC126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242917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38</xdr:col>
      <xdr:colOff>27215</xdr:colOff>
      <xdr:row>470</xdr:row>
      <xdr:rowOff>9072</xdr:rowOff>
    </xdr:from>
    <xdr:ext cx="674537" cy="414717"/>
    <xdr:pic>
      <xdr:nvPicPr>
        <xdr:cNvPr id="26" name="Gambar 50" descr="TTD Mu'allim Syarif">
          <a:extLst>
            <a:ext uri="{FF2B5EF4-FFF2-40B4-BE49-F238E27FC236}">
              <a16:creationId xmlns:a16="http://schemas.microsoft.com/office/drawing/2014/main" id="{4424E58D-147B-4368-889B-81874A3BCA41}"/>
            </a:ext>
          </a:extLst>
        </xdr:cNvPr>
        <xdr:cNvPicPr/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-812739" r="-609117"/>
        <a:stretch/>
      </xdr:blipFill>
      <xdr:spPr bwMode="auto">
        <a:xfrm>
          <a:off x="13971815" y="127218622"/>
          <a:ext cx="674537" cy="414717"/>
        </a:xfrm>
        <a:prstGeom prst="rect">
          <a:avLst/>
        </a:prstGeom>
        <a:noFill/>
      </xdr:spPr>
    </xdr:pic>
    <xdr:clientData/>
  </xdr:oneCellAnchor>
  <xdr:oneCellAnchor>
    <xdr:from>
      <xdr:col>18</xdr:col>
      <xdr:colOff>352425</xdr:colOff>
      <xdr:row>586</xdr:row>
      <xdr:rowOff>85725</xdr:rowOff>
    </xdr:from>
    <xdr:ext cx="1810808" cy="968376"/>
    <xdr:pic>
      <xdr:nvPicPr>
        <xdr:cNvPr id="27" name="Picture 26" descr="C:\Users\Asy Syifaa\Downloads\Ttd Paduka copy.png">
          <a:extLst>
            <a:ext uri="{FF2B5EF4-FFF2-40B4-BE49-F238E27FC236}">
              <a16:creationId xmlns:a16="http://schemas.microsoft.com/office/drawing/2014/main" id="{EA32D51D-B859-4762-BF06-4A70F4425FD1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487582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37</xdr:col>
      <xdr:colOff>27214</xdr:colOff>
      <xdr:row>555</xdr:row>
      <xdr:rowOff>0</xdr:rowOff>
    </xdr:from>
    <xdr:ext cx="1394432" cy="1132731"/>
    <xdr:pic>
      <xdr:nvPicPr>
        <xdr:cNvPr id="28" name="Gambar 48" descr="TTD Mu'allim Syarif">
          <a:extLst>
            <a:ext uri="{FF2B5EF4-FFF2-40B4-BE49-F238E27FC236}">
              <a16:creationId xmlns:a16="http://schemas.microsoft.com/office/drawing/2014/main" id="{BC7DD37D-EA24-4ACE-BB58-FD7BE098D25C}"/>
            </a:ext>
          </a:extLst>
        </xdr:cNvPr>
        <xdr:cNvPicPr/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" t="-2400001" r="-3094863" b="-1"/>
        <a:stretch/>
      </xdr:blipFill>
      <xdr:spPr bwMode="auto">
        <a:xfrm>
          <a:off x="13330464" y="149764750"/>
          <a:ext cx="1394432" cy="1132731"/>
        </a:xfrm>
        <a:prstGeom prst="rect">
          <a:avLst/>
        </a:prstGeom>
        <a:noFill/>
      </xdr:spPr>
    </xdr:pic>
    <xdr:clientData/>
  </xdr:oneCellAnchor>
  <xdr:oneCellAnchor>
    <xdr:from>
      <xdr:col>18</xdr:col>
      <xdr:colOff>352425</xdr:colOff>
      <xdr:row>88</xdr:row>
      <xdr:rowOff>85725</xdr:rowOff>
    </xdr:from>
    <xdr:ext cx="1810808" cy="968376"/>
    <xdr:pic>
      <xdr:nvPicPr>
        <xdr:cNvPr id="29" name="Picture 28" descr="C:\Users\Asy Syifaa\Downloads\Ttd Paduka copy.png">
          <a:extLst>
            <a:ext uri="{FF2B5EF4-FFF2-40B4-BE49-F238E27FC236}">
              <a16:creationId xmlns:a16="http://schemas.microsoft.com/office/drawing/2014/main" id="{F050264C-591A-4731-9719-1F8AD1ED5CD2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230219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120</xdr:row>
      <xdr:rowOff>85725</xdr:rowOff>
    </xdr:from>
    <xdr:ext cx="1810808" cy="968376"/>
    <xdr:pic>
      <xdr:nvPicPr>
        <xdr:cNvPr id="30" name="Picture 29" descr="C:\Users\Asy Syifaa\Downloads\Ttd Paduka copy.png">
          <a:extLst>
            <a:ext uri="{FF2B5EF4-FFF2-40B4-BE49-F238E27FC236}">
              <a16:creationId xmlns:a16="http://schemas.microsoft.com/office/drawing/2014/main" id="{E2A0E532-2021-470E-A351-142F456AEED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312134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153</xdr:row>
      <xdr:rowOff>85725</xdr:rowOff>
    </xdr:from>
    <xdr:ext cx="1810808" cy="968376"/>
    <xdr:pic>
      <xdr:nvPicPr>
        <xdr:cNvPr id="31" name="Picture 30" descr="C:\Users\Asy Syifaa\Downloads\Ttd Paduka copy.png">
          <a:extLst>
            <a:ext uri="{FF2B5EF4-FFF2-40B4-BE49-F238E27FC236}">
              <a16:creationId xmlns:a16="http://schemas.microsoft.com/office/drawing/2014/main" id="{D52A01D8-5041-4C5C-8B4A-4D8F8C6BA21C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396779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188</xdr:row>
      <xdr:rowOff>85725</xdr:rowOff>
    </xdr:from>
    <xdr:ext cx="1810808" cy="968376"/>
    <xdr:pic>
      <xdr:nvPicPr>
        <xdr:cNvPr id="32" name="Picture 31" descr="C:\Users\Asy Syifaa\Downloads\Ttd Paduka copy.png">
          <a:extLst>
            <a:ext uri="{FF2B5EF4-FFF2-40B4-BE49-F238E27FC236}">
              <a16:creationId xmlns:a16="http://schemas.microsoft.com/office/drawing/2014/main" id="{1FAB980B-3022-43A1-B5E9-83AC1EA1CF83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486886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224</xdr:row>
      <xdr:rowOff>85725</xdr:rowOff>
    </xdr:from>
    <xdr:ext cx="1810808" cy="968376"/>
    <xdr:pic>
      <xdr:nvPicPr>
        <xdr:cNvPr id="33" name="Picture 32" descr="C:\Users\Asy Syifaa\Downloads\Ttd Paduka copy.png">
          <a:extLst>
            <a:ext uri="{FF2B5EF4-FFF2-40B4-BE49-F238E27FC236}">
              <a16:creationId xmlns:a16="http://schemas.microsoft.com/office/drawing/2014/main" id="{A0470A74-08F8-4405-822A-5517D2F12E83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576992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260</xdr:row>
      <xdr:rowOff>85725</xdr:rowOff>
    </xdr:from>
    <xdr:ext cx="1810808" cy="968376"/>
    <xdr:pic>
      <xdr:nvPicPr>
        <xdr:cNvPr id="34" name="Picture 33" descr="C:\Users\Asy Syifaa\Downloads\Ttd Paduka copy.png">
          <a:extLst>
            <a:ext uri="{FF2B5EF4-FFF2-40B4-BE49-F238E27FC236}">
              <a16:creationId xmlns:a16="http://schemas.microsoft.com/office/drawing/2014/main" id="{6EBA763B-E302-498E-88A2-7539E9EE642D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661638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295</xdr:row>
      <xdr:rowOff>85725</xdr:rowOff>
    </xdr:from>
    <xdr:ext cx="1810808" cy="968376"/>
    <xdr:pic>
      <xdr:nvPicPr>
        <xdr:cNvPr id="35" name="Picture 34" descr="C:\Users\Asy Syifaa\Downloads\Ttd Paduka copy.png">
          <a:extLst>
            <a:ext uri="{FF2B5EF4-FFF2-40B4-BE49-F238E27FC236}">
              <a16:creationId xmlns:a16="http://schemas.microsoft.com/office/drawing/2014/main" id="{011634DF-0837-4970-8C6C-784D64D3853E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746283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328</xdr:row>
      <xdr:rowOff>85725</xdr:rowOff>
    </xdr:from>
    <xdr:ext cx="1810808" cy="968376"/>
    <xdr:pic>
      <xdr:nvPicPr>
        <xdr:cNvPr id="36" name="Picture 35" descr="C:\Users\Asy Syifaa\Downloads\Ttd Paduka copy.png">
          <a:extLst>
            <a:ext uri="{FF2B5EF4-FFF2-40B4-BE49-F238E27FC236}">
              <a16:creationId xmlns:a16="http://schemas.microsoft.com/office/drawing/2014/main" id="{BE67E80F-E7E3-458A-AB77-B74858A5351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833659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361</xdr:row>
      <xdr:rowOff>85725</xdr:rowOff>
    </xdr:from>
    <xdr:ext cx="1810808" cy="968376"/>
    <xdr:pic>
      <xdr:nvPicPr>
        <xdr:cNvPr id="37" name="Picture 36" descr="C:\Users\Asy Syifaa\Downloads\Ttd Paduka copy.png">
          <a:extLst>
            <a:ext uri="{FF2B5EF4-FFF2-40B4-BE49-F238E27FC236}">
              <a16:creationId xmlns:a16="http://schemas.microsoft.com/office/drawing/2014/main" id="{BB5CC884-BE9A-4664-BDF8-C2142BD6C8AA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915574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395</xdr:row>
      <xdr:rowOff>85725</xdr:rowOff>
    </xdr:from>
    <xdr:ext cx="1810808" cy="968376"/>
    <xdr:pic>
      <xdr:nvPicPr>
        <xdr:cNvPr id="38" name="Picture 37" descr="C:\Users\Asy Syifaa\Downloads\Ttd Paduka copy.png">
          <a:extLst>
            <a:ext uri="{FF2B5EF4-FFF2-40B4-BE49-F238E27FC236}">
              <a16:creationId xmlns:a16="http://schemas.microsoft.com/office/drawing/2014/main" id="{833525EB-A6AB-43B0-A9AD-AD9F9D1BEA6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997489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427</xdr:row>
      <xdr:rowOff>85725</xdr:rowOff>
    </xdr:from>
    <xdr:ext cx="1810808" cy="968376"/>
    <xdr:pic>
      <xdr:nvPicPr>
        <xdr:cNvPr id="39" name="Picture 38" descr="C:\Users\Asy Syifaa\Downloads\Ttd Paduka copy.png">
          <a:extLst>
            <a:ext uri="{FF2B5EF4-FFF2-40B4-BE49-F238E27FC236}">
              <a16:creationId xmlns:a16="http://schemas.microsoft.com/office/drawing/2014/main" id="{DD3B8815-AD1C-453B-851F-03785DDD2A69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079341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459</xdr:row>
      <xdr:rowOff>85725</xdr:rowOff>
    </xdr:from>
    <xdr:ext cx="1810808" cy="968376"/>
    <xdr:pic>
      <xdr:nvPicPr>
        <xdr:cNvPr id="40" name="Picture 39" descr="C:\Users\Asy Syifaa\Downloads\Ttd Paduka copy.png">
          <a:extLst>
            <a:ext uri="{FF2B5EF4-FFF2-40B4-BE49-F238E27FC236}">
              <a16:creationId xmlns:a16="http://schemas.microsoft.com/office/drawing/2014/main" id="{D7C6C345-EED9-4576-9EFF-13CA0F6E601D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161129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491</xdr:row>
      <xdr:rowOff>85725</xdr:rowOff>
    </xdr:from>
    <xdr:ext cx="1810808" cy="968376"/>
    <xdr:pic>
      <xdr:nvPicPr>
        <xdr:cNvPr id="41" name="Picture 40" descr="C:\Users\Asy Syifaa\Downloads\Ttd Paduka copy.png">
          <a:extLst>
            <a:ext uri="{FF2B5EF4-FFF2-40B4-BE49-F238E27FC236}">
              <a16:creationId xmlns:a16="http://schemas.microsoft.com/office/drawing/2014/main" id="{E510C805-40D1-40AF-82EA-0756E10A0923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242917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523</xdr:row>
      <xdr:rowOff>85725</xdr:rowOff>
    </xdr:from>
    <xdr:ext cx="1810808" cy="968376"/>
    <xdr:pic>
      <xdr:nvPicPr>
        <xdr:cNvPr id="42" name="Picture 41" descr="C:\Users\Asy Syifaa\Downloads\Ttd Paduka copy.png">
          <a:extLst>
            <a:ext uri="{FF2B5EF4-FFF2-40B4-BE49-F238E27FC236}">
              <a16:creationId xmlns:a16="http://schemas.microsoft.com/office/drawing/2014/main" id="{CC5160AF-DEAA-4993-A162-720FB7A95C3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324260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555</xdr:row>
      <xdr:rowOff>85725</xdr:rowOff>
    </xdr:from>
    <xdr:ext cx="1810808" cy="968376"/>
    <xdr:pic>
      <xdr:nvPicPr>
        <xdr:cNvPr id="43" name="Picture 42" descr="C:\Users\Asy Syifaa\Downloads\Ttd Paduka copy.png">
          <a:extLst>
            <a:ext uri="{FF2B5EF4-FFF2-40B4-BE49-F238E27FC236}">
              <a16:creationId xmlns:a16="http://schemas.microsoft.com/office/drawing/2014/main" id="{84037C5E-BBF4-492C-AF10-C82575F08D92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405667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586</xdr:row>
      <xdr:rowOff>85725</xdr:rowOff>
    </xdr:from>
    <xdr:ext cx="1810808" cy="968376"/>
    <xdr:pic>
      <xdr:nvPicPr>
        <xdr:cNvPr id="44" name="Picture 43" descr="C:\Users\Asy Syifaa\Downloads\Ttd Paduka copy.png">
          <a:extLst>
            <a:ext uri="{FF2B5EF4-FFF2-40B4-BE49-F238E27FC236}">
              <a16:creationId xmlns:a16="http://schemas.microsoft.com/office/drawing/2014/main" id="{67B3B1DF-FBBA-4614-968E-5F689AD58DC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14875827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20</xdr:row>
      <xdr:rowOff>85725</xdr:rowOff>
    </xdr:from>
    <xdr:ext cx="1810808" cy="968376"/>
    <xdr:pic>
      <xdr:nvPicPr>
        <xdr:cNvPr id="45" name="Picture 44" descr="C:\Users\Asy Syifaa\Downloads\Ttd Paduka copy.png">
          <a:extLst>
            <a:ext uri="{FF2B5EF4-FFF2-40B4-BE49-F238E27FC236}">
              <a16:creationId xmlns:a16="http://schemas.microsoft.com/office/drawing/2014/main" id="{31334E6C-0682-4F5B-80BE-2C1670EDB532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03975" y="5546725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27</xdr:col>
      <xdr:colOff>23090</xdr:colOff>
      <xdr:row>555</xdr:row>
      <xdr:rowOff>161633</xdr:rowOff>
    </xdr:from>
    <xdr:to>
      <xdr:col>34</xdr:col>
      <xdr:colOff>7358</xdr:colOff>
      <xdr:row>559</xdr:row>
      <xdr:rowOff>66383</xdr:rowOff>
    </xdr:to>
    <xdr:pic>
      <xdr:nvPicPr>
        <xdr:cNvPr id="46" name="Picture 45">
          <a:extLst>
            <a:ext uri="{FF2B5EF4-FFF2-40B4-BE49-F238E27FC236}">
              <a16:creationId xmlns:a16="http://schemas.microsoft.com/office/drawing/2014/main" id="{960F1CE5-66AD-4AB6-948E-E2D9181A5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5990" y="140642683"/>
          <a:ext cx="2130568" cy="958850"/>
        </a:xfrm>
        <a:prstGeom prst="rect">
          <a:avLst/>
        </a:prstGeom>
      </xdr:spPr>
    </xdr:pic>
    <xdr:clientData/>
  </xdr:twoCellAnchor>
  <xdr:twoCellAnchor editAs="oneCell">
    <xdr:from>
      <xdr:col>27</xdr:col>
      <xdr:colOff>34636</xdr:colOff>
      <xdr:row>586</xdr:row>
      <xdr:rowOff>150091</xdr:rowOff>
    </xdr:from>
    <xdr:to>
      <xdr:col>34</xdr:col>
      <xdr:colOff>18904</xdr:colOff>
      <xdr:row>590</xdr:row>
      <xdr:rowOff>54838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32AC1D47-E5B3-4B71-82B0-F0A3FBD12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7536" y="148822641"/>
          <a:ext cx="2130568" cy="958848"/>
        </a:xfrm>
        <a:prstGeom prst="rect">
          <a:avLst/>
        </a:prstGeom>
      </xdr:spPr>
    </xdr:pic>
    <xdr:clientData/>
  </xdr:twoCellAnchor>
  <xdr:twoCellAnchor editAs="oneCell">
    <xdr:from>
      <xdr:col>26</xdr:col>
      <xdr:colOff>623455</xdr:colOff>
      <xdr:row>523</xdr:row>
      <xdr:rowOff>138546</xdr:rowOff>
    </xdr:from>
    <xdr:to>
      <xdr:col>33</xdr:col>
      <xdr:colOff>342177</xdr:colOff>
      <xdr:row>527</xdr:row>
      <xdr:rowOff>48241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8641139F-A474-483E-9A69-C3E3D5E423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15005" y="132478896"/>
          <a:ext cx="2125372" cy="963796"/>
        </a:xfrm>
        <a:prstGeom prst="rect">
          <a:avLst/>
        </a:prstGeom>
      </xdr:spPr>
    </xdr:pic>
    <xdr:clientData/>
  </xdr:twoCellAnchor>
  <xdr:twoCellAnchor editAs="oneCell">
    <xdr:from>
      <xdr:col>27</xdr:col>
      <xdr:colOff>11545</xdr:colOff>
      <xdr:row>491</xdr:row>
      <xdr:rowOff>150091</xdr:rowOff>
    </xdr:from>
    <xdr:to>
      <xdr:col>34</xdr:col>
      <xdr:colOff>576</xdr:colOff>
      <xdr:row>495</xdr:row>
      <xdr:rowOff>59786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DDB986DC-6411-4A16-B008-D8C71A6246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44445" y="124356091"/>
          <a:ext cx="2135331" cy="963796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459</xdr:row>
      <xdr:rowOff>161636</xdr:rowOff>
    </xdr:from>
    <xdr:to>
      <xdr:col>34</xdr:col>
      <xdr:colOff>3318</xdr:colOff>
      <xdr:row>463</xdr:row>
      <xdr:rowOff>71334</xdr:rowOff>
    </xdr:to>
    <xdr:pic>
      <xdr:nvPicPr>
        <xdr:cNvPr id="50" name="Picture 49">
          <a:extLst>
            <a:ext uri="{FF2B5EF4-FFF2-40B4-BE49-F238E27FC236}">
              <a16:creationId xmlns:a16="http://schemas.microsoft.com/office/drawing/2014/main" id="{634B1743-D009-4E06-8ACF-44E17BE49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900" y="116188836"/>
          <a:ext cx="2149618" cy="963797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427</xdr:row>
      <xdr:rowOff>161636</xdr:rowOff>
    </xdr:from>
    <xdr:to>
      <xdr:col>34</xdr:col>
      <xdr:colOff>3318</xdr:colOff>
      <xdr:row>431</xdr:row>
      <xdr:rowOff>66388</xdr:rowOff>
    </xdr:to>
    <xdr:pic>
      <xdr:nvPicPr>
        <xdr:cNvPr id="51" name="Picture 50">
          <a:extLst>
            <a:ext uri="{FF2B5EF4-FFF2-40B4-BE49-F238E27FC236}">
              <a16:creationId xmlns:a16="http://schemas.microsoft.com/office/drawing/2014/main" id="{5ADB4770-A71D-4538-A1D0-5DF82464B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900" y="108010036"/>
          <a:ext cx="2149618" cy="958851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635001</xdr:colOff>
      <xdr:row>395</xdr:row>
      <xdr:rowOff>138546</xdr:rowOff>
    </xdr:from>
    <xdr:to>
      <xdr:col>33</xdr:col>
      <xdr:colOff>353723</xdr:colOff>
      <xdr:row>399</xdr:row>
      <xdr:rowOff>43298</xdr:rowOff>
    </xdr:to>
    <xdr:pic>
      <xdr:nvPicPr>
        <xdr:cNvPr id="52" name="Picture 51">
          <a:extLst>
            <a:ext uri="{FF2B5EF4-FFF2-40B4-BE49-F238E27FC236}">
              <a16:creationId xmlns:a16="http://schemas.microsoft.com/office/drawing/2014/main" id="{86186E22-D92E-4C55-92FD-77D774CFE1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6551" y="99801796"/>
          <a:ext cx="2125372" cy="958850"/>
        </a:xfrm>
        <a:prstGeom prst="rect">
          <a:avLst/>
        </a:prstGeom>
      </xdr:spPr>
    </xdr:pic>
    <xdr:clientData/>
  </xdr:twoCellAnchor>
  <xdr:twoCellAnchor editAs="oneCell">
    <xdr:from>
      <xdr:col>26</xdr:col>
      <xdr:colOff>640184</xdr:colOff>
      <xdr:row>361</xdr:row>
      <xdr:rowOff>138542</xdr:rowOff>
    </xdr:from>
    <xdr:to>
      <xdr:col>34</xdr:col>
      <xdr:colOff>3307</xdr:colOff>
      <xdr:row>365</xdr:row>
      <xdr:rowOff>43290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D5578923-D8D4-4DE8-82A3-BF583009D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1734" y="91610292"/>
          <a:ext cx="2150773" cy="958848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635000</xdr:colOff>
      <xdr:row>328</xdr:row>
      <xdr:rowOff>150091</xdr:rowOff>
    </xdr:from>
    <xdr:to>
      <xdr:col>33</xdr:col>
      <xdr:colOff>353722</xdr:colOff>
      <xdr:row>332</xdr:row>
      <xdr:rowOff>54839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830A6080-F34B-4E8B-8CF3-6D14CB007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6550" y="83430341"/>
          <a:ext cx="2125372" cy="958849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295</xdr:row>
      <xdr:rowOff>138546</xdr:rowOff>
    </xdr:from>
    <xdr:to>
      <xdr:col>34</xdr:col>
      <xdr:colOff>3318</xdr:colOff>
      <xdr:row>299</xdr:row>
      <xdr:rowOff>43295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BDA3AC43-3A51-4B75-B9E1-0876DCA47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900" y="74681196"/>
          <a:ext cx="2149618" cy="95885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260</xdr:row>
      <xdr:rowOff>150091</xdr:rowOff>
    </xdr:from>
    <xdr:to>
      <xdr:col>34</xdr:col>
      <xdr:colOff>3318</xdr:colOff>
      <xdr:row>264</xdr:row>
      <xdr:rowOff>54840</xdr:rowOff>
    </xdr:to>
    <xdr:pic>
      <xdr:nvPicPr>
        <xdr:cNvPr id="56" name="Picture 55">
          <a:extLst>
            <a:ext uri="{FF2B5EF4-FFF2-40B4-BE49-F238E27FC236}">
              <a16:creationId xmlns:a16="http://schemas.microsoft.com/office/drawing/2014/main" id="{A878DADF-1EBC-4BBF-BE66-9FB383329C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900" y="66228191"/>
          <a:ext cx="2149618" cy="958849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224</xdr:row>
      <xdr:rowOff>138546</xdr:rowOff>
    </xdr:from>
    <xdr:to>
      <xdr:col>34</xdr:col>
      <xdr:colOff>3318</xdr:colOff>
      <xdr:row>228</xdr:row>
      <xdr:rowOff>43294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02109917-E38A-437B-BDBD-6E149C045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900" y="57752096"/>
          <a:ext cx="2149618" cy="958848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188</xdr:row>
      <xdr:rowOff>138548</xdr:rowOff>
    </xdr:from>
    <xdr:to>
      <xdr:col>34</xdr:col>
      <xdr:colOff>3318</xdr:colOff>
      <xdr:row>192</xdr:row>
      <xdr:rowOff>43298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1F843F74-6EFC-4EC9-BDFC-591A6CDC1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900" y="48741448"/>
          <a:ext cx="2149618" cy="958849"/>
        </a:xfrm>
        <a:prstGeom prst="rect">
          <a:avLst/>
        </a:prstGeom>
      </xdr:spPr>
    </xdr:pic>
    <xdr:clientData/>
  </xdr:twoCellAnchor>
  <xdr:twoCellAnchor editAs="oneCell">
    <xdr:from>
      <xdr:col>26</xdr:col>
      <xdr:colOff>640194</xdr:colOff>
      <xdr:row>153</xdr:row>
      <xdr:rowOff>173182</xdr:rowOff>
    </xdr:from>
    <xdr:to>
      <xdr:col>34</xdr:col>
      <xdr:colOff>3317</xdr:colOff>
      <xdr:row>157</xdr:row>
      <xdr:rowOff>77932</xdr:rowOff>
    </xdr:to>
    <xdr:pic>
      <xdr:nvPicPr>
        <xdr:cNvPr id="59" name="Picture 58">
          <a:extLst>
            <a:ext uri="{FF2B5EF4-FFF2-40B4-BE49-F238E27FC236}">
              <a16:creationId xmlns:a16="http://schemas.microsoft.com/office/drawing/2014/main" id="{BF39639B-66E3-47A8-B011-CE9FA9CE8D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1744" y="39765432"/>
          <a:ext cx="2150773" cy="958849"/>
        </a:xfrm>
        <a:prstGeom prst="rect">
          <a:avLst/>
        </a:prstGeom>
      </xdr:spPr>
    </xdr:pic>
    <xdr:clientData/>
  </xdr:twoCellAnchor>
  <xdr:twoCellAnchor editAs="oneCell">
    <xdr:from>
      <xdr:col>27</xdr:col>
      <xdr:colOff>-1</xdr:colOff>
      <xdr:row>120</xdr:row>
      <xdr:rowOff>150091</xdr:rowOff>
    </xdr:from>
    <xdr:to>
      <xdr:col>34</xdr:col>
      <xdr:colOff>3317</xdr:colOff>
      <xdr:row>124</xdr:row>
      <xdr:rowOff>54839</xdr:rowOff>
    </xdr:to>
    <xdr:pic>
      <xdr:nvPicPr>
        <xdr:cNvPr id="60" name="Picture 59">
          <a:extLst>
            <a:ext uri="{FF2B5EF4-FFF2-40B4-BE49-F238E27FC236}">
              <a16:creationId xmlns:a16="http://schemas.microsoft.com/office/drawing/2014/main" id="{38ED7828-B438-4793-B2E8-6E22FB83E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899" y="31277791"/>
          <a:ext cx="2149618" cy="958849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88</xdr:row>
      <xdr:rowOff>161636</xdr:rowOff>
    </xdr:from>
    <xdr:to>
      <xdr:col>34</xdr:col>
      <xdr:colOff>3318</xdr:colOff>
      <xdr:row>92</xdr:row>
      <xdr:rowOff>66386</xdr:rowOff>
    </xdr:to>
    <xdr:pic>
      <xdr:nvPicPr>
        <xdr:cNvPr id="61" name="Picture 60">
          <a:extLst>
            <a:ext uri="{FF2B5EF4-FFF2-40B4-BE49-F238E27FC236}">
              <a16:creationId xmlns:a16="http://schemas.microsoft.com/office/drawing/2014/main" id="{86F3CD55-E924-4CB9-8356-2D5938B1F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32900" y="23097836"/>
          <a:ext cx="2149618" cy="95885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635000</xdr:colOff>
      <xdr:row>54</xdr:row>
      <xdr:rowOff>161636</xdr:rowOff>
    </xdr:from>
    <xdr:to>
      <xdr:col>33</xdr:col>
      <xdr:colOff>353722</xdr:colOff>
      <xdr:row>58</xdr:row>
      <xdr:rowOff>66386</xdr:rowOff>
    </xdr:to>
    <xdr:pic>
      <xdr:nvPicPr>
        <xdr:cNvPr id="62" name="Picture 61">
          <a:extLst>
            <a:ext uri="{FF2B5EF4-FFF2-40B4-BE49-F238E27FC236}">
              <a16:creationId xmlns:a16="http://schemas.microsoft.com/office/drawing/2014/main" id="{D98AEF4C-653C-4B68-A4E5-C2EB717F4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92167" y="15242886"/>
          <a:ext cx="2110555" cy="967317"/>
        </a:xfrm>
        <a:prstGeom prst="rect">
          <a:avLst/>
        </a:prstGeom>
      </xdr:spPr>
    </xdr:pic>
    <xdr:clientData/>
  </xdr:twoCellAnchor>
  <xdr:twoCellAnchor editAs="oneCell">
    <xdr:from>
      <xdr:col>26</xdr:col>
      <xdr:colOff>634999</xdr:colOff>
      <xdr:row>20</xdr:row>
      <xdr:rowOff>150090</xdr:rowOff>
    </xdr:from>
    <xdr:to>
      <xdr:col>33</xdr:col>
      <xdr:colOff>353721</xdr:colOff>
      <xdr:row>24</xdr:row>
      <xdr:rowOff>54839</xdr:rowOff>
    </xdr:to>
    <xdr:pic>
      <xdr:nvPicPr>
        <xdr:cNvPr id="63" name="Picture 62">
          <a:extLst>
            <a:ext uri="{FF2B5EF4-FFF2-40B4-BE49-F238E27FC236}">
              <a16:creationId xmlns:a16="http://schemas.microsoft.com/office/drawing/2014/main" id="{1FABACC5-FC1B-4931-8FF4-6C1BE5C15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26549" y="5611090"/>
          <a:ext cx="2125372" cy="9588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133350</xdr:colOff>
          <xdr:row>377</xdr:row>
          <xdr:rowOff>19050</xdr:rowOff>
        </xdr:from>
        <xdr:to>
          <xdr:col>35</xdr:col>
          <xdr:colOff>428625</xdr:colOff>
          <xdr:row>379</xdr:row>
          <xdr:rowOff>19050</xdr:rowOff>
        </xdr:to>
        <xdr:sp macro="" textlink="">
          <xdr:nvSpPr>
            <xdr:cNvPr id="1043" name="Spinne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5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133350</xdr:colOff>
          <xdr:row>409</xdr:row>
          <xdr:rowOff>19050</xdr:rowOff>
        </xdr:from>
        <xdr:to>
          <xdr:col>35</xdr:col>
          <xdr:colOff>428625</xdr:colOff>
          <xdr:row>411</xdr:row>
          <xdr:rowOff>19050</xdr:rowOff>
        </xdr:to>
        <xdr:sp macro="" textlink="">
          <xdr:nvSpPr>
            <xdr:cNvPr id="1044" name="Spinner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5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123825</xdr:colOff>
          <xdr:row>440</xdr:row>
          <xdr:rowOff>257175</xdr:rowOff>
        </xdr:from>
        <xdr:to>
          <xdr:col>35</xdr:col>
          <xdr:colOff>409575</xdr:colOff>
          <xdr:row>442</xdr:row>
          <xdr:rowOff>238125</xdr:rowOff>
        </xdr:to>
        <xdr:sp macro="" textlink="">
          <xdr:nvSpPr>
            <xdr:cNvPr id="1046" name="Spinner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5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95250</xdr:colOff>
          <xdr:row>472</xdr:row>
          <xdr:rowOff>257175</xdr:rowOff>
        </xdr:from>
        <xdr:to>
          <xdr:col>35</xdr:col>
          <xdr:colOff>438150</xdr:colOff>
          <xdr:row>475</xdr:row>
          <xdr:rowOff>28575</xdr:rowOff>
        </xdr:to>
        <xdr:sp macro="" textlink="">
          <xdr:nvSpPr>
            <xdr:cNvPr id="1047" name="Spinner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5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</xdr:colOff>
          <xdr:row>505</xdr:row>
          <xdr:rowOff>47625</xdr:rowOff>
        </xdr:from>
        <xdr:to>
          <xdr:col>35</xdr:col>
          <xdr:colOff>323850</xdr:colOff>
          <xdr:row>506</xdr:row>
          <xdr:rowOff>257175</xdr:rowOff>
        </xdr:to>
        <xdr:sp macro="" textlink="">
          <xdr:nvSpPr>
            <xdr:cNvPr id="1048" name="Spinner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5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66675</xdr:colOff>
          <xdr:row>537</xdr:row>
          <xdr:rowOff>9525</xdr:rowOff>
        </xdr:from>
        <xdr:to>
          <xdr:col>35</xdr:col>
          <xdr:colOff>409575</xdr:colOff>
          <xdr:row>538</xdr:row>
          <xdr:rowOff>257175</xdr:rowOff>
        </xdr:to>
        <xdr:sp macro="" textlink="">
          <xdr:nvSpPr>
            <xdr:cNvPr id="1049" name="Spinner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5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104775</xdr:colOff>
          <xdr:row>567</xdr:row>
          <xdr:rowOff>266700</xdr:rowOff>
        </xdr:from>
        <xdr:to>
          <xdr:col>35</xdr:col>
          <xdr:colOff>447675</xdr:colOff>
          <xdr:row>569</xdr:row>
          <xdr:rowOff>257175</xdr:rowOff>
        </xdr:to>
        <xdr:sp macro="" textlink="">
          <xdr:nvSpPr>
            <xdr:cNvPr id="1050" name="Spinner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5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oneCellAnchor>
    <xdr:from>
      <xdr:col>18</xdr:col>
      <xdr:colOff>352425</xdr:colOff>
      <xdr:row>619</xdr:row>
      <xdr:rowOff>85725</xdr:rowOff>
    </xdr:from>
    <xdr:ext cx="1810808" cy="968376"/>
    <xdr:pic>
      <xdr:nvPicPr>
        <xdr:cNvPr id="1064" name="Picture 1063" descr="C:\Users\Asy Syifaa\Downloads\Ttd Paduka copy.png">
          <a:extLst>
            <a:ext uri="{FF2B5EF4-FFF2-40B4-BE49-F238E27FC236}">
              <a16:creationId xmlns:a16="http://schemas.microsoft.com/office/drawing/2014/main" id="{050798C2-B3A5-41C9-BDCB-DFFD02F7AB16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83061" y="155695361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619</xdr:row>
      <xdr:rowOff>85725</xdr:rowOff>
    </xdr:from>
    <xdr:ext cx="1810808" cy="968376"/>
    <xdr:pic>
      <xdr:nvPicPr>
        <xdr:cNvPr id="1065" name="Picture 1064" descr="C:\Users\Asy Syifaa\Downloads\Ttd Paduka copy.png">
          <a:extLst>
            <a:ext uri="{FF2B5EF4-FFF2-40B4-BE49-F238E27FC236}">
              <a16:creationId xmlns:a16="http://schemas.microsoft.com/office/drawing/2014/main" id="{2A04A364-FB9A-4643-8621-08C0A037997E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83061" y="155695361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34636</xdr:colOff>
      <xdr:row>619</xdr:row>
      <xdr:rowOff>150091</xdr:rowOff>
    </xdr:from>
    <xdr:ext cx="2131723" cy="966929"/>
    <xdr:pic>
      <xdr:nvPicPr>
        <xdr:cNvPr id="1066" name="Picture 1065">
          <a:extLst>
            <a:ext uri="{FF2B5EF4-FFF2-40B4-BE49-F238E27FC236}">
              <a16:creationId xmlns:a16="http://schemas.microsoft.com/office/drawing/2014/main" id="{F08209FE-4635-4719-A64E-D72374A09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0272" y="155759727"/>
          <a:ext cx="2131723" cy="966929"/>
        </a:xfrm>
        <a:prstGeom prst="rect">
          <a:avLst/>
        </a:prstGeom>
      </xdr:spPr>
    </xdr:pic>
    <xdr:clientData/>
  </xdr:oneCellAnchor>
  <xdr:oneCellAnchor>
    <xdr:from>
      <xdr:col>18</xdr:col>
      <xdr:colOff>352425</xdr:colOff>
      <xdr:row>646</xdr:row>
      <xdr:rowOff>85725</xdr:rowOff>
    </xdr:from>
    <xdr:ext cx="1810808" cy="968376"/>
    <xdr:pic>
      <xdr:nvPicPr>
        <xdr:cNvPr id="1068" name="Picture 1067" descr="C:\Users\Asy Syifaa\Downloads\Ttd Paduka copy.png">
          <a:extLst>
            <a:ext uri="{FF2B5EF4-FFF2-40B4-BE49-F238E27FC236}">
              <a16:creationId xmlns:a16="http://schemas.microsoft.com/office/drawing/2014/main" id="{DA0F2313-8EA7-4BE2-90B7-8FE0CC8607C4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83061" y="164458361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646</xdr:row>
      <xdr:rowOff>85725</xdr:rowOff>
    </xdr:from>
    <xdr:ext cx="1810808" cy="968376"/>
    <xdr:pic>
      <xdr:nvPicPr>
        <xdr:cNvPr id="1069" name="Picture 1068" descr="C:\Users\Asy Syifaa\Downloads\Ttd Paduka copy.png">
          <a:extLst>
            <a:ext uri="{FF2B5EF4-FFF2-40B4-BE49-F238E27FC236}">
              <a16:creationId xmlns:a16="http://schemas.microsoft.com/office/drawing/2014/main" id="{E4D66389-B55E-42AE-8011-230C7FDA5163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83061" y="164458361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34636</xdr:colOff>
      <xdr:row>646</xdr:row>
      <xdr:rowOff>150091</xdr:rowOff>
    </xdr:from>
    <xdr:ext cx="2131723" cy="966929"/>
    <xdr:pic>
      <xdr:nvPicPr>
        <xdr:cNvPr id="1070" name="Picture 1069">
          <a:extLst>
            <a:ext uri="{FF2B5EF4-FFF2-40B4-BE49-F238E27FC236}">
              <a16:creationId xmlns:a16="http://schemas.microsoft.com/office/drawing/2014/main" id="{633F2411-9D39-40B9-BDD5-3BB48018CE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0272" y="164522727"/>
          <a:ext cx="2131723" cy="966929"/>
        </a:xfrm>
        <a:prstGeom prst="rect">
          <a:avLst/>
        </a:prstGeom>
      </xdr:spPr>
    </xdr:pic>
    <xdr:clientData/>
  </xdr:oneCellAnchor>
  <xdr:oneCellAnchor>
    <xdr:from>
      <xdr:col>18</xdr:col>
      <xdr:colOff>352425</xdr:colOff>
      <xdr:row>675</xdr:row>
      <xdr:rowOff>85725</xdr:rowOff>
    </xdr:from>
    <xdr:ext cx="1810808" cy="968376"/>
    <xdr:pic>
      <xdr:nvPicPr>
        <xdr:cNvPr id="1072" name="Picture 1071" descr="C:\Users\Asy Syifaa\Downloads\Ttd Paduka copy.png">
          <a:extLst>
            <a:ext uri="{FF2B5EF4-FFF2-40B4-BE49-F238E27FC236}">
              <a16:creationId xmlns:a16="http://schemas.microsoft.com/office/drawing/2014/main" id="{C3167658-31C6-4AAD-A2C7-8FA9F2DEADF3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83061" y="164458361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18</xdr:col>
      <xdr:colOff>352425</xdr:colOff>
      <xdr:row>675</xdr:row>
      <xdr:rowOff>85725</xdr:rowOff>
    </xdr:from>
    <xdr:ext cx="1810808" cy="968376"/>
    <xdr:pic>
      <xdr:nvPicPr>
        <xdr:cNvPr id="1073" name="Picture 1072" descr="C:\Users\Asy Syifaa\Downloads\Ttd Paduka copy.png">
          <a:extLst>
            <a:ext uri="{FF2B5EF4-FFF2-40B4-BE49-F238E27FC236}">
              <a16:creationId xmlns:a16="http://schemas.microsoft.com/office/drawing/2014/main" id="{3496AE73-3227-43F2-AED0-8043BD544A67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83061" y="164458361"/>
          <a:ext cx="1810808" cy="9683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27</xdr:col>
      <xdr:colOff>34636</xdr:colOff>
      <xdr:row>675</xdr:row>
      <xdr:rowOff>150091</xdr:rowOff>
    </xdr:from>
    <xdr:ext cx="2131723" cy="966929"/>
    <xdr:pic>
      <xdr:nvPicPr>
        <xdr:cNvPr id="1074" name="Picture 1073">
          <a:extLst>
            <a:ext uri="{FF2B5EF4-FFF2-40B4-BE49-F238E27FC236}">
              <a16:creationId xmlns:a16="http://schemas.microsoft.com/office/drawing/2014/main" id="{A444B817-D147-4AF2-A754-8104E65E0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0272" y="164522727"/>
          <a:ext cx="2131723" cy="966929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123825</xdr:colOff>
          <xdr:row>599</xdr:row>
          <xdr:rowOff>28575</xdr:rowOff>
        </xdr:from>
        <xdr:to>
          <xdr:col>35</xdr:col>
          <xdr:colOff>485775</xdr:colOff>
          <xdr:row>601</xdr:row>
          <xdr:rowOff>9525</xdr:rowOff>
        </xdr:to>
        <xdr:sp macro="" textlink="">
          <xdr:nvSpPr>
            <xdr:cNvPr id="1051" name="Spinner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5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123825</xdr:colOff>
          <xdr:row>628</xdr:row>
          <xdr:rowOff>28575</xdr:rowOff>
        </xdr:from>
        <xdr:to>
          <xdr:col>35</xdr:col>
          <xdr:colOff>542925</xdr:colOff>
          <xdr:row>629</xdr:row>
          <xdr:rowOff>228600</xdr:rowOff>
        </xdr:to>
        <xdr:sp macro="" textlink="">
          <xdr:nvSpPr>
            <xdr:cNvPr id="1052" name="Spinner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5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142875</xdr:colOff>
          <xdr:row>656</xdr:row>
          <xdr:rowOff>257175</xdr:rowOff>
        </xdr:from>
        <xdr:to>
          <xdr:col>35</xdr:col>
          <xdr:colOff>476250</xdr:colOff>
          <xdr:row>659</xdr:row>
          <xdr:rowOff>85725</xdr:rowOff>
        </xdr:to>
        <xdr:sp macro="" textlink="">
          <xdr:nvSpPr>
            <xdr:cNvPr id="1053" name="Spinner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5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36</xdr:col>
      <xdr:colOff>0</xdr:colOff>
      <xdr:row>2</xdr:row>
      <xdr:rowOff>0</xdr:rowOff>
    </xdr:from>
    <xdr:to>
      <xdr:col>36</xdr:col>
      <xdr:colOff>508001</xdr:colOff>
      <xdr:row>3</xdr:row>
      <xdr:rowOff>152977</xdr:rowOff>
    </xdr:to>
    <xdr:grpSp>
      <xdr:nvGrpSpPr>
        <xdr:cNvPr id="1061" name="Group 1060">
          <a:extLst>
            <a:ext uri="{FF2B5EF4-FFF2-40B4-BE49-F238E27FC236}">
              <a16:creationId xmlns:a16="http://schemas.microsoft.com/office/drawing/2014/main" id="{39A11194-740E-4BC0-B49D-2FD771D207C1}"/>
            </a:ext>
          </a:extLst>
        </xdr:cNvPr>
        <xdr:cNvGrpSpPr/>
      </xdr:nvGrpSpPr>
      <xdr:grpSpPr>
        <a:xfrm>
          <a:off x="12192000" y="544286"/>
          <a:ext cx="508001" cy="425120"/>
          <a:chOff x="5615514" y="2160985"/>
          <a:chExt cx="508001" cy="412750"/>
        </a:xfrm>
      </xdr:grpSpPr>
      <xdr:sp macro="[0]!Printarea" textlink="">
        <xdr:nvSpPr>
          <xdr:cNvPr id="1062" name="Rectangle: Rounded Corners 1061">
            <a:extLst>
              <a:ext uri="{FF2B5EF4-FFF2-40B4-BE49-F238E27FC236}">
                <a16:creationId xmlns:a16="http://schemas.microsoft.com/office/drawing/2014/main" id="{3B7C96CE-55D7-05F8-235B-49740BEE4104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063" name="Picture 1062">
            <a:extLst>
              <a:ext uri="{FF2B5EF4-FFF2-40B4-BE49-F238E27FC236}">
                <a16:creationId xmlns:a16="http://schemas.microsoft.com/office/drawing/2014/main" id="{7D642035-81E3-DA04-FF2C-F5BAE22A3A3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0</xdr:colOff>
      <xdr:row>4</xdr:row>
      <xdr:rowOff>0</xdr:rowOff>
    </xdr:from>
    <xdr:to>
      <xdr:col>36</xdr:col>
      <xdr:colOff>508001</xdr:colOff>
      <xdr:row>5</xdr:row>
      <xdr:rowOff>149111</xdr:rowOff>
    </xdr:to>
    <xdr:grpSp>
      <xdr:nvGrpSpPr>
        <xdr:cNvPr id="1079" name="Group 107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9B97414-01CF-4EA1-8CDB-AEA7AA986D8C}"/>
            </a:ext>
          </a:extLst>
        </xdr:cNvPr>
        <xdr:cNvGrpSpPr/>
      </xdr:nvGrpSpPr>
      <xdr:grpSpPr>
        <a:xfrm>
          <a:off x="12192000" y="1088571"/>
          <a:ext cx="508001" cy="421254"/>
          <a:chOff x="5615514" y="2690151"/>
          <a:chExt cx="508001" cy="412750"/>
        </a:xfrm>
      </xdr:grpSpPr>
      <xdr:sp macro="" textlink="">
        <xdr:nvSpPr>
          <xdr:cNvPr id="1080" name="Rectangle: Rounded Corners 1079">
            <a:extLst>
              <a:ext uri="{FF2B5EF4-FFF2-40B4-BE49-F238E27FC236}">
                <a16:creationId xmlns:a16="http://schemas.microsoft.com/office/drawing/2014/main" id="{A5BD783E-311E-AB8B-2CC0-E8782C3E1AFE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081" name="Picture 1080">
            <a:extLst>
              <a:ext uri="{FF2B5EF4-FFF2-40B4-BE49-F238E27FC236}">
                <a16:creationId xmlns:a16="http://schemas.microsoft.com/office/drawing/2014/main" id="{C8B04BA3-6F6C-7614-5B04-58C702548C3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0</xdr:colOff>
      <xdr:row>36</xdr:row>
      <xdr:rowOff>101600</xdr:rowOff>
    </xdr:from>
    <xdr:to>
      <xdr:col>36</xdr:col>
      <xdr:colOff>508001</xdr:colOff>
      <xdr:row>37</xdr:row>
      <xdr:rowOff>254577</xdr:rowOff>
    </xdr:to>
    <xdr:grpSp>
      <xdr:nvGrpSpPr>
        <xdr:cNvPr id="1086" name="Group 1085">
          <a:extLst>
            <a:ext uri="{FF2B5EF4-FFF2-40B4-BE49-F238E27FC236}">
              <a16:creationId xmlns:a16="http://schemas.microsoft.com/office/drawing/2014/main" id="{01FC66BA-A39E-400B-9D0F-26F19EBB45D7}"/>
            </a:ext>
          </a:extLst>
        </xdr:cNvPr>
        <xdr:cNvGrpSpPr/>
      </xdr:nvGrpSpPr>
      <xdr:grpSpPr>
        <a:xfrm>
          <a:off x="12192000" y="9681029"/>
          <a:ext cx="508001" cy="425119"/>
          <a:chOff x="5615514" y="2160985"/>
          <a:chExt cx="508001" cy="412750"/>
        </a:xfrm>
      </xdr:grpSpPr>
      <xdr:sp macro="[0]!Printarea" textlink="">
        <xdr:nvSpPr>
          <xdr:cNvPr id="1087" name="Rectangle: Rounded Corners 1086">
            <a:extLst>
              <a:ext uri="{FF2B5EF4-FFF2-40B4-BE49-F238E27FC236}">
                <a16:creationId xmlns:a16="http://schemas.microsoft.com/office/drawing/2014/main" id="{946642BC-909F-3750-64FF-BD8BAAFF3239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088" name="Picture 1087">
            <a:extLst>
              <a:ext uri="{FF2B5EF4-FFF2-40B4-BE49-F238E27FC236}">
                <a16:creationId xmlns:a16="http://schemas.microsoft.com/office/drawing/2014/main" id="{F00539A8-F8B0-0653-2D9E-49CAF31ADF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0</xdr:colOff>
      <xdr:row>38</xdr:row>
      <xdr:rowOff>101600</xdr:rowOff>
    </xdr:from>
    <xdr:to>
      <xdr:col>36</xdr:col>
      <xdr:colOff>508001</xdr:colOff>
      <xdr:row>39</xdr:row>
      <xdr:rowOff>250711</xdr:rowOff>
    </xdr:to>
    <xdr:grpSp>
      <xdr:nvGrpSpPr>
        <xdr:cNvPr id="1089" name="Group 1088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1CE9861-38DA-4BAB-9EC1-2AA1DBDE24D0}"/>
            </a:ext>
          </a:extLst>
        </xdr:cNvPr>
        <xdr:cNvGrpSpPr/>
      </xdr:nvGrpSpPr>
      <xdr:grpSpPr>
        <a:xfrm>
          <a:off x="12192000" y="10225314"/>
          <a:ext cx="508001" cy="421254"/>
          <a:chOff x="5615514" y="2690151"/>
          <a:chExt cx="508001" cy="412750"/>
        </a:xfrm>
      </xdr:grpSpPr>
      <xdr:sp macro="" textlink="">
        <xdr:nvSpPr>
          <xdr:cNvPr id="1090" name="Rectangle: Rounded Corners 1089">
            <a:extLst>
              <a:ext uri="{FF2B5EF4-FFF2-40B4-BE49-F238E27FC236}">
                <a16:creationId xmlns:a16="http://schemas.microsoft.com/office/drawing/2014/main" id="{19ABE952-D245-0200-9712-C31A6DAAA68D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091" name="Picture 1090">
            <a:extLst>
              <a:ext uri="{FF2B5EF4-FFF2-40B4-BE49-F238E27FC236}">
                <a16:creationId xmlns:a16="http://schemas.microsoft.com/office/drawing/2014/main" id="{C8E97253-C512-7465-165A-010751A0378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70</xdr:row>
      <xdr:rowOff>174625</xdr:rowOff>
    </xdr:from>
    <xdr:to>
      <xdr:col>36</xdr:col>
      <xdr:colOff>555626</xdr:colOff>
      <xdr:row>72</xdr:row>
      <xdr:rowOff>64077</xdr:rowOff>
    </xdr:to>
    <xdr:grpSp>
      <xdr:nvGrpSpPr>
        <xdr:cNvPr id="1076" name="Group 1075">
          <a:extLst>
            <a:ext uri="{FF2B5EF4-FFF2-40B4-BE49-F238E27FC236}">
              <a16:creationId xmlns:a16="http://schemas.microsoft.com/office/drawing/2014/main" id="{BC0BABC5-465E-429F-B201-C311E5E60248}"/>
            </a:ext>
          </a:extLst>
        </xdr:cNvPr>
        <xdr:cNvGrpSpPr/>
      </xdr:nvGrpSpPr>
      <xdr:grpSpPr>
        <a:xfrm>
          <a:off x="12239625" y="18789196"/>
          <a:ext cx="508001" cy="433738"/>
          <a:chOff x="5615514" y="2160985"/>
          <a:chExt cx="508001" cy="412750"/>
        </a:xfrm>
      </xdr:grpSpPr>
      <xdr:sp macro="[0]!Printarea" textlink="">
        <xdr:nvSpPr>
          <xdr:cNvPr id="1077" name="Rectangle: Rounded Corners 1076">
            <a:extLst>
              <a:ext uri="{FF2B5EF4-FFF2-40B4-BE49-F238E27FC236}">
                <a16:creationId xmlns:a16="http://schemas.microsoft.com/office/drawing/2014/main" id="{757D8F0B-AAB9-659F-0AA0-6CF0C8319D6F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078" name="Picture 1077">
            <a:extLst>
              <a:ext uri="{FF2B5EF4-FFF2-40B4-BE49-F238E27FC236}">
                <a16:creationId xmlns:a16="http://schemas.microsoft.com/office/drawing/2014/main" id="{77023CD7-3401-EE51-CB7A-27519606F3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72</xdr:row>
      <xdr:rowOff>180975</xdr:rowOff>
    </xdr:from>
    <xdr:to>
      <xdr:col>36</xdr:col>
      <xdr:colOff>555626</xdr:colOff>
      <xdr:row>74</xdr:row>
      <xdr:rowOff>66561</xdr:rowOff>
    </xdr:to>
    <xdr:grpSp>
      <xdr:nvGrpSpPr>
        <xdr:cNvPr id="1082" name="Group 108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305B5F7-7ED3-4F12-A032-C625DFF3D255}"/>
            </a:ext>
          </a:extLst>
        </xdr:cNvPr>
        <xdr:cNvGrpSpPr/>
      </xdr:nvGrpSpPr>
      <xdr:grpSpPr>
        <a:xfrm>
          <a:off x="12239625" y="19339832"/>
          <a:ext cx="508001" cy="429872"/>
          <a:chOff x="5615514" y="2690151"/>
          <a:chExt cx="508001" cy="412750"/>
        </a:xfrm>
      </xdr:grpSpPr>
      <xdr:sp macro="" textlink="">
        <xdr:nvSpPr>
          <xdr:cNvPr id="1083" name="Rectangle: Rounded Corners 1082">
            <a:extLst>
              <a:ext uri="{FF2B5EF4-FFF2-40B4-BE49-F238E27FC236}">
                <a16:creationId xmlns:a16="http://schemas.microsoft.com/office/drawing/2014/main" id="{89B8A287-61BF-4372-F97E-8A8BDA3F05E0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084" name="Picture 1083">
            <a:extLst>
              <a:ext uri="{FF2B5EF4-FFF2-40B4-BE49-F238E27FC236}">
                <a16:creationId xmlns:a16="http://schemas.microsoft.com/office/drawing/2014/main" id="{A7ED7FB5-A64E-A0D4-CF81-25CF78D48FD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31750</xdr:colOff>
      <xdr:row>102</xdr:row>
      <xdr:rowOff>228600</xdr:rowOff>
    </xdr:from>
    <xdr:to>
      <xdr:col>36</xdr:col>
      <xdr:colOff>539751</xdr:colOff>
      <xdr:row>104</xdr:row>
      <xdr:rowOff>118052</xdr:rowOff>
    </xdr:to>
    <xdr:grpSp>
      <xdr:nvGrpSpPr>
        <xdr:cNvPr id="1085" name="Group 1084">
          <a:extLst>
            <a:ext uri="{FF2B5EF4-FFF2-40B4-BE49-F238E27FC236}">
              <a16:creationId xmlns:a16="http://schemas.microsoft.com/office/drawing/2014/main" id="{541C5106-F729-4DB0-89DA-19BD1935F718}"/>
            </a:ext>
          </a:extLst>
        </xdr:cNvPr>
        <xdr:cNvGrpSpPr/>
      </xdr:nvGrpSpPr>
      <xdr:grpSpPr>
        <a:xfrm>
          <a:off x="12223750" y="27551743"/>
          <a:ext cx="508001" cy="433738"/>
          <a:chOff x="5615514" y="2160985"/>
          <a:chExt cx="508001" cy="412750"/>
        </a:xfrm>
      </xdr:grpSpPr>
      <xdr:sp macro="[0]!Printarea" textlink="">
        <xdr:nvSpPr>
          <xdr:cNvPr id="1092" name="Rectangle: Rounded Corners 1091">
            <a:extLst>
              <a:ext uri="{FF2B5EF4-FFF2-40B4-BE49-F238E27FC236}">
                <a16:creationId xmlns:a16="http://schemas.microsoft.com/office/drawing/2014/main" id="{B14CF034-1347-CD4E-8712-CA3A7504E7C0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093" name="Picture 1092">
            <a:extLst>
              <a:ext uri="{FF2B5EF4-FFF2-40B4-BE49-F238E27FC236}">
                <a16:creationId xmlns:a16="http://schemas.microsoft.com/office/drawing/2014/main" id="{517A8BA5-1972-05D7-AA53-60B9EF60834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31750</xdr:colOff>
      <xdr:row>104</xdr:row>
      <xdr:rowOff>234950</xdr:rowOff>
    </xdr:from>
    <xdr:to>
      <xdr:col>36</xdr:col>
      <xdr:colOff>539751</xdr:colOff>
      <xdr:row>106</xdr:row>
      <xdr:rowOff>120536</xdr:rowOff>
    </xdr:to>
    <xdr:grpSp>
      <xdr:nvGrpSpPr>
        <xdr:cNvPr id="1094" name="Group 109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9751807-EDD5-4B51-B5D4-C99EC5FE22DE}"/>
            </a:ext>
          </a:extLst>
        </xdr:cNvPr>
        <xdr:cNvGrpSpPr/>
      </xdr:nvGrpSpPr>
      <xdr:grpSpPr>
        <a:xfrm>
          <a:off x="12223750" y="28102379"/>
          <a:ext cx="508001" cy="429871"/>
          <a:chOff x="5615514" y="2690151"/>
          <a:chExt cx="508001" cy="412750"/>
        </a:xfrm>
      </xdr:grpSpPr>
      <xdr:sp macro="" textlink="">
        <xdr:nvSpPr>
          <xdr:cNvPr id="1095" name="Rectangle: Rounded Corners 1094">
            <a:extLst>
              <a:ext uri="{FF2B5EF4-FFF2-40B4-BE49-F238E27FC236}">
                <a16:creationId xmlns:a16="http://schemas.microsoft.com/office/drawing/2014/main" id="{2F77CB8A-F7EF-45B4-224D-1754F5C8F9C5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096" name="Picture 1095">
            <a:extLst>
              <a:ext uri="{FF2B5EF4-FFF2-40B4-BE49-F238E27FC236}">
                <a16:creationId xmlns:a16="http://schemas.microsoft.com/office/drawing/2014/main" id="{ACE8FCA0-E83F-697C-F417-52E8FD7B838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135</xdr:row>
      <xdr:rowOff>193675</xdr:rowOff>
    </xdr:from>
    <xdr:to>
      <xdr:col>36</xdr:col>
      <xdr:colOff>555626</xdr:colOff>
      <xdr:row>137</xdr:row>
      <xdr:rowOff>83127</xdr:rowOff>
    </xdr:to>
    <xdr:grpSp>
      <xdr:nvGrpSpPr>
        <xdr:cNvPr id="1097" name="Group 1096">
          <a:extLst>
            <a:ext uri="{FF2B5EF4-FFF2-40B4-BE49-F238E27FC236}">
              <a16:creationId xmlns:a16="http://schemas.microsoft.com/office/drawing/2014/main" id="{C3CD65D2-1AF9-4582-951E-4450EE84817E}"/>
            </a:ext>
          </a:extLst>
        </xdr:cNvPr>
        <xdr:cNvGrpSpPr/>
      </xdr:nvGrpSpPr>
      <xdr:grpSpPr>
        <a:xfrm>
          <a:off x="12239625" y="36497532"/>
          <a:ext cx="508001" cy="433738"/>
          <a:chOff x="5615514" y="2160985"/>
          <a:chExt cx="508001" cy="412750"/>
        </a:xfrm>
      </xdr:grpSpPr>
      <xdr:sp macro="[0]!Printarea" textlink="">
        <xdr:nvSpPr>
          <xdr:cNvPr id="1098" name="Rectangle: Rounded Corners 1097">
            <a:extLst>
              <a:ext uri="{FF2B5EF4-FFF2-40B4-BE49-F238E27FC236}">
                <a16:creationId xmlns:a16="http://schemas.microsoft.com/office/drawing/2014/main" id="{89FB18B3-C636-AC6A-73A0-DE0FB83B1C69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099" name="Picture 1098">
            <a:extLst>
              <a:ext uri="{FF2B5EF4-FFF2-40B4-BE49-F238E27FC236}">
                <a16:creationId xmlns:a16="http://schemas.microsoft.com/office/drawing/2014/main" id="{E511C30B-8805-5DE1-5C7A-9746E5D93EF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137</xdr:row>
      <xdr:rowOff>204787</xdr:rowOff>
    </xdr:from>
    <xdr:to>
      <xdr:col>36</xdr:col>
      <xdr:colOff>555626</xdr:colOff>
      <xdr:row>139</xdr:row>
      <xdr:rowOff>85611</xdr:rowOff>
    </xdr:to>
    <xdr:grpSp>
      <xdr:nvGrpSpPr>
        <xdr:cNvPr id="1100" name="Group 109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70AED7F-D536-404D-949C-280247226D4F}"/>
            </a:ext>
          </a:extLst>
        </xdr:cNvPr>
        <xdr:cNvGrpSpPr/>
      </xdr:nvGrpSpPr>
      <xdr:grpSpPr>
        <a:xfrm>
          <a:off x="12239625" y="37052930"/>
          <a:ext cx="508001" cy="425110"/>
          <a:chOff x="5615514" y="2690151"/>
          <a:chExt cx="508001" cy="412750"/>
        </a:xfrm>
      </xdr:grpSpPr>
      <xdr:sp macro="" textlink="">
        <xdr:nvSpPr>
          <xdr:cNvPr id="1101" name="Rectangle: Rounded Corners 1100">
            <a:extLst>
              <a:ext uri="{FF2B5EF4-FFF2-40B4-BE49-F238E27FC236}">
                <a16:creationId xmlns:a16="http://schemas.microsoft.com/office/drawing/2014/main" id="{42CFE85C-3A60-BE4B-8F6B-A5B5BB43D2EE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02" name="Picture 1101">
            <a:extLst>
              <a:ext uri="{FF2B5EF4-FFF2-40B4-BE49-F238E27FC236}">
                <a16:creationId xmlns:a16="http://schemas.microsoft.com/office/drawing/2014/main" id="{AE5DA3D4-849C-AD1E-AC8B-7C5F1481E8E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15875</xdr:colOff>
      <xdr:row>170</xdr:row>
      <xdr:rowOff>203777</xdr:rowOff>
    </xdr:from>
    <xdr:to>
      <xdr:col>36</xdr:col>
      <xdr:colOff>523876</xdr:colOff>
      <xdr:row>172</xdr:row>
      <xdr:rowOff>83127</xdr:rowOff>
    </xdr:to>
    <xdr:grpSp>
      <xdr:nvGrpSpPr>
        <xdr:cNvPr id="1103" name="Group 1102">
          <a:extLst>
            <a:ext uri="{FF2B5EF4-FFF2-40B4-BE49-F238E27FC236}">
              <a16:creationId xmlns:a16="http://schemas.microsoft.com/office/drawing/2014/main" id="{90BD6CD8-5A22-4ABC-BCA0-CC1C81A94989}"/>
            </a:ext>
          </a:extLst>
        </xdr:cNvPr>
        <xdr:cNvGrpSpPr/>
      </xdr:nvGrpSpPr>
      <xdr:grpSpPr>
        <a:xfrm>
          <a:off x="12207875" y="46032634"/>
          <a:ext cx="508001" cy="423636"/>
          <a:chOff x="5615514" y="2160985"/>
          <a:chExt cx="508001" cy="412750"/>
        </a:xfrm>
      </xdr:grpSpPr>
      <xdr:sp macro="[0]!Printarea" textlink="">
        <xdr:nvSpPr>
          <xdr:cNvPr id="1104" name="Rectangle: Rounded Corners 1103">
            <a:extLst>
              <a:ext uri="{FF2B5EF4-FFF2-40B4-BE49-F238E27FC236}">
                <a16:creationId xmlns:a16="http://schemas.microsoft.com/office/drawing/2014/main" id="{25CC7253-D38A-8DED-400F-B2BA084DD633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05" name="Picture 1104">
            <a:extLst>
              <a:ext uri="{FF2B5EF4-FFF2-40B4-BE49-F238E27FC236}">
                <a16:creationId xmlns:a16="http://schemas.microsoft.com/office/drawing/2014/main" id="{4FD16288-0CCE-822E-AFAE-5480ED7E903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15875</xdr:colOff>
      <xdr:row>172</xdr:row>
      <xdr:rowOff>205317</xdr:rowOff>
    </xdr:from>
    <xdr:to>
      <xdr:col>36</xdr:col>
      <xdr:colOff>523876</xdr:colOff>
      <xdr:row>174</xdr:row>
      <xdr:rowOff>85611</xdr:rowOff>
    </xdr:to>
    <xdr:grpSp>
      <xdr:nvGrpSpPr>
        <xdr:cNvPr id="1106" name="Group 110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3086C8C-4D64-4BCF-9E15-D97EB6DA4761}"/>
            </a:ext>
          </a:extLst>
        </xdr:cNvPr>
        <xdr:cNvGrpSpPr/>
      </xdr:nvGrpSpPr>
      <xdr:grpSpPr>
        <a:xfrm>
          <a:off x="12207875" y="46578460"/>
          <a:ext cx="508001" cy="424580"/>
          <a:chOff x="5615514" y="2690151"/>
          <a:chExt cx="508001" cy="412750"/>
        </a:xfrm>
      </xdr:grpSpPr>
      <xdr:sp macro="" textlink="">
        <xdr:nvSpPr>
          <xdr:cNvPr id="1107" name="Rectangle: Rounded Corners 1106">
            <a:extLst>
              <a:ext uri="{FF2B5EF4-FFF2-40B4-BE49-F238E27FC236}">
                <a16:creationId xmlns:a16="http://schemas.microsoft.com/office/drawing/2014/main" id="{11130968-514B-36BD-3BD4-5127F416E652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08" name="Picture 1107">
            <a:extLst>
              <a:ext uri="{FF2B5EF4-FFF2-40B4-BE49-F238E27FC236}">
                <a16:creationId xmlns:a16="http://schemas.microsoft.com/office/drawing/2014/main" id="{00CBDBB4-3049-AF15-8F5F-17FD74AE2FE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15875</xdr:colOff>
      <xdr:row>207</xdr:row>
      <xdr:rowOff>47625</xdr:rowOff>
    </xdr:from>
    <xdr:to>
      <xdr:col>36</xdr:col>
      <xdr:colOff>523876</xdr:colOff>
      <xdr:row>208</xdr:row>
      <xdr:rowOff>206952</xdr:rowOff>
    </xdr:to>
    <xdr:grpSp>
      <xdr:nvGrpSpPr>
        <xdr:cNvPr id="1109" name="Group 1108">
          <a:extLst>
            <a:ext uri="{FF2B5EF4-FFF2-40B4-BE49-F238E27FC236}">
              <a16:creationId xmlns:a16="http://schemas.microsoft.com/office/drawing/2014/main" id="{4FA083EF-C4C6-4A45-AC73-8E22D132D500}"/>
            </a:ext>
          </a:extLst>
        </xdr:cNvPr>
        <xdr:cNvGrpSpPr/>
      </xdr:nvGrpSpPr>
      <xdr:grpSpPr>
        <a:xfrm>
          <a:off x="12207875" y="55728054"/>
          <a:ext cx="508001" cy="431469"/>
          <a:chOff x="5615514" y="2160985"/>
          <a:chExt cx="508001" cy="412750"/>
        </a:xfrm>
      </xdr:grpSpPr>
      <xdr:sp macro="[0]!Printarea" textlink="">
        <xdr:nvSpPr>
          <xdr:cNvPr id="1110" name="Rectangle: Rounded Corners 1109">
            <a:extLst>
              <a:ext uri="{FF2B5EF4-FFF2-40B4-BE49-F238E27FC236}">
                <a16:creationId xmlns:a16="http://schemas.microsoft.com/office/drawing/2014/main" id="{5C66AE5B-5FCD-596D-340F-CA2277DA0E57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11" name="Picture 1110">
            <a:extLst>
              <a:ext uri="{FF2B5EF4-FFF2-40B4-BE49-F238E27FC236}">
                <a16:creationId xmlns:a16="http://schemas.microsoft.com/office/drawing/2014/main" id="{3F7DAC99-8B96-B602-07CD-A0B2DFA5E1D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15875</xdr:colOff>
      <xdr:row>209</xdr:row>
      <xdr:rowOff>53975</xdr:rowOff>
    </xdr:from>
    <xdr:to>
      <xdr:col>36</xdr:col>
      <xdr:colOff>523876</xdr:colOff>
      <xdr:row>210</xdr:row>
      <xdr:rowOff>209436</xdr:rowOff>
    </xdr:to>
    <xdr:grpSp>
      <xdr:nvGrpSpPr>
        <xdr:cNvPr id="1112" name="Group 1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69F78A1-A4BB-4B4F-A3E4-828CA4C2B6EC}"/>
            </a:ext>
          </a:extLst>
        </xdr:cNvPr>
        <xdr:cNvGrpSpPr/>
      </xdr:nvGrpSpPr>
      <xdr:grpSpPr>
        <a:xfrm>
          <a:off x="12207875" y="56278689"/>
          <a:ext cx="508001" cy="427604"/>
          <a:chOff x="5615514" y="2690151"/>
          <a:chExt cx="508001" cy="412750"/>
        </a:xfrm>
      </xdr:grpSpPr>
      <xdr:sp macro="" textlink="">
        <xdr:nvSpPr>
          <xdr:cNvPr id="1113" name="Rectangle: Rounded Corners 1112">
            <a:extLst>
              <a:ext uri="{FF2B5EF4-FFF2-40B4-BE49-F238E27FC236}">
                <a16:creationId xmlns:a16="http://schemas.microsoft.com/office/drawing/2014/main" id="{DE8D5B4B-C8AA-8149-0462-117A76C92DF8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14" name="Picture 1113">
            <a:extLst>
              <a:ext uri="{FF2B5EF4-FFF2-40B4-BE49-F238E27FC236}">
                <a16:creationId xmlns:a16="http://schemas.microsoft.com/office/drawing/2014/main" id="{B5D7A4EA-3B82-06A6-A9A2-F475B3CDE08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0</xdr:colOff>
      <xdr:row>243</xdr:row>
      <xdr:rowOff>141816</xdr:rowOff>
    </xdr:from>
    <xdr:to>
      <xdr:col>36</xdr:col>
      <xdr:colOff>508001</xdr:colOff>
      <xdr:row>245</xdr:row>
      <xdr:rowOff>29152</xdr:rowOff>
    </xdr:to>
    <xdr:grpSp>
      <xdr:nvGrpSpPr>
        <xdr:cNvPr id="1115" name="Group 1114">
          <a:extLst>
            <a:ext uri="{FF2B5EF4-FFF2-40B4-BE49-F238E27FC236}">
              <a16:creationId xmlns:a16="http://schemas.microsoft.com/office/drawing/2014/main" id="{8CCB09B5-FB28-46DC-B993-6969C09D2744}"/>
            </a:ext>
          </a:extLst>
        </xdr:cNvPr>
        <xdr:cNvGrpSpPr/>
      </xdr:nvGrpSpPr>
      <xdr:grpSpPr>
        <a:xfrm>
          <a:off x="12192000" y="65401673"/>
          <a:ext cx="508001" cy="431622"/>
          <a:chOff x="5615514" y="2160985"/>
          <a:chExt cx="508001" cy="412750"/>
        </a:xfrm>
      </xdr:grpSpPr>
      <xdr:sp macro="[0]!Printarea" textlink="">
        <xdr:nvSpPr>
          <xdr:cNvPr id="1116" name="Rectangle: Rounded Corners 1115">
            <a:extLst>
              <a:ext uri="{FF2B5EF4-FFF2-40B4-BE49-F238E27FC236}">
                <a16:creationId xmlns:a16="http://schemas.microsoft.com/office/drawing/2014/main" id="{BC5A44D3-4158-BC10-B898-A07CEAB24201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17" name="Picture 1116">
            <a:extLst>
              <a:ext uri="{FF2B5EF4-FFF2-40B4-BE49-F238E27FC236}">
                <a16:creationId xmlns:a16="http://schemas.microsoft.com/office/drawing/2014/main" id="{173B191F-B0B3-8FC8-F4B3-34DA9AA1CC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0</xdr:colOff>
      <xdr:row>245</xdr:row>
      <xdr:rowOff>142875</xdr:rowOff>
    </xdr:from>
    <xdr:to>
      <xdr:col>36</xdr:col>
      <xdr:colOff>508001</xdr:colOff>
      <xdr:row>247</xdr:row>
      <xdr:rowOff>31636</xdr:rowOff>
    </xdr:to>
    <xdr:grpSp>
      <xdr:nvGrpSpPr>
        <xdr:cNvPr id="1118" name="Group 11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67AF37B-D0C2-4BBE-8BD6-ED894121C099}"/>
            </a:ext>
          </a:extLst>
        </xdr:cNvPr>
        <xdr:cNvGrpSpPr/>
      </xdr:nvGrpSpPr>
      <xdr:grpSpPr>
        <a:xfrm>
          <a:off x="12192000" y="65947018"/>
          <a:ext cx="508001" cy="433047"/>
          <a:chOff x="5615514" y="2690151"/>
          <a:chExt cx="508001" cy="412750"/>
        </a:xfrm>
      </xdr:grpSpPr>
      <xdr:sp macro="" textlink="">
        <xdr:nvSpPr>
          <xdr:cNvPr id="1119" name="Rectangle: Rounded Corners 1118">
            <a:extLst>
              <a:ext uri="{FF2B5EF4-FFF2-40B4-BE49-F238E27FC236}">
                <a16:creationId xmlns:a16="http://schemas.microsoft.com/office/drawing/2014/main" id="{6F636923-3C36-20B7-91DD-5A8915328437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F9D021C1-478A-44C0-A97C-55EB6D6A478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0</xdr:colOff>
      <xdr:row>279</xdr:row>
      <xdr:rowOff>231775</xdr:rowOff>
    </xdr:from>
    <xdr:to>
      <xdr:col>36</xdr:col>
      <xdr:colOff>508001</xdr:colOff>
      <xdr:row>281</xdr:row>
      <xdr:rowOff>118052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64E87392-1F49-41E4-9631-0B1BB62A1260}"/>
            </a:ext>
          </a:extLst>
        </xdr:cNvPr>
        <xdr:cNvGrpSpPr/>
      </xdr:nvGrpSpPr>
      <xdr:grpSpPr>
        <a:xfrm>
          <a:off x="12192000" y="75071061"/>
          <a:ext cx="508001" cy="430562"/>
          <a:chOff x="5615514" y="2160985"/>
          <a:chExt cx="508001" cy="412750"/>
        </a:xfrm>
      </xdr:grpSpPr>
      <xdr:sp macro="[0]!Printarea" textlink="">
        <xdr:nvSpPr>
          <xdr:cNvPr id="1122" name="Rectangle: Rounded Corners 1121">
            <a:extLst>
              <a:ext uri="{FF2B5EF4-FFF2-40B4-BE49-F238E27FC236}">
                <a16:creationId xmlns:a16="http://schemas.microsoft.com/office/drawing/2014/main" id="{E87790C3-A27A-837A-86E9-4FF9EC2C838C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23" name="Picture 1122">
            <a:extLst>
              <a:ext uri="{FF2B5EF4-FFF2-40B4-BE49-F238E27FC236}">
                <a16:creationId xmlns:a16="http://schemas.microsoft.com/office/drawing/2014/main" id="{3B3CAF49-0067-4DC4-A344-1BBE3C63530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0</xdr:colOff>
      <xdr:row>281</xdr:row>
      <xdr:rowOff>242888</xdr:rowOff>
    </xdr:from>
    <xdr:to>
      <xdr:col>36</xdr:col>
      <xdr:colOff>508001</xdr:colOff>
      <xdr:row>283</xdr:row>
      <xdr:rowOff>120536</xdr:rowOff>
    </xdr:to>
    <xdr:grpSp>
      <xdr:nvGrpSpPr>
        <xdr:cNvPr id="1124" name="Group 112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71B940A-5779-4D9F-A940-36B6AE54FEF1}"/>
            </a:ext>
          </a:extLst>
        </xdr:cNvPr>
        <xdr:cNvGrpSpPr/>
      </xdr:nvGrpSpPr>
      <xdr:grpSpPr>
        <a:xfrm>
          <a:off x="12192000" y="75626459"/>
          <a:ext cx="508001" cy="421934"/>
          <a:chOff x="5615514" y="2690151"/>
          <a:chExt cx="508001" cy="412750"/>
        </a:xfrm>
      </xdr:grpSpPr>
      <xdr:sp macro="" textlink="">
        <xdr:nvSpPr>
          <xdr:cNvPr id="1125" name="Rectangle: Rounded Corners 1124">
            <a:extLst>
              <a:ext uri="{FF2B5EF4-FFF2-40B4-BE49-F238E27FC236}">
                <a16:creationId xmlns:a16="http://schemas.microsoft.com/office/drawing/2014/main" id="{5EE27289-12BB-C227-84D4-DBCB306CFA1C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26" name="Picture 1125">
            <a:extLst>
              <a:ext uri="{FF2B5EF4-FFF2-40B4-BE49-F238E27FC236}">
                <a16:creationId xmlns:a16="http://schemas.microsoft.com/office/drawing/2014/main" id="{655ABBCD-7715-E5AD-109A-B83F80546C5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555625</xdr:colOff>
      <xdr:row>312</xdr:row>
      <xdr:rowOff>225425</xdr:rowOff>
    </xdr:from>
    <xdr:to>
      <xdr:col>36</xdr:col>
      <xdr:colOff>460376</xdr:colOff>
      <xdr:row>314</xdr:row>
      <xdr:rowOff>114877</xdr:rowOff>
    </xdr:to>
    <xdr:grpSp>
      <xdr:nvGrpSpPr>
        <xdr:cNvPr id="1127" name="Group 1126">
          <a:extLst>
            <a:ext uri="{FF2B5EF4-FFF2-40B4-BE49-F238E27FC236}">
              <a16:creationId xmlns:a16="http://schemas.microsoft.com/office/drawing/2014/main" id="{491DB3D8-3B1F-4636-A21A-68AF2FFDFDF8}"/>
            </a:ext>
          </a:extLst>
        </xdr:cNvPr>
        <xdr:cNvGrpSpPr/>
      </xdr:nvGrpSpPr>
      <xdr:grpSpPr>
        <a:xfrm>
          <a:off x="12135304" y="84045425"/>
          <a:ext cx="517072" cy="433738"/>
          <a:chOff x="5615514" y="2160985"/>
          <a:chExt cx="508001" cy="412750"/>
        </a:xfrm>
      </xdr:grpSpPr>
      <xdr:sp macro="[0]!Printarea" textlink="">
        <xdr:nvSpPr>
          <xdr:cNvPr id="1128" name="Rectangle: Rounded Corners 1127">
            <a:extLst>
              <a:ext uri="{FF2B5EF4-FFF2-40B4-BE49-F238E27FC236}">
                <a16:creationId xmlns:a16="http://schemas.microsoft.com/office/drawing/2014/main" id="{D29C94B5-19DC-C63B-A964-2A1154F33C2E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29" name="Picture 1128">
            <a:extLst>
              <a:ext uri="{FF2B5EF4-FFF2-40B4-BE49-F238E27FC236}">
                <a16:creationId xmlns:a16="http://schemas.microsoft.com/office/drawing/2014/main" id="{33583626-5EA9-8A51-7110-457F78BE2F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555625</xdr:colOff>
      <xdr:row>314</xdr:row>
      <xdr:rowOff>231775</xdr:rowOff>
    </xdr:from>
    <xdr:to>
      <xdr:col>36</xdr:col>
      <xdr:colOff>460376</xdr:colOff>
      <xdr:row>316</xdr:row>
      <xdr:rowOff>117361</xdr:rowOff>
    </xdr:to>
    <xdr:grpSp>
      <xdr:nvGrpSpPr>
        <xdr:cNvPr id="1130" name="Group 112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38073F9-4E0E-4B2F-9C95-B910626DEFCA}"/>
            </a:ext>
          </a:extLst>
        </xdr:cNvPr>
        <xdr:cNvGrpSpPr/>
      </xdr:nvGrpSpPr>
      <xdr:grpSpPr>
        <a:xfrm>
          <a:off x="12135304" y="84596061"/>
          <a:ext cx="517072" cy="429871"/>
          <a:chOff x="5615514" y="2690151"/>
          <a:chExt cx="508001" cy="412750"/>
        </a:xfrm>
      </xdr:grpSpPr>
      <xdr:sp macro="" textlink="">
        <xdr:nvSpPr>
          <xdr:cNvPr id="1131" name="Rectangle: Rounded Corners 1130">
            <a:extLst>
              <a:ext uri="{FF2B5EF4-FFF2-40B4-BE49-F238E27FC236}">
                <a16:creationId xmlns:a16="http://schemas.microsoft.com/office/drawing/2014/main" id="{4D67CE16-F7C7-E6DD-9762-88377E44D519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32" name="Picture 1131">
            <a:extLst>
              <a:ext uri="{FF2B5EF4-FFF2-40B4-BE49-F238E27FC236}">
                <a16:creationId xmlns:a16="http://schemas.microsoft.com/office/drawing/2014/main" id="{63412F9B-1C2E-5723-7D25-B80CEB26FA6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63500</xdr:colOff>
      <xdr:row>345</xdr:row>
      <xdr:rowOff>250825</xdr:rowOff>
    </xdr:from>
    <xdr:to>
      <xdr:col>36</xdr:col>
      <xdr:colOff>571501</xdr:colOff>
      <xdr:row>347</xdr:row>
      <xdr:rowOff>140277</xdr:rowOff>
    </xdr:to>
    <xdr:grpSp>
      <xdr:nvGrpSpPr>
        <xdr:cNvPr id="1133" name="Group 1132">
          <a:extLst>
            <a:ext uri="{FF2B5EF4-FFF2-40B4-BE49-F238E27FC236}">
              <a16:creationId xmlns:a16="http://schemas.microsoft.com/office/drawing/2014/main" id="{FF3A4BF6-BA65-402E-8659-061BF070BB06}"/>
            </a:ext>
          </a:extLst>
        </xdr:cNvPr>
        <xdr:cNvGrpSpPr/>
      </xdr:nvGrpSpPr>
      <xdr:grpSpPr>
        <a:xfrm>
          <a:off x="12255500" y="93051539"/>
          <a:ext cx="508001" cy="433738"/>
          <a:chOff x="5615514" y="2160985"/>
          <a:chExt cx="508001" cy="412750"/>
        </a:xfrm>
      </xdr:grpSpPr>
      <xdr:sp macro="[0]!Printarea" textlink="">
        <xdr:nvSpPr>
          <xdr:cNvPr id="1134" name="Rectangle: Rounded Corners 1133">
            <a:extLst>
              <a:ext uri="{FF2B5EF4-FFF2-40B4-BE49-F238E27FC236}">
                <a16:creationId xmlns:a16="http://schemas.microsoft.com/office/drawing/2014/main" id="{BB9D3704-DE1E-8223-2248-FB3F99E562B2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35" name="Picture 1134">
            <a:extLst>
              <a:ext uri="{FF2B5EF4-FFF2-40B4-BE49-F238E27FC236}">
                <a16:creationId xmlns:a16="http://schemas.microsoft.com/office/drawing/2014/main" id="{3EBDE33C-3E57-D567-7AE5-696F75F25C6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63500</xdr:colOff>
      <xdr:row>347</xdr:row>
      <xdr:rowOff>257175</xdr:rowOff>
    </xdr:from>
    <xdr:to>
      <xdr:col>36</xdr:col>
      <xdr:colOff>571501</xdr:colOff>
      <xdr:row>349</xdr:row>
      <xdr:rowOff>142761</xdr:rowOff>
    </xdr:to>
    <xdr:grpSp>
      <xdr:nvGrpSpPr>
        <xdr:cNvPr id="1136" name="Group 113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E77278C-4124-41D1-9C8F-FABD0D9A5782}"/>
            </a:ext>
          </a:extLst>
        </xdr:cNvPr>
        <xdr:cNvGrpSpPr/>
      </xdr:nvGrpSpPr>
      <xdr:grpSpPr>
        <a:xfrm>
          <a:off x="12255500" y="93602175"/>
          <a:ext cx="508001" cy="429872"/>
          <a:chOff x="5615514" y="2690151"/>
          <a:chExt cx="508001" cy="412750"/>
        </a:xfrm>
      </xdr:grpSpPr>
      <xdr:sp macro="" textlink="">
        <xdr:nvSpPr>
          <xdr:cNvPr id="1137" name="Rectangle: Rounded Corners 1136">
            <a:extLst>
              <a:ext uri="{FF2B5EF4-FFF2-40B4-BE49-F238E27FC236}">
                <a16:creationId xmlns:a16="http://schemas.microsoft.com/office/drawing/2014/main" id="{285A8FC6-800B-A2CB-CCD1-8B7040BDB307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38" name="Picture 1137">
            <a:extLst>
              <a:ext uri="{FF2B5EF4-FFF2-40B4-BE49-F238E27FC236}">
                <a16:creationId xmlns:a16="http://schemas.microsoft.com/office/drawing/2014/main" id="{E91E9050-68BE-D44C-641B-4AEA264BB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379</xdr:row>
      <xdr:rowOff>9525</xdr:rowOff>
    </xdr:from>
    <xdr:to>
      <xdr:col>36</xdr:col>
      <xdr:colOff>555626</xdr:colOff>
      <xdr:row>380</xdr:row>
      <xdr:rowOff>168852</xdr:rowOff>
    </xdr:to>
    <xdr:grpSp>
      <xdr:nvGrpSpPr>
        <xdr:cNvPr id="1139" name="Group 1138">
          <a:extLst>
            <a:ext uri="{FF2B5EF4-FFF2-40B4-BE49-F238E27FC236}">
              <a16:creationId xmlns:a16="http://schemas.microsoft.com/office/drawing/2014/main" id="{733D0465-EF4F-4EA8-A3C2-9B12A2D7F9AA}"/>
            </a:ext>
          </a:extLst>
        </xdr:cNvPr>
        <xdr:cNvGrpSpPr/>
      </xdr:nvGrpSpPr>
      <xdr:grpSpPr>
        <a:xfrm>
          <a:off x="12239625" y="102063096"/>
          <a:ext cx="508001" cy="431470"/>
          <a:chOff x="5615514" y="2160985"/>
          <a:chExt cx="508001" cy="412750"/>
        </a:xfrm>
      </xdr:grpSpPr>
      <xdr:sp macro="[0]!Printarea" textlink="">
        <xdr:nvSpPr>
          <xdr:cNvPr id="1140" name="Rectangle: Rounded Corners 1139">
            <a:extLst>
              <a:ext uri="{FF2B5EF4-FFF2-40B4-BE49-F238E27FC236}">
                <a16:creationId xmlns:a16="http://schemas.microsoft.com/office/drawing/2014/main" id="{5578B31E-5758-3AC3-A873-83B957DAB81F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41" name="Picture 1140">
            <a:extLst>
              <a:ext uri="{FF2B5EF4-FFF2-40B4-BE49-F238E27FC236}">
                <a16:creationId xmlns:a16="http://schemas.microsoft.com/office/drawing/2014/main" id="{0DF78A13-CB35-2210-EC8A-A0E604D6D7E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381</xdr:row>
      <xdr:rowOff>15875</xdr:rowOff>
    </xdr:from>
    <xdr:to>
      <xdr:col>36</xdr:col>
      <xdr:colOff>555626</xdr:colOff>
      <xdr:row>382</xdr:row>
      <xdr:rowOff>171336</xdr:rowOff>
    </xdr:to>
    <xdr:grpSp>
      <xdr:nvGrpSpPr>
        <xdr:cNvPr id="1142" name="Group 11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663D239-80D3-4222-A1CA-30DF93E20D43}"/>
            </a:ext>
          </a:extLst>
        </xdr:cNvPr>
        <xdr:cNvGrpSpPr/>
      </xdr:nvGrpSpPr>
      <xdr:grpSpPr>
        <a:xfrm>
          <a:off x="12239625" y="102613732"/>
          <a:ext cx="508001" cy="427604"/>
          <a:chOff x="5615514" y="2690151"/>
          <a:chExt cx="508001" cy="412750"/>
        </a:xfrm>
      </xdr:grpSpPr>
      <xdr:sp macro="" textlink="">
        <xdr:nvSpPr>
          <xdr:cNvPr id="1143" name="Rectangle: Rounded Corners 1142">
            <a:extLst>
              <a:ext uri="{FF2B5EF4-FFF2-40B4-BE49-F238E27FC236}">
                <a16:creationId xmlns:a16="http://schemas.microsoft.com/office/drawing/2014/main" id="{19723318-93E4-BB2E-F5D8-3E396A187613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44" name="Picture 1143">
            <a:extLst>
              <a:ext uri="{FF2B5EF4-FFF2-40B4-BE49-F238E27FC236}">
                <a16:creationId xmlns:a16="http://schemas.microsoft.com/office/drawing/2014/main" id="{B1F6BC3E-DB52-F31B-0B92-2D3497B67D0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15875</xdr:colOff>
      <xdr:row>410</xdr:row>
      <xdr:rowOff>222250</xdr:rowOff>
    </xdr:from>
    <xdr:to>
      <xdr:col>36</xdr:col>
      <xdr:colOff>523876</xdr:colOff>
      <xdr:row>412</xdr:row>
      <xdr:rowOff>111702</xdr:rowOff>
    </xdr:to>
    <xdr:grpSp>
      <xdr:nvGrpSpPr>
        <xdr:cNvPr id="1145" name="Group 1144">
          <a:extLst>
            <a:ext uri="{FF2B5EF4-FFF2-40B4-BE49-F238E27FC236}">
              <a16:creationId xmlns:a16="http://schemas.microsoft.com/office/drawing/2014/main" id="{1FC87AD6-E8D7-4638-A16D-FE401C6DB375}"/>
            </a:ext>
          </a:extLst>
        </xdr:cNvPr>
        <xdr:cNvGrpSpPr/>
      </xdr:nvGrpSpPr>
      <xdr:grpSpPr>
        <a:xfrm>
          <a:off x="12207875" y="110712250"/>
          <a:ext cx="508001" cy="433738"/>
          <a:chOff x="5615514" y="2160985"/>
          <a:chExt cx="508001" cy="412750"/>
        </a:xfrm>
      </xdr:grpSpPr>
      <xdr:sp macro="[0]!Printarea" textlink="">
        <xdr:nvSpPr>
          <xdr:cNvPr id="1146" name="Rectangle: Rounded Corners 1145">
            <a:extLst>
              <a:ext uri="{FF2B5EF4-FFF2-40B4-BE49-F238E27FC236}">
                <a16:creationId xmlns:a16="http://schemas.microsoft.com/office/drawing/2014/main" id="{B750A22A-C8D6-6287-9A78-2B2DD3B2DD8F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47" name="Picture 1146">
            <a:extLst>
              <a:ext uri="{FF2B5EF4-FFF2-40B4-BE49-F238E27FC236}">
                <a16:creationId xmlns:a16="http://schemas.microsoft.com/office/drawing/2014/main" id="{E4CE1A2E-83EB-3FD8-8545-177AFAAB272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15875</xdr:colOff>
      <xdr:row>412</xdr:row>
      <xdr:rowOff>228600</xdr:rowOff>
    </xdr:from>
    <xdr:to>
      <xdr:col>36</xdr:col>
      <xdr:colOff>523876</xdr:colOff>
      <xdr:row>414</xdr:row>
      <xdr:rowOff>114186</xdr:rowOff>
    </xdr:to>
    <xdr:grpSp>
      <xdr:nvGrpSpPr>
        <xdr:cNvPr id="1148" name="Group 114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B77CBAC-B231-43CC-8C27-45533F1DECA6}"/>
            </a:ext>
          </a:extLst>
        </xdr:cNvPr>
        <xdr:cNvGrpSpPr/>
      </xdr:nvGrpSpPr>
      <xdr:grpSpPr>
        <a:xfrm>
          <a:off x="12207875" y="111262886"/>
          <a:ext cx="508001" cy="429871"/>
          <a:chOff x="5615514" y="2690151"/>
          <a:chExt cx="508001" cy="412750"/>
        </a:xfrm>
      </xdr:grpSpPr>
      <xdr:sp macro="" textlink="">
        <xdr:nvSpPr>
          <xdr:cNvPr id="1149" name="Rectangle: Rounded Corners 1148">
            <a:extLst>
              <a:ext uri="{FF2B5EF4-FFF2-40B4-BE49-F238E27FC236}">
                <a16:creationId xmlns:a16="http://schemas.microsoft.com/office/drawing/2014/main" id="{4374B8D6-FC13-25CC-4F57-B6BC2BCDE438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50" name="Picture 1149">
            <a:extLst>
              <a:ext uri="{FF2B5EF4-FFF2-40B4-BE49-F238E27FC236}">
                <a16:creationId xmlns:a16="http://schemas.microsoft.com/office/drawing/2014/main" id="{E05C07DC-DE4F-038D-3DE6-8698A22F664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587375</xdr:colOff>
      <xdr:row>442</xdr:row>
      <xdr:rowOff>231775</xdr:rowOff>
    </xdr:from>
    <xdr:to>
      <xdr:col>36</xdr:col>
      <xdr:colOff>492126</xdr:colOff>
      <xdr:row>444</xdr:row>
      <xdr:rowOff>118052</xdr:rowOff>
    </xdr:to>
    <xdr:grpSp>
      <xdr:nvGrpSpPr>
        <xdr:cNvPr id="1151" name="Group 1150">
          <a:extLst>
            <a:ext uri="{FF2B5EF4-FFF2-40B4-BE49-F238E27FC236}">
              <a16:creationId xmlns:a16="http://schemas.microsoft.com/office/drawing/2014/main" id="{93CECCA0-AAB2-439E-9384-75427F66D863}"/>
            </a:ext>
          </a:extLst>
        </xdr:cNvPr>
        <xdr:cNvGrpSpPr/>
      </xdr:nvGrpSpPr>
      <xdr:grpSpPr>
        <a:xfrm>
          <a:off x="12167054" y="119430346"/>
          <a:ext cx="517072" cy="430563"/>
          <a:chOff x="5615514" y="2160985"/>
          <a:chExt cx="508001" cy="412750"/>
        </a:xfrm>
      </xdr:grpSpPr>
      <xdr:sp macro="[0]!Printarea" textlink="">
        <xdr:nvSpPr>
          <xdr:cNvPr id="1152" name="Rectangle: Rounded Corners 1151">
            <a:extLst>
              <a:ext uri="{FF2B5EF4-FFF2-40B4-BE49-F238E27FC236}">
                <a16:creationId xmlns:a16="http://schemas.microsoft.com/office/drawing/2014/main" id="{04F12151-B16A-0FE7-61C6-C0A27AE82A3F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53" name="Picture 1152">
            <a:extLst>
              <a:ext uri="{FF2B5EF4-FFF2-40B4-BE49-F238E27FC236}">
                <a16:creationId xmlns:a16="http://schemas.microsoft.com/office/drawing/2014/main" id="{DF762FD9-E4B6-A290-B583-0591463E05BC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587375</xdr:colOff>
      <xdr:row>444</xdr:row>
      <xdr:rowOff>242887</xdr:rowOff>
    </xdr:from>
    <xdr:to>
      <xdr:col>36</xdr:col>
      <xdr:colOff>492126</xdr:colOff>
      <xdr:row>446</xdr:row>
      <xdr:rowOff>120536</xdr:rowOff>
    </xdr:to>
    <xdr:grpSp>
      <xdr:nvGrpSpPr>
        <xdr:cNvPr id="1154" name="Group 115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5EAD160-04E0-48D6-9B0D-BF1585EB7BAB}"/>
            </a:ext>
          </a:extLst>
        </xdr:cNvPr>
        <xdr:cNvGrpSpPr/>
      </xdr:nvGrpSpPr>
      <xdr:grpSpPr>
        <a:xfrm>
          <a:off x="12167054" y="119985744"/>
          <a:ext cx="517072" cy="421935"/>
          <a:chOff x="5615514" y="2690151"/>
          <a:chExt cx="508001" cy="412750"/>
        </a:xfrm>
      </xdr:grpSpPr>
      <xdr:sp macro="" textlink="">
        <xdr:nvSpPr>
          <xdr:cNvPr id="1155" name="Rectangle: Rounded Corners 1154">
            <a:extLst>
              <a:ext uri="{FF2B5EF4-FFF2-40B4-BE49-F238E27FC236}">
                <a16:creationId xmlns:a16="http://schemas.microsoft.com/office/drawing/2014/main" id="{6DB60604-CD8F-856B-D708-4A38247B1E42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56" name="Picture 1155">
            <a:extLst>
              <a:ext uri="{FF2B5EF4-FFF2-40B4-BE49-F238E27FC236}">
                <a16:creationId xmlns:a16="http://schemas.microsoft.com/office/drawing/2014/main" id="{C16F8214-7075-6D2A-C861-12A59B36623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474</xdr:row>
      <xdr:rowOff>206375</xdr:rowOff>
    </xdr:from>
    <xdr:to>
      <xdr:col>36</xdr:col>
      <xdr:colOff>555626</xdr:colOff>
      <xdr:row>476</xdr:row>
      <xdr:rowOff>95827</xdr:rowOff>
    </xdr:to>
    <xdr:grpSp>
      <xdr:nvGrpSpPr>
        <xdr:cNvPr id="1157" name="Group 1156">
          <a:extLst>
            <a:ext uri="{FF2B5EF4-FFF2-40B4-BE49-F238E27FC236}">
              <a16:creationId xmlns:a16="http://schemas.microsoft.com/office/drawing/2014/main" id="{68817D50-3B03-48D0-8924-B51CC6775E46}"/>
            </a:ext>
          </a:extLst>
        </xdr:cNvPr>
        <xdr:cNvGrpSpPr/>
      </xdr:nvGrpSpPr>
      <xdr:grpSpPr>
        <a:xfrm>
          <a:off x="12239625" y="128113518"/>
          <a:ext cx="508001" cy="433738"/>
          <a:chOff x="5615514" y="2160985"/>
          <a:chExt cx="508001" cy="412750"/>
        </a:xfrm>
      </xdr:grpSpPr>
      <xdr:sp macro="[0]!Printarea" textlink="">
        <xdr:nvSpPr>
          <xdr:cNvPr id="1158" name="Rectangle: Rounded Corners 1157">
            <a:extLst>
              <a:ext uri="{FF2B5EF4-FFF2-40B4-BE49-F238E27FC236}">
                <a16:creationId xmlns:a16="http://schemas.microsoft.com/office/drawing/2014/main" id="{B80C30B2-1B25-8659-342A-C199624530EE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59" name="Picture 1158">
            <a:extLst>
              <a:ext uri="{FF2B5EF4-FFF2-40B4-BE49-F238E27FC236}">
                <a16:creationId xmlns:a16="http://schemas.microsoft.com/office/drawing/2014/main" id="{C97AC3D5-A943-FD95-9B33-864620C081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47625</xdr:colOff>
      <xdr:row>476</xdr:row>
      <xdr:rowOff>212725</xdr:rowOff>
    </xdr:from>
    <xdr:to>
      <xdr:col>36</xdr:col>
      <xdr:colOff>555626</xdr:colOff>
      <xdr:row>478</xdr:row>
      <xdr:rowOff>98311</xdr:rowOff>
    </xdr:to>
    <xdr:grpSp>
      <xdr:nvGrpSpPr>
        <xdr:cNvPr id="1160" name="Group 115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F04AA6F-2113-4C44-9BDD-F31409A591C0}"/>
            </a:ext>
          </a:extLst>
        </xdr:cNvPr>
        <xdr:cNvGrpSpPr/>
      </xdr:nvGrpSpPr>
      <xdr:grpSpPr>
        <a:xfrm>
          <a:off x="12239625" y="128664154"/>
          <a:ext cx="508001" cy="429871"/>
          <a:chOff x="5615514" y="2690151"/>
          <a:chExt cx="508001" cy="412750"/>
        </a:xfrm>
      </xdr:grpSpPr>
      <xdr:sp macro="" textlink="">
        <xdr:nvSpPr>
          <xdr:cNvPr id="1161" name="Rectangle: Rounded Corners 1160">
            <a:extLst>
              <a:ext uri="{FF2B5EF4-FFF2-40B4-BE49-F238E27FC236}">
                <a16:creationId xmlns:a16="http://schemas.microsoft.com/office/drawing/2014/main" id="{D9DCA60E-CB84-F417-2070-583421150FF4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62" name="Picture 1161">
            <a:extLst>
              <a:ext uri="{FF2B5EF4-FFF2-40B4-BE49-F238E27FC236}">
                <a16:creationId xmlns:a16="http://schemas.microsoft.com/office/drawing/2014/main" id="{BF89FEAE-8ECE-2A1D-921D-A0C112BE09A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523875</xdr:colOff>
      <xdr:row>506</xdr:row>
      <xdr:rowOff>260350</xdr:rowOff>
    </xdr:from>
    <xdr:to>
      <xdr:col>36</xdr:col>
      <xdr:colOff>428626</xdr:colOff>
      <xdr:row>508</xdr:row>
      <xdr:rowOff>149802</xdr:rowOff>
    </xdr:to>
    <xdr:grpSp>
      <xdr:nvGrpSpPr>
        <xdr:cNvPr id="1163" name="Group 1162">
          <a:extLst>
            <a:ext uri="{FF2B5EF4-FFF2-40B4-BE49-F238E27FC236}">
              <a16:creationId xmlns:a16="http://schemas.microsoft.com/office/drawing/2014/main" id="{C9ACCC23-C265-4942-A907-D780166F2507}"/>
            </a:ext>
          </a:extLst>
        </xdr:cNvPr>
        <xdr:cNvGrpSpPr/>
      </xdr:nvGrpSpPr>
      <xdr:grpSpPr>
        <a:xfrm>
          <a:off x="12103554" y="136876064"/>
          <a:ext cx="517072" cy="433738"/>
          <a:chOff x="5615514" y="2160985"/>
          <a:chExt cx="508001" cy="412750"/>
        </a:xfrm>
      </xdr:grpSpPr>
      <xdr:sp macro="[0]!Printarea" textlink="">
        <xdr:nvSpPr>
          <xdr:cNvPr id="1164" name="Rectangle: Rounded Corners 1163">
            <a:extLst>
              <a:ext uri="{FF2B5EF4-FFF2-40B4-BE49-F238E27FC236}">
                <a16:creationId xmlns:a16="http://schemas.microsoft.com/office/drawing/2014/main" id="{3564D7FD-7F9C-49B7-C3F3-C86B8C738574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65" name="Picture 1164">
            <a:extLst>
              <a:ext uri="{FF2B5EF4-FFF2-40B4-BE49-F238E27FC236}">
                <a16:creationId xmlns:a16="http://schemas.microsoft.com/office/drawing/2014/main" id="{FE38CF4E-3737-1A83-FB47-25A1EACE455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523875</xdr:colOff>
      <xdr:row>509</xdr:row>
      <xdr:rowOff>0</xdr:rowOff>
    </xdr:from>
    <xdr:to>
      <xdr:col>36</xdr:col>
      <xdr:colOff>428626</xdr:colOff>
      <xdr:row>510</xdr:row>
      <xdr:rowOff>152286</xdr:rowOff>
    </xdr:to>
    <xdr:grpSp>
      <xdr:nvGrpSpPr>
        <xdr:cNvPr id="1166" name="Group 116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EE99E9E-43BC-4FAA-863F-02A2E9BFC516}"/>
            </a:ext>
          </a:extLst>
        </xdr:cNvPr>
        <xdr:cNvGrpSpPr/>
      </xdr:nvGrpSpPr>
      <xdr:grpSpPr>
        <a:xfrm>
          <a:off x="12103554" y="137432143"/>
          <a:ext cx="517072" cy="424429"/>
          <a:chOff x="5615514" y="2690151"/>
          <a:chExt cx="508001" cy="412750"/>
        </a:xfrm>
      </xdr:grpSpPr>
      <xdr:sp macro="" textlink="">
        <xdr:nvSpPr>
          <xdr:cNvPr id="1167" name="Rectangle: Rounded Corners 1166">
            <a:extLst>
              <a:ext uri="{FF2B5EF4-FFF2-40B4-BE49-F238E27FC236}">
                <a16:creationId xmlns:a16="http://schemas.microsoft.com/office/drawing/2014/main" id="{6ACCF636-1B18-5FDC-5999-B6A4BA42A42F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68" name="Picture 1167">
            <a:extLst>
              <a:ext uri="{FF2B5EF4-FFF2-40B4-BE49-F238E27FC236}">
                <a16:creationId xmlns:a16="http://schemas.microsoft.com/office/drawing/2014/main" id="{25D4A4F5-4682-4122-EDA9-024785EA5EE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571500</xdr:colOff>
      <xdr:row>538</xdr:row>
      <xdr:rowOff>206375</xdr:rowOff>
    </xdr:from>
    <xdr:to>
      <xdr:col>36</xdr:col>
      <xdr:colOff>476251</xdr:colOff>
      <xdr:row>540</xdr:row>
      <xdr:rowOff>92652</xdr:rowOff>
    </xdr:to>
    <xdr:grpSp>
      <xdr:nvGrpSpPr>
        <xdr:cNvPr id="1169" name="Group 1168">
          <a:extLst>
            <a:ext uri="{FF2B5EF4-FFF2-40B4-BE49-F238E27FC236}">
              <a16:creationId xmlns:a16="http://schemas.microsoft.com/office/drawing/2014/main" id="{C68E583E-0DAE-4F14-9108-FE825EAF091A}"/>
            </a:ext>
          </a:extLst>
        </xdr:cNvPr>
        <xdr:cNvGrpSpPr/>
      </xdr:nvGrpSpPr>
      <xdr:grpSpPr>
        <a:xfrm>
          <a:off x="12151179" y="145530661"/>
          <a:ext cx="517072" cy="430562"/>
          <a:chOff x="5615514" y="2160985"/>
          <a:chExt cx="508001" cy="412750"/>
        </a:xfrm>
      </xdr:grpSpPr>
      <xdr:sp macro="[0]!Printarea" textlink="">
        <xdr:nvSpPr>
          <xdr:cNvPr id="1170" name="Rectangle: Rounded Corners 1169">
            <a:extLst>
              <a:ext uri="{FF2B5EF4-FFF2-40B4-BE49-F238E27FC236}">
                <a16:creationId xmlns:a16="http://schemas.microsoft.com/office/drawing/2014/main" id="{61B6F64B-5AE8-E190-53AA-6C7EE09B737E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71" name="Picture 1170">
            <a:extLst>
              <a:ext uri="{FF2B5EF4-FFF2-40B4-BE49-F238E27FC236}">
                <a16:creationId xmlns:a16="http://schemas.microsoft.com/office/drawing/2014/main" id="{D1AF933A-49B6-B96A-5066-11B4323D78F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35</xdr:col>
      <xdr:colOff>571500</xdr:colOff>
      <xdr:row>540</xdr:row>
      <xdr:rowOff>212725</xdr:rowOff>
    </xdr:from>
    <xdr:to>
      <xdr:col>36</xdr:col>
      <xdr:colOff>476251</xdr:colOff>
      <xdr:row>542</xdr:row>
      <xdr:rowOff>95136</xdr:rowOff>
    </xdr:to>
    <xdr:grpSp>
      <xdr:nvGrpSpPr>
        <xdr:cNvPr id="1172" name="Group 117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8E48929-DBFC-4A86-AC2E-F15E94D79642}"/>
            </a:ext>
          </a:extLst>
        </xdr:cNvPr>
        <xdr:cNvGrpSpPr/>
      </xdr:nvGrpSpPr>
      <xdr:grpSpPr>
        <a:xfrm>
          <a:off x="12151179" y="146081296"/>
          <a:ext cx="517072" cy="426697"/>
          <a:chOff x="5615514" y="2690151"/>
          <a:chExt cx="508001" cy="412750"/>
        </a:xfrm>
      </xdr:grpSpPr>
      <xdr:sp macro="" textlink="">
        <xdr:nvSpPr>
          <xdr:cNvPr id="1173" name="Rectangle: Rounded Corners 1172">
            <a:extLst>
              <a:ext uri="{FF2B5EF4-FFF2-40B4-BE49-F238E27FC236}">
                <a16:creationId xmlns:a16="http://schemas.microsoft.com/office/drawing/2014/main" id="{84E3630C-489C-2298-4C6D-6B609378A7FA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74" name="Picture 1173">
            <a:extLst>
              <a:ext uri="{FF2B5EF4-FFF2-40B4-BE49-F238E27FC236}">
                <a16:creationId xmlns:a16="http://schemas.microsoft.com/office/drawing/2014/main" id="{5F2D09C9-72FB-966B-A901-A492A010544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31750</xdr:colOff>
      <xdr:row>569</xdr:row>
      <xdr:rowOff>243417</xdr:rowOff>
    </xdr:from>
    <xdr:to>
      <xdr:col>36</xdr:col>
      <xdr:colOff>539751</xdr:colOff>
      <xdr:row>571</xdr:row>
      <xdr:rowOff>130752</xdr:rowOff>
    </xdr:to>
    <xdr:grpSp>
      <xdr:nvGrpSpPr>
        <xdr:cNvPr id="1175" name="Group 1174">
          <a:extLst>
            <a:ext uri="{FF2B5EF4-FFF2-40B4-BE49-F238E27FC236}">
              <a16:creationId xmlns:a16="http://schemas.microsoft.com/office/drawing/2014/main" id="{20A94A47-BBB3-4431-A0A8-1D0D8E3751A9}"/>
            </a:ext>
          </a:extLst>
        </xdr:cNvPr>
        <xdr:cNvGrpSpPr/>
      </xdr:nvGrpSpPr>
      <xdr:grpSpPr>
        <a:xfrm>
          <a:off x="12223750" y="154004131"/>
          <a:ext cx="508001" cy="431621"/>
          <a:chOff x="5615514" y="2160985"/>
          <a:chExt cx="508001" cy="412750"/>
        </a:xfrm>
      </xdr:grpSpPr>
      <xdr:sp macro="[0]!Printarea" textlink="">
        <xdr:nvSpPr>
          <xdr:cNvPr id="1176" name="Rectangle: Rounded Corners 1175">
            <a:extLst>
              <a:ext uri="{FF2B5EF4-FFF2-40B4-BE49-F238E27FC236}">
                <a16:creationId xmlns:a16="http://schemas.microsoft.com/office/drawing/2014/main" id="{A7CD31BC-14C0-5900-603C-10DDE14A360A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77" name="Picture 1176">
            <a:extLst>
              <a:ext uri="{FF2B5EF4-FFF2-40B4-BE49-F238E27FC236}">
                <a16:creationId xmlns:a16="http://schemas.microsoft.com/office/drawing/2014/main" id="{626FCD25-E157-183F-115F-1FBE6B2FC22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31750</xdr:colOff>
      <xdr:row>571</xdr:row>
      <xdr:rowOff>244475</xdr:rowOff>
    </xdr:from>
    <xdr:to>
      <xdr:col>36</xdr:col>
      <xdr:colOff>539751</xdr:colOff>
      <xdr:row>573</xdr:row>
      <xdr:rowOff>133236</xdr:rowOff>
    </xdr:to>
    <xdr:grpSp>
      <xdr:nvGrpSpPr>
        <xdr:cNvPr id="1178" name="Group 117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7D09A3D-1C0C-4C96-9EAA-03211F0328D7}"/>
            </a:ext>
          </a:extLst>
        </xdr:cNvPr>
        <xdr:cNvGrpSpPr/>
      </xdr:nvGrpSpPr>
      <xdr:grpSpPr>
        <a:xfrm>
          <a:off x="12223750" y="154549475"/>
          <a:ext cx="508001" cy="433047"/>
          <a:chOff x="5615514" y="2690151"/>
          <a:chExt cx="508001" cy="412750"/>
        </a:xfrm>
      </xdr:grpSpPr>
      <xdr:sp macro="" textlink="">
        <xdr:nvSpPr>
          <xdr:cNvPr id="1179" name="Rectangle: Rounded Corners 1178">
            <a:extLst>
              <a:ext uri="{FF2B5EF4-FFF2-40B4-BE49-F238E27FC236}">
                <a16:creationId xmlns:a16="http://schemas.microsoft.com/office/drawing/2014/main" id="{9DE6DA30-D279-FFBA-A635-7485396311AB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80" name="Picture 1179">
            <a:extLst>
              <a:ext uri="{FF2B5EF4-FFF2-40B4-BE49-F238E27FC236}">
                <a16:creationId xmlns:a16="http://schemas.microsoft.com/office/drawing/2014/main" id="{A01BCA81-C82F-3137-FCAF-FD8480B5824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79375</xdr:colOff>
      <xdr:row>600</xdr:row>
      <xdr:rowOff>260350</xdr:rowOff>
    </xdr:from>
    <xdr:to>
      <xdr:col>36</xdr:col>
      <xdr:colOff>587376</xdr:colOff>
      <xdr:row>602</xdr:row>
      <xdr:rowOff>149802</xdr:rowOff>
    </xdr:to>
    <xdr:grpSp>
      <xdr:nvGrpSpPr>
        <xdr:cNvPr id="1181" name="Group 1180">
          <a:extLst>
            <a:ext uri="{FF2B5EF4-FFF2-40B4-BE49-F238E27FC236}">
              <a16:creationId xmlns:a16="http://schemas.microsoft.com/office/drawing/2014/main" id="{F0869C2D-4B73-42D7-B136-8BED0A3E664E}"/>
            </a:ext>
          </a:extLst>
        </xdr:cNvPr>
        <xdr:cNvGrpSpPr/>
      </xdr:nvGrpSpPr>
      <xdr:grpSpPr>
        <a:xfrm>
          <a:off x="12271375" y="162457493"/>
          <a:ext cx="508001" cy="433738"/>
          <a:chOff x="5615514" y="2160985"/>
          <a:chExt cx="508001" cy="412750"/>
        </a:xfrm>
      </xdr:grpSpPr>
      <xdr:sp macro="[0]!Printarea" textlink="">
        <xdr:nvSpPr>
          <xdr:cNvPr id="1182" name="Rectangle: Rounded Corners 1181">
            <a:extLst>
              <a:ext uri="{FF2B5EF4-FFF2-40B4-BE49-F238E27FC236}">
                <a16:creationId xmlns:a16="http://schemas.microsoft.com/office/drawing/2014/main" id="{6530BDC6-4C57-FA7B-61E2-464D228B237D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83" name="Picture 1182">
            <a:extLst>
              <a:ext uri="{FF2B5EF4-FFF2-40B4-BE49-F238E27FC236}">
                <a16:creationId xmlns:a16="http://schemas.microsoft.com/office/drawing/2014/main" id="{7B20DA77-A5B9-030C-3656-9841EA6CA165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79375</xdr:colOff>
      <xdr:row>603</xdr:row>
      <xdr:rowOff>0</xdr:rowOff>
    </xdr:from>
    <xdr:to>
      <xdr:col>36</xdr:col>
      <xdr:colOff>587376</xdr:colOff>
      <xdr:row>604</xdr:row>
      <xdr:rowOff>152286</xdr:rowOff>
    </xdr:to>
    <xdr:grpSp>
      <xdr:nvGrpSpPr>
        <xdr:cNvPr id="1184" name="Group 118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F17067-0969-4AA5-92AE-89D9D05A00A3}"/>
            </a:ext>
          </a:extLst>
        </xdr:cNvPr>
        <xdr:cNvGrpSpPr/>
      </xdr:nvGrpSpPr>
      <xdr:grpSpPr>
        <a:xfrm>
          <a:off x="12271375" y="163013571"/>
          <a:ext cx="508001" cy="424429"/>
          <a:chOff x="5615514" y="2690151"/>
          <a:chExt cx="508001" cy="412750"/>
        </a:xfrm>
      </xdr:grpSpPr>
      <xdr:sp macro="" textlink="">
        <xdr:nvSpPr>
          <xdr:cNvPr id="1185" name="Rectangle: Rounded Corners 1184">
            <a:extLst>
              <a:ext uri="{FF2B5EF4-FFF2-40B4-BE49-F238E27FC236}">
                <a16:creationId xmlns:a16="http://schemas.microsoft.com/office/drawing/2014/main" id="{D0DBFDBF-6A56-11A9-77AC-1A8B67C5069F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86" name="Picture 1185">
            <a:extLst>
              <a:ext uri="{FF2B5EF4-FFF2-40B4-BE49-F238E27FC236}">
                <a16:creationId xmlns:a16="http://schemas.microsoft.com/office/drawing/2014/main" id="{01EFA5DF-1FE9-4449-E3D8-0CA106AB981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95250</xdr:colOff>
      <xdr:row>629</xdr:row>
      <xdr:rowOff>257175</xdr:rowOff>
    </xdr:from>
    <xdr:to>
      <xdr:col>37</xdr:col>
      <xdr:colOff>1</xdr:colOff>
      <xdr:row>631</xdr:row>
      <xdr:rowOff>149802</xdr:rowOff>
    </xdr:to>
    <xdr:grpSp>
      <xdr:nvGrpSpPr>
        <xdr:cNvPr id="1187" name="Group 1186">
          <a:extLst>
            <a:ext uri="{FF2B5EF4-FFF2-40B4-BE49-F238E27FC236}">
              <a16:creationId xmlns:a16="http://schemas.microsoft.com/office/drawing/2014/main" id="{D6A12CDF-FF45-4CBB-8FC4-C0FC7DDAC511}"/>
            </a:ext>
          </a:extLst>
        </xdr:cNvPr>
        <xdr:cNvGrpSpPr/>
      </xdr:nvGrpSpPr>
      <xdr:grpSpPr>
        <a:xfrm>
          <a:off x="12287250" y="170346461"/>
          <a:ext cx="517072" cy="436912"/>
          <a:chOff x="5615514" y="2160985"/>
          <a:chExt cx="508001" cy="412750"/>
        </a:xfrm>
      </xdr:grpSpPr>
      <xdr:sp macro="[0]!Printarea" textlink="">
        <xdr:nvSpPr>
          <xdr:cNvPr id="1188" name="Rectangle: Rounded Corners 1187">
            <a:extLst>
              <a:ext uri="{FF2B5EF4-FFF2-40B4-BE49-F238E27FC236}">
                <a16:creationId xmlns:a16="http://schemas.microsoft.com/office/drawing/2014/main" id="{0B00DBFB-8BB5-58C9-FC42-841E12A88C39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89" name="Picture 1188">
            <a:extLst>
              <a:ext uri="{FF2B5EF4-FFF2-40B4-BE49-F238E27FC236}">
                <a16:creationId xmlns:a16="http://schemas.microsoft.com/office/drawing/2014/main" id="{759FC868-6887-0F7A-D0F3-DDF0E551A9D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95250</xdr:colOff>
      <xdr:row>631</xdr:row>
      <xdr:rowOff>263525</xdr:rowOff>
    </xdr:from>
    <xdr:to>
      <xdr:col>37</xdr:col>
      <xdr:colOff>1</xdr:colOff>
      <xdr:row>633</xdr:row>
      <xdr:rowOff>152286</xdr:rowOff>
    </xdr:to>
    <xdr:grpSp>
      <xdr:nvGrpSpPr>
        <xdr:cNvPr id="1190" name="Group 1189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A21D918C-0D59-491D-8E49-69DA2508B408}"/>
            </a:ext>
          </a:extLst>
        </xdr:cNvPr>
        <xdr:cNvGrpSpPr/>
      </xdr:nvGrpSpPr>
      <xdr:grpSpPr>
        <a:xfrm>
          <a:off x="12287250" y="170897096"/>
          <a:ext cx="517072" cy="433047"/>
          <a:chOff x="5615514" y="2690151"/>
          <a:chExt cx="508001" cy="412750"/>
        </a:xfrm>
      </xdr:grpSpPr>
      <xdr:sp macro="" textlink="">
        <xdr:nvSpPr>
          <xdr:cNvPr id="1191" name="Rectangle: Rounded Corners 1190">
            <a:extLst>
              <a:ext uri="{FF2B5EF4-FFF2-40B4-BE49-F238E27FC236}">
                <a16:creationId xmlns:a16="http://schemas.microsoft.com/office/drawing/2014/main" id="{C47B2E14-4B9E-8322-E9CF-FFE40AFE752F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92" name="Picture 1191">
            <a:extLst>
              <a:ext uri="{FF2B5EF4-FFF2-40B4-BE49-F238E27FC236}">
                <a16:creationId xmlns:a16="http://schemas.microsoft.com/office/drawing/2014/main" id="{BAD2BFA3-5EDB-324F-C7B8-87399557A43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79375</xdr:colOff>
      <xdr:row>658</xdr:row>
      <xdr:rowOff>225425</xdr:rowOff>
    </xdr:from>
    <xdr:to>
      <xdr:col>36</xdr:col>
      <xdr:colOff>587376</xdr:colOff>
      <xdr:row>660</xdr:row>
      <xdr:rowOff>114877</xdr:rowOff>
    </xdr:to>
    <xdr:grpSp>
      <xdr:nvGrpSpPr>
        <xdr:cNvPr id="1193" name="Group 1192">
          <a:extLst>
            <a:ext uri="{FF2B5EF4-FFF2-40B4-BE49-F238E27FC236}">
              <a16:creationId xmlns:a16="http://schemas.microsoft.com/office/drawing/2014/main" id="{23719673-DF84-422A-8E23-7E2F6ADB7D29}"/>
            </a:ext>
          </a:extLst>
        </xdr:cNvPr>
        <xdr:cNvGrpSpPr/>
      </xdr:nvGrpSpPr>
      <xdr:grpSpPr>
        <a:xfrm>
          <a:off x="12271375" y="178206854"/>
          <a:ext cx="508001" cy="433737"/>
          <a:chOff x="5615514" y="2160985"/>
          <a:chExt cx="508001" cy="412750"/>
        </a:xfrm>
      </xdr:grpSpPr>
      <xdr:sp macro="[0]!Printarea" textlink="">
        <xdr:nvSpPr>
          <xdr:cNvPr id="1194" name="Rectangle: Rounded Corners 1193">
            <a:extLst>
              <a:ext uri="{FF2B5EF4-FFF2-40B4-BE49-F238E27FC236}">
                <a16:creationId xmlns:a16="http://schemas.microsoft.com/office/drawing/2014/main" id="{EAFB3E85-1482-F8C3-464D-B9566C38ED06}"/>
              </a:ext>
            </a:extLst>
          </xdr:cNvPr>
          <xdr:cNvSpPr/>
        </xdr:nvSpPr>
        <xdr:spPr>
          <a:xfrm>
            <a:off x="5615514" y="2160985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 macro="[0]!Printarea">
        <xdr:nvPicPr>
          <xdr:cNvPr id="1195" name="Picture 1194">
            <a:extLst>
              <a:ext uri="{FF2B5EF4-FFF2-40B4-BE49-F238E27FC236}">
                <a16:creationId xmlns:a16="http://schemas.microsoft.com/office/drawing/2014/main" id="{10987F22-079B-65F1-26F8-F8FBDEFE7CA6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79014" y="2177716"/>
            <a:ext cx="381000" cy="37928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absolute">
    <xdr:from>
      <xdr:col>36</xdr:col>
      <xdr:colOff>79375</xdr:colOff>
      <xdr:row>660</xdr:row>
      <xdr:rowOff>231775</xdr:rowOff>
    </xdr:from>
    <xdr:to>
      <xdr:col>36</xdr:col>
      <xdr:colOff>587376</xdr:colOff>
      <xdr:row>662</xdr:row>
      <xdr:rowOff>117361</xdr:rowOff>
    </xdr:to>
    <xdr:grpSp>
      <xdr:nvGrpSpPr>
        <xdr:cNvPr id="1196" name="Group 11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D4D8B5A-AFFB-4DE6-9DFB-3504EE080616}"/>
            </a:ext>
          </a:extLst>
        </xdr:cNvPr>
        <xdr:cNvGrpSpPr/>
      </xdr:nvGrpSpPr>
      <xdr:grpSpPr>
        <a:xfrm>
          <a:off x="12271375" y="178757489"/>
          <a:ext cx="508001" cy="429872"/>
          <a:chOff x="5615514" y="2690151"/>
          <a:chExt cx="508001" cy="412750"/>
        </a:xfrm>
      </xdr:grpSpPr>
      <xdr:sp macro="" textlink="">
        <xdr:nvSpPr>
          <xdr:cNvPr id="1197" name="Rectangle: Rounded Corners 1196">
            <a:extLst>
              <a:ext uri="{FF2B5EF4-FFF2-40B4-BE49-F238E27FC236}">
                <a16:creationId xmlns:a16="http://schemas.microsoft.com/office/drawing/2014/main" id="{7FCC3E4C-F6F3-4333-8129-E46DD2C0F8B8}"/>
              </a:ext>
            </a:extLst>
          </xdr:cNvPr>
          <xdr:cNvSpPr/>
        </xdr:nvSpPr>
        <xdr:spPr>
          <a:xfrm>
            <a:off x="5615514" y="2690151"/>
            <a:ext cx="508001" cy="412750"/>
          </a:xfrm>
          <a:prstGeom prst="roundRect">
            <a:avLst/>
          </a:prstGeom>
          <a:solidFill>
            <a:srgbClr val="8ED96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endParaRPr lang="en-US" sz="750" b="1">
              <a:solidFill>
                <a:sysClr val="windowText" lastClr="000000"/>
              </a:solidFill>
              <a:latin typeface="Square721 BT" panose="020B0504020202060204" pitchFamily="34" charset="0"/>
            </a:endParaRPr>
          </a:p>
        </xdr:txBody>
      </xdr:sp>
      <xdr:pic>
        <xdr:nvPicPr>
          <xdr:cNvPr id="1198" name="Picture 1197">
            <a:extLst>
              <a:ext uri="{FF2B5EF4-FFF2-40B4-BE49-F238E27FC236}">
                <a16:creationId xmlns:a16="http://schemas.microsoft.com/office/drawing/2014/main" id="{09A3A41C-CACF-9BB9-A39D-4E26E0225C5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726081" y="2753651"/>
            <a:ext cx="286866" cy="2857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28</xdr:col>
      <xdr:colOff>269875</xdr:colOff>
      <xdr:row>10</xdr:row>
      <xdr:rowOff>111124</xdr:rowOff>
    </xdr:from>
    <xdr:to>
      <xdr:col>33</xdr:col>
      <xdr:colOff>168015</xdr:colOff>
      <xdr:row>13</xdr:row>
      <xdr:rowOff>37594</xdr:rowOff>
    </xdr:to>
    <xdr:pic>
      <xdr:nvPicPr>
        <xdr:cNvPr id="1199" name="Picture 1198">
          <a:extLst>
            <a:ext uri="{FF2B5EF4-FFF2-40B4-BE49-F238E27FC236}">
              <a16:creationId xmlns:a16="http://schemas.microsoft.com/office/drawing/2014/main" id="{2C9822A8-563F-17D4-325A-6CCE434DBF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810750" y="2809874"/>
          <a:ext cx="914140" cy="736095"/>
        </a:xfrm>
        <a:prstGeom prst="rect">
          <a:avLst/>
        </a:prstGeom>
      </xdr:spPr>
    </xdr:pic>
    <xdr:clientData/>
  </xdr:twoCellAnchor>
  <xdr:twoCellAnchor editAs="oneCell">
    <xdr:from>
      <xdr:col>28</xdr:col>
      <xdr:colOff>174625</xdr:colOff>
      <xdr:row>44</xdr:row>
      <xdr:rowOff>111125</xdr:rowOff>
    </xdr:from>
    <xdr:to>
      <xdr:col>33</xdr:col>
      <xdr:colOff>280717</xdr:colOff>
      <xdr:row>47</xdr:row>
      <xdr:rowOff>31750</xdr:rowOff>
    </xdr:to>
    <xdr:pic>
      <xdr:nvPicPr>
        <xdr:cNvPr id="1201" name="Picture 1200">
          <a:extLst>
            <a:ext uri="{FF2B5EF4-FFF2-40B4-BE49-F238E27FC236}">
              <a16:creationId xmlns:a16="http://schemas.microsoft.com/office/drawing/2014/main" id="{60F5074E-CB7E-E432-46D7-A58F362E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0" y="11985625"/>
          <a:ext cx="1122092" cy="730250"/>
        </a:xfrm>
        <a:prstGeom prst="rect">
          <a:avLst/>
        </a:prstGeom>
      </xdr:spPr>
    </xdr:pic>
    <xdr:clientData/>
  </xdr:twoCellAnchor>
  <xdr:twoCellAnchor editAs="oneCell">
    <xdr:from>
      <xdr:col>28</xdr:col>
      <xdr:colOff>158751</xdr:colOff>
      <xdr:row>78</xdr:row>
      <xdr:rowOff>152321</xdr:rowOff>
    </xdr:from>
    <xdr:to>
      <xdr:col>33</xdr:col>
      <xdr:colOff>302629</xdr:colOff>
      <xdr:row>81</xdr:row>
      <xdr:rowOff>31749</xdr:rowOff>
    </xdr:to>
    <xdr:pic>
      <xdr:nvPicPr>
        <xdr:cNvPr id="1203" name="Picture 1202">
          <a:extLst>
            <a:ext uri="{FF2B5EF4-FFF2-40B4-BE49-F238E27FC236}">
              <a16:creationId xmlns:a16="http://schemas.microsoft.com/office/drawing/2014/main" id="{FEBCDFA5-D61E-B748-2866-8B024154E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99626" y="21202571"/>
          <a:ext cx="1159878" cy="689053"/>
        </a:xfrm>
        <a:prstGeom prst="rect">
          <a:avLst/>
        </a:prstGeom>
      </xdr:spPr>
    </xdr:pic>
    <xdr:clientData/>
  </xdr:twoCellAnchor>
  <xdr:twoCellAnchor editAs="oneCell">
    <xdr:from>
      <xdr:col>29</xdr:col>
      <xdr:colOff>35720</xdr:colOff>
      <xdr:row>110</xdr:row>
      <xdr:rowOff>145950</xdr:rowOff>
    </xdr:from>
    <xdr:to>
      <xdr:col>33</xdr:col>
      <xdr:colOff>60442</xdr:colOff>
      <xdr:row>113</xdr:row>
      <xdr:rowOff>71437</xdr:rowOff>
    </xdr:to>
    <xdr:pic>
      <xdr:nvPicPr>
        <xdr:cNvPr id="1205" name="Picture 1204">
          <a:extLst>
            <a:ext uri="{FF2B5EF4-FFF2-40B4-BE49-F238E27FC236}">
              <a16:creationId xmlns:a16="http://schemas.microsoft.com/office/drawing/2014/main" id="{55B015ED-1E24-595F-4B57-A36FA876FC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65533" y="28959075"/>
          <a:ext cx="655753" cy="711300"/>
        </a:xfrm>
        <a:prstGeom prst="rect">
          <a:avLst/>
        </a:prstGeom>
      </xdr:spPr>
    </xdr:pic>
    <xdr:clientData/>
  </xdr:twoCellAnchor>
  <xdr:twoCellAnchor editAs="oneCell">
    <xdr:from>
      <xdr:col>28</xdr:col>
      <xdr:colOff>71437</xdr:colOff>
      <xdr:row>143</xdr:row>
      <xdr:rowOff>214313</xdr:rowOff>
    </xdr:from>
    <xdr:to>
      <xdr:col>33</xdr:col>
      <xdr:colOff>321468</xdr:colOff>
      <xdr:row>145</xdr:row>
      <xdr:rowOff>218728</xdr:rowOff>
    </xdr:to>
    <xdr:pic>
      <xdr:nvPicPr>
        <xdr:cNvPr id="1207" name="Picture 1206">
          <a:extLst>
            <a:ext uri="{FF2B5EF4-FFF2-40B4-BE49-F238E27FC236}">
              <a16:creationId xmlns:a16="http://schemas.microsoft.com/office/drawing/2014/main" id="{85C2E28C-6BF2-0B3B-7B24-84D27022C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8343" y="37671376"/>
          <a:ext cx="1273969" cy="528290"/>
        </a:xfrm>
        <a:prstGeom prst="rect">
          <a:avLst/>
        </a:prstGeom>
      </xdr:spPr>
    </xdr:pic>
    <xdr:clientData/>
  </xdr:twoCellAnchor>
  <xdr:twoCellAnchor editAs="oneCell">
    <xdr:from>
      <xdr:col>28</xdr:col>
      <xdr:colOff>47625</xdr:colOff>
      <xdr:row>178</xdr:row>
      <xdr:rowOff>202409</xdr:rowOff>
    </xdr:from>
    <xdr:to>
      <xdr:col>33</xdr:col>
      <xdr:colOff>288734</xdr:colOff>
      <xdr:row>180</xdr:row>
      <xdr:rowOff>238125</xdr:rowOff>
    </xdr:to>
    <xdr:pic>
      <xdr:nvPicPr>
        <xdr:cNvPr id="1209" name="Picture 1208">
          <a:extLst>
            <a:ext uri="{FF2B5EF4-FFF2-40B4-BE49-F238E27FC236}">
              <a16:creationId xmlns:a16="http://schemas.microsoft.com/office/drawing/2014/main" id="{32004E35-19A1-568C-9AF0-D54164680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4531" y="46827284"/>
          <a:ext cx="1265047" cy="559591"/>
        </a:xfrm>
        <a:prstGeom prst="rect">
          <a:avLst/>
        </a:prstGeom>
      </xdr:spPr>
    </xdr:pic>
    <xdr:clientData/>
  </xdr:twoCellAnchor>
  <xdr:twoCellAnchor editAs="oneCell">
    <xdr:from>
      <xdr:col>28</xdr:col>
      <xdr:colOff>297657</xdr:colOff>
      <xdr:row>214</xdr:row>
      <xdr:rowOff>163731</xdr:rowOff>
    </xdr:from>
    <xdr:to>
      <xdr:col>33</xdr:col>
      <xdr:colOff>107155</xdr:colOff>
      <xdr:row>217</xdr:row>
      <xdr:rowOff>59820</xdr:rowOff>
    </xdr:to>
    <xdr:pic>
      <xdr:nvPicPr>
        <xdr:cNvPr id="1211" name="Picture 1210">
          <a:extLst>
            <a:ext uri="{FF2B5EF4-FFF2-40B4-BE49-F238E27FC236}">
              <a16:creationId xmlns:a16="http://schemas.microsoft.com/office/drawing/2014/main" id="{F1D9A866-26BF-A777-E929-2E0218F6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34563" y="56218356"/>
          <a:ext cx="833436" cy="681902"/>
        </a:xfrm>
        <a:prstGeom prst="rect">
          <a:avLst/>
        </a:prstGeom>
      </xdr:spPr>
    </xdr:pic>
    <xdr:clientData/>
  </xdr:twoCellAnchor>
  <xdr:twoCellAnchor editAs="oneCell">
    <xdr:from>
      <xdr:col>28</xdr:col>
      <xdr:colOff>261939</xdr:colOff>
      <xdr:row>250</xdr:row>
      <xdr:rowOff>140448</xdr:rowOff>
    </xdr:from>
    <xdr:to>
      <xdr:col>33</xdr:col>
      <xdr:colOff>119062</xdr:colOff>
      <xdr:row>253</xdr:row>
      <xdr:rowOff>62491</xdr:rowOff>
    </xdr:to>
    <xdr:pic>
      <xdr:nvPicPr>
        <xdr:cNvPr id="1213" name="Picture 1212">
          <a:extLst>
            <a:ext uri="{FF2B5EF4-FFF2-40B4-BE49-F238E27FC236}">
              <a16:creationId xmlns:a16="http://schemas.microsoft.com/office/drawing/2014/main" id="{2E357938-0145-C99B-69D9-DDE73C9773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8845" y="65624823"/>
          <a:ext cx="881061" cy="707856"/>
        </a:xfrm>
        <a:prstGeom prst="rect">
          <a:avLst/>
        </a:prstGeom>
      </xdr:spPr>
    </xdr:pic>
    <xdr:clientData/>
  </xdr:twoCellAnchor>
  <xdr:twoCellAnchor editAs="oneCell">
    <xdr:from>
      <xdr:col>28</xdr:col>
      <xdr:colOff>309565</xdr:colOff>
      <xdr:row>285</xdr:row>
      <xdr:rowOff>40677</xdr:rowOff>
    </xdr:from>
    <xdr:to>
      <xdr:col>33</xdr:col>
      <xdr:colOff>23812</xdr:colOff>
      <xdr:row>288</xdr:row>
      <xdr:rowOff>91474</xdr:rowOff>
    </xdr:to>
    <xdr:pic>
      <xdr:nvPicPr>
        <xdr:cNvPr id="1215" name="Picture 1214">
          <a:extLst>
            <a:ext uri="{FF2B5EF4-FFF2-40B4-BE49-F238E27FC236}">
              <a16:creationId xmlns:a16="http://schemas.microsoft.com/office/drawing/2014/main" id="{351B8654-4560-5732-0CDB-F967B52EE8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46471" y="74692865"/>
          <a:ext cx="738185" cy="836609"/>
        </a:xfrm>
        <a:prstGeom prst="rect">
          <a:avLst/>
        </a:prstGeom>
      </xdr:spPr>
    </xdr:pic>
    <xdr:clientData/>
  </xdr:twoCellAnchor>
  <xdr:twoCellAnchor editAs="oneCell">
    <xdr:from>
      <xdr:col>28</xdr:col>
      <xdr:colOff>369096</xdr:colOff>
      <xdr:row>318</xdr:row>
      <xdr:rowOff>93907</xdr:rowOff>
    </xdr:from>
    <xdr:to>
      <xdr:col>33</xdr:col>
      <xdr:colOff>0</xdr:colOff>
      <xdr:row>321</xdr:row>
      <xdr:rowOff>102492</xdr:rowOff>
    </xdr:to>
    <xdr:pic>
      <xdr:nvPicPr>
        <xdr:cNvPr id="1217" name="Picture 1216">
          <a:extLst>
            <a:ext uri="{FF2B5EF4-FFF2-40B4-BE49-F238E27FC236}">
              <a16:creationId xmlns:a16="http://schemas.microsoft.com/office/drawing/2014/main" id="{52440FF6-25E5-8C1F-13BA-869D7B0775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2" y="83390032"/>
          <a:ext cx="654842" cy="794398"/>
        </a:xfrm>
        <a:prstGeom prst="rect">
          <a:avLst/>
        </a:prstGeom>
      </xdr:spPr>
    </xdr:pic>
    <xdr:clientData/>
  </xdr:twoCellAnchor>
  <xdr:twoCellAnchor editAs="oneCell">
    <xdr:from>
      <xdr:col>28</xdr:col>
      <xdr:colOff>202407</xdr:colOff>
      <xdr:row>351</xdr:row>
      <xdr:rowOff>142875</xdr:rowOff>
    </xdr:from>
    <xdr:to>
      <xdr:col>33</xdr:col>
      <xdr:colOff>130968</xdr:colOff>
      <xdr:row>354</xdr:row>
      <xdr:rowOff>79281</xdr:rowOff>
    </xdr:to>
    <xdr:pic>
      <xdr:nvPicPr>
        <xdr:cNvPr id="1218" name="Picture 1217">
          <a:extLst>
            <a:ext uri="{FF2B5EF4-FFF2-40B4-BE49-F238E27FC236}">
              <a16:creationId xmlns:a16="http://schemas.microsoft.com/office/drawing/2014/main" id="{0F2F6E8D-2BAE-D299-EB60-6CEC26179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739313" y="92082938"/>
          <a:ext cx="952499" cy="722218"/>
        </a:xfrm>
        <a:prstGeom prst="rect">
          <a:avLst/>
        </a:prstGeom>
      </xdr:spPr>
    </xdr:pic>
    <xdr:clientData/>
  </xdr:twoCellAnchor>
  <xdr:twoCellAnchor editAs="oneCell">
    <xdr:from>
      <xdr:col>28</xdr:col>
      <xdr:colOff>345283</xdr:colOff>
      <xdr:row>385</xdr:row>
      <xdr:rowOff>165312</xdr:rowOff>
    </xdr:from>
    <xdr:to>
      <xdr:col>33</xdr:col>
      <xdr:colOff>95250</xdr:colOff>
      <xdr:row>388</xdr:row>
      <xdr:rowOff>43437</xdr:rowOff>
    </xdr:to>
    <xdr:pic>
      <xdr:nvPicPr>
        <xdr:cNvPr id="1220" name="Picture 1219">
          <a:extLst>
            <a:ext uri="{FF2B5EF4-FFF2-40B4-BE49-F238E27FC236}">
              <a16:creationId xmlns:a16="http://schemas.microsoft.com/office/drawing/2014/main" id="{9C20AE77-A5B4-979B-3897-EEF9D3DE0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2189" y="101011250"/>
          <a:ext cx="773905" cy="663937"/>
        </a:xfrm>
        <a:prstGeom prst="rect">
          <a:avLst/>
        </a:prstGeom>
      </xdr:spPr>
    </xdr:pic>
    <xdr:clientData/>
  </xdr:twoCellAnchor>
  <xdr:twoCellAnchor editAs="oneCell">
    <xdr:from>
      <xdr:col>28</xdr:col>
      <xdr:colOff>273845</xdr:colOff>
      <xdr:row>417</xdr:row>
      <xdr:rowOff>73453</xdr:rowOff>
    </xdr:from>
    <xdr:to>
      <xdr:col>33</xdr:col>
      <xdr:colOff>95250</xdr:colOff>
      <xdr:row>420</xdr:row>
      <xdr:rowOff>99349</xdr:rowOff>
    </xdr:to>
    <xdr:pic>
      <xdr:nvPicPr>
        <xdr:cNvPr id="1222" name="Picture 1221">
          <a:extLst>
            <a:ext uri="{FF2B5EF4-FFF2-40B4-BE49-F238E27FC236}">
              <a16:creationId xmlns:a16="http://schemas.microsoft.com/office/drawing/2014/main" id="{1984022D-FB99-BF3C-DEFA-1A56E193C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51" y="109301391"/>
          <a:ext cx="845343" cy="811708"/>
        </a:xfrm>
        <a:prstGeom prst="rect">
          <a:avLst/>
        </a:prstGeom>
      </xdr:spPr>
    </xdr:pic>
    <xdr:clientData/>
  </xdr:twoCellAnchor>
  <xdr:twoCellAnchor editAs="oneCell">
    <xdr:from>
      <xdr:col>28</xdr:col>
      <xdr:colOff>83345</xdr:colOff>
      <xdr:row>449</xdr:row>
      <xdr:rowOff>212626</xdr:rowOff>
    </xdr:from>
    <xdr:to>
      <xdr:col>33</xdr:col>
      <xdr:colOff>297656</xdr:colOff>
      <xdr:row>452</xdr:row>
      <xdr:rowOff>6102</xdr:rowOff>
    </xdr:to>
    <xdr:pic>
      <xdr:nvPicPr>
        <xdr:cNvPr id="1224" name="Picture 1223">
          <a:extLst>
            <a:ext uri="{FF2B5EF4-FFF2-40B4-BE49-F238E27FC236}">
              <a16:creationId xmlns:a16="http://schemas.microsoft.com/office/drawing/2014/main" id="{5C3CEEE4-788E-2D69-DBA5-0C65267C8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0251" y="117822564"/>
          <a:ext cx="1238249" cy="579288"/>
        </a:xfrm>
        <a:prstGeom prst="rect">
          <a:avLst/>
        </a:prstGeom>
      </xdr:spPr>
    </xdr:pic>
    <xdr:clientData/>
  </xdr:twoCellAnchor>
  <xdr:twoCellAnchor editAs="oneCell">
    <xdr:from>
      <xdr:col>28</xdr:col>
      <xdr:colOff>345282</xdr:colOff>
      <xdr:row>481</xdr:row>
      <xdr:rowOff>163994</xdr:rowOff>
    </xdr:from>
    <xdr:to>
      <xdr:col>33</xdr:col>
      <xdr:colOff>94578</xdr:colOff>
      <xdr:row>484</xdr:row>
      <xdr:rowOff>59531</xdr:rowOff>
    </xdr:to>
    <xdr:pic>
      <xdr:nvPicPr>
        <xdr:cNvPr id="1226" name="Picture 1225">
          <a:extLst>
            <a:ext uri="{FF2B5EF4-FFF2-40B4-BE49-F238E27FC236}">
              <a16:creationId xmlns:a16="http://schemas.microsoft.com/office/drawing/2014/main" id="{102556D2-5C29-7CDE-B63F-5B11DC4C9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2188" y="126155932"/>
          <a:ext cx="773234" cy="681349"/>
        </a:xfrm>
        <a:prstGeom prst="rect">
          <a:avLst/>
        </a:prstGeom>
      </xdr:spPr>
    </xdr:pic>
    <xdr:clientData/>
  </xdr:twoCellAnchor>
  <xdr:twoCellAnchor editAs="oneCell">
    <xdr:from>
      <xdr:col>28</xdr:col>
      <xdr:colOff>368375</xdr:colOff>
      <xdr:row>513</xdr:row>
      <xdr:rowOff>158522</xdr:rowOff>
    </xdr:from>
    <xdr:to>
      <xdr:col>33</xdr:col>
      <xdr:colOff>165966</xdr:colOff>
      <xdr:row>516</xdr:row>
      <xdr:rowOff>58396</xdr:rowOff>
    </xdr:to>
    <xdr:pic>
      <xdr:nvPicPr>
        <xdr:cNvPr id="1228" name="Picture 1227">
          <a:extLst>
            <a:ext uri="{FF2B5EF4-FFF2-40B4-BE49-F238E27FC236}">
              <a16:creationId xmlns:a16="http://schemas.microsoft.com/office/drawing/2014/main" id="{171708EB-8204-9EA3-DF6A-17ADD4B0E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89830" y="136383340"/>
          <a:ext cx="848227" cy="696511"/>
        </a:xfrm>
        <a:prstGeom prst="rect">
          <a:avLst/>
        </a:prstGeom>
      </xdr:spPr>
    </xdr:pic>
    <xdr:clientData/>
  </xdr:twoCellAnchor>
  <xdr:twoCellAnchor editAs="oneCell">
    <xdr:from>
      <xdr:col>28</xdr:col>
      <xdr:colOff>261938</xdr:colOff>
      <xdr:row>545</xdr:row>
      <xdr:rowOff>166688</xdr:rowOff>
    </xdr:from>
    <xdr:to>
      <xdr:col>33</xdr:col>
      <xdr:colOff>325064</xdr:colOff>
      <xdr:row>548</xdr:row>
      <xdr:rowOff>32484</xdr:rowOff>
    </xdr:to>
    <xdr:pic>
      <xdr:nvPicPr>
        <xdr:cNvPr id="1230" name="Picture 1229">
          <a:extLst>
            <a:ext uri="{FF2B5EF4-FFF2-40B4-BE49-F238E27FC236}">
              <a16:creationId xmlns:a16="http://schemas.microsoft.com/office/drawing/2014/main" id="{18C1DE2B-B872-61FB-6E5E-BCD476C759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98844" y="142922626"/>
          <a:ext cx="1087064" cy="651608"/>
        </a:xfrm>
        <a:prstGeom prst="rect">
          <a:avLst/>
        </a:prstGeom>
      </xdr:spPr>
    </xdr:pic>
    <xdr:clientData/>
  </xdr:twoCellAnchor>
  <xdr:twoCellAnchor editAs="oneCell">
    <xdr:from>
      <xdr:col>28</xdr:col>
      <xdr:colOff>273842</xdr:colOff>
      <xdr:row>576</xdr:row>
      <xdr:rowOff>118490</xdr:rowOff>
    </xdr:from>
    <xdr:to>
      <xdr:col>33</xdr:col>
      <xdr:colOff>178593</xdr:colOff>
      <xdr:row>579</xdr:row>
      <xdr:rowOff>35534</xdr:rowOff>
    </xdr:to>
    <xdr:pic>
      <xdr:nvPicPr>
        <xdr:cNvPr id="1232" name="Picture 1231">
          <a:extLst>
            <a:ext uri="{FF2B5EF4-FFF2-40B4-BE49-F238E27FC236}">
              <a16:creationId xmlns:a16="http://schemas.microsoft.com/office/drawing/2014/main" id="{5AB98CBD-8E4C-9125-233B-7C6B9A5A0B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10748" y="150994490"/>
          <a:ext cx="928689" cy="702857"/>
        </a:xfrm>
        <a:prstGeom prst="rect">
          <a:avLst/>
        </a:prstGeom>
      </xdr:spPr>
    </xdr:pic>
    <xdr:clientData/>
  </xdr:twoCellAnchor>
  <xdr:twoCellAnchor editAs="oneCell">
    <xdr:from>
      <xdr:col>28</xdr:col>
      <xdr:colOff>242454</xdr:colOff>
      <xdr:row>609</xdr:row>
      <xdr:rowOff>150090</xdr:rowOff>
    </xdr:from>
    <xdr:to>
      <xdr:col>33</xdr:col>
      <xdr:colOff>292148</xdr:colOff>
      <xdr:row>612</xdr:row>
      <xdr:rowOff>66687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84A7A59-C522-707A-7532-F29F690BD7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3909" y="161867272"/>
          <a:ext cx="1100330" cy="713233"/>
        </a:xfrm>
        <a:prstGeom prst="rect">
          <a:avLst/>
        </a:prstGeom>
      </xdr:spPr>
    </xdr:pic>
    <xdr:clientData/>
  </xdr:twoCellAnchor>
  <xdr:twoCellAnchor editAs="oneCell">
    <xdr:from>
      <xdr:col>28</xdr:col>
      <xdr:colOff>95967</xdr:colOff>
      <xdr:row>636</xdr:row>
      <xdr:rowOff>254000</xdr:rowOff>
    </xdr:from>
    <xdr:to>
      <xdr:col>34</xdr:col>
      <xdr:colOff>1721</xdr:colOff>
      <xdr:row>639</xdr:row>
      <xdr:rowOff>18842</xdr:rowOff>
    </xdr:to>
    <xdr:pic>
      <xdr:nvPicPr>
        <xdr:cNvPr id="1031" name="Picture 1030">
          <a:extLst>
            <a:ext uri="{FF2B5EF4-FFF2-40B4-BE49-F238E27FC236}">
              <a16:creationId xmlns:a16="http://schemas.microsoft.com/office/drawing/2014/main" id="{F7EA8B6A-7167-CDA0-2437-6F0F78AD99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17422" y="169140909"/>
          <a:ext cx="1320072" cy="561478"/>
        </a:xfrm>
        <a:prstGeom prst="rect">
          <a:avLst/>
        </a:prstGeom>
      </xdr:spPr>
    </xdr:pic>
    <xdr:clientData/>
  </xdr:twoCellAnchor>
  <xdr:twoCellAnchor editAs="oneCell">
    <xdr:from>
      <xdr:col>28</xdr:col>
      <xdr:colOff>334818</xdr:colOff>
      <xdr:row>665</xdr:row>
      <xdr:rowOff>152965</xdr:rowOff>
    </xdr:from>
    <xdr:to>
      <xdr:col>33</xdr:col>
      <xdr:colOff>46181</xdr:colOff>
      <xdr:row>668</xdr:row>
      <xdr:rowOff>108349</xdr:rowOff>
    </xdr:to>
    <xdr:pic>
      <xdr:nvPicPr>
        <xdr:cNvPr id="1033" name="Picture 1032">
          <a:extLst>
            <a:ext uri="{FF2B5EF4-FFF2-40B4-BE49-F238E27FC236}">
              <a16:creationId xmlns:a16="http://schemas.microsoft.com/office/drawing/2014/main" id="{02FA5460-8981-6E16-A537-74EBDC855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56273" y="176740692"/>
          <a:ext cx="761999" cy="752021"/>
        </a:xfrm>
        <a:prstGeom prst="rect">
          <a:avLst/>
        </a:prstGeom>
      </xdr:spPr>
    </xdr:pic>
    <xdr:clientData/>
  </xdr:twoCellAnchor>
  <xdr:twoCellAnchor editAs="oneCell">
    <xdr:from>
      <xdr:col>37</xdr:col>
      <xdr:colOff>346363</xdr:colOff>
      <xdr:row>513</xdr:row>
      <xdr:rowOff>69274</xdr:rowOff>
    </xdr:from>
    <xdr:to>
      <xdr:col>38</xdr:col>
      <xdr:colOff>261001</xdr:colOff>
      <xdr:row>516</xdr:row>
      <xdr:rowOff>83320</xdr:rowOff>
    </xdr:to>
    <xdr:pic>
      <xdr:nvPicPr>
        <xdr:cNvPr id="1040" name="Picture 1039">
          <a:extLst>
            <a:ext uri="{FF2B5EF4-FFF2-40B4-BE49-F238E27FC236}">
              <a16:creationId xmlns:a16="http://schemas.microsoft.com/office/drawing/2014/main" id="{FBBADBF1-A37C-3859-C9BF-6DEB65BCB8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9090" y="136294092"/>
          <a:ext cx="561184" cy="810683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24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BC0A4A8-830D-4239-BF8C-EFAD55699307}" name="Table1" displayName="Table1" ref="F15:I36" totalsRowShown="0" headerRowDxfId="1062" dataDxfId="1061" headerRowCellStyle="Normal 3" dataCellStyle="Normal 3">
  <autoFilter ref="F15:I36" xr:uid="{6BC0A4A8-830D-4239-BF8C-EFAD55699307}"/>
  <tableColumns count="4">
    <tableColumn id="1" xr3:uid="{8A8EB6A0-C279-4703-931C-918BDF89BE3F}" name="NO." dataDxfId="1060" dataCellStyle="Normal 3"/>
    <tableColumn id="2" xr3:uid="{0FC1030F-88C5-4897-B075-3D3CAF92DD14}" name="KELAS" dataDxfId="1059" dataCellStyle="Normal 3"/>
    <tableColumn id="3" xr3:uid="{819EEFA8-DE9B-42E5-A586-BE5673CCD753}" name="WALI KELAS" dataDxfId="1058" dataCellStyle="Normal 3"/>
    <tableColumn id="4" xr3:uid="{1C0B26EB-B186-4418-A95F-6DFFD6A8D3AD}" name="KET." dataDxfId="1057" dataCellStyle="Normal 3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6C318-7132-46D6-9438-95DDD6749C58}">
  <sheetPr codeName="Sheet1"/>
  <dimension ref="A1:Z36"/>
  <sheetViews>
    <sheetView topLeftCell="A17" zoomScaleNormal="100" workbookViewId="0">
      <selection activeCell="G27" sqref="G27"/>
    </sheetView>
  </sheetViews>
  <sheetFormatPr defaultColWidth="9.140625" defaultRowHeight="15"/>
  <cols>
    <col min="1" max="1" width="7" style="203" customWidth="1"/>
    <col min="2" max="2" width="9.140625" style="203"/>
    <col min="3" max="3" width="8.85546875" style="203" customWidth="1"/>
    <col min="4" max="4" width="7" style="203" customWidth="1"/>
    <col min="5" max="5" width="4.140625" style="201" customWidth="1"/>
    <col min="6" max="6" width="10.85546875" style="201" customWidth="1"/>
    <col min="7" max="7" width="11" style="201" customWidth="1"/>
    <col min="8" max="8" width="22.140625" style="201" customWidth="1"/>
    <col min="9" max="19" width="9.140625" style="201"/>
    <col min="20" max="20" width="12.85546875" style="201" customWidth="1"/>
    <col min="21" max="26" width="9.140625" style="201"/>
    <col min="27" max="16384" width="9.140625" style="204"/>
  </cols>
  <sheetData>
    <row r="1" spans="1:26" ht="12.75" customHeight="1">
      <c r="A1" s="201"/>
      <c r="B1" s="201"/>
      <c r="C1" s="201"/>
      <c r="D1" s="201"/>
    </row>
    <row r="2" spans="1:26" ht="15.75">
      <c r="A2" s="201"/>
      <c r="B2" s="201"/>
      <c r="C2" s="201"/>
      <c r="D2" s="201"/>
      <c r="G2" s="200" t="s">
        <v>776</v>
      </c>
    </row>
    <row r="3" spans="1:26" ht="21">
      <c r="A3" s="201"/>
      <c r="B3" s="201"/>
      <c r="C3" s="201"/>
      <c r="D3" s="201"/>
      <c r="G3" s="202" t="s">
        <v>777</v>
      </c>
    </row>
    <row r="4" spans="1:26">
      <c r="A4" s="201"/>
      <c r="B4" s="201"/>
      <c r="C4" s="201"/>
      <c r="D4" s="201"/>
      <c r="G4" s="263">
        <v>510332110259</v>
      </c>
      <c r="H4" s="263"/>
    </row>
    <row r="5" spans="1:26">
      <c r="A5" s="201"/>
      <c r="B5" s="201"/>
      <c r="C5" s="201"/>
      <c r="D5" s="201"/>
    </row>
    <row r="6" spans="1:26">
      <c r="A6" s="227"/>
      <c r="B6" s="227"/>
      <c r="C6" s="227"/>
      <c r="D6" s="227"/>
    </row>
    <row r="7" spans="1:26">
      <c r="A7" s="227"/>
      <c r="B7" s="227"/>
      <c r="C7" s="227"/>
      <c r="D7" s="227"/>
    </row>
    <row r="8" spans="1:26">
      <c r="A8" s="227"/>
      <c r="B8" s="227"/>
      <c r="C8" s="227"/>
      <c r="D8" s="227"/>
    </row>
    <row r="9" spans="1:26">
      <c r="A9" s="227"/>
      <c r="B9" s="227"/>
      <c r="C9" s="227"/>
      <c r="D9" s="227"/>
    </row>
    <row r="10" spans="1:26">
      <c r="A10" s="227"/>
      <c r="B10" s="227"/>
      <c r="C10" s="227"/>
      <c r="D10" s="227"/>
    </row>
    <row r="11" spans="1:26">
      <c r="A11" s="227"/>
      <c r="B11" s="227"/>
      <c r="C11" s="227"/>
      <c r="D11" s="227"/>
      <c r="F11" s="262" t="s">
        <v>773</v>
      </c>
      <c r="G11" s="262"/>
      <c r="H11" s="264" t="s">
        <v>785</v>
      </c>
      <c r="I11" s="265"/>
    </row>
    <row r="12" spans="1:26">
      <c r="A12" s="227"/>
      <c r="B12" s="227"/>
      <c r="C12" s="227"/>
      <c r="D12" s="227"/>
      <c r="F12" s="262" t="s">
        <v>774</v>
      </c>
      <c r="G12" s="262"/>
      <c r="H12" s="206" t="s">
        <v>786</v>
      </c>
      <c r="I12" s="206" t="str">
        <f>IF(H12="1 (Satu)","الأول",IF(H12="2 (Dua)","الثاني",""))</f>
        <v>الأول</v>
      </c>
    </row>
    <row r="13" spans="1:26">
      <c r="A13" s="227"/>
      <c r="B13" s="227"/>
      <c r="C13" s="227"/>
      <c r="D13" s="227"/>
      <c r="F13" s="262" t="s">
        <v>775</v>
      </c>
      <c r="G13" s="262"/>
      <c r="H13" s="266" t="s">
        <v>808</v>
      </c>
      <c r="I13" s="265"/>
    </row>
    <row r="14" spans="1:26">
      <c r="A14" s="227"/>
      <c r="B14" s="227"/>
      <c r="C14" s="227"/>
      <c r="D14" s="227"/>
    </row>
    <row r="15" spans="1:26" s="208" customFormat="1" ht="21.75" customHeight="1">
      <c r="A15" s="228"/>
      <c r="B15" s="228"/>
      <c r="C15" s="228"/>
      <c r="D15" s="228"/>
      <c r="E15" s="207"/>
      <c r="F15" s="205" t="s">
        <v>778</v>
      </c>
      <c r="G15" s="205" t="s">
        <v>771</v>
      </c>
      <c r="H15" s="205" t="s">
        <v>772</v>
      </c>
      <c r="I15" s="205" t="s">
        <v>783</v>
      </c>
      <c r="J15" s="207"/>
      <c r="K15" s="207"/>
      <c r="L15" s="207"/>
      <c r="M15" s="207"/>
      <c r="N15" s="207"/>
      <c r="O15" s="207"/>
      <c r="P15" s="207"/>
      <c r="Q15" s="207"/>
      <c r="R15" s="207"/>
      <c r="S15" s="207"/>
      <c r="T15" s="207"/>
      <c r="U15" s="207"/>
      <c r="V15" s="207"/>
      <c r="W15" s="207"/>
      <c r="X15" s="207"/>
      <c r="Y15" s="207"/>
      <c r="Z15" s="207"/>
    </row>
    <row r="16" spans="1:26" s="208" customFormat="1" ht="21.75" customHeight="1">
      <c r="A16" s="228"/>
      <c r="B16" s="228"/>
      <c r="C16" s="228"/>
      <c r="D16" s="228"/>
      <c r="E16" s="207"/>
      <c r="F16" s="209">
        <v>1</v>
      </c>
      <c r="G16" s="210" t="s">
        <v>779</v>
      </c>
      <c r="H16" s="226" t="s">
        <v>790</v>
      </c>
      <c r="I16" s="211"/>
      <c r="J16" s="207"/>
      <c r="K16" s="207"/>
      <c r="L16" s="207"/>
      <c r="M16" s="207"/>
      <c r="N16" s="207"/>
      <c r="O16" s="207"/>
      <c r="P16" s="207"/>
      <c r="Q16" s="207"/>
      <c r="R16" s="207"/>
      <c r="S16" s="207"/>
      <c r="T16" s="207"/>
      <c r="U16" s="207"/>
      <c r="V16" s="207"/>
      <c r="W16" s="207"/>
      <c r="X16" s="207"/>
      <c r="Y16" s="207"/>
      <c r="Z16" s="207"/>
    </row>
    <row r="17" spans="1:26" s="208" customFormat="1" ht="21.75" customHeight="1">
      <c r="A17" s="228"/>
      <c r="B17" s="228"/>
      <c r="C17" s="228"/>
      <c r="D17" s="228"/>
      <c r="E17" s="207"/>
      <c r="F17" s="209">
        <v>2</v>
      </c>
      <c r="G17" s="210" t="s">
        <v>765</v>
      </c>
      <c r="H17" s="212" t="s">
        <v>88</v>
      </c>
      <c r="J17" s="207"/>
      <c r="K17" s="207"/>
      <c r="L17" s="207"/>
      <c r="M17" s="207"/>
      <c r="N17" s="207"/>
      <c r="O17" s="207"/>
      <c r="P17" s="207"/>
      <c r="Q17" s="207"/>
      <c r="R17" s="207"/>
      <c r="S17" s="207"/>
      <c r="T17" s="207"/>
      <c r="U17" s="207"/>
      <c r="V17" s="207"/>
      <c r="W17" s="207"/>
      <c r="X17" s="207"/>
      <c r="Y17" s="207"/>
      <c r="Z17" s="207"/>
    </row>
    <row r="18" spans="1:26" s="208" customFormat="1" ht="21.75" customHeight="1">
      <c r="A18" s="228"/>
      <c r="B18" s="228"/>
      <c r="C18" s="228"/>
      <c r="D18" s="228"/>
      <c r="E18" s="207"/>
      <c r="F18" s="209">
        <v>3</v>
      </c>
      <c r="G18" s="210" t="s">
        <v>780</v>
      </c>
      <c r="H18" s="226" t="s">
        <v>791</v>
      </c>
      <c r="J18" s="207"/>
      <c r="K18" s="207"/>
      <c r="L18" s="207"/>
      <c r="M18" s="207"/>
      <c r="N18" s="207"/>
      <c r="O18" s="207"/>
      <c r="P18" s="207"/>
      <c r="Q18" s="207"/>
      <c r="R18" s="207"/>
      <c r="S18" s="207"/>
      <c r="T18" s="207"/>
      <c r="U18" s="207"/>
      <c r="V18" s="207"/>
      <c r="W18" s="207"/>
      <c r="X18" s="207"/>
      <c r="Y18" s="207"/>
      <c r="Z18" s="207"/>
    </row>
    <row r="19" spans="1:26" s="208" customFormat="1" ht="21.75" customHeight="1">
      <c r="A19" s="228"/>
      <c r="B19" s="228"/>
      <c r="C19" s="228"/>
      <c r="D19" s="228"/>
      <c r="E19" s="207"/>
      <c r="F19" s="209">
        <v>4</v>
      </c>
      <c r="G19" s="210" t="s">
        <v>89</v>
      </c>
      <c r="H19" s="226" t="s">
        <v>792</v>
      </c>
      <c r="J19" s="207"/>
      <c r="K19" s="207"/>
      <c r="L19" s="207"/>
      <c r="M19" s="207"/>
      <c r="N19" s="207"/>
      <c r="O19" s="207"/>
      <c r="P19" s="207"/>
      <c r="Q19" s="207"/>
      <c r="R19" s="207"/>
      <c r="S19" s="207"/>
      <c r="T19" s="207"/>
      <c r="U19" s="207"/>
      <c r="V19" s="207"/>
      <c r="W19" s="207"/>
      <c r="X19" s="207"/>
      <c r="Y19" s="207"/>
      <c r="Z19" s="207"/>
    </row>
    <row r="20" spans="1:26" s="208" customFormat="1" ht="21.75" customHeight="1">
      <c r="A20" s="228"/>
      <c r="B20" s="228"/>
      <c r="C20" s="228"/>
      <c r="D20" s="228"/>
      <c r="E20" s="207"/>
      <c r="F20" s="209">
        <v>5</v>
      </c>
      <c r="G20" s="210" t="s">
        <v>781</v>
      </c>
      <c r="H20" s="226" t="s">
        <v>793</v>
      </c>
      <c r="J20" s="207"/>
      <c r="K20" s="207"/>
      <c r="L20" s="207"/>
      <c r="M20" s="207"/>
      <c r="N20" s="207"/>
      <c r="O20" s="207"/>
      <c r="P20" s="207"/>
      <c r="Q20" s="207"/>
      <c r="R20" s="207"/>
      <c r="S20" s="207"/>
      <c r="T20" s="207"/>
      <c r="U20" s="207"/>
      <c r="V20" s="207"/>
      <c r="W20" s="207"/>
      <c r="X20" s="207"/>
      <c r="Y20" s="207"/>
      <c r="Z20" s="207"/>
    </row>
    <row r="21" spans="1:26" s="208" customFormat="1" ht="21.75" customHeight="1">
      <c r="A21" s="228"/>
      <c r="B21" s="228"/>
      <c r="C21" s="228"/>
      <c r="D21" s="228"/>
      <c r="E21" s="207"/>
      <c r="F21" s="209">
        <v>6</v>
      </c>
      <c r="G21" s="210" t="s">
        <v>90</v>
      </c>
      <c r="H21" s="226" t="s">
        <v>107</v>
      </c>
      <c r="J21" s="207"/>
      <c r="K21" s="207"/>
      <c r="L21" s="207"/>
      <c r="M21" s="207"/>
      <c r="N21" s="207"/>
      <c r="O21" s="207"/>
      <c r="P21" s="207"/>
      <c r="Q21" s="207"/>
      <c r="R21" s="207"/>
      <c r="S21" s="207"/>
      <c r="T21" s="207"/>
      <c r="U21" s="207"/>
      <c r="V21" s="207"/>
      <c r="W21" s="207"/>
      <c r="X21" s="207"/>
      <c r="Y21" s="207"/>
      <c r="Z21" s="207"/>
    </row>
    <row r="22" spans="1:26" s="208" customFormat="1" ht="21.75" customHeight="1">
      <c r="A22" s="228"/>
      <c r="B22" s="228"/>
      <c r="C22" s="228"/>
      <c r="D22" s="228"/>
      <c r="E22" s="207"/>
      <c r="F22" s="209">
        <v>7</v>
      </c>
      <c r="G22" s="210" t="s">
        <v>98</v>
      </c>
      <c r="H22" s="226" t="s">
        <v>124</v>
      </c>
      <c r="J22" s="207"/>
      <c r="K22" s="207"/>
      <c r="L22" s="207"/>
      <c r="M22" s="207"/>
      <c r="N22" s="207"/>
      <c r="O22" s="207"/>
      <c r="P22" s="207"/>
      <c r="Q22" s="207"/>
      <c r="R22" s="207"/>
      <c r="S22" s="207"/>
      <c r="T22" s="207"/>
      <c r="U22" s="207"/>
      <c r="V22" s="207"/>
      <c r="W22" s="207"/>
      <c r="X22" s="207"/>
      <c r="Y22" s="207"/>
      <c r="Z22" s="207"/>
    </row>
    <row r="23" spans="1:26" s="208" customFormat="1" ht="21.75" customHeight="1">
      <c r="A23" s="228"/>
      <c r="B23" s="228"/>
      <c r="C23" s="228"/>
      <c r="D23" s="228"/>
      <c r="E23" s="207"/>
      <c r="F23" s="209">
        <v>8</v>
      </c>
      <c r="G23" s="210" t="s">
        <v>101</v>
      </c>
      <c r="H23" s="226" t="s">
        <v>99</v>
      </c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</row>
    <row r="24" spans="1:26" s="208" customFormat="1" ht="21.75" customHeight="1">
      <c r="A24" s="228"/>
      <c r="B24" s="228"/>
      <c r="C24" s="228"/>
      <c r="D24" s="228"/>
      <c r="E24" s="207"/>
      <c r="F24" s="209">
        <v>9</v>
      </c>
      <c r="G24" s="210" t="s">
        <v>102</v>
      </c>
      <c r="H24" s="226" t="s">
        <v>122</v>
      </c>
      <c r="J24" s="207"/>
      <c r="K24" s="207"/>
      <c r="L24" s="207"/>
      <c r="M24" s="207"/>
      <c r="N24" s="207"/>
      <c r="O24" s="207"/>
      <c r="P24" s="207"/>
      <c r="Q24" s="207"/>
      <c r="R24" s="207"/>
      <c r="S24" s="207"/>
      <c r="T24" s="207"/>
      <c r="U24" s="207"/>
      <c r="V24" s="207"/>
      <c r="W24" s="207"/>
      <c r="X24" s="207"/>
      <c r="Y24" s="207"/>
      <c r="Z24" s="207"/>
    </row>
    <row r="25" spans="1:26" s="208" customFormat="1" ht="21.75" customHeight="1">
      <c r="A25" s="228"/>
      <c r="B25" s="228"/>
      <c r="C25" s="228"/>
      <c r="D25" s="228"/>
      <c r="E25" s="207"/>
      <c r="F25" s="209">
        <v>10</v>
      </c>
      <c r="G25" s="210" t="s">
        <v>113</v>
      </c>
      <c r="H25" s="226" t="s">
        <v>133</v>
      </c>
      <c r="J25" s="207"/>
      <c r="K25" s="207"/>
      <c r="L25" s="207"/>
      <c r="M25" s="207"/>
      <c r="N25" s="207"/>
      <c r="O25" s="207"/>
      <c r="P25" s="207"/>
      <c r="Q25" s="207"/>
      <c r="R25" s="207"/>
      <c r="S25" s="207"/>
      <c r="T25" s="207"/>
      <c r="U25" s="207"/>
      <c r="V25" s="207"/>
      <c r="W25" s="207"/>
      <c r="X25" s="207"/>
      <c r="Y25" s="207"/>
      <c r="Z25" s="207"/>
    </row>
    <row r="26" spans="1:26" s="208" customFormat="1" ht="21.75" customHeight="1">
      <c r="A26" s="228"/>
      <c r="B26" s="228"/>
      <c r="C26" s="228"/>
      <c r="D26" s="228"/>
      <c r="E26" s="207"/>
      <c r="F26" s="209">
        <v>11</v>
      </c>
      <c r="G26" s="210" t="s">
        <v>115</v>
      </c>
      <c r="H26" s="226" t="s">
        <v>114</v>
      </c>
      <c r="J26" s="207"/>
      <c r="K26" s="207"/>
      <c r="L26" s="207"/>
      <c r="M26" s="207"/>
      <c r="N26" s="207"/>
      <c r="O26" s="207"/>
      <c r="P26" s="207"/>
      <c r="Q26" s="207"/>
      <c r="R26" s="207"/>
      <c r="S26" s="207"/>
      <c r="T26" s="207"/>
      <c r="U26" s="207"/>
      <c r="V26" s="207"/>
      <c r="W26" s="207"/>
      <c r="X26" s="207"/>
      <c r="Y26" s="207"/>
      <c r="Z26" s="207"/>
    </row>
    <row r="27" spans="1:26" s="208" customFormat="1" ht="21.75" customHeight="1">
      <c r="A27" s="228"/>
      <c r="B27" s="228"/>
      <c r="C27" s="228"/>
      <c r="D27" s="228"/>
      <c r="E27" s="207"/>
      <c r="F27" s="209">
        <v>12</v>
      </c>
      <c r="G27" s="210" t="s">
        <v>117</v>
      </c>
      <c r="H27" s="226" t="s">
        <v>131</v>
      </c>
      <c r="J27" s="207"/>
      <c r="K27" s="207"/>
      <c r="L27" s="207"/>
      <c r="M27" s="207"/>
      <c r="N27" s="207"/>
      <c r="O27" s="207"/>
      <c r="P27" s="207"/>
      <c r="Q27" s="207"/>
      <c r="R27" s="207"/>
      <c r="S27" s="207"/>
      <c r="T27" s="207"/>
      <c r="U27" s="207"/>
      <c r="V27" s="207"/>
      <c r="W27" s="207"/>
      <c r="X27" s="207"/>
      <c r="Y27" s="207"/>
      <c r="Z27" s="207"/>
    </row>
    <row r="28" spans="1:26" s="208" customFormat="1" ht="21.75" customHeight="1">
      <c r="A28" s="228"/>
      <c r="B28" s="228"/>
      <c r="C28" s="228"/>
      <c r="D28" s="228"/>
      <c r="E28" s="207"/>
      <c r="F28" s="209">
        <v>13</v>
      </c>
      <c r="G28" s="210" t="s">
        <v>123</v>
      </c>
      <c r="H28" s="226" t="s">
        <v>129</v>
      </c>
      <c r="J28" s="207"/>
      <c r="K28" s="207"/>
      <c r="L28" s="207"/>
      <c r="M28" s="207"/>
      <c r="N28" s="207"/>
      <c r="O28" s="207"/>
      <c r="P28" s="207"/>
      <c r="Q28" s="207"/>
      <c r="R28" s="207"/>
      <c r="S28" s="207"/>
      <c r="T28" s="207"/>
      <c r="U28" s="207"/>
      <c r="V28" s="207"/>
      <c r="W28" s="207"/>
      <c r="X28" s="207"/>
      <c r="Y28" s="207"/>
      <c r="Z28" s="207"/>
    </row>
    <row r="29" spans="1:26" s="208" customFormat="1" ht="21.75" customHeight="1">
      <c r="A29" s="228"/>
      <c r="B29" s="228"/>
      <c r="C29" s="228"/>
      <c r="D29" s="228"/>
      <c r="E29" s="207"/>
      <c r="F29" s="209">
        <v>14</v>
      </c>
      <c r="G29" s="210" t="s">
        <v>125</v>
      </c>
      <c r="H29" s="226" t="s">
        <v>794</v>
      </c>
      <c r="J29" s="207"/>
      <c r="K29" s="207"/>
      <c r="L29" s="207"/>
      <c r="M29" s="207"/>
      <c r="N29" s="207"/>
      <c r="O29" s="207"/>
      <c r="P29" s="207"/>
      <c r="Q29" s="207"/>
      <c r="R29" s="207"/>
      <c r="S29" s="207"/>
      <c r="T29" s="207"/>
      <c r="U29" s="207"/>
      <c r="V29" s="207"/>
      <c r="W29" s="207"/>
      <c r="X29" s="207"/>
      <c r="Y29" s="207"/>
      <c r="Z29" s="207"/>
    </row>
    <row r="30" spans="1:26" s="208" customFormat="1" ht="21.75" customHeight="1">
      <c r="A30" s="228"/>
      <c r="B30" s="228"/>
      <c r="C30" s="228"/>
      <c r="D30" s="228"/>
      <c r="E30" s="207"/>
      <c r="F30" s="209">
        <v>15</v>
      </c>
      <c r="G30" s="210" t="s">
        <v>782</v>
      </c>
      <c r="H30" s="226" t="s">
        <v>135</v>
      </c>
      <c r="J30" s="207"/>
      <c r="K30" s="207"/>
      <c r="L30" s="207"/>
      <c r="M30" s="207"/>
      <c r="N30" s="207"/>
      <c r="O30" s="207"/>
      <c r="P30" s="207"/>
      <c r="Q30" s="207"/>
      <c r="R30" s="207"/>
      <c r="S30" s="207"/>
      <c r="T30" s="207"/>
      <c r="U30" s="207"/>
      <c r="V30" s="207"/>
      <c r="W30" s="207"/>
      <c r="X30" s="207"/>
      <c r="Y30" s="207"/>
      <c r="Z30" s="207"/>
    </row>
    <row r="31" spans="1:26" s="208" customFormat="1" ht="21.75" customHeight="1">
      <c r="A31" s="228"/>
      <c r="B31" s="228"/>
      <c r="C31" s="228"/>
      <c r="D31" s="228"/>
      <c r="E31" s="207"/>
      <c r="F31" s="209">
        <v>16</v>
      </c>
      <c r="G31" s="210" t="s">
        <v>130</v>
      </c>
      <c r="H31" s="226" t="s">
        <v>145</v>
      </c>
      <c r="J31" s="207"/>
      <c r="K31" s="207"/>
      <c r="L31" s="207"/>
      <c r="M31" s="207"/>
      <c r="N31" s="207"/>
      <c r="O31" s="207"/>
      <c r="P31" s="207"/>
      <c r="Q31" s="207"/>
      <c r="R31" s="207"/>
      <c r="S31" s="207"/>
      <c r="T31" s="207"/>
      <c r="U31" s="207"/>
      <c r="V31" s="207"/>
      <c r="W31" s="207"/>
      <c r="X31" s="207"/>
      <c r="Y31" s="207"/>
      <c r="Z31" s="207"/>
    </row>
    <row r="32" spans="1:26" s="208" customFormat="1" ht="21.75" customHeight="1">
      <c r="A32" s="228"/>
      <c r="B32" s="228"/>
      <c r="C32" s="228"/>
      <c r="D32" s="228"/>
      <c r="E32" s="207"/>
      <c r="F32" s="209">
        <v>17</v>
      </c>
      <c r="G32" s="210" t="s">
        <v>132</v>
      </c>
      <c r="H32" s="226" t="s">
        <v>795</v>
      </c>
      <c r="J32" s="207"/>
      <c r="K32" s="207"/>
      <c r="L32" s="207"/>
      <c r="M32" s="207"/>
      <c r="N32" s="207"/>
      <c r="O32" s="207"/>
      <c r="P32" s="207"/>
      <c r="Q32" s="207"/>
      <c r="R32" s="207"/>
      <c r="S32" s="207"/>
      <c r="T32" s="207"/>
      <c r="U32" s="207"/>
      <c r="V32" s="207"/>
      <c r="W32" s="207"/>
      <c r="X32" s="207"/>
      <c r="Y32" s="207"/>
      <c r="Z32" s="207"/>
    </row>
    <row r="33" spans="1:26" s="208" customFormat="1" ht="21.75" customHeight="1">
      <c r="A33" s="228"/>
      <c r="B33" s="228"/>
      <c r="C33" s="228"/>
      <c r="D33" s="228"/>
      <c r="E33" s="207"/>
      <c r="F33" s="209">
        <v>18</v>
      </c>
      <c r="G33" s="210" t="s">
        <v>134</v>
      </c>
      <c r="H33" s="261" t="s">
        <v>810</v>
      </c>
      <c r="J33" s="207"/>
      <c r="K33" s="207"/>
      <c r="L33" s="207"/>
      <c r="M33" s="207"/>
      <c r="N33" s="207"/>
      <c r="O33" s="207"/>
      <c r="P33" s="207"/>
      <c r="Q33" s="207"/>
      <c r="R33" s="207"/>
      <c r="S33" s="207"/>
      <c r="T33" s="207"/>
      <c r="U33" s="207"/>
      <c r="V33" s="207"/>
      <c r="W33" s="207"/>
      <c r="X33" s="207"/>
      <c r="Y33" s="207"/>
      <c r="Z33" s="207"/>
    </row>
    <row r="34" spans="1:26" s="208" customFormat="1" ht="21.75" customHeight="1">
      <c r="A34" s="228"/>
      <c r="B34" s="228"/>
      <c r="C34" s="228"/>
      <c r="D34" s="228"/>
      <c r="E34" s="207"/>
      <c r="F34" s="209">
        <v>19</v>
      </c>
      <c r="G34" s="210" t="s">
        <v>136</v>
      </c>
      <c r="H34" s="226" t="s">
        <v>796</v>
      </c>
      <c r="J34" s="207"/>
      <c r="K34" s="207"/>
      <c r="L34" s="207"/>
      <c r="M34" s="207"/>
      <c r="N34" s="207"/>
      <c r="O34" s="207"/>
      <c r="P34" s="207"/>
      <c r="Q34" s="207"/>
      <c r="R34" s="207"/>
      <c r="S34" s="207"/>
      <c r="T34" s="207"/>
      <c r="U34" s="207"/>
      <c r="V34" s="207"/>
      <c r="W34" s="207"/>
      <c r="X34" s="207"/>
      <c r="Y34" s="207"/>
      <c r="Z34" s="207"/>
    </row>
    <row r="35" spans="1:26" s="208" customFormat="1" ht="21.75" customHeight="1">
      <c r="A35" s="228"/>
      <c r="B35" s="228"/>
      <c r="C35" s="228"/>
      <c r="D35" s="228"/>
      <c r="E35" s="207"/>
      <c r="F35" s="209">
        <v>20</v>
      </c>
      <c r="G35" s="210" t="s">
        <v>146</v>
      </c>
      <c r="H35" s="259" t="s">
        <v>809</v>
      </c>
      <c r="J35" s="207"/>
      <c r="K35" s="207"/>
      <c r="L35" s="207"/>
      <c r="M35" s="207"/>
      <c r="N35" s="207"/>
      <c r="O35" s="207"/>
      <c r="P35" s="207"/>
      <c r="Q35" s="207"/>
      <c r="R35" s="207"/>
      <c r="S35" s="207"/>
      <c r="T35" s="207"/>
      <c r="U35" s="207"/>
      <c r="V35" s="207"/>
      <c r="W35" s="207"/>
      <c r="X35" s="207"/>
      <c r="Y35" s="207"/>
      <c r="Z35" s="207"/>
    </row>
    <row r="36" spans="1:26" s="208" customFormat="1" ht="21.75" customHeight="1">
      <c r="A36" s="228"/>
      <c r="B36" s="228"/>
      <c r="C36" s="228"/>
      <c r="D36" s="228"/>
      <c r="E36" s="207"/>
      <c r="F36" s="209">
        <v>21</v>
      </c>
      <c r="G36" s="210" t="s">
        <v>784</v>
      </c>
      <c r="H36" s="226" t="s">
        <v>797</v>
      </c>
      <c r="J36" s="207"/>
      <c r="K36" s="207"/>
      <c r="L36" s="207"/>
      <c r="M36" s="207"/>
      <c r="N36" s="207"/>
      <c r="O36" s="207"/>
      <c r="P36" s="207"/>
      <c r="Q36" s="207"/>
      <c r="R36" s="207"/>
      <c r="S36" s="207"/>
      <c r="T36" s="207"/>
      <c r="U36" s="207"/>
      <c r="V36" s="207"/>
      <c r="W36" s="207"/>
      <c r="X36" s="207"/>
      <c r="Y36" s="207"/>
      <c r="Z36" s="207"/>
    </row>
  </sheetData>
  <mergeCells count="6">
    <mergeCell ref="F11:G11"/>
    <mergeCell ref="F12:G12"/>
    <mergeCell ref="F13:G13"/>
    <mergeCell ref="G4:H4"/>
    <mergeCell ref="H11:I11"/>
    <mergeCell ref="H13:I13"/>
  </mergeCells>
  <dataValidations count="1">
    <dataValidation type="list" allowBlank="1" showInputMessage="1" showErrorMessage="1" sqref="H12" xr:uid="{12250B43-39E5-4762-BF15-FBD17C8EBF22}">
      <formula1>"1 (Satu),2 (Dua)"</formula1>
    </dataValidation>
  </dataValidations>
  <hyperlinks>
    <hyperlink ref="G16" location="Raport!A1:AH33" display="6-A" xr:uid="{B06B222D-E5B6-46DD-A160-B1B1A98BC3A6}"/>
    <hyperlink ref="G17" location="Raport!A35:AH67" display="6-B" xr:uid="{06631853-F2D3-4095-A05C-6A49E5D59879}"/>
    <hyperlink ref="G18" location="Raport!A69:AH100" display="5-A" xr:uid="{0D4ED513-958F-4834-A4C5-E2482A0E42BF}"/>
    <hyperlink ref="G19" location="Raport!A101:AH132" display="5-B" xr:uid="{1DEAFA5C-FA55-41B4-ADF3-4426B582A128}"/>
    <hyperlink ref="G20" location="Raport!A134:AH165" display="5-C" xr:uid="{3E4D932F-F431-4148-BCC9-67E7B8D3E3AD}"/>
    <hyperlink ref="G21" location="Raport!A169:AH201" display="4-A" xr:uid="{33D4CF0A-15BB-42C9-ACE4-197533E4C7DF}"/>
    <hyperlink ref="G22" location="Raport!A205:AH237" display="4-B" xr:uid="{4125C071-D7D7-4549-A153-1643FC162D9F}"/>
    <hyperlink ref="G23" location="Raport!A241:AH273" display="4-C" xr:uid="{5CDBD033-563D-4AC4-BE46-80BC2FD2A3EC}"/>
    <hyperlink ref="G24" location="Raport!A277:AH306" display="3-A" xr:uid="{EB3079A3-E2B5-43B0-A850-96D3EA37D49A}"/>
    <hyperlink ref="G25" location="Raport!A310:AH339" display="3-B" xr:uid="{8DC1160D-5A16-4883-8C18-DAF159FD5048}"/>
    <hyperlink ref="G26" location="Raport!A343:AH372" display="3-C" xr:uid="{F7A03FDF-F8AD-4315-86DD-FAC035C3B9CE}"/>
    <hyperlink ref="G27" location="Raport!A376:AH404" display="2-A" xr:uid="{7802466A-257C-4E4D-9390-B86A3FB8B9BA}"/>
    <hyperlink ref="G28" location="Raport!A408:AH436" display="2-B" xr:uid="{0FE3366B-124B-4E09-912F-B01C4E897919}"/>
    <hyperlink ref="G29" location="Raport!A440:AH468" display="2-C" xr:uid="{505F453D-9F16-4E0E-8A2E-CE32302507C2}"/>
    <hyperlink ref="G30" location="Raport!A472:AH500" display="2-D" xr:uid="{07963C76-FF6F-4341-86A4-528C8298B4E6}"/>
    <hyperlink ref="G31" location="Raport!A504:AH532" display="1-A" xr:uid="{B2A7DAE2-2105-4C4B-AACC-752965F81F25}"/>
    <hyperlink ref="G32" location="Raport!A536:AH564" display="1-B" xr:uid="{019035FE-CC30-4BC4-96F9-954A1DCA1786}"/>
    <hyperlink ref="G33" location="Raport!A567:AH595" display="1-C" xr:uid="{41378245-3673-4D1A-869C-804DEE9C57E0}"/>
    <hyperlink ref="G34" location="Raport!A598:AH624" display="Tamhidi A" xr:uid="{D60C8A36-F7F3-405B-A18D-D6F62384FAE1}"/>
    <hyperlink ref="G35" location="Raport!A627:AH653" display="Tamhidi B" xr:uid="{D936647D-11AE-4A54-A95B-757066DFD7C4}"/>
    <hyperlink ref="G36" location="Raport!A656:AH682" display="Tamhidi C" xr:uid="{8E2A5A7F-275D-44E5-ABFD-B3ED04B0651B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8FA46-E7FD-494C-9F55-27D096159FC1}">
  <sheetPr codeName="Sheet3">
    <tabColor theme="1" tint="0.499984740745262"/>
  </sheetPr>
  <dimension ref="A1:BY40"/>
  <sheetViews>
    <sheetView topLeftCell="A15" zoomScale="55" zoomScaleNormal="55" workbookViewId="0">
      <selection activeCell="A4" sqref="A4:C31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8" width="5.42578125" style="60" customWidth="1"/>
    <col min="29" max="31" width="7.140625" style="60" customWidth="1"/>
    <col min="32" max="34" width="5.42578125" style="60" customWidth="1"/>
    <col min="35" max="38" width="4.28515625" style="60" customWidth="1"/>
    <col min="39" max="39" width="9.140625" style="60"/>
    <col min="40" max="40" width="9.28515625" style="60" bestFit="1" customWidth="1"/>
    <col min="41" max="41" width="11.140625" style="60" bestFit="1" customWidth="1"/>
    <col min="42" max="42" width="35.42578125" style="60" bestFit="1" customWidth="1"/>
    <col min="43" max="77" width="6.28515625" style="60" customWidth="1"/>
    <col min="78" max="16384" width="9.140625" style="60"/>
  </cols>
  <sheetData>
    <row r="1" spans="1:77" ht="26.25">
      <c r="A1" s="59" t="s">
        <v>287</v>
      </c>
      <c r="AN1" s="59" t="s">
        <v>287</v>
      </c>
    </row>
    <row r="2" spans="1:77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62"/>
      <c r="Q2" s="61"/>
      <c r="R2" s="286" t="s">
        <v>154</v>
      </c>
      <c r="S2" s="286"/>
      <c r="T2" s="286"/>
      <c r="U2" s="286"/>
      <c r="V2" s="90"/>
      <c r="W2" s="283" t="s">
        <v>798</v>
      </c>
      <c r="X2" s="284"/>
      <c r="Y2" s="284"/>
      <c r="Z2" s="284"/>
      <c r="AA2" s="284"/>
      <c r="AB2" s="285"/>
      <c r="AC2" s="276" t="s">
        <v>155</v>
      </c>
      <c r="AD2" s="276" t="s">
        <v>156</v>
      </c>
      <c r="AE2" s="276" t="s">
        <v>157</v>
      </c>
      <c r="AF2" s="270" t="s">
        <v>158</v>
      </c>
      <c r="AG2" s="270" t="s">
        <v>159</v>
      </c>
      <c r="AH2" s="270" t="s">
        <v>160</v>
      </c>
      <c r="AI2" s="278" t="s">
        <v>161</v>
      </c>
      <c r="AJ2" s="278" t="s">
        <v>162</v>
      </c>
      <c r="AK2" s="278" t="s">
        <v>163</v>
      </c>
      <c r="AL2" s="280" t="s">
        <v>164</v>
      </c>
      <c r="AN2" s="281" t="s">
        <v>151</v>
      </c>
      <c r="AO2" s="281" t="s">
        <v>152</v>
      </c>
      <c r="AP2" s="281" t="s">
        <v>0</v>
      </c>
      <c r="AQ2" s="272" t="s">
        <v>153</v>
      </c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62"/>
      <c r="BD2" s="61"/>
      <c r="BE2" s="274" t="s">
        <v>154</v>
      </c>
      <c r="BF2" s="274"/>
      <c r="BG2" s="274"/>
      <c r="BH2" s="274"/>
      <c r="BI2" s="275"/>
      <c r="BJ2" s="283" t="s">
        <v>798</v>
      </c>
      <c r="BK2" s="284"/>
      <c r="BL2" s="284"/>
      <c r="BM2" s="284"/>
      <c r="BN2" s="284"/>
      <c r="BO2" s="285"/>
      <c r="BP2" s="276" t="s">
        <v>155</v>
      </c>
      <c r="BQ2" s="276" t="s">
        <v>156</v>
      </c>
      <c r="BR2" s="276" t="s">
        <v>157</v>
      </c>
      <c r="BS2" s="270" t="s">
        <v>158</v>
      </c>
      <c r="BT2" s="270" t="s">
        <v>159</v>
      </c>
      <c r="BU2" s="270" t="s">
        <v>160</v>
      </c>
      <c r="BV2" s="278" t="s">
        <v>161</v>
      </c>
      <c r="BW2" s="278" t="s">
        <v>162</v>
      </c>
      <c r="BX2" s="278" t="s">
        <v>163</v>
      </c>
      <c r="BY2" s="280" t="s">
        <v>164</v>
      </c>
    </row>
    <row r="3" spans="1:77" ht="99.75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3" t="s">
        <v>58</v>
      </c>
      <c r="R3" s="64" t="s">
        <v>209</v>
      </c>
      <c r="S3" s="64" t="s">
        <v>210</v>
      </c>
      <c r="T3" s="64" t="s">
        <v>22</v>
      </c>
      <c r="U3" s="64" t="s">
        <v>87</v>
      </c>
      <c r="V3" s="64" t="s">
        <v>20</v>
      </c>
      <c r="W3" s="233" t="s">
        <v>799</v>
      </c>
      <c r="X3" s="233" t="s">
        <v>800</v>
      </c>
      <c r="Y3" s="233" t="s">
        <v>801</v>
      </c>
      <c r="Z3" s="233" t="s">
        <v>802</v>
      </c>
      <c r="AA3" s="233" t="s">
        <v>803</v>
      </c>
      <c r="AB3" s="233" t="s">
        <v>804</v>
      </c>
      <c r="AC3" s="277"/>
      <c r="AD3" s="277"/>
      <c r="AE3" s="277"/>
      <c r="AF3" s="271"/>
      <c r="AG3" s="271"/>
      <c r="AH3" s="271"/>
      <c r="AI3" s="279"/>
      <c r="AJ3" s="279"/>
      <c r="AK3" s="279"/>
      <c r="AL3" s="280"/>
      <c r="AN3" s="282"/>
      <c r="AO3" s="282"/>
      <c r="AP3" s="282"/>
      <c r="AQ3" s="63" t="s">
        <v>20</v>
      </c>
      <c r="AR3" s="63" t="s">
        <v>22</v>
      </c>
      <c r="AS3" s="63" t="s">
        <v>165</v>
      </c>
      <c r="AT3" s="63" t="s">
        <v>166</v>
      </c>
      <c r="AU3" s="63" t="s">
        <v>167</v>
      </c>
      <c r="AV3" s="63" t="s">
        <v>168</v>
      </c>
      <c r="AW3" s="63" t="s">
        <v>169</v>
      </c>
      <c r="AX3" s="63" t="s">
        <v>170</v>
      </c>
      <c r="AY3" s="63" t="s">
        <v>14</v>
      </c>
      <c r="AZ3" s="63" t="s">
        <v>120</v>
      </c>
      <c r="BA3" s="63" t="s">
        <v>171</v>
      </c>
      <c r="BB3" s="63" t="s">
        <v>172</v>
      </c>
      <c r="BC3" s="63" t="s">
        <v>55</v>
      </c>
      <c r="BD3" s="63" t="s">
        <v>58</v>
      </c>
      <c r="BE3" s="65" t="s">
        <v>14</v>
      </c>
      <c r="BF3" s="65" t="s">
        <v>22</v>
      </c>
      <c r="BG3" s="65" t="s">
        <v>85</v>
      </c>
      <c r="BH3" s="65" t="s">
        <v>87</v>
      </c>
      <c r="BI3" s="65" t="s">
        <v>20</v>
      </c>
      <c r="BJ3" s="233" t="s">
        <v>799</v>
      </c>
      <c r="BK3" s="233" t="s">
        <v>800</v>
      </c>
      <c r="BL3" s="233" t="s">
        <v>801</v>
      </c>
      <c r="BM3" s="233" t="s">
        <v>802</v>
      </c>
      <c r="BN3" s="233" t="s">
        <v>803</v>
      </c>
      <c r="BO3" s="233" t="s">
        <v>804</v>
      </c>
      <c r="BP3" s="277"/>
      <c r="BQ3" s="277"/>
      <c r="BR3" s="277"/>
      <c r="BS3" s="271"/>
      <c r="BT3" s="271"/>
      <c r="BU3" s="271"/>
      <c r="BV3" s="279"/>
      <c r="BW3" s="279"/>
      <c r="BX3" s="279"/>
      <c r="BY3" s="280"/>
    </row>
    <row r="4" spans="1:77" ht="27.95" customHeight="1">
      <c r="A4" s="66">
        <v>1</v>
      </c>
      <c r="B4" s="91">
        <v>19200095</v>
      </c>
      <c r="C4" s="92" t="s">
        <v>173</v>
      </c>
      <c r="D4" s="68">
        <f t="shared" ref="D4:D31" si="0">ROUND(IF(AQ4=0,0,MIN(MAX(AQ4,40),99)),0)</f>
        <v>91</v>
      </c>
      <c r="E4" s="68">
        <f t="shared" ref="E4:E31" si="1">ROUND(IF(AR4=0,0,MIN(MAX(AR4,40),99)),0)</f>
        <v>83</v>
      </c>
      <c r="F4" s="68">
        <f t="shared" ref="F4:F31" si="2">ROUND(IF(AS4=0,0,MIN(MAX(AS4,40),99)),0)</f>
        <v>91</v>
      </c>
      <c r="G4" s="68">
        <f t="shared" ref="G4:G31" si="3">ROUND(IF(AT4=0,0,MIN(MAX(AT4,40),99)),0)</f>
        <v>98</v>
      </c>
      <c r="H4" s="68">
        <f t="shared" ref="H4:H31" si="4">ROUND(IF(AU4=0,0,MIN(MAX(AU4,40),99)),0)</f>
        <v>91</v>
      </c>
      <c r="I4" s="68">
        <f t="shared" ref="I4:I31" si="5">ROUND(IF(AV4=0,0,MIN(MAX(AV4,40),99)),0)</f>
        <v>96</v>
      </c>
      <c r="J4" s="68">
        <f t="shared" ref="J4:J31" si="6">ROUND(IF(AW4=0,0,MIN(MAX(AW4,40),99)),0)</f>
        <v>91</v>
      </c>
      <c r="K4" s="68">
        <f t="shared" ref="K4:K31" si="7">ROUND(IF(AX4=0,0,MIN(MAX(AX4,40),99)),0)</f>
        <v>81</v>
      </c>
      <c r="L4" s="68">
        <f t="shared" ref="L4:L31" si="8">ROUND(IF(AY4=0,0,MIN(MAX(AY4,40),99)),0)</f>
        <v>94</v>
      </c>
      <c r="M4" s="68">
        <f t="shared" ref="M4:M31" si="9">ROUND(IF(AZ4=0,0,MIN(MAX(AZ4,40),99)),0)</f>
        <v>80</v>
      </c>
      <c r="N4" s="68">
        <f t="shared" ref="N4:N31" si="10">ROUND(IF(BA4=0,0,MIN(MAX(BA4,40),99)),0)</f>
        <v>96</v>
      </c>
      <c r="O4" s="68">
        <f t="shared" ref="O4:O31" si="11">ROUND(IF(BB4=0,0,MIN(MAX(BB4,40),99)),0)</f>
        <v>75</v>
      </c>
      <c r="P4" s="68">
        <f t="shared" ref="P4:P31" si="12">ROUND(IF(BC4=0,0,MIN(MAX(BC4,40),99)),0)</f>
        <v>82</v>
      </c>
      <c r="Q4" s="68">
        <f t="shared" ref="Q4:Q31" si="13">ROUND(IF(BD4=0,0,MIN(MAX(BD4,40),99)),0)</f>
        <v>91</v>
      </c>
      <c r="R4" s="69">
        <f t="shared" ref="R4:R31" si="14">ROUND(IF(BE4=0,0,MIN(MAX(BE4,40),99)),0)</f>
        <v>90</v>
      </c>
      <c r="S4" s="69">
        <f t="shared" ref="S4:S31" si="15">ROUND(IF(BF4=0,0,MIN(MAX(BF4,40),99)),0)</f>
        <v>85</v>
      </c>
      <c r="T4" s="69">
        <f t="shared" ref="T4:T31" si="16">ROUND(IF(BG4=0,0,MIN(MAX(BG4,40),99)),0)</f>
        <v>75</v>
      </c>
      <c r="U4" s="69">
        <f t="shared" ref="U4:U31" si="17">ROUND(IF(BH4=0,0,MIN(MAX(BH4,40),99)),0)</f>
        <v>0</v>
      </c>
      <c r="V4" s="69">
        <f t="shared" ref="V4:V31" si="18">ROUND(IF(BI4=0,0,MIN(MAX(BI4,40),99)),0)</f>
        <v>0</v>
      </c>
      <c r="W4" s="234">
        <f t="shared" ref="W4:W31" si="19">ROUND(IF(BJ4=0,0,MIN(MAX(BJ4,40),99)),0)</f>
        <v>99</v>
      </c>
      <c r="X4" s="234">
        <f t="shared" ref="X4:X31" si="20">ROUND(IF(BK4=0,0,MIN(MAX(BK4,40),99)),0)</f>
        <v>95</v>
      </c>
      <c r="Y4" s="234">
        <f t="shared" ref="Y4:Y31" si="21">ROUND(IF(BL4=0,0,MIN(MAX(BL4,40),99)),0)</f>
        <v>81</v>
      </c>
      <c r="Z4" s="234">
        <f t="shared" ref="Z4:Z31" si="22">ROUND(IF(BM4=0,0,MIN(MAX(BM4,40),99)),0)</f>
        <v>98</v>
      </c>
      <c r="AA4" s="234">
        <f t="shared" ref="AA4:AA31" si="23">ROUND(IF(BN4=0,0,MIN(MAX(BN4,40),99)),0)</f>
        <v>95</v>
      </c>
      <c r="AB4" s="234">
        <f t="shared" ref="AB4:AB31" si="24">ROUND(IF(BO4=0,0,MIN(MAX(BO4,40),99)),0)</f>
        <v>83</v>
      </c>
      <c r="AC4" s="70">
        <f t="shared" ref="AC4:AC31" si="25">SUM(D4:T4)</f>
        <v>1490</v>
      </c>
      <c r="AD4" s="71">
        <f t="shared" ref="AD4:AD31" si="26">AVERAGE(D4:T4)</f>
        <v>87.647058823529406</v>
      </c>
      <c r="AE4" s="72">
        <f t="shared" ref="AE4:AE31" si="27">RANK(AC4,$AC$4:$AC$31)</f>
        <v>1</v>
      </c>
      <c r="AF4" s="73" t="s">
        <v>805</v>
      </c>
      <c r="AG4" s="73" t="s">
        <v>805</v>
      </c>
      <c r="AH4" s="73" t="s">
        <v>806</v>
      </c>
      <c r="AI4" s="74">
        <v>0</v>
      </c>
      <c r="AJ4" s="74">
        <v>9</v>
      </c>
      <c r="AK4" s="74">
        <v>0</v>
      </c>
      <c r="AL4" s="75"/>
      <c r="AN4" s="66">
        <v>16</v>
      </c>
      <c r="AO4" s="66">
        <v>19200095</v>
      </c>
      <c r="AP4" s="78" t="s">
        <v>173</v>
      </c>
      <c r="AQ4" s="68">
        <v>91</v>
      </c>
      <c r="AR4" s="68">
        <v>82.9</v>
      </c>
      <c r="AS4" s="68">
        <v>91</v>
      </c>
      <c r="AT4" s="68">
        <v>97.6</v>
      </c>
      <c r="AU4" s="68">
        <v>91.3</v>
      </c>
      <c r="AV4" s="68">
        <v>95.5</v>
      </c>
      <c r="AW4" s="68">
        <v>90.8</v>
      </c>
      <c r="AX4" s="68">
        <v>80.5</v>
      </c>
      <c r="AY4" s="68">
        <v>93.6</v>
      </c>
      <c r="AZ4" s="68">
        <v>80.2</v>
      </c>
      <c r="BA4" s="68">
        <v>95.5</v>
      </c>
      <c r="BB4" s="68">
        <v>74.5</v>
      </c>
      <c r="BC4" s="68">
        <v>82</v>
      </c>
      <c r="BD4" s="68">
        <v>91</v>
      </c>
      <c r="BE4" s="76">
        <v>90</v>
      </c>
      <c r="BF4" s="76">
        <v>85</v>
      </c>
      <c r="BG4" s="76">
        <v>75</v>
      </c>
      <c r="BH4" s="76"/>
      <c r="BI4" s="76"/>
      <c r="BJ4" s="240">
        <v>100</v>
      </c>
      <c r="BK4" s="240">
        <v>95</v>
      </c>
      <c r="BL4" s="240">
        <v>80.5</v>
      </c>
      <c r="BM4" s="240">
        <v>97.5</v>
      </c>
      <c r="BN4" s="240">
        <v>95</v>
      </c>
      <c r="BO4" s="240">
        <v>82.5</v>
      </c>
      <c r="BP4" s="70">
        <f t="shared" ref="BP4:BP33" si="28">SUM(AQ4:BI4)</f>
        <v>1487.4</v>
      </c>
      <c r="BQ4" s="71">
        <f t="shared" ref="BQ4:BQ33" si="29">AVERAGE(AQ4:BI4)</f>
        <v>87.494117647058829</v>
      </c>
      <c r="BR4" s="72" t="e">
        <f t="shared" ref="BR4:BR31" si="30">RANK(BP4,$AC$4:$AC$31)</f>
        <v>#N/A</v>
      </c>
      <c r="BS4" s="73"/>
      <c r="BT4" s="73"/>
      <c r="BU4" s="73"/>
      <c r="BV4" s="74"/>
      <c r="BW4" s="74"/>
      <c r="BX4" s="74"/>
      <c r="BY4" s="75"/>
    </row>
    <row r="5" spans="1:77" ht="27.95" customHeight="1">
      <c r="A5" s="66">
        <v>2</v>
      </c>
      <c r="B5" s="66">
        <v>20210022</v>
      </c>
      <c r="C5" s="79" t="s">
        <v>184</v>
      </c>
      <c r="D5" s="68">
        <f t="shared" si="0"/>
        <v>91</v>
      </c>
      <c r="E5" s="68">
        <f t="shared" si="1"/>
        <v>91</v>
      </c>
      <c r="F5" s="68">
        <f t="shared" si="2"/>
        <v>91</v>
      </c>
      <c r="G5" s="68">
        <f t="shared" si="3"/>
        <v>93</v>
      </c>
      <c r="H5" s="68">
        <f t="shared" si="4"/>
        <v>75</v>
      </c>
      <c r="I5" s="68">
        <f t="shared" si="5"/>
        <v>78</v>
      </c>
      <c r="J5" s="68">
        <f t="shared" si="6"/>
        <v>83</v>
      </c>
      <c r="K5" s="68">
        <f t="shared" si="7"/>
        <v>75</v>
      </c>
      <c r="L5" s="68">
        <f t="shared" si="8"/>
        <v>87</v>
      </c>
      <c r="M5" s="68">
        <f t="shared" si="9"/>
        <v>81</v>
      </c>
      <c r="N5" s="68">
        <f t="shared" si="10"/>
        <v>78</v>
      </c>
      <c r="O5" s="68">
        <f t="shared" si="11"/>
        <v>75</v>
      </c>
      <c r="P5" s="68">
        <f t="shared" si="12"/>
        <v>75</v>
      </c>
      <c r="Q5" s="68">
        <f t="shared" si="13"/>
        <v>73</v>
      </c>
      <c r="R5" s="69">
        <f t="shared" si="14"/>
        <v>90</v>
      </c>
      <c r="S5" s="69">
        <f t="shared" si="15"/>
        <v>85</v>
      </c>
      <c r="T5" s="69">
        <f t="shared" si="16"/>
        <v>75</v>
      </c>
      <c r="U5" s="69">
        <f t="shared" si="17"/>
        <v>0</v>
      </c>
      <c r="V5" s="69">
        <f t="shared" si="18"/>
        <v>0</v>
      </c>
      <c r="W5" s="234">
        <f t="shared" si="19"/>
        <v>99</v>
      </c>
      <c r="X5" s="234">
        <f t="shared" si="20"/>
        <v>93</v>
      </c>
      <c r="Y5" s="234">
        <f t="shared" si="21"/>
        <v>75</v>
      </c>
      <c r="Z5" s="234">
        <f t="shared" si="22"/>
        <v>98</v>
      </c>
      <c r="AA5" s="234">
        <f t="shared" si="23"/>
        <v>85</v>
      </c>
      <c r="AB5" s="234">
        <f t="shared" si="24"/>
        <v>78</v>
      </c>
      <c r="AC5" s="70">
        <f t="shared" si="25"/>
        <v>1396</v>
      </c>
      <c r="AD5" s="71">
        <f t="shared" si="26"/>
        <v>82.117647058823536</v>
      </c>
      <c r="AE5" s="72">
        <f t="shared" si="27"/>
        <v>2</v>
      </c>
      <c r="AF5" s="73" t="s">
        <v>805</v>
      </c>
      <c r="AG5" s="73" t="s">
        <v>805</v>
      </c>
      <c r="AH5" s="73" t="s">
        <v>806</v>
      </c>
      <c r="AI5" s="74">
        <v>0</v>
      </c>
      <c r="AJ5" s="74">
        <v>0</v>
      </c>
      <c r="AK5" s="74">
        <v>0</v>
      </c>
      <c r="AL5" s="75"/>
      <c r="AN5" s="66">
        <v>27</v>
      </c>
      <c r="AO5" s="66">
        <v>20210022</v>
      </c>
      <c r="AP5" s="79" t="s">
        <v>184</v>
      </c>
      <c r="AQ5" s="68">
        <v>91</v>
      </c>
      <c r="AR5" s="68">
        <v>91</v>
      </c>
      <c r="AS5" s="68">
        <v>91</v>
      </c>
      <c r="AT5" s="68">
        <v>93</v>
      </c>
      <c r="AU5" s="68">
        <v>74.5</v>
      </c>
      <c r="AV5" s="68">
        <v>77.5</v>
      </c>
      <c r="AW5" s="68">
        <v>82.5</v>
      </c>
      <c r="AX5" s="68">
        <v>74.5</v>
      </c>
      <c r="AY5" s="68">
        <v>87.05</v>
      </c>
      <c r="AZ5" s="68">
        <v>81.3</v>
      </c>
      <c r="BA5" s="68">
        <v>77.5</v>
      </c>
      <c r="BB5" s="68">
        <v>74.5</v>
      </c>
      <c r="BC5" s="68">
        <v>75</v>
      </c>
      <c r="BD5" s="68">
        <v>73</v>
      </c>
      <c r="BE5" s="76">
        <v>90</v>
      </c>
      <c r="BF5" s="76">
        <v>85</v>
      </c>
      <c r="BG5" s="76">
        <v>75</v>
      </c>
      <c r="BH5" s="76"/>
      <c r="BI5" s="76"/>
      <c r="BJ5" s="240">
        <v>100</v>
      </c>
      <c r="BK5" s="240">
        <v>92.5</v>
      </c>
      <c r="BL5" s="240">
        <v>74.5</v>
      </c>
      <c r="BM5" s="240">
        <v>97.5</v>
      </c>
      <c r="BN5" s="240">
        <v>85</v>
      </c>
      <c r="BO5" s="240">
        <v>77.5</v>
      </c>
      <c r="BP5" s="70">
        <f t="shared" si="28"/>
        <v>1393.35</v>
      </c>
      <c r="BQ5" s="71">
        <f t="shared" si="29"/>
        <v>81.961764705882345</v>
      </c>
      <c r="BR5" s="72" t="e">
        <f t="shared" si="30"/>
        <v>#N/A</v>
      </c>
      <c r="BS5" s="73"/>
      <c r="BT5" s="73"/>
      <c r="BU5" s="73"/>
      <c r="BV5" s="74"/>
      <c r="BW5" s="74"/>
      <c r="BX5" s="74"/>
      <c r="BY5" s="75"/>
    </row>
    <row r="6" spans="1:77" ht="27.95" customHeight="1">
      <c r="A6" s="66">
        <v>3</v>
      </c>
      <c r="B6" s="66">
        <v>18190110</v>
      </c>
      <c r="C6" s="77" t="s">
        <v>177</v>
      </c>
      <c r="D6" s="68">
        <f t="shared" si="0"/>
        <v>78</v>
      </c>
      <c r="E6" s="68">
        <f t="shared" si="1"/>
        <v>74</v>
      </c>
      <c r="F6" s="68">
        <f t="shared" si="2"/>
        <v>91</v>
      </c>
      <c r="G6" s="68">
        <f t="shared" si="3"/>
        <v>94</v>
      </c>
      <c r="H6" s="68">
        <f t="shared" si="4"/>
        <v>81</v>
      </c>
      <c r="I6" s="68">
        <f t="shared" si="5"/>
        <v>78</v>
      </c>
      <c r="J6" s="68">
        <f t="shared" si="6"/>
        <v>88</v>
      </c>
      <c r="K6" s="68">
        <f t="shared" si="7"/>
        <v>81</v>
      </c>
      <c r="L6" s="68">
        <f t="shared" si="8"/>
        <v>92</v>
      </c>
      <c r="M6" s="68">
        <f t="shared" si="9"/>
        <v>79</v>
      </c>
      <c r="N6" s="68">
        <f t="shared" si="10"/>
        <v>91</v>
      </c>
      <c r="O6" s="68">
        <f t="shared" si="11"/>
        <v>75</v>
      </c>
      <c r="P6" s="68">
        <f t="shared" si="12"/>
        <v>84</v>
      </c>
      <c r="Q6" s="68">
        <f t="shared" si="13"/>
        <v>73</v>
      </c>
      <c r="R6" s="69">
        <f t="shared" si="14"/>
        <v>75</v>
      </c>
      <c r="S6" s="69">
        <f t="shared" si="15"/>
        <v>85</v>
      </c>
      <c r="T6" s="69">
        <f t="shared" si="16"/>
        <v>75</v>
      </c>
      <c r="U6" s="69">
        <f t="shared" si="17"/>
        <v>0</v>
      </c>
      <c r="V6" s="69">
        <f t="shared" si="18"/>
        <v>0</v>
      </c>
      <c r="W6" s="234">
        <f t="shared" si="19"/>
        <v>99</v>
      </c>
      <c r="X6" s="234">
        <f t="shared" si="20"/>
        <v>88</v>
      </c>
      <c r="Y6" s="234">
        <f t="shared" si="21"/>
        <v>81</v>
      </c>
      <c r="Z6" s="234">
        <f t="shared" si="22"/>
        <v>75</v>
      </c>
      <c r="AA6" s="234">
        <f t="shared" si="23"/>
        <v>98</v>
      </c>
      <c r="AB6" s="234">
        <f t="shared" si="24"/>
        <v>88</v>
      </c>
      <c r="AC6" s="70">
        <f t="shared" si="25"/>
        <v>1394</v>
      </c>
      <c r="AD6" s="71">
        <f t="shared" si="26"/>
        <v>82</v>
      </c>
      <c r="AE6" s="72">
        <f t="shared" si="27"/>
        <v>3</v>
      </c>
      <c r="AF6" s="73" t="s">
        <v>805</v>
      </c>
      <c r="AG6" s="73" t="s">
        <v>805</v>
      </c>
      <c r="AH6" s="73" t="s">
        <v>806</v>
      </c>
      <c r="AI6" s="74">
        <v>0</v>
      </c>
      <c r="AJ6" s="74">
        <v>0</v>
      </c>
      <c r="AK6" s="74">
        <v>0</v>
      </c>
      <c r="AL6" s="75"/>
      <c r="AN6" s="66">
        <v>28</v>
      </c>
      <c r="AO6" s="66">
        <v>18190110</v>
      </c>
      <c r="AP6" s="77" t="s">
        <v>177</v>
      </c>
      <c r="AQ6" s="68">
        <v>77.5</v>
      </c>
      <c r="AR6" s="68">
        <v>73.900000000000006</v>
      </c>
      <c r="AS6" s="68">
        <v>91</v>
      </c>
      <c r="AT6" s="68">
        <v>94</v>
      </c>
      <c r="AU6" s="68">
        <v>80.5</v>
      </c>
      <c r="AV6" s="68">
        <v>77.5</v>
      </c>
      <c r="AW6" s="68">
        <v>88.1</v>
      </c>
      <c r="AX6" s="68">
        <v>80.5</v>
      </c>
      <c r="AY6" s="68">
        <v>92.4</v>
      </c>
      <c r="AZ6" s="68">
        <v>78.900000000000006</v>
      </c>
      <c r="BA6" s="68">
        <v>91</v>
      </c>
      <c r="BB6" s="68">
        <v>74.5</v>
      </c>
      <c r="BC6" s="68">
        <v>83.5</v>
      </c>
      <c r="BD6" s="68">
        <v>73</v>
      </c>
      <c r="BE6" s="76">
        <v>75</v>
      </c>
      <c r="BF6" s="76">
        <v>85</v>
      </c>
      <c r="BG6" s="76">
        <v>75</v>
      </c>
      <c r="BH6" s="76"/>
      <c r="BI6" s="76"/>
      <c r="BJ6" s="240">
        <v>100</v>
      </c>
      <c r="BK6" s="240">
        <v>87.5</v>
      </c>
      <c r="BL6" s="240">
        <v>80.5</v>
      </c>
      <c r="BM6" s="240">
        <v>75</v>
      </c>
      <c r="BN6" s="240">
        <v>97.5</v>
      </c>
      <c r="BO6" s="240">
        <v>87.5</v>
      </c>
      <c r="BP6" s="70">
        <f t="shared" si="28"/>
        <v>1391.3</v>
      </c>
      <c r="BQ6" s="71">
        <f t="shared" si="29"/>
        <v>81.841176470588238</v>
      </c>
      <c r="BR6" s="72" t="e">
        <f t="shared" si="30"/>
        <v>#N/A</v>
      </c>
      <c r="BS6" s="73"/>
      <c r="BT6" s="73"/>
      <c r="BU6" s="73"/>
      <c r="BV6" s="74"/>
      <c r="BW6" s="74"/>
      <c r="BX6" s="74"/>
      <c r="BY6" s="75"/>
    </row>
    <row r="7" spans="1:77" ht="27.95" customHeight="1">
      <c r="A7" s="66">
        <v>4</v>
      </c>
      <c r="B7" s="66">
        <v>18190011</v>
      </c>
      <c r="C7" s="79" t="s">
        <v>185</v>
      </c>
      <c r="D7" s="68">
        <f t="shared" si="0"/>
        <v>91</v>
      </c>
      <c r="E7" s="68">
        <f t="shared" si="1"/>
        <v>69</v>
      </c>
      <c r="F7" s="68">
        <f t="shared" si="2"/>
        <v>87</v>
      </c>
      <c r="G7" s="68">
        <f t="shared" si="3"/>
        <v>95</v>
      </c>
      <c r="H7" s="68">
        <f t="shared" si="4"/>
        <v>85</v>
      </c>
      <c r="I7" s="68">
        <f t="shared" si="5"/>
        <v>78</v>
      </c>
      <c r="J7" s="68">
        <f t="shared" si="6"/>
        <v>88</v>
      </c>
      <c r="K7" s="68">
        <f t="shared" si="7"/>
        <v>85</v>
      </c>
      <c r="L7" s="68">
        <f t="shared" si="8"/>
        <v>86</v>
      </c>
      <c r="M7" s="68">
        <f t="shared" si="9"/>
        <v>78</v>
      </c>
      <c r="N7" s="68">
        <f t="shared" si="10"/>
        <v>64</v>
      </c>
      <c r="O7" s="68">
        <f t="shared" si="11"/>
        <v>67</v>
      </c>
      <c r="P7" s="68">
        <f t="shared" si="12"/>
        <v>78</v>
      </c>
      <c r="Q7" s="68">
        <f t="shared" si="13"/>
        <v>73</v>
      </c>
      <c r="R7" s="69">
        <f t="shared" si="14"/>
        <v>88</v>
      </c>
      <c r="S7" s="69">
        <f t="shared" si="15"/>
        <v>85</v>
      </c>
      <c r="T7" s="69">
        <f t="shared" si="16"/>
        <v>70</v>
      </c>
      <c r="U7" s="69">
        <f t="shared" si="17"/>
        <v>0</v>
      </c>
      <c r="V7" s="69">
        <f t="shared" si="18"/>
        <v>0</v>
      </c>
      <c r="W7" s="234">
        <f t="shared" si="19"/>
        <v>99</v>
      </c>
      <c r="X7" s="234">
        <f t="shared" si="20"/>
        <v>90</v>
      </c>
      <c r="Y7" s="234">
        <f t="shared" si="21"/>
        <v>85</v>
      </c>
      <c r="Z7" s="234">
        <f t="shared" si="22"/>
        <v>98</v>
      </c>
      <c r="AA7" s="234">
        <f t="shared" si="23"/>
        <v>93</v>
      </c>
      <c r="AB7" s="234">
        <f t="shared" si="24"/>
        <v>65</v>
      </c>
      <c r="AC7" s="70">
        <f t="shared" si="25"/>
        <v>1367</v>
      </c>
      <c r="AD7" s="71">
        <f t="shared" si="26"/>
        <v>80.411764705882348</v>
      </c>
      <c r="AE7" s="72">
        <f t="shared" si="27"/>
        <v>4</v>
      </c>
      <c r="AF7" s="73" t="s">
        <v>805</v>
      </c>
      <c r="AG7" s="73" t="s">
        <v>805</v>
      </c>
      <c r="AH7" s="73" t="s">
        <v>806</v>
      </c>
      <c r="AI7" s="74">
        <v>0</v>
      </c>
      <c r="AJ7" s="74">
        <v>0</v>
      </c>
      <c r="AK7" s="74">
        <v>0</v>
      </c>
      <c r="AL7" s="75"/>
      <c r="AN7" s="66">
        <v>5</v>
      </c>
      <c r="AO7" s="66">
        <v>18190011</v>
      </c>
      <c r="AP7" s="78" t="s">
        <v>185</v>
      </c>
      <c r="AQ7" s="68">
        <v>91</v>
      </c>
      <c r="AR7" s="68">
        <v>69.400000000000006</v>
      </c>
      <c r="AS7" s="68">
        <v>86.5</v>
      </c>
      <c r="AT7" s="68">
        <v>94.6</v>
      </c>
      <c r="AU7" s="68">
        <v>85</v>
      </c>
      <c r="AV7" s="68">
        <v>77.5</v>
      </c>
      <c r="AW7" s="68">
        <v>88.199999999999989</v>
      </c>
      <c r="AX7" s="68">
        <v>85</v>
      </c>
      <c r="AY7" s="68">
        <v>85.6</v>
      </c>
      <c r="AZ7" s="68">
        <v>77.7</v>
      </c>
      <c r="BA7" s="68">
        <v>64</v>
      </c>
      <c r="BB7" s="68">
        <v>67</v>
      </c>
      <c r="BC7" s="68">
        <v>77.5</v>
      </c>
      <c r="BD7" s="68">
        <v>73</v>
      </c>
      <c r="BE7" s="76">
        <v>88</v>
      </c>
      <c r="BF7" s="76">
        <v>85</v>
      </c>
      <c r="BG7" s="76">
        <v>70</v>
      </c>
      <c r="BH7" s="76"/>
      <c r="BI7" s="76"/>
      <c r="BJ7" s="240">
        <v>100</v>
      </c>
      <c r="BK7" s="240">
        <v>90</v>
      </c>
      <c r="BL7" s="240">
        <v>85</v>
      </c>
      <c r="BM7" s="240">
        <v>97.5</v>
      </c>
      <c r="BN7" s="240">
        <v>92.5</v>
      </c>
      <c r="BO7" s="240">
        <v>65</v>
      </c>
      <c r="BP7" s="70">
        <f t="shared" si="28"/>
        <v>1365</v>
      </c>
      <c r="BQ7" s="71">
        <f t="shared" si="29"/>
        <v>80.294117647058826</v>
      </c>
      <c r="BR7" s="72" t="e">
        <f t="shared" si="30"/>
        <v>#N/A</v>
      </c>
      <c r="BS7" s="73"/>
      <c r="BT7" s="73"/>
      <c r="BU7" s="73"/>
      <c r="BV7" s="74"/>
      <c r="BW7" s="74"/>
      <c r="BX7" s="74"/>
      <c r="BY7" s="75"/>
    </row>
    <row r="8" spans="1:77" ht="27.95" customHeight="1">
      <c r="A8" s="66">
        <v>5</v>
      </c>
      <c r="B8" s="91">
        <v>18190088</v>
      </c>
      <c r="C8" s="92" t="s">
        <v>178</v>
      </c>
      <c r="D8" s="68">
        <f t="shared" si="0"/>
        <v>78</v>
      </c>
      <c r="E8" s="68">
        <f t="shared" si="1"/>
        <v>61</v>
      </c>
      <c r="F8" s="68">
        <f t="shared" si="2"/>
        <v>91</v>
      </c>
      <c r="G8" s="68">
        <f t="shared" si="3"/>
        <v>95</v>
      </c>
      <c r="H8" s="68">
        <f t="shared" si="4"/>
        <v>88</v>
      </c>
      <c r="I8" s="68">
        <f t="shared" si="5"/>
        <v>78</v>
      </c>
      <c r="J8" s="68">
        <f t="shared" si="6"/>
        <v>74</v>
      </c>
      <c r="K8" s="68">
        <f t="shared" si="7"/>
        <v>85</v>
      </c>
      <c r="L8" s="68">
        <f t="shared" si="8"/>
        <v>93</v>
      </c>
      <c r="M8" s="68">
        <f t="shared" si="9"/>
        <v>81</v>
      </c>
      <c r="N8" s="68">
        <f t="shared" si="10"/>
        <v>64</v>
      </c>
      <c r="O8" s="68">
        <f t="shared" si="11"/>
        <v>61</v>
      </c>
      <c r="P8" s="68">
        <f t="shared" si="12"/>
        <v>75</v>
      </c>
      <c r="Q8" s="68">
        <f t="shared" si="13"/>
        <v>87</v>
      </c>
      <c r="R8" s="69">
        <f t="shared" si="14"/>
        <v>77</v>
      </c>
      <c r="S8" s="69">
        <f t="shared" si="15"/>
        <v>80</v>
      </c>
      <c r="T8" s="69">
        <f t="shared" si="16"/>
        <v>70</v>
      </c>
      <c r="U8" s="69">
        <f t="shared" si="17"/>
        <v>0</v>
      </c>
      <c r="V8" s="69">
        <f t="shared" si="18"/>
        <v>0</v>
      </c>
      <c r="W8" s="234">
        <f t="shared" si="19"/>
        <v>99</v>
      </c>
      <c r="X8" s="234">
        <f t="shared" si="20"/>
        <v>95</v>
      </c>
      <c r="Y8" s="234">
        <f t="shared" si="21"/>
        <v>85</v>
      </c>
      <c r="Z8" s="234">
        <f t="shared" si="22"/>
        <v>95</v>
      </c>
      <c r="AA8" s="234">
        <f t="shared" si="23"/>
        <v>88</v>
      </c>
      <c r="AB8" s="234">
        <f t="shared" si="24"/>
        <v>73</v>
      </c>
      <c r="AC8" s="70">
        <f t="shared" si="25"/>
        <v>1338</v>
      </c>
      <c r="AD8" s="71">
        <f t="shared" si="26"/>
        <v>78.705882352941174</v>
      </c>
      <c r="AE8" s="72">
        <f t="shared" si="27"/>
        <v>5</v>
      </c>
      <c r="AF8" s="73" t="s">
        <v>805</v>
      </c>
      <c r="AG8" s="73" t="s">
        <v>805</v>
      </c>
      <c r="AH8" s="73" t="s">
        <v>805</v>
      </c>
      <c r="AI8" s="74">
        <v>2</v>
      </c>
      <c r="AJ8" s="74">
        <v>0</v>
      </c>
      <c r="AK8" s="74">
        <v>0</v>
      </c>
      <c r="AL8" s="75"/>
      <c r="AN8" s="66">
        <v>19</v>
      </c>
      <c r="AO8" s="66">
        <v>18190088</v>
      </c>
      <c r="AP8" s="77" t="s">
        <v>178</v>
      </c>
      <c r="AQ8" s="68">
        <v>77.5</v>
      </c>
      <c r="AR8" s="68">
        <v>61.3</v>
      </c>
      <c r="AS8" s="68">
        <v>91</v>
      </c>
      <c r="AT8" s="68">
        <v>94.9</v>
      </c>
      <c r="AU8" s="68">
        <v>87.699999999999989</v>
      </c>
      <c r="AV8" s="68">
        <v>77.5</v>
      </c>
      <c r="AW8" s="68">
        <v>74</v>
      </c>
      <c r="AX8" s="68">
        <v>85</v>
      </c>
      <c r="AY8" s="68">
        <v>92.699999999999989</v>
      </c>
      <c r="AZ8" s="68">
        <v>80.5</v>
      </c>
      <c r="BA8" s="68">
        <v>64</v>
      </c>
      <c r="BB8" s="68">
        <v>61</v>
      </c>
      <c r="BC8" s="68">
        <v>74.5</v>
      </c>
      <c r="BD8" s="68">
        <v>86.5</v>
      </c>
      <c r="BE8" s="76">
        <v>77</v>
      </c>
      <c r="BF8" s="76">
        <v>80</v>
      </c>
      <c r="BG8" s="76">
        <v>70</v>
      </c>
      <c r="BH8" s="76"/>
      <c r="BI8" s="76"/>
      <c r="BJ8" s="240">
        <v>100</v>
      </c>
      <c r="BK8" s="240">
        <v>95</v>
      </c>
      <c r="BL8" s="240">
        <v>85</v>
      </c>
      <c r="BM8" s="240">
        <v>95</v>
      </c>
      <c r="BN8" s="240">
        <v>87.5</v>
      </c>
      <c r="BO8" s="240">
        <v>72.5</v>
      </c>
      <c r="BP8" s="70">
        <f t="shared" si="28"/>
        <v>1335.1000000000001</v>
      </c>
      <c r="BQ8" s="71">
        <f t="shared" si="29"/>
        <v>78.535294117647069</v>
      </c>
      <c r="BR8" s="72" t="e">
        <f t="shared" si="30"/>
        <v>#N/A</v>
      </c>
      <c r="BS8" s="73"/>
      <c r="BT8" s="73"/>
      <c r="BU8" s="73"/>
      <c r="BV8" s="74"/>
      <c r="BW8" s="74"/>
      <c r="BX8" s="74"/>
      <c r="BY8" s="75"/>
    </row>
    <row r="9" spans="1:77" ht="27.95" customHeight="1">
      <c r="A9" s="91">
        <v>6</v>
      </c>
      <c r="B9" s="66">
        <v>18190001</v>
      </c>
      <c r="C9" s="77" t="s">
        <v>179</v>
      </c>
      <c r="D9" s="68">
        <f t="shared" si="0"/>
        <v>81</v>
      </c>
      <c r="E9" s="68">
        <f t="shared" si="1"/>
        <v>82</v>
      </c>
      <c r="F9" s="68">
        <f t="shared" si="2"/>
        <v>90</v>
      </c>
      <c r="G9" s="68">
        <f t="shared" si="3"/>
        <v>93</v>
      </c>
      <c r="H9" s="68">
        <f t="shared" si="4"/>
        <v>88</v>
      </c>
      <c r="I9" s="68">
        <f t="shared" si="5"/>
        <v>77</v>
      </c>
      <c r="J9" s="68">
        <f t="shared" si="6"/>
        <v>79</v>
      </c>
      <c r="K9" s="68">
        <f t="shared" si="7"/>
        <v>66</v>
      </c>
      <c r="L9" s="68">
        <f t="shared" si="8"/>
        <v>81</v>
      </c>
      <c r="M9" s="68">
        <f t="shared" si="9"/>
        <v>68</v>
      </c>
      <c r="N9" s="68">
        <f t="shared" si="10"/>
        <v>72</v>
      </c>
      <c r="O9" s="68">
        <f t="shared" si="11"/>
        <v>66</v>
      </c>
      <c r="P9" s="68">
        <f t="shared" si="12"/>
        <v>78</v>
      </c>
      <c r="Q9" s="68">
        <f t="shared" si="13"/>
        <v>77</v>
      </c>
      <c r="R9" s="69">
        <f t="shared" si="14"/>
        <v>75</v>
      </c>
      <c r="S9" s="69">
        <f t="shared" si="15"/>
        <v>85</v>
      </c>
      <c r="T9" s="69">
        <f t="shared" si="16"/>
        <v>70</v>
      </c>
      <c r="U9" s="69">
        <f t="shared" si="17"/>
        <v>0</v>
      </c>
      <c r="V9" s="69">
        <f t="shared" si="18"/>
        <v>0</v>
      </c>
      <c r="W9" s="234">
        <f t="shared" si="19"/>
        <v>95</v>
      </c>
      <c r="X9" s="234">
        <f t="shared" si="20"/>
        <v>90</v>
      </c>
      <c r="Y9" s="234">
        <f t="shared" si="21"/>
        <v>66</v>
      </c>
      <c r="Z9" s="234">
        <f t="shared" si="22"/>
        <v>93</v>
      </c>
      <c r="AA9" s="234">
        <f t="shared" si="23"/>
        <v>73</v>
      </c>
      <c r="AB9" s="234">
        <f t="shared" si="24"/>
        <v>73</v>
      </c>
      <c r="AC9" s="70">
        <f t="shared" si="25"/>
        <v>1328</v>
      </c>
      <c r="AD9" s="71">
        <f t="shared" si="26"/>
        <v>78.117647058823536</v>
      </c>
      <c r="AE9" s="72">
        <f t="shared" si="27"/>
        <v>6</v>
      </c>
      <c r="AF9" s="73" t="s">
        <v>805</v>
      </c>
      <c r="AG9" s="73" t="s">
        <v>805</v>
      </c>
      <c r="AH9" s="73" t="s">
        <v>806</v>
      </c>
      <c r="AI9" s="74">
        <v>9</v>
      </c>
      <c r="AJ9" s="74">
        <v>14</v>
      </c>
      <c r="AK9" s="74">
        <v>2</v>
      </c>
      <c r="AL9" s="75"/>
      <c r="AN9" s="66">
        <v>2</v>
      </c>
      <c r="AO9" s="66">
        <v>18190001</v>
      </c>
      <c r="AP9" s="77" t="s">
        <v>179</v>
      </c>
      <c r="AQ9" s="68">
        <v>81</v>
      </c>
      <c r="AR9" s="68">
        <v>81.900000000000006</v>
      </c>
      <c r="AS9" s="68">
        <v>90</v>
      </c>
      <c r="AT9" s="68">
        <v>93</v>
      </c>
      <c r="AU9" s="68">
        <v>87.6</v>
      </c>
      <c r="AV9" s="68">
        <v>76.5</v>
      </c>
      <c r="AW9" s="68">
        <v>79.3</v>
      </c>
      <c r="AX9" s="68">
        <v>66</v>
      </c>
      <c r="AY9" s="68">
        <v>80.8</v>
      </c>
      <c r="AZ9" s="68">
        <v>68.400000000000006</v>
      </c>
      <c r="BA9" s="68">
        <v>72</v>
      </c>
      <c r="BB9" s="68">
        <v>66</v>
      </c>
      <c r="BC9" s="68">
        <v>78</v>
      </c>
      <c r="BD9" s="68">
        <v>76.5</v>
      </c>
      <c r="BE9" s="76">
        <v>75</v>
      </c>
      <c r="BF9" s="76">
        <v>85</v>
      </c>
      <c r="BG9" s="76">
        <v>70</v>
      </c>
      <c r="BH9" s="76"/>
      <c r="BI9" s="76"/>
      <c r="BJ9" s="240">
        <v>95</v>
      </c>
      <c r="BK9" s="240">
        <v>90</v>
      </c>
      <c r="BL9" s="240">
        <v>66</v>
      </c>
      <c r="BM9" s="240">
        <v>92.5</v>
      </c>
      <c r="BN9" s="240">
        <v>72.5</v>
      </c>
      <c r="BO9" s="240">
        <v>72.5</v>
      </c>
      <c r="BP9" s="70">
        <f t="shared" si="28"/>
        <v>1327</v>
      </c>
      <c r="BQ9" s="71">
        <f t="shared" si="29"/>
        <v>78.058823529411768</v>
      </c>
      <c r="BR9" s="72" t="e">
        <f t="shared" si="30"/>
        <v>#N/A</v>
      </c>
      <c r="BS9" s="73"/>
      <c r="BT9" s="73"/>
      <c r="BU9" s="73"/>
      <c r="BV9" s="74"/>
      <c r="BW9" s="74"/>
      <c r="BX9" s="74"/>
      <c r="BY9" s="75"/>
    </row>
    <row r="10" spans="1:77" ht="27.95" customHeight="1">
      <c r="A10" s="91">
        <v>7</v>
      </c>
      <c r="B10" s="91">
        <v>18190035</v>
      </c>
      <c r="C10" s="92" t="s">
        <v>175</v>
      </c>
      <c r="D10" s="68">
        <f t="shared" si="0"/>
        <v>64</v>
      </c>
      <c r="E10" s="68">
        <f t="shared" si="1"/>
        <v>55</v>
      </c>
      <c r="F10" s="68">
        <f t="shared" si="2"/>
        <v>91</v>
      </c>
      <c r="G10" s="68">
        <f t="shared" si="3"/>
        <v>87</v>
      </c>
      <c r="H10" s="68">
        <f t="shared" si="4"/>
        <v>89</v>
      </c>
      <c r="I10" s="68">
        <f t="shared" si="5"/>
        <v>73</v>
      </c>
      <c r="J10" s="68">
        <f t="shared" si="6"/>
        <v>88</v>
      </c>
      <c r="K10" s="68">
        <f t="shared" si="7"/>
        <v>79</v>
      </c>
      <c r="L10" s="68">
        <f t="shared" si="8"/>
        <v>82</v>
      </c>
      <c r="M10" s="68">
        <f t="shared" si="9"/>
        <v>78</v>
      </c>
      <c r="N10" s="68">
        <f t="shared" si="10"/>
        <v>78</v>
      </c>
      <c r="O10" s="68">
        <f t="shared" si="11"/>
        <v>70</v>
      </c>
      <c r="P10" s="68">
        <f t="shared" si="12"/>
        <v>79</v>
      </c>
      <c r="Q10" s="68">
        <f t="shared" si="13"/>
        <v>73</v>
      </c>
      <c r="R10" s="69">
        <f t="shared" si="14"/>
        <v>85</v>
      </c>
      <c r="S10" s="69">
        <f t="shared" si="15"/>
        <v>85</v>
      </c>
      <c r="T10" s="69">
        <f t="shared" si="16"/>
        <v>70</v>
      </c>
      <c r="U10" s="69">
        <f t="shared" si="17"/>
        <v>0</v>
      </c>
      <c r="V10" s="69">
        <f t="shared" si="18"/>
        <v>0</v>
      </c>
      <c r="W10" s="234">
        <f t="shared" si="19"/>
        <v>98</v>
      </c>
      <c r="X10" s="234">
        <f t="shared" si="20"/>
        <v>90</v>
      </c>
      <c r="Y10" s="234">
        <f t="shared" si="21"/>
        <v>79</v>
      </c>
      <c r="Z10" s="234">
        <f t="shared" si="22"/>
        <v>93</v>
      </c>
      <c r="AA10" s="234">
        <f t="shared" si="23"/>
        <v>80</v>
      </c>
      <c r="AB10" s="234">
        <f t="shared" si="24"/>
        <v>65</v>
      </c>
      <c r="AC10" s="70">
        <f t="shared" si="25"/>
        <v>1326</v>
      </c>
      <c r="AD10" s="71">
        <f t="shared" si="26"/>
        <v>78</v>
      </c>
      <c r="AE10" s="72">
        <f t="shared" si="27"/>
        <v>7</v>
      </c>
      <c r="AF10" s="73" t="s">
        <v>805</v>
      </c>
      <c r="AG10" s="73" t="s">
        <v>805</v>
      </c>
      <c r="AH10" s="73" t="s">
        <v>806</v>
      </c>
      <c r="AI10" s="74">
        <v>0</v>
      </c>
      <c r="AJ10" s="74">
        <v>0</v>
      </c>
      <c r="AK10" s="74">
        <v>2</v>
      </c>
      <c r="AL10" s="75"/>
      <c r="AN10" s="66">
        <v>13</v>
      </c>
      <c r="AO10" s="66">
        <v>18190035</v>
      </c>
      <c r="AP10" s="77" t="s">
        <v>175</v>
      </c>
      <c r="AQ10" s="68">
        <v>64</v>
      </c>
      <c r="AR10" s="68">
        <v>55</v>
      </c>
      <c r="AS10" s="68">
        <v>91</v>
      </c>
      <c r="AT10" s="68">
        <v>86.5</v>
      </c>
      <c r="AU10" s="68">
        <v>88.6</v>
      </c>
      <c r="AV10" s="68">
        <v>73</v>
      </c>
      <c r="AW10" s="68">
        <v>87.8</v>
      </c>
      <c r="AX10" s="68">
        <v>79</v>
      </c>
      <c r="AY10" s="68">
        <v>81.55</v>
      </c>
      <c r="AZ10" s="68">
        <v>77.900000000000006</v>
      </c>
      <c r="BA10" s="68">
        <v>77.5</v>
      </c>
      <c r="BB10" s="68">
        <v>70</v>
      </c>
      <c r="BC10" s="68">
        <v>79</v>
      </c>
      <c r="BD10" s="68">
        <v>73</v>
      </c>
      <c r="BE10" s="76">
        <v>85</v>
      </c>
      <c r="BF10" s="76">
        <v>85</v>
      </c>
      <c r="BG10" s="76">
        <v>70</v>
      </c>
      <c r="BH10" s="76"/>
      <c r="BI10" s="76"/>
      <c r="BJ10" s="240">
        <v>97.5</v>
      </c>
      <c r="BK10" s="240">
        <v>90</v>
      </c>
      <c r="BL10" s="240">
        <v>79</v>
      </c>
      <c r="BM10" s="240">
        <v>92.5</v>
      </c>
      <c r="BN10" s="240">
        <v>80</v>
      </c>
      <c r="BO10" s="240">
        <v>65</v>
      </c>
      <c r="BP10" s="70">
        <f t="shared" si="28"/>
        <v>1323.85</v>
      </c>
      <c r="BQ10" s="71">
        <f t="shared" si="29"/>
        <v>77.873529411764707</v>
      </c>
      <c r="BR10" s="72" t="e">
        <f t="shared" si="30"/>
        <v>#N/A</v>
      </c>
      <c r="BS10" s="73"/>
      <c r="BT10" s="73"/>
      <c r="BU10" s="73"/>
      <c r="BV10" s="74"/>
      <c r="BW10" s="74"/>
      <c r="BX10" s="74"/>
      <c r="BY10" s="75"/>
    </row>
    <row r="11" spans="1:77" ht="27.95" customHeight="1">
      <c r="A11" s="91">
        <v>8</v>
      </c>
      <c r="B11" s="91">
        <v>18190068</v>
      </c>
      <c r="C11" s="92" t="s">
        <v>195</v>
      </c>
      <c r="D11" s="68">
        <f t="shared" si="0"/>
        <v>91</v>
      </c>
      <c r="E11" s="68">
        <f t="shared" si="1"/>
        <v>74</v>
      </c>
      <c r="F11" s="68">
        <f t="shared" si="2"/>
        <v>82</v>
      </c>
      <c r="G11" s="68">
        <f t="shared" si="3"/>
        <v>91</v>
      </c>
      <c r="H11" s="68">
        <f t="shared" si="4"/>
        <v>81</v>
      </c>
      <c r="I11" s="68">
        <f t="shared" si="5"/>
        <v>73</v>
      </c>
      <c r="J11" s="68">
        <f t="shared" si="6"/>
        <v>85</v>
      </c>
      <c r="K11" s="68">
        <f t="shared" si="7"/>
        <v>70</v>
      </c>
      <c r="L11" s="68">
        <f t="shared" si="8"/>
        <v>81</v>
      </c>
      <c r="M11" s="68">
        <f t="shared" si="9"/>
        <v>78</v>
      </c>
      <c r="N11" s="68">
        <f t="shared" si="10"/>
        <v>64</v>
      </c>
      <c r="O11" s="68">
        <f t="shared" si="11"/>
        <v>65</v>
      </c>
      <c r="P11" s="68">
        <f t="shared" si="12"/>
        <v>74</v>
      </c>
      <c r="Q11" s="68">
        <f t="shared" si="13"/>
        <v>73</v>
      </c>
      <c r="R11" s="69">
        <f t="shared" si="14"/>
        <v>85</v>
      </c>
      <c r="S11" s="69">
        <f t="shared" si="15"/>
        <v>85</v>
      </c>
      <c r="T11" s="69">
        <f t="shared" si="16"/>
        <v>60</v>
      </c>
      <c r="U11" s="69">
        <f t="shared" si="17"/>
        <v>0</v>
      </c>
      <c r="V11" s="69">
        <f t="shared" si="18"/>
        <v>0</v>
      </c>
      <c r="W11" s="234">
        <f t="shared" si="19"/>
        <v>99</v>
      </c>
      <c r="X11" s="234">
        <f t="shared" si="20"/>
        <v>98</v>
      </c>
      <c r="Y11" s="234">
        <f t="shared" si="21"/>
        <v>70</v>
      </c>
      <c r="Z11" s="234">
        <f t="shared" si="22"/>
        <v>95</v>
      </c>
      <c r="AA11" s="234">
        <f t="shared" si="23"/>
        <v>95</v>
      </c>
      <c r="AB11" s="234">
        <f t="shared" si="24"/>
        <v>65</v>
      </c>
      <c r="AC11" s="70">
        <f t="shared" si="25"/>
        <v>1312</v>
      </c>
      <c r="AD11" s="71">
        <f t="shared" si="26"/>
        <v>77.17647058823529</v>
      </c>
      <c r="AE11" s="72">
        <f t="shared" si="27"/>
        <v>8</v>
      </c>
      <c r="AF11" s="73" t="s">
        <v>805</v>
      </c>
      <c r="AG11" s="73" t="s">
        <v>805</v>
      </c>
      <c r="AH11" s="73" t="s">
        <v>805</v>
      </c>
      <c r="AI11" s="74">
        <v>0</v>
      </c>
      <c r="AJ11" s="74">
        <v>16</v>
      </c>
      <c r="AK11" s="74">
        <v>0</v>
      </c>
      <c r="AL11" s="75"/>
      <c r="AN11" s="66">
        <v>17</v>
      </c>
      <c r="AO11" s="66">
        <v>18190068</v>
      </c>
      <c r="AP11" s="80" t="s">
        <v>195</v>
      </c>
      <c r="AQ11" s="68">
        <v>91</v>
      </c>
      <c r="AR11" s="68">
        <v>73.900000000000006</v>
      </c>
      <c r="AS11" s="68">
        <v>82</v>
      </c>
      <c r="AT11" s="68">
        <v>91.15</v>
      </c>
      <c r="AU11" s="68">
        <v>81.400000000000006</v>
      </c>
      <c r="AV11" s="68">
        <v>73</v>
      </c>
      <c r="AW11" s="68">
        <v>85.3</v>
      </c>
      <c r="AX11" s="68">
        <v>70</v>
      </c>
      <c r="AY11" s="68">
        <v>80.899999999999991</v>
      </c>
      <c r="AZ11" s="68">
        <v>78.400000000000006</v>
      </c>
      <c r="BA11" s="68">
        <v>64</v>
      </c>
      <c r="BB11" s="68">
        <v>65</v>
      </c>
      <c r="BC11" s="68">
        <v>73.5</v>
      </c>
      <c r="BD11" s="68">
        <v>73</v>
      </c>
      <c r="BE11" s="76">
        <v>85</v>
      </c>
      <c r="BF11" s="76">
        <v>85</v>
      </c>
      <c r="BG11" s="76">
        <v>60</v>
      </c>
      <c r="BH11" s="76"/>
      <c r="BI11" s="76"/>
      <c r="BJ11" s="240">
        <v>100</v>
      </c>
      <c r="BK11" s="240">
        <v>97.5</v>
      </c>
      <c r="BL11" s="240">
        <v>70</v>
      </c>
      <c r="BM11" s="240">
        <v>95</v>
      </c>
      <c r="BN11" s="240">
        <v>95</v>
      </c>
      <c r="BO11" s="240">
        <v>65</v>
      </c>
      <c r="BP11" s="70">
        <f t="shared" si="28"/>
        <v>1312.55</v>
      </c>
      <c r="BQ11" s="71">
        <f t="shared" si="29"/>
        <v>77.20882352941176</v>
      </c>
      <c r="BR11" s="72" t="e">
        <f t="shared" si="30"/>
        <v>#N/A</v>
      </c>
      <c r="BS11" s="73"/>
      <c r="BT11" s="73"/>
      <c r="BU11" s="73"/>
      <c r="BV11" s="74"/>
      <c r="BW11" s="74"/>
      <c r="BX11" s="74"/>
      <c r="BY11" s="75"/>
    </row>
    <row r="12" spans="1:77" ht="27.95" customHeight="1">
      <c r="A12" s="91">
        <v>9</v>
      </c>
      <c r="B12" s="91">
        <v>18190046</v>
      </c>
      <c r="C12" s="92" t="s">
        <v>181</v>
      </c>
      <c r="D12" s="68">
        <f t="shared" si="0"/>
        <v>82</v>
      </c>
      <c r="E12" s="68">
        <f t="shared" si="1"/>
        <v>59</v>
      </c>
      <c r="F12" s="68">
        <f t="shared" si="2"/>
        <v>91</v>
      </c>
      <c r="G12" s="68">
        <f t="shared" si="3"/>
        <v>91</v>
      </c>
      <c r="H12" s="68">
        <f t="shared" si="4"/>
        <v>87</v>
      </c>
      <c r="I12" s="68">
        <f t="shared" si="5"/>
        <v>69</v>
      </c>
      <c r="J12" s="68">
        <f t="shared" si="6"/>
        <v>88</v>
      </c>
      <c r="K12" s="68">
        <f t="shared" si="7"/>
        <v>67</v>
      </c>
      <c r="L12" s="68">
        <f t="shared" si="8"/>
        <v>75</v>
      </c>
      <c r="M12" s="68">
        <f t="shared" si="9"/>
        <v>77</v>
      </c>
      <c r="N12" s="68">
        <f t="shared" si="10"/>
        <v>76</v>
      </c>
      <c r="O12" s="68">
        <f t="shared" si="11"/>
        <v>67</v>
      </c>
      <c r="P12" s="68">
        <f t="shared" si="12"/>
        <v>70</v>
      </c>
      <c r="Q12" s="68">
        <f t="shared" si="13"/>
        <v>73</v>
      </c>
      <c r="R12" s="69">
        <f t="shared" si="14"/>
        <v>80</v>
      </c>
      <c r="S12" s="69">
        <f t="shared" si="15"/>
        <v>85</v>
      </c>
      <c r="T12" s="69">
        <f t="shared" si="16"/>
        <v>70</v>
      </c>
      <c r="U12" s="69">
        <f t="shared" si="17"/>
        <v>0</v>
      </c>
      <c r="V12" s="69">
        <f t="shared" si="18"/>
        <v>0</v>
      </c>
      <c r="W12" s="234">
        <f t="shared" si="19"/>
        <v>90</v>
      </c>
      <c r="X12" s="234">
        <f t="shared" si="20"/>
        <v>68</v>
      </c>
      <c r="Y12" s="234">
        <f t="shared" si="21"/>
        <v>67</v>
      </c>
      <c r="Z12" s="234">
        <f t="shared" si="22"/>
        <v>90</v>
      </c>
      <c r="AA12" s="234">
        <f t="shared" si="23"/>
        <v>75</v>
      </c>
      <c r="AB12" s="234">
        <f t="shared" si="24"/>
        <v>70</v>
      </c>
      <c r="AC12" s="70">
        <f t="shared" si="25"/>
        <v>1307</v>
      </c>
      <c r="AD12" s="71">
        <f t="shared" si="26"/>
        <v>76.882352941176464</v>
      </c>
      <c r="AE12" s="72">
        <f t="shared" si="27"/>
        <v>9</v>
      </c>
      <c r="AF12" s="73" t="s">
        <v>805</v>
      </c>
      <c r="AG12" s="73" t="s">
        <v>805</v>
      </c>
      <c r="AH12" s="73" t="s">
        <v>805</v>
      </c>
      <c r="AI12" s="74">
        <v>0</v>
      </c>
      <c r="AJ12" s="74">
        <v>9</v>
      </c>
      <c r="AK12" s="74">
        <v>1</v>
      </c>
      <c r="AL12" s="75"/>
      <c r="AN12" s="66">
        <v>11</v>
      </c>
      <c r="AO12" s="66">
        <v>18190046</v>
      </c>
      <c r="AP12" s="78" t="s">
        <v>181</v>
      </c>
      <c r="AQ12" s="68">
        <v>82</v>
      </c>
      <c r="AR12" s="68">
        <v>58.599999999999994</v>
      </c>
      <c r="AS12" s="68">
        <v>91</v>
      </c>
      <c r="AT12" s="68">
        <v>91</v>
      </c>
      <c r="AU12" s="68">
        <v>87.4</v>
      </c>
      <c r="AV12" s="68">
        <v>68.5</v>
      </c>
      <c r="AW12" s="68">
        <v>87.9</v>
      </c>
      <c r="AX12" s="68">
        <v>67</v>
      </c>
      <c r="AY12" s="68">
        <v>75.3</v>
      </c>
      <c r="AZ12" s="68">
        <v>76.5</v>
      </c>
      <c r="BA12" s="68">
        <v>75.699999999999989</v>
      </c>
      <c r="BB12" s="68">
        <v>67</v>
      </c>
      <c r="BC12" s="68">
        <v>70</v>
      </c>
      <c r="BD12" s="68">
        <v>73</v>
      </c>
      <c r="BE12" s="76">
        <v>80</v>
      </c>
      <c r="BF12" s="76">
        <v>85</v>
      </c>
      <c r="BG12" s="76">
        <v>70</v>
      </c>
      <c r="BH12" s="76"/>
      <c r="BI12" s="76"/>
      <c r="BJ12" s="240">
        <v>90</v>
      </c>
      <c r="BK12" s="240">
        <v>67.5</v>
      </c>
      <c r="BL12" s="240">
        <v>67</v>
      </c>
      <c r="BM12" s="240">
        <v>90</v>
      </c>
      <c r="BN12" s="240">
        <v>75</v>
      </c>
      <c r="BO12" s="240">
        <v>70</v>
      </c>
      <c r="BP12" s="70">
        <f t="shared" si="28"/>
        <v>1305.8999999999999</v>
      </c>
      <c r="BQ12" s="71">
        <f t="shared" si="29"/>
        <v>76.817647058823525</v>
      </c>
      <c r="BR12" s="72" t="e">
        <f t="shared" si="30"/>
        <v>#N/A</v>
      </c>
      <c r="BS12" s="73"/>
      <c r="BT12" s="73"/>
      <c r="BU12" s="73"/>
      <c r="BV12" s="74"/>
      <c r="BW12" s="74"/>
      <c r="BX12" s="74"/>
      <c r="BY12" s="75"/>
    </row>
    <row r="13" spans="1:77" ht="27.95" customHeight="1">
      <c r="A13" s="91">
        <v>10</v>
      </c>
      <c r="B13" s="91">
        <v>18190087</v>
      </c>
      <c r="C13" s="92" t="s">
        <v>183</v>
      </c>
      <c r="D13" s="68">
        <f t="shared" si="0"/>
        <v>80</v>
      </c>
      <c r="E13" s="68">
        <f t="shared" si="1"/>
        <v>56</v>
      </c>
      <c r="F13" s="68">
        <f t="shared" si="2"/>
        <v>80</v>
      </c>
      <c r="G13" s="68">
        <f t="shared" si="3"/>
        <v>90</v>
      </c>
      <c r="H13" s="68">
        <f t="shared" si="4"/>
        <v>82</v>
      </c>
      <c r="I13" s="68">
        <f t="shared" si="5"/>
        <v>80</v>
      </c>
      <c r="J13" s="68">
        <f t="shared" si="6"/>
        <v>88</v>
      </c>
      <c r="K13" s="68">
        <f t="shared" si="7"/>
        <v>74</v>
      </c>
      <c r="L13" s="68">
        <f t="shared" si="8"/>
        <v>79</v>
      </c>
      <c r="M13" s="68">
        <f t="shared" si="9"/>
        <v>76</v>
      </c>
      <c r="N13" s="68">
        <f t="shared" si="10"/>
        <v>91</v>
      </c>
      <c r="O13" s="68">
        <f t="shared" si="11"/>
        <v>62</v>
      </c>
      <c r="P13" s="68">
        <f t="shared" si="12"/>
        <v>65</v>
      </c>
      <c r="Q13" s="68">
        <f t="shared" si="13"/>
        <v>62</v>
      </c>
      <c r="R13" s="69">
        <f t="shared" si="14"/>
        <v>85</v>
      </c>
      <c r="S13" s="69">
        <f t="shared" si="15"/>
        <v>85</v>
      </c>
      <c r="T13" s="69">
        <f t="shared" si="16"/>
        <v>60</v>
      </c>
      <c r="U13" s="69">
        <f t="shared" si="17"/>
        <v>0</v>
      </c>
      <c r="V13" s="69">
        <f t="shared" si="18"/>
        <v>0</v>
      </c>
      <c r="W13" s="234">
        <f t="shared" si="19"/>
        <v>99</v>
      </c>
      <c r="X13" s="234">
        <f t="shared" si="20"/>
        <v>93</v>
      </c>
      <c r="Y13" s="234">
        <f t="shared" si="21"/>
        <v>74</v>
      </c>
      <c r="Z13" s="234">
        <f t="shared" si="22"/>
        <v>98</v>
      </c>
      <c r="AA13" s="234">
        <f t="shared" si="23"/>
        <v>80</v>
      </c>
      <c r="AB13" s="234">
        <f t="shared" si="24"/>
        <v>78</v>
      </c>
      <c r="AC13" s="70">
        <f t="shared" si="25"/>
        <v>1295</v>
      </c>
      <c r="AD13" s="71">
        <f t="shared" si="26"/>
        <v>76.17647058823529</v>
      </c>
      <c r="AE13" s="72">
        <f t="shared" si="27"/>
        <v>10</v>
      </c>
      <c r="AF13" s="73" t="s">
        <v>805</v>
      </c>
      <c r="AG13" s="73" t="s">
        <v>805</v>
      </c>
      <c r="AH13" s="73" t="s">
        <v>805</v>
      </c>
      <c r="AI13" s="74">
        <v>10</v>
      </c>
      <c r="AJ13" s="74">
        <v>0</v>
      </c>
      <c r="AK13" s="74">
        <v>19</v>
      </c>
      <c r="AL13" s="75"/>
      <c r="AM13" s="60" t="s">
        <v>194</v>
      </c>
      <c r="AN13" s="66">
        <v>22</v>
      </c>
      <c r="AO13" s="66">
        <v>18190087</v>
      </c>
      <c r="AP13" s="77" t="s">
        <v>183</v>
      </c>
      <c r="AQ13" s="68">
        <v>80</v>
      </c>
      <c r="AR13" s="68">
        <v>55.699999999999996</v>
      </c>
      <c r="AS13" s="68">
        <v>80</v>
      </c>
      <c r="AT13" s="68">
        <v>89.9</v>
      </c>
      <c r="AU13" s="68">
        <v>82.4</v>
      </c>
      <c r="AV13" s="68">
        <v>80</v>
      </c>
      <c r="AW13" s="68">
        <v>87.899999999999991</v>
      </c>
      <c r="AX13" s="68">
        <v>74</v>
      </c>
      <c r="AY13" s="68">
        <v>78.5</v>
      </c>
      <c r="AZ13" s="68">
        <v>76.400000000000006</v>
      </c>
      <c r="BA13" s="68">
        <v>90.8</v>
      </c>
      <c r="BB13" s="68">
        <v>62</v>
      </c>
      <c r="BC13" s="68">
        <v>65</v>
      </c>
      <c r="BD13" s="68">
        <v>62</v>
      </c>
      <c r="BE13" s="76">
        <v>85</v>
      </c>
      <c r="BF13" s="76">
        <v>85</v>
      </c>
      <c r="BG13" s="76">
        <v>60</v>
      </c>
      <c r="BH13" s="76"/>
      <c r="BI13" s="76"/>
      <c r="BJ13" s="240">
        <v>100</v>
      </c>
      <c r="BK13" s="240">
        <v>92.5</v>
      </c>
      <c r="BL13" s="240">
        <v>74</v>
      </c>
      <c r="BM13" s="240">
        <v>97.5</v>
      </c>
      <c r="BN13" s="240">
        <v>80</v>
      </c>
      <c r="BO13" s="240">
        <v>77.5</v>
      </c>
      <c r="BP13" s="70">
        <f t="shared" si="28"/>
        <v>1294.5999999999999</v>
      </c>
      <c r="BQ13" s="71">
        <f t="shared" si="29"/>
        <v>76.152941176470577</v>
      </c>
      <c r="BR13" s="72" t="e">
        <f t="shared" si="30"/>
        <v>#N/A</v>
      </c>
      <c r="BS13" s="73"/>
      <c r="BT13" s="73"/>
      <c r="BU13" s="73"/>
      <c r="BV13" s="74"/>
      <c r="BW13" s="74"/>
      <c r="BX13" s="74"/>
      <c r="BY13" s="75"/>
    </row>
    <row r="14" spans="1:77" ht="27.95" customHeight="1">
      <c r="A14" s="91">
        <v>11</v>
      </c>
      <c r="B14" s="91">
        <v>18190073</v>
      </c>
      <c r="C14" s="92" t="s">
        <v>182</v>
      </c>
      <c r="D14" s="68">
        <f t="shared" si="0"/>
        <v>91</v>
      </c>
      <c r="E14" s="68">
        <f t="shared" si="1"/>
        <v>55</v>
      </c>
      <c r="F14" s="68">
        <f t="shared" si="2"/>
        <v>87</v>
      </c>
      <c r="G14" s="68">
        <f t="shared" si="3"/>
        <v>85</v>
      </c>
      <c r="H14" s="68">
        <f t="shared" si="4"/>
        <v>84</v>
      </c>
      <c r="I14" s="68">
        <f t="shared" si="5"/>
        <v>78</v>
      </c>
      <c r="J14" s="68">
        <f t="shared" si="6"/>
        <v>80</v>
      </c>
      <c r="K14" s="68">
        <f t="shared" si="7"/>
        <v>64</v>
      </c>
      <c r="L14" s="68">
        <f t="shared" si="8"/>
        <v>76</v>
      </c>
      <c r="M14" s="68">
        <f t="shared" si="9"/>
        <v>79</v>
      </c>
      <c r="N14" s="68">
        <f t="shared" si="10"/>
        <v>75</v>
      </c>
      <c r="O14" s="68">
        <f t="shared" si="11"/>
        <v>66</v>
      </c>
      <c r="P14" s="68">
        <f t="shared" si="12"/>
        <v>73</v>
      </c>
      <c r="Q14" s="68">
        <f t="shared" si="13"/>
        <v>64</v>
      </c>
      <c r="R14" s="69">
        <f t="shared" si="14"/>
        <v>60</v>
      </c>
      <c r="S14" s="69">
        <f t="shared" si="15"/>
        <v>85</v>
      </c>
      <c r="T14" s="69">
        <f t="shared" si="16"/>
        <v>65</v>
      </c>
      <c r="U14" s="69">
        <f t="shared" si="17"/>
        <v>0</v>
      </c>
      <c r="V14" s="69">
        <f t="shared" si="18"/>
        <v>0</v>
      </c>
      <c r="W14" s="234">
        <f t="shared" si="19"/>
        <v>99</v>
      </c>
      <c r="X14" s="234">
        <f t="shared" si="20"/>
        <v>98</v>
      </c>
      <c r="Y14" s="234">
        <f t="shared" si="21"/>
        <v>64</v>
      </c>
      <c r="Z14" s="234">
        <f t="shared" si="22"/>
        <v>98</v>
      </c>
      <c r="AA14" s="234">
        <f t="shared" si="23"/>
        <v>95</v>
      </c>
      <c r="AB14" s="234">
        <f t="shared" si="24"/>
        <v>68</v>
      </c>
      <c r="AC14" s="70">
        <f t="shared" si="25"/>
        <v>1267</v>
      </c>
      <c r="AD14" s="71">
        <f t="shared" si="26"/>
        <v>74.529411764705884</v>
      </c>
      <c r="AE14" s="72">
        <f t="shared" si="27"/>
        <v>11</v>
      </c>
      <c r="AF14" s="73" t="s">
        <v>805</v>
      </c>
      <c r="AG14" s="73" t="s">
        <v>805</v>
      </c>
      <c r="AH14" s="73" t="s">
        <v>805</v>
      </c>
      <c r="AI14" s="74">
        <v>0</v>
      </c>
      <c r="AJ14" s="74">
        <v>0</v>
      </c>
      <c r="AK14" s="74">
        <v>0</v>
      </c>
      <c r="AL14" s="75"/>
      <c r="AN14" s="66">
        <v>18</v>
      </c>
      <c r="AO14" s="66">
        <v>18190073</v>
      </c>
      <c r="AP14" s="77" t="s">
        <v>182</v>
      </c>
      <c r="AQ14" s="68">
        <v>91</v>
      </c>
      <c r="AR14" s="68">
        <v>55</v>
      </c>
      <c r="AS14" s="68">
        <v>86.5</v>
      </c>
      <c r="AT14" s="68">
        <v>85.3</v>
      </c>
      <c r="AU14" s="68">
        <v>83.8</v>
      </c>
      <c r="AV14" s="68">
        <v>77.5</v>
      </c>
      <c r="AW14" s="68">
        <v>80.400000000000006</v>
      </c>
      <c r="AX14" s="68">
        <v>64</v>
      </c>
      <c r="AY14" s="68">
        <v>75.55</v>
      </c>
      <c r="AZ14" s="68">
        <v>78.599999999999994</v>
      </c>
      <c r="BA14" s="68">
        <v>74.8</v>
      </c>
      <c r="BB14" s="68">
        <v>65.5</v>
      </c>
      <c r="BC14" s="68">
        <v>72.5</v>
      </c>
      <c r="BD14" s="68">
        <v>64</v>
      </c>
      <c r="BE14" s="76">
        <v>60</v>
      </c>
      <c r="BF14" s="76">
        <v>85</v>
      </c>
      <c r="BG14" s="76">
        <v>65</v>
      </c>
      <c r="BH14" s="76"/>
      <c r="BI14" s="76"/>
      <c r="BJ14" s="240">
        <v>100</v>
      </c>
      <c r="BK14" s="240">
        <v>97.5</v>
      </c>
      <c r="BL14" s="240">
        <v>64</v>
      </c>
      <c r="BM14" s="240">
        <v>97.5</v>
      </c>
      <c r="BN14" s="240">
        <v>95</v>
      </c>
      <c r="BO14" s="240">
        <v>67.5</v>
      </c>
      <c r="BP14" s="70">
        <f t="shared" si="28"/>
        <v>1264.4499999999998</v>
      </c>
      <c r="BQ14" s="71">
        <f t="shared" si="29"/>
        <v>74.379411764705878</v>
      </c>
      <c r="BR14" s="72" t="e">
        <f t="shared" si="30"/>
        <v>#N/A</v>
      </c>
      <c r="BS14" s="73"/>
      <c r="BT14" s="73"/>
      <c r="BU14" s="73"/>
      <c r="BV14" s="74"/>
      <c r="BW14" s="74"/>
      <c r="BX14" s="74"/>
      <c r="BY14" s="75"/>
    </row>
    <row r="15" spans="1:77" ht="27.95" customHeight="1">
      <c r="A15" s="91">
        <v>12</v>
      </c>
      <c r="B15" s="66">
        <v>18190090</v>
      </c>
      <c r="C15" s="77" t="s">
        <v>174</v>
      </c>
      <c r="D15" s="68">
        <f t="shared" si="0"/>
        <v>64</v>
      </c>
      <c r="E15" s="68">
        <f t="shared" si="1"/>
        <v>65</v>
      </c>
      <c r="F15" s="68">
        <f t="shared" si="2"/>
        <v>73</v>
      </c>
      <c r="G15" s="68">
        <f t="shared" si="3"/>
        <v>83</v>
      </c>
      <c r="H15" s="68">
        <f t="shared" si="4"/>
        <v>78</v>
      </c>
      <c r="I15" s="68">
        <f t="shared" si="5"/>
        <v>73</v>
      </c>
      <c r="J15" s="68">
        <f t="shared" si="6"/>
        <v>81</v>
      </c>
      <c r="K15" s="68">
        <f t="shared" si="7"/>
        <v>69</v>
      </c>
      <c r="L15" s="68">
        <f t="shared" si="8"/>
        <v>80</v>
      </c>
      <c r="M15" s="68">
        <f t="shared" si="9"/>
        <v>78</v>
      </c>
      <c r="N15" s="68">
        <f t="shared" si="10"/>
        <v>64</v>
      </c>
      <c r="O15" s="68">
        <f t="shared" si="11"/>
        <v>69</v>
      </c>
      <c r="P15" s="68">
        <f t="shared" si="12"/>
        <v>74</v>
      </c>
      <c r="Q15" s="68">
        <f t="shared" si="13"/>
        <v>64</v>
      </c>
      <c r="R15" s="69">
        <f t="shared" si="14"/>
        <v>89</v>
      </c>
      <c r="S15" s="69">
        <f t="shared" si="15"/>
        <v>85</v>
      </c>
      <c r="T15" s="69">
        <f t="shared" si="16"/>
        <v>75</v>
      </c>
      <c r="U15" s="69">
        <f t="shared" si="17"/>
        <v>0</v>
      </c>
      <c r="V15" s="69">
        <f t="shared" si="18"/>
        <v>0</v>
      </c>
      <c r="W15" s="234">
        <f t="shared" si="19"/>
        <v>98</v>
      </c>
      <c r="X15" s="234">
        <f t="shared" si="20"/>
        <v>85</v>
      </c>
      <c r="Y15" s="234">
        <f t="shared" si="21"/>
        <v>69</v>
      </c>
      <c r="Z15" s="234">
        <f t="shared" si="22"/>
        <v>93</v>
      </c>
      <c r="AA15" s="234">
        <f t="shared" si="23"/>
        <v>98</v>
      </c>
      <c r="AB15" s="234">
        <f t="shared" si="24"/>
        <v>60</v>
      </c>
      <c r="AC15" s="70">
        <f t="shared" si="25"/>
        <v>1264</v>
      </c>
      <c r="AD15" s="71">
        <f t="shared" si="26"/>
        <v>74.352941176470594</v>
      </c>
      <c r="AE15" s="72">
        <f t="shared" si="27"/>
        <v>12</v>
      </c>
      <c r="AF15" s="73" t="s">
        <v>805</v>
      </c>
      <c r="AG15" s="73" t="s">
        <v>805</v>
      </c>
      <c r="AH15" s="73" t="s">
        <v>806</v>
      </c>
      <c r="AI15" s="74">
        <v>0</v>
      </c>
      <c r="AJ15" s="74">
        <v>0</v>
      </c>
      <c r="AK15" s="74">
        <v>0</v>
      </c>
      <c r="AL15" s="75"/>
      <c r="AN15" s="66">
        <v>24</v>
      </c>
      <c r="AO15" s="66">
        <v>18190090</v>
      </c>
      <c r="AP15" s="77" t="s">
        <v>174</v>
      </c>
      <c r="AQ15" s="68">
        <v>64</v>
      </c>
      <c r="AR15" s="68">
        <v>64.900000000000006</v>
      </c>
      <c r="AS15" s="68">
        <v>73</v>
      </c>
      <c r="AT15" s="68">
        <v>83.199999999999989</v>
      </c>
      <c r="AU15" s="68">
        <v>78.099999999999994</v>
      </c>
      <c r="AV15" s="68">
        <v>73</v>
      </c>
      <c r="AW15" s="68">
        <v>80.699999999999989</v>
      </c>
      <c r="AX15" s="68">
        <v>68.5</v>
      </c>
      <c r="AY15" s="68">
        <v>80.199999999999989</v>
      </c>
      <c r="AZ15" s="68">
        <v>78.400000000000006</v>
      </c>
      <c r="BA15" s="68">
        <v>64</v>
      </c>
      <c r="BB15" s="68">
        <v>68.5</v>
      </c>
      <c r="BC15" s="68">
        <v>73.5</v>
      </c>
      <c r="BD15" s="68">
        <v>64</v>
      </c>
      <c r="BE15" s="76">
        <v>89</v>
      </c>
      <c r="BF15" s="76">
        <v>85</v>
      </c>
      <c r="BG15" s="76">
        <v>75</v>
      </c>
      <c r="BH15" s="76"/>
      <c r="BI15" s="76"/>
      <c r="BJ15" s="240">
        <v>97.5</v>
      </c>
      <c r="BK15" s="240">
        <v>85</v>
      </c>
      <c r="BL15" s="240">
        <v>68.5</v>
      </c>
      <c r="BM15" s="240">
        <v>92.5</v>
      </c>
      <c r="BN15" s="240">
        <v>97.5</v>
      </c>
      <c r="BO15" s="240">
        <v>60</v>
      </c>
      <c r="BP15" s="70">
        <f t="shared" si="28"/>
        <v>1263</v>
      </c>
      <c r="BQ15" s="71">
        <f t="shared" si="29"/>
        <v>74.294117647058826</v>
      </c>
      <c r="BR15" s="72" t="e">
        <f t="shared" si="30"/>
        <v>#N/A</v>
      </c>
      <c r="BS15" s="73"/>
      <c r="BT15" s="73"/>
      <c r="BU15" s="73"/>
      <c r="BV15" s="74"/>
      <c r="BW15" s="74"/>
      <c r="BX15" s="74"/>
      <c r="BY15" s="75"/>
    </row>
    <row r="16" spans="1:77" ht="27.95" customHeight="1">
      <c r="A16" s="91">
        <v>13</v>
      </c>
      <c r="B16" s="91">
        <v>18190085</v>
      </c>
      <c r="C16" s="92" t="s">
        <v>180</v>
      </c>
      <c r="D16" s="68">
        <f t="shared" si="0"/>
        <v>64</v>
      </c>
      <c r="E16" s="68">
        <f t="shared" si="1"/>
        <v>58</v>
      </c>
      <c r="F16" s="68">
        <f t="shared" si="2"/>
        <v>73</v>
      </c>
      <c r="G16" s="68">
        <f t="shared" si="3"/>
        <v>88</v>
      </c>
      <c r="H16" s="68">
        <f t="shared" si="4"/>
        <v>83</v>
      </c>
      <c r="I16" s="68">
        <f t="shared" si="5"/>
        <v>73</v>
      </c>
      <c r="J16" s="68">
        <f t="shared" si="6"/>
        <v>88</v>
      </c>
      <c r="K16" s="68">
        <f t="shared" si="7"/>
        <v>73</v>
      </c>
      <c r="L16" s="68">
        <f t="shared" si="8"/>
        <v>83</v>
      </c>
      <c r="M16" s="68">
        <f t="shared" si="9"/>
        <v>77</v>
      </c>
      <c r="N16" s="68">
        <f t="shared" si="10"/>
        <v>64</v>
      </c>
      <c r="O16" s="68">
        <f t="shared" si="11"/>
        <v>64</v>
      </c>
      <c r="P16" s="68">
        <f t="shared" si="12"/>
        <v>74</v>
      </c>
      <c r="Q16" s="68">
        <f t="shared" si="13"/>
        <v>64</v>
      </c>
      <c r="R16" s="69">
        <f t="shared" si="14"/>
        <v>88</v>
      </c>
      <c r="S16" s="69">
        <f t="shared" si="15"/>
        <v>85</v>
      </c>
      <c r="T16" s="69">
        <f t="shared" si="16"/>
        <v>60</v>
      </c>
      <c r="U16" s="69">
        <f t="shared" si="17"/>
        <v>0</v>
      </c>
      <c r="V16" s="69">
        <f t="shared" si="18"/>
        <v>0</v>
      </c>
      <c r="W16" s="234">
        <f t="shared" si="19"/>
        <v>98</v>
      </c>
      <c r="X16" s="234">
        <f t="shared" si="20"/>
        <v>85</v>
      </c>
      <c r="Y16" s="234">
        <f t="shared" si="21"/>
        <v>73</v>
      </c>
      <c r="Z16" s="234">
        <f t="shared" si="22"/>
        <v>90</v>
      </c>
      <c r="AA16" s="234">
        <f t="shared" si="23"/>
        <v>83</v>
      </c>
      <c r="AB16" s="234">
        <f t="shared" si="24"/>
        <v>63</v>
      </c>
      <c r="AC16" s="70">
        <f t="shared" si="25"/>
        <v>1259</v>
      </c>
      <c r="AD16" s="71">
        <f t="shared" si="26"/>
        <v>74.058823529411768</v>
      </c>
      <c r="AE16" s="72">
        <f t="shared" si="27"/>
        <v>13</v>
      </c>
      <c r="AF16" s="73" t="s">
        <v>805</v>
      </c>
      <c r="AG16" s="73" t="s">
        <v>805</v>
      </c>
      <c r="AH16" s="73" t="s">
        <v>805</v>
      </c>
      <c r="AI16" s="74">
        <v>0</v>
      </c>
      <c r="AJ16" s="74">
        <v>0</v>
      </c>
      <c r="AK16" s="74">
        <v>0</v>
      </c>
      <c r="AL16" s="75"/>
      <c r="AN16" s="66">
        <v>20</v>
      </c>
      <c r="AO16" s="66">
        <v>18190085</v>
      </c>
      <c r="AP16" s="80" t="s">
        <v>180</v>
      </c>
      <c r="AQ16" s="68">
        <v>64</v>
      </c>
      <c r="AR16" s="68">
        <v>57.699999999999996</v>
      </c>
      <c r="AS16" s="68">
        <v>73</v>
      </c>
      <c r="AT16" s="68">
        <v>88</v>
      </c>
      <c r="AU16" s="68">
        <v>82.6</v>
      </c>
      <c r="AV16" s="68">
        <v>73</v>
      </c>
      <c r="AW16" s="68">
        <v>88.3</v>
      </c>
      <c r="AX16" s="68">
        <v>73</v>
      </c>
      <c r="AY16" s="68">
        <v>83.4</v>
      </c>
      <c r="AZ16" s="68">
        <v>76.900000000000006</v>
      </c>
      <c r="BA16" s="68">
        <v>64</v>
      </c>
      <c r="BB16" s="68">
        <v>64</v>
      </c>
      <c r="BC16" s="68">
        <v>74</v>
      </c>
      <c r="BD16" s="68">
        <v>64</v>
      </c>
      <c r="BE16" s="76">
        <v>88</v>
      </c>
      <c r="BF16" s="76">
        <v>85</v>
      </c>
      <c r="BG16" s="76">
        <v>60</v>
      </c>
      <c r="BH16" s="76"/>
      <c r="BI16" s="76"/>
      <c r="BJ16" s="240">
        <v>97.5</v>
      </c>
      <c r="BK16" s="240">
        <v>85</v>
      </c>
      <c r="BL16" s="240">
        <v>73</v>
      </c>
      <c r="BM16" s="240">
        <v>90</v>
      </c>
      <c r="BN16" s="240">
        <v>82.5</v>
      </c>
      <c r="BO16" s="240">
        <v>62.5</v>
      </c>
      <c r="BP16" s="70">
        <f t="shared" si="28"/>
        <v>1258.8999999999999</v>
      </c>
      <c r="BQ16" s="71">
        <f t="shared" si="29"/>
        <v>74.052941176470583</v>
      </c>
      <c r="BR16" s="72" t="e">
        <f t="shared" si="30"/>
        <v>#N/A</v>
      </c>
      <c r="BS16" s="73"/>
      <c r="BT16" s="73"/>
      <c r="BU16" s="73"/>
      <c r="BV16" s="74"/>
      <c r="BW16" s="74"/>
      <c r="BX16" s="74"/>
      <c r="BY16" s="75"/>
    </row>
    <row r="17" spans="1:77" ht="27.95" customHeight="1">
      <c r="A17" s="91">
        <v>14</v>
      </c>
      <c r="B17" s="91">
        <v>18190052</v>
      </c>
      <c r="C17" s="92" t="s">
        <v>176</v>
      </c>
      <c r="D17" s="68">
        <f t="shared" si="0"/>
        <v>40</v>
      </c>
      <c r="E17" s="68">
        <f t="shared" si="1"/>
        <v>54</v>
      </c>
      <c r="F17" s="68">
        <f t="shared" si="2"/>
        <v>40</v>
      </c>
      <c r="G17" s="68">
        <f t="shared" si="3"/>
        <v>86</v>
      </c>
      <c r="H17" s="68">
        <f t="shared" si="4"/>
        <v>88</v>
      </c>
      <c r="I17" s="68">
        <f t="shared" si="5"/>
        <v>81</v>
      </c>
      <c r="J17" s="68">
        <f t="shared" si="6"/>
        <v>93</v>
      </c>
      <c r="K17" s="68">
        <f t="shared" si="7"/>
        <v>84</v>
      </c>
      <c r="L17" s="68">
        <f t="shared" si="8"/>
        <v>88</v>
      </c>
      <c r="M17" s="68">
        <f t="shared" si="9"/>
        <v>68</v>
      </c>
      <c r="N17" s="68">
        <f t="shared" si="10"/>
        <v>60</v>
      </c>
      <c r="O17" s="68">
        <f t="shared" si="11"/>
        <v>72</v>
      </c>
      <c r="P17" s="68">
        <f t="shared" si="12"/>
        <v>72</v>
      </c>
      <c r="Q17" s="68">
        <f t="shared" si="13"/>
        <v>86</v>
      </c>
      <c r="R17" s="69">
        <f t="shared" si="14"/>
        <v>80</v>
      </c>
      <c r="S17" s="69">
        <f t="shared" si="15"/>
        <v>60</v>
      </c>
      <c r="T17" s="69">
        <f t="shared" si="16"/>
        <v>70</v>
      </c>
      <c r="U17" s="69">
        <f t="shared" si="17"/>
        <v>0</v>
      </c>
      <c r="V17" s="69">
        <f t="shared" si="18"/>
        <v>0</v>
      </c>
      <c r="W17" s="234">
        <f t="shared" si="19"/>
        <v>99</v>
      </c>
      <c r="X17" s="234">
        <f t="shared" si="20"/>
        <v>98</v>
      </c>
      <c r="Y17" s="234">
        <f t="shared" si="21"/>
        <v>84</v>
      </c>
      <c r="Z17" s="234">
        <f t="shared" si="22"/>
        <v>95</v>
      </c>
      <c r="AA17" s="234">
        <f t="shared" si="23"/>
        <v>95</v>
      </c>
      <c r="AB17" s="234">
        <f t="shared" si="24"/>
        <v>68</v>
      </c>
      <c r="AC17" s="70">
        <f t="shared" si="25"/>
        <v>1222</v>
      </c>
      <c r="AD17" s="71">
        <f t="shared" si="26"/>
        <v>71.882352941176464</v>
      </c>
      <c r="AE17" s="72">
        <f t="shared" si="27"/>
        <v>14</v>
      </c>
      <c r="AF17" s="73" t="s">
        <v>805</v>
      </c>
      <c r="AG17" s="73" t="s">
        <v>805</v>
      </c>
      <c r="AH17" s="73" t="s">
        <v>805</v>
      </c>
      <c r="AI17" s="74">
        <v>13</v>
      </c>
      <c r="AJ17" s="74">
        <v>26</v>
      </c>
      <c r="AK17" s="74">
        <v>0</v>
      </c>
      <c r="AL17" s="75"/>
      <c r="AN17" s="66">
        <v>12</v>
      </c>
      <c r="AO17" s="66">
        <v>18190052</v>
      </c>
      <c r="AP17" s="77" t="s">
        <v>176</v>
      </c>
      <c r="AQ17" s="68">
        <v>9</v>
      </c>
      <c r="AR17" s="68">
        <v>54</v>
      </c>
      <c r="AS17" s="68">
        <v>9</v>
      </c>
      <c r="AT17" s="68">
        <v>86.25</v>
      </c>
      <c r="AU17" s="68">
        <v>87.6</v>
      </c>
      <c r="AV17" s="68">
        <v>81</v>
      </c>
      <c r="AW17" s="68">
        <v>93</v>
      </c>
      <c r="AX17" s="68">
        <v>84</v>
      </c>
      <c r="AY17" s="68">
        <v>88.4</v>
      </c>
      <c r="AZ17" s="68">
        <v>68</v>
      </c>
      <c r="BA17" s="68">
        <v>60.3</v>
      </c>
      <c r="BB17" s="68">
        <v>72</v>
      </c>
      <c r="BC17" s="68">
        <v>72</v>
      </c>
      <c r="BD17" s="68">
        <v>85.5</v>
      </c>
      <c r="BE17" s="76">
        <v>80</v>
      </c>
      <c r="BF17" s="76">
        <v>60</v>
      </c>
      <c r="BG17" s="76">
        <v>70</v>
      </c>
      <c r="BH17" s="76"/>
      <c r="BI17" s="76"/>
      <c r="BJ17" s="240">
        <v>100</v>
      </c>
      <c r="BK17" s="240">
        <v>97.5</v>
      </c>
      <c r="BL17" s="240">
        <v>84</v>
      </c>
      <c r="BM17" s="240">
        <v>95</v>
      </c>
      <c r="BN17" s="240">
        <v>95</v>
      </c>
      <c r="BO17" s="240">
        <v>67.5</v>
      </c>
      <c r="BP17" s="70">
        <f t="shared" si="28"/>
        <v>1160.05</v>
      </c>
      <c r="BQ17" s="71">
        <f t="shared" si="29"/>
        <v>68.238235294117644</v>
      </c>
      <c r="BR17" s="72" t="e">
        <f t="shared" si="30"/>
        <v>#N/A</v>
      </c>
      <c r="BS17" s="73"/>
      <c r="BT17" s="73"/>
      <c r="BU17" s="73"/>
      <c r="BV17" s="74"/>
      <c r="BW17" s="74"/>
      <c r="BX17" s="74"/>
      <c r="BY17" s="75"/>
    </row>
    <row r="18" spans="1:77" ht="27.95" customHeight="1">
      <c r="A18" s="91">
        <v>15</v>
      </c>
      <c r="B18" s="66">
        <v>18190021</v>
      </c>
      <c r="C18" s="77" t="s">
        <v>193</v>
      </c>
      <c r="D18" s="68">
        <f t="shared" si="0"/>
        <v>78</v>
      </c>
      <c r="E18" s="68">
        <f t="shared" si="1"/>
        <v>58</v>
      </c>
      <c r="F18" s="68">
        <f t="shared" si="2"/>
        <v>73</v>
      </c>
      <c r="G18" s="68">
        <f t="shared" si="3"/>
        <v>84</v>
      </c>
      <c r="H18" s="68">
        <f t="shared" si="4"/>
        <v>84</v>
      </c>
      <c r="I18" s="68">
        <f t="shared" si="5"/>
        <v>73</v>
      </c>
      <c r="J18" s="68">
        <f t="shared" si="6"/>
        <v>79</v>
      </c>
      <c r="K18" s="68">
        <f t="shared" si="7"/>
        <v>82</v>
      </c>
      <c r="L18" s="68">
        <f t="shared" si="8"/>
        <v>70</v>
      </c>
      <c r="M18" s="68">
        <f t="shared" si="9"/>
        <v>78</v>
      </c>
      <c r="N18" s="68">
        <f t="shared" si="10"/>
        <v>64</v>
      </c>
      <c r="O18" s="68">
        <f t="shared" si="11"/>
        <v>64</v>
      </c>
      <c r="P18" s="68">
        <f t="shared" si="12"/>
        <v>70</v>
      </c>
      <c r="Q18" s="68">
        <f t="shared" si="13"/>
        <v>64</v>
      </c>
      <c r="R18" s="69">
        <f t="shared" si="14"/>
        <v>60</v>
      </c>
      <c r="S18" s="69">
        <f t="shared" si="15"/>
        <v>80</v>
      </c>
      <c r="T18" s="69">
        <f t="shared" si="16"/>
        <v>60</v>
      </c>
      <c r="U18" s="69">
        <f t="shared" si="17"/>
        <v>0</v>
      </c>
      <c r="V18" s="69">
        <f t="shared" si="18"/>
        <v>0</v>
      </c>
      <c r="W18" s="234">
        <f t="shared" si="19"/>
        <v>99</v>
      </c>
      <c r="X18" s="234">
        <f t="shared" si="20"/>
        <v>88</v>
      </c>
      <c r="Y18" s="234">
        <f t="shared" si="21"/>
        <v>82</v>
      </c>
      <c r="Z18" s="234">
        <f t="shared" si="22"/>
        <v>98</v>
      </c>
      <c r="AA18" s="234">
        <f t="shared" si="23"/>
        <v>93</v>
      </c>
      <c r="AB18" s="234">
        <f t="shared" si="24"/>
        <v>65</v>
      </c>
      <c r="AC18" s="70">
        <f t="shared" si="25"/>
        <v>1221</v>
      </c>
      <c r="AD18" s="71">
        <f t="shared" si="26"/>
        <v>71.82352941176471</v>
      </c>
      <c r="AE18" s="72">
        <f t="shared" si="27"/>
        <v>15</v>
      </c>
      <c r="AF18" s="73" t="s">
        <v>805</v>
      </c>
      <c r="AG18" s="73" t="s">
        <v>805</v>
      </c>
      <c r="AH18" s="73" t="s">
        <v>805</v>
      </c>
      <c r="AI18" s="74">
        <v>0</v>
      </c>
      <c r="AJ18" s="74">
        <v>0</v>
      </c>
      <c r="AK18" s="74">
        <v>0</v>
      </c>
      <c r="AL18" s="75"/>
      <c r="AN18" s="66">
        <v>25</v>
      </c>
      <c r="AO18" s="66">
        <v>18190021</v>
      </c>
      <c r="AP18" s="77" t="s">
        <v>193</v>
      </c>
      <c r="AQ18" s="68">
        <v>77.5</v>
      </c>
      <c r="AR18" s="68">
        <v>57.699999999999996</v>
      </c>
      <c r="AS18" s="68">
        <v>73</v>
      </c>
      <c r="AT18" s="68">
        <v>83.5</v>
      </c>
      <c r="AU18" s="68">
        <v>84.4</v>
      </c>
      <c r="AV18" s="68">
        <v>73</v>
      </c>
      <c r="AW18" s="68">
        <v>79.399999999999991</v>
      </c>
      <c r="AX18" s="68">
        <v>82</v>
      </c>
      <c r="AY18" s="68">
        <v>70.199999999999989</v>
      </c>
      <c r="AZ18" s="68">
        <v>78.400000000000006</v>
      </c>
      <c r="BA18" s="68">
        <v>64</v>
      </c>
      <c r="BB18" s="68">
        <v>64</v>
      </c>
      <c r="BC18" s="68">
        <v>69.5</v>
      </c>
      <c r="BD18" s="68">
        <v>64</v>
      </c>
      <c r="BE18" s="76">
        <v>60</v>
      </c>
      <c r="BF18" s="76">
        <v>80</v>
      </c>
      <c r="BG18" s="76">
        <v>60</v>
      </c>
      <c r="BH18" s="76"/>
      <c r="BI18" s="76"/>
      <c r="BJ18" s="240">
        <v>100</v>
      </c>
      <c r="BK18" s="240">
        <v>87.5</v>
      </c>
      <c r="BL18" s="240">
        <v>82</v>
      </c>
      <c r="BM18" s="240">
        <v>97.5</v>
      </c>
      <c r="BN18" s="240">
        <v>92.5</v>
      </c>
      <c r="BO18" s="240">
        <v>65</v>
      </c>
      <c r="BP18" s="70">
        <f t="shared" si="28"/>
        <v>1220.5999999999999</v>
      </c>
      <c r="BQ18" s="71">
        <f t="shared" si="29"/>
        <v>71.8</v>
      </c>
      <c r="BR18" s="72" t="e">
        <f t="shared" si="30"/>
        <v>#N/A</v>
      </c>
      <c r="BS18" s="73"/>
      <c r="BT18" s="73"/>
      <c r="BU18" s="73"/>
      <c r="BV18" s="74"/>
      <c r="BW18" s="74"/>
      <c r="BX18" s="74"/>
      <c r="BY18" s="75"/>
    </row>
    <row r="19" spans="1:77" ht="27.95" customHeight="1">
      <c r="A19" s="91">
        <v>16</v>
      </c>
      <c r="B19" s="91">
        <v>18190043</v>
      </c>
      <c r="C19" s="92" t="s">
        <v>200</v>
      </c>
      <c r="D19" s="68">
        <f t="shared" si="0"/>
        <v>77</v>
      </c>
      <c r="E19" s="68">
        <f t="shared" si="1"/>
        <v>54</v>
      </c>
      <c r="F19" s="68">
        <f t="shared" si="2"/>
        <v>81</v>
      </c>
      <c r="G19" s="68">
        <f t="shared" si="3"/>
        <v>79</v>
      </c>
      <c r="H19" s="68">
        <f t="shared" si="4"/>
        <v>73</v>
      </c>
      <c r="I19" s="68">
        <f t="shared" si="5"/>
        <v>68</v>
      </c>
      <c r="J19" s="68">
        <f t="shared" si="6"/>
        <v>66</v>
      </c>
      <c r="K19" s="68">
        <f t="shared" si="7"/>
        <v>63</v>
      </c>
      <c r="L19" s="68">
        <f t="shared" si="8"/>
        <v>70</v>
      </c>
      <c r="M19" s="68">
        <f t="shared" si="9"/>
        <v>77</v>
      </c>
      <c r="N19" s="68">
        <f t="shared" si="10"/>
        <v>72</v>
      </c>
      <c r="O19" s="68">
        <f t="shared" si="11"/>
        <v>63</v>
      </c>
      <c r="P19" s="68">
        <f t="shared" si="12"/>
        <v>63</v>
      </c>
      <c r="Q19" s="68">
        <f t="shared" si="13"/>
        <v>72</v>
      </c>
      <c r="R19" s="69">
        <f t="shared" si="14"/>
        <v>88</v>
      </c>
      <c r="S19" s="69">
        <f t="shared" si="15"/>
        <v>85</v>
      </c>
      <c r="T19" s="69">
        <f t="shared" si="16"/>
        <v>60</v>
      </c>
      <c r="U19" s="69">
        <f t="shared" si="17"/>
        <v>0</v>
      </c>
      <c r="V19" s="69">
        <f t="shared" si="18"/>
        <v>0</v>
      </c>
      <c r="W19" s="234">
        <f t="shared" si="19"/>
        <v>98</v>
      </c>
      <c r="X19" s="234">
        <f t="shared" si="20"/>
        <v>95</v>
      </c>
      <c r="Y19" s="234">
        <f t="shared" si="21"/>
        <v>63</v>
      </c>
      <c r="Z19" s="234">
        <f t="shared" si="22"/>
        <v>98</v>
      </c>
      <c r="AA19" s="234">
        <f t="shared" si="23"/>
        <v>70</v>
      </c>
      <c r="AB19" s="234">
        <f t="shared" si="24"/>
        <v>60</v>
      </c>
      <c r="AC19" s="70">
        <f t="shared" si="25"/>
        <v>1211</v>
      </c>
      <c r="AD19" s="71">
        <f t="shared" si="26"/>
        <v>71.235294117647058</v>
      </c>
      <c r="AE19" s="72">
        <f t="shared" si="27"/>
        <v>16</v>
      </c>
      <c r="AF19" s="73" t="s">
        <v>805</v>
      </c>
      <c r="AG19" s="73" t="s">
        <v>805</v>
      </c>
      <c r="AH19" s="73" t="s">
        <v>805</v>
      </c>
      <c r="AI19" s="74">
        <v>27</v>
      </c>
      <c r="AJ19" s="74">
        <v>0</v>
      </c>
      <c r="AK19" s="74">
        <v>10</v>
      </c>
      <c r="AL19" s="75"/>
      <c r="AN19" s="66">
        <v>10</v>
      </c>
      <c r="AO19" s="66">
        <v>18190043</v>
      </c>
      <c r="AP19" s="77" t="s">
        <v>200</v>
      </c>
      <c r="AQ19" s="68">
        <v>76.5</v>
      </c>
      <c r="AR19" s="68">
        <v>54</v>
      </c>
      <c r="AS19" s="68">
        <v>81</v>
      </c>
      <c r="AT19" s="68">
        <v>79.199999999999989</v>
      </c>
      <c r="AU19" s="68">
        <v>72.599999999999994</v>
      </c>
      <c r="AV19" s="68">
        <v>67.5</v>
      </c>
      <c r="AW19" s="68">
        <v>65.599999999999994</v>
      </c>
      <c r="AX19" s="68">
        <v>63</v>
      </c>
      <c r="AY19" s="68">
        <v>70.3</v>
      </c>
      <c r="AZ19" s="68">
        <v>76.900000000000006</v>
      </c>
      <c r="BA19" s="68">
        <v>72</v>
      </c>
      <c r="BB19" s="68">
        <v>63</v>
      </c>
      <c r="BC19" s="68">
        <v>63</v>
      </c>
      <c r="BD19" s="68">
        <v>72</v>
      </c>
      <c r="BE19" s="76">
        <v>88</v>
      </c>
      <c r="BF19" s="76">
        <v>85</v>
      </c>
      <c r="BG19" s="76">
        <v>60</v>
      </c>
      <c r="BH19" s="76"/>
      <c r="BI19" s="76"/>
      <c r="BJ19" s="240">
        <v>97.5</v>
      </c>
      <c r="BK19" s="240">
        <v>95</v>
      </c>
      <c r="BL19" s="240">
        <v>63</v>
      </c>
      <c r="BM19" s="240">
        <v>97.5</v>
      </c>
      <c r="BN19" s="240">
        <v>70</v>
      </c>
      <c r="BO19" s="240">
        <v>60</v>
      </c>
      <c r="BP19" s="70">
        <f t="shared" si="28"/>
        <v>1209.5999999999999</v>
      </c>
      <c r="BQ19" s="71">
        <f t="shared" si="29"/>
        <v>71.152941176470577</v>
      </c>
      <c r="BR19" s="72" t="e">
        <f t="shared" si="30"/>
        <v>#N/A</v>
      </c>
      <c r="BS19" s="73"/>
      <c r="BT19" s="73"/>
      <c r="BU19" s="73"/>
      <c r="BV19" s="74"/>
      <c r="BW19" s="74"/>
      <c r="BX19" s="74"/>
      <c r="BY19" s="75"/>
    </row>
    <row r="20" spans="1:77" ht="27.95" customHeight="1">
      <c r="A20" s="91">
        <v>17</v>
      </c>
      <c r="B20" s="66">
        <v>18190003</v>
      </c>
      <c r="C20" s="77" t="s">
        <v>189</v>
      </c>
      <c r="D20" s="68">
        <f t="shared" si="0"/>
        <v>77</v>
      </c>
      <c r="E20" s="68">
        <f t="shared" si="1"/>
        <v>55</v>
      </c>
      <c r="F20" s="68">
        <f t="shared" si="2"/>
        <v>81</v>
      </c>
      <c r="G20" s="68">
        <f t="shared" si="3"/>
        <v>86</v>
      </c>
      <c r="H20" s="68">
        <f t="shared" si="4"/>
        <v>86</v>
      </c>
      <c r="I20" s="68">
        <f t="shared" si="5"/>
        <v>63</v>
      </c>
      <c r="J20" s="68">
        <f t="shared" si="6"/>
        <v>67</v>
      </c>
      <c r="K20" s="68">
        <f t="shared" si="7"/>
        <v>72</v>
      </c>
      <c r="L20" s="68">
        <f t="shared" si="8"/>
        <v>70</v>
      </c>
      <c r="M20" s="68">
        <f t="shared" si="9"/>
        <v>68</v>
      </c>
      <c r="N20" s="68">
        <f t="shared" si="10"/>
        <v>64</v>
      </c>
      <c r="O20" s="68">
        <f t="shared" si="11"/>
        <v>66</v>
      </c>
      <c r="P20" s="68">
        <f t="shared" si="12"/>
        <v>65</v>
      </c>
      <c r="Q20" s="68">
        <f t="shared" si="13"/>
        <v>54</v>
      </c>
      <c r="R20" s="69">
        <f t="shared" si="14"/>
        <v>75</v>
      </c>
      <c r="S20" s="69">
        <f t="shared" si="15"/>
        <v>85</v>
      </c>
      <c r="T20" s="69">
        <f t="shared" si="16"/>
        <v>70</v>
      </c>
      <c r="U20" s="69">
        <f t="shared" si="17"/>
        <v>0</v>
      </c>
      <c r="V20" s="69">
        <f t="shared" si="18"/>
        <v>0</v>
      </c>
      <c r="W20" s="234">
        <f t="shared" si="19"/>
        <v>99</v>
      </c>
      <c r="X20" s="234">
        <f t="shared" si="20"/>
        <v>90</v>
      </c>
      <c r="Y20" s="234">
        <f t="shared" si="21"/>
        <v>72</v>
      </c>
      <c r="Z20" s="234">
        <f t="shared" si="22"/>
        <v>98</v>
      </c>
      <c r="AA20" s="234">
        <f t="shared" si="23"/>
        <v>95</v>
      </c>
      <c r="AB20" s="234">
        <f t="shared" si="24"/>
        <v>75</v>
      </c>
      <c r="AC20" s="70">
        <f t="shared" si="25"/>
        <v>1204</v>
      </c>
      <c r="AD20" s="71">
        <f t="shared" si="26"/>
        <v>70.82352941176471</v>
      </c>
      <c r="AE20" s="72">
        <f t="shared" si="27"/>
        <v>17</v>
      </c>
      <c r="AF20" s="73" t="s">
        <v>805</v>
      </c>
      <c r="AG20" s="73" t="s">
        <v>805</v>
      </c>
      <c r="AH20" s="73" t="s">
        <v>805</v>
      </c>
      <c r="AI20" s="74">
        <v>22</v>
      </c>
      <c r="AJ20" s="74">
        <v>0</v>
      </c>
      <c r="AK20" s="74">
        <v>20</v>
      </c>
      <c r="AL20" s="75"/>
      <c r="AN20" s="66">
        <v>3</v>
      </c>
      <c r="AO20" s="66">
        <v>18190003</v>
      </c>
      <c r="AP20" s="77" t="s">
        <v>189</v>
      </c>
      <c r="AQ20" s="68">
        <v>76.5</v>
      </c>
      <c r="AR20" s="68">
        <v>54.9</v>
      </c>
      <c r="AS20" s="68">
        <v>81</v>
      </c>
      <c r="AT20" s="68">
        <v>85.8</v>
      </c>
      <c r="AU20" s="68">
        <v>86.4</v>
      </c>
      <c r="AV20" s="68">
        <v>63</v>
      </c>
      <c r="AW20" s="68">
        <v>66.599999999999994</v>
      </c>
      <c r="AX20" s="68">
        <v>72</v>
      </c>
      <c r="AY20" s="68">
        <v>69.5</v>
      </c>
      <c r="AZ20" s="68">
        <v>67.900000000000006</v>
      </c>
      <c r="BA20" s="68">
        <v>63.900000000000006</v>
      </c>
      <c r="BB20" s="68">
        <v>66</v>
      </c>
      <c r="BC20" s="68">
        <v>64.5</v>
      </c>
      <c r="BD20" s="68">
        <v>54</v>
      </c>
      <c r="BE20" s="76">
        <v>75</v>
      </c>
      <c r="BF20" s="76">
        <v>85</v>
      </c>
      <c r="BG20" s="76">
        <v>70</v>
      </c>
      <c r="BH20" s="76"/>
      <c r="BI20" s="76"/>
      <c r="BJ20" s="240">
        <v>100</v>
      </c>
      <c r="BK20" s="240">
        <v>90</v>
      </c>
      <c r="BL20" s="240">
        <v>72</v>
      </c>
      <c r="BM20" s="240">
        <v>97.5</v>
      </c>
      <c r="BN20" s="240">
        <v>95</v>
      </c>
      <c r="BO20" s="240">
        <v>75</v>
      </c>
      <c r="BP20" s="70">
        <f t="shared" si="28"/>
        <v>1202</v>
      </c>
      <c r="BQ20" s="71">
        <f t="shared" si="29"/>
        <v>70.705882352941174</v>
      </c>
      <c r="BR20" s="72" t="e">
        <f t="shared" si="30"/>
        <v>#N/A</v>
      </c>
      <c r="BS20" s="73"/>
      <c r="BT20" s="73"/>
      <c r="BU20" s="73"/>
      <c r="BV20" s="74"/>
      <c r="BW20" s="74"/>
      <c r="BX20" s="74"/>
      <c r="BY20" s="75"/>
    </row>
    <row r="21" spans="1:77" ht="27.95" customHeight="1">
      <c r="A21" s="91">
        <v>18</v>
      </c>
      <c r="B21" s="66">
        <v>18190089</v>
      </c>
      <c r="C21" s="77" t="s">
        <v>192</v>
      </c>
      <c r="D21" s="68">
        <f t="shared" si="0"/>
        <v>82</v>
      </c>
      <c r="E21" s="68">
        <f t="shared" si="1"/>
        <v>55</v>
      </c>
      <c r="F21" s="68">
        <f t="shared" si="2"/>
        <v>87</v>
      </c>
      <c r="G21" s="68">
        <f t="shared" si="3"/>
        <v>84</v>
      </c>
      <c r="H21" s="68">
        <f t="shared" si="4"/>
        <v>80</v>
      </c>
      <c r="I21" s="68">
        <f t="shared" si="5"/>
        <v>73</v>
      </c>
      <c r="J21" s="68">
        <f t="shared" si="6"/>
        <v>78</v>
      </c>
      <c r="K21" s="68">
        <f t="shared" si="7"/>
        <v>64</v>
      </c>
      <c r="L21" s="68">
        <f t="shared" si="8"/>
        <v>60</v>
      </c>
      <c r="M21" s="68">
        <f t="shared" si="9"/>
        <v>74</v>
      </c>
      <c r="N21" s="68">
        <f t="shared" si="10"/>
        <v>64</v>
      </c>
      <c r="O21" s="68">
        <f t="shared" si="11"/>
        <v>64</v>
      </c>
      <c r="P21" s="68">
        <f t="shared" si="12"/>
        <v>63</v>
      </c>
      <c r="Q21" s="68">
        <f t="shared" si="13"/>
        <v>73</v>
      </c>
      <c r="R21" s="69">
        <f t="shared" si="14"/>
        <v>50</v>
      </c>
      <c r="S21" s="69">
        <f t="shared" si="15"/>
        <v>85</v>
      </c>
      <c r="T21" s="69">
        <f t="shared" si="16"/>
        <v>60</v>
      </c>
      <c r="U21" s="69">
        <f t="shared" si="17"/>
        <v>0</v>
      </c>
      <c r="V21" s="69">
        <f t="shared" si="18"/>
        <v>0</v>
      </c>
      <c r="W21" s="234">
        <f t="shared" si="19"/>
        <v>98</v>
      </c>
      <c r="X21" s="234">
        <f t="shared" si="20"/>
        <v>85</v>
      </c>
      <c r="Y21" s="234">
        <f t="shared" si="21"/>
        <v>64</v>
      </c>
      <c r="Z21" s="234">
        <f t="shared" si="22"/>
        <v>95</v>
      </c>
      <c r="AA21" s="234">
        <f t="shared" si="23"/>
        <v>70</v>
      </c>
      <c r="AB21" s="234">
        <f t="shared" si="24"/>
        <v>75</v>
      </c>
      <c r="AC21" s="70">
        <f t="shared" si="25"/>
        <v>1196</v>
      </c>
      <c r="AD21" s="71">
        <f t="shared" si="26"/>
        <v>70.352941176470594</v>
      </c>
      <c r="AE21" s="72">
        <f t="shared" si="27"/>
        <v>18</v>
      </c>
      <c r="AF21" s="73" t="s">
        <v>805</v>
      </c>
      <c r="AG21" s="73" t="s">
        <v>805</v>
      </c>
      <c r="AH21" s="73" t="s">
        <v>805</v>
      </c>
      <c r="AI21" s="74">
        <v>0</v>
      </c>
      <c r="AJ21" s="74">
        <v>0</v>
      </c>
      <c r="AK21" s="74">
        <v>0</v>
      </c>
      <c r="AL21" s="75"/>
      <c r="AN21" s="66">
        <v>23</v>
      </c>
      <c r="AO21" s="66">
        <v>18190089</v>
      </c>
      <c r="AP21" s="77" t="s">
        <v>192</v>
      </c>
      <c r="AQ21" s="68">
        <v>82</v>
      </c>
      <c r="AR21" s="68">
        <v>55</v>
      </c>
      <c r="AS21" s="68">
        <v>86.5</v>
      </c>
      <c r="AT21" s="68">
        <v>83.8</v>
      </c>
      <c r="AU21" s="68">
        <v>79.900000000000006</v>
      </c>
      <c r="AV21" s="68">
        <v>73</v>
      </c>
      <c r="AW21" s="68">
        <v>77.899999999999991</v>
      </c>
      <c r="AX21" s="68">
        <v>64</v>
      </c>
      <c r="AY21" s="68">
        <v>59.75</v>
      </c>
      <c r="AZ21" s="68">
        <v>74</v>
      </c>
      <c r="BA21" s="68">
        <v>64</v>
      </c>
      <c r="BB21" s="68">
        <v>64</v>
      </c>
      <c r="BC21" s="68">
        <v>63</v>
      </c>
      <c r="BD21" s="68">
        <v>73</v>
      </c>
      <c r="BE21" s="76">
        <v>50</v>
      </c>
      <c r="BF21" s="76">
        <v>85</v>
      </c>
      <c r="BG21" s="76">
        <v>60</v>
      </c>
      <c r="BH21" s="76"/>
      <c r="BI21" s="76"/>
      <c r="BJ21" s="240">
        <v>97.5</v>
      </c>
      <c r="BK21" s="240">
        <v>85</v>
      </c>
      <c r="BL21" s="240">
        <v>64</v>
      </c>
      <c r="BM21" s="240">
        <v>95</v>
      </c>
      <c r="BN21" s="240">
        <v>70</v>
      </c>
      <c r="BO21" s="240">
        <v>75</v>
      </c>
      <c r="BP21" s="70">
        <f t="shared" si="28"/>
        <v>1194.8499999999999</v>
      </c>
      <c r="BQ21" s="71">
        <f t="shared" si="29"/>
        <v>70.285294117647055</v>
      </c>
      <c r="BR21" s="72" t="e">
        <f t="shared" si="30"/>
        <v>#N/A</v>
      </c>
      <c r="BS21" s="73"/>
      <c r="BT21" s="73"/>
      <c r="BU21" s="73"/>
      <c r="BV21" s="74"/>
      <c r="BW21" s="74"/>
      <c r="BX21" s="74"/>
      <c r="BY21" s="75"/>
    </row>
    <row r="22" spans="1:77" ht="27.95" customHeight="1">
      <c r="A22" s="91">
        <v>19</v>
      </c>
      <c r="B22" s="91">
        <v>18190009</v>
      </c>
      <c r="C22" s="92" t="s">
        <v>187</v>
      </c>
      <c r="D22" s="68">
        <f t="shared" si="0"/>
        <v>86</v>
      </c>
      <c r="E22" s="68">
        <f t="shared" si="1"/>
        <v>54</v>
      </c>
      <c r="F22" s="68">
        <f t="shared" si="2"/>
        <v>72</v>
      </c>
      <c r="G22" s="68">
        <f t="shared" si="3"/>
        <v>86</v>
      </c>
      <c r="H22" s="68">
        <f t="shared" si="4"/>
        <v>85</v>
      </c>
      <c r="I22" s="68">
        <f t="shared" si="5"/>
        <v>72</v>
      </c>
      <c r="J22" s="68">
        <f t="shared" si="6"/>
        <v>65</v>
      </c>
      <c r="K22" s="68">
        <f t="shared" si="7"/>
        <v>60</v>
      </c>
      <c r="L22" s="68">
        <f t="shared" si="8"/>
        <v>72</v>
      </c>
      <c r="M22" s="68">
        <f t="shared" si="9"/>
        <v>78</v>
      </c>
      <c r="N22" s="68">
        <f t="shared" si="10"/>
        <v>68</v>
      </c>
      <c r="O22" s="68">
        <f t="shared" si="11"/>
        <v>63</v>
      </c>
      <c r="P22" s="68">
        <f t="shared" si="12"/>
        <v>61</v>
      </c>
      <c r="Q22" s="68">
        <f t="shared" si="13"/>
        <v>54</v>
      </c>
      <c r="R22" s="69">
        <f t="shared" si="14"/>
        <v>70</v>
      </c>
      <c r="S22" s="69">
        <f t="shared" si="15"/>
        <v>80</v>
      </c>
      <c r="T22" s="69">
        <f t="shared" si="16"/>
        <v>60</v>
      </c>
      <c r="U22" s="69">
        <f t="shared" si="17"/>
        <v>0</v>
      </c>
      <c r="V22" s="69">
        <f t="shared" si="18"/>
        <v>0</v>
      </c>
      <c r="W22" s="234">
        <f t="shared" si="19"/>
        <v>93</v>
      </c>
      <c r="X22" s="234">
        <f t="shared" si="20"/>
        <v>90</v>
      </c>
      <c r="Y22" s="234">
        <f t="shared" si="21"/>
        <v>60</v>
      </c>
      <c r="Z22" s="234">
        <f t="shared" si="22"/>
        <v>95</v>
      </c>
      <c r="AA22" s="234">
        <f t="shared" si="23"/>
        <v>85</v>
      </c>
      <c r="AB22" s="234">
        <f t="shared" si="24"/>
        <v>63</v>
      </c>
      <c r="AC22" s="70">
        <f t="shared" si="25"/>
        <v>1186</v>
      </c>
      <c r="AD22" s="71">
        <f t="shared" si="26"/>
        <v>69.764705882352942</v>
      </c>
      <c r="AE22" s="72">
        <f t="shared" si="27"/>
        <v>19</v>
      </c>
      <c r="AF22" s="73" t="s">
        <v>805</v>
      </c>
      <c r="AG22" s="73" t="s">
        <v>805</v>
      </c>
      <c r="AH22" s="73" t="s">
        <v>805</v>
      </c>
      <c r="AI22" s="74">
        <v>35</v>
      </c>
      <c r="AJ22" s="74">
        <v>24</v>
      </c>
      <c r="AK22" s="74">
        <v>3</v>
      </c>
      <c r="AL22" s="75"/>
      <c r="AN22" s="66">
        <v>6</v>
      </c>
      <c r="AO22" s="66">
        <v>18190009</v>
      </c>
      <c r="AP22" s="77" t="s">
        <v>187</v>
      </c>
      <c r="AQ22" s="68">
        <v>85.5</v>
      </c>
      <c r="AR22" s="68">
        <v>54</v>
      </c>
      <c r="AS22" s="68">
        <v>72</v>
      </c>
      <c r="AT22" s="68">
        <v>85.8</v>
      </c>
      <c r="AU22" s="68">
        <v>85.199999999999989</v>
      </c>
      <c r="AV22" s="68">
        <v>72</v>
      </c>
      <c r="AW22" s="68">
        <v>64.900000000000006</v>
      </c>
      <c r="AX22" s="68">
        <v>60</v>
      </c>
      <c r="AY22" s="68">
        <v>72.399999999999991</v>
      </c>
      <c r="AZ22" s="68">
        <v>78.400000000000006</v>
      </c>
      <c r="BA22" s="68">
        <v>67.5</v>
      </c>
      <c r="BB22" s="68">
        <v>63</v>
      </c>
      <c r="BC22" s="68">
        <v>60.5</v>
      </c>
      <c r="BD22" s="68">
        <v>54</v>
      </c>
      <c r="BE22" s="76">
        <v>70</v>
      </c>
      <c r="BF22" s="76">
        <v>80</v>
      </c>
      <c r="BG22" s="76">
        <v>60</v>
      </c>
      <c r="BH22" s="76"/>
      <c r="BI22" s="76"/>
      <c r="BJ22" s="240">
        <v>92.5</v>
      </c>
      <c r="BK22" s="240">
        <v>90</v>
      </c>
      <c r="BL22" s="240">
        <v>60</v>
      </c>
      <c r="BM22" s="240">
        <v>95</v>
      </c>
      <c r="BN22" s="240">
        <v>85</v>
      </c>
      <c r="BO22" s="240">
        <v>62.5</v>
      </c>
      <c r="BP22" s="70">
        <f t="shared" si="28"/>
        <v>1185.1999999999998</v>
      </c>
      <c r="BQ22" s="71">
        <f t="shared" si="29"/>
        <v>69.717647058823516</v>
      </c>
      <c r="BR22" s="72" t="e">
        <f t="shared" si="30"/>
        <v>#N/A</v>
      </c>
      <c r="BS22" s="73"/>
      <c r="BT22" s="73"/>
      <c r="BU22" s="73"/>
      <c r="BV22" s="74"/>
      <c r="BW22" s="74"/>
      <c r="BX22" s="74"/>
      <c r="BY22" s="75"/>
    </row>
    <row r="23" spans="1:77" ht="27.95" customHeight="1">
      <c r="A23" s="91">
        <v>20</v>
      </c>
      <c r="B23" s="66">
        <v>18190099</v>
      </c>
      <c r="C23" s="77" t="s">
        <v>197</v>
      </c>
      <c r="D23" s="68">
        <f t="shared" si="0"/>
        <v>73</v>
      </c>
      <c r="E23" s="68">
        <f t="shared" si="1"/>
        <v>78</v>
      </c>
      <c r="F23" s="68">
        <f t="shared" si="2"/>
        <v>78</v>
      </c>
      <c r="G23" s="68">
        <f t="shared" si="3"/>
        <v>92</v>
      </c>
      <c r="H23" s="68">
        <f t="shared" si="4"/>
        <v>76</v>
      </c>
      <c r="I23" s="68">
        <f t="shared" si="5"/>
        <v>73</v>
      </c>
      <c r="J23" s="68">
        <f t="shared" si="6"/>
        <v>69</v>
      </c>
      <c r="K23" s="68">
        <f t="shared" si="7"/>
        <v>64</v>
      </c>
      <c r="L23" s="68">
        <f t="shared" si="8"/>
        <v>61</v>
      </c>
      <c r="M23" s="68">
        <f t="shared" si="9"/>
        <v>76</v>
      </c>
      <c r="N23" s="68">
        <f t="shared" si="10"/>
        <v>70</v>
      </c>
      <c r="O23" s="68">
        <f t="shared" si="11"/>
        <v>64</v>
      </c>
      <c r="P23" s="68">
        <f t="shared" si="12"/>
        <v>67</v>
      </c>
      <c r="Q23" s="68">
        <f t="shared" si="13"/>
        <v>55</v>
      </c>
      <c r="R23" s="69">
        <f t="shared" si="14"/>
        <v>45</v>
      </c>
      <c r="S23" s="69">
        <f t="shared" si="15"/>
        <v>80</v>
      </c>
      <c r="T23" s="69">
        <f t="shared" si="16"/>
        <v>60</v>
      </c>
      <c r="U23" s="69">
        <f t="shared" si="17"/>
        <v>0</v>
      </c>
      <c r="V23" s="69">
        <f t="shared" si="18"/>
        <v>0</v>
      </c>
      <c r="W23" s="234">
        <f t="shared" si="19"/>
        <v>98</v>
      </c>
      <c r="X23" s="234">
        <f t="shared" si="20"/>
        <v>78</v>
      </c>
      <c r="Y23" s="234">
        <f t="shared" si="21"/>
        <v>64</v>
      </c>
      <c r="Z23" s="234">
        <f t="shared" si="22"/>
        <v>93</v>
      </c>
      <c r="AA23" s="234">
        <f t="shared" si="23"/>
        <v>80</v>
      </c>
      <c r="AB23" s="234">
        <f t="shared" si="24"/>
        <v>80</v>
      </c>
      <c r="AC23" s="70">
        <f t="shared" si="25"/>
        <v>1181</v>
      </c>
      <c r="AD23" s="71">
        <f t="shared" si="26"/>
        <v>69.470588235294116</v>
      </c>
      <c r="AE23" s="72">
        <f t="shared" si="27"/>
        <v>20</v>
      </c>
      <c r="AF23" s="73" t="s">
        <v>805</v>
      </c>
      <c r="AG23" s="73" t="s">
        <v>805</v>
      </c>
      <c r="AH23" s="73" t="s">
        <v>805</v>
      </c>
      <c r="AI23" s="74">
        <v>0</v>
      </c>
      <c r="AJ23" s="74">
        <v>0</v>
      </c>
      <c r="AK23" s="74">
        <v>0</v>
      </c>
      <c r="AL23" s="75"/>
      <c r="AN23" s="66">
        <v>26</v>
      </c>
      <c r="AO23" s="66">
        <v>18190099</v>
      </c>
      <c r="AP23" s="77" t="s">
        <v>197</v>
      </c>
      <c r="AQ23" s="68">
        <v>73</v>
      </c>
      <c r="AR23" s="68">
        <v>77.5</v>
      </c>
      <c r="AS23" s="68">
        <v>77.5</v>
      </c>
      <c r="AT23" s="68">
        <v>91.6</v>
      </c>
      <c r="AU23" s="68">
        <v>76</v>
      </c>
      <c r="AV23" s="68">
        <v>73</v>
      </c>
      <c r="AW23" s="68">
        <v>69.400000000000006</v>
      </c>
      <c r="AX23" s="68">
        <v>64</v>
      </c>
      <c r="AY23" s="68">
        <v>61</v>
      </c>
      <c r="AZ23" s="68">
        <v>76</v>
      </c>
      <c r="BA23" s="68">
        <v>70.3</v>
      </c>
      <c r="BB23" s="68">
        <v>64</v>
      </c>
      <c r="BC23" s="68">
        <v>67</v>
      </c>
      <c r="BD23" s="68">
        <v>55</v>
      </c>
      <c r="BE23" s="76">
        <v>45</v>
      </c>
      <c r="BF23" s="76">
        <v>80</v>
      </c>
      <c r="BG23" s="76">
        <v>60</v>
      </c>
      <c r="BH23" s="76"/>
      <c r="BI23" s="76"/>
      <c r="BJ23" s="240">
        <v>97.5</v>
      </c>
      <c r="BK23" s="240">
        <v>77.5</v>
      </c>
      <c r="BL23" s="240">
        <v>64</v>
      </c>
      <c r="BM23" s="240">
        <v>92.5</v>
      </c>
      <c r="BN23" s="240">
        <v>80</v>
      </c>
      <c r="BO23" s="240">
        <v>80</v>
      </c>
      <c r="BP23" s="70">
        <f t="shared" si="28"/>
        <v>1180.3</v>
      </c>
      <c r="BQ23" s="71">
        <f t="shared" si="29"/>
        <v>69.429411764705875</v>
      </c>
      <c r="BR23" s="72" t="e">
        <f t="shared" si="30"/>
        <v>#N/A</v>
      </c>
      <c r="BS23" s="73"/>
      <c r="BT23" s="73"/>
      <c r="BU23" s="73"/>
      <c r="BV23" s="74"/>
      <c r="BW23" s="74"/>
      <c r="BX23" s="74"/>
      <c r="BY23" s="75"/>
    </row>
    <row r="24" spans="1:77" ht="27.95" customHeight="1">
      <c r="A24" s="91">
        <v>21</v>
      </c>
      <c r="B24" s="91">
        <v>18190020</v>
      </c>
      <c r="C24" s="92" t="s">
        <v>186</v>
      </c>
      <c r="D24" s="68">
        <f t="shared" si="0"/>
        <v>76</v>
      </c>
      <c r="E24" s="68">
        <f t="shared" si="1"/>
        <v>53</v>
      </c>
      <c r="F24" s="68">
        <f t="shared" si="2"/>
        <v>80</v>
      </c>
      <c r="G24" s="68">
        <f t="shared" si="3"/>
        <v>80</v>
      </c>
      <c r="H24" s="68">
        <f t="shared" si="4"/>
        <v>72</v>
      </c>
      <c r="I24" s="68">
        <f t="shared" si="5"/>
        <v>71</v>
      </c>
      <c r="J24" s="68">
        <f t="shared" si="6"/>
        <v>73</v>
      </c>
      <c r="K24" s="68">
        <f t="shared" si="7"/>
        <v>68</v>
      </c>
      <c r="L24" s="68">
        <f t="shared" si="8"/>
        <v>65</v>
      </c>
      <c r="M24" s="68">
        <f t="shared" si="9"/>
        <v>75</v>
      </c>
      <c r="N24" s="68">
        <f t="shared" si="10"/>
        <v>58</v>
      </c>
      <c r="O24" s="68">
        <f t="shared" si="11"/>
        <v>62</v>
      </c>
      <c r="P24" s="68">
        <f t="shared" si="12"/>
        <v>65</v>
      </c>
      <c r="Q24" s="68">
        <f t="shared" si="13"/>
        <v>62</v>
      </c>
      <c r="R24" s="69">
        <f t="shared" si="14"/>
        <v>60</v>
      </c>
      <c r="S24" s="69">
        <f t="shared" si="15"/>
        <v>85</v>
      </c>
      <c r="T24" s="69">
        <f t="shared" si="16"/>
        <v>60</v>
      </c>
      <c r="U24" s="69">
        <f t="shared" si="17"/>
        <v>0</v>
      </c>
      <c r="V24" s="69">
        <f t="shared" si="18"/>
        <v>0</v>
      </c>
      <c r="W24" s="234">
        <f t="shared" si="19"/>
        <v>99</v>
      </c>
      <c r="X24" s="234">
        <f t="shared" si="20"/>
        <v>88</v>
      </c>
      <c r="Y24" s="234">
        <f t="shared" si="21"/>
        <v>68</v>
      </c>
      <c r="Z24" s="234">
        <f t="shared" si="22"/>
        <v>98</v>
      </c>
      <c r="AA24" s="234">
        <f t="shared" si="23"/>
        <v>83</v>
      </c>
      <c r="AB24" s="234">
        <f t="shared" si="24"/>
        <v>65</v>
      </c>
      <c r="AC24" s="70">
        <f t="shared" si="25"/>
        <v>1165</v>
      </c>
      <c r="AD24" s="71">
        <f t="shared" si="26"/>
        <v>68.529411764705884</v>
      </c>
      <c r="AE24" s="72">
        <f t="shared" si="27"/>
        <v>21</v>
      </c>
      <c r="AF24" s="73" t="s">
        <v>805</v>
      </c>
      <c r="AG24" s="73" t="s">
        <v>805</v>
      </c>
      <c r="AH24" s="73" t="s">
        <v>805</v>
      </c>
      <c r="AI24" s="74">
        <v>29</v>
      </c>
      <c r="AJ24" s="74">
        <v>45</v>
      </c>
      <c r="AK24" s="74">
        <v>19</v>
      </c>
      <c r="AL24" s="75"/>
      <c r="AN24" s="66">
        <v>9</v>
      </c>
      <c r="AO24" s="66">
        <v>18190020</v>
      </c>
      <c r="AP24" s="79" t="s">
        <v>186</v>
      </c>
      <c r="AQ24" s="68">
        <v>75.5</v>
      </c>
      <c r="AR24" s="68">
        <v>53</v>
      </c>
      <c r="AS24" s="68">
        <v>80</v>
      </c>
      <c r="AT24" s="68">
        <v>80</v>
      </c>
      <c r="AU24" s="68">
        <v>71.599999999999994</v>
      </c>
      <c r="AV24" s="68">
        <v>71</v>
      </c>
      <c r="AW24" s="68">
        <v>73.099999999999994</v>
      </c>
      <c r="AX24" s="68">
        <v>68</v>
      </c>
      <c r="AY24" s="68">
        <v>65</v>
      </c>
      <c r="AZ24" s="68">
        <v>75.400000000000006</v>
      </c>
      <c r="BA24" s="68">
        <v>58.400000000000006</v>
      </c>
      <c r="BB24" s="68">
        <v>62</v>
      </c>
      <c r="BC24" s="68">
        <v>65</v>
      </c>
      <c r="BD24" s="68">
        <v>62</v>
      </c>
      <c r="BE24" s="76">
        <v>60</v>
      </c>
      <c r="BF24" s="76">
        <v>85</v>
      </c>
      <c r="BG24" s="76">
        <v>60</v>
      </c>
      <c r="BH24" s="76"/>
      <c r="BI24" s="76"/>
      <c r="BJ24" s="240">
        <v>100</v>
      </c>
      <c r="BK24" s="240">
        <v>87.5</v>
      </c>
      <c r="BL24" s="240">
        <v>68</v>
      </c>
      <c r="BM24" s="240">
        <v>97.5</v>
      </c>
      <c r="BN24" s="240">
        <v>82.5</v>
      </c>
      <c r="BO24" s="240">
        <v>65</v>
      </c>
      <c r="BP24" s="70">
        <f t="shared" si="28"/>
        <v>1165</v>
      </c>
      <c r="BQ24" s="71">
        <f t="shared" si="29"/>
        <v>68.529411764705884</v>
      </c>
      <c r="BR24" s="72">
        <f t="shared" si="30"/>
        <v>21</v>
      </c>
      <c r="BS24" s="73"/>
      <c r="BT24" s="73"/>
      <c r="BU24" s="73"/>
      <c r="BV24" s="74"/>
      <c r="BW24" s="74"/>
      <c r="BX24" s="74"/>
      <c r="BY24" s="75"/>
    </row>
    <row r="25" spans="1:77" ht="27.95" customHeight="1">
      <c r="A25" s="91">
        <v>22</v>
      </c>
      <c r="B25" s="91">
        <v>18190066</v>
      </c>
      <c r="C25" s="92" t="s">
        <v>191</v>
      </c>
      <c r="D25" s="68">
        <f t="shared" si="0"/>
        <v>91</v>
      </c>
      <c r="E25" s="68">
        <f t="shared" si="1"/>
        <v>55</v>
      </c>
      <c r="F25" s="68">
        <f t="shared" si="2"/>
        <v>78</v>
      </c>
      <c r="G25" s="68">
        <f t="shared" si="3"/>
        <v>85</v>
      </c>
      <c r="H25" s="68">
        <f t="shared" si="4"/>
        <v>81</v>
      </c>
      <c r="I25" s="68">
        <f t="shared" si="5"/>
        <v>64</v>
      </c>
      <c r="J25" s="68">
        <f t="shared" si="6"/>
        <v>67</v>
      </c>
      <c r="K25" s="68">
        <f t="shared" si="7"/>
        <v>64</v>
      </c>
      <c r="L25" s="68">
        <f t="shared" si="8"/>
        <v>63</v>
      </c>
      <c r="M25" s="68">
        <f t="shared" si="9"/>
        <v>77</v>
      </c>
      <c r="N25" s="68">
        <f t="shared" si="10"/>
        <v>51</v>
      </c>
      <c r="O25" s="68">
        <f t="shared" si="11"/>
        <v>58</v>
      </c>
      <c r="P25" s="68">
        <f t="shared" si="12"/>
        <v>67</v>
      </c>
      <c r="Q25" s="68">
        <f t="shared" si="13"/>
        <v>55</v>
      </c>
      <c r="R25" s="69">
        <f t="shared" si="14"/>
        <v>60</v>
      </c>
      <c r="S25" s="69">
        <f t="shared" si="15"/>
        <v>75</v>
      </c>
      <c r="T25" s="69">
        <f t="shared" si="16"/>
        <v>60</v>
      </c>
      <c r="U25" s="69">
        <f t="shared" si="17"/>
        <v>0</v>
      </c>
      <c r="V25" s="69">
        <f t="shared" si="18"/>
        <v>0</v>
      </c>
      <c r="W25" s="234">
        <f t="shared" si="19"/>
        <v>78</v>
      </c>
      <c r="X25" s="234">
        <f t="shared" si="20"/>
        <v>90</v>
      </c>
      <c r="Y25" s="234">
        <f t="shared" si="21"/>
        <v>64</v>
      </c>
      <c r="Z25" s="234">
        <f t="shared" si="22"/>
        <v>95</v>
      </c>
      <c r="AA25" s="234">
        <f t="shared" si="23"/>
        <v>80</v>
      </c>
      <c r="AB25" s="234">
        <f t="shared" si="24"/>
        <v>80</v>
      </c>
      <c r="AC25" s="70">
        <f t="shared" si="25"/>
        <v>1151</v>
      </c>
      <c r="AD25" s="71">
        <f t="shared" si="26"/>
        <v>67.705882352941174</v>
      </c>
      <c r="AE25" s="72">
        <f t="shared" si="27"/>
        <v>22</v>
      </c>
      <c r="AF25" s="73" t="s">
        <v>805</v>
      </c>
      <c r="AG25" s="73" t="s">
        <v>805</v>
      </c>
      <c r="AH25" s="73" t="s">
        <v>805</v>
      </c>
      <c r="AI25" s="74">
        <v>0</v>
      </c>
      <c r="AJ25" s="74">
        <v>0</v>
      </c>
      <c r="AK25" s="74">
        <v>1</v>
      </c>
      <c r="AL25" s="75"/>
      <c r="AN25" s="66">
        <v>15</v>
      </c>
      <c r="AO25" s="66">
        <v>18190066</v>
      </c>
      <c r="AP25" s="77" t="s">
        <v>191</v>
      </c>
      <c r="AQ25" s="68">
        <v>91</v>
      </c>
      <c r="AR25" s="68">
        <v>55</v>
      </c>
      <c r="AS25" s="68">
        <v>77.5</v>
      </c>
      <c r="AT25" s="68">
        <v>84.55</v>
      </c>
      <c r="AU25" s="68">
        <v>80.8</v>
      </c>
      <c r="AV25" s="68">
        <v>64</v>
      </c>
      <c r="AW25" s="68">
        <v>66.599999999999994</v>
      </c>
      <c r="AX25" s="68">
        <v>64</v>
      </c>
      <c r="AY25" s="68">
        <v>62.5</v>
      </c>
      <c r="AZ25" s="68">
        <v>76.5</v>
      </c>
      <c r="BA25" s="68">
        <v>50.5</v>
      </c>
      <c r="BB25" s="68">
        <v>58</v>
      </c>
      <c r="BC25" s="68">
        <v>67</v>
      </c>
      <c r="BD25" s="68">
        <v>55</v>
      </c>
      <c r="BE25" s="76">
        <v>60</v>
      </c>
      <c r="BF25" s="76">
        <v>75</v>
      </c>
      <c r="BG25" s="76">
        <v>60</v>
      </c>
      <c r="BH25" s="76"/>
      <c r="BI25" s="76"/>
      <c r="BJ25" s="240">
        <v>77.5</v>
      </c>
      <c r="BK25" s="240">
        <v>90</v>
      </c>
      <c r="BL25" s="240">
        <v>64</v>
      </c>
      <c r="BM25" s="240">
        <v>95</v>
      </c>
      <c r="BN25" s="240">
        <v>80</v>
      </c>
      <c r="BO25" s="240">
        <v>80</v>
      </c>
      <c r="BP25" s="70">
        <f t="shared" si="28"/>
        <v>1147.95</v>
      </c>
      <c r="BQ25" s="71">
        <f t="shared" si="29"/>
        <v>67.526470588235298</v>
      </c>
      <c r="BR25" s="72" t="e">
        <f t="shared" si="30"/>
        <v>#N/A</v>
      </c>
      <c r="BS25" s="73"/>
      <c r="BT25" s="73"/>
      <c r="BU25" s="73"/>
      <c r="BV25" s="74"/>
      <c r="BW25" s="74"/>
      <c r="BX25" s="74"/>
      <c r="BY25" s="75"/>
    </row>
    <row r="26" spans="1:77" ht="27.95" customHeight="1">
      <c r="A26" s="66">
        <v>23</v>
      </c>
      <c r="B26" s="91">
        <v>18190053</v>
      </c>
      <c r="C26" s="92" t="s">
        <v>188</v>
      </c>
      <c r="D26" s="68">
        <f t="shared" si="0"/>
        <v>89</v>
      </c>
      <c r="E26" s="68">
        <f t="shared" si="1"/>
        <v>53</v>
      </c>
      <c r="F26" s="68">
        <f t="shared" si="2"/>
        <v>80</v>
      </c>
      <c r="G26" s="68">
        <f t="shared" si="3"/>
        <v>74</v>
      </c>
      <c r="H26" s="68">
        <f t="shared" si="4"/>
        <v>84</v>
      </c>
      <c r="I26" s="68">
        <f t="shared" si="5"/>
        <v>71</v>
      </c>
      <c r="J26" s="68">
        <f t="shared" si="6"/>
        <v>53</v>
      </c>
      <c r="K26" s="68">
        <f t="shared" si="7"/>
        <v>68</v>
      </c>
      <c r="L26" s="68">
        <f t="shared" si="8"/>
        <v>52</v>
      </c>
      <c r="M26" s="68">
        <f t="shared" si="9"/>
        <v>73</v>
      </c>
      <c r="N26" s="68">
        <f t="shared" si="10"/>
        <v>53</v>
      </c>
      <c r="O26" s="68">
        <f t="shared" si="11"/>
        <v>62</v>
      </c>
      <c r="P26" s="68">
        <f t="shared" si="12"/>
        <v>65</v>
      </c>
      <c r="Q26" s="68">
        <f t="shared" si="13"/>
        <v>71</v>
      </c>
      <c r="R26" s="69">
        <f t="shared" si="14"/>
        <v>45</v>
      </c>
      <c r="S26" s="69">
        <f t="shared" si="15"/>
        <v>80</v>
      </c>
      <c r="T26" s="69">
        <f t="shared" si="16"/>
        <v>60</v>
      </c>
      <c r="U26" s="69">
        <f t="shared" si="17"/>
        <v>0</v>
      </c>
      <c r="V26" s="69">
        <f t="shared" si="18"/>
        <v>0</v>
      </c>
      <c r="W26" s="234">
        <f t="shared" si="19"/>
        <v>95</v>
      </c>
      <c r="X26" s="234">
        <f t="shared" si="20"/>
        <v>88</v>
      </c>
      <c r="Y26" s="234">
        <f t="shared" si="21"/>
        <v>68</v>
      </c>
      <c r="Z26" s="234">
        <f t="shared" si="22"/>
        <v>90</v>
      </c>
      <c r="AA26" s="234">
        <f t="shared" si="23"/>
        <v>85</v>
      </c>
      <c r="AB26" s="234">
        <f t="shared" si="24"/>
        <v>80</v>
      </c>
      <c r="AC26" s="70">
        <f t="shared" si="25"/>
        <v>1133</v>
      </c>
      <c r="AD26" s="71">
        <f t="shared" si="26"/>
        <v>66.647058823529406</v>
      </c>
      <c r="AE26" s="72">
        <f t="shared" si="27"/>
        <v>23</v>
      </c>
      <c r="AF26" s="73" t="s">
        <v>805</v>
      </c>
      <c r="AG26" s="73" t="s">
        <v>805</v>
      </c>
      <c r="AH26" s="73" t="s">
        <v>805</v>
      </c>
      <c r="AI26" s="74">
        <v>39</v>
      </c>
      <c r="AJ26" s="74">
        <v>0</v>
      </c>
      <c r="AK26" s="74">
        <v>19</v>
      </c>
      <c r="AL26" s="75"/>
      <c r="AN26" s="66">
        <v>21</v>
      </c>
      <c r="AO26" s="66">
        <v>18190053</v>
      </c>
      <c r="AP26" s="78" t="s">
        <v>188</v>
      </c>
      <c r="AQ26" s="68">
        <v>89</v>
      </c>
      <c r="AR26" s="68">
        <v>53</v>
      </c>
      <c r="AS26" s="68">
        <v>80</v>
      </c>
      <c r="AT26" s="68">
        <v>74</v>
      </c>
      <c r="AU26" s="68">
        <v>83.6</v>
      </c>
      <c r="AV26" s="68">
        <v>71</v>
      </c>
      <c r="AW26" s="68">
        <v>52.7</v>
      </c>
      <c r="AX26" s="68">
        <v>68</v>
      </c>
      <c r="AY26" s="68">
        <v>52.2</v>
      </c>
      <c r="AZ26" s="68">
        <v>72.5</v>
      </c>
      <c r="BA26" s="68">
        <v>53</v>
      </c>
      <c r="BB26" s="68">
        <v>62</v>
      </c>
      <c r="BC26" s="68">
        <v>65</v>
      </c>
      <c r="BD26" s="68">
        <v>71</v>
      </c>
      <c r="BE26" s="76">
        <v>45</v>
      </c>
      <c r="BF26" s="76">
        <v>80</v>
      </c>
      <c r="BG26" s="76">
        <v>60</v>
      </c>
      <c r="BH26" s="76"/>
      <c r="BI26" s="76"/>
      <c r="BJ26" s="240">
        <v>95</v>
      </c>
      <c r="BK26" s="240">
        <v>87.5</v>
      </c>
      <c r="BL26" s="240">
        <v>68</v>
      </c>
      <c r="BM26" s="240">
        <v>90</v>
      </c>
      <c r="BN26" s="240">
        <v>85</v>
      </c>
      <c r="BO26" s="240">
        <v>80</v>
      </c>
      <c r="BP26" s="70">
        <f t="shared" si="28"/>
        <v>1132</v>
      </c>
      <c r="BQ26" s="71">
        <f t="shared" si="29"/>
        <v>66.588235294117652</v>
      </c>
      <c r="BR26" s="72" t="e">
        <f t="shared" si="30"/>
        <v>#N/A</v>
      </c>
      <c r="BS26" s="73"/>
      <c r="BT26" s="73"/>
      <c r="BU26" s="73"/>
      <c r="BV26" s="74"/>
      <c r="BW26" s="74"/>
      <c r="BX26" s="74"/>
      <c r="BY26" s="75"/>
    </row>
    <row r="27" spans="1:77" ht="27.95" customHeight="1">
      <c r="A27" s="66">
        <v>24</v>
      </c>
      <c r="B27" s="66">
        <v>18190002</v>
      </c>
      <c r="C27" s="77" t="s">
        <v>199</v>
      </c>
      <c r="D27" s="68">
        <f t="shared" si="0"/>
        <v>80</v>
      </c>
      <c r="E27" s="68">
        <f t="shared" si="1"/>
        <v>53</v>
      </c>
      <c r="F27" s="68">
        <f t="shared" si="2"/>
        <v>71</v>
      </c>
      <c r="G27" s="68">
        <f t="shared" si="3"/>
        <v>85</v>
      </c>
      <c r="H27" s="68">
        <f t="shared" si="4"/>
        <v>75</v>
      </c>
      <c r="I27" s="68">
        <f t="shared" si="5"/>
        <v>62</v>
      </c>
      <c r="J27" s="68">
        <f t="shared" si="6"/>
        <v>60</v>
      </c>
      <c r="K27" s="68">
        <f t="shared" si="7"/>
        <v>68</v>
      </c>
      <c r="L27" s="68">
        <f t="shared" si="8"/>
        <v>68</v>
      </c>
      <c r="M27" s="68">
        <f t="shared" si="9"/>
        <v>68</v>
      </c>
      <c r="N27" s="68">
        <f t="shared" si="10"/>
        <v>63</v>
      </c>
      <c r="O27" s="68">
        <f t="shared" si="11"/>
        <v>62</v>
      </c>
      <c r="P27" s="68">
        <f t="shared" si="12"/>
        <v>62</v>
      </c>
      <c r="Q27" s="68">
        <f t="shared" si="13"/>
        <v>53</v>
      </c>
      <c r="R27" s="69">
        <f t="shared" si="14"/>
        <v>70</v>
      </c>
      <c r="S27" s="69">
        <f t="shared" si="15"/>
        <v>60</v>
      </c>
      <c r="T27" s="69">
        <f t="shared" si="16"/>
        <v>60</v>
      </c>
      <c r="U27" s="69">
        <f t="shared" si="17"/>
        <v>0</v>
      </c>
      <c r="V27" s="69">
        <f t="shared" si="18"/>
        <v>0</v>
      </c>
      <c r="W27" s="234">
        <f t="shared" si="19"/>
        <v>99</v>
      </c>
      <c r="X27" s="234">
        <f t="shared" si="20"/>
        <v>88</v>
      </c>
      <c r="Y27" s="234">
        <f t="shared" si="21"/>
        <v>68</v>
      </c>
      <c r="Z27" s="234">
        <f t="shared" si="22"/>
        <v>98</v>
      </c>
      <c r="AA27" s="234">
        <f t="shared" si="23"/>
        <v>83</v>
      </c>
      <c r="AB27" s="234">
        <f t="shared" si="24"/>
        <v>78</v>
      </c>
      <c r="AC27" s="70">
        <f t="shared" si="25"/>
        <v>1120</v>
      </c>
      <c r="AD27" s="71">
        <f t="shared" si="26"/>
        <v>65.882352941176464</v>
      </c>
      <c r="AE27" s="72">
        <f t="shared" si="27"/>
        <v>24</v>
      </c>
      <c r="AF27" s="73" t="s">
        <v>805</v>
      </c>
      <c r="AG27" s="73" t="s">
        <v>805</v>
      </c>
      <c r="AH27" s="73" t="s">
        <v>805</v>
      </c>
      <c r="AI27" s="74">
        <v>56</v>
      </c>
      <c r="AJ27" s="74">
        <v>0</v>
      </c>
      <c r="AK27" s="74">
        <v>43</v>
      </c>
      <c r="AL27" s="75"/>
      <c r="AN27" s="66">
        <v>1</v>
      </c>
      <c r="AO27" s="66">
        <v>18190002</v>
      </c>
      <c r="AP27" s="67" t="s">
        <v>199</v>
      </c>
      <c r="AQ27" s="68">
        <v>80</v>
      </c>
      <c r="AR27" s="68">
        <v>53</v>
      </c>
      <c r="AS27" s="68">
        <v>71</v>
      </c>
      <c r="AT27" s="68">
        <v>84.8</v>
      </c>
      <c r="AU27" s="68">
        <v>74.599999999999994</v>
      </c>
      <c r="AV27" s="68">
        <v>62</v>
      </c>
      <c r="AW27" s="68">
        <v>60.4</v>
      </c>
      <c r="AX27" s="68">
        <v>68</v>
      </c>
      <c r="AY27" s="68">
        <v>67.8</v>
      </c>
      <c r="AZ27" s="68">
        <v>67.900000000000006</v>
      </c>
      <c r="BA27" s="68">
        <v>62.900000000000006</v>
      </c>
      <c r="BB27" s="68">
        <v>62</v>
      </c>
      <c r="BC27" s="68">
        <v>62</v>
      </c>
      <c r="BD27" s="68">
        <v>53</v>
      </c>
      <c r="BE27" s="76">
        <v>70</v>
      </c>
      <c r="BF27" s="76">
        <v>60</v>
      </c>
      <c r="BG27" s="76">
        <v>60</v>
      </c>
      <c r="BH27" s="76"/>
      <c r="BI27" s="76"/>
      <c r="BJ27" s="240">
        <v>100</v>
      </c>
      <c r="BK27" s="240">
        <v>87.5</v>
      </c>
      <c r="BL27" s="240">
        <v>68</v>
      </c>
      <c r="BM27" s="240">
        <v>97.5</v>
      </c>
      <c r="BN27" s="240">
        <v>82.5</v>
      </c>
      <c r="BO27" s="240">
        <v>77.5</v>
      </c>
      <c r="BP27" s="70">
        <f t="shared" si="28"/>
        <v>1119.3999999999999</v>
      </c>
      <c r="BQ27" s="71">
        <f t="shared" si="29"/>
        <v>65.847058823529409</v>
      </c>
      <c r="BR27" s="72" t="e">
        <f t="shared" si="30"/>
        <v>#N/A</v>
      </c>
      <c r="BS27" s="73"/>
      <c r="BT27" s="73"/>
      <c r="BU27" s="73"/>
      <c r="BV27" s="74"/>
      <c r="BW27" s="74"/>
      <c r="BX27" s="74"/>
      <c r="BY27" s="75"/>
    </row>
    <row r="28" spans="1:77" ht="27.95" customHeight="1">
      <c r="A28" s="66">
        <v>25</v>
      </c>
      <c r="B28" s="91">
        <v>18190012</v>
      </c>
      <c r="C28" s="92" t="s">
        <v>201</v>
      </c>
      <c r="D28" s="68">
        <f t="shared" si="0"/>
        <v>76</v>
      </c>
      <c r="E28" s="68">
        <f t="shared" si="1"/>
        <v>53</v>
      </c>
      <c r="F28" s="68">
        <f t="shared" si="2"/>
        <v>80</v>
      </c>
      <c r="G28" s="68">
        <f t="shared" si="3"/>
        <v>79</v>
      </c>
      <c r="H28" s="68">
        <f t="shared" si="4"/>
        <v>73</v>
      </c>
      <c r="I28" s="68">
        <f t="shared" si="5"/>
        <v>62</v>
      </c>
      <c r="J28" s="68">
        <f t="shared" si="6"/>
        <v>66</v>
      </c>
      <c r="K28" s="68">
        <f t="shared" si="7"/>
        <v>62</v>
      </c>
      <c r="L28" s="68">
        <f t="shared" si="8"/>
        <v>58</v>
      </c>
      <c r="M28" s="68">
        <f t="shared" si="9"/>
        <v>67</v>
      </c>
      <c r="N28" s="68">
        <f t="shared" si="10"/>
        <v>62</v>
      </c>
      <c r="O28" s="68">
        <f t="shared" si="11"/>
        <v>62</v>
      </c>
      <c r="P28" s="68">
        <f t="shared" si="12"/>
        <v>61</v>
      </c>
      <c r="Q28" s="68">
        <f t="shared" si="13"/>
        <v>53</v>
      </c>
      <c r="R28" s="69">
        <f t="shared" si="14"/>
        <v>60</v>
      </c>
      <c r="S28" s="69">
        <f t="shared" si="15"/>
        <v>80</v>
      </c>
      <c r="T28" s="69">
        <f t="shared" si="16"/>
        <v>60</v>
      </c>
      <c r="U28" s="69">
        <f t="shared" si="17"/>
        <v>0</v>
      </c>
      <c r="V28" s="69">
        <f t="shared" si="18"/>
        <v>0</v>
      </c>
      <c r="W28" s="234">
        <f t="shared" si="19"/>
        <v>88</v>
      </c>
      <c r="X28" s="234">
        <f t="shared" si="20"/>
        <v>83</v>
      </c>
      <c r="Y28" s="234">
        <f t="shared" si="21"/>
        <v>62</v>
      </c>
      <c r="Z28" s="234">
        <f t="shared" si="22"/>
        <v>93</v>
      </c>
      <c r="AA28" s="234">
        <f t="shared" si="23"/>
        <v>80</v>
      </c>
      <c r="AB28" s="234">
        <f t="shared" si="24"/>
        <v>73</v>
      </c>
      <c r="AC28" s="70">
        <f t="shared" si="25"/>
        <v>1114</v>
      </c>
      <c r="AD28" s="71">
        <f t="shared" si="26"/>
        <v>65.529411764705884</v>
      </c>
      <c r="AE28" s="72">
        <f t="shared" si="27"/>
        <v>25</v>
      </c>
      <c r="AF28" s="73" t="s">
        <v>805</v>
      </c>
      <c r="AG28" s="73" t="s">
        <v>805</v>
      </c>
      <c r="AH28" s="73" t="s">
        <v>805</v>
      </c>
      <c r="AI28" s="74">
        <v>22</v>
      </c>
      <c r="AJ28" s="74">
        <v>0</v>
      </c>
      <c r="AK28" s="74">
        <v>24</v>
      </c>
      <c r="AL28" s="75"/>
      <c r="AN28" s="66">
        <v>7</v>
      </c>
      <c r="AO28" s="66">
        <v>18190012</v>
      </c>
      <c r="AP28" s="77" t="s">
        <v>201</v>
      </c>
      <c r="AQ28" s="68">
        <v>75.5</v>
      </c>
      <c r="AR28" s="68">
        <v>53</v>
      </c>
      <c r="AS28" s="68">
        <v>80</v>
      </c>
      <c r="AT28" s="68">
        <v>79.400000000000006</v>
      </c>
      <c r="AU28" s="68">
        <v>72.8</v>
      </c>
      <c r="AV28" s="68">
        <v>62</v>
      </c>
      <c r="AW28" s="68">
        <v>65.7</v>
      </c>
      <c r="AX28" s="68">
        <v>62</v>
      </c>
      <c r="AY28" s="68">
        <v>57.9</v>
      </c>
      <c r="AZ28" s="68">
        <v>67.2</v>
      </c>
      <c r="BA28" s="68">
        <v>62</v>
      </c>
      <c r="BB28" s="68">
        <v>62</v>
      </c>
      <c r="BC28" s="68">
        <v>60.5</v>
      </c>
      <c r="BD28" s="68">
        <v>53</v>
      </c>
      <c r="BE28" s="76">
        <v>60</v>
      </c>
      <c r="BF28" s="76">
        <v>80</v>
      </c>
      <c r="BG28" s="76">
        <v>60</v>
      </c>
      <c r="BH28" s="76"/>
      <c r="BI28" s="76"/>
      <c r="BJ28" s="240">
        <v>87.5</v>
      </c>
      <c r="BK28" s="240">
        <v>82.5</v>
      </c>
      <c r="BL28" s="240">
        <v>62</v>
      </c>
      <c r="BM28" s="240">
        <v>92.5</v>
      </c>
      <c r="BN28" s="240">
        <v>80</v>
      </c>
      <c r="BO28" s="240">
        <v>72.5</v>
      </c>
      <c r="BP28" s="70">
        <f t="shared" si="28"/>
        <v>1113</v>
      </c>
      <c r="BQ28" s="71">
        <f t="shared" si="29"/>
        <v>65.470588235294116</v>
      </c>
      <c r="BR28" s="72" t="e">
        <f t="shared" si="30"/>
        <v>#N/A</v>
      </c>
      <c r="BS28" s="73"/>
      <c r="BT28" s="73"/>
      <c r="BU28" s="73"/>
      <c r="BV28" s="74"/>
      <c r="BW28" s="74"/>
      <c r="BX28" s="74"/>
      <c r="BY28" s="75"/>
    </row>
    <row r="29" spans="1:77" ht="27.95" customHeight="1">
      <c r="A29" s="66">
        <v>26</v>
      </c>
      <c r="B29" s="66">
        <v>18190004</v>
      </c>
      <c r="C29" s="77" t="s">
        <v>196</v>
      </c>
      <c r="D29" s="68">
        <f t="shared" si="0"/>
        <v>81</v>
      </c>
      <c r="E29" s="68">
        <f t="shared" si="1"/>
        <v>54</v>
      </c>
      <c r="F29" s="68">
        <f t="shared" si="2"/>
        <v>72</v>
      </c>
      <c r="G29" s="68">
        <f t="shared" si="3"/>
        <v>79</v>
      </c>
      <c r="H29" s="68">
        <f t="shared" si="4"/>
        <v>80</v>
      </c>
      <c r="I29" s="68">
        <f t="shared" si="5"/>
        <v>63</v>
      </c>
      <c r="J29" s="68">
        <f t="shared" si="6"/>
        <v>50</v>
      </c>
      <c r="K29" s="68">
        <f t="shared" si="7"/>
        <v>57</v>
      </c>
      <c r="L29" s="68">
        <f t="shared" si="8"/>
        <v>57</v>
      </c>
      <c r="M29" s="68">
        <f t="shared" si="9"/>
        <v>73</v>
      </c>
      <c r="N29" s="68">
        <f t="shared" si="10"/>
        <v>54</v>
      </c>
      <c r="O29" s="68">
        <f t="shared" si="11"/>
        <v>63</v>
      </c>
      <c r="P29" s="68">
        <f t="shared" si="12"/>
        <v>60</v>
      </c>
      <c r="Q29" s="68">
        <f t="shared" si="13"/>
        <v>63</v>
      </c>
      <c r="R29" s="69">
        <f t="shared" si="14"/>
        <v>45</v>
      </c>
      <c r="S29" s="69">
        <f t="shared" si="15"/>
        <v>75</v>
      </c>
      <c r="T29" s="69">
        <f t="shared" si="16"/>
        <v>60</v>
      </c>
      <c r="U29" s="69">
        <f t="shared" si="17"/>
        <v>0</v>
      </c>
      <c r="V29" s="69">
        <f t="shared" si="18"/>
        <v>0</v>
      </c>
      <c r="W29" s="234">
        <f t="shared" si="19"/>
        <v>80</v>
      </c>
      <c r="X29" s="234">
        <f t="shared" si="20"/>
        <v>80</v>
      </c>
      <c r="Y29" s="234">
        <f t="shared" si="21"/>
        <v>57</v>
      </c>
      <c r="Z29" s="234">
        <f t="shared" si="22"/>
        <v>85</v>
      </c>
      <c r="AA29" s="234">
        <f t="shared" si="23"/>
        <v>68</v>
      </c>
      <c r="AB29" s="234">
        <f t="shared" si="24"/>
        <v>78</v>
      </c>
      <c r="AC29" s="70">
        <f t="shared" si="25"/>
        <v>1086</v>
      </c>
      <c r="AD29" s="71">
        <f t="shared" si="26"/>
        <v>63.882352941176471</v>
      </c>
      <c r="AE29" s="72">
        <f t="shared" si="27"/>
        <v>26</v>
      </c>
      <c r="AF29" s="73" t="s">
        <v>805</v>
      </c>
      <c r="AG29" s="73" t="s">
        <v>805</v>
      </c>
      <c r="AH29" s="73" t="s">
        <v>805</v>
      </c>
      <c r="AI29" s="74">
        <v>26</v>
      </c>
      <c r="AJ29" s="74">
        <v>5</v>
      </c>
      <c r="AK29" s="74">
        <v>35</v>
      </c>
      <c r="AL29" s="75"/>
      <c r="AN29" s="66">
        <v>4</v>
      </c>
      <c r="AO29" s="66">
        <v>18190004</v>
      </c>
      <c r="AP29" s="77" t="s">
        <v>196</v>
      </c>
      <c r="AQ29" s="68">
        <v>81</v>
      </c>
      <c r="AR29" s="68">
        <v>54</v>
      </c>
      <c r="AS29" s="68">
        <v>72</v>
      </c>
      <c r="AT29" s="68">
        <v>78.599999999999994</v>
      </c>
      <c r="AU29" s="68">
        <v>79.8</v>
      </c>
      <c r="AV29" s="68">
        <v>63</v>
      </c>
      <c r="AW29" s="68">
        <v>49.8</v>
      </c>
      <c r="AX29" s="68">
        <v>57</v>
      </c>
      <c r="AY29" s="68">
        <v>56.5</v>
      </c>
      <c r="AZ29" s="68">
        <v>72.5</v>
      </c>
      <c r="BA29" s="68">
        <v>54</v>
      </c>
      <c r="BB29" s="68">
        <v>63</v>
      </c>
      <c r="BC29" s="68">
        <v>59.5</v>
      </c>
      <c r="BD29" s="68">
        <v>63</v>
      </c>
      <c r="BE29" s="76">
        <v>45</v>
      </c>
      <c r="BF29" s="76">
        <v>75</v>
      </c>
      <c r="BG29" s="76">
        <v>60</v>
      </c>
      <c r="BH29" s="76"/>
      <c r="BI29" s="76"/>
      <c r="BJ29" s="240">
        <v>80</v>
      </c>
      <c r="BK29" s="240">
        <v>80</v>
      </c>
      <c r="BL29" s="240">
        <v>57</v>
      </c>
      <c r="BM29" s="240">
        <v>85</v>
      </c>
      <c r="BN29" s="240">
        <v>67.5</v>
      </c>
      <c r="BO29" s="240">
        <v>77.5</v>
      </c>
      <c r="BP29" s="70">
        <f t="shared" si="28"/>
        <v>1083.7</v>
      </c>
      <c r="BQ29" s="71">
        <f t="shared" si="29"/>
        <v>63.747058823529414</v>
      </c>
      <c r="BR29" s="72" t="e">
        <f t="shared" si="30"/>
        <v>#N/A</v>
      </c>
      <c r="BS29" s="73"/>
      <c r="BT29" s="73"/>
      <c r="BU29" s="73"/>
      <c r="BV29" s="74"/>
      <c r="BW29" s="74"/>
      <c r="BX29" s="74"/>
      <c r="BY29" s="75"/>
    </row>
    <row r="30" spans="1:77" ht="27.95" customHeight="1">
      <c r="A30" s="66">
        <v>27</v>
      </c>
      <c r="B30" s="91">
        <v>18190059</v>
      </c>
      <c r="C30" s="92" t="s">
        <v>198</v>
      </c>
      <c r="D30" s="68">
        <f t="shared" si="0"/>
        <v>80</v>
      </c>
      <c r="E30" s="68">
        <f t="shared" si="1"/>
        <v>53</v>
      </c>
      <c r="F30" s="68">
        <f t="shared" si="2"/>
        <v>76</v>
      </c>
      <c r="G30" s="68">
        <f t="shared" si="3"/>
        <v>71</v>
      </c>
      <c r="H30" s="68">
        <f t="shared" si="4"/>
        <v>78</v>
      </c>
      <c r="I30" s="68">
        <f t="shared" si="5"/>
        <v>71</v>
      </c>
      <c r="J30" s="68">
        <f t="shared" si="6"/>
        <v>40</v>
      </c>
      <c r="K30" s="68">
        <f t="shared" si="7"/>
        <v>62</v>
      </c>
      <c r="L30" s="68">
        <f t="shared" si="8"/>
        <v>60</v>
      </c>
      <c r="M30" s="68">
        <f t="shared" si="9"/>
        <v>64</v>
      </c>
      <c r="N30" s="68">
        <f t="shared" si="10"/>
        <v>53</v>
      </c>
      <c r="O30" s="68">
        <f t="shared" si="11"/>
        <v>56</v>
      </c>
      <c r="P30" s="68">
        <f t="shared" si="12"/>
        <v>49</v>
      </c>
      <c r="Q30" s="68">
        <f t="shared" si="13"/>
        <v>53</v>
      </c>
      <c r="R30" s="69">
        <f t="shared" si="14"/>
        <v>45</v>
      </c>
      <c r="S30" s="69">
        <f t="shared" si="15"/>
        <v>75</v>
      </c>
      <c r="T30" s="69">
        <f t="shared" si="16"/>
        <v>60</v>
      </c>
      <c r="U30" s="69">
        <f t="shared" si="17"/>
        <v>0</v>
      </c>
      <c r="V30" s="69">
        <f t="shared" si="18"/>
        <v>0</v>
      </c>
      <c r="W30" s="234">
        <f t="shared" si="19"/>
        <v>90</v>
      </c>
      <c r="X30" s="234">
        <f t="shared" si="20"/>
        <v>93</v>
      </c>
      <c r="Y30" s="234">
        <f t="shared" si="21"/>
        <v>62</v>
      </c>
      <c r="Z30" s="234">
        <f t="shared" si="22"/>
        <v>93</v>
      </c>
      <c r="AA30" s="234">
        <f t="shared" si="23"/>
        <v>65</v>
      </c>
      <c r="AB30" s="234">
        <f t="shared" si="24"/>
        <v>75</v>
      </c>
      <c r="AC30" s="70">
        <f t="shared" si="25"/>
        <v>1046</v>
      </c>
      <c r="AD30" s="71">
        <f t="shared" si="26"/>
        <v>61.529411764705884</v>
      </c>
      <c r="AE30" s="72">
        <f t="shared" si="27"/>
        <v>27</v>
      </c>
      <c r="AF30" s="73" t="s">
        <v>805</v>
      </c>
      <c r="AG30" s="73" t="s">
        <v>805</v>
      </c>
      <c r="AH30" s="73" t="s">
        <v>805</v>
      </c>
      <c r="AI30" s="74">
        <v>17</v>
      </c>
      <c r="AJ30" s="74">
        <v>16</v>
      </c>
      <c r="AK30" s="74">
        <v>27</v>
      </c>
      <c r="AL30" s="75"/>
      <c r="AN30" s="66">
        <v>14</v>
      </c>
      <c r="AO30" s="66">
        <v>18190059</v>
      </c>
      <c r="AP30" s="77" t="s">
        <v>198</v>
      </c>
      <c r="AQ30" s="68">
        <v>80</v>
      </c>
      <c r="AR30" s="68">
        <v>53</v>
      </c>
      <c r="AS30" s="68">
        <v>75.5</v>
      </c>
      <c r="AT30" s="68">
        <v>71</v>
      </c>
      <c r="AU30" s="68">
        <v>77.599999999999994</v>
      </c>
      <c r="AV30" s="68">
        <v>71</v>
      </c>
      <c r="AW30" s="68">
        <v>39.200000000000003</v>
      </c>
      <c r="AX30" s="68">
        <v>62</v>
      </c>
      <c r="AY30" s="68">
        <v>59.599999999999994</v>
      </c>
      <c r="AZ30" s="68">
        <v>64</v>
      </c>
      <c r="BA30" s="68">
        <v>53</v>
      </c>
      <c r="BB30" s="68">
        <v>56</v>
      </c>
      <c r="BC30" s="68">
        <v>49</v>
      </c>
      <c r="BD30" s="68">
        <v>53</v>
      </c>
      <c r="BE30" s="76">
        <v>45</v>
      </c>
      <c r="BF30" s="76">
        <v>75</v>
      </c>
      <c r="BG30" s="76">
        <v>60</v>
      </c>
      <c r="BH30" s="76"/>
      <c r="BI30" s="76"/>
      <c r="BJ30" s="240">
        <v>90</v>
      </c>
      <c r="BK30" s="240">
        <v>92.5</v>
      </c>
      <c r="BL30" s="240">
        <v>62</v>
      </c>
      <c r="BM30" s="240">
        <v>92.5</v>
      </c>
      <c r="BN30" s="240">
        <v>65</v>
      </c>
      <c r="BO30" s="240">
        <v>75</v>
      </c>
      <c r="BP30" s="70">
        <f t="shared" si="28"/>
        <v>1043.9000000000001</v>
      </c>
      <c r="BQ30" s="71">
        <f t="shared" si="29"/>
        <v>61.405882352941184</v>
      </c>
      <c r="BR30" s="72" t="e">
        <f t="shared" si="30"/>
        <v>#N/A</v>
      </c>
      <c r="BS30" s="73"/>
      <c r="BT30" s="73"/>
      <c r="BU30" s="73"/>
      <c r="BV30" s="74"/>
      <c r="BW30" s="74"/>
      <c r="BX30" s="74"/>
      <c r="BY30" s="75"/>
    </row>
    <row r="31" spans="1:77" ht="27.95" customHeight="1">
      <c r="A31" s="66">
        <v>28</v>
      </c>
      <c r="B31" s="91">
        <v>18190019</v>
      </c>
      <c r="C31" s="92" t="s">
        <v>190</v>
      </c>
      <c r="D31" s="68">
        <f t="shared" si="0"/>
        <v>80</v>
      </c>
      <c r="E31" s="68">
        <f t="shared" si="1"/>
        <v>53</v>
      </c>
      <c r="F31" s="68">
        <f t="shared" si="2"/>
        <v>76</v>
      </c>
      <c r="G31" s="68">
        <f t="shared" si="3"/>
        <v>78</v>
      </c>
      <c r="H31" s="68">
        <f t="shared" si="4"/>
        <v>78</v>
      </c>
      <c r="I31" s="68">
        <f t="shared" si="5"/>
        <v>71</v>
      </c>
      <c r="J31" s="68">
        <f t="shared" si="6"/>
        <v>59</v>
      </c>
      <c r="K31" s="68">
        <f t="shared" si="7"/>
        <v>56</v>
      </c>
      <c r="L31" s="68">
        <f t="shared" si="8"/>
        <v>40</v>
      </c>
      <c r="M31" s="68">
        <f t="shared" si="9"/>
        <v>67</v>
      </c>
      <c r="N31" s="68">
        <f t="shared" si="10"/>
        <v>53</v>
      </c>
      <c r="O31" s="68">
        <f t="shared" si="11"/>
        <v>62</v>
      </c>
      <c r="P31" s="68">
        <f t="shared" si="12"/>
        <v>65</v>
      </c>
      <c r="Q31" s="68">
        <f t="shared" si="13"/>
        <v>53</v>
      </c>
      <c r="R31" s="69">
        <f t="shared" si="14"/>
        <v>0</v>
      </c>
      <c r="S31" s="69">
        <f t="shared" si="15"/>
        <v>60</v>
      </c>
      <c r="T31" s="69">
        <f t="shared" si="16"/>
        <v>60</v>
      </c>
      <c r="U31" s="69">
        <f t="shared" si="17"/>
        <v>0</v>
      </c>
      <c r="V31" s="69">
        <f t="shared" si="18"/>
        <v>0</v>
      </c>
      <c r="W31" s="234">
        <f t="shared" si="19"/>
        <v>78</v>
      </c>
      <c r="X31" s="234">
        <f t="shared" si="20"/>
        <v>88</v>
      </c>
      <c r="Y31" s="234">
        <f t="shared" si="21"/>
        <v>56</v>
      </c>
      <c r="Z31" s="234">
        <f t="shared" si="22"/>
        <v>88</v>
      </c>
      <c r="AA31" s="234">
        <f t="shared" si="23"/>
        <v>70</v>
      </c>
      <c r="AB31" s="234">
        <f t="shared" si="24"/>
        <v>75</v>
      </c>
      <c r="AC31" s="70">
        <f t="shared" si="25"/>
        <v>1011</v>
      </c>
      <c r="AD31" s="71">
        <f t="shared" si="26"/>
        <v>59.470588235294116</v>
      </c>
      <c r="AE31" s="72">
        <f t="shared" si="27"/>
        <v>28</v>
      </c>
      <c r="AF31" s="73" t="s">
        <v>805</v>
      </c>
      <c r="AG31" s="73" t="s">
        <v>805</v>
      </c>
      <c r="AH31" s="73" t="s">
        <v>805</v>
      </c>
      <c r="AI31" s="74">
        <v>51</v>
      </c>
      <c r="AJ31" s="74">
        <v>63</v>
      </c>
      <c r="AK31" s="74">
        <v>7</v>
      </c>
      <c r="AL31" s="75"/>
      <c r="AN31" s="66">
        <v>8</v>
      </c>
      <c r="AO31" s="66">
        <v>18190019</v>
      </c>
      <c r="AP31" s="79" t="s">
        <v>190</v>
      </c>
      <c r="AQ31" s="68">
        <v>80</v>
      </c>
      <c r="AR31" s="68">
        <v>53</v>
      </c>
      <c r="AS31" s="68">
        <v>75.5</v>
      </c>
      <c r="AT31" s="68">
        <v>78.199999999999989</v>
      </c>
      <c r="AU31" s="68">
        <v>77.599999999999994</v>
      </c>
      <c r="AV31" s="68">
        <v>71</v>
      </c>
      <c r="AW31" s="68">
        <v>58.6</v>
      </c>
      <c r="AX31" s="68">
        <v>56</v>
      </c>
      <c r="AY31" s="68">
        <v>29</v>
      </c>
      <c r="AZ31" s="68">
        <v>66.900000000000006</v>
      </c>
      <c r="BA31" s="68">
        <v>53</v>
      </c>
      <c r="BB31" s="68">
        <v>62</v>
      </c>
      <c r="BC31" s="68">
        <v>65</v>
      </c>
      <c r="BD31" s="68">
        <v>53</v>
      </c>
      <c r="BE31" s="76">
        <v>0</v>
      </c>
      <c r="BF31" s="76">
        <v>60</v>
      </c>
      <c r="BG31" s="76">
        <v>60</v>
      </c>
      <c r="BH31" s="76"/>
      <c r="BI31" s="76"/>
      <c r="BJ31" s="240">
        <v>77.5</v>
      </c>
      <c r="BK31" s="240">
        <v>87.5</v>
      </c>
      <c r="BL31" s="240">
        <v>56</v>
      </c>
      <c r="BM31" s="240">
        <v>87.5</v>
      </c>
      <c r="BN31" s="240">
        <v>70</v>
      </c>
      <c r="BO31" s="240">
        <v>75</v>
      </c>
      <c r="BP31" s="70">
        <f t="shared" si="28"/>
        <v>998.8</v>
      </c>
      <c r="BQ31" s="71">
        <f t="shared" si="29"/>
        <v>58.752941176470586</v>
      </c>
      <c r="BR31" s="72" t="e">
        <f t="shared" si="30"/>
        <v>#N/A</v>
      </c>
      <c r="BS31" s="73"/>
      <c r="BT31" s="73"/>
      <c r="BU31" s="73"/>
      <c r="BV31" s="74"/>
      <c r="BW31" s="74"/>
      <c r="BX31" s="74"/>
      <c r="BY31" s="75"/>
    </row>
    <row r="32" spans="1:77">
      <c r="A32" s="267" t="s">
        <v>202</v>
      </c>
      <c r="B32" s="268"/>
      <c r="C32" s="269"/>
      <c r="D32" s="72">
        <f t="shared" ref="D32:P32" si="31">SUM(D4:D31)</f>
        <v>2212</v>
      </c>
      <c r="E32" s="72">
        <f t="shared" si="31"/>
        <v>1717</v>
      </c>
      <c r="F32" s="72">
        <f t="shared" si="31"/>
        <v>2243</v>
      </c>
      <c r="G32" s="72">
        <f t="shared" si="31"/>
        <v>2411</v>
      </c>
      <c r="H32" s="72">
        <f t="shared" si="31"/>
        <v>2285</v>
      </c>
      <c r="I32" s="72">
        <f t="shared" si="31"/>
        <v>2042</v>
      </c>
      <c r="J32" s="72">
        <f t="shared" si="31"/>
        <v>2086</v>
      </c>
      <c r="K32" s="72">
        <f t="shared" si="31"/>
        <v>1963</v>
      </c>
      <c r="L32" s="72">
        <f t="shared" si="31"/>
        <v>2043</v>
      </c>
      <c r="M32" s="72">
        <f t="shared" si="31"/>
        <v>2093</v>
      </c>
      <c r="N32" s="72">
        <f t="shared" si="31"/>
        <v>1886</v>
      </c>
      <c r="O32" s="72">
        <f t="shared" si="31"/>
        <v>1825</v>
      </c>
      <c r="P32" s="72">
        <f t="shared" si="31"/>
        <v>1936</v>
      </c>
      <c r="Q32" s="72"/>
      <c r="R32" s="72">
        <f>SUM(R4:R31)</f>
        <v>1920</v>
      </c>
      <c r="S32" s="72">
        <f>SUM(S4:S31)</f>
        <v>2245</v>
      </c>
      <c r="T32" s="72">
        <f>SUM(T4:T31)</f>
        <v>1815</v>
      </c>
      <c r="U32" s="72">
        <f>SUM(U4:U31)</f>
        <v>0</v>
      </c>
      <c r="V32" s="72"/>
      <c r="W32" s="72"/>
      <c r="X32" s="72"/>
      <c r="Y32" s="72"/>
      <c r="Z32" s="72"/>
      <c r="AA32" s="72"/>
      <c r="AB32" s="72"/>
      <c r="AC32" s="72">
        <f t="shared" ref="AC32:AC33" si="32">SUM(D32:U32)</f>
        <v>32722</v>
      </c>
      <c r="AD32" s="72">
        <f t="shared" ref="AD32:AD33" si="33">AVERAGE(D32:U32)</f>
        <v>1924.8235294117646</v>
      </c>
      <c r="AE32" s="72"/>
      <c r="AF32" s="81"/>
      <c r="AG32" s="81"/>
      <c r="AH32" s="81"/>
      <c r="AI32" s="81"/>
      <c r="AJ32" s="81"/>
      <c r="AK32" s="81"/>
      <c r="AL32" s="82"/>
      <c r="AN32" s="267" t="s">
        <v>202</v>
      </c>
      <c r="AO32" s="268"/>
      <c r="AP32" s="269"/>
      <c r="AQ32" s="72">
        <f t="shared" ref="AQ32:BC32" si="34">SUM(AQ4:AQ31)</f>
        <v>2177</v>
      </c>
      <c r="AR32" s="72">
        <f t="shared" si="34"/>
        <v>1715.3000000000002</v>
      </c>
      <c r="AS32" s="72">
        <f t="shared" si="34"/>
        <v>2208.5</v>
      </c>
      <c r="AT32" s="72">
        <f t="shared" si="34"/>
        <v>2408.6499999999996</v>
      </c>
      <c r="AU32" s="72">
        <f t="shared" si="34"/>
        <v>2281.3999999999996</v>
      </c>
      <c r="AV32" s="72">
        <f t="shared" si="34"/>
        <v>2037.5</v>
      </c>
      <c r="AW32" s="72">
        <f t="shared" si="34"/>
        <v>2084.1</v>
      </c>
      <c r="AX32" s="72">
        <f t="shared" si="34"/>
        <v>1961</v>
      </c>
      <c r="AY32" s="72">
        <f t="shared" si="34"/>
        <v>2029.6000000000001</v>
      </c>
      <c r="AZ32" s="72">
        <f t="shared" si="34"/>
        <v>2092.6000000000004</v>
      </c>
      <c r="BA32" s="72">
        <f t="shared" si="34"/>
        <v>1883.6000000000001</v>
      </c>
      <c r="BB32" s="72">
        <f t="shared" si="34"/>
        <v>1822.5</v>
      </c>
      <c r="BC32" s="72">
        <f t="shared" si="34"/>
        <v>1930.5</v>
      </c>
      <c r="BD32" s="72"/>
      <c r="BE32" s="72">
        <f>SUM(BE4:BE31)</f>
        <v>1920</v>
      </c>
      <c r="BF32" s="72">
        <f>SUM(BF4:BF31)</f>
        <v>2245</v>
      </c>
      <c r="BG32" s="72">
        <f>SUM(BG4:BG31)</f>
        <v>1815</v>
      </c>
      <c r="BH32" s="72">
        <f>SUM(BH4:BH31)</f>
        <v>0</v>
      </c>
      <c r="BI32" s="72">
        <f>SUM(BI4:BI31)</f>
        <v>0</v>
      </c>
      <c r="BJ32" s="72"/>
      <c r="BK32" s="72"/>
      <c r="BL32" s="72"/>
      <c r="BM32" s="72"/>
      <c r="BN32" s="72"/>
      <c r="BO32" s="72"/>
      <c r="BP32" s="72">
        <f t="shared" si="28"/>
        <v>32612.25</v>
      </c>
      <c r="BQ32" s="72">
        <f t="shared" si="29"/>
        <v>1811.7916666666667</v>
      </c>
      <c r="BR32" s="72" t="e">
        <f t="shared" ref="BR32:BR33" si="35">RANK(BP32,$AC$4:$AC$31)</f>
        <v>#N/A</v>
      </c>
      <c r="BS32" s="81"/>
      <c r="BT32" s="81"/>
      <c r="BU32" s="81"/>
      <c r="BV32" s="81"/>
      <c r="BW32" s="81"/>
      <c r="BX32" s="81"/>
      <c r="BY32" s="82"/>
    </row>
    <row r="33" spans="1:77">
      <c r="A33" s="267" t="s">
        <v>203</v>
      </c>
      <c r="B33" s="268"/>
      <c r="C33" s="269"/>
      <c r="D33" s="72">
        <f t="shared" ref="D33:P33" si="36">AVERAGE(D4:D31)</f>
        <v>79</v>
      </c>
      <c r="E33" s="72">
        <f t="shared" si="36"/>
        <v>61.321428571428569</v>
      </c>
      <c r="F33" s="72">
        <f t="shared" si="36"/>
        <v>80.107142857142861</v>
      </c>
      <c r="G33" s="72">
        <f t="shared" si="36"/>
        <v>86.107142857142861</v>
      </c>
      <c r="H33" s="72">
        <f t="shared" si="36"/>
        <v>81.607142857142861</v>
      </c>
      <c r="I33" s="72">
        <f t="shared" si="36"/>
        <v>72.928571428571431</v>
      </c>
      <c r="J33" s="72">
        <f t="shared" si="36"/>
        <v>74.5</v>
      </c>
      <c r="K33" s="72">
        <f t="shared" si="36"/>
        <v>70.107142857142861</v>
      </c>
      <c r="L33" s="72">
        <f t="shared" si="36"/>
        <v>72.964285714285708</v>
      </c>
      <c r="M33" s="72">
        <f t="shared" si="36"/>
        <v>74.75</v>
      </c>
      <c r="N33" s="72">
        <f t="shared" si="36"/>
        <v>67.357142857142861</v>
      </c>
      <c r="O33" s="72">
        <f t="shared" si="36"/>
        <v>65.178571428571431</v>
      </c>
      <c r="P33" s="72">
        <f t="shared" si="36"/>
        <v>69.142857142857139</v>
      </c>
      <c r="Q33" s="72"/>
      <c r="R33" s="72">
        <f>AVERAGE(R4:R31)</f>
        <v>68.571428571428569</v>
      </c>
      <c r="S33" s="72">
        <f>AVERAGE(S4:S31)</f>
        <v>80.178571428571431</v>
      </c>
      <c r="T33" s="72">
        <f>AVERAGE(T4:T31)</f>
        <v>64.821428571428569</v>
      </c>
      <c r="U33" s="72">
        <f>AVERAGE(U4:U31)</f>
        <v>0</v>
      </c>
      <c r="V33" s="72"/>
      <c r="W33" s="72"/>
      <c r="X33" s="72"/>
      <c r="Y33" s="72"/>
      <c r="Z33" s="72"/>
      <c r="AA33" s="72"/>
      <c r="AB33" s="72"/>
      <c r="AC33" s="72">
        <f t="shared" si="32"/>
        <v>1168.6428571428571</v>
      </c>
      <c r="AD33" s="72">
        <f t="shared" si="33"/>
        <v>68.743697478991592</v>
      </c>
      <c r="AE33" s="72"/>
      <c r="AF33" s="81"/>
      <c r="AG33" s="81"/>
      <c r="AH33" s="81"/>
      <c r="AI33" s="81"/>
      <c r="AJ33" s="81"/>
      <c r="AK33" s="81"/>
      <c r="AL33" s="82"/>
      <c r="AN33" s="267" t="s">
        <v>203</v>
      </c>
      <c r="AO33" s="268"/>
      <c r="AP33" s="269"/>
      <c r="AQ33" s="72">
        <f t="shared" ref="AQ33:BC33" si="37">AVERAGE(AQ4:AQ31)</f>
        <v>77.75</v>
      </c>
      <c r="AR33" s="72">
        <f t="shared" si="37"/>
        <v>61.260714285714293</v>
      </c>
      <c r="AS33" s="72">
        <f t="shared" si="37"/>
        <v>78.875</v>
      </c>
      <c r="AT33" s="72">
        <f t="shared" si="37"/>
        <v>86.023214285714275</v>
      </c>
      <c r="AU33" s="72">
        <f t="shared" si="37"/>
        <v>81.478571428571414</v>
      </c>
      <c r="AV33" s="72">
        <f t="shared" si="37"/>
        <v>72.767857142857139</v>
      </c>
      <c r="AW33" s="72">
        <f t="shared" si="37"/>
        <v>74.43214285714285</v>
      </c>
      <c r="AX33" s="72">
        <f t="shared" si="37"/>
        <v>70.035714285714292</v>
      </c>
      <c r="AY33" s="72">
        <f t="shared" si="37"/>
        <v>72.485714285714295</v>
      </c>
      <c r="AZ33" s="72">
        <f t="shared" si="37"/>
        <v>74.735714285714295</v>
      </c>
      <c r="BA33" s="72">
        <f t="shared" si="37"/>
        <v>67.271428571428572</v>
      </c>
      <c r="BB33" s="72">
        <f t="shared" si="37"/>
        <v>65.089285714285708</v>
      </c>
      <c r="BC33" s="72">
        <f t="shared" si="37"/>
        <v>68.946428571428569</v>
      </c>
      <c r="BD33" s="72"/>
      <c r="BE33" s="72">
        <f>AVERAGE(BE4:BE31)</f>
        <v>68.571428571428569</v>
      </c>
      <c r="BF33" s="72">
        <f>AVERAGE(BF4:BF31)</f>
        <v>80.178571428571431</v>
      </c>
      <c r="BG33" s="72">
        <f>AVERAGE(BG4:BG31)</f>
        <v>64.821428571428569</v>
      </c>
      <c r="BH33" s="72" t="e">
        <f>AVERAGE(BH4:BH31)</f>
        <v>#DIV/0!</v>
      </c>
      <c r="BI33" s="72" t="e">
        <f>AVERAGE(BI4:BI31)</f>
        <v>#DIV/0!</v>
      </c>
      <c r="BJ33" s="72"/>
      <c r="BK33" s="72"/>
      <c r="BL33" s="72"/>
      <c r="BM33" s="72"/>
      <c r="BN33" s="72"/>
      <c r="BO33" s="72"/>
      <c r="BP33" s="72" t="e">
        <f t="shared" si="28"/>
        <v>#DIV/0!</v>
      </c>
      <c r="BQ33" s="72" t="e">
        <f t="shared" si="29"/>
        <v>#DIV/0!</v>
      </c>
      <c r="BR33" s="72" t="e">
        <f t="shared" si="35"/>
        <v>#DIV/0!</v>
      </c>
      <c r="BS33" s="81"/>
      <c r="BT33" s="81"/>
      <c r="BU33" s="81"/>
      <c r="BV33" s="81"/>
      <c r="BW33" s="81"/>
      <c r="BX33" s="81"/>
      <c r="BY33" s="82"/>
    </row>
    <row r="34" spans="1:77" s="83" customFormat="1">
      <c r="A34" s="83">
        <v>1</v>
      </c>
      <c r="B34" s="83">
        <v>2</v>
      </c>
      <c r="C34" s="83">
        <v>3</v>
      </c>
      <c r="D34" s="83">
        <v>4</v>
      </c>
      <c r="E34" s="83">
        <v>5</v>
      </c>
      <c r="F34" s="83">
        <v>6</v>
      </c>
      <c r="G34" s="83">
        <v>7</v>
      </c>
      <c r="H34" s="83">
        <v>8</v>
      </c>
      <c r="I34" s="83">
        <v>9</v>
      </c>
      <c r="J34" s="83">
        <v>10</v>
      </c>
      <c r="K34" s="83">
        <v>11</v>
      </c>
      <c r="L34" s="83">
        <v>12</v>
      </c>
      <c r="M34" s="83">
        <v>13</v>
      </c>
      <c r="N34" s="83">
        <v>14</v>
      </c>
      <c r="O34" s="83">
        <v>15</v>
      </c>
      <c r="P34" s="83">
        <v>16</v>
      </c>
      <c r="Q34" s="83">
        <v>17</v>
      </c>
      <c r="R34" s="83">
        <v>18</v>
      </c>
      <c r="S34" s="83">
        <v>19</v>
      </c>
      <c r="T34" s="83">
        <v>20</v>
      </c>
      <c r="U34" s="83">
        <v>21</v>
      </c>
      <c r="V34" s="83">
        <v>22</v>
      </c>
      <c r="W34" s="83">
        <v>23</v>
      </c>
      <c r="X34" s="83">
        <v>24</v>
      </c>
      <c r="Y34" s="83">
        <v>25</v>
      </c>
      <c r="Z34" s="83">
        <v>26</v>
      </c>
      <c r="AA34" s="83">
        <v>27</v>
      </c>
      <c r="AB34" s="83">
        <v>28</v>
      </c>
      <c r="AC34" s="83">
        <v>29</v>
      </c>
      <c r="AD34" s="83">
        <v>30</v>
      </c>
      <c r="AE34" s="83">
        <v>31</v>
      </c>
      <c r="AF34" s="83">
        <v>32</v>
      </c>
      <c r="AG34" s="83">
        <v>33</v>
      </c>
      <c r="AH34" s="83">
        <v>34</v>
      </c>
      <c r="AI34" s="83">
        <v>35</v>
      </c>
      <c r="AJ34" s="83">
        <v>36</v>
      </c>
      <c r="AK34" s="83">
        <v>37</v>
      </c>
      <c r="AL34" s="83">
        <v>38</v>
      </c>
      <c r="AN34" s="83">
        <v>1</v>
      </c>
      <c r="AO34" s="83">
        <v>2</v>
      </c>
      <c r="AP34" s="83">
        <v>3</v>
      </c>
      <c r="AQ34" s="83">
        <v>4</v>
      </c>
      <c r="AR34" s="83">
        <v>5</v>
      </c>
      <c r="AS34" s="83">
        <v>6</v>
      </c>
      <c r="AT34" s="83">
        <v>7</v>
      </c>
      <c r="AU34" s="83">
        <v>8</v>
      </c>
      <c r="AV34" s="83">
        <v>9</v>
      </c>
      <c r="AW34" s="83">
        <v>10</v>
      </c>
      <c r="AX34" s="83">
        <v>11</v>
      </c>
      <c r="AY34" s="83">
        <v>12</v>
      </c>
      <c r="AZ34" s="83">
        <v>13</v>
      </c>
      <c r="BA34" s="83">
        <v>14</v>
      </c>
      <c r="BB34" s="83">
        <v>15</v>
      </c>
      <c r="BC34" s="83">
        <v>16</v>
      </c>
      <c r="BE34" s="83">
        <v>17</v>
      </c>
      <c r="BF34" s="83">
        <v>18</v>
      </c>
      <c r="BG34" s="83">
        <v>19</v>
      </c>
      <c r="BH34" s="83">
        <v>20</v>
      </c>
      <c r="BI34" s="83">
        <v>21</v>
      </c>
      <c r="BP34" s="83">
        <v>22</v>
      </c>
      <c r="BQ34" s="83">
        <v>23</v>
      </c>
      <c r="BR34" s="83">
        <v>24</v>
      </c>
      <c r="BS34" s="83">
        <v>25</v>
      </c>
      <c r="BT34" s="83">
        <v>26</v>
      </c>
      <c r="BU34" s="83">
        <v>27</v>
      </c>
      <c r="BV34" s="83">
        <v>28</v>
      </c>
      <c r="BW34" s="83">
        <v>29</v>
      </c>
      <c r="BX34" s="83">
        <v>30</v>
      </c>
    </row>
    <row r="36" spans="1:77" ht="18.600000000000001" customHeight="1">
      <c r="A36" s="84" t="s">
        <v>204</v>
      </c>
      <c r="C36" s="85"/>
      <c r="D36" s="85"/>
      <c r="E36" s="85"/>
      <c r="F36" s="85"/>
      <c r="G36" s="85"/>
      <c r="H36" s="85"/>
      <c r="I36" s="85"/>
    </row>
    <row r="37" spans="1:77">
      <c r="A37" s="86"/>
      <c r="B37" s="86"/>
      <c r="C37" s="60" t="s">
        <v>205</v>
      </c>
    </row>
    <row r="38" spans="1:77">
      <c r="A38" s="87"/>
      <c r="B38" s="87"/>
      <c r="C38" s="60" t="s">
        <v>206</v>
      </c>
    </row>
    <row r="39" spans="1:77">
      <c r="A39" s="88"/>
      <c r="B39" s="88"/>
      <c r="C39" s="60" t="s">
        <v>207</v>
      </c>
    </row>
    <row r="40" spans="1:77">
      <c r="A40" s="89"/>
      <c r="B40" s="89"/>
      <c r="C40" s="60" t="s">
        <v>208</v>
      </c>
    </row>
  </sheetData>
  <sortState xmlns:xlrd2="http://schemas.microsoft.com/office/spreadsheetml/2017/richdata2" ref="B4:BY31">
    <sortCondition ref="AE4:AE31"/>
  </sortState>
  <mergeCells count="36">
    <mergeCell ref="BJ2:BO2"/>
    <mergeCell ref="AC2:AC3"/>
    <mergeCell ref="A2:A3"/>
    <mergeCell ref="B2:B3"/>
    <mergeCell ref="C2:C3"/>
    <mergeCell ref="D2:O2"/>
    <mergeCell ref="R2:U2"/>
    <mergeCell ref="W2:AB2"/>
    <mergeCell ref="AP2:AP3"/>
    <mergeCell ref="AD2:AD3"/>
    <mergeCell ref="AE2:AE3"/>
    <mergeCell ref="AF2:AF3"/>
    <mergeCell ref="AG2:AG3"/>
    <mergeCell ref="AH2:AH3"/>
    <mergeCell ref="AI2:AI3"/>
    <mergeCell ref="BU2:BU3"/>
    <mergeCell ref="BV2:BV3"/>
    <mergeCell ref="BW2:BW3"/>
    <mergeCell ref="BX2:BX3"/>
    <mergeCell ref="BY2:BY3"/>
    <mergeCell ref="A32:C32"/>
    <mergeCell ref="AN32:AP32"/>
    <mergeCell ref="A33:C33"/>
    <mergeCell ref="AN33:AP33"/>
    <mergeCell ref="BT2:BT3"/>
    <mergeCell ref="AQ2:BB2"/>
    <mergeCell ref="BE2:BI2"/>
    <mergeCell ref="BP2:BP3"/>
    <mergeCell ref="BQ2:BQ3"/>
    <mergeCell ref="BR2:BR3"/>
    <mergeCell ref="BS2:BS3"/>
    <mergeCell ref="AJ2:AJ3"/>
    <mergeCell ref="AK2:AK3"/>
    <mergeCell ref="AL2:AL3"/>
    <mergeCell ref="AN2:AN3"/>
    <mergeCell ref="AO2:AO3"/>
  </mergeCells>
  <conditionalFormatting sqref="B4:B31">
    <cfRule type="duplicateValues" dxfId="1056" priority="69"/>
  </conditionalFormatting>
  <conditionalFormatting sqref="D4:AB31">
    <cfRule type="cellIs" dxfId="1055" priority="5" operator="lessThanOrEqual">
      <formula>59</formula>
    </cfRule>
  </conditionalFormatting>
  <conditionalFormatting sqref="BQ4:BQ33 AD4:AD33">
    <cfRule type="cellIs" dxfId="1054" priority="6" operator="lessThan">
      <formula>60</formula>
    </cfRule>
  </conditionalFormatting>
  <conditionalFormatting sqref="AE4:AE33">
    <cfRule type="duplicateValues" dxfId="1053" priority="72"/>
  </conditionalFormatting>
  <conditionalFormatting sqref="AO4:AO31">
    <cfRule type="duplicateValues" dxfId="1052" priority="74"/>
  </conditionalFormatting>
  <conditionalFormatting sqref="AQ4:BO31">
    <cfRule type="cellIs" dxfId="1051" priority="1" operator="lessThanOrEqual">
      <formula>59</formula>
    </cfRule>
  </conditionalFormatting>
  <conditionalFormatting sqref="BR4:BR33">
    <cfRule type="duplicateValues" dxfId="1050" priority="77"/>
  </conditionalFormatting>
  <printOptions horizontalCentered="1"/>
  <pageMargins left="0.37" right="0.12" top="0.74803149606299202" bottom="0.34" header="0.31496062992126" footer="0.31496062992126"/>
  <pageSetup paperSize="10000" scale="75" orientation="landscape" horizontalDpi="203" verticalDpi="20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7ED15-BD02-4140-ACE8-5B8927B2535E}">
  <sheetPr codeName="Sheet4">
    <tabColor theme="1" tint="0.499984740745262"/>
  </sheetPr>
  <dimension ref="A1:BY36"/>
  <sheetViews>
    <sheetView tabSelected="1" topLeftCell="A12" zoomScale="55" zoomScaleNormal="55" workbookViewId="0">
      <selection activeCell="A4" sqref="A4:C27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8" width="5.42578125" style="60" customWidth="1"/>
    <col min="29" max="31" width="7.140625" style="60" customWidth="1"/>
    <col min="32" max="34" width="5.42578125" style="60" customWidth="1"/>
    <col min="35" max="38" width="4.5703125" style="60" customWidth="1"/>
    <col min="39" max="39" width="9.140625" style="60"/>
    <col min="40" max="40" width="9.28515625" style="60" bestFit="1" customWidth="1"/>
    <col min="41" max="41" width="12.140625" style="60" bestFit="1" customWidth="1"/>
    <col min="42" max="42" width="35.42578125" style="60" bestFit="1" customWidth="1"/>
    <col min="43" max="43" width="9.28515625" style="60" bestFit="1" customWidth="1"/>
    <col min="44" max="67" width="9.140625" style="60"/>
    <col min="68" max="70" width="9.28515625" style="60" bestFit="1" customWidth="1"/>
    <col min="71" max="16384" width="9.140625" style="60"/>
  </cols>
  <sheetData>
    <row r="1" spans="1:77" ht="26.25">
      <c r="A1" s="59" t="s">
        <v>288</v>
      </c>
      <c r="AN1" s="59" t="s">
        <v>150</v>
      </c>
    </row>
    <row r="2" spans="1:77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62"/>
      <c r="Q2" s="61"/>
      <c r="R2" s="286" t="s">
        <v>154</v>
      </c>
      <c r="S2" s="286"/>
      <c r="T2" s="286"/>
      <c r="U2" s="286"/>
      <c r="V2" s="90"/>
      <c r="W2" s="283" t="s">
        <v>798</v>
      </c>
      <c r="X2" s="284"/>
      <c r="Y2" s="284"/>
      <c r="Z2" s="284"/>
      <c r="AA2" s="284"/>
      <c r="AB2" s="285"/>
      <c r="AC2" s="276" t="s">
        <v>155</v>
      </c>
      <c r="AD2" s="276" t="s">
        <v>156</v>
      </c>
      <c r="AE2" s="276" t="s">
        <v>157</v>
      </c>
      <c r="AF2" s="270" t="s">
        <v>158</v>
      </c>
      <c r="AG2" s="270" t="s">
        <v>159</v>
      </c>
      <c r="AH2" s="270" t="s">
        <v>160</v>
      </c>
      <c r="AI2" s="278" t="s">
        <v>161</v>
      </c>
      <c r="AJ2" s="278" t="s">
        <v>162</v>
      </c>
      <c r="AK2" s="278" t="s">
        <v>163</v>
      </c>
      <c r="AL2" s="280" t="s">
        <v>164</v>
      </c>
      <c r="AN2" s="281" t="s">
        <v>151</v>
      </c>
      <c r="AO2" s="281" t="s">
        <v>152</v>
      </c>
      <c r="AP2" s="281" t="s">
        <v>0</v>
      </c>
      <c r="AQ2" s="272" t="s">
        <v>153</v>
      </c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62"/>
      <c r="BD2" s="61"/>
      <c r="BE2" s="274" t="s">
        <v>154</v>
      </c>
      <c r="BF2" s="274"/>
      <c r="BG2" s="274"/>
      <c r="BH2" s="274"/>
      <c r="BI2" s="275"/>
      <c r="BJ2" s="283" t="s">
        <v>798</v>
      </c>
      <c r="BK2" s="284"/>
      <c r="BL2" s="284"/>
      <c r="BM2" s="284"/>
      <c r="BN2" s="284"/>
      <c r="BO2" s="285"/>
      <c r="BP2" s="276" t="s">
        <v>155</v>
      </c>
      <c r="BQ2" s="276" t="s">
        <v>156</v>
      </c>
      <c r="BR2" s="276" t="s">
        <v>157</v>
      </c>
      <c r="BS2" s="270" t="s">
        <v>158</v>
      </c>
      <c r="BT2" s="270" t="s">
        <v>159</v>
      </c>
      <c r="BU2" s="270" t="s">
        <v>160</v>
      </c>
      <c r="BV2" s="278" t="s">
        <v>161</v>
      </c>
      <c r="BW2" s="278" t="s">
        <v>162</v>
      </c>
      <c r="BX2" s="278" t="s">
        <v>163</v>
      </c>
      <c r="BY2" s="280" t="s">
        <v>164</v>
      </c>
    </row>
    <row r="3" spans="1:77" ht="99.75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3" t="s">
        <v>58</v>
      </c>
      <c r="R3" s="64" t="s">
        <v>209</v>
      </c>
      <c r="S3" s="64" t="s">
        <v>210</v>
      </c>
      <c r="T3" s="64" t="s">
        <v>22</v>
      </c>
      <c r="U3" s="64" t="s">
        <v>87</v>
      </c>
      <c r="V3" s="64" t="s">
        <v>20</v>
      </c>
      <c r="W3" s="233" t="s">
        <v>799</v>
      </c>
      <c r="X3" s="233" t="s">
        <v>800</v>
      </c>
      <c r="Y3" s="233" t="s">
        <v>801</v>
      </c>
      <c r="Z3" s="233" t="s">
        <v>802</v>
      </c>
      <c r="AA3" s="233" t="s">
        <v>803</v>
      </c>
      <c r="AB3" s="233" t="s">
        <v>804</v>
      </c>
      <c r="AC3" s="277"/>
      <c r="AD3" s="277"/>
      <c r="AE3" s="277"/>
      <c r="AF3" s="271"/>
      <c r="AG3" s="271"/>
      <c r="AH3" s="271"/>
      <c r="AI3" s="279"/>
      <c r="AJ3" s="279"/>
      <c r="AK3" s="279"/>
      <c r="AL3" s="280"/>
      <c r="AN3" s="282"/>
      <c r="AO3" s="282"/>
      <c r="AP3" s="282"/>
      <c r="AQ3" s="63" t="s">
        <v>20</v>
      </c>
      <c r="AR3" s="63" t="s">
        <v>22</v>
      </c>
      <c r="AS3" s="63" t="s">
        <v>165</v>
      </c>
      <c r="AT3" s="63" t="s">
        <v>166</v>
      </c>
      <c r="AU3" s="63" t="s">
        <v>167</v>
      </c>
      <c r="AV3" s="63" t="s">
        <v>168</v>
      </c>
      <c r="AW3" s="63" t="s">
        <v>169</v>
      </c>
      <c r="AX3" s="63" t="s">
        <v>170</v>
      </c>
      <c r="AY3" s="63" t="s">
        <v>14</v>
      </c>
      <c r="AZ3" s="63" t="s">
        <v>120</v>
      </c>
      <c r="BA3" s="63" t="s">
        <v>171</v>
      </c>
      <c r="BB3" s="63" t="s">
        <v>172</v>
      </c>
      <c r="BC3" s="63" t="s">
        <v>55</v>
      </c>
      <c r="BD3" s="63" t="s">
        <v>58</v>
      </c>
      <c r="BE3" s="65" t="s">
        <v>14</v>
      </c>
      <c r="BF3" s="65" t="s">
        <v>22</v>
      </c>
      <c r="BG3" s="65" t="s">
        <v>85</v>
      </c>
      <c r="BH3" s="65" t="s">
        <v>87</v>
      </c>
      <c r="BI3" s="65" t="s">
        <v>20</v>
      </c>
      <c r="BJ3" s="233" t="s">
        <v>799</v>
      </c>
      <c r="BK3" s="233" t="s">
        <v>800</v>
      </c>
      <c r="BL3" s="233" t="s">
        <v>801</v>
      </c>
      <c r="BM3" s="233" t="s">
        <v>802</v>
      </c>
      <c r="BN3" s="233" t="s">
        <v>803</v>
      </c>
      <c r="BO3" s="233" t="s">
        <v>804</v>
      </c>
      <c r="BP3" s="277"/>
      <c r="BQ3" s="277"/>
      <c r="BR3" s="277"/>
      <c r="BS3" s="271"/>
      <c r="BT3" s="271"/>
      <c r="BU3" s="271"/>
      <c r="BV3" s="279"/>
      <c r="BW3" s="279"/>
      <c r="BX3" s="279"/>
      <c r="BY3" s="280"/>
    </row>
    <row r="4" spans="1:77" ht="23.1" customHeight="1">
      <c r="A4" s="66">
        <v>1</v>
      </c>
      <c r="B4" s="66">
        <v>20210078</v>
      </c>
      <c r="C4" s="77" t="s">
        <v>217</v>
      </c>
      <c r="D4" s="68">
        <f t="shared" ref="D4:D27" si="0">ROUND(IF(AQ4=0,0,MIN(MAX(AQ4,40),99)),0)</f>
        <v>99</v>
      </c>
      <c r="E4" s="68">
        <f t="shared" ref="E4:E27" si="1">ROUND(IF(AR4=0,0,MIN(MAX(AR4,40),99)),0)</f>
        <v>82</v>
      </c>
      <c r="F4" s="68">
        <f t="shared" ref="F4:F27" si="2">ROUND(IF(AS4=0,0,MIN(MAX(AS4,40),99)),0)</f>
        <v>99</v>
      </c>
      <c r="G4" s="68">
        <f t="shared" ref="G4:G27" si="3">ROUND(IF(AT4=0,0,MIN(MAX(AT4,40),99)),0)</f>
        <v>98</v>
      </c>
      <c r="H4" s="68">
        <f t="shared" ref="H4:H27" si="4">ROUND(IF(AU4=0,0,MIN(MAX(AU4,40),99)),0)</f>
        <v>96</v>
      </c>
      <c r="I4" s="68">
        <f t="shared" ref="I4:I27" si="5">ROUND(IF(AV4=0,0,MIN(MAX(AV4,40),99)),0)</f>
        <v>94</v>
      </c>
      <c r="J4" s="68">
        <f t="shared" ref="J4:J27" si="6">ROUND(IF(AW4=0,0,MIN(MAX(AW4,40),99)),0)</f>
        <v>99</v>
      </c>
      <c r="K4" s="68">
        <f t="shared" ref="K4:K27" si="7">ROUND(IF(AX4=0,0,MIN(MAX(AX4,40),99)),0)</f>
        <v>87</v>
      </c>
      <c r="L4" s="68">
        <f t="shared" ref="L4:L27" si="8">ROUND(IF(AY4=0,0,MIN(MAX(AY4,40),99)),0)</f>
        <v>98</v>
      </c>
      <c r="M4" s="68">
        <f t="shared" ref="M4:M27" si="9">ROUND(IF(AZ4=0,0,MIN(MAX(AZ4,40),99)),0)</f>
        <v>73</v>
      </c>
      <c r="N4" s="68">
        <f t="shared" ref="N4:N27" si="10">ROUND(IF(BA4=0,0,MIN(MAX(BA4,40),99)),0)</f>
        <v>79</v>
      </c>
      <c r="O4" s="68">
        <f t="shared" ref="O4:O27" si="11">ROUND(IF(BB4=0,0,MIN(MAX(BB4,40),99)),0)</f>
        <v>95</v>
      </c>
      <c r="P4" s="68">
        <f t="shared" ref="P4:P27" si="12">ROUND(IF(BC4=0,0,MIN(MAX(BC4,40),99)),0)</f>
        <v>79</v>
      </c>
      <c r="Q4" s="68">
        <f t="shared" ref="Q4:Q27" si="13">ROUND(IF(BD4=0,0,MIN(MAX(BD4,40),99)),0)</f>
        <v>70</v>
      </c>
      <c r="R4" s="69">
        <f t="shared" ref="R4:R27" si="14">ROUND(IF(BE4=0,0,MIN(MAX(BE4,40),99)),0)</f>
        <v>93</v>
      </c>
      <c r="S4" s="69">
        <f t="shared" ref="S4:S27" si="15">ROUND(IF(BF4=0,0,MIN(MAX(BF4,40),99)),0)</f>
        <v>95</v>
      </c>
      <c r="T4" s="69">
        <f t="shared" ref="T4:T27" si="16">ROUND(IF(BG4=0,0,MIN(MAX(BG4,40),99)),0)</f>
        <v>80</v>
      </c>
      <c r="U4" s="69">
        <f t="shared" ref="U4:U27" si="17">ROUND(IF(BH4=0,0,MIN(MAX(BH4,40),99)),0)</f>
        <v>60</v>
      </c>
      <c r="V4" s="69">
        <f t="shared" ref="V4:V27" si="18">ROUND(IF(BI4=0,0,MIN(MAX(BI4,40),99)),0)</f>
        <v>90</v>
      </c>
      <c r="W4" s="234">
        <f t="shared" ref="W4:W27" si="19">ROUND(IF(BJ4=0,0,MIN(MAX(BJ4,40),99)),0)</f>
        <v>98</v>
      </c>
      <c r="X4" s="234">
        <f t="shared" ref="X4:X27" si="20">ROUND(IF(BK4=0,0,MIN(MAX(BK4,40),99)),0)</f>
        <v>95</v>
      </c>
      <c r="Y4" s="234">
        <f t="shared" ref="Y4:Y27" si="21">ROUND(IF(BL4=0,0,MIN(MAX(BL4,40),99)),0)</f>
        <v>87</v>
      </c>
      <c r="Z4" s="234">
        <f t="shared" ref="Z4:Z27" si="22">ROUND(IF(BM4=0,0,MIN(MAX(BM4,40),99)),0)</f>
        <v>93</v>
      </c>
      <c r="AA4" s="234">
        <f t="shared" ref="AA4:AA27" si="23">ROUND(IF(BN4=0,0,MIN(MAX(BN4,40),99)),0)</f>
        <v>95</v>
      </c>
      <c r="AB4" s="234">
        <f t="shared" ref="AB4:AB27" si="24">ROUND(IF(BO4=0,0,MIN(MAX(BO4,40),99)),0)</f>
        <v>63</v>
      </c>
      <c r="AC4" s="70">
        <f t="shared" ref="AC4:AC27" si="25">SUM(D4:V4)</f>
        <v>1666</v>
      </c>
      <c r="AD4" s="71">
        <f t="shared" ref="AD4:AD27" si="26">AVERAGE(D4:V4)</f>
        <v>87.684210526315795</v>
      </c>
      <c r="AE4" s="72">
        <f t="shared" ref="AE4:AE27" si="27">RANK(AC4,$AC$4:$AC$27)</f>
        <v>1</v>
      </c>
      <c r="AF4" s="73" t="s">
        <v>806</v>
      </c>
      <c r="AG4" s="73" t="s">
        <v>806</v>
      </c>
      <c r="AH4" s="73" t="s">
        <v>806</v>
      </c>
      <c r="AI4" s="74">
        <v>4</v>
      </c>
      <c r="AJ4" s="74">
        <v>0</v>
      </c>
      <c r="AK4" s="74">
        <v>1</v>
      </c>
      <c r="AL4" s="75"/>
      <c r="AN4" s="66">
        <v>7</v>
      </c>
      <c r="AO4" s="66">
        <v>20210078</v>
      </c>
      <c r="AP4" s="77" t="s">
        <v>217</v>
      </c>
      <c r="AQ4" s="68">
        <v>100</v>
      </c>
      <c r="AR4" s="68">
        <v>82.359999999999985</v>
      </c>
      <c r="AS4" s="68">
        <v>100</v>
      </c>
      <c r="AT4" s="68">
        <v>97.9</v>
      </c>
      <c r="AU4" s="68">
        <v>95.8</v>
      </c>
      <c r="AV4" s="68">
        <v>94.3</v>
      </c>
      <c r="AW4" s="68">
        <v>98.5</v>
      </c>
      <c r="AX4" s="68">
        <v>86.5</v>
      </c>
      <c r="AY4" s="68">
        <v>97.5</v>
      </c>
      <c r="AZ4" s="68">
        <v>73</v>
      </c>
      <c r="BA4" s="68">
        <v>79</v>
      </c>
      <c r="BB4" s="68">
        <v>95</v>
      </c>
      <c r="BC4" s="68">
        <v>79</v>
      </c>
      <c r="BD4" s="68">
        <v>70</v>
      </c>
      <c r="BE4" s="260">
        <v>93.111111111111114</v>
      </c>
      <c r="BF4" s="76">
        <v>95</v>
      </c>
      <c r="BG4" s="76">
        <v>80</v>
      </c>
      <c r="BH4" s="76">
        <v>60</v>
      </c>
      <c r="BI4" s="76">
        <v>90</v>
      </c>
      <c r="BJ4" s="234">
        <v>97.5</v>
      </c>
      <c r="BK4" s="234">
        <v>95</v>
      </c>
      <c r="BL4" s="234">
        <f t="shared" ref="BL4:BL27" si="28">AX4</f>
        <v>86.5</v>
      </c>
      <c r="BM4" s="234">
        <v>92.5</v>
      </c>
      <c r="BN4" s="234">
        <v>95</v>
      </c>
      <c r="BO4" s="234">
        <v>62.5</v>
      </c>
      <c r="BP4" s="70">
        <f t="shared" ref="BP4:BP29" si="29">SUM(AQ4:BI4)</f>
        <v>1666.9711111111112</v>
      </c>
      <c r="BQ4" s="71">
        <f t="shared" ref="BQ4:BQ29" si="30">AVERAGE(AQ4:BI4)</f>
        <v>87.735321637426907</v>
      </c>
      <c r="BR4" s="72" t="e">
        <f t="shared" ref="BR4:BR27" si="31">RANK(BP4,$AC$4:$AC$27)</f>
        <v>#N/A</v>
      </c>
      <c r="BS4" s="73"/>
      <c r="BT4" s="73"/>
      <c r="BU4" s="73"/>
      <c r="BV4" s="74"/>
      <c r="BW4" s="74"/>
      <c r="BX4" s="74"/>
      <c r="BY4" s="75"/>
    </row>
    <row r="5" spans="1:77" ht="23.1" customHeight="1">
      <c r="A5" s="66">
        <v>2</v>
      </c>
      <c r="B5" s="91">
        <v>18190071</v>
      </c>
      <c r="C5" s="92" t="s">
        <v>226</v>
      </c>
      <c r="D5" s="68">
        <f t="shared" si="0"/>
        <v>99</v>
      </c>
      <c r="E5" s="68">
        <f t="shared" si="1"/>
        <v>67</v>
      </c>
      <c r="F5" s="68">
        <f t="shared" si="2"/>
        <v>83</v>
      </c>
      <c r="G5" s="68">
        <f t="shared" si="3"/>
        <v>99</v>
      </c>
      <c r="H5" s="68">
        <f t="shared" si="4"/>
        <v>87</v>
      </c>
      <c r="I5" s="68">
        <f t="shared" si="5"/>
        <v>92</v>
      </c>
      <c r="J5" s="68">
        <f t="shared" si="6"/>
        <v>95</v>
      </c>
      <c r="K5" s="68">
        <f t="shared" si="7"/>
        <v>77</v>
      </c>
      <c r="L5" s="68">
        <f t="shared" si="8"/>
        <v>98</v>
      </c>
      <c r="M5" s="68">
        <f t="shared" si="9"/>
        <v>73</v>
      </c>
      <c r="N5" s="68">
        <f t="shared" si="10"/>
        <v>79</v>
      </c>
      <c r="O5" s="68">
        <f t="shared" si="11"/>
        <v>93</v>
      </c>
      <c r="P5" s="68">
        <f t="shared" si="12"/>
        <v>79</v>
      </c>
      <c r="Q5" s="68">
        <f t="shared" si="13"/>
        <v>73</v>
      </c>
      <c r="R5" s="69">
        <f t="shared" si="14"/>
        <v>93</v>
      </c>
      <c r="S5" s="69">
        <f t="shared" si="15"/>
        <v>95</v>
      </c>
      <c r="T5" s="69">
        <f t="shared" si="16"/>
        <v>80</v>
      </c>
      <c r="U5" s="69">
        <f t="shared" si="17"/>
        <v>60</v>
      </c>
      <c r="V5" s="69">
        <f t="shared" si="18"/>
        <v>60</v>
      </c>
      <c r="W5" s="234">
        <f t="shared" si="19"/>
        <v>98</v>
      </c>
      <c r="X5" s="234">
        <f t="shared" si="20"/>
        <v>90</v>
      </c>
      <c r="Y5" s="234">
        <f t="shared" si="21"/>
        <v>77</v>
      </c>
      <c r="Z5" s="234">
        <f t="shared" si="22"/>
        <v>95</v>
      </c>
      <c r="AA5" s="234">
        <f t="shared" si="23"/>
        <v>85</v>
      </c>
      <c r="AB5" s="234">
        <f t="shared" si="24"/>
        <v>78</v>
      </c>
      <c r="AC5" s="70">
        <f t="shared" si="25"/>
        <v>1582</v>
      </c>
      <c r="AD5" s="71">
        <f t="shared" si="26"/>
        <v>83.263157894736835</v>
      </c>
      <c r="AE5" s="72">
        <f t="shared" si="27"/>
        <v>2</v>
      </c>
      <c r="AF5" s="73" t="s">
        <v>805</v>
      </c>
      <c r="AG5" s="73" t="s">
        <v>805</v>
      </c>
      <c r="AH5" s="73" t="s">
        <v>805</v>
      </c>
      <c r="AI5" s="74">
        <v>0</v>
      </c>
      <c r="AJ5" s="74">
        <v>0</v>
      </c>
      <c r="AK5" s="74">
        <v>0</v>
      </c>
      <c r="AL5" s="75"/>
      <c r="AN5" s="66">
        <v>16</v>
      </c>
      <c r="AO5" s="66">
        <v>18190071</v>
      </c>
      <c r="AP5" s="78" t="s">
        <v>226</v>
      </c>
      <c r="AQ5" s="68">
        <v>98.5</v>
      </c>
      <c r="AR5" s="68">
        <v>67</v>
      </c>
      <c r="AS5" s="68">
        <v>82.899999999999991</v>
      </c>
      <c r="AT5" s="68">
        <v>98.5</v>
      </c>
      <c r="AU5" s="68">
        <v>86.5</v>
      </c>
      <c r="AV5" s="68">
        <v>91.899999999999991</v>
      </c>
      <c r="AW5" s="68">
        <v>94.899999999999991</v>
      </c>
      <c r="AX5" s="68">
        <v>77</v>
      </c>
      <c r="AY5" s="68">
        <v>97.5</v>
      </c>
      <c r="AZ5" s="68">
        <v>73</v>
      </c>
      <c r="BA5" s="68">
        <v>79</v>
      </c>
      <c r="BB5" s="68">
        <v>93</v>
      </c>
      <c r="BC5" s="68">
        <v>79</v>
      </c>
      <c r="BD5" s="68">
        <v>73</v>
      </c>
      <c r="BE5" s="260">
        <v>93.111111111111114</v>
      </c>
      <c r="BF5" s="76">
        <v>95</v>
      </c>
      <c r="BG5" s="76">
        <v>80</v>
      </c>
      <c r="BH5" s="76">
        <v>60</v>
      </c>
      <c r="BI5" s="76">
        <v>60</v>
      </c>
      <c r="BJ5" s="234">
        <v>97.5</v>
      </c>
      <c r="BK5" s="234">
        <v>90</v>
      </c>
      <c r="BL5" s="234">
        <f t="shared" si="28"/>
        <v>77</v>
      </c>
      <c r="BM5" s="234">
        <v>95</v>
      </c>
      <c r="BN5" s="234">
        <v>85</v>
      </c>
      <c r="BO5" s="234">
        <v>77.5</v>
      </c>
      <c r="BP5" s="70">
        <f t="shared" si="29"/>
        <v>1579.8111111111109</v>
      </c>
      <c r="BQ5" s="71">
        <f t="shared" si="30"/>
        <v>83.147953216374262</v>
      </c>
      <c r="BR5" s="72" t="e">
        <f t="shared" si="31"/>
        <v>#N/A</v>
      </c>
      <c r="BS5" s="73"/>
      <c r="BT5" s="73"/>
      <c r="BU5" s="73"/>
      <c r="BV5" s="74"/>
      <c r="BW5" s="74"/>
      <c r="BX5" s="74"/>
      <c r="BY5" s="75"/>
    </row>
    <row r="6" spans="1:77" ht="23.1" customHeight="1">
      <c r="A6" s="66">
        <v>3</v>
      </c>
      <c r="B6" s="91">
        <v>18190081</v>
      </c>
      <c r="C6" s="92" t="s">
        <v>224</v>
      </c>
      <c r="D6" s="68">
        <f t="shared" si="0"/>
        <v>92</v>
      </c>
      <c r="E6" s="68">
        <f t="shared" si="1"/>
        <v>81</v>
      </c>
      <c r="F6" s="68">
        <f t="shared" si="2"/>
        <v>98</v>
      </c>
      <c r="G6" s="68">
        <f t="shared" si="3"/>
        <v>93</v>
      </c>
      <c r="H6" s="68">
        <f t="shared" si="4"/>
        <v>80</v>
      </c>
      <c r="I6" s="68">
        <f t="shared" si="5"/>
        <v>81</v>
      </c>
      <c r="J6" s="68">
        <f t="shared" si="6"/>
        <v>93</v>
      </c>
      <c r="K6" s="68">
        <f t="shared" si="7"/>
        <v>89</v>
      </c>
      <c r="L6" s="68">
        <f t="shared" si="8"/>
        <v>82</v>
      </c>
      <c r="M6" s="68">
        <f t="shared" si="9"/>
        <v>72</v>
      </c>
      <c r="N6" s="68">
        <f t="shared" si="10"/>
        <v>78</v>
      </c>
      <c r="O6" s="68">
        <f t="shared" si="11"/>
        <v>81</v>
      </c>
      <c r="P6" s="68">
        <f t="shared" si="12"/>
        <v>78</v>
      </c>
      <c r="Q6" s="68">
        <f t="shared" si="13"/>
        <v>63</v>
      </c>
      <c r="R6" s="69">
        <f t="shared" si="14"/>
        <v>93</v>
      </c>
      <c r="S6" s="69">
        <f t="shared" si="15"/>
        <v>95</v>
      </c>
      <c r="T6" s="69">
        <f t="shared" si="16"/>
        <v>80</v>
      </c>
      <c r="U6" s="69">
        <f t="shared" si="17"/>
        <v>60</v>
      </c>
      <c r="V6" s="69">
        <f t="shared" si="18"/>
        <v>90</v>
      </c>
      <c r="W6" s="234">
        <f t="shared" si="19"/>
        <v>99</v>
      </c>
      <c r="X6" s="234">
        <f t="shared" si="20"/>
        <v>93</v>
      </c>
      <c r="Y6" s="234">
        <f t="shared" si="21"/>
        <v>89</v>
      </c>
      <c r="Z6" s="234">
        <f t="shared" si="22"/>
        <v>98</v>
      </c>
      <c r="AA6" s="234">
        <f t="shared" si="23"/>
        <v>95</v>
      </c>
      <c r="AB6" s="234">
        <f t="shared" si="24"/>
        <v>75</v>
      </c>
      <c r="AC6" s="70">
        <f t="shared" si="25"/>
        <v>1579</v>
      </c>
      <c r="AD6" s="71">
        <f t="shared" si="26"/>
        <v>83.10526315789474</v>
      </c>
      <c r="AE6" s="72">
        <f t="shared" si="27"/>
        <v>3</v>
      </c>
      <c r="AF6" s="73" t="s">
        <v>805</v>
      </c>
      <c r="AG6" s="73" t="s">
        <v>805</v>
      </c>
      <c r="AH6" s="73" t="s">
        <v>805</v>
      </c>
      <c r="AI6" s="74">
        <v>49</v>
      </c>
      <c r="AJ6" s="74">
        <v>2</v>
      </c>
      <c r="AK6" s="74">
        <v>21</v>
      </c>
      <c r="AL6" s="75"/>
      <c r="AN6" s="66">
        <v>14</v>
      </c>
      <c r="AO6" s="66">
        <v>18190081</v>
      </c>
      <c r="AP6" s="77" t="s">
        <v>224</v>
      </c>
      <c r="AQ6" s="68">
        <v>91.8</v>
      </c>
      <c r="AR6" s="68">
        <v>80.58</v>
      </c>
      <c r="AS6" s="68">
        <v>97.8</v>
      </c>
      <c r="AT6" s="68">
        <v>93</v>
      </c>
      <c r="AU6" s="68">
        <v>79.8</v>
      </c>
      <c r="AV6" s="68">
        <v>81</v>
      </c>
      <c r="AW6" s="68">
        <v>93</v>
      </c>
      <c r="AX6" s="68">
        <v>88.5</v>
      </c>
      <c r="AY6" s="68">
        <v>82</v>
      </c>
      <c r="AZ6" s="68">
        <v>72</v>
      </c>
      <c r="BA6" s="68">
        <v>78</v>
      </c>
      <c r="BB6" s="68">
        <v>81</v>
      </c>
      <c r="BC6" s="68">
        <v>78</v>
      </c>
      <c r="BD6" s="68">
        <v>63</v>
      </c>
      <c r="BE6" s="260">
        <v>93.333333333333329</v>
      </c>
      <c r="BF6" s="76">
        <v>95</v>
      </c>
      <c r="BG6" s="76">
        <v>80</v>
      </c>
      <c r="BH6" s="76">
        <v>60</v>
      </c>
      <c r="BI6" s="76">
        <v>90</v>
      </c>
      <c r="BJ6" s="234">
        <v>100</v>
      </c>
      <c r="BK6" s="234">
        <v>92.5</v>
      </c>
      <c r="BL6" s="234">
        <f t="shared" si="28"/>
        <v>88.5</v>
      </c>
      <c r="BM6" s="234">
        <v>97.5</v>
      </c>
      <c r="BN6" s="234">
        <v>95</v>
      </c>
      <c r="BO6" s="234">
        <v>75</v>
      </c>
      <c r="BP6" s="70">
        <f t="shared" si="29"/>
        <v>1577.8133333333333</v>
      </c>
      <c r="BQ6" s="71">
        <f t="shared" si="30"/>
        <v>83.042807017543851</v>
      </c>
      <c r="BR6" s="72" t="e">
        <f t="shared" si="31"/>
        <v>#N/A</v>
      </c>
      <c r="BS6" s="73"/>
      <c r="BT6" s="73"/>
      <c r="BU6" s="73"/>
      <c r="BV6" s="74"/>
      <c r="BW6" s="74"/>
      <c r="BX6" s="74"/>
      <c r="BY6" s="75"/>
    </row>
    <row r="7" spans="1:77" ht="23.1" customHeight="1">
      <c r="A7" s="66">
        <v>4</v>
      </c>
      <c r="B7" s="91">
        <v>18190076</v>
      </c>
      <c r="C7" s="92" t="s">
        <v>219</v>
      </c>
      <c r="D7" s="68">
        <f t="shared" si="0"/>
        <v>85</v>
      </c>
      <c r="E7" s="68">
        <f t="shared" si="1"/>
        <v>75</v>
      </c>
      <c r="F7" s="68">
        <f t="shared" si="2"/>
        <v>87</v>
      </c>
      <c r="G7" s="68">
        <f t="shared" si="3"/>
        <v>95</v>
      </c>
      <c r="H7" s="68">
        <f t="shared" si="4"/>
        <v>80</v>
      </c>
      <c r="I7" s="68">
        <f t="shared" si="5"/>
        <v>86</v>
      </c>
      <c r="J7" s="68">
        <f t="shared" si="6"/>
        <v>93</v>
      </c>
      <c r="K7" s="68">
        <f t="shared" si="7"/>
        <v>76</v>
      </c>
      <c r="L7" s="68">
        <f t="shared" si="8"/>
        <v>91</v>
      </c>
      <c r="M7" s="68">
        <f t="shared" si="9"/>
        <v>72</v>
      </c>
      <c r="N7" s="68">
        <f t="shared" si="10"/>
        <v>78</v>
      </c>
      <c r="O7" s="68">
        <f t="shared" si="11"/>
        <v>85</v>
      </c>
      <c r="P7" s="68">
        <f t="shared" si="12"/>
        <v>78</v>
      </c>
      <c r="Q7" s="68">
        <f t="shared" si="13"/>
        <v>69</v>
      </c>
      <c r="R7" s="69">
        <f t="shared" si="14"/>
        <v>91</v>
      </c>
      <c r="S7" s="69">
        <f t="shared" si="15"/>
        <v>95</v>
      </c>
      <c r="T7" s="69">
        <f t="shared" si="16"/>
        <v>80</v>
      </c>
      <c r="U7" s="69">
        <f t="shared" si="17"/>
        <v>60</v>
      </c>
      <c r="V7" s="69">
        <f t="shared" si="18"/>
        <v>90</v>
      </c>
      <c r="W7" s="234">
        <f t="shared" si="19"/>
        <v>99</v>
      </c>
      <c r="X7" s="234">
        <f t="shared" si="20"/>
        <v>93</v>
      </c>
      <c r="Y7" s="234">
        <f t="shared" si="21"/>
        <v>76</v>
      </c>
      <c r="Z7" s="234">
        <f t="shared" si="22"/>
        <v>95</v>
      </c>
      <c r="AA7" s="234">
        <f t="shared" si="23"/>
        <v>88</v>
      </c>
      <c r="AB7" s="234">
        <f t="shared" si="24"/>
        <v>75</v>
      </c>
      <c r="AC7" s="70">
        <f t="shared" si="25"/>
        <v>1566</v>
      </c>
      <c r="AD7" s="71">
        <f t="shared" si="26"/>
        <v>82.421052631578945</v>
      </c>
      <c r="AE7" s="72">
        <f t="shared" si="27"/>
        <v>4</v>
      </c>
      <c r="AF7" s="73" t="s">
        <v>805</v>
      </c>
      <c r="AG7" s="73" t="s">
        <v>805</v>
      </c>
      <c r="AH7" s="73" t="s">
        <v>805</v>
      </c>
      <c r="AI7" s="74">
        <v>7</v>
      </c>
      <c r="AJ7" s="74">
        <v>7</v>
      </c>
      <c r="AK7" s="74">
        <v>0</v>
      </c>
      <c r="AL7" s="75"/>
      <c r="AN7" s="66">
        <v>9</v>
      </c>
      <c r="AO7" s="66">
        <v>18190076</v>
      </c>
      <c r="AP7" s="79" t="s">
        <v>219</v>
      </c>
      <c r="AQ7" s="68">
        <v>84.6</v>
      </c>
      <c r="AR7" s="68">
        <v>75.06</v>
      </c>
      <c r="AS7" s="68">
        <v>86.699999999999989</v>
      </c>
      <c r="AT7" s="68">
        <v>95.4</v>
      </c>
      <c r="AU7" s="68">
        <v>79.8</v>
      </c>
      <c r="AV7" s="68">
        <v>85.8</v>
      </c>
      <c r="AW7" s="68">
        <v>93</v>
      </c>
      <c r="AX7" s="68">
        <v>76</v>
      </c>
      <c r="AY7" s="68">
        <v>90.8</v>
      </c>
      <c r="AZ7" s="68">
        <v>72</v>
      </c>
      <c r="BA7" s="68">
        <v>78</v>
      </c>
      <c r="BB7" s="68">
        <v>85.3</v>
      </c>
      <c r="BC7" s="68">
        <v>78</v>
      </c>
      <c r="BD7" s="68">
        <v>69</v>
      </c>
      <c r="BE7" s="260">
        <v>90.888888888888886</v>
      </c>
      <c r="BF7" s="76">
        <v>95</v>
      </c>
      <c r="BG7" s="76">
        <v>80</v>
      </c>
      <c r="BH7" s="76">
        <v>60</v>
      </c>
      <c r="BI7" s="76">
        <v>90</v>
      </c>
      <c r="BJ7" s="234">
        <v>100</v>
      </c>
      <c r="BK7" s="234">
        <v>92.5</v>
      </c>
      <c r="BL7" s="234">
        <f t="shared" si="28"/>
        <v>76</v>
      </c>
      <c r="BM7" s="234">
        <v>95</v>
      </c>
      <c r="BN7" s="234">
        <v>87.5</v>
      </c>
      <c r="BO7" s="234">
        <v>75</v>
      </c>
      <c r="BP7" s="70">
        <f t="shared" si="29"/>
        <v>1565.348888888889</v>
      </c>
      <c r="BQ7" s="71">
        <f t="shared" si="30"/>
        <v>82.386783625730999</v>
      </c>
      <c r="BR7" s="72" t="e">
        <f t="shared" si="31"/>
        <v>#N/A</v>
      </c>
      <c r="BS7" s="73"/>
      <c r="BT7" s="73"/>
      <c r="BU7" s="73"/>
      <c r="BV7" s="74"/>
      <c r="BW7" s="74"/>
      <c r="BX7" s="74"/>
      <c r="BY7" s="75"/>
    </row>
    <row r="8" spans="1:77" ht="23.1" customHeight="1">
      <c r="A8" s="66">
        <v>5</v>
      </c>
      <c r="B8" s="91">
        <v>19200116</v>
      </c>
      <c r="C8" s="92" t="s">
        <v>222</v>
      </c>
      <c r="D8" s="68">
        <f t="shared" si="0"/>
        <v>99</v>
      </c>
      <c r="E8" s="68">
        <f t="shared" si="1"/>
        <v>64</v>
      </c>
      <c r="F8" s="68">
        <f t="shared" si="2"/>
        <v>88</v>
      </c>
      <c r="G8" s="68">
        <f t="shared" si="3"/>
        <v>92</v>
      </c>
      <c r="H8" s="68">
        <f t="shared" si="4"/>
        <v>84</v>
      </c>
      <c r="I8" s="68">
        <f t="shared" si="5"/>
        <v>85</v>
      </c>
      <c r="J8" s="68">
        <f t="shared" si="6"/>
        <v>90</v>
      </c>
      <c r="K8" s="68">
        <f t="shared" si="7"/>
        <v>74</v>
      </c>
      <c r="L8" s="68">
        <f t="shared" si="8"/>
        <v>90</v>
      </c>
      <c r="M8" s="68">
        <f t="shared" si="9"/>
        <v>73</v>
      </c>
      <c r="N8" s="68">
        <f t="shared" si="10"/>
        <v>79</v>
      </c>
      <c r="O8" s="68">
        <f t="shared" si="11"/>
        <v>91</v>
      </c>
      <c r="P8" s="68">
        <f t="shared" si="12"/>
        <v>79</v>
      </c>
      <c r="Q8" s="68">
        <f t="shared" si="13"/>
        <v>64</v>
      </c>
      <c r="R8" s="69">
        <f t="shared" si="14"/>
        <v>93</v>
      </c>
      <c r="S8" s="69">
        <f t="shared" si="15"/>
        <v>95</v>
      </c>
      <c r="T8" s="69">
        <f t="shared" si="16"/>
        <v>80</v>
      </c>
      <c r="U8" s="69">
        <f t="shared" si="17"/>
        <v>60</v>
      </c>
      <c r="V8" s="69">
        <f t="shared" si="18"/>
        <v>82</v>
      </c>
      <c r="W8" s="234">
        <f t="shared" si="19"/>
        <v>99</v>
      </c>
      <c r="X8" s="234">
        <f t="shared" si="20"/>
        <v>95</v>
      </c>
      <c r="Y8" s="234">
        <f t="shared" si="21"/>
        <v>74</v>
      </c>
      <c r="Z8" s="234">
        <f t="shared" si="22"/>
        <v>93</v>
      </c>
      <c r="AA8" s="234">
        <f t="shared" si="23"/>
        <v>75</v>
      </c>
      <c r="AB8" s="234">
        <f t="shared" si="24"/>
        <v>80</v>
      </c>
      <c r="AC8" s="70">
        <f t="shared" si="25"/>
        <v>1562</v>
      </c>
      <c r="AD8" s="71">
        <f t="shared" si="26"/>
        <v>82.21052631578948</v>
      </c>
      <c r="AE8" s="72">
        <f t="shared" si="27"/>
        <v>5</v>
      </c>
      <c r="AF8" s="73" t="s">
        <v>805</v>
      </c>
      <c r="AG8" s="73" t="s">
        <v>805</v>
      </c>
      <c r="AH8" s="73" t="s">
        <v>805</v>
      </c>
      <c r="AI8" s="74">
        <v>0</v>
      </c>
      <c r="AJ8" s="74">
        <v>0</v>
      </c>
      <c r="AK8" s="74">
        <v>0</v>
      </c>
      <c r="AL8" s="75"/>
      <c r="AN8" s="66">
        <v>12</v>
      </c>
      <c r="AO8" s="66">
        <v>19200116</v>
      </c>
      <c r="AP8" s="77" t="s">
        <v>222</v>
      </c>
      <c r="AQ8" s="68">
        <v>99.1</v>
      </c>
      <c r="AR8" s="68">
        <v>64.180000000000007</v>
      </c>
      <c r="AS8" s="68">
        <v>88</v>
      </c>
      <c r="AT8" s="68">
        <v>92</v>
      </c>
      <c r="AU8" s="68">
        <v>84.4</v>
      </c>
      <c r="AV8" s="68">
        <v>85</v>
      </c>
      <c r="AW8" s="68">
        <v>89.8</v>
      </c>
      <c r="AX8" s="68">
        <v>73.5</v>
      </c>
      <c r="AY8" s="68">
        <v>89.5</v>
      </c>
      <c r="AZ8" s="68">
        <v>73</v>
      </c>
      <c r="BA8" s="68">
        <v>79</v>
      </c>
      <c r="BB8" s="68">
        <v>90.5</v>
      </c>
      <c r="BC8" s="68">
        <v>79</v>
      </c>
      <c r="BD8" s="68">
        <v>64</v>
      </c>
      <c r="BE8" s="260">
        <v>93.111111111111114</v>
      </c>
      <c r="BF8" s="76">
        <v>95</v>
      </c>
      <c r="BG8" s="76">
        <v>80</v>
      </c>
      <c r="BH8" s="76">
        <v>60</v>
      </c>
      <c r="BI8" s="76">
        <v>82</v>
      </c>
      <c r="BJ8" s="234">
        <v>100</v>
      </c>
      <c r="BK8" s="234">
        <v>95</v>
      </c>
      <c r="BL8" s="234">
        <f t="shared" si="28"/>
        <v>73.5</v>
      </c>
      <c r="BM8" s="234">
        <v>92.5</v>
      </c>
      <c r="BN8" s="234">
        <v>75</v>
      </c>
      <c r="BO8" s="234">
        <v>80</v>
      </c>
      <c r="BP8" s="70">
        <f t="shared" si="29"/>
        <v>1561.0911111111111</v>
      </c>
      <c r="BQ8" s="71">
        <f t="shared" si="30"/>
        <v>82.162690058479527</v>
      </c>
      <c r="BR8" s="72" t="e">
        <f t="shared" si="31"/>
        <v>#N/A</v>
      </c>
      <c r="BS8" s="73"/>
      <c r="BT8" s="73"/>
      <c r="BU8" s="73"/>
      <c r="BV8" s="74"/>
      <c r="BW8" s="74"/>
      <c r="BX8" s="74"/>
      <c r="BY8" s="75"/>
    </row>
    <row r="9" spans="1:77" ht="23.1" customHeight="1">
      <c r="A9" s="66">
        <v>6</v>
      </c>
      <c r="B9" s="91">
        <v>19200082</v>
      </c>
      <c r="C9" s="92" t="s">
        <v>220</v>
      </c>
      <c r="D9" s="68">
        <f t="shared" si="0"/>
        <v>98</v>
      </c>
      <c r="E9" s="68">
        <f t="shared" si="1"/>
        <v>59</v>
      </c>
      <c r="F9" s="68">
        <f t="shared" si="2"/>
        <v>87</v>
      </c>
      <c r="G9" s="68">
        <f t="shared" si="3"/>
        <v>94</v>
      </c>
      <c r="H9" s="68">
        <f t="shared" si="4"/>
        <v>83</v>
      </c>
      <c r="I9" s="68">
        <f t="shared" si="5"/>
        <v>67</v>
      </c>
      <c r="J9" s="68">
        <f t="shared" si="6"/>
        <v>94</v>
      </c>
      <c r="K9" s="68">
        <f t="shared" si="7"/>
        <v>83</v>
      </c>
      <c r="L9" s="68">
        <f t="shared" si="8"/>
        <v>96</v>
      </c>
      <c r="M9" s="68">
        <f t="shared" si="9"/>
        <v>73</v>
      </c>
      <c r="N9" s="68">
        <f t="shared" si="10"/>
        <v>79</v>
      </c>
      <c r="O9" s="68">
        <f t="shared" si="11"/>
        <v>85</v>
      </c>
      <c r="P9" s="68">
        <f t="shared" si="12"/>
        <v>79</v>
      </c>
      <c r="Q9" s="68">
        <f t="shared" si="13"/>
        <v>64</v>
      </c>
      <c r="R9" s="69">
        <f t="shared" si="14"/>
        <v>93</v>
      </c>
      <c r="S9" s="69">
        <f t="shared" si="15"/>
        <v>95</v>
      </c>
      <c r="T9" s="69">
        <f t="shared" si="16"/>
        <v>80</v>
      </c>
      <c r="U9" s="69">
        <f t="shared" si="17"/>
        <v>60</v>
      </c>
      <c r="V9" s="69">
        <f t="shared" si="18"/>
        <v>90</v>
      </c>
      <c r="W9" s="234">
        <f t="shared" si="19"/>
        <v>99</v>
      </c>
      <c r="X9" s="234">
        <f t="shared" si="20"/>
        <v>93</v>
      </c>
      <c r="Y9" s="234">
        <f t="shared" si="21"/>
        <v>83</v>
      </c>
      <c r="Z9" s="234">
        <f t="shared" si="22"/>
        <v>90</v>
      </c>
      <c r="AA9" s="234">
        <f t="shared" si="23"/>
        <v>95</v>
      </c>
      <c r="AB9" s="234">
        <f t="shared" si="24"/>
        <v>75</v>
      </c>
      <c r="AC9" s="70">
        <f t="shared" si="25"/>
        <v>1559</v>
      </c>
      <c r="AD9" s="71">
        <f t="shared" si="26"/>
        <v>82.05263157894737</v>
      </c>
      <c r="AE9" s="72">
        <f t="shared" si="27"/>
        <v>6</v>
      </c>
      <c r="AF9" s="73" t="s">
        <v>805</v>
      </c>
      <c r="AG9" s="73" t="s">
        <v>805</v>
      </c>
      <c r="AH9" s="73" t="s">
        <v>805</v>
      </c>
      <c r="AI9" s="74">
        <v>4</v>
      </c>
      <c r="AJ9" s="74">
        <v>0</v>
      </c>
      <c r="AK9" s="74">
        <v>0</v>
      </c>
      <c r="AL9" s="75"/>
      <c r="AN9" s="66">
        <v>10</v>
      </c>
      <c r="AO9" s="66">
        <v>19200082</v>
      </c>
      <c r="AP9" s="77" t="s">
        <v>220</v>
      </c>
      <c r="AQ9" s="68">
        <v>97.6</v>
      </c>
      <c r="AR9" s="68">
        <v>58.599999999999994</v>
      </c>
      <c r="AS9" s="68">
        <v>87.1</v>
      </c>
      <c r="AT9" s="68">
        <v>94</v>
      </c>
      <c r="AU9" s="68">
        <v>83.199999999999989</v>
      </c>
      <c r="AV9" s="68">
        <v>67</v>
      </c>
      <c r="AW9" s="68">
        <v>94</v>
      </c>
      <c r="AX9" s="68">
        <v>83</v>
      </c>
      <c r="AY9" s="68">
        <v>95.5</v>
      </c>
      <c r="AZ9" s="68">
        <v>73</v>
      </c>
      <c r="BA9" s="68">
        <v>79</v>
      </c>
      <c r="BB9" s="68">
        <v>85</v>
      </c>
      <c r="BC9" s="68">
        <v>79</v>
      </c>
      <c r="BD9" s="68">
        <v>64</v>
      </c>
      <c r="BE9" s="260">
        <v>93.333333333333329</v>
      </c>
      <c r="BF9" s="76">
        <v>95</v>
      </c>
      <c r="BG9" s="76">
        <v>80</v>
      </c>
      <c r="BH9" s="76">
        <v>60</v>
      </c>
      <c r="BI9" s="76">
        <v>90</v>
      </c>
      <c r="BJ9" s="234">
        <v>100</v>
      </c>
      <c r="BK9" s="234">
        <v>92.5</v>
      </c>
      <c r="BL9" s="234">
        <f t="shared" si="28"/>
        <v>83</v>
      </c>
      <c r="BM9" s="234">
        <v>90</v>
      </c>
      <c r="BN9" s="234">
        <v>95</v>
      </c>
      <c r="BO9" s="234">
        <v>75</v>
      </c>
      <c r="BP9" s="70">
        <f t="shared" si="29"/>
        <v>1558.3333333333333</v>
      </c>
      <c r="BQ9" s="71">
        <f t="shared" si="30"/>
        <v>82.017543859649123</v>
      </c>
      <c r="BR9" s="72" t="e">
        <f t="shared" si="31"/>
        <v>#N/A</v>
      </c>
      <c r="BS9" s="73"/>
      <c r="BT9" s="73"/>
      <c r="BU9" s="73"/>
      <c r="BV9" s="74"/>
      <c r="BW9" s="74"/>
      <c r="BX9" s="74"/>
      <c r="BY9" s="75"/>
    </row>
    <row r="10" spans="1:77" ht="23.1" customHeight="1">
      <c r="A10" s="66">
        <v>7</v>
      </c>
      <c r="B10" s="66">
        <v>19200155</v>
      </c>
      <c r="C10" s="77" t="s">
        <v>233</v>
      </c>
      <c r="D10" s="68">
        <f t="shared" si="0"/>
        <v>99</v>
      </c>
      <c r="E10" s="68">
        <f t="shared" si="1"/>
        <v>68</v>
      </c>
      <c r="F10" s="68">
        <f t="shared" si="2"/>
        <v>90</v>
      </c>
      <c r="G10" s="68">
        <f t="shared" si="3"/>
        <v>90</v>
      </c>
      <c r="H10" s="68">
        <f t="shared" si="4"/>
        <v>83</v>
      </c>
      <c r="I10" s="68">
        <f t="shared" si="5"/>
        <v>72</v>
      </c>
      <c r="J10" s="68">
        <f t="shared" si="6"/>
        <v>93</v>
      </c>
      <c r="K10" s="68">
        <f t="shared" si="7"/>
        <v>79</v>
      </c>
      <c r="L10" s="68">
        <f t="shared" si="8"/>
        <v>96</v>
      </c>
      <c r="M10" s="68">
        <f t="shared" si="9"/>
        <v>73</v>
      </c>
      <c r="N10" s="68">
        <f t="shared" si="10"/>
        <v>79</v>
      </c>
      <c r="O10" s="68">
        <f t="shared" si="11"/>
        <v>87</v>
      </c>
      <c r="P10" s="68">
        <f t="shared" si="12"/>
        <v>79</v>
      </c>
      <c r="Q10" s="68">
        <f t="shared" si="13"/>
        <v>64</v>
      </c>
      <c r="R10" s="69">
        <f t="shared" si="14"/>
        <v>93</v>
      </c>
      <c r="S10" s="69">
        <f t="shared" si="15"/>
        <v>85</v>
      </c>
      <c r="T10" s="69">
        <f t="shared" si="16"/>
        <v>80</v>
      </c>
      <c r="U10" s="69">
        <f t="shared" si="17"/>
        <v>60</v>
      </c>
      <c r="V10" s="69">
        <f t="shared" si="18"/>
        <v>80</v>
      </c>
      <c r="W10" s="234">
        <f t="shared" si="19"/>
        <v>98</v>
      </c>
      <c r="X10" s="234">
        <f t="shared" si="20"/>
        <v>93</v>
      </c>
      <c r="Y10" s="234">
        <f t="shared" si="21"/>
        <v>79</v>
      </c>
      <c r="Z10" s="234">
        <f t="shared" si="22"/>
        <v>85</v>
      </c>
      <c r="AA10" s="234">
        <f t="shared" si="23"/>
        <v>73</v>
      </c>
      <c r="AB10" s="234">
        <f t="shared" si="24"/>
        <v>68</v>
      </c>
      <c r="AC10" s="70">
        <f t="shared" si="25"/>
        <v>1550</v>
      </c>
      <c r="AD10" s="71">
        <f t="shared" si="26"/>
        <v>81.578947368421055</v>
      </c>
      <c r="AE10" s="72">
        <f t="shared" si="27"/>
        <v>7</v>
      </c>
      <c r="AF10" s="73" t="s">
        <v>805</v>
      </c>
      <c r="AG10" s="73" t="s">
        <v>805</v>
      </c>
      <c r="AH10" s="73" t="s">
        <v>805</v>
      </c>
      <c r="AI10" s="74">
        <v>0</v>
      </c>
      <c r="AJ10" s="74">
        <v>0</v>
      </c>
      <c r="AK10" s="74">
        <v>18</v>
      </c>
      <c r="AL10" s="75"/>
      <c r="AN10" s="66">
        <v>23</v>
      </c>
      <c r="AO10" s="66">
        <v>19200155</v>
      </c>
      <c r="AP10" s="77" t="s">
        <v>233</v>
      </c>
      <c r="AQ10" s="68">
        <v>99.1</v>
      </c>
      <c r="AR10" s="68">
        <v>67.599999999999994</v>
      </c>
      <c r="AS10" s="68">
        <v>89.8</v>
      </c>
      <c r="AT10" s="68">
        <v>90</v>
      </c>
      <c r="AU10" s="68">
        <v>83.199999999999989</v>
      </c>
      <c r="AV10" s="68">
        <v>71.8</v>
      </c>
      <c r="AW10" s="68">
        <v>92.8</v>
      </c>
      <c r="AX10" s="68">
        <v>79</v>
      </c>
      <c r="AY10" s="68">
        <v>96</v>
      </c>
      <c r="AZ10" s="68">
        <v>73</v>
      </c>
      <c r="BA10" s="68">
        <v>79</v>
      </c>
      <c r="BB10" s="68">
        <v>86.5</v>
      </c>
      <c r="BC10" s="68">
        <v>79</v>
      </c>
      <c r="BD10" s="68">
        <v>64</v>
      </c>
      <c r="BE10" s="260">
        <v>93.111111111111114</v>
      </c>
      <c r="BF10" s="76">
        <v>85</v>
      </c>
      <c r="BG10" s="76">
        <v>80</v>
      </c>
      <c r="BH10" s="76">
        <v>60</v>
      </c>
      <c r="BI10" s="76">
        <v>80</v>
      </c>
      <c r="BJ10" s="234">
        <v>97.5</v>
      </c>
      <c r="BK10" s="234">
        <v>92.5</v>
      </c>
      <c r="BL10" s="234">
        <f t="shared" si="28"/>
        <v>79</v>
      </c>
      <c r="BM10" s="234">
        <v>85</v>
      </c>
      <c r="BN10" s="234">
        <v>72.5</v>
      </c>
      <c r="BO10" s="234">
        <v>67.5</v>
      </c>
      <c r="BP10" s="70">
        <f t="shared" si="29"/>
        <v>1548.911111111111</v>
      </c>
      <c r="BQ10" s="71">
        <f t="shared" si="30"/>
        <v>81.521637426900583</v>
      </c>
      <c r="BR10" s="72" t="e">
        <f t="shared" si="31"/>
        <v>#N/A</v>
      </c>
      <c r="BS10" s="73"/>
      <c r="BT10" s="73"/>
      <c r="BU10" s="73"/>
      <c r="BV10" s="74"/>
      <c r="BW10" s="74"/>
      <c r="BX10" s="74"/>
      <c r="BY10" s="75"/>
    </row>
    <row r="11" spans="1:77" ht="23.1" customHeight="1">
      <c r="A11" s="91">
        <v>8</v>
      </c>
      <c r="B11" s="91">
        <v>18190047</v>
      </c>
      <c r="C11" s="92" t="s">
        <v>218</v>
      </c>
      <c r="D11" s="68">
        <f t="shared" si="0"/>
        <v>90</v>
      </c>
      <c r="E11" s="68">
        <f t="shared" si="1"/>
        <v>63</v>
      </c>
      <c r="F11" s="68">
        <f t="shared" si="2"/>
        <v>80</v>
      </c>
      <c r="G11" s="68">
        <f t="shared" si="3"/>
        <v>96</v>
      </c>
      <c r="H11" s="68">
        <f t="shared" si="4"/>
        <v>87</v>
      </c>
      <c r="I11" s="68">
        <f t="shared" si="5"/>
        <v>84</v>
      </c>
      <c r="J11" s="68">
        <f t="shared" si="6"/>
        <v>90</v>
      </c>
      <c r="K11" s="68">
        <f t="shared" si="7"/>
        <v>76</v>
      </c>
      <c r="L11" s="68">
        <f t="shared" si="8"/>
        <v>65</v>
      </c>
      <c r="M11" s="68">
        <f t="shared" si="9"/>
        <v>72</v>
      </c>
      <c r="N11" s="68">
        <f t="shared" si="10"/>
        <v>78</v>
      </c>
      <c r="O11" s="68">
        <f t="shared" si="11"/>
        <v>82</v>
      </c>
      <c r="P11" s="68">
        <f t="shared" si="12"/>
        <v>78</v>
      </c>
      <c r="Q11" s="68">
        <f t="shared" si="13"/>
        <v>63</v>
      </c>
      <c r="R11" s="69">
        <f t="shared" si="14"/>
        <v>93</v>
      </c>
      <c r="S11" s="69">
        <f t="shared" si="15"/>
        <v>95</v>
      </c>
      <c r="T11" s="69">
        <f t="shared" si="16"/>
        <v>80</v>
      </c>
      <c r="U11" s="69">
        <f t="shared" si="17"/>
        <v>60</v>
      </c>
      <c r="V11" s="69">
        <f t="shared" si="18"/>
        <v>80</v>
      </c>
      <c r="W11" s="234">
        <f t="shared" si="19"/>
        <v>99</v>
      </c>
      <c r="X11" s="234">
        <f t="shared" si="20"/>
        <v>93</v>
      </c>
      <c r="Y11" s="234">
        <f t="shared" si="21"/>
        <v>76</v>
      </c>
      <c r="Z11" s="234">
        <f t="shared" si="22"/>
        <v>98</v>
      </c>
      <c r="AA11" s="234">
        <f t="shared" si="23"/>
        <v>95</v>
      </c>
      <c r="AB11" s="234">
        <f t="shared" si="24"/>
        <v>70</v>
      </c>
      <c r="AC11" s="70">
        <f t="shared" si="25"/>
        <v>1512</v>
      </c>
      <c r="AD11" s="71">
        <f t="shared" si="26"/>
        <v>79.578947368421055</v>
      </c>
      <c r="AE11" s="72">
        <f t="shared" si="27"/>
        <v>8</v>
      </c>
      <c r="AF11" s="73" t="s">
        <v>805</v>
      </c>
      <c r="AG11" s="73" t="s">
        <v>805</v>
      </c>
      <c r="AH11" s="73" t="s">
        <v>805</v>
      </c>
      <c r="AI11" s="74">
        <v>34</v>
      </c>
      <c r="AJ11" s="74">
        <v>0</v>
      </c>
      <c r="AK11" s="74">
        <v>0</v>
      </c>
      <c r="AL11" s="75"/>
      <c r="AN11" s="66">
        <v>8</v>
      </c>
      <c r="AO11" s="66">
        <v>18190047</v>
      </c>
      <c r="AP11" s="79" t="s">
        <v>218</v>
      </c>
      <c r="AQ11" s="68">
        <v>90.3</v>
      </c>
      <c r="AR11" s="68">
        <v>63</v>
      </c>
      <c r="AS11" s="68">
        <v>80.399999999999991</v>
      </c>
      <c r="AT11" s="68">
        <v>95.9</v>
      </c>
      <c r="AU11" s="68">
        <v>87</v>
      </c>
      <c r="AV11" s="68">
        <v>84</v>
      </c>
      <c r="AW11" s="68">
        <v>90</v>
      </c>
      <c r="AX11" s="68">
        <v>76</v>
      </c>
      <c r="AY11" s="68">
        <v>65</v>
      </c>
      <c r="AZ11" s="68">
        <v>72</v>
      </c>
      <c r="BA11" s="68">
        <v>78</v>
      </c>
      <c r="BB11" s="68">
        <v>81.5</v>
      </c>
      <c r="BC11" s="68">
        <v>78</v>
      </c>
      <c r="BD11" s="68">
        <v>63</v>
      </c>
      <c r="BE11" s="260">
        <v>93</v>
      </c>
      <c r="BF11" s="76">
        <v>95</v>
      </c>
      <c r="BG11" s="76">
        <v>80</v>
      </c>
      <c r="BH11" s="76">
        <v>60</v>
      </c>
      <c r="BI11" s="76">
        <v>80</v>
      </c>
      <c r="BJ11" s="234">
        <v>100</v>
      </c>
      <c r="BK11" s="234">
        <v>92.5</v>
      </c>
      <c r="BL11" s="234">
        <f t="shared" si="28"/>
        <v>76</v>
      </c>
      <c r="BM11" s="234">
        <v>97.5</v>
      </c>
      <c r="BN11" s="234">
        <v>95</v>
      </c>
      <c r="BO11" s="234">
        <v>70</v>
      </c>
      <c r="BP11" s="70">
        <f t="shared" si="29"/>
        <v>1512.1</v>
      </c>
      <c r="BQ11" s="71">
        <f t="shared" si="30"/>
        <v>79.584210526315786</v>
      </c>
      <c r="BR11" s="72" t="e">
        <f t="shared" si="31"/>
        <v>#N/A</v>
      </c>
      <c r="BS11" s="73"/>
      <c r="BT11" s="73"/>
      <c r="BU11" s="73"/>
      <c r="BV11" s="74"/>
      <c r="BW11" s="74"/>
      <c r="BX11" s="74"/>
      <c r="BY11" s="75"/>
    </row>
    <row r="12" spans="1:77" ht="23.1" customHeight="1">
      <c r="A12" s="91">
        <v>9</v>
      </c>
      <c r="B12" s="66">
        <v>18190008</v>
      </c>
      <c r="C12" s="77" t="s">
        <v>212</v>
      </c>
      <c r="D12" s="68">
        <f t="shared" si="0"/>
        <v>98</v>
      </c>
      <c r="E12" s="68">
        <f t="shared" si="1"/>
        <v>60</v>
      </c>
      <c r="F12" s="68">
        <f t="shared" si="2"/>
        <v>96</v>
      </c>
      <c r="G12" s="68">
        <f t="shared" si="3"/>
        <v>93</v>
      </c>
      <c r="H12" s="68">
        <f t="shared" si="4"/>
        <v>84</v>
      </c>
      <c r="I12" s="68">
        <f t="shared" si="5"/>
        <v>71</v>
      </c>
      <c r="J12" s="68">
        <f t="shared" si="6"/>
        <v>92</v>
      </c>
      <c r="K12" s="68">
        <f t="shared" si="7"/>
        <v>83</v>
      </c>
      <c r="L12" s="68">
        <f t="shared" si="8"/>
        <v>95</v>
      </c>
      <c r="M12" s="68">
        <f t="shared" si="9"/>
        <v>72</v>
      </c>
      <c r="N12" s="68">
        <f t="shared" si="10"/>
        <v>78</v>
      </c>
      <c r="O12" s="68">
        <f t="shared" si="11"/>
        <v>86</v>
      </c>
      <c r="P12" s="68">
        <f t="shared" si="12"/>
        <v>78</v>
      </c>
      <c r="Q12" s="68">
        <f t="shared" si="13"/>
        <v>63</v>
      </c>
      <c r="R12" s="69">
        <f t="shared" si="14"/>
        <v>92</v>
      </c>
      <c r="S12" s="69">
        <f t="shared" si="15"/>
        <v>85</v>
      </c>
      <c r="T12" s="69">
        <f t="shared" si="16"/>
        <v>60</v>
      </c>
      <c r="U12" s="69">
        <f t="shared" si="17"/>
        <v>60</v>
      </c>
      <c r="V12" s="69">
        <f t="shared" si="18"/>
        <v>65</v>
      </c>
      <c r="W12" s="234">
        <f t="shared" si="19"/>
        <v>99</v>
      </c>
      <c r="X12" s="234">
        <f t="shared" si="20"/>
        <v>95</v>
      </c>
      <c r="Y12" s="234">
        <f t="shared" si="21"/>
        <v>83</v>
      </c>
      <c r="Z12" s="234">
        <f t="shared" si="22"/>
        <v>95</v>
      </c>
      <c r="AA12" s="234">
        <f t="shared" si="23"/>
        <v>85</v>
      </c>
      <c r="AB12" s="234">
        <f t="shared" si="24"/>
        <v>75</v>
      </c>
      <c r="AC12" s="70">
        <f t="shared" si="25"/>
        <v>1511</v>
      </c>
      <c r="AD12" s="71">
        <f t="shared" si="26"/>
        <v>79.526315789473685</v>
      </c>
      <c r="AE12" s="72">
        <f t="shared" si="27"/>
        <v>9</v>
      </c>
      <c r="AF12" s="73" t="s">
        <v>805</v>
      </c>
      <c r="AG12" s="73" t="s">
        <v>805</v>
      </c>
      <c r="AH12" s="73" t="s">
        <v>805</v>
      </c>
      <c r="AI12" s="74">
        <v>10</v>
      </c>
      <c r="AJ12" s="74">
        <v>0</v>
      </c>
      <c r="AK12" s="74">
        <v>1</v>
      </c>
      <c r="AL12" s="75"/>
      <c r="AN12" s="66">
        <v>2</v>
      </c>
      <c r="AO12" s="66">
        <v>18190008</v>
      </c>
      <c r="AP12" s="77" t="s">
        <v>212</v>
      </c>
      <c r="AQ12" s="68">
        <v>97.8</v>
      </c>
      <c r="AR12" s="68">
        <v>60.42</v>
      </c>
      <c r="AS12" s="68">
        <v>95.699999999999989</v>
      </c>
      <c r="AT12" s="68">
        <v>93.399999999999991</v>
      </c>
      <c r="AU12" s="68">
        <v>84</v>
      </c>
      <c r="AV12" s="68">
        <v>70.8</v>
      </c>
      <c r="AW12" s="68">
        <v>91.8</v>
      </c>
      <c r="AX12" s="68">
        <v>82.5</v>
      </c>
      <c r="AY12" s="68">
        <v>94.5</v>
      </c>
      <c r="AZ12" s="68">
        <v>72</v>
      </c>
      <c r="BA12" s="68">
        <v>78</v>
      </c>
      <c r="BB12" s="68">
        <v>86.4</v>
      </c>
      <c r="BC12" s="68">
        <v>78</v>
      </c>
      <c r="BD12" s="68">
        <v>63</v>
      </c>
      <c r="BE12" s="260">
        <v>91.666666666666657</v>
      </c>
      <c r="BF12" s="76">
        <v>85</v>
      </c>
      <c r="BG12" s="76">
        <v>60</v>
      </c>
      <c r="BH12" s="76">
        <v>60</v>
      </c>
      <c r="BI12" s="76">
        <v>65</v>
      </c>
      <c r="BJ12" s="234">
        <v>100</v>
      </c>
      <c r="BK12" s="234">
        <v>95</v>
      </c>
      <c r="BL12" s="234">
        <f t="shared" si="28"/>
        <v>82.5</v>
      </c>
      <c r="BM12" s="234">
        <v>95</v>
      </c>
      <c r="BN12" s="234">
        <v>85</v>
      </c>
      <c r="BO12" s="234">
        <v>75</v>
      </c>
      <c r="BP12" s="70">
        <f t="shared" si="29"/>
        <v>1509.9866666666667</v>
      </c>
      <c r="BQ12" s="71">
        <f t="shared" si="30"/>
        <v>79.472982456140357</v>
      </c>
      <c r="BR12" s="72" t="e">
        <f t="shared" si="31"/>
        <v>#N/A</v>
      </c>
      <c r="BS12" s="73"/>
      <c r="BT12" s="73"/>
      <c r="BU12" s="73"/>
      <c r="BV12" s="74"/>
      <c r="BW12" s="74"/>
      <c r="BX12" s="74"/>
      <c r="BY12" s="75"/>
    </row>
    <row r="13" spans="1:77" ht="23.1" customHeight="1">
      <c r="A13" s="91">
        <v>10</v>
      </c>
      <c r="B13" s="66">
        <v>18190013</v>
      </c>
      <c r="C13" s="77" t="s">
        <v>214</v>
      </c>
      <c r="D13" s="68">
        <f t="shared" si="0"/>
        <v>99</v>
      </c>
      <c r="E13" s="68">
        <f t="shared" si="1"/>
        <v>50</v>
      </c>
      <c r="F13" s="68">
        <f t="shared" si="2"/>
        <v>82</v>
      </c>
      <c r="G13" s="68">
        <f t="shared" si="3"/>
        <v>72</v>
      </c>
      <c r="H13" s="68">
        <f t="shared" si="4"/>
        <v>73</v>
      </c>
      <c r="I13" s="68">
        <f t="shared" si="5"/>
        <v>79</v>
      </c>
      <c r="J13" s="68">
        <f t="shared" si="6"/>
        <v>94</v>
      </c>
      <c r="K13" s="68">
        <f t="shared" si="7"/>
        <v>81</v>
      </c>
      <c r="L13" s="68">
        <f t="shared" si="8"/>
        <v>89</v>
      </c>
      <c r="M13" s="68">
        <f t="shared" si="9"/>
        <v>73</v>
      </c>
      <c r="N13" s="68">
        <f t="shared" si="10"/>
        <v>79</v>
      </c>
      <c r="O13" s="68">
        <f t="shared" si="11"/>
        <v>88</v>
      </c>
      <c r="P13" s="68">
        <f t="shared" si="12"/>
        <v>79</v>
      </c>
      <c r="Q13" s="68">
        <f t="shared" si="13"/>
        <v>64</v>
      </c>
      <c r="R13" s="69">
        <f t="shared" si="14"/>
        <v>93</v>
      </c>
      <c r="S13" s="69">
        <f t="shared" si="15"/>
        <v>75</v>
      </c>
      <c r="T13" s="69">
        <f t="shared" si="16"/>
        <v>80</v>
      </c>
      <c r="U13" s="69">
        <f t="shared" si="17"/>
        <v>60</v>
      </c>
      <c r="V13" s="69">
        <f t="shared" si="18"/>
        <v>70</v>
      </c>
      <c r="W13" s="234">
        <f t="shared" si="19"/>
        <v>99</v>
      </c>
      <c r="X13" s="234">
        <f t="shared" si="20"/>
        <v>90</v>
      </c>
      <c r="Y13" s="234">
        <f t="shared" si="21"/>
        <v>81</v>
      </c>
      <c r="Z13" s="234">
        <f t="shared" si="22"/>
        <v>93</v>
      </c>
      <c r="AA13" s="234">
        <f t="shared" si="23"/>
        <v>88</v>
      </c>
      <c r="AB13" s="234">
        <f t="shared" si="24"/>
        <v>75</v>
      </c>
      <c r="AC13" s="70">
        <f t="shared" si="25"/>
        <v>1480</v>
      </c>
      <c r="AD13" s="71">
        <f t="shared" si="26"/>
        <v>77.89473684210526</v>
      </c>
      <c r="AE13" s="72">
        <f t="shared" si="27"/>
        <v>10</v>
      </c>
      <c r="AF13" s="73" t="s">
        <v>806</v>
      </c>
      <c r="AG13" s="73" t="s">
        <v>805</v>
      </c>
      <c r="AH13" s="73" t="s">
        <v>805</v>
      </c>
      <c r="AI13" s="74">
        <v>1</v>
      </c>
      <c r="AJ13" s="74">
        <v>0</v>
      </c>
      <c r="AK13" s="74">
        <v>0</v>
      </c>
      <c r="AL13" s="75"/>
      <c r="AN13" s="66">
        <v>4</v>
      </c>
      <c r="AO13" s="66">
        <v>18190013</v>
      </c>
      <c r="AP13" s="77" t="s">
        <v>214</v>
      </c>
      <c r="AQ13" s="68">
        <v>100</v>
      </c>
      <c r="AR13" s="68">
        <v>49.599999999999994</v>
      </c>
      <c r="AS13" s="68">
        <v>82</v>
      </c>
      <c r="AT13" s="68">
        <v>71.5</v>
      </c>
      <c r="AU13" s="68">
        <v>73</v>
      </c>
      <c r="AV13" s="68">
        <v>79</v>
      </c>
      <c r="AW13" s="68">
        <v>94</v>
      </c>
      <c r="AX13" s="68">
        <v>81</v>
      </c>
      <c r="AY13" s="68">
        <v>89</v>
      </c>
      <c r="AZ13" s="68">
        <v>73</v>
      </c>
      <c r="BA13" s="68">
        <v>79</v>
      </c>
      <c r="BB13" s="68">
        <v>88</v>
      </c>
      <c r="BC13" s="68">
        <v>79</v>
      </c>
      <c r="BD13" s="68">
        <v>64</v>
      </c>
      <c r="BE13" s="260">
        <v>93.111111111111114</v>
      </c>
      <c r="BF13" s="76">
        <v>75</v>
      </c>
      <c r="BG13" s="76">
        <v>80</v>
      </c>
      <c r="BH13" s="76">
        <v>60</v>
      </c>
      <c r="BI13" s="76">
        <v>70</v>
      </c>
      <c r="BJ13" s="234">
        <v>100</v>
      </c>
      <c r="BK13" s="234">
        <v>90</v>
      </c>
      <c r="BL13" s="234">
        <f t="shared" si="28"/>
        <v>81</v>
      </c>
      <c r="BM13" s="234">
        <v>92.5</v>
      </c>
      <c r="BN13" s="234">
        <v>87.5</v>
      </c>
      <c r="BO13" s="234">
        <v>75</v>
      </c>
      <c r="BP13" s="70">
        <f t="shared" si="29"/>
        <v>1480.211111111111</v>
      </c>
      <c r="BQ13" s="71">
        <f t="shared" si="30"/>
        <v>77.905847953216366</v>
      </c>
      <c r="BR13" s="72" t="e">
        <f t="shared" si="31"/>
        <v>#N/A</v>
      </c>
      <c r="BS13" s="73"/>
      <c r="BT13" s="73"/>
      <c r="BU13" s="73"/>
      <c r="BV13" s="74"/>
      <c r="BW13" s="74"/>
      <c r="BX13" s="74"/>
      <c r="BY13" s="75"/>
    </row>
    <row r="14" spans="1:77" ht="23.1" customHeight="1">
      <c r="A14" s="91">
        <v>11</v>
      </c>
      <c r="B14" s="91">
        <v>18190056</v>
      </c>
      <c r="C14" s="92" t="s">
        <v>223</v>
      </c>
      <c r="D14" s="68">
        <f t="shared" si="0"/>
        <v>98</v>
      </c>
      <c r="E14" s="68">
        <f t="shared" si="1"/>
        <v>54</v>
      </c>
      <c r="F14" s="68">
        <f t="shared" si="2"/>
        <v>85</v>
      </c>
      <c r="G14" s="68">
        <f t="shared" si="3"/>
        <v>89</v>
      </c>
      <c r="H14" s="68">
        <f t="shared" si="4"/>
        <v>85</v>
      </c>
      <c r="I14" s="68">
        <f t="shared" si="5"/>
        <v>77</v>
      </c>
      <c r="J14" s="68">
        <f t="shared" si="6"/>
        <v>89</v>
      </c>
      <c r="K14" s="68">
        <f t="shared" si="7"/>
        <v>66</v>
      </c>
      <c r="L14" s="68">
        <f t="shared" si="8"/>
        <v>87</v>
      </c>
      <c r="M14" s="68">
        <f t="shared" si="9"/>
        <v>72</v>
      </c>
      <c r="N14" s="68">
        <f t="shared" si="10"/>
        <v>78</v>
      </c>
      <c r="O14" s="68">
        <f t="shared" si="11"/>
        <v>73</v>
      </c>
      <c r="P14" s="68">
        <f t="shared" si="12"/>
        <v>78</v>
      </c>
      <c r="Q14" s="68">
        <f t="shared" si="13"/>
        <v>63</v>
      </c>
      <c r="R14" s="69">
        <f t="shared" si="14"/>
        <v>92</v>
      </c>
      <c r="S14" s="69">
        <f t="shared" si="15"/>
        <v>75</v>
      </c>
      <c r="T14" s="69">
        <f t="shared" si="16"/>
        <v>80</v>
      </c>
      <c r="U14" s="69">
        <f t="shared" si="17"/>
        <v>60</v>
      </c>
      <c r="V14" s="69">
        <f t="shared" si="18"/>
        <v>75</v>
      </c>
      <c r="W14" s="234">
        <f t="shared" si="19"/>
        <v>99</v>
      </c>
      <c r="X14" s="234">
        <f t="shared" si="20"/>
        <v>93</v>
      </c>
      <c r="Y14" s="234">
        <f t="shared" si="21"/>
        <v>66</v>
      </c>
      <c r="Z14" s="234">
        <f t="shared" si="22"/>
        <v>93</v>
      </c>
      <c r="AA14" s="234">
        <f t="shared" si="23"/>
        <v>85</v>
      </c>
      <c r="AB14" s="234">
        <f t="shared" si="24"/>
        <v>75</v>
      </c>
      <c r="AC14" s="70">
        <f t="shared" si="25"/>
        <v>1476</v>
      </c>
      <c r="AD14" s="71">
        <f t="shared" si="26"/>
        <v>77.684210526315795</v>
      </c>
      <c r="AE14" s="72">
        <f t="shared" si="27"/>
        <v>11</v>
      </c>
      <c r="AF14" s="73" t="s">
        <v>805</v>
      </c>
      <c r="AG14" s="73" t="s">
        <v>805</v>
      </c>
      <c r="AH14" s="73" t="s">
        <v>805</v>
      </c>
      <c r="AI14" s="74">
        <v>48</v>
      </c>
      <c r="AJ14" s="74">
        <v>0</v>
      </c>
      <c r="AK14" s="74">
        <v>6</v>
      </c>
      <c r="AL14" s="75"/>
      <c r="AN14" s="66">
        <v>13</v>
      </c>
      <c r="AO14" s="66">
        <v>18190056</v>
      </c>
      <c r="AP14" s="77" t="s">
        <v>223</v>
      </c>
      <c r="AQ14" s="68">
        <v>98.1</v>
      </c>
      <c r="AR14" s="68">
        <v>54</v>
      </c>
      <c r="AS14" s="68">
        <v>84.9</v>
      </c>
      <c r="AT14" s="68">
        <v>89</v>
      </c>
      <c r="AU14" s="68">
        <v>85.199999999999989</v>
      </c>
      <c r="AV14" s="68">
        <v>76.8</v>
      </c>
      <c r="AW14" s="68">
        <v>88.8</v>
      </c>
      <c r="AX14" s="68">
        <v>65.5</v>
      </c>
      <c r="AY14" s="68">
        <v>86.5</v>
      </c>
      <c r="AZ14" s="68">
        <v>72</v>
      </c>
      <c r="BA14" s="68">
        <v>78</v>
      </c>
      <c r="BB14" s="68">
        <v>72.5</v>
      </c>
      <c r="BC14" s="68">
        <v>78</v>
      </c>
      <c r="BD14" s="68">
        <v>63</v>
      </c>
      <c r="BE14" s="260">
        <v>91.666666666666657</v>
      </c>
      <c r="BF14" s="76">
        <v>75</v>
      </c>
      <c r="BG14" s="76">
        <v>80</v>
      </c>
      <c r="BH14" s="76">
        <v>60</v>
      </c>
      <c r="BI14" s="76">
        <v>75</v>
      </c>
      <c r="BJ14" s="234">
        <v>100</v>
      </c>
      <c r="BK14" s="234">
        <v>92.5</v>
      </c>
      <c r="BL14" s="234">
        <f t="shared" si="28"/>
        <v>65.5</v>
      </c>
      <c r="BM14" s="234">
        <v>92.5</v>
      </c>
      <c r="BN14" s="234">
        <v>85</v>
      </c>
      <c r="BO14" s="234">
        <v>75</v>
      </c>
      <c r="BP14" s="70">
        <f t="shared" si="29"/>
        <v>1473.9666666666667</v>
      </c>
      <c r="BQ14" s="71">
        <f t="shared" si="30"/>
        <v>77.57719298245614</v>
      </c>
      <c r="BR14" s="72" t="e">
        <f t="shared" si="31"/>
        <v>#N/A</v>
      </c>
      <c r="BS14" s="73"/>
      <c r="BT14" s="73"/>
      <c r="BU14" s="73"/>
      <c r="BV14" s="74"/>
      <c r="BW14" s="74"/>
      <c r="BX14" s="74"/>
      <c r="BY14" s="75"/>
    </row>
    <row r="15" spans="1:77" ht="23.1" customHeight="1">
      <c r="A15" s="91">
        <v>12</v>
      </c>
      <c r="B15" s="91">
        <v>18190100</v>
      </c>
      <c r="C15" s="92" t="s">
        <v>231</v>
      </c>
      <c r="D15" s="68">
        <f t="shared" si="0"/>
        <v>97</v>
      </c>
      <c r="E15" s="68">
        <f t="shared" si="1"/>
        <v>50</v>
      </c>
      <c r="F15" s="68">
        <f t="shared" si="2"/>
        <v>88</v>
      </c>
      <c r="G15" s="68">
        <f t="shared" si="3"/>
        <v>91</v>
      </c>
      <c r="H15" s="68">
        <f t="shared" si="4"/>
        <v>64</v>
      </c>
      <c r="I15" s="68">
        <f t="shared" si="5"/>
        <v>72</v>
      </c>
      <c r="J15" s="68">
        <f t="shared" si="6"/>
        <v>94</v>
      </c>
      <c r="K15" s="68">
        <f t="shared" si="7"/>
        <v>67</v>
      </c>
      <c r="L15" s="68">
        <f t="shared" si="8"/>
        <v>89</v>
      </c>
      <c r="M15" s="68">
        <f t="shared" si="9"/>
        <v>73</v>
      </c>
      <c r="N15" s="68">
        <f t="shared" si="10"/>
        <v>79</v>
      </c>
      <c r="O15" s="68">
        <f t="shared" si="11"/>
        <v>80</v>
      </c>
      <c r="P15" s="68">
        <f t="shared" si="12"/>
        <v>79</v>
      </c>
      <c r="Q15" s="68">
        <f t="shared" si="13"/>
        <v>64</v>
      </c>
      <c r="R15" s="69">
        <f t="shared" si="14"/>
        <v>93</v>
      </c>
      <c r="S15" s="69">
        <f t="shared" si="15"/>
        <v>75</v>
      </c>
      <c r="T15" s="69">
        <f t="shared" si="16"/>
        <v>80</v>
      </c>
      <c r="U15" s="69">
        <f t="shared" si="17"/>
        <v>60</v>
      </c>
      <c r="V15" s="69">
        <f t="shared" si="18"/>
        <v>80</v>
      </c>
      <c r="W15" s="234">
        <f t="shared" si="19"/>
        <v>95</v>
      </c>
      <c r="X15" s="234">
        <f t="shared" si="20"/>
        <v>90</v>
      </c>
      <c r="Y15" s="234">
        <f t="shared" si="21"/>
        <v>67</v>
      </c>
      <c r="Z15" s="234">
        <f t="shared" si="22"/>
        <v>93</v>
      </c>
      <c r="AA15" s="234">
        <f t="shared" si="23"/>
        <v>73</v>
      </c>
      <c r="AB15" s="234">
        <f t="shared" si="24"/>
        <v>78</v>
      </c>
      <c r="AC15" s="70">
        <f t="shared" si="25"/>
        <v>1475</v>
      </c>
      <c r="AD15" s="71">
        <f t="shared" si="26"/>
        <v>77.631578947368425</v>
      </c>
      <c r="AE15" s="72">
        <f t="shared" si="27"/>
        <v>12</v>
      </c>
      <c r="AF15" s="73" t="s">
        <v>805</v>
      </c>
      <c r="AG15" s="73" t="s">
        <v>805</v>
      </c>
      <c r="AH15" s="73" t="s">
        <v>805</v>
      </c>
      <c r="AI15" s="74">
        <v>2</v>
      </c>
      <c r="AJ15" s="74">
        <v>0</v>
      </c>
      <c r="AK15" s="74">
        <v>2</v>
      </c>
      <c r="AL15" s="75"/>
      <c r="AN15" s="66">
        <v>21</v>
      </c>
      <c r="AO15" s="66">
        <v>18190100</v>
      </c>
      <c r="AP15" s="78" t="s">
        <v>231</v>
      </c>
      <c r="AQ15" s="68">
        <v>96.699999999999989</v>
      </c>
      <c r="AR15" s="68">
        <v>49.599999999999994</v>
      </c>
      <c r="AS15" s="68">
        <v>88.3</v>
      </c>
      <c r="AT15" s="68">
        <v>91</v>
      </c>
      <c r="AU15" s="68">
        <v>63.699999999999996</v>
      </c>
      <c r="AV15" s="68">
        <v>71.8</v>
      </c>
      <c r="AW15" s="68">
        <v>94</v>
      </c>
      <c r="AX15" s="68">
        <v>66.5</v>
      </c>
      <c r="AY15" s="68">
        <v>89</v>
      </c>
      <c r="AZ15" s="68">
        <v>73</v>
      </c>
      <c r="BA15" s="68">
        <v>79</v>
      </c>
      <c r="BB15" s="68">
        <v>80</v>
      </c>
      <c r="BC15" s="68">
        <v>79</v>
      </c>
      <c r="BD15" s="68">
        <v>64</v>
      </c>
      <c r="BE15" s="260">
        <v>92.777777777777786</v>
      </c>
      <c r="BF15" s="76">
        <v>75</v>
      </c>
      <c r="BG15" s="76">
        <v>80</v>
      </c>
      <c r="BH15" s="76">
        <v>60</v>
      </c>
      <c r="BI15" s="76">
        <v>80</v>
      </c>
      <c r="BJ15" s="234">
        <v>95</v>
      </c>
      <c r="BK15" s="234">
        <v>90</v>
      </c>
      <c r="BL15" s="234">
        <f t="shared" si="28"/>
        <v>66.5</v>
      </c>
      <c r="BM15" s="234">
        <v>92.5</v>
      </c>
      <c r="BN15" s="234">
        <v>72.5</v>
      </c>
      <c r="BO15" s="234">
        <v>77.5</v>
      </c>
      <c r="BP15" s="70">
        <f t="shared" si="29"/>
        <v>1473.3777777777777</v>
      </c>
      <c r="BQ15" s="71">
        <f t="shared" si="30"/>
        <v>77.546198830409352</v>
      </c>
      <c r="BR15" s="72" t="e">
        <f t="shared" si="31"/>
        <v>#N/A</v>
      </c>
      <c r="BS15" s="73"/>
      <c r="BT15" s="73"/>
      <c r="BU15" s="73"/>
      <c r="BV15" s="74"/>
      <c r="BW15" s="74"/>
      <c r="BX15" s="74"/>
      <c r="BY15" s="75"/>
    </row>
    <row r="16" spans="1:77" ht="23.1" customHeight="1">
      <c r="A16" s="91">
        <v>13</v>
      </c>
      <c r="B16" s="66">
        <v>18190028</v>
      </c>
      <c r="C16" s="77" t="s">
        <v>216</v>
      </c>
      <c r="D16" s="68">
        <f t="shared" si="0"/>
        <v>99</v>
      </c>
      <c r="E16" s="68">
        <f t="shared" si="1"/>
        <v>52</v>
      </c>
      <c r="F16" s="68">
        <f t="shared" si="2"/>
        <v>86</v>
      </c>
      <c r="G16" s="68">
        <f t="shared" si="3"/>
        <v>87</v>
      </c>
      <c r="H16" s="68">
        <f t="shared" si="4"/>
        <v>69</v>
      </c>
      <c r="I16" s="68">
        <f t="shared" si="5"/>
        <v>61</v>
      </c>
      <c r="J16" s="68">
        <f t="shared" si="6"/>
        <v>88</v>
      </c>
      <c r="K16" s="68">
        <f t="shared" si="7"/>
        <v>72</v>
      </c>
      <c r="L16" s="68">
        <f t="shared" si="8"/>
        <v>76</v>
      </c>
      <c r="M16" s="68">
        <f t="shared" si="9"/>
        <v>73</v>
      </c>
      <c r="N16" s="68">
        <f t="shared" si="10"/>
        <v>79</v>
      </c>
      <c r="O16" s="68">
        <f t="shared" si="11"/>
        <v>85</v>
      </c>
      <c r="P16" s="68">
        <f t="shared" si="12"/>
        <v>79</v>
      </c>
      <c r="Q16" s="68">
        <f t="shared" si="13"/>
        <v>64</v>
      </c>
      <c r="R16" s="69">
        <f t="shared" si="14"/>
        <v>95</v>
      </c>
      <c r="S16" s="69">
        <f t="shared" si="15"/>
        <v>80</v>
      </c>
      <c r="T16" s="69">
        <f t="shared" si="16"/>
        <v>80</v>
      </c>
      <c r="U16" s="69">
        <f t="shared" si="17"/>
        <v>60</v>
      </c>
      <c r="V16" s="69">
        <f t="shared" si="18"/>
        <v>60</v>
      </c>
      <c r="W16" s="234">
        <f t="shared" si="19"/>
        <v>99</v>
      </c>
      <c r="X16" s="234">
        <f t="shared" si="20"/>
        <v>93</v>
      </c>
      <c r="Y16" s="234">
        <f t="shared" si="21"/>
        <v>72</v>
      </c>
      <c r="Z16" s="234">
        <f t="shared" si="22"/>
        <v>93</v>
      </c>
      <c r="AA16" s="234">
        <f t="shared" si="23"/>
        <v>73</v>
      </c>
      <c r="AB16" s="234">
        <f t="shared" si="24"/>
        <v>78</v>
      </c>
      <c r="AC16" s="70">
        <f t="shared" si="25"/>
        <v>1445</v>
      </c>
      <c r="AD16" s="71">
        <f t="shared" si="26"/>
        <v>76.05263157894737</v>
      </c>
      <c r="AE16" s="72">
        <f t="shared" si="27"/>
        <v>13</v>
      </c>
      <c r="AF16" s="73" t="s">
        <v>805</v>
      </c>
      <c r="AG16" s="73" t="s">
        <v>805</v>
      </c>
      <c r="AH16" s="73" t="s">
        <v>805</v>
      </c>
      <c r="AI16" s="74">
        <v>3</v>
      </c>
      <c r="AJ16" s="74">
        <v>0</v>
      </c>
      <c r="AK16" s="74">
        <v>0</v>
      </c>
      <c r="AL16" s="75"/>
      <c r="AN16" s="66">
        <v>6</v>
      </c>
      <c r="AO16" s="66">
        <v>18190028</v>
      </c>
      <c r="AP16" s="77" t="s">
        <v>216</v>
      </c>
      <c r="AQ16" s="68">
        <v>100</v>
      </c>
      <c r="AR16" s="68">
        <v>52</v>
      </c>
      <c r="AS16" s="68">
        <v>86.199999999999989</v>
      </c>
      <c r="AT16" s="68">
        <v>87.199999999999989</v>
      </c>
      <c r="AU16" s="68">
        <v>69.400000000000006</v>
      </c>
      <c r="AV16" s="68">
        <v>61</v>
      </c>
      <c r="AW16" s="68">
        <v>88</v>
      </c>
      <c r="AX16" s="68">
        <v>71.5</v>
      </c>
      <c r="AY16" s="68">
        <v>75.5</v>
      </c>
      <c r="AZ16" s="68">
        <v>73</v>
      </c>
      <c r="BA16" s="68">
        <v>79</v>
      </c>
      <c r="BB16" s="68">
        <v>85</v>
      </c>
      <c r="BC16" s="68">
        <v>79</v>
      </c>
      <c r="BD16" s="68">
        <v>64</v>
      </c>
      <c r="BE16" s="260">
        <v>95.333333333333343</v>
      </c>
      <c r="BF16" s="76">
        <v>80</v>
      </c>
      <c r="BG16" s="76">
        <v>80</v>
      </c>
      <c r="BH16" s="76">
        <v>60</v>
      </c>
      <c r="BI16" s="76">
        <v>60</v>
      </c>
      <c r="BJ16" s="234">
        <v>100</v>
      </c>
      <c r="BK16" s="234">
        <v>92.5</v>
      </c>
      <c r="BL16" s="234">
        <f t="shared" si="28"/>
        <v>71.5</v>
      </c>
      <c r="BM16" s="234">
        <v>92.5</v>
      </c>
      <c r="BN16" s="234">
        <v>72.5</v>
      </c>
      <c r="BO16" s="234">
        <v>77.5</v>
      </c>
      <c r="BP16" s="70">
        <f t="shared" si="29"/>
        <v>1446.1333333333332</v>
      </c>
      <c r="BQ16" s="71">
        <f t="shared" si="30"/>
        <v>76.112280701754386</v>
      </c>
      <c r="BR16" s="72" t="e">
        <f t="shared" si="31"/>
        <v>#N/A</v>
      </c>
      <c r="BS16" s="73"/>
      <c r="BT16" s="73"/>
      <c r="BU16" s="73"/>
      <c r="BV16" s="74"/>
      <c r="BW16" s="74"/>
      <c r="BX16" s="74"/>
      <c r="BY16" s="75"/>
    </row>
    <row r="17" spans="1:77" ht="23.1" customHeight="1">
      <c r="A17" s="91">
        <v>14</v>
      </c>
      <c r="B17" s="66">
        <v>18190037</v>
      </c>
      <c r="C17" s="77" t="s">
        <v>213</v>
      </c>
      <c r="D17" s="68">
        <f t="shared" si="0"/>
        <v>94</v>
      </c>
      <c r="E17" s="68">
        <f t="shared" si="1"/>
        <v>58</v>
      </c>
      <c r="F17" s="68">
        <f t="shared" si="2"/>
        <v>63</v>
      </c>
      <c r="G17" s="68">
        <f t="shared" si="3"/>
        <v>88</v>
      </c>
      <c r="H17" s="68">
        <f t="shared" si="4"/>
        <v>73</v>
      </c>
      <c r="I17" s="68">
        <f t="shared" si="5"/>
        <v>67</v>
      </c>
      <c r="J17" s="68">
        <f t="shared" si="6"/>
        <v>87</v>
      </c>
      <c r="K17" s="68">
        <f t="shared" si="7"/>
        <v>68</v>
      </c>
      <c r="L17" s="68">
        <f t="shared" si="8"/>
        <v>84</v>
      </c>
      <c r="M17" s="68">
        <f t="shared" si="9"/>
        <v>73</v>
      </c>
      <c r="N17" s="68">
        <f t="shared" si="10"/>
        <v>79</v>
      </c>
      <c r="O17" s="68">
        <f t="shared" si="11"/>
        <v>72</v>
      </c>
      <c r="P17" s="68">
        <f t="shared" si="12"/>
        <v>79</v>
      </c>
      <c r="Q17" s="68">
        <f t="shared" si="13"/>
        <v>64</v>
      </c>
      <c r="R17" s="69">
        <f t="shared" si="14"/>
        <v>93</v>
      </c>
      <c r="S17" s="69">
        <f t="shared" si="15"/>
        <v>80</v>
      </c>
      <c r="T17" s="69">
        <f t="shared" si="16"/>
        <v>80</v>
      </c>
      <c r="U17" s="69">
        <f t="shared" si="17"/>
        <v>60</v>
      </c>
      <c r="V17" s="69">
        <f t="shared" si="18"/>
        <v>57</v>
      </c>
      <c r="W17" s="234">
        <f t="shared" si="19"/>
        <v>98</v>
      </c>
      <c r="X17" s="234">
        <f t="shared" si="20"/>
        <v>95</v>
      </c>
      <c r="Y17" s="234">
        <f t="shared" si="21"/>
        <v>68</v>
      </c>
      <c r="Z17" s="234">
        <f t="shared" si="22"/>
        <v>93</v>
      </c>
      <c r="AA17" s="234">
        <f t="shared" si="23"/>
        <v>83</v>
      </c>
      <c r="AB17" s="234">
        <f t="shared" si="24"/>
        <v>63</v>
      </c>
      <c r="AC17" s="70">
        <f t="shared" si="25"/>
        <v>1419</v>
      </c>
      <c r="AD17" s="71">
        <f t="shared" si="26"/>
        <v>74.684210526315795</v>
      </c>
      <c r="AE17" s="72">
        <f t="shared" si="27"/>
        <v>14</v>
      </c>
      <c r="AF17" s="73" t="s">
        <v>806</v>
      </c>
      <c r="AG17" s="73" t="s">
        <v>805</v>
      </c>
      <c r="AH17" s="73" t="s">
        <v>805</v>
      </c>
      <c r="AI17" s="74">
        <v>17</v>
      </c>
      <c r="AJ17" s="74">
        <v>0</v>
      </c>
      <c r="AK17" s="74">
        <v>0</v>
      </c>
      <c r="AL17" s="75"/>
      <c r="AN17" s="66">
        <v>3</v>
      </c>
      <c r="AO17" s="66">
        <v>18190037</v>
      </c>
      <c r="AP17" s="77" t="s">
        <v>213</v>
      </c>
      <c r="AQ17" s="68">
        <v>94</v>
      </c>
      <c r="AR17" s="68">
        <v>58</v>
      </c>
      <c r="AS17" s="68">
        <v>63.4</v>
      </c>
      <c r="AT17" s="68">
        <v>87.699999999999989</v>
      </c>
      <c r="AU17" s="68">
        <v>73</v>
      </c>
      <c r="AV17" s="68">
        <v>67</v>
      </c>
      <c r="AW17" s="68">
        <v>86.8</v>
      </c>
      <c r="AX17" s="68">
        <v>67.5</v>
      </c>
      <c r="AY17" s="68">
        <v>83.8</v>
      </c>
      <c r="AZ17" s="68">
        <v>73</v>
      </c>
      <c r="BA17" s="68">
        <v>79</v>
      </c>
      <c r="BB17" s="68">
        <v>71.5</v>
      </c>
      <c r="BC17" s="68">
        <v>79</v>
      </c>
      <c r="BD17" s="68">
        <v>64</v>
      </c>
      <c r="BE17" s="260">
        <v>92.777777777777786</v>
      </c>
      <c r="BF17" s="76">
        <v>80</v>
      </c>
      <c r="BG17" s="76">
        <v>80</v>
      </c>
      <c r="BH17" s="76">
        <v>60</v>
      </c>
      <c r="BI17" s="76">
        <v>57</v>
      </c>
      <c r="BJ17" s="234">
        <v>97.5</v>
      </c>
      <c r="BK17" s="234">
        <v>95</v>
      </c>
      <c r="BL17" s="234">
        <f t="shared" si="28"/>
        <v>67.5</v>
      </c>
      <c r="BM17" s="234">
        <v>92.5</v>
      </c>
      <c r="BN17" s="234">
        <v>82.5</v>
      </c>
      <c r="BO17" s="234">
        <v>62.5</v>
      </c>
      <c r="BP17" s="70">
        <f t="shared" si="29"/>
        <v>1417.4777777777776</v>
      </c>
      <c r="BQ17" s="71">
        <f t="shared" si="30"/>
        <v>74.604093567251454</v>
      </c>
      <c r="BR17" s="72" t="e">
        <f t="shared" si="31"/>
        <v>#N/A</v>
      </c>
      <c r="BS17" s="73"/>
      <c r="BT17" s="73"/>
      <c r="BU17" s="73"/>
      <c r="BV17" s="74"/>
      <c r="BW17" s="74"/>
      <c r="BX17" s="74"/>
      <c r="BY17" s="75"/>
    </row>
    <row r="18" spans="1:77" ht="23.1" customHeight="1">
      <c r="A18" s="91">
        <v>15</v>
      </c>
      <c r="B18" s="91">
        <v>18190098</v>
      </c>
      <c r="C18" s="92" t="s">
        <v>230</v>
      </c>
      <c r="D18" s="68">
        <f t="shared" si="0"/>
        <v>87</v>
      </c>
      <c r="E18" s="68">
        <f t="shared" si="1"/>
        <v>61</v>
      </c>
      <c r="F18" s="68">
        <f t="shared" si="2"/>
        <v>62</v>
      </c>
      <c r="G18" s="68">
        <f t="shared" si="3"/>
        <v>88</v>
      </c>
      <c r="H18" s="68">
        <f t="shared" si="4"/>
        <v>66</v>
      </c>
      <c r="I18" s="68">
        <f t="shared" si="5"/>
        <v>60</v>
      </c>
      <c r="J18" s="68">
        <f t="shared" si="6"/>
        <v>81</v>
      </c>
      <c r="K18" s="68">
        <f t="shared" si="7"/>
        <v>63</v>
      </c>
      <c r="L18" s="68">
        <f t="shared" si="8"/>
        <v>80</v>
      </c>
      <c r="M18" s="68">
        <f t="shared" si="9"/>
        <v>73</v>
      </c>
      <c r="N18" s="68">
        <f t="shared" si="10"/>
        <v>79</v>
      </c>
      <c r="O18" s="68">
        <f t="shared" si="11"/>
        <v>71</v>
      </c>
      <c r="P18" s="68">
        <f t="shared" si="12"/>
        <v>79</v>
      </c>
      <c r="Q18" s="68">
        <f t="shared" si="13"/>
        <v>64</v>
      </c>
      <c r="R18" s="69">
        <f t="shared" si="14"/>
        <v>93</v>
      </c>
      <c r="S18" s="69">
        <f t="shared" si="15"/>
        <v>75</v>
      </c>
      <c r="T18" s="69">
        <f t="shared" si="16"/>
        <v>80</v>
      </c>
      <c r="U18" s="69">
        <f t="shared" si="17"/>
        <v>60</v>
      </c>
      <c r="V18" s="69">
        <f t="shared" si="18"/>
        <v>80</v>
      </c>
      <c r="W18" s="234">
        <f t="shared" si="19"/>
        <v>95</v>
      </c>
      <c r="X18" s="234">
        <f t="shared" si="20"/>
        <v>85</v>
      </c>
      <c r="Y18" s="234">
        <f t="shared" si="21"/>
        <v>63</v>
      </c>
      <c r="Z18" s="234">
        <f t="shared" si="22"/>
        <v>93</v>
      </c>
      <c r="AA18" s="234">
        <f t="shared" si="23"/>
        <v>75</v>
      </c>
      <c r="AB18" s="234">
        <f t="shared" si="24"/>
        <v>63</v>
      </c>
      <c r="AC18" s="70">
        <f t="shared" si="25"/>
        <v>1402</v>
      </c>
      <c r="AD18" s="71">
        <f t="shared" si="26"/>
        <v>73.78947368421052</v>
      </c>
      <c r="AE18" s="72">
        <f t="shared" si="27"/>
        <v>15</v>
      </c>
      <c r="AF18" s="73" t="s">
        <v>805</v>
      </c>
      <c r="AG18" s="73" t="s">
        <v>805</v>
      </c>
      <c r="AH18" s="73" t="s">
        <v>805</v>
      </c>
      <c r="AI18" s="74">
        <v>13</v>
      </c>
      <c r="AJ18" s="74">
        <v>0</v>
      </c>
      <c r="AK18" s="74">
        <v>1</v>
      </c>
      <c r="AL18" s="75"/>
      <c r="AN18" s="66">
        <v>20</v>
      </c>
      <c r="AO18" s="66">
        <v>18190098</v>
      </c>
      <c r="AP18" s="80" t="s">
        <v>230</v>
      </c>
      <c r="AQ18" s="68">
        <v>86.5</v>
      </c>
      <c r="AR18" s="68">
        <v>61</v>
      </c>
      <c r="AS18" s="68">
        <v>62.2</v>
      </c>
      <c r="AT18" s="68">
        <v>88</v>
      </c>
      <c r="AU18" s="68">
        <v>66.099999999999994</v>
      </c>
      <c r="AV18" s="68">
        <v>59.8</v>
      </c>
      <c r="AW18" s="68">
        <v>80.8</v>
      </c>
      <c r="AX18" s="68">
        <v>63</v>
      </c>
      <c r="AY18" s="68">
        <v>80</v>
      </c>
      <c r="AZ18" s="68">
        <v>73</v>
      </c>
      <c r="BA18" s="68">
        <v>79</v>
      </c>
      <c r="BB18" s="68">
        <v>71</v>
      </c>
      <c r="BC18" s="68">
        <v>79</v>
      </c>
      <c r="BD18" s="68">
        <v>64</v>
      </c>
      <c r="BE18" s="260">
        <v>93.111111111111114</v>
      </c>
      <c r="BF18" s="76">
        <v>75</v>
      </c>
      <c r="BG18" s="76">
        <v>80</v>
      </c>
      <c r="BH18" s="76">
        <v>60</v>
      </c>
      <c r="BI18" s="76">
        <v>80</v>
      </c>
      <c r="BJ18" s="234">
        <v>95</v>
      </c>
      <c r="BK18" s="234">
        <v>85</v>
      </c>
      <c r="BL18" s="234">
        <f t="shared" si="28"/>
        <v>63</v>
      </c>
      <c r="BM18" s="234">
        <v>92.5</v>
      </c>
      <c r="BN18" s="234">
        <v>75</v>
      </c>
      <c r="BO18" s="234">
        <v>62.5</v>
      </c>
      <c r="BP18" s="70">
        <f t="shared" si="29"/>
        <v>1401.5111111111112</v>
      </c>
      <c r="BQ18" s="71">
        <f t="shared" si="30"/>
        <v>73.763742690058479</v>
      </c>
      <c r="BR18" s="72" t="e">
        <f t="shared" si="31"/>
        <v>#N/A</v>
      </c>
      <c r="BS18" s="73"/>
      <c r="BT18" s="73"/>
      <c r="BU18" s="73"/>
      <c r="BV18" s="74"/>
      <c r="BW18" s="74"/>
      <c r="BX18" s="74"/>
      <c r="BY18" s="75"/>
    </row>
    <row r="19" spans="1:77" ht="23.1" customHeight="1">
      <c r="A19" s="91">
        <v>16</v>
      </c>
      <c r="B19" s="91">
        <v>18190093</v>
      </c>
      <c r="C19" s="92" t="s">
        <v>229</v>
      </c>
      <c r="D19" s="68">
        <f t="shared" si="0"/>
        <v>69</v>
      </c>
      <c r="E19" s="68">
        <f t="shared" si="1"/>
        <v>47</v>
      </c>
      <c r="F19" s="68">
        <f t="shared" si="2"/>
        <v>67</v>
      </c>
      <c r="G19" s="68">
        <f t="shared" si="3"/>
        <v>88</v>
      </c>
      <c r="H19" s="68">
        <f t="shared" si="4"/>
        <v>82</v>
      </c>
      <c r="I19" s="68">
        <f t="shared" si="5"/>
        <v>66</v>
      </c>
      <c r="J19" s="68">
        <f t="shared" si="6"/>
        <v>84</v>
      </c>
      <c r="K19" s="68">
        <f t="shared" si="7"/>
        <v>59</v>
      </c>
      <c r="L19" s="68">
        <f t="shared" si="8"/>
        <v>90</v>
      </c>
      <c r="M19" s="68">
        <f t="shared" si="9"/>
        <v>72</v>
      </c>
      <c r="N19" s="68">
        <f t="shared" si="10"/>
        <v>78</v>
      </c>
      <c r="O19" s="68">
        <f t="shared" si="11"/>
        <v>78</v>
      </c>
      <c r="P19" s="68">
        <f t="shared" si="12"/>
        <v>78</v>
      </c>
      <c r="Q19" s="68">
        <f t="shared" si="13"/>
        <v>63</v>
      </c>
      <c r="R19" s="69">
        <f t="shared" si="14"/>
        <v>94</v>
      </c>
      <c r="S19" s="69">
        <f t="shared" si="15"/>
        <v>75</v>
      </c>
      <c r="T19" s="69">
        <f t="shared" si="16"/>
        <v>80</v>
      </c>
      <c r="U19" s="69">
        <f t="shared" si="17"/>
        <v>60</v>
      </c>
      <c r="V19" s="69">
        <f t="shared" si="18"/>
        <v>60</v>
      </c>
      <c r="W19" s="234">
        <f t="shared" si="19"/>
        <v>88</v>
      </c>
      <c r="X19" s="234">
        <f t="shared" si="20"/>
        <v>88</v>
      </c>
      <c r="Y19" s="234">
        <f t="shared" si="21"/>
        <v>59</v>
      </c>
      <c r="Z19" s="234">
        <f t="shared" si="22"/>
        <v>90</v>
      </c>
      <c r="AA19" s="234">
        <f t="shared" si="23"/>
        <v>73</v>
      </c>
      <c r="AB19" s="234">
        <f t="shared" si="24"/>
        <v>63</v>
      </c>
      <c r="AC19" s="70">
        <f t="shared" si="25"/>
        <v>1390</v>
      </c>
      <c r="AD19" s="71">
        <f t="shared" si="26"/>
        <v>73.15789473684211</v>
      </c>
      <c r="AE19" s="72">
        <f t="shared" si="27"/>
        <v>16</v>
      </c>
      <c r="AF19" s="73" t="s">
        <v>807</v>
      </c>
      <c r="AG19" s="73" t="s">
        <v>807</v>
      </c>
      <c r="AH19" s="73" t="s">
        <v>807</v>
      </c>
      <c r="AI19" s="74">
        <v>3</v>
      </c>
      <c r="AJ19" s="74">
        <v>9</v>
      </c>
      <c r="AK19" s="74">
        <v>39</v>
      </c>
      <c r="AL19" s="75"/>
      <c r="AN19" s="66">
        <v>19</v>
      </c>
      <c r="AO19" s="66">
        <v>18190093</v>
      </c>
      <c r="AP19" s="77" t="s">
        <v>229</v>
      </c>
      <c r="AQ19" s="68">
        <v>68.699999999999989</v>
      </c>
      <c r="AR19" s="68">
        <v>47.4</v>
      </c>
      <c r="AS19" s="68">
        <v>67.2</v>
      </c>
      <c r="AT19" s="68">
        <v>87.5</v>
      </c>
      <c r="AU19" s="68">
        <v>82.199999999999989</v>
      </c>
      <c r="AV19" s="68">
        <v>66</v>
      </c>
      <c r="AW19" s="68">
        <v>84</v>
      </c>
      <c r="AX19" s="68">
        <v>59</v>
      </c>
      <c r="AY19" s="68">
        <v>90</v>
      </c>
      <c r="AZ19" s="68">
        <v>72</v>
      </c>
      <c r="BA19" s="68">
        <v>78</v>
      </c>
      <c r="BB19" s="68">
        <v>78</v>
      </c>
      <c r="BC19" s="68">
        <v>78</v>
      </c>
      <c r="BD19" s="68">
        <v>63</v>
      </c>
      <c r="BE19" s="260">
        <v>94.444444444444443</v>
      </c>
      <c r="BF19" s="76">
        <v>75</v>
      </c>
      <c r="BG19" s="76">
        <v>80</v>
      </c>
      <c r="BH19" s="76">
        <v>60</v>
      </c>
      <c r="BI19" s="76">
        <v>60</v>
      </c>
      <c r="BJ19" s="234">
        <v>87.5</v>
      </c>
      <c r="BK19" s="234">
        <v>87.5</v>
      </c>
      <c r="BL19" s="234">
        <f t="shared" si="28"/>
        <v>59</v>
      </c>
      <c r="BM19" s="234">
        <v>90</v>
      </c>
      <c r="BN19" s="234">
        <v>72.5</v>
      </c>
      <c r="BO19" s="234">
        <v>62.5</v>
      </c>
      <c r="BP19" s="70">
        <f t="shared" si="29"/>
        <v>1390.4444444444443</v>
      </c>
      <c r="BQ19" s="71">
        <f t="shared" si="30"/>
        <v>73.181286549707593</v>
      </c>
      <c r="BR19" s="72" t="e">
        <f t="shared" si="31"/>
        <v>#N/A</v>
      </c>
      <c r="BS19" s="73"/>
      <c r="BT19" s="73"/>
      <c r="BU19" s="73"/>
      <c r="BV19" s="74"/>
      <c r="BW19" s="74"/>
      <c r="BX19" s="74"/>
      <c r="BY19" s="75"/>
    </row>
    <row r="20" spans="1:77" ht="23.1" customHeight="1">
      <c r="A20" s="91">
        <v>17</v>
      </c>
      <c r="B20" s="91">
        <v>18190072</v>
      </c>
      <c r="C20" s="92" t="s">
        <v>227</v>
      </c>
      <c r="D20" s="68">
        <f t="shared" si="0"/>
        <v>70</v>
      </c>
      <c r="E20" s="68">
        <f t="shared" si="1"/>
        <v>56</v>
      </c>
      <c r="F20" s="68">
        <f t="shared" si="2"/>
        <v>64</v>
      </c>
      <c r="G20" s="68">
        <f t="shared" si="3"/>
        <v>80</v>
      </c>
      <c r="H20" s="68">
        <f t="shared" si="4"/>
        <v>71</v>
      </c>
      <c r="I20" s="68">
        <f t="shared" si="5"/>
        <v>67</v>
      </c>
      <c r="J20" s="68">
        <f t="shared" si="6"/>
        <v>87</v>
      </c>
      <c r="K20" s="68">
        <f t="shared" si="7"/>
        <v>67</v>
      </c>
      <c r="L20" s="68">
        <f t="shared" si="8"/>
        <v>72</v>
      </c>
      <c r="M20" s="68">
        <f t="shared" si="9"/>
        <v>73</v>
      </c>
      <c r="N20" s="68">
        <f t="shared" si="10"/>
        <v>79</v>
      </c>
      <c r="O20" s="68">
        <f t="shared" si="11"/>
        <v>68</v>
      </c>
      <c r="P20" s="68">
        <f t="shared" si="12"/>
        <v>79</v>
      </c>
      <c r="Q20" s="68">
        <f t="shared" si="13"/>
        <v>64</v>
      </c>
      <c r="R20" s="69">
        <f t="shared" si="14"/>
        <v>93</v>
      </c>
      <c r="S20" s="69">
        <f t="shared" si="15"/>
        <v>75</v>
      </c>
      <c r="T20" s="69">
        <f t="shared" si="16"/>
        <v>80</v>
      </c>
      <c r="U20" s="69">
        <f t="shared" si="17"/>
        <v>60</v>
      </c>
      <c r="V20" s="69">
        <f t="shared" si="18"/>
        <v>78</v>
      </c>
      <c r="W20" s="234">
        <f t="shared" si="19"/>
        <v>99</v>
      </c>
      <c r="X20" s="234">
        <f t="shared" si="20"/>
        <v>93</v>
      </c>
      <c r="Y20" s="234">
        <f t="shared" si="21"/>
        <v>67</v>
      </c>
      <c r="Z20" s="234">
        <f t="shared" si="22"/>
        <v>90</v>
      </c>
      <c r="AA20" s="234">
        <f t="shared" si="23"/>
        <v>75</v>
      </c>
      <c r="AB20" s="234">
        <f t="shared" si="24"/>
        <v>65</v>
      </c>
      <c r="AC20" s="70">
        <f t="shared" si="25"/>
        <v>1383</v>
      </c>
      <c r="AD20" s="71">
        <f t="shared" si="26"/>
        <v>72.78947368421052</v>
      </c>
      <c r="AE20" s="72">
        <f t="shared" si="27"/>
        <v>17</v>
      </c>
      <c r="AF20" s="73" t="s">
        <v>805</v>
      </c>
      <c r="AG20" s="73" t="s">
        <v>805</v>
      </c>
      <c r="AH20" s="73" t="s">
        <v>805</v>
      </c>
      <c r="AI20" s="74">
        <v>0</v>
      </c>
      <c r="AJ20" s="74">
        <v>0</v>
      </c>
      <c r="AK20" s="74">
        <v>0</v>
      </c>
      <c r="AL20" s="75"/>
      <c r="AN20" s="66">
        <v>17</v>
      </c>
      <c r="AO20" s="66">
        <v>18190072</v>
      </c>
      <c r="AP20" s="80" t="s">
        <v>227</v>
      </c>
      <c r="AQ20" s="68">
        <v>70</v>
      </c>
      <c r="AR20" s="68">
        <v>55.599999999999994</v>
      </c>
      <c r="AS20" s="68">
        <v>64.3</v>
      </c>
      <c r="AT20" s="68">
        <v>79.5</v>
      </c>
      <c r="AU20" s="68">
        <v>71.199999999999989</v>
      </c>
      <c r="AV20" s="68">
        <v>67</v>
      </c>
      <c r="AW20" s="68">
        <v>86.8</v>
      </c>
      <c r="AX20" s="68">
        <v>66.5</v>
      </c>
      <c r="AY20" s="68">
        <v>72</v>
      </c>
      <c r="AZ20" s="68">
        <v>73</v>
      </c>
      <c r="BA20" s="68">
        <v>79</v>
      </c>
      <c r="BB20" s="68">
        <v>68</v>
      </c>
      <c r="BC20" s="68">
        <v>79</v>
      </c>
      <c r="BD20" s="68">
        <v>64</v>
      </c>
      <c r="BE20" s="260">
        <v>93.111111111111114</v>
      </c>
      <c r="BF20" s="76">
        <v>75</v>
      </c>
      <c r="BG20" s="76">
        <v>80</v>
      </c>
      <c r="BH20" s="76">
        <v>60</v>
      </c>
      <c r="BI20" s="76">
        <v>78</v>
      </c>
      <c r="BJ20" s="234">
        <v>100</v>
      </c>
      <c r="BK20" s="234">
        <v>92.5</v>
      </c>
      <c r="BL20" s="234">
        <f t="shared" si="28"/>
        <v>66.5</v>
      </c>
      <c r="BM20" s="234">
        <v>90</v>
      </c>
      <c r="BN20" s="234">
        <v>75</v>
      </c>
      <c r="BO20" s="234">
        <v>65</v>
      </c>
      <c r="BP20" s="70">
        <f t="shared" si="29"/>
        <v>1382.0111111111112</v>
      </c>
      <c r="BQ20" s="71">
        <f t="shared" si="30"/>
        <v>72.737426900584794</v>
      </c>
      <c r="BR20" s="72" t="e">
        <f t="shared" si="31"/>
        <v>#N/A</v>
      </c>
      <c r="BS20" s="73"/>
      <c r="BT20" s="73"/>
      <c r="BU20" s="73"/>
      <c r="BV20" s="74"/>
      <c r="BW20" s="74"/>
      <c r="BX20" s="74"/>
      <c r="BY20" s="75"/>
    </row>
    <row r="21" spans="1:77" ht="23.1" customHeight="1">
      <c r="A21" s="91">
        <v>18</v>
      </c>
      <c r="B21" s="91">
        <v>18190105</v>
      </c>
      <c r="C21" s="92" t="s">
        <v>232</v>
      </c>
      <c r="D21" s="68">
        <f t="shared" si="0"/>
        <v>94</v>
      </c>
      <c r="E21" s="68">
        <f t="shared" si="1"/>
        <v>54</v>
      </c>
      <c r="F21" s="68">
        <f t="shared" si="2"/>
        <v>77</v>
      </c>
      <c r="G21" s="68">
        <f t="shared" si="3"/>
        <v>82</v>
      </c>
      <c r="H21" s="68">
        <f t="shared" si="4"/>
        <v>78</v>
      </c>
      <c r="I21" s="68">
        <f t="shared" si="5"/>
        <v>47</v>
      </c>
      <c r="J21" s="68">
        <f t="shared" si="6"/>
        <v>84</v>
      </c>
      <c r="K21" s="68">
        <f t="shared" si="7"/>
        <v>64</v>
      </c>
      <c r="L21" s="68">
        <f t="shared" si="8"/>
        <v>74</v>
      </c>
      <c r="M21" s="68">
        <f t="shared" si="9"/>
        <v>72</v>
      </c>
      <c r="N21" s="68">
        <f t="shared" si="10"/>
        <v>78</v>
      </c>
      <c r="O21" s="68">
        <f t="shared" si="11"/>
        <v>72</v>
      </c>
      <c r="P21" s="68">
        <f t="shared" si="12"/>
        <v>78</v>
      </c>
      <c r="Q21" s="68">
        <f t="shared" si="13"/>
        <v>63</v>
      </c>
      <c r="R21" s="69">
        <f t="shared" si="14"/>
        <v>93</v>
      </c>
      <c r="S21" s="69">
        <f t="shared" si="15"/>
        <v>70</v>
      </c>
      <c r="T21" s="69">
        <f t="shared" si="16"/>
        <v>80</v>
      </c>
      <c r="U21" s="69">
        <f t="shared" si="17"/>
        <v>60</v>
      </c>
      <c r="V21" s="69">
        <f t="shared" si="18"/>
        <v>60</v>
      </c>
      <c r="W21" s="234">
        <f t="shared" si="19"/>
        <v>98</v>
      </c>
      <c r="X21" s="234">
        <f t="shared" si="20"/>
        <v>93</v>
      </c>
      <c r="Y21" s="234">
        <f t="shared" si="21"/>
        <v>64</v>
      </c>
      <c r="Z21" s="234">
        <f t="shared" si="22"/>
        <v>83</v>
      </c>
      <c r="AA21" s="234">
        <f t="shared" si="23"/>
        <v>75</v>
      </c>
      <c r="AB21" s="234">
        <f t="shared" si="24"/>
        <v>75</v>
      </c>
      <c r="AC21" s="70">
        <f t="shared" si="25"/>
        <v>1380</v>
      </c>
      <c r="AD21" s="71">
        <f t="shared" si="26"/>
        <v>72.631578947368425</v>
      </c>
      <c r="AE21" s="72">
        <f t="shared" si="27"/>
        <v>18</v>
      </c>
      <c r="AF21" s="73" t="s">
        <v>805</v>
      </c>
      <c r="AG21" s="73" t="s">
        <v>805</v>
      </c>
      <c r="AH21" s="73" t="s">
        <v>805</v>
      </c>
      <c r="AI21" s="74">
        <v>5</v>
      </c>
      <c r="AJ21" s="74">
        <v>0</v>
      </c>
      <c r="AK21" s="74">
        <v>20</v>
      </c>
      <c r="AL21" s="75"/>
      <c r="AM21" s="60" t="s">
        <v>194</v>
      </c>
      <c r="AN21" s="66">
        <v>22</v>
      </c>
      <c r="AO21" s="66">
        <v>18190105</v>
      </c>
      <c r="AP21" s="77" t="s">
        <v>232</v>
      </c>
      <c r="AQ21" s="68">
        <v>93.6</v>
      </c>
      <c r="AR21" s="68">
        <v>53.94</v>
      </c>
      <c r="AS21" s="68">
        <v>76.8</v>
      </c>
      <c r="AT21" s="68">
        <v>82</v>
      </c>
      <c r="AU21" s="68">
        <v>78.3</v>
      </c>
      <c r="AV21" s="68">
        <v>46.8</v>
      </c>
      <c r="AW21" s="68">
        <v>84</v>
      </c>
      <c r="AX21" s="68">
        <v>63.5</v>
      </c>
      <c r="AY21" s="68">
        <v>74</v>
      </c>
      <c r="AZ21" s="68">
        <v>72</v>
      </c>
      <c r="BA21" s="68">
        <v>78</v>
      </c>
      <c r="BB21" s="68">
        <v>72.399999999999991</v>
      </c>
      <c r="BC21" s="68">
        <v>78</v>
      </c>
      <c r="BD21" s="68">
        <v>63</v>
      </c>
      <c r="BE21" s="260">
        <v>93.111111111111114</v>
      </c>
      <c r="BF21" s="76">
        <v>70</v>
      </c>
      <c r="BG21" s="76">
        <v>80</v>
      </c>
      <c r="BH21" s="76">
        <v>60</v>
      </c>
      <c r="BI21" s="76">
        <v>60</v>
      </c>
      <c r="BJ21" s="234">
        <v>97.5</v>
      </c>
      <c r="BK21" s="234">
        <v>92.5</v>
      </c>
      <c r="BL21" s="234">
        <f t="shared" si="28"/>
        <v>63.5</v>
      </c>
      <c r="BM21" s="234">
        <v>82.5</v>
      </c>
      <c r="BN21" s="234">
        <v>75</v>
      </c>
      <c r="BO21" s="234">
        <v>75</v>
      </c>
      <c r="BP21" s="70">
        <f t="shared" si="29"/>
        <v>1379.4511111111112</v>
      </c>
      <c r="BQ21" s="71">
        <f t="shared" si="30"/>
        <v>72.602690058479538</v>
      </c>
      <c r="BR21" s="72" t="e">
        <f t="shared" si="31"/>
        <v>#N/A</v>
      </c>
      <c r="BS21" s="73"/>
      <c r="BT21" s="73"/>
      <c r="BU21" s="73"/>
      <c r="BV21" s="74"/>
      <c r="BW21" s="74"/>
      <c r="BX21" s="74"/>
      <c r="BY21" s="75"/>
    </row>
    <row r="22" spans="1:77" ht="23.1" customHeight="1">
      <c r="A22" s="91">
        <v>19</v>
      </c>
      <c r="B22" s="66">
        <v>18190023</v>
      </c>
      <c r="C22" s="79" t="s">
        <v>215</v>
      </c>
      <c r="D22" s="68">
        <f t="shared" si="0"/>
        <v>91</v>
      </c>
      <c r="E22" s="68">
        <f t="shared" si="1"/>
        <v>40</v>
      </c>
      <c r="F22" s="68">
        <f t="shared" si="2"/>
        <v>74</v>
      </c>
      <c r="G22" s="68">
        <f t="shared" si="3"/>
        <v>78</v>
      </c>
      <c r="H22" s="68">
        <f t="shared" si="4"/>
        <v>59</v>
      </c>
      <c r="I22" s="68">
        <f t="shared" si="5"/>
        <v>70</v>
      </c>
      <c r="J22" s="68">
        <f t="shared" si="6"/>
        <v>96</v>
      </c>
      <c r="K22" s="68">
        <f t="shared" si="7"/>
        <v>67</v>
      </c>
      <c r="L22" s="68">
        <f t="shared" si="8"/>
        <v>82</v>
      </c>
      <c r="M22" s="68">
        <f t="shared" si="9"/>
        <v>73</v>
      </c>
      <c r="N22" s="68">
        <f t="shared" si="10"/>
        <v>79</v>
      </c>
      <c r="O22" s="68">
        <f t="shared" si="11"/>
        <v>80</v>
      </c>
      <c r="P22" s="68">
        <f t="shared" si="12"/>
        <v>79</v>
      </c>
      <c r="Q22" s="68">
        <f t="shared" si="13"/>
        <v>64</v>
      </c>
      <c r="R22" s="69">
        <f t="shared" si="14"/>
        <v>93</v>
      </c>
      <c r="S22" s="69">
        <f t="shared" si="15"/>
        <v>65</v>
      </c>
      <c r="T22" s="69">
        <f t="shared" si="16"/>
        <v>80</v>
      </c>
      <c r="U22" s="69">
        <f t="shared" si="17"/>
        <v>60</v>
      </c>
      <c r="V22" s="69">
        <f t="shared" si="18"/>
        <v>42</v>
      </c>
      <c r="W22" s="234">
        <f t="shared" si="19"/>
        <v>98</v>
      </c>
      <c r="X22" s="234">
        <f t="shared" si="20"/>
        <v>95</v>
      </c>
      <c r="Y22" s="234">
        <f t="shared" si="21"/>
        <v>67</v>
      </c>
      <c r="Z22" s="234">
        <f t="shared" si="22"/>
        <v>93</v>
      </c>
      <c r="AA22" s="234">
        <f t="shared" si="23"/>
        <v>78</v>
      </c>
      <c r="AB22" s="234">
        <f t="shared" si="24"/>
        <v>75</v>
      </c>
      <c r="AC22" s="70">
        <f t="shared" si="25"/>
        <v>1372</v>
      </c>
      <c r="AD22" s="71">
        <f t="shared" si="26"/>
        <v>72.21052631578948</v>
      </c>
      <c r="AE22" s="72">
        <f t="shared" si="27"/>
        <v>19</v>
      </c>
      <c r="AF22" s="73" t="s">
        <v>805</v>
      </c>
      <c r="AG22" s="73" t="s">
        <v>805</v>
      </c>
      <c r="AH22" s="73" t="s">
        <v>805</v>
      </c>
      <c r="AI22" s="74">
        <v>0</v>
      </c>
      <c r="AJ22" s="74">
        <v>0</v>
      </c>
      <c r="AK22" s="74">
        <v>0</v>
      </c>
      <c r="AL22" s="75"/>
      <c r="AN22" s="66">
        <v>5</v>
      </c>
      <c r="AO22" s="66">
        <v>18190023</v>
      </c>
      <c r="AP22" s="78" t="s">
        <v>215</v>
      </c>
      <c r="AQ22" s="68">
        <v>91.3</v>
      </c>
      <c r="AR22" s="68">
        <v>39.4</v>
      </c>
      <c r="AS22" s="68">
        <v>73.599999999999994</v>
      </c>
      <c r="AT22" s="68">
        <v>78</v>
      </c>
      <c r="AU22" s="68">
        <v>59.2</v>
      </c>
      <c r="AV22" s="68">
        <v>70</v>
      </c>
      <c r="AW22" s="68">
        <v>95.8</v>
      </c>
      <c r="AX22" s="68">
        <v>66.5</v>
      </c>
      <c r="AY22" s="68">
        <v>82</v>
      </c>
      <c r="AZ22" s="68">
        <v>73</v>
      </c>
      <c r="BA22" s="68">
        <v>79</v>
      </c>
      <c r="BB22" s="68">
        <v>79.5</v>
      </c>
      <c r="BC22" s="68">
        <v>79</v>
      </c>
      <c r="BD22" s="68">
        <v>64</v>
      </c>
      <c r="BE22" s="260">
        <v>93.111111111111114</v>
      </c>
      <c r="BF22" s="76">
        <v>65</v>
      </c>
      <c r="BG22" s="76">
        <v>80</v>
      </c>
      <c r="BH22" s="76">
        <v>60</v>
      </c>
      <c r="BI22" s="76">
        <v>42</v>
      </c>
      <c r="BJ22" s="234">
        <v>97.5</v>
      </c>
      <c r="BK22" s="234">
        <v>95</v>
      </c>
      <c r="BL22" s="234">
        <f t="shared" si="28"/>
        <v>66.5</v>
      </c>
      <c r="BM22" s="234">
        <v>92.5</v>
      </c>
      <c r="BN22" s="234">
        <v>77.5</v>
      </c>
      <c r="BO22" s="234">
        <v>75</v>
      </c>
      <c r="BP22" s="70">
        <f t="shared" si="29"/>
        <v>1370.411111111111</v>
      </c>
      <c r="BQ22" s="71">
        <f t="shared" si="30"/>
        <v>72.126900584795322</v>
      </c>
      <c r="BR22" s="72" t="e">
        <f t="shared" si="31"/>
        <v>#N/A</v>
      </c>
      <c r="BS22" s="73"/>
      <c r="BT22" s="73"/>
      <c r="BU22" s="73"/>
      <c r="BV22" s="74"/>
      <c r="BW22" s="74"/>
      <c r="BX22" s="74"/>
      <c r="BY22" s="75"/>
    </row>
    <row r="23" spans="1:77" ht="23.1" customHeight="1">
      <c r="A23" s="91">
        <v>20</v>
      </c>
      <c r="B23" s="66">
        <v>18190111</v>
      </c>
      <c r="C23" s="77" t="s">
        <v>234</v>
      </c>
      <c r="D23" s="68">
        <f t="shared" si="0"/>
        <v>96</v>
      </c>
      <c r="E23" s="68">
        <f t="shared" si="1"/>
        <v>50</v>
      </c>
      <c r="F23" s="68">
        <f t="shared" si="2"/>
        <v>78</v>
      </c>
      <c r="G23" s="68">
        <f t="shared" si="3"/>
        <v>80</v>
      </c>
      <c r="H23" s="68">
        <f t="shared" si="4"/>
        <v>55</v>
      </c>
      <c r="I23" s="68">
        <f t="shared" si="5"/>
        <v>49</v>
      </c>
      <c r="J23" s="68">
        <f t="shared" si="6"/>
        <v>87</v>
      </c>
      <c r="K23" s="68">
        <f t="shared" si="7"/>
        <v>70</v>
      </c>
      <c r="L23" s="68">
        <f t="shared" si="8"/>
        <v>86</v>
      </c>
      <c r="M23" s="68">
        <f t="shared" si="9"/>
        <v>73</v>
      </c>
      <c r="N23" s="68">
        <f t="shared" si="10"/>
        <v>79</v>
      </c>
      <c r="O23" s="68">
        <f t="shared" si="11"/>
        <v>77</v>
      </c>
      <c r="P23" s="68">
        <f t="shared" si="12"/>
        <v>79</v>
      </c>
      <c r="Q23" s="68">
        <f t="shared" si="13"/>
        <v>64</v>
      </c>
      <c r="R23" s="69">
        <f t="shared" si="14"/>
        <v>93</v>
      </c>
      <c r="S23" s="69">
        <f t="shared" si="15"/>
        <v>75</v>
      </c>
      <c r="T23" s="69">
        <f t="shared" si="16"/>
        <v>80</v>
      </c>
      <c r="U23" s="69">
        <f t="shared" si="17"/>
        <v>60</v>
      </c>
      <c r="V23" s="69">
        <f t="shared" si="18"/>
        <v>40</v>
      </c>
      <c r="W23" s="234">
        <f t="shared" si="19"/>
        <v>99</v>
      </c>
      <c r="X23" s="234">
        <f t="shared" si="20"/>
        <v>95</v>
      </c>
      <c r="Y23" s="234">
        <f t="shared" si="21"/>
        <v>70</v>
      </c>
      <c r="Z23" s="234">
        <f t="shared" si="22"/>
        <v>90</v>
      </c>
      <c r="AA23" s="234">
        <f t="shared" si="23"/>
        <v>78</v>
      </c>
      <c r="AB23" s="234">
        <f t="shared" si="24"/>
        <v>70</v>
      </c>
      <c r="AC23" s="70">
        <f t="shared" si="25"/>
        <v>1371</v>
      </c>
      <c r="AD23" s="71">
        <f t="shared" si="26"/>
        <v>72.15789473684211</v>
      </c>
      <c r="AE23" s="72">
        <f t="shared" si="27"/>
        <v>20</v>
      </c>
      <c r="AF23" s="73" t="s">
        <v>805</v>
      </c>
      <c r="AG23" s="73" t="s">
        <v>805</v>
      </c>
      <c r="AH23" s="73" t="s">
        <v>805</v>
      </c>
      <c r="AI23" s="74">
        <v>3</v>
      </c>
      <c r="AJ23" s="74">
        <v>7</v>
      </c>
      <c r="AK23" s="74">
        <v>1</v>
      </c>
      <c r="AL23" s="75"/>
      <c r="AN23" s="66">
        <v>24</v>
      </c>
      <c r="AO23" s="66">
        <v>18190111</v>
      </c>
      <c r="AP23" s="77" t="s">
        <v>234</v>
      </c>
      <c r="AQ23" s="68">
        <v>95.5</v>
      </c>
      <c r="AR23" s="68">
        <v>50.379999999999995</v>
      </c>
      <c r="AS23" s="68">
        <v>78.400000000000006</v>
      </c>
      <c r="AT23" s="68">
        <v>80</v>
      </c>
      <c r="AU23" s="68">
        <v>55</v>
      </c>
      <c r="AV23" s="68">
        <v>49</v>
      </c>
      <c r="AW23" s="68">
        <v>86.8</v>
      </c>
      <c r="AX23" s="68">
        <v>69.5</v>
      </c>
      <c r="AY23" s="68">
        <v>86</v>
      </c>
      <c r="AZ23" s="68">
        <v>73</v>
      </c>
      <c r="BA23" s="68">
        <v>79</v>
      </c>
      <c r="BB23" s="68">
        <v>77</v>
      </c>
      <c r="BC23" s="68">
        <v>79</v>
      </c>
      <c r="BD23" s="68">
        <v>64</v>
      </c>
      <c r="BE23" s="260">
        <v>92.777777777777786</v>
      </c>
      <c r="BF23" s="76">
        <v>75</v>
      </c>
      <c r="BG23" s="76">
        <v>80</v>
      </c>
      <c r="BH23" s="76">
        <v>60</v>
      </c>
      <c r="BI23" s="76">
        <v>40</v>
      </c>
      <c r="BJ23" s="234">
        <v>100</v>
      </c>
      <c r="BK23" s="234">
        <v>95</v>
      </c>
      <c r="BL23" s="234">
        <f t="shared" si="28"/>
        <v>69.5</v>
      </c>
      <c r="BM23" s="234">
        <v>90</v>
      </c>
      <c r="BN23" s="234">
        <v>77.5</v>
      </c>
      <c r="BO23" s="234">
        <v>70</v>
      </c>
      <c r="BP23" s="70">
        <f t="shared" si="29"/>
        <v>1370.3577777777778</v>
      </c>
      <c r="BQ23" s="71">
        <f t="shared" si="30"/>
        <v>72.124093567251464</v>
      </c>
      <c r="BR23" s="72" t="e">
        <f t="shared" si="31"/>
        <v>#N/A</v>
      </c>
      <c r="BS23" s="73"/>
      <c r="BT23" s="73"/>
      <c r="BU23" s="73"/>
      <c r="BV23" s="74"/>
      <c r="BW23" s="74"/>
      <c r="BX23" s="74"/>
      <c r="BY23" s="75"/>
    </row>
    <row r="24" spans="1:77" ht="23.1" customHeight="1">
      <c r="A24" s="91">
        <v>21</v>
      </c>
      <c r="B24" s="91">
        <v>18190118</v>
      </c>
      <c r="C24" s="92" t="s">
        <v>225</v>
      </c>
      <c r="D24" s="68">
        <f t="shared" si="0"/>
        <v>87</v>
      </c>
      <c r="E24" s="68">
        <f t="shared" si="1"/>
        <v>56</v>
      </c>
      <c r="F24" s="68">
        <f t="shared" si="2"/>
        <v>84</v>
      </c>
      <c r="G24" s="68">
        <f t="shared" si="3"/>
        <v>79</v>
      </c>
      <c r="H24" s="68">
        <f t="shared" si="4"/>
        <v>72</v>
      </c>
      <c r="I24" s="68">
        <f t="shared" si="5"/>
        <v>56</v>
      </c>
      <c r="J24" s="68">
        <f t="shared" si="6"/>
        <v>86</v>
      </c>
      <c r="K24" s="68">
        <f t="shared" si="7"/>
        <v>80</v>
      </c>
      <c r="L24" s="68">
        <f t="shared" si="8"/>
        <v>68</v>
      </c>
      <c r="M24" s="68">
        <f t="shared" si="9"/>
        <v>72</v>
      </c>
      <c r="N24" s="68">
        <f t="shared" si="10"/>
        <v>78</v>
      </c>
      <c r="O24" s="68">
        <f t="shared" si="11"/>
        <v>72</v>
      </c>
      <c r="P24" s="68">
        <f t="shared" si="12"/>
        <v>78</v>
      </c>
      <c r="Q24" s="68">
        <f t="shared" si="13"/>
        <v>63</v>
      </c>
      <c r="R24" s="69">
        <f t="shared" si="14"/>
        <v>91</v>
      </c>
      <c r="S24" s="69">
        <f t="shared" si="15"/>
        <v>95</v>
      </c>
      <c r="T24" s="69">
        <f t="shared" si="16"/>
        <v>60</v>
      </c>
      <c r="U24" s="69">
        <f t="shared" si="17"/>
        <v>60</v>
      </c>
      <c r="V24" s="69">
        <f t="shared" si="18"/>
        <v>0</v>
      </c>
      <c r="W24" s="234">
        <f t="shared" si="19"/>
        <v>90</v>
      </c>
      <c r="X24" s="234">
        <f t="shared" si="20"/>
        <v>73</v>
      </c>
      <c r="Y24" s="234">
        <f t="shared" si="21"/>
        <v>80</v>
      </c>
      <c r="Z24" s="234">
        <f t="shared" si="22"/>
        <v>85</v>
      </c>
      <c r="AA24" s="234">
        <f t="shared" si="23"/>
        <v>65</v>
      </c>
      <c r="AB24" s="234">
        <f t="shared" si="24"/>
        <v>65</v>
      </c>
      <c r="AC24" s="70">
        <f t="shared" si="25"/>
        <v>1337</v>
      </c>
      <c r="AD24" s="71">
        <f t="shared" si="26"/>
        <v>70.368421052631575</v>
      </c>
      <c r="AE24" s="72">
        <f t="shared" si="27"/>
        <v>21</v>
      </c>
      <c r="AF24" s="73" t="s">
        <v>805</v>
      </c>
      <c r="AG24" s="73" t="s">
        <v>805</v>
      </c>
      <c r="AH24" s="73" t="s">
        <v>805</v>
      </c>
      <c r="AI24" s="74">
        <v>0</v>
      </c>
      <c r="AJ24" s="74">
        <v>68</v>
      </c>
      <c r="AK24" s="74">
        <v>0</v>
      </c>
      <c r="AL24" s="75"/>
      <c r="AN24" s="66">
        <v>15</v>
      </c>
      <c r="AO24" s="66">
        <v>18190118</v>
      </c>
      <c r="AP24" s="77" t="s">
        <v>225</v>
      </c>
      <c r="AQ24" s="68">
        <v>87</v>
      </c>
      <c r="AR24" s="68">
        <v>55.56</v>
      </c>
      <c r="AS24" s="68">
        <v>84.3</v>
      </c>
      <c r="AT24" s="68">
        <v>79</v>
      </c>
      <c r="AU24" s="68">
        <v>71.699999999999989</v>
      </c>
      <c r="AV24" s="68">
        <v>55.8</v>
      </c>
      <c r="AW24" s="68">
        <v>85.8</v>
      </c>
      <c r="AX24" s="68">
        <v>79.5</v>
      </c>
      <c r="AY24" s="68">
        <v>68</v>
      </c>
      <c r="AZ24" s="68">
        <v>72</v>
      </c>
      <c r="BA24" s="68">
        <v>78</v>
      </c>
      <c r="BB24" s="68">
        <v>72.400000000000006</v>
      </c>
      <c r="BC24" s="68">
        <v>78</v>
      </c>
      <c r="BD24" s="68">
        <v>63</v>
      </c>
      <c r="BE24" s="260">
        <v>91.111111111111114</v>
      </c>
      <c r="BF24" s="76">
        <v>95</v>
      </c>
      <c r="BG24" s="76">
        <v>60</v>
      </c>
      <c r="BH24" s="76">
        <v>60</v>
      </c>
      <c r="BI24" s="76">
        <v>0</v>
      </c>
      <c r="BJ24" s="234">
        <v>90</v>
      </c>
      <c r="BK24" s="234">
        <v>72.5</v>
      </c>
      <c r="BL24" s="234">
        <f t="shared" si="28"/>
        <v>79.5</v>
      </c>
      <c r="BM24" s="234">
        <v>85</v>
      </c>
      <c r="BN24" s="234">
        <v>65</v>
      </c>
      <c r="BO24" s="234">
        <v>65</v>
      </c>
      <c r="BP24" s="70">
        <f t="shared" si="29"/>
        <v>1336.171111111111</v>
      </c>
      <c r="BQ24" s="71">
        <f t="shared" si="30"/>
        <v>70.324795321637424</v>
      </c>
      <c r="BR24" s="72" t="e">
        <f t="shared" si="31"/>
        <v>#N/A</v>
      </c>
      <c r="BS24" s="73"/>
      <c r="BT24" s="73"/>
      <c r="BU24" s="73"/>
      <c r="BV24" s="74"/>
      <c r="BW24" s="74"/>
      <c r="BX24" s="74"/>
      <c r="BY24" s="75"/>
    </row>
    <row r="25" spans="1:77" ht="23.1" customHeight="1">
      <c r="A25" s="91">
        <v>22</v>
      </c>
      <c r="B25" s="66">
        <v>17180005</v>
      </c>
      <c r="C25" s="77" t="s">
        <v>211</v>
      </c>
      <c r="D25" s="68">
        <f t="shared" si="0"/>
        <v>97</v>
      </c>
      <c r="E25" s="68">
        <f t="shared" si="1"/>
        <v>40</v>
      </c>
      <c r="F25" s="68">
        <f t="shared" si="2"/>
        <v>55</v>
      </c>
      <c r="G25" s="68">
        <f t="shared" si="3"/>
        <v>81</v>
      </c>
      <c r="H25" s="68">
        <f t="shared" si="4"/>
        <v>80</v>
      </c>
      <c r="I25" s="68">
        <f t="shared" si="5"/>
        <v>40</v>
      </c>
      <c r="J25" s="68">
        <f t="shared" si="6"/>
        <v>61</v>
      </c>
      <c r="K25" s="68">
        <f t="shared" si="7"/>
        <v>62</v>
      </c>
      <c r="L25" s="68">
        <f t="shared" si="8"/>
        <v>70</v>
      </c>
      <c r="M25" s="68">
        <f t="shared" si="9"/>
        <v>71</v>
      </c>
      <c r="N25" s="68">
        <f t="shared" si="10"/>
        <v>77</v>
      </c>
      <c r="O25" s="68">
        <f t="shared" si="11"/>
        <v>62</v>
      </c>
      <c r="P25" s="68">
        <f t="shared" si="12"/>
        <v>77</v>
      </c>
      <c r="Q25" s="68">
        <f t="shared" si="13"/>
        <v>62</v>
      </c>
      <c r="R25" s="69">
        <f t="shared" si="14"/>
        <v>94</v>
      </c>
      <c r="S25" s="69">
        <f t="shared" si="15"/>
        <v>75</v>
      </c>
      <c r="T25" s="69">
        <f t="shared" si="16"/>
        <v>80</v>
      </c>
      <c r="U25" s="69">
        <f t="shared" si="17"/>
        <v>60</v>
      </c>
      <c r="V25" s="69">
        <f t="shared" si="18"/>
        <v>50</v>
      </c>
      <c r="W25" s="234">
        <f t="shared" si="19"/>
        <v>93</v>
      </c>
      <c r="X25" s="234">
        <f t="shared" si="20"/>
        <v>85</v>
      </c>
      <c r="Y25" s="234">
        <f t="shared" si="21"/>
        <v>62</v>
      </c>
      <c r="Z25" s="234">
        <f t="shared" si="22"/>
        <v>80</v>
      </c>
      <c r="AA25" s="234">
        <f t="shared" si="23"/>
        <v>65</v>
      </c>
      <c r="AB25" s="234">
        <f t="shared" si="24"/>
        <v>65</v>
      </c>
      <c r="AC25" s="70">
        <f t="shared" si="25"/>
        <v>1294</v>
      </c>
      <c r="AD25" s="71">
        <f t="shared" si="26"/>
        <v>68.10526315789474</v>
      </c>
      <c r="AE25" s="72">
        <f t="shared" si="27"/>
        <v>22</v>
      </c>
      <c r="AF25" s="73" t="s">
        <v>805</v>
      </c>
      <c r="AG25" s="73" t="s">
        <v>805</v>
      </c>
      <c r="AH25" s="73" t="s">
        <v>805</v>
      </c>
      <c r="AI25" s="74">
        <v>4</v>
      </c>
      <c r="AJ25" s="74">
        <v>0</v>
      </c>
      <c r="AK25" s="74">
        <v>1</v>
      </c>
      <c r="AL25" s="75"/>
      <c r="AN25" s="66">
        <v>1</v>
      </c>
      <c r="AO25" s="66">
        <v>17180005</v>
      </c>
      <c r="AP25" s="67" t="s">
        <v>211</v>
      </c>
      <c r="AQ25" s="68">
        <v>96.5</v>
      </c>
      <c r="AR25" s="68">
        <v>39.200000000000003</v>
      </c>
      <c r="AS25" s="68">
        <v>54.8</v>
      </c>
      <c r="AT25" s="68">
        <v>81</v>
      </c>
      <c r="AU25" s="68">
        <v>80</v>
      </c>
      <c r="AV25" s="68">
        <v>39.799999999999997</v>
      </c>
      <c r="AW25" s="68">
        <v>60.8</v>
      </c>
      <c r="AX25" s="68">
        <v>61.5</v>
      </c>
      <c r="AY25" s="68">
        <v>69.5</v>
      </c>
      <c r="AZ25" s="68">
        <v>71</v>
      </c>
      <c r="BA25" s="68">
        <v>77</v>
      </c>
      <c r="BB25" s="68">
        <v>61.5</v>
      </c>
      <c r="BC25" s="68">
        <v>77</v>
      </c>
      <c r="BD25" s="68">
        <v>62</v>
      </c>
      <c r="BE25" s="260">
        <v>94.444444444444443</v>
      </c>
      <c r="BF25" s="76">
        <v>75</v>
      </c>
      <c r="BG25" s="76">
        <v>80</v>
      </c>
      <c r="BH25" s="76">
        <v>60</v>
      </c>
      <c r="BI25" s="76">
        <v>50</v>
      </c>
      <c r="BJ25" s="234">
        <v>92.5</v>
      </c>
      <c r="BK25" s="234">
        <v>85</v>
      </c>
      <c r="BL25" s="234">
        <f t="shared" si="28"/>
        <v>61.5</v>
      </c>
      <c r="BM25" s="234">
        <v>80</v>
      </c>
      <c r="BN25" s="234">
        <v>65</v>
      </c>
      <c r="BO25" s="234">
        <v>65</v>
      </c>
      <c r="BP25" s="70">
        <f t="shared" si="29"/>
        <v>1291.0444444444445</v>
      </c>
      <c r="BQ25" s="71">
        <f t="shared" si="30"/>
        <v>67.949707602339188</v>
      </c>
      <c r="BR25" s="72" t="e">
        <f t="shared" si="31"/>
        <v>#N/A</v>
      </c>
      <c r="BS25" s="73"/>
      <c r="BT25" s="73"/>
      <c r="BU25" s="73"/>
      <c r="BV25" s="74"/>
      <c r="BW25" s="74"/>
      <c r="BX25" s="74"/>
      <c r="BY25" s="75"/>
    </row>
    <row r="26" spans="1:77" ht="23.1" customHeight="1">
      <c r="A26" s="66">
        <v>23</v>
      </c>
      <c r="B26" s="91">
        <v>18190074</v>
      </c>
      <c r="C26" s="92" t="s">
        <v>228</v>
      </c>
      <c r="D26" s="68">
        <f t="shared" si="0"/>
        <v>83</v>
      </c>
      <c r="E26" s="68">
        <f t="shared" si="1"/>
        <v>40</v>
      </c>
      <c r="F26" s="68">
        <f t="shared" si="2"/>
        <v>54</v>
      </c>
      <c r="G26" s="68">
        <f t="shared" si="3"/>
        <v>75</v>
      </c>
      <c r="H26" s="68">
        <f t="shared" si="4"/>
        <v>46</v>
      </c>
      <c r="I26" s="68">
        <f t="shared" si="5"/>
        <v>51</v>
      </c>
      <c r="J26" s="68">
        <f t="shared" si="6"/>
        <v>82</v>
      </c>
      <c r="K26" s="68">
        <f t="shared" si="7"/>
        <v>68</v>
      </c>
      <c r="L26" s="68">
        <f t="shared" si="8"/>
        <v>74</v>
      </c>
      <c r="M26" s="68">
        <f t="shared" si="9"/>
        <v>73</v>
      </c>
      <c r="N26" s="68">
        <f t="shared" si="10"/>
        <v>79</v>
      </c>
      <c r="O26" s="68">
        <f t="shared" si="11"/>
        <v>69</v>
      </c>
      <c r="P26" s="68">
        <f t="shared" si="12"/>
        <v>79</v>
      </c>
      <c r="Q26" s="68">
        <f t="shared" si="13"/>
        <v>64</v>
      </c>
      <c r="R26" s="69">
        <f t="shared" si="14"/>
        <v>92</v>
      </c>
      <c r="S26" s="69">
        <f t="shared" si="15"/>
        <v>70</v>
      </c>
      <c r="T26" s="69">
        <f t="shared" si="16"/>
        <v>80</v>
      </c>
      <c r="U26" s="69">
        <f t="shared" si="17"/>
        <v>60</v>
      </c>
      <c r="V26" s="69">
        <f t="shared" si="18"/>
        <v>40</v>
      </c>
      <c r="W26" s="234">
        <f t="shared" si="19"/>
        <v>95</v>
      </c>
      <c r="X26" s="234">
        <f t="shared" si="20"/>
        <v>83</v>
      </c>
      <c r="Y26" s="234">
        <f t="shared" si="21"/>
        <v>68</v>
      </c>
      <c r="Z26" s="234">
        <f t="shared" si="22"/>
        <v>85</v>
      </c>
      <c r="AA26" s="234">
        <f t="shared" si="23"/>
        <v>70</v>
      </c>
      <c r="AB26" s="234">
        <f t="shared" si="24"/>
        <v>70</v>
      </c>
      <c r="AC26" s="70">
        <f t="shared" si="25"/>
        <v>1279</v>
      </c>
      <c r="AD26" s="71">
        <f t="shared" si="26"/>
        <v>67.315789473684205</v>
      </c>
      <c r="AE26" s="72">
        <f t="shared" si="27"/>
        <v>23</v>
      </c>
      <c r="AF26" s="73" t="s">
        <v>806</v>
      </c>
      <c r="AG26" s="73" t="s">
        <v>806</v>
      </c>
      <c r="AH26" s="73" t="s">
        <v>806</v>
      </c>
      <c r="AI26" s="74">
        <v>16</v>
      </c>
      <c r="AJ26" s="74">
        <v>1</v>
      </c>
      <c r="AK26" s="74">
        <v>1</v>
      </c>
      <c r="AL26" s="75"/>
      <c r="AN26" s="66">
        <v>18</v>
      </c>
      <c r="AO26" s="66">
        <v>18190074</v>
      </c>
      <c r="AP26" s="77" t="s">
        <v>228</v>
      </c>
      <c r="AQ26" s="68">
        <v>82.6</v>
      </c>
      <c r="AR26" s="68">
        <v>34</v>
      </c>
      <c r="AS26" s="68">
        <v>53.5</v>
      </c>
      <c r="AT26" s="68">
        <v>74.5</v>
      </c>
      <c r="AU26" s="68">
        <v>45.7</v>
      </c>
      <c r="AV26" s="68">
        <v>50.8</v>
      </c>
      <c r="AW26" s="68">
        <v>82</v>
      </c>
      <c r="AX26" s="68">
        <v>68</v>
      </c>
      <c r="AY26" s="68">
        <v>73.5</v>
      </c>
      <c r="AZ26" s="68">
        <v>73</v>
      </c>
      <c r="BA26" s="68">
        <v>79</v>
      </c>
      <c r="BB26" s="68">
        <v>68.5</v>
      </c>
      <c r="BC26" s="68">
        <v>79</v>
      </c>
      <c r="BD26" s="68">
        <v>64</v>
      </c>
      <c r="BE26" s="260">
        <v>92.444444444444443</v>
      </c>
      <c r="BF26" s="76">
        <v>70</v>
      </c>
      <c r="BG26" s="76">
        <v>80</v>
      </c>
      <c r="BH26" s="76">
        <v>60</v>
      </c>
      <c r="BI26" s="76">
        <v>40</v>
      </c>
      <c r="BJ26" s="234">
        <v>95</v>
      </c>
      <c r="BK26" s="234">
        <v>82.5</v>
      </c>
      <c r="BL26" s="234">
        <f t="shared" si="28"/>
        <v>68</v>
      </c>
      <c r="BM26" s="234">
        <v>85</v>
      </c>
      <c r="BN26" s="234">
        <v>70</v>
      </c>
      <c r="BO26" s="234">
        <v>70</v>
      </c>
      <c r="BP26" s="70">
        <f t="shared" si="29"/>
        <v>1270.5444444444445</v>
      </c>
      <c r="BQ26" s="71">
        <f t="shared" si="30"/>
        <v>66.870760233918134</v>
      </c>
      <c r="BR26" s="72" t="e">
        <f t="shared" si="31"/>
        <v>#N/A</v>
      </c>
      <c r="BS26" s="73"/>
      <c r="BT26" s="73"/>
      <c r="BU26" s="73"/>
      <c r="BV26" s="74"/>
      <c r="BW26" s="74"/>
      <c r="BX26" s="74"/>
      <c r="BY26" s="75"/>
    </row>
    <row r="27" spans="1:77" ht="23.1" customHeight="1">
      <c r="A27" s="66">
        <v>24</v>
      </c>
      <c r="B27" s="91">
        <v>18190057</v>
      </c>
      <c r="C27" s="92" t="s">
        <v>221</v>
      </c>
      <c r="D27" s="68">
        <f t="shared" si="0"/>
        <v>66</v>
      </c>
      <c r="E27" s="68">
        <f t="shared" si="1"/>
        <v>40</v>
      </c>
      <c r="F27" s="68">
        <f t="shared" si="2"/>
        <v>57</v>
      </c>
      <c r="G27" s="68">
        <f t="shared" si="3"/>
        <v>68</v>
      </c>
      <c r="H27" s="68">
        <f t="shared" si="4"/>
        <v>49</v>
      </c>
      <c r="I27" s="68">
        <f t="shared" si="5"/>
        <v>46</v>
      </c>
      <c r="J27" s="68">
        <f t="shared" si="6"/>
        <v>84</v>
      </c>
      <c r="K27" s="68">
        <f t="shared" si="7"/>
        <v>66</v>
      </c>
      <c r="L27" s="68">
        <f t="shared" si="8"/>
        <v>71</v>
      </c>
      <c r="M27" s="68">
        <f t="shared" si="9"/>
        <v>73</v>
      </c>
      <c r="N27" s="68">
        <f t="shared" si="10"/>
        <v>79</v>
      </c>
      <c r="O27" s="68">
        <f t="shared" si="11"/>
        <v>69</v>
      </c>
      <c r="P27" s="68">
        <f t="shared" si="12"/>
        <v>79</v>
      </c>
      <c r="Q27" s="68">
        <f t="shared" si="13"/>
        <v>64</v>
      </c>
      <c r="R27" s="69">
        <f t="shared" si="14"/>
        <v>95</v>
      </c>
      <c r="S27" s="69">
        <f t="shared" si="15"/>
        <v>65</v>
      </c>
      <c r="T27" s="69">
        <f t="shared" si="16"/>
        <v>80</v>
      </c>
      <c r="U27" s="69">
        <f t="shared" si="17"/>
        <v>60</v>
      </c>
      <c r="V27" s="69">
        <f t="shared" si="18"/>
        <v>40</v>
      </c>
      <c r="W27" s="234">
        <f t="shared" si="19"/>
        <v>99</v>
      </c>
      <c r="X27" s="234">
        <f t="shared" si="20"/>
        <v>93</v>
      </c>
      <c r="Y27" s="234">
        <f t="shared" si="21"/>
        <v>66</v>
      </c>
      <c r="Z27" s="234">
        <f t="shared" si="22"/>
        <v>95</v>
      </c>
      <c r="AA27" s="234">
        <f t="shared" si="23"/>
        <v>90</v>
      </c>
      <c r="AB27" s="234">
        <f t="shared" si="24"/>
        <v>65</v>
      </c>
      <c r="AC27" s="70">
        <f t="shared" si="25"/>
        <v>1251</v>
      </c>
      <c r="AD27" s="71">
        <f t="shared" si="26"/>
        <v>65.84210526315789</v>
      </c>
      <c r="AE27" s="72">
        <f t="shared" si="27"/>
        <v>24</v>
      </c>
      <c r="AF27" s="73" t="s">
        <v>805</v>
      </c>
      <c r="AG27" s="73" t="s">
        <v>805</v>
      </c>
      <c r="AH27" s="73" t="s">
        <v>805</v>
      </c>
      <c r="AI27" s="74">
        <v>4</v>
      </c>
      <c r="AJ27" s="74">
        <v>4</v>
      </c>
      <c r="AK27" s="74">
        <v>0</v>
      </c>
      <c r="AL27" s="75"/>
      <c r="AN27" s="66">
        <v>11</v>
      </c>
      <c r="AO27" s="66">
        <v>18190057</v>
      </c>
      <c r="AP27" s="78" t="s">
        <v>221</v>
      </c>
      <c r="AQ27" s="68">
        <v>65.8</v>
      </c>
      <c r="AR27" s="68">
        <v>34.6</v>
      </c>
      <c r="AS27" s="68">
        <v>57.099999999999994</v>
      </c>
      <c r="AT27" s="68">
        <v>67.5</v>
      </c>
      <c r="AU27" s="68">
        <v>48.7</v>
      </c>
      <c r="AV27" s="68">
        <v>46</v>
      </c>
      <c r="AW27" s="68">
        <v>83.8</v>
      </c>
      <c r="AX27" s="68">
        <v>65.5</v>
      </c>
      <c r="AY27" s="68">
        <v>71</v>
      </c>
      <c r="AZ27" s="68">
        <v>73</v>
      </c>
      <c r="BA27" s="68">
        <v>79</v>
      </c>
      <c r="BB27" s="68">
        <v>68.5</v>
      </c>
      <c r="BC27" s="68">
        <v>79</v>
      </c>
      <c r="BD27" s="68">
        <v>64</v>
      </c>
      <c r="BE27" s="260">
        <v>95.333333333333343</v>
      </c>
      <c r="BF27" s="76">
        <v>65</v>
      </c>
      <c r="BG27" s="76">
        <v>80</v>
      </c>
      <c r="BH27" s="76">
        <v>60</v>
      </c>
      <c r="BI27" s="76">
        <v>30</v>
      </c>
      <c r="BJ27" s="234">
        <v>100</v>
      </c>
      <c r="BK27" s="234">
        <v>92.5</v>
      </c>
      <c r="BL27" s="234">
        <f t="shared" si="28"/>
        <v>65.5</v>
      </c>
      <c r="BM27" s="234">
        <v>95</v>
      </c>
      <c r="BN27" s="234">
        <v>90</v>
      </c>
      <c r="BO27" s="234">
        <v>65</v>
      </c>
      <c r="BP27" s="70">
        <f t="shared" si="29"/>
        <v>1233.8333333333335</v>
      </c>
      <c r="BQ27" s="71">
        <f t="shared" si="30"/>
        <v>64.938596491228083</v>
      </c>
      <c r="BR27" s="72" t="e">
        <f t="shared" si="31"/>
        <v>#N/A</v>
      </c>
      <c r="BS27" s="73"/>
      <c r="BT27" s="73"/>
      <c r="BU27" s="73"/>
      <c r="BV27" s="74"/>
      <c r="BW27" s="74"/>
      <c r="BX27" s="74"/>
      <c r="BY27" s="75"/>
    </row>
    <row r="28" spans="1:77">
      <c r="A28" s="267" t="s">
        <v>202</v>
      </c>
      <c r="B28" s="268"/>
      <c r="C28" s="269"/>
      <c r="D28" s="72">
        <f t="shared" ref="D28:P28" si="32">SUM(D4:D27)</f>
        <v>2186</v>
      </c>
      <c r="E28" s="72">
        <f t="shared" si="32"/>
        <v>1367</v>
      </c>
      <c r="F28" s="72">
        <f t="shared" si="32"/>
        <v>1884</v>
      </c>
      <c r="G28" s="72">
        <f t="shared" si="32"/>
        <v>2076</v>
      </c>
      <c r="H28" s="72">
        <f t="shared" si="32"/>
        <v>1786</v>
      </c>
      <c r="I28" s="72">
        <f t="shared" si="32"/>
        <v>1640</v>
      </c>
      <c r="J28" s="72">
        <f t="shared" si="32"/>
        <v>2123</v>
      </c>
      <c r="K28" s="72">
        <f t="shared" si="32"/>
        <v>1744</v>
      </c>
      <c r="L28" s="72">
        <f t="shared" si="32"/>
        <v>2003</v>
      </c>
      <c r="M28" s="72">
        <f t="shared" si="32"/>
        <v>1742</v>
      </c>
      <c r="N28" s="72">
        <f t="shared" si="32"/>
        <v>1886</v>
      </c>
      <c r="O28" s="72">
        <f t="shared" si="32"/>
        <v>1901</v>
      </c>
      <c r="P28" s="72">
        <f t="shared" si="32"/>
        <v>1886</v>
      </c>
      <c r="Q28" s="72"/>
      <c r="R28" s="72">
        <f>SUM(R4:R27)</f>
        <v>2231</v>
      </c>
      <c r="S28" s="72">
        <f>SUM(S4:S27)</f>
        <v>1960</v>
      </c>
      <c r="T28" s="72">
        <f>SUM(T4:T27)</f>
        <v>1880</v>
      </c>
      <c r="U28" s="72">
        <f>SUM(U4:U27)</f>
        <v>1440</v>
      </c>
      <c r="V28" s="72"/>
      <c r="W28" s="72"/>
      <c r="X28" s="72"/>
      <c r="Y28" s="72"/>
      <c r="Z28" s="72"/>
      <c r="AA28" s="72"/>
      <c r="AB28" s="72"/>
      <c r="AC28" s="72">
        <f t="shared" ref="AC28:AC29" si="33">SUM(D28:U28)</f>
        <v>31735</v>
      </c>
      <c r="AD28" s="72">
        <f t="shared" ref="AD28:AD29" si="34">AVERAGE(D28:U28)</f>
        <v>1866.7647058823529</v>
      </c>
      <c r="AE28" s="72" t="e">
        <f t="shared" ref="AE28:AE29" si="35">RANK(AC28,$AC$4:$AC$27)</f>
        <v>#N/A</v>
      </c>
      <c r="AF28" s="81"/>
      <c r="AG28" s="81"/>
      <c r="AH28" s="81"/>
      <c r="AI28" s="81"/>
      <c r="AJ28" s="81"/>
      <c r="AK28" s="81"/>
      <c r="AL28" s="82"/>
      <c r="AN28" s="267" t="s">
        <v>202</v>
      </c>
      <c r="AO28" s="268"/>
      <c r="AP28" s="269"/>
      <c r="AQ28" s="72">
        <f t="shared" ref="AQ28:BC28" si="36">SUM(AQ4:AQ27)</f>
        <v>2185.1</v>
      </c>
      <c r="AR28" s="72">
        <f t="shared" si="36"/>
        <v>1353.0800000000002</v>
      </c>
      <c r="AS28" s="72">
        <f t="shared" si="36"/>
        <v>1885.3999999999999</v>
      </c>
      <c r="AT28" s="72">
        <f t="shared" si="36"/>
        <v>2073.5</v>
      </c>
      <c r="AU28" s="72">
        <f t="shared" si="36"/>
        <v>1786.1000000000004</v>
      </c>
      <c r="AV28" s="72">
        <f t="shared" si="36"/>
        <v>1638.1999999999996</v>
      </c>
      <c r="AW28" s="72">
        <f t="shared" si="36"/>
        <v>2119.9999999999995</v>
      </c>
      <c r="AX28" s="72">
        <f t="shared" si="36"/>
        <v>1736.5</v>
      </c>
      <c r="AY28" s="72">
        <f t="shared" si="36"/>
        <v>1998.1</v>
      </c>
      <c r="AZ28" s="72">
        <f t="shared" si="36"/>
        <v>1742</v>
      </c>
      <c r="BA28" s="72">
        <f t="shared" si="36"/>
        <v>1886</v>
      </c>
      <c r="BB28" s="72">
        <f t="shared" si="36"/>
        <v>1898</v>
      </c>
      <c r="BC28" s="72">
        <f t="shared" si="36"/>
        <v>1886</v>
      </c>
      <c r="BD28" s="72"/>
      <c r="BE28" s="72">
        <f>SUM(BE4:BE27)</f>
        <v>2233.333333333333</v>
      </c>
      <c r="BF28" s="72">
        <f>SUM(BF4:BF27)</f>
        <v>1960</v>
      </c>
      <c r="BG28" s="72">
        <f>SUM(BG4:BG27)</f>
        <v>1880</v>
      </c>
      <c r="BH28" s="72">
        <f>SUM(BH4:BH27)</f>
        <v>1440</v>
      </c>
      <c r="BI28" s="72">
        <f>SUM(BI4:BI27)</f>
        <v>1549</v>
      </c>
      <c r="BJ28" s="72"/>
      <c r="BK28" s="72"/>
      <c r="BL28" s="72"/>
      <c r="BM28" s="72"/>
      <c r="BN28" s="72"/>
      <c r="BO28" s="72"/>
      <c r="BP28" s="72">
        <f t="shared" si="29"/>
        <v>33250.313333333332</v>
      </c>
      <c r="BQ28" s="72">
        <f t="shared" si="30"/>
        <v>1847.2396296296295</v>
      </c>
      <c r="BR28" s="72" t="e">
        <f t="shared" ref="BR28:BR29" si="37">RANK(BP28,$AC$4:$AC$27)</f>
        <v>#N/A</v>
      </c>
      <c r="BS28" s="81"/>
      <c r="BT28" s="81"/>
      <c r="BU28" s="81"/>
      <c r="BV28" s="81"/>
      <c r="BW28" s="81"/>
      <c r="BX28" s="81"/>
      <c r="BY28" s="82"/>
    </row>
    <row r="29" spans="1:77">
      <c r="A29" s="267" t="s">
        <v>203</v>
      </c>
      <c r="B29" s="268"/>
      <c r="C29" s="269"/>
      <c r="D29" s="72">
        <f t="shared" ref="D29:P29" si="38">AVERAGE(D4:D27)</f>
        <v>91.083333333333329</v>
      </c>
      <c r="E29" s="72">
        <f t="shared" si="38"/>
        <v>56.958333333333336</v>
      </c>
      <c r="F29" s="72">
        <f t="shared" si="38"/>
        <v>78.5</v>
      </c>
      <c r="G29" s="72">
        <f t="shared" si="38"/>
        <v>86.5</v>
      </c>
      <c r="H29" s="72">
        <f t="shared" si="38"/>
        <v>74.416666666666671</v>
      </c>
      <c r="I29" s="72">
        <f t="shared" si="38"/>
        <v>68.333333333333329</v>
      </c>
      <c r="J29" s="72">
        <f t="shared" si="38"/>
        <v>88.458333333333329</v>
      </c>
      <c r="K29" s="72">
        <f t="shared" si="38"/>
        <v>72.666666666666671</v>
      </c>
      <c r="L29" s="72">
        <f t="shared" si="38"/>
        <v>83.458333333333329</v>
      </c>
      <c r="M29" s="72">
        <f t="shared" si="38"/>
        <v>72.583333333333329</v>
      </c>
      <c r="N29" s="72">
        <f t="shared" si="38"/>
        <v>78.583333333333329</v>
      </c>
      <c r="O29" s="72">
        <f t="shared" si="38"/>
        <v>79.208333333333329</v>
      </c>
      <c r="P29" s="72">
        <f t="shared" si="38"/>
        <v>78.583333333333329</v>
      </c>
      <c r="Q29" s="72"/>
      <c r="R29" s="72">
        <f>AVERAGE(R4:R27)</f>
        <v>92.958333333333329</v>
      </c>
      <c r="S29" s="72">
        <f>AVERAGE(S4:S27)</f>
        <v>81.666666666666671</v>
      </c>
      <c r="T29" s="72">
        <f>AVERAGE(T4:T27)</f>
        <v>78.333333333333329</v>
      </c>
      <c r="U29" s="72">
        <f>AVERAGE(U4:U27)</f>
        <v>60</v>
      </c>
      <c r="V29" s="72"/>
      <c r="W29" s="72"/>
      <c r="X29" s="72"/>
      <c r="Y29" s="72"/>
      <c r="Z29" s="72"/>
      <c r="AA29" s="72"/>
      <c r="AB29" s="72"/>
      <c r="AC29" s="72">
        <f t="shared" si="33"/>
        <v>1322.2916666666667</v>
      </c>
      <c r="AD29" s="72">
        <f t="shared" si="34"/>
        <v>77.781862745098039</v>
      </c>
      <c r="AE29" s="72" t="e">
        <f t="shared" si="35"/>
        <v>#N/A</v>
      </c>
      <c r="AF29" s="81"/>
      <c r="AG29" s="81"/>
      <c r="AH29" s="81"/>
      <c r="AI29" s="81"/>
      <c r="AJ29" s="81"/>
      <c r="AK29" s="81"/>
      <c r="AL29" s="82"/>
      <c r="AN29" s="267" t="s">
        <v>203</v>
      </c>
      <c r="AO29" s="268"/>
      <c r="AP29" s="269"/>
      <c r="AQ29" s="72">
        <f t="shared" ref="AQ29:BC29" si="39">AVERAGE(AQ4:AQ27)</f>
        <v>91.045833333333334</v>
      </c>
      <c r="AR29" s="72">
        <f t="shared" si="39"/>
        <v>56.378333333333337</v>
      </c>
      <c r="AS29" s="72">
        <f t="shared" si="39"/>
        <v>78.558333333333323</v>
      </c>
      <c r="AT29" s="72">
        <f t="shared" si="39"/>
        <v>86.395833333333329</v>
      </c>
      <c r="AU29" s="72">
        <f t="shared" si="39"/>
        <v>74.420833333333348</v>
      </c>
      <c r="AV29" s="72">
        <f t="shared" si="39"/>
        <v>68.258333333333312</v>
      </c>
      <c r="AW29" s="72">
        <f t="shared" si="39"/>
        <v>88.333333333333314</v>
      </c>
      <c r="AX29" s="72">
        <f t="shared" si="39"/>
        <v>72.354166666666671</v>
      </c>
      <c r="AY29" s="72">
        <f t="shared" si="39"/>
        <v>83.254166666666663</v>
      </c>
      <c r="AZ29" s="72">
        <f t="shared" si="39"/>
        <v>72.583333333333329</v>
      </c>
      <c r="BA29" s="72">
        <f t="shared" si="39"/>
        <v>78.583333333333329</v>
      </c>
      <c r="BB29" s="72">
        <f t="shared" si="39"/>
        <v>79.083333333333329</v>
      </c>
      <c r="BC29" s="72">
        <f t="shared" si="39"/>
        <v>78.583333333333329</v>
      </c>
      <c r="BD29" s="72"/>
      <c r="BE29" s="72">
        <f>AVERAGE(BE4:BE27)</f>
        <v>93.055555555555543</v>
      </c>
      <c r="BF29" s="72">
        <f>AVERAGE(BF4:BF27)</f>
        <v>81.666666666666671</v>
      </c>
      <c r="BG29" s="72">
        <f>AVERAGE(BG4:BG27)</f>
        <v>78.333333333333329</v>
      </c>
      <c r="BH29" s="72">
        <f>AVERAGE(BH4:BH27)</f>
        <v>60</v>
      </c>
      <c r="BI29" s="72">
        <f>AVERAGE(BI4:BI27)</f>
        <v>64.541666666666671</v>
      </c>
      <c r="BJ29" s="72"/>
      <c r="BK29" s="72"/>
      <c r="BL29" s="72"/>
      <c r="BM29" s="72"/>
      <c r="BN29" s="72"/>
      <c r="BO29" s="72"/>
      <c r="BP29" s="72">
        <f t="shared" si="29"/>
        <v>1385.4297222222224</v>
      </c>
      <c r="BQ29" s="72">
        <f t="shared" si="30"/>
        <v>76.96831790123457</v>
      </c>
      <c r="BR29" s="72" t="e">
        <f t="shared" si="37"/>
        <v>#N/A</v>
      </c>
      <c r="BS29" s="81"/>
      <c r="BT29" s="81"/>
      <c r="BU29" s="81"/>
      <c r="BV29" s="81"/>
      <c r="BW29" s="81"/>
      <c r="BX29" s="81"/>
      <c r="BY29" s="82"/>
    </row>
    <row r="30" spans="1:77" s="83" customFormat="1">
      <c r="A30" s="83">
        <v>1</v>
      </c>
      <c r="B30" s="83">
        <v>2</v>
      </c>
      <c r="C30" s="83">
        <v>3</v>
      </c>
      <c r="D30" s="83">
        <v>4</v>
      </c>
      <c r="E30" s="83">
        <v>5</v>
      </c>
      <c r="F30" s="83">
        <v>6</v>
      </c>
      <c r="G30" s="83">
        <v>7</v>
      </c>
      <c r="H30" s="83">
        <v>8</v>
      </c>
      <c r="I30" s="83">
        <v>9</v>
      </c>
      <c r="J30" s="83">
        <v>10</v>
      </c>
      <c r="K30" s="83">
        <v>11</v>
      </c>
      <c r="L30" s="83">
        <v>12</v>
      </c>
      <c r="M30" s="83">
        <v>13</v>
      </c>
      <c r="N30" s="83">
        <v>14</v>
      </c>
      <c r="O30" s="83">
        <v>15</v>
      </c>
      <c r="P30" s="83">
        <v>16</v>
      </c>
      <c r="Q30" s="83">
        <v>17</v>
      </c>
      <c r="R30" s="83">
        <v>18</v>
      </c>
      <c r="S30" s="83">
        <v>19</v>
      </c>
      <c r="T30" s="83">
        <v>20</v>
      </c>
      <c r="U30" s="83">
        <v>21</v>
      </c>
      <c r="AC30" s="83">
        <v>22</v>
      </c>
      <c r="AD30" s="83">
        <v>23</v>
      </c>
      <c r="AE30" s="83">
        <v>24</v>
      </c>
      <c r="AF30" s="83">
        <v>25</v>
      </c>
      <c r="AG30" s="83">
        <v>26</v>
      </c>
      <c r="AH30" s="83">
        <v>27</v>
      </c>
      <c r="AI30" s="83">
        <v>28</v>
      </c>
      <c r="AJ30" s="83">
        <v>29</v>
      </c>
      <c r="AK30" s="83">
        <v>30</v>
      </c>
      <c r="AL30" s="83">
        <v>31</v>
      </c>
      <c r="AN30" s="83">
        <v>1</v>
      </c>
      <c r="AO30" s="83">
        <v>2</v>
      </c>
      <c r="AP30" s="83">
        <v>3</v>
      </c>
      <c r="AQ30" s="83">
        <v>4</v>
      </c>
      <c r="AR30" s="83">
        <v>5</v>
      </c>
      <c r="AS30" s="83">
        <v>6</v>
      </c>
      <c r="AT30" s="83">
        <v>7</v>
      </c>
      <c r="AU30" s="83">
        <v>8</v>
      </c>
      <c r="AV30" s="83">
        <v>9</v>
      </c>
      <c r="AW30" s="83">
        <v>10</v>
      </c>
      <c r="AX30" s="83">
        <v>11</v>
      </c>
      <c r="AY30" s="83">
        <v>12</v>
      </c>
      <c r="AZ30" s="83">
        <v>13</v>
      </c>
      <c r="BA30" s="83">
        <v>14</v>
      </c>
      <c r="BB30" s="83">
        <v>15</v>
      </c>
      <c r="BC30" s="83">
        <v>16</v>
      </c>
      <c r="BE30" s="83">
        <v>17</v>
      </c>
      <c r="BF30" s="83">
        <v>18</v>
      </c>
      <c r="BG30" s="83">
        <v>19</v>
      </c>
      <c r="BH30" s="83">
        <v>20</v>
      </c>
      <c r="BI30" s="83">
        <v>21</v>
      </c>
      <c r="BP30" s="83">
        <v>22</v>
      </c>
      <c r="BQ30" s="83">
        <v>23</v>
      </c>
      <c r="BR30" s="83">
        <v>24</v>
      </c>
      <c r="BS30" s="83">
        <v>25</v>
      </c>
      <c r="BT30" s="83">
        <v>26</v>
      </c>
      <c r="BU30" s="83">
        <v>27</v>
      </c>
      <c r="BV30" s="83">
        <v>28</v>
      </c>
      <c r="BW30" s="83">
        <v>29</v>
      </c>
      <c r="BX30" s="83">
        <v>30</v>
      </c>
    </row>
    <row r="32" spans="1:77" ht="18.600000000000001" customHeight="1">
      <c r="A32" s="84" t="s">
        <v>204</v>
      </c>
      <c r="C32" s="85"/>
      <c r="D32" s="85"/>
      <c r="E32" s="85"/>
      <c r="F32" s="85"/>
      <c r="G32" s="85"/>
      <c r="H32" s="85"/>
      <c r="I32" s="85"/>
    </row>
    <row r="33" spans="1:3">
      <c r="A33" s="86"/>
      <c r="B33" s="86"/>
      <c r="C33" s="60" t="s">
        <v>205</v>
      </c>
    </row>
    <row r="34" spans="1:3">
      <c r="A34" s="87"/>
      <c r="B34" s="87"/>
      <c r="C34" s="60" t="s">
        <v>206</v>
      </c>
    </row>
    <row r="35" spans="1:3">
      <c r="A35" s="88"/>
      <c r="B35" s="88"/>
      <c r="C35" s="60" t="s">
        <v>207</v>
      </c>
    </row>
    <row r="36" spans="1:3">
      <c r="A36" s="89"/>
      <c r="B36" s="89"/>
      <c r="C36" s="60" t="s">
        <v>208</v>
      </c>
    </row>
  </sheetData>
  <sortState xmlns:xlrd2="http://schemas.microsoft.com/office/spreadsheetml/2017/richdata2" ref="B4:BY27">
    <sortCondition ref="AE4:AE27"/>
  </sortState>
  <mergeCells count="36">
    <mergeCell ref="A28:C28"/>
    <mergeCell ref="AN28:AP28"/>
    <mergeCell ref="A29:C29"/>
    <mergeCell ref="AN29:AP29"/>
    <mergeCell ref="AJ2:AJ3"/>
    <mergeCell ref="AK2:AK3"/>
    <mergeCell ref="AL2:AL3"/>
    <mergeCell ref="AN2:AN3"/>
    <mergeCell ref="AO2:AO3"/>
    <mergeCell ref="AP2:AP3"/>
    <mergeCell ref="AD2:AD3"/>
    <mergeCell ref="AE2:AE3"/>
    <mergeCell ref="AF2:AF3"/>
    <mergeCell ref="AG2:AG3"/>
    <mergeCell ref="AH2:AH3"/>
    <mergeCell ref="AI2:AI3"/>
    <mergeCell ref="BT2:BT3"/>
    <mergeCell ref="AQ2:BB2"/>
    <mergeCell ref="BE2:BI2"/>
    <mergeCell ref="BP2:BP3"/>
    <mergeCell ref="BQ2:BQ3"/>
    <mergeCell ref="BR2:BR3"/>
    <mergeCell ref="BS2:BS3"/>
    <mergeCell ref="BJ2:BO2"/>
    <mergeCell ref="BU2:BU3"/>
    <mergeCell ref="BV2:BV3"/>
    <mergeCell ref="BW2:BW3"/>
    <mergeCell ref="BX2:BX3"/>
    <mergeCell ref="BY2:BY3"/>
    <mergeCell ref="AC2:AC3"/>
    <mergeCell ref="A2:A3"/>
    <mergeCell ref="B2:B3"/>
    <mergeCell ref="C2:C3"/>
    <mergeCell ref="D2:O2"/>
    <mergeCell ref="R2:U2"/>
    <mergeCell ref="W2:AB2"/>
  </mergeCells>
  <conditionalFormatting sqref="B4:B27">
    <cfRule type="duplicateValues" dxfId="1049" priority="52"/>
  </conditionalFormatting>
  <conditionalFormatting sqref="D4:AB27">
    <cfRule type="cellIs" dxfId="1048" priority="6" operator="lessThanOrEqual">
      <formula>59</formula>
    </cfRule>
  </conditionalFormatting>
  <conditionalFormatting sqref="BQ4:BQ29 AD4:AD29">
    <cfRule type="cellIs" dxfId="1047" priority="7" operator="lessThan">
      <formula>60</formula>
    </cfRule>
  </conditionalFormatting>
  <conditionalFormatting sqref="AE4:AE29">
    <cfRule type="duplicateValues" dxfId="1046" priority="55"/>
  </conditionalFormatting>
  <conditionalFormatting sqref="AO4:AO27">
    <cfRule type="duplicateValues" dxfId="1045" priority="57"/>
  </conditionalFormatting>
  <conditionalFormatting sqref="AQ4:BI27">
    <cfRule type="cellIs" dxfId="1044" priority="2" operator="lessThanOrEqual">
      <formula>59</formula>
    </cfRule>
  </conditionalFormatting>
  <conditionalFormatting sqref="BR4:BR29">
    <cfRule type="duplicateValues" dxfId="1043" priority="60"/>
  </conditionalFormatting>
  <conditionalFormatting sqref="BJ4:BO27">
    <cfRule type="cellIs" dxfId="1042" priority="1" operator="lessThanOrEqual">
      <formula>59</formula>
    </cfRule>
  </conditionalFormatting>
  <printOptions horizontalCentered="1"/>
  <pageMargins left="0.37" right="0.12" top="0.74803149606299202" bottom="0.34" header="0.31496062992126" footer="0.31496062992126"/>
  <pageSetup paperSize="10000" scale="75" orientation="landscape" horizontalDpi="203" verticalDpi="20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A1329-AFF0-4EF5-87B3-50245A11A02D}">
  <sheetPr codeName="Sheet5">
    <tabColor theme="1" tint="0.499984740745262"/>
  </sheetPr>
  <dimension ref="A1:BS39"/>
  <sheetViews>
    <sheetView zoomScale="56" zoomScaleNormal="55" workbookViewId="0">
      <selection activeCell="M18" sqref="M17:M18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5" width="5.42578125" style="60" customWidth="1"/>
    <col min="26" max="28" width="7.140625" style="60" customWidth="1"/>
    <col min="29" max="35" width="5.42578125" style="60" customWidth="1"/>
    <col min="36" max="36" width="9.140625" style="60"/>
    <col min="37" max="37" width="9.28515625" style="60" bestFit="1" customWidth="1"/>
    <col min="38" max="38" width="11.140625" style="60" bestFit="1" customWidth="1"/>
    <col min="39" max="39" width="35.42578125" style="60" bestFit="1" customWidth="1"/>
    <col min="40" max="40" width="9.28515625" style="60" bestFit="1" customWidth="1"/>
    <col min="41" max="16384" width="9.140625" style="60"/>
  </cols>
  <sheetData>
    <row r="1" spans="1:71" ht="26.25">
      <c r="A1" s="59" t="s">
        <v>150</v>
      </c>
      <c r="AK1" s="59" t="s">
        <v>150</v>
      </c>
    </row>
    <row r="2" spans="1:71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62"/>
      <c r="Q2" s="286" t="s">
        <v>154</v>
      </c>
      <c r="R2" s="286"/>
      <c r="S2" s="286"/>
      <c r="T2" s="283" t="s">
        <v>798</v>
      </c>
      <c r="U2" s="284"/>
      <c r="V2" s="284"/>
      <c r="W2" s="284"/>
      <c r="X2" s="284"/>
      <c r="Y2" s="285"/>
      <c r="Z2" s="276" t="s">
        <v>155</v>
      </c>
      <c r="AA2" s="276" t="s">
        <v>156</v>
      </c>
      <c r="AB2" s="276" t="s">
        <v>157</v>
      </c>
      <c r="AC2" s="270" t="s">
        <v>158</v>
      </c>
      <c r="AD2" s="270" t="s">
        <v>159</v>
      </c>
      <c r="AE2" s="270" t="s">
        <v>160</v>
      </c>
      <c r="AF2" s="278" t="s">
        <v>161</v>
      </c>
      <c r="AG2" s="278" t="s">
        <v>162</v>
      </c>
      <c r="AH2" s="278" t="s">
        <v>163</v>
      </c>
      <c r="AI2" s="280" t="s">
        <v>164</v>
      </c>
      <c r="AK2" s="281" t="s">
        <v>151</v>
      </c>
      <c r="AL2" s="281" t="s">
        <v>152</v>
      </c>
      <c r="AM2" s="281" t="s">
        <v>0</v>
      </c>
      <c r="AN2" s="272" t="s">
        <v>153</v>
      </c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62"/>
      <c r="BA2" s="274" t="s">
        <v>154</v>
      </c>
      <c r="BB2" s="274"/>
      <c r="BC2" s="274"/>
      <c r="BD2" s="283" t="s">
        <v>798</v>
      </c>
      <c r="BE2" s="284"/>
      <c r="BF2" s="284"/>
      <c r="BG2" s="284"/>
      <c r="BH2" s="284"/>
      <c r="BI2" s="285"/>
      <c r="BJ2" s="276" t="s">
        <v>155</v>
      </c>
      <c r="BK2" s="276" t="s">
        <v>156</v>
      </c>
      <c r="BL2" s="276" t="s">
        <v>157</v>
      </c>
      <c r="BM2" s="270" t="s">
        <v>158</v>
      </c>
      <c r="BN2" s="270" t="s">
        <v>159</v>
      </c>
      <c r="BO2" s="270" t="s">
        <v>160</v>
      </c>
      <c r="BP2" s="278" t="s">
        <v>161</v>
      </c>
      <c r="BQ2" s="278" t="s">
        <v>162</v>
      </c>
      <c r="BR2" s="278" t="s">
        <v>163</v>
      </c>
      <c r="BS2" s="280" t="s">
        <v>164</v>
      </c>
    </row>
    <row r="3" spans="1:71" ht="99.75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4" t="s">
        <v>14</v>
      </c>
      <c r="R3" s="64" t="s">
        <v>22</v>
      </c>
      <c r="S3" s="64" t="s">
        <v>85</v>
      </c>
      <c r="T3" s="233" t="s">
        <v>799</v>
      </c>
      <c r="U3" s="233" t="s">
        <v>800</v>
      </c>
      <c r="V3" s="233" t="s">
        <v>801</v>
      </c>
      <c r="W3" s="233" t="s">
        <v>802</v>
      </c>
      <c r="X3" s="233" t="s">
        <v>803</v>
      </c>
      <c r="Y3" s="233" t="s">
        <v>804</v>
      </c>
      <c r="Z3" s="277"/>
      <c r="AA3" s="277"/>
      <c r="AB3" s="277"/>
      <c r="AC3" s="271"/>
      <c r="AD3" s="271"/>
      <c r="AE3" s="271"/>
      <c r="AF3" s="279"/>
      <c r="AG3" s="279"/>
      <c r="AH3" s="279"/>
      <c r="AI3" s="280"/>
      <c r="AK3" s="282"/>
      <c r="AL3" s="282"/>
      <c r="AM3" s="282"/>
      <c r="AN3" s="63" t="s">
        <v>20</v>
      </c>
      <c r="AO3" s="63" t="s">
        <v>22</v>
      </c>
      <c r="AP3" s="63" t="s">
        <v>165</v>
      </c>
      <c r="AQ3" s="63" t="s">
        <v>166</v>
      </c>
      <c r="AR3" s="63" t="s">
        <v>167</v>
      </c>
      <c r="AS3" s="63" t="s">
        <v>168</v>
      </c>
      <c r="AT3" s="63" t="s">
        <v>169</v>
      </c>
      <c r="AU3" s="63" t="s">
        <v>170</v>
      </c>
      <c r="AV3" s="63" t="s">
        <v>14</v>
      </c>
      <c r="AW3" s="63" t="s">
        <v>120</v>
      </c>
      <c r="AX3" s="63" t="s">
        <v>171</v>
      </c>
      <c r="AY3" s="63" t="s">
        <v>172</v>
      </c>
      <c r="AZ3" s="63" t="s">
        <v>55</v>
      </c>
      <c r="BA3" s="65" t="s">
        <v>14</v>
      </c>
      <c r="BB3" s="65" t="s">
        <v>22</v>
      </c>
      <c r="BC3" s="65" t="s">
        <v>85</v>
      </c>
      <c r="BD3" s="233" t="s">
        <v>799</v>
      </c>
      <c r="BE3" s="233" t="s">
        <v>800</v>
      </c>
      <c r="BF3" s="233" t="s">
        <v>801</v>
      </c>
      <c r="BG3" s="233" t="s">
        <v>802</v>
      </c>
      <c r="BH3" s="233" t="s">
        <v>803</v>
      </c>
      <c r="BI3" s="233" t="s">
        <v>804</v>
      </c>
      <c r="BJ3" s="277"/>
      <c r="BK3" s="277"/>
      <c r="BL3" s="277"/>
      <c r="BM3" s="271"/>
      <c r="BN3" s="271"/>
      <c r="BO3" s="271"/>
      <c r="BP3" s="279"/>
      <c r="BQ3" s="279"/>
      <c r="BR3" s="279"/>
      <c r="BS3" s="280"/>
    </row>
    <row r="4" spans="1:71" ht="23.1" customHeight="1">
      <c r="A4" s="66">
        <v>1</v>
      </c>
      <c r="B4" s="66">
        <v>19200003</v>
      </c>
      <c r="C4" s="77" t="s">
        <v>236</v>
      </c>
      <c r="D4" s="68">
        <f t="shared" ref="D4:D30" si="0">ROUND(IF(AN4=0,0,MIN(MAX(AN4,40),99)),0)</f>
        <v>98</v>
      </c>
      <c r="E4" s="68">
        <f t="shared" ref="E4:E30" si="1">ROUND(IF(AO4=0,0,MIN(MAX(AO4,40),99)),0)</f>
        <v>90</v>
      </c>
      <c r="F4" s="68">
        <f t="shared" ref="F4:F30" si="2">ROUND(IF(AP4=0,0,MIN(MAX(AP4,40),99)),0)</f>
        <v>94</v>
      </c>
      <c r="G4" s="68">
        <f t="shared" ref="G4:G30" si="3">ROUND(IF(AQ4=0,0,MIN(MAX(AQ4,40),99)),0)</f>
        <v>90</v>
      </c>
      <c r="H4" s="68">
        <f t="shared" ref="H4:H30" si="4">ROUND(IF(AR4=0,0,MIN(MAX(AR4,40),99)),0)</f>
        <v>97</v>
      </c>
      <c r="I4" s="68">
        <f t="shared" ref="I4:I30" si="5">ROUND(IF(AS4=0,0,MIN(MAX(AS4,40),99)),0)</f>
        <v>95</v>
      </c>
      <c r="J4" s="68">
        <f t="shared" ref="J4:J30" si="6">ROUND(IF(AT4=0,0,MIN(MAX(AT4,40),99)),0)</f>
        <v>95</v>
      </c>
      <c r="K4" s="68">
        <f t="shared" ref="K4:K30" si="7">ROUND(IF(AU4=0,0,MIN(MAX(AU4,40),99)),0)</f>
        <v>94</v>
      </c>
      <c r="L4" s="68">
        <f t="shared" ref="L4:L30" si="8">ROUND(IF(AV4=0,0,MIN(MAX(AV4,40),99)),0)</f>
        <v>96</v>
      </c>
      <c r="M4" s="68">
        <f t="shared" ref="M4:M30" si="9">ROUND(IF(AW4=0,0,MIN(MAX(AW4,40),99)),0)</f>
        <v>97</v>
      </c>
      <c r="N4" s="68">
        <f t="shared" ref="N4:N30" si="10">ROUND(IF(AX4=0,0,MIN(MAX(AX4,40),99)),0)</f>
        <v>99</v>
      </c>
      <c r="O4" s="68">
        <f t="shared" ref="O4:O30" si="11">ROUND(IF(AY4=0,0,MIN(MAX(AY4,40),99)),0)</f>
        <v>98</v>
      </c>
      <c r="P4" s="68">
        <f t="shared" ref="P4:P30" si="12">ROUND(IF(AZ4=0,0,MIN(MAX(AZ4,40),99)),0)</f>
        <v>98</v>
      </c>
      <c r="Q4" s="69">
        <f t="shared" ref="Q4:Q30" si="13">ROUND(IF(BA4=0,0,MIN(MAX(BA4,40),99)),0)</f>
        <v>90</v>
      </c>
      <c r="R4" s="69">
        <f t="shared" ref="R4:R30" si="14">ROUND(IF(BB4=0,0,MIN(MAX(BB4,40),99)),0)</f>
        <v>90</v>
      </c>
      <c r="S4" s="69">
        <f t="shared" ref="S4:S30" si="15">ROUND(IF(BC4=0,0,MIN(MAX(BC4,40),99)),0)</f>
        <v>90</v>
      </c>
      <c r="T4" s="234">
        <f t="shared" ref="T4:T30" si="16">ROUND(IF(BD4=0,0,MIN(MAX(BD4,40),99)),0)</f>
        <v>95</v>
      </c>
      <c r="U4" s="234">
        <f t="shared" ref="U4:U30" si="17">ROUND(IF(BE4=0,0,MIN(MAX(BE4,40),99)),0)</f>
        <v>99</v>
      </c>
      <c r="V4" s="234">
        <f t="shared" ref="V4:V30" si="18">ROUND(IF(BF4=0,0,MIN(MAX(BF4,40),99)),0)</f>
        <v>94</v>
      </c>
      <c r="W4" s="234">
        <f t="shared" ref="W4:W30" si="19">ROUND(IF(BG4=0,0,MIN(MAX(BG4,40),99)),0)</f>
        <v>99</v>
      </c>
      <c r="X4" s="234">
        <f t="shared" ref="X4:X30" si="20">ROUND(IF(BH4=0,0,MIN(MAX(BH4,40),99)),0)</f>
        <v>95</v>
      </c>
      <c r="Y4" s="234">
        <f t="shared" ref="Y4:Y30" si="21">ROUND(IF(BI4=0,0,MIN(MAX(BI4,40),99)),0)</f>
        <v>93</v>
      </c>
      <c r="Z4" s="70">
        <f t="shared" ref="Z4:Z30" si="22">SUM(D4:S4)</f>
        <v>1511</v>
      </c>
      <c r="AA4" s="71">
        <f t="shared" ref="AA4:AA30" si="23">AVERAGE(D4:S4)</f>
        <v>94.4375</v>
      </c>
      <c r="AB4" s="72">
        <f t="shared" ref="AB4:AB30" si="24">RANK(Z4,$Z$4:$Z$30)</f>
        <v>1</v>
      </c>
      <c r="AC4" s="73" t="s">
        <v>805</v>
      </c>
      <c r="AD4" s="73" t="s">
        <v>805</v>
      </c>
      <c r="AE4" s="73" t="s">
        <v>806</v>
      </c>
      <c r="AF4" s="74">
        <v>5</v>
      </c>
      <c r="AG4" s="74">
        <v>32</v>
      </c>
      <c r="AH4" s="74">
        <v>0</v>
      </c>
      <c r="AI4" s="75"/>
      <c r="AK4" s="66">
        <v>2</v>
      </c>
      <c r="AL4" s="66">
        <v>19200003</v>
      </c>
      <c r="AM4" s="77" t="s">
        <v>236</v>
      </c>
      <c r="AN4" s="68">
        <v>98.1</v>
      </c>
      <c r="AO4" s="68">
        <v>90</v>
      </c>
      <c r="AP4" s="68">
        <v>94.4</v>
      </c>
      <c r="AQ4" s="68">
        <v>90</v>
      </c>
      <c r="AR4" s="68">
        <v>96.5</v>
      </c>
      <c r="AS4" s="68">
        <v>94.5</v>
      </c>
      <c r="AT4" s="68">
        <v>94.5</v>
      </c>
      <c r="AU4" s="68">
        <v>94.4</v>
      </c>
      <c r="AV4" s="68">
        <v>96</v>
      </c>
      <c r="AW4" s="68">
        <v>97</v>
      </c>
      <c r="AX4" s="68">
        <v>99</v>
      </c>
      <c r="AY4" s="68">
        <v>98.1</v>
      </c>
      <c r="AZ4" s="68">
        <v>98.1</v>
      </c>
      <c r="BA4" s="76">
        <v>90</v>
      </c>
      <c r="BB4" s="76">
        <v>90</v>
      </c>
      <c r="BC4" s="76">
        <v>90</v>
      </c>
      <c r="BD4" s="240">
        <v>95</v>
      </c>
      <c r="BE4" s="240">
        <v>100</v>
      </c>
      <c r="BF4" s="240">
        <v>94.4</v>
      </c>
      <c r="BG4" s="240">
        <v>100</v>
      </c>
      <c r="BH4" s="240">
        <v>95</v>
      </c>
      <c r="BI4" s="240">
        <v>92.5</v>
      </c>
      <c r="BJ4" s="70">
        <f t="shared" ref="BJ4:BJ30" si="25">SUM(AN4:BC4)</f>
        <v>1510.6</v>
      </c>
      <c r="BK4" s="71">
        <f t="shared" ref="BK4:BK30" si="26">AVERAGE(AN4:BC4)</f>
        <v>94.412499999999994</v>
      </c>
      <c r="BL4" s="72" t="e">
        <f t="shared" ref="BL4:BL30" si="27">RANK(BJ4,$Z$4:$Z$30)</f>
        <v>#N/A</v>
      </c>
      <c r="BM4" s="73"/>
      <c r="BN4" s="73"/>
      <c r="BO4" s="73"/>
      <c r="BP4" s="74"/>
      <c r="BQ4" s="74"/>
      <c r="BR4" s="74"/>
      <c r="BS4" s="75"/>
    </row>
    <row r="5" spans="1:71" ht="23.1" customHeight="1">
      <c r="A5" s="66">
        <v>2</v>
      </c>
      <c r="B5" s="66">
        <v>19200124</v>
      </c>
      <c r="C5" s="79" t="s">
        <v>239</v>
      </c>
      <c r="D5" s="68">
        <f t="shared" si="0"/>
        <v>91</v>
      </c>
      <c r="E5" s="68">
        <f t="shared" si="1"/>
        <v>70</v>
      </c>
      <c r="F5" s="68">
        <f t="shared" si="2"/>
        <v>96</v>
      </c>
      <c r="G5" s="68">
        <f t="shared" si="3"/>
        <v>70</v>
      </c>
      <c r="H5" s="68">
        <f t="shared" si="4"/>
        <v>89</v>
      </c>
      <c r="I5" s="68">
        <f t="shared" si="5"/>
        <v>89</v>
      </c>
      <c r="J5" s="68">
        <f t="shared" si="6"/>
        <v>96</v>
      </c>
      <c r="K5" s="68">
        <f t="shared" si="7"/>
        <v>93</v>
      </c>
      <c r="L5" s="68">
        <f t="shared" si="8"/>
        <v>85</v>
      </c>
      <c r="M5" s="68">
        <f t="shared" si="9"/>
        <v>92</v>
      </c>
      <c r="N5" s="68">
        <f t="shared" si="10"/>
        <v>99</v>
      </c>
      <c r="O5" s="68">
        <f t="shared" si="11"/>
        <v>73</v>
      </c>
      <c r="P5" s="68">
        <f t="shared" si="12"/>
        <v>82</v>
      </c>
      <c r="Q5" s="69">
        <f t="shared" si="13"/>
        <v>90</v>
      </c>
      <c r="R5" s="69">
        <f t="shared" si="14"/>
        <v>90</v>
      </c>
      <c r="S5" s="69">
        <f t="shared" si="15"/>
        <v>90</v>
      </c>
      <c r="T5" s="234">
        <f t="shared" si="16"/>
        <v>95</v>
      </c>
      <c r="U5" s="234">
        <f t="shared" si="17"/>
        <v>99</v>
      </c>
      <c r="V5" s="234">
        <f t="shared" si="18"/>
        <v>93</v>
      </c>
      <c r="W5" s="234">
        <f t="shared" si="19"/>
        <v>98</v>
      </c>
      <c r="X5" s="234">
        <f t="shared" si="20"/>
        <v>95</v>
      </c>
      <c r="Y5" s="234">
        <f t="shared" si="21"/>
        <v>95</v>
      </c>
      <c r="Z5" s="70">
        <f t="shared" si="22"/>
        <v>1395</v>
      </c>
      <c r="AA5" s="71">
        <f t="shared" si="23"/>
        <v>87.1875</v>
      </c>
      <c r="AB5" s="72">
        <f t="shared" si="24"/>
        <v>2</v>
      </c>
      <c r="AC5" s="73" t="s">
        <v>805</v>
      </c>
      <c r="AD5" s="73" t="s">
        <v>805</v>
      </c>
      <c r="AE5" s="73" t="s">
        <v>805</v>
      </c>
      <c r="AF5" s="74">
        <v>0</v>
      </c>
      <c r="AG5" s="74">
        <v>0</v>
      </c>
      <c r="AH5" s="74">
        <v>0</v>
      </c>
      <c r="AI5" s="75"/>
      <c r="AK5" s="66">
        <v>5</v>
      </c>
      <c r="AL5" s="66">
        <v>19200124</v>
      </c>
      <c r="AM5" s="78" t="s">
        <v>239</v>
      </c>
      <c r="AN5" s="68">
        <v>91</v>
      </c>
      <c r="AO5" s="68">
        <v>70</v>
      </c>
      <c r="AP5" s="68">
        <v>95.899999999999991</v>
      </c>
      <c r="AQ5" s="68">
        <v>70</v>
      </c>
      <c r="AR5" s="68">
        <v>89</v>
      </c>
      <c r="AS5" s="68">
        <v>89.199999999999989</v>
      </c>
      <c r="AT5" s="68">
        <v>95.5</v>
      </c>
      <c r="AU5" s="68">
        <v>93.4</v>
      </c>
      <c r="AV5" s="68">
        <v>84.699999999999989</v>
      </c>
      <c r="AW5" s="68">
        <v>92</v>
      </c>
      <c r="AX5" s="68">
        <v>100</v>
      </c>
      <c r="AY5" s="68">
        <v>73</v>
      </c>
      <c r="AZ5" s="68">
        <v>82</v>
      </c>
      <c r="BA5" s="76">
        <v>90</v>
      </c>
      <c r="BB5" s="76">
        <v>90</v>
      </c>
      <c r="BC5" s="76">
        <v>90</v>
      </c>
      <c r="BD5" s="240">
        <v>95</v>
      </c>
      <c r="BE5" s="240">
        <v>100</v>
      </c>
      <c r="BF5" s="240">
        <v>93.4</v>
      </c>
      <c r="BG5" s="240">
        <v>97.5</v>
      </c>
      <c r="BH5" s="240">
        <v>95</v>
      </c>
      <c r="BI5" s="240">
        <v>95</v>
      </c>
      <c r="BJ5" s="70">
        <f t="shared" si="25"/>
        <v>1395.6999999999998</v>
      </c>
      <c r="BK5" s="71">
        <f t="shared" si="26"/>
        <v>87.231249999999989</v>
      </c>
      <c r="BL5" s="72" t="e">
        <f t="shared" si="27"/>
        <v>#N/A</v>
      </c>
      <c r="BM5" s="73"/>
      <c r="BN5" s="73"/>
      <c r="BO5" s="73"/>
      <c r="BP5" s="74"/>
      <c r="BQ5" s="74"/>
      <c r="BR5" s="74"/>
      <c r="BS5" s="75"/>
    </row>
    <row r="6" spans="1:71" ht="23.1" customHeight="1">
      <c r="A6" s="66">
        <v>3</v>
      </c>
      <c r="B6" s="66">
        <v>20210101</v>
      </c>
      <c r="C6" s="77" t="s">
        <v>238</v>
      </c>
      <c r="D6" s="68">
        <f t="shared" si="0"/>
        <v>90</v>
      </c>
      <c r="E6" s="68">
        <f t="shared" si="1"/>
        <v>81</v>
      </c>
      <c r="F6" s="68">
        <f t="shared" si="2"/>
        <v>92</v>
      </c>
      <c r="G6" s="68">
        <f t="shared" si="3"/>
        <v>81</v>
      </c>
      <c r="H6" s="68">
        <f t="shared" si="4"/>
        <v>92</v>
      </c>
      <c r="I6" s="68">
        <f t="shared" si="5"/>
        <v>82</v>
      </c>
      <c r="J6" s="68">
        <f t="shared" si="6"/>
        <v>95</v>
      </c>
      <c r="K6" s="68">
        <f t="shared" si="7"/>
        <v>91</v>
      </c>
      <c r="L6" s="68">
        <f t="shared" si="8"/>
        <v>87</v>
      </c>
      <c r="M6" s="68">
        <f t="shared" si="9"/>
        <v>84</v>
      </c>
      <c r="N6" s="68">
        <f t="shared" si="10"/>
        <v>99</v>
      </c>
      <c r="O6" s="68">
        <f t="shared" si="11"/>
        <v>77</v>
      </c>
      <c r="P6" s="68">
        <f t="shared" si="12"/>
        <v>81</v>
      </c>
      <c r="Q6" s="69">
        <f t="shared" si="13"/>
        <v>80</v>
      </c>
      <c r="R6" s="69">
        <f t="shared" si="14"/>
        <v>90</v>
      </c>
      <c r="S6" s="69">
        <f t="shared" si="15"/>
        <v>90</v>
      </c>
      <c r="T6" s="234">
        <f t="shared" si="16"/>
        <v>90</v>
      </c>
      <c r="U6" s="234">
        <f t="shared" si="17"/>
        <v>88</v>
      </c>
      <c r="V6" s="234">
        <f t="shared" si="18"/>
        <v>91</v>
      </c>
      <c r="W6" s="234">
        <f t="shared" si="19"/>
        <v>95</v>
      </c>
      <c r="X6" s="234">
        <f t="shared" si="20"/>
        <v>90</v>
      </c>
      <c r="Y6" s="234">
        <f t="shared" si="21"/>
        <v>98</v>
      </c>
      <c r="Z6" s="70">
        <f t="shared" si="22"/>
        <v>1392</v>
      </c>
      <c r="AA6" s="71">
        <f t="shared" si="23"/>
        <v>87</v>
      </c>
      <c r="AB6" s="72">
        <f t="shared" si="24"/>
        <v>3</v>
      </c>
      <c r="AC6" s="73" t="s">
        <v>805</v>
      </c>
      <c r="AD6" s="73" t="s">
        <v>805</v>
      </c>
      <c r="AE6" s="73" t="s">
        <v>805</v>
      </c>
      <c r="AF6" s="74">
        <v>0</v>
      </c>
      <c r="AG6" s="74">
        <v>34</v>
      </c>
      <c r="AH6" s="74">
        <v>0</v>
      </c>
      <c r="AI6" s="75"/>
      <c r="AK6" s="66">
        <v>4</v>
      </c>
      <c r="AL6" s="66">
        <v>20210101</v>
      </c>
      <c r="AM6" s="77" t="s">
        <v>238</v>
      </c>
      <c r="AN6" s="68">
        <v>90</v>
      </c>
      <c r="AO6" s="68">
        <v>81</v>
      </c>
      <c r="AP6" s="68">
        <v>92</v>
      </c>
      <c r="AQ6" s="68">
        <v>81</v>
      </c>
      <c r="AR6" s="68">
        <v>92</v>
      </c>
      <c r="AS6" s="68">
        <v>81.900000000000006</v>
      </c>
      <c r="AT6" s="68">
        <v>94.5</v>
      </c>
      <c r="AU6" s="68">
        <v>91</v>
      </c>
      <c r="AV6" s="68">
        <v>86.699999999999989</v>
      </c>
      <c r="AW6" s="68">
        <v>84</v>
      </c>
      <c r="AX6" s="68">
        <v>99</v>
      </c>
      <c r="AY6" s="68">
        <v>76.5</v>
      </c>
      <c r="AZ6" s="68">
        <v>81</v>
      </c>
      <c r="BA6" s="76">
        <v>80</v>
      </c>
      <c r="BB6" s="76">
        <v>90</v>
      </c>
      <c r="BC6" s="76">
        <v>90</v>
      </c>
      <c r="BD6" s="240">
        <v>90</v>
      </c>
      <c r="BE6" s="240">
        <v>87.5</v>
      </c>
      <c r="BF6" s="240">
        <v>91</v>
      </c>
      <c r="BG6" s="240">
        <v>95</v>
      </c>
      <c r="BH6" s="240">
        <v>90</v>
      </c>
      <c r="BI6" s="240">
        <v>97.5</v>
      </c>
      <c r="BJ6" s="70">
        <f t="shared" si="25"/>
        <v>1390.6</v>
      </c>
      <c r="BK6" s="71">
        <f t="shared" si="26"/>
        <v>86.912499999999994</v>
      </c>
      <c r="BL6" s="72" t="e">
        <f t="shared" si="27"/>
        <v>#N/A</v>
      </c>
      <c r="BM6" s="73"/>
      <c r="BN6" s="73"/>
      <c r="BO6" s="73"/>
      <c r="BP6" s="74"/>
      <c r="BQ6" s="74"/>
      <c r="BR6" s="74"/>
      <c r="BS6" s="75"/>
    </row>
    <row r="7" spans="1:71" ht="23.1" customHeight="1">
      <c r="A7" s="66">
        <v>4</v>
      </c>
      <c r="B7" s="66">
        <v>19200007</v>
      </c>
      <c r="C7" s="77" t="s">
        <v>235</v>
      </c>
      <c r="D7" s="68">
        <f t="shared" si="0"/>
        <v>99</v>
      </c>
      <c r="E7" s="68">
        <f t="shared" si="1"/>
        <v>67</v>
      </c>
      <c r="F7" s="68">
        <f t="shared" si="2"/>
        <v>96</v>
      </c>
      <c r="G7" s="68">
        <f t="shared" si="3"/>
        <v>67</v>
      </c>
      <c r="H7" s="68">
        <f t="shared" si="4"/>
        <v>95</v>
      </c>
      <c r="I7" s="68">
        <f t="shared" si="5"/>
        <v>84</v>
      </c>
      <c r="J7" s="68">
        <f t="shared" si="6"/>
        <v>64</v>
      </c>
      <c r="K7" s="68">
        <f t="shared" si="7"/>
        <v>95</v>
      </c>
      <c r="L7" s="68">
        <f t="shared" si="8"/>
        <v>93</v>
      </c>
      <c r="M7" s="68">
        <f t="shared" si="9"/>
        <v>96</v>
      </c>
      <c r="N7" s="68">
        <f t="shared" si="10"/>
        <v>99</v>
      </c>
      <c r="O7" s="68">
        <f t="shared" si="11"/>
        <v>78</v>
      </c>
      <c r="P7" s="68">
        <f t="shared" si="12"/>
        <v>91</v>
      </c>
      <c r="Q7" s="69">
        <f t="shared" si="13"/>
        <v>85</v>
      </c>
      <c r="R7" s="69">
        <f t="shared" si="14"/>
        <v>90</v>
      </c>
      <c r="S7" s="69">
        <f t="shared" si="15"/>
        <v>90</v>
      </c>
      <c r="T7" s="234">
        <f t="shared" si="16"/>
        <v>93</v>
      </c>
      <c r="U7" s="234">
        <f t="shared" si="17"/>
        <v>99</v>
      </c>
      <c r="V7" s="234">
        <f t="shared" si="18"/>
        <v>95</v>
      </c>
      <c r="W7" s="234">
        <f t="shared" si="19"/>
        <v>93</v>
      </c>
      <c r="X7" s="234">
        <f t="shared" si="20"/>
        <v>98</v>
      </c>
      <c r="Y7" s="234">
        <f t="shared" si="21"/>
        <v>88</v>
      </c>
      <c r="Z7" s="70">
        <f t="shared" si="22"/>
        <v>1389</v>
      </c>
      <c r="AA7" s="71">
        <f t="shared" si="23"/>
        <v>86.8125</v>
      </c>
      <c r="AB7" s="72">
        <f t="shared" si="24"/>
        <v>4</v>
      </c>
      <c r="AC7" s="73" t="s">
        <v>805</v>
      </c>
      <c r="AD7" s="73" t="s">
        <v>805</v>
      </c>
      <c r="AE7" s="73" t="s">
        <v>805</v>
      </c>
      <c r="AF7" s="74">
        <v>2</v>
      </c>
      <c r="AG7" s="74">
        <v>0</v>
      </c>
      <c r="AH7" s="74">
        <v>0</v>
      </c>
      <c r="AI7" s="75"/>
      <c r="AK7" s="66">
        <v>1</v>
      </c>
      <c r="AL7" s="66">
        <v>19200007</v>
      </c>
      <c r="AM7" s="67" t="s">
        <v>235</v>
      </c>
      <c r="AN7" s="68">
        <v>99.1</v>
      </c>
      <c r="AO7" s="68">
        <v>67</v>
      </c>
      <c r="AP7" s="68">
        <v>96.4</v>
      </c>
      <c r="AQ7" s="68">
        <v>67</v>
      </c>
      <c r="AR7" s="68">
        <v>94.5</v>
      </c>
      <c r="AS7" s="68">
        <v>83.8</v>
      </c>
      <c r="AT7" s="68">
        <v>64</v>
      </c>
      <c r="AU7" s="68">
        <v>95.4</v>
      </c>
      <c r="AV7" s="68">
        <v>93.4</v>
      </c>
      <c r="AW7" s="68">
        <v>96.4</v>
      </c>
      <c r="AX7" s="68">
        <v>100</v>
      </c>
      <c r="AY7" s="68">
        <v>77.5</v>
      </c>
      <c r="AZ7" s="68">
        <v>91</v>
      </c>
      <c r="BA7" s="76">
        <v>85</v>
      </c>
      <c r="BB7" s="76">
        <v>90</v>
      </c>
      <c r="BC7" s="76">
        <v>90</v>
      </c>
      <c r="BD7" s="240">
        <v>92.5</v>
      </c>
      <c r="BE7" s="240">
        <v>100</v>
      </c>
      <c r="BF7" s="240">
        <v>95.4</v>
      </c>
      <c r="BG7" s="240">
        <v>92.5</v>
      </c>
      <c r="BH7" s="240">
        <v>97.5</v>
      </c>
      <c r="BI7" s="240">
        <v>87.5</v>
      </c>
      <c r="BJ7" s="70">
        <f t="shared" si="25"/>
        <v>1390.5</v>
      </c>
      <c r="BK7" s="71">
        <f t="shared" si="26"/>
        <v>86.90625</v>
      </c>
      <c r="BL7" s="72" t="e">
        <f t="shared" si="27"/>
        <v>#N/A</v>
      </c>
      <c r="BM7" s="73"/>
      <c r="BN7" s="73"/>
      <c r="BO7" s="73"/>
      <c r="BP7" s="74"/>
      <c r="BQ7" s="74"/>
      <c r="BR7" s="74"/>
      <c r="BS7" s="75"/>
    </row>
    <row r="8" spans="1:71" ht="23.1" customHeight="1">
      <c r="A8" s="66">
        <v>5</v>
      </c>
      <c r="B8" s="91">
        <v>19200138</v>
      </c>
      <c r="C8" s="92" t="s">
        <v>252</v>
      </c>
      <c r="D8" s="68">
        <f t="shared" si="0"/>
        <v>91</v>
      </c>
      <c r="E8" s="68">
        <f t="shared" si="1"/>
        <v>67</v>
      </c>
      <c r="F8" s="68">
        <f t="shared" si="2"/>
        <v>94</v>
      </c>
      <c r="G8" s="68">
        <f t="shared" si="3"/>
        <v>67</v>
      </c>
      <c r="H8" s="68">
        <f t="shared" si="4"/>
        <v>83</v>
      </c>
      <c r="I8" s="68">
        <f t="shared" si="5"/>
        <v>81</v>
      </c>
      <c r="J8" s="68">
        <f t="shared" si="6"/>
        <v>96</v>
      </c>
      <c r="K8" s="68">
        <f t="shared" si="7"/>
        <v>91</v>
      </c>
      <c r="L8" s="68">
        <f t="shared" si="8"/>
        <v>85</v>
      </c>
      <c r="M8" s="68">
        <f t="shared" si="9"/>
        <v>91</v>
      </c>
      <c r="N8" s="68">
        <f t="shared" si="10"/>
        <v>99</v>
      </c>
      <c r="O8" s="68">
        <f t="shared" si="11"/>
        <v>91</v>
      </c>
      <c r="P8" s="68">
        <f t="shared" si="12"/>
        <v>82</v>
      </c>
      <c r="Q8" s="69">
        <f t="shared" si="13"/>
        <v>90</v>
      </c>
      <c r="R8" s="69">
        <f t="shared" si="14"/>
        <v>90</v>
      </c>
      <c r="S8" s="69">
        <f t="shared" si="15"/>
        <v>90</v>
      </c>
      <c r="T8" s="234">
        <f t="shared" si="16"/>
        <v>95</v>
      </c>
      <c r="U8" s="234">
        <f t="shared" si="17"/>
        <v>98</v>
      </c>
      <c r="V8" s="234">
        <f t="shared" si="18"/>
        <v>91</v>
      </c>
      <c r="W8" s="234">
        <f t="shared" si="19"/>
        <v>90</v>
      </c>
      <c r="X8" s="234">
        <f t="shared" si="20"/>
        <v>98</v>
      </c>
      <c r="Y8" s="234">
        <f t="shared" si="21"/>
        <v>88</v>
      </c>
      <c r="Z8" s="70">
        <f t="shared" si="22"/>
        <v>1388</v>
      </c>
      <c r="AA8" s="71">
        <f t="shared" si="23"/>
        <v>86.75</v>
      </c>
      <c r="AB8" s="72">
        <f t="shared" si="24"/>
        <v>5</v>
      </c>
      <c r="AC8" s="73" t="s">
        <v>805</v>
      </c>
      <c r="AD8" s="73" t="s">
        <v>805</v>
      </c>
      <c r="AE8" s="73" t="s">
        <v>805</v>
      </c>
      <c r="AF8" s="74">
        <v>0</v>
      </c>
      <c r="AG8" s="74">
        <v>0</v>
      </c>
      <c r="AH8" s="74">
        <v>0</v>
      </c>
      <c r="AI8" s="75"/>
      <c r="AK8" s="66">
        <v>18</v>
      </c>
      <c r="AL8" s="66">
        <v>19200138</v>
      </c>
      <c r="AM8" s="77" t="s">
        <v>252</v>
      </c>
      <c r="AN8" s="68">
        <v>91</v>
      </c>
      <c r="AO8" s="68">
        <v>67</v>
      </c>
      <c r="AP8" s="68">
        <v>94</v>
      </c>
      <c r="AQ8" s="68">
        <v>67</v>
      </c>
      <c r="AR8" s="68">
        <v>83</v>
      </c>
      <c r="AS8" s="68">
        <v>81.099999999999994</v>
      </c>
      <c r="AT8" s="68">
        <v>95.5</v>
      </c>
      <c r="AU8" s="68">
        <v>91</v>
      </c>
      <c r="AV8" s="68">
        <v>84.699999999999989</v>
      </c>
      <c r="AW8" s="68">
        <v>91</v>
      </c>
      <c r="AX8" s="68">
        <v>100</v>
      </c>
      <c r="AY8" s="68">
        <v>91</v>
      </c>
      <c r="AZ8" s="68">
        <v>82</v>
      </c>
      <c r="BA8" s="76">
        <v>90</v>
      </c>
      <c r="BB8" s="76">
        <v>90</v>
      </c>
      <c r="BC8" s="76">
        <v>90</v>
      </c>
      <c r="BD8" s="240">
        <v>95</v>
      </c>
      <c r="BE8" s="240">
        <v>97.5</v>
      </c>
      <c r="BF8" s="240">
        <v>91</v>
      </c>
      <c r="BG8" s="240">
        <v>90</v>
      </c>
      <c r="BH8" s="240">
        <v>97.5</v>
      </c>
      <c r="BI8" s="240">
        <v>87.5</v>
      </c>
      <c r="BJ8" s="70">
        <f t="shared" si="25"/>
        <v>1388.3</v>
      </c>
      <c r="BK8" s="71">
        <f t="shared" si="26"/>
        <v>86.768749999999997</v>
      </c>
      <c r="BL8" s="72" t="e">
        <f t="shared" si="27"/>
        <v>#N/A</v>
      </c>
      <c r="BM8" s="73"/>
      <c r="BN8" s="73"/>
      <c r="BO8" s="73"/>
      <c r="BP8" s="74"/>
      <c r="BQ8" s="74"/>
      <c r="BR8" s="74"/>
      <c r="BS8" s="75"/>
    </row>
    <row r="9" spans="1:71" ht="23.1" customHeight="1">
      <c r="A9" s="66">
        <v>6</v>
      </c>
      <c r="B9" s="66">
        <v>19200158</v>
      </c>
      <c r="C9" s="77" t="s">
        <v>257</v>
      </c>
      <c r="D9" s="68">
        <f t="shared" si="0"/>
        <v>96</v>
      </c>
      <c r="E9" s="68">
        <f t="shared" si="1"/>
        <v>79</v>
      </c>
      <c r="F9" s="68">
        <f t="shared" si="2"/>
        <v>86</v>
      </c>
      <c r="G9" s="68">
        <f t="shared" si="3"/>
        <v>82</v>
      </c>
      <c r="H9" s="68">
        <f t="shared" si="4"/>
        <v>92</v>
      </c>
      <c r="I9" s="68">
        <f t="shared" si="5"/>
        <v>76</v>
      </c>
      <c r="J9" s="68">
        <f t="shared" si="6"/>
        <v>91</v>
      </c>
      <c r="K9" s="68">
        <f t="shared" si="7"/>
        <v>85</v>
      </c>
      <c r="L9" s="68">
        <f t="shared" si="8"/>
        <v>92</v>
      </c>
      <c r="M9" s="68">
        <f t="shared" si="9"/>
        <v>88</v>
      </c>
      <c r="N9" s="68">
        <f t="shared" si="10"/>
        <v>99</v>
      </c>
      <c r="O9" s="68">
        <f t="shared" si="11"/>
        <v>78</v>
      </c>
      <c r="P9" s="68">
        <f t="shared" si="12"/>
        <v>78</v>
      </c>
      <c r="Q9" s="69">
        <f t="shared" si="13"/>
        <v>70</v>
      </c>
      <c r="R9" s="69">
        <f t="shared" si="14"/>
        <v>90</v>
      </c>
      <c r="S9" s="69">
        <f t="shared" si="15"/>
        <v>90</v>
      </c>
      <c r="T9" s="234">
        <f t="shared" si="16"/>
        <v>93</v>
      </c>
      <c r="U9" s="234">
        <f t="shared" si="17"/>
        <v>99</v>
      </c>
      <c r="V9" s="234">
        <f t="shared" si="18"/>
        <v>85</v>
      </c>
      <c r="W9" s="234">
        <f t="shared" si="19"/>
        <v>98</v>
      </c>
      <c r="X9" s="234">
        <f t="shared" si="20"/>
        <v>85</v>
      </c>
      <c r="Y9" s="234">
        <f t="shared" si="21"/>
        <v>88</v>
      </c>
      <c r="Z9" s="70">
        <f t="shared" si="22"/>
        <v>1372</v>
      </c>
      <c r="AA9" s="71">
        <f t="shared" si="23"/>
        <v>85.75</v>
      </c>
      <c r="AB9" s="72">
        <f t="shared" si="24"/>
        <v>6</v>
      </c>
      <c r="AC9" s="73" t="s">
        <v>805</v>
      </c>
      <c r="AD9" s="73" t="s">
        <v>805</v>
      </c>
      <c r="AE9" s="73" t="s">
        <v>805</v>
      </c>
      <c r="AF9" s="74">
        <v>0</v>
      </c>
      <c r="AG9" s="74">
        <v>0</v>
      </c>
      <c r="AH9" s="74">
        <v>0</v>
      </c>
      <c r="AI9" s="75"/>
      <c r="AK9" s="66">
        <v>23</v>
      </c>
      <c r="AL9" s="66">
        <v>19200158</v>
      </c>
      <c r="AM9" s="77" t="s">
        <v>257</v>
      </c>
      <c r="AN9" s="68">
        <v>95.5</v>
      </c>
      <c r="AO9" s="68">
        <v>79</v>
      </c>
      <c r="AP9" s="68">
        <v>85.5</v>
      </c>
      <c r="AQ9" s="68">
        <v>82</v>
      </c>
      <c r="AR9" s="68">
        <v>92</v>
      </c>
      <c r="AS9" s="68">
        <v>75.699999999999989</v>
      </c>
      <c r="AT9" s="68">
        <v>91</v>
      </c>
      <c r="AU9" s="68">
        <v>84.5</v>
      </c>
      <c r="AV9" s="68">
        <v>91.899999999999991</v>
      </c>
      <c r="AW9" s="68">
        <v>88</v>
      </c>
      <c r="AX9" s="68">
        <v>100</v>
      </c>
      <c r="AY9" s="68">
        <v>77.5</v>
      </c>
      <c r="AZ9" s="68">
        <v>77.5</v>
      </c>
      <c r="BA9" s="76">
        <v>70</v>
      </c>
      <c r="BB9" s="76">
        <v>90</v>
      </c>
      <c r="BC9" s="76">
        <v>90</v>
      </c>
      <c r="BD9" s="240">
        <v>92.5</v>
      </c>
      <c r="BE9" s="240">
        <v>100</v>
      </c>
      <c r="BF9" s="240">
        <v>84.5</v>
      </c>
      <c r="BG9" s="240">
        <v>97.5</v>
      </c>
      <c r="BH9" s="240">
        <v>85</v>
      </c>
      <c r="BI9" s="240">
        <v>87.5</v>
      </c>
      <c r="BJ9" s="70">
        <f t="shared" si="25"/>
        <v>1370.1</v>
      </c>
      <c r="BK9" s="71">
        <f t="shared" si="26"/>
        <v>85.631249999999994</v>
      </c>
      <c r="BL9" s="72" t="e">
        <f t="shared" si="27"/>
        <v>#N/A</v>
      </c>
      <c r="BM9" s="73"/>
      <c r="BN9" s="73"/>
      <c r="BO9" s="73"/>
      <c r="BP9" s="74"/>
      <c r="BQ9" s="74"/>
      <c r="BR9" s="74"/>
      <c r="BS9" s="75"/>
    </row>
    <row r="10" spans="1:71" ht="23.1" customHeight="1">
      <c r="A10" s="66">
        <v>7</v>
      </c>
      <c r="B10" s="66">
        <v>18190112</v>
      </c>
      <c r="C10" s="77" t="s">
        <v>260</v>
      </c>
      <c r="D10" s="68">
        <f t="shared" si="0"/>
        <v>91</v>
      </c>
      <c r="E10" s="68">
        <f t="shared" si="1"/>
        <v>73</v>
      </c>
      <c r="F10" s="68">
        <f t="shared" si="2"/>
        <v>94</v>
      </c>
      <c r="G10" s="68">
        <f t="shared" si="3"/>
        <v>73</v>
      </c>
      <c r="H10" s="68">
        <f t="shared" si="4"/>
        <v>93</v>
      </c>
      <c r="I10" s="68">
        <f t="shared" si="5"/>
        <v>78</v>
      </c>
      <c r="J10" s="68">
        <f t="shared" si="6"/>
        <v>76</v>
      </c>
      <c r="K10" s="68">
        <f t="shared" si="7"/>
        <v>93</v>
      </c>
      <c r="L10" s="68">
        <f t="shared" si="8"/>
        <v>83</v>
      </c>
      <c r="M10" s="68">
        <f t="shared" si="9"/>
        <v>75</v>
      </c>
      <c r="N10" s="68">
        <f t="shared" si="10"/>
        <v>97</v>
      </c>
      <c r="O10" s="68">
        <f t="shared" si="11"/>
        <v>73</v>
      </c>
      <c r="P10" s="68">
        <f t="shared" si="12"/>
        <v>82</v>
      </c>
      <c r="Q10" s="69">
        <f t="shared" si="13"/>
        <v>70</v>
      </c>
      <c r="R10" s="69">
        <f t="shared" si="14"/>
        <v>90</v>
      </c>
      <c r="S10" s="69">
        <f t="shared" si="15"/>
        <v>90</v>
      </c>
      <c r="T10" s="234">
        <f t="shared" si="16"/>
        <v>95</v>
      </c>
      <c r="U10" s="234">
        <f t="shared" si="17"/>
        <v>99</v>
      </c>
      <c r="V10" s="234">
        <f t="shared" si="18"/>
        <v>93</v>
      </c>
      <c r="W10" s="234">
        <f t="shared" si="19"/>
        <v>99</v>
      </c>
      <c r="X10" s="234">
        <f t="shared" si="20"/>
        <v>95</v>
      </c>
      <c r="Y10" s="234">
        <f t="shared" si="21"/>
        <v>93</v>
      </c>
      <c r="Z10" s="70">
        <f t="shared" si="22"/>
        <v>1331</v>
      </c>
      <c r="AA10" s="71">
        <f t="shared" si="23"/>
        <v>83.1875</v>
      </c>
      <c r="AB10" s="72">
        <f t="shared" si="24"/>
        <v>7</v>
      </c>
      <c r="AC10" s="73" t="s">
        <v>805</v>
      </c>
      <c r="AD10" s="73" t="s">
        <v>805</v>
      </c>
      <c r="AE10" s="73" t="s">
        <v>805</v>
      </c>
      <c r="AF10" s="74">
        <v>18</v>
      </c>
      <c r="AG10" s="74">
        <v>0</v>
      </c>
      <c r="AH10" s="74">
        <v>0</v>
      </c>
      <c r="AI10" s="75"/>
      <c r="AK10" s="66">
        <v>26</v>
      </c>
      <c r="AL10" s="66">
        <v>18190112</v>
      </c>
      <c r="AM10" s="77" t="s">
        <v>260</v>
      </c>
      <c r="AN10" s="68">
        <v>91</v>
      </c>
      <c r="AO10" s="68">
        <v>73</v>
      </c>
      <c r="AP10" s="68">
        <v>93.5</v>
      </c>
      <c r="AQ10" s="68">
        <v>73</v>
      </c>
      <c r="AR10" s="68">
        <v>92.6</v>
      </c>
      <c r="AS10" s="68">
        <v>77.5</v>
      </c>
      <c r="AT10" s="68">
        <v>75.699999999999989</v>
      </c>
      <c r="AU10" s="68">
        <v>92.5</v>
      </c>
      <c r="AV10" s="68">
        <v>83.199999999999989</v>
      </c>
      <c r="AW10" s="68">
        <v>75</v>
      </c>
      <c r="AX10" s="68">
        <v>97</v>
      </c>
      <c r="AY10" s="68">
        <v>73</v>
      </c>
      <c r="AZ10" s="68">
        <v>82</v>
      </c>
      <c r="BA10" s="76">
        <v>70</v>
      </c>
      <c r="BB10" s="76">
        <v>90</v>
      </c>
      <c r="BC10" s="76">
        <v>90</v>
      </c>
      <c r="BD10" s="240">
        <v>95</v>
      </c>
      <c r="BE10" s="240">
        <v>100</v>
      </c>
      <c r="BF10" s="240">
        <v>92.5</v>
      </c>
      <c r="BG10" s="240">
        <v>100</v>
      </c>
      <c r="BH10" s="240">
        <v>95</v>
      </c>
      <c r="BI10" s="240">
        <v>92.5</v>
      </c>
      <c r="BJ10" s="70">
        <f t="shared" si="25"/>
        <v>1329</v>
      </c>
      <c r="BK10" s="71">
        <f t="shared" si="26"/>
        <v>83.0625</v>
      </c>
      <c r="BL10" s="72" t="e">
        <f t="shared" si="27"/>
        <v>#N/A</v>
      </c>
      <c r="BM10" s="73"/>
      <c r="BN10" s="73"/>
      <c r="BO10" s="73"/>
      <c r="BP10" s="74"/>
      <c r="BQ10" s="74"/>
      <c r="BR10" s="74"/>
      <c r="BS10" s="75"/>
    </row>
    <row r="11" spans="1:71" ht="23.1" customHeight="1">
      <c r="A11" s="91">
        <v>8</v>
      </c>
      <c r="B11" s="91">
        <v>19200135</v>
      </c>
      <c r="C11" s="92" t="s">
        <v>250</v>
      </c>
      <c r="D11" s="68">
        <f t="shared" si="0"/>
        <v>91</v>
      </c>
      <c r="E11" s="68">
        <f t="shared" si="1"/>
        <v>70</v>
      </c>
      <c r="F11" s="68">
        <f t="shared" si="2"/>
        <v>91</v>
      </c>
      <c r="G11" s="68">
        <f t="shared" si="3"/>
        <v>70</v>
      </c>
      <c r="H11" s="68">
        <f t="shared" si="4"/>
        <v>85</v>
      </c>
      <c r="I11" s="68">
        <f t="shared" si="5"/>
        <v>64</v>
      </c>
      <c r="J11" s="68">
        <f t="shared" si="6"/>
        <v>94</v>
      </c>
      <c r="K11" s="68">
        <f t="shared" si="7"/>
        <v>93</v>
      </c>
      <c r="L11" s="68">
        <f t="shared" si="8"/>
        <v>91</v>
      </c>
      <c r="M11" s="68">
        <f t="shared" si="9"/>
        <v>97</v>
      </c>
      <c r="N11" s="68">
        <f t="shared" si="10"/>
        <v>94</v>
      </c>
      <c r="O11" s="68">
        <f t="shared" si="11"/>
        <v>55</v>
      </c>
      <c r="P11" s="68">
        <f t="shared" si="12"/>
        <v>82</v>
      </c>
      <c r="Q11" s="69">
        <f t="shared" si="13"/>
        <v>70</v>
      </c>
      <c r="R11" s="69">
        <f t="shared" si="14"/>
        <v>90</v>
      </c>
      <c r="S11" s="69">
        <f t="shared" si="15"/>
        <v>90</v>
      </c>
      <c r="T11" s="234">
        <f t="shared" si="16"/>
        <v>98</v>
      </c>
      <c r="U11" s="234">
        <f t="shared" si="17"/>
        <v>90</v>
      </c>
      <c r="V11" s="234">
        <f t="shared" si="18"/>
        <v>93</v>
      </c>
      <c r="W11" s="234">
        <f t="shared" si="19"/>
        <v>99</v>
      </c>
      <c r="X11" s="234">
        <f t="shared" si="20"/>
        <v>98</v>
      </c>
      <c r="Y11" s="234">
        <f t="shared" si="21"/>
        <v>90</v>
      </c>
      <c r="Z11" s="70">
        <f t="shared" si="22"/>
        <v>1327</v>
      </c>
      <c r="AA11" s="71">
        <f t="shared" si="23"/>
        <v>82.9375</v>
      </c>
      <c r="AB11" s="72">
        <f t="shared" si="24"/>
        <v>8</v>
      </c>
      <c r="AC11" s="73" t="s">
        <v>805</v>
      </c>
      <c r="AD11" s="73" t="s">
        <v>805</v>
      </c>
      <c r="AE11" s="73" t="s">
        <v>807</v>
      </c>
      <c r="AF11" s="74">
        <v>0</v>
      </c>
      <c r="AG11" s="74">
        <v>0</v>
      </c>
      <c r="AH11" s="74">
        <v>0</v>
      </c>
      <c r="AI11" s="75"/>
      <c r="AK11" s="66">
        <v>16</v>
      </c>
      <c r="AL11" s="66">
        <v>19200135</v>
      </c>
      <c r="AM11" s="78" t="s">
        <v>250</v>
      </c>
      <c r="AN11" s="68">
        <v>91</v>
      </c>
      <c r="AO11" s="68">
        <v>70</v>
      </c>
      <c r="AP11" s="68">
        <v>91</v>
      </c>
      <c r="AQ11" s="68">
        <v>70</v>
      </c>
      <c r="AR11" s="68">
        <v>84.5</v>
      </c>
      <c r="AS11" s="68">
        <v>64</v>
      </c>
      <c r="AT11" s="68">
        <v>93.699999999999989</v>
      </c>
      <c r="AU11" s="68">
        <v>92.5</v>
      </c>
      <c r="AV11" s="68">
        <v>91</v>
      </c>
      <c r="AW11" s="68">
        <v>96.8</v>
      </c>
      <c r="AX11" s="68">
        <v>94</v>
      </c>
      <c r="AY11" s="68">
        <v>55</v>
      </c>
      <c r="AZ11" s="68">
        <v>82</v>
      </c>
      <c r="BA11" s="76">
        <v>70</v>
      </c>
      <c r="BB11" s="76">
        <v>90</v>
      </c>
      <c r="BC11" s="76">
        <v>90</v>
      </c>
      <c r="BD11" s="240">
        <v>97.5</v>
      </c>
      <c r="BE11" s="240">
        <v>90</v>
      </c>
      <c r="BF11" s="240">
        <v>92.5</v>
      </c>
      <c r="BG11" s="240">
        <v>100</v>
      </c>
      <c r="BH11" s="240">
        <v>97.5</v>
      </c>
      <c r="BI11" s="240">
        <v>90</v>
      </c>
      <c r="BJ11" s="70">
        <f t="shared" si="25"/>
        <v>1325.5</v>
      </c>
      <c r="BK11" s="71">
        <f t="shared" si="26"/>
        <v>82.84375</v>
      </c>
      <c r="BL11" s="72" t="e">
        <f t="shared" si="27"/>
        <v>#N/A</v>
      </c>
      <c r="BM11" s="73"/>
      <c r="BN11" s="73"/>
      <c r="BO11" s="73"/>
      <c r="BP11" s="74"/>
      <c r="BQ11" s="74"/>
      <c r="BR11" s="74"/>
      <c r="BS11" s="75"/>
    </row>
    <row r="12" spans="1:71" ht="23.1" customHeight="1">
      <c r="A12" s="66">
        <v>9</v>
      </c>
      <c r="B12" s="91">
        <v>21220169</v>
      </c>
      <c r="C12" s="92" t="s">
        <v>251</v>
      </c>
      <c r="D12" s="68">
        <f t="shared" si="0"/>
        <v>91</v>
      </c>
      <c r="E12" s="68">
        <f t="shared" si="1"/>
        <v>55</v>
      </c>
      <c r="F12" s="68">
        <f t="shared" si="2"/>
        <v>88</v>
      </c>
      <c r="G12" s="68">
        <f t="shared" si="3"/>
        <v>55</v>
      </c>
      <c r="H12" s="68">
        <f t="shared" si="4"/>
        <v>88</v>
      </c>
      <c r="I12" s="68">
        <f t="shared" si="5"/>
        <v>73</v>
      </c>
      <c r="J12" s="68">
        <f t="shared" si="6"/>
        <v>80</v>
      </c>
      <c r="K12" s="68">
        <f t="shared" si="7"/>
        <v>93</v>
      </c>
      <c r="L12" s="68">
        <f t="shared" si="8"/>
        <v>88</v>
      </c>
      <c r="M12" s="68">
        <f t="shared" si="9"/>
        <v>76</v>
      </c>
      <c r="N12" s="68">
        <f t="shared" si="10"/>
        <v>93</v>
      </c>
      <c r="O12" s="68">
        <f t="shared" si="11"/>
        <v>64</v>
      </c>
      <c r="P12" s="68">
        <f t="shared" si="12"/>
        <v>82</v>
      </c>
      <c r="Q12" s="69">
        <f t="shared" si="13"/>
        <v>65</v>
      </c>
      <c r="R12" s="69">
        <f t="shared" si="14"/>
        <v>90</v>
      </c>
      <c r="S12" s="69">
        <f t="shared" si="15"/>
        <v>90</v>
      </c>
      <c r="T12" s="234">
        <f t="shared" si="16"/>
        <v>95</v>
      </c>
      <c r="U12" s="234">
        <f t="shared" si="17"/>
        <v>98</v>
      </c>
      <c r="V12" s="234">
        <f t="shared" si="18"/>
        <v>93</v>
      </c>
      <c r="W12" s="234">
        <f t="shared" si="19"/>
        <v>93</v>
      </c>
      <c r="X12" s="234">
        <f t="shared" si="20"/>
        <v>83</v>
      </c>
      <c r="Y12" s="234">
        <f t="shared" si="21"/>
        <v>68</v>
      </c>
      <c r="Z12" s="70">
        <f t="shared" si="22"/>
        <v>1271</v>
      </c>
      <c r="AA12" s="71">
        <f t="shared" si="23"/>
        <v>79.4375</v>
      </c>
      <c r="AB12" s="72">
        <f t="shared" si="24"/>
        <v>9</v>
      </c>
      <c r="AC12" s="73" t="s">
        <v>805</v>
      </c>
      <c r="AD12" s="73" t="s">
        <v>805</v>
      </c>
      <c r="AE12" s="73" t="s">
        <v>805</v>
      </c>
      <c r="AF12" s="74">
        <v>0</v>
      </c>
      <c r="AG12" s="74">
        <v>0</v>
      </c>
      <c r="AH12" s="74">
        <v>0</v>
      </c>
      <c r="AI12" s="75"/>
      <c r="AK12" s="66">
        <v>17</v>
      </c>
      <c r="AL12" s="66">
        <v>21220169</v>
      </c>
      <c r="AM12" s="80" t="s">
        <v>251</v>
      </c>
      <c r="AN12" s="68">
        <v>91</v>
      </c>
      <c r="AO12" s="68">
        <v>55</v>
      </c>
      <c r="AP12" s="68">
        <v>88</v>
      </c>
      <c r="AQ12" s="68">
        <v>55</v>
      </c>
      <c r="AR12" s="68">
        <v>87.5</v>
      </c>
      <c r="AS12" s="68">
        <v>73</v>
      </c>
      <c r="AT12" s="68">
        <v>80.199999999999989</v>
      </c>
      <c r="AU12" s="68">
        <v>92.899999999999991</v>
      </c>
      <c r="AV12" s="68">
        <v>88.3</v>
      </c>
      <c r="AW12" s="68">
        <v>75.5</v>
      </c>
      <c r="AX12" s="68">
        <v>93</v>
      </c>
      <c r="AY12" s="68">
        <v>64</v>
      </c>
      <c r="AZ12" s="68">
        <v>82</v>
      </c>
      <c r="BA12" s="76">
        <v>65</v>
      </c>
      <c r="BB12" s="76">
        <v>90</v>
      </c>
      <c r="BC12" s="76">
        <v>90</v>
      </c>
      <c r="BD12" s="240">
        <v>95</v>
      </c>
      <c r="BE12" s="240">
        <v>97.5</v>
      </c>
      <c r="BF12" s="240">
        <v>92.899999999999991</v>
      </c>
      <c r="BG12" s="240">
        <v>92.5</v>
      </c>
      <c r="BH12" s="240">
        <v>82.5</v>
      </c>
      <c r="BI12" s="240">
        <v>67.5</v>
      </c>
      <c r="BJ12" s="70">
        <f t="shared" si="25"/>
        <v>1270.4000000000001</v>
      </c>
      <c r="BK12" s="71">
        <f t="shared" si="26"/>
        <v>79.400000000000006</v>
      </c>
      <c r="BL12" s="72" t="e">
        <f t="shared" si="27"/>
        <v>#N/A</v>
      </c>
      <c r="BM12" s="73"/>
      <c r="BN12" s="73"/>
      <c r="BO12" s="73"/>
      <c r="BP12" s="74"/>
      <c r="BQ12" s="74"/>
      <c r="BR12" s="74"/>
      <c r="BS12" s="75"/>
    </row>
    <row r="13" spans="1:71" ht="23.1" customHeight="1">
      <c r="A13" s="66">
        <v>10</v>
      </c>
      <c r="B13" s="91">
        <v>19200091</v>
      </c>
      <c r="C13" s="92" t="s">
        <v>249</v>
      </c>
      <c r="D13" s="68">
        <f t="shared" si="0"/>
        <v>91</v>
      </c>
      <c r="E13" s="68">
        <f t="shared" si="1"/>
        <v>67</v>
      </c>
      <c r="F13" s="68">
        <f t="shared" si="2"/>
        <v>86</v>
      </c>
      <c r="G13" s="68">
        <f t="shared" si="3"/>
        <v>67</v>
      </c>
      <c r="H13" s="68">
        <f t="shared" si="4"/>
        <v>86</v>
      </c>
      <c r="I13" s="68">
        <f t="shared" si="5"/>
        <v>53</v>
      </c>
      <c r="J13" s="68">
        <f t="shared" si="6"/>
        <v>78</v>
      </c>
      <c r="K13" s="68">
        <f t="shared" si="7"/>
        <v>84</v>
      </c>
      <c r="L13" s="68">
        <f t="shared" si="8"/>
        <v>64</v>
      </c>
      <c r="M13" s="68">
        <f t="shared" si="9"/>
        <v>83</v>
      </c>
      <c r="N13" s="68">
        <f t="shared" si="10"/>
        <v>97</v>
      </c>
      <c r="O13" s="68">
        <f t="shared" si="11"/>
        <v>55</v>
      </c>
      <c r="P13" s="68">
        <f t="shared" si="12"/>
        <v>82</v>
      </c>
      <c r="Q13" s="69">
        <f t="shared" si="13"/>
        <v>80</v>
      </c>
      <c r="R13" s="69">
        <f t="shared" si="14"/>
        <v>90</v>
      </c>
      <c r="S13" s="69">
        <f t="shared" si="15"/>
        <v>90</v>
      </c>
      <c r="T13" s="234">
        <f t="shared" si="16"/>
        <v>95</v>
      </c>
      <c r="U13" s="234">
        <f t="shared" si="17"/>
        <v>98</v>
      </c>
      <c r="V13" s="234">
        <f t="shared" si="18"/>
        <v>84</v>
      </c>
      <c r="W13" s="234">
        <f t="shared" si="19"/>
        <v>95</v>
      </c>
      <c r="X13" s="234">
        <f t="shared" si="20"/>
        <v>98</v>
      </c>
      <c r="Y13" s="234">
        <f t="shared" si="21"/>
        <v>90</v>
      </c>
      <c r="Z13" s="70">
        <f t="shared" si="22"/>
        <v>1253</v>
      </c>
      <c r="AA13" s="71">
        <f t="shared" si="23"/>
        <v>78.3125</v>
      </c>
      <c r="AB13" s="72">
        <f t="shared" si="24"/>
        <v>10</v>
      </c>
      <c r="AC13" s="73" t="s">
        <v>805</v>
      </c>
      <c r="AD13" s="73" t="s">
        <v>805</v>
      </c>
      <c r="AE13" s="73" t="s">
        <v>807</v>
      </c>
      <c r="AF13" s="74">
        <v>0</v>
      </c>
      <c r="AG13" s="74">
        <v>0</v>
      </c>
      <c r="AH13" s="74">
        <v>0</v>
      </c>
      <c r="AI13" s="75"/>
      <c r="AK13" s="66">
        <v>15</v>
      </c>
      <c r="AL13" s="66">
        <v>19200091</v>
      </c>
      <c r="AM13" s="77" t="s">
        <v>249</v>
      </c>
      <c r="AN13" s="68">
        <v>91</v>
      </c>
      <c r="AO13" s="68">
        <v>67</v>
      </c>
      <c r="AP13" s="68">
        <v>86</v>
      </c>
      <c r="AQ13" s="68">
        <v>67</v>
      </c>
      <c r="AR13" s="68">
        <v>85.5</v>
      </c>
      <c r="AS13" s="68">
        <v>53.199999999999996</v>
      </c>
      <c r="AT13" s="68">
        <v>77.5</v>
      </c>
      <c r="AU13" s="68">
        <v>84</v>
      </c>
      <c r="AV13" s="68">
        <v>63.7</v>
      </c>
      <c r="AW13" s="68">
        <v>83.3</v>
      </c>
      <c r="AX13" s="68">
        <v>97</v>
      </c>
      <c r="AY13" s="68">
        <v>55</v>
      </c>
      <c r="AZ13" s="68">
        <v>82</v>
      </c>
      <c r="BA13" s="76">
        <v>80</v>
      </c>
      <c r="BB13" s="76">
        <v>90</v>
      </c>
      <c r="BC13" s="76">
        <v>90</v>
      </c>
      <c r="BD13" s="240">
        <v>95</v>
      </c>
      <c r="BE13" s="240">
        <v>97.5</v>
      </c>
      <c r="BF13" s="240">
        <v>84</v>
      </c>
      <c r="BG13" s="240">
        <v>95</v>
      </c>
      <c r="BH13" s="240">
        <v>97.5</v>
      </c>
      <c r="BI13" s="240">
        <v>90</v>
      </c>
      <c r="BJ13" s="70">
        <f t="shared" si="25"/>
        <v>1252.2</v>
      </c>
      <c r="BK13" s="71">
        <f t="shared" si="26"/>
        <v>78.262500000000003</v>
      </c>
      <c r="BL13" s="72" t="e">
        <f t="shared" si="27"/>
        <v>#N/A</v>
      </c>
      <c r="BM13" s="73"/>
      <c r="BN13" s="73"/>
      <c r="BO13" s="73"/>
      <c r="BP13" s="74"/>
      <c r="BQ13" s="74"/>
      <c r="BR13" s="74"/>
      <c r="BS13" s="75"/>
    </row>
    <row r="14" spans="1:71" ht="23.1" customHeight="1">
      <c r="A14" s="66">
        <v>11</v>
      </c>
      <c r="B14" s="66">
        <v>20210102</v>
      </c>
      <c r="C14" s="77" t="s">
        <v>241</v>
      </c>
      <c r="D14" s="68">
        <f t="shared" si="0"/>
        <v>91</v>
      </c>
      <c r="E14" s="68">
        <f t="shared" si="1"/>
        <v>67</v>
      </c>
      <c r="F14" s="68">
        <f t="shared" si="2"/>
        <v>85</v>
      </c>
      <c r="G14" s="68">
        <f t="shared" si="3"/>
        <v>67</v>
      </c>
      <c r="H14" s="68">
        <f t="shared" si="4"/>
        <v>77</v>
      </c>
      <c r="I14" s="68">
        <f t="shared" si="5"/>
        <v>46</v>
      </c>
      <c r="J14" s="68">
        <f t="shared" si="6"/>
        <v>60</v>
      </c>
      <c r="K14" s="68">
        <f t="shared" si="7"/>
        <v>79</v>
      </c>
      <c r="L14" s="68">
        <f t="shared" si="8"/>
        <v>70</v>
      </c>
      <c r="M14" s="68">
        <f t="shared" si="9"/>
        <v>59</v>
      </c>
      <c r="N14" s="68">
        <f t="shared" si="10"/>
        <v>97</v>
      </c>
      <c r="O14" s="68">
        <f t="shared" si="11"/>
        <v>73</v>
      </c>
      <c r="P14" s="68">
        <f t="shared" si="12"/>
        <v>82</v>
      </c>
      <c r="Q14" s="69">
        <f t="shared" si="13"/>
        <v>85</v>
      </c>
      <c r="R14" s="69">
        <f t="shared" si="14"/>
        <v>90</v>
      </c>
      <c r="S14" s="69">
        <f t="shared" si="15"/>
        <v>90</v>
      </c>
      <c r="T14" s="234">
        <f t="shared" si="16"/>
        <v>98</v>
      </c>
      <c r="U14" s="234">
        <f t="shared" si="17"/>
        <v>93</v>
      </c>
      <c r="V14" s="234">
        <f t="shared" si="18"/>
        <v>79</v>
      </c>
      <c r="W14" s="234">
        <f t="shared" si="19"/>
        <v>93</v>
      </c>
      <c r="X14" s="234">
        <f t="shared" si="20"/>
        <v>88</v>
      </c>
      <c r="Y14" s="234">
        <f t="shared" si="21"/>
        <v>93</v>
      </c>
      <c r="Z14" s="70">
        <f t="shared" si="22"/>
        <v>1218</v>
      </c>
      <c r="AA14" s="71">
        <f t="shared" si="23"/>
        <v>76.125</v>
      </c>
      <c r="AB14" s="72">
        <f t="shared" si="24"/>
        <v>11</v>
      </c>
      <c r="AC14" s="73" t="s">
        <v>805</v>
      </c>
      <c r="AD14" s="73" t="s">
        <v>807</v>
      </c>
      <c r="AE14" s="73" t="s">
        <v>807</v>
      </c>
      <c r="AF14" s="74">
        <v>4</v>
      </c>
      <c r="AG14" s="74">
        <v>5</v>
      </c>
      <c r="AH14" s="74">
        <v>0</v>
      </c>
      <c r="AI14" s="75"/>
      <c r="AK14" s="66">
        <v>7</v>
      </c>
      <c r="AL14" s="66">
        <v>20210102</v>
      </c>
      <c r="AM14" s="77" t="s">
        <v>241</v>
      </c>
      <c r="AN14" s="68">
        <v>91</v>
      </c>
      <c r="AO14" s="68">
        <v>67</v>
      </c>
      <c r="AP14" s="68">
        <v>85</v>
      </c>
      <c r="AQ14" s="68">
        <v>67</v>
      </c>
      <c r="AR14" s="68">
        <v>77</v>
      </c>
      <c r="AS14" s="68">
        <v>46</v>
      </c>
      <c r="AT14" s="68">
        <v>59.5</v>
      </c>
      <c r="AU14" s="68">
        <v>78.5</v>
      </c>
      <c r="AV14" s="68">
        <v>69.699999999999989</v>
      </c>
      <c r="AW14" s="68">
        <v>58.599999999999994</v>
      </c>
      <c r="AX14" s="68">
        <v>97</v>
      </c>
      <c r="AY14" s="68">
        <v>73</v>
      </c>
      <c r="AZ14" s="68">
        <v>82</v>
      </c>
      <c r="BA14" s="76">
        <v>85</v>
      </c>
      <c r="BB14" s="76">
        <v>90</v>
      </c>
      <c r="BC14" s="76">
        <v>90</v>
      </c>
      <c r="BD14" s="240">
        <v>97.5</v>
      </c>
      <c r="BE14" s="240">
        <v>92.5</v>
      </c>
      <c r="BF14" s="240">
        <v>78.5</v>
      </c>
      <c r="BG14" s="240">
        <v>92.5</v>
      </c>
      <c r="BH14" s="240">
        <v>87.5</v>
      </c>
      <c r="BI14" s="240">
        <v>92.5</v>
      </c>
      <c r="BJ14" s="70">
        <f t="shared" si="25"/>
        <v>1216.3000000000002</v>
      </c>
      <c r="BK14" s="71">
        <f t="shared" si="26"/>
        <v>76.018750000000011</v>
      </c>
      <c r="BL14" s="72" t="e">
        <f t="shared" si="27"/>
        <v>#N/A</v>
      </c>
      <c r="BM14" s="73"/>
      <c r="BN14" s="73"/>
      <c r="BO14" s="73"/>
      <c r="BP14" s="74"/>
      <c r="BQ14" s="74"/>
      <c r="BR14" s="74"/>
      <c r="BS14" s="75"/>
    </row>
    <row r="15" spans="1:71" ht="23.1" customHeight="1">
      <c r="A15" s="66">
        <v>12</v>
      </c>
      <c r="B15" s="91">
        <v>19200139</v>
      </c>
      <c r="C15" s="92" t="s">
        <v>253</v>
      </c>
      <c r="D15" s="68">
        <f t="shared" si="0"/>
        <v>64</v>
      </c>
      <c r="E15" s="68">
        <f t="shared" si="1"/>
        <v>55</v>
      </c>
      <c r="F15" s="68">
        <f t="shared" si="2"/>
        <v>88</v>
      </c>
      <c r="G15" s="68">
        <f t="shared" si="3"/>
        <v>55</v>
      </c>
      <c r="H15" s="68">
        <f t="shared" si="4"/>
        <v>84</v>
      </c>
      <c r="I15" s="68">
        <f t="shared" si="5"/>
        <v>55</v>
      </c>
      <c r="J15" s="68">
        <f t="shared" si="6"/>
        <v>73</v>
      </c>
      <c r="K15" s="68">
        <f t="shared" si="7"/>
        <v>89</v>
      </c>
      <c r="L15" s="68">
        <f t="shared" si="8"/>
        <v>72</v>
      </c>
      <c r="M15" s="68">
        <f t="shared" si="9"/>
        <v>74</v>
      </c>
      <c r="N15" s="68">
        <f t="shared" si="10"/>
        <v>90</v>
      </c>
      <c r="O15" s="68">
        <f t="shared" si="11"/>
        <v>64</v>
      </c>
      <c r="P15" s="68">
        <f t="shared" si="12"/>
        <v>91</v>
      </c>
      <c r="Q15" s="69">
        <f t="shared" si="13"/>
        <v>70</v>
      </c>
      <c r="R15" s="69">
        <f t="shared" si="14"/>
        <v>90</v>
      </c>
      <c r="S15" s="69">
        <f t="shared" si="15"/>
        <v>90</v>
      </c>
      <c r="T15" s="234">
        <f t="shared" si="16"/>
        <v>95</v>
      </c>
      <c r="U15" s="234">
        <f t="shared" si="17"/>
        <v>63</v>
      </c>
      <c r="V15" s="234">
        <f t="shared" si="18"/>
        <v>89</v>
      </c>
      <c r="W15" s="234">
        <f t="shared" si="19"/>
        <v>90</v>
      </c>
      <c r="X15" s="234">
        <f t="shared" si="20"/>
        <v>90</v>
      </c>
      <c r="Y15" s="234">
        <f t="shared" si="21"/>
        <v>75</v>
      </c>
      <c r="Z15" s="70">
        <f t="shared" si="22"/>
        <v>1204</v>
      </c>
      <c r="AA15" s="71">
        <f t="shared" si="23"/>
        <v>75.25</v>
      </c>
      <c r="AB15" s="72">
        <f t="shared" si="24"/>
        <v>12</v>
      </c>
      <c r="AC15" s="73" t="s">
        <v>805</v>
      </c>
      <c r="AD15" s="73" t="s">
        <v>807</v>
      </c>
      <c r="AE15" s="73" t="s">
        <v>805</v>
      </c>
      <c r="AF15" s="74">
        <v>0</v>
      </c>
      <c r="AG15" s="74">
        <v>0</v>
      </c>
      <c r="AH15" s="74">
        <v>0</v>
      </c>
      <c r="AI15" s="75"/>
      <c r="AK15" s="66">
        <v>19</v>
      </c>
      <c r="AL15" s="66">
        <v>19200139</v>
      </c>
      <c r="AM15" s="77" t="s">
        <v>253</v>
      </c>
      <c r="AN15" s="68">
        <v>64</v>
      </c>
      <c r="AO15" s="68">
        <v>55</v>
      </c>
      <c r="AP15" s="68">
        <v>87.5</v>
      </c>
      <c r="AQ15" s="68">
        <v>55</v>
      </c>
      <c r="AR15" s="68">
        <v>84</v>
      </c>
      <c r="AS15" s="68">
        <v>55</v>
      </c>
      <c r="AT15" s="68">
        <v>73</v>
      </c>
      <c r="AU15" s="68">
        <v>88.5</v>
      </c>
      <c r="AV15" s="68">
        <v>71.5</v>
      </c>
      <c r="AW15" s="68">
        <v>73.8</v>
      </c>
      <c r="AX15" s="68">
        <v>90</v>
      </c>
      <c r="AY15" s="68">
        <v>64</v>
      </c>
      <c r="AZ15" s="68">
        <v>91</v>
      </c>
      <c r="BA15" s="76">
        <v>70</v>
      </c>
      <c r="BB15" s="76">
        <v>90</v>
      </c>
      <c r="BC15" s="76">
        <v>90</v>
      </c>
      <c r="BD15" s="240">
        <v>95</v>
      </c>
      <c r="BE15" s="240">
        <v>62.5</v>
      </c>
      <c r="BF15" s="240">
        <v>88.5</v>
      </c>
      <c r="BG15" s="240">
        <v>90</v>
      </c>
      <c r="BH15" s="240">
        <v>90</v>
      </c>
      <c r="BI15" s="240">
        <v>75</v>
      </c>
      <c r="BJ15" s="70">
        <f t="shared" si="25"/>
        <v>1202.3</v>
      </c>
      <c r="BK15" s="71">
        <f t="shared" si="26"/>
        <v>75.143749999999997</v>
      </c>
      <c r="BL15" s="72" t="e">
        <f t="shared" si="27"/>
        <v>#N/A</v>
      </c>
      <c r="BM15" s="73"/>
      <c r="BN15" s="73"/>
      <c r="BO15" s="73"/>
      <c r="BP15" s="74"/>
      <c r="BQ15" s="74"/>
      <c r="BR15" s="74"/>
      <c r="BS15" s="75"/>
    </row>
    <row r="16" spans="1:71" ht="23.1" customHeight="1">
      <c r="A16" s="91">
        <v>13</v>
      </c>
      <c r="B16" s="66">
        <v>19200120</v>
      </c>
      <c r="C16" s="79" t="s">
        <v>245</v>
      </c>
      <c r="D16" s="68">
        <f t="shared" si="0"/>
        <v>82</v>
      </c>
      <c r="E16" s="68">
        <f t="shared" si="1"/>
        <v>55</v>
      </c>
      <c r="F16" s="68">
        <f t="shared" si="2"/>
        <v>82</v>
      </c>
      <c r="G16" s="68">
        <f t="shared" si="3"/>
        <v>55</v>
      </c>
      <c r="H16" s="68">
        <f t="shared" si="4"/>
        <v>74</v>
      </c>
      <c r="I16" s="68">
        <f t="shared" si="5"/>
        <v>46</v>
      </c>
      <c r="J16" s="68">
        <f t="shared" si="6"/>
        <v>60</v>
      </c>
      <c r="K16" s="68">
        <f t="shared" si="7"/>
        <v>90</v>
      </c>
      <c r="L16" s="68">
        <f t="shared" si="8"/>
        <v>91</v>
      </c>
      <c r="M16" s="68">
        <f t="shared" si="9"/>
        <v>69</v>
      </c>
      <c r="N16" s="68">
        <f t="shared" si="10"/>
        <v>99</v>
      </c>
      <c r="O16" s="68">
        <f t="shared" si="11"/>
        <v>73</v>
      </c>
      <c r="P16" s="68">
        <f t="shared" si="12"/>
        <v>64</v>
      </c>
      <c r="Q16" s="69">
        <f t="shared" si="13"/>
        <v>60</v>
      </c>
      <c r="R16" s="69">
        <f t="shared" si="14"/>
        <v>90</v>
      </c>
      <c r="S16" s="69">
        <f t="shared" si="15"/>
        <v>90</v>
      </c>
      <c r="T16" s="234">
        <f t="shared" si="16"/>
        <v>95</v>
      </c>
      <c r="U16" s="234">
        <f t="shared" si="17"/>
        <v>95</v>
      </c>
      <c r="V16" s="234">
        <f t="shared" si="18"/>
        <v>90</v>
      </c>
      <c r="W16" s="234">
        <f t="shared" si="19"/>
        <v>98</v>
      </c>
      <c r="X16" s="234">
        <f t="shared" si="20"/>
        <v>95</v>
      </c>
      <c r="Y16" s="234">
        <f t="shared" si="21"/>
        <v>90</v>
      </c>
      <c r="Z16" s="70">
        <f t="shared" si="22"/>
        <v>1180</v>
      </c>
      <c r="AA16" s="71">
        <f t="shared" si="23"/>
        <v>73.75</v>
      </c>
      <c r="AB16" s="72">
        <f t="shared" si="24"/>
        <v>13</v>
      </c>
      <c r="AC16" s="73" t="s">
        <v>805</v>
      </c>
      <c r="AD16" s="73" t="s">
        <v>807</v>
      </c>
      <c r="AE16" s="73" t="s">
        <v>807</v>
      </c>
      <c r="AF16" s="74">
        <v>0</v>
      </c>
      <c r="AG16" s="74">
        <v>0</v>
      </c>
      <c r="AH16" s="74">
        <v>0</v>
      </c>
      <c r="AI16" s="75"/>
      <c r="AK16" s="66">
        <v>11</v>
      </c>
      <c r="AL16" s="66">
        <v>19200120</v>
      </c>
      <c r="AM16" s="78" t="s">
        <v>245</v>
      </c>
      <c r="AN16" s="68">
        <v>82</v>
      </c>
      <c r="AO16" s="68">
        <v>55</v>
      </c>
      <c r="AP16" s="68">
        <v>81.5</v>
      </c>
      <c r="AQ16" s="68">
        <v>55</v>
      </c>
      <c r="AR16" s="68">
        <v>73.5</v>
      </c>
      <c r="AS16" s="68">
        <v>46</v>
      </c>
      <c r="AT16" s="68">
        <v>59.5</v>
      </c>
      <c r="AU16" s="68">
        <v>90</v>
      </c>
      <c r="AV16" s="68">
        <v>91</v>
      </c>
      <c r="AW16" s="68">
        <v>69</v>
      </c>
      <c r="AX16" s="68">
        <v>100</v>
      </c>
      <c r="AY16" s="68">
        <v>73</v>
      </c>
      <c r="AZ16" s="68">
        <v>64</v>
      </c>
      <c r="BA16" s="76">
        <v>60</v>
      </c>
      <c r="BB16" s="76">
        <v>90</v>
      </c>
      <c r="BC16" s="76">
        <v>90</v>
      </c>
      <c r="BD16" s="240">
        <v>95</v>
      </c>
      <c r="BE16" s="240">
        <v>95</v>
      </c>
      <c r="BF16" s="240">
        <v>90</v>
      </c>
      <c r="BG16" s="240">
        <v>97.5</v>
      </c>
      <c r="BH16" s="240">
        <v>95</v>
      </c>
      <c r="BI16" s="240">
        <v>90</v>
      </c>
      <c r="BJ16" s="70">
        <f t="shared" si="25"/>
        <v>1179.5</v>
      </c>
      <c r="BK16" s="71">
        <f t="shared" si="26"/>
        <v>73.71875</v>
      </c>
      <c r="BL16" s="72" t="e">
        <f t="shared" si="27"/>
        <v>#N/A</v>
      </c>
      <c r="BM16" s="73"/>
      <c r="BN16" s="73"/>
      <c r="BO16" s="73"/>
      <c r="BP16" s="74"/>
      <c r="BQ16" s="74"/>
      <c r="BR16" s="74"/>
      <c r="BS16" s="75"/>
    </row>
    <row r="17" spans="1:71" ht="23.1" customHeight="1">
      <c r="A17" s="91">
        <v>14</v>
      </c>
      <c r="B17" s="66">
        <v>19200103</v>
      </c>
      <c r="C17" s="77" t="s">
        <v>246</v>
      </c>
      <c r="D17" s="68">
        <f t="shared" si="0"/>
        <v>55</v>
      </c>
      <c r="E17" s="68">
        <f t="shared" si="1"/>
        <v>76</v>
      </c>
      <c r="F17" s="68">
        <f t="shared" si="2"/>
        <v>89</v>
      </c>
      <c r="G17" s="68">
        <f t="shared" si="3"/>
        <v>76</v>
      </c>
      <c r="H17" s="68">
        <f t="shared" si="4"/>
        <v>69</v>
      </c>
      <c r="I17" s="68">
        <f t="shared" si="5"/>
        <v>41</v>
      </c>
      <c r="J17" s="68">
        <f t="shared" si="6"/>
        <v>64</v>
      </c>
      <c r="K17" s="68">
        <f t="shared" si="7"/>
        <v>90</v>
      </c>
      <c r="L17" s="68">
        <f t="shared" si="8"/>
        <v>49</v>
      </c>
      <c r="M17" s="68">
        <f t="shared" si="9"/>
        <v>71</v>
      </c>
      <c r="N17" s="68">
        <f t="shared" si="10"/>
        <v>94</v>
      </c>
      <c r="O17" s="68">
        <f t="shared" si="11"/>
        <v>73</v>
      </c>
      <c r="P17" s="68">
        <f t="shared" si="12"/>
        <v>78</v>
      </c>
      <c r="Q17" s="69">
        <f t="shared" si="13"/>
        <v>65</v>
      </c>
      <c r="R17" s="69">
        <f t="shared" si="14"/>
        <v>90</v>
      </c>
      <c r="S17" s="69">
        <f t="shared" si="15"/>
        <v>90</v>
      </c>
      <c r="T17" s="234">
        <f t="shared" si="16"/>
        <v>93</v>
      </c>
      <c r="U17" s="234">
        <f t="shared" si="17"/>
        <v>98</v>
      </c>
      <c r="V17" s="234">
        <f t="shared" si="18"/>
        <v>90</v>
      </c>
      <c r="W17" s="234">
        <f t="shared" si="19"/>
        <v>90</v>
      </c>
      <c r="X17" s="234">
        <f t="shared" si="20"/>
        <v>80</v>
      </c>
      <c r="Y17" s="234">
        <f t="shared" si="21"/>
        <v>88</v>
      </c>
      <c r="Z17" s="70">
        <f t="shared" si="22"/>
        <v>1170</v>
      </c>
      <c r="AA17" s="71">
        <f t="shared" si="23"/>
        <v>73.125</v>
      </c>
      <c r="AB17" s="72">
        <f t="shared" si="24"/>
        <v>14</v>
      </c>
      <c r="AC17" s="73" t="s">
        <v>807</v>
      </c>
      <c r="AD17" s="73" t="s">
        <v>807</v>
      </c>
      <c r="AE17" s="73" t="s">
        <v>807</v>
      </c>
      <c r="AF17" s="74">
        <v>8</v>
      </c>
      <c r="AG17" s="74">
        <v>76</v>
      </c>
      <c r="AH17" s="74">
        <v>0</v>
      </c>
      <c r="AI17" s="75"/>
      <c r="AK17" s="66">
        <v>12</v>
      </c>
      <c r="AL17" s="66">
        <v>19200103</v>
      </c>
      <c r="AM17" s="77" t="s">
        <v>246</v>
      </c>
      <c r="AN17" s="68">
        <v>55</v>
      </c>
      <c r="AO17" s="68">
        <v>76</v>
      </c>
      <c r="AP17" s="68">
        <v>89</v>
      </c>
      <c r="AQ17" s="68">
        <v>76</v>
      </c>
      <c r="AR17" s="68">
        <v>69</v>
      </c>
      <c r="AS17" s="68">
        <v>40.599999999999994</v>
      </c>
      <c r="AT17" s="68">
        <v>64</v>
      </c>
      <c r="AU17" s="68">
        <v>90</v>
      </c>
      <c r="AV17" s="68">
        <v>49</v>
      </c>
      <c r="AW17" s="68">
        <v>70.5</v>
      </c>
      <c r="AX17" s="68">
        <v>93.9</v>
      </c>
      <c r="AY17" s="68">
        <v>73</v>
      </c>
      <c r="AZ17" s="68">
        <v>77.5</v>
      </c>
      <c r="BA17" s="76">
        <v>65</v>
      </c>
      <c r="BB17" s="76">
        <v>90</v>
      </c>
      <c r="BC17" s="76">
        <v>90</v>
      </c>
      <c r="BD17" s="240">
        <v>92.5</v>
      </c>
      <c r="BE17" s="240">
        <v>97.5</v>
      </c>
      <c r="BF17" s="240">
        <v>90</v>
      </c>
      <c r="BG17" s="240">
        <v>90</v>
      </c>
      <c r="BH17" s="240">
        <v>80</v>
      </c>
      <c r="BI17" s="240">
        <v>87.5</v>
      </c>
      <c r="BJ17" s="70">
        <f t="shared" si="25"/>
        <v>1168.5</v>
      </c>
      <c r="BK17" s="71">
        <f t="shared" si="26"/>
        <v>73.03125</v>
      </c>
      <c r="BL17" s="72" t="e">
        <f t="shared" si="27"/>
        <v>#N/A</v>
      </c>
      <c r="BM17" s="73"/>
      <c r="BN17" s="73"/>
      <c r="BO17" s="73"/>
      <c r="BP17" s="74"/>
      <c r="BQ17" s="74"/>
      <c r="BR17" s="74"/>
      <c r="BS17" s="75"/>
    </row>
    <row r="18" spans="1:71" ht="23.1" customHeight="1">
      <c r="A18" s="91">
        <v>15</v>
      </c>
      <c r="B18" s="91">
        <v>20210013</v>
      </c>
      <c r="C18" s="92" t="s">
        <v>256</v>
      </c>
      <c r="D18" s="68">
        <f t="shared" si="0"/>
        <v>82</v>
      </c>
      <c r="E18" s="68">
        <f t="shared" si="1"/>
        <v>52</v>
      </c>
      <c r="F18" s="68">
        <f t="shared" si="2"/>
        <v>83</v>
      </c>
      <c r="G18" s="68">
        <f t="shared" si="3"/>
        <v>52</v>
      </c>
      <c r="H18" s="68">
        <f t="shared" si="4"/>
        <v>87</v>
      </c>
      <c r="I18" s="68">
        <f t="shared" si="5"/>
        <v>42</v>
      </c>
      <c r="J18" s="68">
        <f t="shared" si="6"/>
        <v>87</v>
      </c>
      <c r="K18" s="68">
        <f t="shared" si="7"/>
        <v>73</v>
      </c>
      <c r="L18" s="68">
        <f t="shared" si="8"/>
        <v>71</v>
      </c>
      <c r="M18" s="68">
        <f t="shared" si="9"/>
        <v>67</v>
      </c>
      <c r="N18" s="68">
        <f t="shared" si="10"/>
        <v>97</v>
      </c>
      <c r="O18" s="68">
        <f t="shared" si="11"/>
        <v>69</v>
      </c>
      <c r="P18" s="68">
        <f t="shared" si="12"/>
        <v>55</v>
      </c>
      <c r="Q18" s="69">
        <f t="shared" si="13"/>
        <v>70</v>
      </c>
      <c r="R18" s="69">
        <f t="shared" si="14"/>
        <v>90</v>
      </c>
      <c r="S18" s="69">
        <f t="shared" si="15"/>
        <v>90</v>
      </c>
      <c r="T18" s="234">
        <f t="shared" si="16"/>
        <v>95</v>
      </c>
      <c r="U18" s="234">
        <f t="shared" si="17"/>
        <v>98</v>
      </c>
      <c r="V18" s="234">
        <f t="shared" si="18"/>
        <v>73</v>
      </c>
      <c r="W18" s="234">
        <f t="shared" si="19"/>
        <v>90</v>
      </c>
      <c r="X18" s="234">
        <f t="shared" si="20"/>
        <v>95</v>
      </c>
      <c r="Y18" s="234">
        <f t="shared" si="21"/>
        <v>88</v>
      </c>
      <c r="Z18" s="70">
        <f t="shared" si="22"/>
        <v>1167</v>
      </c>
      <c r="AA18" s="71">
        <f t="shared" si="23"/>
        <v>72.9375</v>
      </c>
      <c r="AB18" s="72">
        <f t="shared" si="24"/>
        <v>15</v>
      </c>
      <c r="AC18" s="73" t="s">
        <v>807</v>
      </c>
      <c r="AD18" s="73" t="s">
        <v>807</v>
      </c>
      <c r="AE18" s="73" t="s">
        <v>807</v>
      </c>
      <c r="AF18" s="74">
        <v>0</v>
      </c>
      <c r="AG18" s="74">
        <v>0</v>
      </c>
      <c r="AH18" s="74">
        <v>0</v>
      </c>
      <c r="AI18" s="75"/>
      <c r="AJ18" s="60" t="s">
        <v>194</v>
      </c>
      <c r="AK18" s="66">
        <v>22</v>
      </c>
      <c r="AL18" s="66">
        <v>20210013</v>
      </c>
      <c r="AM18" s="77" t="s">
        <v>256</v>
      </c>
      <c r="AN18" s="68">
        <v>82</v>
      </c>
      <c r="AO18" s="68">
        <v>52</v>
      </c>
      <c r="AP18" s="68">
        <v>82.5</v>
      </c>
      <c r="AQ18" s="68">
        <v>52</v>
      </c>
      <c r="AR18" s="68">
        <v>87</v>
      </c>
      <c r="AS18" s="68">
        <v>41.5</v>
      </c>
      <c r="AT18" s="68">
        <v>86.5</v>
      </c>
      <c r="AU18" s="68">
        <v>72.5</v>
      </c>
      <c r="AV18" s="68">
        <v>70.900000000000006</v>
      </c>
      <c r="AW18" s="68">
        <v>66.5</v>
      </c>
      <c r="AX18" s="68">
        <v>97</v>
      </c>
      <c r="AY18" s="68">
        <v>68.5</v>
      </c>
      <c r="AZ18" s="68">
        <v>55</v>
      </c>
      <c r="BA18" s="76">
        <v>70</v>
      </c>
      <c r="BB18" s="76">
        <v>90</v>
      </c>
      <c r="BC18" s="76">
        <v>90</v>
      </c>
      <c r="BD18" s="240">
        <v>95</v>
      </c>
      <c r="BE18" s="240">
        <v>97.5</v>
      </c>
      <c r="BF18" s="240">
        <v>72.5</v>
      </c>
      <c r="BG18" s="240">
        <v>90</v>
      </c>
      <c r="BH18" s="240">
        <v>95</v>
      </c>
      <c r="BI18" s="240">
        <v>87.5</v>
      </c>
      <c r="BJ18" s="70">
        <f t="shared" si="25"/>
        <v>1163.9000000000001</v>
      </c>
      <c r="BK18" s="71">
        <f t="shared" si="26"/>
        <v>72.743750000000006</v>
      </c>
      <c r="BL18" s="72" t="e">
        <f t="shared" si="27"/>
        <v>#N/A</v>
      </c>
      <c r="BM18" s="73"/>
      <c r="BN18" s="73"/>
      <c r="BO18" s="73"/>
      <c r="BP18" s="74"/>
      <c r="BQ18" s="74"/>
      <c r="BR18" s="74"/>
      <c r="BS18" s="75"/>
    </row>
    <row r="19" spans="1:71" ht="23.1" customHeight="1">
      <c r="A19" s="91">
        <v>16</v>
      </c>
      <c r="B19" s="66">
        <v>19200125</v>
      </c>
      <c r="C19" s="79" t="s">
        <v>243</v>
      </c>
      <c r="D19" s="68">
        <f t="shared" si="0"/>
        <v>91</v>
      </c>
      <c r="E19" s="68">
        <f t="shared" si="1"/>
        <v>67</v>
      </c>
      <c r="F19" s="68">
        <f t="shared" si="2"/>
        <v>84</v>
      </c>
      <c r="G19" s="68">
        <f t="shared" si="3"/>
        <v>67</v>
      </c>
      <c r="H19" s="68">
        <f t="shared" si="4"/>
        <v>69</v>
      </c>
      <c r="I19" s="68">
        <f t="shared" si="5"/>
        <v>42</v>
      </c>
      <c r="J19" s="68">
        <f t="shared" si="6"/>
        <v>42</v>
      </c>
      <c r="K19" s="68">
        <f t="shared" si="7"/>
        <v>66</v>
      </c>
      <c r="L19" s="68">
        <f t="shared" si="8"/>
        <v>69</v>
      </c>
      <c r="M19" s="68">
        <f t="shared" si="9"/>
        <v>69</v>
      </c>
      <c r="N19" s="68">
        <f t="shared" si="10"/>
        <v>97</v>
      </c>
      <c r="O19" s="68">
        <f t="shared" si="11"/>
        <v>64</v>
      </c>
      <c r="P19" s="68">
        <f t="shared" si="12"/>
        <v>82</v>
      </c>
      <c r="Q19" s="69">
        <f t="shared" si="13"/>
        <v>60</v>
      </c>
      <c r="R19" s="69">
        <f t="shared" si="14"/>
        <v>90</v>
      </c>
      <c r="S19" s="69">
        <f t="shared" si="15"/>
        <v>90</v>
      </c>
      <c r="T19" s="234">
        <f t="shared" si="16"/>
        <v>95</v>
      </c>
      <c r="U19" s="234">
        <f t="shared" si="17"/>
        <v>98</v>
      </c>
      <c r="V19" s="234">
        <f t="shared" si="18"/>
        <v>66</v>
      </c>
      <c r="W19" s="234">
        <f t="shared" si="19"/>
        <v>99</v>
      </c>
      <c r="X19" s="234">
        <f t="shared" si="20"/>
        <v>95</v>
      </c>
      <c r="Y19" s="234">
        <f t="shared" si="21"/>
        <v>88</v>
      </c>
      <c r="Z19" s="70">
        <f t="shared" si="22"/>
        <v>1149</v>
      </c>
      <c r="AA19" s="71">
        <f t="shared" si="23"/>
        <v>71.8125</v>
      </c>
      <c r="AB19" s="72">
        <f t="shared" si="24"/>
        <v>16</v>
      </c>
      <c r="AC19" s="73" t="s">
        <v>807</v>
      </c>
      <c r="AD19" s="73" t="s">
        <v>807</v>
      </c>
      <c r="AE19" s="73" t="s">
        <v>807</v>
      </c>
      <c r="AF19" s="74">
        <v>10</v>
      </c>
      <c r="AG19" s="74">
        <v>40</v>
      </c>
      <c r="AH19" s="74">
        <v>0</v>
      </c>
      <c r="AI19" s="75"/>
      <c r="AK19" s="66">
        <v>9</v>
      </c>
      <c r="AL19" s="66">
        <v>19200125</v>
      </c>
      <c r="AM19" s="79" t="s">
        <v>243</v>
      </c>
      <c r="AN19" s="68">
        <v>91</v>
      </c>
      <c r="AO19" s="68">
        <v>67</v>
      </c>
      <c r="AP19" s="68">
        <v>83.5</v>
      </c>
      <c r="AQ19" s="68">
        <v>67</v>
      </c>
      <c r="AR19" s="68">
        <v>69</v>
      </c>
      <c r="AS19" s="68">
        <v>41.5</v>
      </c>
      <c r="AT19" s="68">
        <v>41.5</v>
      </c>
      <c r="AU19" s="68">
        <v>66</v>
      </c>
      <c r="AV19" s="68">
        <v>68.8</v>
      </c>
      <c r="AW19" s="68">
        <v>69</v>
      </c>
      <c r="AX19" s="68">
        <v>97</v>
      </c>
      <c r="AY19" s="68">
        <v>64</v>
      </c>
      <c r="AZ19" s="68">
        <v>82</v>
      </c>
      <c r="BA19" s="76">
        <v>60</v>
      </c>
      <c r="BB19" s="76">
        <v>90</v>
      </c>
      <c r="BC19" s="76">
        <v>90</v>
      </c>
      <c r="BD19" s="240">
        <v>95</v>
      </c>
      <c r="BE19" s="240">
        <v>97.5</v>
      </c>
      <c r="BF19" s="240">
        <v>66</v>
      </c>
      <c r="BG19" s="240">
        <v>100</v>
      </c>
      <c r="BH19" s="240">
        <v>95</v>
      </c>
      <c r="BI19" s="240">
        <v>87.5</v>
      </c>
      <c r="BJ19" s="70">
        <f t="shared" si="25"/>
        <v>1147.3</v>
      </c>
      <c r="BK19" s="71">
        <f t="shared" si="26"/>
        <v>71.706249999999997</v>
      </c>
      <c r="BL19" s="72" t="e">
        <f t="shared" si="27"/>
        <v>#N/A</v>
      </c>
      <c r="BM19" s="73"/>
      <c r="BN19" s="73"/>
      <c r="BO19" s="73"/>
      <c r="BP19" s="74"/>
      <c r="BQ19" s="74"/>
      <c r="BR19" s="74"/>
      <c r="BS19" s="75"/>
    </row>
    <row r="20" spans="1:71" ht="23.1" customHeight="1">
      <c r="A20" s="91">
        <v>17</v>
      </c>
      <c r="B20" s="91">
        <v>19200086</v>
      </c>
      <c r="C20" s="92" t="s">
        <v>247</v>
      </c>
      <c r="D20" s="68">
        <f t="shared" si="0"/>
        <v>81</v>
      </c>
      <c r="E20" s="68">
        <f t="shared" si="1"/>
        <v>66</v>
      </c>
      <c r="F20" s="68">
        <f t="shared" si="2"/>
        <v>76</v>
      </c>
      <c r="G20" s="68">
        <f t="shared" si="3"/>
        <v>66</v>
      </c>
      <c r="H20" s="68">
        <f t="shared" si="4"/>
        <v>71</v>
      </c>
      <c r="I20" s="68">
        <f t="shared" si="5"/>
        <v>45</v>
      </c>
      <c r="J20" s="68">
        <f t="shared" si="6"/>
        <v>45</v>
      </c>
      <c r="K20" s="68">
        <f t="shared" si="7"/>
        <v>64</v>
      </c>
      <c r="L20" s="68">
        <f t="shared" si="8"/>
        <v>87</v>
      </c>
      <c r="M20" s="68">
        <f t="shared" si="9"/>
        <v>55</v>
      </c>
      <c r="N20" s="68">
        <f t="shared" si="10"/>
        <v>94</v>
      </c>
      <c r="O20" s="68">
        <f t="shared" si="11"/>
        <v>72</v>
      </c>
      <c r="P20" s="68">
        <f t="shared" si="12"/>
        <v>77</v>
      </c>
      <c r="Q20" s="69">
        <f t="shared" si="13"/>
        <v>70</v>
      </c>
      <c r="R20" s="69">
        <f t="shared" si="14"/>
        <v>90</v>
      </c>
      <c r="S20" s="69">
        <f t="shared" si="15"/>
        <v>90</v>
      </c>
      <c r="T20" s="234">
        <f t="shared" si="16"/>
        <v>95</v>
      </c>
      <c r="U20" s="234">
        <f t="shared" si="17"/>
        <v>98</v>
      </c>
      <c r="V20" s="234">
        <f t="shared" si="18"/>
        <v>64</v>
      </c>
      <c r="W20" s="234">
        <f t="shared" si="19"/>
        <v>99</v>
      </c>
      <c r="X20" s="234">
        <f t="shared" si="20"/>
        <v>90</v>
      </c>
      <c r="Y20" s="234">
        <f t="shared" si="21"/>
        <v>83</v>
      </c>
      <c r="Z20" s="70">
        <f t="shared" si="22"/>
        <v>1149</v>
      </c>
      <c r="AA20" s="71">
        <f t="shared" si="23"/>
        <v>71.8125</v>
      </c>
      <c r="AB20" s="72">
        <f t="shared" si="24"/>
        <v>16</v>
      </c>
      <c r="AC20" s="73" t="s">
        <v>807</v>
      </c>
      <c r="AD20" s="73" t="s">
        <v>807</v>
      </c>
      <c r="AE20" s="73" t="s">
        <v>807</v>
      </c>
      <c r="AF20" s="74">
        <v>4</v>
      </c>
      <c r="AG20" s="74">
        <v>38</v>
      </c>
      <c r="AH20" s="74">
        <v>1</v>
      </c>
      <c r="AI20" s="75"/>
      <c r="AK20" s="66">
        <v>13</v>
      </c>
      <c r="AL20" s="66">
        <v>19200086</v>
      </c>
      <c r="AM20" s="77" t="s">
        <v>247</v>
      </c>
      <c r="AN20" s="68">
        <v>81</v>
      </c>
      <c r="AO20" s="68">
        <v>66</v>
      </c>
      <c r="AP20" s="68">
        <v>76</v>
      </c>
      <c r="AQ20" s="68">
        <v>66</v>
      </c>
      <c r="AR20" s="68">
        <v>71</v>
      </c>
      <c r="AS20" s="68">
        <v>45</v>
      </c>
      <c r="AT20" s="68">
        <v>45</v>
      </c>
      <c r="AU20" s="68">
        <v>64</v>
      </c>
      <c r="AV20" s="68">
        <v>87.3</v>
      </c>
      <c r="AW20" s="68">
        <v>55.2</v>
      </c>
      <c r="AX20" s="68">
        <v>94</v>
      </c>
      <c r="AY20" s="68">
        <v>72</v>
      </c>
      <c r="AZ20" s="68">
        <v>76.5</v>
      </c>
      <c r="BA20" s="76">
        <v>70</v>
      </c>
      <c r="BB20" s="76">
        <v>90</v>
      </c>
      <c r="BC20" s="76">
        <v>90</v>
      </c>
      <c r="BD20" s="240">
        <v>95</v>
      </c>
      <c r="BE20" s="240">
        <v>97.5</v>
      </c>
      <c r="BF20" s="240">
        <v>64</v>
      </c>
      <c r="BG20" s="240">
        <v>100</v>
      </c>
      <c r="BH20" s="240">
        <v>90</v>
      </c>
      <c r="BI20" s="240">
        <v>82.5</v>
      </c>
      <c r="BJ20" s="70">
        <f t="shared" si="25"/>
        <v>1149</v>
      </c>
      <c r="BK20" s="71">
        <f t="shared" si="26"/>
        <v>71.8125</v>
      </c>
      <c r="BL20" s="72">
        <f t="shared" si="27"/>
        <v>16</v>
      </c>
      <c r="BM20" s="73"/>
      <c r="BN20" s="73"/>
      <c r="BO20" s="73"/>
      <c r="BP20" s="74"/>
      <c r="BQ20" s="74"/>
      <c r="BR20" s="74"/>
      <c r="BS20" s="75"/>
    </row>
    <row r="21" spans="1:71" ht="23.1" customHeight="1">
      <c r="A21" s="91">
        <v>18</v>
      </c>
      <c r="B21" s="91">
        <v>19200140</v>
      </c>
      <c r="C21" s="92" t="s">
        <v>254</v>
      </c>
      <c r="D21" s="68">
        <f t="shared" si="0"/>
        <v>91</v>
      </c>
      <c r="E21" s="68">
        <f t="shared" si="1"/>
        <v>55</v>
      </c>
      <c r="F21" s="68">
        <f t="shared" si="2"/>
        <v>76</v>
      </c>
      <c r="G21" s="68">
        <f t="shared" si="3"/>
        <v>55</v>
      </c>
      <c r="H21" s="68">
        <f t="shared" si="4"/>
        <v>71</v>
      </c>
      <c r="I21" s="68">
        <f t="shared" si="5"/>
        <v>40</v>
      </c>
      <c r="J21" s="68">
        <f t="shared" si="6"/>
        <v>64</v>
      </c>
      <c r="K21" s="68">
        <f t="shared" si="7"/>
        <v>73</v>
      </c>
      <c r="L21" s="68">
        <f t="shared" si="8"/>
        <v>78</v>
      </c>
      <c r="M21" s="68">
        <f t="shared" si="9"/>
        <v>61</v>
      </c>
      <c r="N21" s="68">
        <f t="shared" si="10"/>
        <v>88</v>
      </c>
      <c r="O21" s="68">
        <f t="shared" si="11"/>
        <v>64</v>
      </c>
      <c r="P21" s="68">
        <f t="shared" si="12"/>
        <v>78</v>
      </c>
      <c r="Q21" s="69">
        <f t="shared" si="13"/>
        <v>70</v>
      </c>
      <c r="R21" s="69">
        <f t="shared" si="14"/>
        <v>90</v>
      </c>
      <c r="S21" s="69">
        <f t="shared" si="15"/>
        <v>90</v>
      </c>
      <c r="T21" s="234">
        <f t="shared" si="16"/>
        <v>95</v>
      </c>
      <c r="U21" s="234">
        <f t="shared" si="17"/>
        <v>95</v>
      </c>
      <c r="V21" s="234">
        <f t="shared" si="18"/>
        <v>73</v>
      </c>
      <c r="W21" s="234">
        <f t="shared" si="19"/>
        <v>95</v>
      </c>
      <c r="X21" s="234">
        <f t="shared" si="20"/>
        <v>88</v>
      </c>
      <c r="Y21" s="234">
        <f t="shared" si="21"/>
        <v>90</v>
      </c>
      <c r="Z21" s="70">
        <f t="shared" si="22"/>
        <v>1144</v>
      </c>
      <c r="AA21" s="71">
        <f t="shared" si="23"/>
        <v>71.5</v>
      </c>
      <c r="AB21" s="72">
        <f t="shared" si="24"/>
        <v>18</v>
      </c>
      <c r="AC21" s="73" t="s">
        <v>805</v>
      </c>
      <c r="AD21" s="73" t="s">
        <v>807</v>
      </c>
      <c r="AE21" s="73" t="s">
        <v>807</v>
      </c>
      <c r="AF21" s="74">
        <v>8</v>
      </c>
      <c r="AG21" s="74">
        <v>0</v>
      </c>
      <c r="AH21" s="74">
        <v>0</v>
      </c>
      <c r="AI21" s="75"/>
      <c r="AK21" s="66">
        <v>20</v>
      </c>
      <c r="AL21" s="66">
        <v>19200140</v>
      </c>
      <c r="AM21" s="80" t="s">
        <v>254</v>
      </c>
      <c r="AN21" s="68">
        <v>91</v>
      </c>
      <c r="AO21" s="68">
        <v>55</v>
      </c>
      <c r="AP21" s="68">
        <v>75.5</v>
      </c>
      <c r="AQ21" s="68">
        <v>55</v>
      </c>
      <c r="AR21" s="68">
        <v>71</v>
      </c>
      <c r="AS21" s="68">
        <v>37</v>
      </c>
      <c r="AT21" s="68">
        <v>64</v>
      </c>
      <c r="AU21" s="68">
        <v>73</v>
      </c>
      <c r="AV21" s="68">
        <v>78.400000000000006</v>
      </c>
      <c r="AW21" s="68">
        <v>61</v>
      </c>
      <c r="AX21" s="68">
        <v>88</v>
      </c>
      <c r="AY21" s="68">
        <v>64</v>
      </c>
      <c r="AZ21" s="68">
        <v>77.5</v>
      </c>
      <c r="BA21" s="76">
        <v>70</v>
      </c>
      <c r="BB21" s="76">
        <v>90</v>
      </c>
      <c r="BC21" s="76">
        <v>90</v>
      </c>
      <c r="BD21" s="240">
        <v>95</v>
      </c>
      <c r="BE21" s="240">
        <v>95</v>
      </c>
      <c r="BF21" s="240">
        <v>73</v>
      </c>
      <c r="BG21" s="240">
        <v>95</v>
      </c>
      <c r="BH21" s="240">
        <v>87.5</v>
      </c>
      <c r="BI21" s="240">
        <v>90</v>
      </c>
      <c r="BJ21" s="70">
        <f t="shared" si="25"/>
        <v>1140.4000000000001</v>
      </c>
      <c r="BK21" s="71">
        <f t="shared" si="26"/>
        <v>71.275000000000006</v>
      </c>
      <c r="BL21" s="72" t="e">
        <f t="shared" si="27"/>
        <v>#N/A</v>
      </c>
      <c r="BM21" s="73"/>
      <c r="BN21" s="73"/>
      <c r="BO21" s="73"/>
      <c r="BP21" s="74"/>
      <c r="BQ21" s="74"/>
      <c r="BR21" s="74"/>
      <c r="BS21" s="75"/>
    </row>
    <row r="22" spans="1:71" ht="23.1" customHeight="1">
      <c r="A22" s="91">
        <v>19</v>
      </c>
      <c r="B22" s="66">
        <v>19200077</v>
      </c>
      <c r="C22" s="77" t="s">
        <v>240</v>
      </c>
      <c r="D22" s="68">
        <f t="shared" si="0"/>
        <v>82</v>
      </c>
      <c r="E22" s="68">
        <f t="shared" si="1"/>
        <v>64</v>
      </c>
      <c r="F22" s="68">
        <f t="shared" si="2"/>
        <v>78</v>
      </c>
      <c r="G22" s="68">
        <f t="shared" si="3"/>
        <v>64</v>
      </c>
      <c r="H22" s="68">
        <f t="shared" si="4"/>
        <v>58</v>
      </c>
      <c r="I22" s="68">
        <f t="shared" si="5"/>
        <v>40</v>
      </c>
      <c r="J22" s="68">
        <f t="shared" si="6"/>
        <v>46</v>
      </c>
      <c r="K22" s="68">
        <f t="shared" si="7"/>
        <v>93</v>
      </c>
      <c r="L22" s="68">
        <f t="shared" si="8"/>
        <v>68</v>
      </c>
      <c r="M22" s="68">
        <f t="shared" si="9"/>
        <v>64</v>
      </c>
      <c r="N22" s="68">
        <f t="shared" si="10"/>
        <v>96</v>
      </c>
      <c r="O22" s="68">
        <f t="shared" si="11"/>
        <v>55</v>
      </c>
      <c r="P22" s="68">
        <f t="shared" si="12"/>
        <v>87</v>
      </c>
      <c r="Q22" s="69">
        <f t="shared" si="13"/>
        <v>80</v>
      </c>
      <c r="R22" s="69">
        <f t="shared" si="14"/>
        <v>80</v>
      </c>
      <c r="S22" s="69">
        <f t="shared" si="15"/>
        <v>80</v>
      </c>
      <c r="T22" s="234">
        <f t="shared" si="16"/>
        <v>95</v>
      </c>
      <c r="U22" s="234">
        <f t="shared" si="17"/>
        <v>95</v>
      </c>
      <c r="V22" s="234">
        <f t="shared" si="18"/>
        <v>93</v>
      </c>
      <c r="W22" s="234">
        <f t="shared" si="19"/>
        <v>90</v>
      </c>
      <c r="X22" s="234">
        <f t="shared" si="20"/>
        <v>95</v>
      </c>
      <c r="Y22" s="234">
        <f t="shared" si="21"/>
        <v>85</v>
      </c>
      <c r="Z22" s="70">
        <f t="shared" si="22"/>
        <v>1135</v>
      </c>
      <c r="AA22" s="71">
        <f t="shared" si="23"/>
        <v>70.9375</v>
      </c>
      <c r="AB22" s="72">
        <f t="shared" si="24"/>
        <v>19</v>
      </c>
      <c r="AC22" s="73" t="s">
        <v>805</v>
      </c>
      <c r="AD22" s="73" t="s">
        <v>807</v>
      </c>
      <c r="AE22" s="73" t="s">
        <v>807</v>
      </c>
      <c r="AF22" s="74">
        <v>0</v>
      </c>
      <c r="AG22" s="74">
        <v>0</v>
      </c>
      <c r="AH22" s="74">
        <v>0</v>
      </c>
      <c r="AI22" s="75"/>
      <c r="AK22" s="66">
        <v>6</v>
      </c>
      <c r="AL22" s="66">
        <v>19200077</v>
      </c>
      <c r="AM22" s="77" t="s">
        <v>240</v>
      </c>
      <c r="AN22" s="68">
        <v>82</v>
      </c>
      <c r="AO22" s="68">
        <v>64</v>
      </c>
      <c r="AP22" s="68">
        <v>77.5</v>
      </c>
      <c r="AQ22" s="68">
        <v>64</v>
      </c>
      <c r="AR22" s="68">
        <v>57.5</v>
      </c>
      <c r="AS22" s="68">
        <v>28</v>
      </c>
      <c r="AT22" s="68">
        <v>46</v>
      </c>
      <c r="AU22" s="68">
        <v>93.4</v>
      </c>
      <c r="AV22" s="68">
        <v>67.599999999999994</v>
      </c>
      <c r="AW22" s="68">
        <v>64</v>
      </c>
      <c r="AX22" s="68">
        <v>96</v>
      </c>
      <c r="AY22" s="68">
        <v>55</v>
      </c>
      <c r="AZ22" s="68">
        <v>86.5</v>
      </c>
      <c r="BA22" s="76">
        <v>80</v>
      </c>
      <c r="BB22" s="76">
        <v>80</v>
      </c>
      <c r="BC22" s="76">
        <v>80</v>
      </c>
      <c r="BD22" s="240">
        <v>95</v>
      </c>
      <c r="BE22" s="240">
        <v>95</v>
      </c>
      <c r="BF22" s="240">
        <v>93.4</v>
      </c>
      <c r="BG22" s="240">
        <v>90</v>
      </c>
      <c r="BH22" s="240">
        <v>95</v>
      </c>
      <c r="BI22" s="240">
        <v>85</v>
      </c>
      <c r="BJ22" s="70">
        <f t="shared" si="25"/>
        <v>1121.5</v>
      </c>
      <c r="BK22" s="71">
        <f t="shared" si="26"/>
        <v>70.09375</v>
      </c>
      <c r="BL22" s="72" t="e">
        <f t="shared" si="27"/>
        <v>#N/A</v>
      </c>
      <c r="BM22" s="73"/>
      <c r="BN22" s="73"/>
      <c r="BO22" s="73"/>
      <c r="BP22" s="74"/>
      <c r="BQ22" s="74"/>
      <c r="BR22" s="74"/>
      <c r="BS22" s="75"/>
    </row>
    <row r="23" spans="1:71" ht="23.1" customHeight="1">
      <c r="A23" s="91">
        <v>20</v>
      </c>
      <c r="B23" s="91">
        <v>20210064</v>
      </c>
      <c r="C23" s="92" t="s">
        <v>242</v>
      </c>
      <c r="D23" s="68">
        <f t="shared" si="0"/>
        <v>82</v>
      </c>
      <c r="E23" s="68">
        <f t="shared" si="1"/>
        <v>49</v>
      </c>
      <c r="F23" s="68">
        <f t="shared" si="2"/>
        <v>65</v>
      </c>
      <c r="G23" s="68">
        <f t="shared" si="3"/>
        <v>49</v>
      </c>
      <c r="H23" s="68">
        <f t="shared" si="4"/>
        <v>66</v>
      </c>
      <c r="I23" s="68">
        <f t="shared" si="5"/>
        <v>55</v>
      </c>
      <c r="J23" s="68">
        <f t="shared" si="6"/>
        <v>60</v>
      </c>
      <c r="K23" s="68">
        <f t="shared" si="7"/>
        <v>68</v>
      </c>
      <c r="L23" s="68">
        <f t="shared" si="8"/>
        <v>85</v>
      </c>
      <c r="M23" s="68">
        <f t="shared" si="9"/>
        <v>89</v>
      </c>
      <c r="N23" s="68">
        <f t="shared" si="10"/>
        <v>87</v>
      </c>
      <c r="O23" s="68">
        <f t="shared" si="11"/>
        <v>60</v>
      </c>
      <c r="P23" s="68">
        <f t="shared" si="12"/>
        <v>78</v>
      </c>
      <c r="Q23" s="69">
        <f t="shared" si="13"/>
        <v>60</v>
      </c>
      <c r="R23" s="69">
        <f t="shared" si="14"/>
        <v>80</v>
      </c>
      <c r="S23" s="69">
        <f t="shared" si="15"/>
        <v>80</v>
      </c>
      <c r="T23" s="234">
        <f t="shared" si="16"/>
        <v>95</v>
      </c>
      <c r="U23" s="234">
        <f t="shared" si="17"/>
        <v>99</v>
      </c>
      <c r="V23" s="234">
        <f t="shared" si="18"/>
        <v>68</v>
      </c>
      <c r="W23" s="234">
        <f t="shared" si="19"/>
        <v>95</v>
      </c>
      <c r="X23" s="234">
        <f t="shared" si="20"/>
        <v>98</v>
      </c>
      <c r="Y23" s="234">
        <f t="shared" si="21"/>
        <v>95</v>
      </c>
      <c r="Z23" s="70">
        <f t="shared" si="22"/>
        <v>1113</v>
      </c>
      <c r="AA23" s="71">
        <f t="shared" si="23"/>
        <v>69.5625</v>
      </c>
      <c r="AB23" s="72">
        <f t="shared" si="24"/>
        <v>20</v>
      </c>
      <c r="AC23" s="73" t="s">
        <v>805</v>
      </c>
      <c r="AD23" s="73" t="s">
        <v>807</v>
      </c>
      <c r="AE23" s="73" t="s">
        <v>807</v>
      </c>
      <c r="AF23" s="74">
        <v>23</v>
      </c>
      <c r="AG23" s="74">
        <v>0</v>
      </c>
      <c r="AH23" s="74">
        <v>0</v>
      </c>
      <c r="AI23" s="75"/>
      <c r="AK23" s="66">
        <v>8</v>
      </c>
      <c r="AL23" s="66">
        <v>20210064</v>
      </c>
      <c r="AM23" s="79" t="s">
        <v>242</v>
      </c>
      <c r="AN23" s="68">
        <v>82</v>
      </c>
      <c r="AO23" s="68">
        <v>49</v>
      </c>
      <c r="AP23" s="68">
        <v>65</v>
      </c>
      <c r="AQ23" s="68">
        <v>49</v>
      </c>
      <c r="AR23" s="68">
        <v>66</v>
      </c>
      <c r="AS23" s="68">
        <v>55</v>
      </c>
      <c r="AT23" s="68">
        <v>59.5</v>
      </c>
      <c r="AU23" s="68">
        <v>68</v>
      </c>
      <c r="AV23" s="68">
        <v>85</v>
      </c>
      <c r="AW23" s="68">
        <v>89</v>
      </c>
      <c r="AX23" s="68">
        <v>87</v>
      </c>
      <c r="AY23" s="68">
        <v>59.5</v>
      </c>
      <c r="AZ23" s="68">
        <v>77.5</v>
      </c>
      <c r="BA23" s="76">
        <v>60</v>
      </c>
      <c r="BB23" s="76">
        <v>80</v>
      </c>
      <c r="BC23" s="76">
        <v>80</v>
      </c>
      <c r="BD23" s="240">
        <v>95</v>
      </c>
      <c r="BE23" s="240">
        <v>100</v>
      </c>
      <c r="BF23" s="240">
        <v>68</v>
      </c>
      <c r="BG23" s="240">
        <v>95</v>
      </c>
      <c r="BH23" s="240">
        <v>97.5</v>
      </c>
      <c r="BI23" s="240">
        <v>95</v>
      </c>
      <c r="BJ23" s="70">
        <f t="shared" si="25"/>
        <v>1111.5</v>
      </c>
      <c r="BK23" s="71">
        <f t="shared" si="26"/>
        <v>69.46875</v>
      </c>
      <c r="BL23" s="72" t="e">
        <f t="shared" si="27"/>
        <v>#N/A</v>
      </c>
      <c r="BM23" s="73"/>
      <c r="BN23" s="73"/>
      <c r="BO23" s="73"/>
      <c r="BP23" s="74"/>
      <c r="BQ23" s="74"/>
      <c r="BR23" s="74"/>
      <c r="BS23" s="75"/>
    </row>
    <row r="24" spans="1:71" ht="23.1" customHeight="1">
      <c r="A24" s="91">
        <v>21</v>
      </c>
      <c r="B24" s="66">
        <v>21220089</v>
      </c>
      <c r="C24" s="77" t="s">
        <v>258</v>
      </c>
      <c r="D24" s="68">
        <f t="shared" si="0"/>
        <v>80</v>
      </c>
      <c r="E24" s="68">
        <f t="shared" si="1"/>
        <v>53</v>
      </c>
      <c r="F24" s="68">
        <f t="shared" si="2"/>
        <v>62</v>
      </c>
      <c r="G24" s="68">
        <f t="shared" si="3"/>
        <v>53</v>
      </c>
      <c r="H24" s="68">
        <f t="shared" si="4"/>
        <v>68</v>
      </c>
      <c r="I24" s="68">
        <f t="shared" si="5"/>
        <v>44</v>
      </c>
      <c r="J24" s="68">
        <f t="shared" si="6"/>
        <v>62</v>
      </c>
      <c r="K24" s="68">
        <f t="shared" si="7"/>
        <v>67</v>
      </c>
      <c r="L24" s="68">
        <f t="shared" si="8"/>
        <v>77</v>
      </c>
      <c r="M24" s="68">
        <f t="shared" si="9"/>
        <v>71</v>
      </c>
      <c r="N24" s="68">
        <f t="shared" si="10"/>
        <v>80</v>
      </c>
      <c r="O24" s="68">
        <f t="shared" si="11"/>
        <v>53</v>
      </c>
      <c r="P24" s="68">
        <f t="shared" si="12"/>
        <v>80</v>
      </c>
      <c r="Q24" s="69">
        <f t="shared" si="13"/>
        <v>70</v>
      </c>
      <c r="R24" s="69">
        <f t="shared" si="14"/>
        <v>90</v>
      </c>
      <c r="S24" s="69">
        <f t="shared" si="15"/>
        <v>90</v>
      </c>
      <c r="T24" s="234">
        <f t="shared" si="16"/>
        <v>88</v>
      </c>
      <c r="U24" s="234">
        <f t="shared" si="17"/>
        <v>85</v>
      </c>
      <c r="V24" s="234">
        <f t="shared" si="18"/>
        <v>67</v>
      </c>
      <c r="W24" s="234">
        <f t="shared" si="19"/>
        <v>95</v>
      </c>
      <c r="X24" s="234">
        <f t="shared" si="20"/>
        <v>83</v>
      </c>
      <c r="Y24" s="234">
        <f t="shared" si="21"/>
        <v>60</v>
      </c>
      <c r="Z24" s="70">
        <f t="shared" si="22"/>
        <v>1100</v>
      </c>
      <c r="AA24" s="71">
        <f t="shared" si="23"/>
        <v>68.75</v>
      </c>
      <c r="AB24" s="72">
        <f t="shared" si="24"/>
        <v>21</v>
      </c>
      <c r="AC24" s="73" t="s">
        <v>807</v>
      </c>
      <c r="AD24" s="73" t="s">
        <v>807</v>
      </c>
      <c r="AE24" s="73" t="s">
        <v>805</v>
      </c>
      <c r="AF24" s="74">
        <v>14</v>
      </c>
      <c r="AG24" s="74">
        <v>63</v>
      </c>
      <c r="AH24" s="74">
        <v>0</v>
      </c>
      <c r="AI24" s="75"/>
      <c r="AK24" s="66">
        <v>24</v>
      </c>
      <c r="AL24" s="66">
        <v>21220089</v>
      </c>
      <c r="AM24" s="77" t="s">
        <v>258</v>
      </c>
      <c r="AN24" s="68">
        <v>80</v>
      </c>
      <c r="AO24" s="68">
        <v>53</v>
      </c>
      <c r="AP24" s="68">
        <v>61.5</v>
      </c>
      <c r="AQ24" s="68">
        <v>53</v>
      </c>
      <c r="AR24" s="68">
        <v>68</v>
      </c>
      <c r="AS24" s="68">
        <v>44</v>
      </c>
      <c r="AT24" s="68">
        <v>62</v>
      </c>
      <c r="AU24" s="68">
        <v>66.5</v>
      </c>
      <c r="AV24" s="68">
        <v>77</v>
      </c>
      <c r="AW24" s="68">
        <v>71</v>
      </c>
      <c r="AX24" s="68">
        <v>80</v>
      </c>
      <c r="AY24" s="68">
        <v>53</v>
      </c>
      <c r="AZ24" s="68">
        <v>80</v>
      </c>
      <c r="BA24" s="76">
        <v>70</v>
      </c>
      <c r="BB24" s="76">
        <v>90</v>
      </c>
      <c r="BC24" s="76">
        <v>90</v>
      </c>
      <c r="BD24" s="240">
        <v>87.5</v>
      </c>
      <c r="BE24" s="240">
        <v>85</v>
      </c>
      <c r="BF24" s="240">
        <v>66.5</v>
      </c>
      <c r="BG24" s="240">
        <v>95</v>
      </c>
      <c r="BH24" s="240">
        <v>82.5</v>
      </c>
      <c r="BI24" s="240">
        <v>60</v>
      </c>
      <c r="BJ24" s="70">
        <f t="shared" si="25"/>
        <v>1099</v>
      </c>
      <c r="BK24" s="71">
        <f t="shared" si="26"/>
        <v>68.6875</v>
      </c>
      <c r="BL24" s="72" t="e">
        <f t="shared" si="27"/>
        <v>#N/A</v>
      </c>
      <c r="BM24" s="73"/>
      <c r="BN24" s="73"/>
      <c r="BO24" s="73"/>
      <c r="BP24" s="74"/>
      <c r="BQ24" s="74"/>
      <c r="BR24" s="74"/>
      <c r="BS24" s="75"/>
    </row>
    <row r="25" spans="1:71" ht="23.1" customHeight="1">
      <c r="A25" s="91">
        <v>22</v>
      </c>
      <c r="B25" s="91">
        <v>19200147</v>
      </c>
      <c r="C25" s="92" t="s">
        <v>255</v>
      </c>
      <c r="D25" s="68">
        <f t="shared" si="0"/>
        <v>77</v>
      </c>
      <c r="E25" s="68">
        <f t="shared" si="1"/>
        <v>69</v>
      </c>
      <c r="F25" s="68">
        <f t="shared" si="2"/>
        <v>59</v>
      </c>
      <c r="G25" s="68">
        <f t="shared" si="3"/>
        <v>69</v>
      </c>
      <c r="H25" s="68">
        <f t="shared" si="4"/>
        <v>65</v>
      </c>
      <c r="I25" s="68">
        <f t="shared" si="5"/>
        <v>40</v>
      </c>
      <c r="J25" s="68">
        <f t="shared" si="6"/>
        <v>40</v>
      </c>
      <c r="K25" s="68">
        <f t="shared" si="7"/>
        <v>57</v>
      </c>
      <c r="L25" s="68">
        <f t="shared" si="8"/>
        <v>57</v>
      </c>
      <c r="M25" s="68">
        <f t="shared" si="9"/>
        <v>50</v>
      </c>
      <c r="N25" s="68">
        <f t="shared" si="10"/>
        <v>81</v>
      </c>
      <c r="O25" s="68">
        <f t="shared" si="11"/>
        <v>54</v>
      </c>
      <c r="P25" s="68">
        <f t="shared" si="12"/>
        <v>72</v>
      </c>
      <c r="Q25" s="69">
        <f t="shared" si="13"/>
        <v>70</v>
      </c>
      <c r="R25" s="69">
        <f t="shared" si="14"/>
        <v>90</v>
      </c>
      <c r="S25" s="69">
        <f t="shared" si="15"/>
        <v>90</v>
      </c>
      <c r="T25" s="234">
        <f t="shared" si="16"/>
        <v>95</v>
      </c>
      <c r="U25" s="234">
        <f t="shared" si="17"/>
        <v>95</v>
      </c>
      <c r="V25" s="234">
        <f t="shared" si="18"/>
        <v>57</v>
      </c>
      <c r="W25" s="234">
        <f t="shared" si="19"/>
        <v>98</v>
      </c>
      <c r="X25" s="234">
        <f t="shared" si="20"/>
        <v>95</v>
      </c>
      <c r="Y25" s="234">
        <f t="shared" si="21"/>
        <v>93</v>
      </c>
      <c r="Z25" s="70">
        <f t="shared" si="22"/>
        <v>1040</v>
      </c>
      <c r="AA25" s="71">
        <f t="shared" si="23"/>
        <v>65</v>
      </c>
      <c r="AB25" s="72">
        <f t="shared" si="24"/>
        <v>22</v>
      </c>
      <c r="AC25" s="73" t="s">
        <v>805</v>
      </c>
      <c r="AD25" s="73" t="s">
        <v>807</v>
      </c>
      <c r="AE25" s="73" t="s">
        <v>807</v>
      </c>
      <c r="AF25" s="74">
        <v>9</v>
      </c>
      <c r="AG25" s="74">
        <v>18</v>
      </c>
      <c r="AH25" s="74">
        <v>4</v>
      </c>
      <c r="AI25" s="75"/>
      <c r="AK25" s="66">
        <v>21</v>
      </c>
      <c r="AL25" s="66">
        <v>19200147</v>
      </c>
      <c r="AM25" s="78" t="s">
        <v>255</v>
      </c>
      <c r="AN25" s="68">
        <v>76.5</v>
      </c>
      <c r="AO25" s="68">
        <v>69</v>
      </c>
      <c r="AP25" s="68">
        <v>58.5</v>
      </c>
      <c r="AQ25" s="68">
        <v>69</v>
      </c>
      <c r="AR25" s="68">
        <v>65</v>
      </c>
      <c r="AS25" s="68">
        <v>27</v>
      </c>
      <c r="AT25" s="68">
        <v>31.5</v>
      </c>
      <c r="AU25" s="68">
        <v>57</v>
      </c>
      <c r="AV25" s="68">
        <v>57</v>
      </c>
      <c r="AW25" s="68">
        <v>50</v>
      </c>
      <c r="AX25" s="68">
        <v>81</v>
      </c>
      <c r="AY25" s="68">
        <v>54</v>
      </c>
      <c r="AZ25" s="68">
        <v>72</v>
      </c>
      <c r="BA25" s="76">
        <v>70</v>
      </c>
      <c r="BB25" s="76">
        <v>90</v>
      </c>
      <c r="BC25" s="76">
        <v>90</v>
      </c>
      <c r="BD25" s="240">
        <v>95</v>
      </c>
      <c r="BE25" s="240">
        <v>95</v>
      </c>
      <c r="BF25" s="240">
        <v>57</v>
      </c>
      <c r="BG25" s="240">
        <v>97.5</v>
      </c>
      <c r="BH25" s="240">
        <v>95</v>
      </c>
      <c r="BI25" s="240">
        <v>92.5</v>
      </c>
      <c r="BJ25" s="70">
        <f t="shared" si="25"/>
        <v>1017.5</v>
      </c>
      <c r="BK25" s="71">
        <f t="shared" si="26"/>
        <v>63.59375</v>
      </c>
      <c r="BL25" s="72" t="e">
        <f t="shared" si="27"/>
        <v>#N/A</v>
      </c>
      <c r="BM25" s="73"/>
      <c r="BN25" s="73"/>
      <c r="BO25" s="73"/>
      <c r="BP25" s="74"/>
      <c r="BQ25" s="74"/>
      <c r="BR25" s="74"/>
      <c r="BS25" s="75"/>
    </row>
    <row r="26" spans="1:71" ht="23.1" customHeight="1">
      <c r="A26" s="66">
        <v>23</v>
      </c>
      <c r="B26" s="91">
        <v>19200089</v>
      </c>
      <c r="C26" s="92" t="s">
        <v>248</v>
      </c>
      <c r="D26" s="68">
        <f t="shared" si="0"/>
        <v>81</v>
      </c>
      <c r="E26" s="68">
        <f t="shared" si="1"/>
        <v>51</v>
      </c>
      <c r="F26" s="68">
        <f t="shared" si="2"/>
        <v>65</v>
      </c>
      <c r="G26" s="68">
        <f t="shared" si="3"/>
        <v>63</v>
      </c>
      <c r="H26" s="68">
        <f t="shared" si="4"/>
        <v>55</v>
      </c>
      <c r="I26" s="68">
        <f t="shared" si="5"/>
        <v>40</v>
      </c>
      <c r="J26" s="68">
        <f t="shared" si="6"/>
        <v>45</v>
      </c>
      <c r="K26" s="68">
        <f t="shared" si="7"/>
        <v>72</v>
      </c>
      <c r="L26" s="68">
        <f t="shared" si="8"/>
        <v>40</v>
      </c>
      <c r="M26" s="68">
        <f t="shared" si="9"/>
        <v>76</v>
      </c>
      <c r="N26" s="68">
        <f t="shared" si="10"/>
        <v>82</v>
      </c>
      <c r="O26" s="68">
        <f t="shared" si="11"/>
        <v>54</v>
      </c>
      <c r="P26" s="68">
        <f t="shared" si="12"/>
        <v>72</v>
      </c>
      <c r="Q26" s="69">
        <f t="shared" si="13"/>
        <v>55</v>
      </c>
      <c r="R26" s="69">
        <f t="shared" si="14"/>
        <v>80</v>
      </c>
      <c r="S26" s="69">
        <f t="shared" si="15"/>
        <v>80</v>
      </c>
      <c r="T26" s="234">
        <f t="shared" si="16"/>
        <v>95</v>
      </c>
      <c r="U26" s="234">
        <f t="shared" si="17"/>
        <v>95</v>
      </c>
      <c r="V26" s="234">
        <f t="shared" si="18"/>
        <v>72</v>
      </c>
      <c r="W26" s="234">
        <f t="shared" si="19"/>
        <v>99</v>
      </c>
      <c r="X26" s="234">
        <f t="shared" si="20"/>
        <v>90</v>
      </c>
      <c r="Y26" s="234">
        <f t="shared" si="21"/>
        <v>93</v>
      </c>
      <c r="Z26" s="70">
        <f t="shared" si="22"/>
        <v>1011</v>
      </c>
      <c r="AA26" s="71">
        <f t="shared" si="23"/>
        <v>63.1875</v>
      </c>
      <c r="AB26" s="72">
        <f t="shared" si="24"/>
        <v>23</v>
      </c>
      <c r="AC26" s="73" t="s">
        <v>807</v>
      </c>
      <c r="AD26" s="73" t="s">
        <v>807</v>
      </c>
      <c r="AE26" s="73" t="s">
        <v>807</v>
      </c>
      <c r="AF26" s="74">
        <v>2</v>
      </c>
      <c r="AG26" s="74">
        <v>17</v>
      </c>
      <c r="AH26" s="74">
        <v>7</v>
      </c>
      <c r="AI26" s="75"/>
      <c r="AK26" s="66">
        <v>14</v>
      </c>
      <c r="AL26" s="66">
        <v>19200089</v>
      </c>
      <c r="AM26" s="77" t="s">
        <v>248</v>
      </c>
      <c r="AN26" s="68">
        <v>81</v>
      </c>
      <c r="AO26" s="68">
        <v>51</v>
      </c>
      <c r="AP26" s="68">
        <v>65</v>
      </c>
      <c r="AQ26" s="68">
        <v>63</v>
      </c>
      <c r="AR26" s="68">
        <v>55</v>
      </c>
      <c r="AS26" s="68">
        <v>36</v>
      </c>
      <c r="AT26" s="68">
        <v>45</v>
      </c>
      <c r="AU26" s="68">
        <v>71.5</v>
      </c>
      <c r="AV26" s="68">
        <v>39</v>
      </c>
      <c r="AW26" s="68">
        <v>76</v>
      </c>
      <c r="AX26" s="68">
        <v>81.5</v>
      </c>
      <c r="AY26" s="68">
        <v>54</v>
      </c>
      <c r="AZ26" s="68">
        <v>72</v>
      </c>
      <c r="BA26" s="76">
        <v>55</v>
      </c>
      <c r="BB26" s="76">
        <v>80</v>
      </c>
      <c r="BC26" s="76">
        <v>80</v>
      </c>
      <c r="BD26" s="240">
        <v>95</v>
      </c>
      <c r="BE26" s="240">
        <v>95</v>
      </c>
      <c r="BF26" s="240">
        <v>71.5</v>
      </c>
      <c r="BG26" s="240">
        <v>100</v>
      </c>
      <c r="BH26" s="240">
        <v>90</v>
      </c>
      <c r="BI26" s="240">
        <v>92.5</v>
      </c>
      <c r="BJ26" s="70">
        <f t="shared" si="25"/>
        <v>1005</v>
      </c>
      <c r="BK26" s="71">
        <f t="shared" si="26"/>
        <v>62.8125</v>
      </c>
      <c r="BL26" s="72" t="e">
        <f t="shared" si="27"/>
        <v>#N/A</v>
      </c>
      <c r="BM26" s="73"/>
      <c r="BN26" s="73"/>
      <c r="BO26" s="73"/>
      <c r="BP26" s="74"/>
      <c r="BQ26" s="74"/>
      <c r="BR26" s="74"/>
      <c r="BS26" s="75"/>
    </row>
    <row r="27" spans="1:71" ht="23.1" customHeight="1">
      <c r="A27" s="66">
        <v>24</v>
      </c>
      <c r="B27" s="66">
        <v>21220178</v>
      </c>
      <c r="C27" s="77" t="s">
        <v>259</v>
      </c>
      <c r="D27" s="68">
        <f t="shared" si="0"/>
        <v>76</v>
      </c>
      <c r="E27" s="68">
        <f t="shared" si="1"/>
        <v>53</v>
      </c>
      <c r="F27" s="68">
        <f t="shared" si="2"/>
        <v>60</v>
      </c>
      <c r="G27" s="68">
        <f t="shared" si="3"/>
        <v>53</v>
      </c>
      <c r="H27" s="68">
        <f t="shared" si="4"/>
        <v>59</v>
      </c>
      <c r="I27" s="68">
        <f t="shared" si="5"/>
        <v>40</v>
      </c>
      <c r="J27" s="68">
        <f t="shared" si="6"/>
        <v>40</v>
      </c>
      <c r="K27" s="68">
        <f t="shared" si="7"/>
        <v>61</v>
      </c>
      <c r="L27" s="68">
        <f t="shared" si="8"/>
        <v>50</v>
      </c>
      <c r="M27" s="68">
        <f t="shared" si="9"/>
        <v>55</v>
      </c>
      <c r="N27" s="68">
        <f t="shared" si="10"/>
        <v>68</v>
      </c>
      <c r="O27" s="68">
        <f t="shared" si="11"/>
        <v>62</v>
      </c>
      <c r="P27" s="68">
        <f t="shared" si="12"/>
        <v>76</v>
      </c>
      <c r="Q27" s="69">
        <f t="shared" si="13"/>
        <v>70</v>
      </c>
      <c r="R27" s="69">
        <f t="shared" si="14"/>
        <v>80</v>
      </c>
      <c r="S27" s="69">
        <f t="shared" si="15"/>
        <v>80</v>
      </c>
      <c r="T27" s="234">
        <f t="shared" si="16"/>
        <v>95</v>
      </c>
      <c r="U27" s="234">
        <f t="shared" si="17"/>
        <v>99</v>
      </c>
      <c r="V27" s="234">
        <f t="shared" si="18"/>
        <v>61</v>
      </c>
      <c r="W27" s="234">
        <f t="shared" si="19"/>
        <v>95</v>
      </c>
      <c r="X27" s="234">
        <f t="shared" si="20"/>
        <v>85</v>
      </c>
      <c r="Y27" s="234">
        <f t="shared" si="21"/>
        <v>78</v>
      </c>
      <c r="Z27" s="70">
        <f t="shared" si="22"/>
        <v>983</v>
      </c>
      <c r="AA27" s="71">
        <f t="shared" si="23"/>
        <v>61.4375</v>
      </c>
      <c r="AB27" s="72">
        <f t="shared" si="24"/>
        <v>24</v>
      </c>
      <c r="AC27" s="73" t="s">
        <v>807</v>
      </c>
      <c r="AD27" s="73" t="s">
        <v>807</v>
      </c>
      <c r="AE27" s="73" t="s">
        <v>807</v>
      </c>
      <c r="AF27" s="74">
        <v>0</v>
      </c>
      <c r="AG27" s="74">
        <v>0</v>
      </c>
      <c r="AH27" s="74">
        <v>19</v>
      </c>
      <c r="AI27" s="75"/>
      <c r="AK27" s="66">
        <v>25</v>
      </c>
      <c r="AL27" s="66">
        <v>21220178</v>
      </c>
      <c r="AM27" s="77" t="s">
        <v>259</v>
      </c>
      <c r="AN27" s="68">
        <v>75.5</v>
      </c>
      <c r="AO27" s="68">
        <v>53</v>
      </c>
      <c r="AP27" s="68">
        <v>59.5</v>
      </c>
      <c r="AQ27" s="68">
        <v>53</v>
      </c>
      <c r="AR27" s="68">
        <v>59</v>
      </c>
      <c r="AS27" s="68">
        <v>26</v>
      </c>
      <c r="AT27" s="68">
        <v>17</v>
      </c>
      <c r="AU27" s="68">
        <v>61</v>
      </c>
      <c r="AV27" s="68">
        <v>50</v>
      </c>
      <c r="AW27" s="68">
        <v>55</v>
      </c>
      <c r="AX27" s="68">
        <v>68</v>
      </c>
      <c r="AY27" s="68">
        <v>62</v>
      </c>
      <c r="AZ27" s="68">
        <v>75.5</v>
      </c>
      <c r="BA27" s="76">
        <v>70</v>
      </c>
      <c r="BB27" s="76">
        <v>80</v>
      </c>
      <c r="BC27" s="76">
        <v>80</v>
      </c>
      <c r="BD27" s="240">
        <v>95</v>
      </c>
      <c r="BE27" s="240">
        <v>100</v>
      </c>
      <c r="BF27" s="240">
        <v>61</v>
      </c>
      <c r="BG27" s="240">
        <v>95</v>
      </c>
      <c r="BH27" s="240">
        <v>85</v>
      </c>
      <c r="BI27" s="240">
        <v>77.5</v>
      </c>
      <c r="BJ27" s="70">
        <f t="shared" si="25"/>
        <v>944.5</v>
      </c>
      <c r="BK27" s="71">
        <f t="shared" si="26"/>
        <v>59.03125</v>
      </c>
      <c r="BL27" s="72" t="e">
        <f t="shared" si="27"/>
        <v>#N/A</v>
      </c>
      <c r="BM27" s="73"/>
      <c r="BN27" s="73"/>
      <c r="BO27" s="73"/>
      <c r="BP27" s="74"/>
      <c r="BQ27" s="74"/>
      <c r="BR27" s="74"/>
      <c r="BS27" s="75"/>
    </row>
    <row r="28" spans="1:71" ht="23.1" customHeight="1">
      <c r="A28" s="66">
        <v>25</v>
      </c>
      <c r="B28" s="66">
        <v>19200085</v>
      </c>
      <c r="C28" s="77" t="s">
        <v>244</v>
      </c>
      <c r="D28" s="68">
        <f t="shared" si="0"/>
        <v>71</v>
      </c>
      <c r="E28" s="68">
        <f t="shared" si="1"/>
        <v>50</v>
      </c>
      <c r="F28" s="68">
        <f t="shared" si="2"/>
        <v>60</v>
      </c>
      <c r="G28" s="68">
        <f t="shared" si="3"/>
        <v>50</v>
      </c>
      <c r="H28" s="68">
        <f t="shared" si="4"/>
        <v>61</v>
      </c>
      <c r="I28" s="68">
        <f t="shared" si="5"/>
        <v>40</v>
      </c>
      <c r="J28" s="68">
        <f t="shared" si="6"/>
        <v>40</v>
      </c>
      <c r="K28" s="68">
        <f t="shared" si="7"/>
        <v>56</v>
      </c>
      <c r="L28" s="68">
        <f t="shared" si="8"/>
        <v>68</v>
      </c>
      <c r="M28" s="68">
        <f t="shared" si="9"/>
        <v>53</v>
      </c>
      <c r="N28" s="68">
        <f t="shared" si="10"/>
        <v>74</v>
      </c>
      <c r="O28" s="68">
        <f t="shared" si="11"/>
        <v>71</v>
      </c>
      <c r="P28" s="68">
        <f t="shared" si="12"/>
        <v>71</v>
      </c>
      <c r="Q28" s="69">
        <f t="shared" si="13"/>
        <v>50</v>
      </c>
      <c r="R28" s="69">
        <f t="shared" si="14"/>
        <v>80</v>
      </c>
      <c r="S28" s="69">
        <f t="shared" si="15"/>
        <v>80</v>
      </c>
      <c r="T28" s="234">
        <f t="shared" si="16"/>
        <v>95</v>
      </c>
      <c r="U28" s="234">
        <f t="shared" si="17"/>
        <v>95</v>
      </c>
      <c r="V28" s="234">
        <f t="shared" si="18"/>
        <v>56</v>
      </c>
      <c r="W28" s="234">
        <f t="shared" si="19"/>
        <v>95</v>
      </c>
      <c r="X28" s="234">
        <f t="shared" si="20"/>
        <v>98</v>
      </c>
      <c r="Y28" s="234">
        <f t="shared" si="21"/>
        <v>90</v>
      </c>
      <c r="Z28" s="70">
        <f t="shared" si="22"/>
        <v>975</v>
      </c>
      <c r="AA28" s="71">
        <f t="shared" si="23"/>
        <v>60.9375</v>
      </c>
      <c r="AB28" s="72">
        <f t="shared" si="24"/>
        <v>25</v>
      </c>
      <c r="AC28" s="73" t="s">
        <v>807</v>
      </c>
      <c r="AD28" s="73" t="s">
        <v>807</v>
      </c>
      <c r="AE28" s="73" t="s">
        <v>807</v>
      </c>
      <c r="AF28" s="74">
        <v>5</v>
      </c>
      <c r="AG28" s="74">
        <v>11</v>
      </c>
      <c r="AH28" s="74">
        <v>36</v>
      </c>
      <c r="AI28" s="75"/>
      <c r="AK28" s="66">
        <v>10</v>
      </c>
      <c r="AL28" s="66">
        <v>19200085</v>
      </c>
      <c r="AM28" s="77" t="s">
        <v>244</v>
      </c>
      <c r="AN28" s="68">
        <v>71</v>
      </c>
      <c r="AO28" s="68">
        <v>50</v>
      </c>
      <c r="AP28" s="68">
        <v>59.5</v>
      </c>
      <c r="AQ28" s="68">
        <v>50</v>
      </c>
      <c r="AR28" s="68">
        <v>61</v>
      </c>
      <c r="AS28" s="68">
        <v>35</v>
      </c>
      <c r="AT28" s="68">
        <v>26</v>
      </c>
      <c r="AU28" s="68">
        <v>55.5</v>
      </c>
      <c r="AV28" s="68">
        <v>68</v>
      </c>
      <c r="AW28" s="68">
        <v>52.5</v>
      </c>
      <c r="AX28" s="68">
        <v>74</v>
      </c>
      <c r="AY28" s="68">
        <v>71</v>
      </c>
      <c r="AZ28" s="68">
        <v>71</v>
      </c>
      <c r="BA28" s="76">
        <v>50</v>
      </c>
      <c r="BB28" s="76">
        <v>80</v>
      </c>
      <c r="BC28" s="76">
        <v>80</v>
      </c>
      <c r="BD28" s="240">
        <v>95</v>
      </c>
      <c r="BE28" s="240">
        <v>95</v>
      </c>
      <c r="BF28" s="240">
        <v>55.5</v>
      </c>
      <c r="BG28" s="240">
        <v>95</v>
      </c>
      <c r="BH28" s="240">
        <v>97.5</v>
      </c>
      <c r="BI28" s="240">
        <v>90</v>
      </c>
      <c r="BJ28" s="70">
        <f t="shared" si="25"/>
        <v>954.5</v>
      </c>
      <c r="BK28" s="71">
        <f t="shared" si="26"/>
        <v>59.65625</v>
      </c>
      <c r="BL28" s="72" t="e">
        <f t="shared" si="27"/>
        <v>#N/A</v>
      </c>
      <c r="BM28" s="73"/>
      <c r="BN28" s="73"/>
      <c r="BO28" s="73"/>
      <c r="BP28" s="74"/>
      <c r="BQ28" s="74"/>
      <c r="BR28" s="74"/>
      <c r="BS28" s="75"/>
    </row>
    <row r="29" spans="1:71" ht="23.1" customHeight="1">
      <c r="A29" s="66">
        <v>26</v>
      </c>
      <c r="B29" s="66">
        <v>18190026</v>
      </c>
      <c r="C29" s="79" t="s">
        <v>261</v>
      </c>
      <c r="D29" s="68">
        <f t="shared" si="0"/>
        <v>75</v>
      </c>
      <c r="E29" s="68">
        <f t="shared" si="1"/>
        <v>40</v>
      </c>
      <c r="F29" s="68">
        <f t="shared" si="2"/>
        <v>56</v>
      </c>
      <c r="G29" s="68">
        <f t="shared" si="3"/>
        <v>40</v>
      </c>
      <c r="H29" s="68">
        <f t="shared" si="4"/>
        <v>65</v>
      </c>
      <c r="I29" s="68">
        <f t="shared" si="5"/>
        <v>40</v>
      </c>
      <c r="J29" s="68">
        <f t="shared" si="6"/>
        <v>54</v>
      </c>
      <c r="K29" s="68">
        <f t="shared" si="7"/>
        <v>52</v>
      </c>
      <c r="L29" s="68">
        <f t="shared" si="8"/>
        <v>40</v>
      </c>
      <c r="M29" s="68">
        <f t="shared" si="9"/>
        <v>40</v>
      </c>
      <c r="N29" s="68">
        <f t="shared" si="10"/>
        <v>55</v>
      </c>
      <c r="O29" s="68">
        <f t="shared" si="11"/>
        <v>52</v>
      </c>
      <c r="P29" s="68">
        <f t="shared" si="12"/>
        <v>79</v>
      </c>
      <c r="Q29" s="69">
        <f t="shared" si="13"/>
        <v>70</v>
      </c>
      <c r="R29" s="69">
        <f t="shared" si="14"/>
        <v>40</v>
      </c>
      <c r="S29" s="69">
        <f t="shared" si="15"/>
        <v>60</v>
      </c>
      <c r="T29" s="234">
        <f t="shared" si="16"/>
        <v>95</v>
      </c>
      <c r="U29" s="234">
        <f t="shared" si="17"/>
        <v>98</v>
      </c>
      <c r="V29" s="234">
        <f t="shared" si="18"/>
        <v>52</v>
      </c>
      <c r="W29" s="234">
        <f t="shared" si="19"/>
        <v>95</v>
      </c>
      <c r="X29" s="234">
        <f t="shared" si="20"/>
        <v>95</v>
      </c>
      <c r="Y29" s="234">
        <f t="shared" si="21"/>
        <v>93</v>
      </c>
      <c r="Z29" s="70">
        <f t="shared" si="22"/>
        <v>858</v>
      </c>
      <c r="AA29" s="71">
        <f t="shared" si="23"/>
        <v>53.625</v>
      </c>
      <c r="AB29" s="72">
        <f t="shared" si="24"/>
        <v>26</v>
      </c>
      <c r="AC29" s="73" t="s">
        <v>807</v>
      </c>
      <c r="AD29" s="73" t="s">
        <v>807</v>
      </c>
      <c r="AE29" s="73" t="s">
        <v>807</v>
      </c>
      <c r="AF29" s="74">
        <v>22</v>
      </c>
      <c r="AG29" s="74">
        <v>0</v>
      </c>
      <c r="AH29" s="74">
        <v>36</v>
      </c>
      <c r="AI29" s="75"/>
      <c r="AK29" s="66">
        <v>27</v>
      </c>
      <c r="AL29" s="66">
        <v>18190026</v>
      </c>
      <c r="AM29" s="79" t="s">
        <v>261</v>
      </c>
      <c r="AN29" s="68">
        <v>74.5</v>
      </c>
      <c r="AO29" s="68">
        <v>40</v>
      </c>
      <c r="AP29" s="68">
        <v>56</v>
      </c>
      <c r="AQ29" s="68">
        <v>40</v>
      </c>
      <c r="AR29" s="68">
        <v>64.5</v>
      </c>
      <c r="AS29" s="68">
        <v>25</v>
      </c>
      <c r="AT29" s="68">
        <v>53.8</v>
      </c>
      <c r="AU29" s="68">
        <v>51.5</v>
      </c>
      <c r="AV29" s="68">
        <v>34</v>
      </c>
      <c r="AW29" s="68">
        <v>35.5</v>
      </c>
      <c r="AX29" s="68">
        <v>55</v>
      </c>
      <c r="AY29" s="68">
        <v>52</v>
      </c>
      <c r="AZ29" s="68">
        <v>79</v>
      </c>
      <c r="BA29" s="76">
        <v>70</v>
      </c>
      <c r="BB29" s="76">
        <v>40</v>
      </c>
      <c r="BC29" s="76">
        <v>60</v>
      </c>
      <c r="BD29" s="240">
        <v>95</v>
      </c>
      <c r="BE29" s="240">
        <v>97.5</v>
      </c>
      <c r="BF29" s="240">
        <v>51.5</v>
      </c>
      <c r="BG29" s="240">
        <v>95</v>
      </c>
      <c r="BH29" s="240">
        <v>95</v>
      </c>
      <c r="BI29" s="240">
        <v>92.5</v>
      </c>
      <c r="BJ29" s="70">
        <f t="shared" si="25"/>
        <v>830.8</v>
      </c>
      <c r="BK29" s="71">
        <f t="shared" si="26"/>
        <v>51.924999999999997</v>
      </c>
      <c r="BL29" s="72" t="e">
        <f t="shared" si="27"/>
        <v>#N/A</v>
      </c>
      <c r="BM29" s="73"/>
      <c r="BN29" s="73"/>
      <c r="BO29" s="73"/>
      <c r="BP29" s="74"/>
      <c r="BQ29" s="74"/>
      <c r="BR29" s="74"/>
      <c r="BS29" s="75"/>
    </row>
    <row r="30" spans="1:71" ht="23.1" customHeight="1">
      <c r="A30" s="66">
        <v>27</v>
      </c>
      <c r="B30" s="66">
        <v>18190015</v>
      </c>
      <c r="C30" s="77" t="s">
        <v>237</v>
      </c>
      <c r="D30" s="68">
        <f t="shared" si="0"/>
        <v>81</v>
      </c>
      <c r="E30" s="68">
        <f t="shared" si="1"/>
        <v>42</v>
      </c>
      <c r="F30" s="68">
        <f t="shared" si="2"/>
        <v>61</v>
      </c>
      <c r="G30" s="68">
        <f t="shared" si="3"/>
        <v>42</v>
      </c>
      <c r="H30" s="68">
        <f t="shared" si="4"/>
        <v>47</v>
      </c>
      <c r="I30" s="68">
        <f t="shared" si="5"/>
        <v>40</v>
      </c>
      <c r="J30" s="68">
        <f t="shared" si="6"/>
        <v>40</v>
      </c>
      <c r="K30" s="68">
        <f t="shared" si="7"/>
        <v>58</v>
      </c>
      <c r="L30" s="68">
        <f t="shared" si="8"/>
        <v>51</v>
      </c>
      <c r="M30" s="68">
        <f t="shared" si="9"/>
        <v>51</v>
      </c>
      <c r="N30" s="68">
        <f t="shared" si="10"/>
        <v>66</v>
      </c>
      <c r="O30" s="68">
        <f t="shared" si="11"/>
        <v>54</v>
      </c>
      <c r="P30" s="68">
        <f t="shared" si="12"/>
        <v>63</v>
      </c>
      <c r="Q30" s="69">
        <f t="shared" si="13"/>
        <v>50</v>
      </c>
      <c r="R30" s="69">
        <f t="shared" si="14"/>
        <v>0</v>
      </c>
      <c r="S30" s="69">
        <f t="shared" si="15"/>
        <v>60</v>
      </c>
      <c r="T30" s="234">
        <f t="shared" si="16"/>
        <v>93</v>
      </c>
      <c r="U30" s="234">
        <f t="shared" si="17"/>
        <v>95</v>
      </c>
      <c r="V30" s="234">
        <f t="shared" si="18"/>
        <v>58</v>
      </c>
      <c r="W30" s="234">
        <f t="shared" si="19"/>
        <v>95</v>
      </c>
      <c r="X30" s="234">
        <f t="shared" si="20"/>
        <v>85</v>
      </c>
      <c r="Y30" s="234">
        <f t="shared" si="21"/>
        <v>88</v>
      </c>
      <c r="Z30" s="70">
        <f t="shared" si="22"/>
        <v>806</v>
      </c>
      <c r="AA30" s="71">
        <f t="shared" si="23"/>
        <v>50.375</v>
      </c>
      <c r="AB30" s="72">
        <f t="shared" si="24"/>
        <v>27</v>
      </c>
      <c r="AC30" s="73" t="s">
        <v>807</v>
      </c>
      <c r="AD30" s="73" t="s">
        <v>807</v>
      </c>
      <c r="AE30" s="73" t="s">
        <v>807</v>
      </c>
      <c r="AF30" s="74">
        <v>41</v>
      </c>
      <c r="AG30" s="74">
        <v>0</v>
      </c>
      <c r="AH30" s="74">
        <v>0</v>
      </c>
      <c r="AI30" s="75"/>
      <c r="AK30" s="66">
        <v>3</v>
      </c>
      <c r="AL30" s="66">
        <v>18190015</v>
      </c>
      <c r="AM30" s="77" t="s">
        <v>237</v>
      </c>
      <c r="AN30" s="68">
        <v>81</v>
      </c>
      <c r="AO30" s="68">
        <v>42</v>
      </c>
      <c r="AP30" s="68">
        <v>61</v>
      </c>
      <c r="AQ30" s="68">
        <v>42</v>
      </c>
      <c r="AR30" s="68">
        <v>47</v>
      </c>
      <c r="AS30" s="68">
        <v>27</v>
      </c>
      <c r="AT30" s="68">
        <v>29.7</v>
      </c>
      <c r="AU30" s="68">
        <v>57.5</v>
      </c>
      <c r="AV30" s="68">
        <v>51</v>
      </c>
      <c r="AW30" s="68">
        <v>51</v>
      </c>
      <c r="AX30" s="68">
        <v>66</v>
      </c>
      <c r="AY30" s="68">
        <v>54</v>
      </c>
      <c r="AZ30" s="68">
        <v>63</v>
      </c>
      <c r="BA30" s="76">
        <v>50</v>
      </c>
      <c r="BB30" s="76">
        <v>0</v>
      </c>
      <c r="BC30" s="76">
        <v>60</v>
      </c>
      <c r="BD30" s="240">
        <v>92.5</v>
      </c>
      <c r="BE30" s="240">
        <v>95</v>
      </c>
      <c r="BF30" s="240">
        <v>57.5</v>
      </c>
      <c r="BG30" s="240">
        <v>95</v>
      </c>
      <c r="BH30" s="240">
        <v>85</v>
      </c>
      <c r="BI30" s="240">
        <v>87.5</v>
      </c>
      <c r="BJ30" s="70">
        <f t="shared" si="25"/>
        <v>782.2</v>
      </c>
      <c r="BK30" s="71">
        <f t="shared" si="26"/>
        <v>48.887500000000003</v>
      </c>
      <c r="BL30" s="72" t="e">
        <f t="shared" si="27"/>
        <v>#N/A</v>
      </c>
      <c r="BM30" s="73"/>
      <c r="BN30" s="73"/>
      <c r="BO30" s="73"/>
      <c r="BP30" s="74"/>
      <c r="BQ30" s="74"/>
      <c r="BR30" s="74"/>
      <c r="BS30" s="75"/>
    </row>
    <row r="31" spans="1:71">
      <c r="A31" s="267" t="s">
        <v>202</v>
      </c>
      <c r="B31" s="268"/>
      <c r="C31" s="269"/>
      <c r="D31" s="72">
        <f t="shared" ref="D31:S31" si="28">SUM(D4:D30)</f>
        <v>2271</v>
      </c>
      <c r="E31" s="72">
        <f t="shared" si="28"/>
        <v>1683</v>
      </c>
      <c r="F31" s="72">
        <f t="shared" si="28"/>
        <v>2146</v>
      </c>
      <c r="G31" s="72">
        <f t="shared" si="28"/>
        <v>1698</v>
      </c>
      <c r="H31" s="72">
        <f t="shared" si="28"/>
        <v>2046</v>
      </c>
      <c r="I31" s="72">
        <f t="shared" si="28"/>
        <v>1511</v>
      </c>
      <c r="J31" s="72">
        <f t="shared" si="28"/>
        <v>1787</v>
      </c>
      <c r="K31" s="72">
        <f t="shared" si="28"/>
        <v>2120</v>
      </c>
      <c r="L31" s="72">
        <f t="shared" si="28"/>
        <v>1987</v>
      </c>
      <c r="M31" s="72">
        <f t="shared" si="28"/>
        <v>1953</v>
      </c>
      <c r="N31" s="72">
        <f t="shared" si="28"/>
        <v>2420</v>
      </c>
      <c r="O31" s="72">
        <f t="shared" si="28"/>
        <v>1809</v>
      </c>
      <c r="P31" s="72">
        <f t="shared" si="28"/>
        <v>2125</v>
      </c>
      <c r="Q31" s="72">
        <f t="shared" si="28"/>
        <v>1915</v>
      </c>
      <c r="R31" s="72">
        <f t="shared" si="28"/>
        <v>2240</v>
      </c>
      <c r="S31" s="72">
        <f t="shared" si="28"/>
        <v>2320</v>
      </c>
      <c r="T31" s="72"/>
      <c r="U31" s="72"/>
      <c r="V31" s="72"/>
      <c r="W31" s="72"/>
      <c r="X31" s="72"/>
      <c r="Y31" s="72"/>
      <c r="Z31" s="72">
        <f t="shared" ref="Z31:Z32" si="29">SUM(D31:S31)</f>
        <v>32031</v>
      </c>
      <c r="AA31" s="72">
        <f t="shared" ref="AA31:AA32" si="30">AVERAGE(D31:S31)</f>
        <v>2001.9375</v>
      </c>
      <c r="AB31" s="72" t="e">
        <f t="shared" ref="AB31:AB32" si="31">RANK(Z31,$Z$4:$Z$30)</f>
        <v>#N/A</v>
      </c>
      <c r="AC31" s="81"/>
      <c r="AD31" s="81"/>
      <c r="AE31" s="81"/>
      <c r="AF31" s="81"/>
      <c r="AG31" s="81"/>
      <c r="AH31" s="81"/>
      <c r="AI31" s="82"/>
      <c r="AK31" s="267" t="s">
        <v>202</v>
      </c>
      <c r="AL31" s="268"/>
      <c r="AM31" s="269"/>
      <c r="AN31" s="72">
        <f t="shared" ref="AN31:BC31" si="32">SUM(AN4:AN30)</f>
        <v>2269.1999999999998</v>
      </c>
      <c r="AO31" s="72">
        <f t="shared" si="32"/>
        <v>1683</v>
      </c>
      <c r="AP31" s="72">
        <f t="shared" si="32"/>
        <v>2140.6999999999998</v>
      </c>
      <c r="AQ31" s="72">
        <f t="shared" si="32"/>
        <v>1698</v>
      </c>
      <c r="AR31" s="72">
        <f t="shared" si="32"/>
        <v>2041.6</v>
      </c>
      <c r="AS31" s="72">
        <f t="shared" si="32"/>
        <v>1429.5</v>
      </c>
      <c r="AT31" s="72">
        <f t="shared" si="32"/>
        <v>1725.6000000000001</v>
      </c>
      <c r="AU31" s="72">
        <f t="shared" si="32"/>
        <v>2116</v>
      </c>
      <c r="AV31" s="72">
        <f t="shared" si="32"/>
        <v>1978.8</v>
      </c>
      <c r="AW31" s="72">
        <f t="shared" si="32"/>
        <v>1946.6</v>
      </c>
      <c r="AX31" s="72">
        <f t="shared" si="32"/>
        <v>2424.4</v>
      </c>
      <c r="AY31" s="72">
        <f t="shared" si="32"/>
        <v>1806.6</v>
      </c>
      <c r="AZ31" s="72">
        <f t="shared" si="32"/>
        <v>2121.6</v>
      </c>
      <c r="BA31" s="72">
        <f t="shared" si="32"/>
        <v>1915</v>
      </c>
      <c r="BB31" s="72">
        <f t="shared" si="32"/>
        <v>2240</v>
      </c>
      <c r="BC31" s="72">
        <f t="shared" si="32"/>
        <v>2320</v>
      </c>
      <c r="BD31" s="72"/>
      <c r="BE31" s="72"/>
      <c r="BF31" s="72"/>
      <c r="BG31" s="72"/>
      <c r="BH31" s="72"/>
      <c r="BI31" s="72"/>
      <c r="BJ31" s="72">
        <f t="shared" ref="BJ31:BJ32" si="33">SUM(AN31:BC31)</f>
        <v>31856.6</v>
      </c>
      <c r="BK31" s="72">
        <f t="shared" ref="BK31:BK32" si="34">AVERAGE(AN31:BC31)</f>
        <v>1991.0374999999999</v>
      </c>
      <c r="BL31" s="72" t="e">
        <f t="shared" ref="BL31:BL32" si="35">RANK(BJ31,$Z$4:$Z$30)</f>
        <v>#N/A</v>
      </c>
      <c r="BM31" s="81"/>
      <c r="BN31" s="81"/>
      <c r="BO31" s="81"/>
      <c r="BP31" s="81"/>
      <c r="BQ31" s="81"/>
      <c r="BR31" s="81"/>
      <c r="BS31" s="82"/>
    </row>
    <row r="32" spans="1:71">
      <c r="A32" s="267" t="s">
        <v>203</v>
      </c>
      <c r="B32" s="268"/>
      <c r="C32" s="269"/>
      <c r="D32" s="72">
        <f t="shared" ref="D32:S32" si="36">AVERAGE(D4:D30)</f>
        <v>84.111111111111114</v>
      </c>
      <c r="E32" s="72">
        <f t="shared" si="36"/>
        <v>62.333333333333336</v>
      </c>
      <c r="F32" s="72">
        <f t="shared" si="36"/>
        <v>79.481481481481481</v>
      </c>
      <c r="G32" s="72">
        <f t="shared" si="36"/>
        <v>62.888888888888886</v>
      </c>
      <c r="H32" s="72">
        <f t="shared" si="36"/>
        <v>75.777777777777771</v>
      </c>
      <c r="I32" s="72">
        <f t="shared" si="36"/>
        <v>55.962962962962962</v>
      </c>
      <c r="J32" s="72">
        <f t="shared" si="36"/>
        <v>66.18518518518519</v>
      </c>
      <c r="K32" s="72">
        <f t="shared" si="36"/>
        <v>78.518518518518519</v>
      </c>
      <c r="L32" s="72">
        <f t="shared" si="36"/>
        <v>73.592592592592595</v>
      </c>
      <c r="M32" s="72">
        <f t="shared" si="36"/>
        <v>72.333333333333329</v>
      </c>
      <c r="N32" s="72">
        <f t="shared" si="36"/>
        <v>89.629629629629633</v>
      </c>
      <c r="O32" s="72">
        <f t="shared" si="36"/>
        <v>67</v>
      </c>
      <c r="P32" s="72">
        <f t="shared" si="36"/>
        <v>78.703703703703709</v>
      </c>
      <c r="Q32" s="72">
        <f t="shared" si="36"/>
        <v>70.925925925925924</v>
      </c>
      <c r="R32" s="72">
        <f t="shared" si="36"/>
        <v>82.962962962962962</v>
      </c>
      <c r="S32" s="72">
        <f t="shared" si="36"/>
        <v>85.925925925925924</v>
      </c>
      <c r="T32" s="72"/>
      <c r="U32" s="72"/>
      <c r="V32" s="72"/>
      <c r="W32" s="72"/>
      <c r="X32" s="72"/>
      <c r="Y32" s="72"/>
      <c r="Z32" s="72">
        <f t="shared" si="29"/>
        <v>1186.3333333333335</v>
      </c>
      <c r="AA32" s="72">
        <f t="shared" si="30"/>
        <v>74.145833333333343</v>
      </c>
      <c r="AB32" s="72" t="e">
        <f t="shared" si="31"/>
        <v>#N/A</v>
      </c>
      <c r="AC32" s="81"/>
      <c r="AD32" s="81"/>
      <c r="AE32" s="81"/>
      <c r="AF32" s="81"/>
      <c r="AG32" s="81"/>
      <c r="AH32" s="81"/>
      <c r="AI32" s="82"/>
      <c r="AK32" s="267" t="s">
        <v>203</v>
      </c>
      <c r="AL32" s="268"/>
      <c r="AM32" s="269"/>
      <c r="AN32" s="72">
        <f t="shared" ref="AN32:BC32" si="37">AVERAGE(AN4:AN30)</f>
        <v>84.044444444444437</v>
      </c>
      <c r="AO32" s="72">
        <f t="shared" si="37"/>
        <v>62.333333333333336</v>
      </c>
      <c r="AP32" s="72">
        <f t="shared" si="37"/>
        <v>79.285185185185185</v>
      </c>
      <c r="AQ32" s="72">
        <f t="shared" si="37"/>
        <v>62.888888888888886</v>
      </c>
      <c r="AR32" s="72">
        <f t="shared" si="37"/>
        <v>75.614814814814807</v>
      </c>
      <c r="AS32" s="72">
        <f t="shared" si="37"/>
        <v>52.944444444444443</v>
      </c>
      <c r="AT32" s="72">
        <f t="shared" si="37"/>
        <v>63.911111111111119</v>
      </c>
      <c r="AU32" s="72">
        <f t="shared" si="37"/>
        <v>78.370370370370367</v>
      </c>
      <c r="AV32" s="72">
        <f t="shared" si="37"/>
        <v>73.288888888888891</v>
      </c>
      <c r="AW32" s="72">
        <f t="shared" si="37"/>
        <v>72.096296296296288</v>
      </c>
      <c r="AX32" s="72">
        <f t="shared" si="37"/>
        <v>89.792592592592598</v>
      </c>
      <c r="AY32" s="72">
        <f t="shared" si="37"/>
        <v>66.911111111111111</v>
      </c>
      <c r="AZ32" s="72">
        <f t="shared" si="37"/>
        <v>78.577777777777769</v>
      </c>
      <c r="BA32" s="72">
        <f t="shared" si="37"/>
        <v>70.925925925925924</v>
      </c>
      <c r="BB32" s="72">
        <f t="shared" si="37"/>
        <v>82.962962962962962</v>
      </c>
      <c r="BC32" s="72">
        <f t="shared" si="37"/>
        <v>85.925925925925924</v>
      </c>
      <c r="BD32" s="72"/>
      <c r="BE32" s="72"/>
      <c r="BF32" s="72"/>
      <c r="BG32" s="72"/>
      <c r="BH32" s="72"/>
      <c r="BI32" s="72"/>
      <c r="BJ32" s="72">
        <f t="shared" si="33"/>
        <v>1179.8740740740741</v>
      </c>
      <c r="BK32" s="72">
        <f t="shared" si="34"/>
        <v>73.74212962962963</v>
      </c>
      <c r="BL32" s="72" t="e">
        <f t="shared" si="35"/>
        <v>#N/A</v>
      </c>
      <c r="BM32" s="81"/>
      <c r="BN32" s="81"/>
      <c r="BO32" s="81"/>
      <c r="BP32" s="81"/>
      <c r="BQ32" s="81"/>
      <c r="BR32" s="81"/>
      <c r="BS32" s="82"/>
    </row>
    <row r="33" spans="1:70" s="83" customFormat="1">
      <c r="A33" s="83">
        <v>1</v>
      </c>
      <c r="B33" s="83">
        <v>2</v>
      </c>
      <c r="C33" s="83">
        <v>3</v>
      </c>
      <c r="D33" s="83">
        <v>4</v>
      </c>
      <c r="E33" s="83">
        <v>5</v>
      </c>
      <c r="F33" s="83">
        <v>6</v>
      </c>
      <c r="G33" s="83">
        <v>7</v>
      </c>
      <c r="H33" s="83">
        <v>8</v>
      </c>
      <c r="I33" s="83">
        <v>9</v>
      </c>
      <c r="J33" s="83">
        <v>10</v>
      </c>
      <c r="K33" s="83">
        <v>11</v>
      </c>
      <c r="L33" s="83">
        <v>12</v>
      </c>
      <c r="M33" s="83">
        <v>13</v>
      </c>
      <c r="N33" s="83">
        <v>14</v>
      </c>
      <c r="O33" s="83">
        <v>15</v>
      </c>
      <c r="P33" s="83">
        <v>16</v>
      </c>
      <c r="Q33" s="83">
        <v>17</v>
      </c>
      <c r="R33" s="83">
        <v>18</v>
      </c>
      <c r="S33" s="83">
        <v>19</v>
      </c>
      <c r="T33" s="83">
        <v>20</v>
      </c>
      <c r="U33" s="83">
        <v>21</v>
      </c>
      <c r="V33" s="83">
        <v>22</v>
      </c>
      <c r="W33" s="83">
        <v>23</v>
      </c>
      <c r="X33" s="83">
        <v>24</v>
      </c>
      <c r="Y33" s="83">
        <v>25</v>
      </c>
      <c r="Z33" s="83">
        <v>26</v>
      </c>
      <c r="AA33" s="83">
        <v>27</v>
      </c>
      <c r="AB33" s="83">
        <v>28</v>
      </c>
      <c r="AC33" s="83">
        <v>29</v>
      </c>
      <c r="AD33" s="83">
        <v>30</v>
      </c>
      <c r="AE33" s="83">
        <v>31</v>
      </c>
      <c r="AF33" s="83">
        <v>32</v>
      </c>
      <c r="AG33" s="83">
        <v>33</v>
      </c>
      <c r="AH33" s="83">
        <v>34</v>
      </c>
      <c r="AK33" s="83">
        <v>1</v>
      </c>
      <c r="AL33" s="83">
        <v>2</v>
      </c>
      <c r="AM33" s="83">
        <v>3</v>
      </c>
      <c r="AN33" s="83">
        <v>4</v>
      </c>
      <c r="AO33" s="83">
        <v>5</v>
      </c>
      <c r="AP33" s="83">
        <v>6</v>
      </c>
      <c r="AQ33" s="83">
        <v>7</v>
      </c>
      <c r="AR33" s="83">
        <v>8</v>
      </c>
      <c r="AS33" s="83">
        <v>9</v>
      </c>
      <c r="AT33" s="83">
        <v>10</v>
      </c>
      <c r="AU33" s="83">
        <v>11</v>
      </c>
      <c r="AV33" s="83">
        <v>12</v>
      </c>
      <c r="AW33" s="83">
        <v>13</v>
      </c>
      <c r="AX33" s="83">
        <v>14</v>
      </c>
      <c r="AY33" s="83">
        <v>15</v>
      </c>
      <c r="AZ33" s="83">
        <v>16</v>
      </c>
      <c r="BA33" s="83">
        <v>17</v>
      </c>
      <c r="BB33" s="83">
        <v>18</v>
      </c>
      <c r="BC33" s="83">
        <v>19</v>
      </c>
      <c r="BJ33" s="83">
        <v>22</v>
      </c>
      <c r="BK33" s="83">
        <v>23</v>
      </c>
      <c r="BL33" s="83">
        <v>24</v>
      </c>
      <c r="BM33" s="83">
        <v>25</v>
      </c>
      <c r="BN33" s="83">
        <v>26</v>
      </c>
      <c r="BO33" s="83">
        <v>27</v>
      </c>
      <c r="BP33" s="83">
        <v>28</v>
      </c>
      <c r="BQ33" s="83">
        <v>29</v>
      </c>
      <c r="BR33" s="83">
        <v>30</v>
      </c>
    </row>
    <row r="35" spans="1:70" ht="18.600000000000001" customHeight="1">
      <c r="A35" s="84" t="s">
        <v>204</v>
      </c>
      <c r="C35" s="85"/>
      <c r="D35" s="85"/>
      <c r="E35" s="85"/>
      <c r="F35" s="85"/>
      <c r="G35" s="85"/>
      <c r="H35" s="85"/>
      <c r="I35" s="85"/>
    </row>
    <row r="36" spans="1:70">
      <c r="A36" s="86"/>
      <c r="B36" s="86"/>
      <c r="C36" s="60" t="s">
        <v>205</v>
      </c>
    </row>
    <row r="37" spans="1:70">
      <c r="A37" s="87"/>
      <c r="B37" s="87"/>
      <c r="C37" s="60" t="s">
        <v>206</v>
      </c>
    </row>
    <row r="38" spans="1:70">
      <c r="A38" s="88"/>
      <c r="B38" s="88"/>
      <c r="C38" s="60" t="s">
        <v>207</v>
      </c>
    </row>
    <row r="39" spans="1:70">
      <c r="A39" s="89"/>
      <c r="B39" s="89"/>
      <c r="C39" s="60" t="s">
        <v>208</v>
      </c>
    </row>
  </sheetData>
  <sortState xmlns:xlrd2="http://schemas.microsoft.com/office/spreadsheetml/2017/richdata2" ref="B4:BS30">
    <sortCondition ref="AB4:AB30"/>
  </sortState>
  <mergeCells count="36">
    <mergeCell ref="A31:C31"/>
    <mergeCell ref="AK31:AM31"/>
    <mergeCell ref="A32:C32"/>
    <mergeCell ref="AK32:AM32"/>
    <mergeCell ref="AG2:AG3"/>
    <mergeCell ref="AH2:AH3"/>
    <mergeCell ref="AI2:AI3"/>
    <mergeCell ref="AK2:AK3"/>
    <mergeCell ref="AL2:AL3"/>
    <mergeCell ref="AM2:AM3"/>
    <mergeCell ref="AA2:AA3"/>
    <mergeCell ref="AB2:AB3"/>
    <mergeCell ref="AC2:AC3"/>
    <mergeCell ref="AD2:AD3"/>
    <mergeCell ref="AE2:AE3"/>
    <mergeCell ref="AF2:AF3"/>
    <mergeCell ref="BN2:BN3"/>
    <mergeCell ref="AN2:AY2"/>
    <mergeCell ref="BA2:BC2"/>
    <mergeCell ref="BJ2:BJ3"/>
    <mergeCell ref="BK2:BK3"/>
    <mergeCell ref="BL2:BL3"/>
    <mergeCell ref="BM2:BM3"/>
    <mergeCell ref="BD2:BI2"/>
    <mergeCell ref="BO2:BO3"/>
    <mergeCell ref="BP2:BP3"/>
    <mergeCell ref="BQ2:BQ3"/>
    <mergeCell ref="BR2:BR3"/>
    <mergeCell ref="BS2:BS3"/>
    <mergeCell ref="Z2:Z3"/>
    <mergeCell ref="A2:A3"/>
    <mergeCell ref="B2:B3"/>
    <mergeCell ref="C2:C3"/>
    <mergeCell ref="D2:O2"/>
    <mergeCell ref="Q2:S2"/>
    <mergeCell ref="T2:Y2"/>
  </mergeCells>
  <conditionalFormatting sqref="B4:B30">
    <cfRule type="duplicateValues" dxfId="1041" priority="60"/>
  </conditionalFormatting>
  <conditionalFormatting sqref="D4:Y30">
    <cfRule type="cellIs" dxfId="1040" priority="5" operator="lessThanOrEqual">
      <formula>59</formula>
    </cfRule>
  </conditionalFormatting>
  <conditionalFormatting sqref="BK4:BK32 AA4:AA32">
    <cfRule type="cellIs" dxfId="1039" priority="6" operator="lessThan">
      <formula>60</formula>
    </cfRule>
  </conditionalFormatting>
  <conditionalFormatting sqref="AB4:AB32">
    <cfRule type="duplicateValues" dxfId="1038" priority="63"/>
  </conditionalFormatting>
  <conditionalFormatting sqref="AL4:AL30">
    <cfRule type="duplicateValues" dxfId="1037" priority="65"/>
  </conditionalFormatting>
  <conditionalFormatting sqref="AN4:BI30">
    <cfRule type="cellIs" dxfId="1036" priority="1" operator="lessThanOrEqual">
      <formula>59</formula>
    </cfRule>
  </conditionalFormatting>
  <conditionalFormatting sqref="BL4:BL32">
    <cfRule type="duplicateValues" dxfId="1035" priority="68"/>
  </conditionalFormatting>
  <printOptions horizontalCentered="1"/>
  <pageMargins left="0.37" right="0.12" top="0.74803149606299202" bottom="0.34" header="0.31496062992126" footer="0.31496062992126"/>
  <pageSetup paperSize="10000" scale="75" orientation="landscape" horizontalDpi="203" verticalDpi="20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C6BD4-99F9-4B0F-A507-5F470C6BABF5}">
  <sheetPr codeName="Sheet6">
    <tabColor theme="1" tint="0.499984740745262"/>
  </sheetPr>
  <dimension ref="A1:BW36"/>
  <sheetViews>
    <sheetView topLeftCell="A8" zoomScale="55" zoomScaleNormal="55" workbookViewId="0">
      <selection activeCell="B4" sqref="B4:BW27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7" width="5.42578125" style="60" customWidth="1"/>
    <col min="28" max="30" width="7.140625" style="60" customWidth="1"/>
    <col min="31" max="37" width="5.42578125" style="60" customWidth="1"/>
    <col min="38" max="38" width="9.140625" style="60"/>
    <col min="39" max="39" width="9.28515625" style="60" bestFit="1" customWidth="1"/>
    <col min="40" max="40" width="11.140625" style="60" bestFit="1" customWidth="1"/>
    <col min="41" max="41" width="35.42578125" style="60" bestFit="1" customWidth="1"/>
    <col min="42" max="42" width="9.28515625" style="60" bestFit="1" customWidth="1"/>
    <col min="43" max="16384" width="9.140625" style="60"/>
  </cols>
  <sheetData>
    <row r="1" spans="1:75" ht="26.25">
      <c r="A1" s="59" t="s">
        <v>286</v>
      </c>
      <c r="AM1" s="59" t="s">
        <v>286</v>
      </c>
    </row>
    <row r="2" spans="1:75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62"/>
      <c r="Q2" s="286" t="s">
        <v>154</v>
      </c>
      <c r="R2" s="286"/>
      <c r="S2" s="286"/>
      <c r="T2" s="286"/>
      <c r="U2" s="287"/>
      <c r="V2" s="283" t="s">
        <v>798</v>
      </c>
      <c r="W2" s="284"/>
      <c r="X2" s="284"/>
      <c r="Y2" s="284"/>
      <c r="Z2" s="284"/>
      <c r="AA2" s="285"/>
      <c r="AB2" s="276" t="s">
        <v>155</v>
      </c>
      <c r="AC2" s="276" t="s">
        <v>156</v>
      </c>
      <c r="AD2" s="276" t="s">
        <v>157</v>
      </c>
      <c r="AE2" s="270" t="s">
        <v>158</v>
      </c>
      <c r="AF2" s="270" t="s">
        <v>159</v>
      </c>
      <c r="AG2" s="270" t="s">
        <v>160</v>
      </c>
      <c r="AH2" s="278" t="s">
        <v>161</v>
      </c>
      <c r="AI2" s="278" t="s">
        <v>162</v>
      </c>
      <c r="AJ2" s="278" t="s">
        <v>163</v>
      </c>
      <c r="AK2" s="280" t="s">
        <v>164</v>
      </c>
      <c r="AM2" s="281" t="s">
        <v>151</v>
      </c>
      <c r="AN2" s="281" t="s">
        <v>152</v>
      </c>
      <c r="AO2" s="281" t="s">
        <v>0</v>
      </c>
      <c r="AP2" s="272" t="s">
        <v>153</v>
      </c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62"/>
      <c r="BC2" s="274" t="s">
        <v>154</v>
      </c>
      <c r="BD2" s="274"/>
      <c r="BE2" s="274"/>
      <c r="BF2" s="274"/>
      <c r="BG2" s="275"/>
      <c r="BH2" s="283" t="s">
        <v>798</v>
      </c>
      <c r="BI2" s="284"/>
      <c r="BJ2" s="284"/>
      <c r="BK2" s="284"/>
      <c r="BL2" s="284"/>
      <c r="BM2" s="285"/>
      <c r="BN2" s="276" t="s">
        <v>155</v>
      </c>
      <c r="BO2" s="276" t="s">
        <v>156</v>
      </c>
      <c r="BP2" s="276" t="s">
        <v>157</v>
      </c>
      <c r="BQ2" s="270" t="s">
        <v>158</v>
      </c>
      <c r="BR2" s="270" t="s">
        <v>159</v>
      </c>
      <c r="BS2" s="270" t="s">
        <v>160</v>
      </c>
      <c r="BT2" s="278" t="s">
        <v>161</v>
      </c>
      <c r="BU2" s="278" t="s">
        <v>162</v>
      </c>
      <c r="BV2" s="278" t="s">
        <v>163</v>
      </c>
      <c r="BW2" s="280" t="s">
        <v>164</v>
      </c>
    </row>
    <row r="3" spans="1:75" ht="99.75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4" t="s">
        <v>14</v>
      </c>
      <c r="R3" s="64" t="s">
        <v>22</v>
      </c>
      <c r="S3" s="64" t="s">
        <v>85</v>
      </c>
      <c r="T3" s="64" t="s">
        <v>87</v>
      </c>
      <c r="U3" s="64" t="s">
        <v>20</v>
      </c>
      <c r="V3" s="233" t="s">
        <v>799</v>
      </c>
      <c r="W3" s="233" t="s">
        <v>800</v>
      </c>
      <c r="X3" s="233" t="s">
        <v>801</v>
      </c>
      <c r="Y3" s="233" t="s">
        <v>802</v>
      </c>
      <c r="Z3" s="233" t="s">
        <v>803</v>
      </c>
      <c r="AA3" s="233" t="s">
        <v>804</v>
      </c>
      <c r="AB3" s="277"/>
      <c r="AC3" s="277"/>
      <c r="AD3" s="277"/>
      <c r="AE3" s="271"/>
      <c r="AF3" s="271"/>
      <c r="AG3" s="271"/>
      <c r="AH3" s="279"/>
      <c r="AI3" s="279"/>
      <c r="AJ3" s="279"/>
      <c r="AK3" s="280"/>
      <c r="AM3" s="282"/>
      <c r="AN3" s="282"/>
      <c r="AO3" s="282"/>
      <c r="AP3" s="63" t="s">
        <v>20</v>
      </c>
      <c r="AQ3" s="63" t="s">
        <v>22</v>
      </c>
      <c r="AR3" s="63" t="s">
        <v>165</v>
      </c>
      <c r="AS3" s="63" t="s">
        <v>166</v>
      </c>
      <c r="AT3" s="63" t="s">
        <v>167</v>
      </c>
      <c r="AU3" s="63" t="s">
        <v>168</v>
      </c>
      <c r="AV3" s="63" t="s">
        <v>169</v>
      </c>
      <c r="AW3" s="63" t="s">
        <v>170</v>
      </c>
      <c r="AX3" s="63" t="s">
        <v>14</v>
      </c>
      <c r="AY3" s="63" t="s">
        <v>120</v>
      </c>
      <c r="AZ3" s="63" t="s">
        <v>171</v>
      </c>
      <c r="BA3" s="63" t="s">
        <v>172</v>
      </c>
      <c r="BB3" s="63" t="s">
        <v>55</v>
      </c>
      <c r="BC3" s="65" t="s">
        <v>14</v>
      </c>
      <c r="BD3" s="65" t="s">
        <v>22</v>
      </c>
      <c r="BE3" s="65" t="s">
        <v>85</v>
      </c>
      <c r="BF3" s="65" t="s">
        <v>87</v>
      </c>
      <c r="BG3" s="65" t="s">
        <v>20</v>
      </c>
      <c r="BH3" s="233" t="s">
        <v>799</v>
      </c>
      <c r="BI3" s="233" t="s">
        <v>800</v>
      </c>
      <c r="BJ3" s="233" t="s">
        <v>801</v>
      </c>
      <c r="BK3" s="233" t="s">
        <v>802</v>
      </c>
      <c r="BL3" s="233" t="s">
        <v>803</v>
      </c>
      <c r="BM3" s="233" t="s">
        <v>804</v>
      </c>
      <c r="BN3" s="277"/>
      <c r="BO3" s="277"/>
      <c r="BP3" s="277"/>
      <c r="BQ3" s="271"/>
      <c r="BR3" s="271"/>
      <c r="BS3" s="271"/>
      <c r="BT3" s="279"/>
      <c r="BU3" s="279"/>
      <c r="BV3" s="279"/>
      <c r="BW3" s="280"/>
    </row>
    <row r="4" spans="1:75" ht="27.95" customHeight="1">
      <c r="A4" s="66">
        <v>1</v>
      </c>
      <c r="B4" s="91">
        <v>20210086</v>
      </c>
      <c r="C4" s="92" t="s">
        <v>279</v>
      </c>
      <c r="D4" s="68">
        <f t="shared" ref="D4:D27" si="0">ROUND(IF(AP4=0,0,MIN(MAX(AP4,40),99)),0)</f>
        <v>94</v>
      </c>
      <c r="E4" s="68">
        <f t="shared" ref="E4:E27" si="1">ROUND(IF(AQ4=0,0,MIN(MAX(AQ4,40),99)),0)</f>
        <v>99</v>
      </c>
      <c r="F4" s="68">
        <f t="shared" ref="F4:F27" si="2">ROUND(IF(AR4=0,0,MIN(MAX(AR4,40),99)),0)</f>
        <v>94</v>
      </c>
      <c r="G4" s="68">
        <f t="shared" ref="G4:G27" si="3">ROUND(IF(AS4=0,0,MIN(MAX(AS4,40),99)),0)</f>
        <v>97</v>
      </c>
      <c r="H4" s="68">
        <f t="shared" ref="H4:H27" si="4">ROUND(IF(AT4=0,0,MIN(MAX(AT4,40),99)),0)</f>
        <v>94</v>
      </c>
      <c r="I4" s="68">
        <f t="shared" ref="I4:I27" si="5">ROUND(IF(AU4=0,0,MIN(MAX(AU4,40),99)),0)</f>
        <v>91</v>
      </c>
      <c r="J4" s="68">
        <f t="shared" ref="J4:J27" si="6">ROUND(IF(AV4=0,0,MIN(MAX(AV4,40),99)),0)</f>
        <v>91</v>
      </c>
      <c r="K4" s="68">
        <f t="shared" ref="K4:K27" si="7">ROUND(IF(AW4=0,0,MIN(MAX(AW4,40),99)),0)</f>
        <v>81</v>
      </c>
      <c r="L4" s="68">
        <f t="shared" ref="L4:L27" si="8">ROUND(IF(AX4=0,0,MIN(MAX(AX4,40),99)),0)</f>
        <v>99</v>
      </c>
      <c r="M4" s="68">
        <f t="shared" ref="M4:M27" si="9">ROUND(IF(AY4=0,0,MIN(MAX(AY4,40),99)),0)</f>
        <v>96</v>
      </c>
      <c r="N4" s="68">
        <f t="shared" ref="N4:N27" si="10">ROUND(IF(AZ4=0,0,MIN(MAX(AZ4,40),99)),0)</f>
        <v>96</v>
      </c>
      <c r="O4" s="68">
        <f t="shared" ref="O4:O27" si="11">ROUND(IF(BA4=0,0,MIN(MAX(BA4,40),99)),0)</f>
        <v>90</v>
      </c>
      <c r="P4" s="68">
        <f t="shared" ref="P4:P27" si="12">ROUND(IF(BB4=0,0,MIN(MAX(BB4,40),99)),0)</f>
        <v>91</v>
      </c>
      <c r="Q4" s="69">
        <f t="shared" ref="Q4:Q27" si="13">ROUND(IF(BC4=0,0,MIN(MAX(BC4,40),99)),0)</f>
        <v>85</v>
      </c>
      <c r="R4" s="69">
        <f t="shared" ref="R4:R27" si="14">ROUND(IF(BD4=0,0,MIN(MAX(BD4,40),99)),0)</f>
        <v>99</v>
      </c>
      <c r="S4" s="69">
        <f t="shared" ref="S4:S27" si="15">ROUND(IF(BE4=0,0,MIN(MAX(BE4,40),99)),0)</f>
        <v>95</v>
      </c>
      <c r="T4" s="69">
        <f t="shared" ref="T4:T27" si="16">ROUND(IF(BF4=0,0,MIN(MAX(BF4,40),99)),0)</f>
        <v>95</v>
      </c>
      <c r="U4" s="69">
        <f t="shared" ref="U4:U27" si="17">ROUND(IF(BG4=0,0,MIN(MAX(BG4,40),99)),0)</f>
        <v>90</v>
      </c>
      <c r="V4" s="234">
        <f t="shared" ref="V4:V27" si="18">ROUND(IF(BH4=0,0,MIN(MAX(BH4,40),99)),0)</f>
        <v>93</v>
      </c>
      <c r="W4" s="234">
        <f t="shared" ref="W4:W27" si="19">ROUND(IF(BI4=0,0,MIN(MAX(BI4,40),99)),0)</f>
        <v>99</v>
      </c>
      <c r="X4" s="234">
        <f t="shared" ref="X4:X27" si="20">ROUND(IF(BJ4=0,0,MIN(MAX(BJ4,40),99)),0)</f>
        <v>81</v>
      </c>
      <c r="Y4" s="234">
        <f t="shared" ref="Y4:Y27" si="21">ROUND(IF(BK4=0,0,MIN(MAX(BK4,40),99)),0)</f>
        <v>90</v>
      </c>
      <c r="Z4" s="234">
        <f t="shared" ref="Z4:Z27" si="22">ROUND(IF(BL4=0,0,MIN(MAX(BL4,40),99)),0)</f>
        <v>85</v>
      </c>
      <c r="AA4" s="234">
        <f t="shared" ref="AA4:AA27" si="23">ROUND(IF(BM4=0,0,MIN(MAX(BM4,40),99)),0)</f>
        <v>88</v>
      </c>
      <c r="AB4" s="70">
        <f t="shared" ref="AB4:AB27" si="24">SUM(D4:U4)</f>
        <v>1677</v>
      </c>
      <c r="AC4" s="71">
        <f t="shared" ref="AC4:AC27" si="25">AVERAGE(D4:U4)</f>
        <v>93.166666666666671</v>
      </c>
      <c r="AD4" s="72">
        <f t="shared" ref="AD4:AD27" si="26">RANK(AB4,$AB$4:$AB$27)</f>
        <v>1</v>
      </c>
      <c r="AE4" s="73" t="s">
        <v>805</v>
      </c>
      <c r="AF4" s="73" t="s">
        <v>805</v>
      </c>
      <c r="AG4" s="73" t="s">
        <v>805</v>
      </c>
      <c r="AH4" s="74">
        <v>0</v>
      </c>
      <c r="AI4" s="74">
        <v>0</v>
      </c>
      <c r="AJ4" s="74">
        <v>0</v>
      </c>
      <c r="AK4" s="75"/>
      <c r="AM4" s="66">
        <v>18</v>
      </c>
      <c r="AN4" s="66">
        <v>20210086</v>
      </c>
      <c r="AO4" s="77" t="s">
        <v>279</v>
      </c>
      <c r="AP4" s="68">
        <v>94</v>
      </c>
      <c r="AQ4" s="68">
        <v>99</v>
      </c>
      <c r="AR4" s="68">
        <v>94</v>
      </c>
      <c r="AS4" s="68">
        <v>96.5</v>
      </c>
      <c r="AT4" s="68">
        <v>94.3</v>
      </c>
      <c r="AU4" s="68">
        <v>91</v>
      </c>
      <c r="AV4" s="68">
        <v>91</v>
      </c>
      <c r="AW4" s="68">
        <v>80.5</v>
      </c>
      <c r="AX4" s="68">
        <v>98.7</v>
      </c>
      <c r="AY4" s="68">
        <v>95.899999999999991</v>
      </c>
      <c r="AZ4" s="68">
        <v>95.8</v>
      </c>
      <c r="BA4" s="68">
        <v>90</v>
      </c>
      <c r="BB4" s="68">
        <v>91</v>
      </c>
      <c r="BC4" s="76">
        <v>85</v>
      </c>
      <c r="BD4" s="76">
        <v>100</v>
      </c>
      <c r="BE4" s="76">
        <v>95</v>
      </c>
      <c r="BF4" s="76">
        <v>95</v>
      </c>
      <c r="BG4" s="76">
        <v>90</v>
      </c>
      <c r="BH4" s="234">
        <v>92.5</v>
      </c>
      <c r="BI4" s="234">
        <v>100</v>
      </c>
      <c r="BJ4" s="234">
        <v>80.5</v>
      </c>
      <c r="BK4" s="234">
        <v>90</v>
      </c>
      <c r="BL4" s="234">
        <v>85</v>
      </c>
      <c r="BM4" s="234">
        <v>87.5</v>
      </c>
      <c r="BN4" s="70">
        <f t="shared" ref="BN4:BN27" si="27">SUM(AP4:BG4)</f>
        <v>1676.7</v>
      </c>
      <c r="BO4" s="71">
        <f t="shared" ref="BO4:BO27" si="28">AVERAGE(AP4:BG4)</f>
        <v>93.15</v>
      </c>
      <c r="BP4" s="72" t="e">
        <f t="shared" ref="BP4:BP27" si="29">RANK(BN4,$AB$4:$AB$27)</f>
        <v>#N/A</v>
      </c>
      <c r="BQ4" s="73"/>
      <c r="BR4" s="73"/>
      <c r="BS4" s="73"/>
      <c r="BT4" s="74"/>
      <c r="BU4" s="74"/>
      <c r="BV4" s="74"/>
      <c r="BW4" s="75"/>
    </row>
    <row r="5" spans="1:75" ht="27.95" customHeight="1">
      <c r="A5" s="66">
        <v>2</v>
      </c>
      <c r="B5" s="91">
        <v>20210009</v>
      </c>
      <c r="C5" s="92" t="s">
        <v>269</v>
      </c>
      <c r="D5" s="68">
        <f t="shared" si="0"/>
        <v>87</v>
      </c>
      <c r="E5" s="68">
        <f t="shared" si="1"/>
        <v>99</v>
      </c>
      <c r="F5" s="68">
        <f t="shared" si="2"/>
        <v>94</v>
      </c>
      <c r="G5" s="68">
        <f t="shared" si="3"/>
        <v>94</v>
      </c>
      <c r="H5" s="68">
        <f t="shared" si="4"/>
        <v>88</v>
      </c>
      <c r="I5" s="68">
        <f t="shared" si="5"/>
        <v>91</v>
      </c>
      <c r="J5" s="68">
        <f t="shared" si="6"/>
        <v>94</v>
      </c>
      <c r="K5" s="68">
        <f t="shared" si="7"/>
        <v>79</v>
      </c>
      <c r="L5" s="68">
        <f t="shared" si="8"/>
        <v>94</v>
      </c>
      <c r="M5" s="68">
        <f t="shared" si="9"/>
        <v>92</v>
      </c>
      <c r="N5" s="68">
        <f t="shared" si="10"/>
        <v>85</v>
      </c>
      <c r="O5" s="68">
        <f t="shared" si="11"/>
        <v>89</v>
      </c>
      <c r="P5" s="68">
        <f t="shared" si="12"/>
        <v>91</v>
      </c>
      <c r="Q5" s="69">
        <f t="shared" si="13"/>
        <v>85</v>
      </c>
      <c r="R5" s="69">
        <f t="shared" si="14"/>
        <v>99</v>
      </c>
      <c r="S5" s="69">
        <f t="shared" si="15"/>
        <v>95</v>
      </c>
      <c r="T5" s="69">
        <f t="shared" si="16"/>
        <v>95</v>
      </c>
      <c r="U5" s="69">
        <f t="shared" si="17"/>
        <v>90</v>
      </c>
      <c r="V5" s="234">
        <f t="shared" si="18"/>
        <v>70</v>
      </c>
      <c r="W5" s="234">
        <f t="shared" si="19"/>
        <v>80</v>
      </c>
      <c r="X5" s="234">
        <f t="shared" si="20"/>
        <v>79</v>
      </c>
      <c r="Y5" s="234">
        <f t="shared" si="21"/>
        <v>83</v>
      </c>
      <c r="Z5" s="234">
        <f t="shared" si="22"/>
        <v>68</v>
      </c>
      <c r="AA5" s="234">
        <f t="shared" si="23"/>
        <v>90</v>
      </c>
      <c r="AB5" s="70">
        <f t="shared" si="24"/>
        <v>1641</v>
      </c>
      <c r="AC5" s="71">
        <f t="shared" si="25"/>
        <v>91.166666666666671</v>
      </c>
      <c r="AD5" s="72">
        <f t="shared" si="26"/>
        <v>2</v>
      </c>
      <c r="AE5" s="73" t="s">
        <v>805</v>
      </c>
      <c r="AF5" s="73" t="s">
        <v>805</v>
      </c>
      <c r="AG5" s="73" t="s">
        <v>805</v>
      </c>
      <c r="AH5" s="74">
        <v>9</v>
      </c>
      <c r="AI5" s="74">
        <v>0</v>
      </c>
      <c r="AJ5" s="74">
        <v>1</v>
      </c>
      <c r="AK5" s="75"/>
      <c r="AM5" s="66">
        <v>8</v>
      </c>
      <c r="AN5" s="66">
        <v>20210009</v>
      </c>
      <c r="AO5" s="79" t="s">
        <v>269</v>
      </c>
      <c r="AP5" s="68">
        <v>86.5</v>
      </c>
      <c r="AQ5" s="68">
        <v>99</v>
      </c>
      <c r="AR5" s="68">
        <v>94</v>
      </c>
      <c r="AS5" s="68">
        <v>94.399999999999991</v>
      </c>
      <c r="AT5" s="68">
        <v>88</v>
      </c>
      <c r="AU5" s="68">
        <v>91</v>
      </c>
      <c r="AV5" s="68">
        <v>93.699999999999989</v>
      </c>
      <c r="AW5" s="68">
        <v>79</v>
      </c>
      <c r="AX5" s="68">
        <v>93.7</v>
      </c>
      <c r="AY5" s="68">
        <v>91.699999999999989</v>
      </c>
      <c r="AZ5" s="68">
        <v>85</v>
      </c>
      <c r="BA5" s="68">
        <v>89</v>
      </c>
      <c r="BB5" s="68">
        <v>91</v>
      </c>
      <c r="BC5" s="76">
        <v>85</v>
      </c>
      <c r="BD5" s="76">
        <v>100</v>
      </c>
      <c r="BE5" s="76">
        <v>95</v>
      </c>
      <c r="BF5" s="76">
        <v>95</v>
      </c>
      <c r="BG5" s="76">
        <v>90</v>
      </c>
      <c r="BH5" s="234">
        <v>70</v>
      </c>
      <c r="BI5" s="234">
        <v>80</v>
      </c>
      <c r="BJ5" s="234">
        <v>79</v>
      </c>
      <c r="BK5" s="234">
        <v>82.5</v>
      </c>
      <c r="BL5" s="234">
        <v>67.5</v>
      </c>
      <c r="BM5" s="234">
        <v>90</v>
      </c>
      <c r="BN5" s="70">
        <f t="shared" si="27"/>
        <v>1641</v>
      </c>
      <c r="BO5" s="71">
        <f t="shared" si="28"/>
        <v>91.166666666666671</v>
      </c>
      <c r="BP5" s="72">
        <f t="shared" si="29"/>
        <v>2</v>
      </c>
      <c r="BQ5" s="73"/>
      <c r="BR5" s="73"/>
      <c r="BS5" s="73"/>
      <c r="BT5" s="74"/>
      <c r="BU5" s="74"/>
      <c r="BV5" s="74"/>
      <c r="BW5" s="75"/>
    </row>
    <row r="6" spans="1:75" ht="27.95" customHeight="1">
      <c r="A6" s="66">
        <v>3</v>
      </c>
      <c r="B6" s="66">
        <v>20210006</v>
      </c>
      <c r="C6" s="77" t="s">
        <v>271</v>
      </c>
      <c r="D6" s="68">
        <f t="shared" si="0"/>
        <v>84</v>
      </c>
      <c r="E6" s="68">
        <f t="shared" si="1"/>
        <v>99</v>
      </c>
      <c r="F6" s="68">
        <f t="shared" si="2"/>
        <v>93</v>
      </c>
      <c r="G6" s="68">
        <f t="shared" si="3"/>
        <v>88</v>
      </c>
      <c r="H6" s="68">
        <f t="shared" si="4"/>
        <v>88</v>
      </c>
      <c r="I6" s="68">
        <f t="shared" si="5"/>
        <v>96</v>
      </c>
      <c r="J6" s="68">
        <f t="shared" si="6"/>
        <v>91</v>
      </c>
      <c r="K6" s="68">
        <f t="shared" si="7"/>
        <v>79</v>
      </c>
      <c r="L6" s="68">
        <f t="shared" si="8"/>
        <v>90</v>
      </c>
      <c r="M6" s="68">
        <f t="shared" si="9"/>
        <v>85</v>
      </c>
      <c r="N6" s="68">
        <f t="shared" si="10"/>
        <v>97</v>
      </c>
      <c r="O6" s="68">
        <f t="shared" si="11"/>
        <v>88</v>
      </c>
      <c r="P6" s="68">
        <f t="shared" si="12"/>
        <v>87</v>
      </c>
      <c r="Q6" s="69">
        <f t="shared" si="13"/>
        <v>85</v>
      </c>
      <c r="R6" s="69">
        <f t="shared" si="14"/>
        <v>99</v>
      </c>
      <c r="S6" s="69">
        <f t="shared" si="15"/>
        <v>95</v>
      </c>
      <c r="T6" s="69">
        <f t="shared" si="16"/>
        <v>95</v>
      </c>
      <c r="U6" s="69">
        <f t="shared" si="17"/>
        <v>70</v>
      </c>
      <c r="V6" s="234">
        <f t="shared" si="18"/>
        <v>95</v>
      </c>
      <c r="W6" s="234">
        <f t="shared" si="19"/>
        <v>95</v>
      </c>
      <c r="X6" s="234">
        <f t="shared" si="20"/>
        <v>79</v>
      </c>
      <c r="Y6" s="234">
        <f t="shared" si="21"/>
        <v>98</v>
      </c>
      <c r="Z6" s="234">
        <f t="shared" si="22"/>
        <v>98</v>
      </c>
      <c r="AA6" s="234">
        <f t="shared" si="23"/>
        <v>88</v>
      </c>
      <c r="AB6" s="70">
        <f t="shared" si="24"/>
        <v>1609</v>
      </c>
      <c r="AC6" s="71">
        <f t="shared" si="25"/>
        <v>89.388888888888886</v>
      </c>
      <c r="AD6" s="72">
        <f t="shared" si="26"/>
        <v>3</v>
      </c>
      <c r="AE6" s="73" t="s">
        <v>805</v>
      </c>
      <c r="AF6" s="73" t="s">
        <v>805</v>
      </c>
      <c r="AG6" s="73" t="s">
        <v>805</v>
      </c>
      <c r="AH6" s="74">
        <v>0</v>
      </c>
      <c r="AI6" s="74">
        <v>0</v>
      </c>
      <c r="AJ6" s="74">
        <v>0</v>
      </c>
      <c r="AK6" s="75"/>
      <c r="AM6" s="66">
        <v>10</v>
      </c>
      <c r="AN6" s="66">
        <v>20210006</v>
      </c>
      <c r="AO6" s="77" t="s">
        <v>271</v>
      </c>
      <c r="AP6" s="68">
        <v>83.5</v>
      </c>
      <c r="AQ6" s="68">
        <v>99</v>
      </c>
      <c r="AR6" s="68">
        <v>93</v>
      </c>
      <c r="AS6" s="68">
        <v>87.5</v>
      </c>
      <c r="AT6" s="68">
        <v>88.3</v>
      </c>
      <c r="AU6" s="68">
        <v>95.5</v>
      </c>
      <c r="AV6" s="68">
        <v>91</v>
      </c>
      <c r="AW6" s="68">
        <v>79</v>
      </c>
      <c r="AX6" s="68">
        <v>89.9</v>
      </c>
      <c r="AY6" s="68">
        <v>85</v>
      </c>
      <c r="AZ6" s="68">
        <v>97</v>
      </c>
      <c r="BA6" s="68">
        <v>88</v>
      </c>
      <c r="BB6" s="68">
        <v>86.5</v>
      </c>
      <c r="BC6" s="76">
        <v>85</v>
      </c>
      <c r="BD6" s="76">
        <v>100</v>
      </c>
      <c r="BE6" s="76">
        <v>95</v>
      </c>
      <c r="BF6" s="76">
        <v>95</v>
      </c>
      <c r="BG6" s="76">
        <v>70</v>
      </c>
      <c r="BH6" s="234">
        <v>95</v>
      </c>
      <c r="BI6" s="234">
        <v>95</v>
      </c>
      <c r="BJ6" s="234">
        <v>79</v>
      </c>
      <c r="BK6" s="234">
        <v>97.5</v>
      </c>
      <c r="BL6" s="234">
        <v>97.5</v>
      </c>
      <c r="BM6" s="234">
        <v>87.5</v>
      </c>
      <c r="BN6" s="70">
        <f t="shared" si="27"/>
        <v>1608.1999999999998</v>
      </c>
      <c r="BO6" s="71">
        <f t="shared" si="28"/>
        <v>89.344444444444434</v>
      </c>
      <c r="BP6" s="72" t="e">
        <f t="shared" si="29"/>
        <v>#N/A</v>
      </c>
      <c r="BQ6" s="73"/>
      <c r="BR6" s="73"/>
      <c r="BS6" s="73"/>
      <c r="BT6" s="74"/>
      <c r="BU6" s="74"/>
      <c r="BV6" s="74"/>
      <c r="BW6" s="75"/>
    </row>
    <row r="7" spans="1:75" ht="27.95" customHeight="1">
      <c r="A7" s="66">
        <v>4</v>
      </c>
      <c r="B7" s="66">
        <v>19200023</v>
      </c>
      <c r="C7" s="77" t="s">
        <v>268</v>
      </c>
      <c r="D7" s="68">
        <f t="shared" si="0"/>
        <v>81</v>
      </c>
      <c r="E7" s="68">
        <f t="shared" si="1"/>
        <v>99</v>
      </c>
      <c r="F7" s="68">
        <f t="shared" si="2"/>
        <v>94</v>
      </c>
      <c r="G7" s="68">
        <f t="shared" si="3"/>
        <v>94</v>
      </c>
      <c r="H7" s="68">
        <f t="shared" si="4"/>
        <v>54</v>
      </c>
      <c r="I7" s="68">
        <f t="shared" si="5"/>
        <v>91</v>
      </c>
      <c r="J7" s="68">
        <f t="shared" si="6"/>
        <v>91</v>
      </c>
      <c r="K7" s="68">
        <f t="shared" si="7"/>
        <v>79</v>
      </c>
      <c r="L7" s="68">
        <f t="shared" si="8"/>
        <v>83</v>
      </c>
      <c r="M7" s="68">
        <f t="shared" si="9"/>
        <v>78</v>
      </c>
      <c r="N7" s="68">
        <f t="shared" si="10"/>
        <v>94</v>
      </c>
      <c r="O7" s="68">
        <f t="shared" si="11"/>
        <v>79</v>
      </c>
      <c r="P7" s="68">
        <f t="shared" si="12"/>
        <v>87</v>
      </c>
      <c r="Q7" s="69">
        <f t="shared" si="13"/>
        <v>85</v>
      </c>
      <c r="R7" s="69">
        <f t="shared" si="14"/>
        <v>99</v>
      </c>
      <c r="S7" s="69">
        <f t="shared" si="15"/>
        <v>95</v>
      </c>
      <c r="T7" s="69">
        <f t="shared" si="16"/>
        <v>95</v>
      </c>
      <c r="U7" s="69">
        <f t="shared" si="17"/>
        <v>75</v>
      </c>
      <c r="V7" s="234">
        <f t="shared" si="18"/>
        <v>93</v>
      </c>
      <c r="W7" s="234">
        <f t="shared" si="19"/>
        <v>98</v>
      </c>
      <c r="X7" s="234">
        <f t="shared" si="20"/>
        <v>79</v>
      </c>
      <c r="Y7" s="234">
        <f t="shared" si="21"/>
        <v>93</v>
      </c>
      <c r="Z7" s="234">
        <f t="shared" si="22"/>
        <v>78</v>
      </c>
      <c r="AA7" s="234">
        <f t="shared" si="23"/>
        <v>95</v>
      </c>
      <c r="AB7" s="70">
        <f t="shared" si="24"/>
        <v>1553</v>
      </c>
      <c r="AC7" s="71">
        <f t="shared" si="25"/>
        <v>86.277777777777771</v>
      </c>
      <c r="AD7" s="72">
        <f t="shared" si="26"/>
        <v>4</v>
      </c>
      <c r="AE7" s="73" t="s">
        <v>805</v>
      </c>
      <c r="AF7" s="73" t="s">
        <v>805</v>
      </c>
      <c r="AG7" s="73" t="s">
        <v>805</v>
      </c>
      <c r="AH7" s="74">
        <v>10</v>
      </c>
      <c r="AI7" s="74">
        <v>0</v>
      </c>
      <c r="AJ7" s="74">
        <v>0</v>
      </c>
      <c r="AK7" s="75"/>
      <c r="AM7" s="66">
        <v>7</v>
      </c>
      <c r="AN7" s="66">
        <v>19200023</v>
      </c>
      <c r="AO7" s="77" t="s">
        <v>268</v>
      </c>
      <c r="AP7" s="68">
        <v>80.5</v>
      </c>
      <c r="AQ7" s="68">
        <v>99</v>
      </c>
      <c r="AR7" s="68">
        <v>93.5</v>
      </c>
      <c r="AS7" s="68">
        <v>94.399999999999991</v>
      </c>
      <c r="AT7" s="68">
        <v>53.5</v>
      </c>
      <c r="AU7" s="68">
        <v>91</v>
      </c>
      <c r="AV7" s="68">
        <v>91</v>
      </c>
      <c r="AW7" s="68">
        <v>79</v>
      </c>
      <c r="AX7" s="68">
        <v>83</v>
      </c>
      <c r="AY7" s="68">
        <v>78</v>
      </c>
      <c r="AZ7" s="68">
        <v>94</v>
      </c>
      <c r="BA7" s="68">
        <v>79</v>
      </c>
      <c r="BB7" s="68">
        <v>86.5</v>
      </c>
      <c r="BC7" s="76">
        <v>85</v>
      </c>
      <c r="BD7" s="76">
        <v>100</v>
      </c>
      <c r="BE7" s="76">
        <v>95</v>
      </c>
      <c r="BF7" s="76">
        <v>95</v>
      </c>
      <c r="BG7" s="76">
        <v>75</v>
      </c>
      <c r="BH7" s="234">
        <v>92.5</v>
      </c>
      <c r="BI7" s="234">
        <v>97.5</v>
      </c>
      <c r="BJ7" s="234">
        <v>79</v>
      </c>
      <c r="BK7" s="234">
        <v>92.5</v>
      </c>
      <c r="BL7" s="234">
        <v>77.5</v>
      </c>
      <c r="BM7" s="234">
        <v>95</v>
      </c>
      <c r="BN7" s="70">
        <f t="shared" si="27"/>
        <v>1552.4</v>
      </c>
      <c r="BO7" s="71">
        <f t="shared" si="28"/>
        <v>86.244444444444454</v>
      </c>
      <c r="BP7" s="72" t="e">
        <f t="shared" si="29"/>
        <v>#N/A</v>
      </c>
      <c r="BQ7" s="73"/>
      <c r="BR7" s="73"/>
      <c r="BS7" s="73"/>
      <c r="BT7" s="74"/>
      <c r="BU7" s="74"/>
      <c r="BV7" s="74"/>
      <c r="BW7" s="75"/>
    </row>
    <row r="8" spans="1:75" ht="27.95" customHeight="1">
      <c r="A8" s="66">
        <v>5</v>
      </c>
      <c r="B8" s="66">
        <v>19200056</v>
      </c>
      <c r="C8" s="79" t="s">
        <v>272</v>
      </c>
      <c r="D8" s="68">
        <f t="shared" si="0"/>
        <v>74</v>
      </c>
      <c r="E8" s="68">
        <f t="shared" si="1"/>
        <v>98</v>
      </c>
      <c r="F8" s="68">
        <f t="shared" si="2"/>
        <v>71</v>
      </c>
      <c r="G8" s="68">
        <f t="shared" si="3"/>
        <v>95</v>
      </c>
      <c r="H8" s="68">
        <f t="shared" si="4"/>
        <v>64</v>
      </c>
      <c r="I8" s="68">
        <f t="shared" si="5"/>
        <v>90</v>
      </c>
      <c r="J8" s="68">
        <f t="shared" si="6"/>
        <v>90</v>
      </c>
      <c r="K8" s="68">
        <f t="shared" si="7"/>
        <v>78</v>
      </c>
      <c r="L8" s="68">
        <f t="shared" si="8"/>
        <v>86</v>
      </c>
      <c r="M8" s="68">
        <f t="shared" si="9"/>
        <v>90</v>
      </c>
      <c r="N8" s="68">
        <f t="shared" si="10"/>
        <v>96</v>
      </c>
      <c r="O8" s="68">
        <f t="shared" si="11"/>
        <v>81</v>
      </c>
      <c r="P8" s="68">
        <f t="shared" si="12"/>
        <v>86</v>
      </c>
      <c r="Q8" s="69">
        <f t="shared" si="13"/>
        <v>85</v>
      </c>
      <c r="R8" s="69">
        <f t="shared" si="14"/>
        <v>99</v>
      </c>
      <c r="S8" s="69">
        <f t="shared" si="15"/>
        <v>95</v>
      </c>
      <c r="T8" s="69">
        <f t="shared" si="16"/>
        <v>95</v>
      </c>
      <c r="U8" s="69">
        <f t="shared" si="17"/>
        <v>75</v>
      </c>
      <c r="V8" s="234">
        <f t="shared" si="18"/>
        <v>90</v>
      </c>
      <c r="W8" s="234">
        <f t="shared" si="19"/>
        <v>90</v>
      </c>
      <c r="X8" s="234">
        <f t="shared" si="20"/>
        <v>78</v>
      </c>
      <c r="Y8" s="234">
        <f t="shared" si="21"/>
        <v>95</v>
      </c>
      <c r="Z8" s="234">
        <f t="shared" si="22"/>
        <v>93</v>
      </c>
      <c r="AA8" s="234">
        <f t="shared" si="23"/>
        <v>93</v>
      </c>
      <c r="AB8" s="70">
        <f t="shared" si="24"/>
        <v>1548</v>
      </c>
      <c r="AC8" s="71">
        <f t="shared" si="25"/>
        <v>86</v>
      </c>
      <c r="AD8" s="72">
        <f t="shared" si="26"/>
        <v>5</v>
      </c>
      <c r="AE8" s="73" t="s">
        <v>805</v>
      </c>
      <c r="AF8" s="73" t="s">
        <v>805</v>
      </c>
      <c r="AG8" s="73" t="s">
        <v>805</v>
      </c>
      <c r="AH8" s="74">
        <v>2</v>
      </c>
      <c r="AI8" s="74">
        <v>46</v>
      </c>
      <c r="AJ8" s="74">
        <v>10</v>
      </c>
      <c r="AK8" s="75"/>
      <c r="AM8" s="66">
        <v>11</v>
      </c>
      <c r="AN8" s="66">
        <v>19200056</v>
      </c>
      <c r="AO8" s="78" t="s">
        <v>272</v>
      </c>
      <c r="AP8" s="68">
        <v>73.5</v>
      </c>
      <c r="AQ8" s="68">
        <v>98</v>
      </c>
      <c r="AR8" s="68">
        <v>71.3</v>
      </c>
      <c r="AS8" s="68">
        <v>94.899999999999991</v>
      </c>
      <c r="AT8" s="68">
        <v>64.2</v>
      </c>
      <c r="AU8" s="68">
        <v>90</v>
      </c>
      <c r="AV8" s="68">
        <v>90</v>
      </c>
      <c r="AW8" s="68">
        <v>78</v>
      </c>
      <c r="AX8" s="68">
        <v>86.3</v>
      </c>
      <c r="AY8" s="68">
        <v>90</v>
      </c>
      <c r="AZ8" s="68">
        <v>96</v>
      </c>
      <c r="BA8" s="68">
        <v>81</v>
      </c>
      <c r="BB8" s="68">
        <v>85.5</v>
      </c>
      <c r="BC8" s="76">
        <v>85</v>
      </c>
      <c r="BD8" s="76">
        <v>100</v>
      </c>
      <c r="BE8" s="76">
        <v>95</v>
      </c>
      <c r="BF8" s="76">
        <v>95</v>
      </c>
      <c r="BG8" s="76">
        <v>75</v>
      </c>
      <c r="BH8" s="234">
        <v>90</v>
      </c>
      <c r="BI8" s="234">
        <v>90</v>
      </c>
      <c r="BJ8" s="234">
        <v>78</v>
      </c>
      <c r="BK8" s="234">
        <v>95</v>
      </c>
      <c r="BL8" s="234">
        <v>92.5</v>
      </c>
      <c r="BM8" s="234">
        <v>92.5</v>
      </c>
      <c r="BN8" s="70">
        <f t="shared" si="27"/>
        <v>1548.6999999999998</v>
      </c>
      <c r="BO8" s="71">
        <f t="shared" si="28"/>
        <v>86.038888888888877</v>
      </c>
      <c r="BP8" s="72" t="e">
        <f t="shared" si="29"/>
        <v>#N/A</v>
      </c>
      <c r="BQ8" s="73"/>
      <c r="BR8" s="73"/>
      <c r="BS8" s="73"/>
      <c r="BT8" s="74"/>
      <c r="BU8" s="74"/>
      <c r="BV8" s="74"/>
      <c r="BW8" s="75"/>
    </row>
    <row r="9" spans="1:75" ht="27.95" customHeight="1">
      <c r="A9" s="66">
        <v>6</v>
      </c>
      <c r="B9" s="66">
        <v>19200045</v>
      </c>
      <c r="C9" s="77" t="s">
        <v>285</v>
      </c>
      <c r="D9" s="68">
        <f t="shared" si="0"/>
        <v>73</v>
      </c>
      <c r="E9" s="68">
        <f t="shared" si="1"/>
        <v>99</v>
      </c>
      <c r="F9" s="68">
        <f t="shared" si="2"/>
        <v>82</v>
      </c>
      <c r="G9" s="68">
        <f t="shared" si="3"/>
        <v>88</v>
      </c>
      <c r="H9" s="68">
        <f t="shared" si="4"/>
        <v>73</v>
      </c>
      <c r="I9" s="68">
        <f t="shared" si="5"/>
        <v>91</v>
      </c>
      <c r="J9" s="68">
        <f t="shared" si="6"/>
        <v>78</v>
      </c>
      <c r="K9" s="68">
        <f t="shared" si="7"/>
        <v>79</v>
      </c>
      <c r="L9" s="68">
        <f t="shared" si="8"/>
        <v>82</v>
      </c>
      <c r="M9" s="68">
        <f t="shared" si="9"/>
        <v>74</v>
      </c>
      <c r="N9" s="68">
        <f t="shared" si="10"/>
        <v>99</v>
      </c>
      <c r="O9" s="68">
        <f t="shared" si="11"/>
        <v>71</v>
      </c>
      <c r="P9" s="68">
        <f t="shared" si="12"/>
        <v>87</v>
      </c>
      <c r="Q9" s="69">
        <f t="shared" si="13"/>
        <v>85</v>
      </c>
      <c r="R9" s="69">
        <f t="shared" si="14"/>
        <v>99</v>
      </c>
      <c r="S9" s="69">
        <f t="shared" si="15"/>
        <v>95</v>
      </c>
      <c r="T9" s="69">
        <f t="shared" si="16"/>
        <v>95</v>
      </c>
      <c r="U9" s="69">
        <f t="shared" si="17"/>
        <v>70</v>
      </c>
      <c r="V9" s="234">
        <f t="shared" si="18"/>
        <v>95</v>
      </c>
      <c r="W9" s="234">
        <f t="shared" si="19"/>
        <v>98</v>
      </c>
      <c r="X9" s="234">
        <f t="shared" si="20"/>
        <v>79</v>
      </c>
      <c r="Y9" s="234">
        <f t="shared" si="21"/>
        <v>98</v>
      </c>
      <c r="Z9" s="234">
        <f t="shared" si="22"/>
        <v>90</v>
      </c>
      <c r="AA9" s="234">
        <f t="shared" si="23"/>
        <v>70</v>
      </c>
      <c r="AB9" s="70">
        <f t="shared" si="24"/>
        <v>1520</v>
      </c>
      <c r="AC9" s="71">
        <f t="shared" si="25"/>
        <v>84.444444444444443</v>
      </c>
      <c r="AD9" s="72">
        <f t="shared" si="26"/>
        <v>6</v>
      </c>
      <c r="AE9" s="73" t="s">
        <v>805</v>
      </c>
      <c r="AF9" s="73" t="s">
        <v>805</v>
      </c>
      <c r="AG9" s="73" t="s">
        <v>805</v>
      </c>
      <c r="AH9" s="74">
        <v>0</v>
      </c>
      <c r="AI9" s="74">
        <v>0</v>
      </c>
      <c r="AJ9" s="74">
        <v>0</v>
      </c>
      <c r="AK9" s="75"/>
      <c r="AM9" s="66">
        <v>24</v>
      </c>
      <c r="AN9" s="66">
        <v>19200045</v>
      </c>
      <c r="AO9" s="77" t="s">
        <v>285</v>
      </c>
      <c r="AP9" s="68">
        <v>73</v>
      </c>
      <c r="AQ9" s="68">
        <v>99</v>
      </c>
      <c r="AR9" s="68">
        <v>81.5</v>
      </c>
      <c r="AS9" s="68">
        <v>87.5</v>
      </c>
      <c r="AT9" s="68">
        <v>72.7</v>
      </c>
      <c r="AU9" s="68">
        <v>91</v>
      </c>
      <c r="AV9" s="68">
        <v>77.5</v>
      </c>
      <c r="AW9" s="68">
        <v>79</v>
      </c>
      <c r="AX9" s="68">
        <v>81.5</v>
      </c>
      <c r="AY9" s="68">
        <v>73.5</v>
      </c>
      <c r="AZ9" s="68">
        <v>100</v>
      </c>
      <c r="BA9" s="68">
        <v>71.3</v>
      </c>
      <c r="BB9" s="68">
        <v>86.5</v>
      </c>
      <c r="BC9" s="76">
        <v>85</v>
      </c>
      <c r="BD9" s="76">
        <v>100</v>
      </c>
      <c r="BE9" s="76">
        <v>95</v>
      </c>
      <c r="BF9" s="76">
        <v>95</v>
      </c>
      <c r="BG9" s="76">
        <v>70</v>
      </c>
      <c r="BH9" s="234">
        <v>95</v>
      </c>
      <c r="BI9" s="234">
        <v>97.5</v>
      </c>
      <c r="BJ9" s="234">
        <v>79</v>
      </c>
      <c r="BK9" s="234">
        <v>97.5</v>
      </c>
      <c r="BL9" s="234">
        <v>90</v>
      </c>
      <c r="BM9" s="234">
        <v>70</v>
      </c>
      <c r="BN9" s="70">
        <f t="shared" si="27"/>
        <v>1519</v>
      </c>
      <c r="BO9" s="71">
        <f t="shared" si="28"/>
        <v>84.388888888888886</v>
      </c>
      <c r="BP9" s="72" t="e">
        <f t="shared" si="29"/>
        <v>#N/A</v>
      </c>
      <c r="BQ9" s="73"/>
      <c r="BR9" s="73"/>
      <c r="BS9" s="73"/>
      <c r="BT9" s="74"/>
      <c r="BU9" s="74"/>
      <c r="BV9" s="74"/>
      <c r="BW9" s="75"/>
    </row>
    <row r="10" spans="1:75" ht="27.95" customHeight="1">
      <c r="A10" s="66">
        <v>7</v>
      </c>
      <c r="B10" s="66">
        <v>19200048</v>
      </c>
      <c r="C10" s="79" t="s">
        <v>270</v>
      </c>
      <c r="D10" s="68">
        <f t="shared" si="0"/>
        <v>73</v>
      </c>
      <c r="E10" s="68">
        <f t="shared" si="1"/>
        <v>99</v>
      </c>
      <c r="F10" s="68">
        <f t="shared" si="2"/>
        <v>65</v>
      </c>
      <c r="G10" s="68">
        <f t="shared" si="3"/>
        <v>76</v>
      </c>
      <c r="H10" s="68">
        <f t="shared" si="4"/>
        <v>65</v>
      </c>
      <c r="I10" s="68">
        <f t="shared" si="5"/>
        <v>87</v>
      </c>
      <c r="J10" s="68">
        <f t="shared" si="6"/>
        <v>78</v>
      </c>
      <c r="K10" s="68">
        <f t="shared" si="7"/>
        <v>79</v>
      </c>
      <c r="L10" s="68">
        <f t="shared" si="8"/>
        <v>93</v>
      </c>
      <c r="M10" s="68">
        <f t="shared" si="9"/>
        <v>82</v>
      </c>
      <c r="N10" s="68">
        <f t="shared" si="10"/>
        <v>88</v>
      </c>
      <c r="O10" s="68">
        <f t="shared" si="11"/>
        <v>77</v>
      </c>
      <c r="P10" s="68">
        <f t="shared" si="12"/>
        <v>91</v>
      </c>
      <c r="Q10" s="69">
        <f t="shared" si="13"/>
        <v>85</v>
      </c>
      <c r="R10" s="69">
        <f t="shared" si="14"/>
        <v>99</v>
      </c>
      <c r="S10" s="69">
        <f t="shared" si="15"/>
        <v>95</v>
      </c>
      <c r="T10" s="69">
        <f t="shared" si="16"/>
        <v>95</v>
      </c>
      <c r="U10" s="69">
        <f t="shared" si="17"/>
        <v>75</v>
      </c>
      <c r="V10" s="234">
        <f t="shared" si="18"/>
        <v>95</v>
      </c>
      <c r="W10" s="234">
        <f t="shared" si="19"/>
        <v>93</v>
      </c>
      <c r="X10" s="234">
        <f t="shared" si="20"/>
        <v>79</v>
      </c>
      <c r="Y10" s="234">
        <f t="shared" si="21"/>
        <v>93</v>
      </c>
      <c r="Z10" s="234">
        <f t="shared" si="22"/>
        <v>93</v>
      </c>
      <c r="AA10" s="234">
        <f t="shared" si="23"/>
        <v>93</v>
      </c>
      <c r="AB10" s="70">
        <f t="shared" si="24"/>
        <v>1502</v>
      </c>
      <c r="AC10" s="71">
        <f t="shared" si="25"/>
        <v>83.444444444444443</v>
      </c>
      <c r="AD10" s="72">
        <f t="shared" si="26"/>
        <v>7</v>
      </c>
      <c r="AE10" s="73" t="s">
        <v>805</v>
      </c>
      <c r="AF10" s="73" t="s">
        <v>805</v>
      </c>
      <c r="AG10" s="73" t="s">
        <v>805</v>
      </c>
      <c r="AH10" s="74">
        <v>0</v>
      </c>
      <c r="AI10" s="74">
        <v>0</v>
      </c>
      <c r="AJ10" s="74">
        <v>0</v>
      </c>
      <c r="AK10" s="75"/>
      <c r="AM10" s="66">
        <v>9</v>
      </c>
      <c r="AN10" s="66">
        <v>19200048</v>
      </c>
      <c r="AO10" s="79" t="s">
        <v>270</v>
      </c>
      <c r="AP10" s="68">
        <v>73</v>
      </c>
      <c r="AQ10" s="68">
        <v>99</v>
      </c>
      <c r="AR10" s="68">
        <v>65.099999999999994</v>
      </c>
      <c r="AS10" s="68">
        <v>76</v>
      </c>
      <c r="AT10" s="68">
        <v>64.599999999999994</v>
      </c>
      <c r="AU10" s="68">
        <v>86.5</v>
      </c>
      <c r="AV10" s="68">
        <v>77.5</v>
      </c>
      <c r="AW10" s="68">
        <v>79</v>
      </c>
      <c r="AX10" s="68">
        <v>93.3</v>
      </c>
      <c r="AY10" s="68">
        <v>82</v>
      </c>
      <c r="AZ10" s="68">
        <v>88</v>
      </c>
      <c r="BA10" s="68">
        <v>76.5</v>
      </c>
      <c r="BB10" s="68">
        <v>91</v>
      </c>
      <c r="BC10" s="76">
        <v>85</v>
      </c>
      <c r="BD10" s="76">
        <v>100</v>
      </c>
      <c r="BE10" s="76">
        <v>95</v>
      </c>
      <c r="BF10" s="76">
        <v>95</v>
      </c>
      <c r="BG10" s="76">
        <v>75</v>
      </c>
      <c r="BH10" s="234">
        <v>95</v>
      </c>
      <c r="BI10" s="234">
        <v>92.5</v>
      </c>
      <c r="BJ10" s="234">
        <v>79</v>
      </c>
      <c r="BK10" s="234">
        <v>92.5</v>
      </c>
      <c r="BL10" s="234">
        <v>92.5</v>
      </c>
      <c r="BM10" s="234">
        <v>92.5</v>
      </c>
      <c r="BN10" s="70">
        <f t="shared" si="27"/>
        <v>1501.5</v>
      </c>
      <c r="BO10" s="71">
        <f t="shared" si="28"/>
        <v>83.416666666666671</v>
      </c>
      <c r="BP10" s="72" t="e">
        <f t="shared" si="29"/>
        <v>#N/A</v>
      </c>
      <c r="BQ10" s="73"/>
      <c r="BR10" s="73"/>
      <c r="BS10" s="73"/>
      <c r="BT10" s="74"/>
      <c r="BU10" s="74"/>
      <c r="BV10" s="74"/>
      <c r="BW10" s="75"/>
    </row>
    <row r="11" spans="1:75" ht="27.95" customHeight="1">
      <c r="A11" s="91">
        <v>8</v>
      </c>
      <c r="B11" s="66">
        <v>19200018</v>
      </c>
      <c r="C11" s="79" t="s">
        <v>266</v>
      </c>
      <c r="D11" s="68">
        <f t="shared" si="0"/>
        <v>67</v>
      </c>
      <c r="E11" s="68">
        <f t="shared" si="1"/>
        <v>99</v>
      </c>
      <c r="F11" s="68">
        <f t="shared" si="2"/>
        <v>68</v>
      </c>
      <c r="G11" s="68">
        <f t="shared" si="3"/>
        <v>79</v>
      </c>
      <c r="H11" s="68">
        <f t="shared" si="4"/>
        <v>84</v>
      </c>
      <c r="I11" s="68">
        <f t="shared" si="5"/>
        <v>91</v>
      </c>
      <c r="J11" s="68">
        <f t="shared" si="6"/>
        <v>91</v>
      </c>
      <c r="K11" s="68">
        <f t="shared" si="7"/>
        <v>79</v>
      </c>
      <c r="L11" s="68">
        <f t="shared" si="8"/>
        <v>95</v>
      </c>
      <c r="M11" s="68">
        <f t="shared" si="9"/>
        <v>84</v>
      </c>
      <c r="N11" s="68">
        <f t="shared" si="10"/>
        <v>91</v>
      </c>
      <c r="O11" s="68">
        <f t="shared" si="11"/>
        <v>75</v>
      </c>
      <c r="P11" s="68">
        <f t="shared" si="12"/>
        <v>69</v>
      </c>
      <c r="Q11" s="69">
        <f t="shared" si="13"/>
        <v>85</v>
      </c>
      <c r="R11" s="69">
        <f t="shared" si="14"/>
        <v>99</v>
      </c>
      <c r="S11" s="69">
        <f t="shared" si="15"/>
        <v>95</v>
      </c>
      <c r="T11" s="69">
        <f t="shared" si="16"/>
        <v>95</v>
      </c>
      <c r="U11" s="69">
        <f t="shared" si="17"/>
        <v>50</v>
      </c>
      <c r="V11" s="234">
        <f t="shared" si="18"/>
        <v>93</v>
      </c>
      <c r="W11" s="234">
        <f t="shared" si="19"/>
        <v>95</v>
      </c>
      <c r="X11" s="234">
        <f t="shared" si="20"/>
        <v>79</v>
      </c>
      <c r="Y11" s="234">
        <f t="shared" si="21"/>
        <v>93</v>
      </c>
      <c r="Z11" s="234">
        <f t="shared" si="22"/>
        <v>88</v>
      </c>
      <c r="AA11" s="234">
        <f t="shared" si="23"/>
        <v>80</v>
      </c>
      <c r="AB11" s="70">
        <f t="shared" si="24"/>
        <v>1496</v>
      </c>
      <c r="AC11" s="71">
        <f t="shared" si="25"/>
        <v>83.111111111111114</v>
      </c>
      <c r="AD11" s="72">
        <f t="shared" si="26"/>
        <v>8</v>
      </c>
      <c r="AE11" s="73" t="s">
        <v>805</v>
      </c>
      <c r="AF11" s="73" t="s">
        <v>805</v>
      </c>
      <c r="AG11" s="73" t="s">
        <v>805</v>
      </c>
      <c r="AH11" s="74">
        <v>0</v>
      </c>
      <c r="AI11" s="74">
        <v>0</v>
      </c>
      <c r="AJ11" s="74">
        <v>0</v>
      </c>
      <c r="AK11" s="75"/>
      <c r="AM11" s="66">
        <v>5</v>
      </c>
      <c r="AN11" s="66">
        <v>19200018</v>
      </c>
      <c r="AO11" s="78" t="s">
        <v>266</v>
      </c>
      <c r="AP11" s="68">
        <v>67</v>
      </c>
      <c r="AQ11" s="68">
        <v>99</v>
      </c>
      <c r="AR11" s="68">
        <v>67.8</v>
      </c>
      <c r="AS11" s="68">
        <v>79</v>
      </c>
      <c r="AT11" s="68">
        <v>84.1</v>
      </c>
      <c r="AU11" s="68">
        <v>91</v>
      </c>
      <c r="AV11" s="68">
        <v>91</v>
      </c>
      <c r="AW11" s="68">
        <v>79</v>
      </c>
      <c r="AX11" s="68">
        <v>94.5</v>
      </c>
      <c r="AY11" s="68">
        <v>84</v>
      </c>
      <c r="AZ11" s="68">
        <v>91</v>
      </c>
      <c r="BA11" s="68">
        <v>75</v>
      </c>
      <c r="BB11" s="68">
        <v>68.5</v>
      </c>
      <c r="BC11" s="76">
        <v>85</v>
      </c>
      <c r="BD11" s="76">
        <v>100</v>
      </c>
      <c r="BE11" s="76">
        <v>95</v>
      </c>
      <c r="BF11" s="76">
        <v>95</v>
      </c>
      <c r="BG11" s="76">
        <v>50</v>
      </c>
      <c r="BH11" s="234">
        <v>92.5</v>
      </c>
      <c r="BI11" s="234">
        <v>95</v>
      </c>
      <c r="BJ11" s="234">
        <v>79</v>
      </c>
      <c r="BK11" s="234">
        <v>92.5</v>
      </c>
      <c r="BL11" s="234">
        <v>87.5</v>
      </c>
      <c r="BM11" s="234">
        <v>80</v>
      </c>
      <c r="BN11" s="70">
        <f t="shared" si="27"/>
        <v>1495.9</v>
      </c>
      <c r="BO11" s="71">
        <f t="shared" si="28"/>
        <v>83.105555555555554</v>
      </c>
      <c r="BP11" s="72" t="e">
        <f t="shared" si="29"/>
        <v>#N/A</v>
      </c>
      <c r="BQ11" s="73"/>
      <c r="BR11" s="73"/>
      <c r="BS11" s="73"/>
      <c r="BT11" s="74"/>
      <c r="BU11" s="74"/>
      <c r="BV11" s="74"/>
      <c r="BW11" s="75"/>
    </row>
    <row r="12" spans="1:75" ht="27.95" customHeight="1">
      <c r="A12" s="66">
        <v>9</v>
      </c>
      <c r="B12" s="66">
        <v>19200020</v>
      </c>
      <c r="C12" s="77" t="s">
        <v>267</v>
      </c>
      <c r="D12" s="68">
        <f t="shared" si="0"/>
        <v>82</v>
      </c>
      <c r="E12" s="68">
        <f t="shared" si="1"/>
        <v>99</v>
      </c>
      <c r="F12" s="68">
        <f t="shared" si="2"/>
        <v>79</v>
      </c>
      <c r="G12" s="68">
        <f t="shared" si="3"/>
        <v>72</v>
      </c>
      <c r="H12" s="68">
        <f t="shared" si="4"/>
        <v>86</v>
      </c>
      <c r="I12" s="68">
        <f t="shared" si="5"/>
        <v>91</v>
      </c>
      <c r="J12" s="68">
        <f t="shared" si="6"/>
        <v>82</v>
      </c>
      <c r="K12" s="68">
        <f t="shared" si="7"/>
        <v>79</v>
      </c>
      <c r="L12" s="68">
        <f t="shared" si="8"/>
        <v>84</v>
      </c>
      <c r="M12" s="68">
        <f t="shared" si="9"/>
        <v>74</v>
      </c>
      <c r="N12" s="68">
        <f t="shared" si="10"/>
        <v>85</v>
      </c>
      <c r="O12" s="68">
        <f t="shared" si="11"/>
        <v>65</v>
      </c>
      <c r="P12" s="68">
        <f t="shared" si="12"/>
        <v>73</v>
      </c>
      <c r="Q12" s="69">
        <f t="shared" si="13"/>
        <v>85</v>
      </c>
      <c r="R12" s="69">
        <f t="shared" si="14"/>
        <v>99</v>
      </c>
      <c r="S12" s="69">
        <f t="shared" si="15"/>
        <v>95</v>
      </c>
      <c r="T12" s="69">
        <f t="shared" si="16"/>
        <v>95</v>
      </c>
      <c r="U12" s="69">
        <f t="shared" si="17"/>
        <v>70</v>
      </c>
      <c r="V12" s="234">
        <f t="shared" si="18"/>
        <v>93</v>
      </c>
      <c r="W12" s="234">
        <f t="shared" si="19"/>
        <v>98</v>
      </c>
      <c r="X12" s="234">
        <f t="shared" si="20"/>
        <v>79</v>
      </c>
      <c r="Y12" s="234">
        <f t="shared" si="21"/>
        <v>93</v>
      </c>
      <c r="Z12" s="234">
        <f t="shared" si="22"/>
        <v>73</v>
      </c>
      <c r="AA12" s="234">
        <f t="shared" si="23"/>
        <v>88</v>
      </c>
      <c r="AB12" s="70">
        <f t="shared" si="24"/>
        <v>1495</v>
      </c>
      <c r="AC12" s="71">
        <f t="shared" si="25"/>
        <v>83.055555555555557</v>
      </c>
      <c r="AD12" s="72">
        <f t="shared" si="26"/>
        <v>9</v>
      </c>
      <c r="AE12" s="73" t="s">
        <v>805</v>
      </c>
      <c r="AF12" s="73" t="s">
        <v>807</v>
      </c>
      <c r="AG12" s="73" t="s">
        <v>805</v>
      </c>
      <c r="AH12" s="74">
        <v>0</v>
      </c>
      <c r="AI12" s="74">
        <v>0</v>
      </c>
      <c r="AJ12" s="74">
        <v>10</v>
      </c>
      <c r="AK12" s="75"/>
      <c r="AM12" s="66">
        <v>6</v>
      </c>
      <c r="AN12" s="66">
        <v>19200020</v>
      </c>
      <c r="AO12" s="77" t="s">
        <v>267</v>
      </c>
      <c r="AP12" s="68">
        <v>82</v>
      </c>
      <c r="AQ12" s="68">
        <v>99</v>
      </c>
      <c r="AR12" s="68">
        <v>78.5</v>
      </c>
      <c r="AS12" s="68">
        <v>71.5</v>
      </c>
      <c r="AT12" s="68">
        <v>85.6</v>
      </c>
      <c r="AU12" s="68">
        <v>91</v>
      </c>
      <c r="AV12" s="68">
        <v>82</v>
      </c>
      <c r="AW12" s="68">
        <v>79</v>
      </c>
      <c r="AX12" s="68">
        <v>84</v>
      </c>
      <c r="AY12" s="68">
        <v>73.5</v>
      </c>
      <c r="AZ12" s="68">
        <v>85</v>
      </c>
      <c r="BA12" s="68">
        <v>64.5</v>
      </c>
      <c r="BB12" s="68">
        <v>73</v>
      </c>
      <c r="BC12" s="76">
        <v>85</v>
      </c>
      <c r="BD12" s="76">
        <v>100</v>
      </c>
      <c r="BE12" s="76">
        <v>95</v>
      </c>
      <c r="BF12" s="76">
        <v>95</v>
      </c>
      <c r="BG12" s="76">
        <v>70</v>
      </c>
      <c r="BH12" s="234">
        <v>92.5</v>
      </c>
      <c r="BI12" s="234">
        <v>97.5</v>
      </c>
      <c r="BJ12" s="234">
        <v>79</v>
      </c>
      <c r="BK12" s="234">
        <v>92.5</v>
      </c>
      <c r="BL12" s="234">
        <v>72.5</v>
      </c>
      <c r="BM12" s="234">
        <v>87.5</v>
      </c>
      <c r="BN12" s="70">
        <f t="shared" si="27"/>
        <v>1493.6</v>
      </c>
      <c r="BO12" s="71">
        <f t="shared" si="28"/>
        <v>82.977777777777774</v>
      </c>
      <c r="BP12" s="72" t="e">
        <f t="shared" si="29"/>
        <v>#N/A</v>
      </c>
      <c r="BQ12" s="73"/>
      <c r="BR12" s="73"/>
      <c r="BS12" s="73"/>
      <c r="BT12" s="74"/>
      <c r="BU12" s="74"/>
      <c r="BV12" s="74"/>
      <c r="BW12" s="75"/>
    </row>
    <row r="13" spans="1:75" ht="27.95" customHeight="1">
      <c r="A13" s="66">
        <v>10</v>
      </c>
      <c r="B13" s="91">
        <v>19200123</v>
      </c>
      <c r="C13" s="92" t="s">
        <v>278</v>
      </c>
      <c r="D13" s="68">
        <f t="shared" si="0"/>
        <v>79</v>
      </c>
      <c r="E13" s="68">
        <f t="shared" si="1"/>
        <v>99</v>
      </c>
      <c r="F13" s="68">
        <f t="shared" si="2"/>
        <v>62</v>
      </c>
      <c r="G13" s="68">
        <f t="shared" si="3"/>
        <v>81</v>
      </c>
      <c r="H13" s="68">
        <f t="shared" si="4"/>
        <v>53</v>
      </c>
      <c r="I13" s="68">
        <f t="shared" si="5"/>
        <v>91</v>
      </c>
      <c r="J13" s="68">
        <f t="shared" si="6"/>
        <v>91</v>
      </c>
      <c r="K13" s="68">
        <f t="shared" si="7"/>
        <v>79</v>
      </c>
      <c r="L13" s="68">
        <f t="shared" si="8"/>
        <v>87</v>
      </c>
      <c r="M13" s="68">
        <f t="shared" si="9"/>
        <v>74</v>
      </c>
      <c r="N13" s="68">
        <f t="shared" si="10"/>
        <v>92</v>
      </c>
      <c r="O13" s="68">
        <f t="shared" si="11"/>
        <v>70</v>
      </c>
      <c r="P13" s="68">
        <f t="shared" si="12"/>
        <v>87</v>
      </c>
      <c r="Q13" s="69">
        <f t="shared" si="13"/>
        <v>85</v>
      </c>
      <c r="R13" s="69">
        <f t="shared" si="14"/>
        <v>99</v>
      </c>
      <c r="S13" s="69">
        <f t="shared" si="15"/>
        <v>95</v>
      </c>
      <c r="T13" s="69">
        <f t="shared" si="16"/>
        <v>95</v>
      </c>
      <c r="U13" s="69">
        <f t="shared" si="17"/>
        <v>70</v>
      </c>
      <c r="V13" s="234">
        <f t="shared" si="18"/>
        <v>88</v>
      </c>
      <c r="W13" s="234">
        <f t="shared" si="19"/>
        <v>60</v>
      </c>
      <c r="X13" s="234">
        <f t="shared" si="20"/>
        <v>79</v>
      </c>
      <c r="Y13" s="234">
        <f t="shared" si="21"/>
        <v>83</v>
      </c>
      <c r="Z13" s="234">
        <f t="shared" si="22"/>
        <v>95</v>
      </c>
      <c r="AA13" s="234">
        <f t="shared" si="23"/>
        <v>80</v>
      </c>
      <c r="AB13" s="70">
        <f t="shared" si="24"/>
        <v>1489</v>
      </c>
      <c r="AC13" s="71">
        <f t="shared" si="25"/>
        <v>82.722222222222229</v>
      </c>
      <c r="AD13" s="72">
        <f t="shared" si="26"/>
        <v>10</v>
      </c>
      <c r="AE13" s="73" t="s">
        <v>805</v>
      </c>
      <c r="AF13" s="73" t="s">
        <v>805</v>
      </c>
      <c r="AG13" s="73" t="s">
        <v>805</v>
      </c>
      <c r="AH13" s="74">
        <v>0</v>
      </c>
      <c r="AI13" s="74">
        <v>0</v>
      </c>
      <c r="AJ13" s="74">
        <v>0</v>
      </c>
      <c r="AK13" s="75"/>
      <c r="AM13" s="66">
        <v>17</v>
      </c>
      <c r="AN13" s="66">
        <v>19200123</v>
      </c>
      <c r="AO13" s="80" t="s">
        <v>278</v>
      </c>
      <c r="AP13" s="68">
        <v>79</v>
      </c>
      <c r="AQ13" s="68">
        <v>99</v>
      </c>
      <c r="AR13" s="68">
        <v>62.4</v>
      </c>
      <c r="AS13" s="68">
        <v>80.5</v>
      </c>
      <c r="AT13" s="68">
        <v>52.6</v>
      </c>
      <c r="AU13" s="68">
        <v>91</v>
      </c>
      <c r="AV13" s="68">
        <v>91</v>
      </c>
      <c r="AW13" s="68">
        <v>79</v>
      </c>
      <c r="AX13" s="68">
        <v>86.5</v>
      </c>
      <c r="AY13" s="68">
        <v>73.5</v>
      </c>
      <c r="AZ13" s="68">
        <v>92</v>
      </c>
      <c r="BA13" s="68">
        <v>69.8</v>
      </c>
      <c r="BB13" s="68">
        <v>86.5</v>
      </c>
      <c r="BC13" s="76">
        <v>85</v>
      </c>
      <c r="BD13" s="76">
        <v>100</v>
      </c>
      <c r="BE13" s="76">
        <v>95</v>
      </c>
      <c r="BF13" s="76">
        <v>95</v>
      </c>
      <c r="BG13" s="76">
        <v>70</v>
      </c>
      <c r="BH13" s="234">
        <v>87.5</v>
      </c>
      <c r="BI13" s="234">
        <v>60</v>
      </c>
      <c r="BJ13" s="234">
        <v>79</v>
      </c>
      <c r="BK13" s="234">
        <v>82.5</v>
      </c>
      <c r="BL13" s="234">
        <v>95</v>
      </c>
      <c r="BM13" s="234">
        <v>80</v>
      </c>
      <c r="BN13" s="70">
        <f t="shared" si="27"/>
        <v>1487.8</v>
      </c>
      <c r="BO13" s="71">
        <f t="shared" si="28"/>
        <v>82.655555555555551</v>
      </c>
      <c r="BP13" s="72" t="e">
        <f t="shared" si="29"/>
        <v>#N/A</v>
      </c>
      <c r="BQ13" s="73"/>
      <c r="BR13" s="73"/>
      <c r="BS13" s="73"/>
      <c r="BT13" s="74"/>
      <c r="BU13" s="74"/>
      <c r="BV13" s="74"/>
      <c r="BW13" s="75"/>
    </row>
    <row r="14" spans="1:75" ht="27.95" customHeight="1">
      <c r="A14" s="66">
        <v>11</v>
      </c>
      <c r="B14" s="91">
        <v>19200130</v>
      </c>
      <c r="C14" s="92" t="s">
        <v>274</v>
      </c>
      <c r="D14" s="68">
        <f t="shared" si="0"/>
        <v>67</v>
      </c>
      <c r="E14" s="68">
        <f t="shared" si="1"/>
        <v>99</v>
      </c>
      <c r="F14" s="68">
        <f t="shared" si="2"/>
        <v>66</v>
      </c>
      <c r="G14" s="68">
        <f t="shared" si="3"/>
        <v>70</v>
      </c>
      <c r="H14" s="68">
        <f t="shared" si="4"/>
        <v>90</v>
      </c>
      <c r="I14" s="68">
        <f t="shared" si="5"/>
        <v>91</v>
      </c>
      <c r="J14" s="68">
        <f t="shared" si="6"/>
        <v>64</v>
      </c>
      <c r="K14" s="68">
        <f t="shared" si="7"/>
        <v>79</v>
      </c>
      <c r="L14" s="68">
        <f t="shared" si="8"/>
        <v>84</v>
      </c>
      <c r="M14" s="68">
        <f t="shared" si="9"/>
        <v>79</v>
      </c>
      <c r="N14" s="68">
        <f t="shared" si="10"/>
        <v>69</v>
      </c>
      <c r="O14" s="68">
        <f t="shared" si="11"/>
        <v>73</v>
      </c>
      <c r="P14" s="68">
        <f t="shared" si="12"/>
        <v>78</v>
      </c>
      <c r="Q14" s="69">
        <f t="shared" si="13"/>
        <v>85</v>
      </c>
      <c r="R14" s="69">
        <f t="shared" si="14"/>
        <v>99</v>
      </c>
      <c r="S14" s="69">
        <f t="shared" si="15"/>
        <v>95</v>
      </c>
      <c r="T14" s="69">
        <f t="shared" si="16"/>
        <v>95</v>
      </c>
      <c r="U14" s="69">
        <f t="shared" si="17"/>
        <v>60</v>
      </c>
      <c r="V14" s="234">
        <f t="shared" si="18"/>
        <v>93</v>
      </c>
      <c r="W14" s="234">
        <f t="shared" si="19"/>
        <v>98</v>
      </c>
      <c r="X14" s="234">
        <f t="shared" si="20"/>
        <v>79</v>
      </c>
      <c r="Y14" s="234">
        <f t="shared" si="21"/>
        <v>90</v>
      </c>
      <c r="Z14" s="234">
        <f t="shared" si="22"/>
        <v>83</v>
      </c>
      <c r="AA14" s="234">
        <f t="shared" si="23"/>
        <v>93</v>
      </c>
      <c r="AB14" s="70">
        <f t="shared" si="24"/>
        <v>1443</v>
      </c>
      <c r="AC14" s="71">
        <f t="shared" si="25"/>
        <v>80.166666666666671</v>
      </c>
      <c r="AD14" s="72">
        <f t="shared" si="26"/>
        <v>11</v>
      </c>
      <c r="AE14" s="73" t="s">
        <v>805</v>
      </c>
      <c r="AF14" s="73" t="s">
        <v>805</v>
      </c>
      <c r="AG14" s="73" t="s">
        <v>805</v>
      </c>
      <c r="AH14" s="74">
        <v>0</v>
      </c>
      <c r="AI14" s="74">
        <v>0</v>
      </c>
      <c r="AJ14" s="74">
        <v>0</v>
      </c>
      <c r="AK14" s="75"/>
      <c r="AM14" s="66">
        <v>13</v>
      </c>
      <c r="AN14" s="66">
        <v>19200130</v>
      </c>
      <c r="AO14" s="77" t="s">
        <v>274</v>
      </c>
      <c r="AP14" s="68">
        <v>67.3</v>
      </c>
      <c r="AQ14" s="68">
        <v>99</v>
      </c>
      <c r="AR14" s="68">
        <v>65.5</v>
      </c>
      <c r="AS14" s="68">
        <v>69.5</v>
      </c>
      <c r="AT14" s="68">
        <v>89.5</v>
      </c>
      <c r="AU14" s="68">
        <v>91</v>
      </c>
      <c r="AV14" s="68">
        <v>64</v>
      </c>
      <c r="AW14" s="68">
        <v>79</v>
      </c>
      <c r="AX14" s="68">
        <v>83.5</v>
      </c>
      <c r="AY14" s="68">
        <v>78.5</v>
      </c>
      <c r="AZ14" s="68">
        <v>69.3</v>
      </c>
      <c r="BA14" s="68">
        <v>72.5</v>
      </c>
      <c r="BB14" s="68">
        <v>77.5</v>
      </c>
      <c r="BC14" s="76">
        <v>85</v>
      </c>
      <c r="BD14" s="76">
        <v>100</v>
      </c>
      <c r="BE14" s="76">
        <v>95</v>
      </c>
      <c r="BF14" s="76">
        <v>95</v>
      </c>
      <c r="BG14" s="76">
        <v>60</v>
      </c>
      <c r="BH14" s="234">
        <v>92.5</v>
      </c>
      <c r="BI14" s="234">
        <v>97.5</v>
      </c>
      <c r="BJ14" s="234">
        <v>79</v>
      </c>
      <c r="BK14" s="234">
        <v>90</v>
      </c>
      <c r="BL14" s="234">
        <v>82.5</v>
      </c>
      <c r="BM14" s="234">
        <v>92.5</v>
      </c>
      <c r="BN14" s="70">
        <f t="shared" si="27"/>
        <v>1441.1</v>
      </c>
      <c r="BO14" s="71">
        <f t="shared" si="28"/>
        <v>80.061111111111103</v>
      </c>
      <c r="BP14" s="72" t="e">
        <f t="shared" si="29"/>
        <v>#N/A</v>
      </c>
      <c r="BQ14" s="73"/>
      <c r="BR14" s="73"/>
      <c r="BS14" s="73"/>
      <c r="BT14" s="74"/>
      <c r="BU14" s="74"/>
      <c r="BV14" s="74"/>
      <c r="BW14" s="75"/>
    </row>
    <row r="15" spans="1:75" ht="27.95" customHeight="1">
      <c r="A15" s="66">
        <v>12</v>
      </c>
      <c r="B15" s="91">
        <v>20210106</v>
      </c>
      <c r="C15" s="92" t="s">
        <v>277</v>
      </c>
      <c r="D15" s="68">
        <f t="shared" si="0"/>
        <v>71</v>
      </c>
      <c r="E15" s="68">
        <f t="shared" si="1"/>
        <v>96</v>
      </c>
      <c r="F15" s="68">
        <f t="shared" si="2"/>
        <v>63</v>
      </c>
      <c r="G15" s="68">
        <f t="shared" si="3"/>
        <v>69</v>
      </c>
      <c r="H15" s="68">
        <f t="shared" si="4"/>
        <v>66</v>
      </c>
      <c r="I15" s="68">
        <f t="shared" si="5"/>
        <v>90</v>
      </c>
      <c r="J15" s="68">
        <f t="shared" si="6"/>
        <v>72</v>
      </c>
      <c r="K15" s="68">
        <f t="shared" si="7"/>
        <v>69</v>
      </c>
      <c r="L15" s="68">
        <f t="shared" si="8"/>
        <v>59</v>
      </c>
      <c r="M15" s="68">
        <f t="shared" si="9"/>
        <v>69</v>
      </c>
      <c r="N15" s="68">
        <f t="shared" si="10"/>
        <v>84</v>
      </c>
      <c r="O15" s="68">
        <f t="shared" si="11"/>
        <v>72</v>
      </c>
      <c r="P15" s="68">
        <f t="shared" si="12"/>
        <v>81</v>
      </c>
      <c r="Q15" s="69">
        <f t="shared" si="13"/>
        <v>85</v>
      </c>
      <c r="R15" s="69">
        <f t="shared" si="14"/>
        <v>99</v>
      </c>
      <c r="S15" s="69">
        <f t="shared" si="15"/>
        <v>95</v>
      </c>
      <c r="T15" s="69">
        <f t="shared" si="16"/>
        <v>95</v>
      </c>
      <c r="U15" s="69">
        <f t="shared" si="17"/>
        <v>70</v>
      </c>
      <c r="V15" s="234">
        <f t="shared" si="18"/>
        <v>98</v>
      </c>
      <c r="W15" s="234">
        <f t="shared" si="19"/>
        <v>99</v>
      </c>
      <c r="X15" s="234">
        <f t="shared" si="20"/>
        <v>69</v>
      </c>
      <c r="Y15" s="234">
        <f t="shared" si="21"/>
        <v>93</v>
      </c>
      <c r="Z15" s="234">
        <f t="shared" si="22"/>
        <v>93</v>
      </c>
      <c r="AA15" s="234">
        <f t="shared" si="23"/>
        <v>90</v>
      </c>
      <c r="AB15" s="70">
        <f t="shared" si="24"/>
        <v>1405</v>
      </c>
      <c r="AC15" s="71">
        <f t="shared" si="25"/>
        <v>78.055555555555557</v>
      </c>
      <c r="AD15" s="72">
        <f t="shared" si="26"/>
        <v>12</v>
      </c>
      <c r="AE15" s="73" t="s">
        <v>805</v>
      </c>
      <c r="AF15" s="73" t="s">
        <v>807</v>
      </c>
      <c r="AG15" s="73" t="s">
        <v>805</v>
      </c>
      <c r="AH15" s="74">
        <v>3</v>
      </c>
      <c r="AI15" s="74">
        <v>26</v>
      </c>
      <c r="AJ15" s="74">
        <v>1</v>
      </c>
      <c r="AK15" s="75"/>
      <c r="AM15" s="66">
        <v>16</v>
      </c>
      <c r="AN15" s="66">
        <v>20210106</v>
      </c>
      <c r="AO15" s="78" t="s">
        <v>277</v>
      </c>
      <c r="AP15" s="68">
        <v>70.5</v>
      </c>
      <c r="AQ15" s="68">
        <v>96.199999999999989</v>
      </c>
      <c r="AR15" s="68">
        <v>63</v>
      </c>
      <c r="AS15" s="68">
        <v>69</v>
      </c>
      <c r="AT15" s="68">
        <v>66.3</v>
      </c>
      <c r="AU15" s="68">
        <v>90</v>
      </c>
      <c r="AV15" s="68">
        <v>72</v>
      </c>
      <c r="AW15" s="68">
        <v>69</v>
      </c>
      <c r="AX15" s="68">
        <v>59</v>
      </c>
      <c r="AY15" s="68">
        <v>68.5</v>
      </c>
      <c r="AZ15" s="68">
        <v>84</v>
      </c>
      <c r="BA15" s="68">
        <v>71.5</v>
      </c>
      <c r="BB15" s="68">
        <v>81</v>
      </c>
      <c r="BC15" s="76">
        <v>85</v>
      </c>
      <c r="BD15" s="76">
        <v>100</v>
      </c>
      <c r="BE15" s="76">
        <v>95</v>
      </c>
      <c r="BF15" s="76">
        <v>95</v>
      </c>
      <c r="BG15" s="76">
        <v>70</v>
      </c>
      <c r="BH15" s="234">
        <v>97.5</v>
      </c>
      <c r="BI15" s="234">
        <v>100</v>
      </c>
      <c r="BJ15" s="234">
        <v>69</v>
      </c>
      <c r="BK15" s="234">
        <v>92.5</v>
      </c>
      <c r="BL15" s="234">
        <v>92.5</v>
      </c>
      <c r="BM15" s="234">
        <v>90</v>
      </c>
      <c r="BN15" s="70">
        <f t="shared" si="27"/>
        <v>1405</v>
      </c>
      <c r="BO15" s="71">
        <f t="shared" si="28"/>
        <v>78.055555555555557</v>
      </c>
      <c r="BP15" s="72">
        <f t="shared" si="29"/>
        <v>12</v>
      </c>
      <c r="BQ15" s="73"/>
      <c r="BR15" s="73"/>
      <c r="BS15" s="73"/>
      <c r="BT15" s="74"/>
      <c r="BU15" s="74"/>
      <c r="BV15" s="74"/>
      <c r="BW15" s="75"/>
    </row>
    <row r="16" spans="1:75" ht="27.95" customHeight="1">
      <c r="A16" s="91">
        <v>13</v>
      </c>
      <c r="B16" s="66">
        <v>19200017</v>
      </c>
      <c r="C16" s="77" t="s">
        <v>264</v>
      </c>
      <c r="D16" s="68">
        <f t="shared" si="0"/>
        <v>66</v>
      </c>
      <c r="E16" s="68">
        <f t="shared" si="1"/>
        <v>45</v>
      </c>
      <c r="F16" s="68">
        <f t="shared" si="2"/>
        <v>58</v>
      </c>
      <c r="G16" s="68">
        <f t="shared" si="3"/>
        <v>67</v>
      </c>
      <c r="H16" s="68">
        <f t="shared" si="4"/>
        <v>70</v>
      </c>
      <c r="I16" s="68">
        <f t="shared" si="5"/>
        <v>82</v>
      </c>
      <c r="J16" s="68">
        <f t="shared" si="6"/>
        <v>91</v>
      </c>
      <c r="K16" s="68">
        <f t="shared" si="7"/>
        <v>79</v>
      </c>
      <c r="L16" s="68">
        <f t="shared" si="8"/>
        <v>78</v>
      </c>
      <c r="M16" s="68">
        <f t="shared" si="9"/>
        <v>76</v>
      </c>
      <c r="N16" s="68">
        <f t="shared" si="10"/>
        <v>90</v>
      </c>
      <c r="O16" s="68">
        <f t="shared" si="11"/>
        <v>77</v>
      </c>
      <c r="P16" s="68">
        <f t="shared" si="12"/>
        <v>82</v>
      </c>
      <c r="Q16" s="69">
        <f t="shared" si="13"/>
        <v>85</v>
      </c>
      <c r="R16" s="69">
        <f t="shared" si="14"/>
        <v>99</v>
      </c>
      <c r="S16" s="69">
        <f t="shared" si="15"/>
        <v>95</v>
      </c>
      <c r="T16" s="69">
        <f t="shared" si="16"/>
        <v>95</v>
      </c>
      <c r="U16" s="69">
        <f t="shared" si="17"/>
        <v>50</v>
      </c>
      <c r="V16" s="234">
        <f t="shared" si="18"/>
        <v>70</v>
      </c>
      <c r="W16" s="234">
        <f t="shared" si="19"/>
        <v>65</v>
      </c>
      <c r="X16" s="234">
        <f t="shared" si="20"/>
        <v>79</v>
      </c>
      <c r="Y16" s="234">
        <f t="shared" si="21"/>
        <v>90</v>
      </c>
      <c r="Z16" s="234">
        <f t="shared" si="22"/>
        <v>73</v>
      </c>
      <c r="AA16" s="234">
        <f t="shared" si="23"/>
        <v>63</v>
      </c>
      <c r="AB16" s="70">
        <f t="shared" si="24"/>
        <v>1385</v>
      </c>
      <c r="AC16" s="71">
        <f t="shared" si="25"/>
        <v>76.944444444444443</v>
      </c>
      <c r="AD16" s="72">
        <f t="shared" si="26"/>
        <v>13</v>
      </c>
      <c r="AE16" s="73" t="s">
        <v>805</v>
      </c>
      <c r="AF16" s="73" t="s">
        <v>807</v>
      </c>
      <c r="AG16" s="73" t="s">
        <v>805</v>
      </c>
      <c r="AH16" s="74">
        <v>22</v>
      </c>
      <c r="AI16" s="74">
        <v>0</v>
      </c>
      <c r="AJ16" s="74">
        <v>1</v>
      </c>
      <c r="AK16" s="75"/>
      <c r="AM16" s="66">
        <v>3</v>
      </c>
      <c r="AN16" s="66">
        <v>19200017</v>
      </c>
      <c r="AO16" s="77" t="s">
        <v>264</v>
      </c>
      <c r="AP16" s="68">
        <v>65.5</v>
      </c>
      <c r="AQ16" s="68">
        <v>45</v>
      </c>
      <c r="AR16" s="68">
        <v>58</v>
      </c>
      <c r="AS16" s="68">
        <v>67</v>
      </c>
      <c r="AT16" s="68">
        <v>70.3</v>
      </c>
      <c r="AU16" s="68">
        <v>82</v>
      </c>
      <c r="AV16" s="68">
        <v>91</v>
      </c>
      <c r="AW16" s="68">
        <v>79</v>
      </c>
      <c r="AX16" s="68">
        <v>77.5</v>
      </c>
      <c r="AY16" s="68">
        <v>75.5</v>
      </c>
      <c r="AZ16" s="68">
        <v>89.8</v>
      </c>
      <c r="BA16" s="68">
        <v>77.3</v>
      </c>
      <c r="BB16" s="68">
        <v>82</v>
      </c>
      <c r="BC16" s="76">
        <v>85</v>
      </c>
      <c r="BD16" s="76">
        <v>100</v>
      </c>
      <c r="BE16" s="76">
        <v>95</v>
      </c>
      <c r="BF16" s="76">
        <v>95</v>
      </c>
      <c r="BG16" s="76">
        <v>50</v>
      </c>
      <c r="BH16" s="234">
        <v>70</v>
      </c>
      <c r="BI16" s="234">
        <v>65</v>
      </c>
      <c r="BJ16" s="234">
        <v>79</v>
      </c>
      <c r="BK16" s="234">
        <v>90</v>
      </c>
      <c r="BL16" s="234">
        <v>72.5</v>
      </c>
      <c r="BM16" s="234">
        <v>62.5</v>
      </c>
      <c r="BN16" s="70">
        <f t="shared" si="27"/>
        <v>1384.8999999999999</v>
      </c>
      <c r="BO16" s="71">
        <f t="shared" si="28"/>
        <v>76.938888888888883</v>
      </c>
      <c r="BP16" s="72" t="e">
        <f t="shared" si="29"/>
        <v>#N/A</v>
      </c>
      <c r="BQ16" s="73"/>
      <c r="BR16" s="73"/>
      <c r="BS16" s="73"/>
      <c r="BT16" s="74"/>
      <c r="BU16" s="74"/>
      <c r="BV16" s="74"/>
      <c r="BW16" s="75"/>
    </row>
    <row r="17" spans="1:75" ht="27.95" customHeight="1">
      <c r="A17" s="91">
        <v>14</v>
      </c>
      <c r="B17" s="66">
        <v>20210262</v>
      </c>
      <c r="C17" s="77" t="s">
        <v>262</v>
      </c>
      <c r="D17" s="68">
        <f t="shared" si="0"/>
        <v>66</v>
      </c>
      <c r="E17" s="68">
        <f t="shared" si="1"/>
        <v>85</v>
      </c>
      <c r="F17" s="68">
        <f t="shared" si="2"/>
        <v>55</v>
      </c>
      <c r="G17" s="68">
        <f t="shared" si="3"/>
        <v>70</v>
      </c>
      <c r="H17" s="68">
        <f t="shared" si="4"/>
        <v>80</v>
      </c>
      <c r="I17" s="68">
        <f t="shared" si="5"/>
        <v>87</v>
      </c>
      <c r="J17" s="68">
        <f t="shared" si="6"/>
        <v>55</v>
      </c>
      <c r="K17" s="68">
        <f t="shared" si="7"/>
        <v>79</v>
      </c>
      <c r="L17" s="68">
        <f t="shared" si="8"/>
        <v>69</v>
      </c>
      <c r="M17" s="68">
        <f t="shared" si="9"/>
        <v>67</v>
      </c>
      <c r="N17" s="68">
        <f t="shared" si="10"/>
        <v>85</v>
      </c>
      <c r="O17" s="68">
        <f t="shared" si="11"/>
        <v>70</v>
      </c>
      <c r="P17" s="68">
        <f t="shared" si="12"/>
        <v>64</v>
      </c>
      <c r="Q17" s="69">
        <f t="shared" si="13"/>
        <v>85</v>
      </c>
      <c r="R17" s="69">
        <f t="shared" si="14"/>
        <v>99</v>
      </c>
      <c r="S17" s="69">
        <f t="shared" si="15"/>
        <v>95</v>
      </c>
      <c r="T17" s="69">
        <f t="shared" si="16"/>
        <v>95</v>
      </c>
      <c r="U17" s="69">
        <f t="shared" si="17"/>
        <v>60</v>
      </c>
      <c r="V17" s="234">
        <f t="shared" si="18"/>
        <v>93</v>
      </c>
      <c r="W17" s="234">
        <f t="shared" si="19"/>
        <v>98</v>
      </c>
      <c r="X17" s="234">
        <f t="shared" si="20"/>
        <v>79</v>
      </c>
      <c r="Y17" s="234">
        <f t="shared" si="21"/>
        <v>93</v>
      </c>
      <c r="Z17" s="234">
        <f t="shared" si="22"/>
        <v>95</v>
      </c>
      <c r="AA17" s="234">
        <f t="shared" si="23"/>
        <v>90</v>
      </c>
      <c r="AB17" s="70">
        <f t="shared" si="24"/>
        <v>1366</v>
      </c>
      <c r="AC17" s="71">
        <f t="shared" si="25"/>
        <v>75.888888888888886</v>
      </c>
      <c r="AD17" s="72">
        <f t="shared" si="26"/>
        <v>14</v>
      </c>
      <c r="AE17" s="73" t="s">
        <v>805</v>
      </c>
      <c r="AF17" s="73" t="s">
        <v>807</v>
      </c>
      <c r="AG17" s="73" t="s">
        <v>805</v>
      </c>
      <c r="AH17" s="74">
        <v>9</v>
      </c>
      <c r="AI17" s="74">
        <v>0</v>
      </c>
      <c r="AJ17" s="74">
        <v>0</v>
      </c>
      <c r="AK17" s="75"/>
      <c r="AM17" s="66">
        <v>1</v>
      </c>
      <c r="AN17" s="66">
        <v>20210262</v>
      </c>
      <c r="AO17" s="67" t="s">
        <v>262</v>
      </c>
      <c r="AP17" s="68">
        <v>65.5</v>
      </c>
      <c r="AQ17" s="68">
        <v>85.199999999999989</v>
      </c>
      <c r="AR17" s="68">
        <v>55.2</v>
      </c>
      <c r="AS17" s="68">
        <v>69.5</v>
      </c>
      <c r="AT17" s="68">
        <v>79.599999999999994</v>
      </c>
      <c r="AU17" s="68">
        <v>86.5</v>
      </c>
      <c r="AV17" s="68">
        <v>55</v>
      </c>
      <c r="AW17" s="68">
        <v>79</v>
      </c>
      <c r="AX17" s="68">
        <v>69</v>
      </c>
      <c r="AY17" s="68">
        <v>67</v>
      </c>
      <c r="AZ17" s="68">
        <v>85</v>
      </c>
      <c r="BA17" s="68">
        <v>70</v>
      </c>
      <c r="BB17" s="68">
        <v>64</v>
      </c>
      <c r="BC17" s="76">
        <v>85</v>
      </c>
      <c r="BD17" s="76">
        <v>100</v>
      </c>
      <c r="BE17" s="76">
        <v>95</v>
      </c>
      <c r="BF17" s="76">
        <v>95</v>
      </c>
      <c r="BG17" s="76">
        <v>60</v>
      </c>
      <c r="BH17" s="234">
        <v>92.5</v>
      </c>
      <c r="BI17" s="234">
        <v>97.5</v>
      </c>
      <c r="BJ17" s="234">
        <v>79</v>
      </c>
      <c r="BK17" s="234">
        <v>92.5</v>
      </c>
      <c r="BL17" s="234">
        <v>95</v>
      </c>
      <c r="BM17" s="234">
        <v>90</v>
      </c>
      <c r="BN17" s="70">
        <f t="shared" si="27"/>
        <v>1365.5</v>
      </c>
      <c r="BO17" s="71">
        <f t="shared" si="28"/>
        <v>75.861111111111114</v>
      </c>
      <c r="BP17" s="72" t="e">
        <f t="shared" si="29"/>
        <v>#N/A</v>
      </c>
      <c r="BQ17" s="73"/>
      <c r="BR17" s="73"/>
      <c r="BS17" s="73"/>
      <c r="BT17" s="74"/>
      <c r="BU17" s="74"/>
      <c r="BV17" s="74"/>
      <c r="BW17" s="75"/>
    </row>
    <row r="18" spans="1:75" ht="27.95" customHeight="1">
      <c r="A18" s="91">
        <v>15</v>
      </c>
      <c r="B18" s="66">
        <v>19200014</v>
      </c>
      <c r="C18" s="77" t="s">
        <v>263</v>
      </c>
      <c r="D18" s="68">
        <f t="shared" si="0"/>
        <v>66</v>
      </c>
      <c r="E18" s="68">
        <f t="shared" si="1"/>
        <v>99</v>
      </c>
      <c r="F18" s="68">
        <f t="shared" si="2"/>
        <v>55</v>
      </c>
      <c r="G18" s="68">
        <f t="shared" si="3"/>
        <v>72</v>
      </c>
      <c r="H18" s="68">
        <f t="shared" si="4"/>
        <v>44</v>
      </c>
      <c r="I18" s="68">
        <f t="shared" si="5"/>
        <v>82</v>
      </c>
      <c r="J18" s="68">
        <f t="shared" si="6"/>
        <v>64</v>
      </c>
      <c r="K18" s="68">
        <f t="shared" si="7"/>
        <v>79</v>
      </c>
      <c r="L18" s="68">
        <f t="shared" si="8"/>
        <v>75</v>
      </c>
      <c r="M18" s="68">
        <f t="shared" si="9"/>
        <v>67</v>
      </c>
      <c r="N18" s="68">
        <f t="shared" si="10"/>
        <v>71</v>
      </c>
      <c r="O18" s="68">
        <f t="shared" si="11"/>
        <v>72</v>
      </c>
      <c r="P18" s="68">
        <f t="shared" si="12"/>
        <v>78</v>
      </c>
      <c r="Q18" s="69">
        <f t="shared" si="13"/>
        <v>85</v>
      </c>
      <c r="R18" s="69">
        <f t="shared" si="14"/>
        <v>99</v>
      </c>
      <c r="S18" s="69">
        <f t="shared" si="15"/>
        <v>95</v>
      </c>
      <c r="T18" s="69">
        <f t="shared" si="16"/>
        <v>95</v>
      </c>
      <c r="U18" s="69">
        <f t="shared" si="17"/>
        <v>60</v>
      </c>
      <c r="V18" s="234">
        <f t="shared" si="18"/>
        <v>95</v>
      </c>
      <c r="W18" s="234">
        <f t="shared" si="19"/>
        <v>98</v>
      </c>
      <c r="X18" s="234">
        <f t="shared" si="20"/>
        <v>79</v>
      </c>
      <c r="Y18" s="234">
        <f t="shared" si="21"/>
        <v>95</v>
      </c>
      <c r="Z18" s="234">
        <f t="shared" si="22"/>
        <v>95</v>
      </c>
      <c r="AA18" s="234">
        <f t="shared" si="23"/>
        <v>93</v>
      </c>
      <c r="AB18" s="70">
        <f t="shared" si="24"/>
        <v>1358</v>
      </c>
      <c r="AC18" s="71">
        <f t="shared" si="25"/>
        <v>75.444444444444443</v>
      </c>
      <c r="AD18" s="72">
        <f t="shared" si="26"/>
        <v>15</v>
      </c>
      <c r="AE18" s="73" t="s">
        <v>805</v>
      </c>
      <c r="AF18" s="73" t="s">
        <v>807</v>
      </c>
      <c r="AG18" s="73" t="s">
        <v>805</v>
      </c>
      <c r="AH18" s="74">
        <v>0</v>
      </c>
      <c r="AI18" s="74">
        <v>0</v>
      </c>
      <c r="AJ18" s="74">
        <v>0</v>
      </c>
      <c r="AK18" s="75"/>
      <c r="AM18" s="66">
        <v>2</v>
      </c>
      <c r="AN18" s="66">
        <v>19200014</v>
      </c>
      <c r="AO18" s="77" t="s">
        <v>263</v>
      </c>
      <c r="AP18" s="68">
        <v>65.5</v>
      </c>
      <c r="AQ18" s="68">
        <v>99</v>
      </c>
      <c r="AR18" s="68">
        <v>55.4</v>
      </c>
      <c r="AS18" s="68">
        <v>72</v>
      </c>
      <c r="AT18" s="68">
        <v>43.6</v>
      </c>
      <c r="AU18" s="68">
        <v>82</v>
      </c>
      <c r="AV18" s="68">
        <v>64</v>
      </c>
      <c r="AW18" s="68">
        <v>79</v>
      </c>
      <c r="AX18" s="68">
        <v>75</v>
      </c>
      <c r="AY18" s="68">
        <v>67</v>
      </c>
      <c r="AZ18" s="68">
        <v>70.599999999999994</v>
      </c>
      <c r="BA18" s="68">
        <v>71.8</v>
      </c>
      <c r="BB18" s="68">
        <v>77.5</v>
      </c>
      <c r="BC18" s="76">
        <v>85</v>
      </c>
      <c r="BD18" s="76">
        <v>100</v>
      </c>
      <c r="BE18" s="76">
        <v>95</v>
      </c>
      <c r="BF18" s="76">
        <v>95</v>
      </c>
      <c r="BG18" s="76">
        <v>60</v>
      </c>
      <c r="BH18" s="234">
        <v>95</v>
      </c>
      <c r="BI18" s="234">
        <v>97.5</v>
      </c>
      <c r="BJ18" s="234">
        <v>79</v>
      </c>
      <c r="BK18" s="234">
        <v>95</v>
      </c>
      <c r="BL18" s="234">
        <v>95</v>
      </c>
      <c r="BM18" s="234">
        <v>92.5</v>
      </c>
      <c r="BN18" s="70">
        <f t="shared" si="27"/>
        <v>1357.4</v>
      </c>
      <c r="BO18" s="71">
        <f t="shared" si="28"/>
        <v>75.411111111111111</v>
      </c>
      <c r="BP18" s="72" t="e">
        <f t="shared" si="29"/>
        <v>#N/A</v>
      </c>
      <c r="BQ18" s="73"/>
      <c r="BR18" s="73"/>
      <c r="BS18" s="73"/>
      <c r="BT18" s="74"/>
      <c r="BU18" s="74"/>
      <c r="BV18" s="74"/>
      <c r="BW18" s="75"/>
    </row>
    <row r="19" spans="1:75" ht="27.95" customHeight="1">
      <c r="A19" s="91">
        <v>16</v>
      </c>
      <c r="B19" s="91">
        <v>20210063</v>
      </c>
      <c r="C19" s="92" t="s">
        <v>282</v>
      </c>
      <c r="D19" s="68">
        <f t="shared" si="0"/>
        <v>62</v>
      </c>
      <c r="E19" s="68">
        <f t="shared" si="1"/>
        <v>96</v>
      </c>
      <c r="F19" s="68">
        <f t="shared" si="2"/>
        <v>69</v>
      </c>
      <c r="G19" s="68">
        <f t="shared" si="3"/>
        <v>66</v>
      </c>
      <c r="H19" s="68">
        <f t="shared" si="4"/>
        <v>62</v>
      </c>
      <c r="I19" s="68">
        <f t="shared" si="5"/>
        <v>77</v>
      </c>
      <c r="J19" s="68">
        <f t="shared" si="6"/>
        <v>63</v>
      </c>
      <c r="K19" s="68">
        <f t="shared" si="7"/>
        <v>78</v>
      </c>
      <c r="L19" s="68">
        <f t="shared" si="8"/>
        <v>79</v>
      </c>
      <c r="M19" s="68">
        <f t="shared" si="9"/>
        <v>74</v>
      </c>
      <c r="N19" s="68">
        <f t="shared" si="10"/>
        <v>63</v>
      </c>
      <c r="O19" s="68">
        <f t="shared" si="11"/>
        <v>68</v>
      </c>
      <c r="P19" s="68">
        <f t="shared" si="12"/>
        <v>72</v>
      </c>
      <c r="Q19" s="69">
        <f t="shared" si="13"/>
        <v>85</v>
      </c>
      <c r="R19" s="69">
        <f t="shared" si="14"/>
        <v>99</v>
      </c>
      <c r="S19" s="69">
        <f t="shared" si="15"/>
        <v>95</v>
      </c>
      <c r="T19" s="69">
        <f t="shared" si="16"/>
        <v>95</v>
      </c>
      <c r="U19" s="69">
        <f t="shared" si="17"/>
        <v>50</v>
      </c>
      <c r="V19" s="234">
        <f t="shared" si="18"/>
        <v>90</v>
      </c>
      <c r="W19" s="234">
        <f t="shared" si="19"/>
        <v>98</v>
      </c>
      <c r="X19" s="234">
        <f t="shared" si="20"/>
        <v>78</v>
      </c>
      <c r="Y19" s="234">
        <f t="shared" si="21"/>
        <v>93</v>
      </c>
      <c r="Z19" s="234">
        <f t="shared" si="22"/>
        <v>95</v>
      </c>
      <c r="AA19" s="234">
        <f t="shared" si="23"/>
        <v>88</v>
      </c>
      <c r="AB19" s="70">
        <f t="shared" si="24"/>
        <v>1353</v>
      </c>
      <c r="AC19" s="71">
        <f t="shared" si="25"/>
        <v>75.166666666666671</v>
      </c>
      <c r="AD19" s="72">
        <f t="shared" si="26"/>
        <v>16</v>
      </c>
      <c r="AE19" s="73" t="s">
        <v>807</v>
      </c>
      <c r="AF19" s="73" t="s">
        <v>807</v>
      </c>
      <c r="AG19" s="73" t="s">
        <v>805</v>
      </c>
      <c r="AH19" s="74">
        <v>31</v>
      </c>
      <c r="AI19" s="74">
        <v>16</v>
      </c>
      <c r="AJ19" s="74">
        <v>5</v>
      </c>
      <c r="AK19" s="75"/>
      <c r="AM19" s="66">
        <v>21</v>
      </c>
      <c r="AN19" s="66">
        <v>20210063</v>
      </c>
      <c r="AO19" s="78" t="s">
        <v>282</v>
      </c>
      <c r="AP19" s="68">
        <v>61.5</v>
      </c>
      <c r="AQ19" s="68">
        <v>96.199999999999989</v>
      </c>
      <c r="AR19" s="68">
        <v>68.8</v>
      </c>
      <c r="AS19" s="68">
        <v>65.8</v>
      </c>
      <c r="AT19" s="68">
        <v>61.8</v>
      </c>
      <c r="AU19" s="68">
        <v>76.5</v>
      </c>
      <c r="AV19" s="68">
        <v>63</v>
      </c>
      <c r="AW19" s="68">
        <v>78</v>
      </c>
      <c r="AX19" s="68">
        <v>79</v>
      </c>
      <c r="AY19" s="68">
        <v>73.5</v>
      </c>
      <c r="AZ19" s="68">
        <v>63</v>
      </c>
      <c r="BA19" s="68">
        <v>68.199999999999989</v>
      </c>
      <c r="BB19" s="68">
        <v>72</v>
      </c>
      <c r="BC19" s="76">
        <v>85</v>
      </c>
      <c r="BD19" s="76">
        <v>100</v>
      </c>
      <c r="BE19" s="76">
        <v>95</v>
      </c>
      <c r="BF19" s="76">
        <v>95</v>
      </c>
      <c r="BG19" s="76">
        <v>50</v>
      </c>
      <c r="BH19" s="234">
        <v>90</v>
      </c>
      <c r="BI19" s="234">
        <v>97.5</v>
      </c>
      <c r="BJ19" s="234">
        <v>78</v>
      </c>
      <c r="BK19" s="234">
        <v>92.5</v>
      </c>
      <c r="BL19" s="234">
        <v>95</v>
      </c>
      <c r="BM19" s="234">
        <v>87.5</v>
      </c>
      <c r="BN19" s="70">
        <f t="shared" si="27"/>
        <v>1352.3</v>
      </c>
      <c r="BO19" s="71">
        <f t="shared" si="28"/>
        <v>75.12777777777778</v>
      </c>
      <c r="BP19" s="72" t="e">
        <f t="shared" si="29"/>
        <v>#N/A</v>
      </c>
      <c r="BQ19" s="73"/>
      <c r="BR19" s="73"/>
      <c r="BS19" s="73"/>
      <c r="BT19" s="74"/>
      <c r="BU19" s="74"/>
      <c r="BV19" s="74"/>
      <c r="BW19" s="75"/>
    </row>
    <row r="20" spans="1:75" ht="27.95" customHeight="1">
      <c r="A20" s="91">
        <v>17</v>
      </c>
      <c r="B20" s="91">
        <v>19200131</v>
      </c>
      <c r="C20" s="92" t="s">
        <v>280</v>
      </c>
      <c r="D20" s="68">
        <f t="shared" si="0"/>
        <v>49</v>
      </c>
      <c r="E20" s="68">
        <f t="shared" si="1"/>
        <v>92</v>
      </c>
      <c r="F20" s="68">
        <f t="shared" si="2"/>
        <v>48</v>
      </c>
      <c r="G20" s="68">
        <f t="shared" si="3"/>
        <v>70</v>
      </c>
      <c r="H20" s="68">
        <f t="shared" si="4"/>
        <v>59</v>
      </c>
      <c r="I20" s="68">
        <f t="shared" si="5"/>
        <v>91</v>
      </c>
      <c r="J20" s="68">
        <f t="shared" si="6"/>
        <v>69</v>
      </c>
      <c r="K20" s="68">
        <f t="shared" si="7"/>
        <v>79</v>
      </c>
      <c r="L20" s="68">
        <f t="shared" si="8"/>
        <v>76</v>
      </c>
      <c r="M20" s="68">
        <f t="shared" si="9"/>
        <v>78</v>
      </c>
      <c r="N20" s="68">
        <f t="shared" si="10"/>
        <v>77</v>
      </c>
      <c r="O20" s="68">
        <f t="shared" si="11"/>
        <v>75</v>
      </c>
      <c r="P20" s="68">
        <f t="shared" si="12"/>
        <v>73</v>
      </c>
      <c r="Q20" s="69">
        <f t="shared" si="13"/>
        <v>85</v>
      </c>
      <c r="R20" s="69">
        <f t="shared" si="14"/>
        <v>99</v>
      </c>
      <c r="S20" s="69">
        <f t="shared" si="15"/>
        <v>95</v>
      </c>
      <c r="T20" s="69">
        <f t="shared" si="16"/>
        <v>95</v>
      </c>
      <c r="U20" s="69">
        <f t="shared" si="17"/>
        <v>40</v>
      </c>
      <c r="V20" s="234">
        <f t="shared" si="18"/>
        <v>75</v>
      </c>
      <c r="W20" s="234">
        <f t="shared" si="19"/>
        <v>95</v>
      </c>
      <c r="X20" s="234">
        <f t="shared" si="20"/>
        <v>79</v>
      </c>
      <c r="Y20" s="234">
        <f t="shared" si="21"/>
        <v>80</v>
      </c>
      <c r="Z20" s="234">
        <f t="shared" si="22"/>
        <v>93</v>
      </c>
      <c r="AA20" s="234">
        <f t="shared" si="23"/>
        <v>88</v>
      </c>
      <c r="AB20" s="70">
        <f t="shared" si="24"/>
        <v>1350</v>
      </c>
      <c r="AC20" s="71">
        <f t="shared" si="25"/>
        <v>75</v>
      </c>
      <c r="AD20" s="72">
        <f t="shared" si="26"/>
        <v>17</v>
      </c>
      <c r="AE20" s="73" t="s">
        <v>805</v>
      </c>
      <c r="AF20" s="73" t="s">
        <v>807</v>
      </c>
      <c r="AG20" s="73" t="s">
        <v>805</v>
      </c>
      <c r="AH20" s="74">
        <v>0</v>
      </c>
      <c r="AI20" s="74">
        <v>0</v>
      </c>
      <c r="AJ20" s="74">
        <v>0</v>
      </c>
      <c r="AK20" s="75"/>
      <c r="AM20" s="66">
        <v>19</v>
      </c>
      <c r="AN20" s="66">
        <v>19200131</v>
      </c>
      <c r="AO20" s="77" t="s">
        <v>280</v>
      </c>
      <c r="AP20" s="68">
        <v>49</v>
      </c>
      <c r="AQ20" s="68">
        <v>91.8</v>
      </c>
      <c r="AR20" s="68">
        <v>48</v>
      </c>
      <c r="AS20" s="68">
        <v>70</v>
      </c>
      <c r="AT20" s="68">
        <v>58.9</v>
      </c>
      <c r="AU20" s="68">
        <v>91</v>
      </c>
      <c r="AV20" s="68">
        <v>68.5</v>
      </c>
      <c r="AW20" s="68">
        <v>79</v>
      </c>
      <c r="AX20" s="68">
        <v>76</v>
      </c>
      <c r="AY20" s="68">
        <v>77.5</v>
      </c>
      <c r="AZ20" s="68">
        <v>77.199999999999989</v>
      </c>
      <c r="BA20" s="68">
        <v>74.699999999999989</v>
      </c>
      <c r="BB20" s="68">
        <v>73</v>
      </c>
      <c r="BC20" s="76">
        <v>85</v>
      </c>
      <c r="BD20" s="76">
        <v>100</v>
      </c>
      <c r="BE20" s="76">
        <v>95</v>
      </c>
      <c r="BF20" s="76">
        <v>95</v>
      </c>
      <c r="BG20" s="76">
        <v>40</v>
      </c>
      <c r="BH20" s="234">
        <v>75</v>
      </c>
      <c r="BI20" s="234">
        <v>95</v>
      </c>
      <c r="BJ20" s="234">
        <v>79</v>
      </c>
      <c r="BK20" s="234">
        <v>80</v>
      </c>
      <c r="BL20" s="234">
        <v>92.5</v>
      </c>
      <c r="BM20" s="234">
        <v>87.5</v>
      </c>
      <c r="BN20" s="70">
        <f t="shared" si="27"/>
        <v>1349.6000000000001</v>
      </c>
      <c r="BO20" s="71">
        <f t="shared" si="28"/>
        <v>74.977777777777789</v>
      </c>
      <c r="BP20" s="72" t="e">
        <f t="shared" si="29"/>
        <v>#N/A</v>
      </c>
      <c r="BQ20" s="73"/>
      <c r="BR20" s="73"/>
      <c r="BS20" s="73"/>
      <c r="BT20" s="74"/>
      <c r="BU20" s="74"/>
      <c r="BV20" s="74"/>
      <c r="BW20" s="75"/>
    </row>
    <row r="21" spans="1:75" ht="27.95" customHeight="1">
      <c r="A21" s="91">
        <v>18</v>
      </c>
      <c r="B21" s="66">
        <v>20210111</v>
      </c>
      <c r="C21" s="77" t="s">
        <v>284</v>
      </c>
      <c r="D21" s="68">
        <f t="shared" si="0"/>
        <v>61</v>
      </c>
      <c r="E21" s="68">
        <f t="shared" si="1"/>
        <v>96</v>
      </c>
      <c r="F21" s="68">
        <f t="shared" si="2"/>
        <v>66</v>
      </c>
      <c r="G21" s="68">
        <f t="shared" si="3"/>
        <v>72</v>
      </c>
      <c r="H21" s="68">
        <f t="shared" si="4"/>
        <v>78</v>
      </c>
      <c r="I21" s="68">
        <f t="shared" si="5"/>
        <v>73</v>
      </c>
      <c r="J21" s="68">
        <f t="shared" si="6"/>
        <v>55</v>
      </c>
      <c r="K21" s="68">
        <f t="shared" si="7"/>
        <v>52</v>
      </c>
      <c r="L21" s="68">
        <f t="shared" si="8"/>
        <v>71</v>
      </c>
      <c r="M21" s="68">
        <f t="shared" si="9"/>
        <v>66</v>
      </c>
      <c r="N21" s="68">
        <f t="shared" si="10"/>
        <v>72</v>
      </c>
      <c r="O21" s="68">
        <f t="shared" si="11"/>
        <v>65</v>
      </c>
      <c r="P21" s="68">
        <f t="shared" si="12"/>
        <v>73</v>
      </c>
      <c r="Q21" s="69">
        <f t="shared" si="13"/>
        <v>85</v>
      </c>
      <c r="R21" s="69">
        <f t="shared" si="14"/>
        <v>99</v>
      </c>
      <c r="S21" s="69">
        <f t="shared" si="15"/>
        <v>95</v>
      </c>
      <c r="T21" s="69">
        <f t="shared" si="16"/>
        <v>95</v>
      </c>
      <c r="U21" s="69">
        <f t="shared" si="17"/>
        <v>60</v>
      </c>
      <c r="V21" s="234">
        <f t="shared" si="18"/>
        <v>65</v>
      </c>
      <c r="W21" s="234">
        <f t="shared" si="19"/>
        <v>98</v>
      </c>
      <c r="X21" s="234">
        <f t="shared" si="20"/>
        <v>52</v>
      </c>
      <c r="Y21" s="234">
        <f t="shared" si="21"/>
        <v>93</v>
      </c>
      <c r="Z21" s="234">
        <f t="shared" si="22"/>
        <v>93</v>
      </c>
      <c r="AA21" s="234">
        <f t="shared" si="23"/>
        <v>75</v>
      </c>
      <c r="AB21" s="70">
        <f t="shared" si="24"/>
        <v>1334</v>
      </c>
      <c r="AC21" s="71">
        <f t="shared" si="25"/>
        <v>74.111111111111114</v>
      </c>
      <c r="AD21" s="72">
        <f t="shared" si="26"/>
        <v>18</v>
      </c>
      <c r="AE21" s="73" t="s">
        <v>805</v>
      </c>
      <c r="AF21" s="73" t="s">
        <v>807</v>
      </c>
      <c r="AG21" s="73" t="s">
        <v>805</v>
      </c>
      <c r="AH21" s="74">
        <v>19</v>
      </c>
      <c r="AI21" s="74">
        <v>4</v>
      </c>
      <c r="AJ21" s="74">
        <v>0</v>
      </c>
      <c r="AK21" s="75"/>
      <c r="AM21" s="66">
        <v>23</v>
      </c>
      <c r="AN21" s="66">
        <v>20210111</v>
      </c>
      <c r="AO21" s="77" t="s">
        <v>284</v>
      </c>
      <c r="AP21" s="68">
        <v>61</v>
      </c>
      <c r="AQ21" s="68">
        <v>96</v>
      </c>
      <c r="AR21" s="68">
        <v>66</v>
      </c>
      <c r="AS21" s="68">
        <v>72</v>
      </c>
      <c r="AT21" s="68">
        <v>77.8</v>
      </c>
      <c r="AU21" s="68">
        <v>73</v>
      </c>
      <c r="AV21" s="68">
        <v>55</v>
      </c>
      <c r="AW21" s="68">
        <v>52</v>
      </c>
      <c r="AX21" s="68">
        <v>70.5</v>
      </c>
      <c r="AY21" s="68">
        <v>65.5</v>
      </c>
      <c r="AZ21" s="68">
        <v>72.3</v>
      </c>
      <c r="BA21" s="68">
        <v>64.699999999999989</v>
      </c>
      <c r="BB21" s="68">
        <v>73</v>
      </c>
      <c r="BC21" s="76">
        <v>85</v>
      </c>
      <c r="BD21" s="76">
        <v>100</v>
      </c>
      <c r="BE21" s="76">
        <v>95</v>
      </c>
      <c r="BF21" s="76">
        <v>95</v>
      </c>
      <c r="BG21" s="76">
        <v>60</v>
      </c>
      <c r="BH21" s="234">
        <v>65</v>
      </c>
      <c r="BI21" s="234">
        <v>97.5</v>
      </c>
      <c r="BJ21" s="234">
        <v>52</v>
      </c>
      <c r="BK21" s="234">
        <v>92.5</v>
      </c>
      <c r="BL21" s="234">
        <v>92.5</v>
      </c>
      <c r="BM21" s="234">
        <v>75</v>
      </c>
      <c r="BN21" s="70">
        <f t="shared" si="27"/>
        <v>1333.8</v>
      </c>
      <c r="BO21" s="71">
        <f t="shared" si="28"/>
        <v>74.099999999999994</v>
      </c>
      <c r="BP21" s="72" t="e">
        <f t="shared" si="29"/>
        <v>#N/A</v>
      </c>
      <c r="BQ21" s="73"/>
      <c r="BR21" s="73"/>
      <c r="BS21" s="73"/>
      <c r="BT21" s="74"/>
      <c r="BU21" s="74"/>
      <c r="BV21" s="74"/>
      <c r="BW21" s="75"/>
    </row>
    <row r="22" spans="1:75" ht="27.95" customHeight="1">
      <c r="A22" s="91">
        <v>19</v>
      </c>
      <c r="B22" s="66">
        <v>20210046</v>
      </c>
      <c r="C22" s="77" t="s">
        <v>265</v>
      </c>
      <c r="D22" s="68">
        <f t="shared" si="0"/>
        <v>59</v>
      </c>
      <c r="E22" s="68">
        <f t="shared" si="1"/>
        <v>71</v>
      </c>
      <c r="F22" s="68">
        <f t="shared" si="2"/>
        <v>50</v>
      </c>
      <c r="G22" s="68">
        <f t="shared" si="3"/>
        <v>64</v>
      </c>
      <c r="H22" s="68">
        <f t="shared" si="4"/>
        <v>58</v>
      </c>
      <c r="I22" s="68">
        <f t="shared" si="5"/>
        <v>89</v>
      </c>
      <c r="J22" s="68">
        <f t="shared" si="6"/>
        <v>62</v>
      </c>
      <c r="K22" s="68">
        <f t="shared" si="7"/>
        <v>77</v>
      </c>
      <c r="L22" s="68">
        <f t="shared" si="8"/>
        <v>57</v>
      </c>
      <c r="M22" s="68">
        <f t="shared" si="9"/>
        <v>61</v>
      </c>
      <c r="N22" s="68">
        <f t="shared" si="10"/>
        <v>65</v>
      </c>
      <c r="O22" s="68">
        <f t="shared" si="11"/>
        <v>64</v>
      </c>
      <c r="P22" s="68">
        <f t="shared" si="12"/>
        <v>71</v>
      </c>
      <c r="Q22" s="69">
        <f t="shared" si="13"/>
        <v>85</v>
      </c>
      <c r="R22" s="69">
        <f t="shared" si="14"/>
        <v>99</v>
      </c>
      <c r="S22" s="69">
        <f t="shared" si="15"/>
        <v>95</v>
      </c>
      <c r="T22" s="69">
        <f t="shared" si="16"/>
        <v>95</v>
      </c>
      <c r="U22" s="69">
        <f t="shared" si="17"/>
        <v>50</v>
      </c>
      <c r="V22" s="234">
        <f t="shared" si="18"/>
        <v>95</v>
      </c>
      <c r="W22" s="234">
        <f t="shared" si="19"/>
        <v>99</v>
      </c>
      <c r="X22" s="234">
        <f t="shared" si="20"/>
        <v>77</v>
      </c>
      <c r="Y22" s="234">
        <f t="shared" si="21"/>
        <v>93</v>
      </c>
      <c r="Z22" s="234">
        <f t="shared" si="22"/>
        <v>90</v>
      </c>
      <c r="AA22" s="234">
        <f t="shared" si="23"/>
        <v>83</v>
      </c>
      <c r="AB22" s="70">
        <f t="shared" si="24"/>
        <v>1272</v>
      </c>
      <c r="AC22" s="71">
        <f t="shared" si="25"/>
        <v>70.666666666666671</v>
      </c>
      <c r="AD22" s="72">
        <f t="shared" si="26"/>
        <v>19</v>
      </c>
      <c r="AE22" s="73" t="s">
        <v>807</v>
      </c>
      <c r="AF22" s="73" t="s">
        <v>807</v>
      </c>
      <c r="AG22" s="73" t="s">
        <v>807</v>
      </c>
      <c r="AH22" s="74">
        <v>66</v>
      </c>
      <c r="AI22" s="74">
        <v>31</v>
      </c>
      <c r="AJ22" s="74">
        <v>10</v>
      </c>
      <c r="AK22" s="75"/>
      <c r="AM22" s="66">
        <v>4</v>
      </c>
      <c r="AN22" s="66">
        <v>20210046</v>
      </c>
      <c r="AO22" s="77" t="s">
        <v>265</v>
      </c>
      <c r="AP22" s="68">
        <v>59</v>
      </c>
      <c r="AQ22" s="68">
        <v>71.199999999999989</v>
      </c>
      <c r="AR22" s="68">
        <v>50</v>
      </c>
      <c r="AS22" s="68">
        <v>64</v>
      </c>
      <c r="AT22" s="68">
        <v>57.8</v>
      </c>
      <c r="AU22" s="68">
        <v>89</v>
      </c>
      <c r="AV22" s="68">
        <v>62</v>
      </c>
      <c r="AW22" s="68">
        <v>77</v>
      </c>
      <c r="AX22" s="68">
        <v>57</v>
      </c>
      <c r="AY22" s="68">
        <v>61</v>
      </c>
      <c r="AZ22" s="68">
        <v>64.5</v>
      </c>
      <c r="BA22" s="68">
        <v>63.5</v>
      </c>
      <c r="BB22" s="68">
        <v>71</v>
      </c>
      <c r="BC22" s="76">
        <v>85</v>
      </c>
      <c r="BD22" s="76">
        <v>100</v>
      </c>
      <c r="BE22" s="76">
        <v>95</v>
      </c>
      <c r="BF22" s="76">
        <v>95</v>
      </c>
      <c r="BG22" s="76">
        <v>50</v>
      </c>
      <c r="BH22" s="234">
        <v>95</v>
      </c>
      <c r="BI22" s="234">
        <v>100</v>
      </c>
      <c r="BJ22" s="234">
        <v>77</v>
      </c>
      <c r="BK22" s="234">
        <v>92.5</v>
      </c>
      <c r="BL22" s="234">
        <v>90</v>
      </c>
      <c r="BM22" s="234">
        <v>82.5</v>
      </c>
      <c r="BN22" s="70">
        <f t="shared" si="27"/>
        <v>1272</v>
      </c>
      <c r="BO22" s="71">
        <f t="shared" si="28"/>
        <v>70.666666666666671</v>
      </c>
      <c r="BP22" s="72">
        <f t="shared" si="29"/>
        <v>19</v>
      </c>
      <c r="BQ22" s="73"/>
      <c r="BR22" s="73"/>
      <c r="BS22" s="73"/>
      <c r="BT22" s="74"/>
      <c r="BU22" s="74"/>
      <c r="BV22" s="74"/>
      <c r="BW22" s="75"/>
    </row>
    <row r="23" spans="1:75" ht="27.95" customHeight="1">
      <c r="A23" s="91">
        <v>20</v>
      </c>
      <c r="B23" s="91">
        <v>19200115</v>
      </c>
      <c r="C23" s="92" t="s">
        <v>276</v>
      </c>
      <c r="D23" s="68">
        <f t="shared" si="0"/>
        <v>64</v>
      </c>
      <c r="E23" s="68">
        <f t="shared" si="1"/>
        <v>71</v>
      </c>
      <c r="F23" s="68">
        <f t="shared" si="2"/>
        <v>46</v>
      </c>
      <c r="G23" s="68">
        <f t="shared" si="3"/>
        <v>63</v>
      </c>
      <c r="H23" s="68">
        <f t="shared" si="4"/>
        <v>40</v>
      </c>
      <c r="I23" s="68">
        <f t="shared" si="5"/>
        <v>87</v>
      </c>
      <c r="J23" s="68">
        <f t="shared" si="6"/>
        <v>73</v>
      </c>
      <c r="K23" s="68">
        <f t="shared" si="7"/>
        <v>79</v>
      </c>
      <c r="L23" s="68">
        <f t="shared" si="8"/>
        <v>64</v>
      </c>
      <c r="M23" s="68">
        <f t="shared" si="9"/>
        <v>65</v>
      </c>
      <c r="N23" s="68">
        <f t="shared" si="10"/>
        <v>58</v>
      </c>
      <c r="O23" s="68">
        <f t="shared" si="11"/>
        <v>65</v>
      </c>
      <c r="P23" s="68">
        <f t="shared" si="12"/>
        <v>73</v>
      </c>
      <c r="Q23" s="69">
        <f t="shared" si="13"/>
        <v>85</v>
      </c>
      <c r="R23" s="69">
        <f t="shared" si="14"/>
        <v>99</v>
      </c>
      <c r="S23" s="69">
        <f t="shared" si="15"/>
        <v>95</v>
      </c>
      <c r="T23" s="69">
        <f t="shared" si="16"/>
        <v>95</v>
      </c>
      <c r="U23" s="69">
        <f t="shared" si="17"/>
        <v>50</v>
      </c>
      <c r="V23" s="234">
        <f t="shared" si="18"/>
        <v>83</v>
      </c>
      <c r="W23" s="234">
        <f t="shared" si="19"/>
        <v>60</v>
      </c>
      <c r="X23" s="234">
        <f t="shared" si="20"/>
        <v>79</v>
      </c>
      <c r="Y23" s="234">
        <f t="shared" si="21"/>
        <v>78</v>
      </c>
      <c r="Z23" s="234">
        <f t="shared" si="22"/>
        <v>73</v>
      </c>
      <c r="AA23" s="234">
        <f t="shared" si="23"/>
        <v>80</v>
      </c>
      <c r="AB23" s="70">
        <f t="shared" si="24"/>
        <v>1272</v>
      </c>
      <c r="AC23" s="71">
        <f t="shared" si="25"/>
        <v>70.666666666666671</v>
      </c>
      <c r="AD23" s="72">
        <f t="shared" si="26"/>
        <v>19</v>
      </c>
      <c r="AE23" s="73" t="s">
        <v>805</v>
      </c>
      <c r="AF23" s="73" t="s">
        <v>807</v>
      </c>
      <c r="AG23" s="73" t="s">
        <v>805</v>
      </c>
      <c r="AH23" s="74">
        <v>0</v>
      </c>
      <c r="AI23" s="74">
        <v>0</v>
      </c>
      <c r="AJ23" s="74">
        <v>0</v>
      </c>
      <c r="AK23" s="75"/>
      <c r="AM23" s="66">
        <v>15</v>
      </c>
      <c r="AN23" s="66">
        <v>19200115</v>
      </c>
      <c r="AO23" s="77" t="s">
        <v>276</v>
      </c>
      <c r="AP23" s="68">
        <v>64.3</v>
      </c>
      <c r="AQ23" s="68">
        <v>70.8</v>
      </c>
      <c r="AR23" s="68">
        <v>46</v>
      </c>
      <c r="AS23" s="68">
        <v>62.5</v>
      </c>
      <c r="AT23" s="68">
        <v>39.099999999999994</v>
      </c>
      <c r="AU23" s="68">
        <v>86.5</v>
      </c>
      <c r="AV23" s="68">
        <v>73</v>
      </c>
      <c r="AW23" s="68">
        <v>79</v>
      </c>
      <c r="AX23" s="68">
        <v>63.5</v>
      </c>
      <c r="AY23" s="68">
        <v>65</v>
      </c>
      <c r="AZ23" s="68">
        <v>58</v>
      </c>
      <c r="BA23" s="68">
        <v>65</v>
      </c>
      <c r="BB23" s="68">
        <v>73</v>
      </c>
      <c r="BC23" s="76">
        <v>85</v>
      </c>
      <c r="BD23" s="76">
        <v>100</v>
      </c>
      <c r="BE23" s="76">
        <v>95</v>
      </c>
      <c r="BF23" s="76">
        <v>95</v>
      </c>
      <c r="BG23" s="76">
        <v>50</v>
      </c>
      <c r="BH23" s="234">
        <v>82.5</v>
      </c>
      <c r="BI23" s="234">
        <v>60</v>
      </c>
      <c r="BJ23" s="234">
        <v>79</v>
      </c>
      <c r="BK23" s="234">
        <v>77.5</v>
      </c>
      <c r="BL23" s="234">
        <v>72.5</v>
      </c>
      <c r="BM23" s="234">
        <v>80</v>
      </c>
      <c r="BN23" s="70">
        <f t="shared" si="27"/>
        <v>1270.7</v>
      </c>
      <c r="BO23" s="71">
        <f t="shared" si="28"/>
        <v>70.594444444444449</v>
      </c>
      <c r="BP23" s="72" t="e">
        <f t="shared" si="29"/>
        <v>#N/A</v>
      </c>
      <c r="BQ23" s="73"/>
      <c r="BR23" s="73"/>
      <c r="BS23" s="73"/>
      <c r="BT23" s="74"/>
      <c r="BU23" s="74"/>
      <c r="BV23" s="74"/>
      <c r="BW23" s="75"/>
    </row>
    <row r="24" spans="1:75" ht="27.95" customHeight="1">
      <c r="A24" s="91">
        <v>21</v>
      </c>
      <c r="B24" s="91">
        <v>19200134</v>
      </c>
      <c r="C24" s="92" t="s">
        <v>281</v>
      </c>
      <c r="D24" s="68">
        <f t="shared" si="0"/>
        <v>58</v>
      </c>
      <c r="E24" s="68">
        <f t="shared" si="1"/>
        <v>91</v>
      </c>
      <c r="F24" s="68">
        <f t="shared" si="2"/>
        <v>51</v>
      </c>
      <c r="G24" s="68">
        <f t="shared" si="3"/>
        <v>75</v>
      </c>
      <c r="H24" s="68">
        <f t="shared" si="4"/>
        <v>60</v>
      </c>
      <c r="I24" s="68">
        <f t="shared" si="5"/>
        <v>64</v>
      </c>
      <c r="J24" s="68">
        <f t="shared" si="6"/>
        <v>60</v>
      </c>
      <c r="K24" s="68">
        <f t="shared" si="7"/>
        <v>79</v>
      </c>
      <c r="L24" s="68">
        <f t="shared" si="8"/>
        <v>65</v>
      </c>
      <c r="M24" s="68">
        <f t="shared" si="9"/>
        <v>66</v>
      </c>
      <c r="N24" s="68">
        <f t="shared" si="10"/>
        <v>40</v>
      </c>
      <c r="O24" s="68">
        <f t="shared" si="11"/>
        <v>68</v>
      </c>
      <c r="P24" s="68">
        <f t="shared" si="12"/>
        <v>73</v>
      </c>
      <c r="Q24" s="69">
        <f t="shared" si="13"/>
        <v>85</v>
      </c>
      <c r="R24" s="69">
        <f t="shared" si="14"/>
        <v>99</v>
      </c>
      <c r="S24" s="69">
        <f t="shared" si="15"/>
        <v>95</v>
      </c>
      <c r="T24" s="69">
        <f t="shared" si="16"/>
        <v>95</v>
      </c>
      <c r="U24" s="69">
        <f t="shared" si="17"/>
        <v>40</v>
      </c>
      <c r="V24" s="234">
        <f t="shared" si="18"/>
        <v>83</v>
      </c>
      <c r="W24" s="234">
        <f t="shared" si="19"/>
        <v>85</v>
      </c>
      <c r="X24" s="234">
        <f t="shared" si="20"/>
        <v>79</v>
      </c>
      <c r="Y24" s="234">
        <f t="shared" si="21"/>
        <v>83</v>
      </c>
      <c r="Z24" s="234">
        <f t="shared" si="22"/>
        <v>88</v>
      </c>
      <c r="AA24" s="234">
        <f t="shared" si="23"/>
        <v>88</v>
      </c>
      <c r="AB24" s="70">
        <f t="shared" si="24"/>
        <v>1264</v>
      </c>
      <c r="AC24" s="71">
        <f t="shared" si="25"/>
        <v>70.222222222222229</v>
      </c>
      <c r="AD24" s="72">
        <f t="shared" si="26"/>
        <v>21</v>
      </c>
      <c r="AE24" s="73" t="s">
        <v>805</v>
      </c>
      <c r="AF24" s="73" t="s">
        <v>807</v>
      </c>
      <c r="AG24" s="73" t="s">
        <v>805</v>
      </c>
      <c r="AH24" s="74">
        <v>5</v>
      </c>
      <c r="AI24" s="74">
        <v>9</v>
      </c>
      <c r="AJ24" s="74">
        <v>0</v>
      </c>
      <c r="AK24" s="75"/>
      <c r="AM24" s="66">
        <v>20</v>
      </c>
      <c r="AN24" s="66">
        <v>19200134</v>
      </c>
      <c r="AO24" s="80" t="s">
        <v>281</v>
      </c>
      <c r="AP24" s="68">
        <v>58</v>
      </c>
      <c r="AQ24" s="68">
        <v>90.6</v>
      </c>
      <c r="AR24" s="68">
        <v>51</v>
      </c>
      <c r="AS24" s="68">
        <v>75</v>
      </c>
      <c r="AT24" s="68">
        <v>59.8</v>
      </c>
      <c r="AU24" s="68">
        <v>64</v>
      </c>
      <c r="AV24" s="68">
        <v>59.5</v>
      </c>
      <c r="AW24" s="68">
        <v>79</v>
      </c>
      <c r="AX24" s="68">
        <v>65</v>
      </c>
      <c r="AY24" s="68">
        <v>66</v>
      </c>
      <c r="AZ24" s="68">
        <v>35.200000000000003</v>
      </c>
      <c r="BA24" s="68">
        <v>68.3</v>
      </c>
      <c r="BB24" s="68">
        <v>73</v>
      </c>
      <c r="BC24" s="76">
        <v>85</v>
      </c>
      <c r="BD24" s="76">
        <v>100</v>
      </c>
      <c r="BE24" s="76">
        <v>95</v>
      </c>
      <c r="BF24" s="76">
        <v>95</v>
      </c>
      <c r="BG24" s="76">
        <v>40</v>
      </c>
      <c r="BH24" s="234">
        <v>82.5</v>
      </c>
      <c r="BI24" s="234">
        <v>85</v>
      </c>
      <c r="BJ24" s="234">
        <v>79</v>
      </c>
      <c r="BK24" s="234">
        <v>82.5</v>
      </c>
      <c r="BL24" s="234">
        <v>87.5</v>
      </c>
      <c r="BM24" s="234">
        <v>87.5</v>
      </c>
      <c r="BN24" s="70">
        <f t="shared" si="27"/>
        <v>1259.4000000000001</v>
      </c>
      <c r="BO24" s="71">
        <f t="shared" si="28"/>
        <v>69.966666666666669</v>
      </c>
      <c r="BP24" s="72" t="e">
        <f t="shared" si="29"/>
        <v>#N/A</v>
      </c>
      <c r="BQ24" s="73"/>
      <c r="BR24" s="73"/>
      <c r="BS24" s="73"/>
      <c r="BT24" s="74"/>
      <c r="BU24" s="74"/>
      <c r="BV24" s="74"/>
      <c r="BW24" s="75"/>
    </row>
    <row r="25" spans="1:75" ht="27.95" customHeight="1">
      <c r="A25" s="91">
        <v>22</v>
      </c>
      <c r="B25" s="91">
        <v>19200142</v>
      </c>
      <c r="C25" s="92" t="s">
        <v>283</v>
      </c>
      <c r="D25" s="68">
        <f t="shared" si="0"/>
        <v>40</v>
      </c>
      <c r="E25" s="68">
        <f t="shared" si="1"/>
        <v>45</v>
      </c>
      <c r="F25" s="68">
        <f t="shared" si="2"/>
        <v>50</v>
      </c>
      <c r="G25" s="68">
        <f t="shared" si="3"/>
        <v>66</v>
      </c>
      <c r="H25" s="68">
        <f t="shared" si="4"/>
        <v>40</v>
      </c>
      <c r="I25" s="68">
        <f t="shared" si="5"/>
        <v>96</v>
      </c>
      <c r="J25" s="68">
        <f t="shared" si="6"/>
        <v>55</v>
      </c>
      <c r="K25" s="68">
        <f t="shared" si="7"/>
        <v>52</v>
      </c>
      <c r="L25" s="68">
        <f t="shared" si="8"/>
        <v>59</v>
      </c>
      <c r="M25" s="68">
        <f t="shared" si="9"/>
        <v>59</v>
      </c>
      <c r="N25" s="68">
        <f t="shared" si="10"/>
        <v>40</v>
      </c>
      <c r="O25" s="68">
        <f t="shared" si="11"/>
        <v>52</v>
      </c>
      <c r="P25" s="68">
        <f t="shared" si="12"/>
        <v>55</v>
      </c>
      <c r="Q25" s="69">
        <f t="shared" si="13"/>
        <v>85</v>
      </c>
      <c r="R25" s="69">
        <f t="shared" si="14"/>
        <v>65</v>
      </c>
      <c r="S25" s="69">
        <f t="shared" si="15"/>
        <v>75</v>
      </c>
      <c r="T25" s="69">
        <f t="shared" si="16"/>
        <v>65</v>
      </c>
      <c r="U25" s="69">
        <f t="shared" si="17"/>
        <v>0</v>
      </c>
      <c r="V25" s="234">
        <f t="shared" si="18"/>
        <v>60</v>
      </c>
      <c r="W25" s="234">
        <f t="shared" si="19"/>
        <v>60</v>
      </c>
      <c r="X25" s="234">
        <f t="shared" si="20"/>
        <v>52</v>
      </c>
      <c r="Y25" s="234">
        <f t="shared" si="21"/>
        <v>60</v>
      </c>
      <c r="Z25" s="234">
        <f t="shared" si="22"/>
        <v>60</v>
      </c>
      <c r="AA25" s="234">
        <f t="shared" si="23"/>
        <v>60</v>
      </c>
      <c r="AB25" s="70">
        <f t="shared" si="24"/>
        <v>999</v>
      </c>
      <c r="AC25" s="71">
        <f t="shared" si="25"/>
        <v>55.5</v>
      </c>
      <c r="AD25" s="72">
        <f t="shared" si="26"/>
        <v>22</v>
      </c>
      <c r="AE25" s="73" t="s">
        <v>805</v>
      </c>
      <c r="AF25" s="73" t="s">
        <v>807</v>
      </c>
      <c r="AG25" s="73" t="s">
        <v>807</v>
      </c>
      <c r="AH25" s="74">
        <v>9</v>
      </c>
      <c r="AI25" s="74">
        <v>0</v>
      </c>
      <c r="AJ25" s="74">
        <v>0</v>
      </c>
      <c r="AK25" s="75"/>
      <c r="AL25" s="60" t="s">
        <v>194</v>
      </c>
      <c r="AM25" s="66">
        <v>22</v>
      </c>
      <c r="AN25" s="66">
        <v>19200142</v>
      </c>
      <c r="AO25" s="77" t="s">
        <v>283</v>
      </c>
      <c r="AP25" s="68">
        <v>28</v>
      </c>
      <c r="AQ25" s="68">
        <v>45</v>
      </c>
      <c r="AR25" s="68">
        <v>50</v>
      </c>
      <c r="AS25" s="68">
        <v>66</v>
      </c>
      <c r="AT25" s="68">
        <v>22</v>
      </c>
      <c r="AU25" s="68">
        <v>95.5</v>
      </c>
      <c r="AV25" s="68">
        <v>55</v>
      </c>
      <c r="AW25" s="68">
        <v>52</v>
      </c>
      <c r="AX25" s="68">
        <v>58.5</v>
      </c>
      <c r="AY25" s="68">
        <v>59</v>
      </c>
      <c r="AZ25" s="68">
        <v>31</v>
      </c>
      <c r="BA25" s="68">
        <v>52</v>
      </c>
      <c r="BB25" s="68">
        <v>55</v>
      </c>
      <c r="BC25" s="76">
        <v>85</v>
      </c>
      <c r="BD25" s="76">
        <v>65</v>
      </c>
      <c r="BE25" s="76">
        <v>75</v>
      </c>
      <c r="BF25" s="76">
        <v>65</v>
      </c>
      <c r="BG25" s="76"/>
      <c r="BH25" s="234">
        <v>60</v>
      </c>
      <c r="BI25" s="234">
        <v>60</v>
      </c>
      <c r="BJ25" s="234">
        <v>52</v>
      </c>
      <c r="BK25" s="234">
        <v>60</v>
      </c>
      <c r="BL25" s="234">
        <v>60</v>
      </c>
      <c r="BM25" s="234">
        <v>60</v>
      </c>
      <c r="BN25" s="70">
        <f t="shared" si="27"/>
        <v>959</v>
      </c>
      <c r="BO25" s="71">
        <f t="shared" si="28"/>
        <v>56.411764705882355</v>
      </c>
      <c r="BP25" s="72" t="e">
        <f t="shared" si="29"/>
        <v>#N/A</v>
      </c>
      <c r="BQ25" s="73"/>
      <c r="BR25" s="73"/>
      <c r="BS25" s="73"/>
      <c r="BT25" s="74"/>
      <c r="BU25" s="74"/>
      <c r="BV25" s="74"/>
      <c r="BW25" s="75"/>
    </row>
    <row r="26" spans="1:75" ht="27.95" customHeight="1">
      <c r="A26" s="66">
        <v>23</v>
      </c>
      <c r="B26" s="66">
        <v>18190129</v>
      </c>
      <c r="C26" s="77" t="s">
        <v>273</v>
      </c>
      <c r="D26" s="68">
        <f t="shared" si="0"/>
        <v>40</v>
      </c>
      <c r="E26" s="68">
        <f t="shared" si="1"/>
        <v>40</v>
      </c>
      <c r="F26" s="68">
        <f t="shared" si="2"/>
        <v>40</v>
      </c>
      <c r="G26" s="68">
        <f t="shared" si="3"/>
        <v>41</v>
      </c>
      <c r="H26" s="68">
        <f t="shared" si="4"/>
        <v>40</v>
      </c>
      <c r="I26" s="68">
        <f t="shared" si="5"/>
        <v>53</v>
      </c>
      <c r="J26" s="68">
        <f t="shared" si="6"/>
        <v>53</v>
      </c>
      <c r="K26" s="68">
        <f t="shared" si="7"/>
        <v>40</v>
      </c>
      <c r="L26" s="68">
        <f t="shared" si="8"/>
        <v>40</v>
      </c>
      <c r="M26" s="68">
        <f t="shared" si="9"/>
        <v>40</v>
      </c>
      <c r="N26" s="68">
        <f t="shared" si="10"/>
        <v>40</v>
      </c>
      <c r="O26" s="68">
        <f t="shared" si="11"/>
        <v>41</v>
      </c>
      <c r="P26" s="68">
        <f t="shared" si="12"/>
        <v>53</v>
      </c>
      <c r="Q26" s="69">
        <f t="shared" si="13"/>
        <v>0</v>
      </c>
      <c r="R26" s="69">
        <f t="shared" si="14"/>
        <v>99</v>
      </c>
      <c r="S26" s="69">
        <f t="shared" si="15"/>
        <v>0</v>
      </c>
      <c r="T26" s="69">
        <f t="shared" si="16"/>
        <v>0</v>
      </c>
      <c r="U26" s="69">
        <f t="shared" si="17"/>
        <v>0</v>
      </c>
      <c r="V26" s="234">
        <f t="shared" si="18"/>
        <v>75</v>
      </c>
      <c r="W26" s="234">
        <f t="shared" si="19"/>
        <v>73</v>
      </c>
      <c r="X26" s="234">
        <f t="shared" si="20"/>
        <v>40</v>
      </c>
      <c r="Y26" s="234">
        <f t="shared" si="21"/>
        <v>78</v>
      </c>
      <c r="Z26" s="234">
        <f t="shared" si="22"/>
        <v>90</v>
      </c>
      <c r="AA26" s="234">
        <f t="shared" si="23"/>
        <v>83</v>
      </c>
      <c r="AB26" s="70">
        <f t="shared" si="24"/>
        <v>660</v>
      </c>
      <c r="AC26" s="71">
        <f t="shared" si="25"/>
        <v>36.666666666666664</v>
      </c>
      <c r="AD26" s="72">
        <f t="shared" si="26"/>
        <v>23</v>
      </c>
      <c r="AE26" s="73" t="s">
        <v>805</v>
      </c>
      <c r="AF26" s="73" t="s">
        <v>807</v>
      </c>
      <c r="AG26" s="73" t="s">
        <v>805</v>
      </c>
      <c r="AH26" s="74">
        <v>0</v>
      </c>
      <c r="AI26" s="74">
        <v>0</v>
      </c>
      <c r="AJ26" s="74">
        <v>18</v>
      </c>
      <c r="AK26" s="75"/>
      <c r="AM26" s="66">
        <v>12</v>
      </c>
      <c r="AN26" s="66">
        <v>18190129</v>
      </c>
      <c r="AO26" s="77" t="s">
        <v>273</v>
      </c>
      <c r="AP26" s="68">
        <v>26</v>
      </c>
      <c r="AQ26" s="68">
        <v>34.200000000000003</v>
      </c>
      <c r="AR26" s="68">
        <v>15</v>
      </c>
      <c r="AS26" s="68">
        <v>41</v>
      </c>
      <c r="AT26" s="68">
        <v>20</v>
      </c>
      <c r="AU26" s="68">
        <v>53</v>
      </c>
      <c r="AV26" s="68">
        <v>53</v>
      </c>
      <c r="AW26" s="68">
        <v>38</v>
      </c>
      <c r="AX26" s="68">
        <v>32</v>
      </c>
      <c r="AY26" s="68">
        <v>35</v>
      </c>
      <c r="AZ26" s="68">
        <v>14</v>
      </c>
      <c r="BA26" s="68">
        <v>41</v>
      </c>
      <c r="BB26" s="68">
        <v>53</v>
      </c>
      <c r="BC26" s="76"/>
      <c r="BD26" s="76">
        <v>100</v>
      </c>
      <c r="BE26" s="76"/>
      <c r="BF26" s="76"/>
      <c r="BG26" s="76"/>
      <c r="BH26" s="234">
        <v>75</v>
      </c>
      <c r="BI26" s="234">
        <v>72.5</v>
      </c>
      <c r="BJ26" s="234">
        <v>38</v>
      </c>
      <c r="BK26" s="234">
        <v>77.5</v>
      </c>
      <c r="BL26" s="234">
        <v>90</v>
      </c>
      <c r="BM26" s="234">
        <v>82.5</v>
      </c>
      <c r="BN26" s="70">
        <f t="shared" si="27"/>
        <v>555.20000000000005</v>
      </c>
      <c r="BO26" s="71">
        <f t="shared" si="28"/>
        <v>39.657142857142858</v>
      </c>
      <c r="BP26" s="72" t="e">
        <f t="shared" si="29"/>
        <v>#N/A</v>
      </c>
      <c r="BQ26" s="73"/>
      <c r="BR26" s="73"/>
      <c r="BS26" s="73"/>
      <c r="BT26" s="74"/>
      <c r="BU26" s="74"/>
      <c r="BV26" s="74"/>
      <c r="BW26" s="75"/>
    </row>
    <row r="27" spans="1:75" ht="27.95" customHeight="1">
      <c r="A27" s="66">
        <v>24</v>
      </c>
      <c r="B27" s="91">
        <v>19200071</v>
      </c>
      <c r="C27" s="92" t="s">
        <v>275</v>
      </c>
      <c r="D27" s="68">
        <f t="shared" si="0"/>
        <v>40</v>
      </c>
      <c r="E27" s="68">
        <f t="shared" si="1"/>
        <v>40</v>
      </c>
      <c r="F27" s="68">
        <f t="shared" si="2"/>
        <v>40</v>
      </c>
      <c r="G27" s="68">
        <f t="shared" si="3"/>
        <v>40</v>
      </c>
      <c r="H27" s="68">
        <f t="shared" si="4"/>
        <v>40</v>
      </c>
      <c r="I27" s="68">
        <f t="shared" si="5"/>
        <v>40</v>
      </c>
      <c r="J27" s="68">
        <f t="shared" si="6"/>
        <v>40</v>
      </c>
      <c r="K27" s="68">
        <f t="shared" si="7"/>
        <v>40</v>
      </c>
      <c r="L27" s="68">
        <f t="shared" si="8"/>
        <v>40</v>
      </c>
      <c r="M27" s="68">
        <f t="shared" si="9"/>
        <v>40</v>
      </c>
      <c r="N27" s="68">
        <f t="shared" si="10"/>
        <v>40</v>
      </c>
      <c r="O27" s="68">
        <f t="shared" si="11"/>
        <v>40</v>
      </c>
      <c r="P27" s="68">
        <f t="shared" si="12"/>
        <v>40</v>
      </c>
      <c r="Q27" s="69">
        <f t="shared" si="13"/>
        <v>0</v>
      </c>
      <c r="R27" s="69">
        <f t="shared" si="14"/>
        <v>0</v>
      </c>
      <c r="S27" s="69">
        <f t="shared" si="15"/>
        <v>0</v>
      </c>
      <c r="T27" s="69">
        <f t="shared" si="16"/>
        <v>0</v>
      </c>
      <c r="U27" s="69">
        <f t="shared" si="17"/>
        <v>0</v>
      </c>
      <c r="V27" s="234">
        <f t="shared" si="18"/>
        <v>50</v>
      </c>
      <c r="W27" s="234">
        <f t="shared" si="19"/>
        <v>50</v>
      </c>
      <c r="X27" s="234">
        <f t="shared" si="20"/>
        <v>40</v>
      </c>
      <c r="Y27" s="234">
        <f t="shared" si="21"/>
        <v>50</v>
      </c>
      <c r="Z27" s="234">
        <f t="shared" si="22"/>
        <v>50</v>
      </c>
      <c r="AA27" s="234">
        <f t="shared" si="23"/>
        <v>50</v>
      </c>
      <c r="AB27" s="70">
        <f t="shared" si="24"/>
        <v>520</v>
      </c>
      <c r="AC27" s="71">
        <f t="shared" si="25"/>
        <v>28.888888888888889</v>
      </c>
      <c r="AD27" s="72">
        <f t="shared" si="26"/>
        <v>24</v>
      </c>
      <c r="AE27" s="73"/>
      <c r="AF27" s="73"/>
      <c r="AG27" s="73"/>
      <c r="AH27" s="74">
        <v>0</v>
      </c>
      <c r="AI27" s="74">
        <v>14</v>
      </c>
      <c r="AJ27" s="74">
        <v>107</v>
      </c>
      <c r="AK27" s="75"/>
      <c r="AM27" s="66">
        <v>14</v>
      </c>
      <c r="AN27" s="66">
        <v>19200071</v>
      </c>
      <c r="AO27" s="77" t="s">
        <v>275</v>
      </c>
      <c r="AP27" s="68">
        <v>8</v>
      </c>
      <c r="AQ27" s="68">
        <v>8</v>
      </c>
      <c r="AR27" s="68">
        <v>15</v>
      </c>
      <c r="AS27" s="68">
        <v>8</v>
      </c>
      <c r="AT27" s="68">
        <v>8</v>
      </c>
      <c r="AU27" s="68">
        <v>8</v>
      </c>
      <c r="AV27" s="68">
        <v>8</v>
      </c>
      <c r="AW27" s="68">
        <v>8</v>
      </c>
      <c r="AX27" s="68">
        <v>8</v>
      </c>
      <c r="AY27" s="68">
        <v>8</v>
      </c>
      <c r="AZ27" s="68">
        <v>8</v>
      </c>
      <c r="BA27" s="68">
        <v>8</v>
      </c>
      <c r="BB27" s="68">
        <v>8</v>
      </c>
      <c r="BC27" s="76"/>
      <c r="BD27" s="76"/>
      <c r="BE27" s="76"/>
      <c r="BF27" s="76"/>
      <c r="BG27" s="76"/>
      <c r="BH27" s="234">
        <v>50</v>
      </c>
      <c r="BI27" s="234">
        <v>50</v>
      </c>
      <c r="BJ27" s="234">
        <v>8</v>
      </c>
      <c r="BK27" s="234">
        <v>50</v>
      </c>
      <c r="BL27" s="234">
        <v>50</v>
      </c>
      <c r="BM27" s="234">
        <v>50</v>
      </c>
      <c r="BN27" s="70">
        <f t="shared" si="27"/>
        <v>111</v>
      </c>
      <c r="BO27" s="71">
        <f t="shared" si="28"/>
        <v>8.5384615384615383</v>
      </c>
      <c r="BP27" s="72" t="e">
        <f t="shared" si="29"/>
        <v>#N/A</v>
      </c>
      <c r="BQ27" s="73"/>
      <c r="BR27" s="73"/>
      <c r="BS27" s="73"/>
      <c r="BT27" s="74"/>
      <c r="BU27" s="74"/>
      <c r="BV27" s="74"/>
      <c r="BW27" s="75"/>
    </row>
    <row r="28" spans="1:75">
      <c r="A28" s="267" t="s">
        <v>202</v>
      </c>
      <c r="B28" s="268"/>
      <c r="C28" s="269"/>
      <c r="D28" s="72">
        <f t="shared" ref="D28:U28" si="30">SUM(D4:D27)</f>
        <v>1603</v>
      </c>
      <c r="E28" s="72">
        <f t="shared" si="30"/>
        <v>2055</v>
      </c>
      <c r="F28" s="72">
        <f t="shared" si="30"/>
        <v>1559</v>
      </c>
      <c r="G28" s="72">
        <f t="shared" si="30"/>
        <v>1769</v>
      </c>
      <c r="H28" s="72">
        <f t="shared" si="30"/>
        <v>1576</v>
      </c>
      <c r="I28" s="72">
        <f t="shared" si="30"/>
        <v>2012</v>
      </c>
      <c r="J28" s="72">
        <f t="shared" si="30"/>
        <v>1753</v>
      </c>
      <c r="K28" s="72">
        <f t="shared" si="30"/>
        <v>1752</v>
      </c>
      <c r="L28" s="72">
        <f t="shared" si="30"/>
        <v>1809</v>
      </c>
      <c r="M28" s="72">
        <f t="shared" si="30"/>
        <v>1736</v>
      </c>
      <c r="N28" s="72">
        <f t="shared" si="30"/>
        <v>1817</v>
      </c>
      <c r="O28" s="72">
        <f t="shared" si="30"/>
        <v>1687</v>
      </c>
      <c r="P28" s="72">
        <f t="shared" si="30"/>
        <v>1815</v>
      </c>
      <c r="Q28" s="72">
        <f t="shared" si="30"/>
        <v>1870</v>
      </c>
      <c r="R28" s="72">
        <f t="shared" si="30"/>
        <v>2243</v>
      </c>
      <c r="S28" s="72">
        <f t="shared" si="30"/>
        <v>2070</v>
      </c>
      <c r="T28" s="72">
        <f t="shared" si="30"/>
        <v>2060</v>
      </c>
      <c r="U28" s="72">
        <f t="shared" si="30"/>
        <v>1325</v>
      </c>
      <c r="V28" s="72"/>
      <c r="W28" s="72"/>
      <c r="X28" s="72"/>
      <c r="Y28" s="72"/>
      <c r="Z28" s="72"/>
      <c r="AA28" s="72"/>
      <c r="AB28" s="72">
        <f t="shared" ref="AB28:AB29" si="31">SUM(D28:U28)</f>
        <v>32511</v>
      </c>
      <c r="AC28" s="72">
        <f t="shared" ref="AC28:AC29" si="32">AVERAGE(D28:U28)</f>
        <v>1806.1666666666667</v>
      </c>
      <c r="AD28" s="72" t="e">
        <f t="shared" ref="AD28:AD29" si="33">RANK(AB28,$AB$4:$AB$27)</f>
        <v>#N/A</v>
      </c>
      <c r="AE28" s="81"/>
      <c r="AF28" s="81"/>
      <c r="AG28" s="81"/>
      <c r="AH28" s="81"/>
      <c r="AI28" s="81"/>
      <c r="AJ28" s="81"/>
      <c r="AK28" s="82"/>
      <c r="AM28" s="267" t="s">
        <v>202</v>
      </c>
      <c r="AN28" s="268"/>
      <c r="AO28" s="269"/>
      <c r="AP28" s="72">
        <f t="shared" ref="AP28:BG28" si="34">SUM(AP4:AP27)</f>
        <v>1541.1</v>
      </c>
      <c r="AQ28" s="72">
        <f t="shared" si="34"/>
        <v>2017.2</v>
      </c>
      <c r="AR28" s="72">
        <f t="shared" si="34"/>
        <v>1508</v>
      </c>
      <c r="AS28" s="72">
        <f t="shared" si="34"/>
        <v>1733.4999999999998</v>
      </c>
      <c r="AT28" s="72">
        <f t="shared" si="34"/>
        <v>1502.3999999999996</v>
      </c>
      <c r="AU28" s="72">
        <f t="shared" si="34"/>
        <v>1977</v>
      </c>
      <c r="AV28" s="72">
        <f t="shared" si="34"/>
        <v>1718.7</v>
      </c>
      <c r="AW28" s="72">
        <f t="shared" si="34"/>
        <v>1717.5</v>
      </c>
      <c r="AX28" s="72">
        <f t="shared" si="34"/>
        <v>1764.9</v>
      </c>
      <c r="AY28" s="72">
        <f t="shared" si="34"/>
        <v>1694.1</v>
      </c>
      <c r="AZ28" s="72">
        <f t="shared" si="34"/>
        <v>1745.6999999999998</v>
      </c>
      <c r="BA28" s="72">
        <f t="shared" si="34"/>
        <v>1652.6</v>
      </c>
      <c r="BB28" s="72">
        <f t="shared" si="34"/>
        <v>1779</v>
      </c>
      <c r="BC28" s="72">
        <f t="shared" si="34"/>
        <v>1870</v>
      </c>
      <c r="BD28" s="72">
        <f t="shared" si="34"/>
        <v>2265</v>
      </c>
      <c r="BE28" s="72">
        <f t="shared" si="34"/>
        <v>2070</v>
      </c>
      <c r="BF28" s="72">
        <f t="shared" si="34"/>
        <v>2060</v>
      </c>
      <c r="BG28" s="72">
        <f t="shared" si="34"/>
        <v>1325</v>
      </c>
      <c r="BH28" s="72"/>
      <c r="BI28" s="72"/>
      <c r="BJ28" s="72"/>
      <c r="BK28" s="72"/>
      <c r="BL28" s="72"/>
      <c r="BM28" s="72"/>
      <c r="BN28" s="72">
        <f t="shared" ref="BN28:BN29" si="35">SUM(AP28:BG28)</f>
        <v>31941.7</v>
      </c>
      <c r="BO28" s="72">
        <f t="shared" ref="BO28:BO29" si="36">AVERAGE(AP28:BG28)</f>
        <v>1774.538888888889</v>
      </c>
      <c r="BP28" s="72" t="e">
        <f t="shared" ref="BP28:BP29" si="37">RANK(BN28,$AB$4:$AB$27)</f>
        <v>#N/A</v>
      </c>
      <c r="BQ28" s="81"/>
      <c r="BR28" s="81"/>
      <c r="BS28" s="81"/>
      <c r="BT28" s="81"/>
      <c r="BU28" s="81"/>
      <c r="BV28" s="81"/>
      <c r="BW28" s="82"/>
    </row>
    <row r="29" spans="1:75">
      <c r="A29" s="267" t="s">
        <v>203</v>
      </c>
      <c r="B29" s="268"/>
      <c r="C29" s="269"/>
      <c r="D29" s="72">
        <f t="shared" ref="D29:U29" si="38">AVERAGE(D4:D27)</f>
        <v>66.791666666666671</v>
      </c>
      <c r="E29" s="72">
        <f t="shared" si="38"/>
        <v>85.625</v>
      </c>
      <c r="F29" s="72">
        <f t="shared" si="38"/>
        <v>64.958333333333329</v>
      </c>
      <c r="G29" s="72">
        <f t="shared" si="38"/>
        <v>73.708333333333329</v>
      </c>
      <c r="H29" s="72">
        <f t="shared" si="38"/>
        <v>65.666666666666671</v>
      </c>
      <c r="I29" s="72">
        <f t="shared" si="38"/>
        <v>83.833333333333329</v>
      </c>
      <c r="J29" s="72">
        <f t="shared" si="38"/>
        <v>73.041666666666671</v>
      </c>
      <c r="K29" s="72">
        <f t="shared" si="38"/>
        <v>73</v>
      </c>
      <c r="L29" s="72">
        <f t="shared" si="38"/>
        <v>75.375</v>
      </c>
      <c r="M29" s="72">
        <f t="shared" si="38"/>
        <v>72.333333333333329</v>
      </c>
      <c r="N29" s="72">
        <f t="shared" si="38"/>
        <v>75.708333333333329</v>
      </c>
      <c r="O29" s="72">
        <f t="shared" si="38"/>
        <v>70.291666666666671</v>
      </c>
      <c r="P29" s="72">
        <f t="shared" si="38"/>
        <v>75.625</v>
      </c>
      <c r="Q29" s="72">
        <f t="shared" si="38"/>
        <v>77.916666666666671</v>
      </c>
      <c r="R29" s="72">
        <f t="shared" si="38"/>
        <v>93.458333333333329</v>
      </c>
      <c r="S29" s="72">
        <f t="shared" si="38"/>
        <v>86.25</v>
      </c>
      <c r="T29" s="72">
        <f t="shared" si="38"/>
        <v>85.833333333333329</v>
      </c>
      <c r="U29" s="72">
        <f t="shared" si="38"/>
        <v>55.208333333333336</v>
      </c>
      <c r="V29" s="72"/>
      <c r="W29" s="72"/>
      <c r="X29" s="72"/>
      <c r="Y29" s="72"/>
      <c r="Z29" s="72"/>
      <c r="AA29" s="72"/>
      <c r="AB29" s="72">
        <f t="shared" si="31"/>
        <v>1354.6249999999998</v>
      </c>
      <c r="AC29" s="72">
        <f t="shared" si="32"/>
        <v>75.256944444444429</v>
      </c>
      <c r="AD29" s="72" t="e">
        <f t="shared" si="33"/>
        <v>#N/A</v>
      </c>
      <c r="AE29" s="81"/>
      <c r="AF29" s="81"/>
      <c r="AG29" s="81"/>
      <c r="AH29" s="81"/>
      <c r="AI29" s="81"/>
      <c r="AJ29" s="81"/>
      <c r="AK29" s="82"/>
      <c r="AM29" s="267" t="s">
        <v>203</v>
      </c>
      <c r="AN29" s="268"/>
      <c r="AO29" s="269"/>
      <c r="AP29" s="72">
        <f t="shared" ref="AP29:BG29" si="39">AVERAGE(AP4:AP27)</f>
        <v>64.212499999999991</v>
      </c>
      <c r="AQ29" s="72">
        <f t="shared" si="39"/>
        <v>84.05</v>
      </c>
      <c r="AR29" s="72">
        <f t="shared" si="39"/>
        <v>62.833333333333336</v>
      </c>
      <c r="AS29" s="72">
        <f t="shared" si="39"/>
        <v>72.229166666666657</v>
      </c>
      <c r="AT29" s="72">
        <f t="shared" si="39"/>
        <v>62.599999999999987</v>
      </c>
      <c r="AU29" s="72">
        <f t="shared" si="39"/>
        <v>82.375</v>
      </c>
      <c r="AV29" s="72">
        <f t="shared" si="39"/>
        <v>71.612499999999997</v>
      </c>
      <c r="AW29" s="72">
        <f t="shared" si="39"/>
        <v>71.5625</v>
      </c>
      <c r="AX29" s="72">
        <f t="shared" si="39"/>
        <v>73.537500000000009</v>
      </c>
      <c r="AY29" s="72">
        <f t="shared" si="39"/>
        <v>70.587499999999991</v>
      </c>
      <c r="AZ29" s="72">
        <f t="shared" si="39"/>
        <v>72.737499999999997</v>
      </c>
      <c r="BA29" s="72">
        <f t="shared" si="39"/>
        <v>68.858333333333334</v>
      </c>
      <c r="BB29" s="72">
        <f t="shared" si="39"/>
        <v>74.125</v>
      </c>
      <c r="BC29" s="72">
        <f t="shared" si="39"/>
        <v>85</v>
      </c>
      <c r="BD29" s="72">
        <f t="shared" si="39"/>
        <v>98.478260869565219</v>
      </c>
      <c r="BE29" s="72">
        <f t="shared" si="39"/>
        <v>94.090909090909093</v>
      </c>
      <c r="BF29" s="72">
        <f t="shared" si="39"/>
        <v>93.63636363636364</v>
      </c>
      <c r="BG29" s="72">
        <f t="shared" si="39"/>
        <v>63.095238095238095</v>
      </c>
      <c r="BH29" s="72"/>
      <c r="BI29" s="72"/>
      <c r="BJ29" s="72"/>
      <c r="BK29" s="72"/>
      <c r="BL29" s="72"/>
      <c r="BM29" s="72"/>
      <c r="BN29" s="72">
        <f t="shared" si="35"/>
        <v>1365.6216050254093</v>
      </c>
      <c r="BO29" s="72">
        <f t="shared" si="36"/>
        <v>75.867866945856065</v>
      </c>
      <c r="BP29" s="72" t="e">
        <f t="shared" si="37"/>
        <v>#N/A</v>
      </c>
      <c r="BQ29" s="81"/>
      <c r="BR29" s="81"/>
      <c r="BS29" s="81"/>
      <c r="BT29" s="81"/>
      <c r="BU29" s="81"/>
      <c r="BV29" s="81"/>
      <c r="BW29" s="82"/>
    </row>
    <row r="30" spans="1:75" s="83" customFormat="1">
      <c r="A30" s="83">
        <v>1</v>
      </c>
      <c r="B30" s="83">
        <v>2</v>
      </c>
      <c r="C30" s="83">
        <v>3</v>
      </c>
      <c r="D30" s="83">
        <v>4</v>
      </c>
      <c r="E30" s="83">
        <v>5</v>
      </c>
      <c r="F30" s="83">
        <v>6</v>
      </c>
      <c r="G30" s="83">
        <v>7</v>
      </c>
      <c r="H30" s="83">
        <v>8</v>
      </c>
      <c r="I30" s="83">
        <v>9</v>
      </c>
      <c r="J30" s="83">
        <v>10</v>
      </c>
      <c r="K30" s="83">
        <v>11</v>
      </c>
      <c r="L30" s="83">
        <v>12</v>
      </c>
      <c r="M30" s="83">
        <v>13</v>
      </c>
      <c r="N30" s="83">
        <v>14</v>
      </c>
      <c r="O30" s="83">
        <v>15</v>
      </c>
      <c r="P30" s="83">
        <v>16</v>
      </c>
      <c r="Q30" s="83">
        <v>17</v>
      </c>
      <c r="R30" s="83">
        <v>18</v>
      </c>
      <c r="S30" s="83">
        <v>19</v>
      </c>
      <c r="T30" s="83">
        <v>20</v>
      </c>
      <c r="U30" s="83">
        <v>21</v>
      </c>
      <c r="AB30" s="83">
        <v>22</v>
      </c>
      <c r="AC30" s="83">
        <v>23</v>
      </c>
      <c r="AD30" s="83">
        <v>24</v>
      </c>
      <c r="AE30" s="83">
        <v>25</v>
      </c>
      <c r="AF30" s="83">
        <v>26</v>
      </c>
      <c r="AG30" s="83">
        <v>27</v>
      </c>
      <c r="AH30" s="83">
        <v>28</v>
      </c>
      <c r="AI30" s="83">
        <v>29</v>
      </c>
      <c r="AJ30" s="83">
        <v>30</v>
      </c>
      <c r="AM30" s="83">
        <v>1</v>
      </c>
      <c r="AN30" s="83">
        <v>2</v>
      </c>
      <c r="AO30" s="83">
        <v>3</v>
      </c>
      <c r="AP30" s="83">
        <v>4</v>
      </c>
      <c r="AQ30" s="83">
        <v>5</v>
      </c>
      <c r="AR30" s="83">
        <v>6</v>
      </c>
      <c r="AS30" s="83">
        <v>7</v>
      </c>
      <c r="AT30" s="83">
        <v>8</v>
      </c>
      <c r="AU30" s="83">
        <v>9</v>
      </c>
      <c r="AV30" s="83">
        <v>10</v>
      </c>
      <c r="AW30" s="83">
        <v>11</v>
      </c>
      <c r="AX30" s="83">
        <v>12</v>
      </c>
      <c r="AY30" s="83">
        <v>13</v>
      </c>
      <c r="AZ30" s="83">
        <v>14</v>
      </c>
      <c r="BA30" s="83">
        <v>15</v>
      </c>
      <c r="BB30" s="83">
        <v>16</v>
      </c>
      <c r="BC30" s="83">
        <v>17</v>
      </c>
      <c r="BD30" s="83">
        <v>18</v>
      </c>
      <c r="BE30" s="83">
        <v>19</v>
      </c>
      <c r="BF30" s="83">
        <v>20</v>
      </c>
      <c r="BG30" s="83">
        <v>21</v>
      </c>
      <c r="BN30" s="83">
        <v>22</v>
      </c>
      <c r="BO30" s="83">
        <v>23</v>
      </c>
      <c r="BP30" s="83">
        <v>24</v>
      </c>
      <c r="BQ30" s="83">
        <v>25</v>
      </c>
      <c r="BR30" s="83">
        <v>26</v>
      </c>
      <c r="BS30" s="83">
        <v>27</v>
      </c>
      <c r="BT30" s="83">
        <v>28</v>
      </c>
      <c r="BU30" s="83">
        <v>29</v>
      </c>
      <c r="BV30" s="83">
        <v>30</v>
      </c>
    </row>
    <row r="32" spans="1:75" ht="18.600000000000001" customHeight="1">
      <c r="A32" s="84" t="s">
        <v>204</v>
      </c>
      <c r="C32" s="85"/>
      <c r="D32" s="85"/>
      <c r="E32" s="85"/>
      <c r="F32" s="85"/>
      <c r="G32" s="85"/>
      <c r="H32" s="85"/>
      <c r="I32" s="85"/>
    </row>
    <row r="33" spans="1:3">
      <c r="A33" s="86"/>
      <c r="B33" s="86"/>
      <c r="C33" s="60" t="s">
        <v>205</v>
      </c>
    </row>
    <row r="34" spans="1:3">
      <c r="A34" s="87"/>
      <c r="B34" s="87"/>
      <c r="C34" s="60" t="s">
        <v>206</v>
      </c>
    </row>
    <row r="35" spans="1:3">
      <c r="A35" s="88"/>
      <c r="B35" s="88"/>
      <c r="C35" s="60" t="s">
        <v>207</v>
      </c>
    </row>
    <row r="36" spans="1:3">
      <c r="A36" s="89"/>
      <c r="B36" s="89"/>
      <c r="C36" s="60" t="s">
        <v>208</v>
      </c>
    </row>
  </sheetData>
  <sortState xmlns:xlrd2="http://schemas.microsoft.com/office/spreadsheetml/2017/richdata2" ref="B4:BW27">
    <sortCondition ref="AD4:AD27"/>
  </sortState>
  <mergeCells count="36">
    <mergeCell ref="A28:C28"/>
    <mergeCell ref="AM28:AO28"/>
    <mergeCell ref="A29:C29"/>
    <mergeCell ref="AM29:AO29"/>
    <mergeCell ref="AI2:AI3"/>
    <mergeCell ref="AJ2:AJ3"/>
    <mergeCell ref="AK2:AK3"/>
    <mergeCell ref="AM2:AM3"/>
    <mergeCell ref="AN2:AN3"/>
    <mergeCell ref="AO2:AO3"/>
    <mergeCell ref="AC2:AC3"/>
    <mergeCell ref="AD2:AD3"/>
    <mergeCell ref="AE2:AE3"/>
    <mergeCell ref="AF2:AF3"/>
    <mergeCell ref="AG2:AG3"/>
    <mergeCell ref="AH2:AH3"/>
    <mergeCell ref="BR2:BR3"/>
    <mergeCell ref="AP2:BA2"/>
    <mergeCell ref="BC2:BG2"/>
    <mergeCell ref="BN2:BN3"/>
    <mergeCell ref="BO2:BO3"/>
    <mergeCell ref="BP2:BP3"/>
    <mergeCell ref="BQ2:BQ3"/>
    <mergeCell ref="BH2:BM2"/>
    <mergeCell ref="BS2:BS3"/>
    <mergeCell ref="BT2:BT3"/>
    <mergeCell ref="BU2:BU3"/>
    <mergeCell ref="BV2:BV3"/>
    <mergeCell ref="BW2:BW3"/>
    <mergeCell ref="AB2:AB3"/>
    <mergeCell ref="A2:A3"/>
    <mergeCell ref="B2:B3"/>
    <mergeCell ref="C2:C3"/>
    <mergeCell ref="D2:O2"/>
    <mergeCell ref="Q2:U2"/>
    <mergeCell ref="V2:AA2"/>
  </mergeCells>
  <conditionalFormatting sqref="B4:B27">
    <cfRule type="duplicateValues" dxfId="1034" priority="83"/>
  </conditionalFormatting>
  <conditionalFormatting sqref="D4:AA27">
    <cfRule type="cellIs" dxfId="1033" priority="3" operator="lessThanOrEqual">
      <formula>59</formula>
    </cfRule>
  </conditionalFormatting>
  <conditionalFormatting sqref="AC4:AC29 BO4:BO29">
    <cfRule type="cellIs" dxfId="1032" priority="4" operator="lessThan">
      <formula>60</formula>
    </cfRule>
  </conditionalFormatting>
  <conditionalFormatting sqref="AD4:AD29">
    <cfRule type="duplicateValues" dxfId="1031" priority="84"/>
  </conditionalFormatting>
  <conditionalFormatting sqref="AN4:AN27">
    <cfRule type="duplicateValues" dxfId="1030" priority="86"/>
  </conditionalFormatting>
  <conditionalFormatting sqref="AP4:BG27">
    <cfRule type="cellIs" dxfId="1029" priority="2" operator="lessThanOrEqual">
      <formula>59</formula>
    </cfRule>
  </conditionalFormatting>
  <conditionalFormatting sqref="BP4:BP29">
    <cfRule type="duplicateValues" dxfId="1028" priority="87"/>
  </conditionalFormatting>
  <conditionalFormatting sqref="BH4:BM27">
    <cfRule type="cellIs" dxfId="1027" priority="1" operator="lessThanOrEqual">
      <formula>59</formula>
    </cfRule>
  </conditionalFormatting>
  <printOptions horizontalCentered="1"/>
  <pageMargins left="0.37" right="0.12" top="0.74803149606299202" bottom="0.34" header="0.31496062992126" footer="0.31496062992126"/>
  <pageSetup paperSize="10000" scale="75" orientation="landscape" horizontalDpi="203" verticalDpi="203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30734-CE28-4A11-BE06-5F3DAF4E3990}">
  <sheetPr codeName="Sheet2">
    <tabColor rgb="FFFF0000"/>
  </sheetPr>
  <dimension ref="A1:AJ680"/>
  <sheetViews>
    <sheetView showGridLines="0" view="pageBreakPreview" topLeftCell="A376" zoomScale="70" zoomScaleNormal="70" zoomScaleSheetLayoutView="70" workbookViewId="0">
      <selection activeCell="A376" sqref="A376:AH404"/>
    </sheetView>
  </sheetViews>
  <sheetFormatPr defaultColWidth="9.140625" defaultRowHeight="21" customHeight="1"/>
  <cols>
    <col min="1" max="1" width="5.42578125" customWidth="1"/>
    <col min="2" max="2" width="7.42578125" customWidth="1"/>
    <col min="3" max="3" width="2.42578125" customWidth="1"/>
    <col min="4" max="4" width="0.42578125" customWidth="1"/>
    <col min="5" max="5" width="3.85546875" customWidth="1"/>
    <col min="6" max="6" width="6.42578125" customWidth="1"/>
    <col min="7" max="7" width="6.5703125" customWidth="1"/>
    <col min="8" max="8" width="4" customWidth="1"/>
    <col min="9" max="9" width="5.140625" customWidth="1"/>
    <col min="10" max="10" width="9.140625" customWidth="1"/>
    <col min="11" max="11" width="12.5703125" customWidth="1"/>
    <col min="12" max="12" width="4" customWidth="1"/>
    <col min="13" max="13" width="2.140625" customWidth="1"/>
    <col min="14" max="14" width="2.42578125" style="57" customWidth="1"/>
    <col min="15" max="15" width="0.85546875" customWidth="1"/>
    <col min="16" max="16" width="3.85546875" customWidth="1"/>
    <col min="17" max="18" width="5.42578125" customWidth="1"/>
    <col min="19" max="19" width="7.42578125" customWidth="1"/>
    <col min="20" max="20" width="2.42578125" customWidth="1"/>
    <col min="21" max="21" width="5.140625" customWidth="1"/>
    <col min="22" max="22" width="6.140625" customWidth="1"/>
    <col min="23" max="23" width="3.42578125" customWidth="1"/>
    <col min="24" max="24" width="2.42578125" customWidth="1"/>
    <col min="25" max="25" width="5" customWidth="1"/>
    <col min="26" max="26" width="4.140625" customWidth="1"/>
    <col min="28" max="28" width="10.140625" customWidth="1"/>
    <col min="29" max="29" width="5.85546875" customWidth="1"/>
    <col min="30" max="30" width="2.140625" customWidth="1"/>
    <col min="31" max="31" width="2.42578125" customWidth="1"/>
    <col min="32" max="32" width="0.85546875" customWidth="1"/>
    <col min="33" max="33" width="3.85546875" customWidth="1"/>
    <col min="34" max="34" width="5.42578125" customWidth="1"/>
    <col min="35" max="35" width="9.140625" customWidth="1"/>
  </cols>
  <sheetData>
    <row r="1" spans="1:35" ht="21" customHeight="1">
      <c r="A1" s="343" t="s">
        <v>0</v>
      </c>
      <c r="B1" s="344"/>
      <c r="C1" s="153" t="s">
        <v>1</v>
      </c>
      <c r="D1" s="344" t="str">
        <f>VLOOKUP(AI4,'6a'!A:AK,3,0)</f>
        <v>Fahir Fauzan Mudoffar</v>
      </c>
      <c r="E1" s="344"/>
      <c r="F1" s="344"/>
      <c r="G1" s="344"/>
      <c r="H1" s="344"/>
      <c r="I1" s="344"/>
      <c r="J1" s="344"/>
      <c r="K1" s="344"/>
      <c r="L1" s="344"/>
      <c r="M1" s="344"/>
      <c r="N1" s="344"/>
      <c r="O1" s="344"/>
      <c r="P1" s="344"/>
      <c r="Q1" s="345"/>
      <c r="R1" s="343" t="s">
        <v>0</v>
      </c>
      <c r="S1" s="344"/>
      <c r="T1" s="153" t="s">
        <v>1</v>
      </c>
      <c r="U1" s="344" t="str">
        <f>D1</f>
        <v>Fahir Fauzan Mudoffar</v>
      </c>
      <c r="V1" s="344"/>
      <c r="W1" s="344"/>
      <c r="X1" s="344"/>
      <c r="Y1" s="344"/>
      <c r="Z1" s="344"/>
      <c r="AA1" s="344"/>
      <c r="AB1" s="344"/>
      <c r="AC1" s="344"/>
      <c r="AD1" s="344"/>
      <c r="AE1" s="344"/>
      <c r="AF1" s="344"/>
      <c r="AG1" s="344"/>
      <c r="AH1" s="345"/>
    </row>
    <row r="2" spans="1:35" ht="21" customHeight="1">
      <c r="A2" s="421" t="s">
        <v>2</v>
      </c>
      <c r="B2" s="422"/>
      <c r="C2" s="32" t="s">
        <v>1</v>
      </c>
      <c r="D2" s="422" t="str">
        <f>DASHBOARD!G16</f>
        <v>6-A</v>
      </c>
      <c r="E2" s="422"/>
      <c r="F2" s="422"/>
      <c r="G2" s="422"/>
      <c r="H2" s="422"/>
      <c r="I2" s="422"/>
      <c r="J2" s="192" t="s">
        <v>3</v>
      </c>
      <c r="K2" s="422">
        <f>VLOOKUP(AI4,'6a'!A:AK,2,0)</f>
        <v>18190019</v>
      </c>
      <c r="L2" s="422"/>
      <c r="M2" s="422"/>
      <c r="N2" s="422"/>
      <c r="O2" s="422"/>
      <c r="P2" s="422"/>
      <c r="Q2" s="423"/>
      <c r="R2" s="346" t="s">
        <v>2</v>
      </c>
      <c r="S2" s="347"/>
      <c r="T2" s="154" t="s">
        <v>1</v>
      </c>
      <c r="U2" s="347" t="str">
        <f>D2</f>
        <v>6-A</v>
      </c>
      <c r="V2" s="347"/>
      <c r="W2" s="347"/>
      <c r="X2" s="347"/>
      <c r="Y2" s="347"/>
      <c r="Z2" s="347"/>
      <c r="AA2" s="159" t="s">
        <v>3</v>
      </c>
      <c r="AB2" s="347">
        <f>K2</f>
        <v>18190019</v>
      </c>
      <c r="AC2" s="347"/>
      <c r="AD2" s="347"/>
      <c r="AE2" s="347"/>
      <c r="AF2" s="347"/>
      <c r="AG2" s="347"/>
      <c r="AH2" s="348"/>
      <c r="AI2" t="str">
        <f>D2</f>
        <v>6-A</v>
      </c>
    </row>
    <row r="3" spans="1:35" ht="21" customHeight="1">
      <c r="A3" s="303" t="s">
        <v>4</v>
      </c>
      <c r="B3" s="304"/>
      <c r="C3" s="160" t="s">
        <v>1</v>
      </c>
      <c r="D3" s="304" t="str">
        <f>DASHBOARD!$H$11</f>
        <v>2025/2026</v>
      </c>
      <c r="E3" s="304"/>
      <c r="F3" s="304"/>
      <c r="G3" s="304"/>
      <c r="H3" s="304"/>
      <c r="I3" s="304"/>
      <c r="J3" s="304"/>
      <c r="K3" s="304"/>
      <c r="L3" s="304"/>
      <c r="M3" s="304"/>
      <c r="N3" s="304"/>
      <c r="O3" s="304"/>
      <c r="P3" s="304"/>
      <c r="Q3" s="349"/>
      <c r="R3" s="330" t="s">
        <v>5</v>
      </c>
      <c r="S3" s="331"/>
      <c r="T3" s="331"/>
      <c r="U3" s="331"/>
      <c r="V3" s="331"/>
      <c r="W3" s="331"/>
      <c r="X3" s="331"/>
      <c r="Y3" s="333" t="s">
        <v>6</v>
      </c>
      <c r="Z3" s="334"/>
      <c r="AA3" s="337" t="s">
        <v>7</v>
      </c>
      <c r="AB3" s="330" t="s">
        <v>8</v>
      </c>
      <c r="AC3" s="331"/>
      <c r="AD3" s="331"/>
      <c r="AE3" s="331"/>
      <c r="AF3" s="331"/>
      <c r="AG3" s="331"/>
      <c r="AH3" s="332"/>
      <c r="AI3" s="2" t="s">
        <v>9</v>
      </c>
    </row>
    <row r="4" spans="1:35" ht="21" customHeight="1">
      <c r="A4" s="303" t="s">
        <v>10</v>
      </c>
      <c r="B4" s="304"/>
      <c r="C4" s="160" t="s">
        <v>1</v>
      </c>
      <c r="D4" s="350" t="str">
        <f>DASHBOARD!$H$12</f>
        <v>1 (Satu)</v>
      </c>
      <c r="E4" s="350"/>
      <c r="F4" s="350"/>
      <c r="G4" s="350"/>
      <c r="H4" s="350"/>
      <c r="I4" s="351"/>
      <c r="J4" s="352" t="str">
        <f>DASHBOARD!$I$12</f>
        <v>الأول</v>
      </c>
      <c r="K4" s="353"/>
      <c r="L4" s="353"/>
      <c r="M4" s="353"/>
      <c r="N4" s="160" t="s">
        <v>1</v>
      </c>
      <c r="O4" s="354" t="s">
        <v>11</v>
      </c>
      <c r="P4" s="354"/>
      <c r="Q4" s="355"/>
      <c r="R4" s="339" t="s">
        <v>12</v>
      </c>
      <c r="S4" s="340"/>
      <c r="T4" s="340"/>
      <c r="U4" s="340"/>
      <c r="V4" s="340"/>
      <c r="W4" s="340"/>
      <c r="X4" s="340"/>
      <c r="Y4" s="335"/>
      <c r="Z4" s="336"/>
      <c r="AA4" s="338"/>
      <c r="AB4" s="339" t="s">
        <v>13</v>
      </c>
      <c r="AC4" s="340"/>
      <c r="AD4" s="340"/>
      <c r="AE4" s="340"/>
      <c r="AF4" s="340"/>
      <c r="AG4" s="340"/>
      <c r="AH4" s="341"/>
      <c r="AI4" s="3">
        <v>28</v>
      </c>
    </row>
    <row r="5" spans="1:35" ht="21" customHeight="1">
      <c r="A5" s="381" t="s">
        <v>5</v>
      </c>
      <c r="B5" s="382"/>
      <c r="C5" s="382"/>
      <c r="D5" s="382"/>
      <c r="E5" s="382"/>
      <c r="F5" s="382"/>
      <c r="G5" s="382"/>
      <c r="H5" s="333" t="s">
        <v>6</v>
      </c>
      <c r="I5" s="334"/>
      <c r="J5" s="337" t="s">
        <v>7</v>
      </c>
      <c r="K5" s="382" t="s">
        <v>8</v>
      </c>
      <c r="L5" s="382"/>
      <c r="M5" s="382"/>
      <c r="N5" s="382"/>
      <c r="O5" s="382"/>
      <c r="P5" s="382"/>
      <c r="Q5" s="424"/>
      <c r="R5" s="161">
        <v>1</v>
      </c>
      <c r="S5" s="288" t="s">
        <v>14</v>
      </c>
      <c r="T5" s="289"/>
      <c r="U5" s="289"/>
      <c r="V5" s="289"/>
      <c r="W5" s="289"/>
      <c r="X5" s="290"/>
      <c r="Y5" s="361">
        <f>VLOOKUP(AI4,'6a'!A:AK,18,0)</f>
        <v>0</v>
      </c>
      <c r="Z5" s="362"/>
      <c r="AA5" s="168">
        <f>Y5</f>
        <v>0</v>
      </c>
      <c r="AB5" s="293" t="s">
        <v>15</v>
      </c>
      <c r="AC5" s="294"/>
      <c r="AD5" s="294"/>
      <c r="AE5" s="294"/>
      <c r="AF5" s="294"/>
      <c r="AG5" s="295"/>
      <c r="AH5" s="168">
        <v>1</v>
      </c>
    </row>
    <row r="6" spans="1:35" ht="21" customHeight="1">
      <c r="A6" s="339" t="s">
        <v>16</v>
      </c>
      <c r="B6" s="340"/>
      <c r="C6" s="340"/>
      <c r="D6" s="340"/>
      <c r="E6" s="340"/>
      <c r="F6" s="340"/>
      <c r="G6" s="340"/>
      <c r="H6" s="335"/>
      <c r="I6" s="336"/>
      <c r="J6" s="338"/>
      <c r="K6" s="340" t="s">
        <v>17</v>
      </c>
      <c r="L6" s="340"/>
      <c r="M6" s="340"/>
      <c r="N6" s="340"/>
      <c r="O6" s="340"/>
      <c r="P6" s="340"/>
      <c r="Q6" s="341"/>
      <c r="R6" s="161">
        <v>2</v>
      </c>
      <c r="S6" s="288" t="s">
        <v>18</v>
      </c>
      <c r="T6" s="289"/>
      <c r="U6" s="289"/>
      <c r="V6" s="289"/>
      <c r="W6" s="289"/>
      <c r="X6" s="290"/>
      <c r="Y6" s="361">
        <f>VLOOKUP(AI4,'6a'!A:AK,19,0)</f>
        <v>60</v>
      </c>
      <c r="Z6" s="362"/>
      <c r="AA6" s="168">
        <f>Y6</f>
        <v>60</v>
      </c>
      <c r="AB6" s="293" t="s">
        <v>19</v>
      </c>
      <c r="AC6" s="294"/>
      <c r="AD6" s="294"/>
      <c r="AE6" s="294"/>
      <c r="AF6" s="294"/>
      <c r="AG6" s="295"/>
      <c r="AH6" s="168">
        <v>2</v>
      </c>
    </row>
    <row r="7" spans="1:35" ht="21" customHeight="1">
      <c r="A7" s="193">
        <v>1</v>
      </c>
      <c r="B7" s="418" t="s">
        <v>20</v>
      </c>
      <c r="C7" s="418"/>
      <c r="D7" s="418"/>
      <c r="E7" s="418"/>
      <c r="F7" s="418"/>
      <c r="G7" s="418"/>
      <c r="H7" s="420">
        <f>VLOOKUP(AI4,'6a'!A:AK,4,0)</f>
        <v>80</v>
      </c>
      <c r="I7" s="420"/>
      <c r="J7" s="194">
        <f>H7</f>
        <v>80</v>
      </c>
      <c r="K7" s="419" t="s">
        <v>19</v>
      </c>
      <c r="L7" s="419"/>
      <c r="M7" s="419"/>
      <c r="N7" s="419"/>
      <c r="O7" s="419"/>
      <c r="P7" s="419"/>
      <c r="Q7" s="194">
        <v>1</v>
      </c>
      <c r="R7" s="161">
        <v>3</v>
      </c>
      <c r="S7" s="324" t="s">
        <v>26</v>
      </c>
      <c r="T7" s="324"/>
      <c r="U7" s="324"/>
      <c r="V7" s="324"/>
      <c r="W7" s="324"/>
      <c r="X7" s="324"/>
      <c r="Y7" s="361">
        <f>VLOOKUP(AI4,'6a'!A:AK,20,0)</f>
        <v>60</v>
      </c>
      <c r="Z7" s="362"/>
      <c r="AA7" s="168">
        <f>Y7</f>
        <v>60</v>
      </c>
      <c r="AB7" s="342" t="s">
        <v>27</v>
      </c>
      <c r="AC7" s="342"/>
      <c r="AD7" s="342"/>
      <c r="AE7" s="342"/>
      <c r="AF7" s="342"/>
      <c r="AG7" s="342"/>
      <c r="AH7" s="168">
        <v>3</v>
      </c>
    </row>
    <row r="8" spans="1:35" ht="21" customHeight="1">
      <c r="A8" s="161">
        <v>2</v>
      </c>
      <c r="B8" s="324" t="s">
        <v>22</v>
      </c>
      <c r="C8" s="324"/>
      <c r="D8" s="324"/>
      <c r="E8" s="324"/>
      <c r="F8" s="324"/>
      <c r="G8" s="324"/>
      <c r="H8" s="356">
        <f>VLOOKUP(AI4,'6a'!A:AK,5,0)</f>
        <v>53</v>
      </c>
      <c r="I8" s="356"/>
      <c r="J8" s="168">
        <f t="shared" ref="J8:J22" si="0">H8</f>
        <v>53</v>
      </c>
      <c r="K8" s="342" t="s">
        <v>23</v>
      </c>
      <c r="L8" s="342"/>
      <c r="M8" s="342"/>
      <c r="N8" s="342"/>
      <c r="O8" s="342"/>
      <c r="P8" s="342"/>
      <c r="Q8" s="168">
        <v>2</v>
      </c>
      <c r="R8" s="161"/>
      <c r="S8" s="288"/>
      <c r="T8" s="289"/>
      <c r="U8" s="289"/>
      <c r="V8" s="289"/>
      <c r="W8" s="289"/>
      <c r="X8" s="290"/>
      <c r="Y8" s="361"/>
      <c r="Z8" s="362"/>
      <c r="AA8" s="168"/>
      <c r="AB8" s="293"/>
      <c r="AC8" s="294"/>
      <c r="AD8" s="294"/>
      <c r="AE8" s="294"/>
      <c r="AF8" s="294"/>
      <c r="AG8" s="295"/>
      <c r="AH8" s="168"/>
    </row>
    <row r="9" spans="1:35" ht="21" customHeight="1">
      <c r="A9" s="161">
        <v>3</v>
      </c>
      <c r="B9" s="288" t="s">
        <v>24</v>
      </c>
      <c r="C9" s="289"/>
      <c r="D9" s="289"/>
      <c r="E9" s="289"/>
      <c r="F9" s="289"/>
      <c r="G9" s="290"/>
      <c r="H9" s="356">
        <f>VLOOKUP(AI4,'6a'!A:AK,6,0)</f>
        <v>76</v>
      </c>
      <c r="I9" s="356"/>
      <c r="J9" s="168">
        <f t="shared" si="0"/>
        <v>76</v>
      </c>
      <c r="K9" s="342" t="s">
        <v>25</v>
      </c>
      <c r="L9" s="342"/>
      <c r="M9" s="342"/>
      <c r="N9" s="342"/>
      <c r="O9" s="342"/>
      <c r="P9" s="342"/>
      <c r="Q9" s="168">
        <v>3</v>
      </c>
      <c r="R9" s="161"/>
      <c r="S9" s="288"/>
      <c r="T9" s="289"/>
      <c r="U9" s="289"/>
      <c r="V9" s="289"/>
      <c r="W9" s="289"/>
      <c r="X9" s="290"/>
      <c r="Y9" s="361"/>
      <c r="Z9" s="362"/>
      <c r="AA9" s="168"/>
      <c r="AB9" s="293"/>
      <c r="AC9" s="294"/>
      <c r="AD9" s="294"/>
      <c r="AE9" s="294"/>
      <c r="AF9" s="294"/>
      <c r="AG9" s="295"/>
      <c r="AH9" s="168"/>
    </row>
    <row r="10" spans="1:35" ht="21" customHeight="1">
      <c r="A10" s="161">
        <v>4</v>
      </c>
      <c r="B10" s="324" t="s">
        <v>26</v>
      </c>
      <c r="C10" s="324"/>
      <c r="D10" s="324"/>
      <c r="E10" s="324"/>
      <c r="F10" s="324"/>
      <c r="G10" s="324"/>
      <c r="H10" s="356">
        <f>VLOOKUP(AI4,'6a'!A:AK,7,0)</f>
        <v>78</v>
      </c>
      <c r="I10" s="356"/>
      <c r="J10" s="168">
        <f t="shared" si="0"/>
        <v>78</v>
      </c>
      <c r="K10" s="342" t="s">
        <v>27</v>
      </c>
      <c r="L10" s="342"/>
      <c r="M10" s="342"/>
      <c r="N10" s="342"/>
      <c r="O10" s="342"/>
      <c r="P10" s="342"/>
      <c r="Q10" s="168">
        <v>4</v>
      </c>
      <c r="R10" s="299" t="s">
        <v>768</v>
      </c>
      <c r="S10" s="300"/>
      <c r="T10" s="300"/>
      <c r="U10" s="300"/>
      <c r="V10" s="301"/>
      <c r="W10" s="327" t="s">
        <v>28</v>
      </c>
      <c r="X10" s="328"/>
      <c r="Y10" s="328"/>
      <c r="Z10" s="328"/>
      <c r="AA10" s="328"/>
      <c r="AB10" s="329"/>
      <c r="AC10" s="327" t="s">
        <v>29</v>
      </c>
      <c r="AD10" s="328"/>
      <c r="AE10" s="328"/>
      <c r="AF10" s="328"/>
      <c r="AG10" s="328"/>
      <c r="AH10" s="329"/>
    </row>
    <row r="11" spans="1:35" ht="21" customHeight="1">
      <c r="A11" s="161">
        <v>5</v>
      </c>
      <c r="B11" s="324" t="s">
        <v>30</v>
      </c>
      <c r="C11" s="324"/>
      <c r="D11" s="324"/>
      <c r="E11" s="324"/>
      <c r="F11" s="324"/>
      <c r="G11" s="324"/>
      <c r="H11" s="356">
        <f>VLOOKUP(AI4,'6a'!A:AK,8,0)</f>
        <v>78</v>
      </c>
      <c r="I11" s="356"/>
      <c r="J11" s="168">
        <f t="shared" si="0"/>
        <v>78</v>
      </c>
      <c r="K11" s="342" t="s">
        <v>31</v>
      </c>
      <c r="L11" s="342"/>
      <c r="M11" s="342"/>
      <c r="N11" s="342"/>
      <c r="O11" s="342"/>
      <c r="P11" s="342"/>
      <c r="Q11" s="168">
        <v>5</v>
      </c>
      <c r="R11" s="319" t="s">
        <v>32</v>
      </c>
      <c r="S11" s="320"/>
      <c r="T11" s="320"/>
      <c r="U11" s="180" t="s">
        <v>1</v>
      </c>
      <c r="V11" s="181" t="str">
        <f>VLOOKUP(AI4,'6a'!A:AK,32,0)</f>
        <v>B</v>
      </c>
      <c r="W11" s="321" t="s">
        <v>33</v>
      </c>
      <c r="X11" s="322"/>
      <c r="Y11" s="322"/>
      <c r="Z11" s="322"/>
      <c r="AA11" s="322"/>
      <c r="AB11" s="323"/>
      <c r="AC11" s="296" t="s">
        <v>33</v>
      </c>
      <c r="AD11" s="297"/>
      <c r="AE11" s="297"/>
      <c r="AF11" s="297"/>
      <c r="AG11" s="297"/>
      <c r="AH11" s="298"/>
    </row>
    <row r="12" spans="1:35" ht="21" customHeight="1">
      <c r="A12" s="161">
        <v>6</v>
      </c>
      <c r="B12" s="324" t="s">
        <v>34</v>
      </c>
      <c r="C12" s="324"/>
      <c r="D12" s="324"/>
      <c r="E12" s="324"/>
      <c r="F12" s="324"/>
      <c r="G12" s="324"/>
      <c r="H12" s="356">
        <f>VLOOKUP(AI4,'6a'!A:AK,9,0)</f>
        <v>71</v>
      </c>
      <c r="I12" s="356"/>
      <c r="J12" s="168">
        <f t="shared" si="0"/>
        <v>71</v>
      </c>
      <c r="K12" s="342" t="s">
        <v>35</v>
      </c>
      <c r="L12" s="342"/>
      <c r="M12" s="342"/>
      <c r="N12" s="342"/>
      <c r="O12" s="342"/>
      <c r="P12" s="342"/>
      <c r="Q12" s="168">
        <v>6</v>
      </c>
      <c r="R12" s="319" t="s">
        <v>36</v>
      </c>
      <c r="S12" s="320"/>
      <c r="T12" s="320"/>
      <c r="U12" s="180" t="s">
        <v>1</v>
      </c>
      <c r="V12" s="181" t="str">
        <f>VLOOKUP(AI4,'6a'!A:AK,33,0)</f>
        <v>B</v>
      </c>
      <c r="W12" s="13"/>
      <c r="X12" s="14"/>
      <c r="Y12" s="14"/>
      <c r="Z12" s="14"/>
      <c r="AA12" s="14"/>
      <c r="AB12" s="15"/>
      <c r="AC12" s="16"/>
      <c r="AH12" s="17"/>
    </row>
    <row r="13" spans="1:35" ht="21" customHeight="1">
      <c r="A13" s="161">
        <v>7</v>
      </c>
      <c r="B13" s="324" t="s">
        <v>37</v>
      </c>
      <c r="C13" s="324"/>
      <c r="D13" s="324"/>
      <c r="E13" s="324"/>
      <c r="F13" s="324"/>
      <c r="G13" s="324"/>
      <c r="H13" s="356">
        <f>VLOOKUP(AI4,'6a'!A:AK,10,0)</f>
        <v>59</v>
      </c>
      <c r="I13" s="356"/>
      <c r="J13" s="168">
        <f t="shared" si="0"/>
        <v>59</v>
      </c>
      <c r="K13" s="342" t="s">
        <v>38</v>
      </c>
      <c r="L13" s="342"/>
      <c r="M13" s="342"/>
      <c r="N13" s="342"/>
      <c r="O13" s="342"/>
      <c r="P13" s="342"/>
      <c r="Q13" s="168">
        <v>7</v>
      </c>
      <c r="R13" s="325" t="s">
        <v>39</v>
      </c>
      <c r="S13" s="326"/>
      <c r="T13" s="326"/>
      <c r="U13" s="182" t="s">
        <v>1</v>
      </c>
      <c r="V13" s="183" t="str">
        <f>VLOOKUP(AI4,'6a'!A:AK,34,0)</f>
        <v>B</v>
      </c>
      <c r="W13" s="16"/>
      <c r="AB13" s="17"/>
      <c r="AC13" s="16"/>
      <c r="AH13" s="17"/>
    </row>
    <row r="14" spans="1:35" ht="21" customHeight="1">
      <c r="A14" s="161">
        <v>8</v>
      </c>
      <c r="B14" s="324" t="s">
        <v>40</v>
      </c>
      <c r="C14" s="324"/>
      <c r="D14" s="324"/>
      <c r="E14" s="324"/>
      <c r="F14" s="324"/>
      <c r="G14" s="324"/>
      <c r="H14" s="356">
        <f>VLOOKUP(AI4,'6a'!A:AK,11,0)</f>
        <v>56</v>
      </c>
      <c r="I14" s="356"/>
      <c r="J14" s="168">
        <f t="shared" si="0"/>
        <v>56</v>
      </c>
      <c r="K14" s="342" t="s">
        <v>41</v>
      </c>
      <c r="L14" s="342"/>
      <c r="M14" s="342"/>
      <c r="N14" s="342"/>
      <c r="O14" s="342"/>
      <c r="P14" s="342"/>
      <c r="Q14" s="168">
        <v>8</v>
      </c>
      <c r="R14" s="327" t="s">
        <v>42</v>
      </c>
      <c r="S14" s="328"/>
      <c r="T14" s="328"/>
      <c r="U14" s="328"/>
      <c r="V14" s="329"/>
      <c r="W14" s="16"/>
      <c r="AB14" s="17"/>
      <c r="AC14" s="307" t="str">
        <f>DASHBOARD!H16</f>
        <v>Mu'allim Zaenuddin</v>
      </c>
      <c r="AD14" s="308"/>
      <c r="AE14" s="308"/>
      <c r="AF14" s="308"/>
      <c r="AG14" s="308"/>
      <c r="AH14" s="309"/>
    </row>
    <row r="15" spans="1:35" ht="21" customHeight="1">
      <c r="A15" s="161">
        <v>9</v>
      </c>
      <c r="B15" s="324" t="s">
        <v>14</v>
      </c>
      <c r="C15" s="324"/>
      <c r="D15" s="324"/>
      <c r="E15" s="324"/>
      <c r="F15" s="324"/>
      <c r="G15" s="324"/>
      <c r="H15" s="356">
        <f>VLOOKUP(AI4,'6a'!A:AK,12,0)</f>
        <v>40</v>
      </c>
      <c r="I15" s="356"/>
      <c r="J15" s="168">
        <f t="shared" si="0"/>
        <v>40</v>
      </c>
      <c r="K15" s="342" t="s">
        <v>15</v>
      </c>
      <c r="L15" s="342"/>
      <c r="M15" s="342"/>
      <c r="N15" s="342"/>
      <c r="O15" s="342"/>
      <c r="P15" s="342"/>
      <c r="Q15" s="168">
        <v>10</v>
      </c>
      <c r="R15" s="296" t="s">
        <v>43</v>
      </c>
      <c r="S15" s="297"/>
      <c r="T15" s="297"/>
      <c r="U15" s="297"/>
      <c r="V15" s="298"/>
      <c r="W15" s="16"/>
      <c r="AB15" s="17"/>
      <c r="AC15" s="299" t="s">
        <v>44</v>
      </c>
      <c r="AD15" s="300"/>
      <c r="AE15" s="300"/>
      <c r="AF15" s="300"/>
      <c r="AG15" s="300"/>
      <c r="AH15" s="301"/>
    </row>
    <row r="16" spans="1:35" ht="21" customHeight="1">
      <c r="A16" s="161">
        <v>10</v>
      </c>
      <c r="B16" s="324" t="s">
        <v>45</v>
      </c>
      <c r="C16" s="324"/>
      <c r="D16" s="324"/>
      <c r="E16" s="324"/>
      <c r="F16" s="324"/>
      <c r="G16" s="324"/>
      <c r="H16" s="356">
        <f>VLOOKUP(AI4,'6a'!A:AK,13,0)</f>
        <v>67</v>
      </c>
      <c r="I16" s="356"/>
      <c r="J16" s="168">
        <f t="shared" si="0"/>
        <v>67</v>
      </c>
      <c r="K16" s="342" t="s">
        <v>46</v>
      </c>
      <c r="L16" s="342"/>
      <c r="M16" s="342"/>
      <c r="N16" s="342"/>
      <c r="O16" s="342"/>
      <c r="P16" s="342"/>
      <c r="Q16" s="168">
        <v>11</v>
      </c>
      <c r="R16" s="184" t="s">
        <v>47</v>
      </c>
      <c r="S16" s="185"/>
      <c r="T16" s="180" t="s">
        <v>1</v>
      </c>
      <c r="U16" s="180">
        <f>VLOOKUP(AI4,'6a'!A:AK,35,0)</f>
        <v>51</v>
      </c>
      <c r="V16" s="181" t="s">
        <v>48</v>
      </c>
      <c r="W16" s="16"/>
      <c r="AB16" s="17"/>
      <c r="AC16" s="16"/>
      <c r="AH16" s="17"/>
    </row>
    <row r="17" spans="1:34" ht="21" customHeight="1">
      <c r="A17" s="161">
        <v>11</v>
      </c>
      <c r="B17" s="288" t="s">
        <v>49</v>
      </c>
      <c r="C17" s="289"/>
      <c r="D17" s="289"/>
      <c r="E17" s="289"/>
      <c r="F17" s="289"/>
      <c r="G17" s="290"/>
      <c r="H17" s="356">
        <f>VLOOKUP(AI4,'6a'!A:AK,14,0)</f>
        <v>53</v>
      </c>
      <c r="I17" s="356"/>
      <c r="J17" s="168">
        <f t="shared" si="0"/>
        <v>53</v>
      </c>
      <c r="K17" s="342" t="s">
        <v>50</v>
      </c>
      <c r="L17" s="342"/>
      <c r="M17" s="342"/>
      <c r="N17" s="342"/>
      <c r="O17" s="342"/>
      <c r="P17" s="342"/>
      <c r="Q17" s="168">
        <v>12</v>
      </c>
      <c r="R17" s="184" t="s">
        <v>51</v>
      </c>
      <c r="S17" s="185"/>
      <c r="T17" s="180" t="s">
        <v>1</v>
      </c>
      <c r="U17" s="180">
        <f>VLOOKUP(AI4,'6a'!A:AK,36,0)</f>
        <v>63</v>
      </c>
      <c r="V17" s="181" t="s">
        <v>48</v>
      </c>
      <c r="W17" s="21"/>
      <c r="X17" s="22"/>
      <c r="Y17" s="22"/>
      <c r="Z17" s="22"/>
      <c r="AA17" s="22"/>
      <c r="AB17" s="23"/>
      <c r="AC17" s="16"/>
      <c r="AH17" s="17"/>
    </row>
    <row r="18" spans="1:34" ht="21" customHeight="1">
      <c r="A18" s="161">
        <v>12</v>
      </c>
      <c r="B18" s="288" t="s">
        <v>52</v>
      </c>
      <c r="C18" s="289"/>
      <c r="D18" s="289"/>
      <c r="E18" s="289"/>
      <c r="F18" s="289"/>
      <c r="G18" s="290"/>
      <c r="H18" s="356">
        <f>VLOOKUP(AI4,'6a'!A:AK,15,0)</f>
        <v>62</v>
      </c>
      <c r="I18" s="356"/>
      <c r="J18" s="168">
        <f t="shared" si="0"/>
        <v>62</v>
      </c>
      <c r="K18" s="342" t="s">
        <v>21</v>
      </c>
      <c r="L18" s="342"/>
      <c r="M18" s="342"/>
      <c r="N18" s="342"/>
      <c r="O18" s="342"/>
      <c r="P18" s="342"/>
      <c r="Q18" s="168">
        <v>13</v>
      </c>
      <c r="R18" s="186" t="s">
        <v>53</v>
      </c>
      <c r="S18" s="187"/>
      <c r="T18" s="182" t="s">
        <v>1</v>
      </c>
      <c r="U18" s="182">
        <f>VLOOKUP(AI4,'6a'!A:AK,37,0)</f>
        <v>7</v>
      </c>
      <c r="V18" s="183" t="s">
        <v>48</v>
      </c>
      <c r="W18" s="188"/>
      <c r="X18" s="189"/>
      <c r="Y18" s="189"/>
      <c r="Z18" s="189"/>
      <c r="AA18" s="189"/>
      <c r="AB18" s="190"/>
      <c r="AC18" s="307" t="s">
        <v>54</v>
      </c>
      <c r="AD18" s="308"/>
      <c r="AE18" s="308"/>
      <c r="AF18" s="308"/>
      <c r="AG18" s="308"/>
      <c r="AH18" s="309"/>
    </row>
    <row r="19" spans="1:34" ht="21" customHeight="1">
      <c r="A19" s="161">
        <v>13</v>
      </c>
      <c r="B19" s="324" t="s">
        <v>55</v>
      </c>
      <c r="C19" s="324"/>
      <c r="D19" s="324"/>
      <c r="E19" s="324"/>
      <c r="F19" s="324"/>
      <c r="G19" s="324"/>
      <c r="H19" s="356">
        <f>VLOOKUP(AI4,'6a'!A:AK,16,0)</f>
        <v>65</v>
      </c>
      <c r="I19" s="356"/>
      <c r="J19" s="168">
        <f>H19</f>
        <v>65</v>
      </c>
      <c r="K19" s="342" t="s">
        <v>56</v>
      </c>
      <c r="L19" s="342"/>
      <c r="M19" s="342"/>
      <c r="N19" s="342"/>
      <c r="O19" s="342"/>
      <c r="P19" s="342"/>
      <c r="Q19" s="168">
        <v>14</v>
      </c>
      <c r="R19" s="16"/>
      <c r="U19" t="s">
        <v>57</v>
      </c>
      <c r="AB19" s="310" t="str">
        <f>DASHBOARD!$H$13</f>
        <v>Sumedang, 05 September 2025</v>
      </c>
      <c r="AC19" s="310"/>
      <c r="AD19" s="310"/>
      <c r="AE19" s="310"/>
      <c r="AF19" s="310"/>
      <c r="AG19" s="310"/>
      <c r="AH19" s="311"/>
    </row>
    <row r="20" spans="1:34" ht="21" customHeight="1">
      <c r="A20" s="161">
        <v>14</v>
      </c>
      <c r="B20" s="324" t="s">
        <v>58</v>
      </c>
      <c r="C20" s="324"/>
      <c r="D20" s="324"/>
      <c r="E20" s="324"/>
      <c r="F20" s="324"/>
      <c r="G20" s="324"/>
      <c r="H20" s="356">
        <f>VLOOKUP(AI4,'6a'!A:AK,17,0)</f>
        <v>53</v>
      </c>
      <c r="I20" s="356"/>
      <c r="J20" s="168">
        <f t="shared" si="0"/>
        <v>53</v>
      </c>
      <c r="K20" s="342" t="s">
        <v>59</v>
      </c>
      <c r="L20" s="342"/>
      <c r="M20" s="342"/>
      <c r="N20" s="342"/>
      <c r="O20" s="342"/>
      <c r="P20" s="342"/>
      <c r="Q20" s="168">
        <v>15</v>
      </c>
      <c r="R20" s="312" t="s">
        <v>60</v>
      </c>
      <c r="S20" s="310"/>
      <c r="T20" s="310"/>
      <c r="U20" s="310"/>
      <c r="V20" s="310"/>
      <c r="W20" s="310"/>
      <c r="X20" s="310"/>
      <c r="Y20" s="310"/>
      <c r="Z20" s="310"/>
      <c r="AA20" s="310"/>
      <c r="AB20" s="313" t="s">
        <v>61</v>
      </c>
      <c r="AC20" s="313"/>
      <c r="AD20" s="313"/>
      <c r="AE20" s="313"/>
      <c r="AF20" s="313"/>
      <c r="AG20" s="313"/>
      <c r="AH20" s="314"/>
    </row>
    <row r="21" spans="1:34" s="22" customFormat="1" ht="21" customHeight="1">
      <c r="A21" s="324" t="s">
        <v>62</v>
      </c>
      <c r="B21" s="324"/>
      <c r="C21" s="324"/>
      <c r="D21" s="324"/>
      <c r="E21" s="324"/>
      <c r="F21" s="324"/>
      <c r="G21" s="324"/>
      <c r="H21" s="356">
        <f>VLOOKUP(AI4,'6a'!A:AK,29,0)</f>
        <v>1011</v>
      </c>
      <c r="I21" s="356"/>
      <c r="J21" s="168">
        <f t="shared" si="0"/>
        <v>1011</v>
      </c>
      <c r="K21" s="342" t="s">
        <v>63</v>
      </c>
      <c r="L21" s="342"/>
      <c r="M21" s="342"/>
      <c r="N21" s="342"/>
      <c r="O21" s="342"/>
      <c r="P21" s="342"/>
      <c r="Q21" s="342"/>
      <c r="R21" s="33"/>
      <c r="S21" s="34"/>
      <c r="T21" s="34"/>
      <c r="U21" s="34"/>
      <c r="V21" s="34"/>
      <c r="W21" s="34"/>
      <c r="X21" s="34"/>
      <c r="Y21" s="34"/>
      <c r="Z21" s="34"/>
      <c r="AA21" s="34"/>
      <c r="AB21" s="297" t="s">
        <v>64</v>
      </c>
      <c r="AC21" s="297"/>
      <c r="AD21" s="297"/>
      <c r="AE21" s="297"/>
      <c r="AF21" s="297"/>
      <c r="AG21" s="297"/>
      <c r="AH21" s="298"/>
    </row>
    <row r="22" spans="1:34" s="30" customFormat="1" ht="21" customHeight="1">
      <c r="A22" s="324" t="s">
        <v>65</v>
      </c>
      <c r="B22" s="324"/>
      <c r="C22" s="324"/>
      <c r="D22" s="324"/>
      <c r="E22" s="324"/>
      <c r="F22" s="324"/>
      <c r="G22" s="324"/>
      <c r="H22" s="415">
        <f>VLOOKUP(AI4,'6a'!A:AK,30,0)</f>
        <v>59.470588235294116</v>
      </c>
      <c r="I22" s="415"/>
      <c r="J22" s="172">
        <f t="shared" si="0"/>
        <v>59.470588235294116</v>
      </c>
      <c r="K22" s="342" t="s">
        <v>66</v>
      </c>
      <c r="L22" s="342"/>
      <c r="M22" s="342"/>
      <c r="N22" s="342"/>
      <c r="O22" s="342"/>
      <c r="P22" s="342"/>
      <c r="Q22" s="342"/>
      <c r="R22" s="33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5"/>
    </row>
    <row r="23" spans="1:34" ht="21" customHeight="1">
      <c r="A23" s="288" t="s">
        <v>67</v>
      </c>
      <c r="B23" s="289"/>
      <c r="C23" s="289"/>
      <c r="D23" s="289"/>
      <c r="E23" s="163" t="s">
        <v>68</v>
      </c>
      <c r="F23" s="155" t="s">
        <v>69</v>
      </c>
      <c r="G23" s="164">
        <f>COUNT('6a'!B4:B31)</f>
        <v>28</v>
      </c>
      <c r="H23" s="164"/>
      <c r="I23" s="165"/>
      <c r="J23" s="173" t="s">
        <v>70</v>
      </c>
      <c r="K23" s="174"/>
      <c r="L23" s="175">
        <f>H23</f>
        <v>0</v>
      </c>
      <c r="M23" s="302" t="s">
        <v>71</v>
      </c>
      <c r="N23" s="302"/>
      <c r="O23" s="302"/>
      <c r="P23" s="176" t="str">
        <f>E23</f>
        <v>-</v>
      </c>
      <c r="Q23" s="177" t="s">
        <v>72</v>
      </c>
      <c r="R23" s="33"/>
      <c r="S23" s="34"/>
      <c r="T23" s="34"/>
      <c r="U23" s="34"/>
      <c r="V23" s="34"/>
      <c r="W23" s="191"/>
      <c r="X23" s="191"/>
      <c r="Y23" s="191"/>
      <c r="Z23" s="191"/>
      <c r="AA23" s="191"/>
      <c r="AB23" s="34"/>
      <c r="AC23" s="34"/>
      <c r="AD23" s="34"/>
      <c r="AE23" s="34"/>
      <c r="AF23" s="34"/>
      <c r="AG23" s="34"/>
      <c r="AH23" s="35"/>
    </row>
    <row r="24" spans="1:34" ht="21" customHeight="1">
      <c r="A24" s="303" t="s">
        <v>73</v>
      </c>
      <c r="B24" s="304"/>
      <c r="C24" s="304"/>
      <c r="D24" s="304"/>
      <c r="E24" s="304"/>
      <c r="F24" s="304"/>
      <c r="G24" s="304"/>
      <c r="H24" s="304"/>
      <c r="I24" s="7"/>
      <c r="J24" s="166"/>
      <c r="K24" s="195"/>
      <c r="L24" s="305" t="s">
        <v>74</v>
      </c>
      <c r="M24" s="305"/>
      <c r="N24" s="305"/>
      <c r="O24" s="305"/>
      <c r="P24" s="305"/>
      <c r="Q24" s="306"/>
      <c r="R24" s="312"/>
      <c r="S24" s="310"/>
      <c r="T24" s="310"/>
      <c r="U24" s="310"/>
      <c r="V24" s="310"/>
      <c r="W24" s="310"/>
      <c r="X24" s="310"/>
      <c r="Y24" s="310"/>
      <c r="Z24" s="310"/>
      <c r="AA24" s="310"/>
      <c r="AB24" s="34"/>
      <c r="AC24" s="34"/>
      <c r="AD24" s="34"/>
      <c r="AE24" s="34"/>
      <c r="AF24" s="34"/>
      <c r="AG24" s="34"/>
      <c r="AH24" s="35"/>
    </row>
    <row r="25" spans="1:34" ht="21" customHeight="1">
      <c r="A25" s="366" t="s">
        <v>75</v>
      </c>
      <c r="B25" s="366"/>
      <c r="C25" s="366"/>
      <c r="D25" s="366"/>
      <c r="E25" s="366"/>
      <c r="F25" s="366"/>
      <c r="G25" s="366"/>
      <c r="H25" s="366"/>
      <c r="I25" s="366"/>
      <c r="J25" s="366"/>
      <c r="K25" s="366"/>
      <c r="L25" s="366"/>
      <c r="M25" s="366"/>
      <c r="N25" s="366"/>
      <c r="O25" s="366"/>
      <c r="P25" s="366"/>
      <c r="Q25" s="366"/>
      <c r="R25" s="315" t="s">
        <v>766</v>
      </c>
      <c r="S25" s="316"/>
      <c r="T25" s="316"/>
      <c r="U25" s="316"/>
      <c r="V25" s="316"/>
      <c r="W25" s="316"/>
      <c r="X25" s="316"/>
      <c r="Y25" s="316"/>
      <c r="Z25" s="316"/>
      <c r="AA25" s="316"/>
      <c r="AB25" s="308" t="s">
        <v>767</v>
      </c>
      <c r="AC25" s="308"/>
      <c r="AD25" s="308"/>
      <c r="AE25" s="308"/>
      <c r="AF25" s="308"/>
      <c r="AG25" s="308"/>
      <c r="AH25" s="309"/>
    </row>
    <row r="26" spans="1:34" ht="20.100000000000001" customHeight="1">
      <c r="A26" s="161">
        <v>1</v>
      </c>
      <c r="B26" s="324" t="s">
        <v>83</v>
      </c>
      <c r="C26" s="324"/>
      <c r="D26" s="324"/>
      <c r="E26" s="324"/>
      <c r="F26" s="324"/>
      <c r="G26" s="324"/>
      <c r="H26" s="356">
        <f>VLOOKUP(AI4,'6a'!A:AK,23,0)</f>
        <v>78</v>
      </c>
      <c r="I26" s="356"/>
      <c r="J26" s="178">
        <f t="shared" ref="J26:J31" si="1">H26</f>
        <v>78</v>
      </c>
      <c r="K26" s="342" t="s">
        <v>84</v>
      </c>
      <c r="L26" s="342"/>
      <c r="M26" s="342"/>
      <c r="N26" s="342"/>
      <c r="O26" s="342"/>
      <c r="P26" s="342"/>
      <c r="Q26" s="168">
        <v>1</v>
      </c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</row>
    <row r="27" spans="1:34" ht="20.100000000000001" customHeight="1">
      <c r="A27" s="161">
        <v>2</v>
      </c>
      <c r="B27" s="324" t="s">
        <v>79</v>
      </c>
      <c r="C27" s="324"/>
      <c r="D27" s="324"/>
      <c r="E27" s="324"/>
      <c r="F27" s="324"/>
      <c r="G27" s="324"/>
      <c r="H27" s="356">
        <f>VLOOKUP(AI4,'6a'!A:AK,24,0)</f>
        <v>88</v>
      </c>
      <c r="I27" s="356"/>
      <c r="J27" s="178">
        <f t="shared" si="1"/>
        <v>88</v>
      </c>
      <c r="K27" s="342" t="s">
        <v>80</v>
      </c>
      <c r="L27" s="342"/>
      <c r="M27" s="342"/>
      <c r="N27" s="342"/>
      <c r="O27" s="342"/>
      <c r="P27" s="342"/>
      <c r="Q27" s="168">
        <v>2</v>
      </c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</row>
    <row r="28" spans="1:34" ht="20.100000000000001" customHeight="1">
      <c r="A28" s="161">
        <v>3</v>
      </c>
      <c r="B28" s="324" t="s">
        <v>77</v>
      </c>
      <c r="C28" s="324"/>
      <c r="D28" s="324"/>
      <c r="E28" s="324"/>
      <c r="F28" s="324"/>
      <c r="G28" s="324"/>
      <c r="H28" s="356">
        <f>H14</f>
        <v>56</v>
      </c>
      <c r="I28" s="356"/>
      <c r="J28" s="178">
        <f t="shared" si="1"/>
        <v>56</v>
      </c>
      <c r="K28" s="293" t="s">
        <v>78</v>
      </c>
      <c r="L28" s="294"/>
      <c r="M28" s="294"/>
      <c r="N28" s="294"/>
      <c r="O28" s="294"/>
      <c r="P28" s="295"/>
      <c r="Q28" s="168">
        <v>3</v>
      </c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</row>
    <row r="29" spans="1:34" ht="20.100000000000001" customHeight="1">
      <c r="A29" s="161">
        <v>4</v>
      </c>
      <c r="B29" s="324" t="s">
        <v>81</v>
      </c>
      <c r="C29" s="324"/>
      <c r="D29" s="324"/>
      <c r="E29" s="324"/>
      <c r="F29" s="324"/>
      <c r="G29" s="324"/>
      <c r="H29" s="356">
        <f>VLOOKUP(AI4,'6a'!A:AK,26,0)</f>
        <v>88</v>
      </c>
      <c r="I29" s="356"/>
      <c r="J29" s="178">
        <f t="shared" si="1"/>
        <v>88</v>
      </c>
      <c r="K29" s="293" t="s">
        <v>82</v>
      </c>
      <c r="L29" s="294"/>
      <c r="M29" s="294"/>
      <c r="N29" s="294"/>
      <c r="O29" s="294"/>
      <c r="P29" s="295"/>
      <c r="Q29" s="168">
        <v>4</v>
      </c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C29" s="34"/>
      <c r="AD29" s="34"/>
      <c r="AE29" s="34"/>
      <c r="AF29" s="34"/>
      <c r="AG29" s="34"/>
      <c r="AH29" s="34"/>
    </row>
    <row r="30" spans="1:34" ht="20.100000000000001" customHeight="1">
      <c r="A30" s="161">
        <v>5</v>
      </c>
      <c r="B30" s="288" t="s">
        <v>147</v>
      </c>
      <c r="C30" s="289"/>
      <c r="D30" s="289"/>
      <c r="E30" s="289"/>
      <c r="F30" s="289"/>
      <c r="G30" s="290"/>
      <c r="H30" s="317">
        <f>VLOOKUP(AI4,'6a'!A:AK,27,0)</f>
        <v>70</v>
      </c>
      <c r="I30" s="318"/>
      <c r="J30" s="178">
        <f t="shared" si="1"/>
        <v>70</v>
      </c>
      <c r="K30" s="293" t="s">
        <v>84</v>
      </c>
      <c r="L30" s="294"/>
      <c r="M30" s="294"/>
      <c r="N30" s="294"/>
      <c r="O30" s="294"/>
      <c r="P30" s="295"/>
      <c r="Q30" s="168">
        <v>5</v>
      </c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</row>
    <row r="31" spans="1:34" ht="20.100000000000001" customHeight="1">
      <c r="A31" s="161">
        <v>6</v>
      </c>
      <c r="B31" s="288" t="s">
        <v>148</v>
      </c>
      <c r="C31" s="289"/>
      <c r="D31" s="289"/>
      <c r="E31" s="289"/>
      <c r="F31" s="289"/>
      <c r="G31" s="290"/>
      <c r="H31" s="317">
        <f>VLOOKUP(AI4,'6a'!A:AK,28,0)</f>
        <v>75</v>
      </c>
      <c r="I31" s="318"/>
      <c r="J31" s="178">
        <f t="shared" si="1"/>
        <v>75</v>
      </c>
      <c r="K31" s="293" t="s">
        <v>149</v>
      </c>
      <c r="L31" s="294"/>
      <c r="M31" s="294"/>
      <c r="N31" s="294"/>
      <c r="O31" s="294"/>
      <c r="P31" s="295"/>
      <c r="Q31" s="168">
        <v>6</v>
      </c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34" ht="20.100000000000001" customHeight="1">
      <c r="A32" s="357" t="s">
        <v>62</v>
      </c>
      <c r="B32" s="357"/>
      <c r="C32" s="357"/>
      <c r="D32" s="357"/>
      <c r="E32" s="357"/>
      <c r="F32" s="357"/>
      <c r="G32" s="357"/>
      <c r="H32" s="356">
        <f>SUM(H26:I31)</f>
        <v>455</v>
      </c>
      <c r="I32" s="356"/>
      <c r="J32" s="178">
        <f t="shared" ref="J32:J33" si="2">H32</f>
        <v>455</v>
      </c>
      <c r="K32" s="342" t="s">
        <v>63</v>
      </c>
      <c r="L32" s="342"/>
      <c r="M32" s="342"/>
      <c r="N32" s="342"/>
      <c r="O32" s="342"/>
      <c r="P32" s="342"/>
      <c r="Q32" s="342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5" ht="20.100000000000001" customHeight="1">
      <c r="A33" s="357" t="s">
        <v>65</v>
      </c>
      <c r="B33" s="357"/>
      <c r="C33" s="357"/>
      <c r="D33" s="357"/>
      <c r="E33" s="357"/>
      <c r="F33" s="357"/>
      <c r="G33" s="357"/>
      <c r="H33" s="415">
        <f>AVERAGE(H26:I29)</f>
        <v>77.5</v>
      </c>
      <c r="I33" s="415"/>
      <c r="J33" s="179">
        <f t="shared" si="2"/>
        <v>77.5</v>
      </c>
      <c r="K33" s="342" t="s">
        <v>66</v>
      </c>
      <c r="L33" s="342"/>
      <c r="M33" s="342"/>
      <c r="N33" s="342"/>
      <c r="O33" s="342"/>
      <c r="P33" s="342"/>
      <c r="Q33" s="342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5" ht="21" customHeight="1">
      <c r="A34" s="46"/>
      <c r="B34" s="46"/>
      <c r="C34" s="46"/>
      <c r="D34" s="46"/>
      <c r="E34" s="46"/>
      <c r="F34" s="46"/>
      <c r="G34" s="46"/>
      <c r="H34" s="47"/>
      <c r="I34" s="47"/>
      <c r="J34" s="48"/>
      <c r="K34" s="49"/>
      <c r="L34" s="49"/>
      <c r="M34" s="49"/>
      <c r="N34" s="49"/>
      <c r="O34" s="49"/>
      <c r="P34" s="49"/>
      <c r="Q34" s="49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5" ht="21" customHeight="1">
      <c r="A35" s="343" t="s">
        <v>0</v>
      </c>
      <c r="B35" s="344"/>
      <c r="C35" s="153" t="s">
        <v>1</v>
      </c>
      <c r="D35" s="344" t="str">
        <f>VLOOKUP(AI38,'6b'!A:AK,3,0)</f>
        <v>Muhamad Aldi Saputra</v>
      </c>
      <c r="E35" s="344"/>
      <c r="F35" s="344"/>
      <c r="G35" s="344"/>
      <c r="H35" s="344"/>
      <c r="I35" s="344"/>
      <c r="J35" s="344"/>
      <c r="K35" s="344"/>
      <c r="L35" s="344"/>
      <c r="M35" s="344"/>
      <c r="N35" s="344"/>
      <c r="O35" s="344"/>
      <c r="P35" s="344"/>
      <c r="Q35" s="345"/>
      <c r="R35" s="343" t="s">
        <v>0</v>
      </c>
      <c r="S35" s="344"/>
      <c r="T35" s="153" t="s">
        <v>1</v>
      </c>
      <c r="U35" s="344" t="str">
        <f>D35</f>
        <v>Muhamad Aldi Saputra</v>
      </c>
      <c r="V35" s="344"/>
      <c r="W35" s="344"/>
      <c r="X35" s="344"/>
      <c r="Y35" s="344"/>
      <c r="Z35" s="344"/>
      <c r="AA35" s="344"/>
      <c r="AB35" s="344"/>
      <c r="AC35" s="344"/>
      <c r="AD35" s="344"/>
      <c r="AE35" s="344"/>
      <c r="AF35" s="344"/>
      <c r="AG35" s="344"/>
      <c r="AH35" s="345"/>
    </row>
    <row r="36" spans="1:35" ht="21" customHeight="1">
      <c r="A36" s="346" t="s">
        <v>2</v>
      </c>
      <c r="B36" s="347"/>
      <c r="C36" s="154" t="s">
        <v>1</v>
      </c>
      <c r="D36" s="347" t="str">
        <f>DASHBOARD!G17</f>
        <v>6-B</v>
      </c>
      <c r="E36" s="347"/>
      <c r="F36" s="347"/>
      <c r="G36" s="347"/>
      <c r="H36" s="347"/>
      <c r="I36" s="347"/>
      <c r="J36" s="159" t="s">
        <v>3</v>
      </c>
      <c r="K36" s="347">
        <f>VLOOKUP(AI38,'6b'!A:AK,2,0)</f>
        <v>18190057</v>
      </c>
      <c r="L36" s="347"/>
      <c r="M36" s="347"/>
      <c r="N36" s="347"/>
      <c r="O36" s="347"/>
      <c r="P36" s="347"/>
      <c r="Q36" s="348"/>
      <c r="R36" s="346" t="s">
        <v>2</v>
      </c>
      <c r="S36" s="347"/>
      <c r="T36" s="154" t="s">
        <v>1</v>
      </c>
      <c r="U36" s="347" t="str">
        <f>D36</f>
        <v>6-B</v>
      </c>
      <c r="V36" s="347"/>
      <c r="W36" s="347"/>
      <c r="X36" s="347"/>
      <c r="Y36" s="347"/>
      <c r="Z36" s="347"/>
      <c r="AA36" s="159" t="s">
        <v>3</v>
      </c>
      <c r="AB36" s="347">
        <f>K36</f>
        <v>18190057</v>
      </c>
      <c r="AC36" s="347"/>
      <c r="AD36" s="347"/>
      <c r="AE36" s="347"/>
      <c r="AF36" s="347"/>
      <c r="AG36" s="347"/>
      <c r="AH36" s="348"/>
      <c r="AI36" t="str">
        <f>D36</f>
        <v>6-B</v>
      </c>
    </row>
    <row r="37" spans="1:35" ht="21" customHeight="1">
      <c r="A37" s="303" t="s">
        <v>4</v>
      </c>
      <c r="B37" s="304"/>
      <c r="C37" s="160" t="s">
        <v>1</v>
      </c>
      <c r="D37" s="304" t="str">
        <f>DASHBOARD!$H$11</f>
        <v>2025/2026</v>
      </c>
      <c r="E37" s="304"/>
      <c r="F37" s="304"/>
      <c r="G37" s="304"/>
      <c r="H37" s="304"/>
      <c r="I37" s="304"/>
      <c r="J37" s="304"/>
      <c r="K37" s="304"/>
      <c r="L37" s="304"/>
      <c r="M37" s="304"/>
      <c r="N37" s="304"/>
      <c r="O37" s="304"/>
      <c r="P37" s="304"/>
      <c r="Q37" s="349"/>
      <c r="R37" s="330" t="s">
        <v>5</v>
      </c>
      <c r="S37" s="331"/>
      <c r="T37" s="331"/>
      <c r="U37" s="331"/>
      <c r="V37" s="331"/>
      <c r="W37" s="331"/>
      <c r="X37" s="331"/>
      <c r="Y37" s="333" t="s">
        <v>6</v>
      </c>
      <c r="Z37" s="334"/>
      <c r="AA37" s="337" t="s">
        <v>7</v>
      </c>
      <c r="AB37" s="330" t="s">
        <v>8</v>
      </c>
      <c r="AC37" s="331"/>
      <c r="AD37" s="331"/>
      <c r="AE37" s="331"/>
      <c r="AF37" s="331"/>
      <c r="AG37" s="331"/>
      <c r="AH37" s="332"/>
      <c r="AI37" s="50" t="s">
        <v>9</v>
      </c>
    </row>
    <row r="38" spans="1:35" ht="21" customHeight="1">
      <c r="A38" s="303" t="s">
        <v>10</v>
      </c>
      <c r="B38" s="304"/>
      <c r="C38" s="160" t="s">
        <v>1</v>
      </c>
      <c r="D38" s="350" t="str">
        <f>DASHBOARD!$H$12</f>
        <v>1 (Satu)</v>
      </c>
      <c r="E38" s="350"/>
      <c r="F38" s="350"/>
      <c r="G38" s="350"/>
      <c r="H38" s="350"/>
      <c r="I38" s="351"/>
      <c r="J38" s="352" t="str">
        <f>DASHBOARD!$I$12</f>
        <v>الأول</v>
      </c>
      <c r="K38" s="353"/>
      <c r="L38" s="353"/>
      <c r="M38" s="353"/>
      <c r="N38" s="160" t="s">
        <v>1</v>
      </c>
      <c r="O38" s="354" t="s">
        <v>11</v>
      </c>
      <c r="P38" s="354"/>
      <c r="Q38" s="355"/>
      <c r="R38" s="339" t="s">
        <v>12</v>
      </c>
      <c r="S38" s="340"/>
      <c r="T38" s="340"/>
      <c r="U38" s="340"/>
      <c r="V38" s="340"/>
      <c r="W38" s="340"/>
      <c r="X38" s="340"/>
      <c r="Y38" s="335"/>
      <c r="Z38" s="336"/>
      <c r="AA38" s="338"/>
      <c r="AB38" s="339" t="s">
        <v>13</v>
      </c>
      <c r="AC38" s="340"/>
      <c r="AD38" s="340"/>
      <c r="AE38" s="340"/>
      <c r="AF38" s="340"/>
      <c r="AG38" s="340"/>
      <c r="AH38" s="341"/>
      <c r="AI38" s="51">
        <v>24</v>
      </c>
    </row>
    <row r="39" spans="1:35" ht="21" customHeight="1">
      <c r="A39" s="330" t="s">
        <v>5</v>
      </c>
      <c r="B39" s="331"/>
      <c r="C39" s="331"/>
      <c r="D39" s="331"/>
      <c r="E39" s="331"/>
      <c r="F39" s="331"/>
      <c r="G39" s="331"/>
      <c r="H39" s="333" t="s">
        <v>6</v>
      </c>
      <c r="I39" s="334"/>
      <c r="J39" s="337" t="s">
        <v>7</v>
      </c>
      <c r="K39" s="330" t="s">
        <v>8</v>
      </c>
      <c r="L39" s="331"/>
      <c r="M39" s="331"/>
      <c r="N39" s="331"/>
      <c r="O39" s="331"/>
      <c r="P39" s="331"/>
      <c r="Q39" s="332"/>
      <c r="R39" s="161">
        <v>1</v>
      </c>
      <c r="S39" s="288" t="s">
        <v>14</v>
      </c>
      <c r="T39" s="289"/>
      <c r="U39" s="289"/>
      <c r="V39" s="289"/>
      <c r="W39" s="289"/>
      <c r="X39" s="290"/>
      <c r="Y39" s="361">
        <f>VLOOKUP(AI38,'6b'!A:AK,18,0)</f>
        <v>95</v>
      </c>
      <c r="Z39" s="362"/>
      <c r="AA39" s="168">
        <f>Y39</f>
        <v>95</v>
      </c>
      <c r="AB39" s="293" t="s">
        <v>15</v>
      </c>
      <c r="AC39" s="294"/>
      <c r="AD39" s="294"/>
      <c r="AE39" s="294"/>
      <c r="AF39" s="294"/>
      <c r="AG39" s="295"/>
      <c r="AH39" s="168">
        <v>1</v>
      </c>
    </row>
    <row r="40" spans="1:35" ht="21" customHeight="1">
      <c r="A40" s="339" t="s">
        <v>16</v>
      </c>
      <c r="B40" s="340"/>
      <c r="C40" s="340"/>
      <c r="D40" s="340"/>
      <c r="E40" s="340"/>
      <c r="F40" s="340"/>
      <c r="G40" s="340"/>
      <c r="H40" s="335"/>
      <c r="I40" s="336"/>
      <c r="J40" s="338"/>
      <c r="K40" s="339" t="s">
        <v>17</v>
      </c>
      <c r="L40" s="340"/>
      <c r="M40" s="340"/>
      <c r="N40" s="340"/>
      <c r="O40" s="340"/>
      <c r="P40" s="340"/>
      <c r="Q40" s="341"/>
      <c r="R40" s="161">
        <v>2</v>
      </c>
      <c r="S40" s="288" t="s">
        <v>22</v>
      </c>
      <c r="T40" s="289"/>
      <c r="U40" s="289"/>
      <c r="V40" s="289"/>
      <c r="W40" s="289"/>
      <c r="X40" s="290"/>
      <c r="Y40" s="361">
        <f>VLOOKUP(AI38,'6b'!A:AK,19,0)</f>
        <v>65</v>
      </c>
      <c r="Z40" s="362"/>
      <c r="AA40" s="168">
        <f>Y40</f>
        <v>65</v>
      </c>
      <c r="AB40" s="293" t="s">
        <v>19</v>
      </c>
      <c r="AC40" s="294"/>
      <c r="AD40" s="294"/>
      <c r="AE40" s="294"/>
      <c r="AF40" s="294"/>
      <c r="AG40" s="295"/>
      <c r="AH40" s="168">
        <v>2</v>
      </c>
    </row>
    <row r="41" spans="1:35" ht="21" customHeight="1">
      <c r="A41" s="161">
        <v>1</v>
      </c>
      <c r="B41" s="418" t="s">
        <v>20</v>
      </c>
      <c r="C41" s="418"/>
      <c r="D41" s="418"/>
      <c r="E41" s="418"/>
      <c r="F41" s="418"/>
      <c r="G41" s="418"/>
      <c r="H41" s="317">
        <f>VLOOKUP(AI38,'6b'!A:AK,4,0)</f>
        <v>66</v>
      </c>
      <c r="I41" s="318"/>
      <c r="J41" s="168">
        <f>H41</f>
        <v>66</v>
      </c>
      <c r="K41" s="419" t="s">
        <v>19</v>
      </c>
      <c r="L41" s="419"/>
      <c r="M41" s="419"/>
      <c r="N41" s="419"/>
      <c r="O41" s="419"/>
      <c r="P41" s="419"/>
      <c r="Q41" s="168">
        <v>1</v>
      </c>
      <c r="R41" s="161">
        <v>3</v>
      </c>
      <c r="S41" s="288" t="s">
        <v>85</v>
      </c>
      <c r="T41" s="289"/>
      <c r="U41" s="289"/>
      <c r="V41" s="289"/>
      <c r="W41" s="289"/>
      <c r="X41" s="290"/>
      <c r="Y41" s="361">
        <f>VLOOKUP(AI38,'6b'!A:AK,20,0)</f>
        <v>80</v>
      </c>
      <c r="Z41" s="362"/>
      <c r="AA41" s="168">
        <f>Y41</f>
        <v>80</v>
      </c>
      <c r="AB41" s="293" t="s">
        <v>86</v>
      </c>
      <c r="AC41" s="294"/>
      <c r="AD41" s="294"/>
      <c r="AE41" s="294"/>
      <c r="AF41" s="294"/>
      <c r="AG41" s="295"/>
      <c r="AH41" s="168">
        <v>3</v>
      </c>
    </row>
    <row r="42" spans="1:35" ht="21" customHeight="1">
      <c r="A42" s="161">
        <v>2</v>
      </c>
      <c r="B42" s="324" t="s">
        <v>22</v>
      </c>
      <c r="C42" s="324"/>
      <c r="D42" s="324"/>
      <c r="E42" s="324"/>
      <c r="F42" s="324"/>
      <c r="G42" s="324"/>
      <c r="H42" s="317">
        <f>VLOOKUP(AI38,'6b'!A:AK,5,0)</f>
        <v>40</v>
      </c>
      <c r="I42" s="318"/>
      <c r="J42" s="168">
        <f t="shared" ref="J42:J56" si="3">H42</f>
        <v>40</v>
      </c>
      <c r="K42" s="342" t="s">
        <v>23</v>
      </c>
      <c r="L42" s="342"/>
      <c r="M42" s="342"/>
      <c r="N42" s="342"/>
      <c r="O42" s="342"/>
      <c r="P42" s="342"/>
      <c r="Q42" s="168">
        <v>2</v>
      </c>
      <c r="R42" s="161">
        <v>4</v>
      </c>
      <c r="S42" s="288" t="s">
        <v>87</v>
      </c>
      <c r="T42" s="289"/>
      <c r="U42" s="289"/>
      <c r="V42" s="289"/>
      <c r="W42" s="289"/>
      <c r="X42" s="290"/>
      <c r="Y42" s="361">
        <f>VLOOKUP(AI38,'6b'!A:AK,21,0)</f>
        <v>60</v>
      </c>
      <c r="Z42" s="362"/>
      <c r="AA42" s="168">
        <f>Y42</f>
        <v>60</v>
      </c>
      <c r="AB42" s="293" t="s">
        <v>21</v>
      </c>
      <c r="AC42" s="294"/>
      <c r="AD42" s="294"/>
      <c r="AE42" s="294"/>
      <c r="AF42" s="294"/>
      <c r="AG42" s="295"/>
      <c r="AH42" s="168">
        <v>4</v>
      </c>
    </row>
    <row r="43" spans="1:35" ht="21" customHeight="1">
      <c r="A43" s="161">
        <v>3</v>
      </c>
      <c r="B43" s="288" t="s">
        <v>24</v>
      </c>
      <c r="C43" s="289"/>
      <c r="D43" s="289"/>
      <c r="E43" s="289"/>
      <c r="F43" s="289"/>
      <c r="G43" s="290"/>
      <c r="H43" s="317">
        <f>VLOOKUP(AI38,'6b'!A:AK,6,0)</f>
        <v>57</v>
      </c>
      <c r="I43" s="318"/>
      <c r="J43" s="168">
        <f t="shared" si="3"/>
        <v>57</v>
      </c>
      <c r="K43" s="342" t="s">
        <v>25</v>
      </c>
      <c r="L43" s="342"/>
      <c r="M43" s="342"/>
      <c r="N43" s="342"/>
      <c r="O43" s="342"/>
      <c r="P43" s="342"/>
      <c r="Q43" s="168">
        <v>3</v>
      </c>
      <c r="R43" s="161">
        <v>5</v>
      </c>
      <c r="S43" s="288" t="s">
        <v>20</v>
      </c>
      <c r="T43" s="289"/>
      <c r="U43" s="289"/>
      <c r="V43" s="289"/>
      <c r="W43" s="289"/>
      <c r="X43" s="290"/>
      <c r="Y43" s="361">
        <f>VLOOKUP(AI38,'6b'!A:AK,22,0)</f>
        <v>40</v>
      </c>
      <c r="Z43" s="362"/>
      <c r="AA43" s="168">
        <f>Y43</f>
        <v>40</v>
      </c>
      <c r="AB43" s="293" t="s">
        <v>19</v>
      </c>
      <c r="AC43" s="294"/>
      <c r="AD43" s="294"/>
      <c r="AE43" s="294"/>
      <c r="AF43" s="294"/>
      <c r="AG43" s="295"/>
      <c r="AH43" s="168">
        <v>5</v>
      </c>
    </row>
    <row r="44" spans="1:35" ht="21" customHeight="1">
      <c r="A44" s="161">
        <v>4</v>
      </c>
      <c r="B44" s="324" t="s">
        <v>26</v>
      </c>
      <c r="C44" s="324"/>
      <c r="D44" s="324"/>
      <c r="E44" s="324"/>
      <c r="F44" s="324"/>
      <c r="G44" s="324"/>
      <c r="H44" s="317">
        <f>VLOOKUP(AI38,'6b'!A:AK,7,0)</f>
        <v>68</v>
      </c>
      <c r="I44" s="318"/>
      <c r="J44" s="168">
        <f t="shared" si="3"/>
        <v>68</v>
      </c>
      <c r="K44" s="342" t="s">
        <v>27</v>
      </c>
      <c r="L44" s="342"/>
      <c r="M44" s="342"/>
      <c r="N44" s="342"/>
      <c r="O44" s="342"/>
      <c r="P44" s="342"/>
      <c r="Q44" s="168">
        <v>4</v>
      </c>
      <c r="R44" s="299" t="s">
        <v>768</v>
      </c>
      <c r="S44" s="300"/>
      <c r="T44" s="300"/>
      <c r="U44" s="300"/>
      <c r="V44" s="301"/>
      <c r="W44" s="327" t="s">
        <v>28</v>
      </c>
      <c r="X44" s="328"/>
      <c r="Y44" s="328"/>
      <c r="Z44" s="328"/>
      <c r="AA44" s="328"/>
      <c r="AB44" s="329"/>
      <c r="AC44" s="327" t="s">
        <v>29</v>
      </c>
      <c r="AD44" s="328"/>
      <c r="AE44" s="328"/>
      <c r="AF44" s="328"/>
      <c r="AG44" s="328"/>
      <c r="AH44" s="329"/>
    </row>
    <row r="45" spans="1:35" ht="21" customHeight="1">
      <c r="A45" s="161">
        <v>5</v>
      </c>
      <c r="B45" s="324" t="s">
        <v>30</v>
      </c>
      <c r="C45" s="324"/>
      <c r="D45" s="324"/>
      <c r="E45" s="324"/>
      <c r="F45" s="324"/>
      <c r="G45" s="324"/>
      <c r="H45" s="317">
        <f>VLOOKUP(AI38,'6b'!A:AK,8,0)</f>
        <v>49</v>
      </c>
      <c r="I45" s="318"/>
      <c r="J45" s="168">
        <f t="shared" si="3"/>
        <v>49</v>
      </c>
      <c r="K45" s="342" t="s">
        <v>31</v>
      </c>
      <c r="L45" s="342"/>
      <c r="M45" s="342"/>
      <c r="N45" s="342"/>
      <c r="O45" s="342"/>
      <c r="P45" s="342"/>
      <c r="Q45" s="168">
        <v>5</v>
      </c>
      <c r="R45" s="319" t="s">
        <v>32</v>
      </c>
      <c r="S45" s="320"/>
      <c r="T45" s="320"/>
      <c r="U45" s="180" t="s">
        <v>1</v>
      </c>
      <c r="V45" s="181" t="str">
        <f>VLOOKUP(AI38,'6b'!A:AK,32,0)</f>
        <v>B</v>
      </c>
      <c r="W45" s="321" t="s">
        <v>33</v>
      </c>
      <c r="X45" s="322"/>
      <c r="Y45" s="322"/>
      <c r="Z45" s="322"/>
      <c r="AA45" s="322"/>
      <c r="AB45" s="323"/>
      <c r="AC45" s="296" t="s">
        <v>33</v>
      </c>
      <c r="AD45" s="297"/>
      <c r="AE45" s="297"/>
      <c r="AF45" s="297"/>
      <c r="AG45" s="297"/>
      <c r="AH45" s="298"/>
    </row>
    <row r="46" spans="1:35" ht="21" customHeight="1">
      <c r="A46" s="161">
        <v>6</v>
      </c>
      <c r="B46" s="324" t="s">
        <v>34</v>
      </c>
      <c r="C46" s="324"/>
      <c r="D46" s="324"/>
      <c r="E46" s="324"/>
      <c r="F46" s="324"/>
      <c r="G46" s="324"/>
      <c r="H46" s="317">
        <f>VLOOKUP(AI38,'6b'!A:AK,9,0)</f>
        <v>46</v>
      </c>
      <c r="I46" s="318"/>
      <c r="J46" s="168">
        <f t="shared" si="3"/>
        <v>46</v>
      </c>
      <c r="K46" s="342" t="s">
        <v>35</v>
      </c>
      <c r="L46" s="342"/>
      <c r="M46" s="342"/>
      <c r="N46" s="342"/>
      <c r="O46" s="342"/>
      <c r="P46" s="342"/>
      <c r="Q46" s="168">
        <v>6</v>
      </c>
      <c r="R46" s="319" t="s">
        <v>36</v>
      </c>
      <c r="S46" s="320"/>
      <c r="T46" s="320"/>
      <c r="U46" s="180" t="s">
        <v>1</v>
      </c>
      <c r="V46" s="181" t="str">
        <f>VLOOKUP(AI38,'6b'!A:AK,33,0)</f>
        <v>B</v>
      </c>
      <c r="W46" s="13"/>
      <c r="X46" s="14"/>
      <c r="Y46" s="14"/>
      <c r="Z46" s="14"/>
      <c r="AA46" s="14"/>
      <c r="AB46" s="15"/>
      <c r="AC46" s="16"/>
      <c r="AH46" s="17"/>
    </row>
    <row r="47" spans="1:35" ht="21" customHeight="1">
      <c r="A47" s="161">
        <v>7</v>
      </c>
      <c r="B47" s="324" t="s">
        <v>37</v>
      </c>
      <c r="C47" s="324"/>
      <c r="D47" s="324"/>
      <c r="E47" s="324"/>
      <c r="F47" s="324"/>
      <c r="G47" s="324"/>
      <c r="H47" s="317">
        <f>VLOOKUP(AI38,'6b'!A:AK,10,0)</f>
        <v>84</v>
      </c>
      <c r="I47" s="318"/>
      <c r="J47" s="168">
        <f t="shared" si="3"/>
        <v>84</v>
      </c>
      <c r="K47" s="342" t="s">
        <v>38</v>
      </c>
      <c r="L47" s="342"/>
      <c r="M47" s="342"/>
      <c r="N47" s="342"/>
      <c r="O47" s="342"/>
      <c r="P47" s="342"/>
      <c r="Q47" s="168">
        <v>7</v>
      </c>
      <c r="R47" s="325" t="s">
        <v>39</v>
      </c>
      <c r="S47" s="326"/>
      <c r="T47" s="326"/>
      <c r="U47" s="182" t="s">
        <v>1</v>
      </c>
      <c r="V47" s="183" t="str">
        <f>VLOOKUP(AI38,'6b'!A:AK,34,0)</f>
        <v>B</v>
      </c>
      <c r="W47" s="16"/>
      <c r="AB47" s="17"/>
      <c r="AC47" s="16"/>
      <c r="AH47" s="17"/>
    </row>
    <row r="48" spans="1:35" ht="21" customHeight="1">
      <c r="A48" s="161">
        <v>8</v>
      </c>
      <c r="B48" s="324" t="s">
        <v>40</v>
      </c>
      <c r="C48" s="324"/>
      <c r="D48" s="324"/>
      <c r="E48" s="324"/>
      <c r="F48" s="324"/>
      <c r="G48" s="324"/>
      <c r="H48" s="317">
        <f>VLOOKUP(AI38,'6b'!A:AK,11,0)</f>
        <v>66</v>
      </c>
      <c r="I48" s="318"/>
      <c r="J48" s="168">
        <f t="shared" si="3"/>
        <v>66</v>
      </c>
      <c r="K48" s="342" t="s">
        <v>41</v>
      </c>
      <c r="L48" s="342"/>
      <c r="M48" s="342"/>
      <c r="N48" s="342"/>
      <c r="O48" s="342"/>
      <c r="P48" s="342"/>
      <c r="Q48" s="168">
        <v>8</v>
      </c>
      <c r="R48" s="327" t="s">
        <v>42</v>
      </c>
      <c r="S48" s="328"/>
      <c r="T48" s="328"/>
      <c r="U48" s="328"/>
      <c r="V48" s="329"/>
      <c r="W48" s="16"/>
      <c r="AB48" s="17"/>
      <c r="AC48" s="307" t="str">
        <f>DASHBOARD!H17</f>
        <v>Mu'allim Ahmad</v>
      </c>
      <c r="AD48" s="308"/>
      <c r="AE48" s="308"/>
      <c r="AF48" s="308"/>
      <c r="AG48" s="308"/>
      <c r="AH48" s="309"/>
    </row>
    <row r="49" spans="1:34" ht="21" customHeight="1">
      <c r="A49" s="161">
        <v>9</v>
      </c>
      <c r="B49" s="324" t="s">
        <v>14</v>
      </c>
      <c r="C49" s="324"/>
      <c r="D49" s="324"/>
      <c r="E49" s="324"/>
      <c r="F49" s="324"/>
      <c r="G49" s="324"/>
      <c r="H49" s="317">
        <f>VLOOKUP(AI38,'6b'!A:AK,12,0)</f>
        <v>71</v>
      </c>
      <c r="I49" s="318"/>
      <c r="J49" s="168">
        <f t="shared" si="3"/>
        <v>71</v>
      </c>
      <c r="K49" s="342" t="s">
        <v>15</v>
      </c>
      <c r="L49" s="342"/>
      <c r="M49" s="342"/>
      <c r="N49" s="342"/>
      <c r="O49" s="342"/>
      <c r="P49" s="342"/>
      <c r="Q49" s="168">
        <v>10</v>
      </c>
      <c r="R49" s="296" t="s">
        <v>43</v>
      </c>
      <c r="S49" s="297"/>
      <c r="T49" s="297"/>
      <c r="U49" s="297"/>
      <c r="V49" s="298"/>
      <c r="W49" s="16"/>
      <c r="AB49" s="17"/>
      <c r="AC49" s="299" t="s">
        <v>44</v>
      </c>
      <c r="AD49" s="300"/>
      <c r="AE49" s="300"/>
      <c r="AF49" s="300"/>
      <c r="AG49" s="300"/>
      <c r="AH49" s="301"/>
    </row>
    <row r="50" spans="1:34" ht="21" customHeight="1">
      <c r="A50" s="161">
        <v>10</v>
      </c>
      <c r="B50" s="324" t="s">
        <v>45</v>
      </c>
      <c r="C50" s="324"/>
      <c r="D50" s="324"/>
      <c r="E50" s="324"/>
      <c r="F50" s="324"/>
      <c r="G50" s="324"/>
      <c r="H50" s="317">
        <f>VLOOKUP(AI38,'6b'!A:AK,13,0)</f>
        <v>73</v>
      </c>
      <c r="I50" s="318"/>
      <c r="J50" s="168">
        <f t="shared" si="3"/>
        <v>73</v>
      </c>
      <c r="K50" s="342" t="s">
        <v>46</v>
      </c>
      <c r="L50" s="342"/>
      <c r="M50" s="342"/>
      <c r="N50" s="342"/>
      <c r="O50" s="342"/>
      <c r="P50" s="342"/>
      <c r="Q50" s="168">
        <v>11</v>
      </c>
      <c r="R50" s="184" t="s">
        <v>47</v>
      </c>
      <c r="S50" s="185"/>
      <c r="T50" s="180" t="s">
        <v>1</v>
      </c>
      <c r="U50" s="180">
        <f>VLOOKUP(AI38,'6b'!A:AK,35,0)</f>
        <v>4</v>
      </c>
      <c r="V50" s="181" t="s">
        <v>48</v>
      </c>
      <c r="W50" s="16"/>
      <c r="AB50" s="17"/>
      <c r="AC50" s="16"/>
      <c r="AH50" s="17"/>
    </row>
    <row r="51" spans="1:34" ht="21" customHeight="1">
      <c r="A51" s="161">
        <v>11</v>
      </c>
      <c r="B51" s="288" t="s">
        <v>49</v>
      </c>
      <c r="C51" s="289"/>
      <c r="D51" s="289"/>
      <c r="E51" s="289"/>
      <c r="F51" s="289"/>
      <c r="G51" s="290"/>
      <c r="H51" s="317">
        <f>VLOOKUP(AI38,'6b'!A:AK,14,0)</f>
        <v>79</v>
      </c>
      <c r="I51" s="318"/>
      <c r="J51" s="168">
        <f t="shared" si="3"/>
        <v>79</v>
      </c>
      <c r="K51" s="342" t="s">
        <v>50</v>
      </c>
      <c r="L51" s="342"/>
      <c r="M51" s="342"/>
      <c r="N51" s="342"/>
      <c r="O51" s="342"/>
      <c r="P51" s="342"/>
      <c r="Q51" s="168">
        <v>12</v>
      </c>
      <c r="R51" s="184" t="s">
        <v>51</v>
      </c>
      <c r="S51" s="185"/>
      <c r="T51" s="180" t="s">
        <v>1</v>
      </c>
      <c r="U51" s="180">
        <f>VLOOKUP(AI38,'6b'!A:AK,36,0)</f>
        <v>4</v>
      </c>
      <c r="V51" s="181" t="s">
        <v>48</v>
      </c>
      <c r="W51" s="21"/>
      <c r="X51" s="22"/>
      <c r="Y51" s="22"/>
      <c r="Z51" s="22"/>
      <c r="AA51" s="22"/>
      <c r="AB51" s="23"/>
      <c r="AC51" s="16"/>
      <c r="AH51" s="17"/>
    </row>
    <row r="52" spans="1:34" ht="21" customHeight="1">
      <c r="A52" s="161">
        <v>12</v>
      </c>
      <c r="B52" s="288" t="s">
        <v>52</v>
      </c>
      <c r="C52" s="289"/>
      <c r="D52" s="289"/>
      <c r="E52" s="289"/>
      <c r="F52" s="289"/>
      <c r="G52" s="290"/>
      <c r="H52" s="317">
        <f>VLOOKUP(AI38,'6b'!A:AK,15,0)</f>
        <v>69</v>
      </c>
      <c r="I52" s="318"/>
      <c r="J52" s="168">
        <f t="shared" si="3"/>
        <v>69</v>
      </c>
      <c r="K52" s="342" t="s">
        <v>21</v>
      </c>
      <c r="L52" s="342"/>
      <c r="M52" s="342"/>
      <c r="N52" s="342"/>
      <c r="O52" s="342"/>
      <c r="P52" s="342"/>
      <c r="Q52" s="168">
        <v>13</v>
      </c>
      <c r="R52" s="186" t="s">
        <v>53</v>
      </c>
      <c r="S52" s="187"/>
      <c r="T52" s="182" t="s">
        <v>1</v>
      </c>
      <c r="U52" s="182">
        <f>VLOOKUP(AI38,'6b'!A:AK,37,0)</f>
        <v>0</v>
      </c>
      <c r="V52" s="183" t="s">
        <v>48</v>
      </c>
      <c r="W52" s="188"/>
      <c r="X52" s="189"/>
      <c r="Y52" s="189"/>
      <c r="Z52" s="189"/>
      <c r="AA52" s="189"/>
      <c r="AB52" s="190"/>
      <c r="AC52" s="307" t="s">
        <v>54</v>
      </c>
      <c r="AD52" s="308"/>
      <c r="AE52" s="308"/>
      <c r="AF52" s="308"/>
      <c r="AG52" s="308"/>
      <c r="AH52" s="309"/>
    </row>
    <row r="53" spans="1:34" ht="21" customHeight="1">
      <c r="A53" s="161">
        <v>13</v>
      </c>
      <c r="B53" s="324" t="s">
        <v>55</v>
      </c>
      <c r="C53" s="324"/>
      <c r="D53" s="324"/>
      <c r="E53" s="324"/>
      <c r="F53" s="324"/>
      <c r="G53" s="324"/>
      <c r="H53" s="317">
        <f>VLOOKUP(AI38,'6b'!A:AK,16,0)</f>
        <v>79</v>
      </c>
      <c r="I53" s="318"/>
      <c r="J53" s="168">
        <f>H53</f>
        <v>79</v>
      </c>
      <c r="K53" s="342" t="s">
        <v>56</v>
      </c>
      <c r="L53" s="342"/>
      <c r="M53" s="342"/>
      <c r="N53" s="342"/>
      <c r="O53" s="342"/>
      <c r="P53" s="342"/>
      <c r="Q53" s="168">
        <v>14</v>
      </c>
      <c r="R53" s="16"/>
      <c r="U53" t="s">
        <v>57</v>
      </c>
      <c r="AB53" s="310" t="str">
        <f>DASHBOARD!$H$13</f>
        <v>Sumedang, 05 September 2025</v>
      </c>
      <c r="AC53" s="310"/>
      <c r="AD53" s="310"/>
      <c r="AE53" s="310"/>
      <c r="AF53" s="310"/>
      <c r="AG53" s="310"/>
      <c r="AH53" s="311"/>
    </row>
    <row r="54" spans="1:34" ht="21" customHeight="1">
      <c r="A54" s="161">
        <v>14</v>
      </c>
      <c r="B54" s="324" t="s">
        <v>58</v>
      </c>
      <c r="C54" s="324"/>
      <c r="D54" s="324"/>
      <c r="E54" s="324"/>
      <c r="F54" s="324"/>
      <c r="G54" s="324"/>
      <c r="H54" s="317">
        <f>VLOOKUP(AI38,'6b'!A:AK,17,0)</f>
        <v>64</v>
      </c>
      <c r="I54" s="318"/>
      <c r="J54" s="168"/>
      <c r="K54" s="342" t="s">
        <v>59</v>
      </c>
      <c r="L54" s="342"/>
      <c r="M54" s="342"/>
      <c r="N54" s="342"/>
      <c r="O54" s="342"/>
      <c r="P54" s="342"/>
      <c r="Q54" s="168">
        <v>15</v>
      </c>
      <c r="R54" s="312" t="s">
        <v>60</v>
      </c>
      <c r="S54" s="310"/>
      <c r="T54" s="310"/>
      <c r="U54" s="310"/>
      <c r="V54" s="310"/>
      <c r="W54" s="310"/>
      <c r="X54" s="310"/>
      <c r="Y54" s="310"/>
      <c r="Z54" s="310"/>
      <c r="AA54" s="310"/>
      <c r="AB54" s="313" t="s">
        <v>61</v>
      </c>
      <c r="AC54" s="313"/>
      <c r="AD54" s="313"/>
      <c r="AE54" s="313"/>
      <c r="AF54" s="313"/>
      <c r="AG54" s="313"/>
      <c r="AH54" s="314"/>
    </row>
    <row r="55" spans="1:34" ht="21" customHeight="1">
      <c r="A55" s="324" t="s">
        <v>62</v>
      </c>
      <c r="B55" s="324"/>
      <c r="C55" s="324"/>
      <c r="D55" s="324"/>
      <c r="E55" s="324"/>
      <c r="F55" s="324"/>
      <c r="G55" s="324"/>
      <c r="H55" s="317">
        <f>VLOOKUP(AI38,'6b'!A:AK,29,0)</f>
        <v>1251</v>
      </c>
      <c r="I55" s="318"/>
      <c r="J55" s="168">
        <f t="shared" si="3"/>
        <v>1251</v>
      </c>
      <c r="K55" s="293" t="s">
        <v>63</v>
      </c>
      <c r="L55" s="294"/>
      <c r="M55" s="294"/>
      <c r="N55" s="294"/>
      <c r="O55" s="294"/>
      <c r="P55" s="294"/>
      <c r="Q55" s="295"/>
      <c r="R55" s="33"/>
      <c r="S55" s="34"/>
      <c r="T55" s="34"/>
      <c r="U55" s="34"/>
      <c r="V55" s="34"/>
      <c r="W55" s="34"/>
      <c r="X55" s="34"/>
      <c r="Y55" s="34"/>
      <c r="Z55" s="34"/>
      <c r="AA55" s="34"/>
      <c r="AB55" s="297" t="s">
        <v>64</v>
      </c>
      <c r="AC55" s="297"/>
      <c r="AD55" s="297"/>
      <c r="AE55" s="297"/>
      <c r="AF55" s="297"/>
      <c r="AG55" s="297"/>
      <c r="AH55" s="298"/>
    </row>
    <row r="56" spans="1:34" s="22" customFormat="1" ht="21" customHeight="1">
      <c r="A56" s="324" t="s">
        <v>65</v>
      </c>
      <c r="B56" s="324"/>
      <c r="C56" s="324"/>
      <c r="D56" s="324"/>
      <c r="E56" s="324"/>
      <c r="F56" s="324"/>
      <c r="G56" s="324"/>
      <c r="H56" s="291">
        <f>VLOOKUP(AI38,'6b'!A:AK,30,0)</f>
        <v>65.84210526315789</v>
      </c>
      <c r="I56" s="292"/>
      <c r="J56" s="172">
        <f t="shared" si="3"/>
        <v>65.84210526315789</v>
      </c>
      <c r="K56" s="293" t="s">
        <v>66</v>
      </c>
      <c r="L56" s="294"/>
      <c r="M56" s="294"/>
      <c r="N56" s="294"/>
      <c r="O56" s="294"/>
      <c r="P56" s="294"/>
      <c r="Q56" s="295"/>
      <c r="R56" s="33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5"/>
    </row>
    <row r="57" spans="1:34" s="30" customFormat="1" ht="21" customHeight="1">
      <c r="A57" s="288" t="s">
        <v>67</v>
      </c>
      <c r="B57" s="289"/>
      <c r="C57" s="289"/>
      <c r="D57" s="289"/>
      <c r="E57" s="163" t="s">
        <v>68</v>
      </c>
      <c r="F57" s="155" t="s">
        <v>69</v>
      </c>
      <c r="G57" s="164">
        <f>COUNT('6b'!B4:B27)</f>
        <v>24</v>
      </c>
      <c r="H57" s="164"/>
      <c r="I57" s="165"/>
      <c r="J57" s="173" t="s">
        <v>70</v>
      </c>
      <c r="K57" s="174"/>
      <c r="L57" s="175">
        <f>G57</f>
        <v>24</v>
      </c>
      <c r="M57" s="302" t="s">
        <v>71</v>
      </c>
      <c r="N57" s="302"/>
      <c r="O57" s="302"/>
      <c r="P57" s="176" t="str">
        <f>E57</f>
        <v>-</v>
      </c>
      <c r="Q57" s="177" t="s">
        <v>72</v>
      </c>
      <c r="R57" s="33"/>
      <c r="S57" s="34"/>
      <c r="T57" s="34"/>
      <c r="U57" s="34"/>
      <c r="V57" s="34"/>
      <c r="W57" s="191"/>
      <c r="X57" s="191"/>
      <c r="Y57" s="191"/>
      <c r="Z57" s="191"/>
      <c r="AA57" s="191"/>
      <c r="AB57" s="34"/>
      <c r="AC57" s="34"/>
      <c r="AD57" s="34"/>
      <c r="AE57" s="34"/>
      <c r="AF57" s="34"/>
      <c r="AG57" s="34"/>
      <c r="AH57" s="35"/>
    </row>
    <row r="58" spans="1:34" ht="21" customHeight="1">
      <c r="A58" s="303" t="s">
        <v>73</v>
      </c>
      <c r="B58" s="304"/>
      <c r="C58" s="304"/>
      <c r="D58" s="304"/>
      <c r="E58" s="304"/>
      <c r="F58" s="304"/>
      <c r="G58" s="304"/>
      <c r="H58" s="304"/>
      <c r="I58" s="1"/>
      <c r="J58" s="166"/>
      <c r="K58" s="167">
        <f>I58</f>
        <v>0</v>
      </c>
      <c r="L58" s="416" t="s">
        <v>74</v>
      </c>
      <c r="M58" s="416"/>
      <c r="N58" s="416"/>
      <c r="O58" s="416"/>
      <c r="P58" s="416"/>
      <c r="Q58" s="417"/>
      <c r="R58" s="312"/>
      <c r="S58" s="310"/>
      <c r="T58" s="310"/>
      <c r="U58" s="310"/>
      <c r="V58" s="310"/>
      <c r="W58" s="310"/>
      <c r="X58" s="310"/>
      <c r="Y58" s="310"/>
      <c r="Z58" s="310"/>
      <c r="AA58" s="310"/>
      <c r="AB58" s="34"/>
      <c r="AC58" s="34"/>
      <c r="AD58" s="34"/>
      <c r="AE58" s="34"/>
      <c r="AF58" s="34"/>
      <c r="AG58" s="34"/>
      <c r="AH58" s="35"/>
    </row>
    <row r="59" spans="1:34" ht="21" customHeight="1">
      <c r="A59" s="358" t="s">
        <v>75</v>
      </c>
      <c r="B59" s="359"/>
      <c r="C59" s="359"/>
      <c r="D59" s="359"/>
      <c r="E59" s="359"/>
      <c r="F59" s="359"/>
      <c r="G59" s="359"/>
      <c r="H59" s="359"/>
      <c r="I59" s="359"/>
      <c r="J59" s="359"/>
      <c r="K59" s="359"/>
      <c r="L59" s="359"/>
      <c r="M59" s="359"/>
      <c r="N59" s="359"/>
      <c r="O59" s="359"/>
      <c r="P59" s="359"/>
      <c r="Q59" s="360"/>
      <c r="R59" s="315" t="s">
        <v>766</v>
      </c>
      <c r="S59" s="316"/>
      <c r="T59" s="316"/>
      <c r="U59" s="316"/>
      <c r="V59" s="316"/>
      <c r="W59" s="316"/>
      <c r="X59" s="316"/>
      <c r="Y59" s="316"/>
      <c r="Z59" s="316"/>
      <c r="AA59" s="316"/>
      <c r="AB59" s="308" t="s">
        <v>767</v>
      </c>
      <c r="AC59" s="308"/>
      <c r="AD59" s="308"/>
      <c r="AE59" s="308"/>
      <c r="AF59" s="308"/>
      <c r="AG59" s="308"/>
      <c r="AH59" s="309"/>
    </row>
    <row r="60" spans="1:34" ht="20.100000000000001" customHeight="1">
      <c r="A60" s="161">
        <v>1</v>
      </c>
      <c r="B60" s="324" t="s">
        <v>83</v>
      </c>
      <c r="C60" s="324"/>
      <c r="D60" s="324"/>
      <c r="E60" s="324"/>
      <c r="F60" s="324"/>
      <c r="G60" s="324"/>
      <c r="H60" s="356">
        <f>VLOOKUP(AI38,'6b'!A:AK,23,0)</f>
        <v>99</v>
      </c>
      <c r="I60" s="356"/>
      <c r="J60" s="178">
        <f t="shared" ref="J60:J65" si="4">H60</f>
        <v>99</v>
      </c>
      <c r="K60" s="342" t="s">
        <v>84</v>
      </c>
      <c r="L60" s="342"/>
      <c r="M60" s="342"/>
      <c r="N60" s="342"/>
      <c r="O60" s="342"/>
      <c r="P60" s="342"/>
      <c r="Q60" s="168">
        <v>1</v>
      </c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</row>
    <row r="61" spans="1:34" ht="20.100000000000001" customHeight="1">
      <c r="A61" s="161">
        <v>2</v>
      </c>
      <c r="B61" s="324" t="s">
        <v>79</v>
      </c>
      <c r="C61" s="324"/>
      <c r="D61" s="324"/>
      <c r="E61" s="324"/>
      <c r="F61" s="324"/>
      <c r="G61" s="324"/>
      <c r="H61" s="356">
        <f>VLOOKUP(AI38,'6b'!A:AK,24,0)</f>
        <v>93</v>
      </c>
      <c r="I61" s="356"/>
      <c r="J61" s="178">
        <f t="shared" si="4"/>
        <v>93</v>
      </c>
      <c r="K61" s="342" t="s">
        <v>80</v>
      </c>
      <c r="L61" s="342"/>
      <c r="M61" s="342"/>
      <c r="N61" s="342"/>
      <c r="O61" s="342"/>
      <c r="P61" s="342"/>
      <c r="Q61" s="168">
        <v>2</v>
      </c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</row>
    <row r="62" spans="1:34" ht="20.100000000000001" customHeight="1">
      <c r="A62" s="161">
        <v>3</v>
      </c>
      <c r="B62" s="324" t="s">
        <v>77</v>
      </c>
      <c r="C62" s="324"/>
      <c r="D62" s="324"/>
      <c r="E62" s="324"/>
      <c r="F62" s="324"/>
      <c r="G62" s="324"/>
      <c r="H62" s="356">
        <f>H48</f>
        <v>66</v>
      </c>
      <c r="I62" s="356"/>
      <c r="J62" s="178">
        <f t="shared" si="4"/>
        <v>66</v>
      </c>
      <c r="K62" s="342" t="s">
        <v>78</v>
      </c>
      <c r="L62" s="342"/>
      <c r="M62" s="342"/>
      <c r="N62" s="342"/>
      <c r="O62" s="342"/>
      <c r="P62" s="342"/>
      <c r="Q62" s="168">
        <v>3</v>
      </c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</row>
    <row r="63" spans="1:34" ht="20.100000000000001" customHeight="1">
      <c r="A63" s="161">
        <v>4</v>
      </c>
      <c r="B63" s="324" t="s">
        <v>81</v>
      </c>
      <c r="C63" s="324"/>
      <c r="D63" s="324"/>
      <c r="E63" s="324"/>
      <c r="F63" s="324"/>
      <c r="G63" s="324"/>
      <c r="H63" s="356">
        <f>VLOOKUP(AI38,'6b'!A:AK,26,0)</f>
        <v>95</v>
      </c>
      <c r="I63" s="356"/>
      <c r="J63" s="178">
        <f t="shared" si="4"/>
        <v>95</v>
      </c>
      <c r="K63" s="342" t="s">
        <v>82</v>
      </c>
      <c r="L63" s="342"/>
      <c r="M63" s="342"/>
      <c r="N63" s="342"/>
      <c r="O63" s="342"/>
      <c r="P63" s="342"/>
      <c r="Q63" s="168">
        <v>4</v>
      </c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</row>
    <row r="64" spans="1:34" ht="20.100000000000001" customHeight="1">
      <c r="A64" s="161">
        <v>5</v>
      </c>
      <c r="B64" s="324" t="s">
        <v>147</v>
      </c>
      <c r="C64" s="324"/>
      <c r="D64" s="324"/>
      <c r="E64" s="324"/>
      <c r="F64" s="324"/>
      <c r="G64" s="324"/>
      <c r="H64" s="356">
        <f>VLOOKUP(AI38,'6b'!A:AK,27,0)</f>
        <v>90</v>
      </c>
      <c r="I64" s="356"/>
      <c r="J64" s="178">
        <f t="shared" si="4"/>
        <v>90</v>
      </c>
      <c r="K64" s="342" t="s">
        <v>84</v>
      </c>
      <c r="L64" s="342"/>
      <c r="M64" s="342"/>
      <c r="N64" s="342"/>
      <c r="O64" s="342"/>
      <c r="P64" s="342"/>
      <c r="Q64" s="168">
        <v>5</v>
      </c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</row>
    <row r="65" spans="1:35" ht="20.100000000000001" customHeight="1">
      <c r="A65" s="161">
        <v>6</v>
      </c>
      <c r="B65" s="324" t="s">
        <v>148</v>
      </c>
      <c r="C65" s="324"/>
      <c r="D65" s="324"/>
      <c r="E65" s="324"/>
      <c r="F65" s="324"/>
      <c r="G65" s="324"/>
      <c r="H65" s="356">
        <f>VLOOKUP(AI38,'6b'!A:AK,28,0)</f>
        <v>65</v>
      </c>
      <c r="I65" s="356"/>
      <c r="J65" s="178">
        <f t="shared" si="4"/>
        <v>65</v>
      </c>
      <c r="K65" s="342" t="s">
        <v>149</v>
      </c>
      <c r="L65" s="342"/>
      <c r="M65" s="342"/>
      <c r="N65" s="342"/>
      <c r="O65" s="342"/>
      <c r="P65" s="342"/>
      <c r="Q65" s="168">
        <v>6</v>
      </c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</row>
    <row r="66" spans="1:35" ht="20.100000000000001" customHeight="1">
      <c r="A66" s="357" t="s">
        <v>62</v>
      </c>
      <c r="B66" s="357"/>
      <c r="C66" s="357"/>
      <c r="D66" s="357"/>
      <c r="E66" s="357"/>
      <c r="F66" s="357"/>
      <c r="G66" s="357"/>
      <c r="H66" s="356">
        <f>SUM(H60:I65)</f>
        <v>508</v>
      </c>
      <c r="I66" s="356"/>
      <c r="J66" s="178">
        <f t="shared" ref="J66:J67" si="5">H66</f>
        <v>508</v>
      </c>
      <c r="K66" s="342" t="s">
        <v>63</v>
      </c>
      <c r="L66" s="342"/>
      <c r="M66" s="342"/>
      <c r="N66" s="342"/>
      <c r="O66" s="342"/>
      <c r="P66" s="342"/>
      <c r="Q66" s="342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</row>
    <row r="67" spans="1:35" ht="20.100000000000001" customHeight="1">
      <c r="A67" s="357" t="s">
        <v>65</v>
      </c>
      <c r="B67" s="357"/>
      <c r="C67" s="357"/>
      <c r="D67" s="357"/>
      <c r="E67" s="357"/>
      <c r="F67" s="357"/>
      <c r="G67" s="357"/>
      <c r="H67" s="415">
        <f>AVERAGE(H60:I65)</f>
        <v>84.666666666666671</v>
      </c>
      <c r="I67" s="415"/>
      <c r="J67" s="179">
        <f t="shared" si="5"/>
        <v>84.666666666666671</v>
      </c>
      <c r="K67" s="342" t="s">
        <v>66</v>
      </c>
      <c r="L67" s="342"/>
      <c r="M67" s="342"/>
      <c r="N67" s="342"/>
      <c r="O67" s="342"/>
      <c r="P67" s="342"/>
      <c r="Q67" s="342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</row>
    <row r="68" spans="1:35" ht="21" customHeight="1">
      <c r="A68" s="156"/>
      <c r="B68" s="156"/>
      <c r="C68" s="156"/>
      <c r="D68" s="156"/>
      <c r="E68" s="156"/>
      <c r="F68" s="156"/>
      <c r="G68" s="156"/>
      <c r="H68" s="157"/>
      <c r="I68" s="157"/>
      <c r="J68" s="48"/>
      <c r="K68" s="49"/>
      <c r="L68" s="49"/>
      <c r="M68" s="49"/>
      <c r="N68" s="49"/>
      <c r="O68" s="49"/>
      <c r="P68" s="49"/>
      <c r="Q68" s="49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</row>
    <row r="69" spans="1:35" ht="21" customHeight="1">
      <c r="A69" s="343" t="s">
        <v>0</v>
      </c>
      <c r="B69" s="344"/>
      <c r="C69" s="153" t="s">
        <v>1</v>
      </c>
      <c r="D69" s="196"/>
      <c r="E69" s="344" t="str">
        <f>VLOOKUP(AI72,'5A'!A:AH,3,0)</f>
        <v>Zaenudin Alamsyah</v>
      </c>
      <c r="F69" s="344"/>
      <c r="G69" s="344"/>
      <c r="H69" s="344"/>
      <c r="I69" s="344"/>
      <c r="J69" s="344"/>
      <c r="K69" s="344"/>
      <c r="L69" s="344"/>
      <c r="M69" s="344"/>
      <c r="N69" s="344"/>
      <c r="O69" s="344"/>
      <c r="P69" s="344"/>
      <c r="Q69" s="345"/>
      <c r="R69" s="343" t="s">
        <v>0</v>
      </c>
      <c r="S69" s="344"/>
      <c r="T69" s="153" t="s">
        <v>1</v>
      </c>
      <c r="U69" s="344" t="str">
        <f>E69</f>
        <v>Zaenudin Alamsyah</v>
      </c>
      <c r="V69" s="344"/>
      <c r="W69" s="344"/>
      <c r="X69" s="344"/>
      <c r="Y69" s="344"/>
      <c r="Z69" s="344"/>
      <c r="AA69" s="344"/>
      <c r="AB69" s="344"/>
      <c r="AC69" s="344"/>
      <c r="AD69" s="344"/>
      <c r="AE69" s="344"/>
      <c r="AF69" s="344"/>
      <c r="AG69" s="344"/>
      <c r="AH69" s="345"/>
    </row>
    <row r="70" spans="1:35" ht="21" customHeight="1">
      <c r="A70" s="346" t="s">
        <v>2</v>
      </c>
      <c r="B70" s="347"/>
      <c r="C70" s="154" t="s">
        <v>1</v>
      </c>
      <c r="D70" s="347" t="str">
        <f>DASHBOARD!G18</f>
        <v>5-A</v>
      </c>
      <c r="E70" s="347"/>
      <c r="F70" s="347"/>
      <c r="G70" s="347"/>
      <c r="H70" s="347"/>
      <c r="I70" s="347"/>
      <c r="J70" s="159" t="s">
        <v>3</v>
      </c>
      <c r="K70" s="347">
        <f>VLOOKUP(AI72,'5A'!A:AH,2,0)</f>
        <v>21220178</v>
      </c>
      <c r="L70" s="347"/>
      <c r="M70" s="347"/>
      <c r="N70" s="347"/>
      <c r="O70" s="347"/>
      <c r="P70" s="347"/>
      <c r="Q70" s="348"/>
      <c r="R70" s="346" t="s">
        <v>2</v>
      </c>
      <c r="S70" s="347"/>
      <c r="T70" s="154" t="s">
        <v>1</v>
      </c>
      <c r="U70" s="347" t="str">
        <f>D70</f>
        <v>5-A</v>
      </c>
      <c r="V70" s="347"/>
      <c r="W70" s="347"/>
      <c r="X70" s="347"/>
      <c r="Y70" s="347"/>
      <c r="Z70" s="347"/>
      <c r="AA70" s="159" t="s">
        <v>3</v>
      </c>
      <c r="AB70" s="347">
        <f>K70</f>
        <v>21220178</v>
      </c>
      <c r="AC70" s="347"/>
      <c r="AD70" s="347"/>
      <c r="AE70" s="347"/>
      <c r="AF70" s="347"/>
      <c r="AG70" s="347"/>
      <c r="AH70" s="348"/>
      <c r="AI70" t="str">
        <f>D70</f>
        <v>5-A</v>
      </c>
    </row>
    <row r="71" spans="1:35" ht="21" customHeight="1">
      <c r="A71" s="343" t="s">
        <v>4</v>
      </c>
      <c r="B71" s="344"/>
      <c r="C71" s="153" t="s">
        <v>1</v>
      </c>
      <c r="D71" s="304" t="str">
        <f>DASHBOARD!$H$11</f>
        <v>2025/2026</v>
      </c>
      <c r="E71" s="304"/>
      <c r="F71" s="304"/>
      <c r="G71" s="304"/>
      <c r="H71" s="304"/>
      <c r="I71" s="304"/>
      <c r="J71" s="304"/>
      <c r="K71" s="304"/>
      <c r="L71" s="304"/>
      <c r="M71" s="304"/>
      <c r="N71" s="304"/>
      <c r="O71" s="304"/>
      <c r="P71" s="304"/>
      <c r="Q71" s="349"/>
      <c r="R71" s="330" t="s">
        <v>5</v>
      </c>
      <c r="S71" s="331"/>
      <c r="T71" s="331"/>
      <c r="U71" s="331"/>
      <c r="V71" s="331"/>
      <c r="W71" s="331"/>
      <c r="X71" s="331"/>
      <c r="Y71" s="333" t="s">
        <v>6</v>
      </c>
      <c r="Z71" s="334"/>
      <c r="AA71" s="337" t="s">
        <v>7</v>
      </c>
      <c r="AB71" s="330" t="s">
        <v>8</v>
      </c>
      <c r="AC71" s="331"/>
      <c r="AD71" s="331"/>
      <c r="AE71" s="331"/>
      <c r="AF71" s="331"/>
      <c r="AG71" s="331"/>
      <c r="AH71" s="332"/>
      <c r="AI71" s="2" t="s">
        <v>9</v>
      </c>
    </row>
    <row r="72" spans="1:35" ht="21" customHeight="1">
      <c r="A72" s="303" t="s">
        <v>10</v>
      </c>
      <c r="B72" s="304"/>
      <c r="C72" s="160" t="s">
        <v>1</v>
      </c>
      <c r="D72" s="350" t="str">
        <f>DASHBOARD!$H$12</f>
        <v>1 (Satu)</v>
      </c>
      <c r="E72" s="350"/>
      <c r="F72" s="350"/>
      <c r="G72" s="350"/>
      <c r="H72" s="350"/>
      <c r="I72" s="351"/>
      <c r="J72" s="352" t="str">
        <f>DASHBOARD!$I$12</f>
        <v>الأول</v>
      </c>
      <c r="K72" s="353"/>
      <c r="L72" s="353"/>
      <c r="M72" s="353"/>
      <c r="N72" s="160" t="s">
        <v>1</v>
      </c>
      <c r="O72" s="354" t="s">
        <v>11</v>
      </c>
      <c r="P72" s="354"/>
      <c r="Q72" s="355"/>
      <c r="R72" s="339" t="s">
        <v>12</v>
      </c>
      <c r="S72" s="340"/>
      <c r="T72" s="340"/>
      <c r="U72" s="340"/>
      <c r="V72" s="340"/>
      <c r="W72" s="340"/>
      <c r="X72" s="340"/>
      <c r="Y72" s="335"/>
      <c r="Z72" s="336"/>
      <c r="AA72" s="338"/>
      <c r="AB72" s="339" t="s">
        <v>13</v>
      </c>
      <c r="AC72" s="340"/>
      <c r="AD72" s="340"/>
      <c r="AE72" s="340"/>
      <c r="AF72" s="340"/>
      <c r="AG72" s="340"/>
      <c r="AH72" s="341"/>
      <c r="AI72" s="3">
        <v>24</v>
      </c>
    </row>
    <row r="73" spans="1:35" ht="21" customHeight="1">
      <c r="A73" s="330" t="s">
        <v>5</v>
      </c>
      <c r="B73" s="331"/>
      <c r="C73" s="331"/>
      <c r="D73" s="331"/>
      <c r="E73" s="331"/>
      <c r="F73" s="331"/>
      <c r="G73" s="331"/>
      <c r="H73" s="333" t="s">
        <v>6</v>
      </c>
      <c r="I73" s="334"/>
      <c r="J73" s="337" t="s">
        <v>7</v>
      </c>
      <c r="K73" s="330" t="s">
        <v>8</v>
      </c>
      <c r="L73" s="331"/>
      <c r="M73" s="331"/>
      <c r="N73" s="331"/>
      <c r="O73" s="331"/>
      <c r="P73" s="331"/>
      <c r="Q73" s="332"/>
      <c r="R73" s="161">
        <v>1</v>
      </c>
      <c r="S73" s="288" t="s">
        <v>14</v>
      </c>
      <c r="T73" s="289"/>
      <c r="U73" s="289"/>
      <c r="V73" s="289"/>
      <c r="W73" s="289"/>
      <c r="X73" s="290"/>
      <c r="Y73" s="361">
        <f>VLOOKUP(AI72,'5A'!A:AH,17,0)</f>
        <v>70</v>
      </c>
      <c r="Z73" s="362"/>
      <c r="AA73" s="168">
        <f>Y73</f>
        <v>70</v>
      </c>
      <c r="AB73" s="293" t="s">
        <v>15</v>
      </c>
      <c r="AC73" s="294"/>
      <c r="AD73" s="294"/>
      <c r="AE73" s="294"/>
      <c r="AF73" s="294"/>
      <c r="AG73" s="295"/>
      <c r="AH73" s="168">
        <v>1</v>
      </c>
    </row>
    <row r="74" spans="1:35" ht="21" customHeight="1">
      <c r="A74" s="339" t="s">
        <v>16</v>
      </c>
      <c r="B74" s="340"/>
      <c r="C74" s="340"/>
      <c r="D74" s="340"/>
      <c r="E74" s="340"/>
      <c r="F74" s="340"/>
      <c r="G74" s="340"/>
      <c r="H74" s="335"/>
      <c r="I74" s="336"/>
      <c r="J74" s="338"/>
      <c r="K74" s="339" t="s">
        <v>17</v>
      </c>
      <c r="L74" s="340"/>
      <c r="M74" s="340"/>
      <c r="N74" s="340"/>
      <c r="O74" s="340"/>
      <c r="P74" s="340"/>
      <c r="Q74" s="341"/>
      <c r="R74" s="161">
        <v>2</v>
      </c>
      <c r="S74" s="288" t="s">
        <v>22</v>
      </c>
      <c r="T74" s="289"/>
      <c r="U74" s="289"/>
      <c r="V74" s="289"/>
      <c r="W74" s="289"/>
      <c r="X74" s="290"/>
      <c r="Y74" s="361">
        <f>VLOOKUP(AI72,'5A'!A:AH,18,0)</f>
        <v>80</v>
      </c>
      <c r="Z74" s="362"/>
      <c r="AA74" s="168">
        <f>Y74</f>
        <v>80</v>
      </c>
      <c r="AB74" s="293" t="s">
        <v>23</v>
      </c>
      <c r="AC74" s="294"/>
      <c r="AD74" s="294"/>
      <c r="AE74" s="294"/>
      <c r="AF74" s="294"/>
      <c r="AG74" s="295"/>
      <c r="AH74" s="168">
        <v>2</v>
      </c>
    </row>
    <row r="75" spans="1:35" ht="21" customHeight="1">
      <c r="A75" s="161">
        <v>1</v>
      </c>
      <c r="B75" s="324" t="s">
        <v>20</v>
      </c>
      <c r="C75" s="324"/>
      <c r="D75" s="324"/>
      <c r="E75" s="324"/>
      <c r="F75" s="324"/>
      <c r="G75" s="324"/>
      <c r="H75" s="317">
        <f>VLOOKUP(AI72,'5A'!A:AH,4,0)</f>
        <v>76</v>
      </c>
      <c r="I75" s="318"/>
      <c r="J75" s="168">
        <f>H75</f>
        <v>76</v>
      </c>
      <c r="K75" s="342" t="s">
        <v>19</v>
      </c>
      <c r="L75" s="342"/>
      <c r="M75" s="342"/>
      <c r="N75" s="342"/>
      <c r="O75" s="342"/>
      <c r="P75" s="342"/>
      <c r="Q75" s="168">
        <v>1</v>
      </c>
      <c r="R75" s="161">
        <v>3</v>
      </c>
      <c r="S75" s="288" t="s">
        <v>85</v>
      </c>
      <c r="T75" s="289"/>
      <c r="U75" s="289"/>
      <c r="V75" s="289"/>
      <c r="W75" s="289"/>
      <c r="X75" s="290"/>
      <c r="Y75" s="361">
        <f>VLOOKUP(AI72,'5A'!A:AH,19,0)</f>
        <v>80</v>
      </c>
      <c r="Z75" s="362"/>
      <c r="AA75" s="168">
        <f>Y75</f>
        <v>80</v>
      </c>
      <c r="AB75" s="293" t="s">
        <v>86</v>
      </c>
      <c r="AC75" s="294"/>
      <c r="AD75" s="294"/>
      <c r="AE75" s="294"/>
      <c r="AF75" s="294"/>
      <c r="AG75" s="295"/>
      <c r="AH75" s="168">
        <v>3</v>
      </c>
    </row>
    <row r="76" spans="1:35" ht="21" customHeight="1">
      <c r="A76" s="161">
        <v>2</v>
      </c>
      <c r="B76" s="324" t="s">
        <v>22</v>
      </c>
      <c r="C76" s="324"/>
      <c r="D76" s="324"/>
      <c r="E76" s="324"/>
      <c r="F76" s="324"/>
      <c r="G76" s="324"/>
      <c r="H76" s="317">
        <f>VLOOKUP(AI72,'5A'!A:AH,5,0)</f>
        <v>53</v>
      </c>
      <c r="I76" s="318"/>
      <c r="J76" s="168">
        <f t="shared" ref="J76:J85" si="6">H76</f>
        <v>53</v>
      </c>
      <c r="K76" s="342" t="s">
        <v>23</v>
      </c>
      <c r="L76" s="342"/>
      <c r="M76" s="342"/>
      <c r="N76" s="342"/>
      <c r="O76" s="342"/>
      <c r="P76" s="342"/>
      <c r="Q76" s="168">
        <v>2</v>
      </c>
      <c r="R76" s="161"/>
      <c r="S76" s="288"/>
      <c r="T76" s="289"/>
      <c r="U76" s="289"/>
      <c r="V76" s="289"/>
      <c r="W76" s="289"/>
      <c r="X76" s="290"/>
      <c r="Y76" s="361"/>
      <c r="Z76" s="362"/>
      <c r="AA76" s="168"/>
      <c r="AB76" s="293"/>
      <c r="AC76" s="294"/>
      <c r="AD76" s="294"/>
      <c r="AE76" s="294"/>
      <c r="AF76" s="294"/>
      <c r="AG76" s="295"/>
      <c r="AH76" s="168"/>
    </row>
    <row r="77" spans="1:35" ht="21" customHeight="1">
      <c r="A77" s="161">
        <v>3</v>
      </c>
      <c r="B77" s="158" t="s">
        <v>24</v>
      </c>
      <c r="C77" s="155"/>
      <c r="D77" s="155"/>
      <c r="E77" s="155"/>
      <c r="F77" s="155"/>
      <c r="G77" s="162"/>
      <c r="H77" s="317">
        <f>VLOOKUP(AI72,'5A'!A:AH,6,0)</f>
        <v>60</v>
      </c>
      <c r="I77" s="318"/>
      <c r="J77" s="168">
        <f t="shared" si="6"/>
        <v>60</v>
      </c>
      <c r="K77" s="293" t="s">
        <v>25</v>
      </c>
      <c r="L77" s="294"/>
      <c r="M77" s="294"/>
      <c r="N77" s="294"/>
      <c r="O77" s="294"/>
      <c r="P77" s="295"/>
      <c r="Q77" s="168">
        <v>3</v>
      </c>
      <c r="R77" s="161"/>
      <c r="S77" s="288"/>
      <c r="T77" s="289"/>
      <c r="U77" s="289"/>
      <c r="V77" s="289"/>
      <c r="W77" s="289"/>
      <c r="X77" s="290"/>
      <c r="Y77" s="361"/>
      <c r="Z77" s="362"/>
      <c r="AA77" s="168"/>
      <c r="AB77" s="293"/>
      <c r="AC77" s="294"/>
      <c r="AD77" s="294"/>
      <c r="AE77" s="294"/>
      <c r="AF77" s="294"/>
      <c r="AG77" s="295"/>
      <c r="AH77" s="168"/>
    </row>
    <row r="78" spans="1:35" ht="21" customHeight="1">
      <c r="A78" s="161">
        <v>4</v>
      </c>
      <c r="B78" s="288" t="s">
        <v>26</v>
      </c>
      <c r="C78" s="289"/>
      <c r="D78" s="289"/>
      <c r="E78" s="289"/>
      <c r="F78" s="289"/>
      <c r="G78" s="290"/>
      <c r="H78" s="317">
        <f>VLOOKUP(AI72,'5A'!A:AH,7,0)</f>
        <v>53</v>
      </c>
      <c r="I78" s="318"/>
      <c r="J78" s="168">
        <f t="shared" si="6"/>
        <v>53</v>
      </c>
      <c r="K78" s="293" t="s">
        <v>27</v>
      </c>
      <c r="L78" s="294"/>
      <c r="M78" s="294"/>
      <c r="N78" s="294"/>
      <c r="O78" s="294"/>
      <c r="P78" s="295"/>
      <c r="Q78" s="168">
        <v>4</v>
      </c>
      <c r="R78" s="299" t="s">
        <v>768</v>
      </c>
      <c r="S78" s="300"/>
      <c r="T78" s="300"/>
      <c r="U78" s="300"/>
      <c r="V78" s="301"/>
      <c r="W78" s="327" t="s">
        <v>28</v>
      </c>
      <c r="X78" s="328"/>
      <c r="Y78" s="328"/>
      <c r="Z78" s="328"/>
      <c r="AA78" s="328"/>
      <c r="AB78" s="329"/>
      <c r="AC78" s="327" t="s">
        <v>29</v>
      </c>
      <c r="AD78" s="328"/>
      <c r="AE78" s="328"/>
      <c r="AF78" s="328"/>
      <c r="AG78" s="328"/>
      <c r="AH78" s="329"/>
    </row>
    <row r="79" spans="1:35" ht="21" customHeight="1">
      <c r="A79" s="161">
        <v>5</v>
      </c>
      <c r="B79" s="288" t="s">
        <v>30</v>
      </c>
      <c r="C79" s="289"/>
      <c r="D79" s="289"/>
      <c r="E79" s="289"/>
      <c r="F79" s="289"/>
      <c r="G79" s="290"/>
      <c r="H79" s="317">
        <f>VLOOKUP(AI72,'5A'!A:AH,8,0)</f>
        <v>59</v>
      </c>
      <c r="I79" s="318"/>
      <c r="J79" s="168">
        <f t="shared" si="6"/>
        <v>59</v>
      </c>
      <c r="K79" s="293" t="s">
        <v>31</v>
      </c>
      <c r="L79" s="294"/>
      <c r="M79" s="294"/>
      <c r="N79" s="294"/>
      <c r="O79" s="294"/>
      <c r="P79" s="295"/>
      <c r="Q79" s="168">
        <v>5</v>
      </c>
      <c r="R79" s="319" t="s">
        <v>32</v>
      </c>
      <c r="S79" s="320"/>
      <c r="T79" s="320"/>
      <c r="U79" s="180" t="s">
        <v>1</v>
      </c>
      <c r="V79" s="181" t="str">
        <f>VLOOKUP(AI72,'5A'!A:AH,29,0)</f>
        <v>C</v>
      </c>
      <c r="W79" s="321" t="s">
        <v>33</v>
      </c>
      <c r="X79" s="322"/>
      <c r="Y79" s="322"/>
      <c r="Z79" s="322"/>
      <c r="AA79" s="322"/>
      <c r="AB79" s="323"/>
      <c r="AC79" s="296" t="s">
        <v>33</v>
      </c>
      <c r="AD79" s="297"/>
      <c r="AE79" s="297"/>
      <c r="AF79" s="297"/>
      <c r="AG79" s="297"/>
      <c r="AH79" s="298"/>
    </row>
    <row r="80" spans="1:35" ht="21" customHeight="1">
      <c r="A80" s="161">
        <v>6</v>
      </c>
      <c r="B80" s="288" t="s">
        <v>34</v>
      </c>
      <c r="C80" s="289"/>
      <c r="D80" s="289"/>
      <c r="E80" s="289"/>
      <c r="F80" s="289"/>
      <c r="G80" s="290"/>
      <c r="H80" s="317">
        <f>VLOOKUP(AI72,'5A'!A:AH,9,0)</f>
        <v>40</v>
      </c>
      <c r="I80" s="318"/>
      <c r="J80" s="168">
        <f t="shared" si="6"/>
        <v>40</v>
      </c>
      <c r="K80" s="293" t="s">
        <v>35</v>
      </c>
      <c r="L80" s="294"/>
      <c r="M80" s="294"/>
      <c r="N80" s="294"/>
      <c r="O80" s="294"/>
      <c r="P80" s="295"/>
      <c r="Q80" s="168">
        <v>6</v>
      </c>
      <c r="R80" s="319" t="s">
        <v>36</v>
      </c>
      <c r="S80" s="320"/>
      <c r="T80" s="320"/>
      <c r="U80" s="180" t="s">
        <v>1</v>
      </c>
      <c r="V80" s="181" t="str">
        <f>VLOOKUP(AI72,'5A'!A:AH,30,0)</f>
        <v>C</v>
      </c>
      <c r="W80" s="13"/>
      <c r="X80" s="14"/>
      <c r="Y80" s="14"/>
      <c r="Z80" s="14"/>
      <c r="AA80" s="14"/>
      <c r="AB80" s="15"/>
      <c r="AC80" s="16"/>
      <c r="AH80" s="17"/>
    </row>
    <row r="81" spans="1:36" ht="21" customHeight="1">
      <c r="A81" s="161">
        <v>7</v>
      </c>
      <c r="B81" s="288" t="s">
        <v>37</v>
      </c>
      <c r="C81" s="289"/>
      <c r="D81" s="289"/>
      <c r="E81" s="289"/>
      <c r="F81" s="289"/>
      <c r="G81" s="290"/>
      <c r="H81" s="317">
        <f>VLOOKUP(AI72,'5A'!A:AH,10,0)</f>
        <v>40</v>
      </c>
      <c r="I81" s="318"/>
      <c r="J81" s="168">
        <f t="shared" si="6"/>
        <v>40</v>
      </c>
      <c r="K81" s="293" t="s">
        <v>38</v>
      </c>
      <c r="L81" s="294"/>
      <c r="M81" s="294"/>
      <c r="N81" s="294"/>
      <c r="O81" s="294"/>
      <c r="P81" s="295"/>
      <c r="Q81" s="168">
        <v>7</v>
      </c>
      <c r="R81" s="325" t="s">
        <v>39</v>
      </c>
      <c r="S81" s="326"/>
      <c r="T81" s="326"/>
      <c r="U81" s="182" t="s">
        <v>1</v>
      </c>
      <c r="V81" s="183" t="str">
        <f>VLOOKUP(AI72,'5A'!A:AH,31,0)</f>
        <v>C</v>
      </c>
      <c r="W81" s="16"/>
      <c r="AB81" s="17"/>
      <c r="AC81" s="16"/>
      <c r="AH81" s="17"/>
    </row>
    <row r="82" spans="1:36" ht="21" customHeight="1">
      <c r="A82" s="161">
        <v>8</v>
      </c>
      <c r="B82" s="288" t="s">
        <v>40</v>
      </c>
      <c r="C82" s="289"/>
      <c r="D82" s="289"/>
      <c r="E82" s="289"/>
      <c r="F82" s="289"/>
      <c r="G82" s="290"/>
      <c r="H82" s="317">
        <f>VLOOKUP(AI72,'5A'!A:AH,11,0)</f>
        <v>61</v>
      </c>
      <c r="I82" s="318"/>
      <c r="J82" s="168">
        <f t="shared" si="6"/>
        <v>61</v>
      </c>
      <c r="K82" s="293" t="s">
        <v>41</v>
      </c>
      <c r="L82" s="294"/>
      <c r="M82" s="294"/>
      <c r="N82" s="294"/>
      <c r="O82" s="294"/>
      <c r="P82" s="295"/>
      <c r="Q82" s="168">
        <v>8</v>
      </c>
      <c r="R82" s="327" t="s">
        <v>42</v>
      </c>
      <c r="S82" s="328"/>
      <c r="T82" s="328"/>
      <c r="U82" s="328"/>
      <c r="V82" s="329"/>
      <c r="W82" s="16"/>
      <c r="AB82" s="17"/>
      <c r="AC82" s="307" t="str">
        <f>DASHBOARD!H18</f>
        <v>Mu'allim Najib Jibril</v>
      </c>
      <c r="AD82" s="308"/>
      <c r="AE82" s="308"/>
      <c r="AF82" s="308"/>
      <c r="AG82" s="308"/>
      <c r="AH82" s="309"/>
    </row>
    <row r="83" spans="1:36" ht="21" customHeight="1">
      <c r="A83" s="161">
        <v>9</v>
      </c>
      <c r="B83" s="288" t="s">
        <v>14</v>
      </c>
      <c r="C83" s="289"/>
      <c r="D83" s="289"/>
      <c r="E83" s="289"/>
      <c r="F83" s="289"/>
      <c r="G83" s="290"/>
      <c r="H83" s="317">
        <f>VLOOKUP(AI72,'5A'!A:AH,12,0)</f>
        <v>50</v>
      </c>
      <c r="I83" s="318"/>
      <c r="J83" s="168">
        <f t="shared" si="6"/>
        <v>50</v>
      </c>
      <c r="K83" s="293" t="s">
        <v>15</v>
      </c>
      <c r="L83" s="294"/>
      <c r="M83" s="294"/>
      <c r="N83" s="294"/>
      <c r="O83" s="294"/>
      <c r="P83" s="295"/>
      <c r="Q83" s="168">
        <v>10</v>
      </c>
      <c r="R83" s="296" t="s">
        <v>43</v>
      </c>
      <c r="S83" s="297"/>
      <c r="T83" s="297"/>
      <c r="U83" s="297"/>
      <c r="V83" s="298"/>
      <c r="W83" s="16"/>
      <c r="AB83" s="17"/>
      <c r="AC83" s="299" t="s">
        <v>44</v>
      </c>
      <c r="AD83" s="300"/>
      <c r="AE83" s="300"/>
      <c r="AF83" s="300"/>
      <c r="AG83" s="300"/>
      <c r="AH83" s="301"/>
    </row>
    <row r="84" spans="1:36" ht="21" customHeight="1">
      <c r="A84" s="161">
        <v>10</v>
      </c>
      <c r="B84" s="288" t="s">
        <v>45</v>
      </c>
      <c r="C84" s="289"/>
      <c r="D84" s="289"/>
      <c r="E84" s="289"/>
      <c r="F84" s="289"/>
      <c r="G84" s="290"/>
      <c r="H84" s="317">
        <f>VLOOKUP(AI72,'5A'!A:AH,13,0)</f>
        <v>55</v>
      </c>
      <c r="I84" s="318"/>
      <c r="J84" s="168">
        <f t="shared" si="6"/>
        <v>55</v>
      </c>
      <c r="K84" s="293" t="s">
        <v>46</v>
      </c>
      <c r="L84" s="294"/>
      <c r="M84" s="294"/>
      <c r="N84" s="294"/>
      <c r="O84" s="294"/>
      <c r="P84" s="295"/>
      <c r="Q84" s="168">
        <v>11</v>
      </c>
      <c r="R84" s="184" t="s">
        <v>47</v>
      </c>
      <c r="S84" s="185"/>
      <c r="T84" s="180" t="s">
        <v>1</v>
      </c>
      <c r="U84" s="180">
        <f>VLOOKUP(AI72,'5A'!A:AH,32,0)</f>
        <v>0</v>
      </c>
      <c r="V84" s="181" t="s">
        <v>48</v>
      </c>
      <c r="W84" s="16"/>
      <c r="AB84" s="17"/>
      <c r="AC84" s="16"/>
      <c r="AH84" s="17"/>
    </row>
    <row r="85" spans="1:36" ht="21" customHeight="1">
      <c r="A85" s="161">
        <v>11</v>
      </c>
      <c r="B85" s="158" t="s">
        <v>49</v>
      </c>
      <c r="C85" s="155"/>
      <c r="D85" s="155"/>
      <c r="E85" s="155"/>
      <c r="F85" s="155"/>
      <c r="G85" s="162"/>
      <c r="H85" s="317">
        <f>VLOOKUP(AI72,'5A'!A:AH,14,0)</f>
        <v>68</v>
      </c>
      <c r="I85" s="318"/>
      <c r="J85" s="168">
        <f t="shared" si="6"/>
        <v>68</v>
      </c>
      <c r="K85" s="293" t="s">
        <v>50</v>
      </c>
      <c r="L85" s="294"/>
      <c r="M85" s="294"/>
      <c r="N85" s="294"/>
      <c r="O85" s="294"/>
      <c r="P85" s="295"/>
      <c r="Q85" s="168">
        <v>12</v>
      </c>
      <c r="R85" s="184" t="s">
        <v>51</v>
      </c>
      <c r="S85" s="185"/>
      <c r="T85" s="180" t="s">
        <v>1</v>
      </c>
      <c r="U85" s="180">
        <f>VLOOKUP(AI72,'5A'!A:AH,33,0)</f>
        <v>0</v>
      </c>
      <c r="V85" s="181" t="s">
        <v>48</v>
      </c>
      <c r="W85" s="21"/>
      <c r="X85" s="22"/>
      <c r="Y85" s="22"/>
      <c r="Z85" s="22"/>
      <c r="AA85" s="22"/>
      <c r="AB85" s="23"/>
      <c r="AC85" s="16"/>
      <c r="AH85" s="17"/>
    </row>
    <row r="86" spans="1:36" ht="21" customHeight="1">
      <c r="A86" s="161">
        <v>12</v>
      </c>
      <c r="B86" s="158" t="s">
        <v>52</v>
      </c>
      <c r="C86" s="155"/>
      <c r="D86" s="155"/>
      <c r="E86" s="155"/>
      <c r="F86" s="155"/>
      <c r="G86" s="162"/>
      <c r="H86" s="317">
        <f>VLOOKUP(AI72,'5A'!A:AH,15,0)</f>
        <v>62</v>
      </c>
      <c r="I86" s="318"/>
      <c r="J86" s="168">
        <f>H86</f>
        <v>62</v>
      </c>
      <c r="K86" s="293" t="s">
        <v>21</v>
      </c>
      <c r="L86" s="294"/>
      <c r="M86" s="294"/>
      <c r="N86" s="294"/>
      <c r="O86" s="294"/>
      <c r="P86" s="295"/>
      <c r="Q86" s="168">
        <v>13</v>
      </c>
      <c r="R86" s="186" t="s">
        <v>53</v>
      </c>
      <c r="S86" s="187"/>
      <c r="T86" s="182" t="s">
        <v>1</v>
      </c>
      <c r="U86" s="182">
        <f>VLOOKUP(AI72,'5A'!A:AH,34,0)</f>
        <v>19</v>
      </c>
      <c r="V86" s="183" t="s">
        <v>48</v>
      </c>
      <c r="W86" s="188"/>
      <c r="X86" s="189"/>
      <c r="Y86" s="189"/>
      <c r="Z86" s="189"/>
      <c r="AA86" s="189"/>
      <c r="AB86" s="190"/>
      <c r="AC86" s="307" t="s">
        <v>769</v>
      </c>
      <c r="AD86" s="308"/>
      <c r="AE86" s="308"/>
      <c r="AF86" s="308"/>
      <c r="AG86" s="308"/>
      <c r="AH86" s="309"/>
    </row>
    <row r="87" spans="1:36" ht="21" customHeight="1">
      <c r="A87" s="161">
        <v>13</v>
      </c>
      <c r="B87" s="288" t="s">
        <v>55</v>
      </c>
      <c r="C87" s="289"/>
      <c r="D87" s="289"/>
      <c r="E87" s="289"/>
      <c r="F87" s="289"/>
      <c r="G87" s="290"/>
      <c r="H87" s="317">
        <f>VLOOKUP(AI72,'5A'!A:AH,16,0)</f>
        <v>76</v>
      </c>
      <c r="I87" s="318"/>
      <c r="J87" s="168">
        <f>H87</f>
        <v>76</v>
      </c>
      <c r="K87" s="342" t="s">
        <v>56</v>
      </c>
      <c r="L87" s="342"/>
      <c r="M87" s="342"/>
      <c r="N87" s="342"/>
      <c r="O87" s="342"/>
      <c r="P87" s="342"/>
      <c r="Q87" s="168">
        <v>14</v>
      </c>
      <c r="R87" s="16"/>
      <c r="U87" t="s">
        <v>57</v>
      </c>
      <c r="AB87" s="310" t="str">
        <f>DASHBOARD!$H$13</f>
        <v>Sumedang, 05 September 2025</v>
      </c>
      <c r="AC87" s="310"/>
      <c r="AD87" s="310"/>
      <c r="AE87" s="310"/>
      <c r="AF87" s="310"/>
      <c r="AG87" s="310"/>
      <c r="AH87" s="311"/>
    </row>
    <row r="88" spans="1:36" ht="21" customHeight="1">
      <c r="A88" s="324" t="s">
        <v>62</v>
      </c>
      <c r="B88" s="324"/>
      <c r="C88" s="324"/>
      <c r="D88" s="324"/>
      <c r="E88" s="324"/>
      <c r="F88" s="324"/>
      <c r="G88" s="324"/>
      <c r="H88" s="317">
        <f>VLOOKUP(AI72,'5A'!A:AH,26,0)</f>
        <v>983</v>
      </c>
      <c r="I88" s="318"/>
      <c r="J88" s="168">
        <f>H88</f>
        <v>983</v>
      </c>
      <c r="K88" s="293" t="s">
        <v>63</v>
      </c>
      <c r="L88" s="294"/>
      <c r="M88" s="294"/>
      <c r="N88" s="294"/>
      <c r="O88" s="294"/>
      <c r="P88" s="294"/>
      <c r="Q88" s="295"/>
      <c r="R88" s="312" t="s">
        <v>60</v>
      </c>
      <c r="S88" s="310"/>
      <c r="T88" s="310"/>
      <c r="U88" s="310"/>
      <c r="V88" s="310"/>
      <c r="W88" s="310"/>
      <c r="X88" s="310"/>
      <c r="Y88" s="310"/>
      <c r="Z88" s="310"/>
      <c r="AA88" s="310"/>
      <c r="AB88" s="313" t="s">
        <v>61</v>
      </c>
      <c r="AC88" s="313"/>
      <c r="AD88" s="313"/>
      <c r="AE88" s="313"/>
      <c r="AF88" s="313"/>
      <c r="AG88" s="313"/>
      <c r="AH88" s="314"/>
    </row>
    <row r="89" spans="1:36" ht="21" customHeight="1">
      <c r="A89" s="324" t="s">
        <v>65</v>
      </c>
      <c r="B89" s="324"/>
      <c r="C89" s="324"/>
      <c r="D89" s="324"/>
      <c r="E89" s="324"/>
      <c r="F89" s="324"/>
      <c r="G89" s="324"/>
      <c r="H89" s="291">
        <f>VLOOKUP(AI72,'5A'!A:AH,27,0)</f>
        <v>61.4375</v>
      </c>
      <c r="I89" s="292"/>
      <c r="J89" s="172">
        <f>H89</f>
        <v>61.4375</v>
      </c>
      <c r="K89" s="293" t="s">
        <v>66</v>
      </c>
      <c r="L89" s="294"/>
      <c r="M89" s="294"/>
      <c r="N89" s="294"/>
      <c r="O89" s="294"/>
      <c r="P89" s="294"/>
      <c r="Q89" s="295"/>
      <c r="R89" s="33"/>
      <c r="S89" s="34"/>
      <c r="T89" s="34"/>
      <c r="U89" s="34"/>
      <c r="V89" s="34"/>
      <c r="W89" s="34"/>
      <c r="X89" s="34"/>
      <c r="Y89" s="34"/>
      <c r="Z89" s="34"/>
      <c r="AA89" s="34"/>
      <c r="AB89" s="297" t="s">
        <v>64</v>
      </c>
      <c r="AC89" s="297"/>
      <c r="AD89" s="297"/>
      <c r="AE89" s="297"/>
      <c r="AF89" s="297"/>
      <c r="AG89" s="297"/>
      <c r="AH89" s="298"/>
      <c r="AI89" s="22"/>
      <c r="AJ89" s="22"/>
    </row>
    <row r="90" spans="1:36" ht="21" customHeight="1">
      <c r="A90" s="288" t="s">
        <v>67</v>
      </c>
      <c r="B90" s="289"/>
      <c r="C90" s="289"/>
      <c r="D90" s="289"/>
      <c r="E90" s="163" t="s">
        <v>68</v>
      </c>
      <c r="F90" s="155" t="s">
        <v>69</v>
      </c>
      <c r="G90" s="164">
        <f>COUNT('5A'!B4:B30)</f>
        <v>27</v>
      </c>
      <c r="H90" s="164"/>
      <c r="I90" s="165"/>
      <c r="J90" s="173" t="s">
        <v>70</v>
      </c>
      <c r="K90" s="174"/>
      <c r="L90" s="175">
        <f>G90</f>
        <v>27</v>
      </c>
      <c r="M90" s="302" t="s">
        <v>71</v>
      </c>
      <c r="N90" s="302"/>
      <c r="O90" s="302"/>
      <c r="P90" s="176" t="str">
        <f>E90</f>
        <v>-</v>
      </c>
      <c r="Q90" s="177" t="s">
        <v>72</v>
      </c>
      <c r="R90" s="33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5"/>
      <c r="AI90" s="30"/>
      <c r="AJ90" s="30"/>
    </row>
    <row r="91" spans="1:36" ht="21" customHeight="1">
      <c r="A91" s="303" t="s">
        <v>73</v>
      </c>
      <c r="B91" s="304"/>
      <c r="C91" s="304"/>
      <c r="D91" s="304"/>
      <c r="E91" s="304"/>
      <c r="F91" s="304"/>
      <c r="G91" s="304"/>
      <c r="H91" s="304"/>
      <c r="I91" s="7"/>
      <c r="J91" s="166"/>
      <c r="K91" s="195"/>
      <c r="L91" s="305" t="s">
        <v>74</v>
      </c>
      <c r="M91" s="305"/>
      <c r="N91" s="305"/>
      <c r="O91" s="305"/>
      <c r="P91" s="305"/>
      <c r="Q91" s="306"/>
      <c r="R91" s="33"/>
      <c r="S91" s="34"/>
      <c r="T91" s="34"/>
      <c r="U91" s="34"/>
      <c r="V91" s="34"/>
      <c r="W91" s="191"/>
      <c r="X91" s="191"/>
      <c r="Y91" s="191"/>
      <c r="Z91" s="191"/>
      <c r="AA91" s="191"/>
      <c r="AB91" s="34"/>
      <c r="AC91" s="34"/>
      <c r="AD91" s="34"/>
      <c r="AE91" s="34"/>
      <c r="AF91" s="34"/>
      <c r="AG91" s="34"/>
      <c r="AH91" s="35"/>
    </row>
    <row r="92" spans="1:36" ht="21" customHeight="1">
      <c r="A92" s="413" t="s">
        <v>75</v>
      </c>
      <c r="B92" s="413"/>
      <c r="C92" s="413"/>
      <c r="D92" s="413"/>
      <c r="E92" s="413"/>
      <c r="F92" s="413"/>
      <c r="G92" s="413"/>
      <c r="H92" s="413"/>
      <c r="I92" s="413"/>
      <c r="J92" s="413"/>
      <c r="K92" s="413"/>
      <c r="L92" s="413"/>
      <c r="M92" s="413"/>
      <c r="N92" s="413"/>
      <c r="O92" s="413"/>
      <c r="P92" s="413"/>
      <c r="Q92" s="414"/>
      <c r="R92" s="312"/>
      <c r="S92" s="310"/>
      <c r="T92" s="310"/>
      <c r="U92" s="310"/>
      <c r="V92" s="310"/>
      <c r="W92" s="310"/>
      <c r="X92" s="310"/>
      <c r="Y92" s="310"/>
      <c r="Z92" s="310"/>
      <c r="AA92" s="310"/>
      <c r="AB92" s="34"/>
      <c r="AC92" s="34"/>
      <c r="AD92" s="34"/>
      <c r="AE92" s="34"/>
      <c r="AF92" s="34"/>
      <c r="AG92" s="34"/>
      <c r="AH92" s="35"/>
    </row>
    <row r="93" spans="1:36" ht="21" customHeight="1">
      <c r="A93" s="161">
        <v>1</v>
      </c>
      <c r="B93" s="324" t="s">
        <v>83</v>
      </c>
      <c r="C93" s="324"/>
      <c r="D93" s="324"/>
      <c r="E93" s="324"/>
      <c r="F93" s="324"/>
      <c r="G93" s="324"/>
      <c r="H93" s="356">
        <f>VLOOKUP(AI72,'5A'!A:AH,20,0)</f>
        <v>95</v>
      </c>
      <c r="I93" s="356"/>
      <c r="J93" s="178">
        <f t="shared" ref="J93:J98" si="7">H93</f>
        <v>95</v>
      </c>
      <c r="K93" s="342" t="s">
        <v>84</v>
      </c>
      <c r="L93" s="342"/>
      <c r="M93" s="342"/>
      <c r="N93" s="342"/>
      <c r="O93" s="342"/>
      <c r="P93" s="342"/>
      <c r="Q93" s="168">
        <v>1</v>
      </c>
      <c r="R93" s="315" t="s">
        <v>766</v>
      </c>
      <c r="S93" s="316"/>
      <c r="T93" s="316"/>
      <c r="U93" s="316"/>
      <c r="V93" s="316"/>
      <c r="W93" s="316"/>
      <c r="X93" s="316"/>
      <c r="Y93" s="316"/>
      <c r="Z93" s="316"/>
      <c r="AA93" s="316"/>
      <c r="AB93" s="308" t="s">
        <v>767</v>
      </c>
      <c r="AC93" s="308"/>
      <c r="AD93" s="308"/>
      <c r="AE93" s="308"/>
      <c r="AF93" s="308"/>
      <c r="AG93" s="308"/>
      <c r="AH93" s="309"/>
    </row>
    <row r="94" spans="1:36" ht="21" customHeight="1">
      <c r="A94" s="161">
        <v>2</v>
      </c>
      <c r="B94" s="324" t="s">
        <v>79</v>
      </c>
      <c r="C94" s="324"/>
      <c r="D94" s="324"/>
      <c r="E94" s="324"/>
      <c r="F94" s="324"/>
      <c r="G94" s="324"/>
      <c r="H94" s="356">
        <f>VLOOKUP(AI72,'5A'!A:AH,21,0)</f>
        <v>99</v>
      </c>
      <c r="I94" s="356"/>
      <c r="J94" s="178">
        <f t="shared" si="7"/>
        <v>99</v>
      </c>
      <c r="K94" s="342" t="s">
        <v>80</v>
      </c>
      <c r="L94" s="342"/>
      <c r="M94" s="342"/>
      <c r="N94" s="342"/>
      <c r="O94" s="342"/>
      <c r="P94" s="342"/>
      <c r="Q94" s="168">
        <v>2</v>
      </c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</row>
    <row r="95" spans="1:36" ht="21" customHeight="1">
      <c r="A95" s="161">
        <v>3</v>
      </c>
      <c r="B95" s="324" t="s">
        <v>77</v>
      </c>
      <c r="C95" s="324"/>
      <c r="D95" s="324"/>
      <c r="E95" s="324"/>
      <c r="F95" s="324"/>
      <c r="G95" s="324"/>
      <c r="H95" s="356">
        <f>H82</f>
        <v>61</v>
      </c>
      <c r="I95" s="356"/>
      <c r="J95" s="178">
        <f t="shared" si="7"/>
        <v>61</v>
      </c>
      <c r="K95" s="342" t="s">
        <v>78</v>
      </c>
      <c r="L95" s="342"/>
      <c r="M95" s="342"/>
      <c r="N95" s="342"/>
      <c r="O95" s="342"/>
      <c r="P95" s="342"/>
      <c r="Q95" s="168">
        <v>3</v>
      </c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</row>
    <row r="96" spans="1:36" ht="21" customHeight="1">
      <c r="A96" s="161">
        <v>4</v>
      </c>
      <c r="B96" s="324" t="s">
        <v>81</v>
      </c>
      <c r="C96" s="324"/>
      <c r="D96" s="324"/>
      <c r="E96" s="324"/>
      <c r="F96" s="324"/>
      <c r="G96" s="324"/>
      <c r="H96" s="317">
        <f>VLOOKUP(AI72,'5A'!A:AH,23,0)</f>
        <v>95</v>
      </c>
      <c r="I96" s="318"/>
      <c r="J96" s="178">
        <f t="shared" si="7"/>
        <v>95</v>
      </c>
      <c r="K96" s="342" t="s">
        <v>82</v>
      </c>
      <c r="L96" s="342"/>
      <c r="M96" s="342"/>
      <c r="N96" s="342"/>
      <c r="O96" s="342"/>
      <c r="P96" s="342"/>
      <c r="Q96" s="168">
        <v>4</v>
      </c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</row>
    <row r="97" spans="1:35" ht="21" customHeight="1">
      <c r="A97" s="161">
        <v>5</v>
      </c>
      <c r="B97" s="324" t="s">
        <v>147</v>
      </c>
      <c r="C97" s="324"/>
      <c r="D97" s="324"/>
      <c r="E97" s="324"/>
      <c r="F97" s="324"/>
      <c r="G97" s="324"/>
      <c r="H97" s="317">
        <f>VLOOKUP(AI72,'5A'!A:AH,24,0)</f>
        <v>85</v>
      </c>
      <c r="I97" s="318"/>
      <c r="J97" s="178">
        <f t="shared" si="7"/>
        <v>85</v>
      </c>
      <c r="K97" s="342" t="s">
        <v>84</v>
      </c>
      <c r="L97" s="342"/>
      <c r="M97" s="342"/>
      <c r="N97" s="342"/>
      <c r="O97" s="342"/>
      <c r="P97" s="342"/>
      <c r="Q97" s="168">
        <v>5</v>
      </c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</row>
    <row r="98" spans="1:35" ht="21" customHeight="1">
      <c r="A98" s="161">
        <v>6</v>
      </c>
      <c r="B98" s="324" t="s">
        <v>148</v>
      </c>
      <c r="C98" s="324"/>
      <c r="D98" s="324"/>
      <c r="E98" s="324"/>
      <c r="F98" s="324"/>
      <c r="G98" s="324"/>
      <c r="H98" s="356">
        <f>VLOOKUP(AI72,'5A'!A:AH,25,0)</f>
        <v>78</v>
      </c>
      <c r="I98" s="356"/>
      <c r="J98" s="178">
        <f t="shared" si="7"/>
        <v>78</v>
      </c>
      <c r="K98" s="342" t="s">
        <v>149</v>
      </c>
      <c r="L98" s="342"/>
      <c r="M98" s="342"/>
      <c r="N98" s="342"/>
      <c r="O98" s="342"/>
      <c r="P98" s="342"/>
      <c r="Q98" s="168">
        <v>6</v>
      </c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</row>
    <row r="99" spans="1:35" ht="21" customHeight="1">
      <c r="A99" s="357" t="s">
        <v>62</v>
      </c>
      <c r="B99" s="357"/>
      <c r="C99" s="357"/>
      <c r="D99" s="357"/>
      <c r="E99" s="357"/>
      <c r="F99" s="357"/>
      <c r="G99" s="357"/>
      <c r="H99" s="317">
        <f>SUM(H93:I98)</f>
        <v>513</v>
      </c>
      <c r="I99" s="318"/>
      <c r="J99" s="178">
        <f t="shared" ref="J99:J100" si="8">H99</f>
        <v>513</v>
      </c>
      <c r="K99" s="293" t="s">
        <v>63</v>
      </c>
      <c r="L99" s="294"/>
      <c r="M99" s="294"/>
      <c r="N99" s="294"/>
      <c r="O99" s="294"/>
      <c r="P99" s="294"/>
      <c r="Q99" s="295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</row>
    <row r="100" spans="1:35" ht="21" customHeight="1">
      <c r="A100" s="357" t="s">
        <v>65</v>
      </c>
      <c r="B100" s="357"/>
      <c r="C100" s="357"/>
      <c r="D100" s="357"/>
      <c r="E100" s="357"/>
      <c r="F100" s="357"/>
      <c r="G100" s="357"/>
      <c r="H100" s="291">
        <f>AVERAGE(H93:I98)</f>
        <v>85.5</v>
      </c>
      <c r="I100" s="292"/>
      <c r="J100" s="179">
        <f t="shared" si="8"/>
        <v>85.5</v>
      </c>
      <c r="K100" s="293" t="s">
        <v>66</v>
      </c>
      <c r="L100" s="294"/>
      <c r="M100" s="294"/>
      <c r="N100" s="294"/>
      <c r="O100" s="294"/>
      <c r="P100" s="294"/>
      <c r="Q100" s="295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</row>
    <row r="101" spans="1:35" ht="21" customHeight="1">
      <c r="A101" s="343" t="s">
        <v>0</v>
      </c>
      <c r="B101" s="344"/>
      <c r="C101" s="153" t="s">
        <v>1</v>
      </c>
      <c r="D101" s="344" t="str">
        <f>VLOOKUP(AI104,'5b'!A:AJ,3,0)</f>
        <v>Muhamad Iksan</v>
      </c>
      <c r="E101" s="344"/>
      <c r="F101" s="344"/>
      <c r="G101" s="344"/>
      <c r="H101" s="344"/>
      <c r="I101" s="344"/>
      <c r="J101" s="344"/>
      <c r="K101" s="344"/>
      <c r="L101" s="344"/>
      <c r="M101" s="344"/>
      <c r="N101" s="344"/>
      <c r="O101" s="344"/>
      <c r="P101" s="344"/>
      <c r="Q101" s="345"/>
      <c r="R101" s="343" t="s">
        <v>0</v>
      </c>
      <c r="S101" s="344"/>
      <c r="T101" s="153" t="s">
        <v>1</v>
      </c>
      <c r="U101" s="344" t="str">
        <f>D101</f>
        <v>Muhamad Iksan</v>
      </c>
      <c r="V101" s="344"/>
      <c r="W101" s="344"/>
      <c r="X101" s="344"/>
      <c r="Y101" s="344"/>
      <c r="Z101" s="344"/>
      <c r="AA101" s="344"/>
      <c r="AB101" s="344"/>
      <c r="AC101" s="344"/>
      <c r="AD101" s="344"/>
      <c r="AE101" s="344"/>
      <c r="AF101" s="344"/>
      <c r="AG101" s="344"/>
      <c r="AH101" s="345"/>
    </row>
    <row r="102" spans="1:35" ht="21" customHeight="1">
      <c r="A102" s="346" t="s">
        <v>2</v>
      </c>
      <c r="B102" s="347"/>
      <c r="C102" s="154" t="s">
        <v>1</v>
      </c>
      <c r="D102" s="347" t="s">
        <v>89</v>
      </c>
      <c r="E102" s="347"/>
      <c r="F102" s="347"/>
      <c r="G102" s="347"/>
      <c r="H102" s="347"/>
      <c r="I102" s="347"/>
      <c r="J102" s="159" t="s">
        <v>3</v>
      </c>
      <c r="K102" s="347">
        <f>VLOOKUP(AI104,'5b'!A:AJ,2,0)</f>
        <v>18190129</v>
      </c>
      <c r="L102" s="347"/>
      <c r="M102" s="347"/>
      <c r="N102" s="347"/>
      <c r="O102" s="347"/>
      <c r="P102" s="347"/>
      <c r="Q102" s="348"/>
      <c r="R102" s="346" t="s">
        <v>2</v>
      </c>
      <c r="S102" s="347"/>
      <c r="T102" s="154" t="s">
        <v>1</v>
      </c>
      <c r="U102" s="347" t="str">
        <f>D102</f>
        <v>5-B</v>
      </c>
      <c r="V102" s="347"/>
      <c r="W102" s="347"/>
      <c r="X102" s="347"/>
      <c r="Y102" s="347"/>
      <c r="Z102" s="347"/>
      <c r="AA102" s="159" t="s">
        <v>3</v>
      </c>
      <c r="AB102" s="347">
        <f>K102</f>
        <v>18190129</v>
      </c>
      <c r="AC102" s="347"/>
      <c r="AD102" s="347"/>
      <c r="AE102" s="347"/>
      <c r="AF102" s="347"/>
      <c r="AG102" s="347"/>
      <c r="AH102" s="348"/>
      <c r="AI102" t="s">
        <v>89</v>
      </c>
    </row>
    <row r="103" spans="1:35" ht="21" customHeight="1">
      <c r="A103" s="343" t="s">
        <v>4</v>
      </c>
      <c r="B103" s="344"/>
      <c r="C103" s="153" t="s">
        <v>1</v>
      </c>
      <c r="D103" s="304" t="str">
        <f>DASHBOARD!$H$11</f>
        <v>2025/2026</v>
      </c>
      <c r="E103" s="304"/>
      <c r="F103" s="304"/>
      <c r="G103" s="304"/>
      <c r="H103" s="304"/>
      <c r="I103" s="304"/>
      <c r="J103" s="304"/>
      <c r="K103" s="304"/>
      <c r="L103" s="304"/>
      <c r="M103" s="304"/>
      <c r="N103" s="304"/>
      <c r="O103" s="304"/>
      <c r="P103" s="304"/>
      <c r="Q103" s="349"/>
      <c r="R103" s="330" t="s">
        <v>5</v>
      </c>
      <c r="S103" s="331"/>
      <c r="T103" s="331"/>
      <c r="U103" s="331"/>
      <c r="V103" s="331"/>
      <c r="W103" s="331"/>
      <c r="X103" s="331"/>
      <c r="Y103" s="333" t="s">
        <v>6</v>
      </c>
      <c r="Z103" s="334"/>
      <c r="AA103" s="337" t="s">
        <v>7</v>
      </c>
      <c r="AB103" s="330" t="s">
        <v>8</v>
      </c>
      <c r="AC103" s="331"/>
      <c r="AD103" s="331"/>
      <c r="AE103" s="331"/>
      <c r="AF103" s="331"/>
      <c r="AG103" s="331"/>
      <c r="AH103" s="332"/>
      <c r="AI103" s="2" t="s">
        <v>9</v>
      </c>
    </row>
    <row r="104" spans="1:35" ht="21" customHeight="1">
      <c r="A104" s="303" t="s">
        <v>10</v>
      </c>
      <c r="B104" s="304"/>
      <c r="C104" s="160" t="s">
        <v>1</v>
      </c>
      <c r="D104" s="350" t="str">
        <f>DASHBOARD!$H$12</f>
        <v>1 (Satu)</v>
      </c>
      <c r="E104" s="350"/>
      <c r="F104" s="350"/>
      <c r="G104" s="350"/>
      <c r="H104" s="350"/>
      <c r="I104" s="351"/>
      <c r="J104" s="352" t="str">
        <f>DASHBOARD!$I$12</f>
        <v>الأول</v>
      </c>
      <c r="K104" s="353"/>
      <c r="L104" s="353"/>
      <c r="M104" s="353"/>
      <c r="N104" s="160" t="s">
        <v>1</v>
      </c>
      <c r="O104" s="354" t="s">
        <v>11</v>
      </c>
      <c r="P104" s="354"/>
      <c r="Q104" s="355"/>
      <c r="R104" s="339" t="s">
        <v>12</v>
      </c>
      <c r="S104" s="340"/>
      <c r="T104" s="340"/>
      <c r="U104" s="340"/>
      <c r="V104" s="340"/>
      <c r="W104" s="340"/>
      <c r="X104" s="340"/>
      <c r="Y104" s="335"/>
      <c r="Z104" s="336"/>
      <c r="AA104" s="338"/>
      <c r="AB104" s="339" t="s">
        <v>13</v>
      </c>
      <c r="AC104" s="340"/>
      <c r="AD104" s="340"/>
      <c r="AE104" s="340"/>
      <c r="AF104" s="340"/>
      <c r="AG104" s="340"/>
      <c r="AH104" s="341"/>
      <c r="AI104" s="3">
        <v>23</v>
      </c>
    </row>
    <row r="105" spans="1:35" ht="21" customHeight="1">
      <c r="A105" s="330" t="s">
        <v>5</v>
      </c>
      <c r="B105" s="331"/>
      <c r="C105" s="331"/>
      <c r="D105" s="331"/>
      <c r="E105" s="331"/>
      <c r="F105" s="331"/>
      <c r="G105" s="331"/>
      <c r="H105" s="333" t="s">
        <v>6</v>
      </c>
      <c r="I105" s="334"/>
      <c r="J105" s="337" t="s">
        <v>7</v>
      </c>
      <c r="K105" s="330" t="s">
        <v>8</v>
      </c>
      <c r="L105" s="331"/>
      <c r="M105" s="331"/>
      <c r="N105" s="331"/>
      <c r="O105" s="331"/>
      <c r="P105" s="331"/>
      <c r="Q105" s="332"/>
      <c r="R105" s="161">
        <v>1</v>
      </c>
      <c r="S105" s="288" t="s">
        <v>14</v>
      </c>
      <c r="T105" s="289"/>
      <c r="U105" s="289"/>
      <c r="V105" s="289"/>
      <c r="W105" s="289"/>
      <c r="X105" s="290"/>
      <c r="Y105" s="361">
        <f>VLOOKUP(AI104,'5b'!A:AJ,17,0)</f>
        <v>0</v>
      </c>
      <c r="Z105" s="362"/>
      <c r="AA105" s="168">
        <f>Y105</f>
        <v>0</v>
      </c>
      <c r="AB105" s="293" t="s">
        <v>15</v>
      </c>
      <c r="AC105" s="294"/>
      <c r="AD105" s="294"/>
      <c r="AE105" s="294"/>
      <c r="AF105" s="294"/>
      <c r="AG105" s="295"/>
      <c r="AH105" s="168">
        <v>1</v>
      </c>
    </row>
    <row r="106" spans="1:35" ht="21" customHeight="1">
      <c r="A106" s="339" t="s">
        <v>16</v>
      </c>
      <c r="B106" s="340"/>
      <c r="C106" s="340"/>
      <c r="D106" s="340"/>
      <c r="E106" s="340"/>
      <c r="F106" s="340"/>
      <c r="G106" s="340"/>
      <c r="H106" s="335"/>
      <c r="I106" s="336"/>
      <c r="J106" s="338"/>
      <c r="K106" s="339" t="s">
        <v>17</v>
      </c>
      <c r="L106" s="340"/>
      <c r="M106" s="340"/>
      <c r="N106" s="340"/>
      <c r="O106" s="340"/>
      <c r="P106" s="340"/>
      <c r="Q106" s="341"/>
      <c r="R106" s="161">
        <v>2</v>
      </c>
      <c r="S106" s="288" t="s">
        <v>22</v>
      </c>
      <c r="T106" s="289"/>
      <c r="U106" s="289"/>
      <c r="V106" s="289"/>
      <c r="W106" s="289"/>
      <c r="X106" s="290"/>
      <c r="Y106" s="361">
        <f>VLOOKUP(AI104,'5b'!A:AJ,18,0)</f>
        <v>99</v>
      </c>
      <c r="Z106" s="362"/>
      <c r="AA106" s="168">
        <f>Y106</f>
        <v>99</v>
      </c>
      <c r="AB106" s="293" t="s">
        <v>23</v>
      </c>
      <c r="AC106" s="294"/>
      <c r="AD106" s="294"/>
      <c r="AE106" s="294"/>
      <c r="AF106" s="294"/>
      <c r="AG106" s="295"/>
      <c r="AH106" s="168">
        <v>2</v>
      </c>
    </row>
    <row r="107" spans="1:35" ht="21" customHeight="1">
      <c r="A107" s="161">
        <v>1</v>
      </c>
      <c r="B107" s="324" t="s">
        <v>20</v>
      </c>
      <c r="C107" s="324"/>
      <c r="D107" s="324"/>
      <c r="E107" s="324"/>
      <c r="F107" s="324"/>
      <c r="G107" s="324"/>
      <c r="H107" s="317">
        <f>VLOOKUP(AI104,'5b'!A:AJ,4,0)</f>
        <v>40</v>
      </c>
      <c r="I107" s="318"/>
      <c r="J107" s="168">
        <f>H107</f>
        <v>40</v>
      </c>
      <c r="K107" s="342" t="s">
        <v>19</v>
      </c>
      <c r="L107" s="342"/>
      <c r="M107" s="342"/>
      <c r="N107" s="342"/>
      <c r="O107" s="342"/>
      <c r="P107" s="342"/>
      <c r="Q107" s="168">
        <v>1</v>
      </c>
      <c r="R107" s="161">
        <v>3</v>
      </c>
      <c r="S107" s="288" t="s">
        <v>85</v>
      </c>
      <c r="T107" s="289"/>
      <c r="U107" s="289"/>
      <c r="V107" s="289"/>
      <c r="W107" s="289"/>
      <c r="X107" s="290"/>
      <c r="Y107" s="361">
        <f>VLOOKUP(AI104,'5b'!A:AJ,19,0)</f>
        <v>0</v>
      </c>
      <c r="Z107" s="362"/>
      <c r="AA107" s="168">
        <f>Y107</f>
        <v>0</v>
      </c>
      <c r="AB107" s="370" t="s">
        <v>27</v>
      </c>
      <c r="AC107" s="371"/>
      <c r="AD107" s="371"/>
      <c r="AE107" s="371"/>
      <c r="AF107" s="371"/>
      <c r="AG107" s="372"/>
      <c r="AH107" s="168">
        <v>3</v>
      </c>
    </row>
    <row r="108" spans="1:35" ht="21" customHeight="1">
      <c r="A108" s="161">
        <v>2</v>
      </c>
      <c r="B108" s="324" t="s">
        <v>22</v>
      </c>
      <c r="C108" s="324"/>
      <c r="D108" s="324"/>
      <c r="E108" s="324"/>
      <c r="F108" s="324"/>
      <c r="G108" s="324"/>
      <c r="H108" s="317">
        <f>VLOOKUP(AI104,'5b'!A:AJ,5,0)</f>
        <v>40</v>
      </c>
      <c r="I108" s="318"/>
      <c r="J108" s="168">
        <f t="shared" ref="J108:J121" si="9">H108</f>
        <v>40</v>
      </c>
      <c r="K108" s="342" t="s">
        <v>23</v>
      </c>
      <c r="L108" s="342"/>
      <c r="M108" s="342"/>
      <c r="N108" s="342"/>
      <c r="O108" s="342"/>
      <c r="P108" s="342"/>
      <c r="Q108" s="168">
        <v>2</v>
      </c>
      <c r="R108" s="161">
        <v>4</v>
      </c>
      <c r="S108" s="288" t="s">
        <v>87</v>
      </c>
      <c r="T108" s="289"/>
      <c r="U108" s="289"/>
      <c r="V108" s="289"/>
      <c r="W108" s="289"/>
      <c r="X108" s="290"/>
      <c r="Y108" s="361">
        <f>VLOOKUP(AI104,'5b'!A:AJ,20,0)</f>
        <v>0</v>
      </c>
      <c r="Z108" s="362"/>
      <c r="AA108" s="168">
        <f>Y108</f>
        <v>0</v>
      </c>
      <c r="AB108" s="370" t="s">
        <v>21</v>
      </c>
      <c r="AC108" s="371"/>
      <c r="AD108" s="371"/>
      <c r="AE108" s="371"/>
      <c r="AF108" s="371"/>
      <c r="AG108" s="372"/>
      <c r="AH108" s="168">
        <v>4</v>
      </c>
    </row>
    <row r="109" spans="1:35" ht="21" customHeight="1">
      <c r="A109" s="161">
        <v>3</v>
      </c>
      <c r="B109" s="158" t="s">
        <v>24</v>
      </c>
      <c r="C109" s="155"/>
      <c r="D109" s="155"/>
      <c r="E109" s="155"/>
      <c r="F109" s="155"/>
      <c r="G109" s="162"/>
      <c r="H109" s="317">
        <f>VLOOKUP(AI104,'5b'!A:AJ,6,0)</f>
        <v>40</v>
      </c>
      <c r="I109" s="318"/>
      <c r="J109" s="168">
        <f t="shared" si="9"/>
        <v>40</v>
      </c>
      <c r="K109" s="293" t="s">
        <v>25</v>
      </c>
      <c r="L109" s="294"/>
      <c r="M109" s="294"/>
      <c r="N109" s="294"/>
      <c r="O109" s="294"/>
      <c r="P109" s="295"/>
      <c r="Q109" s="168">
        <v>3</v>
      </c>
      <c r="R109" s="161">
        <v>5</v>
      </c>
      <c r="S109" s="412" t="s">
        <v>20</v>
      </c>
      <c r="T109" s="412"/>
      <c r="U109" s="412"/>
      <c r="V109" s="412"/>
      <c r="W109" s="412"/>
      <c r="X109" s="412"/>
      <c r="Y109" s="361">
        <f>VLOOKUP(AI104,'5b'!A:AJ,21,0)</f>
        <v>0</v>
      </c>
      <c r="Z109" s="362"/>
      <c r="AA109" s="168">
        <f>Y109</f>
        <v>0</v>
      </c>
      <c r="AB109" s="402" t="s">
        <v>19</v>
      </c>
      <c r="AC109" s="402"/>
      <c r="AD109" s="402"/>
      <c r="AE109" s="402"/>
      <c r="AF109" s="402"/>
      <c r="AG109" s="402"/>
      <c r="AH109" s="168">
        <v>5</v>
      </c>
    </row>
    <row r="110" spans="1:35" ht="21" customHeight="1">
      <c r="A110" s="161">
        <v>4</v>
      </c>
      <c r="B110" s="288" t="s">
        <v>26</v>
      </c>
      <c r="C110" s="289"/>
      <c r="D110" s="289"/>
      <c r="E110" s="289"/>
      <c r="F110" s="289"/>
      <c r="G110" s="290"/>
      <c r="H110" s="317">
        <f>VLOOKUP(AI104,'5b'!A:AJ,7,0)</f>
        <v>41</v>
      </c>
      <c r="I110" s="318"/>
      <c r="J110" s="168">
        <f t="shared" si="9"/>
        <v>41</v>
      </c>
      <c r="K110" s="293" t="s">
        <v>27</v>
      </c>
      <c r="L110" s="294"/>
      <c r="M110" s="294"/>
      <c r="N110" s="294"/>
      <c r="O110" s="294"/>
      <c r="P110" s="295"/>
      <c r="Q110" s="168">
        <v>4</v>
      </c>
      <c r="R110" s="299" t="s">
        <v>768</v>
      </c>
      <c r="S110" s="300"/>
      <c r="T110" s="300"/>
      <c r="U110" s="300"/>
      <c r="V110" s="301"/>
      <c r="W110" s="327" t="s">
        <v>28</v>
      </c>
      <c r="X110" s="328"/>
      <c r="Y110" s="328"/>
      <c r="Z110" s="328"/>
      <c r="AA110" s="328"/>
      <c r="AB110" s="329"/>
      <c r="AC110" s="327" t="s">
        <v>29</v>
      </c>
      <c r="AD110" s="328"/>
      <c r="AE110" s="328"/>
      <c r="AF110" s="328"/>
      <c r="AG110" s="328"/>
      <c r="AH110" s="329"/>
    </row>
    <row r="111" spans="1:35" ht="21" customHeight="1">
      <c r="A111" s="161">
        <v>5</v>
      </c>
      <c r="B111" s="288" t="s">
        <v>30</v>
      </c>
      <c r="C111" s="289"/>
      <c r="D111" s="289"/>
      <c r="E111" s="289"/>
      <c r="F111" s="289"/>
      <c r="G111" s="290"/>
      <c r="H111" s="317">
        <f>VLOOKUP(AI104,'5b'!A:AJ,8,0)</f>
        <v>40</v>
      </c>
      <c r="I111" s="318"/>
      <c r="J111" s="168">
        <f t="shared" si="9"/>
        <v>40</v>
      </c>
      <c r="K111" s="293" t="s">
        <v>31</v>
      </c>
      <c r="L111" s="294"/>
      <c r="M111" s="294"/>
      <c r="N111" s="294"/>
      <c r="O111" s="294"/>
      <c r="P111" s="295"/>
      <c r="Q111" s="168">
        <v>5</v>
      </c>
      <c r="R111" s="319" t="s">
        <v>32</v>
      </c>
      <c r="S111" s="320"/>
      <c r="T111" s="320"/>
      <c r="U111" s="180" t="s">
        <v>1</v>
      </c>
      <c r="V111" s="181" t="str">
        <f>VLOOKUP(AI104,'5b'!A:AJ,31,0)</f>
        <v>B</v>
      </c>
      <c r="W111" s="321" t="s">
        <v>33</v>
      </c>
      <c r="X111" s="322"/>
      <c r="Y111" s="322"/>
      <c r="Z111" s="322"/>
      <c r="AA111" s="322"/>
      <c r="AB111" s="323"/>
      <c r="AC111" s="296" t="s">
        <v>33</v>
      </c>
      <c r="AD111" s="297"/>
      <c r="AE111" s="297"/>
      <c r="AF111" s="297"/>
      <c r="AG111" s="297"/>
      <c r="AH111" s="298"/>
    </row>
    <row r="112" spans="1:35" ht="21" customHeight="1">
      <c r="A112" s="161">
        <v>6</v>
      </c>
      <c r="B112" s="288" t="s">
        <v>34</v>
      </c>
      <c r="C112" s="289"/>
      <c r="D112" s="289"/>
      <c r="E112" s="289"/>
      <c r="F112" s="289"/>
      <c r="G112" s="290"/>
      <c r="H112" s="317">
        <f>VLOOKUP(AI104,'5b'!A:AJ,9,0)</f>
        <v>53</v>
      </c>
      <c r="I112" s="318"/>
      <c r="J112" s="168">
        <f t="shared" si="9"/>
        <v>53</v>
      </c>
      <c r="K112" s="293" t="s">
        <v>35</v>
      </c>
      <c r="L112" s="294"/>
      <c r="M112" s="294"/>
      <c r="N112" s="294"/>
      <c r="O112" s="294"/>
      <c r="P112" s="295"/>
      <c r="Q112" s="168">
        <v>6</v>
      </c>
      <c r="R112" s="319" t="s">
        <v>36</v>
      </c>
      <c r="S112" s="320"/>
      <c r="T112" s="320"/>
      <c r="U112" s="180" t="s">
        <v>1</v>
      </c>
      <c r="V112" s="181" t="str">
        <f>VLOOKUP(AI104,'5b'!A:AJ,32,0)</f>
        <v>C</v>
      </c>
      <c r="W112" s="13"/>
      <c r="X112" s="14"/>
      <c r="Y112" s="14"/>
      <c r="Z112" s="14"/>
      <c r="AA112" s="14"/>
      <c r="AB112" s="15"/>
      <c r="AC112" s="16"/>
      <c r="AH112" s="17"/>
    </row>
    <row r="113" spans="1:34" ht="21" customHeight="1">
      <c r="A113" s="161">
        <v>7</v>
      </c>
      <c r="B113" s="288" t="s">
        <v>37</v>
      </c>
      <c r="C113" s="289"/>
      <c r="D113" s="289"/>
      <c r="E113" s="289"/>
      <c r="F113" s="289"/>
      <c r="G113" s="290"/>
      <c r="H113" s="317">
        <f>VLOOKUP(AI104,'5b'!A:AJ,10,0)</f>
        <v>53</v>
      </c>
      <c r="I113" s="318"/>
      <c r="J113" s="168">
        <f t="shared" si="9"/>
        <v>53</v>
      </c>
      <c r="K113" s="293" t="s">
        <v>38</v>
      </c>
      <c r="L113" s="294"/>
      <c r="M113" s="294"/>
      <c r="N113" s="294"/>
      <c r="O113" s="294"/>
      <c r="P113" s="295"/>
      <c r="Q113" s="168">
        <v>7</v>
      </c>
      <c r="R113" s="325" t="s">
        <v>39</v>
      </c>
      <c r="S113" s="326"/>
      <c r="T113" s="326"/>
      <c r="U113" s="182" t="s">
        <v>1</v>
      </c>
      <c r="V113" s="183" t="str">
        <f>VLOOKUP(AI104,'5b'!A:AJ,33,0)</f>
        <v>B</v>
      </c>
      <c r="W113" s="16"/>
      <c r="AB113" s="17"/>
      <c r="AC113" s="16"/>
      <c r="AH113" s="17"/>
    </row>
    <row r="114" spans="1:34" ht="21" customHeight="1">
      <c r="A114" s="161">
        <v>8</v>
      </c>
      <c r="B114" s="288" t="s">
        <v>40</v>
      </c>
      <c r="C114" s="289"/>
      <c r="D114" s="289"/>
      <c r="E114" s="289"/>
      <c r="F114" s="289"/>
      <c r="G114" s="290"/>
      <c r="H114" s="317">
        <f>VLOOKUP(AI104,'5b'!A:AJ,11,0)</f>
        <v>40</v>
      </c>
      <c r="I114" s="318"/>
      <c r="J114" s="168">
        <f t="shared" si="9"/>
        <v>40</v>
      </c>
      <c r="K114" s="293" t="s">
        <v>41</v>
      </c>
      <c r="L114" s="294"/>
      <c r="M114" s="294"/>
      <c r="N114" s="294"/>
      <c r="O114" s="294"/>
      <c r="P114" s="295"/>
      <c r="Q114" s="168">
        <v>8</v>
      </c>
      <c r="R114" s="327" t="s">
        <v>42</v>
      </c>
      <c r="S114" s="328"/>
      <c r="T114" s="328"/>
      <c r="U114" s="328"/>
      <c r="V114" s="329"/>
      <c r="W114" s="16"/>
      <c r="AB114" s="17"/>
      <c r="AC114" s="307" t="str">
        <f>DASHBOARD!H19</f>
        <v>Mu'allim Qomaruddin</v>
      </c>
      <c r="AD114" s="308"/>
      <c r="AE114" s="308"/>
      <c r="AF114" s="308"/>
      <c r="AG114" s="308"/>
      <c r="AH114" s="309"/>
    </row>
    <row r="115" spans="1:34" ht="21" customHeight="1">
      <c r="A115" s="161">
        <v>9</v>
      </c>
      <c r="B115" s="288" t="s">
        <v>14</v>
      </c>
      <c r="C115" s="289"/>
      <c r="D115" s="289"/>
      <c r="E115" s="289"/>
      <c r="F115" s="289"/>
      <c r="G115" s="290"/>
      <c r="H115" s="317">
        <f>VLOOKUP(AI104,'5b'!A:AJ,12,0)</f>
        <v>40</v>
      </c>
      <c r="I115" s="318"/>
      <c r="J115" s="168">
        <f t="shared" si="9"/>
        <v>40</v>
      </c>
      <c r="K115" s="293" t="s">
        <v>15</v>
      </c>
      <c r="L115" s="294"/>
      <c r="M115" s="294"/>
      <c r="N115" s="294"/>
      <c r="O115" s="294"/>
      <c r="P115" s="295"/>
      <c r="Q115" s="168">
        <v>9</v>
      </c>
      <c r="R115" s="296" t="s">
        <v>43</v>
      </c>
      <c r="S115" s="297"/>
      <c r="T115" s="297"/>
      <c r="U115" s="297"/>
      <c r="V115" s="298"/>
      <c r="W115" s="16"/>
      <c r="AB115" s="17"/>
      <c r="AC115" s="299" t="s">
        <v>44</v>
      </c>
      <c r="AD115" s="300"/>
      <c r="AE115" s="300"/>
      <c r="AF115" s="300"/>
      <c r="AG115" s="300"/>
      <c r="AH115" s="301"/>
    </row>
    <row r="116" spans="1:34" ht="21" customHeight="1">
      <c r="A116" s="161">
        <v>10</v>
      </c>
      <c r="B116" s="288" t="s">
        <v>45</v>
      </c>
      <c r="C116" s="289"/>
      <c r="D116" s="289"/>
      <c r="E116" s="289"/>
      <c r="F116" s="289"/>
      <c r="G116" s="290"/>
      <c r="H116" s="317">
        <f>VLOOKUP(AI104,'5b'!A:AJ,13,0)</f>
        <v>40</v>
      </c>
      <c r="I116" s="318"/>
      <c r="J116" s="168">
        <f t="shared" si="9"/>
        <v>40</v>
      </c>
      <c r="K116" s="293" t="s">
        <v>46</v>
      </c>
      <c r="L116" s="294"/>
      <c r="M116" s="294"/>
      <c r="N116" s="294"/>
      <c r="O116" s="294"/>
      <c r="P116" s="295"/>
      <c r="Q116" s="168">
        <v>10</v>
      </c>
      <c r="R116" s="184" t="s">
        <v>47</v>
      </c>
      <c r="S116" s="185"/>
      <c r="T116" s="180" t="s">
        <v>1</v>
      </c>
      <c r="U116" s="180">
        <f>VLOOKUP(AI104,'5b'!A:AJ,34,0)</f>
        <v>0</v>
      </c>
      <c r="V116" s="181" t="s">
        <v>48</v>
      </c>
      <c r="W116" s="16"/>
      <c r="AB116" s="17"/>
      <c r="AC116" s="16"/>
      <c r="AH116" s="17"/>
    </row>
    <row r="117" spans="1:34" ht="21" customHeight="1">
      <c r="A117" s="161">
        <v>11</v>
      </c>
      <c r="B117" s="158" t="s">
        <v>49</v>
      </c>
      <c r="C117" s="155"/>
      <c r="D117" s="155"/>
      <c r="E117" s="155"/>
      <c r="F117" s="155"/>
      <c r="G117" s="162"/>
      <c r="H117" s="317">
        <f>VLOOKUP(AI104,'5b'!A:AJ,14,0)</f>
        <v>40</v>
      </c>
      <c r="I117" s="318"/>
      <c r="J117" s="168">
        <f t="shared" si="9"/>
        <v>40</v>
      </c>
      <c r="K117" s="293" t="s">
        <v>50</v>
      </c>
      <c r="L117" s="294"/>
      <c r="M117" s="294"/>
      <c r="N117" s="294"/>
      <c r="O117" s="294"/>
      <c r="P117" s="295"/>
      <c r="Q117" s="168">
        <v>11</v>
      </c>
      <c r="R117" s="184" t="s">
        <v>51</v>
      </c>
      <c r="S117" s="185"/>
      <c r="T117" s="180" t="s">
        <v>1</v>
      </c>
      <c r="U117" s="180">
        <f>VLOOKUP(AI104,'5b'!A:AJ,35,0)</f>
        <v>0</v>
      </c>
      <c r="V117" s="181" t="s">
        <v>48</v>
      </c>
      <c r="W117" s="21"/>
      <c r="X117" s="22"/>
      <c r="Y117" s="22"/>
      <c r="Z117" s="22"/>
      <c r="AA117" s="22"/>
      <c r="AB117" s="23"/>
      <c r="AC117" s="16"/>
      <c r="AH117" s="17"/>
    </row>
    <row r="118" spans="1:34" ht="21" customHeight="1">
      <c r="A118" s="161">
        <v>12</v>
      </c>
      <c r="B118" s="158" t="s">
        <v>52</v>
      </c>
      <c r="C118" s="155"/>
      <c r="D118" s="155"/>
      <c r="E118" s="155"/>
      <c r="F118" s="155"/>
      <c r="G118" s="162"/>
      <c r="H118" s="317">
        <f>VLOOKUP(AI104,'5b'!A:AJ,15,0)</f>
        <v>41</v>
      </c>
      <c r="I118" s="318"/>
      <c r="J118" s="168">
        <f>H118</f>
        <v>41</v>
      </c>
      <c r="K118" s="293" t="s">
        <v>21</v>
      </c>
      <c r="L118" s="294"/>
      <c r="M118" s="294"/>
      <c r="N118" s="294"/>
      <c r="O118" s="294"/>
      <c r="P118" s="295"/>
      <c r="Q118" s="168">
        <v>12</v>
      </c>
      <c r="R118" s="186" t="s">
        <v>53</v>
      </c>
      <c r="S118" s="187"/>
      <c r="T118" s="182" t="s">
        <v>1</v>
      </c>
      <c r="U118" s="182">
        <f>VLOOKUP(AI104,'5b'!A:AJ,36,0)</f>
        <v>18</v>
      </c>
      <c r="V118" s="183" t="s">
        <v>48</v>
      </c>
      <c r="W118" s="188"/>
      <c r="X118" s="189"/>
      <c r="Y118" s="189"/>
      <c r="Z118" s="189"/>
      <c r="AA118" s="189"/>
      <c r="AB118" s="190"/>
      <c r="AC118" s="307" t="s">
        <v>770</v>
      </c>
      <c r="AD118" s="308"/>
      <c r="AE118" s="308"/>
      <c r="AF118" s="308"/>
      <c r="AG118" s="308"/>
      <c r="AH118" s="309"/>
    </row>
    <row r="119" spans="1:34" ht="21" customHeight="1">
      <c r="A119" s="161">
        <v>13</v>
      </c>
      <c r="B119" s="288" t="s">
        <v>55</v>
      </c>
      <c r="C119" s="289"/>
      <c r="D119" s="289"/>
      <c r="E119" s="289"/>
      <c r="F119" s="289"/>
      <c r="G119" s="290"/>
      <c r="H119" s="317">
        <f>VLOOKUP(AI104,'5b'!A:AJ,16,0)</f>
        <v>53</v>
      </c>
      <c r="I119" s="318"/>
      <c r="J119" s="168">
        <f>H119</f>
        <v>53</v>
      </c>
      <c r="K119" s="342" t="s">
        <v>56</v>
      </c>
      <c r="L119" s="342"/>
      <c r="M119" s="342"/>
      <c r="N119" s="342"/>
      <c r="O119" s="342"/>
      <c r="P119" s="342"/>
      <c r="Q119" s="168">
        <v>13</v>
      </c>
      <c r="R119" s="16"/>
      <c r="U119" t="s">
        <v>57</v>
      </c>
      <c r="AB119" s="310" t="str">
        <f>DASHBOARD!$H$13</f>
        <v>Sumedang, 05 September 2025</v>
      </c>
      <c r="AC119" s="310"/>
      <c r="AD119" s="310"/>
      <c r="AE119" s="310"/>
      <c r="AF119" s="310"/>
      <c r="AG119" s="310"/>
      <c r="AH119" s="311"/>
    </row>
    <row r="120" spans="1:34" s="22" customFormat="1" ht="21" customHeight="1">
      <c r="A120" s="357" t="s">
        <v>62</v>
      </c>
      <c r="B120" s="357"/>
      <c r="C120" s="357"/>
      <c r="D120" s="357"/>
      <c r="E120" s="357"/>
      <c r="F120" s="357"/>
      <c r="G120" s="357"/>
      <c r="H120" s="317">
        <f>VLOOKUP(AI104,'5b'!A:AJ,28,0)</f>
        <v>660</v>
      </c>
      <c r="I120" s="318"/>
      <c r="J120" s="168">
        <f t="shared" si="9"/>
        <v>660</v>
      </c>
      <c r="K120" s="293" t="s">
        <v>63</v>
      </c>
      <c r="L120" s="294"/>
      <c r="M120" s="294"/>
      <c r="N120" s="294"/>
      <c r="O120" s="294"/>
      <c r="P120" s="294"/>
      <c r="Q120" s="295"/>
      <c r="R120" s="312" t="s">
        <v>60</v>
      </c>
      <c r="S120" s="310"/>
      <c r="T120" s="310"/>
      <c r="U120" s="310"/>
      <c r="V120" s="310"/>
      <c r="W120" s="310"/>
      <c r="X120" s="310"/>
      <c r="Y120" s="310"/>
      <c r="Z120" s="310"/>
      <c r="AA120" s="310"/>
      <c r="AB120" s="313" t="s">
        <v>61</v>
      </c>
      <c r="AC120" s="313"/>
      <c r="AD120" s="313"/>
      <c r="AE120" s="313"/>
      <c r="AF120" s="313"/>
      <c r="AG120" s="313"/>
      <c r="AH120" s="314"/>
    </row>
    <row r="121" spans="1:34" s="30" customFormat="1" ht="21" customHeight="1">
      <c r="A121" s="357" t="s">
        <v>65</v>
      </c>
      <c r="B121" s="357"/>
      <c r="C121" s="357"/>
      <c r="D121" s="357"/>
      <c r="E121" s="357"/>
      <c r="F121" s="357"/>
      <c r="G121" s="357"/>
      <c r="H121" s="291">
        <f>VLOOKUP(AI104,'5b'!A:AJ,29,0)</f>
        <v>36.666666666666664</v>
      </c>
      <c r="I121" s="292"/>
      <c r="J121" s="172">
        <f t="shared" si="9"/>
        <v>36.666666666666664</v>
      </c>
      <c r="K121" s="293" t="s">
        <v>66</v>
      </c>
      <c r="L121" s="294"/>
      <c r="M121" s="294"/>
      <c r="N121" s="294"/>
      <c r="O121" s="294"/>
      <c r="P121" s="294"/>
      <c r="Q121" s="295"/>
      <c r="R121" s="33"/>
      <c r="S121" s="34"/>
      <c r="T121" s="34"/>
      <c r="U121" s="34"/>
      <c r="V121" s="34"/>
      <c r="W121" s="34"/>
      <c r="X121" s="34"/>
      <c r="Y121" s="34"/>
      <c r="Z121" s="34"/>
      <c r="AA121" s="34"/>
      <c r="AB121" s="297" t="s">
        <v>64</v>
      </c>
      <c r="AC121" s="297"/>
      <c r="AD121" s="297"/>
      <c r="AE121" s="297"/>
      <c r="AF121" s="297"/>
      <c r="AG121" s="297"/>
      <c r="AH121" s="298"/>
    </row>
    <row r="122" spans="1:34" ht="21" customHeight="1">
      <c r="A122" s="288" t="s">
        <v>67</v>
      </c>
      <c r="B122" s="289"/>
      <c r="C122" s="289"/>
      <c r="D122" s="289"/>
      <c r="E122" s="163" t="s">
        <v>68</v>
      </c>
      <c r="F122" s="155" t="s">
        <v>69</v>
      </c>
      <c r="G122" s="164">
        <f>COUNT('5b'!B4:B27)</f>
        <v>24</v>
      </c>
      <c r="H122" s="164"/>
      <c r="I122" s="165"/>
      <c r="J122" s="173" t="s">
        <v>70</v>
      </c>
      <c r="K122" s="174"/>
      <c r="L122" s="175">
        <f>G122</f>
        <v>24</v>
      </c>
      <c r="M122" s="302" t="s">
        <v>71</v>
      </c>
      <c r="N122" s="302"/>
      <c r="O122" s="302"/>
      <c r="P122" s="176" t="str">
        <f>E122</f>
        <v>-</v>
      </c>
      <c r="Q122" s="177" t="s">
        <v>72</v>
      </c>
      <c r="R122" s="33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5"/>
    </row>
    <row r="123" spans="1:34" ht="21" customHeight="1">
      <c r="A123" s="303" t="s">
        <v>73</v>
      </c>
      <c r="B123" s="304"/>
      <c r="C123" s="304"/>
      <c r="D123" s="304"/>
      <c r="E123" s="304"/>
      <c r="F123" s="304"/>
      <c r="G123" s="304"/>
      <c r="H123" s="304"/>
      <c r="I123" s="7"/>
      <c r="J123" s="166"/>
      <c r="K123" s="195"/>
      <c r="L123" s="305" t="s">
        <v>74</v>
      </c>
      <c r="M123" s="305"/>
      <c r="N123" s="305"/>
      <c r="O123" s="305"/>
      <c r="P123" s="305"/>
      <c r="Q123" s="306"/>
      <c r="R123" s="33"/>
      <c r="S123" s="34"/>
      <c r="T123" s="34"/>
      <c r="U123" s="34"/>
      <c r="V123" s="34"/>
      <c r="W123" s="191"/>
      <c r="X123" s="191"/>
      <c r="Y123" s="191"/>
      <c r="Z123" s="191"/>
      <c r="AA123" s="191"/>
      <c r="AB123" s="34"/>
      <c r="AC123" s="34"/>
      <c r="AD123" s="34"/>
      <c r="AE123" s="34"/>
      <c r="AF123" s="34"/>
      <c r="AG123" s="34"/>
      <c r="AH123" s="35"/>
    </row>
    <row r="124" spans="1:34" ht="21" customHeight="1">
      <c r="A124" s="413" t="s">
        <v>75</v>
      </c>
      <c r="B124" s="413"/>
      <c r="C124" s="413"/>
      <c r="D124" s="413"/>
      <c r="E124" s="413"/>
      <c r="F124" s="413"/>
      <c r="G124" s="413"/>
      <c r="H124" s="413"/>
      <c r="I124" s="413"/>
      <c r="J124" s="413"/>
      <c r="K124" s="413"/>
      <c r="L124" s="413"/>
      <c r="M124" s="413"/>
      <c r="N124" s="413"/>
      <c r="O124" s="413"/>
      <c r="P124" s="413"/>
      <c r="Q124" s="414"/>
      <c r="R124" s="312"/>
      <c r="S124" s="310"/>
      <c r="T124" s="310"/>
      <c r="U124" s="310"/>
      <c r="V124" s="310"/>
      <c r="W124" s="310"/>
      <c r="X124" s="310"/>
      <c r="Y124" s="310"/>
      <c r="Z124" s="310"/>
      <c r="AA124" s="310"/>
      <c r="AB124" s="34"/>
      <c r="AC124" s="34"/>
      <c r="AD124" s="34"/>
      <c r="AE124" s="34"/>
      <c r="AF124" s="34"/>
      <c r="AG124" s="34"/>
      <c r="AH124" s="35"/>
    </row>
    <row r="125" spans="1:34" ht="21" customHeight="1">
      <c r="A125" s="161">
        <v>1</v>
      </c>
      <c r="B125" s="324" t="s">
        <v>83</v>
      </c>
      <c r="C125" s="324"/>
      <c r="D125" s="324"/>
      <c r="E125" s="324"/>
      <c r="F125" s="324"/>
      <c r="G125" s="324"/>
      <c r="H125" s="356">
        <f>VLOOKUP(AI104,'5b'!A:AJ,22,0)</f>
        <v>75</v>
      </c>
      <c r="I125" s="356"/>
      <c r="J125" s="178">
        <f t="shared" ref="J125:J130" si="10">H125</f>
        <v>75</v>
      </c>
      <c r="K125" s="342" t="s">
        <v>84</v>
      </c>
      <c r="L125" s="342"/>
      <c r="M125" s="342"/>
      <c r="N125" s="342"/>
      <c r="O125" s="342"/>
      <c r="P125" s="342"/>
      <c r="Q125" s="168">
        <v>1</v>
      </c>
      <c r="R125" s="315" t="s">
        <v>766</v>
      </c>
      <c r="S125" s="316"/>
      <c r="T125" s="316"/>
      <c r="U125" s="316"/>
      <c r="V125" s="316"/>
      <c r="W125" s="316"/>
      <c r="X125" s="316"/>
      <c r="Y125" s="316"/>
      <c r="Z125" s="316"/>
      <c r="AA125" s="316"/>
      <c r="AB125" s="308" t="s">
        <v>767</v>
      </c>
      <c r="AC125" s="308"/>
      <c r="AD125" s="308"/>
      <c r="AE125" s="308"/>
      <c r="AF125" s="308"/>
      <c r="AG125" s="308"/>
      <c r="AH125" s="309"/>
    </row>
    <row r="126" spans="1:34" ht="21" customHeight="1">
      <c r="A126" s="161">
        <v>2</v>
      </c>
      <c r="B126" s="288" t="s">
        <v>79</v>
      </c>
      <c r="C126" s="289"/>
      <c r="D126" s="289"/>
      <c r="E126" s="289"/>
      <c r="F126" s="289"/>
      <c r="G126" s="290"/>
      <c r="H126" s="356">
        <f>VLOOKUP(AI104,'5b'!A:AJ,23,0)</f>
        <v>73</v>
      </c>
      <c r="I126" s="356"/>
      <c r="J126" s="178">
        <f t="shared" si="10"/>
        <v>73</v>
      </c>
      <c r="K126" s="342" t="s">
        <v>80</v>
      </c>
      <c r="L126" s="342"/>
      <c r="M126" s="342"/>
      <c r="N126" s="342"/>
      <c r="O126" s="342"/>
      <c r="P126" s="342"/>
      <c r="Q126" s="168">
        <v>2</v>
      </c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52"/>
    </row>
    <row r="127" spans="1:34" ht="21" customHeight="1">
      <c r="A127" s="161">
        <v>3</v>
      </c>
      <c r="B127" s="324" t="s">
        <v>77</v>
      </c>
      <c r="C127" s="324"/>
      <c r="D127" s="324"/>
      <c r="E127" s="324"/>
      <c r="F127" s="324"/>
      <c r="G127" s="324"/>
      <c r="H127" s="356">
        <f>H114</f>
        <v>40</v>
      </c>
      <c r="I127" s="356"/>
      <c r="J127" s="178">
        <f t="shared" si="10"/>
        <v>40</v>
      </c>
      <c r="K127" s="342" t="s">
        <v>78</v>
      </c>
      <c r="L127" s="342"/>
      <c r="M127" s="342"/>
      <c r="N127" s="342"/>
      <c r="O127" s="342"/>
      <c r="P127" s="342"/>
      <c r="Q127" s="168">
        <v>3</v>
      </c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</row>
    <row r="128" spans="1:34" ht="21" customHeight="1">
      <c r="A128" s="161">
        <v>4</v>
      </c>
      <c r="B128" s="288" t="s">
        <v>81</v>
      </c>
      <c r="C128" s="289"/>
      <c r="D128" s="289"/>
      <c r="E128" s="289"/>
      <c r="F128" s="289"/>
      <c r="G128" s="290"/>
      <c r="H128" s="317">
        <f>VLOOKUP(AI104,'5b'!A:AJ,25,0)</f>
        <v>78</v>
      </c>
      <c r="I128" s="318"/>
      <c r="J128" s="178">
        <f t="shared" si="10"/>
        <v>78</v>
      </c>
      <c r="K128" s="342" t="s">
        <v>82</v>
      </c>
      <c r="L128" s="342"/>
      <c r="M128" s="342"/>
      <c r="N128" s="342"/>
      <c r="O128" s="342"/>
      <c r="P128" s="342"/>
      <c r="Q128" s="168">
        <v>4</v>
      </c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</row>
    <row r="129" spans="1:35" ht="21" customHeight="1">
      <c r="A129" s="161">
        <v>5</v>
      </c>
      <c r="B129" s="288" t="s">
        <v>147</v>
      </c>
      <c r="C129" s="289"/>
      <c r="D129" s="289"/>
      <c r="E129" s="289"/>
      <c r="F129" s="289"/>
      <c r="G129" s="290"/>
      <c r="H129" s="317">
        <f>VLOOKUP(AI104,'5b'!A:AJ,26,0)</f>
        <v>90</v>
      </c>
      <c r="I129" s="318"/>
      <c r="J129" s="178">
        <f t="shared" si="10"/>
        <v>90</v>
      </c>
      <c r="K129" s="342" t="s">
        <v>84</v>
      </c>
      <c r="L129" s="342"/>
      <c r="M129" s="342"/>
      <c r="N129" s="342"/>
      <c r="O129" s="342"/>
      <c r="P129" s="342"/>
      <c r="Q129" s="168">
        <v>5</v>
      </c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</row>
    <row r="130" spans="1:35" ht="21" customHeight="1">
      <c r="A130" s="161">
        <v>6</v>
      </c>
      <c r="B130" s="324" t="s">
        <v>148</v>
      </c>
      <c r="C130" s="324"/>
      <c r="D130" s="324"/>
      <c r="E130" s="324"/>
      <c r="F130" s="324"/>
      <c r="G130" s="324"/>
      <c r="H130" s="356">
        <f>VLOOKUP(AI104,'5b'!A:AJ,27,0)</f>
        <v>83</v>
      </c>
      <c r="I130" s="356"/>
      <c r="J130" s="178">
        <f t="shared" si="10"/>
        <v>83</v>
      </c>
      <c r="K130" s="342" t="s">
        <v>149</v>
      </c>
      <c r="L130" s="342"/>
      <c r="M130" s="342"/>
      <c r="N130" s="342"/>
      <c r="O130" s="342"/>
      <c r="P130" s="342"/>
      <c r="Q130" s="168">
        <v>6</v>
      </c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</row>
    <row r="131" spans="1:35" ht="21" customHeight="1">
      <c r="A131" s="357" t="s">
        <v>62</v>
      </c>
      <c r="B131" s="357"/>
      <c r="C131" s="357"/>
      <c r="D131" s="357"/>
      <c r="E131" s="357"/>
      <c r="F131" s="357"/>
      <c r="G131" s="357"/>
      <c r="H131" s="317">
        <f>SUM(H125:I130)</f>
        <v>439</v>
      </c>
      <c r="I131" s="318"/>
      <c r="J131" s="178">
        <f t="shared" ref="J131:J132" si="11">H131</f>
        <v>439</v>
      </c>
      <c r="K131" s="293" t="s">
        <v>63</v>
      </c>
      <c r="L131" s="294"/>
      <c r="M131" s="294"/>
      <c r="N131" s="294"/>
      <c r="O131" s="294"/>
      <c r="P131" s="294"/>
      <c r="Q131" s="295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</row>
    <row r="132" spans="1:35" ht="21" customHeight="1">
      <c r="A132" s="357" t="s">
        <v>65</v>
      </c>
      <c r="B132" s="357"/>
      <c r="C132" s="357"/>
      <c r="D132" s="357"/>
      <c r="E132" s="357"/>
      <c r="F132" s="357"/>
      <c r="G132" s="357"/>
      <c r="H132" s="291">
        <f>AVERAGE(H125:I130)</f>
        <v>73.166666666666671</v>
      </c>
      <c r="I132" s="292"/>
      <c r="J132" s="179">
        <f t="shared" si="11"/>
        <v>73.166666666666671</v>
      </c>
      <c r="K132" s="293" t="s">
        <v>66</v>
      </c>
      <c r="L132" s="294"/>
      <c r="M132" s="294"/>
      <c r="N132" s="294"/>
      <c r="O132" s="294"/>
      <c r="P132" s="294"/>
      <c r="Q132" s="295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</row>
    <row r="133" spans="1:35" ht="21" customHeight="1">
      <c r="A133" s="213"/>
      <c r="B133" s="214"/>
      <c r="C133" s="214"/>
      <c r="D133" s="214"/>
      <c r="E133" s="214"/>
      <c r="F133" s="214"/>
      <c r="G133" s="214"/>
      <c r="H133" s="215"/>
      <c r="I133" s="215"/>
      <c r="J133" s="216"/>
      <c r="K133" s="217"/>
      <c r="L133" s="217"/>
      <c r="M133" s="217"/>
      <c r="N133" s="217"/>
      <c r="O133" s="217"/>
      <c r="P133" s="217"/>
      <c r="Q133" s="218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</row>
    <row r="134" spans="1:35" ht="21" customHeight="1">
      <c r="A134" s="343" t="s">
        <v>0</v>
      </c>
      <c r="B134" s="344"/>
      <c r="C134" s="153" t="s">
        <v>1</v>
      </c>
      <c r="D134" s="344" t="str">
        <f>VLOOKUP(AI137,'5c'!A:AI,3,0)</f>
        <v>Muhammad Zibral Felipe F</v>
      </c>
      <c r="E134" s="344"/>
      <c r="F134" s="344"/>
      <c r="G134" s="344"/>
      <c r="H134" s="344"/>
      <c r="I134" s="344"/>
      <c r="J134" s="344"/>
      <c r="K134" s="344"/>
      <c r="L134" s="344"/>
      <c r="M134" s="344"/>
      <c r="N134" s="344"/>
      <c r="O134" s="344"/>
      <c r="P134" s="344"/>
      <c r="Q134" s="345"/>
      <c r="R134" s="343" t="s">
        <v>0</v>
      </c>
      <c r="S134" s="344"/>
      <c r="T134" s="153" t="s">
        <v>1</v>
      </c>
      <c r="U134" s="344" t="str">
        <f>D134</f>
        <v>Muhammad Zibral Felipe F</v>
      </c>
      <c r="V134" s="344"/>
      <c r="W134" s="344"/>
      <c r="X134" s="344"/>
      <c r="Y134" s="344"/>
      <c r="Z134" s="344"/>
      <c r="AA134" s="344"/>
      <c r="AB134" s="344"/>
      <c r="AC134" s="344"/>
      <c r="AD134" s="344"/>
      <c r="AE134" s="344"/>
      <c r="AF134" s="344"/>
      <c r="AG134" s="344"/>
      <c r="AH134" s="345"/>
    </row>
    <row r="135" spans="1:35" ht="21" customHeight="1">
      <c r="A135" s="346" t="s">
        <v>2</v>
      </c>
      <c r="B135" s="347"/>
      <c r="C135" s="154" t="s">
        <v>1</v>
      </c>
      <c r="D135" s="347" t="s">
        <v>781</v>
      </c>
      <c r="E135" s="347"/>
      <c r="F135" s="347"/>
      <c r="G135" s="347"/>
      <c r="H135" s="347"/>
      <c r="I135" s="347"/>
      <c r="J135" s="159" t="s">
        <v>3</v>
      </c>
      <c r="K135" s="347">
        <f>VLOOKUP(AI137,'5c'!A:AI,2,0)</f>
        <v>19200110</v>
      </c>
      <c r="L135" s="347"/>
      <c r="M135" s="347"/>
      <c r="N135" s="347"/>
      <c r="O135" s="347"/>
      <c r="P135" s="347"/>
      <c r="Q135" s="348"/>
      <c r="R135" s="346" t="s">
        <v>2</v>
      </c>
      <c r="S135" s="347"/>
      <c r="T135" s="154" t="s">
        <v>1</v>
      </c>
      <c r="U135" s="347" t="str">
        <f>D135</f>
        <v>5-C</v>
      </c>
      <c r="V135" s="347"/>
      <c r="W135" s="347"/>
      <c r="X135" s="347"/>
      <c r="Y135" s="347"/>
      <c r="Z135" s="347"/>
      <c r="AA135" s="159" t="s">
        <v>3</v>
      </c>
      <c r="AB135" s="347">
        <f>K135</f>
        <v>19200110</v>
      </c>
      <c r="AC135" s="347"/>
      <c r="AD135" s="347"/>
      <c r="AE135" s="347"/>
      <c r="AF135" s="347"/>
      <c r="AG135" s="347"/>
      <c r="AH135" s="348"/>
      <c r="AI135" t="s">
        <v>781</v>
      </c>
    </row>
    <row r="136" spans="1:35" ht="21" customHeight="1">
      <c r="A136" s="343" t="s">
        <v>4</v>
      </c>
      <c r="B136" s="344"/>
      <c r="C136" s="153" t="s">
        <v>1</v>
      </c>
      <c r="D136" s="304" t="str">
        <f>DASHBOARD!$H$11</f>
        <v>2025/2026</v>
      </c>
      <c r="E136" s="304"/>
      <c r="F136" s="304"/>
      <c r="G136" s="304"/>
      <c r="H136" s="304"/>
      <c r="I136" s="304"/>
      <c r="J136" s="304"/>
      <c r="K136" s="304"/>
      <c r="L136" s="304"/>
      <c r="M136" s="304"/>
      <c r="N136" s="304"/>
      <c r="O136" s="304"/>
      <c r="P136" s="304"/>
      <c r="Q136" s="349"/>
      <c r="R136" s="330" t="s">
        <v>5</v>
      </c>
      <c r="S136" s="331"/>
      <c r="T136" s="331"/>
      <c r="U136" s="331"/>
      <c r="V136" s="331"/>
      <c r="W136" s="331"/>
      <c r="X136" s="332"/>
      <c r="Y136" s="333" t="s">
        <v>6</v>
      </c>
      <c r="Z136" s="334"/>
      <c r="AA136" s="337" t="s">
        <v>7</v>
      </c>
      <c r="AB136" s="330" t="s">
        <v>8</v>
      </c>
      <c r="AC136" s="331"/>
      <c r="AD136" s="331"/>
      <c r="AE136" s="331"/>
      <c r="AF136" s="331"/>
      <c r="AG136" s="331"/>
      <c r="AH136" s="332"/>
      <c r="AI136" s="2" t="s">
        <v>9</v>
      </c>
    </row>
    <row r="137" spans="1:35" ht="21" customHeight="1">
      <c r="A137" s="303" t="s">
        <v>10</v>
      </c>
      <c r="B137" s="304"/>
      <c r="C137" s="160" t="s">
        <v>1</v>
      </c>
      <c r="D137" s="350" t="str">
        <f>DASHBOARD!$H$12</f>
        <v>1 (Satu)</v>
      </c>
      <c r="E137" s="350"/>
      <c r="F137" s="350"/>
      <c r="G137" s="350"/>
      <c r="H137" s="350"/>
      <c r="I137" s="351"/>
      <c r="J137" s="352" t="str">
        <f>DASHBOARD!$I$12</f>
        <v>الأول</v>
      </c>
      <c r="K137" s="353"/>
      <c r="L137" s="353"/>
      <c r="M137" s="353"/>
      <c r="N137" s="160" t="s">
        <v>1</v>
      </c>
      <c r="O137" s="354" t="s">
        <v>11</v>
      </c>
      <c r="P137" s="354"/>
      <c r="Q137" s="355"/>
      <c r="R137" s="339" t="s">
        <v>12</v>
      </c>
      <c r="S137" s="340"/>
      <c r="T137" s="340"/>
      <c r="U137" s="340"/>
      <c r="V137" s="340"/>
      <c r="W137" s="340"/>
      <c r="X137" s="341"/>
      <c r="Y137" s="335"/>
      <c r="Z137" s="336"/>
      <c r="AA137" s="338"/>
      <c r="AB137" s="339" t="s">
        <v>13</v>
      </c>
      <c r="AC137" s="340"/>
      <c r="AD137" s="340"/>
      <c r="AE137" s="340"/>
      <c r="AF137" s="340"/>
      <c r="AG137" s="340"/>
      <c r="AH137" s="341"/>
      <c r="AI137" s="3">
        <v>1</v>
      </c>
    </row>
    <row r="138" spans="1:35" ht="21" customHeight="1">
      <c r="A138" s="330" t="s">
        <v>5</v>
      </c>
      <c r="B138" s="331"/>
      <c r="C138" s="331"/>
      <c r="D138" s="331"/>
      <c r="E138" s="331"/>
      <c r="F138" s="331"/>
      <c r="G138" s="331"/>
      <c r="H138" s="333" t="s">
        <v>6</v>
      </c>
      <c r="I138" s="334"/>
      <c r="J138" s="337" t="s">
        <v>7</v>
      </c>
      <c r="K138" s="330" t="s">
        <v>8</v>
      </c>
      <c r="L138" s="331"/>
      <c r="M138" s="331"/>
      <c r="N138" s="331"/>
      <c r="O138" s="331"/>
      <c r="P138" s="331"/>
      <c r="Q138" s="332"/>
      <c r="R138" s="161">
        <v>1</v>
      </c>
      <c r="S138" s="288" t="s">
        <v>14</v>
      </c>
      <c r="T138" s="289"/>
      <c r="U138" s="289"/>
      <c r="V138" s="289"/>
      <c r="W138" s="289"/>
      <c r="X138" s="290"/>
      <c r="Y138" s="361">
        <f>VLOOKUP(AI137,'5c'!A:AI,17,0)</f>
        <v>99</v>
      </c>
      <c r="Z138" s="362"/>
      <c r="AA138" s="168">
        <f>Y138</f>
        <v>99</v>
      </c>
      <c r="AB138" s="293" t="s">
        <v>15</v>
      </c>
      <c r="AC138" s="294"/>
      <c r="AD138" s="294"/>
      <c r="AE138" s="294"/>
      <c r="AF138" s="294"/>
      <c r="AG138" s="295"/>
      <c r="AH138" s="168">
        <v>1</v>
      </c>
      <c r="AI138" s="54"/>
    </row>
    <row r="139" spans="1:35" ht="21" customHeight="1">
      <c r="A139" s="339" t="s">
        <v>16</v>
      </c>
      <c r="B139" s="340"/>
      <c r="C139" s="340"/>
      <c r="D139" s="340"/>
      <c r="E139" s="340"/>
      <c r="F139" s="340"/>
      <c r="G139" s="340"/>
      <c r="H139" s="335"/>
      <c r="I139" s="336"/>
      <c r="J139" s="338"/>
      <c r="K139" s="339" t="s">
        <v>17</v>
      </c>
      <c r="L139" s="340"/>
      <c r="M139" s="340"/>
      <c r="N139" s="340"/>
      <c r="O139" s="340"/>
      <c r="P139" s="340"/>
      <c r="Q139" s="341"/>
      <c r="R139" s="161">
        <v>2</v>
      </c>
      <c r="S139" s="288" t="s">
        <v>22</v>
      </c>
      <c r="T139" s="289"/>
      <c r="U139" s="289"/>
      <c r="V139" s="289"/>
      <c r="W139" s="289"/>
      <c r="X139" s="290"/>
      <c r="Y139" s="361">
        <f>VLOOKUP(AI137,'5c'!A:AI,18,0)</f>
        <v>90</v>
      </c>
      <c r="Z139" s="362"/>
      <c r="AA139" s="168">
        <f>Y139</f>
        <v>90</v>
      </c>
      <c r="AB139" s="293" t="s">
        <v>23</v>
      </c>
      <c r="AC139" s="294"/>
      <c r="AD139" s="294"/>
      <c r="AE139" s="294"/>
      <c r="AF139" s="294"/>
      <c r="AG139" s="295"/>
      <c r="AH139" s="168">
        <v>2</v>
      </c>
    </row>
    <row r="140" spans="1:35" ht="21" customHeight="1">
      <c r="A140" s="4">
        <v>1</v>
      </c>
      <c r="B140" s="412" t="s">
        <v>20</v>
      </c>
      <c r="C140" s="412"/>
      <c r="D140" s="412"/>
      <c r="E140" s="412"/>
      <c r="F140" s="412"/>
      <c r="G140" s="412"/>
      <c r="H140" s="378">
        <f>VLOOKUP(AI137,'5c'!A:AI,4,0)</f>
        <v>99</v>
      </c>
      <c r="I140" s="379"/>
      <c r="J140" s="53">
        <f>H140</f>
        <v>99</v>
      </c>
      <c r="K140" s="402" t="s">
        <v>19</v>
      </c>
      <c r="L140" s="402"/>
      <c r="M140" s="402"/>
      <c r="N140" s="402"/>
      <c r="O140" s="402"/>
      <c r="P140" s="402"/>
      <c r="Q140" s="9">
        <v>1</v>
      </c>
      <c r="R140" s="161">
        <v>3</v>
      </c>
      <c r="S140" s="158" t="s">
        <v>87</v>
      </c>
      <c r="T140" s="155"/>
      <c r="U140" s="155"/>
      <c r="V140" s="155"/>
      <c r="W140" s="155"/>
      <c r="X140" s="162"/>
      <c r="Y140" s="361">
        <f>VLOOKUP(AI137,'5c'!A:AI,19,0)</f>
        <v>90</v>
      </c>
      <c r="Z140" s="362"/>
      <c r="AA140" s="168">
        <f>Y140</f>
        <v>90</v>
      </c>
      <c r="AB140" s="370" t="s">
        <v>21</v>
      </c>
      <c r="AC140" s="371"/>
      <c r="AD140" s="371"/>
      <c r="AE140" s="371"/>
      <c r="AF140" s="371"/>
      <c r="AG140" s="372"/>
      <c r="AH140" s="168">
        <v>3</v>
      </c>
    </row>
    <row r="141" spans="1:35" ht="21" customHeight="1">
      <c r="A141" s="4">
        <v>2</v>
      </c>
      <c r="B141" s="412" t="s">
        <v>22</v>
      </c>
      <c r="C141" s="412"/>
      <c r="D141" s="412"/>
      <c r="E141" s="412"/>
      <c r="F141" s="412"/>
      <c r="G141" s="412"/>
      <c r="H141" s="378">
        <f>VLOOKUP(AI137,'5c'!A:AI,5,0)</f>
        <v>82</v>
      </c>
      <c r="I141" s="379"/>
      <c r="J141" s="53">
        <f t="shared" ref="J141:J154" si="12">H141</f>
        <v>82</v>
      </c>
      <c r="K141" s="402" t="s">
        <v>23</v>
      </c>
      <c r="L141" s="402"/>
      <c r="M141" s="402"/>
      <c r="N141" s="402"/>
      <c r="O141" s="402"/>
      <c r="P141" s="402"/>
      <c r="Q141" s="9">
        <v>2</v>
      </c>
      <c r="R141" s="161">
        <v>4</v>
      </c>
      <c r="S141" s="412" t="s">
        <v>20</v>
      </c>
      <c r="T141" s="412"/>
      <c r="U141" s="412"/>
      <c r="V141" s="412"/>
      <c r="W141" s="412"/>
      <c r="X141" s="412"/>
      <c r="Y141" s="361">
        <f>VLOOKUP(AI137,'5c'!A:AI,20,0)</f>
        <v>93</v>
      </c>
      <c r="Z141" s="362"/>
      <c r="AA141" s="168">
        <f>Y141</f>
        <v>93</v>
      </c>
      <c r="AB141" s="402" t="s">
        <v>19</v>
      </c>
      <c r="AC141" s="402"/>
      <c r="AD141" s="402"/>
      <c r="AE141" s="402"/>
      <c r="AF141" s="402"/>
      <c r="AG141" s="402"/>
      <c r="AH141" s="168">
        <v>4</v>
      </c>
    </row>
    <row r="142" spans="1:35" ht="21" customHeight="1">
      <c r="A142" s="4">
        <v>3</v>
      </c>
      <c r="B142" s="5" t="s">
        <v>24</v>
      </c>
      <c r="C142" s="6"/>
      <c r="D142" s="6"/>
      <c r="E142" s="6"/>
      <c r="F142" s="6"/>
      <c r="G142" s="7"/>
      <c r="H142" s="378">
        <f>VLOOKUP(AI137,'5c'!A:AI,6,0)</f>
        <v>98</v>
      </c>
      <c r="I142" s="379"/>
      <c r="J142" s="53">
        <f t="shared" si="12"/>
        <v>98</v>
      </c>
      <c r="K142" s="370" t="s">
        <v>25</v>
      </c>
      <c r="L142" s="371"/>
      <c r="M142" s="371"/>
      <c r="N142" s="371"/>
      <c r="O142" s="371"/>
      <c r="P142" s="372"/>
      <c r="Q142" s="9">
        <v>3</v>
      </c>
      <c r="R142" s="161"/>
      <c r="S142" s="412"/>
      <c r="T142" s="412"/>
      <c r="U142" s="412"/>
      <c r="V142" s="412"/>
      <c r="W142" s="412"/>
      <c r="X142" s="412"/>
      <c r="Y142" s="361"/>
      <c r="Z142" s="362"/>
      <c r="AA142" s="168"/>
      <c r="AB142" s="402"/>
      <c r="AC142" s="402"/>
      <c r="AD142" s="402"/>
      <c r="AE142" s="402"/>
      <c r="AF142" s="402"/>
      <c r="AG142" s="402"/>
      <c r="AH142" s="168"/>
    </row>
    <row r="143" spans="1:35" ht="21" customHeight="1">
      <c r="A143" s="4">
        <v>4</v>
      </c>
      <c r="B143" s="303" t="s">
        <v>26</v>
      </c>
      <c r="C143" s="304"/>
      <c r="D143" s="304"/>
      <c r="E143" s="304"/>
      <c r="F143" s="304"/>
      <c r="G143" s="349"/>
      <c r="H143" s="378">
        <f>VLOOKUP(AI137,'5c'!A:AI,7,0)</f>
        <v>99</v>
      </c>
      <c r="I143" s="379"/>
      <c r="J143" s="53">
        <f t="shared" si="12"/>
        <v>99</v>
      </c>
      <c r="K143" s="370" t="s">
        <v>27</v>
      </c>
      <c r="L143" s="371"/>
      <c r="M143" s="371"/>
      <c r="N143" s="371"/>
      <c r="O143" s="371"/>
      <c r="P143" s="372"/>
      <c r="Q143" s="9">
        <v>4</v>
      </c>
      <c r="R143" s="299" t="s">
        <v>768</v>
      </c>
      <c r="S143" s="300"/>
      <c r="T143" s="300"/>
      <c r="U143" s="300"/>
      <c r="V143" s="301"/>
      <c r="W143" s="327" t="s">
        <v>28</v>
      </c>
      <c r="X143" s="328"/>
      <c r="Y143" s="328"/>
      <c r="Z143" s="328"/>
      <c r="AA143" s="328"/>
      <c r="AB143" s="329"/>
      <c r="AC143" s="327" t="s">
        <v>29</v>
      </c>
      <c r="AD143" s="328"/>
      <c r="AE143" s="328"/>
      <c r="AF143" s="328"/>
      <c r="AG143" s="328"/>
      <c r="AH143" s="329"/>
    </row>
    <row r="144" spans="1:35" ht="21" customHeight="1">
      <c r="A144" s="4">
        <v>5</v>
      </c>
      <c r="B144" s="303" t="s">
        <v>30</v>
      </c>
      <c r="C144" s="304"/>
      <c r="D144" s="304"/>
      <c r="E144" s="304"/>
      <c r="F144" s="304"/>
      <c r="G144" s="349"/>
      <c r="H144" s="378">
        <f>VLOOKUP(AI137,'5c'!A:AI,8,0)</f>
        <v>96</v>
      </c>
      <c r="I144" s="379"/>
      <c r="J144" s="53">
        <f t="shared" si="12"/>
        <v>96</v>
      </c>
      <c r="K144" s="370" t="s">
        <v>31</v>
      </c>
      <c r="L144" s="371"/>
      <c r="M144" s="371"/>
      <c r="N144" s="371"/>
      <c r="O144" s="371"/>
      <c r="P144" s="372"/>
      <c r="Q144" s="9">
        <v>5</v>
      </c>
      <c r="R144" s="319" t="s">
        <v>32</v>
      </c>
      <c r="S144" s="320"/>
      <c r="T144" s="320"/>
      <c r="U144" s="180" t="s">
        <v>1</v>
      </c>
      <c r="V144" s="181" t="str">
        <f>VLOOKUP(AI137,'5c'!A:AI,30,0)</f>
        <v>B</v>
      </c>
      <c r="W144" s="321" t="s">
        <v>33</v>
      </c>
      <c r="X144" s="322"/>
      <c r="Y144" s="322"/>
      <c r="Z144" s="322"/>
      <c r="AA144" s="322"/>
      <c r="AB144" s="323"/>
      <c r="AC144" s="296" t="s">
        <v>33</v>
      </c>
      <c r="AD144" s="297"/>
      <c r="AE144" s="297"/>
      <c r="AF144" s="297"/>
      <c r="AG144" s="297"/>
      <c r="AH144" s="298"/>
    </row>
    <row r="145" spans="1:36" ht="21" customHeight="1">
      <c r="A145" s="4">
        <v>6</v>
      </c>
      <c r="B145" s="303" t="s">
        <v>34</v>
      </c>
      <c r="C145" s="304"/>
      <c r="D145" s="304"/>
      <c r="E145" s="304"/>
      <c r="F145" s="304"/>
      <c r="G145" s="349"/>
      <c r="H145" s="378">
        <f>VLOOKUP(AI137,'5c'!A:AI,9,0)</f>
        <v>96</v>
      </c>
      <c r="I145" s="379"/>
      <c r="J145" s="53">
        <f t="shared" si="12"/>
        <v>96</v>
      </c>
      <c r="K145" s="370" t="s">
        <v>35</v>
      </c>
      <c r="L145" s="371"/>
      <c r="M145" s="371"/>
      <c r="N145" s="371"/>
      <c r="O145" s="371"/>
      <c r="P145" s="372"/>
      <c r="Q145" s="9">
        <v>6</v>
      </c>
      <c r="R145" s="319" t="s">
        <v>36</v>
      </c>
      <c r="S145" s="320"/>
      <c r="T145" s="320"/>
      <c r="U145" s="180" t="s">
        <v>1</v>
      </c>
      <c r="V145" s="181" t="str">
        <f>VLOOKUP(AI137,'5c'!A:AI,31,0)</f>
        <v>B</v>
      </c>
      <c r="W145" s="403"/>
      <c r="X145" s="404"/>
      <c r="Y145" s="404"/>
      <c r="Z145" s="404"/>
      <c r="AA145" s="404"/>
      <c r="AB145" s="405"/>
      <c r="AC145" s="16"/>
      <c r="AH145" s="17"/>
    </row>
    <row r="146" spans="1:36" ht="21" customHeight="1">
      <c r="A146" s="4">
        <v>7</v>
      </c>
      <c r="B146" s="303" t="s">
        <v>37</v>
      </c>
      <c r="C146" s="304"/>
      <c r="D146" s="304"/>
      <c r="E146" s="304"/>
      <c r="F146" s="304"/>
      <c r="G146" s="349"/>
      <c r="H146" s="378">
        <f>VLOOKUP(AI137,'5c'!A:AI,10,0)</f>
        <v>97</v>
      </c>
      <c r="I146" s="379"/>
      <c r="J146" s="53">
        <f t="shared" si="12"/>
        <v>97</v>
      </c>
      <c r="K146" s="370" t="s">
        <v>38</v>
      </c>
      <c r="L146" s="371"/>
      <c r="M146" s="371"/>
      <c r="N146" s="371"/>
      <c r="O146" s="371"/>
      <c r="P146" s="372"/>
      <c r="Q146" s="9">
        <v>7</v>
      </c>
      <c r="R146" s="325" t="s">
        <v>39</v>
      </c>
      <c r="S146" s="326"/>
      <c r="T146" s="326"/>
      <c r="U146" s="182" t="s">
        <v>1</v>
      </c>
      <c r="V146" s="183" t="str">
        <f>VLOOKUP(AI137,'5c'!A:AI,32,0)</f>
        <v>B</v>
      </c>
      <c r="W146" s="406"/>
      <c r="X146" s="407"/>
      <c r="Y146" s="407"/>
      <c r="Z146" s="407"/>
      <c r="AA146" s="407"/>
      <c r="AB146" s="408"/>
      <c r="AC146" s="16"/>
      <c r="AH146" s="17"/>
    </row>
    <row r="147" spans="1:36" ht="21" customHeight="1">
      <c r="A147" s="4">
        <v>8</v>
      </c>
      <c r="B147" s="303" t="s">
        <v>40</v>
      </c>
      <c r="C147" s="304"/>
      <c r="D147" s="304"/>
      <c r="E147" s="304"/>
      <c r="F147" s="304"/>
      <c r="G147" s="349"/>
      <c r="H147" s="378">
        <f>VLOOKUP(AI137,'5c'!A:AI,11,0)</f>
        <v>98</v>
      </c>
      <c r="I147" s="379"/>
      <c r="J147" s="53">
        <f t="shared" si="12"/>
        <v>98</v>
      </c>
      <c r="K147" s="370" t="s">
        <v>41</v>
      </c>
      <c r="L147" s="371"/>
      <c r="M147" s="371"/>
      <c r="N147" s="371"/>
      <c r="O147" s="371"/>
      <c r="P147" s="372"/>
      <c r="Q147" s="9">
        <v>8</v>
      </c>
      <c r="R147" s="327" t="s">
        <v>42</v>
      </c>
      <c r="S147" s="328"/>
      <c r="T147" s="328"/>
      <c r="U147" s="328"/>
      <c r="V147" s="329"/>
      <c r="W147" s="406"/>
      <c r="X147" s="407"/>
      <c r="Y147" s="407"/>
      <c r="Z147" s="407"/>
      <c r="AA147" s="407"/>
      <c r="AB147" s="408"/>
      <c r="AC147" s="307" t="str">
        <f>DASHBOARD!H20</f>
        <v>Mu'allim Muhammad</v>
      </c>
      <c r="AD147" s="308"/>
      <c r="AE147" s="308"/>
      <c r="AF147" s="308"/>
      <c r="AG147" s="308"/>
      <c r="AH147" s="309"/>
    </row>
    <row r="148" spans="1:36" ht="21" customHeight="1">
      <c r="A148" s="4">
        <v>9</v>
      </c>
      <c r="B148" s="303" t="s">
        <v>14</v>
      </c>
      <c r="C148" s="304"/>
      <c r="D148" s="304"/>
      <c r="E148" s="304"/>
      <c r="F148" s="304"/>
      <c r="G148" s="349"/>
      <c r="H148" s="378">
        <f>VLOOKUP(AI137,'5c'!A:AI,12,0)</f>
        <v>79</v>
      </c>
      <c r="I148" s="379"/>
      <c r="J148" s="53">
        <f t="shared" si="12"/>
        <v>79</v>
      </c>
      <c r="K148" s="370" t="s">
        <v>15</v>
      </c>
      <c r="L148" s="371"/>
      <c r="M148" s="371"/>
      <c r="N148" s="371"/>
      <c r="O148" s="371"/>
      <c r="P148" s="372"/>
      <c r="Q148" s="9">
        <v>9</v>
      </c>
      <c r="R148" s="296" t="s">
        <v>43</v>
      </c>
      <c r="S148" s="297"/>
      <c r="T148" s="297"/>
      <c r="U148" s="297"/>
      <c r="V148" s="298"/>
      <c r="W148" s="406"/>
      <c r="X148" s="407"/>
      <c r="Y148" s="407"/>
      <c r="Z148" s="407"/>
      <c r="AA148" s="407"/>
      <c r="AB148" s="408"/>
      <c r="AC148" s="299" t="s">
        <v>44</v>
      </c>
      <c r="AD148" s="300"/>
      <c r="AE148" s="300"/>
      <c r="AF148" s="300"/>
      <c r="AG148" s="300"/>
      <c r="AH148" s="301"/>
    </row>
    <row r="149" spans="1:36" ht="21" customHeight="1">
      <c r="A149" s="4">
        <v>10</v>
      </c>
      <c r="B149" s="303" t="s">
        <v>45</v>
      </c>
      <c r="C149" s="304"/>
      <c r="D149" s="304"/>
      <c r="E149" s="304"/>
      <c r="F149" s="304"/>
      <c r="G149" s="349"/>
      <c r="H149" s="378">
        <f>VLOOKUP(AI137,'5c'!A:AI,13,0)</f>
        <v>96</v>
      </c>
      <c r="I149" s="379"/>
      <c r="J149" s="53">
        <f t="shared" si="12"/>
        <v>96</v>
      </c>
      <c r="K149" s="370" t="s">
        <v>46</v>
      </c>
      <c r="L149" s="371"/>
      <c r="M149" s="371"/>
      <c r="N149" s="371"/>
      <c r="O149" s="371"/>
      <c r="P149" s="372"/>
      <c r="Q149" s="9">
        <v>10</v>
      </c>
      <c r="R149" s="184" t="s">
        <v>47</v>
      </c>
      <c r="S149" s="185"/>
      <c r="T149" s="180" t="s">
        <v>1</v>
      </c>
      <c r="U149" s="180">
        <f>VLOOKUP(AI137,'5c'!A:AI,33,0)</f>
        <v>0</v>
      </c>
      <c r="V149" s="181" t="s">
        <v>100</v>
      </c>
      <c r="W149" s="406"/>
      <c r="X149" s="407"/>
      <c r="Y149" s="407"/>
      <c r="Z149" s="407"/>
      <c r="AA149" s="407"/>
      <c r="AB149" s="408"/>
      <c r="AC149" s="16"/>
      <c r="AH149" s="17"/>
    </row>
    <row r="150" spans="1:36" ht="21" customHeight="1">
      <c r="A150" s="4">
        <v>11</v>
      </c>
      <c r="B150" s="5" t="s">
        <v>49</v>
      </c>
      <c r="C150" s="6"/>
      <c r="D150" s="6"/>
      <c r="E150" s="6"/>
      <c r="F150" s="6"/>
      <c r="G150" s="7"/>
      <c r="H150" s="378">
        <f>VLOOKUP(AI137,'5c'!A:AI,14,0)</f>
        <v>91</v>
      </c>
      <c r="I150" s="379"/>
      <c r="J150" s="53">
        <f t="shared" si="12"/>
        <v>91</v>
      </c>
      <c r="K150" s="370" t="s">
        <v>50</v>
      </c>
      <c r="L150" s="371"/>
      <c r="M150" s="371"/>
      <c r="N150" s="371"/>
      <c r="O150" s="371"/>
      <c r="P150" s="372"/>
      <c r="Q150" s="9">
        <v>11</v>
      </c>
      <c r="R150" s="184" t="s">
        <v>51</v>
      </c>
      <c r="S150" s="185"/>
      <c r="T150" s="180" t="s">
        <v>1</v>
      </c>
      <c r="U150" s="180">
        <f>VLOOKUP(AI137,'5c'!A:AI,34,0)</f>
        <v>0</v>
      </c>
      <c r="V150" s="181" t="s">
        <v>100</v>
      </c>
      <c r="W150" s="406"/>
      <c r="X150" s="407"/>
      <c r="Y150" s="407"/>
      <c r="Z150" s="407"/>
      <c r="AA150" s="407"/>
      <c r="AB150" s="408"/>
      <c r="AC150" s="16"/>
      <c r="AH150" s="17"/>
    </row>
    <row r="151" spans="1:36" ht="21" customHeight="1">
      <c r="A151" s="4">
        <v>12</v>
      </c>
      <c r="B151" s="5" t="s">
        <v>52</v>
      </c>
      <c r="C151" s="6"/>
      <c r="D151" s="6"/>
      <c r="E151" s="6"/>
      <c r="F151" s="6"/>
      <c r="G151" s="7"/>
      <c r="H151" s="378">
        <f>VLOOKUP(AI137,'5c'!A:AI,15,0)</f>
        <v>90</v>
      </c>
      <c r="I151" s="379"/>
      <c r="J151" s="53">
        <f t="shared" si="12"/>
        <v>90</v>
      </c>
      <c r="K151" s="370" t="s">
        <v>21</v>
      </c>
      <c r="L151" s="371"/>
      <c r="M151" s="371"/>
      <c r="N151" s="371"/>
      <c r="O151" s="371"/>
      <c r="P151" s="372"/>
      <c r="Q151" s="9">
        <v>12</v>
      </c>
      <c r="R151" s="186" t="s">
        <v>53</v>
      </c>
      <c r="S151" s="187"/>
      <c r="T151" s="182" t="s">
        <v>1</v>
      </c>
      <c r="U151" s="182">
        <f>VLOOKUP(AI137,'5c'!A:AI,35,0)</f>
        <v>0</v>
      </c>
      <c r="V151" s="183" t="s">
        <v>100</v>
      </c>
      <c r="W151" s="409"/>
      <c r="X151" s="410"/>
      <c r="Y151" s="410"/>
      <c r="Z151" s="410"/>
      <c r="AA151" s="410"/>
      <c r="AB151" s="411"/>
      <c r="AC151" s="307" t="s">
        <v>770</v>
      </c>
      <c r="AD151" s="308"/>
      <c r="AE151" s="308"/>
      <c r="AF151" s="308"/>
      <c r="AG151" s="308"/>
      <c r="AH151" s="309"/>
    </row>
    <row r="152" spans="1:36" ht="21" customHeight="1">
      <c r="A152" s="4">
        <v>13</v>
      </c>
      <c r="B152" s="5" t="s">
        <v>55</v>
      </c>
      <c r="C152" s="6"/>
      <c r="D152" s="6"/>
      <c r="E152" s="6"/>
      <c r="F152" s="6"/>
      <c r="G152" s="7"/>
      <c r="H152" s="378">
        <f>VLOOKUP(AI137,'5c'!A:AI,16,0)</f>
        <v>87</v>
      </c>
      <c r="I152" s="379"/>
      <c r="J152" s="53">
        <f t="shared" si="12"/>
        <v>87</v>
      </c>
      <c r="K152" s="402" t="s">
        <v>56</v>
      </c>
      <c r="L152" s="402"/>
      <c r="M152" s="402"/>
      <c r="N152" s="402"/>
      <c r="O152" s="402"/>
      <c r="P152" s="402"/>
      <c r="Q152" s="9">
        <v>13</v>
      </c>
      <c r="R152" s="16"/>
      <c r="U152" t="s">
        <v>57</v>
      </c>
      <c r="AB152" s="310" t="str">
        <f>DASHBOARD!$H$13</f>
        <v>Sumedang, 05 September 2025</v>
      </c>
      <c r="AC152" s="310"/>
      <c r="AD152" s="310"/>
      <c r="AE152" s="310"/>
      <c r="AF152" s="310"/>
      <c r="AG152" s="310"/>
      <c r="AH152" s="311"/>
    </row>
    <row r="153" spans="1:36" ht="21" customHeight="1">
      <c r="A153" s="303" t="s">
        <v>62</v>
      </c>
      <c r="B153" s="304"/>
      <c r="C153" s="304"/>
      <c r="D153" s="304"/>
      <c r="E153" s="304"/>
      <c r="F153" s="304"/>
      <c r="G153" s="349"/>
      <c r="H153" s="378">
        <f>VLOOKUP(AI137,'5c'!A:AI,27,0)</f>
        <v>1580</v>
      </c>
      <c r="I153" s="379"/>
      <c r="J153" s="53">
        <f t="shared" si="12"/>
        <v>1580</v>
      </c>
      <c r="K153" s="370" t="s">
        <v>63</v>
      </c>
      <c r="L153" s="371"/>
      <c r="M153" s="371"/>
      <c r="N153" s="371"/>
      <c r="O153" s="371"/>
      <c r="P153" s="371"/>
      <c r="Q153" s="372"/>
      <c r="R153" s="312" t="s">
        <v>60</v>
      </c>
      <c r="S153" s="310"/>
      <c r="T153" s="310"/>
      <c r="U153" s="310"/>
      <c r="V153" s="310"/>
      <c r="W153" s="310"/>
      <c r="X153" s="310"/>
      <c r="Y153" s="310"/>
      <c r="Z153" s="310"/>
      <c r="AA153" s="310"/>
      <c r="AB153" s="313" t="s">
        <v>61</v>
      </c>
      <c r="AC153" s="313"/>
      <c r="AD153" s="313"/>
      <c r="AE153" s="313"/>
      <c r="AF153" s="313"/>
      <c r="AG153" s="313"/>
      <c r="AH153" s="314"/>
      <c r="AI153" s="22"/>
      <c r="AJ153" s="22"/>
    </row>
    <row r="154" spans="1:36" ht="21" customHeight="1">
      <c r="A154" s="303" t="s">
        <v>65</v>
      </c>
      <c r="B154" s="304"/>
      <c r="C154" s="304"/>
      <c r="D154" s="304"/>
      <c r="E154" s="304"/>
      <c r="F154" s="304"/>
      <c r="G154" s="349"/>
      <c r="H154" s="373">
        <f>VLOOKUP(AI137,'5c'!A:AI,28,0)</f>
        <v>92.941176470588232</v>
      </c>
      <c r="I154" s="374"/>
      <c r="J154" s="55">
        <f t="shared" si="12"/>
        <v>92.941176470588232</v>
      </c>
      <c r="K154" s="370" t="s">
        <v>66</v>
      </c>
      <c r="L154" s="371"/>
      <c r="M154" s="371"/>
      <c r="N154" s="371"/>
      <c r="O154" s="371"/>
      <c r="P154" s="371"/>
      <c r="Q154" s="372"/>
      <c r="R154" s="33"/>
      <c r="S154" s="34"/>
      <c r="T154" s="34"/>
      <c r="U154" s="34"/>
      <c r="V154" s="34"/>
      <c r="W154" s="34"/>
      <c r="X154" s="34"/>
      <c r="Y154" s="34"/>
      <c r="Z154" s="34"/>
      <c r="AA154" s="34"/>
      <c r="AB154" s="297" t="s">
        <v>64</v>
      </c>
      <c r="AC154" s="297"/>
      <c r="AD154" s="297"/>
      <c r="AE154" s="297"/>
      <c r="AF154" s="297"/>
      <c r="AG154" s="297"/>
      <c r="AH154" s="298"/>
      <c r="AI154" s="30"/>
      <c r="AJ154" s="30"/>
    </row>
    <row r="155" spans="1:36" ht="21" customHeight="1">
      <c r="A155" s="303" t="s">
        <v>67</v>
      </c>
      <c r="B155" s="304"/>
      <c r="C155" s="304"/>
      <c r="D155" s="304"/>
      <c r="E155" s="56">
        <f>VLOOKUP(AI137,'5c'!A:AI,29,0)</f>
        <v>1</v>
      </c>
      <c r="F155" s="6" t="s">
        <v>69</v>
      </c>
      <c r="G155" s="36">
        <f>COUNT('5c'!B4:B29)</f>
        <v>26</v>
      </c>
      <c r="H155" s="36"/>
      <c r="I155" s="8"/>
      <c r="J155" s="37" t="s">
        <v>70</v>
      </c>
      <c r="K155" s="38"/>
      <c r="L155" s="39">
        <f>G155</f>
        <v>26</v>
      </c>
      <c r="M155" s="375" t="s">
        <v>71</v>
      </c>
      <c r="N155" s="375"/>
      <c r="O155" s="375"/>
      <c r="P155" s="40">
        <f>E155</f>
        <v>1</v>
      </c>
      <c r="Q155" s="41" t="s">
        <v>72</v>
      </c>
      <c r="R155" s="33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5"/>
    </row>
    <row r="156" spans="1:36" ht="21" customHeight="1">
      <c r="A156" s="395" t="s">
        <v>73</v>
      </c>
      <c r="B156" s="396"/>
      <c r="C156" s="396"/>
      <c r="D156" s="396"/>
      <c r="E156" s="396"/>
      <c r="F156" s="396"/>
      <c r="G156" s="396"/>
      <c r="H156" s="396"/>
      <c r="I156" s="1"/>
      <c r="J156" s="42"/>
      <c r="K156" s="43" t="s">
        <v>68</v>
      </c>
      <c r="L156" s="397" t="s">
        <v>74</v>
      </c>
      <c r="M156" s="397"/>
      <c r="N156" s="397"/>
      <c r="O156" s="397"/>
      <c r="P156" s="397"/>
      <c r="Q156" s="398"/>
      <c r="R156" s="33"/>
      <c r="S156" s="34"/>
      <c r="T156" s="34"/>
      <c r="U156" s="34"/>
      <c r="V156" s="34"/>
      <c r="W156" s="191"/>
      <c r="X156" s="191"/>
      <c r="Y156" s="191"/>
      <c r="Z156" s="191"/>
      <c r="AA156" s="191"/>
      <c r="AB156" s="34"/>
      <c r="AC156" s="34"/>
      <c r="AD156" s="34"/>
      <c r="AE156" s="34"/>
      <c r="AF156" s="34"/>
      <c r="AG156" s="34"/>
      <c r="AH156" s="35"/>
    </row>
    <row r="157" spans="1:36" ht="21" customHeight="1">
      <c r="A157" s="399" t="s">
        <v>75</v>
      </c>
      <c r="B157" s="400"/>
      <c r="C157" s="400"/>
      <c r="D157" s="400"/>
      <c r="E157" s="400"/>
      <c r="F157" s="400"/>
      <c r="G157" s="400"/>
      <c r="H157" s="400"/>
      <c r="I157" s="400"/>
      <c r="J157" s="400"/>
      <c r="K157" s="400"/>
      <c r="L157" s="400"/>
      <c r="M157" s="400"/>
      <c r="N157" s="400"/>
      <c r="O157" s="400"/>
      <c r="P157" s="400"/>
      <c r="Q157" s="401"/>
      <c r="R157" s="312"/>
      <c r="S157" s="310"/>
      <c r="T157" s="310"/>
      <c r="U157" s="310"/>
      <c r="V157" s="310"/>
      <c r="W157" s="310"/>
      <c r="X157" s="310"/>
      <c r="Y157" s="310"/>
      <c r="Z157" s="310"/>
      <c r="AA157" s="310"/>
      <c r="AB157" s="34"/>
      <c r="AC157" s="34"/>
      <c r="AD157" s="34"/>
      <c r="AE157" s="34"/>
      <c r="AF157" s="34"/>
      <c r="AG157" s="34"/>
      <c r="AH157" s="35"/>
    </row>
    <row r="158" spans="1:36" ht="21" customHeight="1">
      <c r="A158" s="4">
        <v>1</v>
      </c>
      <c r="B158" s="324" t="s">
        <v>83</v>
      </c>
      <c r="C158" s="324"/>
      <c r="D158" s="324"/>
      <c r="E158" s="324"/>
      <c r="F158" s="324"/>
      <c r="G158" s="324"/>
      <c r="H158" s="356">
        <f>VLOOKUP(AI137,'5c'!A:AI,21,0)</f>
        <v>98</v>
      </c>
      <c r="I158" s="356"/>
      <c r="J158" s="178">
        <f t="shared" ref="J158:J163" si="13">H158</f>
        <v>98</v>
      </c>
      <c r="K158" s="342" t="s">
        <v>84</v>
      </c>
      <c r="L158" s="342"/>
      <c r="M158" s="342"/>
      <c r="N158" s="342"/>
      <c r="O158" s="342"/>
      <c r="P158" s="342"/>
      <c r="Q158" s="9">
        <v>1</v>
      </c>
      <c r="R158" s="315" t="s">
        <v>766</v>
      </c>
      <c r="S158" s="316"/>
      <c r="T158" s="316"/>
      <c r="U158" s="316"/>
      <c r="V158" s="316"/>
      <c r="W158" s="316"/>
      <c r="X158" s="316"/>
      <c r="Y158" s="316"/>
      <c r="Z158" s="316"/>
      <c r="AA158" s="316"/>
      <c r="AB158" s="308" t="s">
        <v>767</v>
      </c>
      <c r="AC158" s="308"/>
      <c r="AD158" s="308"/>
      <c r="AE158" s="308"/>
      <c r="AF158" s="308"/>
      <c r="AG158" s="308"/>
      <c r="AH158" s="309"/>
    </row>
    <row r="159" spans="1:36" ht="21" customHeight="1">
      <c r="A159" s="4">
        <v>2</v>
      </c>
      <c r="B159" s="288" t="s">
        <v>79</v>
      </c>
      <c r="C159" s="289"/>
      <c r="D159" s="289"/>
      <c r="E159" s="289"/>
      <c r="F159" s="289"/>
      <c r="G159" s="290"/>
      <c r="H159" s="356">
        <f>VLOOKUP(AI137,'5c'!A:AI,22,0)</f>
        <v>99</v>
      </c>
      <c r="I159" s="356"/>
      <c r="J159" s="178">
        <f t="shared" si="13"/>
        <v>99</v>
      </c>
      <c r="K159" s="342" t="s">
        <v>80</v>
      </c>
      <c r="L159" s="342"/>
      <c r="M159" s="342"/>
      <c r="N159" s="342"/>
      <c r="O159" s="342"/>
      <c r="P159" s="342"/>
      <c r="Q159" s="9">
        <v>2</v>
      </c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</row>
    <row r="160" spans="1:36" ht="21" customHeight="1">
      <c r="A160" s="4">
        <v>3</v>
      </c>
      <c r="B160" s="324" t="s">
        <v>77</v>
      </c>
      <c r="C160" s="324"/>
      <c r="D160" s="324"/>
      <c r="E160" s="324"/>
      <c r="F160" s="324"/>
      <c r="G160" s="324"/>
      <c r="H160" s="356">
        <f>VLOOKUP(AI137,'5c'!A:AI,23,0)</f>
        <v>98</v>
      </c>
      <c r="I160" s="356"/>
      <c r="J160" s="178">
        <f t="shared" si="13"/>
        <v>98</v>
      </c>
      <c r="K160" s="342" t="s">
        <v>78</v>
      </c>
      <c r="L160" s="342"/>
      <c r="M160" s="342"/>
      <c r="N160" s="342"/>
      <c r="O160" s="342"/>
      <c r="P160" s="342"/>
      <c r="Q160" s="9">
        <v>3</v>
      </c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</row>
    <row r="161" spans="1:35" ht="21" customHeight="1">
      <c r="A161" s="4">
        <v>4</v>
      </c>
      <c r="B161" s="288" t="s">
        <v>81</v>
      </c>
      <c r="C161" s="289"/>
      <c r="D161" s="289"/>
      <c r="E161" s="289"/>
      <c r="F161" s="289"/>
      <c r="G161" s="290"/>
      <c r="H161" s="317">
        <f>VLOOKUP(AI137,'5c'!A:AI,24,0)</f>
        <v>98</v>
      </c>
      <c r="I161" s="318"/>
      <c r="J161" s="178">
        <f t="shared" si="13"/>
        <v>98</v>
      </c>
      <c r="K161" s="342" t="s">
        <v>82</v>
      </c>
      <c r="L161" s="342"/>
      <c r="M161" s="342"/>
      <c r="N161" s="342"/>
      <c r="O161" s="342"/>
      <c r="P161" s="342"/>
      <c r="Q161" s="9">
        <v>4</v>
      </c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</row>
    <row r="162" spans="1:35" ht="21" customHeight="1">
      <c r="A162" s="4">
        <v>5</v>
      </c>
      <c r="B162" s="288" t="s">
        <v>147</v>
      </c>
      <c r="C162" s="289"/>
      <c r="D162" s="289"/>
      <c r="E162" s="289"/>
      <c r="F162" s="289"/>
      <c r="G162" s="290"/>
      <c r="H162" s="317">
        <f>VLOOKUP(AI137,'5c'!A:AI,25,0)</f>
        <v>95</v>
      </c>
      <c r="I162" s="318"/>
      <c r="J162" s="178">
        <f t="shared" si="13"/>
        <v>95</v>
      </c>
      <c r="K162" s="342" t="s">
        <v>84</v>
      </c>
      <c r="L162" s="342"/>
      <c r="M162" s="342"/>
      <c r="N162" s="342"/>
      <c r="O162" s="342"/>
      <c r="P162" s="342"/>
      <c r="Q162" s="9">
        <v>5</v>
      </c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</row>
    <row r="163" spans="1:35" ht="21" customHeight="1">
      <c r="A163" s="4">
        <v>6</v>
      </c>
      <c r="B163" s="324" t="s">
        <v>148</v>
      </c>
      <c r="C163" s="324"/>
      <c r="D163" s="324"/>
      <c r="E163" s="324"/>
      <c r="F163" s="324"/>
      <c r="G163" s="324"/>
      <c r="H163" s="356">
        <f>VLOOKUP(AI137,'5c'!A:AI,26,0)</f>
        <v>88</v>
      </c>
      <c r="I163" s="356"/>
      <c r="J163" s="178">
        <f t="shared" si="13"/>
        <v>88</v>
      </c>
      <c r="K163" s="342" t="s">
        <v>149</v>
      </c>
      <c r="L163" s="342"/>
      <c r="M163" s="342"/>
      <c r="N163" s="342"/>
      <c r="O163" s="342"/>
      <c r="P163" s="342"/>
      <c r="Q163" s="9">
        <v>6</v>
      </c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</row>
    <row r="164" spans="1:35" ht="21" customHeight="1">
      <c r="A164" s="357" t="s">
        <v>62</v>
      </c>
      <c r="B164" s="357"/>
      <c r="C164" s="357"/>
      <c r="D164" s="357"/>
      <c r="E164" s="357"/>
      <c r="F164" s="357"/>
      <c r="G164" s="357"/>
      <c r="H164" s="317">
        <f>SUM(H158:I163)</f>
        <v>576</v>
      </c>
      <c r="I164" s="318"/>
      <c r="J164" s="44">
        <f t="shared" ref="J164:J165" si="14">H164</f>
        <v>576</v>
      </c>
      <c r="K164" s="370" t="s">
        <v>63</v>
      </c>
      <c r="L164" s="371"/>
      <c r="M164" s="371"/>
      <c r="N164" s="371"/>
      <c r="O164" s="371"/>
      <c r="P164" s="371"/>
      <c r="Q164" s="372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</row>
    <row r="165" spans="1:35" ht="21" customHeight="1">
      <c r="A165" s="357" t="s">
        <v>65</v>
      </c>
      <c r="B165" s="357"/>
      <c r="C165" s="357"/>
      <c r="D165" s="357"/>
      <c r="E165" s="357"/>
      <c r="F165" s="357"/>
      <c r="G165" s="357"/>
      <c r="H165" s="291">
        <f>AVERAGE(H158:I163)</f>
        <v>96</v>
      </c>
      <c r="I165" s="292"/>
      <c r="J165" s="45">
        <f t="shared" si="14"/>
        <v>96</v>
      </c>
      <c r="K165" s="370" t="s">
        <v>66</v>
      </c>
      <c r="L165" s="371"/>
      <c r="M165" s="371"/>
      <c r="N165" s="371"/>
      <c r="O165" s="371"/>
      <c r="P165" s="371"/>
      <c r="Q165" s="372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</row>
    <row r="166" spans="1:35" ht="21" customHeight="1">
      <c r="A166" s="46"/>
      <c r="B166" s="46"/>
      <c r="C166" s="46"/>
      <c r="D166" s="46"/>
      <c r="E166" s="46"/>
      <c r="F166" s="46"/>
      <c r="G166" s="46"/>
      <c r="H166" s="47"/>
      <c r="I166" s="47"/>
      <c r="J166" s="48"/>
      <c r="K166" s="49"/>
      <c r="L166" s="49"/>
      <c r="M166" s="49"/>
      <c r="N166" s="49"/>
      <c r="O166" s="49"/>
      <c r="P166" s="49"/>
      <c r="Q166" s="49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</row>
    <row r="167" spans="1:35" ht="21" customHeight="1">
      <c r="A167" s="34"/>
      <c r="B167" s="34"/>
      <c r="C167" s="34"/>
      <c r="D167" s="34"/>
      <c r="E167" s="34"/>
      <c r="F167" s="34"/>
      <c r="G167" s="34"/>
      <c r="H167" s="34"/>
      <c r="I167" s="34"/>
      <c r="J167" s="34"/>
      <c r="K167" s="34"/>
      <c r="L167" s="34"/>
      <c r="M167" s="34"/>
      <c r="N167" s="31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54"/>
    </row>
    <row r="168" spans="1:35" ht="21" customHeight="1">
      <c r="A168" s="34"/>
      <c r="B168" s="34"/>
      <c r="C168" s="34"/>
      <c r="D168" s="34"/>
      <c r="E168" s="34"/>
      <c r="F168" s="34"/>
      <c r="G168" s="34"/>
      <c r="H168" s="34"/>
      <c r="I168" s="34"/>
      <c r="J168" s="34"/>
      <c r="K168" s="34"/>
      <c r="L168" s="34"/>
      <c r="M168" s="34"/>
      <c r="N168" s="31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</row>
    <row r="169" spans="1:35" ht="21" customHeight="1">
      <c r="A169" s="343" t="s">
        <v>0</v>
      </c>
      <c r="B169" s="344"/>
      <c r="C169" s="153" t="s">
        <v>1</v>
      </c>
      <c r="D169" s="344" t="str">
        <f>VLOOKUP(AI172,'4A'!A:AK,3,0)</f>
        <v>Deva Trya Bagus Dian N</v>
      </c>
      <c r="E169" s="344"/>
      <c r="F169" s="344"/>
      <c r="G169" s="344"/>
      <c r="H169" s="344"/>
      <c r="I169" s="344"/>
      <c r="J169" s="344"/>
      <c r="K169" s="344"/>
      <c r="L169" s="344"/>
      <c r="M169" s="344"/>
      <c r="N169" s="344"/>
      <c r="O169" s="344"/>
      <c r="P169" s="344"/>
      <c r="Q169" s="345"/>
      <c r="R169" s="343" t="s">
        <v>0</v>
      </c>
      <c r="S169" s="344"/>
      <c r="T169" s="153" t="s">
        <v>1</v>
      </c>
      <c r="U169" s="344" t="str">
        <f>D169</f>
        <v>Deva Trya Bagus Dian N</v>
      </c>
      <c r="V169" s="344"/>
      <c r="W169" s="344"/>
      <c r="X169" s="344"/>
      <c r="Y169" s="344"/>
      <c r="Z169" s="344"/>
      <c r="AA169" s="344"/>
      <c r="AB169" s="344"/>
      <c r="AC169" s="344"/>
      <c r="AD169" s="344"/>
      <c r="AE169" s="344"/>
      <c r="AF169" s="344"/>
      <c r="AG169" s="344"/>
      <c r="AH169" s="345"/>
    </row>
    <row r="170" spans="1:35" ht="21" customHeight="1">
      <c r="A170" s="346" t="s">
        <v>2</v>
      </c>
      <c r="B170" s="347"/>
      <c r="C170" s="154" t="s">
        <v>1</v>
      </c>
      <c r="D170" s="347" t="s">
        <v>90</v>
      </c>
      <c r="E170" s="347"/>
      <c r="F170" s="347"/>
      <c r="G170" s="347"/>
      <c r="H170" s="347"/>
      <c r="I170" s="347"/>
      <c r="J170" s="159" t="s">
        <v>3</v>
      </c>
      <c r="K170" s="347">
        <f>VLOOKUP(AI172,'4A'!A:AK,2,0)</f>
        <v>19200044</v>
      </c>
      <c r="L170" s="347"/>
      <c r="M170" s="347"/>
      <c r="N170" s="347"/>
      <c r="O170" s="347"/>
      <c r="P170" s="347"/>
      <c r="Q170" s="348"/>
      <c r="R170" s="346" t="s">
        <v>2</v>
      </c>
      <c r="S170" s="347"/>
      <c r="T170" s="154" t="s">
        <v>1</v>
      </c>
      <c r="U170" s="347" t="str">
        <f>D170</f>
        <v>4-A</v>
      </c>
      <c r="V170" s="347"/>
      <c r="W170" s="347"/>
      <c r="X170" s="347"/>
      <c r="Y170" s="347"/>
      <c r="Z170" s="347"/>
      <c r="AA170" s="159" t="s">
        <v>3</v>
      </c>
      <c r="AB170" s="347">
        <f>K170</f>
        <v>19200044</v>
      </c>
      <c r="AC170" s="347"/>
      <c r="AD170" s="347"/>
      <c r="AE170" s="347"/>
      <c r="AF170" s="347"/>
      <c r="AG170" s="347"/>
      <c r="AH170" s="348"/>
      <c r="AI170" t="s">
        <v>90</v>
      </c>
    </row>
    <row r="171" spans="1:35" ht="21" customHeight="1">
      <c r="A171" s="343" t="s">
        <v>4</v>
      </c>
      <c r="B171" s="344"/>
      <c r="C171" s="153" t="s">
        <v>1</v>
      </c>
      <c r="D171" s="304" t="str">
        <f>DASHBOARD!$H$11</f>
        <v>2025/2026</v>
      </c>
      <c r="E171" s="304"/>
      <c r="F171" s="304"/>
      <c r="G171" s="304"/>
      <c r="H171" s="304"/>
      <c r="I171" s="304"/>
      <c r="J171" s="304"/>
      <c r="K171" s="304"/>
      <c r="L171" s="304"/>
      <c r="M171" s="304"/>
      <c r="N171" s="304"/>
      <c r="O171" s="304"/>
      <c r="P171" s="304"/>
      <c r="Q171" s="349"/>
      <c r="R171" s="330" t="s">
        <v>5</v>
      </c>
      <c r="S171" s="331"/>
      <c r="T171" s="331"/>
      <c r="U171" s="331"/>
      <c r="V171" s="331"/>
      <c r="W171" s="331"/>
      <c r="X171" s="332"/>
      <c r="Y171" s="333" t="s">
        <v>6</v>
      </c>
      <c r="Z171" s="334"/>
      <c r="AA171" s="337" t="s">
        <v>7</v>
      </c>
      <c r="AB171" s="330" t="s">
        <v>8</v>
      </c>
      <c r="AC171" s="331"/>
      <c r="AD171" s="331"/>
      <c r="AE171" s="331"/>
      <c r="AF171" s="331"/>
      <c r="AG171" s="331"/>
      <c r="AH171" s="332"/>
      <c r="AI171" s="2" t="s">
        <v>9</v>
      </c>
    </row>
    <row r="172" spans="1:35" ht="21" customHeight="1">
      <c r="A172" s="303" t="s">
        <v>10</v>
      </c>
      <c r="B172" s="304"/>
      <c r="C172" s="160" t="s">
        <v>1</v>
      </c>
      <c r="D172" s="350" t="str">
        <f>DASHBOARD!$H$12</f>
        <v>1 (Satu)</v>
      </c>
      <c r="E172" s="350"/>
      <c r="F172" s="350"/>
      <c r="G172" s="350"/>
      <c r="H172" s="350"/>
      <c r="I172" s="351"/>
      <c r="J172" s="352" t="str">
        <f>DASHBOARD!$I$12</f>
        <v>الأول</v>
      </c>
      <c r="K172" s="353"/>
      <c r="L172" s="353"/>
      <c r="M172" s="353"/>
      <c r="N172" s="160" t="s">
        <v>1</v>
      </c>
      <c r="O172" s="354" t="s">
        <v>11</v>
      </c>
      <c r="P172" s="354"/>
      <c r="Q172" s="355"/>
      <c r="R172" s="339" t="s">
        <v>12</v>
      </c>
      <c r="S172" s="340"/>
      <c r="T172" s="340"/>
      <c r="U172" s="340"/>
      <c r="V172" s="340"/>
      <c r="W172" s="340"/>
      <c r="X172" s="341"/>
      <c r="Y172" s="335"/>
      <c r="Z172" s="336"/>
      <c r="AA172" s="338"/>
      <c r="AB172" s="339" t="s">
        <v>13</v>
      </c>
      <c r="AC172" s="340"/>
      <c r="AD172" s="340"/>
      <c r="AE172" s="340"/>
      <c r="AF172" s="340"/>
      <c r="AG172" s="340"/>
      <c r="AH172" s="341"/>
      <c r="AI172" s="3">
        <v>17</v>
      </c>
    </row>
    <row r="173" spans="1:35" ht="21" customHeight="1">
      <c r="A173" s="330" t="s">
        <v>5</v>
      </c>
      <c r="B173" s="331"/>
      <c r="C173" s="331"/>
      <c r="D173" s="331"/>
      <c r="E173" s="331"/>
      <c r="F173" s="331"/>
      <c r="G173" s="331"/>
      <c r="H173" s="333" t="s">
        <v>6</v>
      </c>
      <c r="I173" s="334"/>
      <c r="J173" s="337" t="s">
        <v>7</v>
      </c>
      <c r="K173" s="330" t="s">
        <v>8</v>
      </c>
      <c r="L173" s="331"/>
      <c r="M173" s="331"/>
      <c r="N173" s="331"/>
      <c r="O173" s="331"/>
      <c r="P173" s="331"/>
      <c r="Q173" s="332"/>
      <c r="R173" s="4">
        <v>1</v>
      </c>
      <c r="S173" s="303" t="s">
        <v>14</v>
      </c>
      <c r="T173" s="304"/>
      <c r="U173" s="304"/>
      <c r="V173" s="304"/>
      <c r="W173" s="304"/>
      <c r="X173" s="349"/>
      <c r="Y173" s="394">
        <f>VLOOKUP(AI172,'4A'!A:AK,18,0)</f>
        <v>90</v>
      </c>
      <c r="Z173" s="355"/>
      <c r="AA173" s="9">
        <f>Y173</f>
        <v>90</v>
      </c>
      <c r="AB173" s="370" t="s">
        <v>15</v>
      </c>
      <c r="AC173" s="371"/>
      <c r="AD173" s="371"/>
      <c r="AE173" s="371"/>
      <c r="AF173" s="371"/>
      <c r="AG173" s="372"/>
      <c r="AH173" s="9">
        <v>1</v>
      </c>
    </row>
    <row r="174" spans="1:35" ht="21" customHeight="1">
      <c r="A174" s="339" t="s">
        <v>16</v>
      </c>
      <c r="B174" s="340"/>
      <c r="C174" s="340"/>
      <c r="D174" s="340"/>
      <c r="E174" s="340"/>
      <c r="F174" s="340"/>
      <c r="G174" s="340"/>
      <c r="H174" s="335"/>
      <c r="I174" s="336"/>
      <c r="J174" s="338"/>
      <c r="K174" s="339" t="s">
        <v>17</v>
      </c>
      <c r="L174" s="340"/>
      <c r="M174" s="340"/>
      <c r="N174" s="340"/>
      <c r="O174" s="340"/>
      <c r="P174" s="340"/>
      <c r="Q174" s="341"/>
      <c r="R174" s="4">
        <v>2</v>
      </c>
      <c r="S174" s="303" t="s">
        <v>22</v>
      </c>
      <c r="T174" s="304"/>
      <c r="U174" s="304"/>
      <c r="V174" s="304"/>
      <c r="W174" s="304"/>
      <c r="X174" s="349"/>
      <c r="Y174" s="394">
        <f>VLOOKUP(AI172,'4A'!A:AK,19,0)</f>
        <v>99</v>
      </c>
      <c r="Z174" s="355"/>
      <c r="AA174" s="9">
        <f>Y174</f>
        <v>99</v>
      </c>
      <c r="AB174" s="370" t="s">
        <v>23</v>
      </c>
      <c r="AC174" s="371"/>
      <c r="AD174" s="371"/>
      <c r="AE174" s="371"/>
      <c r="AF174" s="371"/>
      <c r="AG174" s="372"/>
      <c r="AH174" s="9">
        <v>2</v>
      </c>
    </row>
    <row r="175" spans="1:35" ht="21" customHeight="1">
      <c r="A175" s="161">
        <v>1</v>
      </c>
      <c r="B175" s="324" t="s">
        <v>20</v>
      </c>
      <c r="C175" s="324"/>
      <c r="D175" s="324"/>
      <c r="E175" s="324"/>
      <c r="F175" s="324"/>
      <c r="G175" s="324"/>
      <c r="H175" s="367">
        <f>VLOOKUP(AI172,'4A'!A:AK,4,0)</f>
        <v>79</v>
      </c>
      <c r="I175" s="368"/>
      <c r="J175" s="197">
        <f>H175</f>
        <v>79</v>
      </c>
      <c r="K175" s="342" t="s">
        <v>19</v>
      </c>
      <c r="L175" s="342"/>
      <c r="M175" s="342"/>
      <c r="N175" s="342"/>
      <c r="O175" s="342"/>
      <c r="P175" s="342"/>
      <c r="Q175" s="168">
        <v>1</v>
      </c>
      <c r="R175" s="4">
        <v>3</v>
      </c>
      <c r="S175" s="303" t="s">
        <v>91</v>
      </c>
      <c r="T175" s="304"/>
      <c r="U175" s="304"/>
      <c r="V175" s="304"/>
      <c r="W175" s="304"/>
      <c r="X175" s="349"/>
      <c r="Y175" s="394">
        <f>VLOOKUP(AI172,'4A'!A:AK,20,0)</f>
        <v>78</v>
      </c>
      <c r="Z175" s="355"/>
      <c r="AA175" s="9">
        <f>Y175</f>
        <v>78</v>
      </c>
      <c r="AB175" s="370" t="s">
        <v>92</v>
      </c>
      <c r="AC175" s="371"/>
      <c r="AD175" s="371"/>
      <c r="AE175" s="371"/>
      <c r="AF175" s="371"/>
      <c r="AG175" s="372"/>
      <c r="AH175" s="9">
        <v>3</v>
      </c>
    </row>
    <row r="176" spans="1:35" ht="21" customHeight="1">
      <c r="A176" s="161">
        <v>2</v>
      </c>
      <c r="B176" s="324" t="s">
        <v>22</v>
      </c>
      <c r="C176" s="324"/>
      <c r="D176" s="324"/>
      <c r="E176" s="324"/>
      <c r="F176" s="324"/>
      <c r="G176" s="324"/>
      <c r="H176" s="367">
        <f>VLOOKUP(AI172,'4A'!A:AK,5,0)</f>
        <v>57</v>
      </c>
      <c r="I176" s="368"/>
      <c r="J176" s="197">
        <f t="shared" ref="J176:J188" si="15">H176</f>
        <v>57</v>
      </c>
      <c r="K176" s="342" t="s">
        <v>23</v>
      </c>
      <c r="L176" s="342"/>
      <c r="M176" s="342"/>
      <c r="N176" s="342"/>
      <c r="O176" s="342"/>
      <c r="P176" s="342"/>
      <c r="Q176" s="168">
        <v>2</v>
      </c>
      <c r="R176" s="4">
        <v>4</v>
      </c>
      <c r="S176" s="303" t="s">
        <v>20</v>
      </c>
      <c r="T176" s="304"/>
      <c r="U176" s="304"/>
      <c r="V176" s="304"/>
      <c r="W176" s="304"/>
      <c r="X176" s="349"/>
      <c r="Y176" s="394">
        <f>VLOOKUP(AI172,'4A'!A:AK,21,0)</f>
        <v>90</v>
      </c>
      <c r="Z176" s="355"/>
      <c r="AA176" s="9">
        <f>Y176</f>
        <v>90</v>
      </c>
      <c r="AB176" s="370" t="s">
        <v>19</v>
      </c>
      <c r="AC176" s="371"/>
      <c r="AD176" s="371"/>
      <c r="AE176" s="371"/>
      <c r="AF176" s="371"/>
      <c r="AG176" s="372"/>
      <c r="AH176" s="9">
        <v>4</v>
      </c>
    </row>
    <row r="177" spans="1:34" ht="21" customHeight="1">
      <c r="A177" s="161">
        <v>3</v>
      </c>
      <c r="B177" s="158" t="s">
        <v>24</v>
      </c>
      <c r="C177" s="155"/>
      <c r="D177" s="155"/>
      <c r="E177" s="155"/>
      <c r="F177" s="155"/>
      <c r="G177" s="162"/>
      <c r="H177" s="367">
        <f>VLOOKUP(AI172,'4A'!A:AK,6,0)</f>
        <v>90</v>
      </c>
      <c r="I177" s="368"/>
      <c r="J177" s="197">
        <f t="shared" si="15"/>
        <v>90</v>
      </c>
      <c r="K177" s="293" t="s">
        <v>25</v>
      </c>
      <c r="L177" s="294"/>
      <c r="M177" s="294"/>
      <c r="N177" s="294"/>
      <c r="O177" s="294"/>
      <c r="P177" s="295"/>
      <c r="Q177" s="168">
        <v>3</v>
      </c>
      <c r="R177" s="4">
        <v>5</v>
      </c>
      <c r="S177" s="303" t="s">
        <v>93</v>
      </c>
      <c r="T177" s="304"/>
      <c r="U177" s="304"/>
      <c r="V177" s="304"/>
      <c r="W177" s="304"/>
      <c r="X177" s="349"/>
      <c r="Y177" s="394">
        <f>VLOOKUP(AI172,'4A'!A:AK,22,0)</f>
        <v>80</v>
      </c>
      <c r="Z177" s="355"/>
      <c r="AA177" s="9">
        <f>Y177</f>
        <v>80</v>
      </c>
      <c r="AB177" s="370" t="s">
        <v>94</v>
      </c>
      <c r="AC177" s="371"/>
      <c r="AD177" s="371"/>
      <c r="AE177" s="371"/>
      <c r="AF177" s="371"/>
      <c r="AG177" s="372"/>
      <c r="AH177" s="9">
        <v>5</v>
      </c>
    </row>
    <row r="178" spans="1:34" ht="21" customHeight="1">
      <c r="A178" s="161">
        <v>4</v>
      </c>
      <c r="B178" s="288" t="s">
        <v>26</v>
      </c>
      <c r="C178" s="289"/>
      <c r="D178" s="289"/>
      <c r="E178" s="289"/>
      <c r="F178" s="289"/>
      <c r="G178" s="290"/>
      <c r="H178" s="367">
        <f>VLOOKUP(AI172,'4A'!A:AK,7,0)</f>
        <v>93</v>
      </c>
      <c r="I178" s="368"/>
      <c r="J178" s="197">
        <f t="shared" si="15"/>
        <v>93</v>
      </c>
      <c r="K178" s="293" t="s">
        <v>27</v>
      </c>
      <c r="L178" s="294"/>
      <c r="M178" s="294"/>
      <c r="N178" s="294"/>
      <c r="O178" s="294"/>
      <c r="P178" s="295"/>
      <c r="Q178" s="168">
        <v>4</v>
      </c>
      <c r="R178" s="299" t="s">
        <v>768</v>
      </c>
      <c r="S178" s="300"/>
      <c r="T178" s="300"/>
      <c r="U178" s="300"/>
      <c r="V178" s="301"/>
      <c r="W178" s="330" t="s">
        <v>28</v>
      </c>
      <c r="X178" s="331"/>
      <c r="Y178" s="331"/>
      <c r="Z178" s="331"/>
      <c r="AA178" s="331"/>
      <c r="AB178" s="332"/>
      <c r="AC178" s="330" t="s">
        <v>29</v>
      </c>
      <c r="AD178" s="331"/>
      <c r="AE178" s="331"/>
      <c r="AF178" s="331"/>
      <c r="AG178" s="331"/>
      <c r="AH178" s="332"/>
    </row>
    <row r="179" spans="1:34" ht="21" customHeight="1">
      <c r="A179" s="161">
        <v>5</v>
      </c>
      <c r="B179" s="288" t="s">
        <v>30</v>
      </c>
      <c r="C179" s="289"/>
      <c r="D179" s="289"/>
      <c r="E179" s="289"/>
      <c r="F179" s="289"/>
      <c r="G179" s="290"/>
      <c r="H179" s="367">
        <f>VLOOKUP(AI172,'4A'!A:AK,8,0)</f>
        <v>74</v>
      </c>
      <c r="I179" s="368"/>
      <c r="J179" s="197">
        <f t="shared" si="15"/>
        <v>74</v>
      </c>
      <c r="K179" s="293" t="s">
        <v>31</v>
      </c>
      <c r="L179" s="294"/>
      <c r="M179" s="294"/>
      <c r="N179" s="294"/>
      <c r="O179" s="294"/>
      <c r="P179" s="295"/>
      <c r="Q179" s="168">
        <v>5</v>
      </c>
      <c r="R179" s="390" t="s">
        <v>32</v>
      </c>
      <c r="S179" s="391"/>
      <c r="T179" s="391"/>
      <c r="U179" s="10" t="s">
        <v>1</v>
      </c>
      <c r="V179" s="11" t="str">
        <f>VLOOKUP(AI172,'4A'!A:AK,32,0)</f>
        <v>B</v>
      </c>
      <c r="W179" s="339" t="s">
        <v>33</v>
      </c>
      <c r="X179" s="340"/>
      <c r="Y179" s="340"/>
      <c r="Z179" s="340"/>
      <c r="AA179" s="340"/>
      <c r="AB179" s="341"/>
      <c r="AC179" s="389" t="s">
        <v>33</v>
      </c>
      <c r="AD179" s="383"/>
      <c r="AE179" s="383"/>
      <c r="AF179" s="383"/>
      <c r="AG179" s="383"/>
      <c r="AH179" s="384"/>
    </row>
    <row r="180" spans="1:34" ht="21" customHeight="1">
      <c r="A180" s="161">
        <v>6</v>
      </c>
      <c r="B180" s="288" t="s">
        <v>34</v>
      </c>
      <c r="C180" s="289"/>
      <c r="D180" s="289"/>
      <c r="E180" s="289"/>
      <c r="F180" s="289"/>
      <c r="G180" s="290"/>
      <c r="H180" s="367">
        <f>VLOOKUP(AI172,'4A'!A:AK,9,0)</f>
        <v>66</v>
      </c>
      <c r="I180" s="368"/>
      <c r="J180" s="197">
        <f t="shared" si="15"/>
        <v>66</v>
      </c>
      <c r="K180" s="293" t="s">
        <v>35</v>
      </c>
      <c r="L180" s="294"/>
      <c r="M180" s="294"/>
      <c r="N180" s="294"/>
      <c r="O180" s="294"/>
      <c r="P180" s="295"/>
      <c r="Q180" s="168">
        <v>6</v>
      </c>
      <c r="R180" s="390" t="s">
        <v>36</v>
      </c>
      <c r="S180" s="391"/>
      <c r="T180" s="391"/>
      <c r="U180" s="10" t="s">
        <v>1</v>
      </c>
      <c r="V180" s="11" t="str">
        <f>VLOOKUP(AI172,'4A'!A:AK,33,0)</f>
        <v>B</v>
      </c>
      <c r="W180" s="13"/>
      <c r="X180" s="14"/>
      <c r="Y180" s="14"/>
      <c r="Z180" s="14"/>
      <c r="AA180" s="14"/>
      <c r="AB180" s="15"/>
      <c r="AC180" s="16"/>
      <c r="AH180" s="17"/>
    </row>
    <row r="181" spans="1:34" ht="21" customHeight="1">
      <c r="A181" s="161">
        <v>7</v>
      </c>
      <c r="B181" s="288" t="s">
        <v>37</v>
      </c>
      <c r="C181" s="289"/>
      <c r="D181" s="289"/>
      <c r="E181" s="289"/>
      <c r="F181" s="289"/>
      <c r="G181" s="290"/>
      <c r="H181" s="367">
        <f>VLOOKUP(AI172,'4A'!A:AK,10,0)</f>
        <v>63</v>
      </c>
      <c r="I181" s="368"/>
      <c r="J181" s="197">
        <f t="shared" si="15"/>
        <v>63</v>
      </c>
      <c r="K181" s="293" t="s">
        <v>38</v>
      </c>
      <c r="L181" s="294"/>
      <c r="M181" s="294"/>
      <c r="N181" s="294"/>
      <c r="O181" s="294"/>
      <c r="P181" s="295"/>
      <c r="Q181" s="168">
        <v>7</v>
      </c>
      <c r="R181" s="392" t="s">
        <v>39</v>
      </c>
      <c r="S181" s="393"/>
      <c r="T181" s="393"/>
      <c r="U181" s="12" t="s">
        <v>1</v>
      </c>
      <c r="V181" s="18" t="str">
        <f>VLOOKUP(AI172,'4A'!A:AK,34,0)</f>
        <v>B</v>
      </c>
      <c r="W181" s="16"/>
      <c r="AB181" s="17"/>
      <c r="AC181" s="16"/>
      <c r="AH181" s="17"/>
    </row>
    <row r="182" spans="1:34" s="22" customFormat="1" ht="21" customHeight="1">
      <c r="A182" s="161">
        <v>8</v>
      </c>
      <c r="B182" s="288" t="s">
        <v>40</v>
      </c>
      <c r="C182" s="289"/>
      <c r="D182" s="289"/>
      <c r="E182" s="289"/>
      <c r="F182" s="289"/>
      <c r="G182" s="290"/>
      <c r="H182" s="367">
        <f>VLOOKUP(AI172,'4A'!A:AK,11,0)</f>
        <v>62</v>
      </c>
      <c r="I182" s="368"/>
      <c r="J182" s="197">
        <f>H182</f>
        <v>62</v>
      </c>
      <c r="K182" s="293" t="s">
        <v>41</v>
      </c>
      <c r="L182" s="294"/>
      <c r="M182" s="294"/>
      <c r="N182" s="294"/>
      <c r="O182" s="294"/>
      <c r="P182" s="295"/>
      <c r="Q182" s="168">
        <v>8</v>
      </c>
      <c r="R182" s="330" t="s">
        <v>42</v>
      </c>
      <c r="S182" s="331"/>
      <c r="T182" s="331"/>
      <c r="U182" s="331"/>
      <c r="V182" s="332"/>
      <c r="W182" s="16"/>
      <c r="X182"/>
      <c r="Y182"/>
      <c r="Z182"/>
      <c r="AA182"/>
      <c r="AB182" s="17"/>
      <c r="AC182" s="335" t="str">
        <f>DASHBOARD!H21</f>
        <v>Mu'allim Yaasin</v>
      </c>
      <c r="AD182" s="380"/>
      <c r="AE182" s="380"/>
      <c r="AF182" s="380"/>
      <c r="AG182" s="380"/>
      <c r="AH182" s="336"/>
    </row>
    <row r="183" spans="1:34" s="30" customFormat="1" ht="21" customHeight="1">
      <c r="A183" s="161">
        <v>9</v>
      </c>
      <c r="B183" s="288" t="s">
        <v>14</v>
      </c>
      <c r="C183" s="289"/>
      <c r="D183" s="289"/>
      <c r="E183" s="289"/>
      <c r="F183" s="289"/>
      <c r="G183" s="290"/>
      <c r="H183" s="367">
        <f>VLOOKUP(AI172,'4A'!A:AK,12,0)</f>
        <v>67</v>
      </c>
      <c r="I183" s="368"/>
      <c r="J183" s="197">
        <f>H183</f>
        <v>67</v>
      </c>
      <c r="K183" s="293" t="s">
        <v>15</v>
      </c>
      <c r="L183" s="294"/>
      <c r="M183" s="294"/>
      <c r="N183" s="294"/>
      <c r="O183" s="294"/>
      <c r="P183" s="295"/>
      <c r="Q183" s="168">
        <v>9</v>
      </c>
      <c r="R183" s="389" t="s">
        <v>43</v>
      </c>
      <c r="S183" s="383"/>
      <c r="T183" s="383"/>
      <c r="U183" s="383"/>
      <c r="V183" s="384"/>
      <c r="W183" s="16"/>
      <c r="X183"/>
      <c r="Y183"/>
      <c r="Z183"/>
      <c r="AA183"/>
      <c r="AB183" s="17"/>
      <c r="AC183" s="333" t="s">
        <v>44</v>
      </c>
      <c r="AD183" s="369"/>
      <c r="AE183" s="369"/>
      <c r="AF183" s="369"/>
      <c r="AG183" s="369"/>
      <c r="AH183" s="334"/>
    </row>
    <row r="184" spans="1:34" ht="21" customHeight="1">
      <c r="A184" s="161">
        <v>10</v>
      </c>
      <c r="B184" s="288" t="s">
        <v>45</v>
      </c>
      <c r="C184" s="289"/>
      <c r="D184" s="289"/>
      <c r="E184" s="289"/>
      <c r="F184" s="289"/>
      <c r="G184" s="290"/>
      <c r="H184" s="367">
        <f>VLOOKUP(AI172,'4A'!A:AK,13,0)</f>
        <v>50</v>
      </c>
      <c r="I184" s="368"/>
      <c r="J184" s="197">
        <f t="shared" si="15"/>
        <v>50</v>
      </c>
      <c r="K184" s="293" t="s">
        <v>46</v>
      </c>
      <c r="L184" s="294"/>
      <c r="M184" s="294"/>
      <c r="N184" s="294"/>
      <c r="O184" s="294"/>
      <c r="P184" s="295"/>
      <c r="Q184" s="168">
        <v>10</v>
      </c>
      <c r="R184" s="19" t="s">
        <v>47</v>
      </c>
      <c r="S184" s="20"/>
      <c r="T184" s="10" t="s">
        <v>1</v>
      </c>
      <c r="U184" s="10">
        <f>VLOOKUP(AI172,'4A'!A:AK,35,0)</f>
        <v>0</v>
      </c>
      <c r="V184" s="11" t="s">
        <v>48</v>
      </c>
      <c r="W184" s="16"/>
      <c r="AB184" s="17"/>
      <c r="AC184" s="16"/>
      <c r="AH184" s="17"/>
    </row>
    <row r="185" spans="1:34" ht="21" customHeight="1">
      <c r="A185" s="161">
        <v>11</v>
      </c>
      <c r="B185" s="158" t="s">
        <v>49</v>
      </c>
      <c r="C185" s="155"/>
      <c r="D185" s="155"/>
      <c r="E185" s="155"/>
      <c r="F185" s="155"/>
      <c r="G185" s="162"/>
      <c r="H185" s="367">
        <f>VLOOKUP(AI172,'4A'!A:AK,14,0)</f>
        <v>80</v>
      </c>
      <c r="I185" s="368"/>
      <c r="J185" s="197">
        <f t="shared" si="15"/>
        <v>80</v>
      </c>
      <c r="K185" s="293" t="s">
        <v>50</v>
      </c>
      <c r="L185" s="294"/>
      <c r="M185" s="294"/>
      <c r="N185" s="294"/>
      <c r="O185" s="294"/>
      <c r="P185" s="295"/>
      <c r="Q185" s="168">
        <v>11</v>
      </c>
      <c r="R185" s="19" t="s">
        <v>51</v>
      </c>
      <c r="S185" s="20"/>
      <c r="T185" s="10" t="s">
        <v>1</v>
      </c>
      <c r="U185" s="10">
        <f>VLOOKUP(AI172,'4A'!A:AK,36,0)</f>
        <v>0</v>
      </c>
      <c r="V185" s="11" t="s">
        <v>48</v>
      </c>
      <c r="W185" s="21"/>
      <c r="X185" s="22"/>
      <c r="Y185" s="22"/>
      <c r="Z185" s="22"/>
      <c r="AA185" s="22"/>
      <c r="AB185" s="23"/>
      <c r="AC185" s="16"/>
      <c r="AH185" s="17"/>
    </row>
    <row r="186" spans="1:34" ht="21" customHeight="1">
      <c r="A186" s="161">
        <v>12</v>
      </c>
      <c r="B186" s="158" t="s">
        <v>52</v>
      </c>
      <c r="C186" s="155"/>
      <c r="D186" s="155"/>
      <c r="E186" s="155"/>
      <c r="F186" s="155"/>
      <c r="G186" s="162"/>
      <c r="H186" s="367">
        <f>VLOOKUP(AI172,'4A'!A:AK,15,0)</f>
        <v>77</v>
      </c>
      <c r="I186" s="368"/>
      <c r="J186" s="197">
        <f t="shared" si="15"/>
        <v>77</v>
      </c>
      <c r="K186" s="293" t="s">
        <v>21</v>
      </c>
      <c r="L186" s="294"/>
      <c r="M186" s="294"/>
      <c r="N186" s="294"/>
      <c r="O186" s="294"/>
      <c r="P186" s="295"/>
      <c r="Q186" s="168">
        <v>12</v>
      </c>
      <c r="R186" s="24" t="s">
        <v>53</v>
      </c>
      <c r="S186" s="25"/>
      <c r="T186" s="12" t="s">
        <v>1</v>
      </c>
      <c r="U186" s="12">
        <f>VLOOKUP(AI172,'4A'!A:AK,37,0)</f>
        <v>11</v>
      </c>
      <c r="V186" s="18" t="s">
        <v>48</v>
      </c>
      <c r="W186" s="26"/>
      <c r="X186" s="27"/>
      <c r="Y186" s="27"/>
      <c r="Z186" s="27"/>
      <c r="AA186" s="27"/>
      <c r="AB186" s="28"/>
      <c r="AC186" s="335" t="s">
        <v>95</v>
      </c>
      <c r="AD186" s="380"/>
      <c r="AE186" s="380"/>
      <c r="AF186" s="380"/>
      <c r="AG186" s="380"/>
      <c r="AH186" s="336"/>
    </row>
    <row r="187" spans="1:34" ht="21" customHeight="1">
      <c r="A187" s="161">
        <v>13</v>
      </c>
      <c r="B187" s="158" t="s">
        <v>55</v>
      </c>
      <c r="C187" s="155"/>
      <c r="D187" s="155"/>
      <c r="E187" s="155"/>
      <c r="F187" s="155"/>
      <c r="G187" s="162"/>
      <c r="H187" s="367">
        <f>VLOOKUP(AI172,'4A'!A:AK,16,0)</f>
        <v>66</v>
      </c>
      <c r="I187" s="368"/>
      <c r="J187" s="197">
        <f t="shared" si="15"/>
        <v>66</v>
      </c>
      <c r="K187" s="342" t="s">
        <v>56</v>
      </c>
      <c r="L187" s="342"/>
      <c r="M187" s="342"/>
      <c r="N187" s="342"/>
      <c r="O187" s="342"/>
      <c r="P187" s="342"/>
      <c r="Q187" s="168">
        <v>13</v>
      </c>
      <c r="R187" s="29"/>
      <c r="S187" s="30"/>
      <c r="T187" s="30"/>
      <c r="U187" s="30" t="s">
        <v>57</v>
      </c>
      <c r="V187" s="30"/>
      <c r="W187" s="30"/>
      <c r="X187" s="30"/>
      <c r="Y187" s="30"/>
      <c r="Z187" s="30"/>
      <c r="AA187" s="30"/>
      <c r="AB187" s="310" t="str">
        <f>DASHBOARD!$H$13</f>
        <v>Sumedang, 05 September 2025</v>
      </c>
      <c r="AC187" s="310"/>
      <c r="AD187" s="310"/>
      <c r="AE187" s="310"/>
      <c r="AF187" s="310"/>
      <c r="AG187" s="310"/>
      <c r="AH187" s="311"/>
    </row>
    <row r="188" spans="1:34" ht="21" customHeight="1">
      <c r="A188" s="161">
        <v>14</v>
      </c>
      <c r="B188" s="288" t="s">
        <v>96</v>
      </c>
      <c r="C188" s="289"/>
      <c r="D188" s="289"/>
      <c r="E188" s="289"/>
      <c r="F188" s="289"/>
      <c r="G188" s="290"/>
      <c r="H188" s="317">
        <f>VLOOKUP(AI172,'4A'!A:AK,17,0)</f>
        <v>95</v>
      </c>
      <c r="I188" s="318"/>
      <c r="J188" s="197">
        <f t="shared" si="15"/>
        <v>95</v>
      </c>
      <c r="K188" s="342" t="s">
        <v>97</v>
      </c>
      <c r="L188" s="342"/>
      <c r="M188" s="342"/>
      <c r="N188" s="342"/>
      <c r="O188" s="342"/>
      <c r="P188" s="342"/>
      <c r="Q188" s="168">
        <v>14</v>
      </c>
      <c r="R188" s="381" t="s">
        <v>60</v>
      </c>
      <c r="S188" s="382"/>
      <c r="T188" s="382"/>
      <c r="U188" s="382"/>
      <c r="V188" s="382"/>
      <c r="W188" s="382"/>
      <c r="X188" s="382"/>
      <c r="Y188" s="382"/>
      <c r="Z188" s="382"/>
      <c r="AA188" s="382"/>
      <c r="AB188" s="387" t="s">
        <v>61</v>
      </c>
      <c r="AC188" s="387"/>
      <c r="AD188" s="387"/>
      <c r="AE188" s="387"/>
      <c r="AF188" s="387"/>
      <c r="AG188" s="387"/>
      <c r="AH188" s="388"/>
    </row>
    <row r="189" spans="1:34" ht="21" customHeight="1">
      <c r="A189" s="288" t="s">
        <v>62</v>
      </c>
      <c r="B189" s="289"/>
      <c r="C189" s="289"/>
      <c r="D189" s="289"/>
      <c r="E189" s="289"/>
      <c r="F189" s="289"/>
      <c r="G189" s="290"/>
      <c r="H189" s="367">
        <f>VLOOKUP(AI172,'4A'!A:AK,29,0)</f>
        <v>1456</v>
      </c>
      <c r="I189" s="368"/>
      <c r="J189" s="197">
        <f>H189</f>
        <v>1456</v>
      </c>
      <c r="K189" s="293" t="s">
        <v>63</v>
      </c>
      <c r="L189" s="294"/>
      <c r="M189" s="294"/>
      <c r="N189" s="294"/>
      <c r="O189" s="294"/>
      <c r="P189" s="294"/>
      <c r="Q189" s="295"/>
      <c r="R189" s="33"/>
      <c r="S189" s="34"/>
      <c r="T189" s="34"/>
      <c r="U189" s="34"/>
      <c r="V189" s="34"/>
      <c r="W189" s="34"/>
      <c r="X189" s="34"/>
      <c r="Y189" s="34"/>
      <c r="Z189" s="34"/>
      <c r="AA189" s="34"/>
      <c r="AB189" s="383" t="s">
        <v>64</v>
      </c>
      <c r="AC189" s="383"/>
      <c r="AD189" s="383"/>
      <c r="AE189" s="383"/>
      <c r="AF189" s="383"/>
      <c r="AG189" s="383"/>
      <c r="AH189" s="384"/>
    </row>
    <row r="190" spans="1:34" ht="21" customHeight="1">
      <c r="A190" s="288" t="s">
        <v>65</v>
      </c>
      <c r="B190" s="289"/>
      <c r="C190" s="289"/>
      <c r="D190" s="289"/>
      <c r="E190" s="289"/>
      <c r="F190" s="289"/>
      <c r="G190" s="290"/>
      <c r="H190" s="385">
        <f>VLOOKUP(AI172,'4A'!A:AK,30,0)</f>
        <v>76.631578947368425</v>
      </c>
      <c r="I190" s="386"/>
      <c r="J190" s="198">
        <f>H190</f>
        <v>76.631578947368425</v>
      </c>
      <c r="K190" s="293" t="s">
        <v>66</v>
      </c>
      <c r="L190" s="294"/>
      <c r="M190" s="294"/>
      <c r="N190" s="294"/>
      <c r="O190" s="294"/>
      <c r="P190" s="294"/>
      <c r="Q190" s="295"/>
      <c r="R190" s="33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5"/>
    </row>
    <row r="191" spans="1:34" ht="21" customHeight="1">
      <c r="A191" s="288" t="s">
        <v>67</v>
      </c>
      <c r="B191" s="289"/>
      <c r="C191" s="289"/>
      <c r="D191" s="289"/>
      <c r="E191" s="199" t="s">
        <v>68</v>
      </c>
      <c r="F191" s="155" t="s">
        <v>69</v>
      </c>
      <c r="G191" s="164">
        <f>COUNT('4A'!B4:B32)</f>
        <v>29</v>
      </c>
      <c r="H191" s="164"/>
      <c r="I191" s="165"/>
      <c r="J191" s="173" t="s">
        <v>70</v>
      </c>
      <c r="K191" s="174"/>
      <c r="L191" s="175">
        <f>G191</f>
        <v>29</v>
      </c>
      <c r="M191" s="302" t="s">
        <v>71</v>
      </c>
      <c r="N191" s="302"/>
      <c r="O191" s="302"/>
      <c r="P191" s="176" t="str">
        <f>E191</f>
        <v>-</v>
      </c>
      <c r="Q191" s="177" t="s">
        <v>72</v>
      </c>
      <c r="R191" s="33"/>
      <c r="S191" s="34"/>
      <c r="T191" s="34"/>
      <c r="U191" s="34"/>
      <c r="V191" s="34"/>
      <c r="W191" s="32"/>
      <c r="X191" s="32"/>
      <c r="Y191" s="32"/>
      <c r="Z191" s="32"/>
      <c r="AA191" s="32"/>
      <c r="AB191" s="34"/>
      <c r="AC191" s="34"/>
      <c r="AD191" s="34"/>
      <c r="AE191" s="34"/>
      <c r="AF191" s="34"/>
      <c r="AG191" s="34"/>
      <c r="AH191" s="35"/>
    </row>
    <row r="192" spans="1:34" ht="21" customHeight="1">
      <c r="A192" s="303" t="s">
        <v>73</v>
      </c>
      <c r="B192" s="304"/>
      <c r="C192" s="304"/>
      <c r="D192" s="304"/>
      <c r="E192" s="304"/>
      <c r="F192" s="304"/>
      <c r="G192" s="304"/>
      <c r="H192" s="304"/>
      <c r="I192" s="7"/>
      <c r="J192" s="166"/>
      <c r="K192" s="195"/>
      <c r="L192" s="305" t="s">
        <v>74</v>
      </c>
      <c r="M192" s="305"/>
      <c r="N192" s="305"/>
      <c r="O192" s="305"/>
      <c r="P192" s="305"/>
      <c r="Q192" s="306"/>
      <c r="R192" s="381"/>
      <c r="S192" s="382"/>
      <c r="T192" s="382"/>
      <c r="U192" s="382"/>
      <c r="V192" s="382"/>
      <c r="W192" s="382"/>
      <c r="X192" s="382"/>
      <c r="Y192" s="382"/>
      <c r="Z192" s="382"/>
      <c r="AA192" s="382"/>
      <c r="AB192" s="34"/>
      <c r="AC192" s="34"/>
      <c r="AD192" s="34"/>
      <c r="AE192" s="34"/>
      <c r="AF192" s="34"/>
      <c r="AG192" s="34"/>
      <c r="AH192" s="35"/>
    </row>
    <row r="193" spans="1:35" ht="21" customHeight="1">
      <c r="A193" s="358" t="s">
        <v>75</v>
      </c>
      <c r="B193" s="359"/>
      <c r="C193" s="359"/>
      <c r="D193" s="359"/>
      <c r="E193" s="359"/>
      <c r="F193" s="359"/>
      <c r="G193" s="359"/>
      <c r="H193" s="359"/>
      <c r="I193" s="359"/>
      <c r="J193" s="359"/>
      <c r="K193" s="359"/>
      <c r="L193" s="359"/>
      <c r="M193" s="359"/>
      <c r="N193" s="359"/>
      <c r="O193" s="359"/>
      <c r="P193" s="359"/>
      <c r="Q193" s="360"/>
      <c r="R193" s="315" t="s">
        <v>766</v>
      </c>
      <c r="S193" s="316"/>
      <c r="T193" s="316"/>
      <c r="U193" s="316"/>
      <c r="V193" s="316"/>
      <c r="W193" s="316"/>
      <c r="X193" s="316"/>
      <c r="Y193" s="316"/>
      <c r="Z193" s="316"/>
      <c r="AA193" s="316"/>
      <c r="AB193" s="380" t="s">
        <v>76</v>
      </c>
      <c r="AC193" s="380"/>
      <c r="AD193" s="380"/>
      <c r="AE193" s="380"/>
      <c r="AF193" s="380"/>
      <c r="AG193" s="380"/>
      <c r="AH193" s="336"/>
    </row>
    <row r="194" spans="1:35" ht="20.100000000000001" customHeight="1">
      <c r="A194" s="161">
        <v>1</v>
      </c>
      <c r="B194" s="324" t="s">
        <v>83</v>
      </c>
      <c r="C194" s="324"/>
      <c r="D194" s="324"/>
      <c r="E194" s="324"/>
      <c r="F194" s="324"/>
      <c r="G194" s="324"/>
      <c r="H194" s="356">
        <f>VLOOKUP(AI172,'4A'!A:AK,23,0)</f>
        <v>99</v>
      </c>
      <c r="I194" s="356"/>
      <c r="J194" s="178">
        <f t="shared" ref="J194:J201" si="16">H194</f>
        <v>99</v>
      </c>
      <c r="K194" s="293" t="s">
        <v>84</v>
      </c>
      <c r="L194" s="294"/>
      <c r="M194" s="294"/>
      <c r="N194" s="294"/>
      <c r="O194" s="294"/>
      <c r="P194" s="295"/>
      <c r="Q194" s="168">
        <v>1</v>
      </c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52"/>
      <c r="AE194" s="52"/>
      <c r="AF194" s="52"/>
      <c r="AG194" s="52"/>
      <c r="AH194" s="52"/>
    </row>
    <row r="195" spans="1:35" ht="20.100000000000001" customHeight="1">
      <c r="A195" s="161">
        <v>2</v>
      </c>
      <c r="B195" s="288" t="s">
        <v>79</v>
      </c>
      <c r="C195" s="289"/>
      <c r="D195" s="289"/>
      <c r="E195" s="289"/>
      <c r="F195" s="289"/>
      <c r="G195" s="290"/>
      <c r="H195" s="356">
        <f>VLOOKUP(AI172,'4A'!A:AK,24,0)</f>
        <v>99</v>
      </c>
      <c r="I195" s="356"/>
      <c r="J195" s="178">
        <f t="shared" si="16"/>
        <v>99</v>
      </c>
      <c r="K195" s="293" t="s">
        <v>80</v>
      </c>
      <c r="L195" s="294"/>
      <c r="M195" s="294"/>
      <c r="N195" s="294"/>
      <c r="O195" s="294"/>
      <c r="P195" s="295"/>
      <c r="Q195" s="168">
        <v>2</v>
      </c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</row>
    <row r="196" spans="1:35" ht="20.100000000000001" customHeight="1">
      <c r="A196" s="161">
        <v>3</v>
      </c>
      <c r="B196" s="324" t="s">
        <v>77</v>
      </c>
      <c r="C196" s="324"/>
      <c r="D196" s="324"/>
      <c r="E196" s="324"/>
      <c r="F196" s="324"/>
      <c r="G196" s="324"/>
      <c r="H196" s="356">
        <f>H182</f>
        <v>62</v>
      </c>
      <c r="I196" s="356"/>
      <c r="J196" s="178">
        <f t="shared" si="16"/>
        <v>62</v>
      </c>
      <c r="K196" s="293" t="s">
        <v>78</v>
      </c>
      <c r="L196" s="294"/>
      <c r="M196" s="294"/>
      <c r="N196" s="294"/>
      <c r="O196" s="294"/>
      <c r="P196" s="295"/>
      <c r="Q196" s="168">
        <v>3</v>
      </c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</row>
    <row r="197" spans="1:35" ht="20.100000000000001" customHeight="1">
      <c r="A197" s="161">
        <v>4</v>
      </c>
      <c r="B197" s="288" t="s">
        <v>81</v>
      </c>
      <c r="C197" s="289"/>
      <c r="D197" s="289"/>
      <c r="E197" s="289"/>
      <c r="F197" s="289"/>
      <c r="G197" s="290"/>
      <c r="H197" s="317">
        <f>VLOOKUP(AI172,'4A'!A:AK,26,0)</f>
        <v>98</v>
      </c>
      <c r="I197" s="318"/>
      <c r="J197" s="178">
        <f>H197</f>
        <v>98</v>
      </c>
      <c r="K197" s="293" t="s">
        <v>82</v>
      </c>
      <c r="L197" s="294"/>
      <c r="M197" s="294"/>
      <c r="N197" s="294"/>
      <c r="O197" s="294"/>
      <c r="P197" s="295"/>
      <c r="Q197" s="168">
        <v>4</v>
      </c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</row>
    <row r="198" spans="1:35" ht="20.100000000000001" customHeight="1">
      <c r="A198" s="161">
        <v>5</v>
      </c>
      <c r="B198" s="288" t="s">
        <v>147</v>
      </c>
      <c r="C198" s="289"/>
      <c r="D198" s="289"/>
      <c r="E198" s="289"/>
      <c r="F198" s="289"/>
      <c r="G198" s="290"/>
      <c r="H198" s="317">
        <f>VLOOKUP(AI172,'4A'!A:AK,27,0)</f>
        <v>99</v>
      </c>
      <c r="I198" s="318"/>
      <c r="J198" s="178">
        <f>H198</f>
        <v>99</v>
      </c>
      <c r="K198" s="293" t="s">
        <v>84</v>
      </c>
      <c r="L198" s="294"/>
      <c r="M198" s="294"/>
      <c r="N198" s="294"/>
      <c r="O198" s="294"/>
      <c r="P198" s="295"/>
      <c r="Q198" s="168">
        <v>5</v>
      </c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</row>
    <row r="199" spans="1:35" ht="20.100000000000001" customHeight="1">
      <c r="A199" s="161">
        <v>6</v>
      </c>
      <c r="B199" s="324" t="s">
        <v>148</v>
      </c>
      <c r="C199" s="324"/>
      <c r="D199" s="324"/>
      <c r="E199" s="324"/>
      <c r="F199" s="324"/>
      <c r="G199" s="324"/>
      <c r="H199" s="356">
        <f>VLOOKUP(AI172,'4A'!A:AK,28,0)</f>
        <v>65</v>
      </c>
      <c r="I199" s="356"/>
      <c r="J199" s="178">
        <f t="shared" si="16"/>
        <v>65</v>
      </c>
      <c r="K199" s="293" t="s">
        <v>149</v>
      </c>
      <c r="L199" s="294"/>
      <c r="M199" s="294"/>
      <c r="N199" s="294"/>
      <c r="O199" s="294"/>
      <c r="P199" s="295"/>
      <c r="Q199" s="168">
        <v>6</v>
      </c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</row>
    <row r="200" spans="1:35" ht="20.100000000000001" customHeight="1">
      <c r="A200" s="357" t="s">
        <v>62</v>
      </c>
      <c r="B200" s="357"/>
      <c r="C200" s="357"/>
      <c r="D200" s="357"/>
      <c r="E200" s="357"/>
      <c r="F200" s="357"/>
      <c r="G200" s="357"/>
      <c r="H200" s="317">
        <f>SUM(H194:I199)</f>
        <v>522</v>
      </c>
      <c r="I200" s="318"/>
      <c r="J200" s="178">
        <f t="shared" si="16"/>
        <v>522</v>
      </c>
      <c r="K200" s="293" t="s">
        <v>63</v>
      </c>
      <c r="L200" s="294"/>
      <c r="M200" s="294"/>
      <c r="N200" s="294"/>
      <c r="O200" s="294"/>
      <c r="P200" s="294"/>
      <c r="Q200" s="295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</row>
    <row r="201" spans="1:35" ht="20.100000000000001" customHeight="1">
      <c r="A201" s="357" t="s">
        <v>65</v>
      </c>
      <c r="B201" s="357"/>
      <c r="C201" s="357"/>
      <c r="D201" s="357"/>
      <c r="E201" s="357"/>
      <c r="F201" s="357"/>
      <c r="G201" s="357"/>
      <c r="H201" s="291">
        <f>AVERAGE(H194:I199)</f>
        <v>87</v>
      </c>
      <c r="I201" s="292"/>
      <c r="J201" s="179">
        <f t="shared" si="16"/>
        <v>87</v>
      </c>
      <c r="K201" s="293" t="s">
        <v>66</v>
      </c>
      <c r="L201" s="294"/>
      <c r="M201" s="294"/>
      <c r="N201" s="294"/>
      <c r="O201" s="294"/>
      <c r="P201" s="294"/>
      <c r="Q201" s="295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</row>
    <row r="202" spans="1:35" ht="21" customHeight="1">
      <c r="A202" s="34"/>
      <c r="B202" s="34"/>
      <c r="C202" s="34"/>
      <c r="D202" s="34"/>
      <c r="E202" s="34"/>
      <c r="F202" s="34"/>
      <c r="G202" s="34"/>
      <c r="H202" s="34"/>
      <c r="I202" s="34"/>
      <c r="J202" s="34"/>
      <c r="K202" s="34"/>
      <c r="L202" s="34"/>
      <c r="M202" s="34"/>
      <c r="N202" s="31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</row>
    <row r="203" spans="1:35" ht="21" customHeight="1"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</row>
    <row r="204" spans="1:35" ht="21" customHeight="1"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</row>
    <row r="205" spans="1:35" ht="21" customHeight="1">
      <c r="A205" s="343" t="s">
        <v>0</v>
      </c>
      <c r="B205" s="344"/>
      <c r="C205" s="153" t="s">
        <v>1</v>
      </c>
      <c r="D205" s="344" t="str">
        <f>VLOOKUP(AI208,'4b'!A:AK,3,0)</f>
        <v>Azhar Aufal Ramadhan</v>
      </c>
      <c r="E205" s="344"/>
      <c r="F205" s="344"/>
      <c r="G205" s="344"/>
      <c r="H205" s="344"/>
      <c r="I205" s="344"/>
      <c r="J205" s="344"/>
      <c r="K205" s="344"/>
      <c r="L205" s="344"/>
      <c r="M205" s="344"/>
      <c r="N205" s="344"/>
      <c r="O205" s="344"/>
      <c r="P205" s="344"/>
      <c r="Q205" s="345"/>
      <c r="R205" s="343" t="s">
        <v>0</v>
      </c>
      <c r="S205" s="344"/>
      <c r="T205" s="153" t="s">
        <v>1</v>
      </c>
      <c r="U205" s="344" t="str">
        <f>D205</f>
        <v>Azhar Aufal Ramadhan</v>
      </c>
      <c r="V205" s="344"/>
      <c r="W205" s="344"/>
      <c r="X205" s="344"/>
      <c r="Y205" s="344"/>
      <c r="Z205" s="344"/>
      <c r="AA205" s="344"/>
      <c r="AB205" s="344"/>
      <c r="AC205" s="344"/>
      <c r="AD205" s="344"/>
      <c r="AE205" s="344"/>
      <c r="AF205" s="344"/>
      <c r="AG205" s="344"/>
      <c r="AH205" s="345"/>
    </row>
    <row r="206" spans="1:35" ht="21" customHeight="1">
      <c r="A206" s="346" t="s">
        <v>2</v>
      </c>
      <c r="B206" s="347"/>
      <c r="C206" s="154" t="s">
        <v>1</v>
      </c>
      <c r="D206" s="347" t="s">
        <v>98</v>
      </c>
      <c r="E206" s="347"/>
      <c r="F206" s="347"/>
      <c r="G206" s="347"/>
      <c r="H206" s="347"/>
      <c r="I206" s="347"/>
      <c r="J206" s="159" t="s">
        <v>3</v>
      </c>
      <c r="K206" s="347">
        <f>VLOOKUP(AI208,'4b'!A:AK,2,0)</f>
        <v>21220123</v>
      </c>
      <c r="L206" s="347"/>
      <c r="M206" s="347"/>
      <c r="N206" s="347"/>
      <c r="O206" s="347"/>
      <c r="P206" s="347"/>
      <c r="Q206" s="348"/>
      <c r="R206" s="346" t="s">
        <v>2</v>
      </c>
      <c r="S206" s="347"/>
      <c r="T206" s="154" t="s">
        <v>1</v>
      </c>
      <c r="U206" s="347" t="str">
        <f>D206</f>
        <v>4-B</v>
      </c>
      <c r="V206" s="347"/>
      <c r="W206" s="347"/>
      <c r="X206" s="347"/>
      <c r="Y206" s="347"/>
      <c r="Z206" s="347"/>
      <c r="AA206" s="159" t="s">
        <v>3</v>
      </c>
      <c r="AB206" s="347">
        <f>K206</f>
        <v>21220123</v>
      </c>
      <c r="AC206" s="347"/>
      <c r="AD206" s="347"/>
      <c r="AE206" s="347"/>
      <c r="AF206" s="347"/>
      <c r="AG206" s="347"/>
      <c r="AH206" s="348"/>
      <c r="AI206" t="s">
        <v>102</v>
      </c>
    </row>
    <row r="207" spans="1:35" ht="21" customHeight="1">
      <c r="A207" s="343" t="s">
        <v>4</v>
      </c>
      <c r="B207" s="344"/>
      <c r="C207" s="153" t="s">
        <v>1</v>
      </c>
      <c r="D207" s="304" t="str">
        <f>DASHBOARD!$H$11</f>
        <v>2025/2026</v>
      </c>
      <c r="E207" s="304"/>
      <c r="F207" s="304"/>
      <c r="G207" s="304"/>
      <c r="H207" s="304"/>
      <c r="I207" s="304"/>
      <c r="J207" s="304"/>
      <c r="K207" s="304"/>
      <c r="L207" s="304"/>
      <c r="M207" s="304"/>
      <c r="N207" s="304"/>
      <c r="O207" s="304"/>
      <c r="P207" s="304"/>
      <c r="Q207" s="349"/>
      <c r="R207" s="330" t="s">
        <v>5</v>
      </c>
      <c r="S207" s="331"/>
      <c r="T207" s="331"/>
      <c r="U207" s="331"/>
      <c r="V207" s="331"/>
      <c r="W207" s="331"/>
      <c r="X207" s="332"/>
      <c r="Y207" s="333" t="s">
        <v>6</v>
      </c>
      <c r="Z207" s="334"/>
      <c r="AA207" s="337" t="s">
        <v>7</v>
      </c>
      <c r="AB207" s="330" t="s">
        <v>8</v>
      </c>
      <c r="AC207" s="331"/>
      <c r="AD207" s="331"/>
      <c r="AE207" s="331"/>
      <c r="AF207" s="331"/>
      <c r="AG207" s="331"/>
      <c r="AH207" s="332"/>
      <c r="AI207" s="2" t="s">
        <v>9</v>
      </c>
    </row>
    <row r="208" spans="1:35" ht="21" customHeight="1">
      <c r="A208" s="303" t="s">
        <v>10</v>
      </c>
      <c r="B208" s="304"/>
      <c r="C208" s="160" t="s">
        <v>1</v>
      </c>
      <c r="D208" s="350" t="str">
        <f>DASHBOARD!$H$12</f>
        <v>1 (Satu)</v>
      </c>
      <c r="E208" s="350"/>
      <c r="F208" s="350"/>
      <c r="G208" s="350"/>
      <c r="H208" s="350"/>
      <c r="I208" s="351"/>
      <c r="J208" s="352" t="str">
        <f>DASHBOARD!$I$12</f>
        <v>الأول</v>
      </c>
      <c r="K208" s="353"/>
      <c r="L208" s="353"/>
      <c r="M208" s="353"/>
      <c r="N208" s="160" t="s">
        <v>1</v>
      </c>
      <c r="O208" s="354" t="s">
        <v>11</v>
      </c>
      <c r="P208" s="354"/>
      <c r="Q208" s="355"/>
      <c r="R208" s="339" t="s">
        <v>12</v>
      </c>
      <c r="S208" s="340"/>
      <c r="T208" s="340"/>
      <c r="U208" s="340"/>
      <c r="V208" s="340"/>
      <c r="W208" s="340"/>
      <c r="X208" s="341"/>
      <c r="Y208" s="335"/>
      <c r="Z208" s="336"/>
      <c r="AA208" s="338"/>
      <c r="AB208" s="339" t="s">
        <v>13</v>
      </c>
      <c r="AC208" s="340"/>
      <c r="AD208" s="340"/>
      <c r="AE208" s="340"/>
      <c r="AF208" s="340"/>
      <c r="AG208" s="340"/>
      <c r="AH208" s="341"/>
      <c r="AI208" s="3">
        <v>28</v>
      </c>
    </row>
    <row r="209" spans="1:34" ht="21" customHeight="1">
      <c r="A209" s="330" t="s">
        <v>5</v>
      </c>
      <c r="B209" s="331"/>
      <c r="C209" s="331"/>
      <c r="D209" s="331"/>
      <c r="E209" s="331"/>
      <c r="F209" s="331"/>
      <c r="G209" s="331"/>
      <c r="H209" s="333" t="s">
        <v>6</v>
      </c>
      <c r="I209" s="334"/>
      <c r="J209" s="337" t="s">
        <v>7</v>
      </c>
      <c r="K209" s="330" t="s">
        <v>8</v>
      </c>
      <c r="L209" s="331"/>
      <c r="M209" s="331"/>
      <c r="N209" s="331"/>
      <c r="O209" s="331"/>
      <c r="P209" s="331"/>
      <c r="Q209" s="332"/>
      <c r="R209" s="161">
        <v>1</v>
      </c>
      <c r="S209" s="303" t="s">
        <v>14</v>
      </c>
      <c r="T209" s="304"/>
      <c r="U209" s="304"/>
      <c r="V209" s="304"/>
      <c r="W209" s="304"/>
      <c r="X209" s="349"/>
      <c r="Y209" s="361">
        <f>VLOOKUP(AI208,'4b'!A:AK,18,0)</f>
        <v>70</v>
      </c>
      <c r="Z209" s="362"/>
      <c r="AA209" s="168">
        <f>Y209</f>
        <v>70</v>
      </c>
      <c r="AB209" s="370" t="s">
        <v>15</v>
      </c>
      <c r="AC209" s="371"/>
      <c r="AD209" s="371"/>
      <c r="AE209" s="371"/>
      <c r="AF209" s="371"/>
      <c r="AG209" s="372"/>
      <c r="AH209" s="168">
        <v>1</v>
      </c>
    </row>
    <row r="210" spans="1:34" ht="21" customHeight="1">
      <c r="A210" s="339" t="s">
        <v>16</v>
      </c>
      <c r="B210" s="340"/>
      <c r="C210" s="340"/>
      <c r="D210" s="340"/>
      <c r="E210" s="340"/>
      <c r="F210" s="340"/>
      <c r="G210" s="340"/>
      <c r="H210" s="335"/>
      <c r="I210" s="336"/>
      <c r="J210" s="338"/>
      <c r="K210" s="339" t="s">
        <v>17</v>
      </c>
      <c r="L210" s="340"/>
      <c r="M210" s="340"/>
      <c r="N210" s="340"/>
      <c r="O210" s="340"/>
      <c r="P210" s="340"/>
      <c r="Q210" s="341"/>
      <c r="R210" s="161">
        <v>2</v>
      </c>
      <c r="S210" s="303" t="s">
        <v>22</v>
      </c>
      <c r="T210" s="304"/>
      <c r="U210" s="304"/>
      <c r="V210" s="304"/>
      <c r="W210" s="304"/>
      <c r="X210" s="349"/>
      <c r="Y210" s="361">
        <f>VLOOKUP(AI208,'4b'!A:AK,19,0)</f>
        <v>85</v>
      </c>
      <c r="Z210" s="362"/>
      <c r="AA210" s="168">
        <f>Y210</f>
        <v>85</v>
      </c>
      <c r="AB210" s="370" t="s">
        <v>23</v>
      </c>
      <c r="AC210" s="371"/>
      <c r="AD210" s="371"/>
      <c r="AE210" s="371"/>
      <c r="AF210" s="371"/>
      <c r="AG210" s="372"/>
      <c r="AH210" s="168">
        <v>2</v>
      </c>
    </row>
    <row r="211" spans="1:34" ht="21" customHeight="1">
      <c r="A211" s="4">
        <v>1</v>
      </c>
      <c r="B211" s="324" t="s">
        <v>20</v>
      </c>
      <c r="C211" s="324"/>
      <c r="D211" s="324"/>
      <c r="E211" s="324"/>
      <c r="F211" s="324"/>
      <c r="G211" s="324"/>
      <c r="H211" s="378">
        <f>VLOOKUP(AI208,'4b'!A:AK,4,0)</f>
        <v>40</v>
      </c>
      <c r="I211" s="379"/>
      <c r="J211" s="53">
        <f t="shared" ref="J211:J226" si="17">H211</f>
        <v>40</v>
      </c>
      <c r="K211" s="342" t="s">
        <v>19</v>
      </c>
      <c r="L211" s="342"/>
      <c r="M211" s="342"/>
      <c r="N211" s="342"/>
      <c r="O211" s="342"/>
      <c r="P211" s="342"/>
      <c r="Q211" s="9">
        <v>1</v>
      </c>
      <c r="R211" s="161">
        <v>3</v>
      </c>
      <c r="S211" s="303" t="s">
        <v>91</v>
      </c>
      <c r="T211" s="304"/>
      <c r="U211" s="304"/>
      <c r="V211" s="304"/>
      <c r="W211" s="304"/>
      <c r="X211" s="349"/>
      <c r="Y211" s="361">
        <f>VLOOKUP(AI208,'4b'!A:AK,20,0)</f>
        <v>50</v>
      </c>
      <c r="Z211" s="362"/>
      <c r="AA211" s="168">
        <f>Y211</f>
        <v>50</v>
      </c>
      <c r="AB211" s="370" t="s">
        <v>92</v>
      </c>
      <c r="AC211" s="371"/>
      <c r="AD211" s="371"/>
      <c r="AE211" s="371"/>
      <c r="AF211" s="371"/>
      <c r="AG211" s="372"/>
      <c r="AH211" s="168">
        <v>3</v>
      </c>
    </row>
    <row r="212" spans="1:34" ht="21" customHeight="1">
      <c r="A212" s="4">
        <v>2</v>
      </c>
      <c r="B212" s="324" t="s">
        <v>22</v>
      </c>
      <c r="C212" s="324"/>
      <c r="D212" s="324"/>
      <c r="E212" s="324"/>
      <c r="F212" s="324"/>
      <c r="G212" s="324"/>
      <c r="H212" s="378">
        <f>VLOOKUP(AI208,'4b'!A:AK,5,0)</f>
        <v>46</v>
      </c>
      <c r="I212" s="379"/>
      <c r="J212" s="53">
        <f t="shared" si="17"/>
        <v>46</v>
      </c>
      <c r="K212" s="342" t="s">
        <v>23</v>
      </c>
      <c r="L212" s="342"/>
      <c r="M212" s="342"/>
      <c r="N212" s="342"/>
      <c r="O212" s="342"/>
      <c r="P212" s="342"/>
      <c r="Q212" s="9">
        <v>2</v>
      </c>
      <c r="R212" s="161">
        <v>4</v>
      </c>
      <c r="S212" s="303" t="s">
        <v>20</v>
      </c>
      <c r="T212" s="304"/>
      <c r="U212" s="304"/>
      <c r="V212" s="304"/>
      <c r="W212" s="304"/>
      <c r="X212" s="349"/>
      <c r="Y212" s="361">
        <f>VLOOKUP(AI208,'4b'!A:AK,21,0)</f>
        <v>70</v>
      </c>
      <c r="Z212" s="362"/>
      <c r="AA212" s="168">
        <f>Y212</f>
        <v>70</v>
      </c>
      <c r="AB212" s="370" t="s">
        <v>19</v>
      </c>
      <c r="AC212" s="371"/>
      <c r="AD212" s="371"/>
      <c r="AE212" s="371"/>
      <c r="AF212" s="371"/>
      <c r="AG212" s="372"/>
      <c r="AH212" s="168">
        <v>4</v>
      </c>
    </row>
    <row r="213" spans="1:34" ht="21" customHeight="1">
      <c r="A213" s="4">
        <v>3</v>
      </c>
      <c r="B213" s="158" t="s">
        <v>24</v>
      </c>
      <c r="C213" s="155"/>
      <c r="D213" s="155"/>
      <c r="E213" s="155"/>
      <c r="F213" s="155"/>
      <c r="G213" s="162"/>
      <c r="H213" s="378">
        <f>VLOOKUP(AI208,'4b'!A:AK,6,0)</f>
        <v>40</v>
      </c>
      <c r="I213" s="379"/>
      <c r="J213" s="53">
        <f t="shared" si="17"/>
        <v>40</v>
      </c>
      <c r="K213" s="293" t="s">
        <v>25</v>
      </c>
      <c r="L213" s="294"/>
      <c r="M213" s="294"/>
      <c r="N213" s="294"/>
      <c r="O213" s="294"/>
      <c r="P213" s="295"/>
      <c r="Q213" s="9">
        <v>3</v>
      </c>
      <c r="R213" s="161">
        <v>5</v>
      </c>
      <c r="S213" s="303" t="s">
        <v>93</v>
      </c>
      <c r="T213" s="304"/>
      <c r="U213" s="304"/>
      <c r="V213" s="304"/>
      <c r="W213" s="304"/>
      <c r="X213" s="349"/>
      <c r="Y213" s="361">
        <f>VLOOKUP(AI208,'4b'!A:AK,22,0)</f>
        <v>60</v>
      </c>
      <c r="Z213" s="362"/>
      <c r="AA213" s="168">
        <f>Y213</f>
        <v>60</v>
      </c>
      <c r="AB213" s="370" t="s">
        <v>94</v>
      </c>
      <c r="AC213" s="371"/>
      <c r="AD213" s="371"/>
      <c r="AE213" s="371"/>
      <c r="AF213" s="371"/>
      <c r="AG213" s="372"/>
      <c r="AH213" s="168">
        <v>5</v>
      </c>
    </row>
    <row r="214" spans="1:34" ht="21" customHeight="1">
      <c r="A214" s="4">
        <v>4</v>
      </c>
      <c r="B214" s="288" t="s">
        <v>26</v>
      </c>
      <c r="C214" s="289"/>
      <c r="D214" s="289"/>
      <c r="E214" s="289"/>
      <c r="F214" s="289"/>
      <c r="G214" s="290"/>
      <c r="H214" s="378">
        <f>VLOOKUP(AI208,'4b'!A:AK,7,0)</f>
        <v>75</v>
      </c>
      <c r="I214" s="379"/>
      <c r="J214" s="53">
        <f t="shared" si="17"/>
        <v>75</v>
      </c>
      <c r="K214" s="293" t="s">
        <v>27</v>
      </c>
      <c r="L214" s="294"/>
      <c r="M214" s="294"/>
      <c r="N214" s="294"/>
      <c r="O214" s="294"/>
      <c r="P214" s="295"/>
      <c r="Q214" s="9">
        <v>4</v>
      </c>
      <c r="R214" s="299" t="s">
        <v>768</v>
      </c>
      <c r="S214" s="300"/>
      <c r="T214" s="300"/>
      <c r="U214" s="300"/>
      <c r="V214" s="301"/>
      <c r="W214" s="327" t="s">
        <v>28</v>
      </c>
      <c r="X214" s="328"/>
      <c r="Y214" s="328"/>
      <c r="Z214" s="328"/>
      <c r="AA214" s="328"/>
      <c r="AB214" s="329"/>
      <c r="AC214" s="327" t="s">
        <v>29</v>
      </c>
      <c r="AD214" s="328"/>
      <c r="AE214" s="328"/>
      <c r="AF214" s="328"/>
      <c r="AG214" s="328"/>
      <c r="AH214" s="329"/>
    </row>
    <row r="215" spans="1:34" ht="21" customHeight="1">
      <c r="A215" s="4">
        <v>5</v>
      </c>
      <c r="B215" s="288" t="s">
        <v>30</v>
      </c>
      <c r="C215" s="289"/>
      <c r="D215" s="289"/>
      <c r="E215" s="289"/>
      <c r="F215" s="289"/>
      <c r="G215" s="290"/>
      <c r="H215" s="378">
        <f>VLOOKUP(AI208,'4b'!A:AK,8,0)</f>
        <v>53</v>
      </c>
      <c r="I215" s="379"/>
      <c r="J215" s="53">
        <f t="shared" si="17"/>
        <v>53</v>
      </c>
      <c r="K215" s="293" t="s">
        <v>31</v>
      </c>
      <c r="L215" s="294"/>
      <c r="M215" s="294"/>
      <c r="N215" s="294"/>
      <c r="O215" s="294"/>
      <c r="P215" s="295"/>
      <c r="Q215" s="9">
        <v>5</v>
      </c>
      <c r="R215" s="319" t="s">
        <v>32</v>
      </c>
      <c r="S215" s="320"/>
      <c r="T215" s="320"/>
      <c r="U215" s="180" t="s">
        <v>1</v>
      </c>
      <c r="V215" s="181" t="str">
        <f>VLOOKUP(AI208,'4b'!A:AK,32,0)</f>
        <v>B</v>
      </c>
      <c r="W215" s="321" t="s">
        <v>33</v>
      </c>
      <c r="X215" s="322"/>
      <c r="Y215" s="322"/>
      <c r="Z215" s="322"/>
      <c r="AA215" s="322"/>
      <c r="AB215" s="323"/>
      <c r="AC215" s="296" t="s">
        <v>33</v>
      </c>
      <c r="AD215" s="297"/>
      <c r="AE215" s="297"/>
      <c r="AF215" s="297"/>
      <c r="AG215" s="297"/>
      <c r="AH215" s="298"/>
    </row>
    <row r="216" spans="1:34" ht="21" customHeight="1">
      <c r="A216" s="4">
        <v>6</v>
      </c>
      <c r="B216" s="288" t="s">
        <v>34</v>
      </c>
      <c r="C216" s="289"/>
      <c r="D216" s="289"/>
      <c r="E216" s="289"/>
      <c r="F216" s="289"/>
      <c r="G216" s="290"/>
      <c r="H216" s="378">
        <f>VLOOKUP(AI208,'4b'!A:AK,9,0)</f>
        <v>41</v>
      </c>
      <c r="I216" s="379"/>
      <c r="J216" s="53">
        <f t="shared" si="17"/>
        <v>41</v>
      </c>
      <c r="K216" s="293" t="s">
        <v>35</v>
      </c>
      <c r="L216" s="294"/>
      <c r="M216" s="294"/>
      <c r="N216" s="294"/>
      <c r="O216" s="294"/>
      <c r="P216" s="295"/>
      <c r="Q216" s="9">
        <v>6</v>
      </c>
      <c r="R216" s="319" t="s">
        <v>36</v>
      </c>
      <c r="S216" s="320"/>
      <c r="T216" s="320"/>
      <c r="U216" s="180" t="s">
        <v>1</v>
      </c>
      <c r="V216" s="181" t="str">
        <f>VLOOKUP(AI208,'4b'!A:AK,33,0)</f>
        <v>C</v>
      </c>
      <c r="W216" s="13"/>
      <c r="X216" s="14"/>
      <c r="Y216" s="14"/>
      <c r="Z216" s="14"/>
      <c r="AA216" s="14"/>
      <c r="AB216" s="15"/>
      <c r="AC216" s="16"/>
      <c r="AH216" s="17"/>
    </row>
    <row r="217" spans="1:34" s="22" customFormat="1" ht="21" customHeight="1">
      <c r="A217" s="4">
        <v>7</v>
      </c>
      <c r="B217" s="288" t="s">
        <v>37</v>
      </c>
      <c r="C217" s="289"/>
      <c r="D217" s="289"/>
      <c r="E217" s="289"/>
      <c r="F217" s="289"/>
      <c r="G217" s="290"/>
      <c r="H217" s="378">
        <f>VLOOKUP(AI208,'4b'!A:AK,10,0)</f>
        <v>51</v>
      </c>
      <c r="I217" s="379"/>
      <c r="J217" s="53">
        <f t="shared" si="17"/>
        <v>51</v>
      </c>
      <c r="K217" s="293" t="s">
        <v>38</v>
      </c>
      <c r="L217" s="294"/>
      <c r="M217" s="294"/>
      <c r="N217" s="294"/>
      <c r="O217" s="294"/>
      <c r="P217" s="295"/>
      <c r="Q217" s="9">
        <v>7</v>
      </c>
      <c r="R217" s="325" t="s">
        <v>39</v>
      </c>
      <c r="S217" s="326"/>
      <c r="T217" s="326"/>
      <c r="U217" s="182" t="s">
        <v>1</v>
      </c>
      <c r="V217" s="183" t="str">
        <f>VLOOKUP(AI208,'4b'!A:AK,34,0)</f>
        <v>C</v>
      </c>
      <c r="W217" s="16"/>
      <c r="X217"/>
      <c r="Y217"/>
      <c r="Z217"/>
      <c r="AA217"/>
      <c r="AB217" s="17"/>
      <c r="AC217" s="16"/>
      <c r="AD217"/>
      <c r="AE217"/>
      <c r="AF217"/>
      <c r="AG217"/>
      <c r="AH217" s="17"/>
    </row>
    <row r="218" spans="1:34" s="30" customFormat="1" ht="21" customHeight="1">
      <c r="A218" s="4">
        <v>8</v>
      </c>
      <c r="B218" s="288" t="s">
        <v>40</v>
      </c>
      <c r="C218" s="289"/>
      <c r="D218" s="289"/>
      <c r="E218" s="289"/>
      <c r="F218" s="289"/>
      <c r="G218" s="290"/>
      <c r="H218" s="378">
        <f>VLOOKUP(AI208,'4b'!A:AK,11,0)</f>
        <v>49</v>
      </c>
      <c r="I218" s="379"/>
      <c r="J218" s="53">
        <f t="shared" si="17"/>
        <v>49</v>
      </c>
      <c r="K218" s="293" t="s">
        <v>41</v>
      </c>
      <c r="L218" s="294"/>
      <c r="M218" s="294"/>
      <c r="N218" s="294"/>
      <c r="O218" s="294"/>
      <c r="P218" s="295"/>
      <c r="Q218" s="9">
        <v>8</v>
      </c>
      <c r="R218" s="327" t="s">
        <v>42</v>
      </c>
      <c r="S218" s="328"/>
      <c r="T218" s="328"/>
      <c r="U218" s="328"/>
      <c r="V218" s="329"/>
      <c r="W218" s="16"/>
      <c r="X218"/>
      <c r="Y218"/>
      <c r="Z218"/>
      <c r="AA218"/>
      <c r="AB218" s="17"/>
      <c r="AC218" s="307" t="str">
        <f>DASHBOARD!H22</f>
        <v>Mu'allim Wail Akhyar</v>
      </c>
      <c r="AD218" s="308"/>
      <c r="AE218" s="308"/>
      <c r="AF218" s="308"/>
      <c r="AG218" s="308"/>
      <c r="AH218" s="309"/>
    </row>
    <row r="219" spans="1:34" ht="21" customHeight="1">
      <c r="A219" s="4">
        <v>9</v>
      </c>
      <c r="B219" s="288" t="s">
        <v>14</v>
      </c>
      <c r="C219" s="289"/>
      <c r="D219" s="289"/>
      <c r="E219" s="289"/>
      <c r="F219" s="289"/>
      <c r="G219" s="290"/>
      <c r="H219" s="378">
        <f>VLOOKUP(AI208,'4b'!A:AK,12,0)</f>
        <v>69</v>
      </c>
      <c r="I219" s="379"/>
      <c r="J219" s="53">
        <f t="shared" si="17"/>
        <v>69</v>
      </c>
      <c r="K219" s="293" t="s">
        <v>15</v>
      </c>
      <c r="L219" s="294"/>
      <c r="M219" s="294"/>
      <c r="N219" s="294"/>
      <c r="O219" s="294"/>
      <c r="P219" s="295"/>
      <c r="Q219" s="9">
        <v>9</v>
      </c>
      <c r="R219" s="296" t="s">
        <v>43</v>
      </c>
      <c r="S219" s="297"/>
      <c r="T219" s="297"/>
      <c r="U219" s="297"/>
      <c r="V219" s="298"/>
      <c r="W219" s="16"/>
      <c r="AB219" s="17"/>
      <c r="AC219" s="299" t="s">
        <v>44</v>
      </c>
      <c r="AD219" s="300"/>
      <c r="AE219" s="300"/>
      <c r="AF219" s="300"/>
      <c r="AG219" s="300"/>
      <c r="AH219" s="301"/>
    </row>
    <row r="220" spans="1:34" ht="21" customHeight="1">
      <c r="A220" s="4">
        <v>10</v>
      </c>
      <c r="B220" s="288" t="s">
        <v>45</v>
      </c>
      <c r="C220" s="289"/>
      <c r="D220" s="289"/>
      <c r="E220" s="289"/>
      <c r="F220" s="289"/>
      <c r="G220" s="290"/>
      <c r="H220" s="378">
        <f>VLOOKUP(AI208,'4b'!A:AK,13,0)</f>
        <v>55</v>
      </c>
      <c r="I220" s="379"/>
      <c r="J220" s="53">
        <f t="shared" si="17"/>
        <v>55</v>
      </c>
      <c r="K220" s="293" t="s">
        <v>46</v>
      </c>
      <c r="L220" s="294"/>
      <c r="M220" s="294"/>
      <c r="N220" s="294"/>
      <c r="O220" s="294"/>
      <c r="P220" s="295"/>
      <c r="Q220" s="9">
        <v>10</v>
      </c>
      <c r="R220" s="184" t="s">
        <v>47</v>
      </c>
      <c r="S220" s="185"/>
      <c r="T220" s="180" t="s">
        <v>1</v>
      </c>
      <c r="U220" s="180">
        <f>VLOOKUP(AI208,'4b'!A:AK,35,0)</f>
        <v>0</v>
      </c>
      <c r="V220" s="181" t="s">
        <v>48</v>
      </c>
      <c r="W220" s="16"/>
      <c r="AB220" s="17"/>
      <c r="AC220" s="16"/>
      <c r="AH220" s="17"/>
    </row>
    <row r="221" spans="1:34" ht="21" customHeight="1">
      <c r="A221" s="4">
        <v>11</v>
      </c>
      <c r="B221" s="158" t="s">
        <v>49</v>
      </c>
      <c r="C221" s="155"/>
      <c r="D221" s="155"/>
      <c r="E221" s="155"/>
      <c r="F221" s="155"/>
      <c r="G221" s="162"/>
      <c r="H221" s="378">
        <f>VLOOKUP(AI208,'4b'!A:AK,14,0)</f>
        <v>75</v>
      </c>
      <c r="I221" s="379"/>
      <c r="J221" s="53">
        <f t="shared" si="17"/>
        <v>75</v>
      </c>
      <c r="K221" s="293" t="s">
        <v>50</v>
      </c>
      <c r="L221" s="294"/>
      <c r="M221" s="294"/>
      <c r="N221" s="294"/>
      <c r="O221" s="294"/>
      <c r="P221" s="295"/>
      <c r="Q221" s="9">
        <v>11</v>
      </c>
      <c r="R221" s="184" t="s">
        <v>51</v>
      </c>
      <c r="S221" s="185"/>
      <c r="T221" s="180" t="s">
        <v>1</v>
      </c>
      <c r="U221" s="180">
        <f>VLOOKUP(AI208,'4b'!A:AK,36,0)</f>
        <v>0</v>
      </c>
      <c r="V221" s="181" t="s">
        <v>48</v>
      </c>
      <c r="W221" s="21"/>
      <c r="X221" s="22"/>
      <c r="Y221" s="22"/>
      <c r="Z221" s="22"/>
      <c r="AA221" s="22"/>
      <c r="AB221" s="23"/>
      <c r="AC221" s="16"/>
      <c r="AH221" s="17"/>
    </row>
    <row r="222" spans="1:34" ht="21" customHeight="1">
      <c r="A222" s="4">
        <v>12</v>
      </c>
      <c r="B222" s="158" t="s">
        <v>52</v>
      </c>
      <c r="C222" s="155"/>
      <c r="D222" s="155"/>
      <c r="E222" s="155"/>
      <c r="F222" s="155"/>
      <c r="G222" s="162"/>
      <c r="H222" s="378">
        <f>VLOOKUP(AI208,'4b'!A:AK,15,0)</f>
        <v>40</v>
      </c>
      <c r="I222" s="379"/>
      <c r="J222" s="53">
        <f t="shared" si="17"/>
        <v>40</v>
      </c>
      <c r="K222" s="293" t="s">
        <v>21</v>
      </c>
      <c r="L222" s="294"/>
      <c r="M222" s="294"/>
      <c r="N222" s="294"/>
      <c r="O222" s="294"/>
      <c r="P222" s="295"/>
      <c r="Q222" s="9">
        <v>12</v>
      </c>
      <c r="R222" s="186" t="s">
        <v>53</v>
      </c>
      <c r="S222" s="187"/>
      <c r="T222" s="182" t="s">
        <v>1</v>
      </c>
      <c r="U222" s="182">
        <f>VLOOKUP(AI208,'4b'!A:AK,37,0)</f>
        <v>0</v>
      </c>
      <c r="V222" s="183" t="s">
        <v>48</v>
      </c>
      <c r="W222" s="188"/>
      <c r="X222" s="189"/>
      <c r="Y222" s="189"/>
      <c r="Z222" s="189"/>
      <c r="AA222" s="189"/>
      <c r="AB222" s="190"/>
      <c r="AC222" s="307" t="s">
        <v>770</v>
      </c>
      <c r="AD222" s="308"/>
      <c r="AE222" s="308"/>
      <c r="AF222" s="308"/>
      <c r="AG222" s="308"/>
      <c r="AH222" s="309"/>
    </row>
    <row r="223" spans="1:34" ht="21" customHeight="1">
      <c r="A223" s="4">
        <v>13</v>
      </c>
      <c r="B223" s="158" t="s">
        <v>55</v>
      </c>
      <c r="C223" s="155"/>
      <c r="D223" s="155"/>
      <c r="E223" s="155"/>
      <c r="F223" s="155"/>
      <c r="G223" s="162"/>
      <c r="H223" s="378">
        <f>VLOOKUP(AI208,'4b'!A:AK,16,0)</f>
        <v>49</v>
      </c>
      <c r="I223" s="379"/>
      <c r="J223" s="53">
        <f t="shared" si="17"/>
        <v>49</v>
      </c>
      <c r="K223" s="342" t="s">
        <v>56</v>
      </c>
      <c r="L223" s="342"/>
      <c r="M223" s="342"/>
      <c r="N223" s="342"/>
      <c r="O223" s="342"/>
      <c r="P223" s="342"/>
      <c r="Q223" s="9">
        <v>13</v>
      </c>
      <c r="R223" s="16"/>
      <c r="U223" t="s">
        <v>57</v>
      </c>
      <c r="AB223" s="310" t="str">
        <f>DASHBOARD!$H$13</f>
        <v>Sumedang, 05 September 2025</v>
      </c>
      <c r="AC223" s="310"/>
      <c r="AD223" s="310"/>
      <c r="AE223" s="310"/>
      <c r="AF223" s="310"/>
      <c r="AG223" s="310"/>
      <c r="AH223" s="311"/>
    </row>
    <row r="224" spans="1:34" ht="21" customHeight="1">
      <c r="A224" s="4">
        <v>14</v>
      </c>
      <c r="B224" s="288" t="s">
        <v>96</v>
      </c>
      <c r="C224" s="289"/>
      <c r="D224" s="289"/>
      <c r="E224" s="289"/>
      <c r="F224" s="289"/>
      <c r="G224" s="290"/>
      <c r="H224" s="376">
        <f>VLOOKUP(AI208,'4b'!A:AK,17,0)</f>
        <v>56</v>
      </c>
      <c r="I224" s="377"/>
      <c r="J224" s="9">
        <f t="shared" si="17"/>
        <v>56</v>
      </c>
      <c r="K224" s="342" t="s">
        <v>97</v>
      </c>
      <c r="L224" s="342"/>
      <c r="M224" s="342"/>
      <c r="N224" s="342"/>
      <c r="O224" s="342"/>
      <c r="P224" s="342"/>
      <c r="Q224" s="9">
        <v>14</v>
      </c>
      <c r="R224" s="312" t="s">
        <v>60</v>
      </c>
      <c r="S224" s="310"/>
      <c r="T224" s="310"/>
      <c r="U224" s="310"/>
      <c r="V224" s="310"/>
      <c r="W224" s="310"/>
      <c r="X224" s="310"/>
      <c r="Y224" s="310"/>
      <c r="Z224" s="310"/>
      <c r="AA224" s="310"/>
      <c r="AB224" s="313" t="s">
        <v>61</v>
      </c>
      <c r="AC224" s="313"/>
      <c r="AD224" s="313"/>
      <c r="AE224" s="313"/>
      <c r="AF224" s="313"/>
      <c r="AG224" s="313"/>
      <c r="AH224" s="314"/>
    </row>
    <row r="225" spans="1:34" ht="21" customHeight="1">
      <c r="A225" s="303" t="s">
        <v>62</v>
      </c>
      <c r="B225" s="304"/>
      <c r="C225" s="304"/>
      <c r="D225" s="304"/>
      <c r="E225" s="304"/>
      <c r="F225" s="304"/>
      <c r="G225" s="349"/>
      <c r="H225" s="378">
        <f>VLOOKUP(AI208,'4b'!A:AK,29,0)</f>
        <v>1074</v>
      </c>
      <c r="I225" s="379"/>
      <c r="J225" s="53">
        <f t="shared" si="17"/>
        <v>1074</v>
      </c>
      <c r="K225" s="370" t="s">
        <v>63</v>
      </c>
      <c r="L225" s="371"/>
      <c r="M225" s="371"/>
      <c r="N225" s="371"/>
      <c r="O225" s="371"/>
      <c r="P225" s="371"/>
      <c r="Q225" s="372"/>
      <c r="R225" s="33"/>
      <c r="S225" s="34"/>
      <c r="T225" s="34"/>
      <c r="U225" s="34"/>
      <c r="V225" s="34"/>
      <c r="W225" s="34"/>
      <c r="X225" s="34"/>
      <c r="Y225" s="34"/>
      <c r="Z225" s="34"/>
      <c r="AA225" s="34"/>
      <c r="AB225" s="297" t="s">
        <v>64</v>
      </c>
      <c r="AC225" s="297"/>
      <c r="AD225" s="297"/>
      <c r="AE225" s="297"/>
      <c r="AF225" s="297"/>
      <c r="AG225" s="297"/>
      <c r="AH225" s="298"/>
    </row>
    <row r="226" spans="1:34" ht="21" customHeight="1">
      <c r="A226" s="303" t="s">
        <v>65</v>
      </c>
      <c r="B226" s="304"/>
      <c r="C226" s="304"/>
      <c r="D226" s="304"/>
      <c r="E226" s="304"/>
      <c r="F226" s="304"/>
      <c r="G226" s="349"/>
      <c r="H226" s="373">
        <f>VLOOKUP(AI208,'4b'!A:AK,30,0)</f>
        <v>56.526315789473685</v>
      </c>
      <c r="I226" s="374"/>
      <c r="J226" s="55">
        <f t="shared" si="17"/>
        <v>56.526315789473685</v>
      </c>
      <c r="K226" s="370" t="s">
        <v>66</v>
      </c>
      <c r="L226" s="371"/>
      <c r="M226" s="371"/>
      <c r="N226" s="371"/>
      <c r="O226" s="371"/>
      <c r="P226" s="371"/>
      <c r="Q226" s="372"/>
      <c r="R226" s="33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5"/>
    </row>
    <row r="227" spans="1:34" ht="21" customHeight="1">
      <c r="A227" s="303" t="s">
        <v>67</v>
      </c>
      <c r="B227" s="304"/>
      <c r="C227" s="304"/>
      <c r="D227" s="304"/>
      <c r="E227" s="56" t="s">
        <v>68</v>
      </c>
      <c r="F227" s="6" t="s">
        <v>69</v>
      </c>
      <c r="G227" s="36">
        <f>COUNT('4b'!B4:B31)</f>
        <v>28</v>
      </c>
      <c r="H227" s="36"/>
      <c r="I227" s="8"/>
      <c r="J227" s="37" t="s">
        <v>70</v>
      </c>
      <c r="K227" s="38"/>
      <c r="L227" s="39">
        <f>G227</f>
        <v>28</v>
      </c>
      <c r="M227" s="375" t="s">
        <v>71</v>
      </c>
      <c r="N227" s="375"/>
      <c r="O227" s="375"/>
      <c r="P227" s="40" t="str">
        <f>E227</f>
        <v>-</v>
      </c>
      <c r="Q227" s="41" t="s">
        <v>72</v>
      </c>
      <c r="R227" s="33"/>
      <c r="S227" s="34"/>
      <c r="T227" s="34"/>
      <c r="U227" s="34"/>
      <c r="V227" s="34"/>
      <c r="W227" s="191"/>
      <c r="X227" s="191"/>
      <c r="Y227" s="191"/>
      <c r="Z227" s="191"/>
      <c r="AA227" s="191"/>
      <c r="AB227" s="34"/>
      <c r="AC227" s="34"/>
      <c r="AD227" s="34"/>
      <c r="AE227" s="34"/>
      <c r="AF227" s="34"/>
      <c r="AG227" s="34"/>
      <c r="AH227" s="35"/>
    </row>
    <row r="228" spans="1:34" ht="21" customHeight="1">
      <c r="A228" s="303" t="s">
        <v>73</v>
      </c>
      <c r="B228" s="304"/>
      <c r="C228" s="304"/>
      <c r="D228" s="304"/>
      <c r="E228" s="304"/>
      <c r="F228" s="304"/>
      <c r="G228" s="304"/>
      <c r="H228" s="304"/>
      <c r="I228" s="7"/>
      <c r="J228" s="166"/>
      <c r="K228" s="195"/>
      <c r="L228" s="305" t="s">
        <v>74</v>
      </c>
      <c r="M228" s="305"/>
      <c r="N228" s="305"/>
      <c r="O228" s="305"/>
      <c r="P228" s="305"/>
      <c r="Q228" s="306"/>
      <c r="R228" s="312"/>
      <c r="S228" s="310"/>
      <c r="T228" s="310"/>
      <c r="U228" s="310"/>
      <c r="V228" s="310"/>
      <c r="W228" s="310"/>
      <c r="X228" s="310"/>
      <c r="Y228" s="310"/>
      <c r="Z228" s="310"/>
      <c r="AA228" s="310"/>
      <c r="AB228" s="34"/>
      <c r="AC228" s="34"/>
      <c r="AD228" s="34"/>
      <c r="AE228" s="34"/>
      <c r="AF228" s="34"/>
      <c r="AG228" s="34"/>
      <c r="AH228" s="35"/>
    </row>
    <row r="229" spans="1:34" ht="21" customHeight="1">
      <c r="A229" s="358" t="s">
        <v>75</v>
      </c>
      <c r="B229" s="359"/>
      <c r="C229" s="359"/>
      <c r="D229" s="359"/>
      <c r="E229" s="359"/>
      <c r="F229" s="359"/>
      <c r="G229" s="359"/>
      <c r="H229" s="359"/>
      <c r="I229" s="359"/>
      <c r="J229" s="359"/>
      <c r="K229" s="359"/>
      <c r="L229" s="359"/>
      <c r="M229" s="359"/>
      <c r="N229" s="359"/>
      <c r="O229" s="359"/>
      <c r="P229" s="359"/>
      <c r="Q229" s="360"/>
      <c r="R229" s="315" t="s">
        <v>766</v>
      </c>
      <c r="S229" s="316"/>
      <c r="T229" s="316"/>
      <c r="U229" s="316"/>
      <c r="V229" s="316"/>
      <c r="W229" s="316"/>
      <c r="X229" s="316"/>
      <c r="Y229" s="316"/>
      <c r="Z229" s="316"/>
      <c r="AA229" s="316"/>
      <c r="AB229" s="308" t="s">
        <v>767</v>
      </c>
      <c r="AC229" s="308"/>
      <c r="AD229" s="308"/>
      <c r="AE229" s="308"/>
      <c r="AF229" s="308"/>
      <c r="AG229" s="308"/>
      <c r="AH229" s="309"/>
    </row>
    <row r="230" spans="1:34" ht="20.100000000000001" customHeight="1">
      <c r="A230" s="161">
        <v>1</v>
      </c>
      <c r="B230" s="324" t="s">
        <v>83</v>
      </c>
      <c r="C230" s="324"/>
      <c r="D230" s="324"/>
      <c r="E230" s="324"/>
      <c r="F230" s="324"/>
      <c r="G230" s="324"/>
      <c r="H230" s="356">
        <f>VLOOKUP(AI208,'4b'!A:AK,23,0)</f>
        <v>99</v>
      </c>
      <c r="I230" s="356"/>
      <c r="J230" s="178">
        <f t="shared" ref="J230:J235" si="18">H230</f>
        <v>99</v>
      </c>
      <c r="K230" s="293" t="s">
        <v>84</v>
      </c>
      <c r="L230" s="294"/>
      <c r="M230" s="294"/>
      <c r="N230" s="294"/>
      <c r="O230" s="294"/>
      <c r="P230" s="295"/>
      <c r="Q230" s="168">
        <v>1</v>
      </c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52"/>
      <c r="AE230" s="52"/>
      <c r="AF230" s="52"/>
      <c r="AG230" s="52"/>
      <c r="AH230" s="52"/>
    </row>
    <row r="231" spans="1:34" ht="20.100000000000001" customHeight="1">
      <c r="A231" s="161">
        <v>2</v>
      </c>
      <c r="B231" s="288" t="s">
        <v>79</v>
      </c>
      <c r="C231" s="289"/>
      <c r="D231" s="289"/>
      <c r="E231" s="289"/>
      <c r="F231" s="289"/>
      <c r="G231" s="290"/>
      <c r="H231" s="356">
        <f>VLOOKUP(AI208,'4b'!A:AK,24,0)</f>
        <v>93</v>
      </c>
      <c r="I231" s="356"/>
      <c r="J231" s="178">
        <f t="shared" si="18"/>
        <v>93</v>
      </c>
      <c r="K231" s="293" t="s">
        <v>80</v>
      </c>
      <c r="L231" s="294"/>
      <c r="M231" s="294"/>
      <c r="N231" s="294"/>
      <c r="O231" s="294"/>
      <c r="P231" s="295"/>
      <c r="Q231" s="168">
        <v>2</v>
      </c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</row>
    <row r="232" spans="1:34" ht="20.100000000000001" customHeight="1">
      <c r="A232" s="161">
        <v>3</v>
      </c>
      <c r="B232" s="324" t="s">
        <v>77</v>
      </c>
      <c r="C232" s="324"/>
      <c r="D232" s="324"/>
      <c r="E232" s="324"/>
      <c r="F232" s="324"/>
      <c r="G232" s="324"/>
      <c r="H232" s="356">
        <f>H218</f>
        <v>49</v>
      </c>
      <c r="I232" s="356"/>
      <c r="J232" s="178">
        <f t="shared" si="18"/>
        <v>49</v>
      </c>
      <c r="K232" s="293" t="s">
        <v>78</v>
      </c>
      <c r="L232" s="294"/>
      <c r="M232" s="294"/>
      <c r="N232" s="294"/>
      <c r="O232" s="294"/>
      <c r="P232" s="295"/>
      <c r="Q232" s="168">
        <v>3</v>
      </c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</row>
    <row r="233" spans="1:34" ht="20.100000000000001" customHeight="1">
      <c r="A233" s="161">
        <v>4</v>
      </c>
      <c r="B233" s="288" t="s">
        <v>81</v>
      </c>
      <c r="C233" s="289"/>
      <c r="D233" s="289"/>
      <c r="E233" s="289"/>
      <c r="F233" s="289"/>
      <c r="G233" s="290"/>
      <c r="H233" s="317">
        <f>VLOOKUP(AI208,'4b'!A:AK,26,0)</f>
        <v>99</v>
      </c>
      <c r="I233" s="318"/>
      <c r="J233" s="178">
        <f t="shared" si="18"/>
        <v>99</v>
      </c>
      <c r="K233" s="293" t="s">
        <v>82</v>
      </c>
      <c r="L233" s="294"/>
      <c r="M233" s="294"/>
      <c r="N233" s="294"/>
      <c r="O233" s="294"/>
      <c r="P233" s="295"/>
      <c r="Q233" s="168">
        <v>4</v>
      </c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</row>
    <row r="234" spans="1:34" ht="20.100000000000001" customHeight="1">
      <c r="A234" s="161">
        <v>5</v>
      </c>
      <c r="B234" s="288" t="s">
        <v>147</v>
      </c>
      <c r="C234" s="289"/>
      <c r="D234" s="289"/>
      <c r="E234" s="289"/>
      <c r="F234" s="289"/>
      <c r="G234" s="290"/>
      <c r="H234" s="317">
        <f>VLOOKUP(AI208,'4b'!A:AK,27,0)</f>
        <v>99</v>
      </c>
      <c r="I234" s="318"/>
      <c r="J234" s="178">
        <f t="shared" si="18"/>
        <v>99</v>
      </c>
      <c r="K234" s="293" t="s">
        <v>84</v>
      </c>
      <c r="L234" s="294"/>
      <c r="M234" s="294"/>
      <c r="N234" s="294"/>
      <c r="O234" s="294"/>
      <c r="P234" s="295"/>
      <c r="Q234" s="168">
        <v>5</v>
      </c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</row>
    <row r="235" spans="1:34" ht="20.100000000000001" customHeight="1">
      <c r="A235" s="161">
        <v>6</v>
      </c>
      <c r="B235" s="324" t="s">
        <v>148</v>
      </c>
      <c r="C235" s="324"/>
      <c r="D235" s="324"/>
      <c r="E235" s="324"/>
      <c r="F235" s="324"/>
      <c r="G235" s="324"/>
      <c r="H235" s="356">
        <f>VLOOKUP(AI208,'4b'!A:AK,28,0)</f>
        <v>65</v>
      </c>
      <c r="I235" s="356"/>
      <c r="J235" s="178">
        <f t="shared" si="18"/>
        <v>65</v>
      </c>
      <c r="K235" s="293" t="s">
        <v>149</v>
      </c>
      <c r="L235" s="294"/>
      <c r="M235" s="294"/>
      <c r="N235" s="294"/>
      <c r="O235" s="294"/>
      <c r="P235" s="295"/>
      <c r="Q235" s="168">
        <v>6</v>
      </c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</row>
    <row r="236" spans="1:34" ht="20.100000000000001" customHeight="1">
      <c r="A236" s="357" t="s">
        <v>62</v>
      </c>
      <c r="B236" s="357"/>
      <c r="C236" s="357"/>
      <c r="D236" s="357"/>
      <c r="E236" s="357"/>
      <c r="F236" s="357"/>
      <c r="G236" s="357"/>
      <c r="H236" s="317">
        <f>SUM(H230:I235)</f>
        <v>504</v>
      </c>
      <c r="I236" s="318"/>
      <c r="J236" s="178">
        <f>H236</f>
        <v>504</v>
      </c>
      <c r="K236" s="293" t="s">
        <v>63</v>
      </c>
      <c r="L236" s="294"/>
      <c r="M236" s="294"/>
      <c r="N236" s="294"/>
      <c r="O236" s="294"/>
      <c r="P236" s="294"/>
      <c r="Q236" s="295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</row>
    <row r="237" spans="1:34" ht="20.100000000000001" customHeight="1">
      <c r="A237" s="357" t="s">
        <v>65</v>
      </c>
      <c r="B237" s="357"/>
      <c r="C237" s="357"/>
      <c r="D237" s="357"/>
      <c r="E237" s="357"/>
      <c r="F237" s="357"/>
      <c r="G237" s="357"/>
      <c r="H237" s="291">
        <f>AVERAGE(H230:I235)</f>
        <v>84</v>
      </c>
      <c r="I237" s="292"/>
      <c r="J237" s="179">
        <f t="shared" ref="J237" si="19">H237</f>
        <v>84</v>
      </c>
      <c r="K237" s="293" t="s">
        <v>66</v>
      </c>
      <c r="L237" s="294"/>
      <c r="M237" s="294"/>
      <c r="N237" s="294"/>
      <c r="O237" s="294"/>
      <c r="P237" s="294"/>
      <c r="Q237" s="295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</row>
    <row r="238" spans="1:34" ht="21" customHeight="1">
      <c r="A238" s="46"/>
      <c r="B238" s="46"/>
      <c r="C238" s="46"/>
      <c r="D238" s="46"/>
      <c r="E238" s="46"/>
      <c r="F238" s="46"/>
      <c r="G238" s="46"/>
      <c r="H238" s="47"/>
      <c r="I238" s="47"/>
      <c r="J238" s="48"/>
      <c r="K238" s="49"/>
      <c r="L238" s="49"/>
      <c r="M238" s="49"/>
      <c r="N238" s="49"/>
      <c r="O238" s="49"/>
      <c r="P238" s="49"/>
      <c r="Q238" s="49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</row>
    <row r="239" spans="1:34" ht="21" customHeight="1">
      <c r="A239" s="46"/>
      <c r="B239" s="46"/>
      <c r="C239" s="46"/>
      <c r="D239" s="46"/>
      <c r="E239" s="46"/>
      <c r="F239" s="46"/>
      <c r="G239" s="46"/>
      <c r="H239" s="47"/>
      <c r="I239" s="47"/>
      <c r="J239" s="48"/>
      <c r="K239" s="49"/>
      <c r="L239" s="49"/>
      <c r="M239" s="49"/>
      <c r="N239" s="49"/>
      <c r="O239" s="49"/>
      <c r="P239" s="49"/>
      <c r="Q239" s="49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</row>
    <row r="240" spans="1:34" ht="21" customHeight="1"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</row>
    <row r="241" spans="1:35" ht="21" customHeight="1">
      <c r="A241" s="343" t="s">
        <v>0</v>
      </c>
      <c r="B241" s="344"/>
      <c r="C241" s="153" t="s">
        <v>1</v>
      </c>
      <c r="D241" s="344" t="str">
        <f>VLOOKUP(AI244,'4c'!A:AK,3,0)</f>
        <v>Muhamad Arifin</v>
      </c>
      <c r="E241" s="344"/>
      <c r="F241" s="344"/>
      <c r="G241" s="344"/>
      <c r="H241" s="344"/>
      <c r="I241" s="344"/>
      <c r="J241" s="344"/>
      <c r="K241" s="344"/>
      <c r="L241" s="344"/>
      <c r="M241" s="344"/>
      <c r="N241" s="344"/>
      <c r="O241" s="344"/>
      <c r="P241" s="344"/>
      <c r="Q241" s="345"/>
      <c r="R241" s="343" t="s">
        <v>0</v>
      </c>
      <c r="S241" s="344"/>
      <c r="T241" s="153" t="s">
        <v>1</v>
      </c>
      <c r="U241" s="344" t="str">
        <f>D241</f>
        <v>Muhamad Arifin</v>
      </c>
      <c r="V241" s="344"/>
      <c r="W241" s="344"/>
      <c r="X241" s="344"/>
      <c r="Y241" s="344"/>
      <c r="Z241" s="344"/>
      <c r="AA241" s="344"/>
      <c r="AB241" s="344"/>
      <c r="AC241" s="344"/>
      <c r="AD241" s="344"/>
      <c r="AE241" s="344"/>
      <c r="AF241" s="344"/>
      <c r="AG241" s="344"/>
      <c r="AH241" s="345"/>
    </row>
    <row r="242" spans="1:35" ht="21" customHeight="1">
      <c r="A242" s="346" t="s">
        <v>2</v>
      </c>
      <c r="B242" s="347"/>
      <c r="C242" s="154" t="s">
        <v>1</v>
      </c>
      <c r="D242" s="347" t="s">
        <v>101</v>
      </c>
      <c r="E242" s="347"/>
      <c r="F242" s="347"/>
      <c r="G242" s="347"/>
      <c r="H242" s="347"/>
      <c r="I242" s="347"/>
      <c r="J242" s="159" t="s">
        <v>3</v>
      </c>
      <c r="K242" s="347">
        <f>VLOOKUP(AI244,'4c'!A:AK,2,0)</f>
        <v>21220090</v>
      </c>
      <c r="L242" s="347"/>
      <c r="M242" s="347"/>
      <c r="N242" s="347"/>
      <c r="O242" s="347"/>
      <c r="P242" s="347"/>
      <c r="Q242" s="348"/>
      <c r="R242" s="346" t="s">
        <v>2</v>
      </c>
      <c r="S242" s="347"/>
      <c r="T242" s="154" t="s">
        <v>1</v>
      </c>
      <c r="U242" s="347" t="str">
        <f>D242</f>
        <v>4-C</v>
      </c>
      <c r="V242" s="347"/>
      <c r="W242" s="347"/>
      <c r="X242" s="347"/>
      <c r="Y242" s="347"/>
      <c r="Z242" s="347"/>
      <c r="AA242" s="159" t="s">
        <v>3</v>
      </c>
      <c r="AB242" s="347">
        <f>K242</f>
        <v>21220090</v>
      </c>
      <c r="AC242" s="347"/>
      <c r="AD242" s="347"/>
      <c r="AE242" s="347"/>
      <c r="AF242" s="347"/>
      <c r="AG242" s="347"/>
      <c r="AH242" s="348"/>
      <c r="AI242" t="s">
        <v>113</v>
      </c>
    </row>
    <row r="243" spans="1:35" ht="21" customHeight="1">
      <c r="A243" s="343" t="s">
        <v>4</v>
      </c>
      <c r="B243" s="344"/>
      <c r="C243" s="153" t="s">
        <v>1</v>
      </c>
      <c r="D243" s="304" t="str">
        <f>DASHBOARD!$H$11</f>
        <v>2025/2026</v>
      </c>
      <c r="E243" s="304"/>
      <c r="F243" s="304"/>
      <c r="G243" s="304"/>
      <c r="H243" s="304"/>
      <c r="I243" s="304"/>
      <c r="J243" s="304"/>
      <c r="K243" s="304"/>
      <c r="L243" s="304"/>
      <c r="M243" s="304"/>
      <c r="N243" s="304"/>
      <c r="O243" s="304"/>
      <c r="P243" s="304"/>
      <c r="Q243" s="349"/>
      <c r="R243" s="330" t="s">
        <v>5</v>
      </c>
      <c r="S243" s="331"/>
      <c r="T243" s="331"/>
      <c r="U243" s="331"/>
      <c r="V243" s="331"/>
      <c r="W243" s="331"/>
      <c r="X243" s="332"/>
      <c r="Y243" s="333" t="s">
        <v>6</v>
      </c>
      <c r="Z243" s="334"/>
      <c r="AA243" s="337" t="s">
        <v>7</v>
      </c>
      <c r="AB243" s="330" t="s">
        <v>8</v>
      </c>
      <c r="AC243" s="331"/>
      <c r="AD243" s="331"/>
      <c r="AE243" s="331"/>
      <c r="AF243" s="331"/>
      <c r="AG243" s="331"/>
      <c r="AH243" s="332"/>
      <c r="AI243" s="50" t="s">
        <v>9</v>
      </c>
    </row>
    <row r="244" spans="1:35" ht="21" customHeight="1">
      <c r="A244" s="303" t="s">
        <v>10</v>
      </c>
      <c r="B244" s="304"/>
      <c r="C244" s="160" t="s">
        <v>1</v>
      </c>
      <c r="D244" s="350" t="str">
        <f>DASHBOARD!$H$12</f>
        <v>1 (Satu)</v>
      </c>
      <c r="E244" s="350"/>
      <c r="F244" s="350"/>
      <c r="G244" s="350"/>
      <c r="H244" s="350"/>
      <c r="I244" s="351"/>
      <c r="J244" s="352" t="str">
        <f>DASHBOARD!$I$12</f>
        <v>الأول</v>
      </c>
      <c r="K244" s="353"/>
      <c r="L244" s="353"/>
      <c r="M244" s="353"/>
      <c r="N244" s="160" t="s">
        <v>1</v>
      </c>
      <c r="O244" s="354" t="s">
        <v>11</v>
      </c>
      <c r="P244" s="354"/>
      <c r="Q244" s="355"/>
      <c r="R244" s="339" t="s">
        <v>12</v>
      </c>
      <c r="S244" s="340"/>
      <c r="T244" s="340"/>
      <c r="U244" s="340"/>
      <c r="V244" s="340"/>
      <c r="W244" s="340"/>
      <c r="X244" s="341"/>
      <c r="Y244" s="335"/>
      <c r="Z244" s="336"/>
      <c r="AA244" s="338"/>
      <c r="AB244" s="339" t="s">
        <v>13</v>
      </c>
      <c r="AC244" s="340"/>
      <c r="AD244" s="340"/>
      <c r="AE244" s="340"/>
      <c r="AF244" s="340"/>
      <c r="AG244" s="340"/>
      <c r="AH244" s="341"/>
      <c r="AI244" s="51">
        <v>20</v>
      </c>
    </row>
    <row r="245" spans="1:35" s="22" customFormat="1" ht="21" customHeight="1">
      <c r="A245" s="330" t="s">
        <v>5</v>
      </c>
      <c r="B245" s="331"/>
      <c r="C245" s="331"/>
      <c r="D245" s="331"/>
      <c r="E245" s="331"/>
      <c r="F245" s="331"/>
      <c r="G245" s="332"/>
      <c r="H245" s="333" t="s">
        <v>6</v>
      </c>
      <c r="I245" s="334"/>
      <c r="J245" s="337" t="s">
        <v>7</v>
      </c>
      <c r="K245" s="330" t="s">
        <v>8</v>
      </c>
      <c r="L245" s="331"/>
      <c r="M245" s="331"/>
      <c r="N245" s="331"/>
      <c r="O245" s="331"/>
      <c r="P245" s="331"/>
      <c r="Q245" s="332"/>
      <c r="R245" s="161">
        <v>1</v>
      </c>
      <c r="S245" s="303" t="s">
        <v>14</v>
      </c>
      <c r="T245" s="304"/>
      <c r="U245" s="304"/>
      <c r="V245" s="304"/>
      <c r="W245" s="304"/>
      <c r="X245" s="349"/>
      <c r="Y245" s="361">
        <f>VLOOKUP(AI244,'4c'!A:AK,18,0)</f>
        <v>90</v>
      </c>
      <c r="Z245" s="362"/>
      <c r="AA245" s="168">
        <f>Y245</f>
        <v>90</v>
      </c>
      <c r="AB245" s="370" t="s">
        <v>15</v>
      </c>
      <c r="AC245" s="371"/>
      <c r="AD245" s="371"/>
      <c r="AE245" s="371"/>
      <c r="AF245" s="371"/>
      <c r="AG245" s="372"/>
      <c r="AH245" s="168">
        <v>1</v>
      </c>
    </row>
    <row r="246" spans="1:35" s="30" customFormat="1" ht="21" customHeight="1">
      <c r="A246" s="339" t="s">
        <v>16</v>
      </c>
      <c r="B246" s="340"/>
      <c r="C246" s="340"/>
      <c r="D246" s="340"/>
      <c r="E246" s="340"/>
      <c r="F246" s="340"/>
      <c r="G246" s="341"/>
      <c r="H246" s="335"/>
      <c r="I246" s="336"/>
      <c r="J246" s="338"/>
      <c r="K246" s="339" t="s">
        <v>17</v>
      </c>
      <c r="L246" s="340"/>
      <c r="M246" s="340"/>
      <c r="N246" s="340"/>
      <c r="O246" s="340"/>
      <c r="P246" s="340"/>
      <c r="Q246" s="341"/>
      <c r="R246" s="161">
        <v>2</v>
      </c>
      <c r="S246" s="303" t="s">
        <v>22</v>
      </c>
      <c r="T246" s="304"/>
      <c r="U246" s="304"/>
      <c r="V246" s="304"/>
      <c r="W246" s="304"/>
      <c r="X246" s="349"/>
      <c r="Y246" s="361">
        <f>VLOOKUP(AI244,'4c'!A:AK,19,0)</f>
        <v>75</v>
      </c>
      <c r="Z246" s="362"/>
      <c r="AA246" s="168">
        <f>Y246</f>
        <v>75</v>
      </c>
      <c r="AB246" s="370" t="s">
        <v>23</v>
      </c>
      <c r="AC246" s="371"/>
      <c r="AD246" s="371"/>
      <c r="AE246" s="371"/>
      <c r="AF246" s="371"/>
      <c r="AG246" s="372"/>
      <c r="AH246" s="168">
        <v>2</v>
      </c>
    </row>
    <row r="247" spans="1:35" ht="21" customHeight="1">
      <c r="A247" s="161">
        <v>1</v>
      </c>
      <c r="B247" s="324" t="s">
        <v>20</v>
      </c>
      <c r="C247" s="324"/>
      <c r="D247" s="324"/>
      <c r="E247" s="324"/>
      <c r="F247" s="324"/>
      <c r="G247" s="324"/>
      <c r="H247" s="317">
        <f>VLOOKUP(AI244,'4c'!A:AK,4,0)</f>
        <v>78</v>
      </c>
      <c r="I247" s="318"/>
      <c r="J247" s="168">
        <f>H247</f>
        <v>78</v>
      </c>
      <c r="K247" s="342" t="s">
        <v>19</v>
      </c>
      <c r="L247" s="342"/>
      <c r="M247" s="342"/>
      <c r="N247" s="342"/>
      <c r="O247" s="342"/>
      <c r="P247" s="342"/>
      <c r="Q247" s="168">
        <v>1</v>
      </c>
      <c r="R247" s="161">
        <v>3</v>
      </c>
      <c r="S247" s="303" t="s">
        <v>91</v>
      </c>
      <c r="T247" s="304"/>
      <c r="U247" s="304"/>
      <c r="V247" s="304"/>
      <c r="W247" s="304"/>
      <c r="X247" s="349"/>
      <c r="Y247" s="361">
        <f>VLOOKUP(AI244,'4c'!A:AK,20,0)</f>
        <v>99</v>
      </c>
      <c r="Z247" s="362"/>
      <c r="AA247" s="168">
        <f>Y247</f>
        <v>99</v>
      </c>
      <c r="AB247" s="370" t="s">
        <v>92</v>
      </c>
      <c r="AC247" s="371"/>
      <c r="AD247" s="371"/>
      <c r="AE247" s="371"/>
      <c r="AF247" s="371"/>
      <c r="AG247" s="372"/>
      <c r="AH247" s="168">
        <v>3</v>
      </c>
    </row>
    <row r="248" spans="1:35" ht="21" customHeight="1">
      <c r="A248" s="161">
        <v>2</v>
      </c>
      <c r="B248" s="324" t="s">
        <v>22</v>
      </c>
      <c r="C248" s="324"/>
      <c r="D248" s="324"/>
      <c r="E248" s="324"/>
      <c r="F248" s="324"/>
      <c r="G248" s="324"/>
      <c r="H248" s="317">
        <f>VLOOKUP(AI244,'4c'!A:AK,5,0)</f>
        <v>54</v>
      </c>
      <c r="I248" s="318"/>
      <c r="J248" s="168">
        <f>H248</f>
        <v>54</v>
      </c>
      <c r="K248" s="342" t="s">
        <v>23</v>
      </c>
      <c r="L248" s="342"/>
      <c r="M248" s="342"/>
      <c r="N248" s="342"/>
      <c r="O248" s="342"/>
      <c r="P248" s="342"/>
      <c r="Q248" s="168">
        <v>2</v>
      </c>
      <c r="R248" s="161">
        <v>4</v>
      </c>
      <c r="S248" s="303" t="s">
        <v>20</v>
      </c>
      <c r="T248" s="304"/>
      <c r="U248" s="304"/>
      <c r="V248" s="304"/>
      <c r="W248" s="304"/>
      <c r="X248" s="349"/>
      <c r="Y248" s="361">
        <f>VLOOKUP(AI244,'4c'!A:AK,21,0)</f>
        <v>65</v>
      </c>
      <c r="Z248" s="362"/>
      <c r="AA248" s="168">
        <f>Y248</f>
        <v>65</v>
      </c>
      <c r="AB248" s="370" t="s">
        <v>19</v>
      </c>
      <c r="AC248" s="371"/>
      <c r="AD248" s="371"/>
      <c r="AE248" s="371"/>
      <c r="AF248" s="371"/>
      <c r="AG248" s="372"/>
      <c r="AH248" s="168">
        <v>4</v>
      </c>
    </row>
    <row r="249" spans="1:35" ht="21" customHeight="1">
      <c r="A249" s="161">
        <v>3</v>
      </c>
      <c r="B249" s="158" t="s">
        <v>24</v>
      </c>
      <c r="C249" s="155"/>
      <c r="D249" s="155"/>
      <c r="E249" s="155"/>
      <c r="F249" s="155"/>
      <c r="G249" s="162"/>
      <c r="H249" s="317">
        <f>VLOOKUP(AI244,'4c'!A:AK,6,0)</f>
        <v>71</v>
      </c>
      <c r="I249" s="318"/>
      <c r="J249" s="168">
        <f t="shared" ref="J249:J262" si="20">H249</f>
        <v>71</v>
      </c>
      <c r="K249" s="293" t="s">
        <v>25</v>
      </c>
      <c r="L249" s="294"/>
      <c r="M249" s="294"/>
      <c r="N249" s="294"/>
      <c r="O249" s="294"/>
      <c r="P249" s="295"/>
      <c r="Q249" s="168">
        <v>3</v>
      </c>
      <c r="R249" s="161">
        <v>5</v>
      </c>
      <c r="S249" s="303" t="s">
        <v>93</v>
      </c>
      <c r="T249" s="304"/>
      <c r="U249" s="304"/>
      <c r="V249" s="304"/>
      <c r="W249" s="304"/>
      <c r="X249" s="349"/>
      <c r="Y249" s="361">
        <f>VLOOKUP(AI244,'4c'!A:AK,22,0)</f>
        <v>80</v>
      </c>
      <c r="Z249" s="362"/>
      <c r="AA249" s="168">
        <f>Y249</f>
        <v>80</v>
      </c>
      <c r="AB249" s="370" t="s">
        <v>94</v>
      </c>
      <c r="AC249" s="371"/>
      <c r="AD249" s="371"/>
      <c r="AE249" s="371"/>
      <c r="AF249" s="371"/>
      <c r="AG249" s="372"/>
      <c r="AH249" s="168">
        <v>5</v>
      </c>
    </row>
    <row r="250" spans="1:35" ht="21" customHeight="1">
      <c r="A250" s="161">
        <v>4</v>
      </c>
      <c r="B250" s="288" t="s">
        <v>26</v>
      </c>
      <c r="C250" s="289"/>
      <c r="D250" s="289"/>
      <c r="E250" s="289"/>
      <c r="F250" s="289"/>
      <c r="G250" s="290"/>
      <c r="H250" s="317">
        <f>VLOOKUP(AI244,'4c'!A:AK,7,0)</f>
        <v>72</v>
      </c>
      <c r="I250" s="318"/>
      <c r="J250" s="168">
        <f t="shared" si="20"/>
        <v>72</v>
      </c>
      <c r="K250" s="293" t="s">
        <v>27</v>
      </c>
      <c r="L250" s="294"/>
      <c r="M250" s="294"/>
      <c r="N250" s="294"/>
      <c r="O250" s="294"/>
      <c r="P250" s="295"/>
      <c r="Q250" s="168">
        <v>4</v>
      </c>
      <c r="R250" s="299" t="s">
        <v>768</v>
      </c>
      <c r="S250" s="300"/>
      <c r="T250" s="300"/>
      <c r="U250" s="300"/>
      <c r="V250" s="301"/>
      <c r="W250" s="327" t="s">
        <v>28</v>
      </c>
      <c r="X250" s="328"/>
      <c r="Y250" s="328"/>
      <c r="Z250" s="328"/>
      <c r="AA250" s="328"/>
      <c r="AB250" s="329"/>
      <c r="AC250" s="327" t="s">
        <v>29</v>
      </c>
      <c r="AD250" s="328"/>
      <c r="AE250" s="328"/>
      <c r="AF250" s="328"/>
      <c r="AG250" s="328"/>
      <c r="AH250" s="329"/>
    </row>
    <row r="251" spans="1:35" ht="21" customHeight="1">
      <c r="A251" s="161">
        <v>5</v>
      </c>
      <c r="B251" s="288" t="s">
        <v>30</v>
      </c>
      <c r="C251" s="289"/>
      <c r="D251" s="289"/>
      <c r="E251" s="289"/>
      <c r="F251" s="289"/>
      <c r="G251" s="290"/>
      <c r="H251" s="317">
        <f>VLOOKUP(AI244,'4c'!A:AK,8,0)</f>
        <v>86</v>
      </c>
      <c r="I251" s="318"/>
      <c r="J251" s="168">
        <f t="shared" si="20"/>
        <v>86</v>
      </c>
      <c r="K251" s="293" t="s">
        <v>31</v>
      </c>
      <c r="L251" s="294"/>
      <c r="M251" s="294"/>
      <c r="N251" s="294"/>
      <c r="O251" s="294"/>
      <c r="P251" s="295"/>
      <c r="Q251" s="168">
        <v>5</v>
      </c>
      <c r="R251" s="319" t="s">
        <v>32</v>
      </c>
      <c r="S251" s="320"/>
      <c r="T251" s="320"/>
      <c r="U251" s="180" t="s">
        <v>1</v>
      </c>
      <c r="V251" s="181" t="str">
        <f>VLOOKUP(AI244,'4c'!A:AK,32,0)</f>
        <v>B</v>
      </c>
      <c r="W251" s="321" t="s">
        <v>33</v>
      </c>
      <c r="X251" s="322"/>
      <c r="Y251" s="322"/>
      <c r="Z251" s="322"/>
      <c r="AA251" s="322"/>
      <c r="AB251" s="323"/>
      <c r="AC251" s="296" t="s">
        <v>33</v>
      </c>
      <c r="AD251" s="297"/>
      <c r="AE251" s="297"/>
      <c r="AF251" s="297"/>
      <c r="AG251" s="297"/>
      <c r="AH251" s="298"/>
    </row>
    <row r="252" spans="1:35" ht="21" customHeight="1">
      <c r="A252" s="161">
        <v>6</v>
      </c>
      <c r="B252" s="288" t="s">
        <v>34</v>
      </c>
      <c r="C252" s="289"/>
      <c r="D252" s="289"/>
      <c r="E252" s="289"/>
      <c r="F252" s="289"/>
      <c r="G252" s="290"/>
      <c r="H252" s="317">
        <f>VLOOKUP(AI244,'4c'!A:AK,9,0)</f>
        <v>40</v>
      </c>
      <c r="I252" s="318"/>
      <c r="J252" s="168">
        <f t="shared" si="20"/>
        <v>40</v>
      </c>
      <c r="K252" s="293" t="s">
        <v>35</v>
      </c>
      <c r="L252" s="294"/>
      <c r="M252" s="294"/>
      <c r="N252" s="294"/>
      <c r="O252" s="294"/>
      <c r="P252" s="295"/>
      <c r="Q252" s="168">
        <v>6</v>
      </c>
      <c r="R252" s="319" t="s">
        <v>36</v>
      </c>
      <c r="S252" s="320"/>
      <c r="T252" s="320"/>
      <c r="U252" s="180" t="s">
        <v>1</v>
      </c>
      <c r="V252" s="181" t="str">
        <f>VLOOKUP(AI244,'4c'!A:AK,33,0)</f>
        <v>B</v>
      </c>
      <c r="W252" s="13"/>
      <c r="X252" s="14"/>
      <c r="Y252" s="14"/>
      <c r="Z252" s="14"/>
      <c r="AA252" s="14"/>
      <c r="AB252" s="15"/>
      <c r="AC252" s="16"/>
      <c r="AH252" s="17"/>
    </row>
    <row r="253" spans="1:35" ht="21" customHeight="1">
      <c r="A253" s="161">
        <v>7</v>
      </c>
      <c r="B253" s="288" t="s">
        <v>37</v>
      </c>
      <c r="C253" s="289"/>
      <c r="D253" s="289"/>
      <c r="E253" s="289"/>
      <c r="F253" s="289"/>
      <c r="G253" s="290"/>
      <c r="H253" s="367">
        <f>VLOOKUP(AI244,'4c'!A:AK,10,0)</f>
        <v>92</v>
      </c>
      <c r="I253" s="368"/>
      <c r="J253" s="197">
        <f t="shared" si="20"/>
        <v>92</v>
      </c>
      <c r="K253" s="293" t="s">
        <v>38</v>
      </c>
      <c r="L253" s="294"/>
      <c r="M253" s="294"/>
      <c r="N253" s="294"/>
      <c r="O253" s="294"/>
      <c r="P253" s="295"/>
      <c r="Q253" s="168">
        <v>7</v>
      </c>
      <c r="R253" s="325" t="s">
        <v>39</v>
      </c>
      <c r="S253" s="326"/>
      <c r="T253" s="326"/>
      <c r="U253" s="182" t="s">
        <v>1</v>
      </c>
      <c r="V253" s="183" t="str">
        <f>VLOOKUP(AI244,'4c'!A:AK,34,0)</f>
        <v>B</v>
      </c>
      <c r="W253" s="16"/>
      <c r="AB253" s="17"/>
      <c r="AC253" s="16"/>
      <c r="AH253" s="17"/>
    </row>
    <row r="254" spans="1:35" ht="21" customHeight="1">
      <c r="A254" s="161">
        <v>8</v>
      </c>
      <c r="B254" s="288" t="s">
        <v>40</v>
      </c>
      <c r="C254" s="289"/>
      <c r="D254" s="289"/>
      <c r="E254" s="289"/>
      <c r="F254" s="289"/>
      <c r="G254" s="290"/>
      <c r="H254" s="317">
        <f>VLOOKUP(AI244,'4c'!A:AK,11,0)</f>
        <v>52</v>
      </c>
      <c r="I254" s="318"/>
      <c r="J254" s="168">
        <f t="shared" si="20"/>
        <v>52</v>
      </c>
      <c r="K254" s="293" t="s">
        <v>41</v>
      </c>
      <c r="L254" s="294"/>
      <c r="M254" s="294"/>
      <c r="N254" s="294"/>
      <c r="O254" s="294"/>
      <c r="P254" s="295"/>
      <c r="Q254" s="168">
        <v>8</v>
      </c>
      <c r="R254" s="327" t="s">
        <v>42</v>
      </c>
      <c r="S254" s="328"/>
      <c r="T254" s="328"/>
      <c r="U254" s="328"/>
      <c r="V254" s="329"/>
      <c r="W254" s="16"/>
      <c r="AB254" s="17"/>
      <c r="AC254" s="307" t="str">
        <f>DASHBOARD!H23</f>
        <v>Mu'allim Hambali</v>
      </c>
      <c r="AD254" s="308"/>
      <c r="AE254" s="308"/>
      <c r="AF254" s="308"/>
      <c r="AG254" s="308"/>
      <c r="AH254" s="309"/>
    </row>
    <row r="255" spans="1:35" ht="21" customHeight="1">
      <c r="A255" s="161">
        <v>9</v>
      </c>
      <c r="B255" s="288" t="s">
        <v>14</v>
      </c>
      <c r="C255" s="289"/>
      <c r="D255" s="289"/>
      <c r="E255" s="289"/>
      <c r="F255" s="289"/>
      <c r="G255" s="290"/>
      <c r="H255" s="317">
        <f>VLOOKUP(AI244,'4c'!A:AK,12,0)</f>
        <v>51</v>
      </c>
      <c r="I255" s="318"/>
      <c r="J255" s="168">
        <f t="shared" si="20"/>
        <v>51</v>
      </c>
      <c r="K255" s="293" t="s">
        <v>15</v>
      </c>
      <c r="L255" s="294"/>
      <c r="M255" s="294"/>
      <c r="N255" s="294"/>
      <c r="O255" s="294"/>
      <c r="P255" s="295"/>
      <c r="Q255" s="168">
        <v>9</v>
      </c>
      <c r="R255" s="296" t="s">
        <v>43</v>
      </c>
      <c r="S255" s="297"/>
      <c r="T255" s="297"/>
      <c r="U255" s="297"/>
      <c r="V255" s="298"/>
      <c r="W255" s="16"/>
      <c r="AB255" s="17"/>
      <c r="AC255" s="299" t="s">
        <v>44</v>
      </c>
      <c r="AD255" s="300"/>
      <c r="AE255" s="300"/>
      <c r="AF255" s="300"/>
      <c r="AG255" s="300"/>
      <c r="AH255" s="301"/>
    </row>
    <row r="256" spans="1:35" ht="21" customHeight="1">
      <c r="A256" s="161">
        <v>10</v>
      </c>
      <c r="B256" s="288" t="s">
        <v>45</v>
      </c>
      <c r="C256" s="289"/>
      <c r="D256" s="289"/>
      <c r="E256" s="289"/>
      <c r="F256" s="289"/>
      <c r="G256" s="290"/>
      <c r="H256" s="317">
        <f>VLOOKUP(AI244,'4c'!A:AK,13,0)</f>
        <v>54</v>
      </c>
      <c r="I256" s="318"/>
      <c r="J256" s="168">
        <f t="shared" si="20"/>
        <v>54</v>
      </c>
      <c r="K256" s="293" t="s">
        <v>46</v>
      </c>
      <c r="L256" s="294"/>
      <c r="M256" s="294"/>
      <c r="N256" s="294"/>
      <c r="O256" s="294"/>
      <c r="P256" s="295"/>
      <c r="Q256" s="168">
        <v>10</v>
      </c>
      <c r="R256" s="184" t="s">
        <v>47</v>
      </c>
      <c r="S256" s="185"/>
      <c r="T256" s="180" t="s">
        <v>1</v>
      </c>
      <c r="U256" s="180">
        <f>VLOOKUP(AI244,'4c'!A:AK,35,0)</f>
        <v>0</v>
      </c>
      <c r="V256" s="181" t="s">
        <v>48</v>
      </c>
      <c r="W256" s="16"/>
      <c r="AB256" s="17"/>
      <c r="AC256" s="16"/>
      <c r="AH256" s="17"/>
    </row>
    <row r="257" spans="1:34" ht="21" customHeight="1">
      <c r="A257" s="161">
        <v>11</v>
      </c>
      <c r="B257" s="158" t="s">
        <v>49</v>
      </c>
      <c r="C257" s="155"/>
      <c r="D257" s="155"/>
      <c r="E257" s="155"/>
      <c r="F257" s="155"/>
      <c r="G257" s="162"/>
      <c r="H257" s="317">
        <f>VLOOKUP(AI244,'4c'!A:AK,14,0)</f>
        <v>80</v>
      </c>
      <c r="I257" s="318"/>
      <c r="J257" s="168">
        <f>H257</f>
        <v>80</v>
      </c>
      <c r="K257" s="293" t="s">
        <v>50</v>
      </c>
      <c r="L257" s="294"/>
      <c r="M257" s="294"/>
      <c r="N257" s="294"/>
      <c r="O257" s="294"/>
      <c r="P257" s="295"/>
      <c r="Q257" s="168">
        <v>11</v>
      </c>
      <c r="R257" s="184" t="s">
        <v>51</v>
      </c>
      <c r="S257" s="185"/>
      <c r="T257" s="180" t="s">
        <v>1</v>
      </c>
      <c r="U257" s="180">
        <f>VLOOKUP(AI244,'4c'!A:AK,36,0)</f>
        <v>42</v>
      </c>
      <c r="V257" s="181" t="s">
        <v>48</v>
      </c>
      <c r="W257" s="21"/>
      <c r="X257" s="22"/>
      <c r="Y257" s="22"/>
      <c r="Z257" s="22"/>
      <c r="AA257" s="22"/>
      <c r="AB257" s="23"/>
      <c r="AC257" s="16"/>
      <c r="AH257" s="17"/>
    </row>
    <row r="258" spans="1:34" ht="21" customHeight="1">
      <c r="A258" s="161">
        <v>12</v>
      </c>
      <c r="B258" s="158" t="s">
        <v>52</v>
      </c>
      <c r="C258" s="155"/>
      <c r="D258" s="155"/>
      <c r="E258" s="155"/>
      <c r="F258" s="155"/>
      <c r="G258" s="162"/>
      <c r="H258" s="317">
        <f>VLOOKUP(AI244,'4c'!A:AK,15,0)</f>
        <v>83</v>
      </c>
      <c r="I258" s="318"/>
      <c r="J258" s="168">
        <f>H258</f>
        <v>83</v>
      </c>
      <c r="K258" s="293" t="s">
        <v>21</v>
      </c>
      <c r="L258" s="294"/>
      <c r="M258" s="294"/>
      <c r="N258" s="294"/>
      <c r="O258" s="294"/>
      <c r="P258" s="295"/>
      <c r="Q258" s="168">
        <v>12</v>
      </c>
      <c r="R258" s="186" t="s">
        <v>53</v>
      </c>
      <c r="S258" s="187"/>
      <c r="T258" s="182" t="s">
        <v>1</v>
      </c>
      <c r="U258" s="182">
        <f>VLOOKUP(AI244,'4c'!A:AK,37,0)</f>
        <v>2</v>
      </c>
      <c r="V258" s="183" t="s">
        <v>48</v>
      </c>
      <c r="W258" s="188"/>
      <c r="X258" s="189"/>
      <c r="Y258" s="189"/>
      <c r="Z258" s="189"/>
      <c r="AA258" s="189"/>
      <c r="AB258" s="190"/>
      <c r="AC258" s="307" t="s">
        <v>770</v>
      </c>
      <c r="AD258" s="308"/>
      <c r="AE258" s="308"/>
      <c r="AF258" s="308"/>
      <c r="AG258" s="308"/>
      <c r="AH258" s="309"/>
    </row>
    <row r="259" spans="1:34" ht="21" customHeight="1">
      <c r="A259" s="161">
        <v>13</v>
      </c>
      <c r="B259" s="158" t="s">
        <v>55</v>
      </c>
      <c r="C259" s="155"/>
      <c r="D259" s="155"/>
      <c r="E259" s="155"/>
      <c r="F259" s="155"/>
      <c r="G259" s="162"/>
      <c r="H259" s="317">
        <f>VLOOKUP(AI244,'4c'!A:AK,16,0)</f>
        <v>85</v>
      </c>
      <c r="I259" s="318"/>
      <c r="J259" s="168">
        <f>H259</f>
        <v>85</v>
      </c>
      <c r="K259" s="342" t="s">
        <v>56</v>
      </c>
      <c r="L259" s="342"/>
      <c r="M259" s="342"/>
      <c r="N259" s="342"/>
      <c r="O259" s="342"/>
      <c r="P259" s="342"/>
      <c r="Q259" s="168">
        <v>13</v>
      </c>
      <c r="R259" s="16"/>
      <c r="U259" t="s">
        <v>57</v>
      </c>
      <c r="AB259" s="310" t="str">
        <f>DASHBOARD!$H$13</f>
        <v>Sumedang, 05 September 2025</v>
      </c>
      <c r="AC259" s="310"/>
      <c r="AD259" s="310"/>
      <c r="AE259" s="310"/>
      <c r="AF259" s="310"/>
      <c r="AG259" s="310"/>
      <c r="AH259" s="311"/>
    </row>
    <row r="260" spans="1:34" ht="21" customHeight="1">
      <c r="A260" s="161">
        <v>14</v>
      </c>
      <c r="B260" s="288" t="s">
        <v>96</v>
      </c>
      <c r="C260" s="289"/>
      <c r="D260" s="289"/>
      <c r="E260" s="289"/>
      <c r="F260" s="289"/>
      <c r="G260" s="290"/>
      <c r="H260" s="317">
        <f>VLOOKUP(AI244,'4c'!A:AK,17,0)</f>
        <v>62</v>
      </c>
      <c r="I260" s="318"/>
      <c r="J260" s="168">
        <f t="shared" si="20"/>
        <v>62</v>
      </c>
      <c r="K260" s="342" t="s">
        <v>97</v>
      </c>
      <c r="L260" s="342"/>
      <c r="M260" s="342"/>
      <c r="N260" s="342"/>
      <c r="O260" s="342"/>
      <c r="P260" s="342"/>
      <c r="Q260" s="168">
        <v>14</v>
      </c>
      <c r="R260" s="312" t="s">
        <v>60</v>
      </c>
      <c r="S260" s="310"/>
      <c r="T260" s="310"/>
      <c r="U260" s="310"/>
      <c r="V260" s="310"/>
      <c r="W260" s="310"/>
      <c r="X260" s="310"/>
      <c r="Y260" s="310"/>
      <c r="Z260" s="310"/>
      <c r="AA260" s="310"/>
      <c r="AB260" s="313" t="s">
        <v>61</v>
      </c>
      <c r="AC260" s="313"/>
      <c r="AD260" s="313"/>
      <c r="AE260" s="313"/>
      <c r="AF260" s="313"/>
      <c r="AG260" s="313"/>
      <c r="AH260" s="314"/>
    </row>
    <row r="261" spans="1:34" ht="21" customHeight="1">
      <c r="A261" s="288" t="s">
        <v>62</v>
      </c>
      <c r="B261" s="289"/>
      <c r="C261" s="289"/>
      <c r="D261" s="289"/>
      <c r="E261" s="289"/>
      <c r="F261" s="289"/>
      <c r="G261" s="290"/>
      <c r="H261" s="317">
        <f>VLOOKUP(AI244,'4c'!A:AK,29,0)</f>
        <v>1369</v>
      </c>
      <c r="I261" s="318"/>
      <c r="J261" s="168">
        <f t="shared" si="20"/>
        <v>1369</v>
      </c>
      <c r="K261" s="293" t="s">
        <v>63</v>
      </c>
      <c r="L261" s="294"/>
      <c r="M261" s="294"/>
      <c r="N261" s="294"/>
      <c r="O261" s="294"/>
      <c r="P261" s="294"/>
      <c r="Q261" s="295"/>
      <c r="R261" s="33"/>
      <c r="S261" s="34"/>
      <c r="T261" s="34"/>
      <c r="U261" s="34"/>
      <c r="V261" s="34"/>
      <c r="W261" s="34"/>
      <c r="X261" s="34"/>
      <c r="Y261" s="34"/>
      <c r="Z261" s="34"/>
      <c r="AA261" s="34"/>
      <c r="AB261" s="297" t="s">
        <v>64</v>
      </c>
      <c r="AC261" s="297"/>
      <c r="AD261" s="297"/>
      <c r="AE261" s="297"/>
      <c r="AF261" s="297"/>
      <c r="AG261" s="297"/>
      <c r="AH261" s="298"/>
    </row>
    <row r="262" spans="1:34" ht="21" customHeight="1">
      <c r="A262" s="288" t="s">
        <v>65</v>
      </c>
      <c r="B262" s="289"/>
      <c r="C262" s="289"/>
      <c r="D262" s="289"/>
      <c r="E262" s="289"/>
      <c r="F262" s="289"/>
      <c r="G262" s="290"/>
      <c r="H262" s="291">
        <f>VLOOKUP(AI244,'4c'!A:AK,30,0)</f>
        <v>72.05263157894737</v>
      </c>
      <c r="I262" s="292"/>
      <c r="J262" s="172">
        <f t="shared" si="20"/>
        <v>72.05263157894737</v>
      </c>
      <c r="K262" s="293" t="s">
        <v>66</v>
      </c>
      <c r="L262" s="294"/>
      <c r="M262" s="294"/>
      <c r="N262" s="294"/>
      <c r="O262" s="294"/>
      <c r="P262" s="294"/>
      <c r="Q262" s="295"/>
      <c r="R262" s="33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5"/>
    </row>
    <row r="263" spans="1:34" ht="21" customHeight="1">
      <c r="A263" s="288" t="s">
        <v>67</v>
      </c>
      <c r="B263" s="289"/>
      <c r="C263" s="289"/>
      <c r="D263" s="289"/>
      <c r="E263" s="199" t="s">
        <v>68</v>
      </c>
      <c r="F263" s="155" t="s">
        <v>69</v>
      </c>
      <c r="G263" s="164">
        <f>COUNT('4c'!B4:B31)</f>
        <v>28</v>
      </c>
      <c r="H263" s="164"/>
      <c r="I263" s="165"/>
      <c r="J263" s="173" t="s">
        <v>70</v>
      </c>
      <c r="K263" s="174"/>
      <c r="L263" s="175">
        <f>G263</f>
        <v>28</v>
      </c>
      <c r="M263" s="302" t="s">
        <v>71</v>
      </c>
      <c r="N263" s="302"/>
      <c r="O263" s="302"/>
      <c r="P263" s="176" t="str">
        <f>E263</f>
        <v>-</v>
      </c>
      <c r="Q263" s="177" t="s">
        <v>72</v>
      </c>
      <c r="R263" s="33"/>
      <c r="S263" s="34"/>
      <c r="T263" s="34"/>
      <c r="U263" s="34"/>
      <c r="V263" s="34"/>
      <c r="W263" s="191"/>
      <c r="X263" s="191"/>
      <c r="Y263" s="191"/>
      <c r="Z263" s="191"/>
      <c r="AA263" s="191"/>
      <c r="AB263" s="34"/>
      <c r="AC263" s="34"/>
      <c r="AD263" s="34"/>
      <c r="AE263" s="34"/>
      <c r="AF263" s="34"/>
      <c r="AG263" s="34"/>
      <c r="AH263" s="35"/>
    </row>
    <row r="264" spans="1:34" ht="21" customHeight="1">
      <c r="A264" s="303" t="s">
        <v>73</v>
      </c>
      <c r="B264" s="304"/>
      <c r="C264" s="304"/>
      <c r="D264" s="304"/>
      <c r="E264" s="304"/>
      <c r="F264" s="304"/>
      <c r="G264" s="304"/>
      <c r="H264" s="304"/>
      <c r="I264" s="7"/>
      <c r="J264" s="166"/>
      <c r="K264" s="195"/>
      <c r="L264" s="305" t="s">
        <v>74</v>
      </c>
      <c r="M264" s="305"/>
      <c r="N264" s="305"/>
      <c r="O264" s="305"/>
      <c r="P264" s="305"/>
      <c r="Q264" s="306"/>
      <c r="R264" s="312"/>
      <c r="S264" s="310"/>
      <c r="T264" s="310"/>
      <c r="U264" s="310"/>
      <c r="V264" s="310"/>
      <c r="W264" s="310"/>
      <c r="X264" s="310"/>
      <c r="Y264" s="310"/>
      <c r="Z264" s="310"/>
      <c r="AA264" s="310"/>
      <c r="AB264" s="34"/>
      <c r="AC264" s="34"/>
      <c r="AD264" s="34"/>
      <c r="AE264" s="34"/>
      <c r="AF264" s="34"/>
      <c r="AG264" s="34"/>
      <c r="AH264" s="35"/>
    </row>
    <row r="265" spans="1:34" ht="21" customHeight="1">
      <c r="A265" s="358" t="s">
        <v>75</v>
      </c>
      <c r="B265" s="359"/>
      <c r="C265" s="359"/>
      <c r="D265" s="359"/>
      <c r="E265" s="359"/>
      <c r="F265" s="359"/>
      <c r="G265" s="359"/>
      <c r="H265" s="359"/>
      <c r="I265" s="359"/>
      <c r="J265" s="359"/>
      <c r="K265" s="359"/>
      <c r="L265" s="359"/>
      <c r="M265" s="359"/>
      <c r="N265" s="359"/>
      <c r="O265" s="359"/>
      <c r="P265" s="359"/>
      <c r="Q265" s="360"/>
      <c r="R265" s="315" t="s">
        <v>766</v>
      </c>
      <c r="S265" s="316"/>
      <c r="T265" s="316"/>
      <c r="U265" s="316"/>
      <c r="V265" s="316"/>
      <c r="W265" s="316"/>
      <c r="X265" s="316"/>
      <c r="Y265" s="316"/>
      <c r="Z265" s="316"/>
      <c r="AA265" s="316"/>
      <c r="AB265" s="308" t="s">
        <v>767</v>
      </c>
      <c r="AC265" s="308"/>
      <c r="AD265" s="308"/>
      <c r="AE265" s="308"/>
      <c r="AF265" s="308"/>
      <c r="AG265" s="308"/>
      <c r="AH265" s="309"/>
    </row>
    <row r="266" spans="1:34" ht="20.100000000000001" customHeight="1">
      <c r="A266" s="161">
        <v>1</v>
      </c>
      <c r="B266" s="324" t="s">
        <v>83</v>
      </c>
      <c r="C266" s="324"/>
      <c r="D266" s="324"/>
      <c r="E266" s="324"/>
      <c r="F266" s="324"/>
      <c r="G266" s="324"/>
      <c r="H266" s="356">
        <f>VLOOKUP(AI244,'4c'!A:AK,23,0)</f>
        <v>95</v>
      </c>
      <c r="I266" s="356"/>
      <c r="J266" s="178">
        <f t="shared" ref="J266:J273" si="21">H266</f>
        <v>95</v>
      </c>
      <c r="K266" s="293" t="s">
        <v>84</v>
      </c>
      <c r="L266" s="294"/>
      <c r="M266" s="294"/>
      <c r="N266" s="294"/>
      <c r="O266" s="294"/>
      <c r="P266" s="295"/>
      <c r="Q266" s="168">
        <v>1</v>
      </c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</row>
    <row r="267" spans="1:34" ht="20.100000000000001" customHeight="1">
      <c r="A267" s="161">
        <v>2</v>
      </c>
      <c r="B267" s="288" t="s">
        <v>79</v>
      </c>
      <c r="C267" s="289"/>
      <c r="D267" s="289"/>
      <c r="E267" s="289"/>
      <c r="F267" s="289"/>
      <c r="G267" s="290"/>
      <c r="H267" s="356">
        <f>VLOOKUP(AI244,'4c'!A:AK,24,0)</f>
        <v>60</v>
      </c>
      <c r="I267" s="356"/>
      <c r="J267" s="178">
        <f t="shared" si="21"/>
        <v>60</v>
      </c>
      <c r="K267" s="293" t="s">
        <v>80</v>
      </c>
      <c r="L267" s="294"/>
      <c r="M267" s="294"/>
      <c r="N267" s="294"/>
      <c r="O267" s="294"/>
      <c r="P267" s="295"/>
      <c r="Q267" s="168">
        <v>2</v>
      </c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</row>
    <row r="268" spans="1:34" ht="20.100000000000001" customHeight="1">
      <c r="A268" s="161">
        <v>3</v>
      </c>
      <c r="B268" s="324" t="s">
        <v>77</v>
      </c>
      <c r="C268" s="324"/>
      <c r="D268" s="324"/>
      <c r="E268" s="324"/>
      <c r="F268" s="324"/>
      <c r="G268" s="324"/>
      <c r="H268" s="356">
        <f>VLOOKUP(AI244,'4c'!A:AK,25,0)</f>
        <v>52</v>
      </c>
      <c r="I268" s="356"/>
      <c r="J268" s="178">
        <f t="shared" si="21"/>
        <v>52</v>
      </c>
      <c r="K268" s="293" t="s">
        <v>78</v>
      </c>
      <c r="L268" s="294"/>
      <c r="M268" s="294"/>
      <c r="N268" s="294"/>
      <c r="O268" s="294"/>
      <c r="P268" s="295"/>
      <c r="Q268" s="168">
        <v>3</v>
      </c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</row>
    <row r="269" spans="1:34" ht="20.100000000000001" customHeight="1">
      <c r="A269" s="161">
        <v>4</v>
      </c>
      <c r="B269" s="288" t="s">
        <v>81</v>
      </c>
      <c r="C269" s="289"/>
      <c r="D269" s="289"/>
      <c r="E269" s="289"/>
      <c r="F269" s="289"/>
      <c r="G269" s="290"/>
      <c r="H269" s="317">
        <f>VLOOKUP(AI244,'4c'!A:AK,26,0)</f>
        <v>78</v>
      </c>
      <c r="I269" s="318"/>
      <c r="J269" s="178">
        <f>H269</f>
        <v>78</v>
      </c>
      <c r="K269" s="293" t="s">
        <v>82</v>
      </c>
      <c r="L269" s="294"/>
      <c r="M269" s="294"/>
      <c r="N269" s="294"/>
      <c r="O269" s="294"/>
      <c r="P269" s="295"/>
      <c r="Q269" s="168">
        <v>4</v>
      </c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</row>
    <row r="270" spans="1:34" ht="20.100000000000001" customHeight="1">
      <c r="A270" s="161">
        <v>5</v>
      </c>
      <c r="B270" s="288" t="s">
        <v>147</v>
      </c>
      <c r="C270" s="289"/>
      <c r="D270" s="289"/>
      <c r="E270" s="289"/>
      <c r="F270" s="289"/>
      <c r="G270" s="290"/>
      <c r="H270" s="317">
        <f>VLOOKUP(AI244,'4c'!A:AK,27,0)</f>
        <v>88</v>
      </c>
      <c r="I270" s="318"/>
      <c r="J270" s="178">
        <f>H270</f>
        <v>88</v>
      </c>
      <c r="K270" s="293" t="s">
        <v>84</v>
      </c>
      <c r="L270" s="294"/>
      <c r="M270" s="294"/>
      <c r="N270" s="294"/>
      <c r="O270" s="294"/>
      <c r="P270" s="295"/>
      <c r="Q270" s="168">
        <v>5</v>
      </c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</row>
    <row r="271" spans="1:34" ht="20.100000000000001" customHeight="1">
      <c r="A271" s="161">
        <v>6</v>
      </c>
      <c r="B271" s="324" t="s">
        <v>148</v>
      </c>
      <c r="C271" s="324"/>
      <c r="D271" s="324"/>
      <c r="E271" s="324"/>
      <c r="F271" s="324"/>
      <c r="G271" s="324"/>
      <c r="H271" s="356">
        <f>VLOOKUP(AI244,'4c'!A:AK,28,0)</f>
        <v>63</v>
      </c>
      <c r="I271" s="356"/>
      <c r="J271" s="178">
        <f t="shared" si="21"/>
        <v>63</v>
      </c>
      <c r="K271" s="293" t="s">
        <v>149</v>
      </c>
      <c r="L271" s="294"/>
      <c r="M271" s="294"/>
      <c r="N271" s="294"/>
      <c r="O271" s="294"/>
      <c r="P271" s="295"/>
      <c r="Q271" s="168">
        <v>6</v>
      </c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</row>
    <row r="272" spans="1:34" ht="20.100000000000001" customHeight="1">
      <c r="A272" s="357" t="s">
        <v>62</v>
      </c>
      <c r="B272" s="357"/>
      <c r="C272" s="357"/>
      <c r="D272" s="357"/>
      <c r="E272" s="357"/>
      <c r="F272" s="357"/>
      <c r="G272" s="357"/>
      <c r="H272" s="317">
        <f>SUM(H266:I271)</f>
        <v>436</v>
      </c>
      <c r="I272" s="318"/>
      <c r="J272" s="178">
        <f t="shared" si="21"/>
        <v>436</v>
      </c>
      <c r="K272" s="293" t="s">
        <v>63</v>
      </c>
      <c r="L272" s="294"/>
      <c r="M272" s="294"/>
      <c r="N272" s="294"/>
      <c r="O272" s="294"/>
      <c r="P272" s="294"/>
      <c r="Q272" s="295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</row>
    <row r="273" spans="1:35" ht="20.100000000000001" customHeight="1">
      <c r="A273" s="357" t="s">
        <v>65</v>
      </c>
      <c r="B273" s="357"/>
      <c r="C273" s="357"/>
      <c r="D273" s="357"/>
      <c r="E273" s="357"/>
      <c r="F273" s="357"/>
      <c r="G273" s="357"/>
      <c r="H273" s="291">
        <f>AVERAGE(H266:I271)</f>
        <v>72.666666666666671</v>
      </c>
      <c r="I273" s="292"/>
      <c r="J273" s="179">
        <f t="shared" si="21"/>
        <v>72.666666666666671</v>
      </c>
      <c r="K273" s="293" t="s">
        <v>66</v>
      </c>
      <c r="L273" s="294"/>
      <c r="M273" s="294"/>
      <c r="N273" s="294"/>
      <c r="O273" s="294"/>
      <c r="P273" s="294"/>
      <c r="Q273" s="295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</row>
    <row r="274" spans="1:35" ht="21" customHeight="1"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</row>
    <row r="275" spans="1:35" ht="21" customHeight="1"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</row>
    <row r="276" spans="1:35" ht="21" customHeight="1"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</row>
    <row r="277" spans="1:35" ht="21" customHeight="1">
      <c r="A277" s="343" t="s">
        <v>0</v>
      </c>
      <c r="B277" s="344"/>
      <c r="C277" s="153" t="s">
        <v>1</v>
      </c>
      <c r="D277" s="344" t="str">
        <f>VLOOKUP(AI280,'3a'!A:AG,3,0)</f>
        <v>Ahmad Fauzan Al Qomari</v>
      </c>
      <c r="E277" s="344"/>
      <c r="F277" s="344"/>
      <c r="G277" s="344"/>
      <c r="H277" s="344"/>
      <c r="I277" s="344"/>
      <c r="J277" s="344"/>
      <c r="K277" s="344"/>
      <c r="L277" s="344"/>
      <c r="M277" s="344"/>
      <c r="N277" s="344"/>
      <c r="O277" s="344"/>
      <c r="P277" s="344"/>
      <c r="Q277" s="345"/>
      <c r="R277" s="343" t="s">
        <v>0</v>
      </c>
      <c r="S277" s="344"/>
      <c r="T277" s="153" t="s">
        <v>1</v>
      </c>
      <c r="U277" s="344" t="str">
        <f>D277</f>
        <v>Ahmad Fauzan Al Qomari</v>
      </c>
      <c r="V277" s="344"/>
      <c r="W277" s="344"/>
      <c r="X277" s="344"/>
      <c r="Y277" s="344"/>
      <c r="Z277" s="344"/>
      <c r="AA277" s="344"/>
      <c r="AB277" s="344"/>
      <c r="AC277" s="344"/>
      <c r="AD277" s="344"/>
      <c r="AE277" s="344"/>
      <c r="AF277" s="344"/>
      <c r="AG277" s="344"/>
      <c r="AH277" s="345"/>
    </row>
    <row r="278" spans="1:35" ht="21" customHeight="1">
      <c r="A278" s="346" t="s">
        <v>2</v>
      </c>
      <c r="B278" s="347"/>
      <c r="C278" s="154" t="s">
        <v>1</v>
      </c>
      <c r="D278" s="347" t="s">
        <v>102</v>
      </c>
      <c r="E278" s="347"/>
      <c r="F278" s="347"/>
      <c r="G278" s="347"/>
      <c r="H278" s="347"/>
      <c r="I278" s="347"/>
      <c r="J278" s="159" t="s">
        <v>3</v>
      </c>
      <c r="K278" s="347">
        <f>VLOOKUP(AI280,'3a'!A:AG,2,0)</f>
        <v>20210069</v>
      </c>
      <c r="L278" s="347"/>
      <c r="M278" s="347"/>
      <c r="N278" s="347"/>
      <c r="O278" s="347"/>
      <c r="P278" s="347"/>
      <c r="Q278" s="348"/>
      <c r="R278" s="346" t="s">
        <v>2</v>
      </c>
      <c r="S278" s="347"/>
      <c r="T278" s="154" t="s">
        <v>1</v>
      </c>
      <c r="U278" s="347" t="str">
        <f>D278</f>
        <v>3-A</v>
      </c>
      <c r="V278" s="347"/>
      <c r="W278" s="347"/>
      <c r="X278" s="347"/>
      <c r="Y278" s="347"/>
      <c r="Z278" s="347"/>
      <c r="AA278" s="159" t="s">
        <v>3</v>
      </c>
      <c r="AB278" s="347">
        <f>K278</f>
        <v>20210069</v>
      </c>
      <c r="AC278" s="347"/>
      <c r="AD278" s="347"/>
      <c r="AE278" s="347"/>
      <c r="AF278" s="347"/>
      <c r="AG278" s="347"/>
      <c r="AH278" s="348"/>
      <c r="AI278" t="s">
        <v>115</v>
      </c>
    </row>
    <row r="279" spans="1:35" s="22" customFormat="1" ht="21" customHeight="1">
      <c r="A279" s="343" t="s">
        <v>4</v>
      </c>
      <c r="B279" s="344"/>
      <c r="C279" s="153" t="s">
        <v>1</v>
      </c>
      <c r="D279" s="304" t="str">
        <f>DASHBOARD!$H$11</f>
        <v>2025/2026</v>
      </c>
      <c r="E279" s="304"/>
      <c r="F279" s="304"/>
      <c r="G279" s="304"/>
      <c r="H279" s="304"/>
      <c r="I279" s="304"/>
      <c r="J279" s="304"/>
      <c r="K279" s="304"/>
      <c r="L279" s="304"/>
      <c r="M279" s="304"/>
      <c r="N279" s="304"/>
      <c r="O279" s="304"/>
      <c r="P279" s="304"/>
      <c r="Q279" s="349"/>
      <c r="R279" s="330" t="s">
        <v>5</v>
      </c>
      <c r="S279" s="331"/>
      <c r="T279" s="331"/>
      <c r="U279" s="331"/>
      <c r="V279" s="331"/>
      <c r="W279" s="331"/>
      <c r="X279" s="332"/>
      <c r="Y279" s="333" t="s">
        <v>6</v>
      </c>
      <c r="Z279" s="334"/>
      <c r="AA279" s="337" t="s">
        <v>7</v>
      </c>
      <c r="AB279" s="330" t="s">
        <v>8</v>
      </c>
      <c r="AC279" s="331"/>
      <c r="AD279" s="331"/>
      <c r="AE279" s="331"/>
      <c r="AF279" s="331"/>
      <c r="AG279" s="331"/>
      <c r="AH279" s="332"/>
      <c r="AI279" s="50" t="s">
        <v>9</v>
      </c>
    </row>
    <row r="280" spans="1:35" s="30" customFormat="1" ht="21" customHeight="1">
      <c r="A280" s="303" t="s">
        <v>10</v>
      </c>
      <c r="B280" s="304"/>
      <c r="C280" s="160" t="s">
        <v>1</v>
      </c>
      <c r="D280" s="350" t="str">
        <f>DASHBOARD!$H$12</f>
        <v>1 (Satu)</v>
      </c>
      <c r="E280" s="350"/>
      <c r="F280" s="350"/>
      <c r="G280" s="350"/>
      <c r="H280" s="350"/>
      <c r="I280" s="351"/>
      <c r="J280" s="352" t="str">
        <f>DASHBOARD!$I$12</f>
        <v>الأول</v>
      </c>
      <c r="K280" s="353"/>
      <c r="L280" s="353"/>
      <c r="M280" s="353"/>
      <c r="N280" s="160" t="s">
        <v>1</v>
      </c>
      <c r="O280" s="354" t="s">
        <v>11</v>
      </c>
      <c r="P280" s="354"/>
      <c r="Q280" s="355"/>
      <c r="R280" s="339" t="s">
        <v>12</v>
      </c>
      <c r="S280" s="340"/>
      <c r="T280" s="340"/>
      <c r="U280" s="340"/>
      <c r="V280" s="340"/>
      <c r="W280" s="340"/>
      <c r="X280" s="341"/>
      <c r="Y280" s="335"/>
      <c r="Z280" s="336"/>
      <c r="AA280" s="338"/>
      <c r="AB280" s="339" t="s">
        <v>13</v>
      </c>
      <c r="AC280" s="340"/>
      <c r="AD280" s="340"/>
      <c r="AE280" s="340"/>
      <c r="AF280" s="340"/>
      <c r="AG280" s="340"/>
      <c r="AH280" s="341"/>
      <c r="AI280" s="51">
        <v>25</v>
      </c>
    </row>
    <row r="281" spans="1:35" ht="21" customHeight="1">
      <c r="A281" s="330" t="s">
        <v>5</v>
      </c>
      <c r="B281" s="331"/>
      <c r="C281" s="331"/>
      <c r="D281" s="331"/>
      <c r="E281" s="331"/>
      <c r="F281" s="331"/>
      <c r="G281" s="332"/>
      <c r="H281" s="333" t="s">
        <v>6</v>
      </c>
      <c r="I281" s="334"/>
      <c r="J281" s="337" t="s">
        <v>7</v>
      </c>
      <c r="K281" s="333" t="s">
        <v>8</v>
      </c>
      <c r="L281" s="369"/>
      <c r="M281" s="369"/>
      <c r="N281" s="369"/>
      <c r="O281" s="369"/>
      <c r="P281" s="369"/>
      <c r="Q281" s="334"/>
      <c r="R281" s="161">
        <v>1</v>
      </c>
      <c r="S281" s="288" t="s">
        <v>103</v>
      </c>
      <c r="T281" s="289"/>
      <c r="U281" s="289"/>
      <c r="V281" s="289"/>
      <c r="W281" s="289"/>
      <c r="X281" s="290"/>
      <c r="Y281" s="361">
        <f>VLOOKUP(AI280,'3a'!A:AG,15,0)</f>
        <v>40</v>
      </c>
      <c r="Z281" s="362"/>
      <c r="AA281" s="168">
        <f>Y281</f>
        <v>40</v>
      </c>
      <c r="AB281" s="293" t="s">
        <v>104</v>
      </c>
      <c r="AC281" s="294"/>
      <c r="AD281" s="294"/>
      <c r="AE281" s="294"/>
      <c r="AF281" s="294"/>
      <c r="AG281" s="295"/>
      <c r="AH281" s="168">
        <v>1</v>
      </c>
    </row>
    <row r="282" spans="1:35" ht="21" customHeight="1">
      <c r="A282" s="339" t="s">
        <v>16</v>
      </c>
      <c r="B282" s="340"/>
      <c r="C282" s="340"/>
      <c r="D282" s="340"/>
      <c r="E282" s="340"/>
      <c r="F282" s="340"/>
      <c r="G282" s="341"/>
      <c r="H282" s="335"/>
      <c r="I282" s="336"/>
      <c r="J282" s="338"/>
      <c r="K282" s="339" t="s">
        <v>17</v>
      </c>
      <c r="L282" s="340"/>
      <c r="M282" s="340"/>
      <c r="N282" s="340"/>
      <c r="O282" s="340"/>
      <c r="P282" s="340"/>
      <c r="Q282" s="341"/>
      <c r="R282" s="161">
        <v>2</v>
      </c>
      <c r="S282" s="324" t="s">
        <v>14</v>
      </c>
      <c r="T282" s="324"/>
      <c r="U282" s="324"/>
      <c r="V282" s="324"/>
      <c r="W282" s="324"/>
      <c r="X282" s="324"/>
      <c r="Y282" s="361">
        <f>VLOOKUP(AI280,'3a'!A:AG,16,0)</f>
        <v>40</v>
      </c>
      <c r="Z282" s="362"/>
      <c r="AA282" s="168">
        <f>Y282</f>
        <v>40</v>
      </c>
      <c r="AB282" s="293" t="s">
        <v>15</v>
      </c>
      <c r="AC282" s="294"/>
      <c r="AD282" s="294"/>
      <c r="AE282" s="294"/>
      <c r="AF282" s="294"/>
      <c r="AG282" s="295"/>
      <c r="AH282" s="168">
        <v>2</v>
      </c>
    </row>
    <row r="283" spans="1:35" ht="21" customHeight="1">
      <c r="A283" s="161">
        <v>1</v>
      </c>
      <c r="B283" s="288" t="s">
        <v>22</v>
      </c>
      <c r="C283" s="289"/>
      <c r="D283" s="289"/>
      <c r="E283" s="289"/>
      <c r="F283" s="289"/>
      <c r="G283" s="290"/>
      <c r="H283" s="317">
        <f>VLOOKUP(AI280,'3a'!A:AG,4,0)</f>
        <v>40</v>
      </c>
      <c r="I283" s="318"/>
      <c r="J283" s="168">
        <f>H283</f>
        <v>40</v>
      </c>
      <c r="K283" s="293" t="s">
        <v>23</v>
      </c>
      <c r="L283" s="294"/>
      <c r="M283" s="294"/>
      <c r="N283" s="294"/>
      <c r="O283" s="294"/>
      <c r="P283" s="295"/>
      <c r="Q283" s="168">
        <v>1</v>
      </c>
      <c r="R283" s="161">
        <v>3</v>
      </c>
      <c r="S283" s="288" t="s">
        <v>34</v>
      </c>
      <c r="T283" s="289"/>
      <c r="U283" s="289"/>
      <c r="V283" s="289"/>
      <c r="W283" s="289"/>
      <c r="X283" s="290"/>
      <c r="Y283" s="361">
        <f>VLOOKUP(AI280,'3a'!A:AG,17,0)</f>
        <v>50</v>
      </c>
      <c r="Z283" s="362"/>
      <c r="AA283" s="168">
        <f>Y283</f>
        <v>50</v>
      </c>
      <c r="AB283" s="293" t="s">
        <v>35</v>
      </c>
      <c r="AC283" s="294"/>
      <c r="AD283" s="294"/>
      <c r="AE283" s="294"/>
      <c r="AF283" s="294"/>
      <c r="AG283" s="295"/>
      <c r="AH283" s="168">
        <v>3</v>
      </c>
    </row>
    <row r="284" spans="1:35" ht="21" customHeight="1">
      <c r="A284" s="161">
        <v>2</v>
      </c>
      <c r="B284" s="288" t="s">
        <v>55</v>
      </c>
      <c r="C284" s="289"/>
      <c r="D284" s="289"/>
      <c r="E284" s="289"/>
      <c r="F284" s="289"/>
      <c r="G284" s="290"/>
      <c r="H284" s="317">
        <f>VLOOKUP(AI280,'3a'!A:AG,5,0)</f>
        <v>48</v>
      </c>
      <c r="I284" s="318"/>
      <c r="J284" s="168">
        <f>H284</f>
        <v>48</v>
      </c>
      <c r="K284" s="293" t="s">
        <v>56</v>
      </c>
      <c r="L284" s="294"/>
      <c r="M284" s="294"/>
      <c r="N284" s="294"/>
      <c r="O284" s="294"/>
      <c r="P284" s="295"/>
      <c r="Q284" s="168">
        <v>2</v>
      </c>
      <c r="R284" s="161">
        <v>4</v>
      </c>
      <c r="S284" s="324" t="s">
        <v>18</v>
      </c>
      <c r="T284" s="324"/>
      <c r="U284" s="324"/>
      <c r="V284" s="324"/>
      <c r="W284" s="324"/>
      <c r="X284" s="324"/>
      <c r="Y284" s="361">
        <f>VLOOKUP(AI280,'3a'!A:AG,18,0)</f>
        <v>60</v>
      </c>
      <c r="Z284" s="362"/>
      <c r="AA284" s="168">
        <f>Y284</f>
        <v>60</v>
      </c>
      <c r="AB284" s="293" t="s">
        <v>23</v>
      </c>
      <c r="AC284" s="294"/>
      <c r="AD284" s="294"/>
      <c r="AE284" s="294"/>
      <c r="AF284" s="294"/>
      <c r="AG284" s="295"/>
      <c r="AH284" s="168">
        <v>4</v>
      </c>
    </row>
    <row r="285" spans="1:35" ht="21" customHeight="1">
      <c r="A285" s="161">
        <v>3</v>
      </c>
      <c r="B285" s="324" t="s">
        <v>30</v>
      </c>
      <c r="C285" s="324"/>
      <c r="D285" s="324"/>
      <c r="E285" s="324"/>
      <c r="F285" s="324"/>
      <c r="G285" s="324"/>
      <c r="H285" s="317">
        <f>VLOOKUP(AI280,'3a'!A:AG,6,0)</f>
        <v>43</v>
      </c>
      <c r="I285" s="318"/>
      <c r="J285" s="168">
        <f t="shared" ref="J285:J293" si="22">H285</f>
        <v>43</v>
      </c>
      <c r="K285" s="293" t="s">
        <v>31</v>
      </c>
      <c r="L285" s="294"/>
      <c r="M285" s="294"/>
      <c r="N285" s="294"/>
      <c r="O285" s="294"/>
      <c r="P285" s="295"/>
      <c r="Q285" s="168">
        <v>3</v>
      </c>
      <c r="R285" s="299" t="s">
        <v>768</v>
      </c>
      <c r="S285" s="300"/>
      <c r="T285" s="300"/>
      <c r="U285" s="300"/>
      <c r="V285" s="301"/>
      <c r="W285" s="327" t="s">
        <v>28</v>
      </c>
      <c r="X285" s="328"/>
      <c r="Y285" s="328"/>
      <c r="Z285" s="328"/>
      <c r="AA285" s="328"/>
      <c r="AB285" s="329"/>
      <c r="AC285" s="327" t="s">
        <v>29</v>
      </c>
      <c r="AD285" s="328"/>
      <c r="AE285" s="328"/>
      <c r="AF285" s="328"/>
      <c r="AG285" s="328"/>
      <c r="AH285" s="329"/>
    </row>
    <row r="286" spans="1:35" ht="21" customHeight="1">
      <c r="A286" s="161">
        <v>4</v>
      </c>
      <c r="B286" s="324" t="s">
        <v>34</v>
      </c>
      <c r="C286" s="324"/>
      <c r="D286" s="324"/>
      <c r="E286" s="324"/>
      <c r="F286" s="324"/>
      <c r="G286" s="324"/>
      <c r="H286" s="317">
        <f>VLOOKUP(AI280,'3a'!A:AG,7,0)</f>
        <v>56</v>
      </c>
      <c r="I286" s="318"/>
      <c r="J286" s="168">
        <f t="shared" si="22"/>
        <v>56</v>
      </c>
      <c r="K286" s="293" t="s">
        <v>35</v>
      </c>
      <c r="L286" s="294"/>
      <c r="M286" s="294"/>
      <c r="N286" s="294"/>
      <c r="O286" s="294"/>
      <c r="P286" s="295"/>
      <c r="Q286" s="168">
        <v>4</v>
      </c>
      <c r="R286" s="319" t="s">
        <v>32</v>
      </c>
      <c r="S286" s="320"/>
      <c r="T286" s="320"/>
      <c r="U286" s="180" t="s">
        <v>1</v>
      </c>
      <c r="V286" s="181" t="str">
        <f>VLOOKUP(AI280,'3a'!A:AG,28,0)</f>
        <v>A</v>
      </c>
      <c r="W286" s="321" t="s">
        <v>33</v>
      </c>
      <c r="X286" s="322"/>
      <c r="Y286" s="322"/>
      <c r="Z286" s="322"/>
      <c r="AA286" s="322"/>
      <c r="AB286" s="323"/>
      <c r="AC286" s="296" t="s">
        <v>33</v>
      </c>
      <c r="AD286" s="297"/>
      <c r="AE286" s="297"/>
      <c r="AF286" s="297"/>
      <c r="AG286" s="297"/>
      <c r="AH286" s="298"/>
    </row>
    <row r="287" spans="1:35" ht="21" customHeight="1">
      <c r="A287" s="161">
        <v>5</v>
      </c>
      <c r="B287" s="288" t="s">
        <v>49</v>
      </c>
      <c r="C287" s="289"/>
      <c r="D287" s="289"/>
      <c r="E287" s="289"/>
      <c r="F287" s="289"/>
      <c r="G287" s="290"/>
      <c r="H287" s="317">
        <f>VLOOKUP(AI280,'3a'!A:AG,8,0)</f>
        <v>43</v>
      </c>
      <c r="I287" s="318"/>
      <c r="J287" s="168">
        <f t="shared" si="22"/>
        <v>43</v>
      </c>
      <c r="K287" s="293" t="s">
        <v>50</v>
      </c>
      <c r="L287" s="294"/>
      <c r="M287" s="294"/>
      <c r="N287" s="294"/>
      <c r="O287" s="294"/>
      <c r="P287" s="295"/>
      <c r="Q287" s="168">
        <v>5</v>
      </c>
      <c r="R287" s="319" t="s">
        <v>36</v>
      </c>
      <c r="S287" s="320"/>
      <c r="T287" s="320"/>
      <c r="U287" s="180" t="s">
        <v>1</v>
      </c>
      <c r="V287" s="181" t="str">
        <f>VLOOKUP(AI280,'3a'!A:AG,29,0)</f>
        <v>B</v>
      </c>
      <c r="W287" s="13"/>
      <c r="X287" s="14"/>
      <c r="Y287" s="14"/>
      <c r="Z287" s="14"/>
      <c r="AA287" s="14"/>
      <c r="AB287" s="15"/>
      <c r="AC287" s="16"/>
      <c r="AH287" s="17"/>
    </row>
    <row r="288" spans="1:35" ht="21" customHeight="1">
      <c r="A288" s="161">
        <v>6</v>
      </c>
      <c r="B288" s="324" t="s">
        <v>105</v>
      </c>
      <c r="C288" s="324"/>
      <c r="D288" s="324"/>
      <c r="E288" s="324"/>
      <c r="F288" s="324"/>
      <c r="G288" s="324"/>
      <c r="H288" s="317">
        <f>VLOOKUP(AI280,'3a'!A:AG,9,0)</f>
        <v>44</v>
      </c>
      <c r="I288" s="318"/>
      <c r="J288" s="168">
        <f t="shared" si="22"/>
        <v>44</v>
      </c>
      <c r="K288" s="293" t="s">
        <v>106</v>
      </c>
      <c r="L288" s="294"/>
      <c r="M288" s="294"/>
      <c r="N288" s="294"/>
      <c r="O288" s="294"/>
      <c r="P288" s="295"/>
      <c r="Q288" s="168">
        <v>6</v>
      </c>
      <c r="R288" s="325" t="s">
        <v>39</v>
      </c>
      <c r="S288" s="326"/>
      <c r="T288" s="326"/>
      <c r="U288" s="182" t="s">
        <v>1</v>
      </c>
      <c r="V288" s="183" t="str">
        <f>VLOOKUP(AI280,'3a'!A:AG,30,0)</f>
        <v>B</v>
      </c>
      <c r="W288" s="16"/>
      <c r="AB288" s="17"/>
      <c r="AC288" s="16"/>
      <c r="AH288" s="17"/>
    </row>
    <row r="289" spans="1:34" ht="21" customHeight="1">
      <c r="A289" s="161">
        <v>7</v>
      </c>
      <c r="B289" s="324" t="s">
        <v>14</v>
      </c>
      <c r="C289" s="324"/>
      <c r="D289" s="324"/>
      <c r="E289" s="324"/>
      <c r="F289" s="324"/>
      <c r="G289" s="324"/>
      <c r="H289" s="367">
        <f>VLOOKUP(AI280,'3a'!A:AG,10,0)</f>
        <v>40</v>
      </c>
      <c r="I289" s="368"/>
      <c r="J289" s="197">
        <f t="shared" si="22"/>
        <v>40</v>
      </c>
      <c r="K289" s="293" t="s">
        <v>15</v>
      </c>
      <c r="L289" s="294"/>
      <c r="M289" s="294"/>
      <c r="N289" s="294"/>
      <c r="O289" s="294"/>
      <c r="P289" s="295"/>
      <c r="Q289" s="168">
        <v>7</v>
      </c>
      <c r="R289" s="327" t="s">
        <v>42</v>
      </c>
      <c r="S289" s="328"/>
      <c r="T289" s="328"/>
      <c r="U289" s="328"/>
      <c r="V289" s="329"/>
      <c r="W289" s="16"/>
      <c r="AB289" s="17"/>
      <c r="AC289" s="307" t="str">
        <f>DASHBOARD!H24</f>
        <v>Mu'allim Cahya</v>
      </c>
      <c r="AD289" s="308"/>
      <c r="AE289" s="308"/>
      <c r="AF289" s="308"/>
      <c r="AG289" s="308"/>
      <c r="AH289" s="309"/>
    </row>
    <row r="290" spans="1:34" ht="21" customHeight="1">
      <c r="A290" s="161">
        <v>8</v>
      </c>
      <c r="B290" s="324" t="s">
        <v>45</v>
      </c>
      <c r="C290" s="324"/>
      <c r="D290" s="324"/>
      <c r="E290" s="324"/>
      <c r="F290" s="324"/>
      <c r="G290" s="324"/>
      <c r="H290" s="317">
        <f>VLOOKUP(AI280,'3a'!A:AG,11,0)</f>
        <v>40</v>
      </c>
      <c r="I290" s="318"/>
      <c r="J290" s="168">
        <f t="shared" si="22"/>
        <v>40</v>
      </c>
      <c r="K290" s="293" t="s">
        <v>46</v>
      </c>
      <c r="L290" s="294"/>
      <c r="M290" s="294"/>
      <c r="N290" s="294"/>
      <c r="O290" s="294"/>
      <c r="P290" s="295"/>
      <c r="Q290" s="168">
        <v>8</v>
      </c>
      <c r="R290" s="296" t="s">
        <v>43</v>
      </c>
      <c r="S290" s="297"/>
      <c r="T290" s="297"/>
      <c r="U290" s="297"/>
      <c r="V290" s="298"/>
      <c r="W290" s="16"/>
      <c r="AB290" s="17"/>
      <c r="AC290" s="299" t="s">
        <v>44</v>
      </c>
      <c r="AD290" s="300"/>
      <c r="AE290" s="300"/>
      <c r="AF290" s="300"/>
      <c r="AG290" s="300"/>
      <c r="AH290" s="301"/>
    </row>
    <row r="291" spans="1:34" ht="21" customHeight="1">
      <c r="A291" s="161">
        <v>9</v>
      </c>
      <c r="B291" s="288" t="s">
        <v>108</v>
      </c>
      <c r="C291" s="289"/>
      <c r="D291" s="289"/>
      <c r="E291" s="289"/>
      <c r="F291" s="289"/>
      <c r="G291" s="290"/>
      <c r="H291" s="317">
        <f>VLOOKUP(AI280,'3a'!A:AG,12,0)</f>
        <v>45</v>
      </c>
      <c r="I291" s="318"/>
      <c r="J291" s="168">
        <f t="shared" si="22"/>
        <v>45</v>
      </c>
      <c r="K291" s="293" t="s">
        <v>109</v>
      </c>
      <c r="L291" s="294"/>
      <c r="M291" s="294"/>
      <c r="N291" s="294"/>
      <c r="O291" s="294"/>
      <c r="P291" s="295"/>
      <c r="Q291" s="168">
        <v>9</v>
      </c>
      <c r="R291" s="184" t="s">
        <v>47</v>
      </c>
      <c r="S291" s="185"/>
      <c r="T291" s="180" t="s">
        <v>1</v>
      </c>
      <c r="U291" s="180">
        <f>VLOOKUP(AI280,'3a'!A:AG,31,0)</f>
        <v>41</v>
      </c>
      <c r="V291" s="181" t="s">
        <v>48</v>
      </c>
      <c r="W291" s="16"/>
      <c r="AB291" s="17"/>
      <c r="AC291" s="16"/>
      <c r="AH291" s="17"/>
    </row>
    <row r="292" spans="1:34" ht="21" customHeight="1">
      <c r="A292" s="161">
        <v>10</v>
      </c>
      <c r="B292" s="288" t="s">
        <v>110</v>
      </c>
      <c r="C292" s="289"/>
      <c r="D292" s="289"/>
      <c r="E292" s="289"/>
      <c r="F292" s="289"/>
      <c r="G292" s="290"/>
      <c r="H292" s="317">
        <f>VLOOKUP(AI280,'3a'!A:AG,13,0)</f>
        <v>40</v>
      </c>
      <c r="I292" s="318"/>
      <c r="J292" s="168">
        <f t="shared" si="22"/>
        <v>40</v>
      </c>
      <c r="K292" s="342" t="s">
        <v>116</v>
      </c>
      <c r="L292" s="342"/>
      <c r="M292" s="342"/>
      <c r="N292" s="342"/>
      <c r="O292" s="342"/>
      <c r="P292" s="342"/>
      <c r="Q292" s="168">
        <v>10</v>
      </c>
      <c r="R292" s="184" t="s">
        <v>51</v>
      </c>
      <c r="S292" s="185"/>
      <c r="T292" s="180" t="s">
        <v>1</v>
      </c>
      <c r="U292" s="180">
        <f>VLOOKUP(AI280,'3a'!A:AG,32,0)</f>
        <v>112</v>
      </c>
      <c r="V292" s="181" t="s">
        <v>48</v>
      </c>
      <c r="W292" s="21"/>
      <c r="X292" s="22"/>
      <c r="Y292" s="22"/>
      <c r="Z292" s="22"/>
      <c r="AA292" s="22"/>
      <c r="AB292" s="23"/>
      <c r="AC292" s="16"/>
      <c r="AH292" s="17"/>
    </row>
    <row r="293" spans="1:34" ht="21" customHeight="1">
      <c r="A293" s="161">
        <v>11</v>
      </c>
      <c r="B293" s="288" t="s">
        <v>111</v>
      </c>
      <c r="C293" s="289"/>
      <c r="D293" s="289"/>
      <c r="E293" s="289"/>
      <c r="F293" s="289"/>
      <c r="G293" s="290"/>
      <c r="H293" s="317">
        <f>VLOOKUP(AI280,'3a'!A:AG,14,0)</f>
        <v>52</v>
      </c>
      <c r="I293" s="318"/>
      <c r="J293" s="168">
        <f t="shared" si="22"/>
        <v>52</v>
      </c>
      <c r="K293" s="293" t="s">
        <v>112</v>
      </c>
      <c r="L293" s="294"/>
      <c r="M293" s="294"/>
      <c r="N293" s="294"/>
      <c r="O293" s="294"/>
      <c r="P293" s="295"/>
      <c r="Q293" s="168">
        <v>11</v>
      </c>
      <c r="R293" s="186" t="s">
        <v>53</v>
      </c>
      <c r="S293" s="187"/>
      <c r="T293" s="182" t="s">
        <v>1</v>
      </c>
      <c r="U293" s="182">
        <f>VLOOKUP(AI280,'3a'!A:AG,33,0)</f>
        <v>0</v>
      </c>
      <c r="V293" s="183" t="s">
        <v>48</v>
      </c>
      <c r="W293" s="188"/>
      <c r="X293" s="189"/>
      <c r="Y293" s="189"/>
      <c r="Z293" s="189"/>
      <c r="AA293" s="189"/>
      <c r="AB293" s="190"/>
      <c r="AC293" s="307" t="s">
        <v>770</v>
      </c>
      <c r="AD293" s="308"/>
      <c r="AE293" s="308"/>
      <c r="AF293" s="308"/>
      <c r="AG293" s="308"/>
      <c r="AH293" s="309"/>
    </row>
    <row r="294" spans="1:34" ht="21" customHeight="1">
      <c r="A294" s="288" t="s">
        <v>62</v>
      </c>
      <c r="B294" s="289"/>
      <c r="C294" s="289"/>
      <c r="D294" s="289"/>
      <c r="E294" s="289"/>
      <c r="F294" s="289"/>
      <c r="G294" s="290"/>
      <c r="H294" s="317">
        <f>VLOOKUP(AI280,'3a'!A:AG,25,0)</f>
        <v>681</v>
      </c>
      <c r="I294" s="318"/>
      <c r="J294" s="168">
        <f>H294</f>
        <v>681</v>
      </c>
      <c r="K294" s="293" t="s">
        <v>63</v>
      </c>
      <c r="L294" s="294"/>
      <c r="M294" s="294"/>
      <c r="N294" s="294"/>
      <c r="O294" s="294"/>
      <c r="P294" s="294"/>
      <c r="Q294" s="295"/>
      <c r="R294" s="16"/>
      <c r="U294" t="s">
        <v>57</v>
      </c>
      <c r="AB294" s="310" t="str">
        <f>DASHBOARD!$H$13</f>
        <v>Sumedang, 05 September 2025</v>
      </c>
      <c r="AC294" s="310"/>
      <c r="AD294" s="310"/>
      <c r="AE294" s="310"/>
      <c r="AF294" s="310"/>
      <c r="AG294" s="310"/>
      <c r="AH294" s="311"/>
    </row>
    <row r="295" spans="1:34" ht="21" customHeight="1">
      <c r="A295" s="288" t="s">
        <v>65</v>
      </c>
      <c r="B295" s="289"/>
      <c r="C295" s="289"/>
      <c r="D295" s="289"/>
      <c r="E295" s="289"/>
      <c r="F295" s="289"/>
      <c r="G295" s="290"/>
      <c r="H295" s="291">
        <f>VLOOKUP(AI280,'3a'!A:AG,26,0)</f>
        <v>45.4</v>
      </c>
      <c r="I295" s="292"/>
      <c r="J295" s="172">
        <f>H295</f>
        <v>45.4</v>
      </c>
      <c r="K295" s="293" t="s">
        <v>66</v>
      </c>
      <c r="L295" s="294"/>
      <c r="M295" s="294"/>
      <c r="N295" s="294"/>
      <c r="O295" s="294"/>
      <c r="P295" s="294"/>
      <c r="Q295" s="295"/>
      <c r="R295" s="312" t="s">
        <v>60</v>
      </c>
      <c r="S295" s="310"/>
      <c r="T295" s="310"/>
      <c r="U295" s="310"/>
      <c r="V295" s="310"/>
      <c r="W295" s="310"/>
      <c r="X295" s="310"/>
      <c r="Y295" s="310"/>
      <c r="Z295" s="310"/>
      <c r="AA295" s="310"/>
      <c r="AB295" s="313" t="s">
        <v>61</v>
      </c>
      <c r="AC295" s="313"/>
      <c r="AD295" s="313"/>
      <c r="AE295" s="313"/>
      <c r="AF295" s="313"/>
      <c r="AG295" s="313"/>
      <c r="AH295" s="314"/>
    </row>
    <row r="296" spans="1:34" ht="21" customHeight="1">
      <c r="A296" s="288" t="s">
        <v>67</v>
      </c>
      <c r="B296" s="289"/>
      <c r="C296" s="289"/>
      <c r="D296" s="289"/>
      <c r="E296" s="199" t="s">
        <v>68</v>
      </c>
      <c r="F296" s="155" t="s">
        <v>69</v>
      </c>
      <c r="G296" s="164">
        <f>COUNT('3a'!B4:B29)</f>
        <v>26</v>
      </c>
      <c r="H296" s="164"/>
      <c r="I296" s="165"/>
      <c r="J296" s="173" t="s">
        <v>70</v>
      </c>
      <c r="K296" s="174"/>
      <c r="L296" s="175">
        <f>G296</f>
        <v>26</v>
      </c>
      <c r="M296" s="302" t="s">
        <v>71</v>
      </c>
      <c r="N296" s="302"/>
      <c r="O296" s="302"/>
      <c r="P296" s="176" t="str">
        <f>E296</f>
        <v>-</v>
      </c>
      <c r="Q296" s="177" t="s">
        <v>72</v>
      </c>
      <c r="R296" s="33"/>
      <c r="S296" s="34"/>
      <c r="T296" s="34"/>
      <c r="U296" s="34"/>
      <c r="V296" s="34"/>
      <c r="W296" s="34"/>
      <c r="X296" s="34"/>
      <c r="Y296" s="34"/>
      <c r="Z296" s="34"/>
      <c r="AA296" s="34"/>
      <c r="AB296" s="297" t="s">
        <v>64</v>
      </c>
      <c r="AC296" s="297"/>
      <c r="AD296" s="297"/>
      <c r="AE296" s="297"/>
      <c r="AF296" s="297"/>
      <c r="AG296" s="297"/>
      <c r="AH296" s="298"/>
    </row>
    <row r="297" spans="1:34" ht="21" customHeight="1">
      <c r="A297" s="303" t="s">
        <v>73</v>
      </c>
      <c r="B297" s="304"/>
      <c r="C297" s="304"/>
      <c r="D297" s="304"/>
      <c r="E297" s="304"/>
      <c r="F297" s="304"/>
      <c r="G297" s="304"/>
      <c r="H297" s="304"/>
      <c r="I297" s="7"/>
      <c r="J297" s="166"/>
      <c r="K297" s="195"/>
      <c r="L297" s="305" t="s">
        <v>74</v>
      </c>
      <c r="M297" s="305"/>
      <c r="N297" s="305"/>
      <c r="O297" s="305"/>
      <c r="P297" s="305"/>
      <c r="Q297" s="306"/>
      <c r="R297" s="33"/>
      <c r="S297" s="34"/>
      <c r="T297" s="34"/>
      <c r="U297" s="34"/>
      <c r="V297" s="34"/>
      <c r="W297" s="34"/>
      <c r="X297" s="34"/>
      <c r="Y297" s="34"/>
      <c r="Z297" s="34"/>
      <c r="AA297" s="34"/>
      <c r="AB297" s="34"/>
      <c r="AC297" s="34"/>
      <c r="AD297" s="34"/>
      <c r="AE297" s="34"/>
      <c r="AF297" s="34"/>
      <c r="AG297" s="34"/>
      <c r="AH297" s="35"/>
    </row>
    <row r="298" spans="1:34" ht="21" customHeight="1">
      <c r="A298" s="358" t="s">
        <v>75</v>
      </c>
      <c r="B298" s="359"/>
      <c r="C298" s="359"/>
      <c r="D298" s="359"/>
      <c r="E298" s="359"/>
      <c r="F298" s="359"/>
      <c r="G298" s="359"/>
      <c r="H298" s="359"/>
      <c r="I298" s="359"/>
      <c r="J298" s="359"/>
      <c r="K298" s="359"/>
      <c r="L298" s="359"/>
      <c r="M298" s="359"/>
      <c r="N298" s="359"/>
      <c r="O298" s="359"/>
      <c r="P298" s="359"/>
      <c r="Q298" s="360"/>
      <c r="R298" s="33"/>
      <c r="S298" s="34"/>
      <c r="T298" s="34"/>
      <c r="U298" s="34"/>
      <c r="V298" s="34"/>
      <c r="W298" s="191"/>
      <c r="X298" s="191"/>
      <c r="Y298" s="191"/>
      <c r="Z298" s="191"/>
      <c r="AA298" s="191"/>
      <c r="AB298" s="34"/>
      <c r="AC298" s="34"/>
      <c r="AD298" s="34"/>
      <c r="AE298" s="34"/>
      <c r="AF298" s="34"/>
      <c r="AG298" s="34"/>
      <c r="AH298" s="35"/>
    </row>
    <row r="299" spans="1:34" ht="21" customHeight="1">
      <c r="A299" s="161">
        <v>1</v>
      </c>
      <c r="B299" s="324" t="s">
        <v>83</v>
      </c>
      <c r="C299" s="324"/>
      <c r="D299" s="324"/>
      <c r="E299" s="324"/>
      <c r="F299" s="324"/>
      <c r="G299" s="324"/>
      <c r="H299" s="356">
        <f>VLOOKUP(AI280,'3a'!A:AG,19,0)</f>
        <v>85</v>
      </c>
      <c r="I299" s="356"/>
      <c r="J299" s="178">
        <f t="shared" ref="J299:J306" si="23">H299</f>
        <v>85</v>
      </c>
      <c r="K299" s="293" t="s">
        <v>84</v>
      </c>
      <c r="L299" s="294"/>
      <c r="M299" s="294"/>
      <c r="N299" s="294"/>
      <c r="O299" s="294"/>
      <c r="P299" s="295"/>
      <c r="Q299" s="168">
        <v>1</v>
      </c>
      <c r="R299" s="312"/>
      <c r="S299" s="310"/>
      <c r="T299" s="310"/>
      <c r="U299" s="310"/>
      <c r="V299" s="310"/>
      <c r="W299" s="310"/>
      <c r="X299" s="310"/>
      <c r="Y299" s="310"/>
      <c r="Z299" s="310"/>
      <c r="AA299" s="310"/>
      <c r="AB299" s="34"/>
      <c r="AC299" s="34"/>
      <c r="AD299" s="34"/>
      <c r="AE299" s="34"/>
      <c r="AF299" s="34"/>
      <c r="AG299" s="34"/>
      <c r="AH299" s="35"/>
    </row>
    <row r="300" spans="1:34" ht="21" customHeight="1">
      <c r="A300" s="161">
        <v>2</v>
      </c>
      <c r="B300" s="288" t="s">
        <v>79</v>
      </c>
      <c r="C300" s="289"/>
      <c r="D300" s="289"/>
      <c r="E300" s="289"/>
      <c r="F300" s="289"/>
      <c r="G300" s="290"/>
      <c r="H300" s="356">
        <f>VLOOKUP(AI280,'3a'!A:AG,20,0)</f>
        <v>73</v>
      </c>
      <c r="I300" s="356"/>
      <c r="J300" s="178">
        <f t="shared" si="23"/>
        <v>73</v>
      </c>
      <c r="K300" s="293" t="s">
        <v>80</v>
      </c>
      <c r="L300" s="294"/>
      <c r="M300" s="294"/>
      <c r="N300" s="294"/>
      <c r="O300" s="294"/>
      <c r="P300" s="295"/>
      <c r="Q300" s="168">
        <v>2</v>
      </c>
      <c r="R300" s="315" t="s">
        <v>766</v>
      </c>
      <c r="S300" s="316"/>
      <c r="T300" s="316"/>
      <c r="U300" s="316"/>
      <c r="V300" s="316"/>
      <c r="W300" s="316"/>
      <c r="X300" s="316"/>
      <c r="Y300" s="316"/>
      <c r="Z300" s="316"/>
      <c r="AA300" s="316"/>
      <c r="AB300" s="308" t="s">
        <v>767</v>
      </c>
      <c r="AC300" s="308"/>
      <c r="AD300" s="308"/>
      <c r="AE300" s="308"/>
      <c r="AF300" s="308"/>
      <c r="AG300" s="308"/>
      <c r="AH300" s="309"/>
    </row>
    <row r="301" spans="1:34" ht="21" customHeight="1">
      <c r="A301" s="161">
        <v>3</v>
      </c>
      <c r="B301" s="324" t="s">
        <v>77</v>
      </c>
      <c r="C301" s="324"/>
      <c r="D301" s="324"/>
      <c r="E301" s="324"/>
      <c r="F301" s="324"/>
      <c r="G301" s="324"/>
      <c r="H301" s="356">
        <f>VLOOKUP(AI280,'3a'!A:AG,21,0)</f>
        <v>45</v>
      </c>
      <c r="I301" s="356"/>
      <c r="J301" s="178">
        <f t="shared" si="23"/>
        <v>45</v>
      </c>
      <c r="K301" s="293" t="s">
        <v>78</v>
      </c>
      <c r="L301" s="294"/>
      <c r="M301" s="294"/>
      <c r="N301" s="294"/>
      <c r="O301" s="294"/>
      <c r="P301" s="295"/>
      <c r="Q301" s="168">
        <v>3</v>
      </c>
      <c r="R301" s="32"/>
      <c r="S301" s="32"/>
      <c r="T301" s="32"/>
      <c r="U301" s="32"/>
      <c r="V301" s="32"/>
      <c r="W301" s="32"/>
      <c r="X301" s="32"/>
      <c r="Y301" s="32"/>
      <c r="Z301" s="32"/>
      <c r="AA301" s="32"/>
      <c r="AB301" s="32"/>
      <c r="AC301" s="32"/>
      <c r="AD301" s="32"/>
      <c r="AE301" s="32"/>
      <c r="AF301" s="32"/>
      <c r="AG301" s="32"/>
      <c r="AH301" s="32"/>
    </row>
    <row r="302" spans="1:34" ht="21" customHeight="1">
      <c r="A302" s="161">
        <v>4</v>
      </c>
      <c r="B302" s="288" t="s">
        <v>81</v>
      </c>
      <c r="C302" s="289"/>
      <c r="D302" s="289"/>
      <c r="E302" s="289"/>
      <c r="F302" s="289"/>
      <c r="G302" s="290"/>
      <c r="H302" s="317">
        <f>VLOOKUP(AI280,'3a'!A:AG,22,0)</f>
        <v>83</v>
      </c>
      <c r="I302" s="318"/>
      <c r="J302" s="178">
        <f>H302</f>
        <v>83</v>
      </c>
      <c r="K302" s="293" t="s">
        <v>82</v>
      </c>
      <c r="L302" s="294"/>
      <c r="M302" s="294"/>
      <c r="N302" s="294"/>
      <c r="O302" s="294"/>
      <c r="P302" s="295"/>
      <c r="Q302" s="168">
        <v>4</v>
      </c>
      <c r="R302" s="32"/>
      <c r="S302" s="32"/>
      <c r="T302" s="32"/>
      <c r="U302" s="32"/>
      <c r="V302" s="32"/>
      <c r="W302" s="32"/>
      <c r="X302" s="32"/>
      <c r="Y302" s="32"/>
      <c r="Z302" s="32"/>
      <c r="AA302" s="32"/>
      <c r="AB302" s="32"/>
      <c r="AC302" s="32"/>
      <c r="AD302" s="32"/>
      <c r="AE302" s="32"/>
      <c r="AF302" s="32"/>
      <c r="AG302" s="32"/>
      <c r="AH302" s="32"/>
    </row>
    <row r="303" spans="1:34" ht="21" customHeight="1">
      <c r="A303" s="161">
        <v>5</v>
      </c>
      <c r="B303" s="288" t="s">
        <v>147</v>
      </c>
      <c r="C303" s="289"/>
      <c r="D303" s="289"/>
      <c r="E303" s="289"/>
      <c r="F303" s="289"/>
      <c r="G303" s="290"/>
      <c r="H303" s="317">
        <f>VLOOKUP(AI280,'3a'!A:AG,23,0)</f>
        <v>73</v>
      </c>
      <c r="I303" s="318"/>
      <c r="J303" s="178">
        <f>H303</f>
        <v>73</v>
      </c>
      <c r="K303" s="293" t="s">
        <v>84</v>
      </c>
      <c r="L303" s="294"/>
      <c r="M303" s="294"/>
      <c r="N303" s="294"/>
      <c r="O303" s="294"/>
      <c r="P303" s="295"/>
      <c r="Q303" s="168">
        <v>5</v>
      </c>
      <c r="R303" s="32"/>
      <c r="S303" s="32"/>
      <c r="T303" s="32"/>
      <c r="U303" s="32"/>
      <c r="V303" s="32"/>
      <c r="W303" s="32"/>
      <c r="X303" s="32"/>
      <c r="Y303" s="32"/>
      <c r="Z303" s="32"/>
      <c r="AA303" s="32"/>
      <c r="AB303" s="32"/>
      <c r="AC303" s="32"/>
      <c r="AD303" s="32"/>
      <c r="AE303" s="32"/>
      <c r="AF303" s="32"/>
      <c r="AG303" s="32"/>
      <c r="AH303" s="32"/>
    </row>
    <row r="304" spans="1:34" ht="21" customHeight="1">
      <c r="A304" s="161">
        <v>6</v>
      </c>
      <c r="B304" s="324" t="s">
        <v>148</v>
      </c>
      <c r="C304" s="324"/>
      <c r="D304" s="324"/>
      <c r="E304" s="324"/>
      <c r="F304" s="324"/>
      <c r="G304" s="324"/>
      <c r="H304" s="356">
        <f>VLOOKUP(AI280,'3a'!A:AG,24,0)</f>
        <v>75</v>
      </c>
      <c r="I304" s="356"/>
      <c r="J304" s="178">
        <f t="shared" si="23"/>
        <v>75</v>
      </c>
      <c r="K304" s="293" t="s">
        <v>149</v>
      </c>
      <c r="L304" s="294"/>
      <c r="M304" s="294"/>
      <c r="N304" s="294"/>
      <c r="O304" s="294"/>
      <c r="P304" s="295"/>
      <c r="Q304" s="168">
        <v>6</v>
      </c>
      <c r="R304" s="34"/>
      <c r="S304" s="34"/>
      <c r="T304" s="34"/>
      <c r="U304" s="34"/>
      <c r="V304" s="34"/>
      <c r="W304" s="34"/>
      <c r="X304" s="34"/>
      <c r="Y304" s="34"/>
      <c r="Z304" s="34"/>
      <c r="AA304" s="34"/>
      <c r="AB304" s="34"/>
      <c r="AC304" s="34"/>
      <c r="AD304" s="34"/>
      <c r="AE304" s="34"/>
      <c r="AF304" s="34"/>
      <c r="AG304" s="34"/>
      <c r="AH304" s="34"/>
    </row>
    <row r="305" spans="1:35" ht="21" customHeight="1">
      <c r="A305" s="357" t="s">
        <v>62</v>
      </c>
      <c r="B305" s="357"/>
      <c r="C305" s="357"/>
      <c r="D305" s="357"/>
      <c r="E305" s="357"/>
      <c r="F305" s="357"/>
      <c r="G305" s="357"/>
      <c r="H305" s="317">
        <f>SUM(H299:I304)</f>
        <v>434</v>
      </c>
      <c r="I305" s="318"/>
      <c r="J305" s="178">
        <f t="shared" si="23"/>
        <v>434</v>
      </c>
      <c r="K305" s="293" t="s">
        <v>63</v>
      </c>
      <c r="L305" s="294"/>
      <c r="M305" s="294"/>
      <c r="N305" s="294"/>
      <c r="O305" s="294"/>
      <c r="P305" s="294"/>
      <c r="Q305" s="295"/>
      <c r="R305" s="34"/>
      <c r="S305" s="34"/>
      <c r="T305" s="34"/>
      <c r="U305" s="34"/>
      <c r="V305" s="34"/>
      <c r="W305" s="34"/>
      <c r="X305" s="34"/>
      <c r="Y305" s="34"/>
      <c r="Z305" s="34"/>
      <c r="AA305" s="34"/>
      <c r="AB305" s="34"/>
      <c r="AC305" s="34"/>
      <c r="AD305" s="34"/>
      <c r="AE305" s="34"/>
      <c r="AF305" s="34"/>
      <c r="AG305" s="34"/>
      <c r="AH305" s="34"/>
    </row>
    <row r="306" spans="1:35" ht="21" customHeight="1">
      <c r="A306" s="357" t="s">
        <v>65</v>
      </c>
      <c r="B306" s="357"/>
      <c r="C306" s="357"/>
      <c r="D306" s="357"/>
      <c r="E306" s="357"/>
      <c r="F306" s="357"/>
      <c r="G306" s="357"/>
      <c r="H306" s="291">
        <f>AVERAGE(H299:I304)</f>
        <v>72.333333333333329</v>
      </c>
      <c r="I306" s="292"/>
      <c r="J306" s="179">
        <f t="shared" si="23"/>
        <v>72.333333333333329</v>
      </c>
      <c r="K306" s="293" t="s">
        <v>66</v>
      </c>
      <c r="L306" s="294"/>
      <c r="M306" s="294"/>
      <c r="N306" s="294"/>
      <c r="O306" s="294"/>
      <c r="P306" s="294"/>
      <c r="Q306" s="295"/>
      <c r="R306" s="34"/>
      <c r="S306" s="34"/>
      <c r="T306" s="34"/>
      <c r="U306" s="34"/>
      <c r="V306" s="34"/>
      <c r="W306" s="34"/>
      <c r="X306" s="34"/>
      <c r="Y306" s="34"/>
      <c r="Z306" s="34"/>
      <c r="AA306" s="34"/>
      <c r="AB306" s="34"/>
      <c r="AC306" s="34"/>
      <c r="AD306" s="34"/>
      <c r="AE306" s="34"/>
      <c r="AF306" s="34"/>
      <c r="AG306" s="34"/>
      <c r="AH306" s="34"/>
    </row>
    <row r="307" spans="1:35" ht="21" customHeight="1">
      <c r="A307" s="34"/>
      <c r="B307" s="34"/>
      <c r="C307" s="34"/>
      <c r="D307" s="34"/>
      <c r="E307" s="34"/>
      <c r="F307" s="34"/>
      <c r="G307" s="34"/>
      <c r="H307" s="34"/>
      <c r="I307" s="34"/>
      <c r="J307" s="34"/>
      <c r="K307" s="34"/>
      <c r="L307" s="34"/>
      <c r="M307" s="34"/>
      <c r="N307" s="31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34"/>
      <c r="AA307" s="34"/>
      <c r="AB307" s="34"/>
      <c r="AC307" s="34"/>
      <c r="AD307" s="34"/>
      <c r="AE307" s="34"/>
      <c r="AF307" s="34"/>
      <c r="AG307" s="34"/>
      <c r="AH307" s="34"/>
    </row>
    <row r="308" spans="1:35" ht="21" customHeight="1">
      <c r="A308" s="34"/>
      <c r="B308" s="34"/>
      <c r="C308" s="34"/>
      <c r="D308" s="34"/>
      <c r="E308" s="34"/>
      <c r="F308" s="34"/>
      <c r="G308" s="34"/>
      <c r="H308" s="34"/>
      <c r="I308" s="34"/>
      <c r="J308" s="34"/>
      <c r="K308" s="34"/>
      <c r="L308" s="34"/>
      <c r="M308" s="34"/>
      <c r="N308" s="31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34"/>
      <c r="AA308" s="34"/>
      <c r="AB308" s="34"/>
      <c r="AC308" s="34"/>
      <c r="AD308" s="34"/>
      <c r="AE308" s="34"/>
      <c r="AF308" s="34"/>
      <c r="AG308" s="34"/>
      <c r="AH308" s="34"/>
    </row>
    <row r="309" spans="1:35" ht="21" customHeight="1">
      <c r="A309" s="34"/>
      <c r="B309" s="34"/>
      <c r="C309" s="34"/>
      <c r="D309" s="34"/>
      <c r="E309" s="34"/>
      <c r="F309" s="34"/>
      <c r="G309" s="34"/>
      <c r="H309" s="34"/>
      <c r="I309" s="34"/>
      <c r="J309" s="34"/>
      <c r="K309" s="34"/>
      <c r="L309" s="34"/>
      <c r="M309" s="34"/>
      <c r="N309" s="31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34"/>
      <c r="AA309" s="34"/>
      <c r="AB309" s="34"/>
      <c r="AC309" s="34"/>
      <c r="AD309" s="34"/>
      <c r="AE309" s="34"/>
      <c r="AF309" s="34"/>
      <c r="AG309" s="34"/>
      <c r="AH309" s="34"/>
    </row>
    <row r="310" spans="1:35" ht="21" customHeight="1">
      <c r="A310" s="343" t="s">
        <v>0</v>
      </c>
      <c r="B310" s="344"/>
      <c r="C310" s="153" t="s">
        <v>1</v>
      </c>
      <c r="D310" s="344" t="str">
        <f>VLOOKUP(AI313,'3b'!A:AG,3,0)</f>
        <v>Muhammad Dapi Syam</v>
      </c>
      <c r="E310" s="344"/>
      <c r="F310" s="344"/>
      <c r="G310" s="344"/>
      <c r="H310" s="344"/>
      <c r="I310" s="344"/>
      <c r="J310" s="344"/>
      <c r="K310" s="344"/>
      <c r="L310" s="344"/>
      <c r="M310" s="344"/>
      <c r="N310" s="344"/>
      <c r="O310" s="344"/>
      <c r="P310" s="344"/>
      <c r="Q310" s="345"/>
      <c r="R310" s="343" t="s">
        <v>0</v>
      </c>
      <c r="S310" s="344"/>
      <c r="T310" s="153" t="s">
        <v>1</v>
      </c>
      <c r="U310" s="344" t="str">
        <f>D310</f>
        <v>Muhammad Dapi Syam</v>
      </c>
      <c r="V310" s="344"/>
      <c r="W310" s="344"/>
      <c r="X310" s="344"/>
      <c r="Y310" s="344"/>
      <c r="Z310" s="344"/>
      <c r="AA310" s="344"/>
      <c r="AB310" s="344"/>
      <c r="AC310" s="344"/>
      <c r="AD310" s="344"/>
      <c r="AE310" s="344"/>
      <c r="AF310" s="344"/>
      <c r="AG310" s="344"/>
      <c r="AH310" s="345"/>
    </row>
    <row r="311" spans="1:35" s="22" customFormat="1" ht="21" customHeight="1">
      <c r="A311" s="346" t="s">
        <v>2</v>
      </c>
      <c r="B311" s="347"/>
      <c r="C311" s="154" t="s">
        <v>1</v>
      </c>
      <c r="D311" s="347" t="s">
        <v>113</v>
      </c>
      <c r="E311" s="347"/>
      <c r="F311" s="347"/>
      <c r="G311" s="347"/>
      <c r="H311" s="347"/>
      <c r="I311" s="347"/>
      <c r="J311" s="159" t="s">
        <v>3</v>
      </c>
      <c r="K311" s="347">
        <f>VLOOKUP(AI313,'3b'!A:AG,2,0)</f>
        <v>22230178</v>
      </c>
      <c r="L311" s="347"/>
      <c r="M311" s="347"/>
      <c r="N311" s="347"/>
      <c r="O311" s="347"/>
      <c r="P311" s="347"/>
      <c r="Q311" s="348"/>
      <c r="R311" s="346" t="s">
        <v>2</v>
      </c>
      <c r="S311" s="347"/>
      <c r="T311" s="154" t="s">
        <v>1</v>
      </c>
      <c r="U311" s="347" t="str">
        <f>D311</f>
        <v>3-B</v>
      </c>
      <c r="V311" s="347"/>
      <c r="W311" s="347"/>
      <c r="X311" s="347"/>
      <c r="Y311" s="347"/>
      <c r="Z311" s="347"/>
      <c r="AA311" s="159" t="s">
        <v>3</v>
      </c>
      <c r="AB311" s="347">
        <f>K311</f>
        <v>22230178</v>
      </c>
      <c r="AC311" s="347"/>
      <c r="AD311" s="347"/>
      <c r="AE311" s="347"/>
      <c r="AF311" s="347"/>
      <c r="AG311" s="347"/>
      <c r="AH311" s="348"/>
    </row>
    <row r="312" spans="1:35" s="30" customFormat="1" ht="21" customHeight="1">
      <c r="A312" s="343" t="s">
        <v>4</v>
      </c>
      <c r="B312" s="344"/>
      <c r="C312" s="153" t="s">
        <v>1</v>
      </c>
      <c r="D312" s="304" t="str">
        <f>DASHBOARD!$H$11</f>
        <v>2025/2026</v>
      </c>
      <c r="E312" s="304"/>
      <c r="F312" s="304"/>
      <c r="G312" s="304"/>
      <c r="H312" s="304"/>
      <c r="I312" s="304"/>
      <c r="J312" s="304"/>
      <c r="K312" s="304"/>
      <c r="L312" s="304"/>
      <c r="M312" s="304"/>
      <c r="N312" s="304"/>
      <c r="O312" s="304"/>
      <c r="P312" s="304"/>
      <c r="Q312" s="349"/>
      <c r="R312" s="330" t="s">
        <v>5</v>
      </c>
      <c r="S312" s="331"/>
      <c r="T312" s="331"/>
      <c r="U312" s="331"/>
      <c r="V312" s="331"/>
      <c r="W312" s="331"/>
      <c r="X312" s="332"/>
      <c r="Y312" s="333" t="s">
        <v>6</v>
      </c>
      <c r="Z312" s="334"/>
      <c r="AA312" s="337" t="s">
        <v>7</v>
      </c>
      <c r="AB312" s="330" t="s">
        <v>8</v>
      </c>
      <c r="AC312" s="331"/>
      <c r="AD312" s="331"/>
      <c r="AE312" s="331"/>
      <c r="AF312" s="331"/>
      <c r="AG312" s="331"/>
      <c r="AH312" s="332"/>
      <c r="AI312" s="50" t="s">
        <v>9</v>
      </c>
    </row>
    <row r="313" spans="1:35" ht="21" customHeight="1">
      <c r="A313" s="303" t="s">
        <v>10</v>
      </c>
      <c r="B313" s="304"/>
      <c r="C313" s="160" t="s">
        <v>1</v>
      </c>
      <c r="D313" s="350" t="str">
        <f>DASHBOARD!$H$12</f>
        <v>1 (Satu)</v>
      </c>
      <c r="E313" s="350"/>
      <c r="F313" s="350"/>
      <c r="G313" s="350"/>
      <c r="H313" s="350"/>
      <c r="I313" s="351"/>
      <c r="J313" s="352" t="str">
        <f>DASHBOARD!$I$12</f>
        <v>الأول</v>
      </c>
      <c r="K313" s="353"/>
      <c r="L313" s="353"/>
      <c r="M313" s="353"/>
      <c r="N313" s="160" t="s">
        <v>1</v>
      </c>
      <c r="O313" s="354" t="s">
        <v>11</v>
      </c>
      <c r="P313" s="354"/>
      <c r="Q313" s="355"/>
      <c r="R313" s="339" t="s">
        <v>12</v>
      </c>
      <c r="S313" s="340"/>
      <c r="T313" s="340"/>
      <c r="U313" s="340"/>
      <c r="V313" s="340"/>
      <c r="W313" s="340"/>
      <c r="X313" s="341"/>
      <c r="Y313" s="335"/>
      <c r="Z313" s="336"/>
      <c r="AA313" s="338"/>
      <c r="AB313" s="339" t="s">
        <v>13</v>
      </c>
      <c r="AC313" s="340"/>
      <c r="AD313" s="340"/>
      <c r="AE313" s="340"/>
      <c r="AF313" s="340"/>
      <c r="AG313" s="340"/>
      <c r="AH313" s="341"/>
      <c r="AI313" s="51">
        <v>31</v>
      </c>
    </row>
    <row r="314" spans="1:35" ht="21" customHeight="1">
      <c r="A314" s="330" t="s">
        <v>5</v>
      </c>
      <c r="B314" s="331"/>
      <c r="C314" s="331"/>
      <c r="D314" s="331"/>
      <c r="E314" s="331"/>
      <c r="F314" s="331"/>
      <c r="G314" s="332"/>
      <c r="H314" s="333" t="s">
        <v>6</v>
      </c>
      <c r="I314" s="334"/>
      <c r="J314" s="337" t="s">
        <v>7</v>
      </c>
      <c r="K314" s="330" t="s">
        <v>8</v>
      </c>
      <c r="L314" s="331"/>
      <c r="M314" s="331"/>
      <c r="N314" s="331"/>
      <c r="O314" s="331"/>
      <c r="P314" s="331"/>
      <c r="Q314" s="332"/>
      <c r="R314" s="161">
        <v>1</v>
      </c>
      <c r="S314" s="288" t="s">
        <v>103</v>
      </c>
      <c r="T314" s="289"/>
      <c r="U314" s="289"/>
      <c r="V314" s="289"/>
      <c r="W314" s="289"/>
      <c r="X314" s="290"/>
      <c r="Y314" s="361">
        <f>VLOOKUP(AI313,'3b'!A:AG,15,0)</f>
        <v>60</v>
      </c>
      <c r="Z314" s="362"/>
      <c r="AA314" s="168">
        <f>Y314</f>
        <v>60</v>
      </c>
      <c r="AB314" s="293" t="s">
        <v>104</v>
      </c>
      <c r="AC314" s="294"/>
      <c r="AD314" s="294"/>
      <c r="AE314" s="294"/>
      <c r="AF314" s="294"/>
      <c r="AG314" s="295"/>
      <c r="AH314" s="168">
        <v>1</v>
      </c>
    </row>
    <row r="315" spans="1:35" ht="21" customHeight="1">
      <c r="A315" s="339" t="s">
        <v>16</v>
      </c>
      <c r="B315" s="340"/>
      <c r="C315" s="340"/>
      <c r="D315" s="340"/>
      <c r="E315" s="340"/>
      <c r="F315" s="340"/>
      <c r="G315" s="341"/>
      <c r="H315" s="335"/>
      <c r="I315" s="336"/>
      <c r="J315" s="338"/>
      <c r="K315" s="339" t="s">
        <v>17</v>
      </c>
      <c r="L315" s="340"/>
      <c r="M315" s="340"/>
      <c r="N315" s="340"/>
      <c r="O315" s="340"/>
      <c r="P315" s="340"/>
      <c r="Q315" s="341"/>
      <c r="R315" s="161">
        <v>2</v>
      </c>
      <c r="S315" s="324" t="s">
        <v>14</v>
      </c>
      <c r="T315" s="324"/>
      <c r="U315" s="324"/>
      <c r="V315" s="324"/>
      <c r="W315" s="324"/>
      <c r="X315" s="324"/>
      <c r="Y315" s="361">
        <f>VLOOKUP(AI313,'3b'!A:AG,16,0)</f>
        <v>70</v>
      </c>
      <c r="Z315" s="362"/>
      <c r="AA315" s="168">
        <f>Y315</f>
        <v>70</v>
      </c>
      <c r="AB315" s="293" t="s">
        <v>15</v>
      </c>
      <c r="AC315" s="294"/>
      <c r="AD315" s="294"/>
      <c r="AE315" s="294"/>
      <c r="AF315" s="294"/>
      <c r="AG315" s="295"/>
      <c r="AH315" s="168">
        <v>2</v>
      </c>
    </row>
    <row r="316" spans="1:35" ht="21" customHeight="1">
      <c r="A316" s="161">
        <v>1</v>
      </c>
      <c r="B316" s="288" t="s">
        <v>22</v>
      </c>
      <c r="C316" s="289"/>
      <c r="D316" s="289"/>
      <c r="E316" s="289"/>
      <c r="F316" s="289"/>
      <c r="G316" s="290"/>
      <c r="H316" s="317">
        <f>VLOOKUP(AI313,'3b'!A:AG,4,0)</f>
        <v>74</v>
      </c>
      <c r="I316" s="318"/>
      <c r="J316" s="168">
        <f>H316</f>
        <v>74</v>
      </c>
      <c r="K316" s="293" t="s">
        <v>23</v>
      </c>
      <c r="L316" s="294"/>
      <c r="M316" s="294"/>
      <c r="N316" s="294"/>
      <c r="O316" s="294"/>
      <c r="P316" s="295"/>
      <c r="Q316" s="168">
        <v>1</v>
      </c>
      <c r="R316" s="161">
        <v>3</v>
      </c>
      <c r="S316" s="288" t="s">
        <v>34</v>
      </c>
      <c r="T316" s="289"/>
      <c r="U316" s="289"/>
      <c r="V316" s="289"/>
      <c r="W316" s="289"/>
      <c r="X316" s="290"/>
      <c r="Y316" s="361">
        <f>VLOOKUP(AI313,'3b'!A:AG,17,0)</f>
        <v>65</v>
      </c>
      <c r="Z316" s="362"/>
      <c r="AA316" s="168">
        <f>Y316</f>
        <v>65</v>
      </c>
      <c r="AB316" s="293" t="s">
        <v>35</v>
      </c>
      <c r="AC316" s="294"/>
      <c r="AD316" s="294"/>
      <c r="AE316" s="294"/>
      <c r="AF316" s="294"/>
      <c r="AG316" s="295"/>
      <c r="AH316" s="168">
        <v>3</v>
      </c>
    </row>
    <row r="317" spans="1:35" ht="21" customHeight="1">
      <c r="A317" s="161">
        <v>2</v>
      </c>
      <c r="B317" s="288" t="s">
        <v>55</v>
      </c>
      <c r="C317" s="289"/>
      <c r="D317" s="289"/>
      <c r="E317" s="289"/>
      <c r="F317" s="289"/>
      <c r="G317" s="290"/>
      <c r="H317" s="317">
        <f>VLOOKUP(AI313,'3b'!A:AG,5,0)</f>
        <v>40</v>
      </c>
      <c r="I317" s="318"/>
      <c r="J317" s="168">
        <f>H317</f>
        <v>40</v>
      </c>
      <c r="K317" s="293" t="s">
        <v>56</v>
      </c>
      <c r="L317" s="294"/>
      <c r="M317" s="294"/>
      <c r="N317" s="294"/>
      <c r="O317" s="294"/>
      <c r="P317" s="295"/>
      <c r="Q317" s="168">
        <v>2</v>
      </c>
      <c r="R317" s="161">
        <v>4</v>
      </c>
      <c r="S317" s="324" t="s">
        <v>18</v>
      </c>
      <c r="T317" s="324"/>
      <c r="U317" s="324"/>
      <c r="V317" s="324"/>
      <c r="W317" s="324"/>
      <c r="X317" s="324"/>
      <c r="Y317" s="361">
        <f>VLOOKUP(AI313,'3b'!A:AG,18,0)</f>
        <v>90</v>
      </c>
      <c r="Z317" s="362"/>
      <c r="AA317" s="168">
        <f>Y317</f>
        <v>90</v>
      </c>
      <c r="AB317" s="293" t="s">
        <v>23</v>
      </c>
      <c r="AC317" s="294"/>
      <c r="AD317" s="294"/>
      <c r="AE317" s="294"/>
      <c r="AF317" s="294"/>
      <c r="AG317" s="295"/>
      <c r="AH317" s="168">
        <v>4</v>
      </c>
    </row>
    <row r="318" spans="1:35" ht="21" customHeight="1">
      <c r="A318" s="161">
        <v>3</v>
      </c>
      <c r="B318" s="324" t="s">
        <v>30</v>
      </c>
      <c r="C318" s="324"/>
      <c r="D318" s="324"/>
      <c r="E318" s="324"/>
      <c r="F318" s="324"/>
      <c r="G318" s="324"/>
      <c r="H318" s="317">
        <f>VLOOKUP(AI313,'3b'!A:AG,6,0)</f>
        <v>60</v>
      </c>
      <c r="I318" s="318"/>
      <c r="J318" s="168">
        <f t="shared" ref="J318:J326" si="24">H318</f>
        <v>60</v>
      </c>
      <c r="K318" s="293" t="s">
        <v>31</v>
      </c>
      <c r="L318" s="294"/>
      <c r="M318" s="294"/>
      <c r="N318" s="294"/>
      <c r="O318" s="294"/>
      <c r="P318" s="295"/>
      <c r="Q318" s="168">
        <v>3</v>
      </c>
      <c r="R318" s="299" t="s">
        <v>768</v>
      </c>
      <c r="S318" s="300"/>
      <c r="T318" s="300"/>
      <c r="U318" s="300"/>
      <c r="V318" s="301"/>
      <c r="W318" s="327" t="s">
        <v>28</v>
      </c>
      <c r="X318" s="328"/>
      <c r="Y318" s="328"/>
      <c r="Z318" s="328"/>
      <c r="AA318" s="328"/>
      <c r="AB318" s="329"/>
      <c r="AC318" s="327" t="s">
        <v>29</v>
      </c>
      <c r="AD318" s="328"/>
      <c r="AE318" s="328"/>
      <c r="AF318" s="328"/>
      <c r="AG318" s="328"/>
      <c r="AH318" s="329"/>
    </row>
    <row r="319" spans="1:35" ht="21" customHeight="1">
      <c r="A319" s="161">
        <v>4</v>
      </c>
      <c r="B319" s="324" t="s">
        <v>34</v>
      </c>
      <c r="C319" s="324"/>
      <c r="D319" s="324"/>
      <c r="E319" s="324"/>
      <c r="F319" s="324"/>
      <c r="G319" s="324"/>
      <c r="H319" s="317">
        <f>VLOOKUP(AI313,'3b'!A:AG,7,0)</f>
        <v>52</v>
      </c>
      <c r="I319" s="318"/>
      <c r="J319" s="168">
        <f t="shared" si="24"/>
        <v>52</v>
      </c>
      <c r="K319" s="293" t="s">
        <v>35</v>
      </c>
      <c r="L319" s="294"/>
      <c r="M319" s="294"/>
      <c r="N319" s="294"/>
      <c r="O319" s="294"/>
      <c r="P319" s="295"/>
      <c r="Q319" s="168">
        <v>4</v>
      </c>
      <c r="R319" s="319" t="s">
        <v>32</v>
      </c>
      <c r="S319" s="320"/>
      <c r="T319" s="320"/>
      <c r="U319" s="180" t="s">
        <v>1</v>
      </c>
      <c r="V319" s="181" t="str">
        <f>VLOOKUP(AI313,'3b'!A:AG,28,0)</f>
        <v>B</v>
      </c>
      <c r="W319" s="321" t="s">
        <v>33</v>
      </c>
      <c r="X319" s="322"/>
      <c r="Y319" s="322"/>
      <c r="Z319" s="322"/>
      <c r="AA319" s="322"/>
      <c r="AB319" s="323"/>
      <c r="AC319" s="296" t="s">
        <v>33</v>
      </c>
      <c r="AD319" s="297"/>
      <c r="AE319" s="297"/>
      <c r="AF319" s="297"/>
      <c r="AG319" s="297"/>
      <c r="AH319" s="298"/>
    </row>
    <row r="320" spans="1:35" ht="21" customHeight="1">
      <c r="A320" s="161">
        <v>5</v>
      </c>
      <c r="B320" s="288" t="s">
        <v>49</v>
      </c>
      <c r="C320" s="289"/>
      <c r="D320" s="289"/>
      <c r="E320" s="289"/>
      <c r="F320" s="289"/>
      <c r="G320" s="290"/>
      <c r="H320" s="317">
        <f>VLOOKUP(AI313,'3b'!A:AG,8,0)</f>
        <v>51</v>
      </c>
      <c r="I320" s="318"/>
      <c r="J320" s="168">
        <f t="shared" si="24"/>
        <v>51</v>
      </c>
      <c r="K320" s="293" t="s">
        <v>50</v>
      </c>
      <c r="L320" s="294"/>
      <c r="M320" s="294"/>
      <c r="N320" s="294"/>
      <c r="O320" s="294"/>
      <c r="P320" s="295"/>
      <c r="Q320" s="168">
        <v>5</v>
      </c>
      <c r="R320" s="319" t="s">
        <v>36</v>
      </c>
      <c r="S320" s="320"/>
      <c r="T320" s="320"/>
      <c r="U320" s="180" t="s">
        <v>1</v>
      </c>
      <c r="V320" s="181" t="str">
        <f>VLOOKUP(AI313,'3b'!A:AG,29,0)</f>
        <v>C</v>
      </c>
      <c r="W320" s="13"/>
      <c r="X320" s="14"/>
      <c r="Y320" s="14"/>
      <c r="Z320" s="14"/>
      <c r="AA320" s="14"/>
      <c r="AB320" s="15"/>
      <c r="AC320" s="16"/>
      <c r="AH320" s="17"/>
    </row>
    <row r="321" spans="1:34" ht="21" customHeight="1">
      <c r="A321" s="161">
        <v>6</v>
      </c>
      <c r="B321" s="324" t="s">
        <v>105</v>
      </c>
      <c r="C321" s="324"/>
      <c r="D321" s="324"/>
      <c r="E321" s="324"/>
      <c r="F321" s="324"/>
      <c r="G321" s="324"/>
      <c r="H321" s="317">
        <f>VLOOKUP(AI313,'3b'!A:AG,9,0)</f>
        <v>44</v>
      </c>
      <c r="I321" s="318"/>
      <c r="J321" s="168">
        <f t="shared" si="24"/>
        <v>44</v>
      </c>
      <c r="K321" s="293" t="s">
        <v>106</v>
      </c>
      <c r="L321" s="294"/>
      <c r="M321" s="294"/>
      <c r="N321" s="294"/>
      <c r="O321" s="294"/>
      <c r="P321" s="295"/>
      <c r="Q321" s="168">
        <v>6</v>
      </c>
      <c r="R321" s="325" t="s">
        <v>39</v>
      </c>
      <c r="S321" s="326"/>
      <c r="T321" s="326"/>
      <c r="U321" s="182" t="s">
        <v>1</v>
      </c>
      <c r="V321" s="183" t="str">
        <f>VLOOKUP(AI313,'3b'!A:AG,30,0)</f>
        <v>B</v>
      </c>
      <c r="W321" s="16"/>
      <c r="AB321" s="17"/>
      <c r="AC321" s="16"/>
      <c r="AH321" s="17"/>
    </row>
    <row r="322" spans="1:34" ht="21" customHeight="1">
      <c r="A322" s="161">
        <v>7</v>
      </c>
      <c r="B322" s="324" t="s">
        <v>14</v>
      </c>
      <c r="C322" s="324"/>
      <c r="D322" s="324"/>
      <c r="E322" s="324"/>
      <c r="F322" s="324"/>
      <c r="G322" s="324"/>
      <c r="H322" s="367">
        <f>VLOOKUP(AI313,'3b'!A:AG,10,0)</f>
        <v>72</v>
      </c>
      <c r="I322" s="368"/>
      <c r="J322" s="197">
        <f t="shared" si="24"/>
        <v>72</v>
      </c>
      <c r="K322" s="293" t="s">
        <v>15</v>
      </c>
      <c r="L322" s="294"/>
      <c r="M322" s="294"/>
      <c r="N322" s="294"/>
      <c r="O322" s="294"/>
      <c r="P322" s="295"/>
      <c r="Q322" s="168">
        <v>7</v>
      </c>
      <c r="R322" s="327" t="s">
        <v>42</v>
      </c>
      <c r="S322" s="328"/>
      <c r="T322" s="328"/>
      <c r="U322" s="328"/>
      <c r="V322" s="329"/>
      <c r="W322" s="16"/>
      <c r="AB322" s="17"/>
      <c r="AC322" s="307" t="str">
        <f>DASHBOARD!H25</f>
        <v>Mu'allim Jamaluddin</v>
      </c>
      <c r="AD322" s="308"/>
      <c r="AE322" s="308"/>
      <c r="AF322" s="308"/>
      <c r="AG322" s="308"/>
      <c r="AH322" s="309"/>
    </row>
    <row r="323" spans="1:34" ht="21" customHeight="1">
      <c r="A323" s="161">
        <v>8</v>
      </c>
      <c r="B323" s="324" t="s">
        <v>45</v>
      </c>
      <c r="C323" s="324"/>
      <c r="D323" s="324"/>
      <c r="E323" s="324"/>
      <c r="F323" s="324"/>
      <c r="G323" s="324"/>
      <c r="H323" s="317">
        <f>VLOOKUP(AI313,'3b'!A:AG,11,0)</f>
        <v>75</v>
      </c>
      <c r="I323" s="318"/>
      <c r="J323" s="168">
        <f t="shared" si="24"/>
        <v>75</v>
      </c>
      <c r="K323" s="293" t="s">
        <v>46</v>
      </c>
      <c r="L323" s="294"/>
      <c r="M323" s="294"/>
      <c r="N323" s="294"/>
      <c r="O323" s="294"/>
      <c r="P323" s="295"/>
      <c r="Q323" s="168">
        <v>8</v>
      </c>
      <c r="R323" s="296" t="s">
        <v>43</v>
      </c>
      <c r="S323" s="297"/>
      <c r="T323" s="297"/>
      <c r="U323" s="297"/>
      <c r="V323" s="298"/>
      <c r="W323" s="16"/>
      <c r="AB323" s="17"/>
      <c r="AC323" s="299" t="s">
        <v>44</v>
      </c>
      <c r="AD323" s="300"/>
      <c r="AE323" s="300"/>
      <c r="AF323" s="300"/>
      <c r="AG323" s="300"/>
      <c r="AH323" s="301"/>
    </row>
    <row r="324" spans="1:34" ht="21" customHeight="1">
      <c r="A324" s="161">
        <v>9</v>
      </c>
      <c r="B324" s="288" t="s">
        <v>108</v>
      </c>
      <c r="C324" s="289"/>
      <c r="D324" s="289"/>
      <c r="E324" s="289"/>
      <c r="F324" s="289"/>
      <c r="G324" s="290"/>
      <c r="H324" s="317">
        <f>VLOOKUP(AI313,'3b'!A:AG,12,0)</f>
        <v>49</v>
      </c>
      <c r="I324" s="318"/>
      <c r="J324" s="168">
        <f t="shared" si="24"/>
        <v>49</v>
      </c>
      <c r="K324" s="293" t="s">
        <v>109</v>
      </c>
      <c r="L324" s="294"/>
      <c r="M324" s="294"/>
      <c r="N324" s="294"/>
      <c r="O324" s="294"/>
      <c r="P324" s="295"/>
      <c r="Q324" s="168">
        <v>9</v>
      </c>
      <c r="R324" s="184" t="s">
        <v>47</v>
      </c>
      <c r="S324" s="185"/>
      <c r="T324" s="180" t="s">
        <v>1</v>
      </c>
      <c r="U324" s="180">
        <f>VLOOKUP(AI313,'3b'!A:AG,31,0)</f>
        <v>34</v>
      </c>
      <c r="V324" s="181" t="s">
        <v>48</v>
      </c>
      <c r="W324" s="16"/>
      <c r="AB324" s="17"/>
      <c r="AC324" s="16"/>
      <c r="AH324" s="17"/>
    </row>
    <row r="325" spans="1:34" ht="21" customHeight="1">
      <c r="A325" s="161">
        <v>10</v>
      </c>
      <c r="B325" s="288" t="s">
        <v>110</v>
      </c>
      <c r="C325" s="289"/>
      <c r="D325" s="289"/>
      <c r="E325" s="289"/>
      <c r="F325" s="289"/>
      <c r="G325" s="290"/>
      <c r="H325" s="317">
        <f>VLOOKUP(AI313,'3b'!A:AG,13,0)</f>
        <v>64</v>
      </c>
      <c r="I325" s="318"/>
      <c r="J325" s="168">
        <f>H325</f>
        <v>64</v>
      </c>
      <c r="K325" s="342" t="s">
        <v>116</v>
      </c>
      <c r="L325" s="342"/>
      <c r="M325" s="342"/>
      <c r="N325" s="342"/>
      <c r="O325" s="342"/>
      <c r="P325" s="342"/>
      <c r="Q325" s="168">
        <v>10</v>
      </c>
      <c r="R325" s="184" t="s">
        <v>51</v>
      </c>
      <c r="S325" s="185"/>
      <c r="T325" s="180" t="s">
        <v>1</v>
      </c>
      <c r="U325" s="180">
        <f>VLOOKUP(AI313,'3b'!A:AG,32,0)</f>
        <v>22</v>
      </c>
      <c r="V325" s="181" t="s">
        <v>48</v>
      </c>
      <c r="W325" s="21"/>
      <c r="X325" s="22"/>
      <c r="Y325" s="22"/>
      <c r="Z325" s="22"/>
      <c r="AA325" s="22"/>
      <c r="AB325" s="23"/>
      <c r="AC325" s="16"/>
      <c r="AH325" s="17"/>
    </row>
    <row r="326" spans="1:34" ht="21" customHeight="1">
      <c r="A326" s="161">
        <v>11</v>
      </c>
      <c r="B326" s="288" t="s">
        <v>111</v>
      </c>
      <c r="C326" s="289"/>
      <c r="D326" s="289"/>
      <c r="E326" s="289"/>
      <c r="F326" s="289"/>
      <c r="G326" s="290"/>
      <c r="H326" s="317">
        <f>VLOOKUP(AI313,'3b'!A:AG,14,0)</f>
        <v>70</v>
      </c>
      <c r="I326" s="318"/>
      <c r="J326" s="168">
        <f t="shared" si="24"/>
        <v>70</v>
      </c>
      <c r="K326" s="293" t="s">
        <v>112</v>
      </c>
      <c r="L326" s="294"/>
      <c r="M326" s="294"/>
      <c r="N326" s="294"/>
      <c r="O326" s="294"/>
      <c r="P326" s="295"/>
      <c r="Q326" s="168">
        <v>11</v>
      </c>
      <c r="R326" s="186" t="s">
        <v>53</v>
      </c>
      <c r="S326" s="187"/>
      <c r="T326" s="182" t="s">
        <v>1</v>
      </c>
      <c r="U326" s="182">
        <f>VLOOKUP(AI313,'3b'!A:AG,33,0)</f>
        <v>0</v>
      </c>
      <c r="V326" s="183" t="s">
        <v>48</v>
      </c>
      <c r="W326" s="188"/>
      <c r="X326" s="189"/>
      <c r="Y326" s="189"/>
      <c r="Z326" s="189"/>
      <c r="AA326" s="189"/>
      <c r="AB326" s="190"/>
      <c r="AC326" s="307" t="s">
        <v>770</v>
      </c>
      <c r="AD326" s="308"/>
      <c r="AE326" s="308"/>
      <c r="AF326" s="308"/>
      <c r="AG326" s="308"/>
      <c r="AH326" s="309"/>
    </row>
    <row r="327" spans="1:34" ht="21" customHeight="1">
      <c r="A327" s="288" t="s">
        <v>62</v>
      </c>
      <c r="B327" s="289"/>
      <c r="C327" s="289"/>
      <c r="D327" s="289"/>
      <c r="E327" s="289"/>
      <c r="F327" s="289"/>
      <c r="G327" s="290"/>
      <c r="H327" s="317">
        <f>VLOOKUP(AI313,'3b'!A:AG,25,0)</f>
        <v>936</v>
      </c>
      <c r="I327" s="318"/>
      <c r="J327" s="168">
        <f>H327</f>
        <v>936</v>
      </c>
      <c r="K327" s="293" t="s">
        <v>63</v>
      </c>
      <c r="L327" s="294"/>
      <c r="M327" s="294"/>
      <c r="N327" s="294"/>
      <c r="O327" s="294"/>
      <c r="P327" s="294"/>
      <c r="Q327" s="295"/>
      <c r="R327" s="16"/>
      <c r="U327" t="s">
        <v>57</v>
      </c>
      <c r="AB327" s="310" t="str">
        <f>DASHBOARD!$H$13</f>
        <v>Sumedang, 05 September 2025</v>
      </c>
      <c r="AC327" s="310"/>
      <c r="AD327" s="310"/>
      <c r="AE327" s="310"/>
      <c r="AF327" s="310"/>
      <c r="AG327" s="310"/>
      <c r="AH327" s="311"/>
    </row>
    <row r="328" spans="1:34" ht="21" customHeight="1">
      <c r="A328" s="288" t="s">
        <v>65</v>
      </c>
      <c r="B328" s="289"/>
      <c r="C328" s="289"/>
      <c r="D328" s="289"/>
      <c r="E328" s="289"/>
      <c r="F328" s="289"/>
      <c r="G328" s="290"/>
      <c r="H328" s="291">
        <f>VLOOKUP(AI313,'3b'!A:AG,26,0)</f>
        <v>62.4</v>
      </c>
      <c r="I328" s="292"/>
      <c r="J328" s="172">
        <f>H328</f>
        <v>62.4</v>
      </c>
      <c r="K328" s="293" t="s">
        <v>66</v>
      </c>
      <c r="L328" s="294"/>
      <c r="M328" s="294"/>
      <c r="N328" s="294"/>
      <c r="O328" s="294"/>
      <c r="P328" s="294"/>
      <c r="Q328" s="295"/>
      <c r="R328" s="312" t="s">
        <v>60</v>
      </c>
      <c r="S328" s="310"/>
      <c r="T328" s="310"/>
      <c r="U328" s="310"/>
      <c r="V328" s="310"/>
      <c r="W328" s="310"/>
      <c r="X328" s="310"/>
      <c r="Y328" s="310"/>
      <c r="Z328" s="310"/>
      <c r="AA328" s="310"/>
      <c r="AB328" s="313" t="s">
        <v>61</v>
      </c>
      <c r="AC328" s="313"/>
      <c r="AD328" s="313"/>
      <c r="AE328" s="313"/>
      <c r="AF328" s="313"/>
      <c r="AG328" s="313"/>
      <c r="AH328" s="314"/>
    </row>
    <row r="329" spans="1:34" ht="21" customHeight="1">
      <c r="A329" s="288" t="s">
        <v>67</v>
      </c>
      <c r="B329" s="289"/>
      <c r="C329" s="289"/>
      <c r="D329" s="289"/>
      <c r="E329" s="199" t="s">
        <v>68</v>
      </c>
      <c r="F329" s="155" t="s">
        <v>69</v>
      </c>
      <c r="G329" s="164">
        <f>COUNT('3b'!B4:B34)</f>
        <v>31</v>
      </c>
      <c r="H329" s="164"/>
      <c r="I329" s="165"/>
      <c r="J329" s="173" t="s">
        <v>70</v>
      </c>
      <c r="K329" s="174"/>
      <c r="L329" s="175">
        <f>G329</f>
        <v>31</v>
      </c>
      <c r="M329" s="302" t="s">
        <v>71</v>
      </c>
      <c r="N329" s="302"/>
      <c r="O329" s="302"/>
      <c r="P329" s="176" t="str">
        <f>E329</f>
        <v>-</v>
      </c>
      <c r="Q329" s="177" t="s">
        <v>72</v>
      </c>
      <c r="R329" s="33"/>
      <c r="S329" s="34"/>
      <c r="T329" s="34"/>
      <c r="U329" s="34"/>
      <c r="V329" s="34"/>
      <c r="W329" s="34"/>
      <c r="X329" s="34"/>
      <c r="Y329" s="34"/>
      <c r="Z329" s="34"/>
      <c r="AA329" s="34"/>
      <c r="AB329" s="297" t="s">
        <v>64</v>
      </c>
      <c r="AC329" s="297"/>
      <c r="AD329" s="297"/>
      <c r="AE329" s="297"/>
      <c r="AF329" s="297"/>
      <c r="AG329" s="297"/>
      <c r="AH329" s="298"/>
    </row>
    <row r="330" spans="1:34" ht="21" customHeight="1">
      <c r="A330" s="303" t="s">
        <v>73</v>
      </c>
      <c r="B330" s="304"/>
      <c r="C330" s="304"/>
      <c r="D330" s="304"/>
      <c r="E330" s="304"/>
      <c r="F330" s="304"/>
      <c r="G330" s="304"/>
      <c r="H330" s="304"/>
      <c r="I330" s="7"/>
      <c r="J330" s="166"/>
      <c r="K330" s="195"/>
      <c r="L330" s="305" t="s">
        <v>74</v>
      </c>
      <c r="M330" s="305"/>
      <c r="N330" s="305"/>
      <c r="O330" s="305"/>
      <c r="P330" s="305"/>
      <c r="Q330" s="306"/>
      <c r="R330" s="33"/>
      <c r="S330" s="34"/>
      <c r="T330" s="34"/>
      <c r="U330" s="34"/>
      <c r="V330" s="34"/>
      <c r="W330" s="34"/>
      <c r="X330" s="34"/>
      <c r="Y330" s="34"/>
      <c r="Z330" s="34"/>
      <c r="AA330" s="34"/>
      <c r="AB330" s="34"/>
      <c r="AC330" s="34"/>
      <c r="AD330" s="34"/>
      <c r="AE330" s="34"/>
      <c r="AF330" s="34"/>
      <c r="AG330" s="34"/>
      <c r="AH330" s="35"/>
    </row>
    <row r="331" spans="1:34" ht="21" customHeight="1">
      <c r="A331" s="358" t="s">
        <v>75</v>
      </c>
      <c r="B331" s="359"/>
      <c r="C331" s="359"/>
      <c r="D331" s="359"/>
      <c r="E331" s="359"/>
      <c r="F331" s="359"/>
      <c r="G331" s="359"/>
      <c r="H331" s="359"/>
      <c r="I331" s="359"/>
      <c r="J331" s="359"/>
      <c r="K331" s="359"/>
      <c r="L331" s="359"/>
      <c r="M331" s="359"/>
      <c r="N331" s="359"/>
      <c r="O331" s="359"/>
      <c r="P331" s="359"/>
      <c r="Q331" s="360"/>
      <c r="R331" s="33"/>
      <c r="S331" s="34"/>
      <c r="T331" s="34"/>
      <c r="U331" s="34"/>
      <c r="V331" s="34"/>
      <c r="W331" s="191"/>
      <c r="X331" s="191"/>
      <c r="Y331" s="191"/>
      <c r="Z331" s="191"/>
      <c r="AA331" s="191"/>
      <c r="AB331" s="34"/>
      <c r="AC331" s="34"/>
      <c r="AD331" s="34"/>
      <c r="AE331" s="34"/>
      <c r="AF331" s="34"/>
      <c r="AG331" s="34"/>
      <c r="AH331" s="35"/>
    </row>
    <row r="332" spans="1:34" ht="21" customHeight="1">
      <c r="A332" s="161">
        <v>1</v>
      </c>
      <c r="B332" s="324" t="s">
        <v>83</v>
      </c>
      <c r="C332" s="324"/>
      <c r="D332" s="324"/>
      <c r="E332" s="324"/>
      <c r="F332" s="324"/>
      <c r="G332" s="324"/>
      <c r="H332" s="356">
        <f>VLOOKUP(AI313,'3b'!A:AG,19,0)</f>
        <v>98</v>
      </c>
      <c r="I332" s="356"/>
      <c r="J332" s="178">
        <f t="shared" ref="J332:J337" si="25">H332</f>
        <v>98</v>
      </c>
      <c r="K332" s="293" t="s">
        <v>84</v>
      </c>
      <c r="L332" s="294"/>
      <c r="M332" s="294"/>
      <c r="N332" s="294"/>
      <c r="O332" s="294"/>
      <c r="P332" s="295"/>
      <c r="Q332" s="168">
        <v>1</v>
      </c>
      <c r="R332" s="312"/>
      <c r="S332" s="310"/>
      <c r="T332" s="310"/>
      <c r="U332" s="310"/>
      <c r="V332" s="310"/>
      <c r="W332" s="310"/>
      <c r="X332" s="310"/>
      <c r="Y332" s="310"/>
      <c r="Z332" s="310"/>
      <c r="AA332" s="310"/>
      <c r="AB332" s="34"/>
      <c r="AC332" s="34"/>
      <c r="AD332" s="34"/>
      <c r="AE332" s="34"/>
      <c r="AF332" s="34"/>
      <c r="AG332" s="34"/>
      <c r="AH332" s="35"/>
    </row>
    <row r="333" spans="1:34" ht="21" customHeight="1">
      <c r="A333" s="161">
        <v>2</v>
      </c>
      <c r="B333" s="288" t="s">
        <v>79</v>
      </c>
      <c r="C333" s="289"/>
      <c r="D333" s="289"/>
      <c r="E333" s="289"/>
      <c r="F333" s="289"/>
      <c r="G333" s="290"/>
      <c r="H333" s="317">
        <f>VLOOKUP(AI313,'3b'!A:AG,20,0)</f>
        <v>80</v>
      </c>
      <c r="I333" s="318"/>
      <c r="J333" s="178">
        <f t="shared" si="25"/>
        <v>80</v>
      </c>
      <c r="K333" s="293" t="s">
        <v>80</v>
      </c>
      <c r="L333" s="294"/>
      <c r="M333" s="294"/>
      <c r="N333" s="294"/>
      <c r="O333" s="294"/>
      <c r="P333" s="295"/>
      <c r="Q333" s="168">
        <v>2</v>
      </c>
      <c r="R333" s="315" t="s">
        <v>766</v>
      </c>
      <c r="S333" s="316"/>
      <c r="T333" s="316"/>
      <c r="U333" s="316"/>
      <c r="V333" s="316"/>
      <c r="W333" s="316"/>
      <c r="X333" s="316"/>
      <c r="Y333" s="316"/>
      <c r="Z333" s="316"/>
      <c r="AA333" s="316"/>
      <c r="AB333" s="308" t="s">
        <v>767</v>
      </c>
      <c r="AC333" s="308"/>
      <c r="AD333" s="308"/>
      <c r="AE333" s="308"/>
      <c r="AF333" s="308"/>
      <c r="AG333" s="308"/>
      <c r="AH333" s="309"/>
    </row>
    <row r="334" spans="1:34" ht="21" customHeight="1">
      <c r="A334" s="161">
        <v>3</v>
      </c>
      <c r="B334" s="288" t="s">
        <v>77</v>
      </c>
      <c r="C334" s="289"/>
      <c r="D334" s="289"/>
      <c r="E334" s="289"/>
      <c r="F334" s="289"/>
      <c r="G334" s="290"/>
      <c r="H334" s="317">
        <f>VLOOKUP(AI313,'3b'!A:AG,21,0)</f>
        <v>49</v>
      </c>
      <c r="I334" s="318"/>
      <c r="J334" s="178">
        <f t="shared" si="25"/>
        <v>49</v>
      </c>
      <c r="K334" s="293" t="s">
        <v>78</v>
      </c>
      <c r="L334" s="294"/>
      <c r="M334" s="294"/>
      <c r="N334" s="294"/>
      <c r="O334" s="294"/>
      <c r="P334" s="295"/>
      <c r="Q334" s="168">
        <v>3</v>
      </c>
      <c r="R334" s="32"/>
      <c r="S334" s="32"/>
      <c r="T334" s="32"/>
      <c r="U334" s="32"/>
      <c r="V334" s="32"/>
      <c r="W334" s="32"/>
      <c r="X334" s="32"/>
      <c r="Y334" s="32"/>
      <c r="Z334" s="32"/>
      <c r="AA334" s="32"/>
      <c r="AB334" s="32"/>
      <c r="AC334" s="32"/>
      <c r="AD334" s="32"/>
      <c r="AE334" s="32"/>
      <c r="AF334" s="32"/>
      <c r="AG334" s="32"/>
      <c r="AH334" s="32"/>
    </row>
    <row r="335" spans="1:34" ht="21" customHeight="1">
      <c r="A335" s="161">
        <v>4</v>
      </c>
      <c r="B335" s="288" t="s">
        <v>81</v>
      </c>
      <c r="C335" s="289"/>
      <c r="D335" s="289"/>
      <c r="E335" s="289"/>
      <c r="F335" s="289"/>
      <c r="G335" s="290"/>
      <c r="H335" s="356">
        <f>VLOOKUP(AI313,'3b'!A:AG,22,0)</f>
        <v>90</v>
      </c>
      <c r="I335" s="356"/>
      <c r="J335" s="178">
        <f t="shared" si="25"/>
        <v>90</v>
      </c>
      <c r="K335" s="293" t="s">
        <v>82</v>
      </c>
      <c r="L335" s="294"/>
      <c r="M335" s="294"/>
      <c r="N335" s="294"/>
      <c r="O335" s="294"/>
      <c r="P335" s="295"/>
      <c r="Q335" s="168">
        <v>4</v>
      </c>
      <c r="R335" s="32"/>
      <c r="S335" s="32"/>
      <c r="T335" s="32"/>
      <c r="U335" s="32"/>
      <c r="V335" s="32"/>
      <c r="W335" s="32"/>
      <c r="X335" s="32"/>
      <c r="Y335" s="32"/>
      <c r="Z335" s="32"/>
      <c r="AA335" s="32"/>
      <c r="AB335" s="32"/>
      <c r="AC335" s="32"/>
      <c r="AD335" s="32"/>
      <c r="AE335" s="32"/>
      <c r="AF335" s="32"/>
      <c r="AG335" s="32"/>
      <c r="AH335" s="32"/>
    </row>
    <row r="336" spans="1:34" ht="21" customHeight="1">
      <c r="A336" s="161">
        <v>5</v>
      </c>
      <c r="B336" s="324" t="s">
        <v>147</v>
      </c>
      <c r="C336" s="324"/>
      <c r="D336" s="324"/>
      <c r="E336" s="324"/>
      <c r="F336" s="324"/>
      <c r="G336" s="324"/>
      <c r="H336" s="356">
        <f>VLOOKUP(AI313,'3b'!A:AG,23,0)</f>
        <v>78</v>
      </c>
      <c r="I336" s="356"/>
      <c r="J336" s="178">
        <f t="shared" si="25"/>
        <v>78</v>
      </c>
      <c r="K336" s="293" t="s">
        <v>84</v>
      </c>
      <c r="L336" s="294"/>
      <c r="M336" s="294"/>
      <c r="N336" s="294"/>
      <c r="O336" s="294"/>
      <c r="P336" s="295"/>
      <c r="Q336" s="168">
        <v>5</v>
      </c>
      <c r="R336" s="32"/>
      <c r="S336" s="32"/>
      <c r="T336" s="32"/>
      <c r="U336" s="32"/>
      <c r="V336" s="32"/>
      <c r="W336" s="32"/>
      <c r="X336" s="32"/>
      <c r="Y336" s="32"/>
      <c r="Z336" s="32"/>
      <c r="AA336" s="32"/>
      <c r="AB336" s="32"/>
      <c r="AC336" s="32"/>
      <c r="AD336" s="32"/>
      <c r="AE336" s="32"/>
      <c r="AF336" s="32"/>
      <c r="AG336" s="32"/>
      <c r="AH336" s="32"/>
    </row>
    <row r="337" spans="1:36" ht="21" customHeight="1">
      <c r="A337" s="161">
        <v>6</v>
      </c>
      <c r="B337" s="324" t="s">
        <v>148</v>
      </c>
      <c r="C337" s="324"/>
      <c r="D337" s="324"/>
      <c r="E337" s="324"/>
      <c r="F337" s="324"/>
      <c r="G337" s="324"/>
      <c r="H337" s="356">
        <f>VLOOKUP(AI313,'3b'!A:AG,24,0)</f>
        <v>70</v>
      </c>
      <c r="I337" s="356"/>
      <c r="J337" s="178">
        <f t="shared" si="25"/>
        <v>70</v>
      </c>
      <c r="K337" s="293" t="s">
        <v>149</v>
      </c>
      <c r="L337" s="294"/>
      <c r="M337" s="294"/>
      <c r="N337" s="294"/>
      <c r="O337" s="294"/>
      <c r="P337" s="295"/>
      <c r="Q337" s="168">
        <v>6</v>
      </c>
    </row>
    <row r="338" spans="1:36" ht="21" customHeight="1">
      <c r="A338" s="357" t="s">
        <v>62</v>
      </c>
      <c r="B338" s="357"/>
      <c r="C338" s="357"/>
      <c r="D338" s="357"/>
      <c r="E338" s="357"/>
      <c r="F338" s="357"/>
      <c r="G338" s="357"/>
      <c r="H338" s="317">
        <f>SUM(H332:I337)</f>
        <v>465</v>
      </c>
      <c r="I338" s="318"/>
      <c r="J338" s="178">
        <f t="shared" ref="J338:J339" si="26">H338</f>
        <v>465</v>
      </c>
      <c r="K338" s="293" t="s">
        <v>63</v>
      </c>
      <c r="L338" s="294"/>
      <c r="M338" s="294"/>
      <c r="N338" s="294"/>
      <c r="O338" s="294"/>
      <c r="P338" s="294"/>
      <c r="Q338" s="295"/>
    </row>
    <row r="339" spans="1:36" ht="21" customHeight="1">
      <c r="A339" s="357" t="s">
        <v>65</v>
      </c>
      <c r="B339" s="357"/>
      <c r="C339" s="357"/>
      <c r="D339" s="357"/>
      <c r="E339" s="357"/>
      <c r="F339" s="357"/>
      <c r="G339" s="357"/>
      <c r="H339" s="291">
        <f>AVERAGE(H332:I337)</f>
        <v>77.5</v>
      </c>
      <c r="I339" s="292"/>
      <c r="J339" s="179">
        <f t="shared" si="26"/>
        <v>77.5</v>
      </c>
      <c r="K339" s="293" t="s">
        <v>66</v>
      </c>
      <c r="L339" s="294"/>
      <c r="M339" s="294"/>
      <c r="N339" s="294"/>
      <c r="O339" s="294"/>
      <c r="P339" s="294"/>
      <c r="Q339" s="295"/>
    </row>
    <row r="340" spans="1:36" ht="21" customHeight="1">
      <c r="A340" s="34"/>
      <c r="B340" s="34"/>
      <c r="C340" s="34"/>
      <c r="D340" s="34"/>
      <c r="E340" s="34"/>
      <c r="F340" s="34"/>
      <c r="G340" s="34"/>
      <c r="H340" s="34"/>
      <c r="I340" s="34"/>
      <c r="J340" s="34"/>
      <c r="K340" s="34"/>
      <c r="L340" s="34"/>
      <c r="M340" s="34"/>
      <c r="N340" s="31"/>
      <c r="O340" s="34"/>
      <c r="P340" s="34"/>
      <c r="Q340" s="34"/>
    </row>
    <row r="341" spans="1:36" ht="21" customHeight="1">
      <c r="A341" s="34"/>
      <c r="B341" s="34"/>
      <c r="C341" s="34"/>
      <c r="D341" s="34"/>
      <c r="E341" s="34"/>
      <c r="F341" s="34"/>
      <c r="G341" s="34"/>
      <c r="H341" s="34"/>
      <c r="I341" s="34"/>
      <c r="J341" s="34"/>
      <c r="K341" s="34"/>
      <c r="L341" s="34"/>
      <c r="M341" s="34"/>
      <c r="N341" s="31"/>
      <c r="O341" s="34"/>
      <c r="P341" s="34"/>
      <c r="Q341" s="34"/>
    </row>
    <row r="342" spans="1:36" ht="21" customHeight="1">
      <c r="A342" s="34"/>
      <c r="B342" s="34"/>
      <c r="C342" s="34"/>
      <c r="D342" s="34"/>
      <c r="E342" s="34"/>
      <c r="F342" s="34"/>
      <c r="G342" s="34"/>
      <c r="H342" s="34"/>
      <c r="I342" s="34"/>
      <c r="J342" s="34"/>
      <c r="K342" s="34"/>
      <c r="L342" s="34"/>
      <c r="M342" s="34"/>
      <c r="N342" s="31"/>
      <c r="O342" s="34"/>
      <c r="P342" s="34"/>
      <c r="Q342" s="34"/>
    </row>
    <row r="343" spans="1:36" s="22" customFormat="1" ht="21" customHeight="1">
      <c r="A343" s="343" t="s">
        <v>0</v>
      </c>
      <c r="B343" s="344"/>
      <c r="C343" s="153" t="s">
        <v>1</v>
      </c>
      <c r="D343" s="344" t="str">
        <f>VLOOKUP(AI346,'3c'!A:AG,3,0)</f>
        <v>Muhammad Azkiya Aulia</v>
      </c>
      <c r="E343" s="344"/>
      <c r="F343" s="344"/>
      <c r="G343" s="344"/>
      <c r="H343" s="344"/>
      <c r="I343" s="344"/>
      <c r="J343" s="344"/>
      <c r="K343" s="344"/>
      <c r="L343" s="344"/>
      <c r="M343" s="344"/>
      <c r="N343" s="344"/>
      <c r="O343" s="344"/>
      <c r="P343" s="344"/>
      <c r="Q343" s="345"/>
      <c r="R343" s="343" t="s">
        <v>0</v>
      </c>
      <c r="S343" s="344"/>
      <c r="T343" s="153" t="s">
        <v>1</v>
      </c>
      <c r="U343" s="344" t="str">
        <f>D343</f>
        <v>Muhammad Azkiya Aulia</v>
      </c>
      <c r="V343" s="344"/>
      <c r="W343" s="344"/>
      <c r="X343" s="344"/>
      <c r="Y343" s="344"/>
      <c r="Z343" s="344"/>
      <c r="AA343" s="344"/>
      <c r="AB343" s="344"/>
      <c r="AC343" s="344"/>
      <c r="AD343" s="344"/>
      <c r="AE343" s="344"/>
      <c r="AF343" s="344"/>
      <c r="AG343" s="344"/>
      <c r="AH343" s="345"/>
    </row>
    <row r="344" spans="1:36" s="30" customFormat="1" ht="21" customHeight="1">
      <c r="A344" s="346" t="s">
        <v>2</v>
      </c>
      <c r="B344" s="347"/>
      <c r="C344" s="154" t="s">
        <v>1</v>
      </c>
      <c r="D344" s="347" t="s">
        <v>115</v>
      </c>
      <c r="E344" s="347"/>
      <c r="F344" s="347"/>
      <c r="G344" s="347"/>
      <c r="H344" s="347"/>
      <c r="I344" s="347"/>
      <c r="J344" s="159" t="s">
        <v>3</v>
      </c>
      <c r="K344" s="347">
        <f>VLOOKUP(AI346,'3c'!A:AG,2,0)</f>
        <v>21220130</v>
      </c>
      <c r="L344" s="347"/>
      <c r="M344" s="347"/>
      <c r="N344" s="347"/>
      <c r="O344" s="347"/>
      <c r="P344" s="347"/>
      <c r="Q344" s="348"/>
      <c r="R344" s="346" t="s">
        <v>2</v>
      </c>
      <c r="S344" s="347"/>
      <c r="T344" s="154" t="s">
        <v>1</v>
      </c>
      <c r="U344" s="347" t="str">
        <f>D344</f>
        <v>3-C</v>
      </c>
      <c r="V344" s="347"/>
      <c r="W344" s="347"/>
      <c r="X344" s="347"/>
      <c r="Y344" s="347"/>
      <c r="Z344" s="347"/>
      <c r="AA344" s="159" t="s">
        <v>3</v>
      </c>
      <c r="AB344" s="347">
        <f>K344</f>
        <v>21220130</v>
      </c>
      <c r="AC344" s="347"/>
      <c r="AD344" s="347"/>
      <c r="AE344" s="347"/>
      <c r="AF344" s="347"/>
      <c r="AG344" s="347"/>
      <c r="AH344" s="348"/>
      <c r="AJ344"/>
    </row>
    <row r="345" spans="1:36" ht="21" customHeight="1">
      <c r="A345" s="343" t="s">
        <v>4</v>
      </c>
      <c r="B345" s="344"/>
      <c r="C345" s="153" t="s">
        <v>1</v>
      </c>
      <c r="D345" s="304" t="str">
        <f>DASHBOARD!$H$11</f>
        <v>2025/2026</v>
      </c>
      <c r="E345" s="304"/>
      <c r="F345" s="304"/>
      <c r="G345" s="304"/>
      <c r="H345" s="304"/>
      <c r="I345" s="304"/>
      <c r="J345" s="304"/>
      <c r="K345" s="304"/>
      <c r="L345" s="304"/>
      <c r="M345" s="304"/>
      <c r="N345" s="304"/>
      <c r="O345" s="304"/>
      <c r="P345" s="304"/>
      <c r="Q345" s="349"/>
      <c r="R345" s="330" t="s">
        <v>5</v>
      </c>
      <c r="S345" s="331"/>
      <c r="T345" s="331"/>
      <c r="U345" s="331"/>
      <c r="V345" s="331"/>
      <c r="W345" s="331"/>
      <c r="X345" s="332"/>
      <c r="Y345" s="333" t="s">
        <v>6</v>
      </c>
      <c r="Z345" s="334"/>
      <c r="AA345" s="337" t="s">
        <v>7</v>
      </c>
      <c r="AB345" s="330" t="s">
        <v>8</v>
      </c>
      <c r="AC345" s="331"/>
      <c r="AD345" s="331"/>
      <c r="AE345" s="331"/>
      <c r="AF345" s="331"/>
      <c r="AG345" s="331"/>
      <c r="AH345" s="332"/>
      <c r="AI345" s="50" t="s">
        <v>9</v>
      </c>
    </row>
    <row r="346" spans="1:36" ht="21" customHeight="1">
      <c r="A346" s="303" t="s">
        <v>10</v>
      </c>
      <c r="B346" s="304"/>
      <c r="C346" s="160" t="s">
        <v>1</v>
      </c>
      <c r="D346" s="350" t="str">
        <f>DASHBOARD!$H$12</f>
        <v>1 (Satu)</v>
      </c>
      <c r="E346" s="350"/>
      <c r="F346" s="350"/>
      <c r="G346" s="350"/>
      <c r="H346" s="350"/>
      <c r="I346" s="351"/>
      <c r="J346" s="352" t="str">
        <f>DASHBOARD!$I$12</f>
        <v>الأول</v>
      </c>
      <c r="K346" s="353"/>
      <c r="L346" s="353"/>
      <c r="M346" s="353"/>
      <c r="N346" s="160" t="s">
        <v>1</v>
      </c>
      <c r="O346" s="354" t="s">
        <v>11</v>
      </c>
      <c r="P346" s="354"/>
      <c r="Q346" s="355"/>
      <c r="R346" s="339" t="s">
        <v>12</v>
      </c>
      <c r="S346" s="340"/>
      <c r="T346" s="340"/>
      <c r="U346" s="340"/>
      <c r="V346" s="340"/>
      <c r="W346" s="340"/>
      <c r="X346" s="341"/>
      <c r="Y346" s="335"/>
      <c r="Z346" s="336"/>
      <c r="AA346" s="338"/>
      <c r="AB346" s="339" t="s">
        <v>13</v>
      </c>
      <c r="AC346" s="340"/>
      <c r="AD346" s="340"/>
      <c r="AE346" s="340"/>
      <c r="AF346" s="340"/>
      <c r="AG346" s="340"/>
      <c r="AH346" s="341"/>
      <c r="AI346" s="51">
        <v>28</v>
      </c>
    </row>
    <row r="347" spans="1:36" ht="21" customHeight="1">
      <c r="A347" s="330" t="s">
        <v>5</v>
      </c>
      <c r="B347" s="331"/>
      <c r="C347" s="331"/>
      <c r="D347" s="331"/>
      <c r="E347" s="331"/>
      <c r="F347" s="331"/>
      <c r="G347" s="332"/>
      <c r="H347" s="333" t="s">
        <v>6</v>
      </c>
      <c r="I347" s="334"/>
      <c r="J347" s="337" t="s">
        <v>7</v>
      </c>
      <c r="K347" s="330" t="s">
        <v>8</v>
      </c>
      <c r="L347" s="331"/>
      <c r="M347" s="331"/>
      <c r="N347" s="331"/>
      <c r="O347" s="331"/>
      <c r="P347" s="331"/>
      <c r="Q347" s="332"/>
      <c r="R347" s="161">
        <v>1</v>
      </c>
      <c r="S347" s="288" t="s">
        <v>103</v>
      </c>
      <c r="T347" s="289"/>
      <c r="U347" s="289"/>
      <c r="V347" s="289"/>
      <c r="W347" s="289"/>
      <c r="X347" s="290"/>
      <c r="Y347" s="361">
        <f>VLOOKUP(AI346,'3c'!A:AG,15,0)</f>
        <v>55</v>
      </c>
      <c r="Z347" s="362"/>
      <c r="AA347" s="168">
        <f>Y347</f>
        <v>55</v>
      </c>
      <c r="AB347" s="293" t="s">
        <v>104</v>
      </c>
      <c r="AC347" s="294"/>
      <c r="AD347" s="294"/>
      <c r="AE347" s="294"/>
      <c r="AF347" s="294"/>
      <c r="AG347" s="295"/>
      <c r="AH347" s="168">
        <v>1</v>
      </c>
    </row>
    <row r="348" spans="1:36" ht="21" customHeight="1">
      <c r="A348" s="339" t="s">
        <v>16</v>
      </c>
      <c r="B348" s="340"/>
      <c r="C348" s="340"/>
      <c r="D348" s="340"/>
      <c r="E348" s="340"/>
      <c r="F348" s="340"/>
      <c r="G348" s="341"/>
      <c r="H348" s="335"/>
      <c r="I348" s="336"/>
      <c r="J348" s="338"/>
      <c r="K348" s="339" t="s">
        <v>17</v>
      </c>
      <c r="L348" s="340"/>
      <c r="M348" s="340"/>
      <c r="N348" s="340"/>
      <c r="O348" s="340"/>
      <c r="P348" s="340"/>
      <c r="Q348" s="341"/>
      <c r="R348" s="161">
        <v>2</v>
      </c>
      <c r="S348" s="324" t="s">
        <v>14</v>
      </c>
      <c r="T348" s="324"/>
      <c r="U348" s="324"/>
      <c r="V348" s="324"/>
      <c r="W348" s="324"/>
      <c r="X348" s="324"/>
      <c r="Y348" s="361">
        <f>VLOOKUP(AI346,'3c'!A:AG,16,0)</f>
        <v>60</v>
      </c>
      <c r="Z348" s="362"/>
      <c r="AA348" s="168">
        <f>Y348</f>
        <v>60</v>
      </c>
      <c r="AB348" s="293" t="s">
        <v>15</v>
      </c>
      <c r="AC348" s="294"/>
      <c r="AD348" s="294"/>
      <c r="AE348" s="294"/>
      <c r="AF348" s="294"/>
      <c r="AG348" s="295"/>
      <c r="AH348" s="168">
        <v>2</v>
      </c>
    </row>
    <row r="349" spans="1:36" ht="21" customHeight="1">
      <c r="A349" s="161">
        <v>1</v>
      </c>
      <c r="B349" s="288" t="s">
        <v>22</v>
      </c>
      <c r="C349" s="289"/>
      <c r="D349" s="289"/>
      <c r="E349" s="289"/>
      <c r="F349" s="289"/>
      <c r="G349" s="290"/>
      <c r="H349" s="317">
        <f>VLOOKUP(AI346,'3c'!A:AG,4,0)</f>
        <v>67</v>
      </c>
      <c r="I349" s="318"/>
      <c r="J349" s="168">
        <f>H349</f>
        <v>67</v>
      </c>
      <c r="K349" s="293" t="s">
        <v>23</v>
      </c>
      <c r="L349" s="294"/>
      <c r="M349" s="294"/>
      <c r="N349" s="294"/>
      <c r="O349" s="294"/>
      <c r="P349" s="295"/>
      <c r="Q349" s="168">
        <v>1</v>
      </c>
      <c r="R349" s="161">
        <v>3</v>
      </c>
      <c r="S349" s="288" t="s">
        <v>120</v>
      </c>
      <c r="T349" s="289"/>
      <c r="U349" s="289"/>
      <c r="V349" s="289"/>
      <c r="W349" s="289"/>
      <c r="X349" s="290"/>
      <c r="Y349" s="361">
        <f>VLOOKUP(AI346,'3c'!A:AG,17,0)</f>
        <v>80</v>
      </c>
      <c r="Z349" s="362"/>
      <c r="AA349" s="168">
        <f>Y349</f>
        <v>80</v>
      </c>
      <c r="AB349" s="293" t="s">
        <v>46</v>
      </c>
      <c r="AC349" s="294"/>
      <c r="AD349" s="294"/>
      <c r="AE349" s="294"/>
      <c r="AF349" s="294"/>
      <c r="AG349" s="295"/>
      <c r="AH349" s="168">
        <v>3</v>
      </c>
    </row>
    <row r="350" spans="1:36" ht="21" customHeight="1">
      <c r="A350" s="161">
        <v>2</v>
      </c>
      <c r="B350" s="288" t="s">
        <v>55</v>
      </c>
      <c r="C350" s="289"/>
      <c r="D350" s="289"/>
      <c r="E350" s="289"/>
      <c r="F350" s="289"/>
      <c r="G350" s="290"/>
      <c r="H350" s="317">
        <f>VLOOKUP(AI346,'3c'!A:AG,5,0)</f>
        <v>49</v>
      </c>
      <c r="I350" s="318"/>
      <c r="J350" s="168">
        <f>H350</f>
        <v>49</v>
      </c>
      <c r="K350" s="293" t="s">
        <v>56</v>
      </c>
      <c r="L350" s="294"/>
      <c r="M350" s="294"/>
      <c r="N350" s="294"/>
      <c r="O350" s="294"/>
      <c r="P350" s="295"/>
      <c r="Q350" s="168">
        <v>2</v>
      </c>
      <c r="R350" s="161">
        <v>4</v>
      </c>
      <c r="S350" s="324" t="s">
        <v>121</v>
      </c>
      <c r="T350" s="324"/>
      <c r="U350" s="324"/>
      <c r="V350" s="324"/>
      <c r="W350" s="324"/>
      <c r="X350" s="324"/>
      <c r="Y350" s="361">
        <f>VLOOKUP(AI346,'3c'!A:AG,18,0)</f>
        <v>60</v>
      </c>
      <c r="Z350" s="362"/>
      <c r="AA350" s="168">
        <f>Y350</f>
        <v>60</v>
      </c>
      <c r="AB350" s="293" t="s">
        <v>35</v>
      </c>
      <c r="AC350" s="294"/>
      <c r="AD350" s="294"/>
      <c r="AE350" s="294"/>
      <c r="AF350" s="294"/>
      <c r="AG350" s="295"/>
      <c r="AH350" s="168">
        <v>4</v>
      </c>
    </row>
    <row r="351" spans="1:36" ht="21" customHeight="1">
      <c r="A351" s="161">
        <v>3</v>
      </c>
      <c r="B351" s="324" t="s">
        <v>30</v>
      </c>
      <c r="C351" s="324"/>
      <c r="D351" s="324"/>
      <c r="E351" s="324"/>
      <c r="F351" s="324"/>
      <c r="G351" s="324"/>
      <c r="H351" s="317">
        <f>VLOOKUP(AI346,'3c'!A:AG,6,0)</f>
        <v>40</v>
      </c>
      <c r="I351" s="318"/>
      <c r="J351" s="168">
        <f t="shared" ref="J351:J359" si="27">H351</f>
        <v>40</v>
      </c>
      <c r="K351" s="293" t="s">
        <v>31</v>
      </c>
      <c r="L351" s="294"/>
      <c r="M351" s="294"/>
      <c r="N351" s="294"/>
      <c r="O351" s="294"/>
      <c r="P351" s="295"/>
      <c r="Q351" s="168">
        <v>3</v>
      </c>
      <c r="R351" s="299" t="s">
        <v>768</v>
      </c>
      <c r="S351" s="300"/>
      <c r="T351" s="300"/>
      <c r="U351" s="300"/>
      <c r="V351" s="301"/>
      <c r="W351" s="328" t="s">
        <v>28</v>
      </c>
      <c r="X351" s="328"/>
      <c r="Y351" s="328"/>
      <c r="Z351" s="328"/>
      <c r="AA351" s="328"/>
      <c r="AB351" s="329"/>
      <c r="AC351" s="327" t="s">
        <v>29</v>
      </c>
      <c r="AD351" s="328"/>
      <c r="AE351" s="328"/>
      <c r="AF351" s="328"/>
      <c r="AG351" s="328"/>
      <c r="AH351" s="329"/>
    </row>
    <row r="352" spans="1:36" ht="21" customHeight="1">
      <c r="A352" s="161">
        <v>4</v>
      </c>
      <c r="B352" s="324" t="s">
        <v>34</v>
      </c>
      <c r="C352" s="324"/>
      <c r="D352" s="324"/>
      <c r="E352" s="324"/>
      <c r="F352" s="324"/>
      <c r="G352" s="324"/>
      <c r="H352" s="317">
        <f>VLOOKUP(AI346,'3c'!A:AG,7,0)</f>
        <v>70</v>
      </c>
      <c r="I352" s="318"/>
      <c r="J352" s="168">
        <f t="shared" si="27"/>
        <v>70</v>
      </c>
      <c r="K352" s="293" t="s">
        <v>35</v>
      </c>
      <c r="L352" s="294"/>
      <c r="M352" s="294"/>
      <c r="N352" s="294"/>
      <c r="O352" s="294"/>
      <c r="P352" s="295"/>
      <c r="Q352" s="168">
        <v>4</v>
      </c>
      <c r="R352" s="319" t="s">
        <v>32</v>
      </c>
      <c r="S352" s="320"/>
      <c r="T352" s="320"/>
      <c r="U352" s="180" t="s">
        <v>1</v>
      </c>
      <c r="V352" s="181" t="str">
        <f>VLOOKUP(AI346,'3c'!A:AG,28,0)</f>
        <v>C</v>
      </c>
      <c r="W352" s="321" t="s">
        <v>33</v>
      </c>
      <c r="X352" s="322"/>
      <c r="Y352" s="322"/>
      <c r="Z352" s="322"/>
      <c r="AA352" s="322"/>
      <c r="AB352" s="323"/>
      <c r="AC352" s="296" t="s">
        <v>33</v>
      </c>
      <c r="AD352" s="297"/>
      <c r="AE352" s="297"/>
      <c r="AF352" s="297"/>
      <c r="AG352" s="297"/>
      <c r="AH352" s="298"/>
    </row>
    <row r="353" spans="1:34" ht="21" customHeight="1">
      <c r="A353" s="161">
        <v>5</v>
      </c>
      <c r="B353" s="288" t="s">
        <v>49</v>
      </c>
      <c r="C353" s="289"/>
      <c r="D353" s="289"/>
      <c r="E353" s="289"/>
      <c r="F353" s="289"/>
      <c r="G353" s="290"/>
      <c r="H353" s="317">
        <f>VLOOKUP(AI346,'3c'!A:AG,8,0)</f>
        <v>47</v>
      </c>
      <c r="I353" s="318"/>
      <c r="J353" s="168">
        <f t="shared" si="27"/>
        <v>47</v>
      </c>
      <c r="K353" s="293" t="s">
        <v>50</v>
      </c>
      <c r="L353" s="294"/>
      <c r="M353" s="294"/>
      <c r="N353" s="294"/>
      <c r="O353" s="294"/>
      <c r="P353" s="295"/>
      <c r="Q353" s="168">
        <v>5</v>
      </c>
      <c r="R353" s="319" t="s">
        <v>36</v>
      </c>
      <c r="S353" s="320"/>
      <c r="T353" s="320"/>
      <c r="U353" s="180" t="s">
        <v>1</v>
      </c>
      <c r="V353" s="181" t="str">
        <f>VLOOKUP(AI346,'3c'!A:AG,29,0)</f>
        <v>C</v>
      </c>
      <c r="W353" s="13"/>
      <c r="X353" s="14"/>
      <c r="Y353" s="14"/>
      <c r="Z353" s="14"/>
      <c r="AA353" s="14"/>
      <c r="AB353" s="15"/>
      <c r="AC353" s="16"/>
      <c r="AH353" s="17"/>
    </row>
    <row r="354" spans="1:34" ht="21" customHeight="1">
      <c r="A354" s="161">
        <v>6</v>
      </c>
      <c r="B354" s="324" t="s">
        <v>105</v>
      </c>
      <c r="C354" s="324"/>
      <c r="D354" s="324"/>
      <c r="E354" s="324"/>
      <c r="F354" s="324"/>
      <c r="G354" s="324"/>
      <c r="H354" s="317">
        <f>VLOOKUP(AI346,'3c'!A:AG,9,0)</f>
        <v>53</v>
      </c>
      <c r="I354" s="318"/>
      <c r="J354" s="168">
        <f t="shared" si="27"/>
        <v>53</v>
      </c>
      <c r="K354" s="293" t="s">
        <v>106</v>
      </c>
      <c r="L354" s="294"/>
      <c r="M354" s="294"/>
      <c r="N354" s="294"/>
      <c r="O354" s="294"/>
      <c r="P354" s="295"/>
      <c r="Q354" s="168">
        <v>6</v>
      </c>
      <c r="R354" s="325" t="s">
        <v>39</v>
      </c>
      <c r="S354" s="326"/>
      <c r="T354" s="326"/>
      <c r="U354" s="182" t="s">
        <v>1</v>
      </c>
      <c r="V354" s="183" t="str">
        <f>VLOOKUP(AI346,'3c'!A:AG,30,0)</f>
        <v>C</v>
      </c>
      <c r="W354" s="16"/>
      <c r="AB354" s="17"/>
      <c r="AC354" s="16"/>
      <c r="AH354" s="17"/>
    </row>
    <row r="355" spans="1:34" ht="21" customHeight="1">
      <c r="A355" s="161">
        <v>7</v>
      </c>
      <c r="B355" s="324" t="s">
        <v>14</v>
      </c>
      <c r="C355" s="324"/>
      <c r="D355" s="324"/>
      <c r="E355" s="324"/>
      <c r="F355" s="324"/>
      <c r="G355" s="324"/>
      <c r="H355" s="367">
        <f>VLOOKUP(AI346,'3c'!A:AG,10,0)</f>
        <v>49</v>
      </c>
      <c r="I355" s="368"/>
      <c r="J355" s="197">
        <f t="shared" si="27"/>
        <v>49</v>
      </c>
      <c r="K355" s="293" t="s">
        <v>15</v>
      </c>
      <c r="L355" s="294"/>
      <c r="M355" s="294"/>
      <c r="N355" s="294"/>
      <c r="O355" s="294"/>
      <c r="P355" s="295"/>
      <c r="Q355" s="168">
        <v>7</v>
      </c>
      <c r="R355" s="327" t="s">
        <v>42</v>
      </c>
      <c r="S355" s="328"/>
      <c r="T355" s="328"/>
      <c r="U355" s="328"/>
      <c r="V355" s="329"/>
      <c r="W355" s="16"/>
      <c r="AB355" s="17"/>
      <c r="AC355" s="307" t="str">
        <f>DASHBOARD!H26</f>
        <v>Mu'allim Muwaffaq</v>
      </c>
      <c r="AD355" s="308"/>
      <c r="AE355" s="308"/>
      <c r="AF355" s="308"/>
      <c r="AG355" s="308"/>
      <c r="AH355" s="309"/>
    </row>
    <row r="356" spans="1:34" ht="21" customHeight="1">
      <c r="A356" s="161">
        <v>8</v>
      </c>
      <c r="B356" s="324" t="s">
        <v>45</v>
      </c>
      <c r="C356" s="324"/>
      <c r="D356" s="324"/>
      <c r="E356" s="324"/>
      <c r="F356" s="324"/>
      <c r="G356" s="324"/>
      <c r="H356" s="317">
        <f>VLOOKUP(AI346,'3c'!A:AG,11,0)</f>
        <v>49</v>
      </c>
      <c r="I356" s="318"/>
      <c r="J356" s="168">
        <f t="shared" si="27"/>
        <v>49</v>
      </c>
      <c r="K356" s="293" t="s">
        <v>46</v>
      </c>
      <c r="L356" s="294"/>
      <c r="M356" s="294"/>
      <c r="N356" s="294"/>
      <c r="O356" s="294"/>
      <c r="P356" s="295"/>
      <c r="Q356" s="168">
        <v>8</v>
      </c>
      <c r="R356" s="296" t="s">
        <v>43</v>
      </c>
      <c r="S356" s="297"/>
      <c r="T356" s="297"/>
      <c r="U356" s="297"/>
      <c r="V356" s="298"/>
      <c r="W356" s="16"/>
      <c r="AB356" s="17"/>
      <c r="AC356" s="299" t="s">
        <v>44</v>
      </c>
      <c r="AD356" s="300"/>
      <c r="AE356" s="300"/>
      <c r="AF356" s="300"/>
      <c r="AG356" s="300"/>
      <c r="AH356" s="301"/>
    </row>
    <row r="357" spans="1:34" ht="21" customHeight="1">
      <c r="A357" s="161">
        <v>9</v>
      </c>
      <c r="B357" s="288" t="s">
        <v>108</v>
      </c>
      <c r="C357" s="289"/>
      <c r="D357" s="289"/>
      <c r="E357" s="289"/>
      <c r="F357" s="289"/>
      <c r="G357" s="290"/>
      <c r="H357" s="317">
        <f>VLOOKUP(AI346,'3c'!A:AG,12,0)</f>
        <v>40</v>
      </c>
      <c r="I357" s="318"/>
      <c r="J357" s="168">
        <f t="shared" si="27"/>
        <v>40</v>
      </c>
      <c r="K357" s="293" t="s">
        <v>109</v>
      </c>
      <c r="L357" s="294"/>
      <c r="M357" s="294"/>
      <c r="N357" s="294"/>
      <c r="O357" s="294"/>
      <c r="P357" s="295"/>
      <c r="Q357" s="168">
        <v>9</v>
      </c>
      <c r="R357" s="184" t="s">
        <v>47</v>
      </c>
      <c r="S357" s="185"/>
      <c r="T357" s="180" t="s">
        <v>1</v>
      </c>
      <c r="U357" s="180">
        <f>VLOOKUP(AI346,'3c'!A:AG,31,0)</f>
        <v>69</v>
      </c>
      <c r="V357" s="181" t="s">
        <v>48</v>
      </c>
      <c r="W357" s="16"/>
      <c r="AB357" s="17"/>
      <c r="AC357" s="16"/>
      <c r="AH357" s="17"/>
    </row>
    <row r="358" spans="1:34" ht="21" customHeight="1">
      <c r="A358" s="161">
        <v>10</v>
      </c>
      <c r="B358" s="288" t="s">
        <v>110</v>
      </c>
      <c r="C358" s="289"/>
      <c r="D358" s="289"/>
      <c r="E358" s="289"/>
      <c r="F358" s="289"/>
      <c r="G358" s="290"/>
      <c r="H358" s="317">
        <f>VLOOKUP(AI346,'3c'!A:AG,13,0)</f>
        <v>41</v>
      </c>
      <c r="I358" s="318"/>
      <c r="J358" s="168">
        <f>H358</f>
        <v>41</v>
      </c>
      <c r="K358" s="342" t="s">
        <v>116</v>
      </c>
      <c r="L358" s="342"/>
      <c r="M358" s="342"/>
      <c r="N358" s="342"/>
      <c r="O358" s="342"/>
      <c r="P358" s="342"/>
      <c r="Q358" s="168">
        <v>10</v>
      </c>
      <c r="R358" s="184" t="s">
        <v>51</v>
      </c>
      <c r="S358" s="185"/>
      <c r="T358" s="180" t="s">
        <v>1</v>
      </c>
      <c r="U358" s="180">
        <f>VLOOKUP(AI346,'3c'!A:AG,32,0)</f>
        <v>69</v>
      </c>
      <c r="V358" s="181" t="s">
        <v>48</v>
      </c>
      <c r="W358" s="21"/>
      <c r="X358" s="22"/>
      <c r="Y358" s="22"/>
      <c r="Z358" s="22"/>
      <c r="AA358" s="22"/>
      <c r="AB358" s="23"/>
      <c r="AC358" s="16"/>
      <c r="AH358" s="17"/>
    </row>
    <row r="359" spans="1:34" ht="21" customHeight="1">
      <c r="A359" s="161">
        <v>11</v>
      </c>
      <c r="B359" s="288" t="s">
        <v>111</v>
      </c>
      <c r="C359" s="289"/>
      <c r="D359" s="289"/>
      <c r="E359" s="289"/>
      <c r="F359" s="289"/>
      <c r="G359" s="290"/>
      <c r="H359" s="317">
        <f>VLOOKUP(AI346,'3c'!A:AG,14,0)</f>
        <v>67</v>
      </c>
      <c r="I359" s="318"/>
      <c r="J359" s="168">
        <f t="shared" si="27"/>
        <v>67</v>
      </c>
      <c r="K359" s="293" t="s">
        <v>112</v>
      </c>
      <c r="L359" s="294"/>
      <c r="M359" s="294"/>
      <c r="N359" s="294"/>
      <c r="O359" s="294"/>
      <c r="P359" s="295"/>
      <c r="Q359" s="168">
        <v>11</v>
      </c>
      <c r="R359" s="186" t="s">
        <v>53</v>
      </c>
      <c r="S359" s="187"/>
      <c r="T359" s="182" t="s">
        <v>1</v>
      </c>
      <c r="U359" s="182">
        <f>VLOOKUP(AI346,'3c'!A:AG,33,0)</f>
        <v>2</v>
      </c>
      <c r="V359" s="183" t="s">
        <v>48</v>
      </c>
      <c r="W359" s="188"/>
      <c r="X359" s="189"/>
      <c r="Y359" s="189"/>
      <c r="Z359" s="189"/>
      <c r="AA359" s="189"/>
      <c r="AB359" s="190"/>
      <c r="AC359" s="307" t="s">
        <v>770</v>
      </c>
      <c r="AD359" s="308"/>
      <c r="AE359" s="308"/>
      <c r="AF359" s="308"/>
      <c r="AG359" s="308"/>
      <c r="AH359" s="309"/>
    </row>
    <row r="360" spans="1:34" ht="21" customHeight="1">
      <c r="A360" s="288" t="s">
        <v>62</v>
      </c>
      <c r="B360" s="289"/>
      <c r="C360" s="289"/>
      <c r="D360" s="289"/>
      <c r="E360" s="289"/>
      <c r="F360" s="289"/>
      <c r="G360" s="290"/>
      <c r="H360" s="317">
        <f>VLOOKUP(AI346,'3c'!A:AG,25,0)</f>
        <v>827</v>
      </c>
      <c r="I360" s="318"/>
      <c r="J360" s="168">
        <f>H360</f>
        <v>827</v>
      </c>
      <c r="K360" s="293" t="s">
        <v>63</v>
      </c>
      <c r="L360" s="294"/>
      <c r="M360" s="294"/>
      <c r="N360" s="294"/>
      <c r="O360" s="294"/>
      <c r="P360" s="294"/>
      <c r="Q360" s="295"/>
      <c r="R360" s="16"/>
      <c r="U360" t="s">
        <v>57</v>
      </c>
      <c r="AB360" s="310" t="str">
        <f>DASHBOARD!$H$13</f>
        <v>Sumedang, 05 September 2025</v>
      </c>
      <c r="AC360" s="310"/>
      <c r="AD360" s="310"/>
      <c r="AE360" s="310"/>
      <c r="AF360" s="310"/>
      <c r="AG360" s="310"/>
      <c r="AH360" s="311"/>
    </row>
    <row r="361" spans="1:34" ht="21" customHeight="1">
      <c r="A361" s="288" t="s">
        <v>65</v>
      </c>
      <c r="B361" s="289"/>
      <c r="C361" s="289"/>
      <c r="D361" s="289"/>
      <c r="E361" s="289"/>
      <c r="F361" s="289"/>
      <c r="G361" s="290"/>
      <c r="H361" s="291">
        <f>VLOOKUP(AI346,'3c'!A:AG,26,0)</f>
        <v>55.133333333333333</v>
      </c>
      <c r="I361" s="292"/>
      <c r="J361" s="172">
        <f>H361</f>
        <v>55.133333333333333</v>
      </c>
      <c r="K361" s="293" t="s">
        <v>66</v>
      </c>
      <c r="L361" s="294"/>
      <c r="M361" s="294"/>
      <c r="N361" s="294"/>
      <c r="O361" s="294"/>
      <c r="P361" s="294"/>
      <c r="Q361" s="295"/>
      <c r="R361" s="312" t="s">
        <v>60</v>
      </c>
      <c r="S361" s="310"/>
      <c r="T361" s="310"/>
      <c r="U361" s="310"/>
      <c r="V361" s="310"/>
      <c r="W361" s="310"/>
      <c r="X361" s="310"/>
      <c r="Y361" s="310"/>
      <c r="Z361" s="310"/>
      <c r="AA361" s="310"/>
      <c r="AB361" s="313" t="s">
        <v>61</v>
      </c>
      <c r="AC361" s="313"/>
      <c r="AD361" s="313"/>
      <c r="AE361" s="313"/>
      <c r="AF361" s="313"/>
      <c r="AG361" s="313"/>
      <c r="AH361" s="314"/>
    </row>
    <row r="362" spans="1:34" ht="21" customHeight="1">
      <c r="A362" s="288" t="s">
        <v>67</v>
      </c>
      <c r="B362" s="289"/>
      <c r="C362" s="289"/>
      <c r="D362" s="289"/>
      <c r="E362" s="199" t="s">
        <v>68</v>
      </c>
      <c r="F362" s="155" t="s">
        <v>69</v>
      </c>
      <c r="G362" s="164">
        <f>COUNT('3c'!B4:B32)</f>
        <v>29</v>
      </c>
      <c r="H362" s="164"/>
      <c r="I362" s="165"/>
      <c r="J362" s="173" t="s">
        <v>70</v>
      </c>
      <c r="K362" s="174"/>
      <c r="L362" s="175">
        <f>G362</f>
        <v>29</v>
      </c>
      <c r="M362" s="302" t="s">
        <v>71</v>
      </c>
      <c r="N362" s="302"/>
      <c r="O362" s="302"/>
      <c r="P362" s="176" t="str">
        <f>E362</f>
        <v>-</v>
      </c>
      <c r="Q362" s="177" t="s">
        <v>72</v>
      </c>
      <c r="R362" s="33"/>
      <c r="S362" s="34"/>
      <c r="T362" s="34"/>
      <c r="U362" s="34"/>
      <c r="V362" s="34"/>
      <c r="W362" s="34"/>
      <c r="X362" s="34"/>
      <c r="Y362" s="34"/>
      <c r="Z362" s="34"/>
      <c r="AA362" s="34"/>
      <c r="AB362" s="297" t="s">
        <v>64</v>
      </c>
      <c r="AC362" s="297"/>
      <c r="AD362" s="297"/>
      <c r="AE362" s="297"/>
      <c r="AF362" s="297"/>
      <c r="AG362" s="297"/>
      <c r="AH362" s="298"/>
    </row>
    <row r="363" spans="1:34" ht="21" customHeight="1">
      <c r="A363" s="303" t="s">
        <v>73</v>
      </c>
      <c r="B363" s="304"/>
      <c r="C363" s="304"/>
      <c r="D363" s="304"/>
      <c r="E363" s="304"/>
      <c r="F363" s="304"/>
      <c r="G363" s="304"/>
      <c r="H363" s="304"/>
      <c r="I363" s="7"/>
      <c r="J363" s="166"/>
      <c r="K363" s="195"/>
      <c r="L363" s="305" t="s">
        <v>74</v>
      </c>
      <c r="M363" s="305"/>
      <c r="N363" s="305"/>
      <c r="O363" s="305"/>
      <c r="P363" s="305"/>
      <c r="Q363" s="306"/>
      <c r="R363" s="33"/>
      <c r="S363" s="34"/>
      <c r="T363" s="34"/>
      <c r="U363" s="34"/>
      <c r="V363" s="34"/>
      <c r="W363" s="34"/>
      <c r="X363" s="34"/>
      <c r="Y363" s="34"/>
      <c r="Z363" s="34"/>
      <c r="AA363" s="34"/>
      <c r="AB363" s="34"/>
      <c r="AC363" s="34"/>
      <c r="AD363" s="34"/>
      <c r="AE363" s="34"/>
      <c r="AF363" s="34"/>
      <c r="AG363" s="34"/>
      <c r="AH363" s="35"/>
    </row>
    <row r="364" spans="1:34" ht="21" customHeight="1">
      <c r="A364" s="358" t="s">
        <v>75</v>
      </c>
      <c r="B364" s="359"/>
      <c r="C364" s="359"/>
      <c r="D364" s="359"/>
      <c r="E364" s="359"/>
      <c r="F364" s="359"/>
      <c r="G364" s="359"/>
      <c r="H364" s="359"/>
      <c r="I364" s="359"/>
      <c r="J364" s="359"/>
      <c r="K364" s="359"/>
      <c r="L364" s="359"/>
      <c r="M364" s="359"/>
      <c r="N364" s="359"/>
      <c r="O364" s="359"/>
      <c r="P364" s="359"/>
      <c r="Q364" s="360"/>
      <c r="R364" s="33"/>
      <c r="S364" s="34"/>
      <c r="T364" s="34"/>
      <c r="U364" s="34"/>
      <c r="V364" s="34"/>
      <c r="W364" s="191"/>
      <c r="X364" s="191"/>
      <c r="Y364" s="191"/>
      <c r="Z364" s="191"/>
      <c r="AA364" s="191"/>
      <c r="AB364" s="34"/>
      <c r="AC364" s="34"/>
      <c r="AD364" s="34"/>
      <c r="AE364" s="34"/>
      <c r="AF364" s="34"/>
      <c r="AG364" s="34"/>
      <c r="AH364" s="35"/>
    </row>
    <row r="365" spans="1:34" ht="21" customHeight="1">
      <c r="A365" s="161">
        <v>1</v>
      </c>
      <c r="B365" s="324" t="s">
        <v>83</v>
      </c>
      <c r="C365" s="324"/>
      <c r="D365" s="324"/>
      <c r="E365" s="324"/>
      <c r="F365" s="324"/>
      <c r="G365" s="324"/>
      <c r="H365" s="356">
        <f>VLOOKUP(AI346,'3c'!A:AG,19,0)</f>
        <v>98</v>
      </c>
      <c r="I365" s="356"/>
      <c r="J365" s="178">
        <f t="shared" ref="J365:J372" si="28">H365</f>
        <v>98</v>
      </c>
      <c r="K365" s="293" t="s">
        <v>84</v>
      </c>
      <c r="L365" s="294"/>
      <c r="M365" s="294"/>
      <c r="N365" s="294"/>
      <c r="O365" s="294"/>
      <c r="P365" s="295"/>
      <c r="Q365" s="168">
        <v>1</v>
      </c>
      <c r="R365" s="312"/>
      <c r="S365" s="310"/>
      <c r="T365" s="310"/>
      <c r="U365" s="310"/>
      <c r="V365" s="310"/>
      <c r="W365" s="310"/>
      <c r="X365" s="310"/>
      <c r="Y365" s="310"/>
      <c r="Z365" s="310"/>
      <c r="AA365" s="310"/>
      <c r="AB365" s="34"/>
      <c r="AC365" s="34"/>
      <c r="AD365" s="34"/>
      <c r="AE365" s="34"/>
      <c r="AF365" s="34"/>
      <c r="AG365" s="34"/>
      <c r="AH365" s="35"/>
    </row>
    <row r="366" spans="1:34" ht="21" customHeight="1">
      <c r="A366" s="161">
        <v>2</v>
      </c>
      <c r="B366" s="288" t="s">
        <v>79</v>
      </c>
      <c r="C366" s="289"/>
      <c r="D366" s="289"/>
      <c r="E366" s="289"/>
      <c r="F366" s="289"/>
      <c r="G366" s="290"/>
      <c r="H366" s="356">
        <f>VLOOKUP(AI346,'3c'!A:AG,20,0)</f>
        <v>78</v>
      </c>
      <c r="I366" s="356"/>
      <c r="J366" s="178">
        <f t="shared" si="28"/>
        <v>78</v>
      </c>
      <c r="K366" s="293" t="s">
        <v>80</v>
      </c>
      <c r="L366" s="294"/>
      <c r="M366" s="294"/>
      <c r="N366" s="294"/>
      <c r="O366" s="294"/>
      <c r="P366" s="295"/>
      <c r="Q366" s="168">
        <v>2</v>
      </c>
      <c r="R366" s="315" t="s">
        <v>766</v>
      </c>
      <c r="S366" s="316"/>
      <c r="T366" s="316"/>
      <c r="U366" s="316"/>
      <c r="V366" s="316"/>
      <c r="W366" s="316"/>
      <c r="X366" s="316"/>
      <c r="Y366" s="316"/>
      <c r="Z366" s="316"/>
      <c r="AA366" s="316"/>
      <c r="AB366" s="308" t="s">
        <v>767</v>
      </c>
      <c r="AC366" s="308"/>
      <c r="AD366" s="308"/>
      <c r="AE366" s="308"/>
      <c r="AF366" s="308"/>
      <c r="AG366" s="308"/>
      <c r="AH366" s="309"/>
    </row>
    <row r="367" spans="1:34" ht="21" customHeight="1">
      <c r="A367" s="161">
        <v>3</v>
      </c>
      <c r="B367" s="288" t="s">
        <v>77</v>
      </c>
      <c r="C367" s="289"/>
      <c r="D367" s="289"/>
      <c r="E367" s="289"/>
      <c r="F367" s="289"/>
      <c r="G367" s="290"/>
      <c r="H367" s="317">
        <f>VLOOKUP(AI346,'3c'!A:AG,21,0)</f>
        <v>40</v>
      </c>
      <c r="I367" s="318"/>
      <c r="J367" s="178">
        <f>H367</f>
        <v>40</v>
      </c>
      <c r="K367" s="293" t="s">
        <v>78</v>
      </c>
      <c r="L367" s="294"/>
      <c r="M367" s="294"/>
      <c r="N367" s="294"/>
      <c r="O367" s="294"/>
      <c r="P367" s="295"/>
      <c r="Q367" s="168">
        <v>3</v>
      </c>
      <c r="R367" s="32"/>
      <c r="S367" s="32"/>
      <c r="T367" s="32"/>
      <c r="U367" s="32"/>
      <c r="V367" s="32"/>
      <c r="W367" s="32"/>
      <c r="X367" s="32"/>
      <c r="Y367" s="32"/>
      <c r="Z367" s="32"/>
      <c r="AA367" s="32"/>
      <c r="AB367" s="32"/>
      <c r="AC367" s="32"/>
      <c r="AD367" s="32"/>
      <c r="AE367" s="32"/>
      <c r="AF367" s="32"/>
      <c r="AG367" s="32"/>
      <c r="AH367" s="32"/>
    </row>
    <row r="368" spans="1:34" ht="21" customHeight="1">
      <c r="A368" s="161">
        <v>4</v>
      </c>
      <c r="B368" s="288" t="s">
        <v>81</v>
      </c>
      <c r="C368" s="289"/>
      <c r="D368" s="289"/>
      <c r="E368" s="289"/>
      <c r="F368" s="289"/>
      <c r="G368" s="290"/>
      <c r="H368" s="317">
        <f>VLOOKUP(AI346,'3c'!A:AG,22,0)</f>
        <v>85</v>
      </c>
      <c r="I368" s="318"/>
      <c r="J368" s="178">
        <f>H368</f>
        <v>85</v>
      </c>
      <c r="K368" s="293" t="s">
        <v>82</v>
      </c>
      <c r="L368" s="294"/>
      <c r="M368" s="294"/>
      <c r="N368" s="294"/>
      <c r="O368" s="294"/>
      <c r="P368" s="295"/>
      <c r="Q368" s="168">
        <v>4</v>
      </c>
      <c r="R368" s="32"/>
      <c r="S368" s="32"/>
      <c r="T368" s="32"/>
      <c r="U368" s="32"/>
      <c r="V368" s="32"/>
      <c r="W368" s="32"/>
      <c r="X368" s="32"/>
      <c r="Y368" s="32"/>
      <c r="Z368" s="32"/>
      <c r="AA368" s="32"/>
      <c r="AB368" s="32"/>
      <c r="AC368" s="32"/>
      <c r="AD368" s="32"/>
      <c r="AE368" s="32"/>
      <c r="AF368" s="32"/>
      <c r="AG368" s="32"/>
      <c r="AH368" s="32"/>
    </row>
    <row r="369" spans="1:36" ht="21" customHeight="1">
      <c r="A369" s="161">
        <v>5</v>
      </c>
      <c r="B369" s="324" t="s">
        <v>147</v>
      </c>
      <c r="C369" s="324"/>
      <c r="D369" s="324"/>
      <c r="E369" s="324"/>
      <c r="F369" s="324"/>
      <c r="G369" s="324"/>
      <c r="H369" s="356">
        <f>VLOOKUP(AI346,'3c'!A:AG,23,0)</f>
        <v>73</v>
      </c>
      <c r="I369" s="356"/>
      <c r="J369" s="178">
        <f t="shared" si="28"/>
        <v>73</v>
      </c>
      <c r="K369" s="293" t="s">
        <v>84</v>
      </c>
      <c r="L369" s="294"/>
      <c r="M369" s="294"/>
      <c r="N369" s="294"/>
      <c r="O369" s="294"/>
      <c r="P369" s="295"/>
      <c r="Q369" s="168">
        <v>5</v>
      </c>
    </row>
    <row r="370" spans="1:36" ht="21" customHeight="1">
      <c r="A370" s="161">
        <v>6</v>
      </c>
      <c r="B370" s="324" t="s">
        <v>148</v>
      </c>
      <c r="C370" s="324"/>
      <c r="D370" s="324"/>
      <c r="E370" s="324"/>
      <c r="F370" s="324"/>
      <c r="G370" s="324"/>
      <c r="H370" s="356">
        <f>VLOOKUP(AI346,'3c'!A:AG,24,0)</f>
        <v>75</v>
      </c>
      <c r="I370" s="356"/>
      <c r="J370" s="178">
        <f t="shared" si="28"/>
        <v>75</v>
      </c>
      <c r="K370" s="293" t="s">
        <v>149</v>
      </c>
      <c r="L370" s="294"/>
      <c r="M370" s="294"/>
      <c r="N370" s="294"/>
      <c r="O370" s="294"/>
      <c r="P370" s="295"/>
      <c r="Q370" s="168">
        <v>6</v>
      </c>
    </row>
    <row r="371" spans="1:36" ht="21" customHeight="1">
      <c r="A371" s="357" t="s">
        <v>62</v>
      </c>
      <c r="B371" s="357"/>
      <c r="C371" s="357"/>
      <c r="D371" s="357"/>
      <c r="E371" s="357"/>
      <c r="F371" s="357"/>
      <c r="G371" s="357"/>
      <c r="H371" s="317">
        <f>SUM(H365:I370)</f>
        <v>449</v>
      </c>
      <c r="I371" s="318"/>
      <c r="J371" s="178">
        <f t="shared" si="28"/>
        <v>449</v>
      </c>
      <c r="K371" s="293" t="s">
        <v>63</v>
      </c>
      <c r="L371" s="294"/>
      <c r="M371" s="294"/>
      <c r="N371" s="294"/>
      <c r="O371" s="294"/>
      <c r="P371" s="294"/>
      <c r="Q371" s="295"/>
    </row>
    <row r="372" spans="1:36" ht="21" customHeight="1">
      <c r="A372" s="357" t="s">
        <v>65</v>
      </c>
      <c r="B372" s="357"/>
      <c r="C372" s="357"/>
      <c r="D372" s="357"/>
      <c r="E372" s="357"/>
      <c r="F372" s="357"/>
      <c r="G372" s="357"/>
      <c r="H372" s="291">
        <f>AVERAGE(H365:I370)</f>
        <v>74.833333333333329</v>
      </c>
      <c r="I372" s="292"/>
      <c r="J372" s="179">
        <f t="shared" si="28"/>
        <v>74.833333333333329</v>
      </c>
      <c r="K372" s="293" t="s">
        <v>66</v>
      </c>
      <c r="L372" s="294"/>
      <c r="M372" s="294"/>
      <c r="N372" s="294"/>
      <c r="O372" s="294"/>
      <c r="P372" s="294"/>
      <c r="Q372" s="295"/>
    </row>
    <row r="373" spans="1:36" ht="21" customHeight="1">
      <c r="A373" s="34"/>
      <c r="B373" s="34"/>
      <c r="C373" s="34"/>
      <c r="D373" s="34"/>
      <c r="E373" s="34"/>
      <c r="F373" s="34"/>
      <c r="G373" s="34"/>
      <c r="H373" s="34"/>
      <c r="I373" s="34"/>
      <c r="J373" s="34"/>
      <c r="K373" s="34"/>
      <c r="L373" s="34"/>
      <c r="M373" s="34"/>
      <c r="N373" s="31"/>
      <c r="O373" s="34"/>
      <c r="P373" s="34"/>
      <c r="Q373" s="34"/>
    </row>
    <row r="374" spans="1:36" ht="21" customHeight="1">
      <c r="A374" s="34"/>
      <c r="B374" s="34"/>
      <c r="C374" s="34"/>
      <c r="D374" s="34"/>
      <c r="E374" s="34"/>
      <c r="F374" s="34"/>
      <c r="G374" s="34"/>
      <c r="H374" s="34"/>
      <c r="I374" s="34"/>
      <c r="J374" s="34"/>
      <c r="K374" s="34"/>
      <c r="L374" s="34"/>
      <c r="M374" s="34"/>
      <c r="N374" s="31"/>
      <c r="O374" s="34"/>
      <c r="P374" s="34"/>
      <c r="Q374" s="34"/>
    </row>
    <row r="375" spans="1:36" s="22" customFormat="1" ht="21" customHeight="1">
      <c r="A375" s="34"/>
      <c r="B375" s="34"/>
      <c r="C375" s="34"/>
      <c r="D375" s="34"/>
      <c r="E375" s="34"/>
      <c r="F375" s="34"/>
      <c r="G375" s="34"/>
      <c r="H375" s="34"/>
      <c r="I375" s="34"/>
      <c r="J375" s="34"/>
      <c r="K375" s="34"/>
      <c r="L375" s="34"/>
      <c r="M375" s="34"/>
      <c r="N375" s="31"/>
      <c r="O375" s="34"/>
      <c r="P375" s="34"/>
      <c r="Q375" s="34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J375"/>
    </row>
    <row r="376" spans="1:36" s="30" customFormat="1" ht="21" customHeight="1">
      <c r="A376" s="343" t="s">
        <v>0</v>
      </c>
      <c r="B376" s="344"/>
      <c r="C376" s="153" t="s">
        <v>1</v>
      </c>
      <c r="D376" s="344" t="str">
        <f>VLOOKUP(AI379,'2a'!A:AG,3,0)</f>
        <v>Aghisni Mochammad Toha</v>
      </c>
      <c r="E376" s="344"/>
      <c r="F376" s="344"/>
      <c r="G376" s="344"/>
      <c r="H376" s="344"/>
      <c r="I376" s="344"/>
      <c r="J376" s="344"/>
      <c r="K376" s="344"/>
      <c r="L376" s="344"/>
      <c r="M376" s="344"/>
      <c r="N376" s="344"/>
      <c r="O376" s="344"/>
      <c r="P376" s="344"/>
      <c r="Q376" s="345"/>
      <c r="R376" s="343" t="s">
        <v>0</v>
      </c>
      <c r="S376" s="344"/>
      <c r="T376" s="153" t="s">
        <v>1</v>
      </c>
      <c r="U376" s="344" t="str">
        <f>D376</f>
        <v>Aghisni Mochammad Toha</v>
      </c>
      <c r="V376" s="344"/>
      <c r="W376" s="344"/>
      <c r="X376" s="344"/>
      <c r="Y376" s="344"/>
      <c r="Z376" s="344"/>
      <c r="AA376" s="344"/>
      <c r="AB376" s="344"/>
      <c r="AC376" s="344"/>
      <c r="AD376" s="344"/>
      <c r="AE376" s="344"/>
      <c r="AF376" s="344"/>
      <c r="AG376" s="344"/>
      <c r="AH376" s="345"/>
    </row>
    <row r="377" spans="1:36" ht="21" customHeight="1">
      <c r="A377" s="346" t="s">
        <v>2</v>
      </c>
      <c r="B377" s="347"/>
      <c r="C377" s="154" t="s">
        <v>1</v>
      </c>
      <c r="D377" s="347" t="s">
        <v>117</v>
      </c>
      <c r="E377" s="347"/>
      <c r="F377" s="347"/>
      <c r="G377" s="347"/>
      <c r="H377" s="347"/>
      <c r="I377" s="347"/>
      <c r="J377" s="159" t="s">
        <v>3</v>
      </c>
      <c r="K377" s="347">
        <f>VLOOKUP(AI379,'2a'!A:AG,2,0)</f>
        <v>23240185</v>
      </c>
      <c r="L377" s="347"/>
      <c r="M377" s="347"/>
      <c r="N377" s="347"/>
      <c r="O377" s="347"/>
      <c r="P377" s="347"/>
      <c r="Q377" s="348"/>
      <c r="R377" s="346" t="s">
        <v>2</v>
      </c>
      <c r="S377" s="347"/>
      <c r="T377" s="154" t="s">
        <v>1</v>
      </c>
      <c r="U377" s="347" t="str">
        <f>D377</f>
        <v>2-A</v>
      </c>
      <c r="V377" s="347"/>
      <c r="W377" s="347"/>
      <c r="X377" s="347"/>
      <c r="Y377" s="347"/>
      <c r="Z377" s="347"/>
      <c r="AA377" s="159" t="s">
        <v>3</v>
      </c>
      <c r="AB377" s="347">
        <f>K377</f>
        <v>23240185</v>
      </c>
      <c r="AC377" s="347"/>
      <c r="AD377" s="347"/>
      <c r="AE377" s="347"/>
      <c r="AF377" s="347"/>
      <c r="AG377" s="347"/>
      <c r="AH377" s="348"/>
    </row>
    <row r="378" spans="1:36" ht="21" customHeight="1">
      <c r="A378" s="343" t="s">
        <v>4</v>
      </c>
      <c r="B378" s="344"/>
      <c r="C378" s="153" t="s">
        <v>1</v>
      </c>
      <c r="D378" s="304" t="str">
        <f>DASHBOARD!$H$11</f>
        <v>2025/2026</v>
      </c>
      <c r="E378" s="304"/>
      <c r="F378" s="304"/>
      <c r="G378" s="304"/>
      <c r="H378" s="304"/>
      <c r="I378" s="304"/>
      <c r="J378" s="304"/>
      <c r="K378" s="304"/>
      <c r="L378" s="304"/>
      <c r="M378" s="304"/>
      <c r="N378" s="304"/>
      <c r="O378" s="304"/>
      <c r="P378" s="304"/>
      <c r="Q378" s="349"/>
      <c r="R378" s="330" t="s">
        <v>5</v>
      </c>
      <c r="S378" s="331"/>
      <c r="T378" s="331"/>
      <c r="U378" s="331"/>
      <c r="V378" s="331"/>
      <c r="W378" s="331"/>
      <c r="X378" s="332"/>
      <c r="Y378" s="333" t="s">
        <v>6</v>
      </c>
      <c r="Z378" s="334"/>
      <c r="AA378" s="337" t="s">
        <v>7</v>
      </c>
      <c r="AB378" s="330" t="s">
        <v>8</v>
      </c>
      <c r="AC378" s="331"/>
      <c r="AD378" s="331"/>
      <c r="AE378" s="331"/>
      <c r="AF378" s="331"/>
      <c r="AG378" s="331"/>
      <c r="AH378" s="332"/>
      <c r="AI378" s="51" t="s">
        <v>788</v>
      </c>
    </row>
    <row r="379" spans="1:36" ht="21" customHeight="1">
      <c r="A379" s="303" t="s">
        <v>10</v>
      </c>
      <c r="B379" s="304"/>
      <c r="C379" s="160" t="s">
        <v>1</v>
      </c>
      <c r="D379" s="350" t="str">
        <f>DASHBOARD!$H$12</f>
        <v>1 (Satu)</v>
      </c>
      <c r="E379" s="350"/>
      <c r="F379" s="350"/>
      <c r="G379" s="350"/>
      <c r="H379" s="350"/>
      <c r="I379" s="351"/>
      <c r="J379" s="352" t="str">
        <f>DASHBOARD!$I$12</f>
        <v>الأول</v>
      </c>
      <c r="K379" s="353"/>
      <c r="L379" s="353"/>
      <c r="M379" s="353"/>
      <c r="N379" s="160" t="s">
        <v>1</v>
      </c>
      <c r="O379" s="354" t="s">
        <v>11</v>
      </c>
      <c r="P379" s="354"/>
      <c r="Q379" s="355"/>
      <c r="R379" s="339" t="s">
        <v>12</v>
      </c>
      <c r="S379" s="340"/>
      <c r="T379" s="340"/>
      <c r="U379" s="340"/>
      <c r="V379" s="340"/>
      <c r="W379" s="340"/>
      <c r="X379" s="341"/>
      <c r="Y379" s="335"/>
      <c r="Z379" s="336"/>
      <c r="AA379" s="338"/>
      <c r="AB379" s="339" t="s">
        <v>13</v>
      </c>
      <c r="AC379" s="340"/>
      <c r="AD379" s="340"/>
      <c r="AE379" s="340"/>
      <c r="AF379" s="340"/>
      <c r="AG379" s="340"/>
      <c r="AH379" s="341"/>
      <c r="AI379" s="223">
        <v>21</v>
      </c>
    </row>
    <row r="380" spans="1:36" ht="21" customHeight="1">
      <c r="A380" s="330" t="s">
        <v>5</v>
      </c>
      <c r="B380" s="331"/>
      <c r="C380" s="331"/>
      <c r="D380" s="331"/>
      <c r="E380" s="331"/>
      <c r="F380" s="331"/>
      <c r="G380" s="332"/>
      <c r="H380" s="333" t="s">
        <v>6</v>
      </c>
      <c r="I380" s="334"/>
      <c r="J380" s="337" t="s">
        <v>7</v>
      </c>
      <c r="K380" s="330" t="s">
        <v>8</v>
      </c>
      <c r="L380" s="331"/>
      <c r="M380" s="331"/>
      <c r="N380" s="331"/>
      <c r="O380" s="331"/>
      <c r="P380" s="331"/>
      <c r="Q380" s="332"/>
      <c r="R380" s="161">
        <v>1</v>
      </c>
      <c r="S380" s="288" t="s">
        <v>103</v>
      </c>
      <c r="T380" s="289"/>
      <c r="U380" s="289"/>
      <c r="V380" s="289"/>
      <c r="W380" s="289"/>
      <c r="X380" s="290"/>
      <c r="Y380" s="361">
        <f>VLOOKUP(AI379,'2a'!A:AG,14,0)</f>
        <v>60</v>
      </c>
      <c r="Z380" s="362"/>
      <c r="AA380" s="168">
        <f>Y380</f>
        <v>60</v>
      </c>
      <c r="AB380" s="293" t="s">
        <v>104</v>
      </c>
      <c r="AC380" s="294"/>
      <c r="AD380" s="294"/>
      <c r="AE380" s="294"/>
      <c r="AF380" s="294"/>
      <c r="AG380" s="295"/>
      <c r="AH380" s="168">
        <v>1</v>
      </c>
    </row>
    <row r="381" spans="1:36" ht="21" customHeight="1">
      <c r="A381" s="339" t="s">
        <v>16</v>
      </c>
      <c r="B381" s="340"/>
      <c r="C381" s="340"/>
      <c r="D381" s="340"/>
      <c r="E381" s="340"/>
      <c r="F381" s="340"/>
      <c r="G381" s="341"/>
      <c r="H381" s="335"/>
      <c r="I381" s="336"/>
      <c r="J381" s="338"/>
      <c r="K381" s="339" t="s">
        <v>17</v>
      </c>
      <c r="L381" s="340"/>
      <c r="M381" s="340"/>
      <c r="N381" s="340"/>
      <c r="O381" s="340"/>
      <c r="P381" s="340"/>
      <c r="Q381" s="341"/>
      <c r="R381" s="161">
        <v>2</v>
      </c>
      <c r="S381" s="324" t="s">
        <v>14</v>
      </c>
      <c r="T381" s="324"/>
      <c r="U381" s="324"/>
      <c r="V381" s="324"/>
      <c r="W381" s="324"/>
      <c r="X381" s="324"/>
      <c r="Y381" s="361">
        <f>VLOOKUP(AI379,'2a'!A:AG,15,0)</f>
        <v>40</v>
      </c>
      <c r="Z381" s="362"/>
      <c r="AA381" s="168">
        <f>Y381</f>
        <v>40</v>
      </c>
      <c r="AB381" s="293" t="s">
        <v>15</v>
      </c>
      <c r="AC381" s="294"/>
      <c r="AD381" s="294"/>
      <c r="AE381" s="294"/>
      <c r="AF381" s="294"/>
      <c r="AG381" s="295"/>
      <c r="AH381" s="168">
        <v>2</v>
      </c>
    </row>
    <row r="382" spans="1:36" ht="21" customHeight="1">
      <c r="A382" s="161">
        <v>1</v>
      </c>
      <c r="B382" s="288" t="s">
        <v>118</v>
      </c>
      <c r="C382" s="289"/>
      <c r="D382" s="289"/>
      <c r="E382" s="289"/>
      <c r="F382" s="289"/>
      <c r="G382" s="290"/>
      <c r="H382" s="317">
        <f>VLOOKUP(AI379,'2a'!A:AG,4,0)</f>
        <v>67</v>
      </c>
      <c r="I382" s="318"/>
      <c r="J382" s="168">
        <f>H382</f>
        <v>67</v>
      </c>
      <c r="K382" s="293" t="s">
        <v>119</v>
      </c>
      <c r="L382" s="294"/>
      <c r="M382" s="294"/>
      <c r="N382" s="294"/>
      <c r="O382" s="294"/>
      <c r="P382" s="295"/>
      <c r="Q382" s="168">
        <v>1</v>
      </c>
      <c r="R382" s="161">
        <v>3</v>
      </c>
      <c r="S382" s="288" t="s">
        <v>120</v>
      </c>
      <c r="T382" s="289"/>
      <c r="U382" s="289"/>
      <c r="V382" s="289"/>
      <c r="W382" s="289"/>
      <c r="X382" s="290"/>
      <c r="Y382" s="361">
        <f>VLOOKUP(AI379,'2a'!A:AG,16,0)</f>
        <v>95</v>
      </c>
      <c r="Z382" s="362"/>
      <c r="AA382" s="168">
        <f>Y382</f>
        <v>95</v>
      </c>
      <c r="AB382" s="293" t="s">
        <v>46</v>
      </c>
      <c r="AC382" s="294"/>
      <c r="AD382" s="294"/>
      <c r="AE382" s="294"/>
      <c r="AF382" s="294"/>
      <c r="AG382" s="295"/>
      <c r="AH382" s="168">
        <v>3</v>
      </c>
    </row>
    <row r="383" spans="1:36" ht="21" customHeight="1">
      <c r="A383" s="161">
        <v>2</v>
      </c>
      <c r="B383" s="288" t="s">
        <v>22</v>
      </c>
      <c r="C383" s="289"/>
      <c r="D383" s="289"/>
      <c r="E383" s="289"/>
      <c r="F383" s="289"/>
      <c r="G383" s="290"/>
      <c r="H383" s="317">
        <f>VLOOKUP(AI379,'2a'!A:AG,5,0)</f>
        <v>51</v>
      </c>
      <c r="I383" s="318"/>
      <c r="J383" s="168">
        <f t="shared" ref="J383:J393" si="29">H383</f>
        <v>51</v>
      </c>
      <c r="K383" s="293" t="s">
        <v>23</v>
      </c>
      <c r="L383" s="294"/>
      <c r="M383" s="294"/>
      <c r="N383" s="294"/>
      <c r="O383" s="294"/>
      <c r="P383" s="295"/>
      <c r="Q383" s="168">
        <v>2</v>
      </c>
      <c r="R383" s="161">
        <v>4</v>
      </c>
      <c r="S383" s="324" t="s">
        <v>121</v>
      </c>
      <c r="T383" s="324"/>
      <c r="U383" s="324"/>
      <c r="V383" s="324"/>
      <c r="W383" s="324"/>
      <c r="X383" s="324"/>
      <c r="Y383" s="361">
        <f>VLOOKUP(AI379,'2a'!A:AG,17,0)</f>
        <v>99</v>
      </c>
      <c r="Z383" s="362"/>
      <c r="AA383" s="168">
        <f>Y383</f>
        <v>99</v>
      </c>
      <c r="AB383" s="293" t="s">
        <v>35</v>
      </c>
      <c r="AC383" s="294"/>
      <c r="AD383" s="294"/>
      <c r="AE383" s="294"/>
      <c r="AF383" s="294"/>
      <c r="AG383" s="295"/>
      <c r="AH383" s="168">
        <v>4</v>
      </c>
    </row>
    <row r="384" spans="1:36" ht="21" customHeight="1">
      <c r="A384" s="161">
        <v>3</v>
      </c>
      <c r="B384" s="288" t="s">
        <v>55</v>
      </c>
      <c r="C384" s="289"/>
      <c r="D384" s="289"/>
      <c r="E384" s="289"/>
      <c r="F384" s="289"/>
      <c r="G384" s="290"/>
      <c r="H384" s="317">
        <f>VLOOKUP(AI379,'2a'!A:AG,6,0)</f>
        <v>63</v>
      </c>
      <c r="I384" s="318"/>
      <c r="J384" s="168">
        <f t="shared" si="29"/>
        <v>63</v>
      </c>
      <c r="K384" s="293" t="s">
        <v>56</v>
      </c>
      <c r="L384" s="294"/>
      <c r="M384" s="294"/>
      <c r="N384" s="294"/>
      <c r="O384" s="294"/>
      <c r="P384" s="295"/>
      <c r="Q384" s="168">
        <v>3</v>
      </c>
      <c r="R384" s="161">
        <v>5</v>
      </c>
      <c r="S384" s="158" t="s">
        <v>22</v>
      </c>
      <c r="T384" s="155"/>
      <c r="U384" s="155"/>
      <c r="V384" s="155"/>
      <c r="W384" s="155"/>
      <c r="X384" s="162"/>
      <c r="Y384" s="361">
        <f>VLOOKUP(AI379,'2a'!A:AG,18,0)</f>
        <v>40</v>
      </c>
      <c r="Z384" s="362"/>
      <c r="AA384" s="168">
        <f>Y384</f>
        <v>40</v>
      </c>
      <c r="AB384" s="169"/>
      <c r="AC384" s="170"/>
      <c r="AD384" s="170"/>
      <c r="AE384" s="170"/>
      <c r="AF384" s="170"/>
      <c r="AG384" s="171" t="s">
        <v>23</v>
      </c>
      <c r="AH384" s="168">
        <v>5</v>
      </c>
    </row>
    <row r="385" spans="1:34" ht="21" customHeight="1">
      <c r="A385" s="161">
        <v>4</v>
      </c>
      <c r="B385" s="324" t="s">
        <v>30</v>
      </c>
      <c r="C385" s="324"/>
      <c r="D385" s="324"/>
      <c r="E385" s="324"/>
      <c r="F385" s="324"/>
      <c r="G385" s="324"/>
      <c r="H385" s="317">
        <f>VLOOKUP(AI379,'2a'!A:AG,7,0)</f>
        <v>51</v>
      </c>
      <c r="I385" s="318"/>
      <c r="J385" s="168">
        <f t="shared" si="29"/>
        <v>51</v>
      </c>
      <c r="K385" s="293" t="s">
        <v>31</v>
      </c>
      <c r="L385" s="294"/>
      <c r="M385" s="294"/>
      <c r="N385" s="294"/>
      <c r="O385" s="294"/>
      <c r="P385" s="295"/>
      <c r="Q385" s="168">
        <v>4</v>
      </c>
      <c r="R385" s="299" t="s">
        <v>768</v>
      </c>
      <c r="S385" s="300"/>
      <c r="T385" s="300"/>
      <c r="U385" s="300"/>
      <c r="V385" s="301"/>
      <c r="W385" s="327" t="s">
        <v>28</v>
      </c>
      <c r="X385" s="328"/>
      <c r="Y385" s="328"/>
      <c r="Z385" s="328"/>
      <c r="AA385" s="328"/>
      <c r="AB385" s="329"/>
      <c r="AC385" s="327" t="s">
        <v>29</v>
      </c>
      <c r="AD385" s="328"/>
      <c r="AE385" s="328"/>
      <c r="AF385" s="328"/>
      <c r="AG385" s="328"/>
      <c r="AH385" s="329"/>
    </row>
    <row r="386" spans="1:34" ht="21" customHeight="1">
      <c r="A386" s="161">
        <v>5</v>
      </c>
      <c r="B386" s="324" t="s">
        <v>34</v>
      </c>
      <c r="C386" s="324"/>
      <c r="D386" s="324"/>
      <c r="E386" s="324"/>
      <c r="F386" s="324"/>
      <c r="G386" s="324"/>
      <c r="H386" s="317">
        <f>VLOOKUP(AI379,'2a'!A:AG,8,0)</f>
        <v>63</v>
      </c>
      <c r="I386" s="318"/>
      <c r="J386" s="168">
        <f t="shared" si="29"/>
        <v>63</v>
      </c>
      <c r="K386" s="293" t="s">
        <v>35</v>
      </c>
      <c r="L386" s="294"/>
      <c r="M386" s="294"/>
      <c r="N386" s="294"/>
      <c r="O386" s="294"/>
      <c r="P386" s="295"/>
      <c r="Q386" s="168">
        <v>5</v>
      </c>
      <c r="R386" s="319" t="s">
        <v>32</v>
      </c>
      <c r="S386" s="320"/>
      <c r="T386" s="320"/>
      <c r="U386" s="180" t="s">
        <v>1</v>
      </c>
      <c r="V386" s="181" t="str">
        <f>VLOOKUP(AI379,'2a'!A:AG,28,0)</f>
        <v>C</v>
      </c>
      <c r="W386" s="321" t="s">
        <v>33</v>
      </c>
      <c r="X386" s="322"/>
      <c r="Y386" s="322"/>
      <c r="Z386" s="322"/>
      <c r="AA386" s="322"/>
      <c r="AB386" s="323"/>
      <c r="AC386" s="296" t="s">
        <v>33</v>
      </c>
      <c r="AD386" s="297"/>
      <c r="AE386" s="297"/>
      <c r="AF386" s="297"/>
      <c r="AG386" s="297"/>
      <c r="AH386" s="298"/>
    </row>
    <row r="387" spans="1:34" ht="21" customHeight="1">
      <c r="A387" s="161">
        <v>6</v>
      </c>
      <c r="B387" s="288" t="s">
        <v>49</v>
      </c>
      <c r="C387" s="289"/>
      <c r="D387" s="289"/>
      <c r="E387" s="289"/>
      <c r="F387" s="289"/>
      <c r="G387" s="290"/>
      <c r="H387" s="317">
        <f>VLOOKUP(AI379,'2a'!A:AG,9,0)</f>
        <v>64</v>
      </c>
      <c r="I387" s="318"/>
      <c r="J387" s="168">
        <f>H387</f>
        <v>64</v>
      </c>
      <c r="K387" s="293" t="s">
        <v>50</v>
      </c>
      <c r="L387" s="294"/>
      <c r="M387" s="294"/>
      <c r="N387" s="294"/>
      <c r="O387" s="294"/>
      <c r="P387" s="295"/>
      <c r="Q387" s="168">
        <v>6</v>
      </c>
      <c r="R387" s="319" t="s">
        <v>36</v>
      </c>
      <c r="S387" s="320"/>
      <c r="T387" s="320"/>
      <c r="U387" s="180" t="s">
        <v>1</v>
      </c>
      <c r="V387" s="181" t="str">
        <f>VLOOKUP(AI379,'2a'!A:AG,29,0)</f>
        <v>C</v>
      </c>
      <c r="W387" s="13"/>
      <c r="X387" s="14"/>
      <c r="Y387" s="14"/>
      <c r="Z387" s="14"/>
      <c r="AA387" s="14"/>
      <c r="AB387" s="15"/>
      <c r="AC387" s="16"/>
      <c r="AH387" s="17"/>
    </row>
    <row r="388" spans="1:34" ht="21" customHeight="1">
      <c r="A388" s="161">
        <v>7</v>
      </c>
      <c r="B388" s="288" t="s">
        <v>128</v>
      </c>
      <c r="C388" s="289"/>
      <c r="D388" s="289"/>
      <c r="E388" s="289"/>
      <c r="F388" s="289"/>
      <c r="G388" s="290"/>
      <c r="H388" s="317">
        <f>VLOOKUP(AI379,'2a'!A:AG,10,0)</f>
        <v>40</v>
      </c>
      <c r="I388" s="318"/>
      <c r="J388" s="168">
        <f t="shared" si="29"/>
        <v>40</v>
      </c>
      <c r="K388" s="293" t="s">
        <v>112</v>
      </c>
      <c r="L388" s="294"/>
      <c r="M388" s="294"/>
      <c r="N388" s="294"/>
      <c r="O388" s="294"/>
      <c r="P388" s="295"/>
      <c r="Q388" s="168">
        <v>7</v>
      </c>
      <c r="R388" s="325" t="s">
        <v>39</v>
      </c>
      <c r="S388" s="326"/>
      <c r="T388" s="326"/>
      <c r="U388" s="182" t="s">
        <v>1</v>
      </c>
      <c r="V388" s="183" t="str">
        <f>VLOOKUP(AI379,'2a'!A:AG,30,0)</f>
        <v>B</v>
      </c>
      <c r="W388" s="16"/>
      <c r="AB388" s="17"/>
      <c r="AC388" s="16"/>
      <c r="AH388" s="17"/>
    </row>
    <row r="389" spans="1:34" ht="21" customHeight="1">
      <c r="A389" s="161">
        <v>8</v>
      </c>
      <c r="B389" s="324" t="s">
        <v>105</v>
      </c>
      <c r="C389" s="324"/>
      <c r="D389" s="324"/>
      <c r="E389" s="324"/>
      <c r="F389" s="324"/>
      <c r="G389" s="324"/>
      <c r="H389" s="317">
        <f>VLOOKUP(AI379,'2a'!A:AG,11,0)</f>
        <v>84</v>
      </c>
      <c r="I389" s="318"/>
      <c r="J389" s="168">
        <f t="shared" si="29"/>
        <v>84</v>
      </c>
      <c r="K389" s="293" t="s">
        <v>106</v>
      </c>
      <c r="L389" s="294"/>
      <c r="M389" s="294"/>
      <c r="N389" s="294"/>
      <c r="O389" s="294"/>
      <c r="P389" s="295"/>
      <c r="Q389" s="168">
        <v>8</v>
      </c>
      <c r="R389" s="327" t="s">
        <v>42</v>
      </c>
      <c r="S389" s="328"/>
      <c r="T389" s="328"/>
      <c r="U389" s="328"/>
      <c r="V389" s="329"/>
      <c r="W389" s="16"/>
      <c r="AB389" s="17"/>
      <c r="AC389" s="307" t="str">
        <f>DASHBOARD!H27</f>
        <v>Mu'allim Salahudien</v>
      </c>
      <c r="AD389" s="308"/>
      <c r="AE389" s="308"/>
      <c r="AF389" s="308"/>
      <c r="AG389" s="308"/>
      <c r="AH389" s="309"/>
    </row>
    <row r="390" spans="1:34" ht="21" customHeight="1">
      <c r="A390" s="161">
        <v>9</v>
      </c>
      <c r="B390" s="324" t="s">
        <v>14</v>
      </c>
      <c r="C390" s="324"/>
      <c r="D390" s="324"/>
      <c r="E390" s="324"/>
      <c r="F390" s="324"/>
      <c r="G390" s="324"/>
      <c r="H390" s="317">
        <f>VLOOKUP(AI379,'2a'!A:AG,12,0)</f>
        <v>48</v>
      </c>
      <c r="I390" s="318"/>
      <c r="J390" s="168">
        <f t="shared" si="29"/>
        <v>48</v>
      </c>
      <c r="K390" s="293" t="s">
        <v>15</v>
      </c>
      <c r="L390" s="294"/>
      <c r="M390" s="294"/>
      <c r="N390" s="294"/>
      <c r="O390" s="294"/>
      <c r="P390" s="295"/>
      <c r="Q390" s="168">
        <v>9</v>
      </c>
      <c r="R390" s="296" t="s">
        <v>43</v>
      </c>
      <c r="S390" s="297"/>
      <c r="T390" s="297"/>
      <c r="U390" s="297"/>
      <c r="V390" s="298"/>
      <c r="W390" s="16"/>
      <c r="AB390" s="17"/>
      <c r="AC390" s="299" t="s">
        <v>44</v>
      </c>
      <c r="AD390" s="300"/>
      <c r="AE390" s="300"/>
      <c r="AF390" s="300"/>
      <c r="AG390" s="300"/>
      <c r="AH390" s="301"/>
    </row>
    <row r="391" spans="1:34" ht="21" customHeight="1">
      <c r="A391" s="161">
        <v>10</v>
      </c>
      <c r="B391" s="324" t="s">
        <v>45</v>
      </c>
      <c r="C391" s="324"/>
      <c r="D391" s="324"/>
      <c r="E391" s="324"/>
      <c r="F391" s="324"/>
      <c r="G391" s="324"/>
      <c r="H391" s="317">
        <f>VLOOKUP(AI379,'2a'!A:AG,13,0)</f>
        <v>44</v>
      </c>
      <c r="I391" s="318"/>
      <c r="J391" s="168">
        <f>H391</f>
        <v>44</v>
      </c>
      <c r="K391" s="293" t="s">
        <v>46</v>
      </c>
      <c r="L391" s="294"/>
      <c r="M391" s="294"/>
      <c r="N391" s="294"/>
      <c r="O391" s="294"/>
      <c r="P391" s="295"/>
      <c r="Q391" s="168">
        <v>10</v>
      </c>
      <c r="R391" s="184" t="s">
        <v>47</v>
      </c>
      <c r="S391" s="185"/>
      <c r="T391" s="180" t="s">
        <v>1</v>
      </c>
      <c r="U391" s="180">
        <f>VLOOKUP(AI379,'2a'!A:AG,31,0)</f>
        <v>45</v>
      </c>
      <c r="V391" s="181" t="s">
        <v>48</v>
      </c>
      <c r="W391" s="16"/>
      <c r="AB391" s="17"/>
      <c r="AC391" s="16"/>
      <c r="AH391" s="17"/>
    </row>
    <row r="392" spans="1:34" ht="21" customHeight="1">
      <c r="A392" s="288" t="s">
        <v>62</v>
      </c>
      <c r="B392" s="289"/>
      <c r="C392" s="289"/>
      <c r="D392" s="289"/>
      <c r="E392" s="289"/>
      <c r="F392" s="289"/>
      <c r="G392" s="290"/>
      <c r="H392" s="317">
        <f>VLOOKUP(AI379,'2a'!A:AG,25,0)</f>
        <v>909</v>
      </c>
      <c r="I392" s="318"/>
      <c r="J392" s="168">
        <f t="shared" si="29"/>
        <v>909</v>
      </c>
      <c r="K392" s="293" t="s">
        <v>63</v>
      </c>
      <c r="L392" s="294"/>
      <c r="M392" s="294"/>
      <c r="N392" s="294"/>
      <c r="O392" s="294"/>
      <c r="P392" s="294"/>
      <c r="Q392" s="295"/>
      <c r="R392" s="184" t="s">
        <v>51</v>
      </c>
      <c r="S392" s="185"/>
      <c r="T392" s="180" t="s">
        <v>1</v>
      </c>
      <c r="U392" s="180">
        <f>VLOOKUP(AI379,'2a'!A:AG,32,0)</f>
        <v>0</v>
      </c>
      <c r="V392" s="181" t="s">
        <v>48</v>
      </c>
      <c r="W392" s="21"/>
      <c r="X392" s="22"/>
      <c r="Y392" s="22"/>
      <c r="Z392" s="22"/>
      <c r="AA392" s="22"/>
      <c r="AB392" s="23"/>
      <c r="AC392" s="16"/>
      <c r="AH392" s="17"/>
    </row>
    <row r="393" spans="1:34" ht="21" customHeight="1">
      <c r="A393" s="288" t="s">
        <v>65</v>
      </c>
      <c r="B393" s="289"/>
      <c r="C393" s="289"/>
      <c r="D393" s="289"/>
      <c r="E393" s="289"/>
      <c r="F393" s="289"/>
      <c r="G393" s="290"/>
      <c r="H393" s="291">
        <f>VLOOKUP(AI379,'2a'!A:AG,26,0)</f>
        <v>60.6</v>
      </c>
      <c r="I393" s="292"/>
      <c r="J393" s="172">
        <f t="shared" si="29"/>
        <v>60.6</v>
      </c>
      <c r="K393" s="293" t="s">
        <v>66</v>
      </c>
      <c r="L393" s="294"/>
      <c r="M393" s="294"/>
      <c r="N393" s="294"/>
      <c r="O393" s="294"/>
      <c r="P393" s="294"/>
      <c r="Q393" s="295"/>
      <c r="R393" s="186" t="s">
        <v>53</v>
      </c>
      <c r="S393" s="187"/>
      <c r="T393" s="182" t="s">
        <v>1</v>
      </c>
      <c r="U393" s="182">
        <f>VLOOKUP(AI379,'2a'!A:AG,33,0)</f>
        <v>5</v>
      </c>
      <c r="V393" s="183" t="s">
        <v>48</v>
      </c>
      <c r="W393" s="188"/>
      <c r="X393" s="189"/>
      <c r="Y393" s="189"/>
      <c r="Z393" s="189"/>
      <c r="AA393" s="189"/>
      <c r="AB393" s="190"/>
      <c r="AC393" s="307" t="s">
        <v>770</v>
      </c>
      <c r="AD393" s="308"/>
      <c r="AE393" s="308"/>
      <c r="AF393" s="308"/>
      <c r="AG393" s="308"/>
      <c r="AH393" s="309"/>
    </row>
    <row r="394" spans="1:34" ht="21" customHeight="1">
      <c r="A394" s="288" t="s">
        <v>67</v>
      </c>
      <c r="B394" s="289"/>
      <c r="C394" s="289"/>
      <c r="D394" s="289"/>
      <c r="E394" s="199" t="s">
        <v>68</v>
      </c>
      <c r="F394" s="155" t="s">
        <v>69</v>
      </c>
      <c r="G394" s="164">
        <f>COUNT('2a'!B4:B27)</f>
        <v>24</v>
      </c>
      <c r="H394" s="164"/>
      <c r="I394" s="165"/>
      <c r="J394" s="173" t="s">
        <v>70</v>
      </c>
      <c r="K394" s="174"/>
      <c r="L394" s="175">
        <f>G394</f>
        <v>24</v>
      </c>
      <c r="M394" s="302" t="s">
        <v>71</v>
      </c>
      <c r="N394" s="302"/>
      <c r="O394" s="302"/>
      <c r="P394" s="176" t="str">
        <f>E394</f>
        <v>-</v>
      </c>
      <c r="Q394" s="177" t="s">
        <v>72</v>
      </c>
      <c r="R394" s="16"/>
      <c r="U394" t="s">
        <v>57</v>
      </c>
      <c r="AB394" s="310" t="str">
        <f>DASHBOARD!$H$13</f>
        <v>Sumedang, 05 September 2025</v>
      </c>
      <c r="AC394" s="310"/>
      <c r="AD394" s="310"/>
      <c r="AE394" s="310"/>
      <c r="AF394" s="310"/>
      <c r="AG394" s="310"/>
      <c r="AH394" s="311"/>
    </row>
    <row r="395" spans="1:34" ht="21" customHeight="1">
      <c r="A395" s="303" t="s">
        <v>73</v>
      </c>
      <c r="B395" s="304"/>
      <c r="C395" s="304"/>
      <c r="D395" s="304"/>
      <c r="E395" s="304"/>
      <c r="F395" s="304"/>
      <c r="G395" s="304"/>
      <c r="H395" s="304"/>
      <c r="I395" s="7"/>
      <c r="J395" s="166"/>
      <c r="K395" s="195"/>
      <c r="L395" s="305" t="s">
        <v>74</v>
      </c>
      <c r="M395" s="305"/>
      <c r="N395" s="305"/>
      <c r="O395" s="305"/>
      <c r="P395" s="305"/>
      <c r="Q395" s="306"/>
      <c r="R395" s="312" t="s">
        <v>60</v>
      </c>
      <c r="S395" s="310"/>
      <c r="T395" s="310"/>
      <c r="U395" s="310"/>
      <c r="V395" s="310"/>
      <c r="W395" s="310"/>
      <c r="X395" s="310"/>
      <c r="Y395" s="310"/>
      <c r="Z395" s="310"/>
      <c r="AA395" s="310"/>
      <c r="AB395" s="313" t="s">
        <v>61</v>
      </c>
      <c r="AC395" s="313"/>
      <c r="AD395" s="313"/>
      <c r="AE395" s="313"/>
      <c r="AF395" s="313"/>
      <c r="AG395" s="313"/>
      <c r="AH395" s="314"/>
    </row>
    <row r="396" spans="1:34" ht="21" customHeight="1">
      <c r="A396" s="366" t="s">
        <v>75</v>
      </c>
      <c r="B396" s="366"/>
      <c r="C396" s="366"/>
      <c r="D396" s="366"/>
      <c r="E396" s="366"/>
      <c r="F396" s="366"/>
      <c r="G396" s="366"/>
      <c r="H396" s="366"/>
      <c r="I396" s="366"/>
      <c r="J396" s="366"/>
      <c r="K396" s="366"/>
      <c r="L396" s="366"/>
      <c r="M396" s="366"/>
      <c r="N396" s="366"/>
      <c r="O396" s="366"/>
      <c r="P396" s="366"/>
      <c r="Q396" s="366"/>
      <c r="R396" s="33"/>
      <c r="S396" s="34"/>
      <c r="T396" s="34"/>
      <c r="U396" s="34"/>
      <c r="V396" s="34"/>
      <c r="W396" s="34"/>
      <c r="X396" s="34"/>
      <c r="Y396" s="34"/>
      <c r="Z396" s="34"/>
      <c r="AA396" s="34"/>
      <c r="AB396" s="297" t="s">
        <v>64</v>
      </c>
      <c r="AC396" s="297"/>
      <c r="AD396" s="297"/>
      <c r="AE396" s="297"/>
      <c r="AF396" s="297"/>
      <c r="AG396" s="297"/>
      <c r="AH396" s="298"/>
    </row>
    <row r="397" spans="1:34" ht="21" customHeight="1">
      <c r="A397" s="161">
        <v>1</v>
      </c>
      <c r="B397" s="324" t="s">
        <v>83</v>
      </c>
      <c r="C397" s="324"/>
      <c r="D397" s="324"/>
      <c r="E397" s="324"/>
      <c r="F397" s="324"/>
      <c r="G397" s="324"/>
      <c r="H397" s="356">
        <f>VLOOKUP(AI379,'2a'!A:AG,19,0)</f>
        <v>63</v>
      </c>
      <c r="I397" s="356"/>
      <c r="J397" s="178">
        <f t="shared" ref="J397:J404" si="30">H397</f>
        <v>63</v>
      </c>
      <c r="K397" s="293" t="s">
        <v>84</v>
      </c>
      <c r="L397" s="294"/>
      <c r="M397" s="294"/>
      <c r="N397" s="294"/>
      <c r="O397" s="294"/>
      <c r="P397" s="295"/>
      <c r="Q397" s="168">
        <v>1</v>
      </c>
      <c r="R397" s="33"/>
      <c r="S397" s="34"/>
      <c r="T397" s="34"/>
      <c r="U397" s="34"/>
      <c r="V397" s="34"/>
      <c r="W397" s="34"/>
      <c r="X397" s="34"/>
      <c r="Y397" s="34"/>
      <c r="Z397" s="34"/>
      <c r="AA397" s="34"/>
      <c r="AB397" s="34"/>
      <c r="AC397" s="34"/>
      <c r="AD397" s="34"/>
      <c r="AE397" s="34"/>
      <c r="AF397" s="34"/>
      <c r="AG397" s="34"/>
      <c r="AH397" s="35"/>
    </row>
    <row r="398" spans="1:34" ht="21" customHeight="1">
      <c r="A398" s="161">
        <v>2</v>
      </c>
      <c r="B398" s="288" t="s">
        <v>79</v>
      </c>
      <c r="C398" s="289"/>
      <c r="D398" s="289"/>
      <c r="E398" s="289"/>
      <c r="F398" s="289"/>
      <c r="G398" s="290"/>
      <c r="H398" s="356">
        <f>VLOOKUP(AI379,'2a'!A:AG,20,0)</f>
        <v>68</v>
      </c>
      <c r="I398" s="356"/>
      <c r="J398" s="178">
        <f t="shared" si="30"/>
        <v>68</v>
      </c>
      <c r="K398" s="293" t="s">
        <v>80</v>
      </c>
      <c r="L398" s="294"/>
      <c r="M398" s="294"/>
      <c r="N398" s="294"/>
      <c r="O398" s="294"/>
      <c r="P398" s="295"/>
      <c r="Q398" s="168">
        <v>2</v>
      </c>
      <c r="R398" s="33"/>
      <c r="S398" s="34"/>
      <c r="T398" s="34"/>
      <c r="U398" s="34"/>
      <c r="V398" s="34"/>
      <c r="W398" s="191"/>
      <c r="X398" s="191"/>
      <c r="Y398" s="191"/>
      <c r="Z398" s="191"/>
      <c r="AA398" s="191"/>
      <c r="AB398" s="34"/>
      <c r="AC398" s="34"/>
      <c r="AD398" s="34"/>
      <c r="AE398" s="34"/>
      <c r="AF398" s="34"/>
      <c r="AG398" s="34"/>
      <c r="AH398" s="35"/>
    </row>
    <row r="399" spans="1:34" ht="21" customHeight="1">
      <c r="A399" s="161">
        <v>3</v>
      </c>
      <c r="B399" s="288" t="s">
        <v>77</v>
      </c>
      <c r="C399" s="289"/>
      <c r="D399" s="289"/>
      <c r="E399" s="289"/>
      <c r="F399" s="289"/>
      <c r="G399" s="290"/>
      <c r="H399" s="317">
        <f>VLOOKUP(AI379,'2a'!A:AG,21,0)</f>
        <v>63</v>
      </c>
      <c r="I399" s="318"/>
      <c r="J399" s="178">
        <f>H399</f>
        <v>63</v>
      </c>
      <c r="K399" s="293" t="s">
        <v>78</v>
      </c>
      <c r="L399" s="294"/>
      <c r="M399" s="294"/>
      <c r="N399" s="294"/>
      <c r="O399" s="294"/>
      <c r="P399" s="295"/>
      <c r="Q399" s="168">
        <v>3</v>
      </c>
      <c r="R399" s="312"/>
      <c r="S399" s="310"/>
      <c r="T399" s="310"/>
      <c r="U399" s="310"/>
      <c r="V399" s="310"/>
      <c r="W399" s="310"/>
      <c r="X399" s="310"/>
      <c r="Y399" s="310"/>
      <c r="Z399" s="310"/>
      <c r="AA399" s="310"/>
      <c r="AB399" s="34"/>
      <c r="AC399" s="34"/>
      <c r="AD399" s="34"/>
      <c r="AE399" s="34"/>
      <c r="AF399" s="34"/>
      <c r="AG399" s="34"/>
      <c r="AH399" s="35"/>
    </row>
    <row r="400" spans="1:34" ht="21" customHeight="1">
      <c r="A400" s="161">
        <v>4</v>
      </c>
      <c r="B400" s="288" t="s">
        <v>81</v>
      </c>
      <c r="C400" s="289"/>
      <c r="D400" s="289"/>
      <c r="E400" s="289"/>
      <c r="F400" s="289"/>
      <c r="G400" s="290"/>
      <c r="H400" s="317">
        <f>VLOOKUP(AI379,'2a'!A:AG,22,0)</f>
        <v>65</v>
      </c>
      <c r="I400" s="318"/>
      <c r="J400" s="178">
        <f>H400</f>
        <v>65</v>
      </c>
      <c r="K400" s="293" t="s">
        <v>82</v>
      </c>
      <c r="L400" s="294"/>
      <c r="M400" s="294"/>
      <c r="N400" s="294"/>
      <c r="O400" s="294"/>
      <c r="P400" s="295"/>
      <c r="Q400" s="168">
        <v>4</v>
      </c>
      <c r="R400" s="315" t="s">
        <v>766</v>
      </c>
      <c r="S400" s="316"/>
      <c r="T400" s="316"/>
      <c r="U400" s="316"/>
      <c r="V400" s="316"/>
      <c r="W400" s="316"/>
      <c r="X400" s="316"/>
      <c r="Y400" s="316"/>
      <c r="Z400" s="316"/>
      <c r="AA400" s="316"/>
      <c r="AB400" s="308" t="s">
        <v>767</v>
      </c>
      <c r="AC400" s="308"/>
      <c r="AD400" s="308"/>
      <c r="AE400" s="308"/>
      <c r="AF400" s="308"/>
      <c r="AG400" s="308"/>
      <c r="AH400" s="309"/>
    </row>
    <row r="401" spans="1:35" ht="21" customHeight="1">
      <c r="A401" s="161">
        <v>5</v>
      </c>
      <c r="B401" s="324" t="s">
        <v>147</v>
      </c>
      <c r="C401" s="324"/>
      <c r="D401" s="324"/>
      <c r="E401" s="324"/>
      <c r="F401" s="324"/>
      <c r="G401" s="324"/>
      <c r="H401" s="356">
        <f>VLOOKUP(AI379,'2a'!A:AG,23,0)</f>
        <v>70</v>
      </c>
      <c r="I401" s="356"/>
      <c r="J401" s="178">
        <f t="shared" si="30"/>
        <v>70</v>
      </c>
      <c r="K401" s="293" t="s">
        <v>84</v>
      </c>
      <c r="L401" s="294"/>
      <c r="M401" s="294"/>
      <c r="N401" s="294"/>
      <c r="O401" s="294"/>
      <c r="P401" s="295"/>
      <c r="Q401" s="168">
        <v>5</v>
      </c>
      <c r="R401" s="34"/>
      <c r="S401" s="34"/>
      <c r="T401" s="34"/>
      <c r="U401" s="34"/>
      <c r="V401" s="34"/>
      <c r="W401" s="34"/>
      <c r="X401" s="34"/>
      <c r="Y401" s="34"/>
      <c r="Z401" s="34"/>
      <c r="AA401" s="34"/>
      <c r="AB401" s="34"/>
      <c r="AC401" s="34"/>
      <c r="AD401" s="34"/>
      <c r="AE401" s="34"/>
      <c r="AF401" s="34"/>
      <c r="AG401" s="34"/>
      <c r="AH401" s="34"/>
    </row>
    <row r="402" spans="1:35" ht="21" customHeight="1">
      <c r="A402" s="161">
        <v>6</v>
      </c>
      <c r="B402" s="324" t="s">
        <v>148</v>
      </c>
      <c r="C402" s="324"/>
      <c r="D402" s="324"/>
      <c r="E402" s="324"/>
      <c r="F402" s="324"/>
      <c r="G402" s="324"/>
      <c r="H402" s="356">
        <f>VLOOKUP(AI379,'2a'!A:AG,24,0)</f>
        <v>65</v>
      </c>
      <c r="I402" s="356"/>
      <c r="J402" s="178">
        <f t="shared" si="30"/>
        <v>65</v>
      </c>
      <c r="K402" s="293" t="s">
        <v>149</v>
      </c>
      <c r="L402" s="294"/>
      <c r="M402" s="294"/>
      <c r="N402" s="294"/>
      <c r="O402" s="294"/>
      <c r="P402" s="295"/>
      <c r="Q402" s="168">
        <v>6</v>
      </c>
      <c r="R402" s="34"/>
      <c r="S402" s="34"/>
      <c r="T402" s="34"/>
      <c r="U402" s="34"/>
      <c r="V402" s="34"/>
      <c r="W402" s="34"/>
      <c r="X402" s="34"/>
      <c r="Y402" s="34"/>
      <c r="Z402" s="34"/>
      <c r="AA402" s="34"/>
      <c r="AB402" s="34"/>
      <c r="AC402" s="34"/>
      <c r="AD402" s="34"/>
      <c r="AE402" s="34"/>
      <c r="AF402" s="34"/>
      <c r="AG402" s="34"/>
      <c r="AH402" s="34"/>
    </row>
    <row r="403" spans="1:35" ht="21" customHeight="1">
      <c r="A403" s="357" t="s">
        <v>62</v>
      </c>
      <c r="B403" s="357"/>
      <c r="C403" s="357"/>
      <c r="D403" s="357"/>
      <c r="E403" s="357"/>
      <c r="F403" s="357"/>
      <c r="G403" s="357"/>
      <c r="H403" s="317">
        <f>SUM(H397:I402)</f>
        <v>394</v>
      </c>
      <c r="I403" s="318"/>
      <c r="J403" s="178">
        <f t="shared" si="30"/>
        <v>394</v>
      </c>
      <c r="K403" s="293" t="s">
        <v>63</v>
      </c>
      <c r="L403" s="294"/>
      <c r="M403" s="294"/>
      <c r="N403" s="294"/>
      <c r="O403" s="294"/>
      <c r="P403" s="294"/>
      <c r="Q403" s="295"/>
    </row>
    <row r="404" spans="1:35" ht="21" customHeight="1">
      <c r="A404" s="357" t="s">
        <v>65</v>
      </c>
      <c r="B404" s="357"/>
      <c r="C404" s="357"/>
      <c r="D404" s="357"/>
      <c r="E404" s="357"/>
      <c r="F404" s="357"/>
      <c r="G404" s="357"/>
      <c r="H404" s="291">
        <f>AVERAGE(H397:I402)</f>
        <v>65.666666666666671</v>
      </c>
      <c r="I404" s="292"/>
      <c r="J404" s="179">
        <f t="shared" si="30"/>
        <v>65.666666666666671</v>
      </c>
      <c r="K404" s="293" t="s">
        <v>66</v>
      </c>
      <c r="L404" s="294"/>
      <c r="M404" s="294"/>
      <c r="N404" s="294"/>
      <c r="O404" s="294"/>
      <c r="P404" s="294"/>
      <c r="Q404" s="295"/>
    </row>
    <row r="405" spans="1:35" ht="21" customHeight="1">
      <c r="A405" s="34"/>
      <c r="B405" s="34"/>
      <c r="C405" s="34"/>
      <c r="D405" s="34"/>
      <c r="E405" s="34"/>
      <c r="F405" s="34"/>
      <c r="G405" s="34"/>
      <c r="H405" s="34"/>
      <c r="I405" s="34"/>
      <c r="J405" s="34"/>
      <c r="K405" s="34"/>
      <c r="L405" s="34"/>
      <c r="M405" s="34"/>
      <c r="N405" s="31"/>
      <c r="O405" s="34"/>
      <c r="P405" s="34"/>
      <c r="Q405" s="34"/>
    </row>
    <row r="406" spans="1:35" ht="21" customHeight="1">
      <c r="A406" s="34"/>
      <c r="B406" s="34"/>
      <c r="C406" s="34"/>
      <c r="D406" s="34"/>
      <c r="E406" s="34"/>
      <c r="F406" s="34"/>
      <c r="G406" s="34"/>
      <c r="H406" s="34"/>
      <c r="I406" s="34"/>
      <c r="J406" s="34"/>
      <c r="K406" s="34"/>
      <c r="L406" s="34"/>
      <c r="M406" s="34"/>
      <c r="N406" s="31"/>
      <c r="O406" s="34"/>
      <c r="P406" s="34"/>
      <c r="Q406" s="34"/>
    </row>
    <row r="407" spans="1:35" ht="21" customHeight="1">
      <c r="A407" s="34"/>
      <c r="B407" s="34"/>
      <c r="C407" s="34"/>
      <c r="D407" s="34"/>
      <c r="E407" s="34"/>
      <c r="F407" s="34"/>
      <c r="G407" s="34"/>
      <c r="H407" s="34"/>
      <c r="I407" s="34"/>
      <c r="J407" s="34"/>
      <c r="K407" s="34"/>
      <c r="L407" s="34"/>
      <c r="M407" s="34"/>
      <c r="N407" s="31"/>
      <c r="O407" s="34"/>
      <c r="P407" s="34"/>
      <c r="Q407" s="34"/>
    </row>
    <row r="408" spans="1:35" ht="21" customHeight="1">
      <c r="A408" s="343" t="s">
        <v>0</v>
      </c>
      <c r="B408" s="344"/>
      <c r="C408" s="153" t="s">
        <v>1</v>
      </c>
      <c r="D408" s="344" t="str">
        <f>VLOOKUP(AI411,'2b'!A:AG,3,0)</f>
        <v>Aufar Rizky Alera</v>
      </c>
      <c r="E408" s="344"/>
      <c r="F408" s="344"/>
      <c r="G408" s="344"/>
      <c r="H408" s="344"/>
      <c r="I408" s="344"/>
      <c r="J408" s="344"/>
      <c r="K408" s="344"/>
      <c r="L408" s="344"/>
      <c r="M408" s="344"/>
      <c r="N408" s="344"/>
      <c r="O408" s="344"/>
      <c r="P408" s="344"/>
      <c r="Q408" s="345"/>
      <c r="R408" s="343" t="s">
        <v>0</v>
      </c>
      <c r="S408" s="344"/>
      <c r="T408" s="153" t="s">
        <v>1</v>
      </c>
      <c r="U408" s="344" t="str">
        <f>D408</f>
        <v>Aufar Rizky Alera</v>
      </c>
      <c r="V408" s="344"/>
      <c r="W408" s="344"/>
      <c r="X408" s="344"/>
      <c r="Y408" s="344"/>
      <c r="Z408" s="344"/>
      <c r="AA408" s="344"/>
      <c r="AB408" s="344"/>
      <c r="AC408" s="344"/>
      <c r="AD408" s="344"/>
      <c r="AE408" s="344"/>
      <c r="AF408" s="344"/>
      <c r="AG408" s="344"/>
      <c r="AH408" s="345"/>
    </row>
    <row r="409" spans="1:35" s="22" customFormat="1" ht="21" customHeight="1">
      <c r="A409" s="346" t="s">
        <v>2</v>
      </c>
      <c r="B409" s="347"/>
      <c r="C409" s="154" t="s">
        <v>1</v>
      </c>
      <c r="D409" s="347" t="s">
        <v>123</v>
      </c>
      <c r="E409" s="347"/>
      <c r="F409" s="347"/>
      <c r="G409" s="347"/>
      <c r="H409" s="347"/>
      <c r="I409" s="347"/>
      <c r="J409" s="159" t="s">
        <v>3</v>
      </c>
      <c r="K409" s="347">
        <f>VLOOKUP(AI411,'2b'!A:AG,2,0)</f>
        <v>23240029</v>
      </c>
      <c r="L409" s="347"/>
      <c r="M409" s="347"/>
      <c r="N409" s="347"/>
      <c r="O409" s="347"/>
      <c r="P409" s="347"/>
      <c r="Q409" s="348"/>
      <c r="R409" s="346" t="s">
        <v>2</v>
      </c>
      <c r="S409" s="347"/>
      <c r="T409" s="154" t="s">
        <v>1</v>
      </c>
      <c r="U409" s="347" t="str">
        <f>D409</f>
        <v>2-B</v>
      </c>
      <c r="V409" s="347"/>
      <c r="W409" s="347"/>
      <c r="X409" s="347"/>
      <c r="Y409" s="347"/>
      <c r="Z409" s="347"/>
      <c r="AA409" s="159" t="s">
        <v>3</v>
      </c>
      <c r="AB409" s="347">
        <f>K409</f>
        <v>23240029</v>
      </c>
      <c r="AC409" s="347"/>
      <c r="AD409" s="347"/>
      <c r="AE409" s="347"/>
      <c r="AF409" s="347"/>
      <c r="AG409" s="347"/>
      <c r="AH409" s="348"/>
    </row>
    <row r="410" spans="1:35" s="30" customFormat="1" ht="21" customHeight="1">
      <c r="A410" s="343" t="s">
        <v>4</v>
      </c>
      <c r="B410" s="344"/>
      <c r="C410" s="153" t="s">
        <v>1</v>
      </c>
      <c r="D410" s="304" t="str">
        <f>DASHBOARD!$H$11</f>
        <v>2025/2026</v>
      </c>
      <c r="E410" s="304"/>
      <c r="F410" s="304"/>
      <c r="G410" s="304"/>
      <c r="H410" s="304"/>
      <c r="I410" s="304"/>
      <c r="J410" s="304"/>
      <c r="K410" s="304"/>
      <c r="L410" s="304"/>
      <c r="M410" s="304"/>
      <c r="N410" s="304"/>
      <c r="O410" s="304"/>
      <c r="P410" s="304"/>
      <c r="Q410" s="349"/>
      <c r="R410" s="330" t="s">
        <v>5</v>
      </c>
      <c r="S410" s="331"/>
      <c r="T410" s="331"/>
      <c r="U410" s="331"/>
      <c r="V410" s="331"/>
      <c r="W410" s="331"/>
      <c r="X410" s="332"/>
      <c r="Y410" s="333" t="s">
        <v>6</v>
      </c>
      <c r="Z410" s="334"/>
      <c r="AA410" s="337" t="s">
        <v>7</v>
      </c>
      <c r="AB410" s="330" t="s">
        <v>8</v>
      </c>
      <c r="AC410" s="331"/>
      <c r="AD410" s="331"/>
      <c r="AE410" s="331"/>
      <c r="AF410" s="331"/>
      <c r="AG410" s="331"/>
      <c r="AH410" s="332"/>
      <c r="AI410" s="51" t="s">
        <v>788</v>
      </c>
    </row>
    <row r="411" spans="1:35" ht="21" customHeight="1">
      <c r="A411" s="303" t="s">
        <v>10</v>
      </c>
      <c r="B411" s="304"/>
      <c r="C411" s="160" t="s">
        <v>1</v>
      </c>
      <c r="D411" s="350" t="str">
        <f>DASHBOARD!$H$12</f>
        <v>1 (Satu)</v>
      </c>
      <c r="E411" s="350"/>
      <c r="F411" s="350"/>
      <c r="G411" s="350"/>
      <c r="H411" s="350"/>
      <c r="I411" s="351"/>
      <c r="J411" s="352" t="str">
        <f>DASHBOARD!$I$12</f>
        <v>الأول</v>
      </c>
      <c r="K411" s="353"/>
      <c r="L411" s="353"/>
      <c r="M411" s="353"/>
      <c r="N411" s="160" t="s">
        <v>1</v>
      </c>
      <c r="O411" s="354" t="s">
        <v>11</v>
      </c>
      <c r="P411" s="354"/>
      <c r="Q411" s="355"/>
      <c r="R411" s="339" t="s">
        <v>12</v>
      </c>
      <c r="S411" s="340"/>
      <c r="T411" s="340"/>
      <c r="U411" s="340"/>
      <c r="V411" s="340"/>
      <c r="W411" s="340"/>
      <c r="X411" s="341"/>
      <c r="Y411" s="335"/>
      <c r="Z411" s="336"/>
      <c r="AA411" s="338"/>
      <c r="AB411" s="339" t="s">
        <v>13</v>
      </c>
      <c r="AC411" s="340"/>
      <c r="AD411" s="340"/>
      <c r="AE411" s="340"/>
      <c r="AF411" s="340"/>
      <c r="AG411" s="340"/>
      <c r="AH411" s="341"/>
      <c r="AI411" s="223">
        <v>9</v>
      </c>
    </row>
    <row r="412" spans="1:35" ht="21" customHeight="1">
      <c r="A412" s="330" t="s">
        <v>5</v>
      </c>
      <c r="B412" s="331"/>
      <c r="C412" s="331"/>
      <c r="D412" s="331"/>
      <c r="E412" s="331"/>
      <c r="F412" s="331"/>
      <c r="G412" s="332"/>
      <c r="H412" s="333" t="s">
        <v>6</v>
      </c>
      <c r="I412" s="334"/>
      <c r="J412" s="337" t="s">
        <v>7</v>
      </c>
      <c r="K412" s="330" t="s">
        <v>8</v>
      </c>
      <c r="L412" s="331"/>
      <c r="M412" s="331"/>
      <c r="N412" s="331"/>
      <c r="O412" s="331"/>
      <c r="P412" s="331"/>
      <c r="Q412" s="332"/>
      <c r="R412" s="161">
        <v>1</v>
      </c>
      <c r="S412" s="288" t="s">
        <v>103</v>
      </c>
      <c r="T412" s="289"/>
      <c r="U412" s="289"/>
      <c r="V412" s="289"/>
      <c r="W412" s="289"/>
      <c r="X412" s="290"/>
      <c r="Y412" s="361">
        <f>VLOOKUP(AI411,'2b'!A:AG,14,0)</f>
        <v>85</v>
      </c>
      <c r="Z412" s="362"/>
      <c r="AA412" s="168">
        <f>Y412</f>
        <v>85</v>
      </c>
      <c r="AB412" s="293" t="s">
        <v>104</v>
      </c>
      <c r="AC412" s="294"/>
      <c r="AD412" s="294"/>
      <c r="AE412" s="294"/>
      <c r="AF412" s="294"/>
      <c r="AG412" s="295"/>
      <c r="AH412" s="168">
        <v>1</v>
      </c>
    </row>
    <row r="413" spans="1:35" ht="21" customHeight="1">
      <c r="A413" s="339" t="s">
        <v>16</v>
      </c>
      <c r="B413" s="340"/>
      <c r="C413" s="340"/>
      <c r="D413" s="340"/>
      <c r="E413" s="340"/>
      <c r="F413" s="340"/>
      <c r="G413" s="341"/>
      <c r="H413" s="335"/>
      <c r="I413" s="336"/>
      <c r="J413" s="338"/>
      <c r="K413" s="339" t="s">
        <v>17</v>
      </c>
      <c r="L413" s="340"/>
      <c r="M413" s="340"/>
      <c r="N413" s="340"/>
      <c r="O413" s="340"/>
      <c r="P413" s="340"/>
      <c r="Q413" s="341"/>
      <c r="R413" s="161">
        <v>2</v>
      </c>
      <c r="S413" s="324" t="s">
        <v>14</v>
      </c>
      <c r="T413" s="324"/>
      <c r="U413" s="324"/>
      <c r="V413" s="324"/>
      <c r="W413" s="324"/>
      <c r="X413" s="324"/>
      <c r="Y413" s="361">
        <f>VLOOKUP(AI411,'2b'!A:AG,15,0)</f>
        <v>80</v>
      </c>
      <c r="Z413" s="362"/>
      <c r="AA413" s="168">
        <f>Y413</f>
        <v>80</v>
      </c>
      <c r="AB413" s="293" t="s">
        <v>15</v>
      </c>
      <c r="AC413" s="294"/>
      <c r="AD413" s="294"/>
      <c r="AE413" s="294"/>
      <c r="AF413" s="294"/>
      <c r="AG413" s="295"/>
      <c r="AH413" s="168">
        <v>2</v>
      </c>
    </row>
    <row r="414" spans="1:35" ht="21" customHeight="1">
      <c r="A414" s="161">
        <v>1</v>
      </c>
      <c r="B414" s="288" t="s">
        <v>118</v>
      </c>
      <c r="C414" s="289"/>
      <c r="D414" s="289"/>
      <c r="E414" s="289"/>
      <c r="F414" s="289"/>
      <c r="G414" s="290"/>
      <c r="H414" s="317">
        <f>VLOOKUP(AI411,'2b'!A:AG,4,0)</f>
        <v>87</v>
      </c>
      <c r="I414" s="318"/>
      <c r="J414" s="168">
        <f>H414</f>
        <v>87</v>
      </c>
      <c r="K414" s="293" t="s">
        <v>119</v>
      </c>
      <c r="L414" s="294"/>
      <c r="M414" s="294"/>
      <c r="N414" s="294"/>
      <c r="O414" s="294"/>
      <c r="P414" s="295"/>
      <c r="Q414" s="168">
        <v>1</v>
      </c>
      <c r="R414" s="161">
        <v>3</v>
      </c>
      <c r="S414" s="288" t="s">
        <v>120</v>
      </c>
      <c r="T414" s="289"/>
      <c r="U414" s="289"/>
      <c r="V414" s="289"/>
      <c r="W414" s="289"/>
      <c r="X414" s="290"/>
      <c r="Y414" s="361">
        <f>VLOOKUP(AI411,'2b'!A:AG,16,0)</f>
        <v>80</v>
      </c>
      <c r="Z414" s="362"/>
      <c r="AA414" s="168">
        <f>Y414</f>
        <v>80</v>
      </c>
      <c r="AB414" s="293" t="s">
        <v>46</v>
      </c>
      <c r="AC414" s="294"/>
      <c r="AD414" s="294"/>
      <c r="AE414" s="294"/>
      <c r="AF414" s="294"/>
      <c r="AG414" s="295"/>
      <c r="AH414" s="168">
        <v>3</v>
      </c>
    </row>
    <row r="415" spans="1:35" ht="21" customHeight="1">
      <c r="A415" s="161">
        <v>2</v>
      </c>
      <c r="B415" s="288" t="s">
        <v>22</v>
      </c>
      <c r="C415" s="289"/>
      <c r="D415" s="289"/>
      <c r="E415" s="289"/>
      <c r="F415" s="289"/>
      <c r="G415" s="290"/>
      <c r="H415" s="317">
        <f>VLOOKUP(AI411,'2b'!A:AG,5,0)</f>
        <v>86</v>
      </c>
      <c r="I415" s="318"/>
      <c r="J415" s="168">
        <f>H415</f>
        <v>86</v>
      </c>
      <c r="K415" s="293" t="s">
        <v>23</v>
      </c>
      <c r="L415" s="294"/>
      <c r="M415" s="294"/>
      <c r="N415" s="294"/>
      <c r="O415" s="294"/>
      <c r="P415" s="295"/>
      <c r="Q415" s="168">
        <v>2</v>
      </c>
      <c r="R415" s="161">
        <v>4</v>
      </c>
      <c r="S415" s="324" t="s">
        <v>121</v>
      </c>
      <c r="T415" s="324"/>
      <c r="U415" s="324"/>
      <c r="V415" s="324"/>
      <c r="W415" s="324"/>
      <c r="X415" s="324"/>
      <c r="Y415" s="361">
        <f>VLOOKUP(AI411,'2b'!A:AG,17,0)</f>
        <v>80</v>
      </c>
      <c r="Z415" s="362"/>
      <c r="AA415" s="168">
        <f>Y415</f>
        <v>80</v>
      </c>
      <c r="AB415" s="293" t="s">
        <v>35</v>
      </c>
      <c r="AC415" s="294"/>
      <c r="AD415" s="294"/>
      <c r="AE415" s="294"/>
      <c r="AF415" s="294"/>
      <c r="AG415" s="295"/>
      <c r="AH415" s="168">
        <v>4</v>
      </c>
    </row>
    <row r="416" spans="1:35" ht="21" customHeight="1">
      <c r="A416" s="161">
        <v>3</v>
      </c>
      <c r="B416" s="288" t="s">
        <v>55</v>
      </c>
      <c r="C416" s="289"/>
      <c r="D416" s="289"/>
      <c r="E416" s="289"/>
      <c r="F416" s="289"/>
      <c r="G416" s="290"/>
      <c r="H416" s="317">
        <f>VLOOKUP(AI411,'2b'!A:AG,6,0)</f>
        <v>93</v>
      </c>
      <c r="I416" s="318"/>
      <c r="J416" s="168">
        <f t="shared" ref="J416:J425" si="31">H416</f>
        <v>93</v>
      </c>
      <c r="K416" s="293" t="s">
        <v>56</v>
      </c>
      <c r="L416" s="294"/>
      <c r="M416" s="294"/>
      <c r="N416" s="294"/>
      <c r="O416" s="294"/>
      <c r="P416" s="295"/>
      <c r="Q416" s="168">
        <v>3</v>
      </c>
      <c r="R416" s="161">
        <v>5</v>
      </c>
      <c r="S416" s="158" t="s">
        <v>22</v>
      </c>
      <c r="T416" s="155"/>
      <c r="U416" s="155"/>
      <c r="V416" s="155"/>
      <c r="W416" s="155"/>
      <c r="X416" s="162"/>
      <c r="Y416" s="361">
        <f>VLOOKUP(AI411,'2b'!A:AG,18,0)</f>
        <v>85</v>
      </c>
      <c r="Z416" s="362"/>
      <c r="AA416" s="168">
        <f>Y416</f>
        <v>85</v>
      </c>
      <c r="AB416" s="169"/>
      <c r="AC416" s="170"/>
      <c r="AD416" s="170"/>
      <c r="AE416" s="170"/>
      <c r="AF416" s="170"/>
      <c r="AG416" s="171" t="s">
        <v>23</v>
      </c>
      <c r="AH416" s="168">
        <v>5</v>
      </c>
    </row>
    <row r="417" spans="1:34" ht="21" customHeight="1">
      <c r="A417" s="161">
        <v>4</v>
      </c>
      <c r="B417" s="324" t="s">
        <v>30</v>
      </c>
      <c r="C417" s="324"/>
      <c r="D417" s="324"/>
      <c r="E417" s="324"/>
      <c r="F417" s="324"/>
      <c r="G417" s="324"/>
      <c r="H417" s="317">
        <f>VLOOKUP(AI411,'2b'!A:AG,7,0)</f>
        <v>90</v>
      </c>
      <c r="I417" s="318"/>
      <c r="J417" s="168">
        <f t="shared" si="31"/>
        <v>90</v>
      </c>
      <c r="K417" s="293" t="s">
        <v>31</v>
      </c>
      <c r="L417" s="294"/>
      <c r="M417" s="294"/>
      <c r="N417" s="294"/>
      <c r="O417" s="294"/>
      <c r="P417" s="295"/>
      <c r="Q417" s="168">
        <v>4</v>
      </c>
      <c r="R417" s="299" t="s">
        <v>768</v>
      </c>
      <c r="S417" s="300"/>
      <c r="T417" s="300"/>
      <c r="U417" s="300"/>
      <c r="V417" s="301"/>
      <c r="W417" s="327" t="s">
        <v>28</v>
      </c>
      <c r="X417" s="328"/>
      <c r="Y417" s="328"/>
      <c r="Z417" s="328"/>
      <c r="AA417" s="328"/>
      <c r="AB417" s="329"/>
      <c r="AC417" s="327" t="s">
        <v>29</v>
      </c>
      <c r="AD417" s="328"/>
      <c r="AE417" s="328"/>
      <c r="AF417" s="328"/>
      <c r="AG417" s="328"/>
      <c r="AH417" s="329"/>
    </row>
    <row r="418" spans="1:34" ht="21" customHeight="1">
      <c r="A418" s="161">
        <v>5</v>
      </c>
      <c r="B418" s="324" t="s">
        <v>34</v>
      </c>
      <c r="C418" s="324"/>
      <c r="D418" s="324"/>
      <c r="E418" s="324"/>
      <c r="F418" s="324"/>
      <c r="G418" s="324"/>
      <c r="H418" s="317">
        <f>VLOOKUP(AI411,'2b'!A:AG,8,0)</f>
        <v>78</v>
      </c>
      <c r="I418" s="318"/>
      <c r="J418" s="168">
        <f t="shared" si="31"/>
        <v>78</v>
      </c>
      <c r="K418" s="293" t="s">
        <v>35</v>
      </c>
      <c r="L418" s="294"/>
      <c r="M418" s="294"/>
      <c r="N418" s="294"/>
      <c r="O418" s="294"/>
      <c r="P418" s="295"/>
      <c r="Q418" s="168">
        <v>5</v>
      </c>
      <c r="R418" s="319" t="s">
        <v>32</v>
      </c>
      <c r="S418" s="320"/>
      <c r="T418" s="320"/>
      <c r="U418" s="180" t="s">
        <v>1</v>
      </c>
      <c r="V418" s="181" t="str">
        <f>VLOOKUP(AI411,'2b'!A:AG,28,0)</f>
        <v>B</v>
      </c>
      <c r="W418" s="321" t="s">
        <v>33</v>
      </c>
      <c r="X418" s="322"/>
      <c r="Y418" s="322"/>
      <c r="Z418" s="322"/>
      <c r="AA418" s="322"/>
      <c r="AB418" s="323"/>
      <c r="AC418" s="296" t="s">
        <v>33</v>
      </c>
      <c r="AD418" s="297"/>
      <c r="AE418" s="297"/>
      <c r="AF418" s="297"/>
      <c r="AG418" s="297"/>
      <c r="AH418" s="298"/>
    </row>
    <row r="419" spans="1:34" ht="21" customHeight="1">
      <c r="A419" s="161">
        <v>6</v>
      </c>
      <c r="B419" s="288" t="s">
        <v>49</v>
      </c>
      <c r="C419" s="289"/>
      <c r="D419" s="289"/>
      <c r="E419" s="289"/>
      <c r="F419" s="289"/>
      <c r="G419" s="290"/>
      <c r="H419" s="317">
        <f>VLOOKUP(AI411,'2b'!A:AG,9,0)</f>
        <v>87</v>
      </c>
      <c r="I419" s="318"/>
      <c r="J419" s="168">
        <f t="shared" si="31"/>
        <v>87</v>
      </c>
      <c r="K419" s="293" t="s">
        <v>50</v>
      </c>
      <c r="L419" s="294"/>
      <c r="M419" s="294"/>
      <c r="N419" s="294"/>
      <c r="O419" s="294"/>
      <c r="P419" s="295"/>
      <c r="Q419" s="168">
        <v>6</v>
      </c>
      <c r="R419" s="319" t="s">
        <v>36</v>
      </c>
      <c r="S419" s="320"/>
      <c r="T419" s="320"/>
      <c r="U419" s="180" t="s">
        <v>1</v>
      </c>
      <c r="V419" s="181" t="str">
        <f>VLOOKUP(AI411,'2b'!A:AG,29,0)</f>
        <v>B</v>
      </c>
      <c r="W419" s="13"/>
      <c r="X419" s="14"/>
      <c r="Y419" s="14"/>
      <c r="Z419" s="14"/>
      <c r="AA419" s="14"/>
      <c r="AB419" s="15"/>
      <c r="AC419" s="16"/>
      <c r="AH419" s="17"/>
    </row>
    <row r="420" spans="1:34" ht="21" customHeight="1">
      <c r="A420" s="161">
        <v>7</v>
      </c>
      <c r="B420" s="288" t="s">
        <v>128</v>
      </c>
      <c r="C420" s="289"/>
      <c r="D420" s="289"/>
      <c r="E420" s="289"/>
      <c r="F420" s="289"/>
      <c r="G420" s="290"/>
      <c r="H420" s="317">
        <f>VLOOKUP(AI411,'2b'!A:AG,10,0)</f>
        <v>79</v>
      </c>
      <c r="I420" s="318"/>
      <c r="J420" s="168">
        <f t="shared" si="31"/>
        <v>79</v>
      </c>
      <c r="K420" s="293" t="s">
        <v>112</v>
      </c>
      <c r="L420" s="294"/>
      <c r="M420" s="294"/>
      <c r="N420" s="294"/>
      <c r="O420" s="294"/>
      <c r="P420" s="295"/>
      <c r="Q420" s="168">
        <v>7</v>
      </c>
      <c r="R420" s="325" t="s">
        <v>39</v>
      </c>
      <c r="S420" s="326"/>
      <c r="T420" s="326"/>
      <c r="U420" s="182" t="s">
        <v>1</v>
      </c>
      <c r="V420" s="183" t="str">
        <f>VLOOKUP(AI411,'2b'!A:AG,30,0)</f>
        <v>B</v>
      </c>
      <c r="W420" s="16"/>
      <c r="AB420" s="17"/>
      <c r="AC420" s="16"/>
      <c r="AH420" s="17"/>
    </row>
    <row r="421" spans="1:34" ht="21" customHeight="1">
      <c r="A421" s="161">
        <v>8</v>
      </c>
      <c r="B421" s="324" t="s">
        <v>105</v>
      </c>
      <c r="C421" s="324"/>
      <c r="D421" s="324"/>
      <c r="E421" s="324"/>
      <c r="F421" s="324"/>
      <c r="G421" s="324"/>
      <c r="H421" s="317">
        <f>VLOOKUP(AI411,'2b'!A:AG,11,0)</f>
        <v>93</v>
      </c>
      <c r="I421" s="318"/>
      <c r="J421" s="168">
        <f t="shared" si="31"/>
        <v>93</v>
      </c>
      <c r="K421" s="293" t="s">
        <v>106</v>
      </c>
      <c r="L421" s="294"/>
      <c r="M421" s="294"/>
      <c r="N421" s="294"/>
      <c r="O421" s="294"/>
      <c r="P421" s="295"/>
      <c r="Q421" s="168">
        <v>8</v>
      </c>
      <c r="R421" s="327" t="s">
        <v>42</v>
      </c>
      <c r="S421" s="328"/>
      <c r="T421" s="328"/>
      <c r="U421" s="328"/>
      <c r="V421" s="329"/>
      <c r="W421" s="16"/>
      <c r="AB421" s="17"/>
      <c r="AC421" s="307" t="str">
        <f>DASHBOARD!H28</f>
        <v>Mu'allim Abdul Muhyi</v>
      </c>
      <c r="AD421" s="308"/>
      <c r="AE421" s="308"/>
      <c r="AF421" s="308"/>
      <c r="AG421" s="308"/>
      <c r="AH421" s="309"/>
    </row>
    <row r="422" spans="1:34" ht="21" customHeight="1">
      <c r="A422" s="161">
        <v>9</v>
      </c>
      <c r="B422" s="324" t="s">
        <v>14</v>
      </c>
      <c r="C422" s="324"/>
      <c r="D422" s="324"/>
      <c r="E422" s="324"/>
      <c r="F422" s="324"/>
      <c r="G422" s="324"/>
      <c r="H422" s="317">
        <f>VLOOKUP(AI411,'2b'!A:AG,12,0)</f>
        <v>93</v>
      </c>
      <c r="I422" s="318"/>
      <c r="J422" s="168">
        <f t="shared" si="31"/>
        <v>93</v>
      </c>
      <c r="K422" s="293" t="s">
        <v>15</v>
      </c>
      <c r="L422" s="294"/>
      <c r="M422" s="294"/>
      <c r="N422" s="294"/>
      <c r="O422" s="294"/>
      <c r="P422" s="295"/>
      <c r="Q422" s="168">
        <v>9</v>
      </c>
      <c r="R422" s="296" t="s">
        <v>43</v>
      </c>
      <c r="S422" s="297"/>
      <c r="T422" s="297"/>
      <c r="U422" s="297"/>
      <c r="V422" s="298"/>
      <c r="W422" s="16"/>
      <c r="AB422" s="17"/>
      <c r="AC422" s="299" t="s">
        <v>44</v>
      </c>
      <c r="AD422" s="300"/>
      <c r="AE422" s="300"/>
      <c r="AF422" s="300"/>
      <c r="AG422" s="300"/>
      <c r="AH422" s="301"/>
    </row>
    <row r="423" spans="1:34" ht="21" customHeight="1">
      <c r="A423" s="161">
        <v>10</v>
      </c>
      <c r="B423" s="324" t="s">
        <v>45</v>
      </c>
      <c r="C423" s="324"/>
      <c r="D423" s="324"/>
      <c r="E423" s="324"/>
      <c r="F423" s="324"/>
      <c r="G423" s="324"/>
      <c r="H423" s="317">
        <f>VLOOKUP(AI411,'2b'!A:AG,13,0)</f>
        <v>72</v>
      </c>
      <c r="I423" s="318"/>
      <c r="J423" s="168">
        <f t="shared" si="31"/>
        <v>72</v>
      </c>
      <c r="K423" s="293" t="s">
        <v>46</v>
      </c>
      <c r="L423" s="294"/>
      <c r="M423" s="294"/>
      <c r="N423" s="294"/>
      <c r="O423" s="294"/>
      <c r="P423" s="295"/>
      <c r="Q423" s="168">
        <v>10</v>
      </c>
      <c r="R423" s="184" t="s">
        <v>47</v>
      </c>
      <c r="S423" s="185"/>
      <c r="T423" s="180" t="s">
        <v>1</v>
      </c>
      <c r="U423" s="180">
        <f>VLOOKUP(AI411,'2b'!A:AG,31,0)</f>
        <v>29</v>
      </c>
      <c r="V423" s="181" t="s">
        <v>48</v>
      </c>
      <c r="W423" s="16"/>
      <c r="AB423" s="17"/>
      <c r="AC423" s="16"/>
      <c r="AH423" s="17"/>
    </row>
    <row r="424" spans="1:34" ht="21" customHeight="1">
      <c r="A424" s="288" t="s">
        <v>62</v>
      </c>
      <c r="B424" s="289"/>
      <c r="C424" s="289"/>
      <c r="D424" s="289"/>
      <c r="E424" s="289"/>
      <c r="F424" s="289"/>
      <c r="G424" s="290"/>
      <c r="H424" s="317">
        <f>VLOOKUP(AI411,'2b'!A:AG,25,0)</f>
        <v>1268</v>
      </c>
      <c r="I424" s="318"/>
      <c r="J424" s="168">
        <f t="shared" si="31"/>
        <v>1268</v>
      </c>
      <c r="K424" s="293" t="s">
        <v>63</v>
      </c>
      <c r="L424" s="294"/>
      <c r="M424" s="294"/>
      <c r="N424" s="294"/>
      <c r="O424" s="294"/>
      <c r="P424" s="294"/>
      <c r="Q424" s="295"/>
      <c r="R424" s="184" t="s">
        <v>51</v>
      </c>
      <c r="S424" s="185"/>
      <c r="T424" s="180" t="s">
        <v>1</v>
      </c>
      <c r="U424" s="180">
        <f>VLOOKUP(AI411,'2b'!A:AG,32,0)</f>
        <v>8</v>
      </c>
      <c r="V424" s="181" t="s">
        <v>48</v>
      </c>
      <c r="W424" s="21"/>
      <c r="X424" s="22"/>
      <c r="Y424" s="22"/>
      <c r="Z424" s="22"/>
      <c r="AA424" s="22"/>
      <c r="AB424" s="23"/>
      <c r="AC424" s="16"/>
      <c r="AH424" s="17"/>
    </row>
    <row r="425" spans="1:34" ht="21" customHeight="1">
      <c r="A425" s="288" t="s">
        <v>65</v>
      </c>
      <c r="B425" s="289"/>
      <c r="C425" s="289"/>
      <c r="D425" s="289"/>
      <c r="E425" s="289"/>
      <c r="F425" s="289"/>
      <c r="G425" s="290"/>
      <c r="H425" s="291">
        <f>VLOOKUP(AI411,'2b'!A:AG,26,0)</f>
        <v>84.533333333333331</v>
      </c>
      <c r="I425" s="292"/>
      <c r="J425" s="172">
        <f t="shared" si="31"/>
        <v>84.533333333333331</v>
      </c>
      <c r="K425" s="293" t="s">
        <v>66</v>
      </c>
      <c r="L425" s="294"/>
      <c r="M425" s="294"/>
      <c r="N425" s="294"/>
      <c r="O425" s="294"/>
      <c r="P425" s="294"/>
      <c r="Q425" s="295"/>
      <c r="R425" s="186" t="s">
        <v>53</v>
      </c>
      <c r="S425" s="187"/>
      <c r="T425" s="182" t="s">
        <v>1</v>
      </c>
      <c r="U425" s="182">
        <f>VLOOKUP(AI411,'2b'!A:AG,33,0)</f>
        <v>0</v>
      </c>
      <c r="V425" s="183" t="s">
        <v>48</v>
      </c>
      <c r="W425" s="188"/>
      <c r="X425" s="189"/>
      <c r="Y425" s="189"/>
      <c r="Z425" s="189"/>
      <c r="AA425" s="189"/>
      <c r="AB425" s="190"/>
      <c r="AC425" s="307" t="s">
        <v>770</v>
      </c>
      <c r="AD425" s="308"/>
      <c r="AE425" s="308"/>
      <c r="AF425" s="308"/>
      <c r="AG425" s="308"/>
      <c r="AH425" s="309"/>
    </row>
    <row r="426" spans="1:34" ht="21" customHeight="1">
      <c r="A426" s="288" t="s">
        <v>67</v>
      </c>
      <c r="B426" s="289"/>
      <c r="C426" s="289"/>
      <c r="D426" s="289"/>
      <c r="E426" s="199">
        <v>9</v>
      </c>
      <c r="F426" s="155" t="s">
        <v>69</v>
      </c>
      <c r="G426" s="164">
        <f>COUNT('2b'!B4:B28)</f>
        <v>25</v>
      </c>
      <c r="H426" s="164"/>
      <c r="I426" s="165"/>
      <c r="J426" s="173" t="s">
        <v>70</v>
      </c>
      <c r="K426" s="174"/>
      <c r="L426" s="175">
        <f>G426</f>
        <v>25</v>
      </c>
      <c r="M426" s="302" t="s">
        <v>71</v>
      </c>
      <c r="N426" s="302"/>
      <c r="O426" s="302"/>
      <c r="P426" s="176">
        <f>E426</f>
        <v>9</v>
      </c>
      <c r="Q426" s="177" t="s">
        <v>72</v>
      </c>
      <c r="R426" s="16"/>
      <c r="U426" t="s">
        <v>57</v>
      </c>
      <c r="AB426" s="310" t="str">
        <f>DASHBOARD!$H$13</f>
        <v>Sumedang, 05 September 2025</v>
      </c>
      <c r="AC426" s="310"/>
      <c r="AD426" s="310"/>
      <c r="AE426" s="310"/>
      <c r="AF426" s="310"/>
      <c r="AG426" s="310"/>
      <c r="AH426" s="311"/>
    </row>
    <row r="427" spans="1:34" ht="21" customHeight="1">
      <c r="A427" s="303" t="s">
        <v>73</v>
      </c>
      <c r="B427" s="304"/>
      <c r="C427" s="304"/>
      <c r="D427" s="304"/>
      <c r="E427" s="304"/>
      <c r="F427" s="304"/>
      <c r="G427" s="304"/>
      <c r="H427" s="304"/>
      <c r="I427" s="7"/>
      <c r="J427" s="166"/>
      <c r="K427" s="195"/>
      <c r="L427" s="305" t="s">
        <v>74</v>
      </c>
      <c r="M427" s="305"/>
      <c r="N427" s="305"/>
      <c r="O427" s="305"/>
      <c r="P427" s="305"/>
      <c r="Q427" s="306"/>
      <c r="R427" s="312" t="s">
        <v>60</v>
      </c>
      <c r="S427" s="310"/>
      <c r="T427" s="310"/>
      <c r="U427" s="310"/>
      <c r="V427" s="310"/>
      <c r="W427" s="310"/>
      <c r="X427" s="310"/>
      <c r="Y427" s="310"/>
      <c r="Z427" s="310"/>
      <c r="AA427" s="310"/>
      <c r="AB427" s="313" t="s">
        <v>61</v>
      </c>
      <c r="AC427" s="313"/>
      <c r="AD427" s="313"/>
      <c r="AE427" s="313"/>
      <c r="AF427" s="313"/>
      <c r="AG427" s="313"/>
      <c r="AH427" s="314"/>
    </row>
    <row r="428" spans="1:34" ht="21" customHeight="1">
      <c r="A428" s="358" t="s">
        <v>75</v>
      </c>
      <c r="B428" s="359"/>
      <c r="C428" s="359"/>
      <c r="D428" s="359"/>
      <c r="E428" s="359"/>
      <c r="F428" s="359"/>
      <c r="G428" s="359"/>
      <c r="H428" s="359"/>
      <c r="I428" s="359"/>
      <c r="J428" s="359"/>
      <c r="K428" s="359"/>
      <c r="L428" s="359"/>
      <c r="M428" s="359"/>
      <c r="N428" s="359"/>
      <c r="O428" s="359"/>
      <c r="P428" s="359"/>
      <c r="Q428" s="360"/>
      <c r="R428" s="33"/>
      <c r="S428" s="34"/>
      <c r="T428" s="34"/>
      <c r="U428" s="34"/>
      <c r="V428" s="34"/>
      <c r="W428" s="34"/>
      <c r="X428" s="34"/>
      <c r="Y428" s="34"/>
      <c r="Z428" s="34"/>
      <c r="AA428" s="34"/>
      <c r="AB428" s="297" t="s">
        <v>64</v>
      </c>
      <c r="AC428" s="297"/>
      <c r="AD428" s="297"/>
      <c r="AE428" s="297"/>
      <c r="AF428" s="297"/>
      <c r="AG428" s="297"/>
      <c r="AH428" s="298"/>
    </row>
    <row r="429" spans="1:34" ht="21" customHeight="1">
      <c r="A429" s="161">
        <v>1</v>
      </c>
      <c r="B429" s="324" t="s">
        <v>83</v>
      </c>
      <c r="C429" s="324"/>
      <c r="D429" s="324"/>
      <c r="E429" s="324"/>
      <c r="F429" s="324"/>
      <c r="G429" s="324"/>
      <c r="H429" s="356">
        <f>VLOOKUP(AI411,'2b'!A:AG,19,0)</f>
        <v>70</v>
      </c>
      <c r="I429" s="356"/>
      <c r="J429" s="178">
        <f t="shared" ref="J429:J436" si="32">H429</f>
        <v>70</v>
      </c>
      <c r="K429" s="293" t="s">
        <v>84</v>
      </c>
      <c r="L429" s="294"/>
      <c r="M429" s="294"/>
      <c r="N429" s="294"/>
      <c r="O429" s="294"/>
      <c r="P429" s="295"/>
      <c r="Q429" s="168">
        <v>1</v>
      </c>
      <c r="R429" s="33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5"/>
    </row>
    <row r="430" spans="1:34" ht="21" customHeight="1">
      <c r="A430" s="161">
        <v>2</v>
      </c>
      <c r="B430" s="288" t="s">
        <v>79</v>
      </c>
      <c r="C430" s="289"/>
      <c r="D430" s="289"/>
      <c r="E430" s="289"/>
      <c r="F430" s="289"/>
      <c r="G430" s="290"/>
      <c r="H430" s="356">
        <f>VLOOKUP(AI411,'2b'!A:AG,20,0)</f>
        <v>68</v>
      </c>
      <c r="I430" s="356"/>
      <c r="J430" s="178">
        <f t="shared" si="32"/>
        <v>68</v>
      </c>
      <c r="K430" s="293" t="s">
        <v>80</v>
      </c>
      <c r="L430" s="294"/>
      <c r="M430" s="294"/>
      <c r="N430" s="294"/>
      <c r="O430" s="294"/>
      <c r="P430" s="295"/>
      <c r="Q430" s="168">
        <v>2</v>
      </c>
      <c r="R430" s="33"/>
      <c r="S430" s="34"/>
      <c r="T430" s="34"/>
      <c r="U430" s="34"/>
      <c r="V430" s="34"/>
      <c r="W430" s="191"/>
      <c r="X430" s="191"/>
      <c r="Y430" s="191"/>
      <c r="Z430" s="191"/>
      <c r="AA430" s="191"/>
      <c r="AB430" s="34"/>
      <c r="AC430" s="34"/>
      <c r="AD430" s="34"/>
      <c r="AE430" s="34"/>
      <c r="AF430" s="34"/>
      <c r="AG430" s="34"/>
      <c r="AH430" s="35"/>
    </row>
    <row r="431" spans="1:34" ht="21" customHeight="1">
      <c r="A431" s="161">
        <v>3</v>
      </c>
      <c r="B431" s="288" t="s">
        <v>77</v>
      </c>
      <c r="C431" s="289"/>
      <c r="D431" s="289"/>
      <c r="E431" s="289"/>
      <c r="F431" s="289"/>
      <c r="G431" s="290"/>
      <c r="H431" s="317">
        <f>VLOOKUP(AI411,'2b'!A:AG,21,0)</f>
        <v>70</v>
      </c>
      <c r="I431" s="318"/>
      <c r="J431" s="178">
        <f>H431</f>
        <v>70</v>
      </c>
      <c r="K431" s="293" t="s">
        <v>78</v>
      </c>
      <c r="L431" s="294"/>
      <c r="M431" s="294"/>
      <c r="N431" s="294"/>
      <c r="O431" s="294"/>
      <c r="P431" s="295"/>
      <c r="Q431" s="168">
        <v>3</v>
      </c>
      <c r="R431" s="312"/>
      <c r="S431" s="310"/>
      <c r="T431" s="310"/>
      <c r="U431" s="310"/>
      <c r="V431" s="310"/>
      <c r="W431" s="310"/>
      <c r="X431" s="310"/>
      <c r="Y431" s="310"/>
      <c r="Z431" s="310"/>
      <c r="AA431" s="310"/>
      <c r="AB431" s="34"/>
      <c r="AC431" s="34"/>
      <c r="AD431" s="34"/>
      <c r="AE431" s="34"/>
      <c r="AF431" s="34"/>
      <c r="AG431" s="34"/>
      <c r="AH431" s="35"/>
    </row>
    <row r="432" spans="1:34" ht="21" customHeight="1">
      <c r="A432" s="161">
        <v>4</v>
      </c>
      <c r="B432" s="288" t="s">
        <v>81</v>
      </c>
      <c r="C432" s="289"/>
      <c r="D432" s="289"/>
      <c r="E432" s="289"/>
      <c r="F432" s="289"/>
      <c r="G432" s="290"/>
      <c r="H432" s="317">
        <f>VLOOKUP(AI411,'2b'!A:AG,22,0)</f>
        <v>60</v>
      </c>
      <c r="I432" s="318"/>
      <c r="J432" s="178">
        <f>H432</f>
        <v>60</v>
      </c>
      <c r="K432" s="293" t="s">
        <v>82</v>
      </c>
      <c r="L432" s="294"/>
      <c r="M432" s="294"/>
      <c r="N432" s="294"/>
      <c r="O432" s="294"/>
      <c r="P432" s="295"/>
      <c r="Q432" s="168">
        <v>4</v>
      </c>
      <c r="R432" s="315" t="s">
        <v>766</v>
      </c>
      <c r="S432" s="316"/>
      <c r="T432" s="316"/>
      <c r="U432" s="316"/>
      <c r="V432" s="316"/>
      <c r="W432" s="316"/>
      <c r="X432" s="316"/>
      <c r="Y432" s="316"/>
      <c r="Z432" s="316"/>
      <c r="AA432" s="316"/>
      <c r="AB432" s="308" t="s">
        <v>767</v>
      </c>
      <c r="AC432" s="308"/>
      <c r="AD432" s="308"/>
      <c r="AE432" s="308"/>
      <c r="AF432" s="308"/>
      <c r="AG432" s="308"/>
      <c r="AH432" s="309"/>
    </row>
    <row r="433" spans="1:35" ht="21" customHeight="1">
      <c r="A433" s="161">
        <v>5</v>
      </c>
      <c r="B433" s="324" t="s">
        <v>147</v>
      </c>
      <c r="C433" s="324"/>
      <c r="D433" s="324"/>
      <c r="E433" s="324"/>
      <c r="F433" s="324"/>
      <c r="G433" s="324"/>
      <c r="H433" s="356">
        <f>VLOOKUP(AI411,'2b'!A:AG,23,0)</f>
        <v>60</v>
      </c>
      <c r="I433" s="356"/>
      <c r="J433" s="178">
        <f t="shared" si="32"/>
        <v>60</v>
      </c>
      <c r="K433" s="293" t="s">
        <v>84</v>
      </c>
      <c r="L433" s="294"/>
      <c r="M433" s="294"/>
      <c r="N433" s="294"/>
      <c r="O433" s="294"/>
      <c r="P433" s="295"/>
      <c r="Q433" s="168">
        <v>5</v>
      </c>
      <c r="R433" s="32"/>
      <c r="S433" s="32"/>
      <c r="T433" s="32"/>
      <c r="U433" s="32"/>
      <c r="V433" s="32"/>
      <c r="W433" s="32"/>
      <c r="X433" s="32"/>
      <c r="Y433" s="32"/>
      <c r="Z433" s="32"/>
      <c r="AA433" s="32"/>
      <c r="AB433" s="32"/>
      <c r="AC433" s="32"/>
      <c r="AD433" s="32"/>
      <c r="AE433" s="32"/>
      <c r="AF433" s="32"/>
      <c r="AG433" s="32"/>
      <c r="AH433" s="32"/>
    </row>
    <row r="434" spans="1:35" ht="21" customHeight="1">
      <c r="A434" s="161">
        <v>6</v>
      </c>
      <c r="B434" s="324" t="s">
        <v>148</v>
      </c>
      <c r="C434" s="324"/>
      <c r="D434" s="324"/>
      <c r="E434" s="324"/>
      <c r="F434" s="324"/>
      <c r="G434" s="324"/>
      <c r="H434" s="356">
        <f>VLOOKUP(AI411,'2b'!A:AG,24,0)</f>
        <v>68</v>
      </c>
      <c r="I434" s="356"/>
      <c r="J434" s="178">
        <f t="shared" si="32"/>
        <v>68</v>
      </c>
      <c r="K434" s="293" t="s">
        <v>149</v>
      </c>
      <c r="L434" s="294"/>
      <c r="M434" s="294"/>
      <c r="N434" s="294"/>
      <c r="O434" s="294"/>
      <c r="P434" s="295"/>
      <c r="Q434" s="168">
        <v>6</v>
      </c>
      <c r="R434" s="32"/>
      <c r="S434" s="32"/>
      <c r="T434" s="32"/>
      <c r="U434" s="32"/>
      <c r="V434" s="32"/>
      <c r="W434" s="32"/>
      <c r="X434" s="32"/>
      <c r="Y434" s="32"/>
      <c r="Z434" s="32"/>
      <c r="AA434" s="32"/>
      <c r="AB434" s="32"/>
      <c r="AC434" s="32"/>
      <c r="AD434" s="32"/>
      <c r="AE434" s="32"/>
      <c r="AF434" s="32"/>
      <c r="AG434" s="32"/>
      <c r="AH434" s="32"/>
    </row>
    <row r="435" spans="1:35" ht="21" customHeight="1">
      <c r="A435" s="357" t="s">
        <v>62</v>
      </c>
      <c r="B435" s="357"/>
      <c r="C435" s="357"/>
      <c r="D435" s="357"/>
      <c r="E435" s="357"/>
      <c r="F435" s="357"/>
      <c r="G435" s="357"/>
      <c r="H435" s="317">
        <f>SUM(H429:I434)</f>
        <v>396</v>
      </c>
      <c r="I435" s="318"/>
      <c r="J435" s="178">
        <f t="shared" si="32"/>
        <v>396</v>
      </c>
      <c r="K435" s="293" t="s">
        <v>63</v>
      </c>
      <c r="L435" s="294"/>
      <c r="M435" s="294"/>
      <c r="N435" s="294"/>
      <c r="O435" s="294"/>
      <c r="P435" s="294"/>
      <c r="Q435" s="295"/>
      <c r="R435" s="32"/>
      <c r="S435" s="32"/>
      <c r="T435" s="32"/>
      <c r="U435" s="32"/>
      <c r="V435" s="32"/>
      <c r="W435" s="32"/>
      <c r="X435" s="32"/>
      <c r="Y435" s="32"/>
      <c r="Z435" s="32"/>
      <c r="AA435" s="32"/>
      <c r="AB435" s="32"/>
      <c r="AC435" s="32"/>
      <c r="AD435" s="32"/>
      <c r="AE435" s="32"/>
      <c r="AF435" s="32"/>
      <c r="AG435" s="32"/>
      <c r="AH435" s="32"/>
    </row>
    <row r="436" spans="1:35" ht="21" customHeight="1">
      <c r="A436" s="357" t="s">
        <v>65</v>
      </c>
      <c r="B436" s="357"/>
      <c r="C436" s="357"/>
      <c r="D436" s="357"/>
      <c r="E436" s="357"/>
      <c r="F436" s="357"/>
      <c r="G436" s="357"/>
      <c r="H436" s="291">
        <f>AVERAGE(H429:I434)</f>
        <v>66</v>
      </c>
      <c r="I436" s="292"/>
      <c r="J436" s="179">
        <f t="shared" si="32"/>
        <v>66</v>
      </c>
      <c r="K436" s="293" t="s">
        <v>66</v>
      </c>
      <c r="L436" s="294"/>
      <c r="M436" s="294"/>
      <c r="N436" s="294"/>
      <c r="O436" s="294"/>
      <c r="P436" s="294"/>
      <c r="Q436" s="295"/>
      <c r="R436" s="32"/>
      <c r="S436" s="32"/>
      <c r="T436" s="32"/>
      <c r="U436" s="32"/>
      <c r="V436" s="32"/>
      <c r="W436" s="32"/>
      <c r="X436" s="32"/>
      <c r="Y436" s="32"/>
      <c r="Z436" s="32"/>
      <c r="AA436" s="32"/>
      <c r="AB436" s="32"/>
      <c r="AC436" s="32"/>
      <c r="AD436" s="32"/>
      <c r="AE436" s="32"/>
      <c r="AF436" s="32"/>
      <c r="AG436" s="32"/>
      <c r="AH436" s="32"/>
    </row>
    <row r="437" spans="1:35" ht="21" customHeight="1">
      <c r="A437" s="34"/>
      <c r="B437" s="34"/>
      <c r="C437" s="34"/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1"/>
      <c r="O437" s="34"/>
      <c r="P437" s="34"/>
      <c r="Q437" s="34"/>
      <c r="R437" s="32"/>
      <c r="S437" s="32"/>
      <c r="T437" s="32"/>
      <c r="U437" s="32"/>
      <c r="V437" s="32"/>
      <c r="W437" s="32"/>
      <c r="X437" s="32"/>
      <c r="Y437" s="32"/>
      <c r="Z437" s="32"/>
      <c r="AA437" s="32"/>
      <c r="AB437" s="32"/>
      <c r="AC437" s="32"/>
      <c r="AD437" s="32"/>
      <c r="AE437" s="32"/>
      <c r="AF437" s="32"/>
      <c r="AG437" s="32"/>
      <c r="AH437" s="32"/>
    </row>
    <row r="438" spans="1:35" ht="21" customHeight="1">
      <c r="A438" s="34"/>
      <c r="B438" s="34"/>
      <c r="C438" s="34"/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1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</row>
    <row r="439" spans="1:35" ht="21" customHeight="1">
      <c r="A439" s="34"/>
      <c r="B439" s="34"/>
      <c r="C439" s="34"/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1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34"/>
      <c r="AA439" s="34"/>
      <c r="AB439" s="34"/>
      <c r="AC439" s="34"/>
      <c r="AD439" s="34"/>
      <c r="AE439" s="34"/>
      <c r="AF439" s="34"/>
      <c r="AG439" s="34"/>
      <c r="AH439" s="34"/>
    </row>
    <row r="440" spans="1:35" ht="21" customHeight="1">
      <c r="A440" s="343" t="s">
        <v>0</v>
      </c>
      <c r="B440" s="344"/>
      <c r="C440" s="153" t="s">
        <v>1</v>
      </c>
      <c r="D440" s="344" t="str">
        <f>VLOOKUP(AI443,'2c'!A:AG,3,0)</f>
        <v>Arrizal Ihsan Firdaus</v>
      </c>
      <c r="E440" s="344"/>
      <c r="F440" s="344"/>
      <c r="G440" s="344"/>
      <c r="H440" s="344"/>
      <c r="I440" s="344"/>
      <c r="J440" s="344"/>
      <c r="K440" s="344"/>
      <c r="L440" s="344"/>
      <c r="M440" s="344"/>
      <c r="N440" s="344"/>
      <c r="O440" s="344"/>
      <c r="P440" s="344"/>
      <c r="Q440" s="345"/>
      <c r="R440" s="343" t="s">
        <v>0</v>
      </c>
      <c r="S440" s="344"/>
      <c r="T440" s="153" t="s">
        <v>1</v>
      </c>
      <c r="U440" s="344" t="str">
        <f>D440</f>
        <v>Arrizal Ihsan Firdaus</v>
      </c>
      <c r="V440" s="344"/>
      <c r="W440" s="344"/>
      <c r="X440" s="344"/>
      <c r="Y440" s="344"/>
      <c r="Z440" s="344"/>
      <c r="AA440" s="344"/>
      <c r="AB440" s="344"/>
      <c r="AC440" s="344"/>
      <c r="AD440" s="344"/>
      <c r="AE440" s="344"/>
      <c r="AF440" s="344"/>
      <c r="AG440" s="344"/>
      <c r="AH440" s="345"/>
    </row>
    <row r="441" spans="1:35" s="22" customFormat="1" ht="21" customHeight="1">
      <c r="A441" s="346" t="s">
        <v>2</v>
      </c>
      <c r="B441" s="347"/>
      <c r="C441" s="154" t="s">
        <v>1</v>
      </c>
      <c r="D441" s="347" t="s">
        <v>125</v>
      </c>
      <c r="E441" s="347"/>
      <c r="F441" s="347"/>
      <c r="G441" s="347"/>
      <c r="H441" s="347"/>
      <c r="I441" s="347"/>
      <c r="J441" s="159" t="s">
        <v>3</v>
      </c>
      <c r="K441" s="347">
        <f>VLOOKUP(AI443,'2c'!A:AG,2,0)</f>
        <v>21220095</v>
      </c>
      <c r="L441" s="347"/>
      <c r="M441" s="347"/>
      <c r="N441" s="347"/>
      <c r="O441" s="347"/>
      <c r="P441" s="347"/>
      <c r="Q441" s="348"/>
      <c r="R441" s="346" t="s">
        <v>2</v>
      </c>
      <c r="S441" s="347"/>
      <c r="T441" s="154" t="s">
        <v>1</v>
      </c>
      <c r="U441" s="347" t="str">
        <f>D441</f>
        <v>2-C</v>
      </c>
      <c r="V441" s="347"/>
      <c r="W441" s="347"/>
      <c r="X441" s="347"/>
      <c r="Y441" s="347"/>
      <c r="Z441" s="347"/>
      <c r="AA441" s="159" t="s">
        <v>3</v>
      </c>
      <c r="AB441" s="347">
        <f>K441</f>
        <v>21220095</v>
      </c>
      <c r="AC441" s="347"/>
      <c r="AD441" s="347"/>
      <c r="AE441" s="347"/>
      <c r="AF441" s="347"/>
      <c r="AG441" s="347"/>
      <c r="AH441" s="348"/>
      <c r="AI441"/>
    </row>
    <row r="442" spans="1:35" s="30" customFormat="1" ht="21" customHeight="1">
      <c r="A442" s="343" t="s">
        <v>4</v>
      </c>
      <c r="B442" s="344"/>
      <c r="C442" s="153" t="s">
        <v>1</v>
      </c>
      <c r="D442" s="304" t="str">
        <f>DASHBOARD!$H$11</f>
        <v>2025/2026</v>
      </c>
      <c r="E442" s="304"/>
      <c r="F442" s="304"/>
      <c r="G442" s="304"/>
      <c r="H442" s="304"/>
      <c r="I442" s="304"/>
      <c r="J442" s="304"/>
      <c r="K442" s="304"/>
      <c r="L442" s="304"/>
      <c r="M442" s="304"/>
      <c r="N442" s="304"/>
      <c r="O442" s="304"/>
      <c r="P442" s="304"/>
      <c r="Q442" s="349"/>
      <c r="R442" s="330" t="s">
        <v>5</v>
      </c>
      <c r="S442" s="331"/>
      <c r="T442" s="331"/>
      <c r="U442" s="331"/>
      <c r="V442" s="331"/>
      <c r="W442" s="331"/>
      <c r="X442" s="332"/>
      <c r="Y442" s="333" t="s">
        <v>6</v>
      </c>
      <c r="Z442" s="334"/>
      <c r="AA442" s="337" t="s">
        <v>7</v>
      </c>
      <c r="AB442" s="330" t="s">
        <v>8</v>
      </c>
      <c r="AC442" s="331"/>
      <c r="AD442" s="331"/>
      <c r="AE442" s="331"/>
      <c r="AF442" s="331"/>
      <c r="AG442" s="331"/>
      <c r="AH442" s="332"/>
      <c r="AI442" s="51" t="s">
        <v>788</v>
      </c>
    </row>
    <row r="443" spans="1:35" ht="21" customHeight="1">
      <c r="A443" s="303" t="s">
        <v>10</v>
      </c>
      <c r="B443" s="304"/>
      <c r="C443" s="160" t="s">
        <v>1</v>
      </c>
      <c r="D443" s="350" t="str">
        <f>DASHBOARD!$H$12</f>
        <v>1 (Satu)</v>
      </c>
      <c r="E443" s="350"/>
      <c r="F443" s="350"/>
      <c r="G443" s="350"/>
      <c r="H443" s="350"/>
      <c r="I443" s="351"/>
      <c r="J443" s="352" t="str">
        <f>DASHBOARD!$I$12</f>
        <v>الأول</v>
      </c>
      <c r="K443" s="353"/>
      <c r="L443" s="353"/>
      <c r="M443" s="353"/>
      <c r="N443" s="160" t="s">
        <v>1</v>
      </c>
      <c r="O443" s="354" t="s">
        <v>11</v>
      </c>
      <c r="P443" s="354"/>
      <c r="Q443" s="355"/>
      <c r="R443" s="339" t="s">
        <v>12</v>
      </c>
      <c r="S443" s="340"/>
      <c r="T443" s="340"/>
      <c r="U443" s="340"/>
      <c r="V443" s="340"/>
      <c r="W443" s="340"/>
      <c r="X443" s="341"/>
      <c r="Y443" s="335"/>
      <c r="Z443" s="336"/>
      <c r="AA443" s="338"/>
      <c r="AB443" s="339" t="s">
        <v>13</v>
      </c>
      <c r="AC443" s="340"/>
      <c r="AD443" s="340"/>
      <c r="AE443" s="340"/>
      <c r="AF443" s="340"/>
      <c r="AG443" s="340"/>
      <c r="AH443" s="341"/>
      <c r="AI443" s="51">
        <v>25</v>
      </c>
    </row>
    <row r="444" spans="1:35" ht="21" customHeight="1">
      <c r="A444" s="330" t="s">
        <v>5</v>
      </c>
      <c r="B444" s="331"/>
      <c r="C444" s="331"/>
      <c r="D444" s="331"/>
      <c r="E444" s="331"/>
      <c r="F444" s="331"/>
      <c r="G444" s="332"/>
      <c r="H444" s="333" t="s">
        <v>6</v>
      </c>
      <c r="I444" s="334"/>
      <c r="J444" s="337" t="s">
        <v>7</v>
      </c>
      <c r="K444" s="330" t="s">
        <v>8</v>
      </c>
      <c r="L444" s="331"/>
      <c r="M444" s="331"/>
      <c r="N444" s="331"/>
      <c r="O444" s="331"/>
      <c r="P444" s="331"/>
      <c r="Q444" s="332"/>
      <c r="R444" s="161">
        <v>1</v>
      </c>
      <c r="S444" s="288" t="s">
        <v>103</v>
      </c>
      <c r="T444" s="289"/>
      <c r="U444" s="289"/>
      <c r="V444" s="289"/>
      <c r="W444" s="289"/>
      <c r="X444" s="290"/>
      <c r="Y444" s="361">
        <f>VLOOKUP(AI443,'2c'!A:AG,14,0)</f>
        <v>70</v>
      </c>
      <c r="Z444" s="362"/>
      <c r="AA444" s="168">
        <f>Y444</f>
        <v>70</v>
      </c>
      <c r="AB444" s="293" t="s">
        <v>104</v>
      </c>
      <c r="AC444" s="294"/>
      <c r="AD444" s="294"/>
      <c r="AE444" s="294"/>
      <c r="AF444" s="294"/>
      <c r="AG444" s="295"/>
      <c r="AH444" s="168">
        <v>1</v>
      </c>
    </row>
    <row r="445" spans="1:35" ht="21" customHeight="1">
      <c r="A445" s="339" t="s">
        <v>16</v>
      </c>
      <c r="B445" s="340"/>
      <c r="C445" s="340"/>
      <c r="D445" s="340"/>
      <c r="E445" s="340"/>
      <c r="F445" s="340"/>
      <c r="G445" s="341"/>
      <c r="H445" s="335"/>
      <c r="I445" s="336"/>
      <c r="J445" s="338"/>
      <c r="K445" s="339" t="s">
        <v>17</v>
      </c>
      <c r="L445" s="340"/>
      <c r="M445" s="340"/>
      <c r="N445" s="340"/>
      <c r="O445" s="340"/>
      <c r="P445" s="340"/>
      <c r="Q445" s="341"/>
      <c r="R445" s="161">
        <v>2</v>
      </c>
      <c r="S445" s="324" t="s">
        <v>14</v>
      </c>
      <c r="T445" s="324"/>
      <c r="U445" s="324"/>
      <c r="V445" s="324"/>
      <c r="W445" s="324"/>
      <c r="X445" s="324"/>
      <c r="Y445" s="361">
        <f>VLOOKUP(AI443,'2c'!A:AG,15,0)</f>
        <v>50</v>
      </c>
      <c r="Z445" s="362"/>
      <c r="AA445" s="168">
        <f>Y445</f>
        <v>50</v>
      </c>
      <c r="AB445" s="293" t="s">
        <v>15</v>
      </c>
      <c r="AC445" s="294"/>
      <c r="AD445" s="294"/>
      <c r="AE445" s="294"/>
      <c r="AF445" s="294"/>
      <c r="AG445" s="295"/>
      <c r="AH445" s="168">
        <v>2</v>
      </c>
    </row>
    <row r="446" spans="1:35" ht="21" customHeight="1">
      <c r="A446" s="161">
        <v>1</v>
      </c>
      <c r="B446" s="288" t="s">
        <v>118</v>
      </c>
      <c r="C446" s="289"/>
      <c r="D446" s="289"/>
      <c r="E446" s="289"/>
      <c r="F446" s="289"/>
      <c r="G446" s="290"/>
      <c r="H446" s="317">
        <f>VLOOKUP(AI443,'2c'!A:AG,4,0)</f>
        <v>75</v>
      </c>
      <c r="I446" s="318"/>
      <c r="J446" s="168">
        <f>H446</f>
        <v>75</v>
      </c>
      <c r="K446" s="293" t="s">
        <v>119</v>
      </c>
      <c r="L446" s="294"/>
      <c r="M446" s="294"/>
      <c r="N446" s="294"/>
      <c r="O446" s="294"/>
      <c r="P446" s="295"/>
      <c r="Q446" s="168">
        <v>1</v>
      </c>
      <c r="R446" s="161">
        <v>3</v>
      </c>
      <c r="S446" s="288" t="s">
        <v>120</v>
      </c>
      <c r="T446" s="289"/>
      <c r="U446" s="289"/>
      <c r="V446" s="289"/>
      <c r="W446" s="289"/>
      <c r="X446" s="290"/>
      <c r="Y446" s="361">
        <f>VLOOKUP(AI443,'2c'!A:AG,16,0)</f>
        <v>40</v>
      </c>
      <c r="Z446" s="362"/>
      <c r="AA446" s="168">
        <f>Y446</f>
        <v>40</v>
      </c>
      <c r="AB446" s="293" t="s">
        <v>46</v>
      </c>
      <c r="AC446" s="294"/>
      <c r="AD446" s="294"/>
      <c r="AE446" s="294"/>
      <c r="AF446" s="294"/>
      <c r="AG446" s="295"/>
      <c r="AH446" s="168">
        <v>3</v>
      </c>
    </row>
    <row r="447" spans="1:35" ht="21" customHeight="1">
      <c r="A447" s="161">
        <v>2</v>
      </c>
      <c r="B447" s="288" t="s">
        <v>22</v>
      </c>
      <c r="C447" s="289"/>
      <c r="D447" s="289"/>
      <c r="E447" s="289"/>
      <c r="F447" s="289"/>
      <c r="G447" s="290"/>
      <c r="H447" s="317">
        <f>VLOOKUP(AI443,'2c'!A:AG,5,0)</f>
        <v>53</v>
      </c>
      <c r="I447" s="318"/>
      <c r="J447" s="168">
        <f>H447</f>
        <v>53</v>
      </c>
      <c r="K447" s="293" t="s">
        <v>23</v>
      </c>
      <c r="L447" s="294"/>
      <c r="M447" s="294"/>
      <c r="N447" s="294"/>
      <c r="O447" s="294"/>
      <c r="P447" s="295"/>
      <c r="Q447" s="168">
        <v>2</v>
      </c>
      <c r="R447" s="161">
        <v>4</v>
      </c>
      <c r="S447" s="324" t="s">
        <v>121</v>
      </c>
      <c r="T447" s="324"/>
      <c r="U447" s="324"/>
      <c r="V447" s="324"/>
      <c r="W447" s="324"/>
      <c r="X447" s="324"/>
      <c r="Y447" s="361">
        <f>VLOOKUP(AI443,'2c'!A:AG,17,0)</f>
        <v>60</v>
      </c>
      <c r="Z447" s="362"/>
      <c r="AA447" s="168">
        <f>Y447</f>
        <v>60</v>
      </c>
      <c r="AB447" s="293" t="s">
        <v>35</v>
      </c>
      <c r="AC447" s="294"/>
      <c r="AD447" s="294"/>
      <c r="AE447" s="294"/>
      <c r="AF447" s="294"/>
      <c r="AG447" s="295"/>
      <c r="AH447" s="168">
        <v>4</v>
      </c>
    </row>
    <row r="448" spans="1:35" ht="21" customHeight="1">
      <c r="A448" s="161">
        <v>3</v>
      </c>
      <c r="B448" s="288" t="s">
        <v>55</v>
      </c>
      <c r="C448" s="289"/>
      <c r="D448" s="289"/>
      <c r="E448" s="289"/>
      <c r="F448" s="289"/>
      <c r="G448" s="290"/>
      <c r="H448" s="317">
        <f>VLOOKUP(AI443,'2c'!A:AG,6,0)</f>
        <v>40</v>
      </c>
      <c r="I448" s="318"/>
      <c r="J448" s="168">
        <f t="shared" ref="J448:J457" si="33">H448</f>
        <v>40</v>
      </c>
      <c r="K448" s="293" t="s">
        <v>56</v>
      </c>
      <c r="L448" s="294"/>
      <c r="M448" s="294"/>
      <c r="N448" s="294"/>
      <c r="O448" s="294"/>
      <c r="P448" s="295"/>
      <c r="Q448" s="168">
        <v>3</v>
      </c>
      <c r="R448" s="161">
        <v>5</v>
      </c>
      <c r="S448" s="158" t="s">
        <v>22</v>
      </c>
      <c r="T448" s="155"/>
      <c r="U448" s="155"/>
      <c r="V448" s="155"/>
      <c r="W448" s="155"/>
      <c r="X448" s="162"/>
      <c r="Y448" s="361">
        <f>VLOOKUP(AI443,'2c'!A:AG,18,0)</f>
        <v>70</v>
      </c>
      <c r="Z448" s="362"/>
      <c r="AA448" s="168">
        <f>Y448</f>
        <v>70</v>
      </c>
      <c r="AB448" s="169"/>
      <c r="AC448" s="170"/>
      <c r="AD448" s="170"/>
      <c r="AE448" s="170"/>
      <c r="AF448" s="170"/>
      <c r="AG448" s="171" t="s">
        <v>23</v>
      </c>
      <c r="AH448" s="168">
        <v>5</v>
      </c>
    </row>
    <row r="449" spans="1:35" ht="21" customHeight="1">
      <c r="A449" s="161">
        <v>4</v>
      </c>
      <c r="B449" s="324" t="s">
        <v>30</v>
      </c>
      <c r="C449" s="324"/>
      <c r="D449" s="324"/>
      <c r="E449" s="324"/>
      <c r="F449" s="324"/>
      <c r="G449" s="324"/>
      <c r="H449" s="317">
        <f>VLOOKUP(AI443,'2c'!A:AG,7,0)</f>
        <v>55</v>
      </c>
      <c r="I449" s="318"/>
      <c r="J449" s="168">
        <f t="shared" si="33"/>
        <v>55</v>
      </c>
      <c r="K449" s="293" t="s">
        <v>31</v>
      </c>
      <c r="L449" s="294"/>
      <c r="M449" s="294"/>
      <c r="N449" s="294"/>
      <c r="O449" s="294"/>
      <c r="P449" s="295"/>
      <c r="Q449" s="168">
        <v>4</v>
      </c>
      <c r="R449" s="299" t="s">
        <v>768</v>
      </c>
      <c r="S449" s="300"/>
      <c r="T449" s="300"/>
      <c r="U449" s="300"/>
      <c r="V449" s="301"/>
      <c r="W449" s="327" t="s">
        <v>28</v>
      </c>
      <c r="X449" s="328"/>
      <c r="Y449" s="328"/>
      <c r="Z449" s="328"/>
      <c r="AA449" s="328"/>
      <c r="AB449" s="329"/>
      <c r="AC449" s="327" t="s">
        <v>29</v>
      </c>
      <c r="AD449" s="328"/>
      <c r="AE449" s="328"/>
      <c r="AF449" s="328"/>
      <c r="AG449" s="328"/>
      <c r="AH449" s="329"/>
    </row>
    <row r="450" spans="1:35" ht="21" customHeight="1">
      <c r="A450" s="161">
        <v>5</v>
      </c>
      <c r="B450" s="324" t="s">
        <v>34</v>
      </c>
      <c r="C450" s="324"/>
      <c r="D450" s="324"/>
      <c r="E450" s="324"/>
      <c r="F450" s="324"/>
      <c r="G450" s="324"/>
      <c r="H450" s="317">
        <f>VLOOKUP(AI443,'2c'!A:AG,8,0)</f>
        <v>56</v>
      </c>
      <c r="I450" s="318"/>
      <c r="J450" s="168">
        <f t="shared" si="33"/>
        <v>56</v>
      </c>
      <c r="K450" s="293" t="s">
        <v>35</v>
      </c>
      <c r="L450" s="294"/>
      <c r="M450" s="294"/>
      <c r="N450" s="294"/>
      <c r="O450" s="294"/>
      <c r="P450" s="295"/>
      <c r="Q450" s="168">
        <v>5</v>
      </c>
      <c r="R450" s="319" t="s">
        <v>32</v>
      </c>
      <c r="S450" s="320"/>
      <c r="T450" s="320"/>
      <c r="U450" s="180" t="s">
        <v>1</v>
      </c>
      <c r="V450" s="181" t="str">
        <f>VLOOKUP(AI443,'2c'!A:AG,28,0)</f>
        <v>B</v>
      </c>
      <c r="W450" s="321" t="s">
        <v>33</v>
      </c>
      <c r="X450" s="322"/>
      <c r="Y450" s="322"/>
      <c r="Z450" s="322"/>
      <c r="AA450" s="322"/>
      <c r="AB450" s="323"/>
      <c r="AC450" s="296" t="s">
        <v>33</v>
      </c>
      <c r="AD450" s="297"/>
      <c r="AE450" s="297"/>
      <c r="AF450" s="297"/>
      <c r="AG450" s="297"/>
      <c r="AH450" s="298"/>
    </row>
    <row r="451" spans="1:35" ht="21" customHeight="1">
      <c r="A451" s="161">
        <v>6</v>
      </c>
      <c r="B451" s="288" t="s">
        <v>49</v>
      </c>
      <c r="C451" s="289"/>
      <c r="D451" s="289"/>
      <c r="E451" s="289"/>
      <c r="F451" s="289"/>
      <c r="G451" s="290"/>
      <c r="H451" s="317">
        <f>VLOOKUP(AI443,'2c'!A:AG,9,0)</f>
        <v>52</v>
      </c>
      <c r="I451" s="318"/>
      <c r="J451" s="168">
        <f t="shared" si="33"/>
        <v>52</v>
      </c>
      <c r="K451" s="293" t="s">
        <v>50</v>
      </c>
      <c r="L451" s="294"/>
      <c r="M451" s="294"/>
      <c r="N451" s="294"/>
      <c r="O451" s="294"/>
      <c r="P451" s="295"/>
      <c r="Q451" s="168">
        <v>6</v>
      </c>
      <c r="R451" s="319" t="s">
        <v>36</v>
      </c>
      <c r="S451" s="320"/>
      <c r="T451" s="320"/>
      <c r="U451" s="180" t="s">
        <v>1</v>
      </c>
      <c r="V451" s="181" t="str">
        <f>VLOOKUP(AI443,'2c'!A:AG,29,0)</f>
        <v>B</v>
      </c>
      <c r="W451" s="13"/>
      <c r="X451" s="14"/>
      <c r="Y451" s="14"/>
      <c r="Z451" s="14"/>
      <c r="AA451" s="14"/>
      <c r="AB451" s="15"/>
      <c r="AC451" s="16"/>
      <c r="AH451" s="17"/>
    </row>
    <row r="452" spans="1:35" ht="21" customHeight="1">
      <c r="A452" s="161">
        <v>7</v>
      </c>
      <c r="B452" s="288" t="s">
        <v>128</v>
      </c>
      <c r="C452" s="289"/>
      <c r="D452" s="289"/>
      <c r="E452" s="289"/>
      <c r="F452" s="289"/>
      <c r="G452" s="290"/>
      <c r="H452" s="317">
        <f>VLOOKUP(AI443,'2c'!A:AG,10,0)</f>
        <v>54</v>
      </c>
      <c r="I452" s="318"/>
      <c r="J452" s="168">
        <f t="shared" si="33"/>
        <v>54</v>
      </c>
      <c r="K452" s="293" t="s">
        <v>112</v>
      </c>
      <c r="L452" s="294"/>
      <c r="M452" s="294"/>
      <c r="N452" s="294"/>
      <c r="O452" s="294"/>
      <c r="P452" s="295"/>
      <c r="Q452" s="168">
        <v>7</v>
      </c>
      <c r="R452" s="325" t="s">
        <v>39</v>
      </c>
      <c r="S452" s="326"/>
      <c r="T452" s="326"/>
      <c r="U452" s="182" t="s">
        <v>1</v>
      </c>
      <c r="V452" s="183" t="str">
        <f>VLOOKUP(AI443,'2c'!A:AG,30,0)</f>
        <v>C</v>
      </c>
      <c r="W452" s="16"/>
      <c r="AB452" s="17"/>
      <c r="AC452" s="16"/>
      <c r="AH452" s="17"/>
    </row>
    <row r="453" spans="1:35" ht="21" customHeight="1">
      <c r="A453" s="161">
        <v>8</v>
      </c>
      <c r="B453" s="324" t="s">
        <v>105</v>
      </c>
      <c r="C453" s="324"/>
      <c r="D453" s="324"/>
      <c r="E453" s="324"/>
      <c r="F453" s="324"/>
      <c r="G453" s="324"/>
      <c r="H453" s="317">
        <f>VLOOKUP(AI443,'2c'!A:AG,11,0)</f>
        <v>72</v>
      </c>
      <c r="I453" s="318"/>
      <c r="J453" s="168">
        <f t="shared" si="33"/>
        <v>72</v>
      </c>
      <c r="K453" s="293" t="s">
        <v>106</v>
      </c>
      <c r="L453" s="294"/>
      <c r="M453" s="294"/>
      <c r="N453" s="294"/>
      <c r="O453" s="294"/>
      <c r="P453" s="295"/>
      <c r="Q453" s="168">
        <v>8</v>
      </c>
      <c r="R453" s="327" t="s">
        <v>42</v>
      </c>
      <c r="S453" s="328"/>
      <c r="T453" s="328"/>
      <c r="U453" s="328"/>
      <c r="V453" s="329"/>
      <c r="W453" s="16"/>
      <c r="AB453" s="17"/>
      <c r="AC453" s="307" t="str">
        <f>DASHBOARD!H29</f>
        <v>Mu'allim Deden T</v>
      </c>
      <c r="AD453" s="308"/>
      <c r="AE453" s="308"/>
      <c r="AF453" s="308"/>
      <c r="AG453" s="308"/>
      <c r="AH453" s="309"/>
    </row>
    <row r="454" spans="1:35" ht="21" customHeight="1">
      <c r="A454" s="161">
        <v>9</v>
      </c>
      <c r="B454" s="324" t="s">
        <v>14</v>
      </c>
      <c r="C454" s="324"/>
      <c r="D454" s="324"/>
      <c r="E454" s="324"/>
      <c r="F454" s="324"/>
      <c r="G454" s="324"/>
      <c r="H454" s="317">
        <f>VLOOKUP(AI443,'2c'!A:AG,12,0)</f>
        <v>58</v>
      </c>
      <c r="I454" s="318"/>
      <c r="J454" s="168">
        <f t="shared" si="33"/>
        <v>58</v>
      </c>
      <c r="K454" s="293" t="s">
        <v>15</v>
      </c>
      <c r="L454" s="294"/>
      <c r="M454" s="294"/>
      <c r="N454" s="294"/>
      <c r="O454" s="294"/>
      <c r="P454" s="295"/>
      <c r="Q454" s="168">
        <v>9</v>
      </c>
      <c r="R454" s="296" t="s">
        <v>43</v>
      </c>
      <c r="S454" s="297"/>
      <c r="T454" s="297"/>
      <c r="U454" s="297"/>
      <c r="V454" s="298"/>
      <c r="W454" s="16"/>
      <c r="AB454" s="17"/>
      <c r="AC454" s="299" t="s">
        <v>44</v>
      </c>
      <c r="AD454" s="300"/>
      <c r="AE454" s="300"/>
      <c r="AF454" s="300"/>
      <c r="AG454" s="300"/>
      <c r="AH454" s="301"/>
    </row>
    <row r="455" spans="1:35" ht="21" customHeight="1">
      <c r="A455" s="161">
        <v>10</v>
      </c>
      <c r="B455" s="324" t="s">
        <v>45</v>
      </c>
      <c r="C455" s="324"/>
      <c r="D455" s="324"/>
      <c r="E455" s="324"/>
      <c r="F455" s="324"/>
      <c r="G455" s="324"/>
      <c r="H455" s="317">
        <f>VLOOKUP(AI443,'2c'!A:AG,13,0)</f>
        <v>61</v>
      </c>
      <c r="I455" s="318"/>
      <c r="J455" s="168">
        <f t="shared" si="33"/>
        <v>61</v>
      </c>
      <c r="K455" s="293" t="s">
        <v>46</v>
      </c>
      <c r="L455" s="294"/>
      <c r="M455" s="294"/>
      <c r="N455" s="294"/>
      <c r="O455" s="294"/>
      <c r="P455" s="295"/>
      <c r="Q455" s="168">
        <v>10</v>
      </c>
      <c r="R455" s="184" t="s">
        <v>47</v>
      </c>
      <c r="S455" s="185"/>
      <c r="T455" s="180" t="s">
        <v>1</v>
      </c>
      <c r="U455" s="180">
        <f>VLOOKUP(AI443,'2c'!A:AG,31,0)</f>
        <v>6</v>
      </c>
      <c r="V455" s="181" t="s">
        <v>48</v>
      </c>
      <c r="W455" s="16"/>
      <c r="AB455" s="17"/>
      <c r="AC455" s="16"/>
      <c r="AH455" s="17"/>
    </row>
    <row r="456" spans="1:35" ht="21" customHeight="1">
      <c r="A456" s="288" t="s">
        <v>62</v>
      </c>
      <c r="B456" s="289"/>
      <c r="C456" s="289"/>
      <c r="D456" s="289"/>
      <c r="E456" s="289"/>
      <c r="F456" s="289"/>
      <c r="G456" s="290"/>
      <c r="H456" s="317">
        <f>VLOOKUP(AI443,'2c'!A:AG,25,0)</f>
        <v>866</v>
      </c>
      <c r="I456" s="318"/>
      <c r="J456" s="168">
        <f t="shared" si="33"/>
        <v>866</v>
      </c>
      <c r="K456" s="293" t="s">
        <v>63</v>
      </c>
      <c r="L456" s="294"/>
      <c r="M456" s="294"/>
      <c r="N456" s="294"/>
      <c r="O456" s="294"/>
      <c r="P456" s="294"/>
      <c r="Q456" s="295"/>
      <c r="R456" s="184" t="s">
        <v>51</v>
      </c>
      <c r="S456" s="185"/>
      <c r="T456" s="180" t="s">
        <v>1</v>
      </c>
      <c r="U456" s="180">
        <f>VLOOKUP(AI443,'2c'!A:AG,32,0)</f>
        <v>0</v>
      </c>
      <c r="V456" s="181" t="s">
        <v>48</v>
      </c>
      <c r="W456" s="21"/>
      <c r="X456" s="22"/>
      <c r="Y456" s="22"/>
      <c r="Z456" s="22"/>
      <c r="AA456" s="22"/>
      <c r="AB456" s="23"/>
      <c r="AC456" s="16"/>
      <c r="AH456" s="17"/>
    </row>
    <row r="457" spans="1:35" ht="21" customHeight="1">
      <c r="A457" s="288" t="s">
        <v>65</v>
      </c>
      <c r="B457" s="289"/>
      <c r="C457" s="289"/>
      <c r="D457" s="289"/>
      <c r="E457" s="289"/>
      <c r="F457" s="289"/>
      <c r="G457" s="290"/>
      <c r="H457" s="291">
        <f>VLOOKUP(AI443,'2c'!A:AG,26,0)</f>
        <v>57.733333333333334</v>
      </c>
      <c r="I457" s="292"/>
      <c r="J457" s="172">
        <f t="shared" si="33"/>
        <v>57.733333333333334</v>
      </c>
      <c r="K457" s="293" t="s">
        <v>66</v>
      </c>
      <c r="L457" s="294"/>
      <c r="M457" s="294"/>
      <c r="N457" s="294"/>
      <c r="O457" s="294"/>
      <c r="P457" s="294"/>
      <c r="Q457" s="295"/>
      <c r="R457" s="186" t="s">
        <v>53</v>
      </c>
      <c r="S457" s="187"/>
      <c r="T457" s="182" t="s">
        <v>1</v>
      </c>
      <c r="U457" s="182">
        <f>VLOOKUP(AI443,'2c'!A:AG,33,0)</f>
        <v>0</v>
      </c>
      <c r="V457" s="183" t="s">
        <v>48</v>
      </c>
      <c r="W457" s="188"/>
      <c r="X457" s="189"/>
      <c r="Y457" s="189"/>
      <c r="Z457" s="189"/>
      <c r="AA457" s="189"/>
      <c r="AB457" s="190"/>
      <c r="AC457" s="307" t="s">
        <v>770</v>
      </c>
      <c r="AD457" s="308"/>
      <c r="AE457" s="308"/>
      <c r="AF457" s="308"/>
      <c r="AG457" s="308"/>
      <c r="AH457" s="309"/>
    </row>
    <row r="458" spans="1:35" ht="21" customHeight="1">
      <c r="A458" s="288" t="s">
        <v>67</v>
      </c>
      <c r="B458" s="289"/>
      <c r="C458" s="289"/>
      <c r="D458" s="289"/>
      <c r="E458" s="199" t="s">
        <v>68</v>
      </c>
      <c r="F458" s="155" t="s">
        <v>69</v>
      </c>
      <c r="G458" s="164">
        <f>COUNT('2c'!B4:B33)</f>
        <v>30</v>
      </c>
      <c r="H458" s="164"/>
      <c r="I458" s="165"/>
      <c r="J458" s="173" t="s">
        <v>70</v>
      </c>
      <c r="K458" s="174"/>
      <c r="L458" s="175">
        <f>G458</f>
        <v>30</v>
      </c>
      <c r="M458" s="302" t="s">
        <v>71</v>
      </c>
      <c r="N458" s="302"/>
      <c r="O458" s="302"/>
      <c r="P458" s="176" t="str">
        <f>E458</f>
        <v>-</v>
      </c>
      <c r="Q458" s="177" t="s">
        <v>72</v>
      </c>
      <c r="R458" s="16"/>
      <c r="U458" t="s">
        <v>57</v>
      </c>
      <c r="AB458" s="310" t="str">
        <f>DASHBOARD!$H$13</f>
        <v>Sumedang, 05 September 2025</v>
      </c>
      <c r="AC458" s="310"/>
      <c r="AD458" s="310"/>
      <c r="AE458" s="310"/>
      <c r="AF458" s="310"/>
      <c r="AG458" s="310"/>
      <c r="AH458" s="311"/>
    </row>
    <row r="459" spans="1:35" ht="21" customHeight="1">
      <c r="A459" s="303" t="s">
        <v>73</v>
      </c>
      <c r="B459" s="304"/>
      <c r="C459" s="304"/>
      <c r="D459" s="304"/>
      <c r="E459" s="304"/>
      <c r="F459" s="304"/>
      <c r="G459" s="304"/>
      <c r="H459" s="304"/>
      <c r="I459" s="7"/>
      <c r="J459" s="166"/>
      <c r="K459" s="195"/>
      <c r="L459" s="305" t="s">
        <v>74</v>
      </c>
      <c r="M459" s="305"/>
      <c r="N459" s="305"/>
      <c r="O459" s="305"/>
      <c r="P459" s="305"/>
      <c r="Q459" s="306"/>
      <c r="R459" s="312" t="s">
        <v>60</v>
      </c>
      <c r="S459" s="310"/>
      <c r="T459" s="310"/>
      <c r="U459" s="310"/>
      <c r="V459" s="310"/>
      <c r="W459" s="310"/>
      <c r="X459" s="310"/>
      <c r="Y459" s="310"/>
      <c r="Z459" s="310"/>
      <c r="AA459" s="310"/>
      <c r="AB459" s="313" t="s">
        <v>61</v>
      </c>
      <c r="AC459" s="313"/>
      <c r="AD459" s="313"/>
      <c r="AE459" s="313"/>
      <c r="AF459" s="313"/>
      <c r="AG459" s="313"/>
      <c r="AH459" s="314"/>
      <c r="AI459" s="30"/>
    </row>
    <row r="460" spans="1:35" ht="21" customHeight="1">
      <c r="A460" s="358" t="s">
        <v>75</v>
      </c>
      <c r="B460" s="359"/>
      <c r="C460" s="359"/>
      <c r="D460" s="359"/>
      <c r="E460" s="359"/>
      <c r="F460" s="359"/>
      <c r="G460" s="359"/>
      <c r="H460" s="359"/>
      <c r="I460" s="359"/>
      <c r="J460" s="359"/>
      <c r="K460" s="359"/>
      <c r="L460" s="359"/>
      <c r="M460" s="359"/>
      <c r="N460" s="359"/>
      <c r="O460" s="359"/>
      <c r="P460" s="359"/>
      <c r="Q460" s="360"/>
      <c r="R460" s="33"/>
      <c r="S460" s="34"/>
      <c r="T460" s="34"/>
      <c r="U460" s="34"/>
      <c r="V460" s="34"/>
      <c r="W460" s="34"/>
      <c r="X460" s="34"/>
      <c r="Y460" s="34"/>
      <c r="Z460" s="34"/>
      <c r="AA460" s="34"/>
      <c r="AB460" s="297" t="s">
        <v>64</v>
      </c>
      <c r="AC460" s="297"/>
      <c r="AD460" s="297"/>
      <c r="AE460" s="297"/>
      <c r="AF460" s="297"/>
      <c r="AG460" s="297"/>
      <c r="AH460" s="298"/>
    </row>
    <row r="461" spans="1:35" ht="21" customHeight="1">
      <c r="A461" s="161">
        <v>1</v>
      </c>
      <c r="B461" s="324" t="s">
        <v>83</v>
      </c>
      <c r="C461" s="324"/>
      <c r="D461" s="324"/>
      <c r="E461" s="324"/>
      <c r="F461" s="324"/>
      <c r="G461" s="324"/>
      <c r="H461" s="356">
        <f>VLOOKUP(AI443,'2c'!A:AG,19,0)</f>
        <v>85</v>
      </c>
      <c r="I461" s="356"/>
      <c r="J461" s="178">
        <f>H461</f>
        <v>85</v>
      </c>
      <c r="K461" s="293" t="s">
        <v>84</v>
      </c>
      <c r="L461" s="294"/>
      <c r="M461" s="294"/>
      <c r="N461" s="294"/>
      <c r="O461" s="294"/>
      <c r="P461" s="295"/>
      <c r="Q461" s="168">
        <v>1</v>
      </c>
      <c r="R461" s="33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5"/>
    </row>
    <row r="462" spans="1:35" ht="21" customHeight="1">
      <c r="A462" s="161">
        <v>2</v>
      </c>
      <c r="B462" s="288" t="s">
        <v>79</v>
      </c>
      <c r="C462" s="289"/>
      <c r="D462" s="289"/>
      <c r="E462" s="289"/>
      <c r="F462" s="289"/>
      <c r="G462" s="290"/>
      <c r="H462" s="356">
        <f>VLOOKUP(AI443,'2c'!A:AG,20,0)</f>
        <v>75</v>
      </c>
      <c r="I462" s="356"/>
      <c r="J462" s="178">
        <f t="shared" ref="J462:J468" si="34">H462</f>
        <v>75</v>
      </c>
      <c r="K462" s="293" t="s">
        <v>80</v>
      </c>
      <c r="L462" s="294"/>
      <c r="M462" s="294"/>
      <c r="N462" s="294"/>
      <c r="O462" s="294"/>
      <c r="P462" s="295"/>
      <c r="Q462" s="168">
        <v>2</v>
      </c>
      <c r="R462" s="33"/>
      <c r="S462" s="34"/>
      <c r="T462" s="34"/>
      <c r="U462" s="34"/>
      <c r="V462" s="34"/>
      <c r="W462" s="191"/>
      <c r="X462" s="191"/>
      <c r="Y462" s="191"/>
      <c r="Z462" s="191"/>
      <c r="AA462" s="191"/>
      <c r="AB462" s="34"/>
      <c r="AC462" s="34"/>
      <c r="AD462" s="34"/>
      <c r="AE462" s="34"/>
      <c r="AF462" s="34"/>
      <c r="AG462" s="34"/>
      <c r="AH462" s="35"/>
    </row>
    <row r="463" spans="1:35" ht="21" customHeight="1">
      <c r="A463" s="161">
        <v>3</v>
      </c>
      <c r="B463" s="288" t="s">
        <v>77</v>
      </c>
      <c r="C463" s="289"/>
      <c r="D463" s="289"/>
      <c r="E463" s="289"/>
      <c r="F463" s="289"/>
      <c r="G463" s="290"/>
      <c r="H463" s="317">
        <f>VLOOKUP(AI443,'2c'!A:AG,21,0)</f>
        <v>75</v>
      </c>
      <c r="I463" s="318"/>
      <c r="J463" s="178">
        <f>H463</f>
        <v>75</v>
      </c>
      <c r="K463" s="293" t="s">
        <v>78</v>
      </c>
      <c r="L463" s="294"/>
      <c r="M463" s="294"/>
      <c r="N463" s="294"/>
      <c r="O463" s="294"/>
      <c r="P463" s="295"/>
      <c r="Q463" s="168">
        <v>3</v>
      </c>
      <c r="R463" s="312"/>
      <c r="S463" s="310"/>
      <c r="T463" s="310"/>
      <c r="U463" s="310"/>
      <c r="V463" s="310"/>
      <c r="W463" s="310"/>
      <c r="X463" s="310"/>
      <c r="Y463" s="310"/>
      <c r="Z463" s="310"/>
      <c r="AA463" s="310"/>
      <c r="AB463" s="34"/>
      <c r="AC463" s="34"/>
      <c r="AD463" s="34"/>
      <c r="AE463" s="34"/>
      <c r="AF463" s="34"/>
      <c r="AG463" s="34"/>
      <c r="AH463" s="35"/>
    </row>
    <row r="464" spans="1:35" ht="21" customHeight="1">
      <c r="A464" s="161">
        <v>4</v>
      </c>
      <c r="B464" s="288" t="s">
        <v>81</v>
      </c>
      <c r="C464" s="289"/>
      <c r="D464" s="289"/>
      <c r="E464" s="289"/>
      <c r="F464" s="289"/>
      <c r="G464" s="290"/>
      <c r="H464" s="317">
        <f>VLOOKUP(AI443,'2c'!A:AG,22,0)</f>
        <v>85</v>
      </c>
      <c r="I464" s="318"/>
      <c r="J464" s="178">
        <f>H464</f>
        <v>85</v>
      </c>
      <c r="K464" s="293" t="s">
        <v>82</v>
      </c>
      <c r="L464" s="294"/>
      <c r="M464" s="294"/>
      <c r="N464" s="294"/>
      <c r="O464" s="294"/>
      <c r="P464" s="295"/>
      <c r="Q464" s="168">
        <v>4</v>
      </c>
      <c r="R464" s="315" t="s">
        <v>766</v>
      </c>
      <c r="S464" s="316"/>
      <c r="T464" s="316"/>
      <c r="U464" s="316"/>
      <c r="V464" s="316"/>
      <c r="W464" s="316"/>
      <c r="X464" s="316"/>
      <c r="Y464" s="316"/>
      <c r="Z464" s="316"/>
      <c r="AA464" s="316"/>
      <c r="AB464" s="308" t="s">
        <v>767</v>
      </c>
      <c r="AC464" s="308"/>
      <c r="AD464" s="308"/>
      <c r="AE464" s="308"/>
      <c r="AF464" s="308"/>
      <c r="AG464" s="308"/>
      <c r="AH464" s="309"/>
    </row>
    <row r="465" spans="1:35" ht="21" customHeight="1">
      <c r="A465" s="161">
        <v>5</v>
      </c>
      <c r="B465" s="324" t="s">
        <v>147</v>
      </c>
      <c r="C465" s="324"/>
      <c r="D465" s="324"/>
      <c r="E465" s="324"/>
      <c r="F465" s="324"/>
      <c r="G465" s="324"/>
      <c r="H465" s="356">
        <f>VLOOKUP(AI443,'2c'!A:AG,23,0)</f>
        <v>60</v>
      </c>
      <c r="I465" s="356"/>
      <c r="J465" s="178">
        <f t="shared" si="34"/>
        <v>60</v>
      </c>
      <c r="K465" s="293" t="s">
        <v>84</v>
      </c>
      <c r="L465" s="294"/>
      <c r="M465" s="294"/>
      <c r="N465" s="294"/>
      <c r="O465" s="294"/>
      <c r="P465" s="295"/>
      <c r="Q465" s="168">
        <v>5</v>
      </c>
      <c r="R465" s="32"/>
      <c r="S465" s="32"/>
      <c r="T465" s="32"/>
      <c r="U465" s="32"/>
      <c r="V465" s="32"/>
      <c r="W465" s="32"/>
      <c r="X465" s="32"/>
      <c r="Y465" s="32"/>
      <c r="Z465" s="32"/>
      <c r="AA465" s="32"/>
      <c r="AB465" s="32"/>
      <c r="AC465" s="32"/>
      <c r="AD465" s="32"/>
      <c r="AE465" s="32"/>
      <c r="AF465" s="32"/>
      <c r="AG465" s="32"/>
      <c r="AH465" s="32"/>
    </row>
    <row r="466" spans="1:35" ht="21" customHeight="1">
      <c r="A466" s="161">
        <v>6</v>
      </c>
      <c r="B466" s="324" t="s">
        <v>148</v>
      </c>
      <c r="C466" s="324"/>
      <c r="D466" s="324"/>
      <c r="E466" s="324"/>
      <c r="F466" s="324"/>
      <c r="G466" s="324"/>
      <c r="H466" s="356">
        <f>VLOOKUP(AI443,'2c'!A:AG,24,0)</f>
        <v>75</v>
      </c>
      <c r="I466" s="356"/>
      <c r="J466" s="178">
        <f t="shared" si="34"/>
        <v>75</v>
      </c>
      <c r="K466" s="293" t="s">
        <v>149</v>
      </c>
      <c r="L466" s="294"/>
      <c r="M466" s="294"/>
      <c r="N466" s="294"/>
      <c r="O466" s="294"/>
      <c r="P466" s="295"/>
      <c r="Q466" s="168">
        <v>6</v>
      </c>
      <c r="R466" s="32"/>
      <c r="S466" s="32"/>
      <c r="T466" s="32"/>
      <c r="U466" s="32"/>
      <c r="V466" s="32"/>
      <c r="W466" s="32"/>
      <c r="X466" s="32"/>
      <c r="Y466" s="32"/>
      <c r="Z466" s="32"/>
      <c r="AA466" s="32"/>
      <c r="AB466" s="32"/>
      <c r="AC466" s="32"/>
      <c r="AD466" s="32"/>
      <c r="AE466" s="32"/>
      <c r="AF466" s="32"/>
      <c r="AG466" s="32"/>
      <c r="AH466" s="32"/>
    </row>
    <row r="467" spans="1:35" ht="21" customHeight="1">
      <c r="A467" s="357" t="s">
        <v>62</v>
      </c>
      <c r="B467" s="357"/>
      <c r="C467" s="357"/>
      <c r="D467" s="357"/>
      <c r="E467" s="357"/>
      <c r="F467" s="357"/>
      <c r="G467" s="357"/>
      <c r="H467" s="317">
        <f>SUM(H461:I466)</f>
        <v>455</v>
      </c>
      <c r="I467" s="318"/>
      <c r="J467" s="178">
        <f t="shared" si="34"/>
        <v>455</v>
      </c>
      <c r="K467" s="293" t="s">
        <v>63</v>
      </c>
      <c r="L467" s="294"/>
      <c r="M467" s="294"/>
      <c r="N467" s="294"/>
      <c r="O467" s="294"/>
      <c r="P467" s="294"/>
      <c r="Q467" s="295"/>
      <c r="R467" s="32"/>
      <c r="S467" s="32"/>
      <c r="T467" s="32"/>
      <c r="U467" s="32"/>
      <c r="V467" s="32"/>
      <c r="W467" s="32"/>
      <c r="X467" s="32"/>
      <c r="Y467" s="32"/>
      <c r="Z467" s="32"/>
      <c r="AA467" s="32"/>
      <c r="AB467" s="32"/>
      <c r="AC467" s="32"/>
      <c r="AD467" s="32"/>
      <c r="AE467" s="32"/>
      <c r="AF467" s="32"/>
      <c r="AG467" s="32"/>
      <c r="AH467" s="32"/>
    </row>
    <row r="468" spans="1:35" ht="21" customHeight="1">
      <c r="A468" s="357" t="s">
        <v>65</v>
      </c>
      <c r="B468" s="357"/>
      <c r="C468" s="357"/>
      <c r="D468" s="357"/>
      <c r="E468" s="357"/>
      <c r="F468" s="357"/>
      <c r="G468" s="357"/>
      <c r="H468" s="291">
        <f>AVERAGE(H461:I466)</f>
        <v>75.833333333333329</v>
      </c>
      <c r="I468" s="292"/>
      <c r="J468" s="179">
        <f t="shared" si="34"/>
        <v>75.833333333333329</v>
      </c>
      <c r="K468" s="293" t="s">
        <v>66</v>
      </c>
      <c r="L468" s="294"/>
      <c r="M468" s="294"/>
      <c r="N468" s="294"/>
      <c r="O468" s="294"/>
      <c r="P468" s="294"/>
      <c r="Q468" s="295"/>
      <c r="R468" s="32"/>
      <c r="S468" s="32"/>
      <c r="T468" s="32"/>
      <c r="U468" s="32"/>
      <c r="V468" s="32"/>
      <c r="W468" s="32"/>
      <c r="X468" s="32"/>
      <c r="Y468" s="32"/>
      <c r="Z468" s="32"/>
      <c r="AA468" s="32"/>
      <c r="AB468" s="32"/>
      <c r="AC468" s="32"/>
      <c r="AD468" s="32"/>
      <c r="AE468" s="32"/>
      <c r="AF468" s="32"/>
      <c r="AG468" s="32"/>
      <c r="AH468" s="32"/>
    </row>
    <row r="469" spans="1:35" ht="21" customHeight="1">
      <c r="A469" s="34"/>
      <c r="B469" s="34"/>
      <c r="C469" s="34"/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1"/>
      <c r="O469" s="34"/>
      <c r="P469" s="34"/>
      <c r="Q469" s="34"/>
      <c r="R469" s="32"/>
      <c r="S469" s="32"/>
      <c r="T469" s="32"/>
      <c r="U469" s="32"/>
      <c r="V469" s="32"/>
      <c r="W469" s="32"/>
      <c r="X469" s="32"/>
      <c r="Y469" s="32"/>
      <c r="Z469" s="32"/>
      <c r="AA469" s="32"/>
      <c r="AB469" s="32"/>
      <c r="AC469" s="32"/>
      <c r="AD469" s="32"/>
      <c r="AE469" s="32"/>
      <c r="AF469" s="32"/>
      <c r="AG469" s="32"/>
      <c r="AH469" s="32"/>
    </row>
    <row r="470" spans="1:35" ht="21" customHeight="1">
      <c r="A470" s="34"/>
      <c r="B470" s="34"/>
      <c r="C470" s="34"/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1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</row>
    <row r="471" spans="1:35" ht="21" customHeight="1">
      <c r="A471" s="34"/>
      <c r="B471" s="34"/>
      <c r="C471" s="34"/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1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</row>
    <row r="472" spans="1:35" ht="21" customHeight="1">
      <c r="A472" s="343" t="s">
        <v>0</v>
      </c>
      <c r="B472" s="344"/>
      <c r="C472" s="153" t="s">
        <v>1</v>
      </c>
      <c r="D472" s="344" t="str">
        <f>VLOOKUP(AI475,'2d'!A:AG,3,0)</f>
        <v>Muhammad Alwi Zamzami Muslim</v>
      </c>
      <c r="E472" s="344"/>
      <c r="F472" s="344"/>
      <c r="G472" s="344"/>
      <c r="H472" s="344"/>
      <c r="I472" s="344"/>
      <c r="J472" s="344"/>
      <c r="K472" s="344"/>
      <c r="L472" s="344"/>
      <c r="M472" s="344"/>
      <c r="N472" s="344"/>
      <c r="O472" s="344"/>
      <c r="P472" s="344"/>
      <c r="Q472" s="345"/>
      <c r="R472" s="343" t="s">
        <v>0</v>
      </c>
      <c r="S472" s="344"/>
      <c r="T472" s="153" t="s">
        <v>1</v>
      </c>
      <c r="U472" s="344" t="str">
        <f>D472</f>
        <v>Muhammad Alwi Zamzami Muslim</v>
      </c>
      <c r="V472" s="344"/>
      <c r="W472" s="344"/>
      <c r="X472" s="344"/>
      <c r="Y472" s="344"/>
      <c r="Z472" s="344"/>
      <c r="AA472" s="344"/>
      <c r="AB472" s="344"/>
      <c r="AC472" s="344"/>
      <c r="AD472" s="344"/>
      <c r="AE472" s="344"/>
      <c r="AF472" s="344"/>
      <c r="AG472" s="344"/>
      <c r="AH472" s="345"/>
    </row>
    <row r="473" spans="1:35" s="22" customFormat="1" ht="21" customHeight="1">
      <c r="A473" s="346" t="s">
        <v>2</v>
      </c>
      <c r="B473" s="347"/>
      <c r="C473" s="154" t="s">
        <v>1</v>
      </c>
      <c r="D473" s="347" t="s">
        <v>782</v>
      </c>
      <c r="E473" s="347"/>
      <c r="F473" s="347"/>
      <c r="G473" s="347"/>
      <c r="H473" s="347"/>
      <c r="I473" s="347"/>
      <c r="J473" s="159" t="s">
        <v>3</v>
      </c>
      <c r="K473" s="347">
        <f>VLOOKUP(AI475,'2d'!A:AG,2,0)</f>
        <v>24250132</v>
      </c>
      <c r="L473" s="347"/>
      <c r="M473" s="347"/>
      <c r="N473" s="347"/>
      <c r="O473" s="347"/>
      <c r="P473" s="347"/>
      <c r="Q473" s="348"/>
      <c r="R473" s="346" t="s">
        <v>2</v>
      </c>
      <c r="S473" s="347"/>
      <c r="T473" s="154" t="s">
        <v>1</v>
      </c>
      <c r="U473" s="347" t="str">
        <f>D473</f>
        <v>2-D</v>
      </c>
      <c r="V473" s="347"/>
      <c r="W473" s="347"/>
      <c r="X473" s="347"/>
      <c r="Y473" s="347"/>
      <c r="Z473" s="347"/>
      <c r="AA473" s="159" t="s">
        <v>3</v>
      </c>
      <c r="AB473" s="347">
        <f>K473</f>
        <v>24250132</v>
      </c>
      <c r="AC473" s="347"/>
      <c r="AD473" s="347"/>
      <c r="AE473" s="347"/>
      <c r="AF473" s="347"/>
      <c r="AG473" s="347"/>
      <c r="AH473" s="348"/>
      <c r="AI473"/>
    </row>
    <row r="474" spans="1:35" s="30" customFormat="1" ht="21" customHeight="1">
      <c r="A474" s="343" t="s">
        <v>4</v>
      </c>
      <c r="B474" s="344"/>
      <c r="C474" s="153" t="s">
        <v>1</v>
      </c>
      <c r="D474" s="304" t="str">
        <f>DASHBOARD!$H$11</f>
        <v>2025/2026</v>
      </c>
      <c r="E474" s="304"/>
      <c r="F474" s="304"/>
      <c r="G474" s="304"/>
      <c r="H474" s="304"/>
      <c r="I474" s="304"/>
      <c r="J474" s="304"/>
      <c r="K474" s="304"/>
      <c r="L474" s="304"/>
      <c r="M474" s="304"/>
      <c r="N474" s="304"/>
      <c r="O474" s="304"/>
      <c r="P474" s="304"/>
      <c r="Q474" s="349"/>
      <c r="R474" s="330" t="s">
        <v>5</v>
      </c>
      <c r="S474" s="331"/>
      <c r="T474" s="331"/>
      <c r="U474" s="331"/>
      <c r="V474" s="331"/>
      <c r="W474" s="331"/>
      <c r="X474" s="332"/>
      <c r="Y474" s="333" t="s">
        <v>6</v>
      </c>
      <c r="Z474" s="334"/>
      <c r="AA474" s="337" t="s">
        <v>7</v>
      </c>
      <c r="AB474" s="330" t="s">
        <v>8</v>
      </c>
      <c r="AC474" s="331"/>
      <c r="AD474" s="331"/>
      <c r="AE474" s="331"/>
      <c r="AF474" s="331"/>
      <c r="AG474" s="331"/>
      <c r="AH474" s="332"/>
      <c r="AI474" s="51" t="s">
        <v>788</v>
      </c>
    </row>
    <row r="475" spans="1:35" ht="21" customHeight="1">
      <c r="A475" s="303" t="s">
        <v>10</v>
      </c>
      <c r="B475" s="304"/>
      <c r="C475" s="160" t="s">
        <v>1</v>
      </c>
      <c r="D475" s="350" t="str">
        <f>DASHBOARD!$H$12</f>
        <v>1 (Satu)</v>
      </c>
      <c r="E475" s="350"/>
      <c r="F475" s="350"/>
      <c r="G475" s="350"/>
      <c r="H475" s="350"/>
      <c r="I475" s="351"/>
      <c r="J475" s="352" t="str">
        <f>DASHBOARD!$I$12</f>
        <v>الأول</v>
      </c>
      <c r="K475" s="353"/>
      <c r="L475" s="353"/>
      <c r="M475" s="353"/>
      <c r="N475" s="160" t="s">
        <v>1</v>
      </c>
      <c r="O475" s="354" t="s">
        <v>11</v>
      </c>
      <c r="P475" s="354"/>
      <c r="Q475" s="355"/>
      <c r="R475" s="363" t="s">
        <v>12</v>
      </c>
      <c r="S475" s="364"/>
      <c r="T475" s="364"/>
      <c r="U475" s="364"/>
      <c r="V475" s="364"/>
      <c r="W475" s="364"/>
      <c r="X475" s="365"/>
      <c r="Y475" s="335"/>
      <c r="Z475" s="336"/>
      <c r="AA475" s="338"/>
      <c r="AB475" s="339" t="s">
        <v>13</v>
      </c>
      <c r="AC475" s="340"/>
      <c r="AD475" s="340"/>
      <c r="AE475" s="340"/>
      <c r="AF475" s="340"/>
      <c r="AG475" s="340"/>
      <c r="AH475" s="341"/>
      <c r="AI475" s="51">
        <v>30</v>
      </c>
    </row>
    <row r="476" spans="1:35" ht="21" customHeight="1">
      <c r="A476" s="330" t="s">
        <v>5</v>
      </c>
      <c r="B476" s="331"/>
      <c r="C476" s="331"/>
      <c r="D476" s="331"/>
      <c r="E476" s="331"/>
      <c r="F476" s="331"/>
      <c r="G476" s="332"/>
      <c r="H476" s="333" t="s">
        <v>6</v>
      </c>
      <c r="I476" s="334"/>
      <c r="J476" s="337" t="s">
        <v>7</v>
      </c>
      <c r="K476" s="330" t="s">
        <v>8</v>
      </c>
      <c r="L476" s="331"/>
      <c r="M476" s="331"/>
      <c r="N476" s="331"/>
      <c r="O476" s="331"/>
      <c r="P476" s="331"/>
      <c r="Q476" s="332"/>
      <c r="R476" s="161">
        <v>1</v>
      </c>
      <c r="S476" s="288" t="s">
        <v>103</v>
      </c>
      <c r="T476" s="289"/>
      <c r="U476" s="289"/>
      <c r="V476" s="289"/>
      <c r="W476" s="289"/>
      <c r="X476" s="290"/>
      <c r="Y476" s="361">
        <f>VLOOKUP(AI475,'2d'!A:AG,14,0)</f>
        <v>65</v>
      </c>
      <c r="Z476" s="362"/>
      <c r="AA476" s="168">
        <f>Y476</f>
        <v>65</v>
      </c>
      <c r="AB476" s="293" t="s">
        <v>104</v>
      </c>
      <c r="AC476" s="294"/>
      <c r="AD476" s="294"/>
      <c r="AE476" s="294"/>
      <c r="AF476" s="294"/>
      <c r="AG476" s="295"/>
      <c r="AH476" s="168">
        <v>1</v>
      </c>
    </row>
    <row r="477" spans="1:35" ht="21" customHeight="1">
      <c r="A477" s="339" t="s">
        <v>16</v>
      </c>
      <c r="B477" s="340"/>
      <c r="C477" s="340"/>
      <c r="D477" s="340"/>
      <c r="E477" s="340"/>
      <c r="F477" s="340"/>
      <c r="G477" s="341"/>
      <c r="H477" s="335"/>
      <c r="I477" s="336"/>
      <c r="J477" s="338"/>
      <c r="K477" s="339" t="s">
        <v>17</v>
      </c>
      <c r="L477" s="340"/>
      <c r="M477" s="340"/>
      <c r="N477" s="340"/>
      <c r="O477" s="340"/>
      <c r="P477" s="340"/>
      <c r="Q477" s="341"/>
      <c r="R477" s="161">
        <v>2</v>
      </c>
      <c r="S477" s="324" t="s">
        <v>14</v>
      </c>
      <c r="T477" s="324"/>
      <c r="U477" s="324"/>
      <c r="V477" s="324"/>
      <c r="W477" s="324"/>
      <c r="X477" s="324"/>
      <c r="Y477" s="361">
        <f>VLOOKUP(AI475,'2d'!A:AG,15,0)</f>
        <v>88</v>
      </c>
      <c r="Z477" s="362"/>
      <c r="AA477" s="168">
        <f>Y477</f>
        <v>88</v>
      </c>
      <c r="AB477" s="293" t="s">
        <v>15</v>
      </c>
      <c r="AC477" s="294"/>
      <c r="AD477" s="294"/>
      <c r="AE477" s="294"/>
      <c r="AF477" s="294"/>
      <c r="AG477" s="295"/>
      <c r="AH477" s="168">
        <v>2</v>
      </c>
    </row>
    <row r="478" spans="1:35" ht="21" customHeight="1">
      <c r="A478" s="161">
        <v>1</v>
      </c>
      <c r="B478" s="288" t="s">
        <v>118</v>
      </c>
      <c r="C478" s="289"/>
      <c r="D478" s="289"/>
      <c r="E478" s="289"/>
      <c r="F478" s="289"/>
      <c r="G478" s="290"/>
      <c r="H478" s="317">
        <f>VLOOKUP(AI475,'2d'!A:AG,4,0)</f>
        <v>61</v>
      </c>
      <c r="I478" s="318"/>
      <c r="J478" s="168">
        <f>H478</f>
        <v>61</v>
      </c>
      <c r="K478" s="293" t="s">
        <v>119</v>
      </c>
      <c r="L478" s="294"/>
      <c r="M478" s="294"/>
      <c r="N478" s="294"/>
      <c r="O478" s="294"/>
      <c r="P478" s="295"/>
      <c r="Q478" s="168">
        <v>1</v>
      </c>
      <c r="R478" s="161">
        <v>3</v>
      </c>
      <c r="S478" s="288" t="s">
        <v>120</v>
      </c>
      <c r="T478" s="289"/>
      <c r="U478" s="289"/>
      <c r="V478" s="289"/>
      <c r="W478" s="289"/>
      <c r="X478" s="290"/>
      <c r="Y478" s="361">
        <f>VLOOKUP(AI475,'2d'!A:AG,16,0)</f>
        <v>75</v>
      </c>
      <c r="Z478" s="362"/>
      <c r="AA478" s="168">
        <f>Y478</f>
        <v>75</v>
      </c>
      <c r="AB478" s="293" t="s">
        <v>46</v>
      </c>
      <c r="AC478" s="294"/>
      <c r="AD478" s="294"/>
      <c r="AE478" s="294"/>
      <c r="AF478" s="294"/>
      <c r="AG478" s="295"/>
      <c r="AH478" s="168">
        <v>3</v>
      </c>
    </row>
    <row r="479" spans="1:35" ht="21" customHeight="1">
      <c r="A479" s="161">
        <v>2</v>
      </c>
      <c r="B479" s="288" t="s">
        <v>22</v>
      </c>
      <c r="C479" s="289"/>
      <c r="D479" s="289"/>
      <c r="E479" s="289"/>
      <c r="F479" s="289"/>
      <c r="G479" s="290"/>
      <c r="H479" s="317">
        <f>VLOOKUP(AI475,'2d'!A:AG,5,0)</f>
        <v>74</v>
      </c>
      <c r="I479" s="318"/>
      <c r="J479" s="168">
        <f>H479</f>
        <v>74</v>
      </c>
      <c r="K479" s="293" t="s">
        <v>23</v>
      </c>
      <c r="L479" s="294"/>
      <c r="M479" s="294"/>
      <c r="N479" s="294"/>
      <c r="O479" s="294"/>
      <c r="P479" s="295"/>
      <c r="Q479" s="168">
        <v>2</v>
      </c>
      <c r="R479" s="161">
        <v>4</v>
      </c>
      <c r="S479" s="324" t="s">
        <v>121</v>
      </c>
      <c r="T479" s="324"/>
      <c r="U479" s="324"/>
      <c r="V479" s="324"/>
      <c r="W479" s="324"/>
      <c r="X479" s="324"/>
      <c r="Y479" s="361">
        <f>VLOOKUP(AI475,'2d'!A:AG,17,0)</f>
        <v>80</v>
      </c>
      <c r="Z479" s="362"/>
      <c r="AA479" s="168">
        <f>Y479</f>
        <v>80</v>
      </c>
      <c r="AB479" s="293" t="s">
        <v>35</v>
      </c>
      <c r="AC479" s="294"/>
      <c r="AD479" s="294"/>
      <c r="AE479" s="294"/>
      <c r="AF479" s="294"/>
      <c r="AG479" s="295"/>
      <c r="AH479" s="168">
        <v>4</v>
      </c>
    </row>
    <row r="480" spans="1:35" ht="21" customHeight="1">
      <c r="A480" s="161">
        <v>3</v>
      </c>
      <c r="B480" s="288" t="s">
        <v>55</v>
      </c>
      <c r="C480" s="289"/>
      <c r="D480" s="289"/>
      <c r="E480" s="289"/>
      <c r="F480" s="289"/>
      <c r="G480" s="290"/>
      <c r="H480" s="317">
        <f>VLOOKUP(AI475,'2d'!A:AG,6,0)</f>
        <v>66</v>
      </c>
      <c r="I480" s="318"/>
      <c r="J480" s="168">
        <f t="shared" ref="J480:J489" si="35">H480</f>
        <v>66</v>
      </c>
      <c r="K480" s="293" t="s">
        <v>56</v>
      </c>
      <c r="L480" s="294"/>
      <c r="M480" s="294"/>
      <c r="N480" s="294"/>
      <c r="O480" s="294"/>
      <c r="P480" s="295"/>
      <c r="Q480" s="168">
        <v>3</v>
      </c>
      <c r="R480" s="161">
        <v>5</v>
      </c>
      <c r="S480" s="158" t="s">
        <v>22</v>
      </c>
      <c r="T480" s="155"/>
      <c r="U480" s="155"/>
      <c r="V480" s="155"/>
      <c r="W480" s="155"/>
      <c r="X480" s="162"/>
      <c r="Y480" s="361">
        <f>VLOOKUP(AI475,'2d'!A:AG,18,0)</f>
        <v>85</v>
      </c>
      <c r="Z480" s="362"/>
      <c r="AA480" s="168">
        <f>Y480</f>
        <v>85</v>
      </c>
      <c r="AB480" s="293" t="s">
        <v>23</v>
      </c>
      <c r="AC480" s="294"/>
      <c r="AD480" s="294"/>
      <c r="AE480" s="294"/>
      <c r="AF480" s="294"/>
      <c r="AG480" s="295"/>
      <c r="AH480" s="168">
        <v>5</v>
      </c>
    </row>
    <row r="481" spans="1:35" ht="21" customHeight="1">
      <c r="A481" s="161">
        <v>4</v>
      </c>
      <c r="B481" s="324" t="s">
        <v>30</v>
      </c>
      <c r="C481" s="324"/>
      <c r="D481" s="324"/>
      <c r="E481" s="324"/>
      <c r="F481" s="324"/>
      <c r="G481" s="324"/>
      <c r="H481" s="317">
        <f>VLOOKUP(AI475,'2d'!A:AG,7,0)</f>
        <v>40</v>
      </c>
      <c r="I481" s="318"/>
      <c r="J481" s="168">
        <f t="shared" si="35"/>
        <v>40</v>
      </c>
      <c r="K481" s="293" t="s">
        <v>31</v>
      </c>
      <c r="L481" s="294"/>
      <c r="M481" s="294"/>
      <c r="N481" s="294"/>
      <c r="O481" s="294"/>
      <c r="P481" s="295"/>
      <c r="Q481" s="168">
        <v>4</v>
      </c>
      <c r="R481" s="299" t="s">
        <v>768</v>
      </c>
      <c r="S481" s="300"/>
      <c r="T481" s="300"/>
      <c r="U481" s="300"/>
      <c r="V481" s="301"/>
      <c r="W481" s="327" t="s">
        <v>28</v>
      </c>
      <c r="X481" s="328"/>
      <c r="Y481" s="328"/>
      <c r="Z481" s="328"/>
      <c r="AA481" s="328"/>
      <c r="AB481" s="329"/>
      <c r="AC481" s="327" t="s">
        <v>29</v>
      </c>
      <c r="AD481" s="328"/>
      <c r="AE481" s="328"/>
      <c r="AF481" s="328"/>
      <c r="AG481" s="328"/>
      <c r="AH481" s="329"/>
    </row>
    <row r="482" spans="1:35" ht="21" customHeight="1">
      <c r="A482" s="161">
        <v>5</v>
      </c>
      <c r="B482" s="324" t="s">
        <v>34</v>
      </c>
      <c r="C482" s="324"/>
      <c r="D482" s="324"/>
      <c r="E482" s="324"/>
      <c r="F482" s="324"/>
      <c r="G482" s="324"/>
      <c r="H482" s="317">
        <f>VLOOKUP(AI475,'2d'!A:AG,8,0)</f>
        <v>68</v>
      </c>
      <c r="I482" s="318"/>
      <c r="J482" s="168">
        <f t="shared" si="35"/>
        <v>68</v>
      </c>
      <c r="K482" s="293" t="s">
        <v>35</v>
      </c>
      <c r="L482" s="294"/>
      <c r="M482" s="294"/>
      <c r="N482" s="294"/>
      <c r="O482" s="294"/>
      <c r="P482" s="295"/>
      <c r="Q482" s="168">
        <v>5</v>
      </c>
      <c r="R482" s="319" t="s">
        <v>32</v>
      </c>
      <c r="S482" s="320"/>
      <c r="T482" s="320"/>
      <c r="U482" s="180" t="s">
        <v>1</v>
      </c>
      <c r="V482" s="181" t="str">
        <f>VLOOKUP(AI475,'2d'!A:AG,28,0)</f>
        <v>B</v>
      </c>
      <c r="W482" s="321" t="s">
        <v>33</v>
      </c>
      <c r="X482" s="322"/>
      <c r="Y482" s="322"/>
      <c r="Z482" s="322"/>
      <c r="AA482" s="322"/>
      <c r="AB482" s="323"/>
      <c r="AC482" s="296" t="s">
        <v>33</v>
      </c>
      <c r="AD482" s="297"/>
      <c r="AE482" s="297"/>
      <c r="AF482" s="297"/>
      <c r="AG482" s="297"/>
      <c r="AH482" s="298"/>
    </row>
    <row r="483" spans="1:35" ht="21" customHeight="1">
      <c r="A483" s="161">
        <v>6</v>
      </c>
      <c r="B483" s="288" t="s">
        <v>49</v>
      </c>
      <c r="C483" s="289"/>
      <c r="D483" s="289"/>
      <c r="E483" s="289"/>
      <c r="F483" s="289"/>
      <c r="G483" s="290"/>
      <c r="H483" s="317">
        <f>VLOOKUP(AI475,'2d'!A:AG,9,0)</f>
        <v>65</v>
      </c>
      <c r="I483" s="318"/>
      <c r="J483" s="168">
        <f t="shared" si="35"/>
        <v>65</v>
      </c>
      <c r="K483" s="293" t="s">
        <v>50</v>
      </c>
      <c r="L483" s="294"/>
      <c r="M483" s="294"/>
      <c r="N483" s="294"/>
      <c r="O483" s="294"/>
      <c r="P483" s="295"/>
      <c r="Q483" s="168">
        <v>6</v>
      </c>
      <c r="R483" s="319" t="s">
        <v>36</v>
      </c>
      <c r="S483" s="320"/>
      <c r="T483" s="320"/>
      <c r="U483" s="180" t="s">
        <v>1</v>
      </c>
      <c r="V483" s="181" t="str">
        <f>VLOOKUP(AI475,'2d'!A:AG,29,0)</f>
        <v>B</v>
      </c>
      <c r="W483" s="13"/>
      <c r="X483" s="14"/>
      <c r="Y483" s="14"/>
      <c r="Z483" s="14"/>
      <c r="AA483" s="14"/>
      <c r="AB483" s="15"/>
      <c r="AC483" s="16"/>
      <c r="AH483" s="17"/>
    </row>
    <row r="484" spans="1:35" ht="21" customHeight="1">
      <c r="A484" s="161">
        <v>7</v>
      </c>
      <c r="B484" s="288" t="s">
        <v>128</v>
      </c>
      <c r="C484" s="289"/>
      <c r="D484" s="289"/>
      <c r="E484" s="289"/>
      <c r="F484" s="289"/>
      <c r="G484" s="290"/>
      <c r="H484" s="317">
        <f>VLOOKUP(AI475,'2d'!A:AG,10,0)</f>
        <v>58</v>
      </c>
      <c r="I484" s="318"/>
      <c r="J484" s="168">
        <f t="shared" si="35"/>
        <v>58</v>
      </c>
      <c r="K484" s="293" t="s">
        <v>112</v>
      </c>
      <c r="L484" s="294"/>
      <c r="M484" s="294"/>
      <c r="N484" s="294"/>
      <c r="O484" s="294"/>
      <c r="P484" s="295"/>
      <c r="Q484" s="168">
        <v>7</v>
      </c>
      <c r="R484" s="325" t="s">
        <v>39</v>
      </c>
      <c r="S484" s="326"/>
      <c r="T484" s="326"/>
      <c r="U484" s="182" t="s">
        <v>1</v>
      </c>
      <c r="V484" s="183" t="str">
        <f>VLOOKUP(AI475,'2d'!A:AG,30,0)</f>
        <v>B</v>
      </c>
      <c r="W484" s="16"/>
      <c r="AB484" s="17"/>
      <c r="AC484" s="16"/>
      <c r="AH484" s="17"/>
    </row>
    <row r="485" spans="1:35" ht="21" customHeight="1">
      <c r="A485" s="161">
        <v>8</v>
      </c>
      <c r="B485" s="324" t="s">
        <v>105</v>
      </c>
      <c r="C485" s="324"/>
      <c r="D485" s="324"/>
      <c r="E485" s="324"/>
      <c r="F485" s="324"/>
      <c r="G485" s="324"/>
      <c r="H485" s="317">
        <f>VLOOKUP(AI475,'2d'!A:AG,11,0)</f>
        <v>45</v>
      </c>
      <c r="I485" s="318"/>
      <c r="J485" s="168">
        <f t="shared" si="35"/>
        <v>45</v>
      </c>
      <c r="K485" s="293" t="s">
        <v>106</v>
      </c>
      <c r="L485" s="294"/>
      <c r="M485" s="294"/>
      <c r="N485" s="294"/>
      <c r="O485" s="294"/>
      <c r="P485" s="295"/>
      <c r="Q485" s="168">
        <v>8</v>
      </c>
      <c r="R485" s="327" t="s">
        <v>42</v>
      </c>
      <c r="S485" s="328"/>
      <c r="T485" s="328"/>
      <c r="U485" s="328"/>
      <c r="V485" s="329"/>
      <c r="W485" s="16"/>
      <c r="AB485" s="17"/>
      <c r="AC485" s="307" t="str">
        <f>DASHBOARD!H30</f>
        <v>Mu'allim Abdurrozaq</v>
      </c>
      <c r="AD485" s="308"/>
      <c r="AE485" s="308"/>
      <c r="AF485" s="308"/>
      <c r="AG485" s="308"/>
      <c r="AH485" s="309"/>
    </row>
    <row r="486" spans="1:35" ht="21" customHeight="1">
      <c r="A486" s="161">
        <v>9</v>
      </c>
      <c r="B486" s="324" t="s">
        <v>14</v>
      </c>
      <c r="C486" s="324"/>
      <c r="D486" s="324"/>
      <c r="E486" s="324"/>
      <c r="F486" s="324"/>
      <c r="G486" s="324"/>
      <c r="H486" s="317">
        <f>VLOOKUP(AI475,'2d'!A:AG,12,0)</f>
        <v>65</v>
      </c>
      <c r="I486" s="318"/>
      <c r="J486" s="168">
        <f t="shared" si="35"/>
        <v>65</v>
      </c>
      <c r="K486" s="293" t="s">
        <v>15</v>
      </c>
      <c r="L486" s="294"/>
      <c r="M486" s="294"/>
      <c r="N486" s="294"/>
      <c r="O486" s="294"/>
      <c r="P486" s="295"/>
      <c r="Q486" s="168">
        <v>9</v>
      </c>
      <c r="R486" s="296" t="s">
        <v>43</v>
      </c>
      <c r="S486" s="297"/>
      <c r="T486" s="297"/>
      <c r="U486" s="297"/>
      <c r="V486" s="298"/>
      <c r="W486" s="16"/>
      <c r="AB486" s="17"/>
      <c r="AC486" s="299" t="s">
        <v>44</v>
      </c>
      <c r="AD486" s="300"/>
      <c r="AE486" s="300"/>
      <c r="AF486" s="300"/>
      <c r="AG486" s="300"/>
      <c r="AH486" s="301"/>
      <c r="AI486" s="30"/>
    </row>
    <row r="487" spans="1:35" ht="21" customHeight="1">
      <c r="A487" s="161">
        <v>10</v>
      </c>
      <c r="B487" s="324" t="s">
        <v>45</v>
      </c>
      <c r="C487" s="324"/>
      <c r="D487" s="324"/>
      <c r="E487" s="324"/>
      <c r="F487" s="324"/>
      <c r="G487" s="324"/>
      <c r="H487" s="317">
        <f>VLOOKUP(AI475,'2d'!A:AG,13,0)</f>
        <v>66</v>
      </c>
      <c r="I487" s="318"/>
      <c r="J487" s="168">
        <f t="shared" si="35"/>
        <v>66</v>
      </c>
      <c r="K487" s="293" t="s">
        <v>46</v>
      </c>
      <c r="L487" s="294"/>
      <c r="M487" s="294"/>
      <c r="N487" s="294"/>
      <c r="O487" s="294"/>
      <c r="P487" s="295"/>
      <c r="Q487" s="168">
        <v>10</v>
      </c>
      <c r="R487" s="184" t="s">
        <v>47</v>
      </c>
      <c r="S487" s="185"/>
      <c r="T487" s="180" t="s">
        <v>1</v>
      </c>
      <c r="U487" s="180">
        <f>VLOOKUP(AI475,'2d'!A:AG,31,0)</f>
        <v>0</v>
      </c>
      <c r="V487" s="181" t="s">
        <v>48</v>
      </c>
      <c r="W487" s="16"/>
      <c r="AB487" s="17"/>
      <c r="AC487" s="16"/>
      <c r="AH487" s="17"/>
    </row>
    <row r="488" spans="1:35" ht="21" customHeight="1">
      <c r="A488" s="288" t="s">
        <v>62</v>
      </c>
      <c r="B488" s="289"/>
      <c r="C488" s="289"/>
      <c r="D488" s="289"/>
      <c r="E488" s="289"/>
      <c r="F488" s="289"/>
      <c r="G488" s="290"/>
      <c r="H488" s="317">
        <f>VLOOKUP(AI475,'2d'!A:AG,25,0)</f>
        <v>1001</v>
      </c>
      <c r="I488" s="318"/>
      <c r="J488" s="168">
        <f t="shared" si="35"/>
        <v>1001</v>
      </c>
      <c r="K488" s="293" t="s">
        <v>63</v>
      </c>
      <c r="L488" s="294"/>
      <c r="M488" s="294"/>
      <c r="N488" s="294"/>
      <c r="O488" s="294"/>
      <c r="P488" s="294"/>
      <c r="Q488" s="295"/>
      <c r="R488" s="184" t="s">
        <v>51</v>
      </c>
      <c r="S488" s="185"/>
      <c r="T488" s="180" t="s">
        <v>1</v>
      </c>
      <c r="U488" s="180">
        <f>VLOOKUP(AI475,'2d'!A:AG,32,0)</f>
        <v>0</v>
      </c>
      <c r="V488" s="181" t="s">
        <v>48</v>
      </c>
      <c r="W488" s="21"/>
      <c r="X488" s="22"/>
      <c r="Y488" s="22"/>
      <c r="Z488" s="22"/>
      <c r="AA488" s="22"/>
      <c r="AB488" s="23"/>
      <c r="AC488" s="16"/>
      <c r="AH488" s="17"/>
    </row>
    <row r="489" spans="1:35" ht="21" customHeight="1">
      <c r="A489" s="288" t="s">
        <v>65</v>
      </c>
      <c r="B489" s="289"/>
      <c r="C489" s="289"/>
      <c r="D489" s="289"/>
      <c r="E489" s="289"/>
      <c r="F489" s="289"/>
      <c r="G489" s="290"/>
      <c r="H489" s="291">
        <f>VLOOKUP(AI475,'2d'!A:AG,26,0)</f>
        <v>66.733333333333334</v>
      </c>
      <c r="I489" s="292"/>
      <c r="J489" s="172">
        <f t="shared" si="35"/>
        <v>66.733333333333334</v>
      </c>
      <c r="K489" s="293" t="s">
        <v>66</v>
      </c>
      <c r="L489" s="294"/>
      <c r="M489" s="294"/>
      <c r="N489" s="294"/>
      <c r="O489" s="294"/>
      <c r="P489" s="294"/>
      <c r="Q489" s="295"/>
      <c r="R489" s="186" t="s">
        <v>53</v>
      </c>
      <c r="S489" s="187"/>
      <c r="T489" s="182" t="s">
        <v>1</v>
      </c>
      <c r="U489" s="182">
        <f>VLOOKUP(AI475,'2d'!A:AG,33,0)</f>
        <v>0</v>
      </c>
      <c r="V489" s="183" t="s">
        <v>48</v>
      </c>
      <c r="W489" s="188"/>
      <c r="X489" s="189"/>
      <c r="Y489" s="189"/>
      <c r="Z489" s="189"/>
      <c r="AA489" s="189"/>
      <c r="AB489" s="190"/>
      <c r="AC489" s="307" t="s">
        <v>770</v>
      </c>
      <c r="AD489" s="308"/>
      <c r="AE489" s="308"/>
      <c r="AF489" s="308"/>
      <c r="AG489" s="308"/>
      <c r="AH489" s="309"/>
    </row>
    <row r="490" spans="1:35" ht="21" customHeight="1">
      <c r="A490" s="288" t="s">
        <v>67</v>
      </c>
      <c r="B490" s="289"/>
      <c r="C490" s="289"/>
      <c r="D490" s="289"/>
      <c r="E490" s="199" t="s">
        <v>68</v>
      </c>
      <c r="F490" s="155" t="s">
        <v>69</v>
      </c>
      <c r="G490" s="164">
        <f>COUNT('2d'!B4:B33)</f>
        <v>30</v>
      </c>
      <c r="H490" s="164"/>
      <c r="I490" s="165"/>
      <c r="J490" s="173" t="s">
        <v>70</v>
      </c>
      <c r="K490" s="174"/>
      <c r="L490" s="175">
        <f>G490</f>
        <v>30</v>
      </c>
      <c r="M490" s="302" t="s">
        <v>71</v>
      </c>
      <c r="N490" s="302"/>
      <c r="O490" s="302"/>
      <c r="P490" s="176" t="str">
        <f>E490</f>
        <v>-</v>
      </c>
      <c r="Q490" s="177" t="s">
        <v>72</v>
      </c>
      <c r="R490" s="16"/>
      <c r="U490" t="s">
        <v>57</v>
      </c>
      <c r="AB490" s="310" t="str">
        <f>DASHBOARD!$H$13</f>
        <v>Sumedang, 05 September 2025</v>
      </c>
      <c r="AC490" s="310"/>
      <c r="AD490" s="310"/>
      <c r="AE490" s="310"/>
      <c r="AF490" s="310"/>
      <c r="AG490" s="310"/>
      <c r="AH490" s="311"/>
    </row>
    <row r="491" spans="1:35" ht="21" customHeight="1">
      <c r="A491" s="303" t="s">
        <v>73</v>
      </c>
      <c r="B491" s="304"/>
      <c r="C491" s="304"/>
      <c r="D491" s="304"/>
      <c r="E491" s="304"/>
      <c r="F491" s="304"/>
      <c r="G491" s="304"/>
      <c r="H491" s="304"/>
      <c r="I491" s="7"/>
      <c r="J491" s="166"/>
      <c r="K491" s="195"/>
      <c r="L491" s="305" t="s">
        <v>74</v>
      </c>
      <c r="M491" s="305"/>
      <c r="N491" s="305"/>
      <c r="O491" s="305"/>
      <c r="P491" s="305"/>
      <c r="Q491" s="306"/>
      <c r="R491" s="312" t="s">
        <v>60</v>
      </c>
      <c r="S491" s="310"/>
      <c r="T491" s="310"/>
      <c r="U491" s="310"/>
      <c r="V491" s="310"/>
      <c r="W491" s="310"/>
      <c r="X491" s="310"/>
      <c r="Y491" s="310"/>
      <c r="Z491" s="310"/>
      <c r="AA491" s="310"/>
      <c r="AB491" s="313" t="s">
        <v>61</v>
      </c>
      <c r="AC491" s="313"/>
      <c r="AD491" s="313"/>
      <c r="AE491" s="313"/>
      <c r="AF491" s="313"/>
      <c r="AG491" s="313"/>
      <c r="AH491" s="314"/>
    </row>
    <row r="492" spans="1:35" ht="21" customHeight="1">
      <c r="A492" s="358" t="s">
        <v>75</v>
      </c>
      <c r="B492" s="359"/>
      <c r="C492" s="359"/>
      <c r="D492" s="359"/>
      <c r="E492" s="359"/>
      <c r="F492" s="359"/>
      <c r="G492" s="359"/>
      <c r="H492" s="359"/>
      <c r="I492" s="359"/>
      <c r="J492" s="359"/>
      <c r="K492" s="359"/>
      <c r="L492" s="359"/>
      <c r="M492" s="359"/>
      <c r="N492" s="359"/>
      <c r="O492" s="359"/>
      <c r="P492" s="359"/>
      <c r="Q492" s="360"/>
      <c r="R492" s="33"/>
      <c r="S492" s="34"/>
      <c r="T492" s="34"/>
      <c r="U492" s="34"/>
      <c r="V492" s="34"/>
      <c r="W492" s="34"/>
      <c r="X492" s="34"/>
      <c r="Y492" s="34"/>
      <c r="Z492" s="34"/>
      <c r="AA492" s="34"/>
      <c r="AB492" s="297" t="s">
        <v>64</v>
      </c>
      <c r="AC492" s="297"/>
      <c r="AD492" s="297"/>
      <c r="AE492" s="297"/>
      <c r="AF492" s="297"/>
      <c r="AG492" s="297"/>
      <c r="AH492" s="298"/>
    </row>
    <row r="493" spans="1:35" ht="21" customHeight="1">
      <c r="A493" s="161">
        <v>1</v>
      </c>
      <c r="B493" s="324" t="s">
        <v>83</v>
      </c>
      <c r="C493" s="324"/>
      <c r="D493" s="324"/>
      <c r="E493" s="324"/>
      <c r="F493" s="324"/>
      <c r="G493" s="324"/>
      <c r="H493" s="356">
        <f>VLOOKUP(AI475,'2d'!A:AG,19,0)</f>
        <v>75</v>
      </c>
      <c r="I493" s="356"/>
      <c r="J493" s="178">
        <f t="shared" ref="J493:J500" si="36">H493</f>
        <v>75</v>
      </c>
      <c r="K493" s="293" t="s">
        <v>84</v>
      </c>
      <c r="L493" s="294"/>
      <c r="M493" s="294"/>
      <c r="N493" s="294"/>
      <c r="O493" s="294"/>
      <c r="P493" s="295"/>
      <c r="Q493" s="168">
        <v>1</v>
      </c>
      <c r="R493" s="33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5"/>
    </row>
    <row r="494" spans="1:35" ht="21" customHeight="1">
      <c r="A494" s="161">
        <v>2</v>
      </c>
      <c r="B494" s="288" t="s">
        <v>79</v>
      </c>
      <c r="C494" s="289"/>
      <c r="D494" s="289"/>
      <c r="E494" s="289"/>
      <c r="F494" s="289"/>
      <c r="G494" s="290"/>
      <c r="H494" s="317">
        <f>VLOOKUP(AI475,'2d'!A:AG,20,0)</f>
        <v>95</v>
      </c>
      <c r="I494" s="318"/>
      <c r="J494" s="178">
        <f>H494</f>
        <v>95</v>
      </c>
      <c r="K494" s="293" t="s">
        <v>80</v>
      </c>
      <c r="L494" s="294"/>
      <c r="M494" s="294"/>
      <c r="N494" s="294"/>
      <c r="O494" s="294"/>
      <c r="P494" s="295"/>
      <c r="Q494" s="168">
        <v>2</v>
      </c>
      <c r="R494" s="33"/>
      <c r="S494" s="34"/>
      <c r="T494" s="34"/>
      <c r="U494" s="34"/>
      <c r="V494" s="34"/>
      <c r="W494" s="191"/>
      <c r="X494" s="191"/>
      <c r="Y494" s="191"/>
      <c r="Z494" s="191"/>
      <c r="AA494" s="191"/>
      <c r="AB494" s="34"/>
      <c r="AC494" s="34"/>
      <c r="AD494" s="34"/>
      <c r="AE494" s="34"/>
      <c r="AF494" s="34"/>
      <c r="AG494" s="34"/>
      <c r="AH494" s="35"/>
    </row>
    <row r="495" spans="1:35" ht="21" customHeight="1">
      <c r="A495" s="161">
        <v>3</v>
      </c>
      <c r="B495" s="288" t="s">
        <v>77</v>
      </c>
      <c r="C495" s="289"/>
      <c r="D495" s="289"/>
      <c r="E495" s="289"/>
      <c r="F495" s="289"/>
      <c r="G495" s="290"/>
      <c r="H495" s="317">
        <f>VLOOKUP(AI475,'2d'!A:AG,21,0)</f>
        <v>78</v>
      </c>
      <c r="I495" s="318"/>
      <c r="J495" s="178">
        <f>H495</f>
        <v>78</v>
      </c>
      <c r="K495" s="293" t="s">
        <v>78</v>
      </c>
      <c r="L495" s="294"/>
      <c r="M495" s="294"/>
      <c r="N495" s="294"/>
      <c r="O495" s="294"/>
      <c r="P495" s="295"/>
      <c r="Q495" s="168">
        <v>3</v>
      </c>
      <c r="R495" s="312"/>
      <c r="S495" s="310"/>
      <c r="T495" s="310"/>
      <c r="U495" s="310"/>
      <c r="V495" s="310"/>
      <c r="W495" s="310"/>
      <c r="X495" s="310"/>
      <c r="Y495" s="310"/>
      <c r="Z495" s="310"/>
      <c r="AA495" s="310"/>
      <c r="AB495" s="34"/>
      <c r="AC495" s="34"/>
      <c r="AD495" s="34"/>
      <c r="AE495" s="34"/>
      <c r="AF495" s="34"/>
      <c r="AG495" s="34"/>
      <c r="AH495" s="35"/>
    </row>
    <row r="496" spans="1:35" ht="21" customHeight="1">
      <c r="A496" s="161">
        <v>4</v>
      </c>
      <c r="B496" s="288" t="s">
        <v>81</v>
      </c>
      <c r="C496" s="289"/>
      <c r="D496" s="289"/>
      <c r="E496" s="289"/>
      <c r="F496" s="289"/>
      <c r="G496" s="290"/>
      <c r="H496" s="356">
        <f>VLOOKUP(AI475,'2d'!A:AG,22,0)</f>
        <v>75</v>
      </c>
      <c r="I496" s="356"/>
      <c r="J496" s="178">
        <f t="shared" si="36"/>
        <v>75</v>
      </c>
      <c r="K496" s="293" t="s">
        <v>82</v>
      </c>
      <c r="L496" s="294"/>
      <c r="M496" s="294"/>
      <c r="N496" s="294"/>
      <c r="O496" s="294"/>
      <c r="P496" s="295"/>
      <c r="Q496" s="168">
        <v>4</v>
      </c>
      <c r="R496" s="315" t="s">
        <v>766</v>
      </c>
      <c r="S496" s="316"/>
      <c r="T496" s="316"/>
      <c r="U496" s="316"/>
      <c r="V496" s="316"/>
      <c r="W496" s="316"/>
      <c r="X496" s="316"/>
      <c r="Y496" s="316"/>
      <c r="Z496" s="316"/>
      <c r="AA496" s="316"/>
      <c r="AB496" s="308" t="s">
        <v>767</v>
      </c>
      <c r="AC496" s="308"/>
      <c r="AD496" s="308"/>
      <c r="AE496" s="308"/>
      <c r="AF496" s="308"/>
      <c r="AG496" s="308"/>
      <c r="AH496" s="309"/>
    </row>
    <row r="497" spans="1:35" ht="21" customHeight="1">
      <c r="A497" s="161">
        <v>5</v>
      </c>
      <c r="B497" s="324" t="s">
        <v>147</v>
      </c>
      <c r="C497" s="324"/>
      <c r="D497" s="324"/>
      <c r="E497" s="324"/>
      <c r="F497" s="324"/>
      <c r="G497" s="324"/>
      <c r="H497" s="356">
        <f>VLOOKUP(AI475,'2d'!A:AG,23,0)</f>
        <v>75</v>
      </c>
      <c r="I497" s="356"/>
      <c r="J497" s="178">
        <f t="shared" si="36"/>
        <v>75</v>
      </c>
      <c r="K497" s="293" t="s">
        <v>84</v>
      </c>
      <c r="L497" s="294"/>
      <c r="M497" s="294"/>
      <c r="N497" s="294"/>
      <c r="O497" s="294"/>
      <c r="P497" s="295"/>
      <c r="Q497" s="168">
        <v>5</v>
      </c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</row>
    <row r="498" spans="1:35" ht="21" customHeight="1">
      <c r="A498" s="161">
        <v>6</v>
      </c>
      <c r="B498" s="324" t="s">
        <v>148</v>
      </c>
      <c r="C498" s="324"/>
      <c r="D498" s="324"/>
      <c r="E498" s="324"/>
      <c r="F498" s="324"/>
      <c r="G498" s="324"/>
      <c r="H498" s="356">
        <f>VLOOKUP(AI475,'2d'!A:AG,24,0)</f>
        <v>85</v>
      </c>
      <c r="I498" s="356"/>
      <c r="J498" s="178">
        <f t="shared" si="36"/>
        <v>85</v>
      </c>
      <c r="K498" s="293" t="s">
        <v>149</v>
      </c>
      <c r="L498" s="294"/>
      <c r="M498" s="294"/>
      <c r="N498" s="294"/>
      <c r="O498" s="294"/>
      <c r="P498" s="295"/>
      <c r="Q498" s="168">
        <v>6</v>
      </c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</row>
    <row r="499" spans="1:35" ht="21" customHeight="1">
      <c r="A499" s="357" t="s">
        <v>62</v>
      </c>
      <c r="B499" s="357"/>
      <c r="C499" s="357"/>
      <c r="D499" s="357"/>
      <c r="E499" s="357"/>
      <c r="F499" s="357"/>
      <c r="G499" s="357"/>
      <c r="H499" s="317">
        <f>SUM(H493:I498)</f>
        <v>483</v>
      </c>
      <c r="I499" s="318"/>
      <c r="J499" s="178">
        <f t="shared" si="36"/>
        <v>483</v>
      </c>
      <c r="K499" s="293" t="s">
        <v>63</v>
      </c>
      <c r="L499" s="294"/>
      <c r="M499" s="294"/>
      <c r="N499" s="294"/>
      <c r="O499" s="294"/>
      <c r="P499" s="294"/>
      <c r="Q499" s="295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</row>
    <row r="500" spans="1:35" ht="21" customHeight="1">
      <c r="A500" s="357" t="s">
        <v>65</v>
      </c>
      <c r="B500" s="357"/>
      <c r="C500" s="357"/>
      <c r="D500" s="357"/>
      <c r="E500" s="357"/>
      <c r="F500" s="357"/>
      <c r="G500" s="357"/>
      <c r="H500" s="291">
        <f>AVERAGE(H493:I498)</f>
        <v>80.5</v>
      </c>
      <c r="I500" s="292"/>
      <c r="J500" s="179">
        <f t="shared" si="36"/>
        <v>80.5</v>
      </c>
      <c r="K500" s="293" t="s">
        <v>66</v>
      </c>
      <c r="L500" s="294"/>
      <c r="M500" s="294"/>
      <c r="N500" s="294"/>
      <c r="O500" s="294"/>
      <c r="P500" s="294"/>
      <c r="Q500" s="295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</row>
    <row r="501" spans="1:35" ht="21" customHeight="1">
      <c r="A501" s="34"/>
      <c r="B501" s="34"/>
      <c r="C501" s="34"/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1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</row>
    <row r="502" spans="1:35" ht="21" customHeight="1">
      <c r="A502" s="34"/>
      <c r="B502" s="34"/>
      <c r="C502" s="34"/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1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</row>
    <row r="503" spans="1:35" s="22" customFormat="1" ht="21" customHeight="1">
      <c r="A503" s="34"/>
      <c r="B503" s="34"/>
      <c r="C503" s="34"/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1"/>
      <c r="O503" s="34"/>
      <c r="P503" s="34"/>
      <c r="Q503" s="34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</row>
    <row r="504" spans="1:35" s="30" customFormat="1" ht="21" customHeight="1">
      <c r="A504" s="343" t="s">
        <v>0</v>
      </c>
      <c r="B504" s="344"/>
      <c r="C504" s="153" t="s">
        <v>1</v>
      </c>
      <c r="D504" s="344" t="str">
        <f>VLOOKUP(AI507,'1a'!A:AG,3,0)</f>
        <v>Aufa Damar Galih</v>
      </c>
      <c r="E504" s="344"/>
      <c r="F504" s="344"/>
      <c r="G504" s="344"/>
      <c r="H504" s="344"/>
      <c r="I504" s="344"/>
      <c r="J504" s="344"/>
      <c r="K504" s="344"/>
      <c r="L504" s="344"/>
      <c r="M504" s="344"/>
      <c r="N504" s="344"/>
      <c r="O504" s="344"/>
      <c r="P504" s="344"/>
      <c r="Q504" s="345"/>
      <c r="R504" s="343" t="s">
        <v>0</v>
      </c>
      <c r="S504" s="344"/>
      <c r="T504" s="153" t="s">
        <v>1</v>
      </c>
      <c r="U504" s="344" t="str">
        <f>D504</f>
        <v>Aufa Damar Galih</v>
      </c>
      <c r="V504" s="344"/>
      <c r="W504" s="344"/>
      <c r="X504" s="344"/>
      <c r="Y504" s="344"/>
      <c r="Z504" s="344"/>
      <c r="AA504" s="344"/>
      <c r="AB504" s="344"/>
      <c r="AC504" s="344"/>
      <c r="AD504" s="344"/>
      <c r="AE504" s="344"/>
      <c r="AF504" s="344"/>
      <c r="AG504" s="344"/>
      <c r="AH504" s="345"/>
      <c r="AI504"/>
    </row>
    <row r="505" spans="1:35" ht="21" customHeight="1">
      <c r="A505" s="346" t="s">
        <v>2</v>
      </c>
      <c r="B505" s="347"/>
      <c r="C505" s="154" t="s">
        <v>1</v>
      </c>
      <c r="D505" s="347" t="s">
        <v>130</v>
      </c>
      <c r="E505" s="347"/>
      <c r="F505" s="347"/>
      <c r="G505" s="347"/>
      <c r="H505" s="347"/>
      <c r="I505" s="347"/>
      <c r="J505" s="159" t="s">
        <v>3</v>
      </c>
      <c r="K505" s="347">
        <f>VLOOKUP(AI507,'1a'!A:AG,2,0)</f>
        <v>22230092</v>
      </c>
      <c r="L505" s="347"/>
      <c r="M505" s="347"/>
      <c r="N505" s="347"/>
      <c r="O505" s="347"/>
      <c r="P505" s="347"/>
      <c r="Q505" s="348"/>
      <c r="R505" s="346" t="s">
        <v>2</v>
      </c>
      <c r="S505" s="347"/>
      <c r="T505" s="154" t="s">
        <v>1</v>
      </c>
      <c r="U505" s="347" t="str">
        <f>D505</f>
        <v>1-A</v>
      </c>
      <c r="V505" s="347"/>
      <c r="W505" s="347"/>
      <c r="X505" s="347"/>
      <c r="Y505" s="347"/>
      <c r="Z505" s="347"/>
      <c r="AA505" s="159" t="s">
        <v>3</v>
      </c>
      <c r="AB505" s="347">
        <f>K505</f>
        <v>22230092</v>
      </c>
      <c r="AC505" s="347"/>
      <c r="AD505" s="347"/>
      <c r="AE505" s="347"/>
      <c r="AF505" s="347"/>
      <c r="AG505" s="347"/>
      <c r="AH505" s="348"/>
    </row>
    <row r="506" spans="1:35" ht="21" customHeight="1">
      <c r="A506" s="343" t="s">
        <v>4</v>
      </c>
      <c r="B506" s="344"/>
      <c r="C506" s="153" t="s">
        <v>1</v>
      </c>
      <c r="D506" s="304" t="str">
        <f>DASHBOARD!$H$11</f>
        <v>2025/2026</v>
      </c>
      <c r="E506" s="304"/>
      <c r="F506" s="304"/>
      <c r="G506" s="304"/>
      <c r="H506" s="304"/>
      <c r="I506" s="304"/>
      <c r="J506" s="304"/>
      <c r="K506" s="304"/>
      <c r="L506" s="304"/>
      <c r="M506" s="304"/>
      <c r="N506" s="304"/>
      <c r="O506" s="304"/>
      <c r="P506" s="304"/>
      <c r="Q506" s="349"/>
      <c r="R506" s="330" t="s">
        <v>5</v>
      </c>
      <c r="S506" s="331"/>
      <c r="T506" s="331"/>
      <c r="U506" s="331"/>
      <c r="V506" s="331"/>
      <c r="W506" s="331"/>
      <c r="X506" s="332"/>
      <c r="Y506" s="333" t="s">
        <v>6</v>
      </c>
      <c r="Z506" s="334"/>
      <c r="AA506" s="337" t="s">
        <v>7</v>
      </c>
      <c r="AB506" s="330" t="s">
        <v>8</v>
      </c>
      <c r="AC506" s="331"/>
      <c r="AD506" s="331"/>
      <c r="AE506" s="331"/>
      <c r="AF506" s="331"/>
      <c r="AG506" s="331"/>
      <c r="AH506" s="332"/>
      <c r="AI506" s="51" t="s">
        <v>788</v>
      </c>
    </row>
    <row r="507" spans="1:35" ht="21" customHeight="1">
      <c r="A507" s="303" t="s">
        <v>10</v>
      </c>
      <c r="B507" s="304"/>
      <c r="C507" s="160" t="s">
        <v>1</v>
      </c>
      <c r="D507" s="350" t="str">
        <f>DASHBOARD!$H$12</f>
        <v>1 (Satu)</v>
      </c>
      <c r="E507" s="350"/>
      <c r="F507" s="350"/>
      <c r="G507" s="350"/>
      <c r="H507" s="350"/>
      <c r="I507" s="351"/>
      <c r="J507" s="352" t="str">
        <f>DASHBOARD!$I$12</f>
        <v>الأول</v>
      </c>
      <c r="K507" s="353"/>
      <c r="L507" s="353"/>
      <c r="M507" s="353"/>
      <c r="N507" s="160" t="s">
        <v>1</v>
      </c>
      <c r="O507" s="354" t="s">
        <v>11</v>
      </c>
      <c r="P507" s="354"/>
      <c r="Q507" s="355"/>
      <c r="R507" s="339" t="s">
        <v>12</v>
      </c>
      <c r="S507" s="340"/>
      <c r="T507" s="340"/>
      <c r="U507" s="340"/>
      <c r="V507" s="340"/>
      <c r="W507" s="340"/>
      <c r="X507" s="341"/>
      <c r="Y507" s="335"/>
      <c r="Z507" s="336"/>
      <c r="AA507" s="338"/>
      <c r="AB507" s="339" t="s">
        <v>13</v>
      </c>
      <c r="AC507" s="340"/>
      <c r="AD507" s="340"/>
      <c r="AE507" s="340"/>
      <c r="AF507" s="340"/>
      <c r="AG507" s="340"/>
      <c r="AH507" s="341"/>
      <c r="AI507" s="51">
        <v>28</v>
      </c>
    </row>
    <row r="508" spans="1:35" ht="21" customHeight="1">
      <c r="A508" s="330" t="s">
        <v>5</v>
      </c>
      <c r="B508" s="331"/>
      <c r="C508" s="331"/>
      <c r="D508" s="331"/>
      <c r="E508" s="331"/>
      <c r="F508" s="331"/>
      <c r="G508" s="332"/>
      <c r="H508" s="333" t="s">
        <v>6</v>
      </c>
      <c r="I508" s="334"/>
      <c r="J508" s="337" t="s">
        <v>7</v>
      </c>
      <c r="K508" s="330" t="s">
        <v>8</v>
      </c>
      <c r="L508" s="331"/>
      <c r="M508" s="331"/>
      <c r="N508" s="331"/>
      <c r="O508" s="331"/>
      <c r="P508" s="331"/>
      <c r="Q508" s="332"/>
      <c r="R508" s="161">
        <v>1</v>
      </c>
      <c r="S508" s="288" t="s">
        <v>103</v>
      </c>
      <c r="T508" s="289"/>
      <c r="U508" s="289"/>
      <c r="V508" s="289"/>
      <c r="W508" s="289"/>
      <c r="X508" s="290"/>
      <c r="Y508" s="361">
        <f>VLOOKUP(AI507,'1a'!A:AG,14,0)</f>
        <v>60</v>
      </c>
      <c r="Z508" s="362"/>
      <c r="AA508" s="168">
        <f>Y508</f>
        <v>60</v>
      </c>
      <c r="AB508" s="293" t="s">
        <v>104</v>
      </c>
      <c r="AC508" s="294"/>
      <c r="AD508" s="294"/>
      <c r="AE508" s="294"/>
      <c r="AF508" s="294"/>
      <c r="AG508" s="295"/>
      <c r="AH508" s="168">
        <v>1</v>
      </c>
    </row>
    <row r="509" spans="1:35" ht="21" customHeight="1">
      <c r="A509" s="339" t="s">
        <v>16</v>
      </c>
      <c r="B509" s="340"/>
      <c r="C509" s="340"/>
      <c r="D509" s="340"/>
      <c r="E509" s="340"/>
      <c r="F509" s="340"/>
      <c r="G509" s="341"/>
      <c r="H509" s="335"/>
      <c r="I509" s="336"/>
      <c r="J509" s="338"/>
      <c r="K509" s="339" t="s">
        <v>17</v>
      </c>
      <c r="L509" s="340"/>
      <c r="M509" s="340"/>
      <c r="N509" s="340"/>
      <c r="O509" s="340"/>
      <c r="P509" s="340"/>
      <c r="Q509" s="341"/>
      <c r="R509" s="161">
        <v>2</v>
      </c>
      <c r="S509" s="324" t="s">
        <v>14</v>
      </c>
      <c r="T509" s="324"/>
      <c r="U509" s="324"/>
      <c r="V509" s="324"/>
      <c r="W509" s="324"/>
      <c r="X509" s="324"/>
      <c r="Y509" s="361">
        <f>VLOOKUP(AI507,'1a'!A:AG,15,0)</f>
        <v>50</v>
      </c>
      <c r="Z509" s="362"/>
      <c r="AA509" s="168">
        <f>Y509</f>
        <v>50</v>
      </c>
      <c r="AB509" s="293" t="s">
        <v>15</v>
      </c>
      <c r="AC509" s="294"/>
      <c r="AD509" s="294"/>
      <c r="AE509" s="294"/>
      <c r="AF509" s="294"/>
      <c r="AG509" s="295"/>
      <c r="AH509" s="168">
        <v>2</v>
      </c>
    </row>
    <row r="510" spans="1:35" ht="21" customHeight="1">
      <c r="A510" s="161">
        <v>1</v>
      </c>
      <c r="B510" s="288" t="s">
        <v>118</v>
      </c>
      <c r="C510" s="289"/>
      <c r="D510" s="289"/>
      <c r="E510" s="289"/>
      <c r="F510" s="289"/>
      <c r="G510" s="290"/>
      <c r="H510" s="317">
        <f>VLOOKUP(AI507,'1a'!A:AG,4,0)</f>
        <v>54</v>
      </c>
      <c r="I510" s="318"/>
      <c r="J510" s="168">
        <f>H510</f>
        <v>54</v>
      </c>
      <c r="K510" s="342" t="s">
        <v>119</v>
      </c>
      <c r="L510" s="342"/>
      <c r="M510" s="342"/>
      <c r="N510" s="342"/>
      <c r="O510" s="342"/>
      <c r="P510" s="342"/>
      <c r="Q510" s="168">
        <v>1</v>
      </c>
      <c r="R510" s="161">
        <v>3</v>
      </c>
      <c r="S510" s="288" t="s">
        <v>120</v>
      </c>
      <c r="T510" s="289"/>
      <c r="U510" s="289"/>
      <c r="V510" s="289"/>
      <c r="W510" s="289"/>
      <c r="X510" s="290"/>
      <c r="Y510" s="361">
        <f>VLOOKUP(AI507,'1a'!A:AG,16,0)</f>
        <v>50</v>
      </c>
      <c r="Z510" s="362"/>
      <c r="AA510" s="168">
        <f>Y510</f>
        <v>50</v>
      </c>
      <c r="AB510" s="293" t="s">
        <v>46</v>
      </c>
      <c r="AC510" s="294"/>
      <c r="AD510" s="294"/>
      <c r="AE510" s="294"/>
      <c r="AF510" s="294"/>
      <c r="AG510" s="295"/>
      <c r="AH510" s="168">
        <v>3</v>
      </c>
    </row>
    <row r="511" spans="1:35" ht="21" customHeight="1">
      <c r="A511" s="161">
        <v>2</v>
      </c>
      <c r="B511" s="288" t="s">
        <v>22</v>
      </c>
      <c r="C511" s="289"/>
      <c r="D511" s="289"/>
      <c r="E511" s="289"/>
      <c r="F511" s="289"/>
      <c r="G511" s="290"/>
      <c r="H511" s="317">
        <f>VLOOKUP(AI507,'1a'!A:AG,5,0)</f>
        <v>63</v>
      </c>
      <c r="I511" s="318"/>
      <c r="J511" s="168">
        <f t="shared" ref="J511:J521" si="37">H511</f>
        <v>63</v>
      </c>
      <c r="K511" s="342" t="s">
        <v>23</v>
      </c>
      <c r="L511" s="342"/>
      <c r="M511" s="342"/>
      <c r="N511" s="342"/>
      <c r="O511" s="342"/>
      <c r="P511" s="342"/>
      <c r="Q511" s="168">
        <v>2</v>
      </c>
      <c r="R511" s="161">
        <v>4</v>
      </c>
      <c r="S511" s="324" t="s">
        <v>121</v>
      </c>
      <c r="T511" s="324"/>
      <c r="U511" s="324"/>
      <c r="V511" s="324"/>
      <c r="W511" s="324"/>
      <c r="X511" s="324"/>
      <c r="Y511" s="361">
        <f>VLOOKUP(AI507,'1a'!A:AG,17,0)</f>
        <v>50</v>
      </c>
      <c r="Z511" s="362"/>
      <c r="AA511" s="168">
        <f>Y511</f>
        <v>50</v>
      </c>
      <c r="AB511" s="293" t="s">
        <v>35</v>
      </c>
      <c r="AC511" s="294"/>
      <c r="AD511" s="294"/>
      <c r="AE511" s="294"/>
      <c r="AF511" s="294"/>
      <c r="AG511" s="295"/>
      <c r="AH511" s="168">
        <v>4</v>
      </c>
    </row>
    <row r="512" spans="1:35" ht="21" customHeight="1">
      <c r="A512" s="161">
        <v>3</v>
      </c>
      <c r="B512" s="288" t="s">
        <v>55</v>
      </c>
      <c r="C512" s="289"/>
      <c r="D512" s="289"/>
      <c r="E512" s="289"/>
      <c r="F512" s="289"/>
      <c r="G512" s="290"/>
      <c r="H512" s="317">
        <f>VLOOKUP(AI507,'1a'!A:AG,6,0)</f>
        <v>54</v>
      </c>
      <c r="I512" s="318"/>
      <c r="J512" s="168">
        <f t="shared" si="37"/>
        <v>54</v>
      </c>
      <c r="K512" s="342" t="s">
        <v>56</v>
      </c>
      <c r="L512" s="342"/>
      <c r="M512" s="342"/>
      <c r="N512" s="342"/>
      <c r="O512" s="342"/>
      <c r="P512" s="342"/>
      <c r="Q512" s="168">
        <v>3</v>
      </c>
      <c r="R512" s="161">
        <v>5</v>
      </c>
      <c r="S512" s="158" t="s">
        <v>22</v>
      </c>
      <c r="T512" s="155"/>
      <c r="U512" s="155"/>
      <c r="V512" s="155"/>
      <c r="W512" s="155"/>
      <c r="X512" s="162"/>
      <c r="Y512" s="361">
        <f>VLOOKUP(AI507,'1a'!A:AG,18,0)</f>
        <v>50</v>
      </c>
      <c r="Z512" s="362"/>
      <c r="AA512" s="168">
        <f>Y512</f>
        <v>50</v>
      </c>
      <c r="AB512" s="169"/>
      <c r="AC512" s="170"/>
      <c r="AD512" s="170"/>
      <c r="AE512" s="170"/>
      <c r="AF512" s="170"/>
      <c r="AG512" s="171" t="s">
        <v>23</v>
      </c>
      <c r="AH512" s="168">
        <v>5</v>
      </c>
    </row>
    <row r="513" spans="1:35" ht="21" customHeight="1">
      <c r="A513" s="161">
        <v>4</v>
      </c>
      <c r="B513" s="324" t="s">
        <v>30</v>
      </c>
      <c r="C513" s="324"/>
      <c r="D513" s="324"/>
      <c r="E513" s="324"/>
      <c r="F513" s="324"/>
      <c r="G513" s="324"/>
      <c r="H513" s="317">
        <f>VLOOKUP(AI507,'1a'!A:AG,7,0)</f>
        <v>42</v>
      </c>
      <c r="I513" s="318"/>
      <c r="J513" s="168">
        <f t="shared" si="37"/>
        <v>42</v>
      </c>
      <c r="K513" s="342" t="s">
        <v>31</v>
      </c>
      <c r="L513" s="294"/>
      <c r="M513" s="294"/>
      <c r="N513" s="294"/>
      <c r="O513" s="294"/>
      <c r="P513" s="295"/>
      <c r="Q513" s="168">
        <v>4</v>
      </c>
      <c r="R513" s="299" t="s">
        <v>768</v>
      </c>
      <c r="S513" s="300"/>
      <c r="T513" s="300"/>
      <c r="U513" s="300"/>
      <c r="V513" s="301"/>
      <c r="W513" s="327" t="s">
        <v>28</v>
      </c>
      <c r="X513" s="328"/>
      <c r="Y513" s="328"/>
      <c r="Z513" s="328"/>
      <c r="AA513" s="328"/>
      <c r="AB513" s="329"/>
      <c r="AC513" s="327" t="s">
        <v>29</v>
      </c>
      <c r="AD513" s="328"/>
      <c r="AE513" s="328"/>
      <c r="AF513" s="328"/>
      <c r="AG513" s="328"/>
      <c r="AH513" s="329"/>
    </row>
    <row r="514" spans="1:35" ht="21" customHeight="1">
      <c r="A514" s="161">
        <v>5</v>
      </c>
      <c r="B514" s="324" t="s">
        <v>34</v>
      </c>
      <c r="C514" s="324"/>
      <c r="D514" s="324"/>
      <c r="E514" s="324"/>
      <c r="F514" s="324"/>
      <c r="G514" s="324"/>
      <c r="H514" s="317">
        <f>VLOOKUP(AI507,'1a'!A:AG,8,0)</f>
        <v>52</v>
      </c>
      <c r="I514" s="318"/>
      <c r="J514" s="168">
        <f>H514</f>
        <v>52</v>
      </c>
      <c r="K514" s="293" t="s">
        <v>35</v>
      </c>
      <c r="L514" s="294"/>
      <c r="M514" s="294"/>
      <c r="N514" s="294"/>
      <c r="O514" s="294"/>
      <c r="P514" s="295"/>
      <c r="Q514" s="168">
        <v>5</v>
      </c>
      <c r="R514" s="319" t="s">
        <v>32</v>
      </c>
      <c r="S514" s="320"/>
      <c r="T514" s="320"/>
      <c r="U514" s="180" t="s">
        <v>1</v>
      </c>
      <c r="V514" s="181" t="str">
        <f>VLOOKUP(AI507,'1a'!A:AG,28,0)</f>
        <v>B</v>
      </c>
      <c r="W514" s="321" t="s">
        <v>33</v>
      </c>
      <c r="X514" s="322"/>
      <c r="Y514" s="322"/>
      <c r="Z514" s="322"/>
      <c r="AA514" s="322"/>
      <c r="AB514" s="323"/>
      <c r="AC514" s="296" t="s">
        <v>33</v>
      </c>
      <c r="AD514" s="297"/>
      <c r="AE514" s="297"/>
      <c r="AF514" s="297"/>
      <c r="AG514" s="297"/>
      <c r="AH514" s="298"/>
    </row>
    <row r="515" spans="1:35" ht="21" customHeight="1">
      <c r="A515" s="161">
        <v>6</v>
      </c>
      <c r="B515" s="288" t="s">
        <v>126</v>
      </c>
      <c r="C515" s="289"/>
      <c r="D515" s="289"/>
      <c r="E515" s="289"/>
      <c r="F515" s="289"/>
      <c r="G515" s="290"/>
      <c r="H515" s="317">
        <f>VLOOKUP(AI507,'1a'!A:AG,9,0)</f>
        <v>57</v>
      </c>
      <c r="I515" s="318"/>
      <c r="J515" s="168">
        <f>H515</f>
        <v>57</v>
      </c>
      <c r="K515" s="293" t="s">
        <v>127</v>
      </c>
      <c r="L515" s="294"/>
      <c r="M515" s="294"/>
      <c r="N515" s="294"/>
      <c r="O515" s="294"/>
      <c r="P515" s="295"/>
      <c r="Q515" s="168">
        <v>6</v>
      </c>
      <c r="R515" s="319" t="s">
        <v>36</v>
      </c>
      <c r="S515" s="320"/>
      <c r="T515" s="320"/>
      <c r="U515" s="180" t="s">
        <v>1</v>
      </c>
      <c r="V515" s="181" t="str">
        <f>VLOOKUP(AI507,'1a'!A:AG,29,0)</f>
        <v>B</v>
      </c>
      <c r="W515" s="13"/>
      <c r="X515" s="14"/>
      <c r="Y515" s="14"/>
      <c r="Z515" s="14"/>
      <c r="AA515" s="14"/>
      <c r="AB515" s="15"/>
      <c r="AC515" s="16"/>
      <c r="AH515" s="17"/>
    </row>
    <row r="516" spans="1:35" ht="21" customHeight="1">
      <c r="A516" s="161">
        <v>7</v>
      </c>
      <c r="B516" s="288" t="s">
        <v>128</v>
      </c>
      <c r="C516" s="289"/>
      <c r="D516" s="289"/>
      <c r="E516" s="289"/>
      <c r="F516" s="289"/>
      <c r="G516" s="290"/>
      <c r="H516" s="317">
        <f>VLOOKUP(AI507,'1a'!A:AG,10,0)</f>
        <v>60</v>
      </c>
      <c r="I516" s="318"/>
      <c r="J516" s="168">
        <f t="shared" si="37"/>
        <v>60</v>
      </c>
      <c r="K516" s="293" t="s">
        <v>112</v>
      </c>
      <c r="L516" s="294"/>
      <c r="M516" s="294"/>
      <c r="N516" s="294"/>
      <c r="O516" s="294"/>
      <c r="P516" s="295"/>
      <c r="Q516" s="168">
        <v>7</v>
      </c>
      <c r="R516" s="325" t="s">
        <v>39</v>
      </c>
      <c r="S516" s="326"/>
      <c r="T516" s="326"/>
      <c r="U516" s="182" t="s">
        <v>1</v>
      </c>
      <c r="V516" s="183" t="str">
        <f>VLOOKUP(AI507,'1a'!A:AG,30,0)</f>
        <v>B</v>
      </c>
      <c r="W516" s="16"/>
      <c r="AB516" s="17"/>
      <c r="AC516" s="16"/>
      <c r="AH516" s="17"/>
      <c r="AI516" s="30"/>
    </row>
    <row r="517" spans="1:35" ht="21" customHeight="1">
      <c r="A517" s="161">
        <v>8</v>
      </c>
      <c r="B517" s="324" t="s">
        <v>105</v>
      </c>
      <c r="C517" s="324"/>
      <c r="D517" s="324"/>
      <c r="E517" s="324"/>
      <c r="F517" s="324"/>
      <c r="G517" s="324"/>
      <c r="H517" s="317">
        <f>VLOOKUP(AI507,'1a'!A:AG,11,0)</f>
        <v>49</v>
      </c>
      <c r="I517" s="318"/>
      <c r="J517" s="168">
        <f t="shared" si="37"/>
        <v>49</v>
      </c>
      <c r="K517" s="293" t="s">
        <v>106</v>
      </c>
      <c r="L517" s="294"/>
      <c r="M517" s="294"/>
      <c r="N517" s="294"/>
      <c r="O517" s="294"/>
      <c r="P517" s="295"/>
      <c r="Q517" s="168">
        <v>8</v>
      </c>
      <c r="R517" s="327" t="s">
        <v>42</v>
      </c>
      <c r="S517" s="328"/>
      <c r="T517" s="328"/>
      <c r="U517" s="328"/>
      <c r="V517" s="329"/>
      <c r="W517" s="16"/>
      <c r="AB517" s="17"/>
      <c r="AC517" s="307" t="str">
        <f>DASHBOARD!H31</f>
        <v>Mu'allim Jalaluddin</v>
      </c>
      <c r="AD517" s="308"/>
      <c r="AE517" s="308"/>
      <c r="AF517" s="308"/>
      <c r="AG517" s="308"/>
      <c r="AH517" s="309"/>
    </row>
    <row r="518" spans="1:35" ht="21" customHeight="1">
      <c r="A518" s="161">
        <v>9</v>
      </c>
      <c r="B518" s="324" t="s">
        <v>14</v>
      </c>
      <c r="C518" s="324"/>
      <c r="D518" s="324"/>
      <c r="E518" s="324"/>
      <c r="F518" s="324"/>
      <c r="G518" s="324"/>
      <c r="H518" s="317">
        <f>VLOOKUP(AI507,'1a'!A:AG,12,0)</f>
        <v>54</v>
      </c>
      <c r="I518" s="318"/>
      <c r="J518" s="168">
        <f t="shared" si="37"/>
        <v>54</v>
      </c>
      <c r="K518" s="293" t="s">
        <v>15</v>
      </c>
      <c r="L518" s="294"/>
      <c r="M518" s="294"/>
      <c r="N518" s="294"/>
      <c r="O518" s="294"/>
      <c r="P518" s="295"/>
      <c r="Q518" s="168">
        <v>9</v>
      </c>
      <c r="R518" s="296" t="s">
        <v>43</v>
      </c>
      <c r="S518" s="297"/>
      <c r="T518" s="297"/>
      <c r="U518" s="297"/>
      <c r="V518" s="298"/>
      <c r="W518" s="16"/>
      <c r="AB518" s="17"/>
      <c r="AC518" s="299" t="s">
        <v>44</v>
      </c>
      <c r="AD518" s="300"/>
      <c r="AE518" s="300"/>
      <c r="AF518" s="300"/>
      <c r="AG518" s="300"/>
      <c r="AH518" s="301"/>
    </row>
    <row r="519" spans="1:35" ht="21" customHeight="1">
      <c r="A519" s="161">
        <v>10</v>
      </c>
      <c r="B519" s="324" t="s">
        <v>45</v>
      </c>
      <c r="C519" s="324"/>
      <c r="D519" s="324"/>
      <c r="E519" s="324"/>
      <c r="F519" s="324"/>
      <c r="G519" s="324"/>
      <c r="H519" s="317">
        <f>VLOOKUP(AI507,'1a'!A:AG,13,0)</f>
        <v>60</v>
      </c>
      <c r="I519" s="318"/>
      <c r="J519" s="168">
        <f t="shared" si="37"/>
        <v>60</v>
      </c>
      <c r="K519" s="293" t="s">
        <v>46</v>
      </c>
      <c r="L519" s="294"/>
      <c r="M519" s="294"/>
      <c r="N519" s="294"/>
      <c r="O519" s="294"/>
      <c r="P519" s="295"/>
      <c r="Q519" s="168">
        <v>10</v>
      </c>
      <c r="R519" s="184" t="s">
        <v>47</v>
      </c>
      <c r="S519" s="185"/>
      <c r="T519" s="180" t="s">
        <v>1</v>
      </c>
      <c r="U519" s="180">
        <f>VLOOKUP(AI507,'1a'!A:AG,31,0)</f>
        <v>29</v>
      </c>
      <c r="V519" s="181" t="s">
        <v>48</v>
      </c>
      <c r="W519" s="16"/>
      <c r="AB519" s="17"/>
      <c r="AC519" s="16"/>
      <c r="AH519" s="17"/>
    </row>
    <row r="520" spans="1:35" ht="21" customHeight="1">
      <c r="A520" s="288" t="s">
        <v>62</v>
      </c>
      <c r="B520" s="289"/>
      <c r="C520" s="289"/>
      <c r="D520" s="289"/>
      <c r="E520" s="289"/>
      <c r="F520" s="289"/>
      <c r="G520" s="290"/>
      <c r="H520" s="317">
        <f>VLOOKUP(AI507,'1a'!A:AG,25,0)</f>
        <v>805</v>
      </c>
      <c r="I520" s="318"/>
      <c r="J520" s="168">
        <f t="shared" si="37"/>
        <v>805</v>
      </c>
      <c r="K520" s="293" t="s">
        <v>63</v>
      </c>
      <c r="L520" s="294"/>
      <c r="M520" s="294"/>
      <c r="N520" s="294"/>
      <c r="O520" s="294"/>
      <c r="P520" s="294"/>
      <c r="Q520" s="295"/>
      <c r="R520" s="184" t="s">
        <v>51</v>
      </c>
      <c r="S520" s="185"/>
      <c r="T520" s="180" t="s">
        <v>1</v>
      </c>
      <c r="U520" s="180">
        <f>VLOOKUP(AI507,'1a'!A:AG,32,0)</f>
        <v>0</v>
      </c>
      <c r="V520" s="181" t="s">
        <v>48</v>
      </c>
      <c r="W520" s="21"/>
      <c r="X520" s="22"/>
      <c r="Y520" s="22"/>
      <c r="Z520" s="22"/>
      <c r="AA520" s="22"/>
      <c r="AB520" s="23"/>
      <c r="AC520" s="16"/>
      <c r="AH520" s="17"/>
    </row>
    <row r="521" spans="1:35" ht="21" customHeight="1">
      <c r="A521" s="288" t="s">
        <v>65</v>
      </c>
      <c r="B521" s="289"/>
      <c r="C521" s="289"/>
      <c r="D521" s="289"/>
      <c r="E521" s="289"/>
      <c r="F521" s="289"/>
      <c r="G521" s="290"/>
      <c r="H521" s="291">
        <f>VLOOKUP(AI507,'1a'!A:AG,26,0)</f>
        <v>53.666666666666664</v>
      </c>
      <c r="I521" s="292"/>
      <c r="J521" s="172">
        <f t="shared" si="37"/>
        <v>53.666666666666664</v>
      </c>
      <c r="K521" s="293" t="s">
        <v>66</v>
      </c>
      <c r="L521" s="294"/>
      <c r="M521" s="294"/>
      <c r="N521" s="294"/>
      <c r="O521" s="294"/>
      <c r="P521" s="294"/>
      <c r="Q521" s="295"/>
      <c r="R521" s="186" t="s">
        <v>53</v>
      </c>
      <c r="S521" s="187"/>
      <c r="T521" s="182" t="s">
        <v>1</v>
      </c>
      <c r="U521" s="182">
        <f>VLOOKUP(AI507,'1a'!A:AG,33,0)</f>
        <v>0</v>
      </c>
      <c r="V521" s="183" t="s">
        <v>48</v>
      </c>
      <c r="W521" s="188"/>
      <c r="X521" s="189"/>
      <c r="Y521" s="189"/>
      <c r="Z521" s="189"/>
      <c r="AA521" s="189"/>
      <c r="AB521" s="190"/>
      <c r="AC521" s="307" t="s">
        <v>770</v>
      </c>
      <c r="AD521" s="308"/>
      <c r="AE521" s="308"/>
      <c r="AF521" s="308"/>
      <c r="AG521" s="308"/>
      <c r="AH521" s="309"/>
    </row>
    <row r="522" spans="1:35" ht="21" customHeight="1">
      <c r="A522" s="288" t="s">
        <v>67</v>
      </c>
      <c r="B522" s="289"/>
      <c r="C522" s="289"/>
      <c r="D522" s="289"/>
      <c r="E522" s="199" t="s">
        <v>68</v>
      </c>
      <c r="F522" s="155" t="s">
        <v>69</v>
      </c>
      <c r="G522" s="164">
        <f>COUNT('1a'!B4:B31)</f>
        <v>28</v>
      </c>
      <c r="H522" s="164"/>
      <c r="I522" s="165"/>
      <c r="J522" s="173" t="s">
        <v>70</v>
      </c>
      <c r="K522" s="174"/>
      <c r="L522" s="175">
        <f>G522</f>
        <v>28</v>
      </c>
      <c r="M522" s="302" t="s">
        <v>71</v>
      </c>
      <c r="N522" s="302"/>
      <c r="O522" s="302"/>
      <c r="P522" s="176" t="str">
        <f>E522</f>
        <v>-</v>
      </c>
      <c r="Q522" s="177" t="s">
        <v>72</v>
      </c>
      <c r="R522" s="16"/>
      <c r="U522" t="s">
        <v>57</v>
      </c>
      <c r="AB522" s="310" t="str">
        <f>DASHBOARD!$H$13</f>
        <v>Sumedang, 05 September 2025</v>
      </c>
      <c r="AC522" s="310"/>
      <c r="AD522" s="310"/>
      <c r="AE522" s="310"/>
      <c r="AF522" s="310"/>
      <c r="AG522" s="310"/>
      <c r="AH522" s="311"/>
    </row>
    <row r="523" spans="1:35" ht="21" customHeight="1">
      <c r="A523" s="303" t="s">
        <v>73</v>
      </c>
      <c r="B523" s="304"/>
      <c r="C523" s="304"/>
      <c r="D523" s="304"/>
      <c r="E523" s="304"/>
      <c r="F523" s="304"/>
      <c r="G523" s="304"/>
      <c r="H523" s="304"/>
      <c r="I523" s="7"/>
      <c r="J523" s="166"/>
      <c r="K523" s="195"/>
      <c r="L523" s="305" t="s">
        <v>74</v>
      </c>
      <c r="M523" s="305"/>
      <c r="N523" s="305"/>
      <c r="O523" s="305"/>
      <c r="P523" s="305"/>
      <c r="Q523" s="306"/>
      <c r="R523" s="312" t="s">
        <v>60</v>
      </c>
      <c r="S523" s="310"/>
      <c r="T523" s="310"/>
      <c r="U523" s="310"/>
      <c r="V523" s="310"/>
      <c r="W523" s="310"/>
      <c r="X523" s="310"/>
      <c r="Y523" s="310"/>
      <c r="Z523" s="310"/>
      <c r="AA523" s="310"/>
      <c r="AB523" s="313" t="s">
        <v>61</v>
      </c>
      <c r="AC523" s="313"/>
      <c r="AD523" s="313"/>
      <c r="AE523" s="313"/>
      <c r="AF523" s="313"/>
      <c r="AG523" s="313"/>
      <c r="AH523" s="314"/>
    </row>
    <row r="524" spans="1:35" ht="21" customHeight="1">
      <c r="A524" s="358" t="s">
        <v>75</v>
      </c>
      <c r="B524" s="359"/>
      <c r="C524" s="359"/>
      <c r="D524" s="359"/>
      <c r="E524" s="359"/>
      <c r="F524" s="359"/>
      <c r="G524" s="359"/>
      <c r="H524" s="359"/>
      <c r="I524" s="359"/>
      <c r="J524" s="359"/>
      <c r="K524" s="359"/>
      <c r="L524" s="359"/>
      <c r="M524" s="359"/>
      <c r="N524" s="359"/>
      <c r="O524" s="359"/>
      <c r="P524" s="359"/>
      <c r="Q524" s="360"/>
      <c r="R524" s="33"/>
      <c r="S524" s="34"/>
      <c r="T524" s="34"/>
      <c r="U524" s="34"/>
      <c r="V524" s="34"/>
      <c r="W524" s="34"/>
      <c r="X524" s="34"/>
      <c r="Y524" s="34"/>
      <c r="Z524" s="34"/>
      <c r="AA524" s="34"/>
      <c r="AB524" s="297" t="s">
        <v>64</v>
      </c>
      <c r="AC524" s="297"/>
      <c r="AD524" s="297"/>
      <c r="AE524" s="297"/>
      <c r="AF524" s="297"/>
      <c r="AG524" s="297"/>
      <c r="AH524" s="298"/>
    </row>
    <row r="525" spans="1:35" ht="21" customHeight="1">
      <c r="A525" s="161">
        <v>1</v>
      </c>
      <c r="B525" s="324" t="s">
        <v>83</v>
      </c>
      <c r="C525" s="324"/>
      <c r="D525" s="324"/>
      <c r="E525" s="324"/>
      <c r="F525" s="324"/>
      <c r="G525" s="324"/>
      <c r="H525" s="356">
        <f>VLOOKUP(AI507,'1a'!A:AG,19,0)</f>
        <v>70</v>
      </c>
      <c r="I525" s="356"/>
      <c r="J525" s="178">
        <f t="shared" ref="J525:J532" si="38">H525</f>
        <v>70</v>
      </c>
      <c r="K525" s="293" t="s">
        <v>84</v>
      </c>
      <c r="L525" s="294"/>
      <c r="M525" s="294"/>
      <c r="N525" s="294"/>
      <c r="O525" s="294"/>
      <c r="P525" s="295"/>
      <c r="Q525" s="168">
        <v>1</v>
      </c>
      <c r="R525" s="33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5"/>
    </row>
    <row r="526" spans="1:35" ht="21" customHeight="1">
      <c r="A526" s="161">
        <v>2</v>
      </c>
      <c r="B526" s="288" t="s">
        <v>79</v>
      </c>
      <c r="C526" s="289"/>
      <c r="D526" s="289"/>
      <c r="E526" s="289"/>
      <c r="F526" s="289"/>
      <c r="G526" s="290"/>
      <c r="H526" s="356">
        <f>VLOOKUP(AI507,'1a'!A:AG,20,0)</f>
        <v>60</v>
      </c>
      <c r="I526" s="356"/>
      <c r="J526" s="178">
        <f t="shared" si="38"/>
        <v>60</v>
      </c>
      <c r="K526" s="293" t="s">
        <v>80</v>
      </c>
      <c r="L526" s="294"/>
      <c r="M526" s="294"/>
      <c r="N526" s="294"/>
      <c r="O526" s="294"/>
      <c r="P526" s="295"/>
      <c r="Q526" s="168">
        <v>2</v>
      </c>
      <c r="R526" s="33"/>
      <c r="S526" s="34"/>
      <c r="T526" s="34"/>
      <c r="U526" s="34"/>
      <c r="V526" s="34"/>
      <c r="W526" s="191"/>
      <c r="X526" s="191"/>
      <c r="Y526" s="191"/>
      <c r="Z526" s="191"/>
      <c r="AA526" s="191"/>
      <c r="AB526" s="34"/>
      <c r="AC526" s="34"/>
      <c r="AD526" s="34"/>
      <c r="AE526" s="34"/>
      <c r="AF526" s="34"/>
      <c r="AG526" s="34"/>
      <c r="AH526" s="35"/>
    </row>
    <row r="527" spans="1:35" ht="21" customHeight="1">
      <c r="A527" s="161">
        <v>3</v>
      </c>
      <c r="B527" s="288" t="s">
        <v>77</v>
      </c>
      <c r="C527" s="289"/>
      <c r="D527" s="289"/>
      <c r="E527" s="289"/>
      <c r="F527" s="289"/>
      <c r="G527" s="290"/>
      <c r="H527" s="317">
        <f>VLOOKUP(AI507,'1a'!A:AG,21,0)</f>
        <v>63</v>
      </c>
      <c r="I527" s="318"/>
      <c r="J527" s="178">
        <f>H527</f>
        <v>63</v>
      </c>
      <c r="K527" s="293" t="s">
        <v>78</v>
      </c>
      <c r="L527" s="294"/>
      <c r="M527" s="294"/>
      <c r="N527" s="294"/>
      <c r="O527" s="294"/>
      <c r="P527" s="295"/>
      <c r="Q527" s="168">
        <v>3</v>
      </c>
      <c r="R527" s="312"/>
      <c r="S527" s="310"/>
      <c r="T527" s="310"/>
      <c r="U527" s="310"/>
      <c r="V527" s="310"/>
      <c r="W527" s="310"/>
      <c r="X527" s="310"/>
      <c r="Y527" s="310"/>
      <c r="Z527" s="310"/>
      <c r="AA527" s="310"/>
      <c r="AB527" s="34"/>
      <c r="AC527" s="34"/>
      <c r="AD527" s="34"/>
      <c r="AE527" s="34"/>
      <c r="AF527" s="34"/>
      <c r="AG527" s="34"/>
      <c r="AH527" s="35"/>
    </row>
    <row r="528" spans="1:35" ht="21" customHeight="1">
      <c r="A528" s="161">
        <v>4</v>
      </c>
      <c r="B528" s="288" t="s">
        <v>81</v>
      </c>
      <c r="C528" s="289"/>
      <c r="D528" s="289"/>
      <c r="E528" s="289"/>
      <c r="F528" s="289"/>
      <c r="G528" s="290"/>
      <c r="H528" s="317">
        <f>VLOOKUP(AI507,'1a'!A:AG,22,0)</f>
        <v>60</v>
      </c>
      <c r="I528" s="318"/>
      <c r="J528" s="178">
        <f>H528</f>
        <v>60</v>
      </c>
      <c r="K528" s="293" t="s">
        <v>82</v>
      </c>
      <c r="L528" s="294"/>
      <c r="M528" s="294"/>
      <c r="N528" s="294"/>
      <c r="O528" s="294"/>
      <c r="P528" s="295"/>
      <c r="Q528" s="168">
        <v>4</v>
      </c>
      <c r="R528" s="315" t="s">
        <v>766</v>
      </c>
      <c r="S528" s="316"/>
      <c r="T528" s="316"/>
      <c r="U528" s="316"/>
      <c r="V528" s="316"/>
      <c r="W528" s="316"/>
      <c r="X528" s="316"/>
      <c r="Y528" s="316"/>
      <c r="Z528" s="316"/>
      <c r="AA528" s="316"/>
      <c r="AB528" s="308" t="s">
        <v>767</v>
      </c>
      <c r="AC528" s="308"/>
      <c r="AD528" s="308"/>
      <c r="AE528" s="308"/>
      <c r="AF528" s="308"/>
      <c r="AG528" s="308"/>
      <c r="AH528" s="309"/>
    </row>
    <row r="529" spans="1:35" ht="21" customHeight="1">
      <c r="A529" s="161">
        <v>5</v>
      </c>
      <c r="B529" s="324" t="s">
        <v>147</v>
      </c>
      <c r="C529" s="324"/>
      <c r="D529" s="324"/>
      <c r="E529" s="324"/>
      <c r="F529" s="324"/>
      <c r="G529" s="324"/>
      <c r="H529" s="356">
        <f>VLOOKUP(AI507,'1a'!A:AG,23,0)</f>
        <v>65</v>
      </c>
      <c r="I529" s="356"/>
      <c r="J529" s="178">
        <f t="shared" si="38"/>
        <v>65</v>
      </c>
      <c r="K529" s="293" t="s">
        <v>84</v>
      </c>
      <c r="L529" s="294"/>
      <c r="M529" s="294"/>
      <c r="N529" s="294"/>
      <c r="O529" s="294"/>
      <c r="P529" s="295"/>
      <c r="Q529" s="168">
        <v>5</v>
      </c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</row>
    <row r="530" spans="1:35" ht="21" customHeight="1">
      <c r="A530" s="161">
        <v>6</v>
      </c>
      <c r="B530" s="324" t="s">
        <v>148</v>
      </c>
      <c r="C530" s="324"/>
      <c r="D530" s="324"/>
      <c r="E530" s="324"/>
      <c r="F530" s="324"/>
      <c r="G530" s="324"/>
      <c r="H530" s="356">
        <f>VLOOKUP(AI507,'1a'!A:AG,24,0)</f>
        <v>60</v>
      </c>
      <c r="I530" s="356"/>
      <c r="J530" s="178">
        <f t="shared" si="38"/>
        <v>60</v>
      </c>
      <c r="K530" s="293" t="s">
        <v>149</v>
      </c>
      <c r="L530" s="294"/>
      <c r="M530" s="294"/>
      <c r="N530" s="294"/>
      <c r="O530" s="294"/>
      <c r="P530" s="295"/>
      <c r="Q530" s="168">
        <v>6</v>
      </c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</row>
    <row r="531" spans="1:35" ht="21" customHeight="1">
      <c r="A531" s="357" t="s">
        <v>62</v>
      </c>
      <c r="B531" s="357"/>
      <c r="C531" s="357"/>
      <c r="D531" s="357"/>
      <c r="E531" s="357"/>
      <c r="F531" s="357"/>
      <c r="G531" s="357"/>
      <c r="H531" s="317">
        <f>SUM(H525:I530)</f>
        <v>378</v>
      </c>
      <c r="I531" s="318"/>
      <c r="J531" s="178">
        <f t="shared" si="38"/>
        <v>378</v>
      </c>
      <c r="K531" s="293" t="s">
        <v>63</v>
      </c>
      <c r="L531" s="294"/>
      <c r="M531" s="294"/>
      <c r="N531" s="294"/>
      <c r="O531" s="294"/>
      <c r="P531" s="294"/>
      <c r="Q531" s="295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</row>
    <row r="532" spans="1:35" ht="21" customHeight="1">
      <c r="A532" s="357" t="s">
        <v>65</v>
      </c>
      <c r="B532" s="357"/>
      <c r="C532" s="357"/>
      <c r="D532" s="357"/>
      <c r="E532" s="357"/>
      <c r="F532" s="357"/>
      <c r="G532" s="357"/>
      <c r="H532" s="291">
        <f>AVERAGE(H525:I530)</f>
        <v>63</v>
      </c>
      <c r="I532" s="292"/>
      <c r="J532" s="179">
        <f t="shared" si="38"/>
        <v>63</v>
      </c>
      <c r="K532" s="293" t="s">
        <v>66</v>
      </c>
      <c r="L532" s="294"/>
      <c r="M532" s="294"/>
      <c r="N532" s="294"/>
      <c r="O532" s="294"/>
      <c r="P532" s="294"/>
      <c r="Q532" s="295"/>
    </row>
    <row r="533" spans="1:35" ht="21" customHeight="1">
      <c r="A533" s="46"/>
      <c r="B533" s="46"/>
      <c r="C533" s="46"/>
      <c r="D533" s="46"/>
      <c r="E533" s="46"/>
      <c r="F533" s="46"/>
      <c r="G533" s="46"/>
      <c r="H533" s="47"/>
      <c r="I533" s="47"/>
      <c r="J533" s="224"/>
      <c r="K533" s="225"/>
      <c r="L533" s="225"/>
      <c r="M533" s="225"/>
      <c r="N533" s="225"/>
      <c r="O533" s="225"/>
      <c r="P533" s="225"/>
      <c r="Q533" s="225"/>
    </row>
    <row r="534" spans="1:35" ht="21" customHeight="1">
      <c r="A534" s="46"/>
      <c r="B534" s="46"/>
      <c r="C534" s="46"/>
      <c r="D534" s="46"/>
      <c r="E534" s="46"/>
      <c r="F534" s="46"/>
      <c r="G534" s="46"/>
      <c r="H534" s="47"/>
      <c r="I534" s="47"/>
      <c r="J534" s="224"/>
      <c r="K534" s="225"/>
      <c r="L534" s="225"/>
      <c r="M534" s="225"/>
      <c r="N534" s="225"/>
      <c r="O534" s="225"/>
      <c r="P534" s="225"/>
      <c r="Q534" s="225"/>
    </row>
    <row r="535" spans="1:35" s="22" customFormat="1" ht="21" customHeight="1">
      <c r="A535" s="34"/>
      <c r="B535" s="34"/>
      <c r="C535" s="34"/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1"/>
      <c r="O535" s="34"/>
      <c r="P535" s="34"/>
      <c r="Q535" s="34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</row>
    <row r="536" spans="1:35" s="30" customFormat="1" ht="21" customHeight="1">
      <c r="A536" s="343" t="s">
        <v>0</v>
      </c>
      <c r="B536" s="344"/>
      <c r="C536" s="153" t="s">
        <v>1</v>
      </c>
      <c r="D536" s="344" t="str">
        <f>VLOOKUP(AI539,'1b'!A:AG,3,0)</f>
        <v>Raka Arinda Syahputra</v>
      </c>
      <c r="E536" s="344"/>
      <c r="F536" s="344"/>
      <c r="G536" s="344"/>
      <c r="H536" s="344"/>
      <c r="I536" s="344"/>
      <c r="J536" s="344"/>
      <c r="K536" s="344"/>
      <c r="L536" s="344"/>
      <c r="M536" s="344"/>
      <c r="N536" s="344"/>
      <c r="O536" s="344"/>
      <c r="P536" s="344"/>
      <c r="Q536" s="345"/>
      <c r="R536" s="343" t="s">
        <v>0</v>
      </c>
      <c r="S536" s="344"/>
      <c r="T536" s="153" t="s">
        <v>1</v>
      </c>
      <c r="U536" s="344" t="str">
        <f>D536</f>
        <v>Raka Arinda Syahputra</v>
      </c>
      <c r="V536" s="344"/>
      <c r="W536" s="344"/>
      <c r="X536" s="344"/>
      <c r="Y536" s="344"/>
      <c r="Z536" s="344"/>
      <c r="AA536" s="344"/>
      <c r="AB536" s="344"/>
      <c r="AC536" s="344"/>
      <c r="AD536" s="344"/>
      <c r="AE536" s="344"/>
      <c r="AF536" s="344"/>
      <c r="AG536" s="344"/>
      <c r="AH536" s="345"/>
      <c r="AI536"/>
    </row>
    <row r="537" spans="1:35" ht="21" customHeight="1">
      <c r="A537" s="346" t="s">
        <v>2</v>
      </c>
      <c r="B537" s="347"/>
      <c r="C537" s="154" t="s">
        <v>1</v>
      </c>
      <c r="D537" s="347" t="s">
        <v>132</v>
      </c>
      <c r="E537" s="347"/>
      <c r="F537" s="347"/>
      <c r="G537" s="347"/>
      <c r="H537" s="347"/>
      <c r="I537" s="347"/>
      <c r="J537" s="159" t="s">
        <v>3</v>
      </c>
      <c r="K537" s="347">
        <f>VLOOKUP(AI539,'1b'!A:AG,2,0)</f>
        <v>23240027</v>
      </c>
      <c r="L537" s="347"/>
      <c r="M537" s="347"/>
      <c r="N537" s="347"/>
      <c r="O537" s="347"/>
      <c r="P537" s="347"/>
      <c r="Q537" s="348"/>
      <c r="R537" s="346" t="s">
        <v>2</v>
      </c>
      <c r="S537" s="347"/>
      <c r="T537" s="154" t="s">
        <v>1</v>
      </c>
      <c r="U537" s="347" t="str">
        <f>D537</f>
        <v>1-B</v>
      </c>
      <c r="V537" s="347"/>
      <c r="W537" s="347"/>
      <c r="X537" s="347"/>
      <c r="Y537" s="347"/>
      <c r="Z537" s="347"/>
      <c r="AA537" s="159" t="s">
        <v>3</v>
      </c>
      <c r="AB537" s="347">
        <f>K537</f>
        <v>23240027</v>
      </c>
      <c r="AC537" s="347"/>
      <c r="AD537" s="347"/>
      <c r="AE537" s="347"/>
      <c r="AF537" s="347"/>
      <c r="AG537" s="347"/>
      <c r="AH537" s="348"/>
    </row>
    <row r="538" spans="1:35" ht="21" customHeight="1">
      <c r="A538" s="343" t="s">
        <v>4</v>
      </c>
      <c r="B538" s="344"/>
      <c r="C538" s="153" t="s">
        <v>1</v>
      </c>
      <c r="D538" s="304" t="str">
        <f>DASHBOARD!$H$11</f>
        <v>2025/2026</v>
      </c>
      <c r="E538" s="304"/>
      <c r="F538" s="304"/>
      <c r="G538" s="304"/>
      <c r="H538" s="304"/>
      <c r="I538" s="304"/>
      <c r="J538" s="304"/>
      <c r="K538" s="304"/>
      <c r="L538" s="304"/>
      <c r="M538" s="304"/>
      <c r="N538" s="304"/>
      <c r="O538" s="304"/>
      <c r="P538" s="304"/>
      <c r="Q538" s="349"/>
      <c r="R538" s="330" t="s">
        <v>5</v>
      </c>
      <c r="S538" s="331"/>
      <c r="T538" s="331"/>
      <c r="U538" s="331"/>
      <c r="V538" s="331"/>
      <c r="W538" s="331"/>
      <c r="X538" s="332"/>
      <c r="Y538" s="333" t="s">
        <v>6</v>
      </c>
      <c r="Z538" s="334"/>
      <c r="AA538" s="337" t="s">
        <v>7</v>
      </c>
      <c r="AB538" s="330" t="s">
        <v>8</v>
      </c>
      <c r="AC538" s="331"/>
      <c r="AD538" s="331"/>
      <c r="AE538" s="331"/>
      <c r="AF538" s="331"/>
      <c r="AG538" s="331"/>
      <c r="AH538" s="332"/>
      <c r="AI538" s="51" t="s">
        <v>788</v>
      </c>
    </row>
    <row r="539" spans="1:35" ht="21" customHeight="1">
      <c r="A539" s="303" t="s">
        <v>10</v>
      </c>
      <c r="B539" s="304"/>
      <c r="C539" s="160" t="s">
        <v>1</v>
      </c>
      <c r="D539" s="350" t="str">
        <f>DASHBOARD!$H$12</f>
        <v>1 (Satu)</v>
      </c>
      <c r="E539" s="350"/>
      <c r="F539" s="350"/>
      <c r="G539" s="350"/>
      <c r="H539" s="350"/>
      <c r="I539" s="351"/>
      <c r="J539" s="352" t="str">
        <f>DASHBOARD!$I$12</f>
        <v>الأول</v>
      </c>
      <c r="K539" s="353"/>
      <c r="L539" s="353"/>
      <c r="M539" s="353"/>
      <c r="N539" s="160" t="s">
        <v>1</v>
      </c>
      <c r="O539" s="354" t="s">
        <v>11</v>
      </c>
      <c r="P539" s="354"/>
      <c r="Q539" s="355"/>
      <c r="R539" s="339" t="s">
        <v>12</v>
      </c>
      <c r="S539" s="340"/>
      <c r="T539" s="340"/>
      <c r="U539" s="340"/>
      <c r="V539" s="340"/>
      <c r="W539" s="340"/>
      <c r="X539" s="341"/>
      <c r="Y539" s="335"/>
      <c r="Z539" s="336"/>
      <c r="AA539" s="338"/>
      <c r="AB539" s="339" t="s">
        <v>13</v>
      </c>
      <c r="AC539" s="340"/>
      <c r="AD539" s="340"/>
      <c r="AE539" s="340"/>
      <c r="AF539" s="340"/>
      <c r="AG539" s="340"/>
      <c r="AH539" s="341"/>
      <c r="AI539" s="51">
        <v>27</v>
      </c>
    </row>
    <row r="540" spans="1:35" ht="21" customHeight="1">
      <c r="A540" s="330" t="s">
        <v>5</v>
      </c>
      <c r="B540" s="331"/>
      <c r="C540" s="331"/>
      <c r="D540" s="331"/>
      <c r="E540" s="331"/>
      <c r="F540" s="331"/>
      <c r="G540" s="332"/>
      <c r="H540" s="333" t="s">
        <v>6</v>
      </c>
      <c r="I540" s="334"/>
      <c r="J540" s="337" t="s">
        <v>7</v>
      </c>
      <c r="K540" s="330" t="s">
        <v>8</v>
      </c>
      <c r="L540" s="331"/>
      <c r="M540" s="331"/>
      <c r="N540" s="331"/>
      <c r="O540" s="331"/>
      <c r="P540" s="331"/>
      <c r="Q540" s="332"/>
      <c r="R540" s="161">
        <v>1</v>
      </c>
      <c r="S540" s="288" t="s">
        <v>103</v>
      </c>
      <c r="T540" s="289"/>
      <c r="U540" s="289"/>
      <c r="V540" s="289"/>
      <c r="W540" s="289"/>
      <c r="X540" s="290"/>
      <c r="Y540" s="361">
        <f>VLOOKUP(AI539,'1b'!A:AG,14,0)</f>
        <v>50</v>
      </c>
      <c r="Z540" s="362"/>
      <c r="AA540" s="168">
        <f t="shared" ref="AA540:AA544" si="39">Y540</f>
        <v>50</v>
      </c>
      <c r="AB540" s="293" t="s">
        <v>104</v>
      </c>
      <c r="AC540" s="294"/>
      <c r="AD540" s="294"/>
      <c r="AE540" s="294"/>
      <c r="AF540" s="294"/>
      <c r="AG540" s="295"/>
      <c r="AH540" s="168">
        <v>1</v>
      </c>
    </row>
    <row r="541" spans="1:35" ht="21" customHeight="1">
      <c r="A541" s="339" t="s">
        <v>16</v>
      </c>
      <c r="B541" s="340"/>
      <c r="C541" s="340"/>
      <c r="D541" s="340"/>
      <c r="E541" s="340"/>
      <c r="F541" s="340"/>
      <c r="G541" s="341"/>
      <c r="H541" s="335"/>
      <c r="I541" s="336"/>
      <c r="J541" s="338"/>
      <c r="K541" s="339" t="s">
        <v>17</v>
      </c>
      <c r="L541" s="340"/>
      <c r="M541" s="340"/>
      <c r="N541" s="340"/>
      <c r="O541" s="340"/>
      <c r="P541" s="340"/>
      <c r="Q541" s="341"/>
      <c r="R541" s="161">
        <v>2</v>
      </c>
      <c r="S541" s="324" t="s">
        <v>14</v>
      </c>
      <c r="T541" s="324"/>
      <c r="U541" s="324"/>
      <c r="V541" s="324"/>
      <c r="W541" s="324"/>
      <c r="X541" s="324"/>
      <c r="Y541" s="361">
        <f>VLOOKUP(AI539,'1b'!A:AG,15,0)</f>
        <v>60</v>
      </c>
      <c r="Z541" s="362"/>
      <c r="AA541" s="168">
        <f t="shared" si="39"/>
        <v>60</v>
      </c>
      <c r="AB541" s="293" t="s">
        <v>15</v>
      </c>
      <c r="AC541" s="294"/>
      <c r="AD541" s="294"/>
      <c r="AE541" s="294"/>
      <c r="AF541" s="294"/>
      <c r="AG541" s="295"/>
      <c r="AH541" s="168">
        <v>2</v>
      </c>
    </row>
    <row r="542" spans="1:35" ht="21" customHeight="1">
      <c r="A542" s="161">
        <v>1</v>
      </c>
      <c r="B542" s="288" t="s">
        <v>118</v>
      </c>
      <c r="C542" s="289"/>
      <c r="D542" s="289"/>
      <c r="E542" s="289"/>
      <c r="F542" s="289"/>
      <c r="G542" s="290"/>
      <c r="H542" s="317">
        <f>VLOOKUP(AI539,'1b'!A:AG,4,0)</f>
        <v>40</v>
      </c>
      <c r="I542" s="318"/>
      <c r="J542" s="168">
        <f t="shared" ref="J542:J553" si="40">H542</f>
        <v>40</v>
      </c>
      <c r="K542" s="342" t="s">
        <v>119</v>
      </c>
      <c r="L542" s="342"/>
      <c r="M542" s="342"/>
      <c r="N542" s="342"/>
      <c r="O542" s="342"/>
      <c r="P542" s="342"/>
      <c r="Q542" s="168">
        <v>1</v>
      </c>
      <c r="R542" s="161">
        <v>3</v>
      </c>
      <c r="S542" s="288" t="s">
        <v>120</v>
      </c>
      <c r="T542" s="289"/>
      <c r="U542" s="289"/>
      <c r="V542" s="289"/>
      <c r="W542" s="289"/>
      <c r="X542" s="290"/>
      <c r="Y542" s="361">
        <f>VLOOKUP(AI539,'1b'!A:AG,16,0)</f>
        <v>70</v>
      </c>
      <c r="Z542" s="362"/>
      <c r="AA542" s="168">
        <f t="shared" si="39"/>
        <v>70</v>
      </c>
      <c r="AB542" s="293" t="s">
        <v>46</v>
      </c>
      <c r="AC542" s="294"/>
      <c r="AD542" s="294"/>
      <c r="AE542" s="294"/>
      <c r="AF542" s="294"/>
      <c r="AG542" s="295"/>
      <c r="AH542" s="168">
        <v>3</v>
      </c>
    </row>
    <row r="543" spans="1:35" ht="21" customHeight="1">
      <c r="A543" s="161">
        <v>2</v>
      </c>
      <c r="B543" s="288" t="s">
        <v>22</v>
      </c>
      <c r="C543" s="289"/>
      <c r="D543" s="289"/>
      <c r="E543" s="289"/>
      <c r="F543" s="289"/>
      <c r="G543" s="290"/>
      <c r="H543" s="317">
        <f>VLOOKUP(AI539,'1b'!A:AG,5,0)</f>
        <v>43</v>
      </c>
      <c r="I543" s="318"/>
      <c r="J543" s="168">
        <f t="shared" si="40"/>
        <v>43</v>
      </c>
      <c r="K543" s="342" t="s">
        <v>23</v>
      </c>
      <c r="L543" s="342"/>
      <c r="M543" s="342"/>
      <c r="N543" s="342"/>
      <c r="O543" s="342"/>
      <c r="P543" s="342"/>
      <c r="Q543" s="168">
        <v>2</v>
      </c>
      <c r="R543" s="161">
        <v>4</v>
      </c>
      <c r="S543" s="324" t="s">
        <v>121</v>
      </c>
      <c r="T543" s="324"/>
      <c r="U543" s="324"/>
      <c r="V543" s="324"/>
      <c r="W543" s="324"/>
      <c r="X543" s="324"/>
      <c r="Y543" s="361">
        <f>VLOOKUP(AI539,'1b'!A:AG,17,0)</f>
        <v>60</v>
      </c>
      <c r="Z543" s="362"/>
      <c r="AA543" s="168">
        <f t="shared" si="39"/>
        <v>60</v>
      </c>
      <c r="AB543" s="293" t="s">
        <v>35</v>
      </c>
      <c r="AC543" s="294"/>
      <c r="AD543" s="294"/>
      <c r="AE543" s="294"/>
      <c r="AF543" s="294"/>
      <c r="AG543" s="295"/>
      <c r="AH543" s="168">
        <v>4</v>
      </c>
    </row>
    <row r="544" spans="1:35" ht="21" customHeight="1">
      <c r="A544" s="161">
        <v>3</v>
      </c>
      <c r="B544" s="288" t="s">
        <v>55</v>
      </c>
      <c r="C544" s="289"/>
      <c r="D544" s="289"/>
      <c r="E544" s="289"/>
      <c r="F544" s="289"/>
      <c r="G544" s="290"/>
      <c r="H544" s="317">
        <f>VLOOKUP(AI539,'1b'!A:AG,6,0)</f>
        <v>40</v>
      </c>
      <c r="I544" s="318"/>
      <c r="J544" s="168">
        <f t="shared" si="40"/>
        <v>40</v>
      </c>
      <c r="K544" s="342" t="s">
        <v>56</v>
      </c>
      <c r="L544" s="342"/>
      <c r="M544" s="342"/>
      <c r="N544" s="342"/>
      <c r="O544" s="342"/>
      <c r="P544" s="342"/>
      <c r="Q544" s="168">
        <v>3</v>
      </c>
      <c r="R544" s="161">
        <v>5</v>
      </c>
      <c r="S544" s="158" t="s">
        <v>22</v>
      </c>
      <c r="T544" s="155"/>
      <c r="U544" s="155"/>
      <c r="V544" s="155"/>
      <c r="W544" s="155"/>
      <c r="X544" s="162"/>
      <c r="Y544" s="361">
        <f>VLOOKUP(AI539,'1b'!A:AG,18,0)</f>
        <v>60</v>
      </c>
      <c r="Z544" s="362"/>
      <c r="AA544" s="168">
        <f t="shared" si="39"/>
        <v>60</v>
      </c>
      <c r="AB544" s="169"/>
      <c r="AC544" s="170"/>
      <c r="AD544" s="170"/>
      <c r="AE544" s="170"/>
      <c r="AF544" s="170"/>
      <c r="AG544" s="171" t="s">
        <v>23</v>
      </c>
      <c r="AH544" s="168">
        <v>5</v>
      </c>
    </row>
    <row r="545" spans="1:35" ht="21" customHeight="1">
      <c r="A545" s="161">
        <v>4</v>
      </c>
      <c r="B545" s="324" t="s">
        <v>30</v>
      </c>
      <c r="C545" s="324"/>
      <c r="D545" s="324"/>
      <c r="E545" s="324"/>
      <c r="F545" s="324"/>
      <c r="G545" s="324"/>
      <c r="H545" s="317">
        <f>VLOOKUP(AI539,'1b'!A:AG,7,0)</f>
        <v>43</v>
      </c>
      <c r="I545" s="318"/>
      <c r="J545" s="168">
        <f t="shared" si="40"/>
        <v>43</v>
      </c>
      <c r="K545" s="342" t="s">
        <v>31</v>
      </c>
      <c r="L545" s="294"/>
      <c r="M545" s="294"/>
      <c r="N545" s="294"/>
      <c r="O545" s="294"/>
      <c r="P545" s="295"/>
      <c r="Q545" s="168">
        <v>4</v>
      </c>
      <c r="R545" s="299" t="s">
        <v>768</v>
      </c>
      <c r="S545" s="300"/>
      <c r="T545" s="300"/>
      <c r="U545" s="300"/>
      <c r="V545" s="301"/>
      <c r="W545" s="327" t="s">
        <v>28</v>
      </c>
      <c r="X545" s="328"/>
      <c r="Y545" s="328"/>
      <c r="Z545" s="328"/>
      <c r="AA545" s="328"/>
      <c r="AB545" s="329"/>
      <c r="AC545" s="327" t="s">
        <v>29</v>
      </c>
      <c r="AD545" s="328"/>
      <c r="AE545" s="328"/>
      <c r="AF545" s="328"/>
      <c r="AG545" s="328"/>
      <c r="AH545" s="329"/>
    </row>
    <row r="546" spans="1:35" ht="21" customHeight="1">
      <c r="A546" s="161">
        <v>5</v>
      </c>
      <c r="B546" s="324" t="s">
        <v>34</v>
      </c>
      <c r="C546" s="324"/>
      <c r="D546" s="324"/>
      <c r="E546" s="324"/>
      <c r="F546" s="324"/>
      <c r="G546" s="324"/>
      <c r="H546" s="317">
        <f>VLOOKUP(AI539,'1b'!A:AG,8,0)</f>
        <v>43</v>
      </c>
      <c r="I546" s="318"/>
      <c r="J546" s="168">
        <f t="shared" si="40"/>
        <v>43</v>
      </c>
      <c r="K546" s="293" t="s">
        <v>35</v>
      </c>
      <c r="L546" s="294"/>
      <c r="M546" s="294"/>
      <c r="N546" s="294"/>
      <c r="O546" s="294"/>
      <c r="P546" s="295"/>
      <c r="Q546" s="168">
        <v>5</v>
      </c>
      <c r="R546" s="319" t="s">
        <v>32</v>
      </c>
      <c r="S546" s="320"/>
      <c r="T546" s="320"/>
      <c r="U546" s="180" t="s">
        <v>1</v>
      </c>
      <c r="V546" s="181" t="str">
        <f>VLOOKUP(AI539,'1b'!A:AG,28,0)</f>
        <v>A</v>
      </c>
      <c r="W546" s="321" t="s">
        <v>33</v>
      </c>
      <c r="X546" s="322"/>
      <c r="Y546" s="322"/>
      <c r="Z546" s="322"/>
      <c r="AA546" s="322"/>
      <c r="AB546" s="323"/>
      <c r="AC546" s="296" t="s">
        <v>33</v>
      </c>
      <c r="AD546" s="297"/>
      <c r="AE546" s="297"/>
      <c r="AF546" s="297"/>
      <c r="AG546" s="297"/>
      <c r="AH546" s="298"/>
    </row>
    <row r="547" spans="1:35" ht="21" customHeight="1">
      <c r="A547" s="161">
        <v>6</v>
      </c>
      <c r="B547" s="288" t="s">
        <v>126</v>
      </c>
      <c r="C547" s="289"/>
      <c r="D547" s="289"/>
      <c r="E547" s="289"/>
      <c r="F547" s="289"/>
      <c r="G547" s="290"/>
      <c r="H547" s="317">
        <f>VLOOKUP(AI539,'1b'!A:AG,9,0)</f>
        <v>40</v>
      </c>
      <c r="I547" s="318"/>
      <c r="J547" s="168">
        <f t="shared" si="40"/>
        <v>40</v>
      </c>
      <c r="K547" s="293" t="s">
        <v>127</v>
      </c>
      <c r="L547" s="294"/>
      <c r="M547" s="294"/>
      <c r="N547" s="294"/>
      <c r="O547" s="294"/>
      <c r="P547" s="295"/>
      <c r="Q547" s="168">
        <v>6</v>
      </c>
      <c r="R547" s="319" t="s">
        <v>36</v>
      </c>
      <c r="S547" s="320"/>
      <c r="T547" s="320"/>
      <c r="U547" s="180" t="s">
        <v>1</v>
      </c>
      <c r="V547" s="181" t="str">
        <f>VLOOKUP(AI539,'1b'!A:AG,29,0)</f>
        <v>B</v>
      </c>
      <c r="W547" s="13"/>
      <c r="X547" s="14"/>
      <c r="Y547" s="14"/>
      <c r="Z547" s="14"/>
      <c r="AA547" s="14"/>
      <c r="AB547" s="15"/>
      <c r="AC547" s="16"/>
      <c r="AH547" s="17"/>
    </row>
    <row r="548" spans="1:35" ht="21" customHeight="1">
      <c r="A548" s="161">
        <v>7</v>
      </c>
      <c r="B548" s="288" t="s">
        <v>128</v>
      </c>
      <c r="C548" s="289"/>
      <c r="D548" s="289"/>
      <c r="E548" s="289"/>
      <c r="F548" s="289"/>
      <c r="G548" s="290"/>
      <c r="H548" s="317">
        <f>VLOOKUP(AI539,'1b'!A:AG,10,0)</f>
        <v>46</v>
      </c>
      <c r="I548" s="318"/>
      <c r="J548" s="168">
        <f t="shared" si="40"/>
        <v>46</v>
      </c>
      <c r="K548" s="293" t="s">
        <v>112</v>
      </c>
      <c r="L548" s="294"/>
      <c r="M548" s="294"/>
      <c r="N548" s="294"/>
      <c r="O548" s="294"/>
      <c r="P548" s="295"/>
      <c r="Q548" s="168">
        <v>7</v>
      </c>
      <c r="R548" s="325" t="s">
        <v>39</v>
      </c>
      <c r="S548" s="326"/>
      <c r="T548" s="326"/>
      <c r="U548" s="182" t="s">
        <v>1</v>
      </c>
      <c r="V548" s="183" t="str">
        <f>VLOOKUP(AI539,'1b'!A:AG,30,0)</f>
        <v>B</v>
      </c>
      <c r="W548" s="16"/>
      <c r="AB548" s="17"/>
      <c r="AC548" s="16"/>
      <c r="AH548" s="17"/>
    </row>
    <row r="549" spans="1:35" ht="21" customHeight="1">
      <c r="A549" s="161">
        <v>8</v>
      </c>
      <c r="B549" s="324" t="s">
        <v>105</v>
      </c>
      <c r="C549" s="324"/>
      <c r="D549" s="324"/>
      <c r="E549" s="324"/>
      <c r="F549" s="324"/>
      <c r="G549" s="324"/>
      <c r="H549" s="317">
        <f>VLOOKUP(AI539,'1b'!A:AG,11,0)</f>
        <v>40</v>
      </c>
      <c r="I549" s="318"/>
      <c r="J549" s="168">
        <f t="shared" si="40"/>
        <v>40</v>
      </c>
      <c r="K549" s="293" t="s">
        <v>106</v>
      </c>
      <c r="L549" s="294"/>
      <c r="M549" s="294"/>
      <c r="N549" s="294"/>
      <c r="O549" s="294"/>
      <c r="P549" s="295"/>
      <c r="Q549" s="168">
        <v>8</v>
      </c>
      <c r="R549" s="327" t="s">
        <v>42</v>
      </c>
      <c r="S549" s="328"/>
      <c r="T549" s="328"/>
      <c r="U549" s="328"/>
      <c r="V549" s="329"/>
      <c r="W549" s="16"/>
      <c r="AB549" s="17"/>
      <c r="AC549" s="307" t="str">
        <f>DASHBOARD!H32</f>
        <v>Mu'allim Adnan</v>
      </c>
      <c r="AD549" s="308"/>
      <c r="AE549" s="308"/>
      <c r="AF549" s="308"/>
      <c r="AG549" s="308"/>
      <c r="AH549" s="309"/>
    </row>
    <row r="550" spans="1:35" ht="21" customHeight="1">
      <c r="A550" s="161">
        <v>9</v>
      </c>
      <c r="B550" s="324" t="s">
        <v>14</v>
      </c>
      <c r="C550" s="324"/>
      <c r="D550" s="324"/>
      <c r="E550" s="324"/>
      <c r="F550" s="324"/>
      <c r="G550" s="324"/>
      <c r="H550" s="317">
        <f>VLOOKUP(AI539,'1b'!A:AG,12,0)</f>
        <v>42</v>
      </c>
      <c r="I550" s="318"/>
      <c r="J550" s="168"/>
      <c r="K550" s="293" t="s">
        <v>15</v>
      </c>
      <c r="L550" s="294"/>
      <c r="M550" s="294"/>
      <c r="N550" s="294"/>
      <c r="O550" s="294"/>
      <c r="P550" s="295"/>
      <c r="Q550" s="168">
        <v>9</v>
      </c>
      <c r="R550" s="296" t="s">
        <v>43</v>
      </c>
      <c r="S550" s="297"/>
      <c r="T550" s="297"/>
      <c r="U550" s="297"/>
      <c r="V550" s="298"/>
      <c r="W550" s="16"/>
      <c r="AB550" s="17"/>
      <c r="AC550" s="299" t="s">
        <v>44</v>
      </c>
      <c r="AD550" s="300"/>
      <c r="AE550" s="300"/>
      <c r="AF550" s="300"/>
      <c r="AG550" s="300"/>
      <c r="AH550" s="301"/>
    </row>
    <row r="551" spans="1:35" ht="21" customHeight="1">
      <c r="A551" s="161">
        <v>10</v>
      </c>
      <c r="B551" s="324" t="s">
        <v>45</v>
      </c>
      <c r="C551" s="324"/>
      <c r="D551" s="324"/>
      <c r="E551" s="324"/>
      <c r="F551" s="324"/>
      <c r="G551" s="324"/>
      <c r="H551" s="317">
        <f>VLOOKUP(AI539,'1b'!A:AG,13,0)</f>
        <v>46</v>
      </c>
      <c r="I551" s="318"/>
      <c r="J551" s="168">
        <f t="shared" si="40"/>
        <v>46</v>
      </c>
      <c r="K551" s="293" t="s">
        <v>46</v>
      </c>
      <c r="L551" s="294"/>
      <c r="M551" s="294"/>
      <c r="N551" s="294"/>
      <c r="O551" s="294"/>
      <c r="P551" s="295"/>
      <c r="Q551" s="168">
        <v>10</v>
      </c>
      <c r="R551" s="184" t="s">
        <v>47</v>
      </c>
      <c r="S551" s="185"/>
      <c r="T551" s="180" t="s">
        <v>1</v>
      </c>
      <c r="U551" s="180">
        <f>VLOOKUP(AI539,'1b'!A:AG,31,0)</f>
        <v>12</v>
      </c>
      <c r="V551" s="181" t="s">
        <v>48</v>
      </c>
      <c r="W551" s="16"/>
      <c r="AB551" s="17"/>
      <c r="AC551" s="16"/>
      <c r="AH551" s="17"/>
    </row>
    <row r="552" spans="1:35" ht="21" customHeight="1">
      <c r="A552" s="288" t="s">
        <v>62</v>
      </c>
      <c r="B552" s="289"/>
      <c r="C552" s="289"/>
      <c r="D552" s="289"/>
      <c r="E552" s="289"/>
      <c r="F552" s="289"/>
      <c r="G552" s="290"/>
      <c r="H552" s="317">
        <f>VLOOKUP(AI539,'1b'!A:AG,25,0)</f>
        <v>723</v>
      </c>
      <c r="I552" s="318"/>
      <c r="J552" s="168">
        <f t="shared" si="40"/>
        <v>723</v>
      </c>
      <c r="K552" s="293" t="s">
        <v>63</v>
      </c>
      <c r="L552" s="294"/>
      <c r="M552" s="294"/>
      <c r="N552" s="294"/>
      <c r="O552" s="294"/>
      <c r="P552" s="294"/>
      <c r="Q552" s="295"/>
      <c r="R552" s="184" t="s">
        <v>51</v>
      </c>
      <c r="S552" s="185"/>
      <c r="T552" s="180" t="s">
        <v>1</v>
      </c>
      <c r="U552" s="180">
        <f>VLOOKUP(AI539,'1b'!A:AG,32,0)</f>
        <v>0</v>
      </c>
      <c r="V552" s="181" t="s">
        <v>48</v>
      </c>
      <c r="W552" s="21"/>
      <c r="X552" s="22"/>
      <c r="Y552" s="22"/>
      <c r="Z552" s="22"/>
      <c r="AA552" s="22"/>
      <c r="AB552" s="23"/>
      <c r="AC552" s="16"/>
      <c r="AH552" s="17"/>
      <c r="AI552" s="22"/>
    </row>
    <row r="553" spans="1:35" ht="21" customHeight="1">
      <c r="A553" s="288" t="s">
        <v>65</v>
      </c>
      <c r="B553" s="289"/>
      <c r="C553" s="289"/>
      <c r="D553" s="289"/>
      <c r="E553" s="289"/>
      <c r="F553" s="289"/>
      <c r="G553" s="290"/>
      <c r="H553" s="291">
        <f>VLOOKUP(AI539,'1b'!A:AG,26,0)</f>
        <v>48.2</v>
      </c>
      <c r="I553" s="292"/>
      <c r="J553" s="172">
        <f t="shared" si="40"/>
        <v>48.2</v>
      </c>
      <c r="K553" s="293" t="s">
        <v>66</v>
      </c>
      <c r="L553" s="294"/>
      <c r="M553" s="294"/>
      <c r="N553" s="294"/>
      <c r="O553" s="294"/>
      <c r="P553" s="294"/>
      <c r="Q553" s="295"/>
      <c r="R553" s="186" t="s">
        <v>53</v>
      </c>
      <c r="S553" s="187"/>
      <c r="T553" s="182" t="s">
        <v>1</v>
      </c>
      <c r="U553" s="182">
        <f>VLOOKUP(AI539,'1b'!A:AG,33,0)</f>
        <v>0</v>
      </c>
      <c r="V553" s="183" t="s">
        <v>48</v>
      </c>
      <c r="W553" s="188"/>
      <c r="X553" s="189"/>
      <c r="Y553" s="189"/>
      <c r="Z553" s="189"/>
      <c r="AA553" s="189"/>
      <c r="AB553" s="190"/>
      <c r="AC553" s="307" t="s">
        <v>770</v>
      </c>
      <c r="AD553" s="308"/>
      <c r="AE553" s="308"/>
      <c r="AF553" s="308"/>
      <c r="AG553" s="308"/>
      <c r="AH553" s="309"/>
      <c r="AI553" s="30"/>
    </row>
    <row r="554" spans="1:35" ht="21" customHeight="1">
      <c r="A554" s="288" t="s">
        <v>67</v>
      </c>
      <c r="B554" s="289"/>
      <c r="C554" s="289"/>
      <c r="D554" s="289"/>
      <c r="E554" s="199" t="s">
        <v>68</v>
      </c>
      <c r="F554" s="155" t="s">
        <v>69</v>
      </c>
      <c r="G554" s="164">
        <f>COUNT('1b'!B4:B31)</f>
        <v>28</v>
      </c>
      <c r="H554" s="164"/>
      <c r="I554" s="165"/>
      <c r="J554" s="173" t="s">
        <v>70</v>
      </c>
      <c r="K554" s="174"/>
      <c r="L554" s="175">
        <f>G554</f>
        <v>28</v>
      </c>
      <c r="M554" s="302" t="s">
        <v>71</v>
      </c>
      <c r="N554" s="302"/>
      <c r="O554" s="302"/>
      <c r="P554" s="176" t="str">
        <f>E554</f>
        <v>-</v>
      </c>
      <c r="Q554" s="177" t="s">
        <v>72</v>
      </c>
      <c r="R554" s="16"/>
      <c r="U554" t="s">
        <v>57</v>
      </c>
      <c r="AB554" s="310" t="str">
        <f>DASHBOARD!$H$13</f>
        <v>Sumedang, 05 September 2025</v>
      </c>
      <c r="AC554" s="310"/>
      <c r="AD554" s="310"/>
      <c r="AE554" s="310"/>
      <c r="AF554" s="310"/>
      <c r="AG554" s="310"/>
      <c r="AH554" s="311"/>
    </row>
    <row r="555" spans="1:35" ht="21" customHeight="1">
      <c r="A555" s="303" t="s">
        <v>73</v>
      </c>
      <c r="B555" s="304"/>
      <c r="C555" s="304"/>
      <c r="D555" s="304"/>
      <c r="E555" s="304"/>
      <c r="F555" s="304"/>
      <c r="G555" s="304"/>
      <c r="H555" s="304"/>
      <c r="I555" s="7"/>
      <c r="J555" s="166"/>
      <c r="K555" s="195"/>
      <c r="L555" s="305" t="s">
        <v>74</v>
      </c>
      <c r="M555" s="305"/>
      <c r="N555" s="305"/>
      <c r="O555" s="305"/>
      <c r="P555" s="305"/>
      <c r="Q555" s="306"/>
      <c r="R555" s="312" t="s">
        <v>60</v>
      </c>
      <c r="S555" s="310"/>
      <c r="T555" s="310"/>
      <c r="U555" s="310"/>
      <c r="V555" s="310"/>
      <c r="W555" s="310"/>
      <c r="X555" s="310"/>
      <c r="Y555" s="310"/>
      <c r="Z555" s="310"/>
      <c r="AA555" s="310"/>
      <c r="AB555" s="313" t="s">
        <v>61</v>
      </c>
      <c r="AC555" s="313"/>
      <c r="AD555" s="313"/>
      <c r="AE555" s="313"/>
      <c r="AF555" s="313"/>
      <c r="AG555" s="313"/>
      <c r="AH555" s="314"/>
    </row>
    <row r="556" spans="1:35" ht="21" customHeight="1">
      <c r="A556" s="358" t="s">
        <v>75</v>
      </c>
      <c r="B556" s="359"/>
      <c r="C556" s="359"/>
      <c r="D556" s="359"/>
      <c r="E556" s="359"/>
      <c r="F556" s="359"/>
      <c r="G556" s="359"/>
      <c r="H556" s="359"/>
      <c r="I556" s="359"/>
      <c r="J556" s="359"/>
      <c r="K556" s="359"/>
      <c r="L556" s="359"/>
      <c r="M556" s="359"/>
      <c r="N556" s="359"/>
      <c r="O556" s="359"/>
      <c r="P556" s="359"/>
      <c r="Q556" s="360"/>
      <c r="R556" s="33"/>
      <c r="S556" s="34"/>
      <c r="T556" s="34"/>
      <c r="U556" s="34"/>
      <c r="V556" s="34"/>
      <c r="W556" s="34"/>
      <c r="X556" s="34"/>
      <c r="Y556" s="34"/>
      <c r="Z556" s="34"/>
      <c r="AA556" s="34"/>
      <c r="AB556" s="297" t="s">
        <v>64</v>
      </c>
      <c r="AC556" s="297"/>
      <c r="AD556" s="297"/>
      <c r="AE556" s="297"/>
      <c r="AF556" s="297"/>
      <c r="AG556" s="297"/>
      <c r="AH556" s="298"/>
    </row>
    <row r="557" spans="1:35" ht="21" customHeight="1">
      <c r="A557" s="161">
        <v>1</v>
      </c>
      <c r="B557" s="324" t="s">
        <v>83</v>
      </c>
      <c r="C557" s="324"/>
      <c r="D557" s="324"/>
      <c r="E557" s="324"/>
      <c r="F557" s="324"/>
      <c r="G557" s="324"/>
      <c r="H557" s="356">
        <f>VLOOKUP(AI539,'1b'!A:AG,19,0)</f>
        <v>73</v>
      </c>
      <c r="I557" s="356"/>
      <c r="J557" s="178">
        <f t="shared" ref="J557:J558" si="41">H557</f>
        <v>73</v>
      </c>
      <c r="K557" s="293" t="s">
        <v>84</v>
      </c>
      <c r="L557" s="294"/>
      <c r="M557" s="294"/>
      <c r="N557" s="294"/>
      <c r="O557" s="294"/>
      <c r="P557" s="295"/>
      <c r="Q557" s="168">
        <v>1</v>
      </c>
      <c r="R557" s="33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5"/>
    </row>
    <row r="558" spans="1:35" ht="21" customHeight="1">
      <c r="A558" s="161">
        <v>2</v>
      </c>
      <c r="B558" s="288" t="s">
        <v>79</v>
      </c>
      <c r="C558" s="289"/>
      <c r="D558" s="289"/>
      <c r="E558" s="289"/>
      <c r="F558" s="289"/>
      <c r="G558" s="290"/>
      <c r="H558" s="356">
        <f>VLOOKUP(AI539,'1b'!A:AG,20,0)</f>
        <v>93</v>
      </c>
      <c r="I558" s="356"/>
      <c r="J558" s="178">
        <f t="shared" si="41"/>
        <v>93</v>
      </c>
      <c r="K558" s="293" t="s">
        <v>80</v>
      </c>
      <c r="L558" s="294"/>
      <c r="M558" s="294"/>
      <c r="N558" s="294"/>
      <c r="O558" s="294"/>
      <c r="P558" s="295"/>
      <c r="Q558" s="168">
        <v>2</v>
      </c>
      <c r="R558" s="33"/>
      <c r="S558" s="34"/>
      <c r="T558" s="34"/>
      <c r="U558" s="34"/>
      <c r="V558" s="34"/>
      <c r="W558" s="191"/>
      <c r="X558" s="191"/>
      <c r="Y558" s="191"/>
      <c r="Z558" s="191"/>
      <c r="AA558" s="191"/>
      <c r="AB558" s="34"/>
      <c r="AC558" s="34"/>
      <c r="AD558" s="34"/>
      <c r="AE558" s="34"/>
      <c r="AF558" s="34"/>
      <c r="AG558" s="34"/>
      <c r="AH558" s="35"/>
    </row>
    <row r="559" spans="1:35" ht="21" customHeight="1">
      <c r="A559" s="161">
        <v>3</v>
      </c>
      <c r="B559" s="288" t="s">
        <v>77</v>
      </c>
      <c r="C559" s="289"/>
      <c r="D559" s="289"/>
      <c r="E559" s="289"/>
      <c r="F559" s="289"/>
      <c r="G559" s="290"/>
      <c r="H559" s="317">
        <f>VLOOKUP(AI539,'1b'!A:AG,21,0)</f>
        <v>70</v>
      </c>
      <c r="I559" s="318"/>
      <c r="J559" s="178">
        <f>H559</f>
        <v>70</v>
      </c>
      <c r="K559" s="293" t="s">
        <v>78</v>
      </c>
      <c r="L559" s="294"/>
      <c r="M559" s="294"/>
      <c r="N559" s="294"/>
      <c r="O559" s="294"/>
      <c r="P559" s="295"/>
      <c r="Q559" s="168">
        <v>3</v>
      </c>
      <c r="R559" s="312"/>
      <c r="S559" s="310"/>
      <c r="T559" s="310"/>
      <c r="U559" s="310"/>
      <c r="V559" s="310"/>
      <c r="W559" s="310"/>
      <c r="X559" s="310"/>
      <c r="Y559" s="310"/>
      <c r="Z559" s="310"/>
      <c r="AA559" s="310"/>
      <c r="AB559" s="34"/>
      <c r="AC559" s="34"/>
      <c r="AD559" s="34"/>
      <c r="AE559" s="34"/>
      <c r="AF559" s="34"/>
      <c r="AG559" s="34"/>
      <c r="AH559" s="35"/>
    </row>
    <row r="560" spans="1:35" ht="21" customHeight="1">
      <c r="A560" s="161">
        <v>4</v>
      </c>
      <c r="B560" s="288" t="s">
        <v>81</v>
      </c>
      <c r="C560" s="289"/>
      <c r="D560" s="289"/>
      <c r="E560" s="289"/>
      <c r="F560" s="289"/>
      <c r="G560" s="290"/>
      <c r="H560" s="317">
        <f>VLOOKUP(AI539,'1b'!A:AG,22,0)</f>
        <v>70</v>
      </c>
      <c r="I560" s="318"/>
      <c r="J560" s="178">
        <f>H560</f>
        <v>70</v>
      </c>
      <c r="K560" s="293" t="s">
        <v>82</v>
      </c>
      <c r="L560" s="294"/>
      <c r="M560" s="294"/>
      <c r="N560" s="294"/>
      <c r="O560" s="294"/>
      <c r="P560" s="295"/>
      <c r="Q560" s="168">
        <v>4</v>
      </c>
      <c r="R560" s="315" t="s">
        <v>766</v>
      </c>
      <c r="S560" s="316"/>
      <c r="T560" s="316"/>
      <c r="U560" s="316"/>
      <c r="V560" s="316"/>
      <c r="W560" s="316"/>
      <c r="X560" s="316"/>
      <c r="Y560" s="316"/>
      <c r="Z560" s="316"/>
      <c r="AA560" s="316"/>
      <c r="AB560" s="308" t="s">
        <v>767</v>
      </c>
      <c r="AC560" s="308"/>
      <c r="AD560" s="308"/>
      <c r="AE560" s="308"/>
      <c r="AF560" s="308"/>
      <c r="AG560" s="308"/>
      <c r="AH560" s="309"/>
    </row>
    <row r="561" spans="1:36" ht="21" customHeight="1">
      <c r="A561" s="161">
        <v>5</v>
      </c>
      <c r="B561" s="324" t="s">
        <v>147</v>
      </c>
      <c r="C561" s="324"/>
      <c r="D561" s="324"/>
      <c r="E561" s="324"/>
      <c r="F561" s="324"/>
      <c r="G561" s="324"/>
      <c r="H561" s="356">
        <f>VLOOKUP(AI539,'1b'!A:AG,23,0)</f>
        <v>63</v>
      </c>
      <c r="I561" s="356"/>
      <c r="J561" s="178">
        <f t="shared" ref="J561:J564" si="42">H561</f>
        <v>63</v>
      </c>
      <c r="K561" s="293" t="s">
        <v>84</v>
      </c>
      <c r="L561" s="294"/>
      <c r="M561" s="294"/>
      <c r="N561" s="294"/>
      <c r="O561" s="294"/>
      <c r="P561" s="295"/>
      <c r="Q561" s="168">
        <v>5</v>
      </c>
      <c r="R561" s="32"/>
      <c r="S561" s="32"/>
      <c r="T561" s="32"/>
      <c r="U561" s="32"/>
      <c r="V561" s="32"/>
      <c r="W561" s="32"/>
      <c r="X561" s="32"/>
      <c r="Y561" s="32"/>
      <c r="Z561" s="32"/>
      <c r="AA561" s="32"/>
      <c r="AB561" s="32"/>
      <c r="AC561" s="32"/>
      <c r="AD561" s="32"/>
      <c r="AE561" s="32"/>
      <c r="AF561" s="32"/>
      <c r="AG561" s="32"/>
      <c r="AH561" s="32"/>
    </row>
    <row r="562" spans="1:36" ht="21" customHeight="1">
      <c r="A562" s="161">
        <v>6</v>
      </c>
      <c r="B562" s="324" t="s">
        <v>148</v>
      </c>
      <c r="C562" s="324"/>
      <c r="D562" s="324"/>
      <c r="E562" s="324"/>
      <c r="F562" s="324"/>
      <c r="G562" s="324"/>
      <c r="H562" s="356">
        <f>VLOOKUP(AI539,'1b'!A:AG,24,0)</f>
        <v>88</v>
      </c>
      <c r="I562" s="356"/>
      <c r="J562" s="178">
        <f t="shared" si="42"/>
        <v>88</v>
      </c>
      <c r="K562" s="293" t="s">
        <v>149</v>
      </c>
      <c r="L562" s="294"/>
      <c r="M562" s="294"/>
      <c r="N562" s="294"/>
      <c r="O562" s="294"/>
      <c r="P562" s="295"/>
      <c r="Q562" s="168">
        <v>6</v>
      </c>
      <c r="R562" s="32"/>
      <c r="S562" s="32"/>
      <c r="T562" s="32"/>
      <c r="U562" s="32"/>
      <c r="V562" s="32"/>
      <c r="W562" s="32"/>
      <c r="X562" s="32"/>
      <c r="Y562" s="32"/>
      <c r="Z562" s="32"/>
      <c r="AA562" s="32"/>
      <c r="AB562" s="32"/>
      <c r="AC562" s="32"/>
      <c r="AD562" s="32"/>
      <c r="AE562" s="32"/>
      <c r="AF562" s="32"/>
      <c r="AG562" s="32"/>
      <c r="AH562" s="32"/>
    </row>
    <row r="563" spans="1:36" ht="21" customHeight="1">
      <c r="A563" s="357" t="s">
        <v>62</v>
      </c>
      <c r="B563" s="357"/>
      <c r="C563" s="357"/>
      <c r="D563" s="357"/>
      <c r="E563" s="357"/>
      <c r="F563" s="357"/>
      <c r="G563" s="357"/>
      <c r="H563" s="317">
        <f>SUM(H557:I562)</f>
        <v>457</v>
      </c>
      <c r="I563" s="318"/>
      <c r="J563" s="178">
        <f t="shared" si="42"/>
        <v>457</v>
      </c>
      <c r="K563" s="293" t="s">
        <v>63</v>
      </c>
      <c r="L563" s="294"/>
      <c r="M563" s="294"/>
      <c r="N563" s="294"/>
      <c r="O563" s="294"/>
      <c r="P563" s="294"/>
      <c r="Q563" s="295"/>
      <c r="R563" s="32"/>
      <c r="S563" s="32"/>
      <c r="T563" s="32"/>
      <c r="U563" s="32"/>
      <c r="V563" s="32"/>
      <c r="W563" s="32"/>
      <c r="X563" s="32"/>
      <c r="Y563" s="32"/>
      <c r="Z563" s="32"/>
      <c r="AA563" s="32"/>
      <c r="AB563" s="32"/>
      <c r="AC563" s="32"/>
      <c r="AD563" s="32"/>
      <c r="AE563" s="32"/>
      <c r="AF563" s="32"/>
      <c r="AG563" s="32"/>
      <c r="AH563" s="32"/>
    </row>
    <row r="564" spans="1:36" ht="21" customHeight="1">
      <c r="A564" s="357" t="s">
        <v>65</v>
      </c>
      <c r="B564" s="357"/>
      <c r="C564" s="357"/>
      <c r="D564" s="357"/>
      <c r="E564" s="357"/>
      <c r="F564" s="357"/>
      <c r="G564" s="357"/>
      <c r="H564" s="291">
        <f>AVERAGE(H557:I562)</f>
        <v>76.166666666666671</v>
      </c>
      <c r="I564" s="292"/>
      <c r="J564" s="179">
        <f t="shared" si="42"/>
        <v>76.166666666666671</v>
      </c>
      <c r="K564" s="293" t="s">
        <v>66</v>
      </c>
      <c r="L564" s="294"/>
      <c r="M564" s="294"/>
      <c r="N564" s="294"/>
      <c r="O564" s="294"/>
      <c r="P564" s="294"/>
      <c r="Q564" s="295"/>
      <c r="R564" s="32"/>
      <c r="S564" s="32"/>
      <c r="T564" s="32"/>
      <c r="U564" s="32"/>
      <c r="V564" s="32"/>
      <c r="W564" s="32"/>
      <c r="X564" s="32"/>
      <c r="Y564" s="32"/>
      <c r="Z564" s="32"/>
      <c r="AA564" s="32"/>
      <c r="AB564" s="32"/>
      <c r="AC564" s="32"/>
      <c r="AD564" s="32"/>
      <c r="AE564" s="32"/>
      <c r="AF564" s="32"/>
      <c r="AG564" s="32"/>
      <c r="AH564" s="32"/>
    </row>
    <row r="565" spans="1:36" ht="21" customHeight="1">
      <c r="A565" s="34"/>
      <c r="B565" s="34"/>
      <c r="C565" s="34"/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1"/>
      <c r="O565" s="34"/>
      <c r="P565" s="34"/>
      <c r="Q565" s="34"/>
      <c r="R565" s="32"/>
      <c r="S565" s="32"/>
      <c r="T565" s="32"/>
      <c r="U565" s="32"/>
      <c r="V565" s="32"/>
      <c r="W565" s="32"/>
      <c r="X565" s="32"/>
      <c r="Y565" s="32"/>
      <c r="Z565" s="32"/>
      <c r="AA565" s="32"/>
      <c r="AB565" s="32"/>
      <c r="AC565" s="32"/>
      <c r="AD565" s="32"/>
      <c r="AE565" s="32"/>
      <c r="AF565" s="32"/>
      <c r="AG565" s="32"/>
      <c r="AH565" s="32"/>
    </row>
    <row r="566" spans="1:36" ht="21" customHeight="1">
      <c r="A566" s="34"/>
      <c r="B566" s="34"/>
      <c r="C566" s="34"/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1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</row>
    <row r="567" spans="1:36" ht="21" customHeight="1">
      <c r="A567" s="343" t="s">
        <v>0</v>
      </c>
      <c r="B567" s="344"/>
      <c r="C567" s="153" t="s">
        <v>1</v>
      </c>
      <c r="D567" s="344" t="str">
        <f>VLOOKUP(AI570,'1c'!A:AG,3,0)</f>
        <v>Rasya Aditya</v>
      </c>
      <c r="E567" s="344"/>
      <c r="F567" s="344"/>
      <c r="G567" s="344"/>
      <c r="H567" s="344"/>
      <c r="I567" s="344"/>
      <c r="J567" s="344"/>
      <c r="K567" s="344"/>
      <c r="L567" s="344"/>
      <c r="M567" s="344"/>
      <c r="N567" s="344"/>
      <c r="O567" s="344"/>
      <c r="P567" s="344"/>
      <c r="Q567" s="345"/>
      <c r="R567" s="343" t="s">
        <v>0</v>
      </c>
      <c r="S567" s="344"/>
      <c r="T567" s="153" t="s">
        <v>1</v>
      </c>
      <c r="U567" s="344" t="str">
        <f>D567</f>
        <v>Rasya Aditya</v>
      </c>
      <c r="V567" s="344"/>
      <c r="W567" s="344"/>
      <c r="X567" s="344"/>
      <c r="Y567" s="344"/>
      <c r="Z567" s="344"/>
      <c r="AA567" s="344"/>
      <c r="AB567" s="344"/>
      <c r="AC567" s="344"/>
      <c r="AD567" s="344"/>
      <c r="AE567" s="344"/>
      <c r="AF567" s="344"/>
      <c r="AG567" s="344"/>
      <c r="AH567" s="345"/>
    </row>
    <row r="568" spans="1:36" ht="21" customHeight="1">
      <c r="A568" s="346" t="s">
        <v>2</v>
      </c>
      <c r="B568" s="347"/>
      <c r="C568" s="154" t="s">
        <v>1</v>
      </c>
      <c r="D568" s="347" t="s">
        <v>134</v>
      </c>
      <c r="E568" s="347"/>
      <c r="F568" s="347"/>
      <c r="G568" s="347"/>
      <c r="H568" s="347"/>
      <c r="I568" s="347"/>
      <c r="J568" s="159" t="s">
        <v>3</v>
      </c>
      <c r="K568" s="347">
        <f>VLOOKUP(AI570,'1c'!A:AG,2,0)</f>
        <v>24250027</v>
      </c>
      <c r="L568" s="347"/>
      <c r="M568" s="347"/>
      <c r="N568" s="347"/>
      <c r="O568" s="347"/>
      <c r="P568" s="347"/>
      <c r="Q568" s="348"/>
      <c r="R568" s="346" t="s">
        <v>2</v>
      </c>
      <c r="S568" s="347"/>
      <c r="T568" s="154" t="s">
        <v>1</v>
      </c>
      <c r="U568" s="347" t="str">
        <f>D568</f>
        <v>1-C</v>
      </c>
      <c r="V568" s="347"/>
      <c r="W568" s="347"/>
      <c r="X568" s="347"/>
      <c r="Y568" s="347"/>
      <c r="Z568" s="347"/>
      <c r="AA568" s="159" t="s">
        <v>3</v>
      </c>
      <c r="AB568" s="347">
        <f>K568</f>
        <v>24250027</v>
      </c>
      <c r="AC568" s="347"/>
      <c r="AD568" s="347"/>
      <c r="AE568" s="347"/>
      <c r="AF568" s="347"/>
      <c r="AG568" s="347"/>
      <c r="AH568" s="348"/>
    </row>
    <row r="569" spans="1:36" ht="21" customHeight="1">
      <c r="A569" s="343" t="s">
        <v>4</v>
      </c>
      <c r="B569" s="344"/>
      <c r="C569" s="153" t="s">
        <v>1</v>
      </c>
      <c r="D569" s="304" t="str">
        <f>DASHBOARD!$H$11</f>
        <v>2025/2026</v>
      </c>
      <c r="E569" s="304"/>
      <c r="F569" s="304"/>
      <c r="G569" s="304"/>
      <c r="H569" s="304"/>
      <c r="I569" s="304"/>
      <c r="J569" s="304"/>
      <c r="K569" s="304"/>
      <c r="L569" s="304"/>
      <c r="M569" s="304"/>
      <c r="N569" s="304"/>
      <c r="O569" s="304"/>
      <c r="P569" s="304"/>
      <c r="Q569" s="349"/>
      <c r="R569" s="330" t="s">
        <v>5</v>
      </c>
      <c r="S569" s="331"/>
      <c r="T569" s="331"/>
      <c r="U569" s="331"/>
      <c r="V569" s="331"/>
      <c r="W569" s="331"/>
      <c r="X569" s="332"/>
      <c r="Y569" s="333" t="s">
        <v>6</v>
      </c>
      <c r="Z569" s="334"/>
      <c r="AA569" s="337" t="s">
        <v>7</v>
      </c>
      <c r="AB569" s="330" t="s">
        <v>8</v>
      </c>
      <c r="AC569" s="331"/>
      <c r="AD569" s="331"/>
      <c r="AE569" s="331"/>
      <c r="AF569" s="331"/>
      <c r="AG569" s="331"/>
      <c r="AH569" s="332"/>
      <c r="AI569" s="51" t="s">
        <v>788</v>
      </c>
    </row>
    <row r="570" spans="1:36" ht="21" customHeight="1">
      <c r="A570" s="303" t="s">
        <v>10</v>
      </c>
      <c r="B570" s="304"/>
      <c r="C570" s="160" t="s">
        <v>1</v>
      </c>
      <c r="D570" s="350" t="str">
        <f>DASHBOARD!$H$12</f>
        <v>1 (Satu)</v>
      </c>
      <c r="E570" s="350"/>
      <c r="F570" s="350"/>
      <c r="G570" s="350"/>
      <c r="H570" s="350"/>
      <c r="I570" s="351"/>
      <c r="J570" s="352" t="str">
        <f>DASHBOARD!$I$12</f>
        <v>الأول</v>
      </c>
      <c r="K570" s="353"/>
      <c r="L570" s="353"/>
      <c r="M570" s="353"/>
      <c r="N570" s="160" t="s">
        <v>1</v>
      </c>
      <c r="O570" s="354" t="s">
        <v>11</v>
      </c>
      <c r="P570" s="354"/>
      <c r="Q570" s="355"/>
      <c r="R570" s="339" t="s">
        <v>12</v>
      </c>
      <c r="S570" s="340"/>
      <c r="T570" s="340"/>
      <c r="U570" s="340"/>
      <c r="V570" s="340"/>
      <c r="W570" s="340"/>
      <c r="X570" s="341"/>
      <c r="Y570" s="335"/>
      <c r="Z570" s="336"/>
      <c r="AA570" s="338"/>
      <c r="AB570" s="339" t="s">
        <v>13</v>
      </c>
      <c r="AC570" s="340"/>
      <c r="AD570" s="340"/>
      <c r="AE570" s="340"/>
      <c r="AF570" s="340"/>
      <c r="AG570" s="340"/>
      <c r="AH570" s="341"/>
      <c r="AI570" s="51">
        <v>22</v>
      </c>
      <c r="AJ570" s="22"/>
    </row>
    <row r="571" spans="1:36" ht="21" customHeight="1">
      <c r="A571" s="330" t="s">
        <v>5</v>
      </c>
      <c r="B571" s="331"/>
      <c r="C571" s="331"/>
      <c r="D571" s="331"/>
      <c r="E571" s="331"/>
      <c r="F571" s="331"/>
      <c r="G571" s="332"/>
      <c r="H571" s="333" t="s">
        <v>6</v>
      </c>
      <c r="I571" s="334"/>
      <c r="J571" s="337" t="s">
        <v>7</v>
      </c>
      <c r="K571" s="330" t="s">
        <v>8</v>
      </c>
      <c r="L571" s="331"/>
      <c r="M571" s="331"/>
      <c r="N571" s="331"/>
      <c r="O571" s="331"/>
      <c r="P571" s="331"/>
      <c r="Q571" s="332"/>
      <c r="R571" s="161">
        <v>1</v>
      </c>
      <c r="S571" s="288" t="s">
        <v>103</v>
      </c>
      <c r="T571" s="289"/>
      <c r="U571" s="289"/>
      <c r="V571" s="289"/>
      <c r="W571" s="289"/>
      <c r="X571" s="290"/>
      <c r="Y571" s="317">
        <f>VLOOKUP(AI570,'1c'!A:AG,14,0)</f>
        <v>60</v>
      </c>
      <c r="Z571" s="318"/>
      <c r="AA571" s="168">
        <f t="shared" ref="AA571:AA575" si="43">Y571</f>
        <v>60</v>
      </c>
      <c r="AB571" s="293" t="s">
        <v>104</v>
      </c>
      <c r="AC571" s="294"/>
      <c r="AD571" s="294"/>
      <c r="AE571" s="294"/>
      <c r="AF571" s="294"/>
      <c r="AG571" s="295"/>
      <c r="AH571" s="168">
        <v>1</v>
      </c>
      <c r="AJ571" s="30"/>
    </row>
    <row r="572" spans="1:36" ht="21" customHeight="1">
      <c r="A572" s="339" t="s">
        <v>16</v>
      </c>
      <c r="B572" s="340"/>
      <c r="C572" s="340"/>
      <c r="D572" s="340"/>
      <c r="E572" s="340"/>
      <c r="F572" s="340"/>
      <c r="G572" s="341"/>
      <c r="H572" s="335"/>
      <c r="I572" s="336"/>
      <c r="J572" s="338"/>
      <c r="K572" s="339" t="s">
        <v>17</v>
      </c>
      <c r="L572" s="340"/>
      <c r="M572" s="340"/>
      <c r="N572" s="340"/>
      <c r="O572" s="340"/>
      <c r="P572" s="340"/>
      <c r="Q572" s="341"/>
      <c r="R572" s="161">
        <v>2</v>
      </c>
      <c r="S572" s="324" t="s">
        <v>14</v>
      </c>
      <c r="T572" s="324"/>
      <c r="U572" s="324"/>
      <c r="V572" s="324"/>
      <c r="W572" s="324"/>
      <c r="X572" s="324"/>
      <c r="Y572" s="317">
        <f>VLOOKUP(AI570,'1c'!A:AG,15,0)</f>
        <v>70</v>
      </c>
      <c r="Z572" s="318"/>
      <c r="AA572" s="168">
        <f t="shared" si="43"/>
        <v>70</v>
      </c>
      <c r="AB572" s="293" t="s">
        <v>15</v>
      </c>
      <c r="AC572" s="294"/>
      <c r="AD572" s="294"/>
      <c r="AE572" s="294"/>
      <c r="AF572" s="294"/>
      <c r="AG572" s="295"/>
      <c r="AH572" s="168">
        <v>2</v>
      </c>
    </row>
    <row r="573" spans="1:36" ht="21" customHeight="1">
      <c r="A573" s="161">
        <v>1</v>
      </c>
      <c r="B573" s="288" t="s">
        <v>118</v>
      </c>
      <c r="C573" s="289"/>
      <c r="D573" s="289"/>
      <c r="E573" s="289"/>
      <c r="F573" s="289"/>
      <c r="G573" s="290"/>
      <c r="H573" s="317">
        <f>VLOOKUP(AI570,'1c'!A:AG,4,0)</f>
        <v>61</v>
      </c>
      <c r="I573" s="318"/>
      <c r="J573" s="168">
        <f t="shared" ref="J573:J584" si="44">H573</f>
        <v>61</v>
      </c>
      <c r="K573" s="342" t="s">
        <v>119</v>
      </c>
      <c r="L573" s="342"/>
      <c r="M573" s="342"/>
      <c r="N573" s="342"/>
      <c r="O573" s="342"/>
      <c r="P573" s="342"/>
      <c r="Q573" s="168">
        <v>1</v>
      </c>
      <c r="R573" s="161">
        <v>3</v>
      </c>
      <c r="S573" s="288" t="s">
        <v>120</v>
      </c>
      <c r="T573" s="289"/>
      <c r="U573" s="289"/>
      <c r="V573" s="289"/>
      <c r="W573" s="289"/>
      <c r="X573" s="290"/>
      <c r="Y573" s="317">
        <f>VLOOKUP(AI570,'1c'!A:AG,16,0)</f>
        <v>75</v>
      </c>
      <c r="Z573" s="318"/>
      <c r="AA573" s="168">
        <f t="shared" si="43"/>
        <v>75</v>
      </c>
      <c r="AB573" s="293" t="s">
        <v>46</v>
      </c>
      <c r="AC573" s="294"/>
      <c r="AD573" s="294"/>
      <c r="AE573" s="294"/>
      <c r="AF573" s="294"/>
      <c r="AG573" s="295"/>
      <c r="AH573" s="168">
        <v>3</v>
      </c>
    </row>
    <row r="574" spans="1:36" ht="21" customHeight="1">
      <c r="A574" s="161">
        <v>2</v>
      </c>
      <c r="B574" s="288" t="s">
        <v>22</v>
      </c>
      <c r="C574" s="289"/>
      <c r="D574" s="289"/>
      <c r="E574" s="289"/>
      <c r="F574" s="289"/>
      <c r="G574" s="290"/>
      <c r="H574" s="317">
        <f>VLOOKUP(AI570,'1c'!A:AG,5,0)</f>
        <v>42</v>
      </c>
      <c r="I574" s="318"/>
      <c r="J574" s="168">
        <f t="shared" si="44"/>
        <v>42</v>
      </c>
      <c r="K574" s="342" t="s">
        <v>23</v>
      </c>
      <c r="L574" s="342"/>
      <c r="M574" s="342"/>
      <c r="N574" s="342"/>
      <c r="O574" s="342"/>
      <c r="P574" s="342"/>
      <c r="Q574" s="168">
        <v>2</v>
      </c>
      <c r="R574" s="161">
        <v>4</v>
      </c>
      <c r="S574" s="324" t="s">
        <v>121</v>
      </c>
      <c r="T574" s="324"/>
      <c r="U574" s="324"/>
      <c r="V574" s="324"/>
      <c r="W574" s="324"/>
      <c r="X574" s="324"/>
      <c r="Y574" s="317">
        <f>VLOOKUP(AI570,'1c'!A:AG,17,0)</f>
        <v>85</v>
      </c>
      <c r="Z574" s="318"/>
      <c r="AA574" s="168">
        <f t="shared" si="43"/>
        <v>85</v>
      </c>
      <c r="AB574" s="293" t="s">
        <v>35</v>
      </c>
      <c r="AC574" s="294"/>
      <c r="AD574" s="294"/>
      <c r="AE574" s="294"/>
      <c r="AF574" s="294"/>
      <c r="AG574" s="295"/>
      <c r="AH574" s="168">
        <v>4</v>
      </c>
    </row>
    <row r="575" spans="1:36" ht="21" customHeight="1">
      <c r="A575" s="161">
        <v>3</v>
      </c>
      <c r="B575" s="288" t="s">
        <v>55</v>
      </c>
      <c r="C575" s="289"/>
      <c r="D575" s="289"/>
      <c r="E575" s="289"/>
      <c r="F575" s="289"/>
      <c r="G575" s="290"/>
      <c r="H575" s="317">
        <f>VLOOKUP(AI570,'1c'!A:AG,6,0)</f>
        <v>56</v>
      </c>
      <c r="I575" s="318"/>
      <c r="J575" s="168">
        <f t="shared" si="44"/>
        <v>56</v>
      </c>
      <c r="K575" s="342" t="s">
        <v>56</v>
      </c>
      <c r="L575" s="342"/>
      <c r="M575" s="342"/>
      <c r="N575" s="342"/>
      <c r="O575" s="342"/>
      <c r="P575" s="342"/>
      <c r="Q575" s="168">
        <v>3</v>
      </c>
      <c r="R575" s="161">
        <v>5</v>
      </c>
      <c r="S575" s="158" t="s">
        <v>22</v>
      </c>
      <c r="T575" s="155"/>
      <c r="U575" s="155"/>
      <c r="V575" s="155"/>
      <c r="W575" s="155"/>
      <c r="X575" s="162"/>
      <c r="Y575" s="317">
        <f>VLOOKUP(AI570,'1c'!A:AG,18,0)</f>
        <v>59</v>
      </c>
      <c r="Z575" s="318"/>
      <c r="AA575" s="168">
        <f t="shared" si="43"/>
        <v>59</v>
      </c>
      <c r="AB575" s="169"/>
      <c r="AC575" s="170"/>
      <c r="AD575" s="170"/>
      <c r="AE575" s="170"/>
      <c r="AF575" s="170"/>
      <c r="AG575" s="171" t="s">
        <v>23</v>
      </c>
      <c r="AH575" s="168">
        <v>5</v>
      </c>
    </row>
    <row r="576" spans="1:36" ht="21" customHeight="1">
      <c r="A576" s="161">
        <v>4</v>
      </c>
      <c r="B576" s="324" t="s">
        <v>30</v>
      </c>
      <c r="C576" s="324"/>
      <c r="D576" s="324"/>
      <c r="E576" s="324"/>
      <c r="F576" s="324"/>
      <c r="G576" s="324"/>
      <c r="H576" s="317">
        <f>VLOOKUP(AI570,'1c'!A:AG,7,0)</f>
        <v>63</v>
      </c>
      <c r="I576" s="318"/>
      <c r="J576" s="168">
        <f t="shared" si="44"/>
        <v>63</v>
      </c>
      <c r="K576" s="342" t="s">
        <v>31</v>
      </c>
      <c r="L576" s="294"/>
      <c r="M576" s="294"/>
      <c r="N576" s="294"/>
      <c r="O576" s="294"/>
      <c r="P576" s="295"/>
      <c r="Q576" s="168">
        <v>4</v>
      </c>
      <c r="R576" s="299" t="s">
        <v>768</v>
      </c>
      <c r="S576" s="300"/>
      <c r="T576" s="300"/>
      <c r="U576" s="300"/>
      <c r="V576" s="301"/>
      <c r="W576" s="327" t="s">
        <v>28</v>
      </c>
      <c r="X576" s="328"/>
      <c r="Y576" s="328"/>
      <c r="Z576" s="328"/>
      <c r="AA576" s="328"/>
      <c r="AB576" s="329"/>
      <c r="AC576" s="327" t="s">
        <v>29</v>
      </c>
      <c r="AD576" s="328"/>
      <c r="AE576" s="328"/>
      <c r="AF576" s="328"/>
      <c r="AG576" s="328"/>
      <c r="AH576" s="329"/>
    </row>
    <row r="577" spans="1:34" ht="21" customHeight="1">
      <c r="A577" s="161">
        <v>5</v>
      </c>
      <c r="B577" s="324" t="s">
        <v>34</v>
      </c>
      <c r="C577" s="324"/>
      <c r="D577" s="324"/>
      <c r="E577" s="324"/>
      <c r="F577" s="324"/>
      <c r="G577" s="324"/>
      <c r="H577" s="317">
        <f>VLOOKUP(AI570,'1c'!A:AG,8,0)</f>
        <v>61</v>
      </c>
      <c r="I577" s="318"/>
      <c r="J577" s="168">
        <f t="shared" si="44"/>
        <v>61</v>
      </c>
      <c r="K577" s="293" t="s">
        <v>35</v>
      </c>
      <c r="L577" s="294"/>
      <c r="M577" s="294"/>
      <c r="N577" s="294"/>
      <c r="O577" s="294"/>
      <c r="P577" s="295"/>
      <c r="Q577" s="168">
        <v>5</v>
      </c>
      <c r="R577" s="319" t="s">
        <v>32</v>
      </c>
      <c r="S577" s="320"/>
      <c r="T577" s="320"/>
      <c r="U577" s="180" t="s">
        <v>1</v>
      </c>
      <c r="V577" s="181" t="str">
        <f>VLOOKUP(AI570,'1c'!A:AG,28,0)</f>
        <v>B</v>
      </c>
      <c r="W577" s="321" t="s">
        <v>33</v>
      </c>
      <c r="X577" s="322"/>
      <c r="Y577" s="322"/>
      <c r="Z577" s="322"/>
      <c r="AA577" s="322"/>
      <c r="AB577" s="323"/>
      <c r="AC577" s="296" t="s">
        <v>33</v>
      </c>
      <c r="AD577" s="297"/>
      <c r="AE577" s="297"/>
      <c r="AF577" s="297"/>
      <c r="AG577" s="297"/>
      <c r="AH577" s="298"/>
    </row>
    <row r="578" spans="1:34" ht="21" customHeight="1">
      <c r="A578" s="161">
        <v>6</v>
      </c>
      <c r="B578" s="288" t="s">
        <v>126</v>
      </c>
      <c r="C578" s="289"/>
      <c r="D578" s="289"/>
      <c r="E578" s="289"/>
      <c r="F578" s="289"/>
      <c r="G578" s="290"/>
      <c r="H578" s="317">
        <f>VLOOKUP(AI570,'1c'!A:AG,9,0)</f>
        <v>60</v>
      </c>
      <c r="I578" s="318"/>
      <c r="J578" s="168">
        <f t="shared" si="44"/>
        <v>60</v>
      </c>
      <c r="K578" s="293" t="s">
        <v>127</v>
      </c>
      <c r="L578" s="294"/>
      <c r="M578" s="294"/>
      <c r="N578" s="294"/>
      <c r="O578" s="294"/>
      <c r="P578" s="295"/>
      <c r="Q578" s="168">
        <v>6</v>
      </c>
      <c r="R578" s="319" t="s">
        <v>36</v>
      </c>
      <c r="S578" s="320"/>
      <c r="T578" s="320"/>
      <c r="U578" s="180" t="s">
        <v>1</v>
      </c>
      <c r="V578" s="181" t="str">
        <f>VLOOKUP(AI570,'1c'!A:AG,29,0)</f>
        <v>B</v>
      </c>
      <c r="W578" s="13"/>
      <c r="X578" s="14"/>
      <c r="Y578" s="14"/>
      <c r="Z578" s="14"/>
      <c r="AA578" s="14"/>
      <c r="AB578" s="15"/>
      <c r="AC578" s="16"/>
      <c r="AH578" s="17"/>
    </row>
    <row r="579" spans="1:34" ht="21" customHeight="1">
      <c r="A579" s="161">
        <v>7</v>
      </c>
      <c r="B579" s="288" t="s">
        <v>128</v>
      </c>
      <c r="C579" s="289"/>
      <c r="D579" s="289"/>
      <c r="E579" s="289"/>
      <c r="F579" s="289"/>
      <c r="G579" s="290"/>
      <c r="H579" s="317">
        <f>VLOOKUP(AI570,'1c'!A:AG,10,0)</f>
        <v>57</v>
      </c>
      <c r="I579" s="318"/>
      <c r="J579" s="168">
        <f t="shared" si="44"/>
        <v>57</v>
      </c>
      <c r="K579" s="293" t="s">
        <v>112</v>
      </c>
      <c r="L579" s="294"/>
      <c r="M579" s="294"/>
      <c r="N579" s="294"/>
      <c r="O579" s="294"/>
      <c r="P579" s="295"/>
      <c r="Q579" s="168">
        <v>7</v>
      </c>
      <c r="R579" s="325" t="s">
        <v>39</v>
      </c>
      <c r="S579" s="326"/>
      <c r="T579" s="326"/>
      <c r="U579" s="182" t="s">
        <v>1</v>
      </c>
      <c r="V579" s="183" t="str">
        <f>VLOOKUP(AI570,'1c'!A:AG,30,0)</f>
        <v>B</v>
      </c>
      <c r="W579" s="16"/>
      <c r="AB579" s="17"/>
      <c r="AC579" s="16"/>
      <c r="AH579" s="17"/>
    </row>
    <row r="580" spans="1:34" ht="21" customHeight="1">
      <c r="A580" s="161">
        <v>8</v>
      </c>
      <c r="B580" s="324" t="s">
        <v>105</v>
      </c>
      <c r="C580" s="324"/>
      <c r="D580" s="324"/>
      <c r="E580" s="324"/>
      <c r="F580" s="324"/>
      <c r="G580" s="324"/>
      <c r="H580" s="317">
        <f>VLOOKUP(AI570,'1c'!A:AG,11,0)</f>
        <v>53</v>
      </c>
      <c r="I580" s="318"/>
      <c r="J580" s="168">
        <f t="shared" si="44"/>
        <v>53</v>
      </c>
      <c r="K580" s="293" t="s">
        <v>106</v>
      </c>
      <c r="L580" s="294"/>
      <c r="M580" s="294"/>
      <c r="N580" s="294"/>
      <c r="O580" s="294"/>
      <c r="P580" s="295"/>
      <c r="Q580" s="168">
        <v>8</v>
      </c>
      <c r="R580" s="327" t="s">
        <v>42</v>
      </c>
      <c r="S580" s="328"/>
      <c r="T580" s="328"/>
      <c r="U580" s="328"/>
      <c r="V580" s="329"/>
      <c r="W580" s="16"/>
      <c r="AB580" s="17"/>
      <c r="AC580" s="307" t="str">
        <f>DASHBOARD!H33</f>
        <v>Mu'allim Fachrudin</v>
      </c>
      <c r="AD580" s="308"/>
      <c r="AE580" s="308"/>
      <c r="AF580" s="308"/>
      <c r="AG580" s="308"/>
      <c r="AH580" s="309"/>
    </row>
    <row r="581" spans="1:34" ht="21" customHeight="1">
      <c r="A581" s="161">
        <v>9</v>
      </c>
      <c r="B581" s="324" t="s">
        <v>14</v>
      </c>
      <c r="C581" s="324"/>
      <c r="D581" s="324"/>
      <c r="E581" s="324"/>
      <c r="F581" s="324"/>
      <c r="G581" s="324"/>
      <c r="H581" s="317">
        <f>VLOOKUP(AI570,'1c'!A:AG,12,0)</f>
        <v>66</v>
      </c>
      <c r="I581" s="318"/>
      <c r="J581" s="168">
        <f>H581</f>
        <v>66</v>
      </c>
      <c r="K581" s="293" t="s">
        <v>15</v>
      </c>
      <c r="L581" s="294"/>
      <c r="M581" s="294"/>
      <c r="N581" s="294"/>
      <c r="O581" s="294"/>
      <c r="P581" s="295"/>
      <c r="Q581" s="168">
        <v>9</v>
      </c>
      <c r="R581" s="296" t="s">
        <v>43</v>
      </c>
      <c r="S581" s="297"/>
      <c r="T581" s="297"/>
      <c r="U581" s="297"/>
      <c r="V581" s="298"/>
      <c r="W581" s="16"/>
      <c r="AB581" s="17"/>
      <c r="AC581" s="299" t="s">
        <v>44</v>
      </c>
      <c r="AD581" s="300"/>
      <c r="AE581" s="300"/>
      <c r="AF581" s="300"/>
      <c r="AG581" s="300"/>
      <c r="AH581" s="301"/>
    </row>
    <row r="582" spans="1:34" ht="21" customHeight="1">
      <c r="A582" s="161">
        <v>10</v>
      </c>
      <c r="B582" s="324" t="s">
        <v>45</v>
      </c>
      <c r="C582" s="324"/>
      <c r="D582" s="324"/>
      <c r="E582" s="324"/>
      <c r="F582" s="324"/>
      <c r="G582" s="324"/>
      <c r="H582" s="317">
        <f>VLOOKUP(AI570,'1c'!A:AG,13,0)</f>
        <v>77</v>
      </c>
      <c r="I582" s="318"/>
      <c r="J582" s="168">
        <f t="shared" si="44"/>
        <v>77</v>
      </c>
      <c r="K582" s="293" t="s">
        <v>46</v>
      </c>
      <c r="L582" s="294"/>
      <c r="M582" s="294"/>
      <c r="N582" s="294"/>
      <c r="O582" s="294"/>
      <c r="P582" s="295"/>
      <c r="Q582" s="168">
        <v>10</v>
      </c>
      <c r="R582" s="184" t="s">
        <v>47</v>
      </c>
      <c r="S582" s="185"/>
      <c r="T582" s="180" t="s">
        <v>1</v>
      </c>
      <c r="U582" s="180">
        <f>VLOOKUP(AI570,'1c'!A:AG,31,0)</f>
        <v>38</v>
      </c>
      <c r="V582" s="181" t="s">
        <v>48</v>
      </c>
      <c r="W582" s="16"/>
      <c r="AB582" s="17"/>
      <c r="AC582" s="16"/>
      <c r="AH582" s="17"/>
    </row>
    <row r="583" spans="1:34" ht="21" customHeight="1">
      <c r="A583" s="288" t="s">
        <v>62</v>
      </c>
      <c r="B583" s="289"/>
      <c r="C583" s="289"/>
      <c r="D583" s="289"/>
      <c r="E583" s="289"/>
      <c r="F583" s="289"/>
      <c r="G583" s="290"/>
      <c r="H583" s="317">
        <f>VLOOKUP(AI570,'1c'!A:AG,25,0)</f>
        <v>945</v>
      </c>
      <c r="I583" s="318"/>
      <c r="J583" s="168">
        <f t="shared" si="44"/>
        <v>945</v>
      </c>
      <c r="K583" s="293" t="s">
        <v>63</v>
      </c>
      <c r="L583" s="294"/>
      <c r="M583" s="294"/>
      <c r="N583" s="294"/>
      <c r="O583" s="294"/>
      <c r="P583" s="294"/>
      <c r="Q583" s="295"/>
      <c r="R583" s="184" t="s">
        <v>51</v>
      </c>
      <c r="S583" s="185"/>
      <c r="T583" s="180" t="s">
        <v>1</v>
      </c>
      <c r="U583" s="180">
        <f>VLOOKUP(AI570,'1c'!A:AG,32,0)</f>
        <v>0</v>
      </c>
      <c r="V583" s="181" t="s">
        <v>48</v>
      </c>
      <c r="W583" s="21"/>
      <c r="X583" s="22"/>
      <c r="Y583" s="22"/>
      <c r="Z583" s="22"/>
      <c r="AA583" s="22"/>
      <c r="AB583" s="23"/>
      <c r="AC583" s="16"/>
      <c r="AH583" s="17"/>
    </row>
    <row r="584" spans="1:34" ht="21" customHeight="1">
      <c r="A584" s="288" t="s">
        <v>65</v>
      </c>
      <c r="B584" s="289"/>
      <c r="C584" s="289"/>
      <c r="D584" s="289"/>
      <c r="E584" s="289"/>
      <c r="F584" s="289"/>
      <c r="G584" s="290"/>
      <c r="H584" s="291">
        <f>VLOOKUP(AI570,'1c'!A:AG,26,0)</f>
        <v>63</v>
      </c>
      <c r="I584" s="292"/>
      <c r="J584" s="172">
        <f t="shared" si="44"/>
        <v>63</v>
      </c>
      <c r="K584" s="293" t="s">
        <v>66</v>
      </c>
      <c r="L584" s="294"/>
      <c r="M584" s="294"/>
      <c r="N584" s="294"/>
      <c r="O584" s="294"/>
      <c r="P584" s="294"/>
      <c r="Q584" s="295"/>
      <c r="R584" s="186" t="s">
        <v>53</v>
      </c>
      <c r="S584" s="187"/>
      <c r="T584" s="182" t="s">
        <v>1</v>
      </c>
      <c r="U584" s="182">
        <f>VLOOKUP(AI570,'1c'!A:AG,33,0)</f>
        <v>0</v>
      </c>
      <c r="V584" s="183" t="s">
        <v>48</v>
      </c>
      <c r="W584" s="188"/>
      <c r="X584" s="189"/>
      <c r="Y584" s="189"/>
      <c r="Z584" s="189"/>
      <c r="AA584" s="189"/>
      <c r="AB584" s="190"/>
      <c r="AC584" s="307" t="s">
        <v>770</v>
      </c>
      <c r="AD584" s="308"/>
      <c r="AE584" s="308"/>
      <c r="AF584" s="308"/>
      <c r="AG584" s="308"/>
      <c r="AH584" s="309"/>
    </row>
    <row r="585" spans="1:34" ht="21" customHeight="1">
      <c r="A585" s="288" t="s">
        <v>67</v>
      </c>
      <c r="B585" s="289"/>
      <c r="C585" s="289"/>
      <c r="D585" s="289"/>
      <c r="E585" s="199" t="s">
        <v>68</v>
      </c>
      <c r="F585" s="155" t="s">
        <v>69</v>
      </c>
      <c r="G585" s="164">
        <f>COUNT('1c'!B4:B27)</f>
        <v>24</v>
      </c>
      <c r="H585" s="164"/>
      <c r="I585" s="165"/>
      <c r="J585" s="173" t="s">
        <v>70</v>
      </c>
      <c r="K585" s="174"/>
      <c r="L585" s="175">
        <f>G585</f>
        <v>24</v>
      </c>
      <c r="M585" s="302" t="s">
        <v>71</v>
      </c>
      <c r="N585" s="302"/>
      <c r="O585" s="302"/>
      <c r="P585" s="176" t="str">
        <f>E585</f>
        <v>-</v>
      </c>
      <c r="Q585" s="177" t="s">
        <v>72</v>
      </c>
      <c r="R585" s="16"/>
      <c r="U585" t="s">
        <v>57</v>
      </c>
      <c r="AB585" s="310" t="str">
        <f>DASHBOARD!$H$13</f>
        <v>Sumedang, 05 September 2025</v>
      </c>
      <c r="AC585" s="310"/>
      <c r="AD585" s="310"/>
      <c r="AE585" s="310"/>
      <c r="AF585" s="310"/>
      <c r="AG585" s="310"/>
      <c r="AH585" s="311"/>
    </row>
    <row r="586" spans="1:34" ht="21" customHeight="1">
      <c r="A586" s="303" t="s">
        <v>73</v>
      </c>
      <c r="B586" s="304"/>
      <c r="C586" s="304"/>
      <c r="D586" s="304"/>
      <c r="E586" s="304"/>
      <c r="F586" s="304"/>
      <c r="G586" s="304"/>
      <c r="H586" s="304"/>
      <c r="I586" s="7"/>
      <c r="J586" s="166"/>
      <c r="K586" s="195"/>
      <c r="L586" s="305" t="s">
        <v>74</v>
      </c>
      <c r="M586" s="305"/>
      <c r="N586" s="305"/>
      <c r="O586" s="305"/>
      <c r="P586" s="305"/>
      <c r="Q586" s="306"/>
      <c r="R586" s="312" t="s">
        <v>60</v>
      </c>
      <c r="S586" s="310"/>
      <c r="T586" s="310"/>
      <c r="U586" s="310"/>
      <c r="V586" s="310"/>
      <c r="W586" s="310"/>
      <c r="X586" s="310"/>
      <c r="Y586" s="310"/>
      <c r="Z586" s="310"/>
      <c r="AA586" s="310"/>
      <c r="AB586" s="313" t="s">
        <v>61</v>
      </c>
      <c r="AC586" s="313"/>
      <c r="AD586" s="313"/>
      <c r="AE586" s="313"/>
      <c r="AF586" s="313"/>
      <c r="AG586" s="313"/>
      <c r="AH586" s="314"/>
    </row>
    <row r="587" spans="1:34" ht="21" customHeight="1">
      <c r="A587" s="358" t="s">
        <v>75</v>
      </c>
      <c r="B587" s="359"/>
      <c r="C587" s="359"/>
      <c r="D587" s="359"/>
      <c r="E587" s="359"/>
      <c r="F587" s="359"/>
      <c r="G587" s="359"/>
      <c r="H587" s="359"/>
      <c r="I587" s="359"/>
      <c r="J587" s="359"/>
      <c r="K587" s="359"/>
      <c r="L587" s="359"/>
      <c r="M587" s="359"/>
      <c r="N587" s="359"/>
      <c r="O587" s="359"/>
      <c r="P587" s="359"/>
      <c r="Q587" s="360"/>
      <c r="R587" s="33"/>
      <c r="S587" s="34"/>
      <c r="T587" s="34"/>
      <c r="U587" s="34"/>
      <c r="V587" s="34"/>
      <c r="W587" s="34"/>
      <c r="X587" s="34"/>
      <c r="Y587" s="34"/>
      <c r="Z587" s="34"/>
      <c r="AA587" s="34"/>
      <c r="AB587" s="297" t="s">
        <v>64</v>
      </c>
      <c r="AC587" s="297"/>
      <c r="AD587" s="297"/>
      <c r="AE587" s="297"/>
      <c r="AF587" s="297"/>
      <c r="AG587" s="297"/>
      <c r="AH587" s="298"/>
    </row>
    <row r="588" spans="1:34" ht="21" customHeight="1">
      <c r="A588" s="161">
        <v>1</v>
      </c>
      <c r="B588" s="324" t="s">
        <v>83</v>
      </c>
      <c r="C588" s="324"/>
      <c r="D588" s="324"/>
      <c r="E588" s="324"/>
      <c r="F588" s="324"/>
      <c r="G588" s="324"/>
      <c r="H588" s="356">
        <f>VLOOKUP(AI570,'1c'!A:AG,19,0)</f>
        <v>65</v>
      </c>
      <c r="I588" s="356"/>
      <c r="J588" s="178">
        <f t="shared" ref="J588:J589" si="45">H588</f>
        <v>65</v>
      </c>
      <c r="K588" s="293" t="s">
        <v>84</v>
      </c>
      <c r="L588" s="294"/>
      <c r="M588" s="294"/>
      <c r="N588" s="294"/>
      <c r="O588" s="294"/>
      <c r="P588" s="295"/>
      <c r="Q588" s="168">
        <v>1</v>
      </c>
      <c r="R588" s="33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5"/>
    </row>
    <row r="589" spans="1:34" ht="21" customHeight="1">
      <c r="A589" s="161">
        <v>2</v>
      </c>
      <c r="B589" s="288" t="s">
        <v>79</v>
      </c>
      <c r="C589" s="289"/>
      <c r="D589" s="289"/>
      <c r="E589" s="289"/>
      <c r="F589" s="289"/>
      <c r="G589" s="290"/>
      <c r="H589" s="356">
        <f>VLOOKUP(AI570,'1c'!A:AG,20,0)</f>
        <v>95</v>
      </c>
      <c r="I589" s="356"/>
      <c r="J589" s="178">
        <f t="shared" si="45"/>
        <v>95</v>
      </c>
      <c r="K589" s="293" t="s">
        <v>80</v>
      </c>
      <c r="L589" s="294"/>
      <c r="M589" s="294"/>
      <c r="N589" s="294"/>
      <c r="O589" s="294"/>
      <c r="P589" s="295"/>
      <c r="Q589" s="168">
        <v>2</v>
      </c>
      <c r="R589" s="33"/>
      <c r="S589" s="34"/>
      <c r="T589" s="34"/>
      <c r="U589" s="34"/>
      <c r="V589" s="34"/>
      <c r="W589" s="191"/>
      <c r="X589" s="191"/>
      <c r="Y589" s="191"/>
      <c r="Z589" s="191"/>
      <c r="AA589" s="191"/>
      <c r="AB589" s="34"/>
      <c r="AC589" s="34"/>
      <c r="AD589" s="34"/>
      <c r="AE589" s="34"/>
      <c r="AF589" s="34"/>
      <c r="AG589" s="34"/>
      <c r="AH589" s="35"/>
    </row>
    <row r="590" spans="1:34" ht="21" customHeight="1">
      <c r="A590" s="161">
        <v>3</v>
      </c>
      <c r="B590" s="288" t="s">
        <v>77</v>
      </c>
      <c r="C590" s="289"/>
      <c r="D590" s="289"/>
      <c r="E590" s="289"/>
      <c r="F590" s="289"/>
      <c r="G590" s="290"/>
      <c r="H590" s="317">
        <f>VLOOKUP(AI570,'1c'!A:AG,21,0)</f>
        <v>70</v>
      </c>
      <c r="I590" s="318"/>
      <c r="J590" s="178">
        <f>H590</f>
        <v>70</v>
      </c>
      <c r="K590" s="293" t="s">
        <v>78</v>
      </c>
      <c r="L590" s="294"/>
      <c r="M590" s="294"/>
      <c r="N590" s="294"/>
      <c r="O590" s="294"/>
      <c r="P590" s="295"/>
      <c r="Q590" s="168">
        <v>3</v>
      </c>
      <c r="R590" s="312"/>
      <c r="S590" s="310"/>
      <c r="T590" s="310"/>
      <c r="U590" s="310"/>
      <c r="V590" s="310"/>
      <c r="W590" s="310"/>
      <c r="X590" s="310"/>
      <c r="Y590" s="310"/>
      <c r="Z590" s="310"/>
      <c r="AA590" s="310"/>
      <c r="AB590" s="34"/>
      <c r="AC590" s="34"/>
      <c r="AD590" s="34"/>
      <c r="AE590" s="34"/>
      <c r="AF590" s="34"/>
      <c r="AG590" s="34"/>
      <c r="AH590" s="35"/>
    </row>
    <row r="591" spans="1:34" ht="21" customHeight="1">
      <c r="A591" s="161">
        <v>4</v>
      </c>
      <c r="B591" s="288" t="s">
        <v>81</v>
      </c>
      <c r="C591" s="289"/>
      <c r="D591" s="289"/>
      <c r="E591" s="289"/>
      <c r="F591" s="289"/>
      <c r="G591" s="290"/>
      <c r="H591" s="317">
        <f>VLOOKUP(AI570,'1c'!A:AG,22,0)</f>
        <v>60</v>
      </c>
      <c r="I591" s="318"/>
      <c r="J591" s="178">
        <f>H591</f>
        <v>60</v>
      </c>
      <c r="K591" s="293" t="s">
        <v>82</v>
      </c>
      <c r="L591" s="294"/>
      <c r="M591" s="294"/>
      <c r="N591" s="294"/>
      <c r="O591" s="294"/>
      <c r="P591" s="295"/>
      <c r="Q591" s="168">
        <v>4</v>
      </c>
      <c r="R591" s="315" t="s">
        <v>766</v>
      </c>
      <c r="S591" s="316"/>
      <c r="T591" s="316"/>
      <c r="U591" s="316"/>
      <c r="V591" s="316"/>
      <c r="W591" s="316"/>
      <c r="X591" s="316"/>
      <c r="Y591" s="316"/>
      <c r="Z591" s="316"/>
      <c r="AA591" s="316"/>
      <c r="AB591" s="308" t="s">
        <v>767</v>
      </c>
      <c r="AC591" s="308"/>
      <c r="AD591" s="308"/>
      <c r="AE591" s="308"/>
      <c r="AF591" s="308"/>
      <c r="AG591" s="308"/>
      <c r="AH591" s="309"/>
    </row>
    <row r="592" spans="1:34" ht="21" customHeight="1">
      <c r="A592" s="161">
        <v>5</v>
      </c>
      <c r="B592" s="324" t="s">
        <v>147</v>
      </c>
      <c r="C592" s="324"/>
      <c r="D592" s="324"/>
      <c r="E592" s="324"/>
      <c r="F592" s="324"/>
      <c r="G592" s="324"/>
      <c r="H592" s="356">
        <f>VLOOKUP(AI570,'1c'!A:AG,23,0)</f>
        <v>78</v>
      </c>
      <c r="I592" s="356"/>
      <c r="J592" s="178">
        <f t="shared" ref="J592:J595" si="46">H592</f>
        <v>78</v>
      </c>
      <c r="K592" s="293" t="s">
        <v>84</v>
      </c>
      <c r="L592" s="294"/>
      <c r="M592" s="294"/>
      <c r="N592" s="294"/>
      <c r="O592" s="294"/>
      <c r="P592" s="295"/>
      <c r="Q592" s="168">
        <v>5</v>
      </c>
    </row>
    <row r="593" spans="1:35" ht="21" customHeight="1">
      <c r="A593" s="161">
        <v>6</v>
      </c>
      <c r="B593" s="324" t="s">
        <v>148</v>
      </c>
      <c r="C593" s="324"/>
      <c r="D593" s="324"/>
      <c r="E593" s="324"/>
      <c r="F593" s="324"/>
      <c r="G593" s="324"/>
      <c r="H593" s="356">
        <f>VLOOKUP(AI570,'1c'!A:AG,24,0)</f>
        <v>98</v>
      </c>
      <c r="I593" s="356"/>
      <c r="J593" s="178">
        <f t="shared" si="46"/>
        <v>98</v>
      </c>
      <c r="K593" s="293" t="s">
        <v>149</v>
      </c>
      <c r="L593" s="294"/>
      <c r="M593" s="294"/>
      <c r="N593" s="294"/>
      <c r="O593" s="294"/>
      <c r="P593" s="295"/>
      <c r="Q593" s="168">
        <v>6</v>
      </c>
    </row>
    <row r="594" spans="1:35" ht="21" customHeight="1">
      <c r="A594" s="357" t="s">
        <v>62</v>
      </c>
      <c r="B594" s="357"/>
      <c r="C594" s="357"/>
      <c r="D594" s="357"/>
      <c r="E594" s="357"/>
      <c r="F594" s="357"/>
      <c r="G594" s="357"/>
      <c r="H594" s="317">
        <f>SUM(H588:I593)</f>
        <v>466</v>
      </c>
      <c r="I594" s="318"/>
      <c r="J594" s="178">
        <f t="shared" si="46"/>
        <v>466</v>
      </c>
      <c r="K594" s="293" t="s">
        <v>63</v>
      </c>
      <c r="L594" s="294"/>
      <c r="M594" s="294"/>
      <c r="N594" s="294"/>
      <c r="O594" s="294"/>
      <c r="P594" s="294"/>
      <c r="Q594" s="295"/>
    </row>
    <row r="595" spans="1:35" ht="21" customHeight="1">
      <c r="A595" s="357" t="s">
        <v>65</v>
      </c>
      <c r="B595" s="357"/>
      <c r="C595" s="357"/>
      <c r="D595" s="357"/>
      <c r="E595" s="357"/>
      <c r="F595" s="357"/>
      <c r="G595" s="357"/>
      <c r="H595" s="291">
        <f>AVERAGE(H588:I593)</f>
        <v>77.666666666666671</v>
      </c>
      <c r="I595" s="292"/>
      <c r="J595" s="179">
        <f t="shared" si="46"/>
        <v>77.666666666666671</v>
      </c>
      <c r="K595" s="293" t="s">
        <v>66</v>
      </c>
      <c r="L595" s="294"/>
      <c r="M595" s="294"/>
      <c r="N595" s="294"/>
      <c r="O595" s="294"/>
      <c r="P595" s="294"/>
      <c r="Q595" s="295"/>
    </row>
    <row r="596" spans="1:35" ht="21" customHeight="1">
      <c r="A596" s="34"/>
      <c r="B596" s="34"/>
      <c r="C596" s="34"/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1"/>
      <c r="O596" s="34"/>
      <c r="P596" s="34"/>
      <c r="Q596" s="34"/>
      <c r="R596" s="58"/>
      <c r="S596" s="58"/>
      <c r="T596" s="58"/>
      <c r="U596" s="58"/>
      <c r="V596" s="58"/>
      <c r="W596" s="58"/>
      <c r="X596" s="58"/>
      <c r="Y596" s="58"/>
      <c r="Z596" s="58"/>
      <c r="AA596" s="58"/>
      <c r="AB596" s="58"/>
      <c r="AC596" s="58"/>
      <c r="AD596" s="58"/>
      <c r="AE596" s="58"/>
      <c r="AF596" s="58"/>
      <c r="AG596" s="58"/>
      <c r="AH596" s="58"/>
    </row>
    <row r="597" spans="1:35" ht="21" customHeight="1">
      <c r="R597" s="58"/>
      <c r="S597" s="58"/>
      <c r="T597" s="58"/>
      <c r="U597" s="58"/>
      <c r="V597" s="58"/>
      <c r="W597" s="58"/>
      <c r="X597" s="58"/>
      <c r="Y597" s="58"/>
      <c r="Z597" s="58"/>
      <c r="AA597" s="58"/>
      <c r="AB597" s="58"/>
      <c r="AC597" s="58"/>
      <c r="AD597" s="58"/>
      <c r="AE597" s="58"/>
      <c r="AF597" s="58"/>
      <c r="AG597" s="58"/>
      <c r="AH597" s="58"/>
    </row>
    <row r="598" spans="1:35" ht="21" customHeight="1">
      <c r="A598" s="343" t="s">
        <v>0</v>
      </c>
      <c r="B598" s="344"/>
      <c r="C598" s="153" t="s">
        <v>1</v>
      </c>
      <c r="D598" s="344" t="str">
        <f>VLOOKUP(AI601,TA!A:AB,3,0)</f>
        <v>Muhamad Siddiq Zainul Asyiqin</v>
      </c>
      <c r="E598" s="344"/>
      <c r="F598" s="344"/>
      <c r="G598" s="344"/>
      <c r="H598" s="344"/>
      <c r="I598" s="344"/>
      <c r="J598" s="344"/>
      <c r="K598" s="344"/>
      <c r="L598" s="344"/>
      <c r="M598" s="344"/>
      <c r="N598" s="344"/>
      <c r="O598" s="344"/>
      <c r="P598" s="344"/>
      <c r="Q598" s="345"/>
      <c r="R598" s="343" t="s">
        <v>0</v>
      </c>
      <c r="S598" s="344"/>
      <c r="T598" s="153" t="s">
        <v>1</v>
      </c>
      <c r="U598" s="344" t="str">
        <f>D598</f>
        <v>Muhamad Siddiq Zainul Asyiqin</v>
      </c>
      <c r="V598" s="344"/>
      <c r="W598" s="344"/>
      <c r="X598" s="344"/>
      <c r="Y598" s="344"/>
      <c r="Z598" s="344"/>
      <c r="AA598" s="344"/>
      <c r="AB598" s="344"/>
      <c r="AC598" s="344"/>
      <c r="AD598" s="344"/>
      <c r="AE598" s="344"/>
      <c r="AF598" s="344"/>
      <c r="AG598" s="344"/>
      <c r="AH598" s="345"/>
    </row>
    <row r="599" spans="1:35" ht="21" customHeight="1">
      <c r="A599" s="346" t="s">
        <v>2</v>
      </c>
      <c r="B599" s="347"/>
      <c r="C599" s="154" t="s">
        <v>1</v>
      </c>
      <c r="D599" s="347" t="s">
        <v>136</v>
      </c>
      <c r="E599" s="347"/>
      <c r="F599" s="347"/>
      <c r="G599" s="347"/>
      <c r="H599" s="347"/>
      <c r="I599" s="347"/>
      <c r="J599" s="159" t="s">
        <v>3</v>
      </c>
      <c r="K599" s="347">
        <f>VLOOKUP(AI601,TA!A:AB,2,0)</f>
        <v>25260132</v>
      </c>
      <c r="L599" s="347"/>
      <c r="M599" s="347"/>
      <c r="N599" s="347"/>
      <c r="O599" s="347"/>
      <c r="P599" s="347"/>
      <c r="Q599" s="348"/>
      <c r="R599" s="346" t="s">
        <v>2</v>
      </c>
      <c r="S599" s="347"/>
      <c r="T599" s="154" t="s">
        <v>1</v>
      </c>
      <c r="U599" s="347" t="str">
        <f>D599</f>
        <v>Tamhidi A</v>
      </c>
      <c r="V599" s="347"/>
      <c r="W599" s="347"/>
      <c r="X599" s="347"/>
      <c r="Y599" s="347"/>
      <c r="Z599" s="347"/>
      <c r="AA599" s="159" t="s">
        <v>3</v>
      </c>
      <c r="AB599" s="347">
        <f>K599</f>
        <v>25260132</v>
      </c>
      <c r="AC599" s="347"/>
      <c r="AD599" s="347"/>
      <c r="AE599" s="347"/>
      <c r="AF599" s="347"/>
      <c r="AG599" s="347"/>
      <c r="AH599" s="348"/>
    </row>
    <row r="600" spans="1:35" ht="21" customHeight="1">
      <c r="A600" s="343" t="s">
        <v>4</v>
      </c>
      <c r="B600" s="344"/>
      <c r="C600" s="153" t="s">
        <v>1</v>
      </c>
      <c r="D600" s="304" t="str">
        <f>DASHBOARD!$H$11</f>
        <v>2025/2026</v>
      </c>
      <c r="E600" s="304"/>
      <c r="F600" s="304"/>
      <c r="G600" s="304"/>
      <c r="H600" s="304"/>
      <c r="I600" s="304"/>
      <c r="J600" s="304"/>
      <c r="K600" s="304"/>
      <c r="L600" s="304"/>
      <c r="M600" s="304"/>
      <c r="N600" s="304"/>
      <c r="O600" s="304"/>
      <c r="P600" s="304"/>
      <c r="Q600" s="349"/>
      <c r="R600" s="330" t="s">
        <v>5</v>
      </c>
      <c r="S600" s="331"/>
      <c r="T600" s="331"/>
      <c r="U600" s="331"/>
      <c r="V600" s="331"/>
      <c r="W600" s="331"/>
      <c r="X600" s="332"/>
      <c r="Y600" s="333" t="s">
        <v>6</v>
      </c>
      <c r="Z600" s="334"/>
      <c r="AA600" s="337" t="s">
        <v>7</v>
      </c>
      <c r="AB600" s="330" t="s">
        <v>8</v>
      </c>
      <c r="AC600" s="331"/>
      <c r="AD600" s="331"/>
      <c r="AE600" s="331"/>
      <c r="AF600" s="331"/>
      <c r="AG600" s="331"/>
      <c r="AH600" s="332"/>
      <c r="AI600" s="51" t="s">
        <v>788</v>
      </c>
    </row>
    <row r="601" spans="1:35" ht="21" customHeight="1">
      <c r="A601" s="303" t="s">
        <v>10</v>
      </c>
      <c r="B601" s="304"/>
      <c r="C601" s="160" t="s">
        <v>1</v>
      </c>
      <c r="D601" s="350" t="str">
        <f>DASHBOARD!$H$12</f>
        <v>1 (Satu)</v>
      </c>
      <c r="E601" s="350"/>
      <c r="F601" s="350"/>
      <c r="G601" s="350"/>
      <c r="H601" s="350"/>
      <c r="I601" s="351"/>
      <c r="J601" s="352" t="str">
        <f>DASHBOARD!$I$12</f>
        <v>الأول</v>
      </c>
      <c r="K601" s="353"/>
      <c r="L601" s="353"/>
      <c r="M601" s="353"/>
      <c r="N601" s="160" t="s">
        <v>1</v>
      </c>
      <c r="O601" s="354" t="s">
        <v>11</v>
      </c>
      <c r="P601" s="354"/>
      <c r="Q601" s="355"/>
      <c r="R601" s="339" t="s">
        <v>12</v>
      </c>
      <c r="S601" s="340"/>
      <c r="T601" s="340"/>
      <c r="U601" s="340"/>
      <c r="V601" s="340"/>
      <c r="W601" s="340"/>
      <c r="X601" s="341"/>
      <c r="Y601" s="335"/>
      <c r="Z601" s="336"/>
      <c r="AA601" s="338"/>
      <c r="AB601" s="339" t="s">
        <v>13</v>
      </c>
      <c r="AC601" s="340"/>
      <c r="AD601" s="340"/>
      <c r="AE601" s="340"/>
      <c r="AF601" s="340"/>
      <c r="AG601" s="340"/>
      <c r="AH601" s="341"/>
      <c r="AI601" s="51">
        <v>24</v>
      </c>
    </row>
    <row r="602" spans="1:35" ht="21" customHeight="1">
      <c r="A602" s="330" t="s">
        <v>5</v>
      </c>
      <c r="B602" s="331"/>
      <c r="C602" s="331"/>
      <c r="D602" s="331"/>
      <c r="E602" s="331"/>
      <c r="F602" s="331"/>
      <c r="G602" s="332"/>
      <c r="H602" s="333" t="s">
        <v>6</v>
      </c>
      <c r="I602" s="334"/>
      <c r="J602" s="337" t="s">
        <v>7</v>
      </c>
      <c r="K602" s="330" t="s">
        <v>8</v>
      </c>
      <c r="L602" s="331"/>
      <c r="M602" s="331"/>
      <c r="N602" s="331"/>
      <c r="O602" s="331"/>
      <c r="P602" s="331"/>
      <c r="Q602" s="332"/>
      <c r="R602" s="161">
        <v>1</v>
      </c>
      <c r="S602" s="288" t="s">
        <v>55</v>
      </c>
      <c r="T602" s="289"/>
      <c r="U602" s="289"/>
      <c r="V602" s="289"/>
      <c r="W602" s="289"/>
      <c r="X602" s="290"/>
      <c r="Y602" s="317">
        <f>VLOOKUP(AI601,TA!A:AB,13,0)</f>
        <v>70</v>
      </c>
      <c r="Z602" s="318"/>
      <c r="AA602" s="168">
        <f t="shared" ref="AA602:AA608" si="47">Y602</f>
        <v>70</v>
      </c>
      <c r="AB602" s="342" t="s">
        <v>56</v>
      </c>
      <c r="AC602" s="342"/>
      <c r="AD602" s="342"/>
      <c r="AE602" s="342"/>
      <c r="AF602" s="342"/>
      <c r="AG602" s="342"/>
      <c r="AH602" s="168">
        <v>1</v>
      </c>
    </row>
    <row r="603" spans="1:35" ht="21" customHeight="1">
      <c r="A603" s="339" t="s">
        <v>16</v>
      </c>
      <c r="B603" s="340"/>
      <c r="C603" s="340"/>
      <c r="D603" s="340"/>
      <c r="E603" s="340"/>
      <c r="F603" s="340"/>
      <c r="G603" s="341"/>
      <c r="H603" s="335"/>
      <c r="I603" s="336"/>
      <c r="J603" s="338"/>
      <c r="K603" s="339" t="s">
        <v>17</v>
      </c>
      <c r="L603" s="340"/>
      <c r="M603" s="340"/>
      <c r="N603" s="340"/>
      <c r="O603" s="340"/>
      <c r="P603" s="340"/>
      <c r="Q603" s="341"/>
      <c r="R603" s="161">
        <v>2</v>
      </c>
      <c r="S603" s="324" t="s">
        <v>34</v>
      </c>
      <c r="T603" s="324"/>
      <c r="U603" s="324"/>
      <c r="V603" s="324"/>
      <c r="W603" s="324"/>
      <c r="X603" s="324"/>
      <c r="Y603" s="317">
        <f>VLOOKUP(AI601,TA!A:AB,14,0)</f>
        <v>56</v>
      </c>
      <c r="Z603" s="318"/>
      <c r="AA603" s="168">
        <f t="shared" si="47"/>
        <v>56</v>
      </c>
      <c r="AB603" s="293" t="s">
        <v>35</v>
      </c>
      <c r="AC603" s="294"/>
      <c r="AD603" s="294"/>
      <c r="AE603" s="294"/>
      <c r="AF603" s="294"/>
      <c r="AG603" s="295"/>
      <c r="AH603" s="168">
        <v>2</v>
      </c>
    </row>
    <row r="604" spans="1:35" ht="21" customHeight="1">
      <c r="A604" s="161">
        <v>1</v>
      </c>
      <c r="B604" s="288" t="s">
        <v>118</v>
      </c>
      <c r="C604" s="289"/>
      <c r="D604" s="289"/>
      <c r="E604" s="289"/>
      <c r="F604" s="289"/>
      <c r="G604" s="290"/>
      <c r="H604" s="317">
        <f>VLOOKUP(AI601,TA!A:AB,4,0)</f>
        <v>60</v>
      </c>
      <c r="I604" s="318"/>
      <c r="J604" s="168">
        <f t="shared" ref="J604:J611" si="48">H604</f>
        <v>60</v>
      </c>
      <c r="K604" s="342" t="s">
        <v>119</v>
      </c>
      <c r="L604" s="342"/>
      <c r="M604" s="342"/>
      <c r="N604" s="342"/>
      <c r="O604" s="342"/>
      <c r="P604" s="342"/>
      <c r="Q604" s="168">
        <v>1</v>
      </c>
      <c r="R604" s="161">
        <v>3</v>
      </c>
      <c r="S604" s="324" t="s">
        <v>137</v>
      </c>
      <c r="T604" s="324"/>
      <c r="U604" s="324"/>
      <c r="V604" s="324"/>
      <c r="W604" s="324"/>
      <c r="X604" s="324"/>
      <c r="Y604" s="317">
        <f>VLOOKUP(AI601,TA!A:AB,15,0)</f>
        <v>65</v>
      </c>
      <c r="Z604" s="318"/>
      <c r="AA604" s="168">
        <f t="shared" si="47"/>
        <v>65</v>
      </c>
      <c r="AB604" s="293" t="s">
        <v>138</v>
      </c>
      <c r="AC604" s="294"/>
      <c r="AD604" s="294"/>
      <c r="AE604" s="294"/>
      <c r="AF604" s="294"/>
      <c r="AG604" s="295"/>
      <c r="AH604" s="168">
        <v>3</v>
      </c>
    </row>
    <row r="605" spans="1:35" ht="21" customHeight="1">
      <c r="A605" s="161">
        <v>2</v>
      </c>
      <c r="B605" s="288" t="s">
        <v>55</v>
      </c>
      <c r="C605" s="289"/>
      <c r="D605" s="289"/>
      <c r="E605" s="289"/>
      <c r="F605" s="289"/>
      <c r="G605" s="290"/>
      <c r="H605" s="317">
        <f>VLOOKUP(AI601,TA!A:AB,5,0)</f>
        <v>75</v>
      </c>
      <c r="I605" s="318"/>
      <c r="J605" s="168">
        <f t="shared" si="48"/>
        <v>75</v>
      </c>
      <c r="K605" s="342" t="s">
        <v>56</v>
      </c>
      <c r="L605" s="342"/>
      <c r="M605" s="342"/>
      <c r="N605" s="342"/>
      <c r="O605" s="342"/>
      <c r="P605" s="342"/>
      <c r="Q605" s="168">
        <v>2</v>
      </c>
      <c r="R605" s="161">
        <v>4</v>
      </c>
      <c r="S605" s="288" t="s">
        <v>139</v>
      </c>
      <c r="T605" s="289"/>
      <c r="U605" s="289"/>
      <c r="V605" s="289"/>
      <c r="W605" s="289"/>
      <c r="X605" s="290"/>
      <c r="Y605" s="317">
        <f>VLOOKUP(AI601,TA!A:AB,16,0)</f>
        <v>50</v>
      </c>
      <c r="Z605" s="318"/>
      <c r="AA605" s="168">
        <f t="shared" si="47"/>
        <v>50</v>
      </c>
      <c r="AB605" s="293" t="s">
        <v>140</v>
      </c>
      <c r="AC605" s="294"/>
      <c r="AD605" s="294"/>
      <c r="AE605" s="294"/>
      <c r="AF605" s="294"/>
      <c r="AG605" s="295"/>
      <c r="AH605" s="168">
        <v>4</v>
      </c>
    </row>
    <row r="606" spans="1:35" ht="21" customHeight="1">
      <c r="A606" s="161">
        <v>3</v>
      </c>
      <c r="B606" s="288" t="s">
        <v>34</v>
      </c>
      <c r="C606" s="289"/>
      <c r="D606" s="289"/>
      <c r="E606" s="289"/>
      <c r="F606" s="289"/>
      <c r="G606" s="290"/>
      <c r="H606" s="317">
        <f>VLOOKUP(AI601,TA!A:AB,6,0)</f>
        <v>56</v>
      </c>
      <c r="I606" s="318"/>
      <c r="J606" s="168">
        <f t="shared" si="48"/>
        <v>56</v>
      </c>
      <c r="K606" s="293" t="s">
        <v>35</v>
      </c>
      <c r="L606" s="294"/>
      <c r="M606" s="294"/>
      <c r="N606" s="294"/>
      <c r="O606" s="294"/>
      <c r="P606" s="295"/>
      <c r="Q606" s="168">
        <v>3</v>
      </c>
      <c r="R606" s="161">
        <v>5</v>
      </c>
      <c r="S606" s="288" t="s">
        <v>22</v>
      </c>
      <c r="T606" s="289"/>
      <c r="U606" s="289"/>
      <c r="V606" s="289"/>
      <c r="W606" s="289"/>
      <c r="X606" s="290"/>
      <c r="Y606" s="317">
        <f>VLOOKUP(AI601,TA!A:AB,17,0)</f>
        <v>99</v>
      </c>
      <c r="Z606" s="318"/>
      <c r="AA606" s="168">
        <f>Y606</f>
        <v>99</v>
      </c>
      <c r="AB606" s="293" t="s">
        <v>23</v>
      </c>
      <c r="AC606" s="294"/>
      <c r="AD606" s="294"/>
      <c r="AE606" s="294"/>
      <c r="AF606" s="294"/>
      <c r="AG606" s="295"/>
      <c r="AH606" s="168">
        <v>5</v>
      </c>
    </row>
    <row r="607" spans="1:35" ht="21" customHeight="1">
      <c r="A607" s="161">
        <v>4</v>
      </c>
      <c r="B607" s="324" t="s">
        <v>126</v>
      </c>
      <c r="C607" s="324"/>
      <c r="D607" s="324"/>
      <c r="E607" s="324"/>
      <c r="F607" s="324"/>
      <c r="G607" s="324"/>
      <c r="H607" s="317">
        <f>VLOOKUP(AI601,TA!A:AB,7,0)</f>
        <v>80</v>
      </c>
      <c r="I607" s="318"/>
      <c r="J607" s="168">
        <f t="shared" si="48"/>
        <v>80</v>
      </c>
      <c r="K607" s="293" t="s">
        <v>127</v>
      </c>
      <c r="L607" s="294"/>
      <c r="M607" s="294"/>
      <c r="N607" s="294"/>
      <c r="O607" s="294"/>
      <c r="P607" s="295"/>
      <c r="Q607" s="168">
        <v>4</v>
      </c>
      <c r="R607" s="161">
        <v>6</v>
      </c>
      <c r="S607" s="288" t="s">
        <v>141</v>
      </c>
      <c r="T607" s="289"/>
      <c r="U607" s="289"/>
      <c r="V607" s="289"/>
      <c r="W607" s="289"/>
      <c r="X607" s="290"/>
      <c r="Y607" s="317">
        <f>VLOOKUP(AI601,TA!A:AB,18,0)</f>
        <v>60</v>
      </c>
      <c r="Z607" s="318"/>
      <c r="AA607" s="168">
        <f>Y607</f>
        <v>60</v>
      </c>
      <c r="AB607" s="293" t="s">
        <v>142</v>
      </c>
      <c r="AC607" s="294"/>
      <c r="AD607" s="294"/>
      <c r="AE607" s="294"/>
      <c r="AF607" s="294"/>
      <c r="AG607" s="295"/>
      <c r="AH607" s="168">
        <v>6</v>
      </c>
    </row>
    <row r="608" spans="1:35" ht="21" customHeight="1">
      <c r="A608" s="161">
        <v>5</v>
      </c>
      <c r="B608" s="324" t="s">
        <v>128</v>
      </c>
      <c r="C608" s="324"/>
      <c r="D608" s="324"/>
      <c r="E608" s="324"/>
      <c r="F608" s="324"/>
      <c r="G608" s="324"/>
      <c r="H608" s="317">
        <f>VLOOKUP(AI601,TA!A:AB,8,0)</f>
        <v>96</v>
      </c>
      <c r="I608" s="318"/>
      <c r="J608" s="168">
        <f t="shared" si="48"/>
        <v>96</v>
      </c>
      <c r="K608" s="293" t="s">
        <v>112</v>
      </c>
      <c r="L608" s="294"/>
      <c r="M608" s="294"/>
      <c r="N608" s="294"/>
      <c r="O608" s="294"/>
      <c r="P608" s="295"/>
      <c r="Q608" s="168">
        <v>5</v>
      </c>
      <c r="R608" s="161">
        <v>7</v>
      </c>
      <c r="S608" s="288" t="s">
        <v>143</v>
      </c>
      <c r="T608" s="289"/>
      <c r="U608" s="289"/>
      <c r="V608" s="289"/>
      <c r="W608" s="289"/>
      <c r="X608" s="290"/>
      <c r="Y608" s="317">
        <f>VLOOKUP(AI601,TA!A:AB,19,0)</f>
        <v>80</v>
      </c>
      <c r="Z608" s="318"/>
      <c r="AA608" s="168">
        <f t="shared" si="47"/>
        <v>80</v>
      </c>
      <c r="AB608" s="293" t="s">
        <v>144</v>
      </c>
      <c r="AC608" s="294"/>
      <c r="AD608" s="294"/>
      <c r="AE608" s="294"/>
      <c r="AF608" s="294"/>
      <c r="AG608" s="295"/>
      <c r="AH608" s="168">
        <v>7</v>
      </c>
    </row>
    <row r="609" spans="1:34" ht="21" customHeight="1">
      <c r="A609" s="161">
        <v>6</v>
      </c>
      <c r="B609" s="288" t="s">
        <v>105</v>
      </c>
      <c r="C609" s="289"/>
      <c r="D609" s="289"/>
      <c r="E609" s="289"/>
      <c r="F609" s="289"/>
      <c r="G609" s="290"/>
      <c r="H609" s="317">
        <f>VLOOKUP(AI601,TA!A:AB,9,0)</f>
        <v>50</v>
      </c>
      <c r="I609" s="318"/>
      <c r="J609" s="168">
        <f t="shared" si="48"/>
        <v>50</v>
      </c>
      <c r="K609" s="293" t="s">
        <v>106</v>
      </c>
      <c r="L609" s="294"/>
      <c r="M609" s="294"/>
      <c r="N609" s="294"/>
      <c r="O609" s="294"/>
      <c r="P609" s="295"/>
      <c r="Q609" s="168">
        <v>6</v>
      </c>
      <c r="R609" s="299" t="s">
        <v>768</v>
      </c>
      <c r="S609" s="300"/>
      <c r="T609" s="300"/>
      <c r="U609" s="300"/>
      <c r="V609" s="301"/>
      <c r="W609" s="327" t="s">
        <v>28</v>
      </c>
      <c r="X609" s="328"/>
      <c r="Y609" s="328"/>
      <c r="Z609" s="328"/>
      <c r="AA609" s="328"/>
      <c r="AB609" s="329"/>
      <c r="AC609" s="327" t="s">
        <v>29</v>
      </c>
      <c r="AD609" s="328"/>
      <c r="AE609" s="328"/>
      <c r="AF609" s="328"/>
      <c r="AG609" s="328"/>
      <c r="AH609" s="329"/>
    </row>
    <row r="610" spans="1:34" ht="21" customHeight="1">
      <c r="A610" s="161">
        <v>7</v>
      </c>
      <c r="B610" s="288" t="s">
        <v>789</v>
      </c>
      <c r="C610" s="289"/>
      <c r="D610" s="289"/>
      <c r="E610" s="289"/>
      <c r="F610" s="289"/>
      <c r="G610" s="290"/>
      <c r="H610" s="317">
        <f>VLOOKUP(AI601,TA!A:AB,10,0)</f>
        <v>99</v>
      </c>
      <c r="I610" s="318"/>
      <c r="J610" s="168">
        <f t="shared" si="48"/>
        <v>99</v>
      </c>
      <c r="K610" s="293" t="s">
        <v>23</v>
      </c>
      <c r="L610" s="294"/>
      <c r="M610" s="294"/>
      <c r="N610" s="294"/>
      <c r="O610" s="294"/>
      <c r="P610" s="295"/>
      <c r="Q610" s="168">
        <v>7</v>
      </c>
      <c r="R610" s="319" t="s">
        <v>32</v>
      </c>
      <c r="S610" s="320"/>
      <c r="T610" s="320"/>
      <c r="U610" s="180" t="s">
        <v>1</v>
      </c>
      <c r="V610" s="181" t="str">
        <f>VLOOKUP(AI601,TA!A:AB,23,0)</f>
        <v>B</v>
      </c>
      <c r="W610" s="321" t="s">
        <v>33</v>
      </c>
      <c r="X610" s="322"/>
      <c r="Y610" s="322"/>
      <c r="Z610" s="322"/>
      <c r="AA610" s="322"/>
      <c r="AB610" s="323"/>
      <c r="AC610" s="296" t="s">
        <v>33</v>
      </c>
      <c r="AD610" s="297"/>
      <c r="AE610" s="297"/>
      <c r="AF610" s="297"/>
      <c r="AG610" s="297"/>
      <c r="AH610" s="298"/>
    </row>
    <row r="611" spans="1:34" ht="21" customHeight="1">
      <c r="A611" s="161">
        <v>8</v>
      </c>
      <c r="B611" s="324" t="s">
        <v>139</v>
      </c>
      <c r="C611" s="324"/>
      <c r="D611" s="324"/>
      <c r="E611" s="324"/>
      <c r="F611" s="324"/>
      <c r="G611" s="324"/>
      <c r="H611" s="317">
        <f>VLOOKUP(AI601,TA!A:AB,11,0)</f>
        <v>40</v>
      </c>
      <c r="I611" s="318"/>
      <c r="J611" s="168">
        <f t="shared" si="48"/>
        <v>40</v>
      </c>
      <c r="K611" s="293" t="s">
        <v>140</v>
      </c>
      <c r="L611" s="294"/>
      <c r="M611" s="294"/>
      <c r="N611" s="294"/>
      <c r="O611" s="294"/>
      <c r="P611" s="295"/>
      <c r="Q611" s="168">
        <v>8</v>
      </c>
      <c r="R611" s="319" t="s">
        <v>36</v>
      </c>
      <c r="S611" s="320"/>
      <c r="T611" s="320"/>
      <c r="U611" s="180" t="s">
        <v>1</v>
      </c>
      <c r="V611" s="181" t="str">
        <f>VLOOKUP(AI601,TA!A:AB,24,0)</f>
        <v>B</v>
      </c>
      <c r="W611" s="13"/>
      <c r="X611" s="14"/>
      <c r="Y611" s="14"/>
      <c r="Z611" s="14"/>
      <c r="AA611" s="14"/>
      <c r="AB611" s="15"/>
      <c r="AC611" s="16"/>
      <c r="AH611" s="17"/>
    </row>
    <row r="612" spans="1:34" ht="21" customHeight="1">
      <c r="A612" s="161">
        <v>9</v>
      </c>
      <c r="B612" s="324" t="s">
        <v>143</v>
      </c>
      <c r="C612" s="324"/>
      <c r="D612" s="324"/>
      <c r="E612" s="324"/>
      <c r="F612" s="324"/>
      <c r="G612" s="324"/>
      <c r="H612" s="317">
        <f>VLOOKUP(AI601,TA!A:AB,12,0)</f>
        <v>50</v>
      </c>
      <c r="I612" s="318"/>
      <c r="J612" s="168">
        <f>H612</f>
        <v>50</v>
      </c>
      <c r="K612" s="293" t="s">
        <v>144</v>
      </c>
      <c r="L612" s="294"/>
      <c r="M612" s="294"/>
      <c r="N612" s="294"/>
      <c r="O612" s="294"/>
      <c r="P612" s="295"/>
      <c r="Q612" s="168">
        <v>9</v>
      </c>
      <c r="R612" s="325" t="s">
        <v>39</v>
      </c>
      <c r="S612" s="326"/>
      <c r="T612" s="326"/>
      <c r="U612" s="182" t="s">
        <v>1</v>
      </c>
      <c r="V612" s="183" t="str">
        <f>VLOOKUP(AI601,TA!A:AB,25,0)</f>
        <v>B</v>
      </c>
      <c r="W612" s="16"/>
      <c r="AB612" s="17"/>
      <c r="AC612" s="16"/>
      <c r="AH612" s="17"/>
    </row>
    <row r="613" spans="1:34" ht="21" customHeight="1">
      <c r="A613" s="288" t="s">
        <v>62</v>
      </c>
      <c r="B613" s="289"/>
      <c r="C613" s="289"/>
      <c r="D613" s="289"/>
      <c r="E613" s="289"/>
      <c r="F613" s="289"/>
      <c r="G613" s="290"/>
      <c r="H613" s="317">
        <f>VLOOKUP(AI601,TA!A:AB,20,0)</f>
        <v>1086</v>
      </c>
      <c r="I613" s="318"/>
      <c r="J613" s="168">
        <f t="shared" ref="J613:J614" si="49">H613</f>
        <v>1086</v>
      </c>
      <c r="K613" s="293" t="s">
        <v>63</v>
      </c>
      <c r="L613" s="294"/>
      <c r="M613" s="294"/>
      <c r="N613" s="294"/>
      <c r="O613" s="294"/>
      <c r="P613" s="294"/>
      <c r="Q613" s="295"/>
      <c r="R613" s="327" t="s">
        <v>42</v>
      </c>
      <c r="S613" s="328"/>
      <c r="T613" s="328"/>
      <c r="U613" s="328"/>
      <c r="V613" s="329"/>
      <c r="W613" s="16"/>
      <c r="AB613" s="17"/>
      <c r="AC613" s="307" t="str">
        <f>DASHBOARD!H34</f>
        <v>Mu'allim Deva</v>
      </c>
      <c r="AD613" s="308"/>
      <c r="AE613" s="308"/>
      <c r="AF613" s="308"/>
      <c r="AG613" s="308"/>
      <c r="AH613" s="309"/>
    </row>
    <row r="614" spans="1:34" ht="21" customHeight="1">
      <c r="A614" s="288" t="s">
        <v>65</v>
      </c>
      <c r="B614" s="289"/>
      <c r="C614" s="289"/>
      <c r="D614" s="289"/>
      <c r="E614" s="289"/>
      <c r="F614" s="289"/>
      <c r="G614" s="290"/>
      <c r="H614" s="291">
        <f>VLOOKUP(AI601,TA!A:AB,21,0)</f>
        <v>67.875</v>
      </c>
      <c r="I614" s="292"/>
      <c r="J614" s="172">
        <f t="shared" si="49"/>
        <v>67.875</v>
      </c>
      <c r="K614" s="293" t="s">
        <v>66</v>
      </c>
      <c r="L614" s="294"/>
      <c r="M614" s="294"/>
      <c r="N614" s="294"/>
      <c r="O614" s="294"/>
      <c r="P614" s="294"/>
      <c r="Q614" s="295"/>
      <c r="R614" s="296" t="s">
        <v>43</v>
      </c>
      <c r="S614" s="297"/>
      <c r="T614" s="297"/>
      <c r="U614" s="297"/>
      <c r="V614" s="298"/>
      <c r="W614" s="16"/>
      <c r="AB614" s="17"/>
      <c r="AC614" s="299" t="s">
        <v>44</v>
      </c>
      <c r="AD614" s="300"/>
      <c r="AE614" s="300"/>
      <c r="AF614" s="300"/>
      <c r="AG614" s="300"/>
      <c r="AH614" s="301"/>
    </row>
    <row r="615" spans="1:34" ht="21" customHeight="1">
      <c r="A615" s="288" t="s">
        <v>67</v>
      </c>
      <c r="B615" s="289"/>
      <c r="C615" s="289"/>
      <c r="D615" s="289"/>
      <c r="E615" s="199" t="s">
        <v>68</v>
      </c>
      <c r="F615" s="155" t="s">
        <v>69</v>
      </c>
      <c r="G615" s="164">
        <f>COUNT(TA!B4:B27)</f>
        <v>24</v>
      </c>
      <c r="H615" s="164"/>
      <c r="I615" s="165"/>
      <c r="J615" s="173" t="s">
        <v>70</v>
      </c>
      <c r="K615" s="174"/>
      <c r="L615" s="175">
        <f>G615</f>
        <v>24</v>
      </c>
      <c r="M615" s="302" t="s">
        <v>71</v>
      </c>
      <c r="N615" s="302"/>
      <c r="O615" s="302"/>
      <c r="P615" s="176" t="str">
        <f>E615</f>
        <v>-</v>
      </c>
      <c r="Q615" s="177" t="s">
        <v>72</v>
      </c>
      <c r="R615" s="184" t="s">
        <v>47</v>
      </c>
      <c r="S615" s="185"/>
      <c r="T615" s="180" t="s">
        <v>1</v>
      </c>
      <c r="U615" s="180">
        <f>VLOOKUP(AI601,TA!A:AB,26,0)</f>
        <v>0</v>
      </c>
      <c r="V615" s="181" t="s">
        <v>48</v>
      </c>
      <c r="W615" s="16"/>
      <c r="AB615" s="17"/>
      <c r="AC615" s="16"/>
      <c r="AH615" s="17"/>
    </row>
    <row r="616" spans="1:34" ht="21" customHeight="1">
      <c r="A616" s="303" t="s">
        <v>73</v>
      </c>
      <c r="B616" s="304"/>
      <c r="C616" s="304"/>
      <c r="D616" s="304"/>
      <c r="E616" s="304"/>
      <c r="F616" s="304"/>
      <c r="G616" s="304"/>
      <c r="H616" s="304"/>
      <c r="I616" s="7"/>
      <c r="J616" s="166"/>
      <c r="K616" s="195"/>
      <c r="L616" s="305" t="s">
        <v>74</v>
      </c>
      <c r="M616" s="305"/>
      <c r="N616" s="305"/>
      <c r="O616" s="305"/>
      <c r="P616" s="305"/>
      <c r="Q616" s="306"/>
      <c r="R616" s="184" t="s">
        <v>51</v>
      </c>
      <c r="S616" s="185"/>
      <c r="T616" s="180" t="s">
        <v>1</v>
      </c>
      <c r="U616" s="180">
        <f>VLOOKUP(AI601,TA!A:AB,27,0)</f>
        <v>0</v>
      </c>
      <c r="V616" s="181" t="s">
        <v>48</v>
      </c>
      <c r="W616" s="21"/>
      <c r="X616" s="22"/>
      <c r="Y616" s="22"/>
      <c r="Z616" s="22"/>
      <c r="AA616" s="22"/>
      <c r="AB616" s="23"/>
      <c r="AC616" s="16"/>
      <c r="AH616" s="17"/>
    </row>
    <row r="617" spans="1:34" ht="21" customHeight="1">
      <c r="R617" s="186" t="s">
        <v>53</v>
      </c>
      <c r="S617" s="187"/>
      <c r="T617" s="182" t="s">
        <v>1</v>
      </c>
      <c r="U617" s="182">
        <f>VLOOKUP(AI601,TA!A:AB,28,0)</f>
        <v>0</v>
      </c>
      <c r="V617" s="183" t="s">
        <v>48</v>
      </c>
      <c r="W617" s="188"/>
      <c r="X617" s="189"/>
      <c r="Y617" s="189"/>
      <c r="Z617" s="189"/>
      <c r="AA617" s="189"/>
      <c r="AB617" s="190"/>
      <c r="AC617" s="307" t="s">
        <v>770</v>
      </c>
      <c r="AD617" s="308"/>
      <c r="AE617" s="308"/>
      <c r="AF617" s="308"/>
      <c r="AG617" s="308"/>
      <c r="AH617" s="309"/>
    </row>
    <row r="618" spans="1:34" ht="21" customHeight="1">
      <c r="R618" s="16"/>
      <c r="U618" t="s">
        <v>57</v>
      </c>
      <c r="AB618" s="310" t="str">
        <f>DASHBOARD!$H$13</f>
        <v>Sumedang, 05 September 2025</v>
      </c>
      <c r="AC618" s="310"/>
      <c r="AD618" s="310"/>
      <c r="AE618" s="310"/>
      <c r="AF618" s="310"/>
      <c r="AG618" s="310"/>
      <c r="AH618" s="311"/>
    </row>
    <row r="619" spans="1:34" ht="21" customHeight="1">
      <c r="R619" s="312" t="s">
        <v>60</v>
      </c>
      <c r="S619" s="310"/>
      <c r="T619" s="310"/>
      <c r="U619" s="310"/>
      <c r="V619" s="310"/>
      <c r="W619" s="310"/>
      <c r="X619" s="310"/>
      <c r="Y619" s="310"/>
      <c r="Z619" s="310"/>
      <c r="AA619" s="310"/>
      <c r="AB619" s="313" t="s">
        <v>61</v>
      </c>
      <c r="AC619" s="313"/>
      <c r="AD619" s="313"/>
      <c r="AE619" s="313"/>
      <c r="AF619" s="313"/>
      <c r="AG619" s="313"/>
      <c r="AH619" s="314"/>
    </row>
    <row r="620" spans="1:34" ht="21" customHeight="1">
      <c r="R620" s="33"/>
      <c r="S620" s="34"/>
      <c r="T620" s="34"/>
      <c r="U620" s="34"/>
      <c r="V620" s="34"/>
      <c r="W620" s="34"/>
      <c r="X620" s="34"/>
      <c r="Y620" s="34"/>
      <c r="Z620" s="34"/>
      <c r="AA620" s="34"/>
      <c r="AB620" s="297" t="s">
        <v>64</v>
      </c>
      <c r="AC620" s="297"/>
      <c r="AD620" s="297"/>
      <c r="AE620" s="297"/>
      <c r="AF620" s="297"/>
      <c r="AG620" s="297"/>
      <c r="AH620" s="298"/>
    </row>
    <row r="621" spans="1:34" ht="21" customHeight="1">
      <c r="R621" s="33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5"/>
    </row>
    <row r="622" spans="1:34" ht="21" customHeight="1">
      <c r="R622" s="33"/>
      <c r="S622" s="34"/>
      <c r="T622" s="34"/>
      <c r="U622" s="34"/>
      <c r="V622" s="34"/>
      <c r="W622" s="191"/>
      <c r="X622" s="191"/>
      <c r="Y622" s="191"/>
      <c r="Z622" s="191"/>
      <c r="AA622" s="191"/>
      <c r="AB622" s="34"/>
      <c r="AC622" s="34"/>
      <c r="AD622" s="34"/>
      <c r="AE622" s="34"/>
      <c r="AF622" s="34"/>
      <c r="AG622" s="34"/>
      <c r="AH622" s="35"/>
    </row>
    <row r="623" spans="1:34" ht="21" customHeight="1">
      <c r="R623" s="312"/>
      <c r="S623" s="310"/>
      <c r="T623" s="310"/>
      <c r="U623" s="310"/>
      <c r="V623" s="310"/>
      <c r="W623" s="310"/>
      <c r="X623" s="310"/>
      <c r="Y623" s="310"/>
      <c r="Z623" s="310"/>
      <c r="AA623" s="310"/>
      <c r="AB623" s="34"/>
      <c r="AC623" s="34"/>
      <c r="AD623" s="34"/>
      <c r="AE623" s="34"/>
      <c r="AF623" s="34"/>
      <c r="AG623" s="34"/>
      <c r="AH623" s="35"/>
    </row>
    <row r="624" spans="1:34" ht="21" customHeight="1">
      <c r="R624" s="315" t="s">
        <v>766</v>
      </c>
      <c r="S624" s="316"/>
      <c r="T624" s="316"/>
      <c r="U624" s="316"/>
      <c r="V624" s="316"/>
      <c r="W624" s="316"/>
      <c r="X624" s="316"/>
      <c r="Y624" s="316"/>
      <c r="Z624" s="316"/>
      <c r="AA624" s="316"/>
      <c r="AB624" s="308" t="s">
        <v>767</v>
      </c>
      <c r="AC624" s="308"/>
      <c r="AD624" s="308"/>
      <c r="AE624" s="308"/>
      <c r="AF624" s="308"/>
      <c r="AG624" s="308"/>
      <c r="AH624" s="309"/>
    </row>
    <row r="627" spans="1:35" ht="21" customHeight="1">
      <c r="A627" s="343" t="s">
        <v>0</v>
      </c>
      <c r="B627" s="344"/>
      <c r="C627" s="153" t="s">
        <v>1</v>
      </c>
      <c r="D627" s="344" t="str">
        <f>VLOOKUP(AI630,TB!A:Z,3,0)</f>
        <v>Arfa Mahardhika Mustolih</v>
      </c>
      <c r="E627" s="344"/>
      <c r="F627" s="344"/>
      <c r="G627" s="344"/>
      <c r="H627" s="344"/>
      <c r="I627" s="344"/>
      <c r="J627" s="344"/>
      <c r="K627" s="344"/>
      <c r="L627" s="344"/>
      <c r="M627" s="344"/>
      <c r="N627" s="344"/>
      <c r="O627" s="344"/>
      <c r="P627" s="344"/>
      <c r="Q627" s="345"/>
      <c r="R627" s="343" t="s">
        <v>0</v>
      </c>
      <c r="S627" s="344"/>
      <c r="T627" s="153" t="s">
        <v>1</v>
      </c>
      <c r="U627" s="344" t="str">
        <f>D627</f>
        <v>Arfa Mahardhika Mustolih</v>
      </c>
      <c r="V627" s="344"/>
      <c r="W627" s="344"/>
      <c r="X627" s="344"/>
      <c r="Y627" s="344"/>
      <c r="Z627" s="344"/>
      <c r="AA627" s="344"/>
      <c r="AB627" s="344"/>
      <c r="AC627" s="344"/>
      <c r="AD627" s="344"/>
      <c r="AE627" s="344"/>
      <c r="AF627" s="344"/>
      <c r="AG627" s="344"/>
      <c r="AH627" s="345"/>
    </row>
    <row r="628" spans="1:35" ht="21" customHeight="1">
      <c r="A628" s="346" t="s">
        <v>2</v>
      </c>
      <c r="B628" s="347"/>
      <c r="C628" s="154" t="s">
        <v>1</v>
      </c>
      <c r="D628" s="347" t="s">
        <v>146</v>
      </c>
      <c r="E628" s="347"/>
      <c r="F628" s="347"/>
      <c r="G628" s="347"/>
      <c r="H628" s="347"/>
      <c r="I628" s="347"/>
      <c r="J628" s="159" t="s">
        <v>3</v>
      </c>
      <c r="K628" s="347">
        <f>VLOOKUP(AI630,TB!A:Z,2,0)</f>
        <v>25260055</v>
      </c>
      <c r="L628" s="347"/>
      <c r="M628" s="347"/>
      <c r="N628" s="347"/>
      <c r="O628" s="347"/>
      <c r="P628" s="347"/>
      <c r="Q628" s="348"/>
      <c r="R628" s="346" t="s">
        <v>2</v>
      </c>
      <c r="S628" s="347"/>
      <c r="T628" s="154" t="s">
        <v>1</v>
      </c>
      <c r="U628" s="347" t="str">
        <f>D628</f>
        <v>Tamhidi B</v>
      </c>
      <c r="V628" s="347"/>
      <c r="W628" s="347"/>
      <c r="X628" s="347"/>
      <c r="Y628" s="347"/>
      <c r="Z628" s="347"/>
      <c r="AA628" s="159" t="s">
        <v>3</v>
      </c>
      <c r="AB628" s="347">
        <f>K628</f>
        <v>25260055</v>
      </c>
      <c r="AC628" s="347"/>
      <c r="AD628" s="347"/>
      <c r="AE628" s="347"/>
      <c r="AF628" s="347"/>
      <c r="AG628" s="347"/>
      <c r="AH628" s="348"/>
    </row>
    <row r="629" spans="1:35" ht="21" customHeight="1">
      <c r="A629" s="343" t="s">
        <v>4</v>
      </c>
      <c r="B629" s="344"/>
      <c r="C629" s="153" t="s">
        <v>1</v>
      </c>
      <c r="D629" s="304" t="str">
        <f>DASHBOARD!$H$11</f>
        <v>2025/2026</v>
      </c>
      <c r="E629" s="304"/>
      <c r="F629" s="304"/>
      <c r="G629" s="304"/>
      <c r="H629" s="304"/>
      <c r="I629" s="304"/>
      <c r="J629" s="304"/>
      <c r="K629" s="304"/>
      <c r="L629" s="304"/>
      <c r="M629" s="304"/>
      <c r="N629" s="304"/>
      <c r="O629" s="304"/>
      <c r="P629" s="304"/>
      <c r="Q629" s="349"/>
      <c r="R629" s="330" t="s">
        <v>5</v>
      </c>
      <c r="S629" s="331"/>
      <c r="T629" s="331"/>
      <c r="U629" s="331"/>
      <c r="V629" s="331"/>
      <c r="W629" s="331"/>
      <c r="X629" s="332"/>
      <c r="Y629" s="333" t="s">
        <v>6</v>
      </c>
      <c r="Z629" s="334"/>
      <c r="AA629" s="337" t="s">
        <v>7</v>
      </c>
      <c r="AB629" s="330" t="s">
        <v>8</v>
      </c>
      <c r="AC629" s="331"/>
      <c r="AD629" s="331"/>
      <c r="AE629" s="331"/>
      <c r="AF629" s="331"/>
      <c r="AG629" s="331"/>
      <c r="AH629" s="332"/>
      <c r="AI629" s="51" t="s">
        <v>788</v>
      </c>
    </row>
    <row r="630" spans="1:35" ht="21" customHeight="1">
      <c r="A630" s="303" t="s">
        <v>10</v>
      </c>
      <c r="B630" s="304"/>
      <c r="C630" s="160" t="s">
        <v>1</v>
      </c>
      <c r="D630" s="350" t="str">
        <f>DASHBOARD!$H$12</f>
        <v>1 (Satu)</v>
      </c>
      <c r="E630" s="350"/>
      <c r="F630" s="350"/>
      <c r="G630" s="350"/>
      <c r="H630" s="350"/>
      <c r="I630" s="351"/>
      <c r="J630" s="352" t="str">
        <f>DASHBOARD!$I$12</f>
        <v>الأول</v>
      </c>
      <c r="K630" s="353"/>
      <c r="L630" s="353"/>
      <c r="M630" s="353"/>
      <c r="N630" s="160" t="s">
        <v>1</v>
      </c>
      <c r="O630" s="354" t="s">
        <v>11</v>
      </c>
      <c r="P630" s="354"/>
      <c r="Q630" s="355"/>
      <c r="R630" s="339" t="s">
        <v>12</v>
      </c>
      <c r="S630" s="340"/>
      <c r="T630" s="340"/>
      <c r="U630" s="340"/>
      <c r="V630" s="340"/>
      <c r="W630" s="340"/>
      <c r="X630" s="341"/>
      <c r="Y630" s="335"/>
      <c r="Z630" s="336"/>
      <c r="AA630" s="338"/>
      <c r="AB630" s="339" t="s">
        <v>13</v>
      </c>
      <c r="AC630" s="340"/>
      <c r="AD630" s="340"/>
      <c r="AE630" s="340"/>
      <c r="AF630" s="340"/>
      <c r="AG630" s="340"/>
      <c r="AH630" s="341"/>
      <c r="AI630" s="51">
        <v>1</v>
      </c>
    </row>
    <row r="631" spans="1:35" ht="21" customHeight="1">
      <c r="A631" s="330" t="s">
        <v>5</v>
      </c>
      <c r="B631" s="331"/>
      <c r="C631" s="331"/>
      <c r="D631" s="331"/>
      <c r="E631" s="331"/>
      <c r="F631" s="331"/>
      <c r="G631" s="332"/>
      <c r="H631" s="333" t="s">
        <v>6</v>
      </c>
      <c r="I631" s="334"/>
      <c r="J631" s="337" t="s">
        <v>7</v>
      </c>
      <c r="K631" s="330" t="s">
        <v>8</v>
      </c>
      <c r="L631" s="331"/>
      <c r="M631" s="331"/>
      <c r="N631" s="331"/>
      <c r="O631" s="331"/>
      <c r="P631" s="331"/>
      <c r="Q631" s="332"/>
      <c r="R631" s="161">
        <v>1</v>
      </c>
      <c r="S631" s="158" t="s">
        <v>34</v>
      </c>
      <c r="T631" s="155"/>
      <c r="U631" s="155"/>
      <c r="V631" s="155"/>
      <c r="W631" s="155"/>
      <c r="X631" s="162"/>
      <c r="Y631" s="317">
        <f>VLOOKUP(AI630,TB!A:Z,13,0)</f>
        <v>99</v>
      </c>
      <c r="Z631" s="318"/>
      <c r="AA631" s="168">
        <f t="shared" ref="AA631:AA634" si="50">Y631</f>
        <v>99</v>
      </c>
      <c r="AB631" s="342"/>
      <c r="AC631" s="342"/>
      <c r="AD631" s="342"/>
      <c r="AE631" s="342"/>
      <c r="AF631" s="342"/>
      <c r="AG631" s="342"/>
      <c r="AH631" s="168">
        <v>1</v>
      </c>
    </row>
    <row r="632" spans="1:35" ht="21" customHeight="1">
      <c r="A632" s="339" t="s">
        <v>16</v>
      </c>
      <c r="B632" s="340"/>
      <c r="C632" s="340"/>
      <c r="D632" s="340"/>
      <c r="E632" s="340"/>
      <c r="F632" s="340"/>
      <c r="G632" s="341"/>
      <c r="H632" s="335"/>
      <c r="I632" s="336"/>
      <c r="J632" s="338"/>
      <c r="K632" s="339" t="s">
        <v>17</v>
      </c>
      <c r="L632" s="340"/>
      <c r="M632" s="340"/>
      <c r="N632" s="340"/>
      <c r="O632" s="340"/>
      <c r="P632" s="340"/>
      <c r="Q632" s="341"/>
      <c r="R632" s="161">
        <v>2</v>
      </c>
      <c r="S632" s="158" t="s">
        <v>137</v>
      </c>
      <c r="T632" s="155"/>
      <c r="U632" s="155"/>
      <c r="V632" s="155"/>
      <c r="W632" s="155"/>
      <c r="X632" s="162"/>
      <c r="Y632" s="317">
        <f>VLOOKUP(AI630,TB!A:Z,14,0)</f>
        <v>95</v>
      </c>
      <c r="Z632" s="318"/>
      <c r="AA632" s="168">
        <f t="shared" si="50"/>
        <v>95</v>
      </c>
      <c r="AB632" s="293" t="s">
        <v>35</v>
      </c>
      <c r="AC632" s="294"/>
      <c r="AD632" s="294"/>
      <c r="AE632" s="294"/>
      <c r="AF632" s="294"/>
      <c r="AG632" s="295"/>
      <c r="AH632" s="168">
        <v>2</v>
      </c>
    </row>
    <row r="633" spans="1:35" ht="21" customHeight="1">
      <c r="A633" s="161">
        <v>1</v>
      </c>
      <c r="B633" s="288" t="s">
        <v>118</v>
      </c>
      <c r="C633" s="289"/>
      <c r="D633" s="289"/>
      <c r="E633" s="289"/>
      <c r="F633" s="289"/>
      <c r="G633" s="290"/>
      <c r="H633" s="317">
        <f>VLOOKUP(AI630,TB!A:Z,4,0)</f>
        <v>99</v>
      </c>
      <c r="I633" s="318"/>
      <c r="J633" s="168">
        <f t="shared" ref="J633:J640" si="51">H633</f>
        <v>99</v>
      </c>
      <c r="K633" s="342" t="s">
        <v>119</v>
      </c>
      <c r="L633" s="342"/>
      <c r="M633" s="342"/>
      <c r="N633" s="342"/>
      <c r="O633" s="342"/>
      <c r="P633" s="342"/>
      <c r="Q633" s="168">
        <v>1</v>
      </c>
      <c r="R633" s="161">
        <v>3</v>
      </c>
      <c r="S633" s="158" t="s">
        <v>139</v>
      </c>
      <c r="T633" s="155"/>
      <c r="U633" s="155"/>
      <c r="V633" s="155"/>
      <c r="W633" s="155"/>
      <c r="X633" s="162"/>
      <c r="Y633" s="317">
        <f>VLOOKUP(AI630,TB!A:Z,15,0)</f>
        <v>99</v>
      </c>
      <c r="Z633" s="318"/>
      <c r="AA633" s="168">
        <f t="shared" si="50"/>
        <v>99</v>
      </c>
      <c r="AB633" s="293" t="s">
        <v>138</v>
      </c>
      <c r="AC633" s="294"/>
      <c r="AD633" s="294"/>
      <c r="AE633" s="294"/>
      <c r="AF633" s="294"/>
      <c r="AG633" s="295"/>
      <c r="AH633" s="168">
        <v>3</v>
      </c>
    </row>
    <row r="634" spans="1:35" ht="21" customHeight="1">
      <c r="A634" s="161">
        <v>2</v>
      </c>
      <c r="B634" s="288" t="s">
        <v>55</v>
      </c>
      <c r="C634" s="289"/>
      <c r="D634" s="289"/>
      <c r="E634" s="289"/>
      <c r="F634" s="289"/>
      <c r="G634" s="290"/>
      <c r="H634" s="317">
        <f>VLOOKUP(AI630,TB!A:Z,5,0)</f>
        <v>99</v>
      </c>
      <c r="I634" s="318"/>
      <c r="J634" s="168">
        <f t="shared" si="51"/>
        <v>99</v>
      </c>
      <c r="K634" s="342" t="s">
        <v>56</v>
      </c>
      <c r="L634" s="342"/>
      <c r="M634" s="342"/>
      <c r="N634" s="342"/>
      <c r="O634" s="342"/>
      <c r="P634" s="342"/>
      <c r="Q634" s="168">
        <v>2</v>
      </c>
      <c r="R634" s="161">
        <v>4</v>
      </c>
      <c r="S634" s="288" t="s">
        <v>22</v>
      </c>
      <c r="T634" s="289"/>
      <c r="U634" s="289"/>
      <c r="V634" s="289"/>
      <c r="W634" s="289"/>
      <c r="X634" s="290"/>
      <c r="Y634" s="317">
        <f>VLOOKUP(AI630,TB!A:Z,16,0)</f>
        <v>95</v>
      </c>
      <c r="Z634" s="318"/>
      <c r="AA634" s="168">
        <f t="shared" si="50"/>
        <v>95</v>
      </c>
      <c r="AB634" s="293" t="s">
        <v>140</v>
      </c>
      <c r="AC634" s="294"/>
      <c r="AD634" s="294"/>
      <c r="AE634" s="294"/>
      <c r="AF634" s="294"/>
      <c r="AG634" s="295"/>
      <c r="AH634" s="168">
        <v>4</v>
      </c>
    </row>
    <row r="635" spans="1:35" ht="21" customHeight="1">
      <c r="A635" s="161">
        <v>3</v>
      </c>
      <c r="B635" s="288" t="s">
        <v>34</v>
      </c>
      <c r="C635" s="289"/>
      <c r="D635" s="289"/>
      <c r="E635" s="289"/>
      <c r="F635" s="289"/>
      <c r="G635" s="290"/>
      <c r="H635" s="317">
        <f>VLOOKUP(AI630,TB!A:Z,6,0)</f>
        <v>99</v>
      </c>
      <c r="I635" s="318"/>
      <c r="J635" s="168">
        <f t="shared" si="51"/>
        <v>99</v>
      </c>
      <c r="K635" s="293" t="s">
        <v>35</v>
      </c>
      <c r="L635" s="294"/>
      <c r="M635" s="294"/>
      <c r="N635" s="294"/>
      <c r="O635" s="294"/>
      <c r="P635" s="295"/>
      <c r="Q635" s="168">
        <v>3</v>
      </c>
      <c r="R635" s="161">
        <v>5</v>
      </c>
      <c r="S635" s="288" t="s">
        <v>143</v>
      </c>
      <c r="T635" s="289"/>
      <c r="U635" s="289"/>
      <c r="V635" s="289"/>
      <c r="W635" s="289"/>
      <c r="X635" s="290"/>
      <c r="Y635" s="317">
        <f>VLOOKUP(AI630,TB!A:Z,17,0)</f>
        <v>99</v>
      </c>
      <c r="Z635" s="318"/>
      <c r="AA635" s="168">
        <f>Y635</f>
        <v>99</v>
      </c>
      <c r="AB635" s="293" t="s">
        <v>144</v>
      </c>
      <c r="AC635" s="294"/>
      <c r="AD635" s="294"/>
      <c r="AE635" s="294"/>
      <c r="AF635" s="294"/>
      <c r="AG635" s="295"/>
      <c r="AH635" s="168">
        <v>5</v>
      </c>
    </row>
    <row r="636" spans="1:35" ht="21" customHeight="1">
      <c r="A636" s="161">
        <v>4</v>
      </c>
      <c r="B636" s="324" t="s">
        <v>126</v>
      </c>
      <c r="C636" s="324"/>
      <c r="D636" s="324"/>
      <c r="E636" s="324"/>
      <c r="F636" s="324"/>
      <c r="G636" s="324"/>
      <c r="H636" s="317">
        <f>VLOOKUP(AI630,TB!A:Z,7,0)</f>
        <v>99</v>
      </c>
      <c r="I636" s="318"/>
      <c r="J636" s="168">
        <f t="shared" si="51"/>
        <v>99</v>
      </c>
      <c r="K636" s="293" t="s">
        <v>127</v>
      </c>
      <c r="L636" s="294"/>
      <c r="M636" s="294"/>
      <c r="N636" s="294"/>
      <c r="O636" s="294"/>
      <c r="P636" s="295"/>
      <c r="Q636" s="168">
        <v>4</v>
      </c>
      <c r="R636" s="299" t="s">
        <v>768</v>
      </c>
      <c r="S636" s="300"/>
      <c r="T636" s="300"/>
      <c r="U636" s="300"/>
      <c r="V636" s="301"/>
      <c r="W636" s="327" t="s">
        <v>28</v>
      </c>
      <c r="X636" s="328"/>
      <c r="Y636" s="328"/>
      <c r="Z636" s="328"/>
      <c r="AA636" s="328"/>
      <c r="AB636" s="329"/>
      <c r="AC636" s="327" t="s">
        <v>29</v>
      </c>
      <c r="AD636" s="328"/>
      <c r="AE636" s="328"/>
      <c r="AF636" s="328"/>
      <c r="AG636" s="328"/>
      <c r="AH636" s="329"/>
    </row>
    <row r="637" spans="1:35" ht="21" customHeight="1">
      <c r="A637" s="161">
        <v>5</v>
      </c>
      <c r="B637" s="324" t="s">
        <v>128</v>
      </c>
      <c r="C637" s="324"/>
      <c r="D637" s="324"/>
      <c r="E637" s="324"/>
      <c r="F637" s="324"/>
      <c r="G637" s="324"/>
      <c r="H637" s="317">
        <f>VLOOKUP(AI630,TB!A:Z,8,0)</f>
        <v>99</v>
      </c>
      <c r="I637" s="318"/>
      <c r="J637" s="168">
        <f t="shared" si="51"/>
        <v>99</v>
      </c>
      <c r="K637" s="293" t="s">
        <v>112</v>
      </c>
      <c r="L637" s="294"/>
      <c r="M637" s="294"/>
      <c r="N637" s="294"/>
      <c r="O637" s="294"/>
      <c r="P637" s="295"/>
      <c r="Q637" s="168">
        <v>5</v>
      </c>
      <c r="R637" s="319" t="s">
        <v>32</v>
      </c>
      <c r="S637" s="320"/>
      <c r="T637" s="320"/>
      <c r="U637" s="180" t="s">
        <v>1</v>
      </c>
      <c r="V637" s="181" t="str">
        <f>VLOOKUP(AI630,TB!A:Z,21,0)</f>
        <v>B</v>
      </c>
      <c r="W637" s="321" t="s">
        <v>33</v>
      </c>
      <c r="X637" s="322"/>
      <c r="Y637" s="322"/>
      <c r="Z637" s="322"/>
      <c r="AA637" s="322"/>
      <c r="AB637" s="323"/>
      <c r="AC637" s="296" t="s">
        <v>33</v>
      </c>
      <c r="AD637" s="297"/>
      <c r="AE637" s="297"/>
      <c r="AF637" s="297"/>
      <c r="AG637" s="297"/>
      <c r="AH637" s="298"/>
    </row>
    <row r="638" spans="1:35" ht="21" customHeight="1">
      <c r="A638" s="161">
        <v>6</v>
      </c>
      <c r="B638" s="288" t="s">
        <v>105</v>
      </c>
      <c r="C638" s="289"/>
      <c r="D638" s="289"/>
      <c r="E638" s="289"/>
      <c r="F638" s="289"/>
      <c r="G638" s="290"/>
      <c r="H638" s="317">
        <f>VLOOKUP(AI630,TB!A:Z,9,0)</f>
        <v>99</v>
      </c>
      <c r="I638" s="318"/>
      <c r="J638" s="168">
        <f t="shared" si="51"/>
        <v>99</v>
      </c>
      <c r="K638" s="293" t="s">
        <v>106</v>
      </c>
      <c r="L638" s="294"/>
      <c r="M638" s="294"/>
      <c r="N638" s="294"/>
      <c r="O638" s="294"/>
      <c r="P638" s="295"/>
      <c r="Q638" s="168">
        <v>6</v>
      </c>
      <c r="R638" s="319" t="s">
        <v>36</v>
      </c>
      <c r="S638" s="320"/>
      <c r="T638" s="320"/>
      <c r="U638" s="180" t="s">
        <v>1</v>
      </c>
      <c r="V638" s="181" t="str">
        <f>VLOOKUP(AI630,TB!A:Z,22,0)</f>
        <v>B</v>
      </c>
      <c r="W638" s="13"/>
      <c r="X638" s="14"/>
      <c r="Y638" s="14"/>
      <c r="Z638" s="14"/>
      <c r="AA638" s="14"/>
      <c r="AB638" s="15"/>
      <c r="AC638" s="16"/>
      <c r="AH638" s="17"/>
    </row>
    <row r="639" spans="1:35" ht="21" customHeight="1">
      <c r="A639" s="161">
        <v>7</v>
      </c>
      <c r="B639" s="288" t="s">
        <v>789</v>
      </c>
      <c r="C639" s="289"/>
      <c r="D639" s="289"/>
      <c r="E639" s="289"/>
      <c r="F639" s="289"/>
      <c r="G639" s="290"/>
      <c r="H639" s="317">
        <f>VLOOKUP(AI630,TB!A:Z,10,0)</f>
        <v>99</v>
      </c>
      <c r="I639" s="318"/>
      <c r="J639" s="168">
        <f t="shared" si="51"/>
        <v>99</v>
      </c>
      <c r="K639" s="293" t="s">
        <v>23</v>
      </c>
      <c r="L639" s="294"/>
      <c r="M639" s="294"/>
      <c r="N639" s="294"/>
      <c r="O639" s="294"/>
      <c r="P639" s="295"/>
      <c r="Q639" s="168">
        <v>7</v>
      </c>
      <c r="R639" s="325" t="s">
        <v>39</v>
      </c>
      <c r="S639" s="326"/>
      <c r="T639" s="326"/>
      <c r="U639" s="182" t="s">
        <v>1</v>
      </c>
      <c r="V639" s="183" t="str">
        <f>VLOOKUP(AI630,TB!A:Z,23,0)</f>
        <v>B</v>
      </c>
      <c r="W639" s="16"/>
      <c r="AB639" s="17"/>
      <c r="AC639" s="16"/>
      <c r="AH639" s="17"/>
    </row>
    <row r="640" spans="1:35" ht="21" customHeight="1">
      <c r="A640" s="161">
        <v>8</v>
      </c>
      <c r="B640" s="324" t="s">
        <v>139</v>
      </c>
      <c r="C640" s="324"/>
      <c r="D640" s="324"/>
      <c r="E640" s="324"/>
      <c r="F640" s="324"/>
      <c r="G640" s="324"/>
      <c r="H640" s="317">
        <f>VLOOKUP(AI630,TB!A:Z,11,0)</f>
        <v>99</v>
      </c>
      <c r="I640" s="318"/>
      <c r="J640" s="168">
        <f t="shared" si="51"/>
        <v>99</v>
      </c>
      <c r="K640" s="293" t="s">
        <v>140</v>
      </c>
      <c r="L640" s="294"/>
      <c r="M640" s="294"/>
      <c r="N640" s="294"/>
      <c r="O640" s="294"/>
      <c r="P640" s="295"/>
      <c r="Q640" s="168">
        <v>8</v>
      </c>
      <c r="R640" s="327" t="s">
        <v>42</v>
      </c>
      <c r="S640" s="328"/>
      <c r="T640" s="328"/>
      <c r="U640" s="328"/>
      <c r="V640" s="329"/>
      <c r="W640" s="16"/>
      <c r="AB640" s="17"/>
      <c r="AC640" s="307" t="str">
        <f>DASHBOARD!H35</f>
        <v>Mu'allim Farhan S</v>
      </c>
      <c r="AD640" s="308"/>
      <c r="AE640" s="308"/>
      <c r="AF640" s="308"/>
      <c r="AG640" s="308"/>
      <c r="AH640" s="309"/>
    </row>
    <row r="641" spans="1:34" ht="21" customHeight="1">
      <c r="A641" s="161">
        <v>9</v>
      </c>
      <c r="B641" s="324" t="s">
        <v>143</v>
      </c>
      <c r="C641" s="324"/>
      <c r="D641" s="324"/>
      <c r="E641" s="324"/>
      <c r="F641" s="324"/>
      <c r="G641" s="324"/>
      <c r="H641" s="317">
        <f>VLOOKUP(AI630,TB!A:Z,12,0)</f>
        <v>99</v>
      </c>
      <c r="I641" s="318"/>
      <c r="J641" s="168">
        <f>H641</f>
        <v>99</v>
      </c>
      <c r="K641" s="293" t="s">
        <v>144</v>
      </c>
      <c r="L641" s="294"/>
      <c r="M641" s="294"/>
      <c r="N641" s="294"/>
      <c r="O641" s="294"/>
      <c r="P641" s="295"/>
      <c r="Q641" s="168">
        <v>9</v>
      </c>
      <c r="R641" s="296" t="s">
        <v>43</v>
      </c>
      <c r="S641" s="297"/>
      <c r="T641" s="297"/>
      <c r="U641" s="297"/>
      <c r="V641" s="298"/>
      <c r="W641" s="16"/>
      <c r="AB641" s="17"/>
      <c r="AC641" s="299" t="s">
        <v>44</v>
      </c>
      <c r="AD641" s="300"/>
      <c r="AE641" s="300"/>
      <c r="AF641" s="300"/>
      <c r="AG641" s="300"/>
      <c r="AH641" s="301"/>
    </row>
    <row r="642" spans="1:34" ht="21" customHeight="1">
      <c r="A642" s="288" t="s">
        <v>62</v>
      </c>
      <c r="B642" s="289"/>
      <c r="C642" s="289"/>
      <c r="D642" s="289"/>
      <c r="E642" s="289"/>
      <c r="F642" s="289"/>
      <c r="G642" s="290"/>
      <c r="H642" s="317">
        <f>VLOOKUP(AI630,TB!A:Z,18,0)</f>
        <v>1378</v>
      </c>
      <c r="I642" s="318"/>
      <c r="J642" s="168">
        <f t="shared" ref="J642:J643" si="52">H642</f>
        <v>1378</v>
      </c>
      <c r="K642" s="293" t="s">
        <v>63</v>
      </c>
      <c r="L642" s="294"/>
      <c r="M642" s="294"/>
      <c r="N642" s="294"/>
      <c r="O642" s="294"/>
      <c r="P642" s="294"/>
      <c r="Q642" s="295"/>
      <c r="R642" s="184" t="s">
        <v>47</v>
      </c>
      <c r="S642" s="185"/>
      <c r="T642" s="180" t="s">
        <v>1</v>
      </c>
      <c r="U642" s="180">
        <f>VLOOKUP(AI630,TB!A:Z,24,0)</f>
        <v>0</v>
      </c>
      <c r="V642" s="181" t="s">
        <v>48</v>
      </c>
      <c r="W642" s="16"/>
      <c r="AB642" s="17"/>
      <c r="AC642" s="16"/>
      <c r="AH642" s="17"/>
    </row>
    <row r="643" spans="1:34" ht="21" customHeight="1">
      <c r="A643" s="288" t="s">
        <v>65</v>
      </c>
      <c r="B643" s="289"/>
      <c r="C643" s="289"/>
      <c r="D643" s="289"/>
      <c r="E643" s="289"/>
      <c r="F643" s="289"/>
      <c r="G643" s="290"/>
      <c r="H643" s="291">
        <f>VLOOKUP(AI630,TB!A:Z,19,0)</f>
        <v>98.428571428571431</v>
      </c>
      <c r="I643" s="292"/>
      <c r="J643" s="172">
        <f t="shared" si="52"/>
        <v>98.428571428571431</v>
      </c>
      <c r="K643" s="293" t="s">
        <v>66</v>
      </c>
      <c r="L643" s="294"/>
      <c r="M643" s="294"/>
      <c r="N643" s="294"/>
      <c r="O643" s="294"/>
      <c r="P643" s="294"/>
      <c r="Q643" s="295"/>
      <c r="R643" s="184" t="s">
        <v>51</v>
      </c>
      <c r="S643" s="185"/>
      <c r="T643" s="180" t="s">
        <v>1</v>
      </c>
      <c r="U643" s="180">
        <f>VLOOKUP(AI630,TB!A:Z,25,0)</f>
        <v>0</v>
      </c>
      <c r="V643" s="181" t="s">
        <v>48</v>
      </c>
      <c r="W643" s="21"/>
      <c r="X643" s="22"/>
      <c r="Y643" s="22"/>
      <c r="Z643" s="22"/>
      <c r="AA643" s="22"/>
      <c r="AB643" s="23"/>
      <c r="AC643" s="16"/>
      <c r="AH643" s="17"/>
    </row>
    <row r="644" spans="1:34" ht="21" customHeight="1">
      <c r="A644" s="288" t="s">
        <v>67</v>
      </c>
      <c r="B644" s="289"/>
      <c r="C644" s="289"/>
      <c r="D644" s="289"/>
      <c r="E644" s="199">
        <f>VLOOKUP(AI630,TB!A:Z,20,0)</f>
        <v>1</v>
      </c>
      <c r="F644" s="155" t="s">
        <v>69</v>
      </c>
      <c r="G644" s="164">
        <f>COUNT(TB!B4:B27)</f>
        <v>24</v>
      </c>
      <c r="H644" s="164"/>
      <c r="I644" s="165"/>
      <c r="J644" s="173" t="s">
        <v>70</v>
      </c>
      <c r="K644" s="174"/>
      <c r="L644" s="175">
        <f>G644</f>
        <v>24</v>
      </c>
      <c r="M644" s="302" t="s">
        <v>71</v>
      </c>
      <c r="N644" s="302"/>
      <c r="O644" s="302"/>
      <c r="P644" s="176">
        <f>E644</f>
        <v>1</v>
      </c>
      <c r="Q644" s="177" t="s">
        <v>72</v>
      </c>
      <c r="R644" s="186" t="s">
        <v>53</v>
      </c>
      <c r="S644" s="187"/>
      <c r="T644" s="182" t="s">
        <v>1</v>
      </c>
      <c r="U644" s="182">
        <f>VLOOKUP(AI630,TB!A:Z,26,0)</f>
        <v>0</v>
      </c>
      <c r="V644" s="183" t="s">
        <v>48</v>
      </c>
      <c r="W644" s="188"/>
      <c r="X644" s="189"/>
      <c r="Y644" s="189"/>
      <c r="Z644" s="189"/>
      <c r="AA644" s="189"/>
      <c r="AB644" s="190"/>
      <c r="AC644" s="307" t="s">
        <v>770</v>
      </c>
      <c r="AD644" s="308"/>
      <c r="AE644" s="308"/>
      <c r="AF644" s="308"/>
      <c r="AG644" s="308"/>
      <c r="AH644" s="309"/>
    </row>
    <row r="645" spans="1:34" ht="21" customHeight="1">
      <c r="A645" s="303" t="s">
        <v>73</v>
      </c>
      <c r="B645" s="304"/>
      <c r="C645" s="304"/>
      <c r="D645" s="304"/>
      <c r="E645" s="304"/>
      <c r="F645" s="304"/>
      <c r="G645" s="304"/>
      <c r="H645" s="304"/>
      <c r="I645" s="7"/>
      <c r="J645" s="166"/>
      <c r="K645" s="195"/>
      <c r="L645" s="305" t="s">
        <v>74</v>
      </c>
      <c r="M645" s="305"/>
      <c r="N645" s="305"/>
      <c r="O645" s="305"/>
      <c r="P645" s="305"/>
      <c r="Q645" s="306"/>
      <c r="R645" s="16"/>
      <c r="U645" t="s">
        <v>57</v>
      </c>
      <c r="AB645" s="310" t="str">
        <f>DASHBOARD!$H$13</f>
        <v>Sumedang, 05 September 2025</v>
      </c>
      <c r="AC645" s="310"/>
      <c r="AD645" s="310"/>
      <c r="AE645" s="310"/>
      <c r="AF645" s="310"/>
      <c r="AG645" s="310"/>
      <c r="AH645" s="311"/>
    </row>
    <row r="646" spans="1:34" ht="21" customHeight="1">
      <c r="R646" s="312" t="s">
        <v>60</v>
      </c>
      <c r="S646" s="310"/>
      <c r="T646" s="310"/>
      <c r="U646" s="310"/>
      <c r="V646" s="310"/>
      <c r="W646" s="310"/>
      <c r="X646" s="310"/>
      <c r="Y646" s="310"/>
      <c r="Z646" s="310"/>
      <c r="AA646" s="310"/>
      <c r="AB646" s="313" t="s">
        <v>61</v>
      </c>
      <c r="AC646" s="313"/>
      <c r="AD646" s="313"/>
      <c r="AE646" s="313"/>
      <c r="AF646" s="313"/>
      <c r="AG646" s="313"/>
      <c r="AH646" s="314"/>
    </row>
    <row r="647" spans="1:34" ht="21" customHeight="1">
      <c r="R647" s="33"/>
      <c r="S647" s="34"/>
      <c r="T647" s="34"/>
      <c r="U647" s="34"/>
      <c r="V647" s="34"/>
      <c r="W647" s="34"/>
      <c r="X647" s="34"/>
      <c r="Y647" s="34"/>
      <c r="Z647" s="34"/>
      <c r="AA647" s="34"/>
      <c r="AB647" s="297" t="s">
        <v>64</v>
      </c>
      <c r="AC647" s="297"/>
      <c r="AD647" s="297"/>
      <c r="AE647" s="297"/>
      <c r="AF647" s="297"/>
      <c r="AG647" s="297"/>
      <c r="AH647" s="298"/>
    </row>
    <row r="648" spans="1:34" ht="21" customHeight="1">
      <c r="R648" s="33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5"/>
    </row>
    <row r="649" spans="1:34" ht="21" customHeight="1">
      <c r="R649" s="33"/>
      <c r="S649" s="34"/>
      <c r="T649" s="34"/>
      <c r="U649" s="34"/>
      <c r="V649" s="34"/>
      <c r="W649" s="191"/>
      <c r="X649" s="191"/>
      <c r="Y649" s="191"/>
      <c r="Z649" s="191"/>
      <c r="AA649" s="191"/>
      <c r="AB649" s="34"/>
      <c r="AC649" s="34"/>
      <c r="AD649" s="34"/>
      <c r="AE649" s="34"/>
      <c r="AF649" s="34"/>
      <c r="AG649" s="34"/>
      <c r="AH649" s="35"/>
    </row>
    <row r="650" spans="1:34" ht="21" customHeight="1">
      <c r="R650" s="312"/>
      <c r="S650" s="310"/>
      <c r="T650" s="310"/>
      <c r="U650" s="310"/>
      <c r="V650" s="310"/>
      <c r="W650" s="310"/>
      <c r="X650" s="310"/>
      <c r="Y650" s="310"/>
      <c r="Z650" s="310"/>
      <c r="AA650" s="310"/>
      <c r="AB650" s="34"/>
      <c r="AC650" s="34"/>
      <c r="AD650" s="34"/>
      <c r="AE650" s="34"/>
      <c r="AF650" s="34"/>
      <c r="AG650" s="34"/>
      <c r="AH650" s="35"/>
    </row>
    <row r="651" spans="1:34" ht="21" customHeight="1">
      <c r="R651" s="315" t="s">
        <v>766</v>
      </c>
      <c r="S651" s="316"/>
      <c r="T651" s="316"/>
      <c r="U651" s="316"/>
      <c r="V651" s="316"/>
      <c r="W651" s="316"/>
      <c r="X651" s="316"/>
      <c r="Y651" s="316"/>
      <c r="Z651" s="316"/>
      <c r="AA651" s="316"/>
      <c r="AB651" s="308" t="s">
        <v>767</v>
      </c>
      <c r="AC651" s="308"/>
      <c r="AD651" s="308"/>
      <c r="AE651" s="308"/>
      <c r="AF651" s="308"/>
      <c r="AG651" s="308"/>
      <c r="AH651" s="309"/>
    </row>
    <row r="656" spans="1:34" ht="21" customHeight="1">
      <c r="A656" s="343" t="s">
        <v>0</v>
      </c>
      <c r="B656" s="344"/>
      <c r="C656" s="153" t="s">
        <v>1</v>
      </c>
      <c r="D656" s="344" t="str">
        <f>VLOOKUP(AI659,TC!A:Z,3,0)</f>
        <v>Hazrat Fadhlikal Azim</v>
      </c>
      <c r="E656" s="344"/>
      <c r="F656" s="344"/>
      <c r="G656" s="344"/>
      <c r="H656" s="344"/>
      <c r="I656" s="344"/>
      <c r="J656" s="344"/>
      <c r="K656" s="344"/>
      <c r="L656" s="344"/>
      <c r="M656" s="344"/>
      <c r="N656" s="344"/>
      <c r="O656" s="344"/>
      <c r="P656" s="344"/>
      <c r="Q656" s="345"/>
      <c r="R656" s="343" t="s">
        <v>0</v>
      </c>
      <c r="S656" s="344"/>
      <c r="T656" s="153" t="s">
        <v>1</v>
      </c>
      <c r="U656" s="344" t="str">
        <f>D656</f>
        <v>Hazrat Fadhlikal Azim</v>
      </c>
      <c r="V656" s="344"/>
      <c r="W656" s="344"/>
      <c r="X656" s="344"/>
      <c r="Y656" s="344"/>
      <c r="Z656" s="344"/>
      <c r="AA656" s="344"/>
      <c r="AB656" s="344"/>
      <c r="AC656" s="344"/>
      <c r="AD656" s="344"/>
      <c r="AE656" s="344"/>
      <c r="AF656" s="344"/>
      <c r="AG656" s="344"/>
      <c r="AH656" s="345"/>
    </row>
    <row r="657" spans="1:35" ht="21" customHeight="1">
      <c r="A657" s="346" t="s">
        <v>2</v>
      </c>
      <c r="B657" s="347"/>
      <c r="C657" s="154" t="s">
        <v>1</v>
      </c>
      <c r="D657" s="347" t="s">
        <v>784</v>
      </c>
      <c r="E657" s="347"/>
      <c r="F657" s="347"/>
      <c r="G657" s="347"/>
      <c r="H657" s="347"/>
      <c r="I657" s="347"/>
      <c r="J657" s="159" t="s">
        <v>3</v>
      </c>
      <c r="K657" s="347">
        <f>VLOOKUP(AI659,TC!A:Z,2,0)</f>
        <v>25260064</v>
      </c>
      <c r="L657" s="347"/>
      <c r="M657" s="347"/>
      <c r="N657" s="347"/>
      <c r="O657" s="347"/>
      <c r="P657" s="347"/>
      <c r="Q657" s="348"/>
      <c r="R657" s="346" t="s">
        <v>2</v>
      </c>
      <c r="S657" s="347"/>
      <c r="T657" s="154" t="s">
        <v>1</v>
      </c>
      <c r="U657" s="347" t="str">
        <f>D657</f>
        <v>Tamhidi C</v>
      </c>
      <c r="V657" s="347"/>
      <c r="W657" s="347"/>
      <c r="X657" s="347"/>
      <c r="Y657" s="347"/>
      <c r="Z657" s="347"/>
      <c r="AA657" s="159" t="s">
        <v>3</v>
      </c>
      <c r="AB657" s="347">
        <f>K657</f>
        <v>25260064</v>
      </c>
      <c r="AC657" s="347"/>
      <c r="AD657" s="347"/>
      <c r="AE657" s="347"/>
      <c r="AF657" s="347"/>
      <c r="AG657" s="347"/>
      <c r="AH657" s="348"/>
    </row>
    <row r="658" spans="1:35" ht="21" customHeight="1">
      <c r="A658" s="343" t="s">
        <v>4</v>
      </c>
      <c r="B658" s="344"/>
      <c r="C658" s="153" t="s">
        <v>1</v>
      </c>
      <c r="D658" s="304" t="str">
        <f>DASHBOARD!$H$11</f>
        <v>2025/2026</v>
      </c>
      <c r="E658" s="304"/>
      <c r="F658" s="304"/>
      <c r="G658" s="304"/>
      <c r="H658" s="304"/>
      <c r="I658" s="304"/>
      <c r="J658" s="304"/>
      <c r="K658" s="304"/>
      <c r="L658" s="304"/>
      <c r="M658" s="304"/>
      <c r="N658" s="304"/>
      <c r="O658" s="304"/>
      <c r="P658" s="304"/>
      <c r="Q658" s="349"/>
      <c r="R658" s="330" t="s">
        <v>5</v>
      </c>
      <c r="S658" s="331"/>
      <c r="T658" s="331"/>
      <c r="U658" s="331"/>
      <c r="V658" s="331"/>
      <c r="W658" s="331"/>
      <c r="X658" s="332"/>
      <c r="Y658" s="333" t="s">
        <v>6</v>
      </c>
      <c r="Z658" s="334"/>
      <c r="AA658" s="337" t="s">
        <v>7</v>
      </c>
      <c r="AB658" s="330" t="s">
        <v>8</v>
      </c>
      <c r="AC658" s="331"/>
      <c r="AD658" s="331"/>
      <c r="AE658" s="331"/>
      <c r="AF658" s="331"/>
      <c r="AG658" s="331"/>
      <c r="AH658" s="332"/>
      <c r="AI658" s="51" t="s">
        <v>788</v>
      </c>
    </row>
    <row r="659" spans="1:35" ht="21" customHeight="1">
      <c r="A659" s="303" t="s">
        <v>10</v>
      </c>
      <c r="B659" s="304"/>
      <c r="C659" s="160" t="s">
        <v>1</v>
      </c>
      <c r="D659" s="350" t="str">
        <f>DASHBOARD!$H$12</f>
        <v>1 (Satu)</v>
      </c>
      <c r="E659" s="350"/>
      <c r="F659" s="350"/>
      <c r="G659" s="350"/>
      <c r="H659" s="350"/>
      <c r="I659" s="351"/>
      <c r="J659" s="352" t="str">
        <f>DASHBOARD!$I$12</f>
        <v>الأول</v>
      </c>
      <c r="K659" s="353"/>
      <c r="L659" s="353"/>
      <c r="M659" s="353"/>
      <c r="N659" s="160" t="s">
        <v>1</v>
      </c>
      <c r="O659" s="354" t="s">
        <v>11</v>
      </c>
      <c r="P659" s="354"/>
      <c r="Q659" s="355"/>
      <c r="R659" s="339" t="s">
        <v>12</v>
      </c>
      <c r="S659" s="340"/>
      <c r="T659" s="340"/>
      <c r="U659" s="340"/>
      <c r="V659" s="340"/>
      <c r="W659" s="340"/>
      <c r="X659" s="341"/>
      <c r="Y659" s="335"/>
      <c r="Z659" s="336"/>
      <c r="AA659" s="338"/>
      <c r="AB659" s="339" t="s">
        <v>13</v>
      </c>
      <c r="AC659" s="340"/>
      <c r="AD659" s="340"/>
      <c r="AE659" s="340"/>
      <c r="AF659" s="340"/>
      <c r="AG659" s="340"/>
      <c r="AH659" s="341"/>
      <c r="AI659" s="51">
        <v>9</v>
      </c>
    </row>
    <row r="660" spans="1:35" ht="21" customHeight="1">
      <c r="A660" s="330" t="s">
        <v>5</v>
      </c>
      <c r="B660" s="331"/>
      <c r="C660" s="331"/>
      <c r="D660" s="331"/>
      <c r="E660" s="331"/>
      <c r="F660" s="331"/>
      <c r="G660" s="332"/>
      <c r="H660" s="333" t="s">
        <v>6</v>
      </c>
      <c r="I660" s="334"/>
      <c r="J660" s="337" t="s">
        <v>7</v>
      </c>
      <c r="K660" s="330" t="s">
        <v>8</v>
      </c>
      <c r="L660" s="331"/>
      <c r="M660" s="331"/>
      <c r="N660" s="331"/>
      <c r="O660" s="331"/>
      <c r="P660" s="331"/>
      <c r="Q660" s="332"/>
      <c r="R660" s="161">
        <v>2</v>
      </c>
      <c r="S660" s="324" t="s">
        <v>34</v>
      </c>
      <c r="T660" s="324"/>
      <c r="U660" s="324"/>
      <c r="V660" s="324"/>
      <c r="W660" s="324"/>
      <c r="X660" s="324"/>
      <c r="Y660" s="317">
        <f>VLOOKUP(AI659,TC!A:Z,13,0)</f>
        <v>85</v>
      </c>
      <c r="Z660" s="318"/>
      <c r="AA660" s="168">
        <f t="shared" ref="AA660:AA662" si="53">Y660</f>
        <v>85</v>
      </c>
      <c r="AB660" s="293" t="s">
        <v>35</v>
      </c>
      <c r="AC660" s="294"/>
      <c r="AD660" s="294"/>
      <c r="AE660" s="294"/>
      <c r="AF660" s="294"/>
      <c r="AG660" s="295"/>
      <c r="AH660" s="168">
        <v>2</v>
      </c>
    </row>
    <row r="661" spans="1:35" ht="21" customHeight="1">
      <c r="A661" s="339" t="s">
        <v>16</v>
      </c>
      <c r="B661" s="340"/>
      <c r="C661" s="340"/>
      <c r="D661" s="340"/>
      <c r="E661" s="340"/>
      <c r="F661" s="340"/>
      <c r="G661" s="341"/>
      <c r="H661" s="335"/>
      <c r="I661" s="336"/>
      <c r="J661" s="338"/>
      <c r="K661" s="339" t="s">
        <v>17</v>
      </c>
      <c r="L661" s="340"/>
      <c r="M661" s="340"/>
      <c r="N661" s="340"/>
      <c r="O661" s="340"/>
      <c r="P661" s="340"/>
      <c r="Q661" s="341"/>
      <c r="R661" s="161">
        <v>3</v>
      </c>
      <c r="S661" s="324" t="s">
        <v>137</v>
      </c>
      <c r="T661" s="324"/>
      <c r="U661" s="324"/>
      <c r="V661" s="324"/>
      <c r="W661" s="324"/>
      <c r="X661" s="324"/>
      <c r="Y661" s="317">
        <f>VLOOKUP(AI659,TC!A:Z,14,0)</f>
        <v>90</v>
      </c>
      <c r="Z661" s="318"/>
      <c r="AA661" s="168">
        <f t="shared" si="53"/>
        <v>90</v>
      </c>
      <c r="AB661" s="293" t="s">
        <v>138</v>
      </c>
      <c r="AC661" s="294"/>
      <c r="AD661" s="294"/>
      <c r="AE661" s="294"/>
      <c r="AF661" s="294"/>
      <c r="AG661" s="295"/>
      <c r="AH661" s="168">
        <v>3</v>
      </c>
    </row>
    <row r="662" spans="1:35" ht="21" customHeight="1">
      <c r="A662" s="161">
        <v>1</v>
      </c>
      <c r="B662" s="288" t="s">
        <v>118</v>
      </c>
      <c r="C662" s="289"/>
      <c r="D662" s="289"/>
      <c r="E662" s="289"/>
      <c r="F662" s="289"/>
      <c r="G662" s="290"/>
      <c r="H662" s="317">
        <f>VLOOKUP(AI659,TC!A:Z,4,0)</f>
        <v>70</v>
      </c>
      <c r="I662" s="318"/>
      <c r="J662" s="168">
        <f t="shared" ref="J662:J669" si="54">H662</f>
        <v>70</v>
      </c>
      <c r="K662" s="342" t="s">
        <v>119</v>
      </c>
      <c r="L662" s="342"/>
      <c r="M662" s="342"/>
      <c r="N662" s="342"/>
      <c r="O662" s="342"/>
      <c r="P662" s="342"/>
      <c r="Q662" s="168">
        <v>1</v>
      </c>
      <c r="R662" s="161">
        <v>4</v>
      </c>
      <c r="S662" s="288" t="s">
        <v>139</v>
      </c>
      <c r="T662" s="289"/>
      <c r="U662" s="289"/>
      <c r="V662" s="289"/>
      <c r="W662" s="289"/>
      <c r="X662" s="290"/>
      <c r="Y662" s="317">
        <f>VLOOKUP(AI659,TC!A:Z,15,0)</f>
        <v>88</v>
      </c>
      <c r="Z662" s="318"/>
      <c r="AA662" s="168">
        <f t="shared" si="53"/>
        <v>88</v>
      </c>
      <c r="AB662" s="293" t="s">
        <v>140</v>
      </c>
      <c r="AC662" s="294"/>
      <c r="AD662" s="294"/>
      <c r="AE662" s="294"/>
      <c r="AF662" s="294"/>
      <c r="AG662" s="295"/>
      <c r="AH662" s="168">
        <v>4</v>
      </c>
    </row>
    <row r="663" spans="1:35" ht="21" customHeight="1">
      <c r="A663" s="161">
        <v>2</v>
      </c>
      <c r="B663" s="288" t="s">
        <v>55</v>
      </c>
      <c r="C663" s="289"/>
      <c r="D663" s="289"/>
      <c r="E663" s="289"/>
      <c r="F663" s="289"/>
      <c r="G663" s="290"/>
      <c r="H663" s="317">
        <f>VLOOKUP(AI659,TC!A:Z,5,0)</f>
        <v>98</v>
      </c>
      <c r="I663" s="318"/>
      <c r="J663" s="168">
        <f t="shared" si="54"/>
        <v>98</v>
      </c>
      <c r="K663" s="342" t="s">
        <v>56</v>
      </c>
      <c r="L663" s="342"/>
      <c r="M663" s="342"/>
      <c r="N663" s="342"/>
      <c r="O663" s="342"/>
      <c r="P663" s="342"/>
      <c r="Q663" s="168">
        <v>2</v>
      </c>
      <c r="R663" s="161">
        <v>5</v>
      </c>
      <c r="S663" s="288" t="s">
        <v>22</v>
      </c>
      <c r="T663" s="289"/>
      <c r="U663" s="289"/>
      <c r="V663" s="289"/>
      <c r="W663" s="289"/>
      <c r="X663" s="290"/>
      <c r="Y663" s="317">
        <f>VLOOKUP(AI659,TC!A:Z,16,0)</f>
        <v>55</v>
      </c>
      <c r="Z663" s="318"/>
      <c r="AA663" s="168">
        <f>Y663</f>
        <v>55</v>
      </c>
      <c r="AB663" s="293" t="s">
        <v>23</v>
      </c>
      <c r="AC663" s="294"/>
      <c r="AD663" s="294"/>
      <c r="AE663" s="294"/>
      <c r="AF663" s="294"/>
      <c r="AG663" s="295"/>
      <c r="AH663" s="168">
        <v>5</v>
      </c>
    </row>
    <row r="664" spans="1:35" ht="21" customHeight="1">
      <c r="A664" s="161">
        <v>3</v>
      </c>
      <c r="B664" s="288" t="s">
        <v>34</v>
      </c>
      <c r="C664" s="289"/>
      <c r="D664" s="289"/>
      <c r="E664" s="289"/>
      <c r="F664" s="289"/>
      <c r="G664" s="290"/>
      <c r="H664" s="317">
        <f>VLOOKUP(AI659,TC!A:Z,6,0)</f>
        <v>70</v>
      </c>
      <c r="I664" s="318"/>
      <c r="J664" s="168">
        <f t="shared" si="54"/>
        <v>70</v>
      </c>
      <c r="K664" s="293" t="s">
        <v>35</v>
      </c>
      <c r="L664" s="294"/>
      <c r="M664" s="294"/>
      <c r="N664" s="294"/>
      <c r="O664" s="294"/>
      <c r="P664" s="295"/>
      <c r="Q664" s="168">
        <v>3</v>
      </c>
      <c r="R664" s="161">
        <v>7</v>
      </c>
      <c r="S664" s="288" t="s">
        <v>143</v>
      </c>
      <c r="T664" s="289"/>
      <c r="U664" s="289"/>
      <c r="V664" s="289"/>
      <c r="W664" s="289"/>
      <c r="X664" s="290"/>
      <c r="Y664" s="317">
        <f>VLOOKUP(AI659,TC!A:Z,17,0)</f>
        <v>85</v>
      </c>
      <c r="Z664" s="318"/>
      <c r="AA664" s="168">
        <f t="shared" ref="AA664" si="55">Y664</f>
        <v>85</v>
      </c>
      <c r="AB664" s="293" t="s">
        <v>144</v>
      </c>
      <c r="AC664" s="294"/>
      <c r="AD664" s="294"/>
      <c r="AE664" s="294"/>
      <c r="AF664" s="294"/>
      <c r="AG664" s="295"/>
      <c r="AH664" s="168">
        <v>7</v>
      </c>
    </row>
    <row r="665" spans="1:35" ht="21" customHeight="1">
      <c r="A665" s="161">
        <v>4</v>
      </c>
      <c r="B665" s="324" t="s">
        <v>126</v>
      </c>
      <c r="C665" s="324"/>
      <c r="D665" s="324"/>
      <c r="E665" s="324"/>
      <c r="F665" s="324"/>
      <c r="G665" s="324"/>
      <c r="H665" s="317">
        <f>VLOOKUP(AI659,TC!A:Z,7,0)</f>
        <v>63</v>
      </c>
      <c r="I665" s="318"/>
      <c r="J665" s="168">
        <f t="shared" si="54"/>
        <v>63</v>
      </c>
      <c r="K665" s="293" t="s">
        <v>127</v>
      </c>
      <c r="L665" s="294"/>
      <c r="M665" s="294"/>
      <c r="N665" s="294"/>
      <c r="O665" s="294"/>
      <c r="P665" s="295"/>
      <c r="Q665" s="168">
        <v>4</v>
      </c>
      <c r="R665" s="299" t="s">
        <v>768</v>
      </c>
      <c r="S665" s="300"/>
      <c r="T665" s="300"/>
      <c r="U665" s="300"/>
      <c r="V665" s="301"/>
      <c r="W665" s="327" t="s">
        <v>28</v>
      </c>
      <c r="X665" s="328"/>
      <c r="Y665" s="328"/>
      <c r="Z665" s="328"/>
      <c r="AA665" s="328"/>
      <c r="AB665" s="329"/>
      <c r="AC665" s="327" t="s">
        <v>29</v>
      </c>
      <c r="AD665" s="328"/>
      <c r="AE665" s="328"/>
      <c r="AF665" s="328"/>
      <c r="AG665" s="328"/>
      <c r="AH665" s="329"/>
    </row>
    <row r="666" spans="1:35" ht="21" customHeight="1">
      <c r="A666" s="161">
        <v>5</v>
      </c>
      <c r="B666" s="324" t="s">
        <v>128</v>
      </c>
      <c r="C666" s="324"/>
      <c r="D666" s="324"/>
      <c r="E666" s="324"/>
      <c r="F666" s="324"/>
      <c r="G666" s="324"/>
      <c r="H666" s="317">
        <f>VLOOKUP(AI659,TC!A:Z,8,0)</f>
        <v>70</v>
      </c>
      <c r="I666" s="318"/>
      <c r="J666" s="168">
        <f t="shared" si="54"/>
        <v>70</v>
      </c>
      <c r="K666" s="293" t="s">
        <v>112</v>
      </c>
      <c r="L666" s="294"/>
      <c r="M666" s="294"/>
      <c r="N666" s="294"/>
      <c r="O666" s="294"/>
      <c r="P666" s="295"/>
      <c r="Q666" s="168">
        <v>5</v>
      </c>
      <c r="R666" s="319" t="s">
        <v>32</v>
      </c>
      <c r="S666" s="320"/>
      <c r="T666" s="320"/>
      <c r="U666" s="180" t="s">
        <v>1</v>
      </c>
      <c r="V666" s="181" t="str">
        <f>VLOOKUP(AI659,TC!A:Z,21,0)</f>
        <v>B</v>
      </c>
      <c r="W666" s="321" t="s">
        <v>33</v>
      </c>
      <c r="X666" s="322"/>
      <c r="Y666" s="322"/>
      <c r="Z666" s="322"/>
      <c r="AA666" s="322"/>
      <c r="AB666" s="323"/>
      <c r="AC666" s="296" t="s">
        <v>33</v>
      </c>
      <c r="AD666" s="297"/>
      <c r="AE666" s="297"/>
      <c r="AF666" s="297"/>
      <c r="AG666" s="297"/>
      <c r="AH666" s="298"/>
    </row>
    <row r="667" spans="1:35" ht="21" customHeight="1">
      <c r="A667" s="161">
        <v>6</v>
      </c>
      <c r="B667" s="288" t="s">
        <v>105</v>
      </c>
      <c r="C667" s="289"/>
      <c r="D667" s="289"/>
      <c r="E667" s="289"/>
      <c r="F667" s="289"/>
      <c r="G667" s="290"/>
      <c r="H667" s="317">
        <f>VLOOKUP(AI659,TC!A:Z,9,0)</f>
        <v>80</v>
      </c>
      <c r="I667" s="318"/>
      <c r="J667" s="168">
        <f t="shared" si="54"/>
        <v>80</v>
      </c>
      <c r="K667" s="293" t="s">
        <v>106</v>
      </c>
      <c r="L667" s="294"/>
      <c r="M667" s="294"/>
      <c r="N667" s="294"/>
      <c r="O667" s="294"/>
      <c r="P667" s="295"/>
      <c r="Q667" s="168">
        <v>6</v>
      </c>
      <c r="R667" s="319" t="s">
        <v>36</v>
      </c>
      <c r="S667" s="320"/>
      <c r="T667" s="320"/>
      <c r="U667" s="180" t="s">
        <v>1</v>
      </c>
      <c r="V667" s="181" t="str">
        <f>VLOOKUP(AI659,TC!A:Z,22,0)</f>
        <v>B</v>
      </c>
      <c r="W667" s="13"/>
      <c r="X667" s="14"/>
      <c r="Y667" s="14"/>
      <c r="Z667" s="14"/>
      <c r="AA667" s="14"/>
      <c r="AB667" s="15"/>
      <c r="AC667" s="16"/>
      <c r="AH667" s="17"/>
    </row>
    <row r="668" spans="1:35" ht="21" customHeight="1">
      <c r="A668" s="161">
        <v>7</v>
      </c>
      <c r="B668" s="288" t="s">
        <v>789</v>
      </c>
      <c r="C668" s="289"/>
      <c r="D668" s="289"/>
      <c r="E668" s="289"/>
      <c r="F668" s="289"/>
      <c r="G668" s="290"/>
      <c r="H668" s="317">
        <f>VLOOKUP(AI659,TC!A:Z,10,0)</f>
        <v>60</v>
      </c>
      <c r="I668" s="318"/>
      <c r="J668" s="168">
        <f t="shared" si="54"/>
        <v>60</v>
      </c>
      <c r="K668" s="293" t="s">
        <v>23</v>
      </c>
      <c r="L668" s="294"/>
      <c r="M668" s="294"/>
      <c r="N668" s="294"/>
      <c r="O668" s="294"/>
      <c r="P668" s="295"/>
      <c r="Q668" s="168">
        <v>7</v>
      </c>
      <c r="R668" s="325" t="s">
        <v>39</v>
      </c>
      <c r="S668" s="326"/>
      <c r="T668" s="326"/>
      <c r="U668" s="182" t="s">
        <v>1</v>
      </c>
      <c r="V668" s="183" t="str">
        <f>VLOOKUP(AI659,TC!A:Z,23,0)</f>
        <v>C</v>
      </c>
      <c r="W668" s="16"/>
      <c r="AB668" s="17"/>
      <c r="AC668" s="16"/>
      <c r="AH668" s="17"/>
    </row>
    <row r="669" spans="1:35" ht="21" customHeight="1">
      <c r="A669" s="161">
        <v>8</v>
      </c>
      <c r="B669" s="324" t="s">
        <v>139</v>
      </c>
      <c r="C669" s="324"/>
      <c r="D669" s="324"/>
      <c r="E669" s="324"/>
      <c r="F669" s="324"/>
      <c r="G669" s="324"/>
      <c r="H669" s="317">
        <f>VLOOKUP(AI659,TC!A:Z,11,0)</f>
        <v>90</v>
      </c>
      <c r="I669" s="318"/>
      <c r="J669" s="168">
        <f t="shared" si="54"/>
        <v>90</v>
      </c>
      <c r="K669" s="293" t="s">
        <v>140</v>
      </c>
      <c r="L669" s="294"/>
      <c r="M669" s="294"/>
      <c r="N669" s="294"/>
      <c r="O669" s="294"/>
      <c r="P669" s="295"/>
      <c r="Q669" s="168">
        <v>8</v>
      </c>
      <c r="R669" s="327" t="s">
        <v>42</v>
      </c>
      <c r="S669" s="328"/>
      <c r="T669" s="328"/>
      <c r="U669" s="328"/>
      <c r="V669" s="329"/>
      <c r="W669" s="16"/>
      <c r="AB669" s="17"/>
      <c r="AC669" s="307" t="str">
        <f>DASHBOARD!H36</f>
        <v>Mu'allim A Wahya</v>
      </c>
      <c r="AD669" s="308"/>
      <c r="AE669" s="308"/>
      <c r="AF669" s="308"/>
      <c r="AG669" s="308"/>
      <c r="AH669" s="309"/>
    </row>
    <row r="670" spans="1:35" ht="21" customHeight="1">
      <c r="A670" s="161">
        <v>9</v>
      </c>
      <c r="B670" s="324" t="s">
        <v>143</v>
      </c>
      <c r="C670" s="324"/>
      <c r="D670" s="324"/>
      <c r="E670" s="324"/>
      <c r="F670" s="324"/>
      <c r="G670" s="324"/>
      <c r="H670" s="317">
        <f>VLOOKUP(AI659,TC!A:Z,12,0)</f>
        <v>99</v>
      </c>
      <c r="I670" s="318"/>
      <c r="J670" s="168">
        <f>H670</f>
        <v>99</v>
      </c>
      <c r="K670" s="293" t="s">
        <v>144</v>
      </c>
      <c r="L670" s="294"/>
      <c r="M670" s="294"/>
      <c r="N670" s="294"/>
      <c r="O670" s="294"/>
      <c r="P670" s="295"/>
      <c r="Q670" s="168">
        <v>9</v>
      </c>
      <c r="R670" s="296" t="s">
        <v>43</v>
      </c>
      <c r="S670" s="297"/>
      <c r="T670" s="297"/>
      <c r="U670" s="297"/>
      <c r="V670" s="298"/>
      <c r="W670" s="16"/>
      <c r="AB670" s="17"/>
      <c r="AC670" s="299" t="s">
        <v>44</v>
      </c>
      <c r="AD670" s="300"/>
      <c r="AE670" s="300"/>
      <c r="AF670" s="300"/>
      <c r="AG670" s="300"/>
      <c r="AH670" s="301"/>
    </row>
    <row r="671" spans="1:35" ht="21" customHeight="1">
      <c r="A671" s="288" t="s">
        <v>62</v>
      </c>
      <c r="B671" s="289"/>
      <c r="C671" s="289"/>
      <c r="D671" s="289"/>
      <c r="E671" s="289"/>
      <c r="F671" s="289"/>
      <c r="G671" s="290"/>
      <c r="H671" s="317">
        <f>VLOOKUP(AI659,TC!A:Z,18,0)</f>
        <v>1103</v>
      </c>
      <c r="I671" s="318"/>
      <c r="J671" s="168">
        <f t="shared" ref="J671:J672" si="56">H671</f>
        <v>1103</v>
      </c>
      <c r="K671" s="293" t="s">
        <v>63</v>
      </c>
      <c r="L671" s="294"/>
      <c r="M671" s="294"/>
      <c r="N671" s="294"/>
      <c r="O671" s="294"/>
      <c r="P671" s="294"/>
      <c r="Q671" s="295"/>
      <c r="R671" s="184" t="s">
        <v>47</v>
      </c>
      <c r="S671" s="185"/>
      <c r="T671" s="180" t="s">
        <v>1</v>
      </c>
      <c r="U671" s="180">
        <f>VLOOKUP(AI659,TC!A:Z,24,0)</f>
        <v>0</v>
      </c>
      <c r="V671" s="181" t="s">
        <v>48</v>
      </c>
      <c r="W671" s="16"/>
      <c r="AB671" s="17"/>
      <c r="AC671" s="16"/>
      <c r="AH671" s="17"/>
    </row>
    <row r="672" spans="1:35" ht="21" customHeight="1">
      <c r="A672" s="288" t="s">
        <v>65</v>
      </c>
      <c r="B672" s="289"/>
      <c r="C672" s="289"/>
      <c r="D672" s="289"/>
      <c r="E672" s="289"/>
      <c r="F672" s="289"/>
      <c r="G672" s="290"/>
      <c r="H672" s="291">
        <f>VLOOKUP(AI659,TC!A:Z,19,0)</f>
        <v>78.785714285714292</v>
      </c>
      <c r="I672" s="292"/>
      <c r="J672" s="172">
        <f t="shared" si="56"/>
        <v>78.785714285714292</v>
      </c>
      <c r="K672" s="293" t="s">
        <v>66</v>
      </c>
      <c r="L672" s="294"/>
      <c r="M672" s="294"/>
      <c r="N672" s="294"/>
      <c r="O672" s="294"/>
      <c r="P672" s="294"/>
      <c r="Q672" s="295"/>
      <c r="R672" s="184" t="s">
        <v>51</v>
      </c>
      <c r="S672" s="185"/>
      <c r="T672" s="180" t="s">
        <v>1</v>
      </c>
      <c r="U672" s="180">
        <f>VLOOKUP(AI659,TC!A:Z,25,0)</f>
        <v>0</v>
      </c>
      <c r="V672" s="181" t="s">
        <v>48</v>
      </c>
      <c r="W672" s="21"/>
      <c r="X672" s="22"/>
      <c r="Y672" s="22"/>
      <c r="Z672" s="22"/>
      <c r="AA672" s="22"/>
      <c r="AB672" s="23"/>
      <c r="AC672" s="16"/>
      <c r="AH672" s="17"/>
    </row>
    <row r="673" spans="1:34" ht="21" customHeight="1">
      <c r="A673" s="288" t="s">
        <v>67</v>
      </c>
      <c r="B673" s="289"/>
      <c r="C673" s="289"/>
      <c r="D673" s="289"/>
      <c r="E673" s="199" t="s">
        <v>68</v>
      </c>
      <c r="F673" s="155" t="s">
        <v>69</v>
      </c>
      <c r="G673" s="164">
        <f>COUNT(TC!B4:B27)</f>
        <v>24</v>
      </c>
      <c r="H673" s="164"/>
      <c r="I673" s="165"/>
      <c r="J673" s="173" t="s">
        <v>70</v>
      </c>
      <c r="K673" s="174"/>
      <c r="L673" s="175">
        <f>G673</f>
        <v>24</v>
      </c>
      <c r="M673" s="302" t="s">
        <v>71</v>
      </c>
      <c r="N673" s="302"/>
      <c r="O673" s="302"/>
      <c r="P673" s="176" t="str">
        <f>E673</f>
        <v>-</v>
      </c>
      <c r="Q673" s="177" t="s">
        <v>72</v>
      </c>
      <c r="R673" s="186" t="s">
        <v>53</v>
      </c>
      <c r="S673" s="187"/>
      <c r="T673" s="182" t="s">
        <v>1</v>
      </c>
      <c r="U673" s="182">
        <f>VLOOKUP(AI659,TC!A:Z,26,0)</f>
        <v>0</v>
      </c>
      <c r="V673" s="183" t="s">
        <v>48</v>
      </c>
      <c r="W673" s="188"/>
      <c r="X673" s="189"/>
      <c r="Y673" s="189"/>
      <c r="Z673" s="189"/>
      <c r="AA673" s="189"/>
      <c r="AB673" s="190"/>
      <c r="AC673" s="307" t="s">
        <v>770</v>
      </c>
      <c r="AD673" s="308"/>
      <c r="AE673" s="308"/>
      <c r="AF673" s="308"/>
      <c r="AG673" s="308"/>
      <c r="AH673" s="309"/>
    </row>
    <row r="674" spans="1:34" ht="21" customHeight="1">
      <c r="A674" s="303" t="s">
        <v>73</v>
      </c>
      <c r="B674" s="304"/>
      <c r="C674" s="304"/>
      <c r="D674" s="304"/>
      <c r="E674" s="304"/>
      <c r="F674" s="304"/>
      <c r="G674" s="304"/>
      <c r="H674" s="304"/>
      <c r="I674" s="7"/>
      <c r="J674" s="166"/>
      <c r="K674" s="195"/>
      <c r="L674" s="305" t="s">
        <v>74</v>
      </c>
      <c r="M674" s="305"/>
      <c r="N674" s="305"/>
      <c r="O674" s="305"/>
      <c r="P674" s="305"/>
      <c r="Q674" s="306"/>
      <c r="R674" s="16"/>
      <c r="U674" t="s">
        <v>57</v>
      </c>
      <c r="AB674" s="310" t="str">
        <f>DASHBOARD!$H$13</f>
        <v>Sumedang, 05 September 2025</v>
      </c>
      <c r="AC674" s="310"/>
      <c r="AD674" s="310"/>
      <c r="AE674" s="310"/>
      <c r="AF674" s="310"/>
      <c r="AG674" s="310"/>
      <c r="AH674" s="311"/>
    </row>
    <row r="675" spans="1:34" ht="21" customHeight="1">
      <c r="R675" s="312" t="s">
        <v>60</v>
      </c>
      <c r="S675" s="310"/>
      <c r="T675" s="310"/>
      <c r="U675" s="310"/>
      <c r="V675" s="310"/>
      <c r="W675" s="310"/>
      <c r="X675" s="310"/>
      <c r="Y675" s="310"/>
      <c r="Z675" s="310"/>
      <c r="AA675" s="310"/>
      <c r="AB675" s="313" t="s">
        <v>61</v>
      </c>
      <c r="AC675" s="313"/>
      <c r="AD675" s="313"/>
      <c r="AE675" s="313"/>
      <c r="AF675" s="313"/>
      <c r="AG675" s="313"/>
      <c r="AH675" s="314"/>
    </row>
    <row r="676" spans="1:34" ht="21" customHeight="1">
      <c r="R676" s="33"/>
      <c r="S676" s="34"/>
      <c r="T676" s="34"/>
      <c r="U676" s="34"/>
      <c r="V676" s="34"/>
      <c r="W676" s="34"/>
      <c r="X676" s="34"/>
      <c r="Y676" s="34"/>
      <c r="Z676" s="34"/>
      <c r="AA676" s="34"/>
      <c r="AB676" s="297" t="s">
        <v>64</v>
      </c>
      <c r="AC676" s="297"/>
      <c r="AD676" s="297"/>
      <c r="AE676" s="297"/>
      <c r="AF676" s="297"/>
      <c r="AG676" s="297"/>
      <c r="AH676" s="298"/>
    </row>
    <row r="677" spans="1:34" ht="21" customHeight="1">
      <c r="R677" s="33"/>
      <c r="S677" s="34"/>
      <c r="T677" s="34"/>
      <c r="U677" s="34"/>
      <c r="V677" s="34"/>
      <c r="W677" s="34"/>
      <c r="X677" s="34"/>
      <c r="Y677" s="34"/>
      <c r="Z677" s="34"/>
      <c r="AA677" s="34"/>
      <c r="AB677" s="34"/>
      <c r="AC677" s="34"/>
      <c r="AD677" s="34"/>
      <c r="AE677" s="34"/>
      <c r="AF677" s="34"/>
      <c r="AG677" s="34"/>
      <c r="AH677" s="35"/>
    </row>
    <row r="678" spans="1:34" ht="21" customHeight="1">
      <c r="R678" s="33"/>
      <c r="S678" s="34"/>
      <c r="T678" s="34"/>
      <c r="U678" s="34"/>
      <c r="V678" s="34"/>
      <c r="W678" s="191"/>
      <c r="X678" s="191"/>
      <c r="Y678" s="191"/>
      <c r="Z678" s="191"/>
      <c r="AA678" s="191"/>
      <c r="AB678" s="34"/>
      <c r="AC678" s="34"/>
      <c r="AD678" s="34"/>
      <c r="AE678" s="34"/>
      <c r="AF678" s="34"/>
      <c r="AG678" s="34"/>
      <c r="AH678" s="35"/>
    </row>
    <row r="679" spans="1:34" ht="21" customHeight="1">
      <c r="R679" s="312"/>
      <c r="S679" s="310"/>
      <c r="T679" s="310"/>
      <c r="U679" s="310"/>
      <c r="V679" s="310"/>
      <c r="W679" s="310"/>
      <c r="X679" s="310"/>
      <c r="Y679" s="310"/>
      <c r="Z679" s="310"/>
      <c r="AA679" s="310"/>
      <c r="AB679" s="34"/>
      <c r="AC679" s="34"/>
      <c r="AD679" s="34"/>
      <c r="AE679" s="34"/>
      <c r="AF679" s="34"/>
      <c r="AG679" s="34"/>
      <c r="AH679" s="35"/>
    </row>
    <row r="680" spans="1:34" ht="21" customHeight="1">
      <c r="R680" s="315" t="s">
        <v>766</v>
      </c>
      <c r="S680" s="316"/>
      <c r="T680" s="316"/>
      <c r="U680" s="316"/>
      <c r="V680" s="316"/>
      <c r="W680" s="316"/>
      <c r="X680" s="316"/>
      <c r="Y680" s="316"/>
      <c r="Z680" s="316"/>
      <c r="AA680" s="316"/>
      <c r="AB680" s="308" t="s">
        <v>767</v>
      </c>
      <c r="AC680" s="308"/>
      <c r="AD680" s="308"/>
      <c r="AE680" s="308"/>
      <c r="AF680" s="308"/>
      <c r="AG680" s="308"/>
      <c r="AH680" s="309"/>
    </row>
  </sheetData>
  <mergeCells count="2659">
    <mergeCell ref="B325:G325"/>
    <mergeCell ref="K325:P325"/>
    <mergeCell ref="H325:I325"/>
    <mergeCell ref="B358:G358"/>
    <mergeCell ref="H358:I358"/>
    <mergeCell ref="K358:P358"/>
    <mergeCell ref="B367:G367"/>
    <mergeCell ref="B368:G368"/>
    <mergeCell ref="H367:I367"/>
    <mergeCell ref="H368:I368"/>
    <mergeCell ref="K367:P367"/>
    <mergeCell ref="K368:P368"/>
    <mergeCell ref="B399:G399"/>
    <mergeCell ref="B400:G400"/>
    <mergeCell ref="H399:I399"/>
    <mergeCell ref="H400:I400"/>
    <mergeCell ref="K399:P399"/>
    <mergeCell ref="K400:P400"/>
    <mergeCell ref="A330:H330"/>
    <mergeCell ref="L330:Q330"/>
    <mergeCell ref="A345:B345"/>
    <mergeCell ref="K348:Q348"/>
    <mergeCell ref="B356:G356"/>
    <mergeCell ref="H356:I356"/>
    <mergeCell ref="K356:P356"/>
    <mergeCell ref="A364:Q364"/>
    <mergeCell ref="K360:Q360"/>
    <mergeCell ref="A378:B378"/>
    <mergeCell ref="K381:Q381"/>
    <mergeCell ref="B389:G389"/>
    <mergeCell ref="H389:I389"/>
    <mergeCell ref="K389:P389"/>
    <mergeCell ref="A1:B1"/>
    <mergeCell ref="D1:Q1"/>
    <mergeCell ref="R1:S1"/>
    <mergeCell ref="U1:AH1"/>
    <mergeCell ref="A2:B2"/>
    <mergeCell ref="D2:I2"/>
    <mergeCell ref="K2:Q2"/>
    <mergeCell ref="R2:S2"/>
    <mergeCell ref="U2:Z2"/>
    <mergeCell ref="AB2:AH2"/>
    <mergeCell ref="R4:X4"/>
    <mergeCell ref="AB4:AH4"/>
    <mergeCell ref="A5:G5"/>
    <mergeCell ref="H5:I6"/>
    <mergeCell ref="J5:J6"/>
    <mergeCell ref="K5:Q5"/>
    <mergeCell ref="S5:X5"/>
    <mergeCell ref="Y5:Z5"/>
    <mergeCell ref="AB5:AG5"/>
    <mergeCell ref="A6:G6"/>
    <mergeCell ref="A3:B3"/>
    <mergeCell ref="R3:X3"/>
    <mergeCell ref="Y3:Z4"/>
    <mergeCell ref="AA3:AA4"/>
    <mergeCell ref="AB3:AH3"/>
    <mergeCell ref="A4:B4"/>
    <mergeCell ref="J4:M4"/>
    <mergeCell ref="O4:Q4"/>
    <mergeCell ref="D3:Q3"/>
    <mergeCell ref="D4:I4"/>
    <mergeCell ref="B9:G9"/>
    <mergeCell ref="H9:I9"/>
    <mergeCell ref="K9:P9"/>
    <mergeCell ref="S9:X9"/>
    <mergeCell ref="Y9:Z9"/>
    <mergeCell ref="AB9:AG9"/>
    <mergeCell ref="B8:G8"/>
    <mergeCell ref="H8:I8"/>
    <mergeCell ref="K8:P8"/>
    <mergeCell ref="S8:X8"/>
    <mergeCell ref="Y8:Z8"/>
    <mergeCell ref="AB8:AG8"/>
    <mergeCell ref="K6:Q6"/>
    <mergeCell ref="S6:X6"/>
    <mergeCell ref="Y6:Z6"/>
    <mergeCell ref="AB6:AG6"/>
    <mergeCell ref="B7:G7"/>
    <mergeCell ref="H7:I7"/>
    <mergeCell ref="K7:P7"/>
    <mergeCell ref="Y7:Z7"/>
    <mergeCell ref="AB7:AG7"/>
    <mergeCell ref="S7:X7"/>
    <mergeCell ref="AC11:AH11"/>
    <mergeCell ref="B12:G12"/>
    <mergeCell ref="H12:I12"/>
    <mergeCell ref="K12:P12"/>
    <mergeCell ref="R12:T12"/>
    <mergeCell ref="B13:G13"/>
    <mergeCell ref="H13:I13"/>
    <mergeCell ref="K13:P13"/>
    <mergeCell ref="R13:T13"/>
    <mergeCell ref="B10:G10"/>
    <mergeCell ref="H10:I10"/>
    <mergeCell ref="K10:P10"/>
    <mergeCell ref="W10:AB10"/>
    <mergeCell ref="AC10:AH10"/>
    <mergeCell ref="B11:G11"/>
    <mergeCell ref="H11:I11"/>
    <mergeCell ref="K11:P11"/>
    <mergeCell ref="R11:T11"/>
    <mergeCell ref="W11:AB11"/>
    <mergeCell ref="R10:V10"/>
    <mergeCell ref="B18:G18"/>
    <mergeCell ref="H18:I18"/>
    <mergeCell ref="K18:P18"/>
    <mergeCell ref="AC18:AH18"/>
    <mergeCell ref="B19:G19"/>
    <mergeCell ref="H19:I19"/>
    <mergeCell ref="K19:P19"/>
    <mergeCell ref="AB19:AH19"/>
    <mergeCell ref="B16:G16"/>
    <mergeCell ref="H16:I16"/>
    <mergeCell ref="K16:P16"/>
    <mergeCell ref="B17:G17"/>
    <mergeCell ref="H17:I17"/>
    <mergeCell ref="K17:P17"/>
    <mergeCell ref="B14:G14"/>
    <mergeCell ref="H14:I14"/>
    <mergeCell ref="K14:P14"/>
    <mergeCell ref="R14:V14"/>
    <mergeCell ref="AC14:AH14"/>
    <mergeCell ref="B15:G15"/>
    <mergeCell ref="H15:I15"/>
    <mergeCell ref="K15:P15"/>
    <mergeCell ref="R15:V15"/>
    <mergeCell ref="AC15:AH15"/>
    <mergeCell ref="AB25:AH25"/>
    <mergeCell ref="B26:G26"/>
    <mergeCell ref="H26:I26"/>
    <mergeCell ref="K26:P26"/>
    <mergeCell ref="A22:G22"/>
    <mergeCell ref="H22:I22"/>
    <mergeCell ref="K22:Q22"/>
    <mergeCell ref="A23:D23"/>
    <mergeCell ref="M23:O23"/>
    <mergeCell ref="A24:H24"/>
    <mergeCell ref="L24:Q24"/>
    <mergeCell ref="B20:G20"/>
    <mergeCell ref="H20:I20"/>
    <mergeCell ref="K20:P20"/>
    <mergeCell ref="R20:AA20"/>
    <mergeCell ref="AB20:AH20"/>
    <mergeCell ref="A21:G21"/>
    <mergeCell ref="H21:I21"/>
    <mergeCell ref="K21:Q21"/>
    <mergeCell ref="AB21:AH21"/>
    <mergeCell ref="B29:G29"/>
    <mergeCell ref="H29:I29"/>
    <mergeCell ref="K29:P29"/>
    <mergeCell ref="A32:G32"/>
    <mergeCell ref="H32:I32"/>
    <mergeCell ref="K32:Q32"/>
    <mergeCell ref="K30:P30"/>
    <mergeCell ref="K31:P31"/>
    <mergeCell ref="H30:I30"/>
    <mergeCell ref="H31:I31"/>
    <mergeCell ref="B27:G27"/>
    <mergeCell ref="H27:I27"/>
    <mergeCell ref="K27:P27"/>
    <mergeCell ref="B28:G28"/>
    <mergeCell ref="H28:I28"/>
    <mergeCell ref="K28:P28"/>
    <mergeCell ref="R24:AA24"/>
    <mergeCell ref="A25:Q25"/>
    <mergeCell ref="R25:AA25"/>
    <mergeCell ref="B31:G31"/>
    <mergeCell ref="B30:G30"/>
    <mergeCell ref="A37:B37"/>
    <mergeCell ref="R37:X37"/>
    <mergeCell ref="Y37:Z38"/>
    <mergeCell ref="AA37:AA38"/>
    <mergeCell ref="AB37:AH37"/>
    <mergeCell ref="A38:B38"/>
    <mergeCell ref="J38:M38"/>
    <mergeCell ref="O38:Q38"/>
    <mergeCell ref="A36:B36"/>
    <mergeCell ref="D36:I36"/>
    <mergeCell ref="K36:Q36"/>
    <mergeCell ref="R36:S36"/>
    <mergeCell ref="U36:Z36"/>
    <mergeCell ref="AB36:AH36"/>
    <mergeCell ref="A33:G33"/>
    <mergeCell ref="H33:I33"/>
    <mergeCell ref="K33:Q33"/>
    <mergeCell ref="A35:B35"/>
    <mergeCell ref="R35:S35"/>
    <mergeCell ref="U35:AH35"/>
    <mergeCell ref="D37:Q37"/>
    <mergeCell ref="D35:Q35"/>
    <mergeCell ref="K40:Q40"/>
    <mergeCell ref="S40:X40"/>
    <mergeCell ref="Y40:Z40"/>
    <mergeCell ref="AB40:AG40"/>
    <mergeCell ref="B41:G41"/>
    <mergeCell ref="H41:I41"/>
    <mergeCell ref="K41:P41"/>
    <mergeCell ref="S41:X41"/>
    <mergeCell ref="Y41:Z41"/>
    <mergeCell ref="AB41:AG41"/>
    <mergeCell ref="R38:X38"/>
    <mergeCell ref="AB38:AH38"/>
    <mergeCell ref="A39:G39"/>
    <mergeCell ref="H39:I40"/>
    <mergeCell ref="J39:J40"/>
    <mergeCell ref="K39:Q39"/>
    <mergeCell ref="S39:X39"/>
    <mergeCell ref="Y39:Z39"/>
    <mergeCell ref="AB39:AG39"/>
    <mergeCell ref="A40:G40"/>
    <mergeCell ref="D38:I38"/>
    <mergeCell ref="B45:G45"/>
    <mergeCell ref="H45:I45"/>
    <mergeCell ref="K45:P45"/>
    <mergeCell ref="R45:T45"/>
    <mergeCell ref="W45:AB45"/>
    <mergeCell ref="AC45:AH45"/>
    <mergeCell ref="H43:I43"/>
    <mergeCell ref="K43:P43"/>
    <mergeCell ref="S43:X43"/>
    <mergeCell ref="Y43:Z43"/>
    <mergeCell ref="AB43:AG43"/>
    <mergeCell ref="B44:G44"/>
    <mergeCell ref="H44:I44"/>
    <mergeCell ref="K44:P44"/>
    <mergeCell ref="W44:AB44"/>
    <mergeCell ref="AC44:AH44"/>
    <mergeCell ref="B42:G42"/>
    <mergeCell ref="H42:I42"/>
    <mergeCell ref="K42:P42"/>
    <mergeCell ref="S42:X42"/>
    <mergeCell ref="Y42:Z42"/>
    <mergeCell ref="AB42:AG42"/>
    <mergeCell ref="B43:G43"/>
    <mergeCell ref="R44:V44"/>
    <mergeCell ref="B48:G48"/>
    <mergeCell ref="H48:I48"/>
    <mergeCell ref="K48:P48"/>
    <mergeCell ref="R48:V48"/>
    <mergeCell ref="AC48:AH48"/>
    <mergeCell ref="B49:G49"/>
    <mergeCell ref="H49:I49"/>
    <mergeCell ref="K49:P49"/>
    <mergeCell ref="R49:V49"/>
    <mergeCell ref="AC49:AH49"/>
    <mergeCell ref="B46:G46"/>
    <mergeCell ref="H46:I46"/>
    <mergeCell ref="K46:P46"/>
    <mergeCell ref="R46:T46"/>
    <mergeCell ref="B47:G47"/>
    <mergeCell ref="H47:I47"/>
    <mergeCell ref="K47:P47"/>
    <mergeCell ref="R47:T47"/>
    <mergeCell ref="A56:G56"/>
    <mergeCell ref="H56:I56"/>
    <mergeCell ref="K56:Q56"/>
    <mergeCell ref="AB55:AH55"/>
    <mergeCell ref="A57:D57"/>
    <mergeCell ref="M57:O57"/>
    <mergeCell ref="AC52:AH52"/>
    <mergeCell ref="B53:G53"/>
    <mergeCell ref="H53:I53"/>
    <mergeCell ref="K53:P53"/>
    <mergeCell ref="AB53:AH53"/>
    <mergeCell ref="A55:G55"/>
    <mergeCell ref="H55:I55"/>
    <mergeCell ref="K55:Q55"/>
    <mergeCell ref="R54:AA54"/>
    <mergeCell ref="AB54:AH54"/>
    <mergeCell ref="B50:G50"/>
    <mergeCell ref="H50:I50"/>
    <mergeCell ref="K50:P50"/>
    <mergeCell ref="H51:I51"/>
    <mergeCell ref="K51:P51"/>
    <mergeCell ref="H52:I52"/>
    <mergeCell ref="K52:P52"/>
    <mergeCell ref="B51:G51"/>
    <mergeCell ref="B52:G52"/>
    <mergeCell ref="B54:G54"/>
    <mergeCell ref="K54:P54"/>
    <mergeCell ref="H54:I54"/>
    <mergeCell ref="B65:G65"/>
    <mergeCell ref="H65:I65"/>
    <mergeCell ref="K65:P65"/>
    <mergeCell ref="A66:G66"/>
    <mergeCell ref="H66:I66"/>
    <mergeCell ref="K66:Q66"/>
    <mergeCell ref="AB59:AH59"/>
    <mergeCell ref="B61:G61"/>
    <mergeCell ref="H61:I61"/>
    <mergeCell ref="K61:P61"/>
    <mergeCell ref="B64:G64"/>
    <mergeCell ref="H64:I64"/>
    <mergeCell ref="K64:P64"/>
    <mergeCell ref="A58:H58"/>
    <mergeCell ref="L58:Q58"/>
    <mergeCell ref="A59:Q59"/>
    <mergeCell ref="R58:AA58"/>
    <mergeCell ref="B60:G60"/>
    <mergeCell ref="H60:I60"/>
    <mergeCell ref="K60:P60"/>
    <mergeCell ref="R59:AA59"/>
    <mergeCell ref="B62:G62"/>
    <mergeCell ref="H62:I62"/>
    <mergeCell ref="K62:P62"/>
    <mergeCell ref="B63:G63"/>
    <mergeCell ref="H63:I63"/>
    <mergeCell ref="K63:P63"/>
    <mergeCell ref="A71:B71"/>
    <mergeCell ref="R71:X71"/>
    <mergeCell ref="Y71:Z72"/>
    <mergeCell ref="AA71:AA72"/>
    <mergeCell ref="AB71:AH71"/>
    <mergeCell ref="A72:B72"/>
    <mergeCell ref="J72:M72"/>
    <mergeCell ref="O72:Q72"/>
    <mergeCell ref="A70:B70"/>
    <mergeCell ref="D70:I70"/>
    <mergeCell ref="K70:Q70"/>
    <mergeCell ref="R70:S70"/>
    <mergeCell ref="U70:Z70"/>
    <mergeCell ref="AB70:AH70"/>
    <mergeCell ref="A67:G67"/>
    <mergeCell ref="H67:I67"/>
    <mergeCell ref="K67:Q67"/>
    <mergeCell ref="A69:B69"/>
    <mergeCell ref="R69:S69"/>
    <mergeCell ref="U69:AH69"/>
    <mergeCell ref="E69:Q69"/>
    <mergeCell ref="D71:Q71"/>
    <mergeCell ref="K74:Q74"/>
    <mergeCell ref="S74:X74"/>
    <mergeCell ref="Y74:Z74"/>
    <mergeCell ref="AB74:AG74"/>
    <mergeCell ref="B75:G75"/>
    <mergeCell ref="H75:I75"/>
    <mergeCell ref="K75:P75"/>
    <mergeCell ref="S75:X75"/>
    <mergeCell ref="Y75:Z75"/>
    <mergeCell ref="AB75:AG75"/>
    <mergeCell ref="R72:X72"/>
    <mergeCell ref="AB72:AH72"/>
    <mergeCell ref="A73:G73"/>
    <mergeCell ref="H73:I74"/>
    <mergeCell ref="J73:J74"/>
    <mergeCell ref="K73:Q73"/>
    <mergeCell ref="S73:X73"/>
    <mergeCell ref="Y73:Z73"/>
    <mergeCell ref="AB73:AG73"/>
    <mergeCell ref="A74:G74"/>
    <mergeCell ref="D72:I72"/>
    <mergeCell ref="B79:G79"/>
    <mergeCell ref="H79:I79"/>
    <mergeCell ref="K79:P79"/>
    <mergeCell ref="R79:T79"/>
    <mergeCell ref="W79:AB79"/>
    <mergeCell ref="AC79:AH79"/>
    <mergeCell ref="H77:I77"/>
    <mergeCell ref="K77:P77"/>
    <mergeCell ref="S77:X77"/>
    <mergeCell ref="Y77:Z77"/>
    <mergeCell ref="AB77:AG77"/>
    <mergeCell ref="B78:G78"/>
    <mergeCell ref="H78:I78"/>
    <mergeCell ref="K78:P78"/>
    <mergeCell ref="W78:AB78"/>
    <mergeCell ref="AC78:AH78"/>
    <mergeCell ref="B76:G76"/>
    <mergeCell ref="H76:I76"/>
    <mergeCell ref="K76:P76"/>
    <mergeCell ref="S76:X76"/>
    <mergeCell ref="Y76:Z76"/>
    <mergeCell ref="AB76:AG76"/>
    <mergeCell ref="R78:V78"/>
    <mergeCell ref="B82:G82"/>
    <mergeCell ref="H82:I82"/>
    <mergeCell ref="K82:P82"/>
    <mergeCell ref="R82:V82"/>
    <mergeCell ref="AC82:AH82"/>
    <mergeCell ref="B83:G83"/>
    <mergeCell ref="H83:I83"/>
    <mergeCell ref="K83:P83"/>
    <mergeCell ref="R83:V83"/>
    <mergeCell ref="AC83:AH83"/>
    <mergeCell ref="B80:G80"/>
    <mergeCell ref="H80:I80"/>
    <mergeCell ref="K80:P80"/>
    <mergeCell ref="R80:T80"/>
    <mergeCell ref="B81:G81"/>
    <mergeCell ref="H81:I81"/>
    <mergeCell ref="K81:P81"/>
    <mergeCell ref="R81:T81"/>
    <mergeCell ref="A89:G89"/>
    <mergeCell ref="H89:I89"/>
    <mergeCell ref="K89:Q89"/>
    <mergeCell ref="AB89:AH89"/>
    <mergeCell ref="A90:D90"/>
    <mergeCell ref="M90:O90"/>
    <mergeCell ref="AC86:AH86"/>
    <mergeCell ref="B87:G87"/>
    <mergeCell ref="H87:I87"/>
    <mergeCell ref="K87:P87"/>
    <mergeCell ref="AB87:AH87"/>
    <mergeCell ref="A88:G88"/>
    <mergeCell ref="H88:I88"/>
    <mergeCell ref="K88:Q88"/>
    <mergeCell ref="R88:AA88"/>
    <mergeCell ref="AB88:AH88"/>
    <mergeCell ref="B84:G84"/>
    <mergeCell ref="H84:I84"/>
    <mergeCell ref="K84:P84"/>
    <mergeCell ref="H85:I85"/>
    <mergeCell ref="K85:P85"/>
    <mergeCell ref="H86:I86"/>
    <mergeCell ref="K86:P86"/>
    <mergeCell ref="B98:G98"/>
    <mergeCell ref="H98:I98"/>
    <mergeCell ref="K98:P98"/>
    <mergeCell ref="A99:G99"/>
    <mergeCell ref="H99:I99"/>
    <mergeCell ref="K99:Q99"/>
    <mergeCell ref="AB93:AH93"/>
    <mergeCell ref="B94:G94"/>
    <mergeCell ref="H94:I94"/>
    <mergeCell ref="K94:P94"/>
    <mergeCell ref="B95:G95"/>
    <mergeCell ref="H95:I95"/>
    <mergeCell ref="K95:P95"/>
    <mergeCell ref="U101:AH101"/>
    <mergeCell ref="A91:H91"/>
    <mergeCell ref="L91:Q91"/>
    <mergeCell ref="A92:Q92"/>
    <mergeCell ref="R92:AA92"/>
    <mergeCell ref="B93:G93"/>
    <mergeCell ref="H93:I93"/>
    <mergeCell ref="K93:P93"/>
    <mergeCell ref="R93:AA93"/>
    <mergeCell ref="K96:P96"/>
    <mergeCell ref="H96:I96"/>
    <mergeCell ref="B96:G96"/>
    <mergeCell ref="H97:I97"/>
    <mergeCell ref="B97:G97"/>
    <mergeCell ref="K97:P97"/>
    <mergeCell ref="A103:B103"/>
    <mergeCell ref="R103:X103"/>
    <mergeCell ref="Y103:Z104"/>
    <mergeCell ref="AA103:AA104"/>
    <mergeCell ref="AB103:AH103"/>
    <mergeCell ref="A104:B104"/>
    <mergeCell ref="J104:M104"/>
    <mergeCell ref="O104:Q104"/>
    <mergeCell ref="A102:B102"/>
    <mergeCell ref="D102:I102"/>
    <mergeCell ref="K102:Q102"/>
    <mergeCell ref="R102:S102"/>
    <mergeCell ref="U102:Z102"/>
    <mergeCell ref="AB102:AH102"/>
    <mergeCell ref="A100:G100"/>
    <mergeCell ref="H100:I100"/>
    <mergeCell ref="K100:Q100"/>
    <mergeCell ref="A101:B101"/>
    <mergeCell ref="D101:Q101"/>
    <mergeCell ref="R101:S101"/>
    <mergeCell ref="D103:Q103"/>
    <mergeCell ref="B108:G108"/>
    <mergeCell ref="H108:I108"/>
    <mergeCell ref="K108:P108"/>
    <mergeCell ref="S108:X108"/>
    <mergeCell ref="Y108:Z108"/>
    <mergeCell ref="AB108:AG108"/>
    <mergeCell ref="K106:Q106"/>
    <mergeCell ref="S106:X106"/>
    <mergeCell ref="Y106:Z106"/>
    <mergeCell ref="AB106:AG106"/>
    <mergeCell ref="B107:G107"/>
    <mergeCell ref="H107:I107"/>
    <mergeCell ref="K107:P107"/>
    <mergeCell ref="S107:X107"/>
    <mergeCell ref="Y107:Z107"/>
    <mergeCell ref="AB107:AG107"/>
    <mergeCell ref="R104:X104"/>
    <mergeCell ref="AB104:AH104"/>
    <mergeCell ref="A105:G105"/>
    <mergeCell ref="H105:I106"/>
    <mergeCell ref="J105:J106"/>
    <mergeCell ref="K105:Q105"/>
    <mergeCell ref="S105:X105"/>
    <mergeCell ref="Y105:Z105"/>
    <mergeCell ref="AB105:AG105"/>
    <mergeCell ref="A106:G106"/>
    <mergeCell ref="D104:I104"/>
    <mergeCell ref="B112:G112"/>
    <mergeCell ref="H112:I112"/>
    <mergeCell ref="K112:P112"/>
    <mergeCell ref="R112:T112"/>
    <mergeCell ref="B113:G113"/>
    <mergeCell ref="H113:I113"/>
    <mergeCell ref="K113:P113"/>
    <mergeCell ref="R113:T113"/>
    <mergeCell ref="B111:G111"/>
    <mergeCell ref="H111:I111"/>
    <mergeCell ref="K111:P111"/>
    <mergeCell ref="R111:T111"/>
    <mergeCell ref="W111:AB111"/>
    <mergeCell ref="AC111:AH111"/>
    <mergeCell ref="H109:I109"/>
    <mergeCell ref="K109:P109"/>
    <mergeCell ref="S109:X109"/>
    <mergeCell ref="Y109:Z109"/>
    <mergeCell ref="AB109:AG109"/>
    <mergeCell ref="B110:G110"/>
    <mergeCell ref="H110:I110"/>
    <mergeCell ref="K110:P110"/>
    <mergeCell ref="W110:AB110"/>
    <mergeCell ref="AC110:AH110"/>
    <mergeCell ref="R110:V110"/>
    <mergeCell ref="B116:G116"/>
    <mergeCell ref="H116:I116"/>
    <mergeCell ref="K116:P116"/>
    <mergeCell ref="H117:I117"/>
    <mergeCell ref="K117:P117"/>
    <mergeCell ref="H118:I118"/>
    <mergeCell ref="K118:P118"/>
    <mergeCell ref="B114:G114"/>
    <mergeCell ref="H114:I114"/>
    <mergeCell ref="K114:P114"/>
    <mergeCell ref="R114:V114"/>
    <mergeCell ref="AC114:AH114"/>
    <mergeCell ref="B115:G115"/>
    <mergeCell ref="H115:I115"/>
    <mergeCell ref="K115:P115"/>
    <mergeCell ref="R115:V115"/>
    <mergeCell ref="AC115:AH115"/>
    <mergeCell ref="A122:D122"/>
    <mergeCell ref="M122:O122"/>
    <mergeCell ref="A123:H123"/>
    <mergeCell ref="L123:Q123"/>
    <mergeCell ref="R124:AA124"/>
    <mergeCell ref="A124:Q124"/>
    <mergeCell ref="R125:AA125"/>
    <mergeCell ref="A120:G120"/>
    <mergeCell ref="H120:I120"/>
    <mergeCell ref="K120:Q120"/>
    <mergeCell ref="AB121:AH121"/>
    <mergeCell ref="A121:G121"/>
    <mergeCell ref="H121:I121"/>
    <mergeCell ref="K121:Q121"/>
    <mergeCell ref="AC118:AH118"/>
    <mergeCell ref="H119:I119"/>
    <mergeCell ref="K119:P119"/>
    <mergeCell ref="AB119:AH119"/>
    <mergeCell ref="R120:AA120"/>
    <mergeCell ref="AB120:AH120"/>
    <mergeCell ref="B119:G119"/>
    <mergeCell ref="A131:G131"/>
    <mergeCell ref="H131:I131"/>
    <mergeCell ref="K131:Q131"/>
    <mergeCell ref="A132:G132"/>
    <mergeCell ref="H132:I132"/>
    <mergeCell ref="K132:Q132"/>
    <mergeCell ref="B127:G127"/>
    <mergeCell ref="H127:I127"/>
    <mergeCell ref="K127:P127"/>
    <mergeCell ref="B130:G130"/>
    <mergeCell ref="H130:I130"/>
    <mergeCell ref="K130:P130"/>
    <mergeCell ref="AB125:AH125"/>
    <mergeCell ref="B125:G125"/>
    <mergeCell ref="H125:I125"/>
    <mergeCell ref="K125:P125"/>
    <mergeCell ref="B126:G126"/>
    <mergeCell ref="H126:I126"/>
    <mergeCell ref="K126:P126"/>
    <mergeCell ref="B128:G128"/>
    <mergeCell ref="B129:G129"/>
    <mergeCell ref="H128:I128"/>
    <mergeCell ref="H129:I129"/>
    <mergeCell ref="K128:P128"/>
    <mergeCell ref="K129:P129"/>
    <mergeCell ref="A136:B136"/>
    <mergeCell ref="R136:X136"/>
    <mergeCell ref="Y136:Z137"/>
    <mergeCell ref="AA136:AA137"/>
    <mergeCell ref="AB136:AH136"/>
    <mergeCell ref="A137:B137"/>
    <mergeCell ref="J137:M137"/>
    <mergeCell ref="O137:Q137"/>
    <mergeCell ref="A134:B134"/>
    <mergeCell ref="D134:Q134"/>
    <mergeCell ref="R134:S134"/>
    <mergeCell ref="U134:AH134"/>
    <mergeCell ref="A135:B135"/>
    <mergeCell ref="D135:I135"/>
    <mergeCell ref="K135:Q135"/>
    <mergeCell ref="R135:S135"/>
    <mergeCell ref="U135:Z135"/>
    <mergeCell ref="AB135:AH135"/>
    <mergeCell ref="D136:Q136"/>
    <mergeCell ref="K139:Q139"/>
    <mergeCell ref="S139:X139"/>
    <mergeCell ref="Y139:Z139"/>
    <mergeCell ref="AB139:AG139"/>
    <mergeCell ref="B140:G140"/>
    <mergeCell ref="H140:I140"/>
    <mergeCell ref="K140:P140"/>
    <mergeCell ref="Y140:Z140"/>
    <mergeCell ref="AB140:AG140"/>
    <mergeCell ref="R137:X137"/>
    <mergeCell ref="AB137:AH137"/>
    <mergeCell ref="A138:G138"/>
    <mergeCell ref="H138:I139"/>
    <mergeCell ref="J138:J139"/>
    <mergeCell ref="K138:Q138"/>
    <mergeCell ref="S138:X138"/>
    <mergeCell ref="Y138:Z138"/>
    <mergeCell ref="AB138:AG138"/>
    <mergeCell ref="A139:G139"/>
    <mergeCell ref="D137:I137"/>
    <mergeCell ref="H142:I142"/>
    <mergeCell ref="K142:P142"/>
    <mergeCell ref="S142:X142"/>
    <mergeCell ref="Y142:Z142"/>
    <mergeCell ref="AB142:AG142"/>
    <mergeCell ref="B143:G143"/>
    <mergeCell ref="H143:I143"/>
    <mergeCell ref="K143:P143"/>
    <mergeCell ref="W143:AB143"/>
    <mergeCell ref="AC143:AH143"/>
    <mergeCell ref="R143:V143"/>
    <mergeCell ref="B141:G141"/>
    <mergeCell ref="H141:I141"/>
    <mergeCell ref="K141:P141"/>
    <mergeCell ref="S141:X141"/>
    <mergeCell ref="Y141:Z141"/>
    <mergeCell ref="AB141:AG141"/>
    <mergeCell ref="AC147:AH147"/>
    <mergeCell ref="B148:G148"/>
    <mergeCell ref="H148:I148"/>
    <mergeCell ref="K148:P148"/>
    <mergeCell ref="R148:V148"/>
    <mergeCell ref="AC148:AH148"/>
    <mergeCell ref="B145:G145"/>
    <mergeCell ref="H145:I145"/>
    <mergeCell ref="K145:P145"/>
    <mergeCell ref="R145:T145"/>
    <mergeCell ref="B146:G146"/>
    <mergeCell ref="H146:I146"/>
    <mergeCell ref="K146:P146"/>
    <mergeCell ref="R146:T146"/>
    <mergeCell ref="B144:G144"/>
    <mergeCell ref="H144:I144"/>
    <mergeCell ref="K144:P144"/>
    <mergeCell ref="R144:T144"/>
    <mergeCell ref="W144:AB144"/>
    <mergeCell ref="AC144:AH144"/>
    <mergeCell ref="A155:D155"/>
    <mergeCell ref="M155:O155"/>
    <mergeCell ref="A156:H156"/>
    <mergeCell ref="L156:Q156"/>
    <mergeCell ref="R157:AA157"/>
    <mergeCell ref="A157:Q157"/>
    <mergeCell ref="R158:AA158"/>
    <mergeCell ref="A153:G153"/>
    <mergeCell ref="H153:I153"/>
    <mergeCell ref="K153:Q153"/>
    <mergeCell ref="AB154:AH154"/>
    <mergeCell ref="A154:G154"/>
    <mergeCell ref="H154:I154"/>
    <mergeCell ref="K154:Q154"/>
    <mergeCell ref="AC151:AH151"/>
    <mergeCell ref="H152:I152"/>
    <mergeCell ref="K152:P152"/>
    <mergeCell ref="AB152:AH152"/>
    <mergeCell ref="R153:AA153"/>
    <mergeCell ref="AB153:AH153"/>
    <mergeCell ref="W145:AB151"/>
    <mergeCell ref="B149:G149"/>
    <mergeCell ref="H149:I149"/>
    <mergeCell ref="K149:P149"/>
    <mergeCell ref="H150:I150"/>
    <mergeCell ref="K150:P150"/>
    <mergeCell ref="H151:I151"/>
    <mergeCell ref="K151:P151"/>
    <mergeCell ref="B147:G147"/>
    <mergeCell ref="H147:I147"/>
    <mergeCell ref="K147:P147"/>
    <mergeCell ref="R147:V147"/>
    <mergeCell ref="A164:G164"/>
    <mergeCell ref="H164:I164"/>
    <mergeCell ref="K164:Q164"/>
    <mergeCell ref="A165:G165"/>
    <mergeCell ref="H165:I165"/>
    <mergeCell ref="K165:Q165"/>
    <mergeCell ref="B160:G160"/>
    <mergeCell ref="H160:I160"/>
    <mergeCell ref="K160:P160"/>
    <mergeCell ref="B163:G163"/>
    <mergeCell ref="H163:I163"/>
    <mergeCell ref="K163:P163"/>
    <mergeCell ref="AB158:AH158"/>
    <mergeCell ref="B158:G158"/>
    <mergeCell ref="H158:I158"/>
    <mergeCell ref="K158:P158"/>
    <mergeCell ref="B159:G159"/>
    <mergeCell ref="H159:I159"/>
    <mergeCell ref="K159:P159"/>
    <mergeCell ref="B161:G161"/>
    <mergeCell ref="B162:G162"/>
    <mergeCell ref="H161:I161"/>
    <mergeCell ref="H162:I162"/>
    <mergeCell ref="K161:P161"/>
    <mergeCell ref="K162:P162"/>
    <mergeCell ref="A171:B171"/>
    <mergeCell ref="R171:X171"/>
    <mergeCell ref="Y171:Z172"/>
    <mergeCell ref="AA171:AA172"/>
    <mergeCell ref="AB171:AH171"/>
    <mergeCell ref="A172:B172"/>
    <mergeCell ref="J172:M172"/>
    <mergeCell ref="O172:Q172"/>
    <mergeCell ref="A169:B169"/>
    <mergeCell ref="D169:Q169"/>
    <mergeCell ref="R169:S169"/>
    <mergeCell ref="U169:AH169"/>
    <mergeCell ref="A170:B170"/>
    <mergeCell ref="D170:I170"/>
    <mergeCell ref="K170:Q170"/>
    <mergeCell ref="R170:S170"/>
    <mergeCell ref="U170:Z170"/>
    <mergeCell ref="AB170:AH170"/>
    <mergeCell ref="D171:Q171"/>
    <mergeCell ref="B176:G176"/>
    <mergeCell ref="H176:I176"/>
    <mergeCell ref="K176:P176"/>
    <mergeCell ref="S176:X176"/>
    <mergeCell ref="Y176:Z176"/>
    <mergeCell ref="AB176:AG176"/>
    <mergeCell ref="K174:Q174"/>
    <mergeCell ref="S174:X174"/>
    <mergeCell ref="Y174:Z174"/>
    <mergeCell ref="AB174:AG174"/>
    <mergeCell ref="B175:G175"/>
    <mergeCell ref="H175:I175"/>
    <mergeCell ref="K175:P175"/>
    <mergeCell ref="S175:X175"/>
    <mergeCell ref="Y175:Z175"/>
    <mergeCell ref="AB175:AG175"/>
    <mergeCell ref="R172:X172"/>
    <mergeCell ref="AB172:AH172"/>
    <mergeCell ref="A173:G173"/>
    <mergeCell ref="H173:I174"/>
    <mergeCell ref="J173:J174"/>
    <mergeCell ref="K173:Q173"/>
    <mergeCell ref="S173:X173"/>
    <mergeCell ref="Y173:Z173"/>
    <mergeCell ref="AB173:AG173"/>
    <mergeCell ref="A174:G174"/>
    <mergeCell ref="D172:I172"/>
    <mergeCell ref="B180:G180"/>
    <mergeCell ref="H180:I180"/>
    <mergeCell ref="K180:P180"/>
    <mergeCell ref="R180:T180"/>
    <mergeCell ref="B181:G181"/>
    <mergeCell ref="H181:I181"/>
    <mergeCell ref="K181:P181"/>
    <mergeCell ref="R181:T181"/>
    <mergeCell ref="B179:G179"/>
    <mergeCell ref="H179:I179"/>
    <mergeCell ref="K179:P179"/>
    <mergeCell ref="R179:T179"/>
    <mergeCell ref="W179:AB179"/>
    <mergeCell ref="AC179:AH179"/>
    <mergeCell ref="H177:I177"/>
    <mergeCell ref="K177:P177"/>
    <mergeCell ref="S177:X177"/>
    <mergeCell ref="Y177:Z177"/>
    <mergeCell ref="AB177:AG177"/>
    <mergeCell ref="B178:G178"/>
    <mergeCell ref="H178:I178"/>
    <mergeCell ref="K178:P178"/>
    <mergeCell ref="W178:AB178"/>
    <mergeCell ref="AC178:AH178"/>
    <mergeCell ref="R178:V178"/>
    <mergeCell ref="AC186:AH186"/>
    <mergeCell ref="H187:I187"/>
    <mergeCell ref="K187:P187"/>
    <mergeCell ref="AB187:AH187"/>
    <mergeCell ref="B188:G188"/>
    <mergeCell ref="H188:I188"/>
    <mergeCell ref="K188:P188"/>
    <mergeCell ref="R188:AA188"/>
    <mergeCell ref="AB188:AH188"/>
    <mergeCell ref="B184:G184"/>
    <mergeCell ref="H184:I184"/>
    <mergeCell ref="K184:P184"/>
    <mergeCell ref="H185:I185"/>
    <mergeCell ref="K185:P185"/>
    <mergeCell ref="H186:I186"/>
    <mergeCell ref="K186:P186"/>
    <mergeCell ref="B182:G182"/>
    <mergeCell ref="H182:I182"/>
    <mergeCell ref="K182:P182"/>
    <mergeCell ref="R182:V182"/>
    <mergeCell ref="AC182:AH182"/>
    <mergeCell ref="B183:G183"/>
    <mergeCell ref="H183:I183"/>
    <mergeCell ref="K183:P183"/>
    <mergeCell ref="R183:V183"/>
    <mergeCell ref="AC183:AH183"/>
    <mergeCell ref="AB193:AH193"/>
    <mergeCell ref="B194:G194"/>
    <mergeCell ref="H194:I194"/>
    <mergeCell ref="K194:P194"/>
    <mergeCell ref="B195:G195"/>
    <mergeCell ref="H195:I195"/>
    <mergeCell ref="K195:P195"/>
    <mergeCell ref="A191:D191"/>
    <mergeCell ref="M191:O191"/>
    <mergeCell ref="A192:H192"/>
    <mergeCell ref="L192:Q192"/>
    <mergeCell ref="R192:AA192"/>
    <mergeCell ref="A193:Q193"/>
    <mergeCell ref="R193:AA193"/>
    <mergeCell ref="A189:G189"/>
    <mergeCell ref="H189:I189"/>
    <mergeCell ref="K189:Q189"/>
    <mergeCell ref="AB189:AH189"/>
    <mergeCell ref="A190:G190"/>
    <mergeCell ref="H190:I190"/>
    <mergeCell ref="K190:Q190"/>
    <mergeCell ref="A205:B205"/>
    <mergeCell ref="D205:Q205"/>
    <mergeCell ref="R205:S205"/>
    <mergeCell ref="U205:AH205"/>
    <mergeCell ref="A206:B206"/>
    <mergeCell ref="D206:I206"/>
    <mergeCell ref="K206:Q206"/>
    <mergeCell ref="R206:S206"/>
    <mergeCell ref="U206:Z206"/>
    <mergeCell ref="AB206:AH206"/>
    <mergeCell ref="A200:G200"/>
    <mergeCell ref="H200:I200"/>
    <mergeCell ref="K200:Q200"/>
    <mergeCell ref="A201:G201"/>
    <mergeCell ref="H201:I201"/>
    <mergeCell ref="K201:Q201"/>
    <mergeCell ref="B196:G196"/>
    <mergeCell ref="H196:I196"/>
    <mergeCell ref="K196:P196"/>
    <mergeCell ref="B199:G199"/>
    <mergeCell ref="H199:I199"/>
    <mergeCell ref="K199:P199"/>
    <mergeCell ref="K197:P197"/>
    <mergeCell ref="K198:P198"/>
    <mergeCell ref="H197:I197"/>
    <mergeCell ref="H198:I198"/>
    <mergeCell ref="B197:G197"/>
    <mergeCell ref="B198:G198"/>
    <mergeCell ref="R208:X208"/>
    <mergeCell ref="AB208:AH208"/>
    <mergeCell ref="A209:G209"/>
    <mergeCell ref="H209:I210"/>
    <mergeCell ref="J209:J210"/>
    <mergeCell ref="K209:Q209"/>
    <mergeCell ref="S209:X209"/>
    <mergeCell ref="Y209:Z209"/>
    <mergeCell ref="AB209:AG209"/>
    <mergeCell ref="A210:G210"/>
    <mergeCell ref="A207:B207"/>
    <mergeCell ref="R207:X207"/>
    <mergeCell ref="Y207:Z208"/>
    <mergeCell ref="AA207:AA208"/>
    <mergeCell ref="AB207:AH207"/>
    <mergeCell ref="A208:B208"/>
    <mergeCell ref="J208:M208"/>
    <mergeCell ref="O208:Q208"/>
    <mergeCell ref="D207:Q207"/>
    <mergeCell ref="D208:I208"/>
    <mergeCell ref="H213:I213"/>
    <mergeCell ref="K213:P213"/>
    <mergeCell ref="W214:AB214"/>
    <mergeCell ref="AC214:AH214"/>
    <mergeCell ref="B214:G214"/>
    <mergeCell ref="H214:I214"/>
    <mergeCell ref="K214:P214"/>
    <mergeCell ref="R215:T215"/>
    <mergeCell ref="W215:AB215"/>
    <mergeCell ref="B212:G212"/>
    <mergeCell ref="H212:I212"/>
    <mergeCell ref="K212:P212"/>
    <mergeCell ref="S213:X213"/>
    <mergeCell ref="Y213:Z213"/>
    <mergeCell ref="AB213:AG213"/>
    <mergeCell ref="K210:Q210"/>
    <mergeCell ref="S210:X210"/>
    <mergeCell ref="Y210:Z210"/>
    <mergeCell ref="AB210:AG210"/>
    <mergeCell ref="B211:G211"/>
    <mergeCell ref="H211:I211"/>
    <mergeCell ref="K211:P211"/>
    <mergeCell ref="S211:X211"/>
    <mergeCell ref="Y211:Z211"/>
    <mergeCell ref="AB211:AG211"/>
    <mergeCell ref="R214:V214"/>
    <mergeCell ref="S212:X212"/>
    <mergeCell ref="Y212:Z212"/>
    <mergeCell ref="AB212:AG212"/>
    <mergeCell ref="B217:G217"/>
    <mergeCell ref="H217:I217"/>
    <mergeCell ref="K217:P217"/>
    <mergeCell ref="R218:V218"/>
    <mergeCell ref="AC218:AH218"/>
    <mergeCell ref="B218:G218"/>
    <mergeCell ref="H218:I218"/>
    <mergeCell ref="K218:P218"/>
    <mergeCell ref="R219:V219"/>
    <mergeCell ref="AC219:AH219"/>
    <mergeCell ref="AC215:AH215"/>
    <mergeCell ref="B215:G215"/>
    <mergeCell ref="H215:I215"/>
    <mergeCell ref="K215:P215"/>
    <mergeCell ref="R216:T216"/>
    <mergeCell ref="B216:G216"/>
    <mergeCell ref="H216:I216"/>
    <mergeCell ref="K216:P216"/>
    <mergeCell ref="R217:T217"/>
    <mergeCell ref="AC222:AH222"/>
    <mergeCell ref="A225:G225"/>
    <mergeCell ref="H225:I225"/>
    <mergeCell ref="K225:Q225"/>
    <mergeCell ref="AB223:AH223"/>
    <mergeCell ref="H221:I221"/>
    <mergeCell ref="H222:I222"/>
    <mergeCell ref="H223:I223"/>
    <mergeCell ref="K221:P221"/>
    <mergeCell ref="K222:P222"/>
    <mergeCell ref="K223:P223"/>
    <mergeCell ref="B219:G219"/>
    <mergeCell ref="H219:I219"/>
    <mergeCell ref="K219:P219"/>
    <mergeCell ref="B220:G220"/>
    <mergeCell ref="H220:I220"/>
    <mergeCell ref="K220:P220"/>
    <mergeCell ref="AB229:AH229"/>
    <mergeCell ref="A228:H228"/>
    <mergeCell ref="L228:Q228"/>
    <mergeCell ref="A229:Q229"/>
    <mergeCell ref="B230:G230"/>
    <mergeCell ref="H230:I230"/>
    <mergeCell ref="K230:P230"/>
    <mergeCell ref="A226:G226"/>
    <mergeCell ref="H226:I226"/>
    <mergeCell ref="K226:Q226"/>
    <mergeCell ref="R224:AA224"/>
    <mergeCell ref="AB224:AH224"/>
    <mergeCell ref="A227:D227"/>
    <mergeCell ref="M227:O227"/>
    <mergeCell ref="AB225:AH225"/>
    <mergeCell ref="B224:G224"/>
    <mergeCell ref="H224:I224"/>
    <mergeCell ref="K224:P224"/>
    <mergeCell ref="A236:G236"/>
    <mergeCell ref="H236:I236"/>
    <mergeCell ref="K236:Q236"/>
    <mergeCell ref="A237:G237"/>
    <mergeCell ref="H237:I237"/>
    <mergeCell ref="K237:Q237"/>
    <mergeCell ref="B232:G232"/>
    <mergeCell ref="H232:I232"/>
    <mergeCell ref="K232:P232"/>
    <mergeCell ref="B235:G235"/>
    <mergeCell ref="H235:I235"/>
    <mergeCell ref="K235:P235"/>
    <mergeCell ref="R228:AA228"/>
    <mergeCell ref="B231:G231"/>
    <mergeCell ref="H231:I231"/>
    <mergeCell ref="K231:P231"/>
    <mergeCell ref="R229:AA229"/>
    <mergeCell ref="B233:G233"/>
    <mergeCell ref="B234:G234"/>
    <mergeCell ref="H233:I233"/>
    <mergeCell ref="H234:I234"/>
    <mergeCell ref="K233:P233"/>
    <mergeCell ref="K234:P234"/>
    <mergeCell ref="A243:B243"/>
    <mergeCell ref="R243:X243"/>
    <mergeCell ref="Y243:Z244"/>
    <mergeCell ref="AA243:AA244"/>
    <mergeCell ref="AB243:AH243"/>
    <mergeCell ref="A244:B244"/>
    <mergeCell ref="J244:M244"/>
    <mergeCell ref="O244:Q244"/>
    <mergeCell ref="A241:B241"/>
    <mergeCell ref="D241:Q241"/>
    <mergeCell ref="R241:S241"/>
    <mergeCell ref="U241:AH241"/>
    <mergeCell ref="A242:B242"/>
    <mergeCell ref="D242:I242"/>
    <mergeCell ref="K242:Q242"/>
    <mergeCell ref="R242:S242"/>
    <mergeCell ref="U242:Z242"/>
    <mergeCell ref="AB242:AH242"/>
    <mergeCell ref="D243:Q243"/>
    <mergeCell ref="B248:G248"/>
    <mergeCell ref="H248:I248"/>
    <mergeCell ref="K248:P248"/>
    <mergeCell ref="K246:Q246"/>
    <mergeCell ref="S246:X246"/>
    <mergeCell ref="Y246:Z246"/>
    <mergeCell ref="AB246:AG246"/>
    <mergeCell ref="B247:G247"/>
    <mergeCell ref="H247:I247"/>
    <mergeCell ref="K247:P247"/>
    <mergeCell ref="S247:X247"/>
    <mergeCell ref="Y247:Z247"/>
    <mergeCell ref="AB247:AG247"/>
    <mergeCell ref="R244:X244"/>
    <mergeCell ref="AB244:AH244"/>
    <mergeCell ref="A245:G245"/>
    <mergeCell ref="H245:I246"/>
    <mergeCell ref="J245:J246"/>
    <mergeCell ref="K245:Q245"/>
    <mergeCell ref="S245:X245"/>
    <mergeCell ref="Y245:Z245"/>
    <mergeCell ref="AB245:AG245"/>
    <mergeCell ref="A246:G246"/>
    <mergeCell ref="D244:I244"/>
    <mergeCell ref="S248:X248"/>
    <mergeCell ref="AB248:AG248"/>
    <mergeCell ref="Y248:Z248"/>
    <mergeCell ref="AC251:AH251"/>
    <mergeCell ref="B251:G251"/>
    <mergeCell ref="H251:I251"/>
    <mergeCell ref="K251:P251"/>
    <mergeCell ref="R252:T252"/>
    <mergeCell ref="B252:G252"/>
    <mergeCell ref="H252:I252"/>
    <mergeCell ref="K252:P252"/>
    <mergeCell ref="R253:T253"/>
    <mergeCell ref="H249:I249"/>
    <mergeCell ref="K249:P249"/>
    <mergeCell ref="W250:AB250"/>
    <mergeCell ref="AC250:AH250"/>
    <mergeCell ref="B250:G250"/>
    <mergeCell ref="H250:I250"/>
    <mergeCell ref="K250:P250"/>
    <mergeCell ref="R251:T251"/>
    <mergeCell ref="W251:AB251"/>
    <mergeCell ref="R250:V250"/>
    <mergeCell ref="S249:X249"/>
    <mergeCell ref="AB249:AG249"/>
    <mergeCell ref="Y249:Z249"/>
    <mergeCell ref="K259:P259"/>
    <mergeCell ref="H259:I259"/>
    <mergeCell ref="B260:G260"/>
    <mergeCell ref="H260:I260"/>
    <mergeCell ref="K260:P260"/>
    <mergeCell ref="AC258:AH258"/>
    <mergeCell ref="A261:G261"/>
    <mergeCell ref="H261:I261"/>
    <mergeCell ref="K261:Q261"/>
    <mergeCell ref="AB259:AH259"/>
    <mergeCell ref="B255:G255"/>
    <mergeCell ref="H255:I255"/>
    <mergeCell ref="K255:P255"/>
    <mergeCell ref="B256:G256"/>
    <mergeCell ref="H256:I256"/>
    <mergeCell ref="K256:P256"/>
    <mergeCell ref="B253:G253"/>
    <mergeCell ref="H253:I253"/>
    <mergeCell ref="K253:P253"/>
    <mergeCell ref="R254:V254"/>
    <mergeCell ref="AC254:AH254"/>
    <mergeCell ref="B254:G254"/>
    <mergeCell ref="H254:I254"/>
    <mergeCell ref="K254:P254"/>
    <mergeCell ref="R255:V255"/>
    <mergeCell ref="AC255:AH255"/>
    <mergeCell ref="K257:P257"/>
    <mergeCell ref="K258:P258"/>
    <mergeCell ref="H257:I257"/>
    <mergeCell ref="H258:I258"/>
    <mergeCell ref="R264:AA264"/>
    <mergeCell ref="B267:G267"/>
    <mergeCell ref="H267:I267"/>
    <mergeCell ref="K267:P267"/>
    <mergeCell ref="R265:AA265"/>
    <mergeCell ref="AB265:AH265"/>
    <mergeCell ref="A264:H264"/>
    <mergeCell ref="L264:Q264"/>
    <mergeCell ref="A265:Q265"/>
    <mergeCell ref="B266:G266"/>
    <mergeCell ref="H266:I266"/>
    <mergeCell ref="K266:P266"/>
    <mergeCell ref="A262:G262"/>
    <mergeCell ref="H262:I262"/>
    <mergeCell ref="K262:Q262"/>
    <mergeCell ref="R260:AA260"/>
    <mergeCell ref="AB260:AH260"/>
    <mergeCell ref="A263:D263"/>
    <mergeCell ref="M263:O263"/>
    <mergeCell ref="AB261:AH261"/>
    <mergeCell ref="A277:B277"/>
    <mergeCell ref="D277:Q277"/>
    <mergeCell ref="R277:S277"/>
    <mergeCell ref="U277:AH277"/>
    <mergeCell ref="A278:B278"/>
    <mergeCell ref="D278:I278"/>
    <mergeCell ref="K278:Q278"/>
    <mergeCell ref="R278:S278"/>
    <mergeCell ref="U278:Z278"/>
    <mergeCell ref="AB278:AH278"/>
    <mergeCell ref="A272:G272"/>
    <mergeCell ref="H272:I272"/>
    <mergeCell ref="K272:Q272"/>
    <mergeCell ref="A273:G273"/>
    <mergeCell ref="H273:I273"/>
    <mergeCell ref="K273:Q273"/>
    <mergeCell ref="B268:G268"/>
    <mergeCell ref="H268:I268"/>
    <mergeCell ref="K268:P268"/>
    <mergeCell ref="B271:G271"/>
    <mergeCell ref="H271:I271"/>
    <mergeCell ref="K271:P271"/>
    <mergeCell ref="B269:G269"/>
    <mergeCell ref="B270:G270"/>
    <mergeCell ref="H269:I269"/>
    <mergeCell ref="H270:I270"/>
    <mergeCell ref="K269:P269"/>
    <mergeCell ref="K270:P270"/>
    <mergeCell ref="R280:X280"/>
    <mergeCell ref="AB280:AH280"/>
    <mergeCell ref="A281:G281"/>
    <mergeCell ref="H281:I282"/>
    <mergeCell ref="J281:J282"/>
    <mergeCell ref="K281:Q281"/>
    <mergeCell ref="S281:X281"/>
    <mergeCell ref="Y281:Z281"/>
    <mergeCell ref="AB281:AG281"/>
    <mergeCell ref="A282:G282"/>
    <mergeCell ref="A279:B279"/>
    <mergeCell ref="R279:X279"/>
    <mergeCell ref="Y279:Z280"/>
    <mergeCell ref="AA279:AA280"/>
    <mergeCell ref="AB279:AH279"/>
    <mergeCell ref="A280:B280"/>
    <mergeCell ref="J280:M280"/>
    <mergeCell ref="O280:Q280"/>
    <mergeCell ref="D279:Q279"/>
    <mergeCell ref="D280:I280"/>
    <mergeCell ref="B285:G285"/>
    <mergeCell ref="H285:I285"/>
    <mergeCell ref="K285:P285"/>
    <mergeCell ref="W285:AB285"/>
    <mergeCell ref="AC285:AH285"/>
    <mergeCell ref="B286:G286"/>
    <mergeCell ref="H286:I286"/>
    <mergeCell ref="K286:P286"/>
    <mergeCell ref="R286:T286"/>
    <mergeCell ref="W286:AB286"/>
    <mergeCell ref="B284:G284"/>
    <mergeCell ref="H284:I284"/>
    <mergeCell ref="K284:P284"/>
    <mergeCell ref="S284:X284"/>
    <mergeCell ref="Y284:Z284"/>
    <mergeCell ref="AB284:AG284"/>
    <mergeCell ref="K282:Q282"/>
    <mergeCell ref="S282:X282"/>
    <mergeCell ref="Y282:Z282"/>
    <mergeCell ref="AB282:AG282"/>
    <mergeCell ref="B283:G283"/>
    <mergeCell ref="H283:I283"/>
    <mergeCell ref="K283:P283"/>
    <mergeCell ref="S283:X283"/>
    <mergeCell ref="Y283:Z283"/>
    <mergeCell ref="AB283:AG283"/>
    <mergeCell ref="R285:V285"/>
    <mergeCell ref="B291:G291"/>
    <mergeCell ref="H291:I291"/>
    <mergeCell ref="K291:P291"/>
    <mergeCell ref="B292:G292"/>
    <mergeCell ref="H292:I292"/>
    <mergeCell ref="K292:P292"/>
    <mergeCell ref="B289:G289"/>
    <mergeCell ref="H289:I289"/>
    <mergeCell ref="K289:P289"/>
    <mergeCell ref="R289:V289"/>
    <mergeCell ref="AC289:AH289"/>
    <mergeCell ref="B290:G290"/>
    <mergeCell ref="H290:I290"/>
    <mergeCell ref="K290:P290"/>
    <mergeCell ref="R290:V290"/>
    <mergeCell ref="AC290:AH290"/>
    <mergeCell ref="AC286:AH286"/>
    <mergeCell ref="B287:G287"/>
    <mergeCell ref="H287:I287"/>
    <mergeCell ref="K287:P287"/>
    <mergeCell ref="R287:T287"/>
    <mergeCell ref="B288:G288"/>
    <mergeCell ref="H288:I288"/>
    <mergeCell ref="K288:P288"/>
    <mergeCell ref="R288:T288"/>
    <mergeCell ref="AB300:AH300"/>
    <mergeCell ref="A297:H297"/>
    <mergeCell ref="L297:Q297"/>
    <mergeCell ref="A298:Q298"/>
    <mergeCell ref="B299:G299"/>
    <mergeCell ref="H299:I299"/>
    <mergeCell ref="K299:P299"/>
    <mergeCell ref="A295:G295"/>
    <mergeCell ref="H295:I295"/>
    <mergeCell ref="K295:Q295"/>
    <mergeCell ref="R295:AA295"/>
    <mergeCell ref="AB295:AH295"/>
    <mergeCell ref="A296:D296"/>
    <mergeCell ref="M296:O296"/>
    <mergeCell ref="AB296:AH296"/>
    <mergeCell ref="B293:G293"/>
    <mergeCell ref="H293:I293"/>
    <mergeCell ref="K293:P293"/>
    <mergeCell ref="AC293:AH293"/>
    <mergeCell ref="A294:G294"/>
    <mergeCell ref="H294:I294"/>
    <mergeCell ref="K294:Q294"/>
    <mergeCell ref="AB294:AH294"/>
    <mergeCell ref="A305:G305"/>
    <mergeCell ref="H305:I305"/>
    <mergeCell ref="K305:Q305"/>
    <mergeCell ref="A306:G306"/>
    <mergeCell ref="H306:I306"/>
    <mergeCell ref="K306:Q306"/>
    <mergeCell ref="B301:G301"/>
    <mergeCell ref="H301:I301"/>
    <mergeCell ref="K301:P301"/>
    <mergeCell ref="B304:G304"/>
    <mergeCell ref="H304:I304"/>
    <mergeCell ref="K304:P304"/>
    <mergeCell ref="R299:AA299"/>
    <mergeCell ref="B300:G300"/>
    <mergeCell ref="H300:I300"/>
    <mergeCell ref="K300:P300"/>
    <mergeCell ref="R300:AA300"/>
    <mergeCell ref="B302:G302"/>
    <mergeCell ref="B303:G303"/>
    <mergeCell ref="K302:P302"/>
    <mergeCell ref="K303:P303"/>
    <mergeCell ref="H302:I302"/>
    <mergeCell ref="H303:I303"/>
    <mergeCell ref="A312:B312"/>
    <mergeCell ref="R312:X312"/>
    <mergeCell ref="Y312:Z313"/>
    <mergeCell ref="AA312:AA313"/>
    <mergeCell ref="AB312:AH312"/>
    <mergeCell ref="A313:B313"/>
    <mergeCell ref="J313:M313"/>
    <mergeCell ref="O313:Q313"/>
    <mergeCell ref="A310:B310"/>
    <mergeCell ref="D310:Q310"/>
    <mergeCell ref="R310:S310"/>
    <mergeCell ref="U310:AH310"/>
    <mergeCell ref="A311:B311"/>
    <mergeCell ref="D311:I311"/>
    <mergeCell ref="K311:Q311"/>
    <mergeCell ref="R311:S311"/>
    <mergeCell ref="U311:Z311"/>
    <mergeCell ref="AB311:AH311"/>
    <mergeCell ref="D312:Q312"/>
    <mergeCell ref="K315:Q315"/>
    <mergeCell ref="S315:X315"/>
    <mergeCell ref="Y315:Z315"/>
    <mergeCell ref="AB315:AG315"/>
    <mergeCell ref="B316:G316"/>
    <mergeCell ref="H316:I316"/>
    <mergeCell ref="K316:P316"/>
    <mergeCell ref="S316:X316"/>
    <mergeCell ref="Y316:Z316"/>
    <mergeCell ref="AB316:AG316"/>
    <mergeCell ref="R313:X313"/>
    <mergeCell ref="AB313:AH313"/>
    <mergeCell ref="A314:G314"/>
    <mergeCell ref="H314:I315"/>
    <mergeCell ref="J314:J315"/>
    <mergeCell ref="K314:Q314"/>
    <mergeCell ref="S314:X314"/>
    <mergeCell ref="Y314:Z314"/>
    <mergeCell ref="AB314:AG314"/>
    <mergeCell ref="A315:G315"/>
    <mergeCell ref="D313:I313"/>
    <mergeCell ref="AC318:AH318"/>
    <mergeCell ref="B320:G320"/>
    <mergeCell ref="H320:I320"/>
    <mergeCell ref="K320:P320"/>
    <mergeCell ref="R319:T319"/>
    <mergeCell ref="W319:AB319"/>
    <mergeCell ref="AC319:AH319"/>
    <mergeCell ref="B318:G318"/>
    <mergeCell ref="H318:I318"/>
    <mergeCell ref="K318:P318"/>
    <mergeCell ref="B319:G319"/>
    <mergeCell ref="H319:I319"/>
    <mergeCell ref="K319:P319"/>
    <mergeCell ref="W318:AB318"/>
    <mergeCell ref="B317:G317"/>
    <mergeCell ref="H317:I317"/>
    <mergeCell ref="K317:P317"/>
    <mergeCell ref="S317:X317"/>
    <mergeCell ref="Y317:Z317"/>
    <mergeCell ref="AB317:AG317"/>
    <mergeCell ref="R318:V318"/>
    <mergeCell ref="B323:G323"/>
    <mergeCell ref="H323:I323"/>
    <mergeCell ref="K323:P323"/>
    <mergeCell ref="R322:V322"/>
    <mergeCell ref="AC322:AH322"/>
    <mergeCell ref="B324:G324"/>
    <mergeCell ref="H324:I324"/>
    <mergeCell ref="K324:P324"/>
    <mergeCell ref="R323:V323"/>
    <mergeCell ref="AC323:AH323"/>
    <mergeCell ref="B321:G321"/>
    <mergeCell ref="H321:I321"/>
    <mergeCell ref="K321:P321"/>
    <mergeCell ref="R320:T320"/>
    <mergeCell ref="B322:G322"/>
    <mergeCell ref="H322:I322"/>
    <mergeCell ref="K322:P322"/>
    <mergeCell ref="R321:T321"/>
    <mergeCell ref="R328:AA328"/>
    <mergeCell ref="AB328:AH328"/>
    <mergeCell ref="A331:Q331"/>
    <mergeCell ref="AB329:AH329"/>
    <mergeCell ref="A328:G328"/>
    <mergeCell ref="H328:I328"/>
    <mergeCell ref="K328:Q328"/>
    <mergeCell ref="AC326:AH326"/>
    <mergeCell ref="A329:D329"/>
    <mergeCell ref="M329:O329"/>
    <mergeCell ref="AB327:AH327"/>
    <mergeCell ref="B326:G326"/>
    <mergeCell ref="H326:I326"/>
    <mergeCell ref="K326:P326"/>
    <mergeCell ref="A327:G327"/>
    <mergeCell ref="H327:I327"/>
    <mergeCell ref="K327:Q327"/>
    <mergeCell ref="AB333:AH333"/>
    <mergeCell ref="A338:G338"/>
    <mergeCell ref="H338:I338"/>
    <mergeCell ref="K338:Q338"/>
    <mergeCell ref="A339:G339"/>
    <mergeCell ref="H339:I339"/>
    <mergeCell ref="K339:Q339"/>
    <mergeCell ref="B336:G336"/>
    <mergeCell ref="H336:I336"/>
    <mergeCell ref="K336:P336"/>
    <mergeCell ref="R332:AA332"/>
    <mergeCell ref="B337:G337"/>
    <mergeCell ref="H337:I337"/>
    <mergeCell ref="K337:P337"/>
    <mergeCell ref="R333:AA333"/>
    <mergeCell ref="B332:G332"/>
    <mergeCell ref="H332:I332"/>
    <mergeCell ref="K332:P332"/>
    <mergeCell ref="B335:G335"/>
    <mergeCell ref="H335:I335"/>
    <mergeCell ref="K335:P335"/>
    <mergeCell ref="B333:G333"/>
    <mergeCell ref="B334:G334"/>
    <mergeCell ref="K333:P333"/>
    <mergeCell ref="K334:P334"/>
    <mergeCell ref="H333:I333"/>
    <mergeCell ref="H334:I334"/>
    <mergeCell ref="R345:X345"/>
    <mergeCell ref="Y345:Z346"/>
    <mergeCell ref="AA345:AA346"/>
    <mergeCell ref="AB345:AH345"/>
    <mergeCell ref="A346:B346"/>
    <mergeCell ref="J346:M346"/>
    <mergeCell ref="O346:Q346"/>
    <mergeCell ref="A343:B343"/>
    <mergeCell ref="D343:Q343"/>
    <mergeCell ref="R343:S343"/>
    <mergeCell ref="U343:AH343"/>
    <mergeCell ref="A344:B344"/>
    <mergeCell ref="D344:I344"/>
    <mergeCell ref="K344:Q344"/>
    <mergeCell ref="R344:S344"/>
    <mergeCell ref="U344:Z344"/>
    <mergeCell ref="AB344:AH344"/>
    <mergeCell ref="D345:Q345"/>
    <mergeCell ref="S348:X348"/>
    <mergeCell ref="Y348:Z348"/>
    <mergeCell ref="AB348:AG348"/>
    <mergeCell ref="B349:G349"/>
    <mergeCell ref="H349:I349"/>
    <mergeCell ref="K349:P349"/>
    <mergeCell ref="S349:X349"/>
    <mergeCell ref="Y349:Z349"/>
    <mergeCell ref="AB349:AG349"/>
    <mergeCell ref="R346:X346"/>
    <mergeCell ref="AB346:AH346"/>
    <mergeCell ref="A347:G347"/>
    <mergeCell ref="H347:I348"/>
    <mergeCell ref="J347:J348"/>
    <mergeCell ref="K347:Q347"/>
    <mergeCell ref="S347:X347"/>
    <mergeCell ref="Y347:Z347"/>
    <mergeCell ref="AB347:AG347"/>
    <mergeCell ref="A348:G348"/>
    <mergeCell ref="D346:I346"/>
    <mergeCell ref="AC351:AH351"/>
    <mergeCell ref="B353:G353"/>
    <mergeCell ref="H353:I353"/>
    <mergeCell ref="K353:P353"/>
    <mergeCell ref="R352:T352"/>
    <mergeCell ref="W352:AB352"/>
    <mergeCell ref="AC352:AH352"/>
    <mergeCell ref="B351:G351"/>
    <mergeCell ref="H351:I351"/>
    <mergeCell ref="K351:P351"/>
    <mergeCell ref="B352:G352"/>
    <mergeCell ref="H352:I352"/>
    <mergeCell ref="K352:P352"/>
    <mergeCell ref="W351:AB351"/>
    <mergeCell ref="B350:G350"/>
    <mergeCell ref="H350:I350"/>
    <mergeCell ref="K350:P350"/>
    <mergeCell ref="S350:X350"/>
    <mergeCell ref="Y350:Z350"/>
    <mergeCell ref="AB350:AG350"/>
    <mergeCell ref="R351:V351"/>
    <mergeCell ref="R355:V355"/>
    <mergeCell ref="AC355:AH355"/>
    <mergeCell ref="B357:G357"/>
    <mergeCell ref="H357:I357"/>
    <mergeCell ref="K357:P357"/>
    <mergeCell ref="R356:V356"/>
    <mergeCell ref="AC356:AH356"/>
    <mergeCell ref="B354:G354"/>
    <mergeCell ref="H354:I354"/>
    <mergeCell ref="K354:P354"/>
    <mergeCell ref="R353:T353"/>
    <mergeCell ref="B355:G355"/>
    <mergeCell ref="H355:I355"/>
    <mergeCell ref="K355:P355"/>
    <mergeCell ref="R354:T354"/>
    <mergeCell ref="A363:H363"/>
    <mergeCell ref="L363:Q363"/>
    <mergeCell ref="R361:AA361"/>
    <mergeCell ref="AB361:AH361"/>
    <mergeCell ref="AB362:AH362"/>
    <mergeCell ref="A361:G361"/>
    <mergeCell ref="H361:I361"/>
    <mergeCell ref="K361:Q361"/>
    <mergeCell ref="AC359:AH359"/>
    <mergeCell ref="A362:D362"/>
    <mergeCell ref="M362:O362"/>
    <mergeCell ref="AB360:AH360"/>
    <mergeCell ref="B359:G359"/>
    <mergeCell ref="H359:I359"/>
    <mergeCell ref="K359:P359"/>
    <mergeCell ref="A360:G360"/>
    <mergeCell ref="H360:I360"/>
    <mergeCell ref="AB366:AH366"/>
    <mergeCell ref="A371:G371"/>
    <mergeCell ref="H371:I371"/>
    <mergeCell ref="K371:Q371"/>
    <mergeCell ref="A372:G372"/>
    <mergeCell ref="H372:I372"/>
    <mergeCell ref="K372:Q372"/>
    <mergeCell ref="B369:G369"/>
    <mergeCell ref="H369:I369"/>
    <mergeCell ref="K369:P369"/>
    <mergeCell ref="R365:AA365"/>
    <mergeCell ref="B370:G370"/>
    <mergeCell ref="H370:I370"/>
    <mergeCell ref="K370:P370"/>
    <mergeCell ref="R366:AA366"/>
    <mergeCell ref="B365:G365"/>
    <mergeCell ref="H365:I365"/>
    <mergeCell ref="K365:P365"/>
    <mergeCell ref="B366:G366"/>
    <mergeCell ref="H366:I366"/>
    <mergeCell ref="K366:P366"/>
    <mergeCell ref="R378:X378"/>
    <mergeCell ref="Y378:Z379"/>
    <mergeCell ref="AA378:AA379"/>
    <mergeCell ref="AB378:AH378"/>
    <mergeCell ref="A379:B379"/>
    <mergeCell ref="J379:M379"/>
    <mergeCell ref="O379:Q379"/>
    <mergeCell ref="A376:B376"/>
    <mergeCell ref="D376:Q376"/>
    <mergeCell ref="R376:S376"/>
    <mergeCell ref="U376:AH376"/>
    <mergeCell ref="A377:B377"/>
    <mergeCell ref="D377:I377"/>
    <mergeCell ref="K377:Q377"/>
    <mergeCell ref="R377:S377"/>
    <mergeCell ref="U377:Z377"/>
    <mergeCell ref="AB377:AH377"/>
    <mergeCell ref="D378:Q378"/>
    <mergeCell ref="S381:X381"/>
    <mergeCell ref="Y381:Z381"/>
    <mergeCell ref="AB381:AG381"/>
    <mergeCell ref="B382:G382"/>
    <mergeCell ref="H382:I382"/>
    <mergeCell ref="K382:P382"/>
    <mergeCell ref="S382:X382"/>
    <mergeCell ref="Y382:Z382"/>
    <mergeCell ref="AB382:AG382"/>
    <mergeCell ref="R379:X379"/>
    <mergeCell ref="AB379:AH379"/>
    <mergeCell ref="A380:G380"/>
    <mergeCell ref="H380:I381"/>
    <mergeCell ref="J380:J381"/>
    <mergeCell ref="K380:Q380"/>
    <mergeCell ref="S380:X380"/>
    <mergeCell ref="Y380:Z380"/>
    <mergeCell ref="AB380:AG380"/>
    <mergeCell ref="A381:G381"/>
    <mergeCell ref="D379:I379"/>
    <mergeCell ref="AC385:AH385"/>
    <mergeCell ref="B386:G386"/>
    <mergeCell ref="H386:I386"/>
    <mergeCell ref="K386:P386"/>
    <mergeCell ref="R386:T386"/>
    <mergeCell ref="W386:AB386"/>
    <mergeCell ref="AC386:AH386"/>
    <mergeCell ref="B384:G384"/>
    <mergeCell ref="H384:I384"/>
    <mergeCell ref="K384:P384"/>
    <mergeCell ref="Y384:Z384"/>
    <mergeCell ref="B385:G385"/>
    <mergeCell ref="H385:I385"/>
    <mergeCell ref="K385:P385"/>
    <mergeCell ref="W385:AB385"/>
    <mergeCell ref="B383:G383"/>
    <mergeCell ref="H383:I383"/>
    <mergeCell ref="K383:P383"/>
    <mergeCell ref="S383:X383"/>
    <mergeCell ref="Y383:Z383"/>
    <mergeCell ref="AB383:AG383"/>
    <mergeCell ref="R385:V385"/>
    <mergeCell ref="R389:V389"/>
    <mergeCell ref="AC389:AH389"/>
    <mergeCell ref="B390:G390"/>
    <mergeCell ref="H390:I390"/>
    <mergeCell ref="K390:P390"/>
    <mergeCell ref="R390:V390"/>
    <mergeCell ref="AC390:AH390"/>
    <mergeCell ref="B387:G387"/>
    <mergeCell ref="H387:I387"/>
    <mergeCell ref="K387:P387"/>
    <mergeCell ref="R387:T387"/>
    <mergeCell ref="B388:G388"/>
    <mergeCell ref="H388:I388"/>
    <mergeCell ref="K388:P388"/>
    <mergeCell ref="R388:T388"/>
    <mergeCell ref="A395:H395"/>
    <mergeCell ref="L395:Q395"/>
    <mergeCell ref="R395:AA395"/>
    <mergeCell ref="AB395:AH395"/>
    <mergeCell ref="A396:Q396"/>
    <mergeCell ref="AB396:AH396"/>
    <mergeCell ref="A393:G393"/>
    <mergeCell ref="H393:I393"/>
    <mergeCell ref="K393:Q393"/>
    <mergeCell ref="AC393:AH393"/>
    <mergeCell ref="A394:D394"/>
    <mergeCell ref="M394:O394"/>
    <mergeCell ref="AB394:AH394"/>
    <mergeCell ref="B391:G391"/>
    <mergeCell ref="H391:I391"/>
    <mergeCell ref="K391:P391"/>
    <mergeCell ref="A392:G392"/>
    <mergeCell ref="H392:I392"/>
    <mergeCell ref="K392:Q392"/>
    <mergeCell ref="AB400:AH400"/>
    <mergeCell ref="A403:G403"/>
    <mergeCell ref="H403:I403"/>
    <mergeCell ref="K403:Q403"/>
    <mergeCell ref="A404:G404"/>
    <mergeCell ref="H404:I404"/>
    <mergeCell ref="K404:Q404"/>
    <mergeCell ref="B401:G401"/>
    <mergeCell ref="H401:I401"/>
    <mergeCell ref="K401:P401"/>
    <mergeCell ref="R399:AA399"/>
    <mergeCell ref="B402:G402"/>
    <mergeCell ref="H402:I402"/>
    <mergeCell ref="K402:P402"/>
    <mergeCell ref="R400:AA400"/>
    <mergeCell ref="B397:G397"/>
    <mergeCell ref="H397:I397"/>
    <mergeCell ref="K397:P397"/>
    <mergeCell ref="B398:G398"/>
    <mergeCell ref="H398:I398"/>
    <mergeCell ref="K398:P398"/>
    <mergeCell ref="A410:B410"/>
    <mergeCell ref="R410:X410"/>
    <mergeCell ref="Y410:Z411"/>
    <mergeCell ref="AA410:AA411"/>
    <mergeCell ref="AB410:AH410"/>
    <mergeCell ref="A411:B411"/>
    <mergeCell ref="J411:M411"/>
    <mergeCell ref="O411:Q411"/>
    <mergeCell ref="A408:B408"/>
    <mergeCell ref="D408:Q408"/>
    <mergeCell ref="R408:S408"/>
    <mergeCell ref="U408:AH408"/>
    <mergeCell ref="A409:B409"/>
    <mergeCell ref="D409:I409"/>
    <mergeCell ref="K409:Q409"/>
    <mergeCell ref="R409:S409"/>
    <mergeCell ref="U409:Z409"/>
    <mergeCell ref="AB409:AH409"/>
    <mergeCell ref="D410:Q410"/>
    <mergeCell ref="K413:Q413"/>
    <mergeCell ref="S413:X413"/>
    <mergeCell ref="Y413:Z413"/>
    <mergeCell ref="AB413:AG413"/>
    <mergeCell ref="B414:G414"/>
    <mergeCell ref="H414:I414"/>
    <mergeCell ref="K414:P414"/>
    <mergeCell ref="S414:X414"/>
    <mergeCell ref="Y414:Z414"/>
    <mergeCell ref="AB414:AG414"/>
    <mergeCell ref="R411:X411"/>
    <mergeCell ref="AB411:AH411"/>
    <mergeCell ref="A412:G412"/>
    <mergeCell ref="H412:I413"/>
    <mergeCell ref="J412:J413"/>
    <mergeCell ref="K412:Q412"/>
    <mergeCell ref="S412:X412"/>
    <mergeCell ref="Y412:Z412"/>
    <mergeCell ref="AB412:AG412"/>
    <mergeCell ref="A413:G413"/>
    <mergeCell ref="D411:I411"/>
    <mergeCell ref="AC417:AH417"/>
    <mergeCell ref="B418:G418"/>
    <mergeCell ref="H418:I418"/>
    <mergeCell ref="K418:P418"/>
    <mergeCell ref="R418:T418"/>
    <mergeCell ref="W418:AB418"/>
    <mergeCell ref="AC418:AH418"/>
    <mergeCell ref="B416:G416"/>
    <mergeCell ref="H416:I416"/>
    <mergeCell ref="K416:P416"/>
    <mergeCell ref="Y416:Z416"/>
    <mergeCell ref="B417:G417"/>
    <mergeCell ref="H417:I417"/>
    <mergeCell ref="K417:P417"/>
    <mergeCell ref="W417:AB417"/>
    <mergeCell ref="B415:G415"/>
    <mergeCell ref="H415:I415"/>
    <mergeCell ref="K415:P415"/>
    <mergeCell ref="S415:X415"/>
    <mergeCell ref="Y415:Z415"/>
    <mergeCell ref="AB415:AG415"/>
    <mergeCell ref="R417:V417"/>
    <mergeCell ref="B421:G421"/>
    <mergeCell ref="H421:I421"/>
    <mergeCell ref="K421:P421"/>
    <mergeCell ref="R421:V421"/>
    <mergeCell ref="AC421:AH421"/>
    <mergeCell ref="B422:G422"/>
    <mergeCell ref="H422:I422"/>
    <mergeCell ref="K422:P422"/>
    <mergeCell ref="R422:V422"/>
    <mergeCell ref="AC422:AH422"/>
    <mergeCell ref="B419:G419"/>
    <mergeCell ref="H419:I419"/>
    <mergeCell ref="K419:P419"/>
    <mergeCell ref="R419:T419"/>
    <mergeCell ref="B420:G420"/>
    <mergeCell ref="H420:I420"/>
    <mergeCell ref="K420:P420"/>
    <mergeCell ref="R420:T420"/>
    <mergeCell ref="A427:H427"/>
    <mergeCell ref="L427:Q427"/>
    <mergeCell ref="R427:AA427"/>
    <mergeCell ref="AB427:AH427"/>
    <mergeCell ref="A428:Q428"/>
    <mergeCell ref="AB428:AH428"/>
    <mergeCell ref="A425:G425"/>
    <mergeCell ref="H425:I425"/>
    <mergeCell ref="K425:Q425"/>
    <mergeCell ref="AC425:AH425"/>
    <mergeCell ref="A426:D426"/>
    <mergeCell ref="M426:O426"/>
    <mergeCell ref="AB426:AH426"/>
    <mergeCell ref="B423:G423"/>
    <mergeCell ref="H423:I423"/>
    <mergeCell ref="K423:P423"/>
    <mergeCell ref="A424:G424"/>
    <mergeCell ref="H424:I424"/>
    <mergeCell ref="K424:Q424"/>
    <mergeCell ref="AB432:AH432"/>
    <mergeCell ref="A435:G435"/>
    <mergeCell ref="H435:I435"/>
    <mergeCell ref="K435:Q435"/>
    <mergeCell ref="A436:G436"/>
    <mergeCell ref="H436:I436"/>
    <mergeCell ref="K436:Q436"/>
    <mergeCell ref="B433:G433"/>
    <mergeCell ref="H433:I433"/>
    <mergeCell ref="K433:P433"/>
    <mergeCell ref="R431:AA431"/>
    <mergeCell ref="B434:G434"/>
    <mergeCell ref="H434:I434"/>
    <mergeCell ref="K434:P434"/>
    <mergeCell ref="R432:AA432"/>
    <mergeCell ref="B429:G429"/>
    <mergeCell ref="H429:I429"/>
    <mergeCell ref="K429:P429"/>
    <mergeCell ref="B430:G430"/>
    <mergeCell ref="H430:I430"/>
    <mergeCell ref="K430:P430"/>
    <mergeCell ref="B431:G431"/>
    <mergeCell ref="B432:G432"/>
    <mergeCell ref="K431:P431"/>
    <mergeCell ref="K432:P432"/>
    <mergeCell ref="H431:I431"/>
    <mergeCell ref="H432:I432"/>
    <mergeCell ref="A442:B442"/>
    <mergeCell ref="R442:X442"/>
    <mergeCell ref="Y442:Z443"/>
    <mergeCell ref="AA442:AA443"/>
    <mergeCell ref="AB442:AH442"/>
    <mergeCell ref="A443:B443"/>
    <mergeCell ref="J443:M443"/>
    <mergeCell ref="O443:Q443"/>
    <mergeCell ref="A440:B440"/>
    <mergeCell ref="D440:Q440"/>
    <mergeCell ref="R440:S440"/>
    <mergeCell ref="U440:AH440"/>
    <mergeCell ref="A441:B441"/>
    <mergeCell ref="D441:I441"/>
    <mergeCell ref="K441:Q441"/>
    <mergeCell ref="R441:S441"/>
    <mergeCell ref="U441:Z441"/>
    <mergeCell ref="AB441:AH441"/>
    <mergeCell ref="D442:Q442"/>
    <mergeCell ref="K445:Q445"/>
    <mergeCell ref="S445:X445"/>
    <mergeCell ref="Y445:Z445"/>
    <mergeCell ref="AB445:AG445"/>
    <mergeCell ref="B446:G446"/>
    <mergeCell ref="H446:I446"/>
    <mergeCell ref="K446:P446"/>
    <mergeCell ref="S446:X446"/>
    <mergeCell ref="Y446:Z446"/>
    <mergeCell ref="AB446:AG446"/>
    <mergeCell ref="R443:X443"/>
    <mergeCell ref="AB443:AH443"/>
    <mergeCell ref="A444:G444"/>
    <mergeCell ref="H444:I445"/>
    <mergeCell ref="J444:J445"/>
    <mergeCell ref="K444:Q444"/>
    <mergeCell ref="S444:X444"/>
    <mergeCell ref="Y444:Z444"/>
    <mergeCell ref="AB444:AG444"/>
    <mergeCell ref="A445:G445"/>
    <mergeCell ref="D443:I443"/>
    <mergeCell ref="AC449:AH449"/>
    <mergeCell ref="B450:G450"/>
    <mergeCell ref="H450:I450"/>
    <mergeCell ref="K450:P450"/>
    <mergeCell ref="R450:T450"/>
    <mergeCell ref="W450:AB450"/>
    <mergeCell ref="AC450:AH450"/>
    <mergeCell ref="B448:G448"/>
    <mergeCell ref="H448:I448"/>
    <mergeCell ref="K448:P448"/>
    <mergeCell ref="Y448:Z448"/>
    <mergeCell ref="B449:G449"/>
    <mergeCell ref="H449:I449"/>
    <mergeCell ref="K449:P449"/>
    <mergeCell ref="W449:AB449"/>
    <mergeCell ref="B447:G447"/>
    <mergeCell ref="H447:I447"/>
    <mergeCell ref="K447:P447"/>
    <mergeCell ref="S447:X447"/>
    <mergeCell ref="Y447:Z447"/>
    <mergeCell ref="AB447:AG447"/>
    <mergeCell ref="R449:V449"/>
    <mergeCell ref="B453:G453"/>
    <mergeCell ref="H453:I453"/>
    <mergeCell ref="K453:P453"/>
    <mergeCell ref="R453:V453"/>
    <mergeCell ref="AC453:AH453"/>
    <mergeCell ref="B454:G454"/>
    <mergeCell ref="H454:I454"/>
    <mergeCell ref="K454:P454"/>
    <mergeCell ref="R454:V454"/>
    <mergeCell ref="AC454:AH454"/>
    <mergeCell ref="B451:G451"/>
    <mergeCell ref="H451:I451"/>
    <mergeCell ref="K451:P451"/>
    <mergeCell ref="R451:T451"/>
    <mergeCell ref="B452:G452"/>
    <mergeCell ref="H452:I452"/>
    <mergeCell ref="K452:P452"/>
    <mergeCell ref="R452:T452"/>
    <mergeCell ref="A459:H459"/>
    <mergeCell ref="L459:Q459"/>
    <mergeCell ref="R459:AA459"/>
    <mergeCell ref="AB459:AH459"/>
    <mergeCell ref="A460:Q460"/>
    <mergeCell ref="AB460:AH460"/>
    <mergeCell ref="A457:G457"/>
    <mergeCell ref="H457:I457"/>
    <mergeCell ref="K457:Q457"/>
    <mergeCell ref="AC457:AH457"/>
    <mergeCell ref="A458:D458"/>
    <mergeCell ref="M458:O458"/>
    <mergeCell ref="AB458:AH458"/>
    <mergeCell ref="B455:G455"/>
    <mergeCell ref="H455:I455"/>
    <mergeCell ref="K455:P455"/>
    <mergeCell ref="A456:G456"/>
    <mergeCell ref="H456:I456"/>
    <mergeCell ref="K456:Q456"/>
    <mergeCell ref="AB464:AH464"/>
    <mergeCell ref="A467:G467"/>
    <mergeCell ref="H467:I467"/>
    <mergeCell ref="K467:Q467"/>
    <mergeCell ref="A468:G468"/>
    <mergeCell ref="H468:I468"/>
    <mergeCell ref="K468:Q468"/>
    <mergeCell ref="B465:G465"/>
    <mergeCell ref="H465:I465"/>
    <mergeCell ref="K465:P465"/>
    <mergeCell ref="R463:AA463"/>
    <mergeCell ref="B466:G466"/>
    <mergeCell ref="H466:I466"/>
    <mergeCell ref="K466:P466"/>
    <mergeCell ref="R464:AA464"/>
    <mergeCell ref="B461:G461"/>
    <mergeCell ref="H461:I461"/>
    <mergeCell ref="K461:P461"/>
    <mergeCell ref="B462:G462"/>
    <mergeCell ref="H462:I462"/>
    <mergeCell ref="K462:P462"/>
    <mergeCell ref="B463:G463"/>
    <mergeCell ref="B464:G464"/>
    <mergeCell ref="H463:I463"/>
    <mergeCell ref="H464:I464"/>
    <mergeCell ref="K463:P463"/>
    <mergeCell ref="K464:P464"/>
    <mergeCell ref="A474:B474"/>
    <mergeCell ref="R474:X474"/>
    <mergeCell ref="Y474:Z475"/>
    <mergeCell ref="AA474:AA475"/>
    <mergeCell ref="AB474:AH474"/>
    <mergeCell ref="A475:B475"/>
    <mergeCell ref="J475:M475"/>
    <mergeCell ref="O475:Q475"/>
    <mergeCell ref="A472:B472"/>
    <mergeCell ref="D472:Q472"/>
    <mergeCell ref="R472:S472"/>
    <mergeCell ref="U472:AH472"/>
    <mergeCell ref="A473:B473"/>
    <mergeCell ref="D473:I473"/>
    <mergeCell ref="K473:Q473"/>
    <mergeCell ref="R473:S473"/>
    <mergeCell ref="U473:Z473"/>
    <mergeCell ref="AB473:AH473"/>
    <mergeCell ref="D474:Q474"/>
    <mergeCell ref="K477:Q477"/>
    <mergeCell ref="S477:X477"/>
    <mergeCell ref="Y477:Z477"/>
    <mergeCell ref="AB477:AG477"/>
    <mergeCell ref="B478:G478"/>
    <mergeCell ref="H478:I478"/>
    <mergeCell ref="K478:P478"/>
    <mergeCell ref="S478:X478"/>
    <mergeCell ref="Y478:Z478"/>
    <mergeCell ref="AB478:AG478"/>
    <mergeCell ref="R475:X475"/>
    <mergeCell ref="AB475:AH475"/>
    <mergeCell ref="A476:G476"/>
    <mergeCell ref="H476:I477"/>
    <mergeCell ref="J476:J477"/>
    <mergeCell ref="K476:Q476"/>
    <mergeCell ref="S476:X476"/>
    <mergeCell ref="Y476:Z476"/>
    <mergeCell ref="AB476:AG476"/>
    <mergeCell ref="A477:G477"/>
    <mergeCell ref="D475:I475"/>
    <mergeCell ref="B482:G482"/>
    <mergeCell ref="H482:I482"/>
    <mergeCell ref="K482:P482"/>
    <mergeCell ref="R482:T482"/>
    <mergeCell ref="W482:AB482"/>
    <mergeCell ref="AC482:AH482"/>
    <mergeCell ref="B480:G480"/>
    <mergeCell ref="H480:I480"/>
    <mergeCell ref="K480:P480"/>
    <mergeCell ref="Y480:Z480"/>
    <mergeCell ref="AB480:AG480"/>
    <mergeCell ref="B481:G481"/>
    <mergeCell ref="H481:I481"/>
    <mergeCell ref="K481:P481"/>
    <mergeCell ref="W481:AB481"/>
    <mergeCell ref="AC481:AH481"/>
    <mergeCell ref="B479:G479"/>
    <mergeCell ref="H479:I479"/>
    <mergeCell ref="K479:P479"/>
    <mergeCell ref="S479:X479"/>
    <mergeCell ref="Y479:Z479"/>
    <mergeCell ref="AB479:AG479"/>
    <mergeCell ref="R481:V481"/>
    <mergeCell ref="B485:G485"/>
    <mergeCell ref="H485:I485"/>
    <mergeCell ref="K485:P485"/>
    <mergeCell ref="R485:V485"/>
    <mergeCell ref="AC485:AH485"/>
    <mergeCell ref="B486:G486"/>
    <mergeCell ref="H486:I486"/>
    <mergeCell ref="K486:P486"/>
    <mergeCell ref="R486:V486"/>
    <mergeCell ref="AC486:AH486"/>
    <mergeCell ref="B483:G483"/>
    <mergeCell ref="H483:I483"/>
    <mergeCell ref="K483:P483"/>
    <mergeCell ref="R483:T483"/>
    <mergeCell ref="B484:G484"/>
    <mergeCell ref="H484:I484"/>
    <mergeCell ref="K484:P484"/>
    <mergeCell ref="R484:T484"/>
    <mergeCell ref="A491:H491"/>
    <mergeCell ref="L491:Q491"/>
    <mergeCell ref="R491:AA491"/>
    <mergeCell ref="AB491:AH491"/>
    <mergeCell ref="A492:Q492"/>
    <mergeCell ref="AB492:AH492"/>
    <mergeCell ref="A489:G489"/>
    <mergeCell ref="H489:I489"/>
    <mergeCell ref="K489:Q489"/>
    <mergeCell ref="AC489:AH489"/>
    <mergeCell ref="A490:D490"/>
    <mergeCell ref="M490:O490"/>
    <mergeCell ref="AB490:AH490"/>
    <mergeCell ref="B487:G487"/>
    <mergeCell ref="H487:I487"/>
    <mergeCell ref="K487:P487"/>
    <mergeCell ref="A488:G488"/>
    <mergeCell ref="H488:I488"/>
    <mergeCell ref="K488:Q488"/>
    <mergeCell ref="AB496:AH496"/>
    <mergeCell ref="A499:G499"/>
    <mergeCell ref="H499:I499"/>
    <mergeCell ref="K499:Q499"/>
    <mergeCell ref="A500:G500"/>
    <mergeCell ref="H500:I500"/>
    <mergeCell ref="K500:Q500"/>
    <mergeCell ref="B497:G497"/>
    <mergeCell ref="H497:I497"/>
    <mergeCell ref="K497:P497"/>
    <mergeCell ref="R495:AA495"/>
    <mergeCell ref="B498:G498"/>
    <mergeCell ref="H498:I498"/>
    <mergeCell ref="K498:P498"/>
    <mergeCell ref="R496:AA496"/>
    <mergeCell ref="B493:G493"/>
    <mergeCell ref="H493:I493"/>
    <mergeCell ref="K493:P493"/>
    <mergeCell ref="B496:G496"/>
    <mergeCell ref="H496:I496"/>
    <mergeCell ref="K496:P496"/>
    <mergeCell ref="B494:G494"/>
    <mergeCell ref="B495:G495"/>
    <mergeCell ref="K494:P494"/>
    <mergeCell ref="K495:P495"/>
    <mergeCell ref="H494:I494"/>
    <mergeCell ref="H495:I495"/>
    <mergeCell ref="A506:B506"/>
    <mergeCell ref="R506:X506"/>
    <mergeCell ref="Y506:Z507"/>
    <mergeCell ref="AA506:AA507"/>
    <mergeCell ref="AB506:AH506"/>
    <mergeCell ref="A507:B507"/>
    <mergeCell ref="J507:M507"/>
    <mergeCell ref="O507:Q507"/>
    <mergeCell ref="A504:B504"/>
    <mergeCell ref="D504:Q504"/>
    <mergeCell ref="R504:S504"/>
    <mergeCell ref="U504:AH504"/>
    <mergeCell ref="A505:B505"/>
    <mergeCell ref="D505:I505"/>
    <mergeCell ref="K505:Q505"/>
    <mergeCell ref="R505:S505"/>
    <mergeCell ref="U505:Z505"/>
    <mergeCell ref="AB505:AH505"/>
    <mergeCell ref="D506:Q506"/>
    <mergeCell ref="B511:G511"/>
    <mergeCell ref="H511:I511"/>
    <mergeCell ref="K511:P511"/>
    <mergeCell ref="S511:X511"/>
    <mergeCell ref="Y511:Z511"/>
    <mergeCell ref="AB511:AG511"/>
    <mergeCell ref="K509:Q509"/>
    <mergeCell ref="S509:X509"/>
    <mergeCell ref="Y509:Z509"/>
    <mergeCell ref="AB509:AG509"/>
    <mergeCell ref="B510:G510"/>
    <mergeCell ref="H510:I510"/>
    <mergeCell ref="K510:P510"/>
    <mergeCell ref="S510:X510"/>
    <mergeCell ref="Y510:Z510"/>
    <mergeCell ref="AB510:AG510"/>
    <mergeCell ref="R507:X507"/>
    <mergeCell ref="AB507:AH507"/>
    <mergeCell ref="A508:G508"/>
    <mergeCell ref="H508:I509"/>
    <mergeCell ref="J508:J509"/>
    <mergeCell ref="K508:Q508"/>
    <mergeCell ref="S508:X508"/>
    <mergeCell ref="Y508:Z508"/>
    <mergeCell ref="AB508:AG508"/>
    <mergeCell ref="A509:G509"/>
    <mergeCell ref="D507:I507"/>
    <mergeCell ref="B515:G515"/>
    <mergeCell ref="H515:I515"/>
    <mergeCell ref="K515:P515"/>
    <mergeCell ref="R515:T515"/>
    <mergeCell ref="B516:G516"/>
    <mergeCell ref="H516:I516"/>
    <mergeCell ref="K516:P516"/>
    <mergeCell ref="R516:T516"/>
    <mergeCell ref="AC513:AH513"/>
    <mergeCell ref="B514:G514"/>
    <mergeCell ref="H514:I514"/>
    <mergeCell ref="K514:P514"/>
    <mergeCell ref="R514:T514"/>
    <mergeCell ref="W514:AB514"/>
    <mergeCell ref="AC514:AH514"/>
    <mergeCell ref="B512:G512"/>
    <mergeCell ref="H512:I512"/>
    <mergeCell ref="K512:P512"/>
    <mergeCell ref="Y512:Z512"/>
    <mergeCell ref="B513:G513"/>
    <mergeCell ref="H513:I513"/>
    <mergeCell ref="K513:P513"/>
    <mergeCell ref="W513:AB513"/>
    <mergeCell ref="R513:V513"/>
    <mergeCell ref="AB523:AH523"/>
    <mergeCell ref="A524:Q524"/>
    <mergeCell ref="AB524:AH524"/>
    <mergeCell ref="A521:G521"/>
    <mergeCell ref="H521:I521"/>
    <mergeCell ref="K521:Q521"/>
    <mergeCell ref="AC521:AH521"/>
    <mergeCell ref="A522:D522"/>
    <mergeCell ref="M522:O522"/>
    <mergeCell ref="AB522:AH522"/>
    <mergeCell ref="B519:G519"/>
    <mergeCell ref="H519:I519"/>
    <mergeCell ref="K519:P519"/>
    <mergeCell ref="A520:G520"/>
    <mergeCell ref="H520:I520"/>
    <mergeCell ref="K520:Q520"/>
    <mergeCell ref="B517:G517"/>
    <mergeCell ref="H517:I517"/>
    <mergeCell ref="K517:P517"/>
    <mergeCell ref="R517:V517"/>
    <mergeCell ref="AC517:AH517"/>
    <mergeCell ref="B518:G518"/>
    <mergeCell ref="H518:I518"/>
    <mergeCell ref="K518:P518"/>
    <mergeCell ref="R518:V518"/>
    <mergeCell ref="AC518:AH518"/>
    <mergeCell ref="R527:AA527"/>
    <mergeCell ref="B530:G530"/>
    <mergeCell ref="H530:I530"/>
    <mergeCell ref="K530:P530"/>
    <mergeCell ref="R528:AA528"/>
    <mergeCell ref="B525:G525"/>
    <mergeCell ref="H525:I525"/>
    <mergeCell ref="K525:P525"/>
    <mergeCell ref="B526:G526"/>
    <mergeCell ref="H526:I526"/>
    <mergeCell ref="K526:P526"/>
    <mergeCell ref="A523:H523"/>
    <mergeCell ref="L523:Q523"/>
    <mergeCell ref="R523:AA523"/>
    <mergeCell ref="B527:G527"/>
    <mergeCell ref="K527:P527"/>
    <mergeCell ref="H527:I527"/>
    <mergeCell ref="A536:B536"/>
    <mergeCell ref="D536:Q536"/>
    <mergeCell ref="R536:S536"/>
    <mergeCell ref="U536:AH536"/>
    <mergeCell ref="A537:B537"/>
    <mergeCell ref="D537:I537"/>
    <mergeCell ref="K537:Q537"/>
    <mergeCell ref="R537:S537"/>
    <mergeCell ref="U537:Z537"/>
    <mergeCell ref="AB537:AH537"/>
    <mergeCell ref="AB528:AH528"/>
    <mergeCell ref="A531:G531"/>
    <mergeCell ref="H531:I531"/>
    <mergeCell ref="K531:Q531"/>
    <mergeCell ref="A532:G532"/>
    <mergeCell ref="H532:I532"/>
    <mergeCell ref="K532:Q532"/>
    <mergeCell ref="B528:G528"/>
    <mergeCell ref="K528:P528"/>
    <mergeCell ref="H528:I528"/>
    <mergeCell ref="B529:G529"/>
    <mergeCell ref="H529:I529"/>
    <mergeCell ref="K529:P529"/>
    <mergeCell ref="R539:X539"/>
    <mergeCell ref="AB539:AH539"/>
    <mergeCell ref="A540:G540"/>
    <mergeCell ref="H540:I541"/>
    <mergeCell ref="J540:J541"/>
    <mergeCell ref="K540:Q540"/>
    <mergeCell ref="S540:X540"/>
    <mergeCell ref="Y540:Z540"/>
    <mergeCell ref="AB540:AG540"/>
    <mergeCell ref="A541:G541"/>
    <mergeCell ref="A538:B538"/>
    <mergeCell ref="R538:X538"/>
    <mergeCell ref="Y538:Z539"/>
    <mergeCell ref="AA538:AA539"/>
    <mergeCell ref="AB538:AH538"/>
    <mergeCell ref="A539:B539"/>
    <mergeCell ref="J539:M539"/>
    <mergeCell ref="O539:Q539"/>
    <mergeCell ref="D538:Q538"/>
    <mergeCell ref="D539:I539"/>
    <mergeCell ref="B543:G543"/>
    <mergeCell ref="H543:I543"/>
    <mergeCell ref="K543:P543"/>
    <mergeCell ref="Y543:Z543"/>
    <mergeCell ref="B544:G544"/>
    <mergeCell ref="H544:I544"/>
    <mergeCell ref="K544:P544"/>
    <mergeCell ref="Y544:Z544"/>
    <mergeCell ref="K541:Q541"/>
    <mergeCell ref="S541:X541"/>
    <mergeCell ref="Y541:Z541"/>
    <mergeCell ref="AB541:AG541"/>
    <mergeCell ref="B542:G542"/>
    <mergeCell ref="H542:I542"/>
    <mergeCell ref="K542:P542"/>
    <mergeCell ref="S542:X542"/>
    <mergeCell ref="Y542:Z542"/>
    <mergeCell ref="AB542:AG542"/>
    <mergeCell ref="S543:X543"/>
    <mergeCell ref="AB543:AG543"/>
    <mergeCell ref="AC546:AH546"/>
    <mergeCell ref="B549:G549"/>
    <mergeCell ref="H549:I549"/>
    <mergeCell ref="K549:P549"/>
    <mergeCell ref="R547:T547"/>
    <mergeCell ref="B551:G551"/>
    <mergeCell ref="H551:I551"/>
    <mergeCell ref="K551:P551"/>
    <mergeCell ref="R548:T548"/>
    <mergeCell ref="B547:G547"/>
    <mergeCell ref="H547:I547"/>
    <mergeCell ref="K547:P547"/>
    <mergeCell ref="W545:AB545"/>
    <mergeCell ref="AC545:AH545"/>
    <mergeCell ref="B548:G548"/>
    <mergeCell ref="H548:I548"/>
    <mergeCell ref="K548:P548"/>
    <mergeCell ref="R546:T546"/>
    <mergeCell ref="W546:AB546"/>
    <mergeCell ref="B546:G546"/>
    <mergeCell ref="H546:I546"/>
    <mergeCell ref="K546:P546"/>
    <mergeCell ref="B545:G545"/>
    <mergeCell ref="H545:I545"/>
    <mergeCell ref="K545:P545"/>
    <mergeCell ref="R545:V545"/>
    <mergeCell ref="AC553:AH553"/>
    <mergeCell ref="AB554:AH554"/>
    <mergeCell ref="A556:Q556"/>
    <mergeCell ref="B557:G557"/>
    <mergeCell ref="H557:I557"/>
    <mergeCell ref="K557:P557"/>
    <mergeCell ref="B558:G558"/>
    <mergeCell ref="H558:I558"/>
    <mergeCell ref="K558:P558"/>
    <mergeCell ref="B559:G559"/>
    <mergeCell ref="H559:I559"/>
    <mergeCell ref="K559:P559"/>
    <mergeCell ref="B560:G560"/>
    <mergeCell ref="H560:I560"/>
    <mergeCell ref="K560:P560"/>
    <mergeCell ref="R549:V549"/>
    <mergeCell ref="AC549:AH549"/>
    <mergeCell ref="A553:G553"/>
    <mergeCell ref="H553:I553"/>
    <mergeCell ref="K553:Q553"/>
    <mergeCell ref="R550:V550"/>
    <mergeCell ref="AC550:AH550"/>
    <mergeCell ref="B550:G550"/>
    <mergeCell ref="K550:P550"/>
    <mergeCell ref="H550:I550"/>
    <mergeCell ref="A552:G552"/>
    <mergeCell ref="H552:I552"/>
    <mergeCell ref="K552:Q552"/>
    <mergeCell ref="A567:B567"/>
    <mergeCell ref="D567:Q567"/>
    <mergeCell ref="R567:S567"/>
    <mergeCell ref="U567:AH567"/>
    <mergeCell ref="A568:B568"/>
    <mergeCell ref="D568:I568"/>
    <mergeCell ref="K568:Q568"/>
    <mergeCell ref="R568:S568"/>
    <mergeCell ref="U568:Z568"/>
    <mergeCell ref="AB568:AH568"/>
    <mergeCell ref="R555:AA555"/>
    <mergeCell ref="AB555:AH555"/>
    <mergeCell ref="AB556:AH556"/>
    <mergeCell ref="R559:AA559"/>
    <mergeCell ref="R560:AA560"/>
    <mergeCell ref="AB560:AH560"/>
    <mergeCell ref="A554:D554"/>
    <mergeCell ref="M554:O554"/>
    <mergeCell ref="A555:H555"/>
    <mergeCell ref="L555:Q555"/>
    <mergeCell ref="B561:G561"/>
    <mergeCell ref="H561:I561"/>
    <mergeCell ref="K561:P561"/>
    <mergeCell ref="B562:G562"/>
    <mergeCell ref="H562:I562"/>
    <mergeCell ref="K562:P562"/>
    <mergeCell ref="A563:G563"/>
    <mergeCell ref="H563:I563"/>
    <mergeCell ref="K563:Q563"/>
    <mergeCell ref="A564:G564"/>
    <mergeCell ref="H564:I564"/>
    <mergeCell ref="K564:Q564"/>
    <mergeCell ref="R570:X570"/>
    <mergeCell ref="AB570:AH570"/>
    <mergeCell ref="A571:G571"/>
    <mergeCell ref="H571:I572"/>
    <mergeCell ref="J571:J572"/>
    <mergeCell ref="K571:Q571"/>
    <mergeCell ref="S571:X571"/>
    <mergeCell ref="Y571:Z571"/>
    <mergeCell ref="AB571:AG571"/>
    <mergeCell ref="A572:G572"/>
    <mergeCell ref="A569:B569"/>
    <mergeCell ref="R569:X569"/>
    <mergeCell ref="Y569:Z570"/>
    <mergeCell ref="AA569:AA570"/>
    <mergeCell ref="AB569:AH569"/>
    <mergeCell ref="A570:B570"/>
    <mergeCell ref="J570:M570"/>
    <mergeCell ref="O570:Q570"/>
    <mergeCell ref="D569:Q569"/>
    <mergeCell ref="D570:I570"/>
    <mergeCell ref="B574:G574"/>
    <mergeCell ref="H574:I574"/>
    <mergeCell ref="K574:P574"/>
    <mergeCell ref="Y574:Z574"/>
    <mergeCell ref="B575:G575"/>
    <mergeCell ref="H575:I575"/>
    <mergeCell ref="K575:P575"/>
    <mergeCell ref="Y575:Z575"/>
    <mergeCell ref="K572:Q572"/>
    <mergeCell ref="S572:X572"/>
    <mergeCell ref="Y572:Z572"/>
    <mergeCell ref="R579:T579"/>
    <mergeCell ref="B578:G578"/>
    <mergeCell ref="H578:I578"/>
    <mergeCell ref="K578:P578"/>
    <mergeCell ref="W576:AB576"/>
    <mergeCell ref="AB572:AG572"/>
    <mergeCell ref="B573:G573"/>
    <mergeCell ref="H573:I573"/>
    <mergeCell ref="K573:P573"/>
    <mergeCell ref="S573:X573"/>
    <mergeCell ref="Y573:Z573"/>
    <mergeCell ref="AB573:AG573"/>
    <mergeCell ref="S574:X574"/>
    <mergeCell ref="AB574:AG574"/>
    <mergeCell ref="AC576:AH576"/>
    <mergeCell ref="B579:G579"/>
    <mergeCell ref="H579:I579"/>
    <mergeCell ref="K579:P579"/>
    <mergeCell ref="R577:T577"/>
    <mergeCell ref="W577:AB577"/>
    <mergeCell ref="B577:G577"/>
    <mergeCell ref="H577:I577"/>
    <mergeCell ref="K577:P577"/>
    <mergeCell ref="AC577:AH577"/>
    <mergeCell ref="B580:G580"/>
    <mergeCell ref="H580:I580"/>
    <mergeCell ref="K580:P580"/>
    <mergeCell ref="R578:T578"/>
    <mergeCell ref="R586:AA586"/>
    <mergeCell ref="AB586:AH586"/>
    <mergeCell ref="AB587:AH587"/>
    <mergeCell ref="B582:G582"/>
    <mergeCell ref="H582:I582"/>
    <mergeCell ref="K582:P582"/>
    <mergeCell ref="R576:V576"/>
    <mergeCell ref="B576:G576"/>
    <mergeCell ref="H576:I576"/>
    <mergeCell ref="K576:P576"/>
    <mergeCell ref="R590:AA590"/>
    <mergeCell ref="R591:AA591"/>
    <mergeCell ref="AB591:AH591"/>
    <mergeCell ref="A585:D585"/>
    <mergeCell ref="M585:O585"/>
    <mergeCell ref="A586:H586"/>
    <mergeCell ref="L586:Q586"/>
    <mergeCell ref="AC584:AH584"/>
    <mergeCell ref="AB585:AH585"/>
    <mergeCell ref="A583:G583"/>
    <mergeCell ref="H583:I583"/>
    <mergeCell ref="K583:Q583"/>
    <mergeCell ref="R580:V580"/>
    <mergeCell ref="AC580:AH580"/>
    <mergeCell ref="A584:G584"/>
    <mergeCell ref="H584:I584"/>
    <mergeCell ref="K584:Q584"/>
    <mergeCell ref="R581:V581"/>
    <mergeCell ref="AC581:AH581"/>
    <mergeCell ref="H581:I581"/>
    <mergeCell ref="B581:G581"/>
    <mergeCell ref="K581:P581"/>
    <mergeCell ref="A587:Q587"/>
    <mergeCell ref="B588:G588"/>
    <mergeCell ref="H588:I588"/>
    <mergeCell ref="K588:P588"/>
    <mergeCell ref="B589:G589"/>
    <mergeCell ref="H589:I589"/>
    <mergeCell ref="K589:P589"/>
    <mergeCell ref="B590:G590"/>
    <mergeCell ref="H590:I590"/>
    <mergeCell ref="K590:P590"/>
    <mergeCell ref="B591:G591"/>
    <mergeCell ref="H591:I591"/>
    <mergeCell ref="K591:P591"/>
    <mergeCell ref="B592:G592"/>
    <mergeCell ref="H592:I592"/>
    <mergeCell ref="K592:P592"/>
    <mergeCell ref="B593:G593"/>
    <mergeCell ref="H593:I593"/>
    <mergeCell ref="K593:P593"/>
    <mergeCell ref="A594:G594"/>
    <mergeCell ref="H594:I594"/>
    <mergeCell ref="K594:Q594"/>
    <mergeCell ref="A595:G595"/>
    <mergeCell ref="H595:I595"/>
    <mergeCell ref="K595:Q595"/>
    <mergeCell ref="A598:B598"/>
    <mergeCell ref="D598:Q598"/>
    <mergeCell ref="R598:S598"/>
    <mergeCell ref="U598:AH598"/>
    <mergeCell ref="A599:B599"/>
    <mergeCell ref="D599:I599"/>
    <mergeCell ref="K599:Q599"/>
    <mergeCell ref="R599:S599"/>
    <mergeCell ref="U599:Z599"/>
    <mergeCell ref="AB599:AH599"/>
    <mergeCell ref="A600:B600"/>
    <mergeCell ref="D600:Q600"/>
    <mergeCell ref="R600:X600"/>
    <mergeCell ref="Y600:Z601"/>
    <mergeCell ref="AA600:AA601"/>
    <mergeCell ref="AB600:AH600"/>
    <mergeCell ref="A601:B601"/>
    <mergeCell ref="D601:I601"/>
    <mergeCell ref="J601:M601"/>
    <mergeCell ref="O601:Q601"/>
    <mergeCell ref="R601:X601"/>
    <mergeCell ref="AB601:AH601"/>
    <mergeCell ref="A602:G602"/>
    <mergeCell ref="H602:I603"/>
    <mergeCell ref="J602:J603"/>
    <mergeCell ref="K602:Q602"/>
    <mergeCell ref="S602:X602"/>
    <mergeCell ref="Y602:Z602"/>
    <mergeCell ref="AB602:AG602"/>
    <mergeCell ref="A603:G603"/>
    <mergeCell ref="K603:Q603"/>
    <mergeCell ref="S603:X603"/>
    <mergeCell ref="Y603:Z603"/>
    <mergeCell ref="AB603:AG603"/>
    <mergeCell ref="B604:G604"/>
    <mergeCell ref="H604:I604"/>
    <mergeCell ref="K604:P604"/>
    <mergeCell ref="S604:X604"/>
    <mergeCell ref="Y604:Z604"/>
    <mergeCell ref="AB604:AG604"/>
    <mergeCell ref="B605:G605"/>
    <mergeCell ref="H605:I605"/>
    <mergeCell ref="K605:P605"/>
    <mergeCell ref="Y605:Z605"/>
    <mergeCell ref="B606:G606"/>
    <mergeCell ref="H606:I606"/>
    <mergeCell ref="K606:P606"/>
    <mergeCell ref="Y608:Z608"/>
    <mergeCell ref="B607:G607"/>
    <mergeCell ref="H607:I607"/>
    <mergeCell ref="K607:P607"/>
    <mergeCell ref="R609:V609"/>
    <mergeCell ref="W609:AB609"/>
    <mergeCell ref="AC609:AH609"/>
    <mergeCell ref="B608:G608"/>
    <mergeCell ref="H608:I608"/>
    <mergeCell ref="K608:P608"/>
    <mergeCell ref="S606:X606"/>
    <mergeCell ref="S607:X607"/>
    <mergeCell ref="Y606:Z606"/>
    <mergeCell ref="Y607:Z607"/>
    <mergeCell ref="AB606:AG606"/>
    <mergeCell ref="AB607:AG607"/>
    <mergeCell ref="S608:X608"/>
    <mergeCell ref="S605:X605"/>
    <mergeCell ref="AB605:AG605"/>
    <mergeCell ref="AB608:AG608"/>
    <mergeCell ref="B609:G609"/>
    <mergeCell ref="H609:I609"/>
    <mergeCell ref="K609:P609"/>
    <mergeCell ref="R611:T611"/>
    <mergeCell ref="B610:G610"/>
    <mergeCell ref="H610:I610"/>
    <mergeCell ref="K610:P610"/>
    <mergeCell ref="R612:T612"/>
    <mergeCell ref="B611:G611"/>
    <mergeCell ref="H611:I611"/>
    <mergeCell ref="K611:P611"/>
    <mergeCell ref="R613:V613"/>
    <mergeCell ref="AC613:AH613"/>
    <mergeCell ref="B612:G612"/>
    <mergeCell ref="H612:I612"/>
    <mergeCell ref="K612:P612"/>
    <mergeCell ref="R614:V614"/>
    <mergeCell ref="AC614:AH614"/>
    <mergeCell ref="R610:T610"/>
    <mergeCell ref="W610:AB610"/>
    <mergeCell ref="AC610:AH610"/>
    <mergeCell ref="AB620:AH620"/>
    <mergeCell ref="R623:AA623"/>
    <mergeCell ref="R624:AA624"/>
    <mergeCell ref="AB624:AH624"/>
    <mergeCell ref="A613:G613"/>
    <mergeCell ref="H613:I613"/>
    <mergeCell ref="K613:Q613"/>
    <mergeCell ref="A614:G614"/>
    <mergeCell ref="H614:I614"/>
    <mergeCell ref="K614:Q614"/>
    <mergeCell ref="AC617:AH617"/>
    <mergeCell ref="A615:D615"/>
    <mergeCell ref="M615:O615"/>
    <mergeCell ref="AB618:AH618"/>
    <mergeCell ref="A616:H616"/>
    <mergeCell ref="L616:Q616"/>
    <mergeCell ref="R619:AA619"/>
    <mergeCell ref="AB619:AH619"/>
    <mergeCell ref="A627:B627"/>
    <mergeCell ref="D627:Q627"/>
    <mergeCell ref="R627:S627"/>
    <mergeCell ref="U627:AH627"/>
    <mergeCell ref="A628:B628"/>
    <mergeCell ref="D628:I628"/>
    <mergeCell ref="K628:Q628"/>
    <mergeCell ref="R628:S628"/>
    <mergeCell ref="U628:Z628"/>
    <mergeCell ref="AB628:AH628"/>
    <mergeCell ref="A629:B629"/>
    <mergeCell ref="D629:Q629"/>
    <mergeCell ref="R629:X629"/>
    <mergeCell ref="Y629:Z630"/>
    <mergeCell ref="AA629:AA630"/>
    <mergeCell ref="AB629:AH629"/>
    <mergeCell ref="A630:B630"/>
    <mergeCell ref="D630:I630"/>
    <mergeCell ref="J630:M630"/>
    <mergeCell ref="O630:Q630"/>
    <mergeCell ref="R630:X630"/>
    <mergeCell ref="AB630:AH630"/>
    <mergeCell ref="A631:G631"/>
    <mergeCell ref="H631:I632"/>
    <mergeCell ref="J631:J632"/>
    <mergeCell ref="K631:Q631"/>
    <mergeCell ref="Y631:Z631"/>
    <mergeCell ref="AB631:AG631"/>
    <mergeCell ref="A632:G632"/>
    <mergeCell ref="K632:Q632"/>
    <mergeCell ref="Y632:Z632"/>
    <mergeCell ref="AB632:AG632"/>
    <mergeCell ref="B633:G633"/>
    <mergeCell ref="H633:I633"/>
    <mergeCell ref="K633:P633"/>
    <mergeCell ref="Y633:Z633"/>
    <mergeCell ref="AB633:AG633"/>
    <mergeCell ref="B634:G634"/>
    <mergeCell ref="H634:I634"/>
    <mergeCell ref="K634:P634"/>
    <mergeCell ref="S634:X634"/>
    <mergeCell ref="Y634:Z634"/>
    <mergeCell ref="AB634:AG634"/>
    <mergeCell ref="B635:G635"/>
    <mergeCell ref="H635:I635"/>
    <mergeCell ref="K635:P635"/>
    <mergeCell ref="S635:X635"/>
    <mergeCell ref="Y635:Z635"/>
    <mergeCell ref="AB635:AG635"/>
    <mergeCell ref="B636:G636"/>
    <mergeCell ref="H636:I636"/>
    <mergeCell ref="K636:P636"/>
    <mergeCell ref="B637:G637"/>
    <mergeCell ref="H637:I637"/>
    <mergeCell ref="K637:P637"/>
    <mergeCell ref="B638:G638"/>
    <mergeCell ref="H638:I638"/>
    <mergeCell ref="K638:P638"/>
    <mergeCell ref="R636:V636"/>
    <mergeCell ref="W636:AB636"/>
    <mergeCell ref="AC636:AH636"/>
    <mergeCell ref="B639:G639"/>
    <mergeCell ref="H639:I639"/>
    <mergeCell ref="K639:P639"/>
    <mergeCell ref="R637:T637"/>
    <mergeCell ref="W637:AB637"/>
    <mergeCell ref="AC637:AH637"/>
    <mergeCell ref="B640:G640"/>
    <mergeCell ref="H640:I640"/>
    <mergeCell ref="K640:P640"/>
    <mergeCell ref="R638:T638"/>
    <mergeCell ref="B641:G641"/>
    <mergeCell ref="H641:I641"/>
    <mergeCell ref="K641:P641"/>
    <mergeCell ref="R639:T639"/>
    <mergeCell ref="A642:G642"/>
    <mergeCell ref="H642:I642"/>
    <mergeCell ref="K642:Q642"/>
    <mergeCell ref="R640:V640"/>
    <mergeCell ref="AC640:AH640"/>
    <mergeCell ref="A643:G643"/>
    <mergeCell ref="H643:I643"/>
    <mergeCell ref="K643:Q643"/>
    <mergeCell ref="R641:V641"/>
    <mergeCell ref="AC641:AH641"/>
    <mergeCell ref="A644:D644"/>
    <mergeCell ref="M644:O644"/>
    <mergeCell ref="A645:H645"/>
    <mergeCell ref="L645:Q645"/>
    <mergeCell ref="AC644:AH644"/>
    <mergeCell ref="AB645:AH645"/>
    <mergeCell ref="R646:AA646"/>
    <mergeCell ref="AB646:AH646"/>
    <mergeCell ref="AB647:AH647"/>
    <mergeCell ref="R650:AA650"/>
    <mergeCell ref="R651:AA651"/>
    <mergeCell ref="AB651:AH651"/>
    <mergeCell ref="A656:B656"/>
    <mergeCell ref="D656:Q656"/>
    <mergeCell ref="R656:S656"/>
    <mergeCell ref="U656:AH656"/>
    <mergeCell ref="A657:B657"/>
    <mergeCell ref="D657:I657"/>
    <mergeCell ref="K657:Q657"/>
    <mergeCell ref="R657:S657"/>
    <mergeCell ref="U657:Z657"/>
    <mergeCell ref="AB657:AH657"/>
    <mergeCell ref="A658:B658"/>
    <mergeCell ref="D658:Q658"/>
    <mergeCell ref="R658:X658"/>
    <mergeCell ref="Y658:Z659"/>
    <mergeCell ref="AA658:AA659"/>
    <mergeCell ref="AB658:AH658"/>
    <mergeCell ref="A659:B659"/>
    <mergeCell ref="D659:I659"/>
    <mergeCell ref="J659:M659"/>
    <mergeCell ref="O659:Q659"/>
    <mergeCell ref="R659:X659"/>
    <mergeCell ref="AB659:AH659"/>
    <mergeCell ref="A660:G660"/>
    <mergeCell ref="H660:I661"/>
    <mergeCell ref="J660:J661"/>
    <mergeCell ref="K660:Q660"/>
    <mergeCell ref="A661:G661"/>
    <mergeCell ref="K661:Q661"/>
    <mergeCell ref="S660:X660"/>
    <mergeCell ref="Y660:Z660"/>
    <mergeCell ref="AB660:AG660"/>
    <mergeCell ref="B662:G662"/>
    <mergeCell ref="H662:I662"/>
    <mergeCell ref="K662:P662"/>
    <mergeCell ref="S661:X661"/>
    <mergeCell ref="Y661:Z661"/>
    <mergeCell ref="AB661:AG661"/>
    <mergeCell ref="B663:G663"/>
    <mergeCell ref="H663:I663"/>
    <mergeCell ref="K663:P663"/>
    <mergeCell ref="S662:X662"/>
    <mergeCell ref="Y662:Z662"/>
    <mergeCell ref="AB662:AG662"/>
    <mergeCell ref="B664:G664"/>
    <mergeCell ref="H664:I664"/>
    <mergeCell ref="K664:P664"/>
    <mergeCell ref="S663:X663"/>
    <mergeCell ref="Y663:Z663"/>
    <mergeCell ref="AB663:AG663"/>
    <mergeCell ref="B665:G665"/>
    <mergeCell ref="H665:I665"/>
    <mergeCell ref="K665:P665"/>
    <mergeCell ref="B666:G666"/>
    <mergeCell ref="H666:I666"/>
    <mergeCell ref="K666:P666"/>
    <mergeCell ref="S664:X664"/>
    <mergeCell ref="Y664:Z664"/>
    <mergeCell ref="AB664:AG664"/>
    <mergeCell ref="B667:G667"/>
    <mergeCell ref="H667:I667"/>
    <mergeCell ref="K667:P667"/>
    <mergeCell ref="R665:V665"/>
    <mergeCell ref="W665:AB665"/>
    <mergeCell ref="AC665:AH665"/>
    <mergeCell ref="B668:G668"/>
    <mergeCell ref="H668:I668"/>
    <mergeCell ref="K668:P668"/>
    <mergeCell ref="R666:T666"/>
    <mergeCell ref="W666:AB666"/>
    <mergeCell ref="AC666:AH666"/>
    <mergeCell ref="B669:G669"/>
    <mergeCell ref="H669:I669"/>
    <mergeCell ref="K669:P669"/>
    <mergeCell ref="R667:T667"/>
    <mergeCell ref="B670:G670"/>
    <mergeCell ref="H670:I670"/>
    <mergeCell ref="K670:P670"/>
    <mergeCell ref="R668:T668"/>
    <mergeCell ref="A671:G671"/>
    <mergeCell ref="H671:I671"/>
    <mergeCell ref="K671:Q671"/>
    <mergeCell ref="R669:V669"/>
    <mergeCell ref="AC669:AH669"/>
    <mergeCell ref="A672:G672"/>
    <mergeCell ref="H672:I672"/>
    <mergeCell ref="K672:Q672"/>
    <mergeCell ref="R670:V670"/>
    <mergeCell ref="AC670:AH670"/>
    <mergeCell ref="A673:D673"/>
    <mergeCell ref="M673:O673"/>
    <mergeCell ref="A674:H674"/>
    <mergeCell ref="L674:Q674"/>
    <mergeCell ref="AC673:AH673"/>
    <mergeCell ref="AB674:AH674"/>
    <mergeCell ref="R675:AA675"/>
    <mergeCell ref="AB675:AH675"/>
    <mergeCell ref="AB676:AH676"/>
    <mergeCell ref="R679:AA679"/>
    <mergeCell ref="R680:AA680"/>
    <mergeCell ref="AB680:AH680"/>
  </mergeCells>
  <conditionalFormatting sqref="H7:J22 H140:J154 Y209:AA211 H211:J220 Y212 AA212 Y213:AA213 H221:H223 J221:J223 H224:J226 Y245:AA247 H247:J256 Y248:Y249 AA248:AA249 H257:H259 J257:J259 H260:J262 H316:J324 H325 J325 H326:J328 H349:J357 H358 J358 H359:J361 H573:J580 H581 J581 H582:J584 H613:J614">
    <cfRule type="cellIs" dxfId="1026" priority="21" operator="lessThan">
      <formula>60</formula>
    </cfRule>
  </conditionalFormatting>
  <conditionalFormatting sqref="H26:J29 H30:H31 J30:J31 H32:J32 H125:J127 H128:H129 J128:J129 H130:J133 H158:J160 H161:H162 J161:J162 H163:J165 H194:J196 H197:H198 J197:J198 H199:J201 H230:J232 H233:H234 J233:J234 H235:J237 H266:J268 H269:H270 J269:J270 H271:J273 H299:J301 H302:H303 J302:J303 H304:J306 H332:J332 H333:H334 J333:J334 H335:J339 H365:J366 H367:H368 J367:J368 H369:J372 H429:J430 H431:H432 J431:J432 H433:J436 H461:J462 H463:H464 J463:J464 H465:J468 H493:J493 H494:H495 J494:J495 H496:J500 H525:J526 H527:H528 J527:J528 H529:J534 H542:J549 H550 J550 H551:J553 Y602:AA605 Y606:Y607 AA606:AA607 Y608:AA608 Y660:AA662">
    <cfRule type="cellIs" dxfId="1025" priority="20" operator="lessThanOrEqual">
      <formula>59</formula>
    </cfRule>
  </conditionalFormatting>
  <conditionalFormatting sqref="H60:J63 H64:H65 J64:J65">
    <cfRule type="cellIs" dxfId="1024" priority="11" operator="lessThanOrEqual">
      <formula>59</formula>
    </cfRule>
  </conditionalFormatting>
  <conditionalFormatting sqref="H66:J68">
    <cfRule type="cellIs" dxfId="1023" priority="25" operator="lessThanOrEqual">
      <formula>59</formula>
    </cfRule>
  </conditionalFormatting>
  <conditionalFormatting sqref="H75:J89">
    <cfRule type="cellIs" dxfId="1022" priority="56" operator="lessThan">
      <formula>60</formula>
    </cfRule>
  </conditionalFormatting>
  <conditionalFormatting sqref="H107:J121">
    <cfRule type="cellIs" dxfId="1021" priority="26" operator="lessThan">
      <formula>60</formula>
    </cfRule>
  </conditionalFormatting>
  <conditionalFormatting sqref="H175:J190">
    <cfRule type="cellIs" dxfId="1020" priority="57" operator="lessThanOrEqual">
      <formula>59</formula>
    </cfRule>
  </conditionalFormatting>
  <conditionalFormatting sqref="H283:J295">
    <cfRule type="cellIs" dxfId="1019" priority="33" operator="lessThan">
      <formula>60</formula>
    </cfRule>
  </conditionalFormatting>
  <conditionalFormatting sqref="H382:J393">
    <cfRule type="cellIs" dxfId="1018" priority="59" operator="lessThan">
      <formula>60</formula>
    </cfRule>
  </conditionalFormatting>
  <conditionalFormatting sqref="H397:J398 H399:H400 J399:J400 H401:J404">
    <cfRule type="cellIs" dxfId="1017" priority="42" operator="lessThan">
      <formula>59</formula>
    </cfRule>
  </conditionalFormatting>
  <conditionalFormatting sqref="H414:J425">
    <cfRule type="cellIs" dxfId="1016" priority="38" operator="lessThan">
      <formula>60</formula>
    </cfRule>
  </conditionalFormatting>
  <conditionalFormatting sqref="H446:J457">
    <cfRule type="cellIs" dxfId="1015" priority="46" operator="lessThanOrEqual">
      <formula>60</formula>
    </cfRule>
  </conditionalFormatting>
  <conditionalFormatting sqref="H478:J489">
    <cfRule type="cellIs" dxfId="1014" priority="44" operator="lessThanOrEqual">
      <formula>59</formula>
    </cfRule>
  </conditionalFormatting>
  <conditionalFormatting sqref="H510:J521">
    <cfRule type="cellIs" dxfId="1013" priority="55" operator="lessThanOrEqual">
      <formula>59</formula>
    </cfRule>
  </conditionalFormatting>
  <conditionalFormatting sqref="H557:J558 H559:H560 J559:J560 H561:J564">
    <cfRule type="cellIs" dxfId="1012" priority="10" operator="lessThanOrEqual">
      <formula>59</formula>
    </cfRule>
  </conditionalFormatting>
  <conditionalFormatting sqref="H588:J589 H590:H591 J590:J591 H592:J595">
    <cfRule type="cellIs" dxfId="1011" priority="9" operator="lessThanOrEqual">
      <formula>59</formula>
    </cfRule>
  </conditionalFormatting>
  <conditionalFormatting sqref="H604:J611 H612 J612">
    <cfRule type="cellIs" dxfId="1010" priority="8" operator="lessThan">
      <formula>60</formula>
    </cfRule>
  </conditionalFormatting>
  <conditionalFormatting sqref="H633:J640 H641 J641">
    <cfRule type="cellIs" dxfId="1009" priority="4" operator="lessThan">
      <formula>60</formula>
    </cfRule>
  </conditionalFormatting>
  <conditionalFormatting sqref="H642:J643">
    <cfRule type="cellIs" dxfId="1008" priority="6" operator="lessThan">
      <formula>60</formula>
    </cfRule>
  </conditionalFormatting>
  <conditionalFormatting sqref="H662:J669 H670 J670">
    <cfRule type="cellIs" dxfId="1007" priority="1" operator="lessThan">
      <formula>60</formula>
    </cfRule>
  </conditionalFormatting>
  <conditionalFormatting sqref="H671:J672">
    <cfRule type="cellIs" dxfId="1006" priority="3" operator="lessThan">
      <formula>60</formula>
    </cfRule>
  </conditionalFormatting>
  <conditionalFormatting sqref="Y5:AA6 Y7:Y8 AA7:AA8 Y9:AA9 H41:J53 H54 J54 H55:J56">
    <cfRule type="cellIs" dxfId="1005" priority="24" operator="lessThan">
      <formula>60</formula>
    </cfRule>
  </conditionalFormatting>
  <conditionalFormatting sqref="Y39:AA43">
    <cfRule type="cellIs" dxfId="1004" priority="23" operator="lessThan">
      <formula>60</formula>
    </cfRule>
  </conditionalFormatting>
  <conditionalFormatting sqref="Y73:AA77">
    <cfRule type="cellIs" dxfId="1003" priority="52" operator="lessThan">
      <formula>60</formula>
    </cfRule>
  </conditionalFormatting>
  <conditionalFormatting sqref="Y105:AA109">
    <cfRule type="cellIs" dxfId="1002" priority="51" operator="lessThan">
      <formula>60</formula>
    </cfRule>
  </conditionalFormatting>
  <conditionalFormatting sqref="Y138:AA142">
    <cfRule type="cellIs" dxfId="1001" priority="53" operator="lessThan">
      <formula>60</formula>
    </cfRule>
  </conditionalFormatting>
  <conditionalFormatting sqref="Y173:AA177">
    <cfRule type="cellIs" dxfId="1000" priority="61" operator="lessThan">
      <formula>60</formula>
    </cfRule>
  </conditionalFormatting>
  <conditionalFormatting sqref="Y281:AA284">
    <cfRule type="cellIs" dxfId="999" priority="12" operator="lessThan">
      <formula>60</formula>
    </cfRule>
  </conditionalFormatting>
  <conditionalFormatting sqref="Y314:AA317">
    <cfRule type="cellIs" dxfId="998" priority="45" operator="lessThan">
      <formula>60</formula>
    </cfRule>
  </conditionalFormatting>
  <conditionalFormatting sqref="Y347:AA350">
    <cfRule type="cellIs" dxfId="997" priority="19" operator="lessThan">
      <formula>60</formula>
    </cfRule>
  </conditionalFormatting>
  <conditionalFormatting sqref="Y380:AA384">
    <cfRule type="cellIs" dxfId="996" priority="18" operator="lessThan">
      <formula>60</formula>
    </cfRule>
  </conditionalFormatting>
  <conditionalFormatting sqref="Y412:AA416">
    <cfRule type="cellIs" dxfId="995" priority="17" operator="lessThan">
      <formula>60</formula>
    </cfRule>
  </conditionalFormatting>
  <conditionalFormatting sqref="Y444:AA448">
    <cfRule type="cellIs" dxfId="994" priority="16" operator="lessThanOrEqual">
      <formula>59</formula>
    </cfRule>
  </conditionalFormatting>
  <conditionalFormatting sqref="Y476:AA480">
    <cfRule type="cellIs" dxfId="993" priority="22" operator="lessThanOrEqual">
      <formula>59</formula>
    </cfRule>
  </conditionalFormatting>
  <conditionalFormatting sqref="Y508:AA512">
    <cfRule type="cellIs" dxfId="992" priority="15" operator="lessThanOrEqual">
      <formula>59</formula>
    </cfRule>
  </conditionalFormatting>
  <conditionalFormatting sqref="Y540:AA544">
    <cfRule type="cellIs" dxfId="991" priority="14" operator="lessThanOrEqual">
      <formula>59</formula>
    </cfRule>
  </conditionalFormatting>
  <conditionalFormatting sqref="Y571:AA575">
    <cfRule type="cellIs" dxfId="990" priority="13" operator="lessThanOrEqual">
      <formula>59</formula>
    </cfRule>
  </conditionalFormatting>
  <conditionalFormatting sqref="Y631:AA634 Y635 AA635">
    <cfRule type="cellIs" dxfId="989" priority="5" operator="lessThanOrEqual">
      <formula>59</formula>
    </cfRule>
  </conditionalFormatting>
  <conditionalFormatting sqref="Y663 AA663 Y664:AA664">
    <cfRule type="cellIs" dxfId="988" priority="2" operator="lessThanOrEqual">
      <formula>59</formula>
    </cfRule>
  </conditionalFormatting>
  <pageMargins left="0.94" right="0.27559055118110237" top="2.0866141732283467" bottom="0.15748031496062992" header="0" footer="0"/>
  <pageSetup paperSize="9" orientation="portrait" horizontalDpi="203" verticalDpi="203" r:id="rId1"/>
  <rowBreaks count="1" manualBreakCount="1">
    <brk id="34" max="33" man="1"/>
  </rowBreaks>
  <colBreaks count="21" manualBreakCount="21">
    <brk id="17" min="68" max="99" man="1"/>
    <brk id="17" min="100" max="131" man="1"/>
    <brk id="17" min="133" max="164" man="1"/>
    <brk id="17" min="168" max="200" man="1"/>
    <brk id="17" min="204" max="236" man="1"/>
    <brk id="17" min="240" max="272" man="1"/>
    <brk id="17" min="276" max="305" man="1"/>
    <brk id="17" min="309" max="338" man="1"/>
    <brk id="17" min="342" max="371" man="1"/>
    <brk id="17" min="375" max="403" man="1"/>
    <brk id="17" min="407" max="435" man="1"/>
    <brk id="17" min="439" max="467" man="1"/>
    <brk id="17" min="471" max="499" man="1"/>
    <brk id="17" min="503" max="531" man="1"/>
    <brk id="17" min="535" max="563" man="1"/>
    <brk id="17" min="597" max="623" man="1"/>
    <brk id="17" min="626" max="652" man="1"/>
    <brk id="17" min="655" max="681" man="1"/>
    <brk id="17" max="32" man="1"/>
    <brk id="17" min="34" max="66" man="1"/>
    <brk id="17" min="566" max="59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35</xdr:col>
                    <xdr:colOff>104775</xdr:colOff>
                    <xdr:row>1</xdr:row>
                    <xdr:rowOff>257175</xdr:rowOff>
                  </from>
                  <to>
                    <xdr:col>35</xdr:col>
                    <xdr:colOff>447675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pinner 2">
              <controlPr defaultSize="0" autoPict="0">
                <anchor moveWithCells="1" sizeWithCells="1">
                  <from>
                    <xdr:col>35</xdr:col>
                    <xdr:colOff>104775</xdr:colOff>
                    <xdr:row>35</xdr:row>
                    <xdr:rowOff>257175</xdr:rowOff>
                  </from>
                  <to>
                    <xdr:col>35</xdr:col>
                    <xdr:colOff>447675</xdr:colOff>
                    <xdr:row>37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Spinner 3">
              <controlPr defaultSize="0" autoPict="0">
                <anchor moveWithCells="1" sizeWithCells="1">
                  <from>
                    <xdr:col>35</xdr:col>
                    <xdr:colOff>85725</xdr:colOff>
                    <xdr:row>102</xdr:row>
                    <xdr:rowOff>28575</xdr:rowOff>
                  </from>
                  <to>
                    <xdr:col>35</xdr:col>
                    <xdr:colOff>428625</xdr:colOff>
                    <xdr:row>104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Spinner 4">
              <controlPr defaultSize="0" autoPict="0">
                <anchor moveWithCells="1" sizeWithCells="1">
                  <from>
                    <xdr:col>35</xdr:col>
                    <xdr:colOff>123825</xdr:colOff>
                    <xdr:row>169</xdr:row>
                    <xdr:rowOff>257175</xdr:rowOff>
                  </from>
                  <to>
                    <xdr:col>35</xdr:col>
                    <xdr:colOff>466725</xdr:colOff>
                    <xdr:row>172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Spinner 5">
              <controlPr defaultSize="0" autoPict="0">
                <anchor moveWithCells="1" sizeWithCells="1">
                  <from>
                    <xdr:col>35</xdr:col>
                    <xdr:colOff>66675</xdr:colOff>
                    <xdr:row>242</xdr:row>
                    <xdr:rowOff>19050</xdr:rowOff>
                  </from>
                  <to>
                    <xdr:col>35</xdr:col>
                    <xdr:colOff>409575</xdr:colOff>
                    <xdr:row>244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Spinner 6">
              <controlPr defaultSize="0" autoPict="0">
                <anchor moveWithCells="1" sizeWithCells="1">
                  <from>
                    <xdr:col>35</xdr:col>
                    <xdr:colOff>66675</xdr:colOff>
                    <xdr:row>277</xdr:row>
                    <xdr:rowOff>257175</xdr:rowOff>
                  </from>
                  <to>
                    <xdr:col>35</xdr:col>
                    <xdr:colOff>409575</xdr:colOff>
                    <xdr:row>279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>
                <anchor moveWithCells="1" sizeWithCells="1">
                  <from>
                    <xdr:col>35</xdr:col>
                    <xdr:colOff>104775</xdr:colOff>
                    <xdr:row>69</xdr:row>
                    <xdr:rowOff>257175</xdr:rowOff>
                  </from>
                  <to>
                    <xdr:col>35</xdr:col>
                    <xdr:colOff>447675</xdr:colOff>
                    <xdr:row>71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Spinner 12">
              <controlPr defaultSize="0" autoPict="0">
                <anchor moveWithCells="1" sizeWithCells="1">
                  <from>
                    <xdr:col>35</xdr:col>
                    <xdr:colOff>104775</xdr:colOff>
                    <xdr:row>134</xdr:row>
                    <xdr:rowOff>257175</xdr:rowOff>
                  </from>
                  <to>
                    <xdr:col>35</xdr:col>
                    <xdr:colOff>447675</xdr:colOff>
                    <xdr:row>136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Spinner 13">
              <controlPr defaultSize="0" autoPict="0">
                <anchor moveWithCells="1" sizeWithCells="1">
                  <from>
                    <xdr:col>35</xdr:col>
                    <xdr:colOff>76200</xdr:colOff>
                    <xdr:row>206</xdr:row>
                    <xdr:rowOff>9525</xdr:rowOff>
                  </from>
                  <to>
                    <xdr:col>35</xdr:col>
                    <xdr:colOff>419100</xdr:colOff>
                    <xdr:row>208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Spinner 14">
              <controlPr defaultSize="0" autoPict="0">
                <anchor moveWithCells="1" sizeWithCells="1">
                  <from>
                    <xdr:col>35</xdr:col>
                    <xdr:colOff>57150</xdr:colOff>
                    <xdr:row>310</xdr:row>
                    <xdr:rowOff>257175</xdr:rowOff>
                  </from>
                  <to>
                    <xdr:col>35</xdr:col>
                    <xdr:colOff>390525</xdr:colOff>
                    <xdr:row>313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Spinner 15">
              <controlPr defaultSize="0" autoPict="0">
                <anchor moveWithCells="1" sizeWithCells="1">
                  <from>
                    <xdr:col>35</xdr:col>
                    <xdr:colOff>133350</xdr:colOff>
                    <xdr:row>344</xdr:row>
                    <xdr:rowOff>19050</xdr:rowOff>
                  </from>
                  <to>
                    <xdr:col>35</xdr:col>
                    <xdr:colOff>428625</xdr:colOff>
                    <xdr:row>346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5" name="Spinner 19">
              <controlPr defaultSize="0" autoPict="0">
                <anchor moveWithCells="1" sizeWithCells="1">
                  <from>
                    <xdr:col>35</xdr:col>
                    <xdr:colOff>133350</xdr:colOff>
                    <xdr:row>377</xdr:row>
                    <xdr:rowOff>19050</xdr:rowOff>
                  </from>
                  <to>
                    <xdr:col>35</xdr:col>
                    <xdr:colOff>428625</xdr:colOff>
                    <xdr:row>379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Spinner 20">
              <controlPr defaultSize="0" autoPict="0">
                <anchor moveWithCells="1" sizeWithCells="1">
                  <from>
                    <xdr:col>35</xdr:col>
                    <xdr:colOff>133350</xdr:colOff>
                    <xdr:row>409</xdr:row>
                    <xdr:rowOff>19050</xdr:rowOff>
                  </from>
                  <to>
                    <xdr:col>35</xdr:col>
                    <xdr:colOff>428625</xdr:colOff>
                    <xdr:row>411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Spinner 22">
              <controlPr defaultSize="0" autoPict="0">
                <anchor moveWithCells="1" sizeWithCells="1">
                  <from>
                    <xdr:col>35</xdr:col>
                    <xdr:colOff>123825</xdr:colOff>
                    <xdr:row>440</xdr:row>
                    <xdr:rowOff>257175</xdr:rowOff>
                  </from>
                  <to>
                    <xdr:col>35</xdr:col>
                    <xdr:colOff>409575</xdr:colOff>
                    <xdr:row>442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Spinner 23">
              <controlPr defaultSize="0" autoPict="0">
                <anchor moveWithCells="1" sizeWithCells="1">
                  <from>
                    <xdr:col>35</xdr:col>
                    <xdr:colOff>95250</xdr:colOff>
                    <xdr:row>472</xdr:row>
                    <xdr:rowOff>257175</xdr:rowOff>
                  </from>
                  <to>
                    <xdr:col>35</xdr:col>
                    <xdr:colOff>438150</xdr:colOff>
                    <xdr:row>475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Spinner 24">
              <controlPr defaultSize="0" autoPict="0">
                <anchor moveWithCells="1" sizeWithCells="1">
                  <from>
                    <xdr:col>35</xdr:col>
                    <xdr:colOff>28575</xdr:colOff>
                    <xdr:row>505</xdr:row>
                    <xdr:rowOff>47625</xdr:rowOff>
                  </from>
                  <to>
                    <xdr:col>35</xdr:col>
                    <xdr:colOff>323850</xdr:colOff>
                    <xdr:row>506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Spinner 25">
              <controlPr defaultSize="0" autoPict="0">
                <anchor moveWithCells="1" sizeWithCells="1">
                  <from>
                    <xdr:col>35</xdr:col>
                    <xdr:colOff>66675</xdr:colOff>
                    <xdr:row>537</xdr:row>
                    <xdr:rowOff>9525</xdr:rowOff>
                  </from>
                  <to>
                    <xdr:col>35</xdr:col>
                    <xdr:colOff>409575</xdr:colOff>
                    <xdr:row>538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Spinner 26">
              <controlPr defaultSize="0" autoPict="0">
                <anchor moveWithCells="1" sizeWithCells="1">
                  <from>
                    <xdr:col>35</xdr:col>
                    <xdr:colOff>104775</xdr:colOff>
                    <xdr:row>567</xdr:row>
                    <xdr:rowOff>266700</xdr:rowOff>
                  </from>
                  <to>
                    <xdr:col>35</xdr:col>
                    <xdr:colOff>447675</xdr:colOff>
                    <xdr:row>569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Spinner 27">
              <controlPr defaultSize="0" autoPict="0">
                <anchor moveWithCells="1" sizeWithCells="1">
                  <from>
                    <xdr:col>35</xdr:col>
                    <xdr:colOff>123825</xdr:colOff>
                    <xdr:row>599</xdr:row>
                    <xdr:rowOff>28575</xdr:rowOff>
                  </from>
                  <to>
                    <xdr:col>35</xdr:col>
                    <xdr:colOff>485775</xdr:colOff>
                    <xdr:row>601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Spinner 28">
              <controlPr defaultSize="0" autoPict="0">
                <anchor moveWithCells="1" sizeWithCells="1">
                  <from>
                    <xdr:col>35</xdr:col>
                    <xdr:colOff>123825</xdr:colOff>
                    <xdr:row>628</xdr:row>
                    <xdr:rowOff>28575</xdr:rowOff>
                  </from>
                  <to>
                    <xdr:col>35</xdr:col>
                    <xdr:colOff>542925</xdr:colOff>
                    <xdr:row>629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Spinner 29">
              <controlPr defaultSize="0" autoPict="0">
                <anchor moveWithCells="1" sizeWithCells="1">
                  <from>
                    <xdr:col>35</xdr:col>
                    <xdr:colOff>142875</xdr:colOff>
                    <xdr:row>656</xdr:row>
                    <xdr:rowOff>257175</xdr:rowOff>
                  </from>
                  <to>
                    <xdr:col>35</xdr:col>
                    <xdr:colOff>476250</xdr:colOff>
                    <xdr:row>659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DFE3E-98E8-4DEE-9344-2D8466FFE008}">
  <sheetPr codeName="Sheet7">
    <tabColor theme="1" tint="0.499984740745262"/>
  </sheetPr>
  <dimension ref="A1:BU38"/>
  <sheetViews>
    <sheetView zoomScale="55" zoomScaleNormal="55" workbookViewId="0">
      <selection activeCell="AJ4" sqref="AJ4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6" width="5.42578125" style="60" customWidth="1"/>
    <col min="27" max="29" width="7.140625" style="60" customWidth="1"/>
    <col min="30" max="36" width="5.42578125" style="60" customWidth="1"/>
    <col min="37" max="37" width="9.140625" style="60"/>
    <col min="38" max="38" width="9.28515625" style="60" bestFit="1" customWidth="1"/>
    <col min="39" max="39" width="11.140625" style="60" bestFit="1" customWidth="1"/>
    <col min="40" max="40" width="35.42578125" style="60" bestFit="1" customWidth="1"/>
    <col min="41" max="41" width="9.28515625" style="60" bestFit="1" customWidth="1"/>
    <col min="42" max="16384" width="9.140625" style="60"/>
  </cols>
  <sheetData>
    <row r="1" spans="1:73" ht="26.25">
      <c r="A1" s="59" t="s">
        <v>787</v>
      </c>
      <c r="AL1" s="59" t="s">
        <v>150</v>
      </c>
    </row>
    <row r="2" spans="1:73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62"/>
      <c r="Q2" s="286" t="s">
        <v>154</v>
      </c>
      <c r="R2" s="286"/>
      <c r="S2" s="286"/>
      <c r="T2" s="286"/>
      <c r="U2" s="425" t="s">
        <v>798</v>
      </c>
      <c r="V2" s="425"/>
      <c r="W2" s="425"/>
      <c r="X2" s="425"/>
      <c r="Y2" s="425"/>
      <c r="Z2" s="425"/>
      <c r="AA2" s="276" t="s">
        <v>155</v>
      </c>
      <c r="AB2" s="276" t="s">
        <v>156</v>
      </c>
      <c r="AC2" s="276" t="s">
        <v>157</v>
      </c>
      <c r="AD2" s="270" t="s">
        <v>158</v>
      </c>
      <c r="AE2" s="270" t="s">
        <v>159</v>
      </c>
      <c r="AF2" s="270" t="s">
        <v>160</v>
      </c>
      <c r="AG2" s="278" t="s">
        <v>161</v>
      </c>
      <c r="AH2" s="278" t="s">
        <v>162</v>
      </c>
      <c r="AI2" s="278" t="s">
        <v>163</v>
      </c>
      <c r="AJ2" s="280" t="s">
        <v>164</v>
      </c>
      <c r="AL2" s="281" t="s">
        <v>151</v>
      </c>
      <c r="AM2" s="281" t="s">
        <v>152</v>
      </c>
      <c r="AN2" s="281" t="s">
        <v>0</v>
      </c>
      <c r="AO2" s="272" t="s">
        <v>153</v>
      </c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62"/>
      <c r="BB2" s="274" t="s">
        <v>154</v>
      </c>
      <c r="BC2" s="274"/>
      <c r="BD2" s="274"/>
      <c r="BE2" s="274"/>
      <c r="BF2" s="425" t="s">
        <v>798</v>
      </c>
      <c r="BG2" s="425"/>
      <c r="BH2" s="425"/>
      <c r="BI2" s="425"/>
      <c r="BJ2" s="425"/>
      <c r="BK2" s="425"/>
      <c r="BL2" s="276" t="s">
        <v>155</v>
      </c>
      <c r="BM2" s="276" t="s">
        <v>156</v>
      </c>
      <c r="BN2" s="276" t="s">
        <v>157</v>
      </c>
      <c r="BO2" s="270" t="s">
        <v>158</v>
      </c>
      <c r="BP2" s="270" t="s">
        <v>159</v>
      </c>
      <c r="BQ2" s="270" t="s">
        <v>160</v>
      </c>
      <c r="BR2" s="278" t="s">
        <v>161</v>
      </c>
      <c r="BS2" s="278" t="s">
        <v>162</v>
      </c>
      <c r="BT2" s="278" t="s">
        <v>163</v>
      </c>
      <c r="BU2" s="280" t="s">
        <v>164</v>
      </c>
    </row>
    <row r="3" spans="1:73" ht="99.75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4" t="s">
        <v>14</v>
      </c>
      <c r="R3" s="64" t="s">
        <v>22</v>
      </c>
      <c r="S3" s="64" t="s">
        <v>87</v>
      </c>
      <c r="T3" s="64" t="s">
        <v>20</v>
      </c>
      <c r="U3" s="233" t="s">
        <v>799</v>
      </c>
      <c r="V3" s="233" t="s">
        <v>800</v>
      </c>
      <c r="W3" s="233" t="s">
        <v>801</v>
      </c>
      <c r="X3" s="233" t="s">
        <v>802</v>
      </c>
      <c r="Y3" s="233" t="s">
        <v>803</v>
      </c>
      <c r="Z3" s="233" t="s">
        <v>804</v>
      </c>
      <c r="AA3" s="277"/>
      <c r="AB3" s="277"/>
      <c r="AC3" s="277"/>
      <c r="AD3" s="271"/>
      <c r="AE3" s="271"/>
      <c r="AF3" s="271"/>
      <c r="AG3" s="279"/>
      <c r="AH3" s="279"/>
      <c r="AI3" s="279"/>
      <c r="AJ3" s="280"/>
      <c r="AL3" s="282"/>
      <c r="AM3" s="282"/>
      <c r="AN3" s="282"/>
      <c r="AO3" s="63" t="s">
        <v>20</v>
      </c>
      <c r="AP3" s="63" t="s">
        <v>22</v>
      </c>
      <c r="AQ3" s="63" t="s">
        <v>165</v>
      </c>
      <c r="AR3" s="63" t="s">
        <v>166</v>
      </c>
      <c r="AS3" s="63" t="s">
        <v>167</v>
      </c>
      <c r="AT3" s="63" t="s">
        <v>168</v>
      </c>
      <c r="AU3" s="63" t="s">
        <v>169</v>
      </c>
      <c r="AV3" s="63" t="s">
        <v>170</v>
      </c>
      <c r="AW3" s="63" t="s">
        <v>14</v>
      </c>
      <c r="AX3" s="63" t="s">
        <v>120</v>
      </c>
      <c r="AY3" s="63" t="s">
        <v>171</v>
      </c>
      <c r="AZ3" s="63" t="s">
        <v>172</v>
      </c>
      <c r="BA3" s="63" t="s">
        <v>55</v>
      </c>
      <c r="BB3" s="65" t="s">
        <v>14</v>
      </c>
      <c r="BC3" s="65" t="s">
        <v>22</v>
      </c>
      <c r="BD3" s="65" t="s">
        <v>87</v>
      </c>
      <c r="BE3" s="65" t="s">
        <v>20</v>
      </c>
      <c r="BF3" s="233" t="s">
        <v>799</v>
      </c>
      <c r="BG3" s="233" t="s">
        <v>800</v>
      </c>
      <c r="BH3" s="233" t="s">
        <v>801</v>
      </c>
      <c r="BI3" s="233" t="s">
        <v>802</v>
      </c>
      <c r="BJ3" s="233" t="s">
        <v>803</v>
      </c>
      <c r="BK3" s="233" t="s">
        <v>804</v>
      </c>
      <c r="BL3" s="277"/>
      <c r="BM3" s="277"/>
      <c r="BN3" s="277"/>
      <c r="BO3" s="271"/>
      <c r="BP3" s="271"/>
      <c r="BQ3" s="271"/>
      <c r="BR3" s="279"/>
      <c r="BS3" s="279"/>
      <c r="BT3" s="279"/>
      <c r="BU3" s="280"/>
    </row>
    <row r="4" spans="1:73" ht="27.95" customHeight="1">
      <c r="A4" s="66">
        <v>1</v>
      </c>
      <c r="B4" s="91">
        <v>19200110</v>
      </c>
      <c r="C4" s="92" t="s">
        <v>308</v>
      </c>
      <c r="D4" s="68">
        <f t="shared" ref="D4:D29" si="0">ROUND(IF(AO4=0,0,MIN(MAX(AO4,40),99)),0)</f>
        <v>99</v>
      </c>
      <c r="E4" s="68">
        <f t="shared" ref="E4:E29" si="1">ROUND(IF(AP4=0,0,MIN(MAX(AP4,40),99)),0)</f>
        <v>82</v>
      </c>
      <c r="F4" s="68">
        <f t="shared" ref="F4:F29" si="2">ROUND(IF(AQ4=0,0,MIN(MAX(AQ4,40),99)),0)</f>
        <v>98</v>
      </c>
      <c r="G4" s="68">
        <f t="shared" ref="G4:G29" si="3">ROUND(IF(AR4=0,0,MIN(MAX(AR4,40),99)),0)</f>
        <v>99</v>
      </c>
      <c r="H4" s="68">
        <f t="shared" ref="H4:H29" si="4">ROUND(IF(AS4=0,0,MIN(MAX(AS4,40),99)),0)</f>
        <v>96</v>
      </c>
      <c r="I4" s="68">
        <f t="shared" ref="I4:I29" si="5">ROUND(IF(AT4=0,0,MIN(MAX(AT4,40),99)),0)</f>
        <v>96</v>
      </c>
      <c r="J4" s="68">
        <f t="shared" ref="J4:J29" si="6">ROUND(IF(AU4=0,0,MIN(MAX(AU4,40),99)),0)</f>
        <v>97</v>
      </c>
      <c r="K4" s="68">
        <f t="shared" ref="K4:K29" si="7">ROUND(IF(AV4=0,0,MIN(MAX(AV4,40),99)),0)</f>
        <v>98</v>
      </c>
      <c r="L4" s="68">
        <f t="shared" ref="L4:L29" si="8">ROUND(IF(AW4=0,0,MIN(MAX(AW4,40),99)),0)</f>
        <v>79</v>
      </c>
      <c r="M4" s="68">
        <f t="shared" ref="M4:M29" si="9">ROUND(IF(AX4=0,0,MIN(MAX(AX4,40),99)),0)</f>
        <v>96</v>
      </c>
      <c r="N4" s="68">
        <f t="shared" ref="N4:N29" si="10">ROUND(IF(AY4=0,0,MIN(MAX(AY4,40),99)),0)</f>
        <v>91</v>
      </c>
      <c r="O4" s="68">
        <f t="shared" ref="O4:O29" si="11">ROUND(IF(AZ4=0,0,MIN(MAX(AZ4,40),99)),0)</f>
        <v>90</v>
      </c>
      <c r="P4" s="68">
        <f t="shared" ref="P4:P29" si="12">ROUND(IF(BA4=0,0,MIN(MAX(BA4,40),99)),0)</f>
        <v>87</v>
      </c>
      <c r="Q4" s="69">
        <f t="shared" ref="Q4:Q29" si="13">ROUND(IF(BB4=0,0,MIN(MAX(BB4,40),99)),0)</f>
        <v>99</v>
      </c>
      <c r="R4" s="69">
        <f t="shared" ref="R4:R29" si="14">ROUND(IF(BC4=0,0,MIN(MAX(BC4,40),99)),0)</f>
        <v>90</v>
      </c>
      <c r="S4" s="69">
        <f t="shared" ref="S4:S29" si="15">ROUND(IF(BD4=0,0,MIN(MAX(BD4,40),99)),0)</f>
        <v>90</v>
      </c>
      <c r="T4" s="69">
        <f t="shared" ref="T4:T29" si="16">ROUND(IF(BE4=0,0,MIN(MAX(BE4,40),99)),0)</f>
        <v>93</v>
      </c>
      <c r="U4" s="234">
        <f t="shared" ref="U4:U29" si="17">ROUND(IF(BF4=0,0,MIN(MAX(BF4,40),99)),0)</f>
        <v>98</v>
      </c>
      <c r="V4" s="234">
        <f t="shared" ref="V4:V29" si="18">ROUND(IF(BG4=0,0,MIN(MAX(BG4,40),99)),0)</f>
        <v>99</v>
      </c>
      <c r="W4" s="234">
        <f t="shared" ref="W4:W29" si="19">ROUND(IF(BH4=0,0,MIN(MAX(BH4,40),99)),0)</f>
        <v>98</v>
      </c>
      <c r="X4" s="234">
        <f t="shared" ref="X4:X29" si="20">ROUND(IF(BI4=0,0,MIN(MAX(BI4,40),99)),0)</f>
        <v>98</v>
      </c>
      <c r="Y4" s="234">
        <f t="shared" ref="Y4:Y29" si="21">ROUND(IF(BJ4=0,0,MIN(MAX(BJ4,40),99)),0)</f>
        <v>95</v>
      </c>
      <c r="Z4" s="234">
        <f t="shared" ref="Z4:Z29" si="22">ROUND(IF(BK4=0,0,MIN(MAX(BK4,40),99)),0)</f>
        <v>88</v>
      </c>
      <c r="AA4" s="70">
        <f t="shared" ref="AA4:AA29" si="23">SUM(D4:T4)</f>
        <v>1580</v>
      </c>
      <c r="AB4" s="71">
        <f t="shared" ref="AB4:AB29" si="24">AVERAGE(D4:T4)</f>
        <v>92.941176470588232</v>
      </c>
      <c r="AC4" s="72">
        <f t="shared" ref="AC4:AC29" si="25">RANK(AA4,$AA$4:$AA$29)</f>
        <v>1</v>
      </c>
      <c r="AD4" s="73" t="s">
        <v>805</v>
      </c>
      <c r="AE4" s="73" t="s">
        <v>805</v>
      </c>
      <c r="AF4" s="73" t="s">
        <v>805</v>
      </c>
      <c r="AG4" s="74">
        <v>0</v>
      </c>
      <c r="AH4" s="74">
        <v>0</v>
      </c>
      <c r="AI4" s="74">
        <v>0</v>
      </c>
      <c r="AJ4" s="75"/>
      <c r="AL4" s="66">
        <v>20</v>
      </c>
      <c r="AM4" s="66">
        <v>19200110</v>
      </c>
      <c r="AN4" s="80" t="s">
        <v>308</v>
      </c>
      <c r="AO4" s="68">
        <v>100</v>
      </c>
      <c r="AP4" s="68">
        <v>82</v>
      </c>
      <c r="AQ4" s="68">
        <v>97.5</v>
      </c>
      <c r="AR4" s="68">
        <v>100</v>
      </c>
      <c r="AS4" s="68">
        <v>96</v>
      </c>
      <c r="AT4" s="68">
        <v>95.8</v>
      </c>
      <c r="AU4" s="68">
        <v>97</v>
      </c>
      <c r="AV4" s="68">
        <v>97.5</v>
      </c>
      <c r="AW4" s="68">
        <v>79</v>
      </c>
      <c r="AX4" s="68">
        <v>95.9</v>
      </c>
      <c r="AY4" s="68">
        <v>91</v>
      </c>
      <c r="AZ4" s="68">
        <v>89.5</v>
      </c>
      <c r="BA4" s="68">
        <v>86.8</v>
      </c>
      <c r="BB4" s="76">
        <v>100</v>
      </c>
      <c r="BC4" s="76">
        <v>90</v>
      </c>
      <c r="BD4" s="76">
        <v>90</v>
      </c>
      <c r="BE4" s="76">
        <v>93</v>
      </c>
      <c r="BF4" s="234">
        <v>97.5</v>
      </c>
      <c r="BG4" s="234">
        <v>100</v>
      </c>
      <c r="BH4" s="234">
        <v>97.5</v>
      </c>
      <c r="BI4" s="234">
        <v>97.5</v>
      </c>
      <c r="BJ4" s="234">
        <v>95</v>
      </c>
      <c r="BK4" s="234">
        <v>87.5</v>
      </c>
      <c r="BL4" s="70">
        <f t="shared" ref="BL4:BL29" si="26">SUM(AO4:BE4)</f>
        <v>1580.9999999999998</v>
      </c>
      <c r="BM4" s="71">
        <f t="shared" ref="BM4:BM29" si="27">AVERAGE(AO4:BE4)</f>
        <v>92.999999999999986</v>
      </c>
      <c r="BN4" s="72" t="e">
        <f t="shared" ref="BN4:BN29" si="28">RANK(BL4,$AA$4:$AA$29)</f>
        <v>#N/A</v>
      </c>
      <c r="BO4" s="73"/>
      <c r="BP4" s="73"/>
      <c r="BQ4" s="73"/>
      <c r="BR4" s="74"/>
      <c r="BS4" s="74"/>
      <c r="BT4" s="74"/>
      <c r="BU4" s="75"/>
    </row>
    <row r="5" spans="1:73" ht="27.95" customHeight="1">
      <c r="A5" s="66">
        <v>2</v>
      </c>
      <c r="B5" s="66">
        <v>19200032</v>
      </c>
      <c r="C5" s="77" t="s">
        <v>292</v>
      </c>
      <c r="D5" s="68">
        <f t="shared" si="0"/>
        <v>97</v>
      </c>
      <c r="E5" s="68">
        <f t="shared" si="1"/>
        <v>79</v>
      </c>
      <c r="F5" s="68">
        <f t="shared" si="2"/>
        <v>98</v>
      </c>
      <c r="G5" s="68">
        <f t="shared" si="3"/>
        <v>91</v>
      </c>
      <c r="H5" s="68">
        <f t="shared" si="4"/>
        <v>93</v>
      </c>
      <c r="I5" s="68">
        <f t="shared" si="5"/>
        <v>99</v>
      </c>
      <c r="J5" s="68">
        <f t="shared" si="6"/>
        <v>99</v>
      </c>
      <c r="K5" s="68">
        <f t="shared" si="7"/>
        <v>95</v>
      </c>
      <c r="L5" s="68">
        <f t="shared" si="8"/>
        <v>79</v>
      </c>
      <c r="M5" s="68">
        <f t="shared" si="9"/>
        <v>96</v>
      </c>
      <c r="N5" s="68">
        <f t="shared" si="10"/>
        <v>87</v>
      </c>
      <c r="O5" s="68">
        <f t="shared" si="11"/>
        <v>87</v>
      </c>
      <c r="P5" s="68">
        <f t="shared" si="12"/>
        <v>92</v>
      </c>
      <c r="Q5" s="69">
        <f t="shared" si="13"/>
        <v>99</v>
      </c>
      <c r="R5" s="69">
        <f t="shared" si="14"/>
        <v>90</v>
      </c>
      <c r="S5" s="69">
        <f t="shared" si="15"/>
        <v>95</v>
      </c>
      <c r="T5" s="69">
        <f t="shared" si="16"/>
        <v>95</v>
      </c>
      <c r="U5" s="234">
        <f t="shared" si="17"/>
        <v>95</v>
      </c>
      <c r="V5" s="234">
        <f t="shared" si="18"/>
        <v>99</v>
      </c>
      <c r="W5" s="234">
        <f t="shared" si="19"/>
        <v>95</v>
      </c>
      <c r="X5" s="234">
        <f t="shared" si="20"/>
        <v>93</v>
      </c>
      <c r="Y5" s="234">
        <f t="shared" si="21"/>
        <v>95</v>
      </c>
      <c r="Z5" s="234">
        <f t="shared" si="22"/>
        <v>90</v>
      </c>
      <c r="AA5" s="70">
        <f t="shared" si="23"/>
        <v>1571</v>
      </c>
      <c r="AB5" s="71">
        <f t="shared" si="24"/>
        <v>92.411764705882348</v>
      </c>
      <c r="AC5" s="72">
        <f t="shared" si="25"/>
        <v>2</v>
      </c>
      <c r="AD5" s="73" t="s">
        <v>805</v>
      </c>
      <c r="AE5" s="73" t="s">
        <v>805</v>
      </c>
      <c r="AF5" s="73" t="s">
        <v>805</v>
      </c>
      <c r="AG5" s="74">
        <v>0</v>
      </c>
      <c r="AH5" s="74">
        <v>0</v>
      </c>
      <c r="AI5" s="74">
        <v>0</v>
      </c>
      <c r="AJ5" s="75"/>
      <c r="AL5" s="66">
        <v>4</v>
      </c>
      <c r="AM5" s="66">
        <v>19200032</v>
      </c>
      <c r="AN5" s="77" t="s">
        <v>292</v>
      </c>
      <c r="AO5" s="68">
        <v>97</v>
      </c>
      <c r="AP5" s="68">
        <v>79</v>
      </c>
      <c r="AQ5" s="68">
        <v>98</v>
      </c>
      <c r="AR5" s="68">
        <v>91</v>
      </c>
      <c r="AS5" s="68">
        <v>93.3</v>
      </c>
      <c r="AT5" s="68">
        <v>99.4</v>
      </c>
      <c r="AU5" s="68">
        <v>99.4</v>
      </c>
      <c r="AV5" s="68">
        <v>95</v>
      </c>
      <c r="AW5" s="68">
        <v>79</v>
      </c>
      <c r="AX5" s="68">
        <v>95.9</v>
      </c>
      <c r="AY5" s="68">
        <v>87.199999999999989</v>
      </c>
      <c r="AZ5" s="68">
        <v>86.699999999999989</v>
      </c>
      <c r="BA5" s="68">
        <v>91.5</v>
      </c>
      <c r="BB5" s="76">
        <v>100</v>
      </c>
      <c r="BC5" s="76">
        <v>90</v>
      </c>
      <c r="BD5" s="76">
        <v>95</v>
      </c>
      <c r="BE5" s="76">
        <v>95</v>
      </c>
      <c r="BF5" s="234">
        <v>95</v>
      </c>
      <c r="BG5" s="234">
        <v>100</v>
      </c>
      <c r="BH5" s="234">
        <v>95</v>
      </c>
      <c r="BI5" s="234">
        <v>92.5</v>
      </c>
      <c r="BJ5" s="234">
        <v>95</v>
      </c>
      <c r="BK5" s="234">
        <v>90</v>
      </c>
      <c r="BL5" s="70">
        <f t="shared" si="26"/>
        <v>1572.4</v>
      </c>
      <c r="BM5" s="71">
        <f t="shared" si="27"/>
        <v>92.494117647058829</v>
      </c>
      <c r="BN5" s="72" t="e">
        <f t="shared" si="28"/>
        <v>#N/A</v>
      </c>
      <c r="BO5" s="73"/>
      <c r="BP5" s="73"/>
      <c r="BQ5" s="73"/>
      <c r="BR5" s="74"/>
      <c r="BS5" s="74"/>
      <c r="BT5" s="74"/>
      <c r="BU5" s="75"/>
    </row>
    <row r="6" spans="1:73" ht="27.95" customHeight="1">
      <c r="A6" s="66">
        <v>3</v>
      </c>
      <c r="B6" s="66">
        <v>20210261</v>
      </c>
      <c r="C6" s="77" t="s">
        <v>300</v>
      </c>
      <c r="D6" s="68">
        <f t="shared" si="0"/>
        <v>98</v>
      </c>
      <c r="E6" s="68">
        <f t="shared" si="1"/>
        <v>72</v>
      </c>
      <c r="F6" s="68">
        <f t="shared" si="2"/>
        <v>88</v>
      </c>
      <c r="G6" s="68">
        <f t="shared" si="3"/>
        <v>72</v>
      </c>
      <c r="H6" s="68">
        <f t="shared" si="4"/>
        <v>92</v>
      </c>
      <c r="I6" s="68">
        <f t="shared" si="5"/>
        <v>89</v>
      </c>
      <c r="J6" s="68">
        <f t="shared" si="6"/>
        <v>92</v>
      </c>
      <c r="K6" s="68">
        <f t="shared" si="7"/>
        <v>88</v>
      </c>
      <c r="L6" s="68">
        <f t="shared" si="8"/>
        <v>83</v>
      </c>
      <c r="M6" s="68">
        <f t="shared" si="9"/>
        <v>80</v>
      </c>
      <c r="N6" s="68">
        <f t="shared" si="10"/>
        <v>89</v>
      </c>
      <c r="O6" s="68">
        <f t="shared" si="11"/>
        <v>88</v>
      </c>
      <c r="P6" s="68">
        <f t="shared" si="12"/>
        <v>90</v>
      </c>
      <c r="Q6" s="69">
        <f t="shared" si="13"/>
        <v>99</v>
      </c>
      <c r="R6" s="69">
        <f t="shared" si="14"/>
        <v>90</v>
      </c>
      <c r="S6" s="69">
        <f t="shared" si="15"/>
        <v>85</v>
      </c>
      <c r="T6" s="69">
        <f t="shared" si="16"/>
        <v>93</v>
      </c>
      <c r="U6" s="234">
        <f t="shared" si="17"/>
        <v>95</v>
      </c>
      <c r="V6" s="234">
        <f t="shared" si="18"/>
        <v>99</v>
      </c>
      <c r="W6" s="234">
        <f t="shared" si="19"/>
        <v>88</v>
      </c>
      <c r="X6" s="234">
        <f t="shared" si="20"/>
        <v>95</v>
      </c>
      <c r="Y6" s="234">
        <f t="shared" si="21"/>
        <v>85</v>
      </c>
      <c r="Z6" s="234">
        <f t="shared" si="22"/>
        <v>85</v>
      </c>
      <c r="AA6" s="70">
        <f t="shared" si="23"/>
        <v>1488</v>
      </c>
      <c r="AB6" s="71">
        <f t="shared" si="24"/>
        <v>87.529411764705884</v>
      </c>
      <c r="AC6" s="72">
        <f t="shared" si="25"/>
        <v>3</v>
      </c>
      <c r="AD6" s="73" t="s">
        <v>805</v>
      </c>
      <c r="AE6" s="73" t="s">
        <v>805</v>
      </c>
      <c r="AF6" s="73" t="s">
        <v>805</v>
      </c>
      <c r="AG6" s="74">
        <v>0</v>
      </c>
      <c r="AH6" s="74">
        <v>23</v>
      </c>
      <c r="AI6" s="74">
        <v>2</v>
      </c>
      <c r="AJ6" s="75"/>
      <c r="AL6" s="66">
        <v>12</v>
      </c>
      <c r="AM6" s="66">
        <v>20210261</v>
      </c>
      <c r="AN6" s="77" t="s">
        <v>300</v>
      </c>
      <c r="AO6" s="68">
        <v>98.4</v>
      </c>
      <c r="AP6" s="68">
        <v>72</v>
      </c>
      <c r="AQ6" s="68">
        <v>87.9</v>
      </c>
      <c r="AR6" s="68">
        <v>72</v>
      </c>
      <c r="AS6" s="68">
        <v>92.3</v>
      </c>
      <c r="AT6" s="68">
        <v>88.7</v>
      </c>
      <c r="AU6" s="68">
        <v>92.4</v>
      </c>
      <c r="AV6" s="68">
        <v>88</v>
      </c>
      <c r="AW6" s="68">
        <v>82.8</v>
      </c>
      <c r="AX6" s="68">
        <v>80</v>
      </c>
      <c r="AY6" s="68">
        <v>89</v>
      </c>
      <c r="AZ6" s="68">
        <v>88</v>
      </c>
      <c r="BA6" s="68">
        <v>89.6</v>
      </c>
      <c r="BB6" s="76">
        <v>100</v>
      </c>
      <c r="BC6" s="76">
        <v>90</v>
      </c>
      <c r="BD6" s="76">
        <v>85</v>
      </c>
      <c r="BE6" s="76">
        <v>93</v>
      </c>
      <c r="BF6" s="234">
        <v>95</v>
      </c>
      <c r="BG6" s="234">
        <v>100</v>
      </c>
      <c r="BH6" s="234">
        <v>88</v>
      </c>
      <c r="BI6" s="234">
        <v>95</v>
      </c>
      <c r="BJ6" s="234">
        <v>85</v>
      </c>
      <c r="BK6" s="234">
        <v>85</v>
      </c>
      <c r="BL6" s="70">
        <f t="shared" si="26"/>
        <v>1489.1</v>
      </c>
      <c r="BM6" s="71">
        <f t="shared" si="27"/>
        <v>87.594117647058823</v>
      </c>
      <c r="BN6" s="72" t="e">
        <f t="shared" si="28"/>
        <v>#N/A</v>
      </c>
      <c r="BO6" s="73"/>
      <c r="BP6" s="73"/>
      <c r="BQ6" s="73"/>
      <c r="BR6" s="74"/>
      <c r="BS6" s="74"/>
      <c r="BT6" s="74"/>
      <c r="BU6" s="75"/>
    </row>
    <row r="7" spans="1:73" ht="27.95" customHeight="1">
      <c r="A7" s="66">
        <v>4</v>
      </c>
      <c r="B7" s="66">
        <v>19200024</v>
      </c>
      <c r="C7" s="77" t="s">
        <v>289</v>
      </c>
      <c r="D7" s="68">
        <f t="shared" si="0"/>
        <v>99</v>
      </c>
      <c r="E7" s="68">
        <f t="shared" si="1"/>
        <v>79</v>
      </c>
      <c r="F7" s="68">
        <f t="shared" si="2"/>
        <v>96</v>
      </c>
      <c r="G7" s="68">
        <f t="shared" si="3"/>
        <v>96</v>
      </c>
      <c r="H7" s="68">
        <f t="shared" si="4"/>
        <v>95</v>
      </c>
      <c r="I7" s="68">
        <f t="shared" si="5"/>
        <v>91</v>
      </c>
      <c r="J7" s="68">
        <f t="shared" si="6"/>
        <v>99</v>
      </c>
      <c r="K7" s="68">
        <f t="shared" si="7"/>
        <v>92</v>
      </c>
      <c r="L7" s="68">
        <f t="shared" si="8"/>
        <v>64</v>
      </c>
      <c r="M7" s="68">
        <f t="shared" si="9"/>
        <v>91</v>
      </c>
      <c r="N7" s="68">
        <f t="shared" si="10"/>
        <v>89</v>
      </c>
      <c r="O7" s="68">
        <f t="shared" si="11"/>
        <v>91</v>
      </c>
      <c r="P7" s="68">
        <f t="shared" si="12"/>
        <v>82</v>
      </c>
      <c r="Q7" s="69">
        <f t="shared" si="13"/>
        <v>47</v>
      </c>
      <c r="R7" s="69">
        <f t="shared" si="14"/>
        <v>90</v>
      </c>
      <c r="S7" s="69">
        <f t="shared" si="15"/>
        <v>85</v>
      </c>
      <c r="T7" s="69">
        <f t="shared" si="16"/>
        <v>90</v>
      </c>
      <c r="U7" s="234">
        <f t="shared" si="17"/>
        <v>95</v>
      </c>
      <c r="V7" s="234">
        <f t="shared" si="18"/>
        <v>99</v>
      </c>
      <c r="W7" s="234">
        <f t="shared" si="19"/>
        <v>92</v>
      </c>
      <c r="X7" s="234">
        <f t="shared" si="20"/>
        <v>98</v>
      </c>
      <c r="Y7" s="234">
        <f t="shared" si="21"/>
        <v>95</v>
      </c>
      <c r="Z7" s="234">
        <f t="shared" si="22"/>
        <v>83</v>
      </c>
      <c r="AA7" s="70">
        <f t="shared" si="23"/>
        <v>1476</v>
      </c>
      <c r="AB7" s="71">
        <f t="shared" si="24"/>
        <v>86.82352941176471</v>
      </c>
      <c r="AC7" s="72">
        <f t="shared" si="25"/>
        <v>4</v>
      </c>
      <c r="AD7" s="73" t="s">
        <v>805</v>
      </c>
      <c r="AE7" s="73" t="s">
        <v>805</v>
      </c>
      <c r="AF7" s="73" t="s">
        <v>805</v>
      </c>
      <c r="AG7" s="74">
        <v>5</v>
      </c>
      <c r="AH7" s="74">
        <v>0</v>
      </c>
      <c r="AI7" s="74">
        <v>0</v>
      </c>
      <c r="AJ7" s="75"/>
      <c r="AL7" s="66">
        <v>1</v>
      </c>
      <c r="AM7" s="66">
        <v>19200024</v>
      </c>
      <c r="AN7" s="67" t="s">
        <v>289</v>
      </c>
      <c r="AO7" s="68">
        <v>98.8</v>
      </c>
      <c r="AP7" s="68">
        <v>79</v>
      </c>
      <c r="AQ7" s="68">
        <v>96.4</v>
      </c>
      <c r="AR7" s="68">
        <v>95.5</v>
      </c>
      <c r="AS7" s="68">
        <v>94.8</v>
      </c>
      <c r="AT7" s="68">
        <v>90.5</v>
      </c>
      <c r="AU7" s="68">
        <v>98.8</v>
      </c>
      <c r="AV7" s="68">
        <v>92</v>
      </c>
      <c r="AW7" s="68">
        <v>64</v>
      </c>
      <c r="AX7" s="68">
        <v>91</v>
      </c>
      <c r="AY7" s="68">
        <v>89</v>
      </c>
      <c r="AZ7" s="68">
        <v>91</v>
      </c>
      <c r="BA7" s="68">
        <v>82</v>
      </c>
      <c r="BB7" s="76">
        <v>47</v>
      </c>
      <c r="BC7" s="76">
        <v>90</v>
      </c>
      <c r="BD7" s="76">
        <v>85</v>
      </c>
      <c r="BE7" s="76">
        <v>90</v>
      </c>
      <c r="BF7" s="234">
        <v>95</v>
      </c>
      <c r="BG7" s="234">
        <v>100</v>
      </c>
      <c r="BH7" s="234">
        <v>92</v>
      </c>
      <c r="BI7" s="234">
        <v>97.5</v>
      </c>
      <c r="BJ7" s="234">
        <v>95</v>
      </c>
      <c r="BK7" s="234">
        <v>82.5</v>
      </c>
      <c r="BL7" s="70">
        <f t="shared" si="26"/>
        <v>1474.8</v>
      </c>
      <c r="BM7" s="71">
        <f t="shared" si="27"/>
        <v>86.752941176470586</v>
      </c>
      <c r="BN7" s="72" t="e">
        <f t="shared" si="28"/>
        <v>#N/A</v>
      </c>
      <c r="BO7" s="73"/>
      <c r="BP7" s="73"/>
      <c r="BQ7" s="73"/>
      <c r="BR7" s="74"/>
      <c r="BS7" s="74"/>
      <c r="BT7" s="74"/>
      <c r="BU7" s="75"/>
    </row>
    <row r="8" spans="1:73" ht="27.95" customHeight="1">
      <c r="A8" s="66">
        <v>5</v>
      </c>
      <c r="B8" s="91">
        <v>19200144</v>
      </c>
      <c r="C8" s="92" t="s">
        <v>310</v>
      </c>
      <c r="D8" s="68">
        <f t="shared" si="0"/>
        <v>99</v>
      </c>
      <c r="E8" s="68">
        <f t="shared" si="1"/>
        <v>97</v>
      </c>
      <c r="F8" s="68">
        <f t="shared" si="2"/>
        <v>96</v>
      </c>
      <c r="G8" s="68">
        <f t="shared" si="3"/>
        <v>64</v>
      </c>
      <c r="H8" s="68">
        <f t="shared" si="4"/>
        <v>82</v>
      </c>
      <c r="I8" s="68">
        <f t="shared" si="5"/>
        <v>91</v>
      </c>
      <c r="J8" s="68">
        <f t="shared" si="6"/>
        <v>99</v>
      </c>
      <c r="K8" s="68">
        <f t="shared" si="7"/>
        <v>79</v>
      </c>
      <c r="L8" s="68">
        <f t="shared" si="8"/>
        <v>74</v>
      </c>
      <c r="M8" s="68">
        <f t="shared" si="9"/>
        <v>89</v>
      </c>
      <c r="N8" s="68">
        <f t="shared" si="10"/>
        <v>90</v>
      </c>
      <c r="O8" s="68">
        <f t="shared" si="11"/>
        <v>93</v>
      </c>
      <c r="P8" s="68">
        <f t="shared" si="12"/>
        <v>77</v>
      </c>
      <c r="Q8" s="69">
        <f t="shared" si="13"/>
        <v>83</v>
      </c>
      <c r="R8" s="69">
        <f t="shared" si="14"/>
        <v>90</v>
      </c>
      <c r="S8" s="69">
        <f t="shared" si="15"/>
        <v>90</v>
      </c>
      <c r="T8" s="69">
        <f t="shared" si="16"/>
        <v>65</v>
      </c>
      <c r="U8" s="234">
        <f t="shared" si="17"/>
        <v>98</v>
      </c>
      <c r="V8" s="234">
        <f t="shared" si="18"/>
        <v>98</v>
      </c>
      <c r="W8" s="234">
        <f t="shared" si="19"/>
        <v>79</v>
      </c>
      <c r="X8" s="234">
        <f t="shared" si="20"/>
        <v>90</v>
      </c>
      <c r="Y8" s="234">
        <f t="shared" si="21"/>
        <v>85</v>
      </c>
      <c r="Z8" s="234">
        <f t="shared" si="22"/>
        <v>90</v>
      </c>
      <c r="AA8" s="70">
        <f t="shared" si="23"/>
        <v>1458</v>
      </c>
      <c r="AB8" s="71">
        <f t="shared" si="24"/>
        <v>85.764705882352942</v>
      </c>
      <c r="AC8" s="72">
        <f t="shared" si="25"/>
        <v>5</v>
      </c>
      <c r="AD8" s="73" t="s">
        <v>805</v>
      </c>
      <c r="AE8" s="73" t="s">
        <v>805</v>
      </c>
      <c r="AF8" s="73" t="s">
        <v>805</v>
      </c>
      <c r="AG8" s="74">
        <v>0</v>
      </c>
      <c r="AH8" s="74">
        <v>0</v>
      </c>
      <c r="AI8" s="74">
        <v>0</v>
      </c>
      <c r="AJ8" s="75"/>
      <c r="AL8" s="66">
        <v>22</v>
      </c>
      <c r="AM8" s="66">
        <v>19200144</v>
      </c>
      <c r="AN8" s="77" t="s">
        <v>310</v>
      </c>
      <c r="AO8" s="68">
        <v>99.7</v>
      </c>
      <c r="AP8" s="68">
        <v>97</v>
      </c>
      <c r="AQ8" s="68">
        <v>96</v>
      </c>
      <c r="AR8" s="68">
        <v>64</v>
      </c>
      <c r="AS8" s="68">
        <v>82</v>
      </c>
      <c r="AT8" s="68">
        <v>91.2</v>
      </c>
      <c r="AU8" s="68">
        <v>98.5</v>
      </c>
      <c r="AV8" s="68">
        <v>79</v>
      </c>
      <c r="AW8" s="68">
        <v>73.900000000000006</v>
      </c>
      <c r="AX8" s="68">
        <v>88.5</v>
      </c>
      <c r="AY8" s="68">
        <v>90.1</v>
      </c>
      <c r="AZ8" s="68">
        <v>93</v>
      </c>
      <c r="BA8" s="68">
        <v>77</v>
      </c>
      <c r="BB8" s="76">
        <v>83</v>
      </c>
      <c r="BC8" s="76">
        <v>90</v>
      </c>
      <c r="BD8" s="76">
        <v>90</v>
      </c>
      <c r="BE8" s="76">
        <v>65</v>
      </c>
      <c r="BF8" s="234">
        <v>97.5</v>
      </c>
      <c r="BG8" s="234">
        <v>97.5</v>
      </c>
      <c r="BH8" s="234">
        <v>79</v>
      </c>
      <c r="BI8" s="234">
        <v>90</v>
      </c>
      <c r="BJ8" s="234">
        <v>85</v>
      </c>
      <c r="BK8" s="234">
        <v>90</v>
      </c>
      <c r="BL8" s="70">
        <f t="shared" si="26"/>
        <v>1457.9</v>
      </c>
      <c r="BM8" s="71">
        <f t="shared" si="27"/>
        <v>85.758823529411771</v>
      </c>
      <c r="BN8" s="72" t="e">
        <f t="shared" si="28"/>
        <v>#N/A</v>
      </c>
      <c r="BO8" s="73"/>
      <c r="BP8" s="73"/>
      <c r="BQ8" s="73"/>
      <c r="BR8" s="74"/>
      <c r="BS8" s="74"/>
      <c r="BT8" s="74"/>
      <c r="BU8" s="75"/>
    </row>
    <row r="9" spans="1:73" ht="27.95" customHeight="1">
      <c r="A9" s="66">
        <v>6</v>
      </c>
      <c r="B9" s="66">
        <v>20210025</v>
      </c>
      <c r="C9" s="77" t="s">
        <v>298</v>
      </c>
      <c r="D9" s="68">
        <f t="shared" si="0"/>
        <v>99</v>
      </c>
      <c r="E9" s="68">
        <f t="shared" si="1"/>
        <v>73</v>
      </c>
      <c r="F9" s="68">
        <f t="shared" si="2"/>
        <v>94</v>
      </c>
      <c r="G9" s="68">
        <f t="shared" si="3"/>
        <v>91</v>
      </c>
      <c r="H9" s="68">
        <f t="shared" si="4"/>
        <v>77</v>
      </c>
      <c r="I9" s="68">
        <f t="shared" si="5"/>
        <v>90</v>
      </c>
      <c r="J9" s="68">
        <f t="shared" si="6"/>
        <v>96</v>
      </c>
      <c r="K9" s="68">
        <f t="shared" si="7"/>
        <v>73</v>
      </c>
      <c r="L9" s="68">
        <f t="shared" si="8"/>
        <v>73</v>
      </c>
      <c r="M9" s="68">
        <f t="shared" si="9"/>
        <v>91</v>
      </c>
      <c r="N9" s="68">
        <f t="shared" si="10"/>
        <v>94</v>
      </c>
      <c r="O9" s="68">
        <f t="shared" si="11"/>
        <v>88</v>
      </c>
      <c r="P9" s="68">
        <f t="shared" si="12"/>
        <v>70</v>
      </c>
      <c r="Q9" s="69">
        <f t="shared" si="13"/>
        <v>99</v>
      </c>
      <c r="R9" s="69">
        <f t="shared" si="14"/>
        <v>90</v>
      </c>
      <c r="S9" s="69">
        <f t="shared" si="15"/>
        <v>90</v>
      </c>
      <c r="T9" s="69">
        <f t="shared" si="16"/>
        <v>60</v>
      </c>
      <c r="U9" s="234">
        <f t="shared" si="17"/>
        <v>93</v>
      </c>
      <c r="V9" s="234">
        <f t="shared" si="18"/>
        <v>98</v>
      </c>
      <c r="W9" s="234">
        <f t="shared" si="19"/>
        <v>73</v>
      </c>
      <c r="X9" s="234">
        <f t="shared" si="20"/>
        <v>98</v>
      </c>
      <c r="Y9" s="234">
        <f t="shared" si="21"/>
        <v>93</v>
      </c>
      <c r="Z9" s="234">
        <f t="shared" si="22"/>
        <v>83</v>
      </c>
      <c r="AA9" s="70">
        <f t="shared" si="23"/>
        <v>1448</v>
      </c>
      <c r="AB9" s="71">
        <f t="shared" si="24"/>
        <v>85.17647058823529</v>
      </c>
      <c r="AC9" s="72">
        <f t="shared" si="25"/>
        <v>6</v>
      </c>
      <c r="AD9" s="73" t="s">
        <v>805</v>
      </c>
      <c r="AE9" s="73" t="s">
        <v>805</v>
      </c>
      <c r="AF9" s="73" t="s">
        <v>805</v>
      </c>
      <c r="AG9" s="74">
        <v>0</v>
      </c>
      <c r="AH9" s="74">
        <v>6</v>
      </c>
      <c r="AI9" s="74">
        <v>0</v>
      </c>
      <c r="AJ9" s="75"/>
      <c r="AL9" s="66">
        <v>10</v>
      </c>
      <c r="AM9" s="66">
        <v>20210025</v>
      </c>
      <c r="AN9" s="77" t="s">
        <v>298</v>
      </c>
      <c r="AO9" s="68">
        <v>100</v>
      </c>
      <c r="AP9" s="68">
        <v>73</v>
      </c>
      <c r="AQ9" s="68">
        <v>93.8</v>
      </c>
      <c r="AR9" s="68">
        <v>91</v>
      </c>
      <c r="AS9" s="68">
        <v>76.5</v>
      </c>
      <c r="AT9" s="68">
        <v>89.5</v>
      </c>
      <c r="AU9" s="68">
        <v>96.4</v>
      </c>
      <c r="AV9" s="68">
        <v>73</v>
      </c>
      <c r="AW9" s="68">
        <v>73</v>
      </c>
      <c r="AX9" s="68">
        <v>91</v>
      </c>
      <c r="AY9" s="68">
        <v>93.5</v>
      </c>
      <c r="AZ9" s="68">
        <v>87.5</v>
      </c>
      <c r="BA9" s="68">
        <v>70</v>
      </c>
      <c r="BB9" s="76">
        <v>100</v>
      </c>
      <c r="BC9" s="76">
        <v>90</v>
      </c>
      <c r="BD9" s="76">
        <v>90</v>
      </c>
      <c r="BE9" s="76">
        <v>60</v>
      </c>
      <c r="BF9" s="234">
        <v>92.5</v>
      </c>
      <c r="BG9" s="234">
        <v>97.5</v>
      </c>
      <c r="BH9" s="234">
        <v>73</v>
      </c>
      <c r="BI9" s="234">
        <v>97.5</v>
      </c>
      <c r="BJ9" s="234">
        <v>92.5</v>
      </c>
      <c r="BK9" s="234">
        <v>82.5</v>
      </c>
      <c r="BL9" s="70">
        <f t="shared" si="26"/>
        <v>1448.1999999999998</v>
      </c>
      <c r="BM9" s="71">
        <f t="shared" si="27"/>
        <v>85.188235294117632</v>
      </c>
      <c r="BN9" s="72" t="e">
        <f t="shared" si="28"/>
        <v>#N/A</v>
      </c>
      <c r="BO9" s="73"/>
      <c r="BP9" s="73"/>
      <c r="BQ9" s="73"/>
      <c r="BR9" s="74"/>
      <c r="BS9" s="74"/>
      <c r="BT9" s="74"/>
      <c r="BU9" s="75"/>
    </row>
    <row r="10" spans="1:73" ht="27.95" customHeight="1">
      <c r="A10" s="66">
        <v>7</v>
      </c>
      <c r="B10" s="91">
        <v>20210015</v>
      </c>
      <c r="C10" s="92" t="s">
        <v>296</v>
      </c>
      <c r="D10" s="68">
        <f t="shared" si="0"/>
        <v>99</v>
      </c>
      <c r="E10" s="68">
        <f t="shared" si="1"/>
        <v>76</v>
      </c>
      <c r="F10" s="68">
        <f t="shared" si="2"/>
        <v>87</v>
      </c>
      <c r="G10" s="68">
        <f t="shared" si="3"/>
        <v>99</v>
      </c>
      <c r="H10" s="68">
        <f t="shared" si="4"/>
        <v>94</v>
      </c>
      <c r="I10" s="68">
        <f t="shared" si="5"/>
        <v>87</v>
      </c>
      <c r="J10" s="68">
        <f t="shared" si="6"/>
        <v>96</v>
      </c>
      <c r="K10" s="68">
        <f t="shared" si="7"/>
        <v>73</v>
      </c>
      <c r="L10" s="68">
        <f t="shared" si="8"/>
        <v>75</v>
      </c>
      <c r="M10" s="68">
        <f t="shared" si="9"/>
        <v>85</v>
      </c>
      <c r="N10" s="68">
        <f t="shared" si="10"/>
        <v>88</v>
      </c>
      <c r="O10" s="68">
        <f t="shared" si="11"/>
        <v>86</v>
      </c>
      <c r="P10" s="68">
        <f t="shared" si="12"/>
        <v>78</v>
      </c>
      <c r="Q10" s="69">
        <f t="shared" si="13"/>
        <v>80</v>
      </c>
      <c r="R10" s="69">
        <f t="shared" si="14"/>
        <v>90</v>
      </c>
      <c r="S10" s="69">
        <f t="shared" si="15"/>
        <v>80</v>
      </c>
      <c r="T10" s="69">
        <f t="shared" si="16"/>
        <v>70</v>
      </c>
      <c r="U10" s="234">
        <f t="shared" si="17"/>
        <v>98</v>
      </c>
      <c r="V10" s="234">
        <f t="shared" si="18"/>
        <v>99</v>
      </c>
      <c r="W10" s="234">
        <f t="shared" si="19"/>
        <v>73</v>
      </c>
      <c r="X10" s="234">
        <f t="shared" si="20"/>
        <v>99</v>
      </c>
      <c r="Y10" s="234">
        <f t="shared" si="21"/>
        <v>90</v>
      </c>
      <c r="Z10" s="234">
        <f t="shared" si="22"/>
        <v>83</v>
      </c>
      <c r="AA10" s="70">
        <f t="shared" si="23"/>
        <v>1443</v>
      </c>
      <c r="AB10" s="71">
        <f t="shared" si="24"/>
        <v>84.882352941176464</v>
      </c>
      <c r="AC10" s="72">
        <f t="shared" si="25"/>
        <v>7</v>
      </c>
      <c r="AD10" s="73" t="s">
        <v>805</v>
      </c>
      <c r="AE10" s="73" t="s">
        <v>805</v>
      </c>
      <c r="AF10" s="73" t="s">
        <v>805</v>
      </c>
      <c r="AG10" s="74">
        <v>8</v>
      </c>
      <c r="AH10" s="74">
        <v>0</v>
      </c>
      <c r="AI10" s="74">
        <v>1</v>
      </c>
      <c r="AJ10" s="75"/>
      <c r="AL10" s="66">
        <v>8</v>
      </c>
      <c r="AM10" s="66">
        <v>20210015</v>
      </c>
      <c r="AN10" s="79" t="s">
        <v>296</v>
      </c>
      <c r="AO10" s="68">
        <v>100</v>
      </c>
      <c r="AP10" s="68">
        <v>76</v>
      </c>
      <c r="AQ10" s="68">
        <v>87</v>
      </c>
      <c r="AR10" s="68">
        <v>100</v>
      </c>
      <c r="AS10" s="68">
        <v>93.5</v>
      </c>
      <c r="AT10" s="68">
        <v>87</v>
      </c>
      <c r="AU10" s="68">
        <v>96.4</v>
      </c>
      <c r="AV10" s="68">
        <v>72.5</v>
      </c>
      <c r="AW10" s="68">
        <v>75.099999999999994</v>
      </c>
      <c r="AX10" s="68">
        <v>85</v>
      </c>
      <c r="AY10" s="68">
        <v>88.199999999999989</v>
      </c>
      <c r="AZ10" s="68">
        <v>86.199999999999989</v>
      </c>
      <c r="BA10" s="68">
        <v>78</v>
      </c>
      <c r="BB10" s="76">
        <v>80</v>
      </c>
      <c r="BC10" s="76">
        <v>90</v>
      </c>
      <c r="BD10" s="76">
        <v>80</v>
      </c>
      <c r="BE10" s="76">
        <v>70</v>
      </c>
      <c r="BF10" s="234">
        <v>97.5</v>
      </c>
      <c r="BG10" s="234">
        <v>100</v>
      </c>
      <c r="BH10" s="234">
        <v>72.5</v>
      </c>
      <c r="BI10" s="234">
        <v>100</v>
      </c>
      <c r="BJ10" s="234">
        <v>90</v>
      </c>
      <c r="BK10" s="234">
        <v>82.5</v>
      </c>
      <c r="BL10" s="70">
        <f t="shared" si="26"/>
        <v>1444.9</v>
      </c>
      <c r="BM10" s="71">
        <f t="shared" si="27"/>
        <v>84.994117647058829</v>
      </c>
      <c r="BN10" s="72" t="e">
        <f t="shared" si="28"/>
        <v>#N/A</v>
      </c>
      <c r="BO10" s="73"/>
      <c r="BP10" s="73"/>
      <c r="BQ10" s="73"/>
      <c r="BR10" s="74"/>
      <c r="BS10" s="74"/>
      <c r="BT10" s="74"/>
      <c r="BU10" s="75"/>
    </row>
    <row r="11" spans="1:73" ht="27.95" customHeight="1">
      <c r="A11" s="91">
        <v>8</v>
      </c>
      <c r="B11" s="91">
        <v>20210113</v>
      </c>
      <c r="C11" s="92" t="s">
        <v>306</v>
      </c>
      <c r="D11" s="68">
        <f t="shared" si="0"/>
        <v>99</v>
      </c>
      <c r="E11" s="68">
        <f t="shared" si="1"/>
        <v>79</v>
      </c>
      <c r="F11" s="68">
        <f t="shared" si="2"/>
        <v>94</v>
      </c>
      <c r="G11" s="68">
        <f t="shared" si="3"/>
        <v>96</v>
      </c>
      <c r="H11" s="68">
        <f t="shared" si="4"/>
        <v>86</v>
      </c>
      <c r="I11" s="68">
        <f t="shared" si="5"/>
        <v>94</v>
      </c>
      <c r="J11" s="68">
        <f t="shared" si="6"/>
        <v>95</v>
      </c>
      <c r="K11" s="68">
        <f t="shared" si="7"/>
        <v>89</v>
      </c>
      <c r="L11" s="68">
        <f t="shared" si="8"/>
        <v>69</v>
      </c>
      <c r="M11" s="68">
        <f t="shared" si="9"/>
        <v>77</v>
      </c>
      <c r="N11" s="68">
        <f t="shared" si="10"/>
        <v>84</v>
      </c>
      <c r="O11" s="68">
        <f t="shared" si="11"/>
        <v>85</v>
      </c>
      <c r="P11" s="68">
        <f t="shared" si="12"/>
        <v>77</v>
      </c>
      <c r="Q11" s="69">
        <f t="shared" si="13"/>
        <v>40</v>
      </c>
      <c r="R11" s="69">
        <f t="shared" si="14"/>
        <v>90</v>
      </c>
      <c r="S11" s="69">
        <f t="shared" si="15"/>
        <v>90</v>
      </c>
      <c r="T11" s="69">
        <f t="shared" si="16"/>
        <v>80</v>
      </c>
      <c r="U11" s="234">
        <f t="shared" si="17"/>
        <v>98</v>
      </c>
      <c r="V11" s="234">
        <f t="shared" si="18"/>
        <v>99</v>
      </c>
      <c r="W11" s="234">
        <f t="shared" si="19"/>
        <v>89</v>
      </c>
      <c r="X11" s="234">
        <f t="shared" si="20"/>
        <v>98</v>
      </c>
      <c r="Y11" s="234">
        <f t="shared" si="21"/>
        <v>93</v>
      </c>
      <c r="Z11" s="234">
        <f t="shared" si="22"/>
        <v>90</v>
      </c>
      <c r="AA11" s="70">
        <f t="shared" si="23"/>
        <v>1424</v>
      </c>
      <c r="AB11" s="71">
        <f t="shared" si="24"/>
        <v>83.764705882352942</v>
      </c>
      <c r="AC11" s="72">
        <f t="shared" si="25"/>
        <v>8</v>
      </c>
      <c r="AD11" s="73" t="s">
        <v>805</v>
      </c>
      <c r="AE11" s="73" t="s">
        <v>805</v>
      </c>
      <c r="AF11" s="73" t="s">
        <v>805</v>
      </c>
      <c r="AG11" s="74">
        <v>1</v>
      </c>
      <c r="AH11" s="74">
        <v>0</v>
      </c>
      <c r="AI11" s="74">
        <v>0</v>
      </c>
      <c r="AJ11" s="75"/>
      <c r="AL11" s="66">
        <v>18</v>
      </c>
      <c r="AM11" s="66">
        <v>20210113</v>
      </c>
      <c r="AN11" s="77" t="s">
        <v>306</v>
      </c>
      <c r="AO11" s="68">
        <v>100</v>
      </c>
      <c r="AP11" s="68">
        <v>79</v>
      </c>
      <c r="AQ11" s="68">
        <v>93.5</v>
      </c>
      <c r="AR11" s="68">
        <v>95.5</v>
      </c>
      <c r="AS11" s="68">
        <v>86</v>
      </c>
      <c r="AT11" s="68">
        <v>94</v>
      </c>
      <c r="AU11" s="68">
        <v>94.899999999999991</v>
      </c>
      <c r="AV11" s="68">
        <v>89</v>
      </c>
      <c r="AW11" s="68">
        <v>69.400000000000006</v>
      </c>
      <c r="AX11" s="68">
        <v>77.3</v>
      </c>
      <c r="AY11" s="68">
        <v>84</v>
      </c>
      <c r="AZ11" s="68">
        <v>84.5</v>
      </c>
      <c r="BA11" s="68">
        <v>76.5</v>
      </c>
      <c r="BB11" s="76">
        <v>40</v>
      </c>
      <c r="BC11" s="76">
        <v>90</v>
      </c>
      <c r="BD11" s="76">
        <v>90</v>
      </c>
      <c r="BE11" s="76">
        <v>80</v>
      </c>
      <c r="BF11" s="234">
        <v>97.5</v>
      </c>
      <c r="BG11" s="234">
        <v>100</v>
      </c>
      <c r="BH11" s="234">
        <v>89</v>
      </c>
      <c r="BI11" s="234">
        <v>97.5</v>
      </c>
      <c r="BJ11" s="234">
        <v>92.5</v>
      </c>
      <c r="BK11" s="234">
        <v>90</v>
      </c>
      <c r="BL11" s="70">
        <f t="shared" si="26"/>
        <v>1423.6</v>
      </c>
      <c r="BM11" s="71">
        <f t="shared" si="27"/>
        <v>83.741176470588229</v>
      </c>
      <c r="BN11" s="72" t="e">
        <f t="shared" si="28"/>
        <v>#N/A</v>
      </c>
      <c r="BO11" s="73"/>
      <c r="BP11" s="73"/>
      <c r="BQ11" s="73"/>
      <c r="BR11" s="74"/>
      <c r="BS11" s="74"/>
      <c r="BT11" s="74"/>
      <c r="BU11" s="75"/>
    </row>
    <row r="12" spans="1:73" ht="27.95" customHeight="1">
      <c r="A12" s="66">
        <v>9</v>
      </c>
      <c r="B12" s="91">
        <v>19200105</v>
      </c>
      <c r="C12" s="92" t="s">
        <v>307</v>
      </c>
      <c r="D12" s="68">
        <f t="shared" si="0"/>
        <v>97</v>
      </c>
      <c r="E12" s="68">
        <f t="shared" si="1"/>
        <v>70</v>
      </c>
      <c r="F12" s="68">
        <f t="shared" si="2"/>
        <v>82</v>
      </c>
      <c r="G12" s="68">
        <f t="shared" si="3"/>
        <v>76</v>
      </c>
      <c r="H12" s="68">
        <f t="shared" si="4"/>
        <v>96</v>
      </c>
      <c r="I12" s="68">
        <f t="shared" si="5"/>
        <v>95</v>
      </c>
      <c r="J12" s="68">
        <f t="shared" si="6"/>
        <v>77</v>
      </c>
      <c r="K12" s="68">
        <f t="shared" si="7"/>
        <v>90</v>
      </c>
      <c r="L12" s="68">
        <f t="shared" si="8"/>
        <v>76</v>
      </c>
      <c r="M12" s="68">
        <f t="shared" si="9"/>
        <v>89</v>
      </c>
      <c r="N12" s="68">
        <f t="shared" si="10"/>
        <v>82</v>
      </c>
      <c r="O12" s="68">
        <f t="shared" si="11"/>
        <v>79</v>
      </c>
      <c r="P12" s="68">
        <f t="shared" si="12"/>
        <v>77</v>
      </c>
      <c r="Q12" s="69">
        <f t="shared" si="13"/>
        <v>49</v>
      </c>
      <c r="R12" s="69">
        <f t="shared" si="14"/>
        <v>90</v>
      </c>
      <c r="S12" s="69">
        <f t="shared" si="15"/>
        <v>85</v>
      </c>
      <c r="T12" s="69">
        <f t="shared" si="16"/>
        <v>95</v>
      </c>
      <c r="U12" s="234">
        <f t="shared" si="17"/>
        <v>99</v>
      </c>
      <c r="V12" s="234">
        <f t="shared" si="18"/>
        <v>99</v>
      </c>
      <c r="W12" s="234">
        <f t="shared" si="19"/>
        <v>90</v>
      </c>
      <c r="X12" s="234">
        <f t="shared" si="20"/>
        <v>98</v>
      </c>
      <c r="Y12" s="234">
        <f t="shared" si="21"/>
        <v>95</v>
      </c>
      <c r="Z12" s="234">
        <f t="shared" si="22"/>
        <v>90</v>
      </c>
      <c r="AA12" s="70">
        <f t="shared" si="23"/>
        <v>1405</v>
      </c>
      <c r="AB12" s="71">
        <f t="shared" si="24"/>
        <v>82.647058823529406</v>
      </c>
      <c r="AC12" s="72">
        <f t="shared" si="25"/>
        <v>9</v>
      </c>
      <c r="AD12" s="73" t="s">
        <v>805</v>
      </c>
      <c r="AE12" s="73" t="s">
        <v>805</v>
      </c>
      <c r="AF12" s="73" t="s">
        <v>805</v>
      </c>
      <c r="AG12" s="74">
        <v>0</v>
      </c>
      <c r="AH12" s="74">
        <v>0</v>
      </c>
      <c r="AI12" s="74">
        <v>0</v>
      </c>
      <c r="AJ12" s="75"/>
      <c r="AL12" s="66">
        <v>19</v>
      </c>
      <c r="AM12" s="66">
        <v>19200105</v>
      </c>
      <c r="AN12" s="77" t="s">
        <v>307</v>
      </c>
      <c r="AO12" s="68">
        <v>97</v>
      </c>
      <c r="AP12" s="68">
        <v>70</v>
      </c>
      <c r="AQ12" s="68">
        <v>82</v>
      </c>
      <c r="AR12" s="68">
        <v>75.699999999999989</v>
      </c>
      <c r="AS12" s="68">
        <v>96</v>
      </c>
      <c r="AT12" s="68">
        <v>95</v>
      </c>
      <c r="AU12" s="68">
        <v>76.599999999999994</v>
      </c>
      <c r="AV12" s="68">
        <v>89.8</v>
      </c>
      <c r="AW12" s="68">
        <v>76</v>
      </c>
      <c r="AX12" s="68">
        <v>89</v>
      </c>
      <c r="AY12" s="68">
        <v>82</v>
      </c>
      <c r="AZ12" s="68">
        <v>79</v>
      </c>
      <c r="BA12" s="68">
        <v>76.5</v>
      </c>
      <c r="BB12" s="76">
        <v>49</v>
      </c>
      <c r="BC12" s="76">
        <v>90</v>
      </c>
      <c r="BD12" s="76">
        <v>85</v>
      </c>
      <c r="BE12" s="76">
        <v>95</v>
      </c>
      <c r="BF12" s="234">
        <v>100</v>
      </c>
      <c r="BG12" s="234">
        <v>100</v>
      </c>
      <c r="BH12" s="234">
        <v>89.8</v>
      </c>
      <c r="BI12" s="234">
        <v>97.5</v>
      </c>
      <c r="BJ12" s="234">
        <v>95</v>
      </c>
      <c r="BK12" s="234">
        <v>90</v>
      </c>
      <c r="BL12" s="70">
        <f t="shared" si="26"/>
        <v>1403.6</v>
      </c>
      <c r="BM12" s="71">
        <f t="shared" si="27"/>
        <v>82.564705882352939</v>
      </c>
      <c r="BN12" s="72" t="e">
        <f t="shared" si="28"/>
        <v>#N/A</v>
      </c>
      <c r="BO12" s="73"/>
      <c r="BP12" s="73"/>
      <c r="BQ12" s="73"/>
      <c r="BR12" s="74"/>
      <c r="BS12" s="74"/>
      <c r="BT12" s="74"/>
      <c r="BU12" s="75"/>
    </row>
    <row r="13" spans="1:73" ht="27.95" customHeight="1">
      <c r="A13" s="66">
        <v>10</v>
      </c>
      <c r="B13" s="66">
        <v>19200050</v>
      </c>
      <c r="C13" s="79" t="s">
        <v>297</v>
      </c>
      <c r="D13" s="68">
        <f t="shared" si="0"/>
        <v>99</v>
      </c>
      <c r="E13" s="68">
        <f t="shared" si="1"/>
        <v>71</v>
      </c>
      <c r="F13" s="68">
        <f t="shared" si="2"/>
        <v>93</v>
      </c>
      <c r="G13" s="68">
        <f t="shared" si="3"/>
        <v>55</v>
      </c>
      <c r="H13" s="68">
        <f t="shared" si="4"/>
        <v>94</v>
      </c>
      <c r="I13" s="68">
        <f t="shared" si="5"/>
        <v>77</v>
      </c>
      <c r="J13" s="68">
        <f t="shared" si="6"/>
        <v>92</v>
      </c>
      <c r="K13" s="68">
        <f t="shared" si="7"/>
        <v>90</v>
      </c>
      <c r="L13" s="68">
        <f t="shared" si="8"/>
        <v>68</v>
      </c>
      <c r="M13" s="68">
        <f t="shared" si="9"/>
        <v>95</v>
      </c>
      <c r="N13" s="68">
        <f t="shared" si="10"/>
        <v>90</v>
      </c>
      <c r="O13" s="68">
        <f t="shared" si="11"/>
        <v>87</v>
      </c>
      <c r="P13" s="68">
        <f t="shared" si="12"/>
        <v>85</v>
      </c>
      <c r="Q13" s="69">
        <f t="shared" si="13"/>
        <v>43</v>
      </c>
      <c r="R13" s="69">
        <f t="shared" si="14"/>
        <v>90</v>
      </c>
      <c r="S13" s="69">
        <f t="shared" si="15"/>
        <v>85</v>
      </c>
      <c r="T13" s="69">
        <f t="shared" si="16"/>
        <v>90</v>
      </c>
      <c r="U13" s="234">
        <f t="shared" si="17"/>
        <v>95</v>
      </c>
      <c r="V13" s="234">
        <f t="shared" si="18"/>
        <v>95</v>
      </c>
      <c r="W13" s="234">
        <f t="shared" si="19"/>
        <v>90</v>
      </c>
      <c r="X13" s="234">
        <f t="shared" si="20"/>
        <v>90</v>
      </c>
      <c r="Y13" s="234">
        <f t="shared" si="21"/>
        <v>93</v>
      </c>
      <c r="Z13" s="234">
        <f t="shared" si="22"/>
        <v>88</v>
      </c>
      <c r="AA13" s="70">
        <f t="shared" si="23"/>
        <v>1404</v>
      </c>
      <c r="AB13" s="71">
        <f t="shared" si="24"/>
        <v>82.588235294117652</v>
      </c>
      <c r="AC13" s="72">
        <f t="shared" si="25"/>
        <v>10</v>
      </c>
      <c r="AD13" s="73" t="s">
        <v>805</v>
      </c>
      <c r="AE13" s="73" t="s">
        <v>805</v>
      </c>
      <c r="AF13" s="73" t="s">
        <v>805</v>
      </c>
      <c r="AG13" s="74">
        <v>0</v>
      </c>
      <c r="AH13" s="74">
        <v>0</v>
      </c>
      <c r="AI13" s="74">
        <v>0</v>
      </c>
      <c r="AJ13" s="75"/>
      <c r="AL13" s="66">
        <v>9</v>
      </c>
      <c r="AM13" s="66">
        <v>19200050</v>
      </c>
      <c r="AN13" s="79" t="s">
        <v>297</v>
      </c>
      <c r="AO13" s="68">
        <v>100</v>
      </c>
      <c r="AP13" s="68">
        <v>71.199999999999989</v>
      </c>
      <c r="AQ13" s="68">
        <v>93</v>
      </c>
      <c r="AR13" s="68">
        <v>55</v>
      </c>
      <c r="AS13" s="68">
        <v>94</v>
      </c>
      <c r="AT13" s="68">
        <v>76.7</v>
      </c>
      <c r="AU13" s="68">
        <v>92.199999999999989</v>
      </c>
      <c r="AV13" s="68">
        <v>90</v>
      </c>
      <c r="AW13" s="68">
        <v>68.199999999999989</v>
      </c>
      <c r="AX13" s="68">
        <v>94.5</v>
      </c>
      <c r="AY13" s="68">
        <v>89.6</v>
      </c>
      <c r="AZ13" s="68">
        <v>86.6</v>
      </c>
      <c r="BA13" s="68">
        <v>85.1</v>
      </c>
      <c r="BB13" s="76">
        <v>43</v>
      </c>
      <c r="BC13" s="76">
        <v>90</v>
      </c>
      <c r="BD13" s="76">
        <v>85</v>
      </c>
      <c r="BE13" s="76">
        <v>90</v>
      </c>
      <c r="BF13" s="234">
        <v>95</v>
      </c>
      <c r="BG13" s="234">
        <v>95</v>
      </c>
      <c r="BH13" s="234">
        <v>90</v>
      </c>
      <c r="BI13" s="234">
        <v>90</v>
      </c>
      <c r="BJ13" s="234">
        <v>92.5</v>
      </c>
      <c r="BK13" s="234">
        <v>87.5</v>
      </c>
      <c r="BL13" s="70">
        <f t="shared" si="26"/>
        <v>1404.1</v>
      </c>
      <c r="BM13" s="71">
        <f t="shared" si="27"/>
        <v>82.594117647058823</v>
      </c>
      <c r="BN13" s="72" t="e">
        <f t="shared" si="28"/>
        <v>#N/A</v>
      </c>
      <c r="BO13" s="73"/>
      <c r="BP13" s="73"/>
      <c r="BQ13" s="73"/>
      <c r="BR13" s="74"/>
      <c r="BS13" s="74"/>
      <c r="BT13" s="74"/>
      <c r="BU13" s="75"/>
    </row>
    <row r="14" spans="1:73" ht="27.95" customHeight="1">
      <c r="A14" s="66">
        <v>11</v>
      </c>
      <c r="B14" s="91">
        <v>20210048</v>
      </c>
      <c r="C14" s="92" t="s">
        <v>304</v>
      </c>
      <c r="D14" s="68">
        <f t="shared" si="0"/>
        <v>99</v>
      </c>
      <c r="E14" s="68">
        <f t="shared" si="1"/>
        <v>79</v>
      </c>
      <c r="F14" s="68">
        <f t="shared" si="2"/>
        <v>95</v>
      </c>
      <c r="G14" s="68">
        <f t="shared" si="3"/>
        <v>87</v>
      </c>
      <c r="H14" s="68">
        <f t="shared" si="4"/>
        <v>93</v>
      </c>
      <c r="I14" s="68">
        <f t="shared" si="5"/>
        <v>92</v>
      </c>
      <c r="J14" s="68">
        <f t="shared" si="6"/>
        <v>97</v>
      </c>
      <c r="K14" s="68">
        <f t="shared" si="7"/>
        <v>85</v>
      </c>
      <c r="L14" s="68">
        <f t="shared" si="8"/>
        <v>64</v>
      </c>
      <c r="M14" s="68">
        <f t="shared" si="9"/>
        <v>80</v>
      </c>
      <c r="N14" s="68">
        <f t="shared" si="10"/>
        <v>78</v>
      </c>
      <c r="O14" s="68">
        <f t="shared" si="11"/>
        <v>75</v>
      </c>
      <c r="P14" s="68">
        <f t="shared" si="12"/>
        <v>71</v>
      </c>
      <c r="Q14" s="69">
        <f t="shared" si="13"/>
        <v>43</v>
      </c>
      <c r="R14" s="69">
        <f t="shared" si="14"/>
        <v>90</v>
      </c>
      <c r="S14" s="69">
        <f t="shared" si="15"/>
        <v>75</v>
      </c>
      <c r="T14" s="69">
        <f t="shared" si="16"/>
        <v>80</v>
      </c>
      <c r="U14" s="234">
        <f t="shared" si="17"/>
        <v>99</v>
      </c>
      <c r="V14" s="234">
        <f t="shared" si="18"/>
        <v>99</v>
      </c>
      <c r="W14" s="234">
        <f t="shared" si="19"/>
        <v>85</v>
      </c>
      <c r="X14" s="234">
        <f t="shared" si="20"/>
        <v>99</v>
      </c>
      <c r="Y14" s="234">
        <f t="shared" si="21"/>
        <v>90</v>
      </c>
      <c r="Z14" s="234">
        <f t="shared" si="22"/>
        <v>90</v>
      </c>
      <c r="AA14" s="70">
        <f t="shared" si="23"/>
        <v>1383</v>
      </c>
      <c r="AB14" s="71">
        <f t="shared" si="24"/>
        <v>81.352941176470594</v>
      </c>
      <c r="AC14" s="72">
        <f t="shared" si="25"/>
        <v>11</v>
      </c>
      <c r="AD14" s="73" t="s">
        <v>805</v>
      </c>
      <c r="AE14" s="73" t="s">
        <v>805</v>
      </c>
      <c r="AF14" s="73" t="s">
        <v>805</v>
      </c>
      <c r="AG14" s="74">
        <v>0</v>
      </c>
      <c r="AH14" s="74">
        <v>0</v>
      </c>
      <c r="AI14" s="74">
        <v>0</v>
      </c>
      <c r="AJ14" s="75"/>
      <c r="AL14" s="66">
        <v>16</v>
      </c>
      <c r="AM14" s="66">
        <v>20210048</v>
      </c>
      <c r="AN14" s="78" t="s">
        <v>304</v>
      </c>
      <c r="AO14" s="68">
        <v>100</v>
      </c>
      <c r="AP14" s="68">
        <v>79</v>
      </c>
      <c r="AQ14" s="68">
        <v>95.3</v>
      </c>
      <c r="AR14" s="68">
        <v>86.5</v>
      </c>
      <c r="AS14" s="68">
        <v>93</v>
      </c>
      <c r="AT14" s="68">
        <v>91.5</v>
      </c>
      <c r="AU14" s="68">
        <v>97.3</v>
      </c>
      <c r="AV14" s="68">
        <v>85</v>
      </c>
      <c r="AW14" s="68">
        <v>64</v>
      </c>
      <c r="AX14" s="68">
        <v>80</v>
      </c>
      <c r="AY14" s="68">
        <v>77.8</v>
      </c>
      <c r="AZ14" s="68">
        <v>74.8</v>
      </c>
      <c r="BA14" s="68">
        <v>71.099999999999994</v>
      </c>
      <c r="BB14" s="76">
        <v>43</v>
      </c>
      <c r="BC14" s="76">
        <v>90</v>
      </c>
      <c r="BD14" s="76">
        <v>75</v>
      </c>
      <c r="BE14" s="76">
        <v>80</v>
      </c>
      <c r="BF14" s="234">
        <v>100</v>
      </c>
      <c r="BG14" s="234">
        <v>100</v>
      </c>
      <c r="BH14" s="234">
        <v>85</v>
      </c>
      <c r="BI14" s="234">
        <v>100</v>
      </c>
      <c r="BJ14" s="234">
        <v>90</v>
      </c>
      <c r="BK14" s="234">
        <v>90</v>
      </c>
      <c r="BL14" s="70">
        <f t="shared" si="26"/>
        <v>1383.2999999999997</v>
      </c>
      <c r="BM14" s="71">
        <f t="shared" si="27"/>
        <v>81.370588235294107</v>
      </c>
      <c r="BN14" s="72" t="e">
        <f t="shared" si="28"/>
        <v>#N/A</v>
      </c>
      <c r="BO14" s="73"/>
      <c r="BP14" s="73"/>
      <c r="BQ14" s="73"/>
      <c r="BR14" s="74"/>
      <c r="BS14" s="74"/>
      <c r="BT14" s="74"/>
      <c r="BU14" s="75"/>
    </row>
    <row r="15" spans="1:73" ht="27.95" customHeight="1">
      <c r="A15" s="66">
        <v>12</v>
      </c>
      <c r="B15" s="66">
        <v>20210062</v>
      </c>
      <c r="C15" s="77" t="s">
        <v>295</v>
      </c>
      <c r="D15" s="68">
        <f t="shared" si="0"/>
        <v>83</v>
      </c>
      <c r="E15" s="68">
        <f t="shared" si="1"/>
        <v>79</v>
      </c>
      <c r="F15" s="68">
        <f t="shared" si="2"/>
        <v>89</v>
      </c>
      <c r="G15" s="68">
        <f t="shared" si="3"/>
        <v>64</v>
      </c>
      <c r="H15" s="68">
        <f t="shared" si="4"/>
        <v>90</v>
      </c>
      <c r="I15" s="68">
        <f t="shared" si="5"/>
        <v>87</v>
      </c>
      <c r="J15" s="68">
        <f t="shared" si="6"/>
        <v>96</v>
      </c>
      <c r="K15" s="68">
        <f t="shared" si="7"/>
        <v>85</v>
      </c>
      <c r="L15" s="68">
        <f t="shared" si="8"/>
        <v>75</v>
      </c>
      <c r="M15" s="68">
        <f t="shared" si="9"/>
        <v>93</v>
      </c>
      <c r="N15" s="68">
        <f t="shared" si="10"/>
        <v>90</v>
      </c>
      <c r="O15" s="68">
        <f t="shared" si="11"/>
        <v>85</v>
      </c>
      <c r="P15" s="68">
        <f t="shared" si="12"/>
        <v>76</v>
      </c>
      <c r="Q15" s="69">
        <f t="shared" si="13"/>
        <v>58</v>
      </c>
      <c r="R15" s="69">
        <f t="shared" si="14"/>
        <v>90</v>
      </c>
      <c r="S15" s="69">
        <f t="shared" si="15"/>
        <v>80</v>
      </c>
      <c r="T15" s="69">
        <f t="shared" si="16"/>
        <v>45</v>
      </c>
      <c r="U15" s="234">
        <f t="shared" si="17"/>
        <v>95</v>
      </c>
      <c r="V15" s="234">
        <f t="shared" si="18"/>
        <v>99</v>
      </c>
      <c r="W15" s="234">
        <f t="shared" si="19"/>
        <v>85</v>
      </c>
      <c r="X15" s="234">
        <f t="shared" si="20"/>
        <v>95</v>
      </c>
      <c r="Y15" s="234">
        <f t="shared" si="21"/>
        <v>93</v>
      </c>
      <c r="Z15" s="234">
        <f t="shared" si="22"/>
        <v>93</v>
      </c>
      <c r="AA15" s="70">
        <f t="shared" si="23"/>
        <v>1365</v>
      </c>
      <c r="AB15" s="71">
        <f t="shared" si="24"/>
        <v>80.294117647058826</v>
      </c>
      <c r="AC15" s="72">
        <f t="shared" si="25"/>
        <v>12</v>
      </c>
      <c r="AD15" s="73" t="s">
        <v>805</v>
      </c>
      <c r="AE15" s="73" t="s">
        <v>805</v>
      </c>
      <c r="AF15" s="73" t="s">
        <v>805</v>
      </c>
      <c r="AG15" s="74">
        <v>0</v>
      </c>
      <c r="AH15" s="74">
        <v>0</v>
      </c>
      <c r="AI15" s="74">
        <v>0</v>
      </c>
      <c r="AJ15" s="75"/>
      <c r="AL15" s="66">
        <v>7</v>
      </c>
      <c r="AM15" s="66">
        <v>20210062</v>
      </c>
      <c r="AN15" s="77" t="s">
        <v>295</v>
      </c>
      <c r="AO15" s="68">
        <v>83.199999999999989</v>
      </c>
      <c r="AP15" s="68">
        <v>79</v>
      </c>
      <c r="AQ15" s="68">
        <v>88.6</v>
      </c>
      <c r="AR15" s="68">
        <v>64</v>
      </c>
      <c r="AS15" s="68">
        <v>90</v>
      </c>
      <c r="AT15" s="68">
        <v>86.5</v>
      </c>
      <c r="AU15" s="68">
        <v>96.4</v>
      </c>
      <c r="AV15" s="68">
        <v>84.5</v>
      </c>
      <c r="AW15" s="68">
        <v>74.8</v>
      </c>
      <c r="AX15" s="68">
        <v>93</v>
      </c>
      <c r="AY15" s="68">
        <v>90.199999999999989</v>
      </c>
      <c r="AZ15" s="68">
        <v>85.199999999999989</v>
      </c>
      <c r="BA15" s="68">
        <v>76</v>
      </c>
      <c r="BB15" s="76">
        <v>58</v>
      </c>
      <c r="BC15" s="76">
        <v>90</v>
      </c>
      <c r="BD15" s="76">
        <v>80</v>
      </c>
      <c r="BE15" s="76">
        <v>45</v>
      </c>
      <c r="BF15" s="234">
        <v>95</v>
      </c>
      <c r="BG15" s="234">
        <v>100</v>
      </c>
      <c r="BH15" s="234">
        <v>84.5</v>
      </c>
      <c r="BI15" s="234">
        <v>95</v>
      </c>
      <c r="BJ15" s="234">
        <v>92.5</v>
      </c>
      <c r="BK15" s="234">
        <v>92.5</v>
      </c>
      <c r="BL15" s="70">
        <f t="shared" si="26"/>
        <v>1364.3999999999999</v>
      </c>
      <c r="BM15" s="71">
        <f t="shared" si="27"/>
        <v>80.258823529411757</v>
      </c>
      <c r="BN15" s="72" t="e">
        <f t="shared" si="28"/>
        <v>#N/A</v>
      </c>
      <c r="BO15" s="73"/>
      <c r="BP15" s="73"/>
      <c r="BQ15" s="73"/>
      <c r="BR15" s="74"/>
      <c r="BS15" s="74"/>
      <c r="BT15" s="74"/>
      <c r="BU15" s="75"/>
    </row>
    <row r="16" spans="1:73" ht="27.95" customHeight="1">
      <c r="A16" s="91">
        <v>13</v>
      </c>
      <c r="B16" s="91">
        <v>20210026</v>
      </c>
      <c r="C16" s="92" t="s">
        <v>309</v>
      </c>
      <c r="D16" s="68">
        <f t="shared" si="0"/>
        <v>98</v>
      </c>
      <c r="E16" s="68">
        <f t="shared" si="1"/>
        <v>97</v>
      </c>
      <c r="F16" s="68">
        <f t="shared" si="2"/>
        <v>96</v>
      </c>
      <c r="G16" s="68">
        <f t="shared" si="3"/>
        <v>70</v>
      </c>
      <c r="H16" s="68">
        <f t="shared" si="4"/>
        <v>71</v>
      </c>
      <c r="I16" s="68">
        <f t="shared" si="5"/>
        <v>88</v>
      </c>
      <c r="J16" s="68">
        <f t="shared" si="6"/>
        <v>90</v>
      </c>
      <c r="K16" s="68">
        <f t="shared" si="7"/>
        <v>76</v>
      </c>
      <c r="L16" s="68">
        <f t="shared" si="8"/>
        <v>58</v>
      </c>
      <c r="M16" s="68">
        <f t="shared" si="9"/>
        <v>90</v>
      </c>
      <c r="N16" s="68">
        <f t="shared" si="10"/>
        <v>92</v>
      </c>
      <c r="O16" s="68">
        <f t="shared" si="11"/>
        <v>84</v>
      </c>
      <c r="P16" s="68">
        <f t="shared" si="12"/>
        <v>69</v>
      </c>
      <c r="Q16" s="69">
        <f t="shared" si="13"/>
        <v>43</v>
      </c>
      <c r="R16" s="69">
        <f t="shared" si="14"/>
        <v>90</v>
      </c>
      <c r="S16" s="69">
        <f t="shared" si="15"/>
        <v>85</v>
      </c>
      <c r="T16" s="69">
        <f t="shared" si="16"/>
        <v>65</v>
      </c>
      <c r="U16" s="234">
        <f t="shared" si="17"/>
        <v>95</v>
      </c>
      <c r="V16" s="234">
        <f t="shared" si="18"/>
        <v>99</v>
      </c>
      <c r="W16" s="234">
        <f t="shared" si="19"/>
        <v>76</v>
      </c>
      <c r="X16" s="234">
        <f t="shared" si="20"/>
        <v>99</v>
      </c>
      <c r="Y16" s="234">
        <f t="shared" si="21"/>
        <v>95</v>
      </c>
      <c r="Z16" s="234">
        <f t="shared" si="22"/>
        <v>80</v>
      </c>
      <c r="AA16" s="70">
        <f t="shared" si="23"/>
        <v>1362</v>
      </c>
      <c r="AB16" s="71">
        <f t="shared" si="24"/>
        <v>80.117647058823536</v>
      </c>
      <c r="AC16" s="72">
        <f t="shared" si="25"/>
        <v>13</v>
      </c>
      <c r="AD16" s="73" t="s">
        <v>805</v>
      </c>
      <c r="AE16" s="73" t="s">
        <v>805</v>
      </c>
      <c r="AF16" s="73" t="s">
        <v>805</v>
      </c>
      <c r="AG16" s="74">
        <v>6</v>
      </c>
      <c r="AH16" s="74">
        <v>0</v>
      </c>
      <c r="AI16" s="74">
        <v>0</v>
      </c>
      <c r="AJ16" s="75"/>
      <c r="AL16" s="66">
        <v>21</v>
      </c>
      <c r="AM16" s="66">
        <v>20210026</v>
      </c>
      <c r="AN16" s="78" t="s">
        <v>309</v>
      </c>
      <c r="AO16" s="68">
        <v>98.199999999999989</v>
      </c>
      <c r="AP16" s="68">
        <v>97</v>
      </c>
      <c r="AQ16" s="68">
        <v>95.5</v>
      </c>
      <c r="AR16" s="68">
        <v>70.3</v>
      </c>
      <c r="AS16" s="68">
        <v>70.5</v>
      </c>
      <c r="AT16" s="68">
        <v>87.899999999999991</v>
      </c>
      <c r="AU16" s="68">
        <v>90.1</v>
      </c>
      <c r="AV16" s="68">
        <v>75.5</v>
      </c>
      <c r="AW16" s="68">
        <v>58</v>
      </c>
      <c r="AX16" s="68">
        <v>89.5</v>
      </c>
      <c r="AY16" s="68">
        <v>92.199999999999989</v>
      </c>
      <c r="AZ16" s="68">
        <v>83.5</v>
      </c>
      <c r="BA16" s="68">
        <v>69.400000000000006</v>
      </c>
      <c r="BB16" s="76">
        <v>43</v>
      </c>
      <c r="BC16" s="76">
        <v>90</v>
      </c>
      <c r="BD16" s="76">
        <v>85</v>
      </c>
      <c r="BE16" s="76">
        <v>65</v>
      </c>
      <c r="BF16" s="234">
        <v>95</v>
      </c>
      <c r="BG16" s="234">
        <v>100</v>
      </c>
      <c r="BH16" s="234">
        <v>75.5</v>
      </c>
      <c r="BI16" s="234">
        <v>100</v>
      </c>
      <c r="BJ16" s="234">
        <v>95</v>
      </c>
      <c r="BK16" s="234">
        <v>80</v>
      </c>
      <c r="BL16" s="70">
        <f t="shared" si="26"/>
        <v>1360.6000000000001</v>
      </c>
      <c r="BM16" s="71">
        <f t="shared" si="27"/>
        <v>80.035294117647069</v>
      </c>
      <c r="BN16" s="72" t="e">
        <f t="shared" si="28"/>
        <v>#N/A</v>
      </c>
      <c r="BO16" s="73"/>
      <c r="BP16" s="73"/>
      <c r="BQ16" s="73"/>
      <c r="BR16" s="74"/>
      <c r="BS16" s="74"/>
      <c r="BT16" s="74"/>
      <c r="BU16" s="75"/>
    </row>
    <row r="17" spans="1:73" ht="27.95" customHeight="1">
      <c r="A17" s="91">
        <v>14</v>
      </c>
      <c r="B17" s="66">
        <v>19200154</v>
      </c>
      <c r="C17" s="77" t="s">
        <v>311</v>
      </c>
      <c r="D17" s="68">
        <f t="shared" si="0"/>
        <v>99</v>
      </c>
      <c r="E17" s="68">
        <f t="shared" si="1"/>
        <v>94</v>
      </c>
      <c r="F17" s="68">
        <f t="shared" si="2"/>
        <v>94</v>
      </c>
      <c r="G17" s="68">
        <f t="shared" si="3"/>
        <v>79</v>
      </c>
      <c r="H17" s="68">
        <f t="shared" si="4"/>
        <v>81</v>
      </c>
      <c r="I17" s="68">
        <f t="shared" si="5"/>
        <v>87</v>
      </c>
      <c r="J17" s="68">
        <f t="shared" si="6"/>
        <v>88</v>
      </c>
      <c r="K17" s="68">
        <f t="shared" si="7"/>
        <v>92</v>
      </c>
      <c r="L17" s="68">
        <f t="shared" si="8"/>
        <v>55</v>
      </c>
      <c r="M17" s="68">
        <f t="shared" si="9"/>
        <v>77</v>
      </c>
      <c r="N17" s="68">
        <f t="shared" si="10"/>
        <v>95</v>
      </c>
      <c r="O17" s="68">
        <f t="shared" si="11"/>
        <v>79</v>
      </c>
      <c r="P17" s="68">
        <f t="shared" si="12"/>
        <v>77</v>
      </c>
      <c r="Q17" s="69">
        <f t="shared" si="13"/>
        <v>40</v>
      </c>
      <c r="R17" s="69">
        <f t="shared" si="14"/>
        <v>90</v>
      </c>
      <c r="S17" s="69">
        <f t="shared" si="15"/>
        <v>75</v>
      </c>
      <c r="T17" s="69">
        <f t="shared" si="16"/>
        <v>50</v>
      </c>
      <c r="U17" s="234">
        <f t="shared" si="17"/>
        <v>98</v>
      </c>
      <c r="V17" s="234">
        <f t="shared" si="18"/>
        <v>99</v>
      </c>
      <c r="W17" s="234">
        <f t="shared" si="19"/>
        <v>92</v>
      </c>
      <c r="X17" s="234">
        <f t="shared" si="20"/>
        <v>98</v>
      </c>
      <c r="Y17" s="234">
        <f t="shared" si="21"/>
        <v>95</v>
      </c>
      <c r="Z17" s="234">
        <f t="shared" si="22"/>
        <v>88</v>
      </c>
      <c r="AA17" s="70">
        <f t="shared" si="23"/>
        <v>1352</v>
      </c>
      <c r="AB17" s="71">
        <f t="shared" si="24"/>
        <v>79.529411764705884</v>
      </c>
      <c r="AC17" s="72">
        <f t="shared" si="25"/>
        <v>14</v>
      </c>
      <c r="AD17" s="73" t="s">
        <v>805</v>
      </c>
      <c r="AE17" s="73" t="s">
        <v>805</v>
      </c>
      <c r="AF17" s="73" t="s">
        <v>805</v>
      </c>
      <c r="AG17" s="74">
        <v>4</v>
      </c>
      <c r="AH17" s="74">
        <v>0</v>
      </c>
      <c r="AI17" s="74">
        <v>0</v>
      </c>
      <c r="AJ17" s="75"/>
      <c r="AL17" s="66">
        <v>23</v>
      </c>
      <c r="AM17" s="66">
        <v>19200154</v>
      </c>
      <c r="AN17" s="77" t="s">
        <v>311</v>
      </c>
      <c r="AO17" s="68">
        <v>100</v>
      </c>
      <c r="AP17" s="68">
        <v>94</v>
      </c>
      <c r="AQ17" s="68">
        <v>93.5</v>
      </c>
      <c r="AR17" s="68">
        <v>79.3</v>
      </c>
      <c r="AS17" s="68">
        <v>81</v>
      </c>
      <c r="AT17" s="68">
        <v>87</v>
      </c>
      <c r="AU17" s="68">
        <v>88.3</v>
      </c>
      <c r="AV17" s="68">
        <v>91.5</v>
      </c>
      <c r="AW17" s="68">
        <v>55</v>
      </c>
      <c r="AX17" s="68">
        <v>77</v>
      </c>
      <c r="AY17" s="68">
        <v>95</v>
      </c>
      <c r="AZ17" s="68">
        <v>79</v>
      </c>
      <c r="BA17" s="68">
        <v>76.5</v>
      </c>
      <c r="BB17" s="76">
        <v>40</v>
      </c>
      <c r="BC17" s="76">
        <v>90</v>
      </c>
      <c r="BD17" s="76">
        <v>75</v>
      </c>
      <c r="BE17" s="76">
        <v>50</v>
      </c>
      <c r="BF17" s="234">
        <v>97.5</v>
      </c>
      <c r="BG17" s="234">
        <v>100</v>
      </c>
      <c r="BH17" s="234">
        <v>91.5</v>
      </c>
      <c r="BI17" s="234">
        <v>97.5</v>
      </c>
      <c r="BJ17" s="234">
        <v>95</v>
      </c>
      <c r="BK17" s="234">
        <v>87.5</v>
      </c>
      <c r="BL17" s="70">
        <f t="shared" si="26"/>
        <v>1352.1</v>
      </c>
      <c r="BM17" s="71">
        <f t="shared" si="27"/>
        <v>79.535294117647055</v>
      </c>
      <c r="BN17" s="72" t="e">
        <f t="shared" si="28"/>
        <v>#N/A</v>
      </c>
      <c r="BO17" s="73"/>
      <c r="BP17" s="73"/>
      <c r="BQ17" s="73"/>
      <c r="BR17" s="74"/>
      <c r="BS17" s="74"/>
      <c r="BT17" s="74"/>
      <c r="BU17" s="75"/>
    </row>
    <row r="18" spans="1:73" ht="27.95" customHeight="1">
      <c r="A18" s="91">
        <v>15</v>
      </c>
      <c r="B18" s="91">
        <v>20210090</v>
      </c>
      <c r="C18" s="92" t="s">
        <v>302</v>
      </c>
      <c r="D18" s="68">
        <f t="shared" si="0"/>
        <v>99</v>
      </c>
      <c r="E18" s="68">
        <f t="shared" si="1"/>
        <v>70</v>
      </c>
      <c r="F18" s="68">
        <f t="shared" si="2"/>
        <v>92</v>
      </c>
      <c r="G18" s="68">
        <f t="shared" si="3"/>
        <v>80</v>
      </c>
      <c r="H18" s="68">
        <f t="shared" si="4"/>
        <v>89</v>
      </c>
      <c r="I18" s="68">
        <f t="shared" si="5"/>
        <v>87</v>
      </c>
      <c r="J18" s="68">
        <f t="shared" si="6"/>
        <v>84</v>
      </c>
      <c r="K18" s="68">
        <f t="shared" si="7"/>
        <v>81</v>
      </c>
      <c r="L18" s="68">
        <f t="shared" si="8"/>
        <v>66</v>
      </c>
      <c r="M18" s="68">
        <f t="shared" si="9"/>
        <v>81</v>
      </c>
      <c r="N18" s="68">
        <f t="shared" si="10"/>
        <v>66</v>
      </c>
      <c r="O18" s="68">
        <f t="shared" si="11"/>
        <v>67</v>
      </c>
      <c r="P18" s="68">
        <f t="shared" si="12"/>
        <v>88</v>
      </c>
      <c r="Q18" s="69">
        <f t="shared" si="13"/>
        <v>40</v>
      </c>
      <c r="R18" s="69">
        <f t="shared" si="14"/>
        <v>90</v>
      </c>
      <c r="S18" s="69">
        <f t="shared" si="15"/>
        <v>80</v>
      </c>
      <c r="T18" s="69">
        <f t="shared" si="16"/>
        <v>75</v>
      </c>
      <c r="U18" s="234">
        <f t="shared" si="17"/>
        <v>95</v>
      </c>
      <c r="V18" s="234">
        <f t="shared" si="18"/>
        <v>99</v>
      </c>
      <c r="W18" s="234">
        <f t="shared" si="19"/>
        <v>81</v>
      </c>
      <c r="X18" s="234">
        <f t="shared" si="20"/>
        <v>99</v>
      </c>
      <c r="Y18" s="234">
        <f t="shared" si="21"/>
        <v>98</v>
      </c>
      <c r="Z18" s="234">
        <f t="shared" si="22"/>
        <v>85</v>
      </c>
      <c r="AA18" s="70">
        <f t="shared" si="23"/>
        <v>1335</v>
      </c>
      <c r="AB18" s="71">
        <f t="shared" si="24"/>
        <v>78.529411764705884</v>
      </c>
      <c r="AC18" s="72">
        <f t="shared" si="25"/>
        <v>15</v>
      </c>
      <c r="AD18" s="73" t="s">
        <v>805</v>
      </c>
      <c r="AE18" s="73" t="s">
        <v>805</v>
      </c>
      <c r="AF18" s="73" t="s">
        <v>805</v>
      </c>
      <c r="AG18" s="74">
        <v>0</v>
      </c>
      <c r="AH18" s="74">
        <v>0</v>
      </c>
      <c r="AI18" s="74">
        <v>0</v>
      </c>
      <c r="AJ18" s="75"/>
      <c r="AL18" s="66">
        <v>14</v>
      </c>
      <c r="AM18" s="66">
        <v>20210090</v>
      </c>
      <c r="AN18" s="77" t="s">
        <v>302</v>
      </c>
      <c r="AO18" s="68">
        <v>98.5</v>
      </c>
      <c r="AP18" s="68">
        <v>70</v>
      </c>
      <c r="AQ18" s="68">
        <v>92</v>
      </c>
      <c r="AR18" s="68">
        <v>80.199999999999989</v>
      </c>
      <c r="AS18" s="68">
        <v>88.5</v>
      </c>
      <c r="AT18" s="68">
        <v>87.2</v>
      </c>
      <c r="AU18" s="68">
        <v>83.5</v>
      </c>
      <c r="AV18" s="68">
        <v>81</v>
      </c>
      <c r="AW18" s="68">
        <v>65.8</v>
      </c>
      <c r="AX18" s="68">
        <v>81</v>
      </c>
      <c r="AY18" s="68">
        <v>66</v>
      </c>
      <c r="AZ18" s="68">
        <v>67</v>
      </c>
      <c r="BA18" s="68">
        <v>87.5</v>
      </c>
      <c r="BB18" s="76">
        <v>40</v>
      </c>
      <c r="BC18" s="76">
        <v>90</v>
      </c>
      <c r="BD18" s="76">
        <v>80</v>
      </c>
      <c r="BE18" s="76">
        <v>75</v>
      </c>
      <c r="BF18" s="234">
        <v>95</v>
      </c>
      <c r="BG18" s="234">
        <v>100</v>
      </c>
      <c r="BH18" s="234">
        <v>81</v>
      </c>
      <c r="BI18" s="234">
        <v>100</v>
      </c>
      <c r="BJ18" s="234">
        <v>97.5</v>
      </c>
      <c r="BK18" s="234">
        <v>85</v>
      </c>
      <c r="BL18" s="70">
        <f t="shared" si="26"/>
        <v>1333.1999999999998</v>
      </c>
      <c r="BM18" s="71">
        <f t="shared" si="27"/>
        <v>78.42352941176469</v>
      </c>
      <c r="BN18" s="72" t="e">
        <f t="shared" si="28"/>
        <v>#N/A</v>
      </c>
      <c r="BO18" s="73"/>
      <c r="BP18" s="73"/>
      <c r="BQ18" s="73"/>
      <c r="BR18" s="74"/>
      <c r="BS18" s="74"/>
      <c r="BT18" s="74"/>
      <c r="BU18" s="75"/>
    </row>
    <row r="19" spans="1:73" ht="27.95" customHeight="1">
      <c r="A19" s="91">
        <v>16</v>
      </c>
      <c r="B19" s="91">
        <v>20210055</v>
      </c>
      <c r="C19" s="92" t="s">
        <v>301</v>
      </c>
      <c r="D19" s="68">
        <f t="shared" si="0"/>
        <v>94</v>
      </c>
      <c r="E19" s="68">
        <f t="shared" si="1"/>
        <v>64</v>
      </c>
      <c r="F19" s="68">
        <f t="shared" si="2"/>
        <v>94</v>
      </c>
      <c r="G19" s="68">
        <f t="shared" si="3"/>
        <v>80</v>
      </c>
      <c r="H19" s="68">
        <f t="shared" si="4"/>
        <v>89</v>
      </c>
      <c r="I19" s="68">
        <f t="shared" si="5"/>
        <v>83</v>
      </c>
      <c r="J19" s="68">
        <f t="shared" si="6"/>
        <v>94</v>
      </c>
      <c r="K19" s="68">
        <f t="shared" si="7"/>
        <v>86</v>
      </c>
      <c r="L19" s="68">
        <f t="shared" si="8"/>
        <v>75</v>
      </c>
      <c r="M19" s="68">
        <f t="shared" si="9"/>
        <v>86</v>
      </c>
      <c r="N19" s="68">
        <f t="shared" si="10"/>
        <v>68</v>
      </c>
      <c r="O19" s="68">
        <f t="shared" si="11"/>
        <v>68</v>
      </c>
      <c r="P19" s="68">
        <f t="shared" si="12"/>
        <v>69</v>
      </c>
      <c r="Q19" s="69">
        <f t="shared" si="13"/>
        <v>53</v>
      </c>
      <c r="R19" s="69">
        <f t="shared" si="14"/>
        <v>90</v>
      </c>
      <c r="S19" s="69">
        <f t="shared" si="15"/>
        <v>85</v>
      </c>
      <c r="T19" s="69">
        <f t="shared" si="16"/>
        <v>50</v>
      </c>
      <c r="U19" s="234">
        <f t="shared" si="17"/>
        <v>99</v>
      </c>
      <c r="V19" s="234">
        <f t="shared" si="18"/>
        <v>99</v>
      </c>
      <c r="W19" s="234">
        <f t="shared" si="19"/>
        <v>86</v>
      </c>
      <c r="X19" s="234">
        <f t="shared" si="20"/>
        <v>98</v>
      </c>
      <c r="Y19" s="234">
        <f t="shared" si="21"/>
        <v>83</v>
      </c>
      <c r="Z19" s="234">
        <f t="shared" si="22"/>
        <v>90</v>
      </c>
      <c r="AA19" s="70">
        <f t="shared" si="23"/>
        <v>1328</v>
      </c>
      <c r="AB19" s="71">
        <f t="shared" si="24"/>
        <v>78.117647058823536</v>
      </c>
      <c r="AC19" s="72">
        <f t="shared" si="25"/>
        <v>16</v>
      </c>
      <c r="AD19" s="73" t="s">
        <v>805</v>
      </c>
      <c r="AE19" s="73" t="s">
        <v>805</v>
      </c>
      <c r="AF19" s="73" t="s">
        <v>805</v>
      </c>
      <c r="AG19" s="74">
        <v>6</v>
      </c>
      <c r="AH19" s="74">
        <v>0</v>
      </c>
      <c r="AI19" s="74">
        <v>0</v>
      </c>
      <c r="AJ19" s="75"/>
      <c r="AL19" s="66">
        <v>13</v>
      </c>
      <c r="AM19" s="66">
        <v>20210055</v>
      </c>
      <c r="AN19" s="77" t="s">
        <v>301</v>
      </c>
      <c r="AO19" s="68">
        <v>94</v>
      </c>
      <c r="AP19" s="68">
        <v>64</v>
      </c>
      <c r="AQ19" s="68">
        <v>93.5</v>
      </c>
      <c r="AR19" s="68">
        <v>80.199999999999989</v>
      </c>
      <c r="AS19" s="68">
        <v>88.5</v>
      </c>
      <c r="AT19" s="68">
        <v>83</v>
      </c>
      <c r="AU19" s="68">
        <v>94</v>
      </c>
      <c r="AV19" s="68">
        <v>85.5</v>
      </c>
      <c r="AW19" s="68">
        <v>74.5</v>
      </c>
      <c r="AX19" s="68">
        <v>85.5</v>
      </c>
      <c r="AY19" s="68">
        <v>68</v>
      </c>
      <c r="AZ19" s="68">
        <v>68</v>
      </c>
      <c r="BA19" s="68">
        <v>68.5</v>
      </c>
      <c r="BB19" s="76">
        <v>53</v>
      </c>
      <c r="BC19" s="76">
        <v>90</v>
      </c>
      <c r="BD19" s="76">
        <v>85</v>
      </c>
      <c r="BE19" s="76">
        <v>50</v>
      </c>
      <c r="BF19" s="234">
        <v>100</v>
      </c>
      <c r="BG19" s="234">
        <v>100</v>
      </c>
      <c r="BH19" s="234">
        <v>85.5</v>
      </c>
      <c r="BI19" s="234">
        <v>97.5</v>
      </c>
      <c r="BJ19" s="234">
        <v>82.5</v>
      </c>
      <c r="BK19" s="234">
        <v>90</v>
      </c>
      <c r="BL19" s="70">
        <f t="shared" si="26"/>
        <v>1325.2</v>
      </c>
      <c r="BM19" s="71">
        <f t="shared" si="27"/>
        <v>77.952941176470588</v>
      </c>
      <c r="BN19" s="72" t="e">
        <f t="shared" si="28"/>
        <v>#N/A</v>
      </c>
      <c r="BO19" s="73"/>
      <c r="BP19" s="73"/>
      <c r="BQ19" s="73"/>
      <c r="BR19" s="74"/>
      <c r="BS19" s="74"/>
      <c r="BT19" s="74"/>
      <c r="BU19" s="75"/>
    </row>
    <row r="20" spans="1:73" ht="27.95" customHeight="1">
      <c r="A20" s="91">
        <v>17</v>
      </c>
      <c r="B20" s="66">
        <v>20210066</v>
      </c>
      <c r="C20" s="77" t="s">
        <v>291</v>
      </c>
      <c r="D20" s="68">
        <f t="shared" si="0"/>
        <v>99</v>
      </c>
      <c r="E20" s="68">
        <f t="shared" si="1"/>
        <v>67</v>
      </c>
      <c r="F20" s="68">
        <f t="shared" si="2"/>
        <v>81</v>
      </c>
      <c r="G20" s="68">
        <f t="shared" si="3"/>
        <v>78</v>
      </c>
      <c r="H20" s="68">
        <f t="shared" si="4"/>
        <v>78</v>
      </c>
      <c r="I20" s="68">
        <f t="shared" si="5"/>
        <v>88</v>
      </c>
      <c r="J20" s="68">
        <f t="shared" si="6"/>
        <v>84</v>
      </c>
      <c r="K20" s="68">
        <f t="shared" si="7"/>
        <v>83</v>
      </c>
      <c r="L20" s="68">
        <f t="shared" si="8"/>
        <v>66</v>
      </c>
      <c r="M20" s="68">
        <f t="shared" si="9"/>
        <v>74</v>
      </c>
      <c r="N20" s="68">
        <f t="shared" si="10"/>
        <v>93</v>
      </c>
      <c r="O20" s="68">
        <f t="shared" si="11"/>
        <v>88</v>
      </c>
      <c r="P20" s="68">
        <f t="shared" si="12"/>
        <v>72</v>
      </c>
      <c r="Q20" s="69">
        <f t="shared" si="13"/>
        <v>40</v>
      </c>
      <c r="R20" s="69">
        <f t="shared" si="14"/>
        <v>90</v>
      </c>
      <c r="S20" s="69">
        <f t="shared" si="15"/>
        <v>70</v>
      </c>
      <c r="T20" s="69">
        <f t="shared" si="16"/>
        <v>55</v>
      </c>
      <c r="U20" s="234">
        <f t="shared" si="17"/>
        <v>95</v>
      </c>
      <c r="V20" s="234">
        <f t="shared" si="18"/>
        <v>99</v>
      </c>
      <c r="W20" s="234">
        <f t="shared" si="19"/>
        <v>83</v>
      </c>
      <c r="X20" s="234">
        <f t="shared" si="20"/>
        <v>99</v>
      </c>
      <c r="Y20" s="234">
        <f t="shared" si="21"/>
        <v>95</v>
      </c>
      <c r="Z20" s="234">
        <f t="shared" si="22"/>
        <v>88</v>
      </c>
      <c r="AA20" s="70">
        <f t="shared" si="23"/>
        <v>1306</v>
      </c>
      <c r="AB20" s="71">
        <f t="shared" si="24"/>
        <v>76.82352941176471</v>
      </c>
      <c r="AC20" s="72">
        <f t="shared" si="25"/>
        <v>17</v>
      </c>
      <c r="AD20" s="73" t="s">
        <v>805</v>
      </c>
      <c r="AE20" s="73" t="s">
        <v>805</v>
      </c>
      <c r="AF20" s="73" t="s">
        <v>805</v>
      </c>
      <c r="AG20" s="74">
        <v>8</v>
      </c>
      <c r="AH20" s="74">
        <v>0</v>
      </c>
      <c r="AI20" s="74">
        <v>0</v>
      </c>
      <c r="AJ20" s="75"/>
      <c r="AL20" s="66">
        <v>3</v>
      </c>
      <c r="AM20" s="66">
        <v>20210066</v>
      </c>
      <c r="AN20" s="77" t="s">
        <v>291</v>
      </c>
      <c r="AO20" s="68">
        <v>98.8</v>
      </c>
      <c r="AP20" s="68">
        <v>67</v>
      </c>
      <c r="AQ20" s="68">
        <v>80.7</v>
      </c>
      <c r="AR20" s="68">
        <v>77.5</v>
      </c>
      <c r="AS20" s="68">
        <v>78</v>
      </c>
      <c r="AT20" s="68">
        <v>87.9</v>
      </c>
      <c r="AU20" s="68">
        <v>83.8</v>
      </c>
      <c r="AV20" s="68">
        <v>82.5</v>
      </c>
      <c r="AW20" s="68">
        <v>65.8</v>
      </c>
      <c r="AX20" s="68">
        <v>74</v>
      </c>
      <c r="AY20" s="68">
        <v>93</v>
      </c>
      <c r="AZ20" s="68">
        <v>88</v>
      </c>
      <c r="BA20" s="68">
        <v>71.5</v>
      </c>
      <c r="BB20" s="76">
        <v>27</v>
      </c>
      <c r="BC20" s="76">
        <v>90</v>
      </c>
      <c r="BD20" s="76">
        <v>70</v>
      </c>
      <c r="BE20" s="76">
        <v>55</v>
      </c>
      <c r="BF20" s="234">
        <v>95</v>
      </c>
      <c r="BG20" s="234">
        <v>100</v>
      </c>
      <c r="BH20" s="234">
        <v>82.5</v>
      </c>
      <c r="BI20" s="234">
        <v>100</v>
      </c>
      <c r="BJ20" s="234">
        <v>95</v>
      </c>
      <c r="BK20" s="234">
        <v>87.5</v>
      </c>
      <c r="BL20" s="70">
        <f t="shared" si="26"/>
        <v>1290.5</v>
      </c>
      <c r="BM20" s="71">
        <f t="shared" si="27"/>
        <v>75.911764705882348</v>
      </c>
      <c r="BN20" s="72" t="e">
        <f t="shared" si="28"/>
        <v>#N/A</v>
      </c>
      <c r="BO20" s="73"/>
      <c r="BP20" s="73"/>
      <c r="BQ20" s="73"/>
      <c r="BR20" s="74"/>
      <c r="BS20" s="74"/>
      <c r="BT20" s="74"/>
      <c r="BU20" s="75"/>
    </row>
    <row r="21" spans="1:73" ht="27.95" customHeight="1">
      <c r="A21" s="91">
        <v>18</v>
      </c>
      <c r="B21" s="66">
        <v>20210054</v>
      </c>
      <c r="C21" s="77" t="s">
        <v>313</v>
      </c>
      <c r="D21" s="68">
        <f t="shared" si="0"/>
        <v>90</v>
      </c>
      <c r="E21" s="68">
        <f t="shared" si="1"/>
        <v>91</v>
      </c>
      <c r="F21" s="68">
        <f t="shared" si="2"/>
        <v>89</v>
      </c>
      <c r="G21" s="68">
        <f t="shared" si="3"/>
        <v>55</v>
      </c>
      <c r="H21" s="68">
        <f t="shared" si="4"/>
        <v>74</v>
      </c>
      <c r="I21" s="68">
        <f t="shared" si="5"/>
        <v>82</v>
      </c>
      <c r="J21" s="68">
        <f t="shared" si="6"/>
        <v>94</v>
      </c>
      <c r="K21" s="68">
        <f t="shared" si="7"/>
        <v>80</v>
      </c>
      <c r="L21" s="68">
        <f t="shared" si="8"/>
        <v>58</v>
      </c>
      <c r="M21" s="68">
        <f t="shared" si="9"/>
        <v>78</v>
      </c>
      <c r="N21" s="68">
        <f t="shared" si="10"/>
        <v>77</v>
      </c>
      <c r="O21" s="68">
        <f t="shared" si="11"/>
        <v>72</v>
      </c>
      <c r="P21" s="68">
        <f t="shared" si="12"/>
        <v>68</v>
      </c>
      <c r="Q21" s="69">
        <f t="shared" si="13"/>
        <v>40</v>
      </c>
      <c r="R21" s="69">
        <f t="shared" si="14"/>
        <v>90</v>
      </c>
      <c r="S21" s="69">
        <f t="shared" si="15"/>
        <v>70</v>
      </c>
      <c r="T21" s="69">
        <f t="shared" si="16"/>
        <v>50</v>
      </c>
      <c r="U21" s="234">
        <f t="shared" si="17"/>
        <v>98</v>
      </c>
      <c r="V21" s="234">
        <f t="shared" si="18"/>
        <v>99</v>
      </c>
      <c r="W21" s="234">
        <f t="shared" si="19"/>
        <v>80</v>
      </c>
      <c r="X21" s="234">
        <f t="shared" si="20"/>
        <v>98</v>
      </c>
      <c r="Y21" s="234">
        <f t="shared" si="21"/>
        <v>95</v>
      </c>
      <c r="Z21" s="234">
        <f t="shared" si="22"/>
        <v>90</v>
      </c>
      <c r="AA21" s="70">
        <f t="shared" si="23"/>
        <v>1258</v>
      </c>
      <c r="AB21" s="71">
        <f t="shared" si="24"/>
        <v>74</v>
      </c>
      <c r="AC21" s="72">
        <f t="shared" si="25"/>
        <v>18</v>
      </c>
      <c r="AD21" s="73" t="s">
        <v>805</v>
      </c>
      <c r="AE21" s="73" t="s">
        <v>805</v>
      </c>
      <c r="AF21" s="73" t="s">
        <v>805</v>
      </c>
      <c r="AG21" s="74">
        <v>0</v>
      </c>
      <c r="AH21" s="74">
        <v>0</v>
      </c>
      <c r="AI21" s="74">
        <v>0</v>
      </c>
      <c r="AJ21" s="75"/>
      <c r="AL21" s="66">
        <v>25</v>
      </c>
      <c r="AM21" s="66">
        <v>20210054</v>
      </c>
      <c r="AN21" s="77" t="s">
        <v>313</v>
      </c>
      <c r="AO21" s="68">
        <v>89.8</v>
      </c>
      <c r="AP21" s="68">
        <v>91</v>
      </c>
      <c r="AQ21" s="68">
        <v>88.5</v>
      </c>
      <c r="AR21" s="68">
        <v>55</v>
      </c>
      <c r="AS21" s="68">
        <v>73.5</v>
      </c>
      <c r="AT21" s="68">
        <v>82.3</v>
      </c>
      <c r="AU21" s="68">
        <v>93.699999999999989</v>
      </c>
      <c r="AV21" s="68">
        <v>79.5</v>
      </c>
      <c r="AW21" s="68">
        <v>58</v>
      </c>
      <c r="AX21" s="68">
        <v>77.5</v>
      </c>
      <c r="AY21" s="68">
        <v>76.8</v>
      </c>
      <c r="AZ21" s="68">
        <v>71.5</v>
      </c>
      <c r="BA21" s="68">
        <v>68</v>
      </c>
      <c r="BB21" s="76">
        <v>27</v>
      </c>
      <c r="BC21" s="76">
        <v>90</v>
      </c>
      <c r="BD21" s="76">
        <v>70</v>
      </c>
      <c r="BE21" s="76">
        <v>50</v>
      </c>
      <c r="BF21" s="234">
        <v>97.5</v>
      </c>
      <c r="BG21" s="234">
        <v>100</v>
      </c>
      <c r="BH21" s="234">
        <v>79.5</v>
      </c>
      <c r="BI21" s="234">
        <v>97.5</v>
      </c>
      <c r="BJ21" s="234">
        <v>95</v>
      </c>
      <c r="BK21" s="234">
        <v>90</v>
      </c>
      <c r="BL21" s="70">
        <f t="shared" si="26"/>
        <v>1242.0999999999999</v>
      </c>
      <c r="BM21" s="71">
        <f t="shared" si="27"/>
        <v>73.064705882352939</v>
      </c>
      <c r="BN21" s="72" t="e">
        <f t="shared" si="28"/>
        <v>#N/A</v>
      </c>
      <c r="BO21" s="73"/>
      <c r="BP21" s="73"/>
      <c r="BQ21" s="73"/>
      <c r="BR21" s="74"/>
      <c r="BS21" s="74"/>
      <c r="BT21" s="74"/>
      <c r="BU21" s="75"/>
    </row>
    <row r="22" spans="1:73" ht="27.95" customHeight="1">
      <c r="A22" s="91">
        <v>19</v>
      </c>
      <c r="B22" s="66">
        <v>20210115</v>
      </c>
      <c r="C22" s="77" t="s">
        <v>294</v>
      </c>
      <c r="D22" s="68">
        <f t="shared" si="0"/>
        <v>81</v>
      </c>
      <c r="E22" s="68">
        <f t="shared" si="1"/>
        <v>67</v>
      </c>
      <c r="F22" s="68">
        <f t="shared" si="2"/>
        <v>79</v>
      </c>
      <c r="G22" s="68">
        <f t="shared" si="3"/>
        <v>56</v>
      </c>
      <c r="H22" s="68">
        <f t="shared" si="4"/>
        <v>71</v>
      </c>
      <c r="I22" s="68">
        <f t="shared" si="5"/>
        <v>68</v>
      </c>
      <c r="J22" s="68">
        <f t="shared" si="6"/>
        <v>70</v>
      </c>
      <c r="K22" s="68">
        <f t="shared" si="7"/>
        <v>91</v>
      </c>
      <c r="L22" s="68">
        <f t="shared" si="8"/>
        <v>68</v>
      </c>
      <c r="M22" s="68">
        <f t="shared" si="9"/>
        <v>88</v>
      </c>
      <c r="N22" s="68">
        <f t="shared" si="10"/>
        <v>65</v>
      </c>
      <c r="O22" s="68">
        <f t="shared" si="11"/>
        <v>67</v>
      </c>
      <c r="P22" s="68">
        <f t="shared" si="12"/>
        <v>70</v>
      </c>
      <c r="Q22" s="69">
        <f t="shared" si="13"/>
        <v>40</v>
      </c>
      <c r="R22" s="69">
        <f t="shared" si="14"/>
        <v>90</v>
      </c>
      <c r="S22" s="69">
        <f t="shared" si="15"/>
        <v>85</v>
      </c>
      <c r="T22" s="69">
        <f t="shared" si="16"/>
        <v>63</v>
      </c>
      <c r="U22" s="234">
        <f t="shared" si="17"/>
        <v>95</v>
      </c>
      <c r="V22" s="234">
        <f t="shared" si="18"/>
        <v>99</v>
      </c>
      <c r="W22" s="234">
        <f t="shared" si="19"/>
        <v>91</v>
      </c>
      <c r="X22" s="234">
        <f t="shared" si="20"/>
        <v>95</v>
      </c>
      <c r="Y22" s="234">
        <f t="shared" si="21"/>
        <v>80</v>
      </c>
      <c r="Z22" s="234">
        <f t="shared" si="22"/>
        <v>83</v>
      </c>
      <c r="AA22" s="70">
        <f t="shared" si="23"/>
        <v>1219</v>
      </c>
      <c r="AB22" s="71">
        <f t="shared" si="24"/>
        <v>71.705882352941174</v>
      </c>
      <c r="AC22" s="72">
        <f t="shared" si="25"/>
        <v>19</v>
      </c>
      <c r="AD22" s="73" t="s">
        <v>805</v>
      </c>
      <c r="AE22" s="73" t="s">
        <v>805</v>
      </c>
      <c r="AF22" s="73" t="s">
        <v>805</v>
      </c>
      <c r="AG22" s="74">
        <v>0</v>
      </c>
      <c r="AH22" s="74">
        <v>0</v>
      </c>
      <c r="AI22" s="74">
        <v>0</v>
      </c>
      <c r="AJ22" s="75"/>
      <c r="AL22" s="66">
        <v>6</v>
      </c>
      <c r="AM22" s="66">
        <v>20210115</v>
      </c>
      <c r="AN22" s="77" t="s">
        <v>294</v>
      </c>
      <c r="AO22" s="68">
        <v>80.8</v>
      </c>
      <c r="AP22" s="68">
        <v>67</v>
      </c>
      <c r="AQ22" s="68">
        <v>79</v>
      </c>
      <c r="AR22" s="68">
        <v>55.9</v>
      </c>
      <c r="AS22" s="68">
        <v>71</v>
      </c>
      <c r="AT22" s="68">
        <v>67.5</v>
      </c>
      <c r="AU22" s="68">
        <v>70</v>
      </c>
      <c r="AV22" s="68">
        <v>90.5</v>
      </c>
      <c r="AW22" s="68">
        <v>67.599999999999994</v>
      </c>
      <c r="AX22" s="68">
        <v>88</v>
      </c>
      <c r="AY22" s="68">
        <v>65</v>
      </c>
      <c r="AZ22" s="68">
        <v>66.5</v>
      </c>
      <c r="BA22" s="68">
        <v>70</v>
      </c>
      <c r="BB22" s="76">
        <v>27</v>
      </c>
      <c r="BC22" s="76">
        <v>90</v>
      </c>
      <c r="BD22" s="76">
        <v>85</v>
      </c>
      <c r="BE22" s="76">
        <v>63</v>
      </c>
      <c r="BF22" s="234">
        <v>95</v>
      </c>
      <c r="BG22" s="234">
        <v>100</v>
      </c>
      <c r="BH22" s="234">
        <v>90.5</v>
      </c>
      <c r="BI22" s="234">
        <v>95</v>
      </c>
      <c r="BJ22" s="234">
        <v>80</v>
      </c>
      <c r="BK22" s="234">
        <v>82.5</v>
      </c>
      <c r="BL22" s="70">
        <f t="shared" si="26"/>
        <v>1203.8000000000002</v>
      </c>
      <c r="BM22" s="71">
        <f t="shared" si="27"/>
        <v>70.811764705882368</v>
      </c>
      <c r="BN22" s="72" t="e">
        <f t="shared" si="28"/>
        <v>#N/A</v>
      </c>
      <c r="BO22" s="73"/>
      <c r="BP22" s="73"/>
      <c r="BQ22" s="73"/>
      <c r="BR22" s="74"/>
      <c r="BS22" s="74"/>
      <c r="BT22" s="74"/>
      <c r="BU22" s="75"/>
    </row>
    <row r="23" spans="1:73" ht="27.95" customHeight="1">
      <c r="A23" s="91">
        <v>20</v>
      </c>
      <c r="B23" s="91">
        <v>19200114</v>
      </c>
      <c r="C23" s="92" t="s">
        <v>305</v>
      </c>
      <c r="D23" s="68">
        <f t="shared" si="0"/>
        <v>82</v>
      </c>
      <c r="E23" s="68">
        <f t="shared" si="1"/>
        <v>67</v>
      </c>
      <c r="F23" s="68">
        <f t="shared" si="2"/>
        <v>78</v>
      </c>
      <c r="G23" s="68">
        <f t="shared" si="3"/>
        <v>55</v>
      </c>
      <c r="H23" s="68">
        <f t="shared" si="4"/>
        <v>81</v>
      </c>
      <c r="I23" s="68">
        <f t="shared" si="5"/>
        <v>73</v>
      </c>
      <c r="J23" s="68">
        <f t="shared" si="6"/>
        <v>70</v>
      </c>
      <c r="K23" s="68">
        <f t="shared" si="7"/>
        <v>59</v>
      </c>
      <c r="L23" s="68">
        <f t="shared" si="8"/>
        <v>55</v>
      </c>
      <c r="M23" s="68">
        <f t="shared" si="9"/>
        <v>76</v>
      </c>
      <c r="N23" s="68">
        <f t="shared" si="10"/>
        <v>70</v>
      </c>
      <c r="O23" s="68">
        <f t="shared" si="11"/>
        <v>66</v>
      </c>
      <c r="P23" s="68">
        <f t="shared" si="12"/>
        <v>76</v>
      </c>
      <c r="Q23" s="69">
        <f t="shared" si="13"/>
        <v>45</v>
      </c>
      <c r="R23" s="69">
        <f t="shared" si="14"/>
        <v>90</v>
      </c>
      <c r="S23" s="69">
        <f t="shared" si="15"/>
        <v>75</v>
      </c>
      <c r="T23" s="69">
        <f t="shared" si="16"/>
        <v>50</v>
      </c>
      <c r="U23" s="234">
        <f t="shared" si="17"/>
        <v>99</v>
      </c>
      <c r="V23" s="234">
        <f t="shared" si="18"/>
        <v>99</v>
      </c>
      <c r="W23" s="234">
        <f t="shared" si="19"/>
        <v>59</v>
      </c>
      <c r="X23" s="234">
        <f t="shared" si="20"/>
        <v>98</v>
      </c>
      <c r="Y23" s="234">
        <f t="shared" si="21"/>
        <v>93</v>
      </c>
      <c r="Z23" s="234">
        <f t="shared" si="22"/>
        <v>90</v>
      </c>
      <c r="AA23" s="70">
        <f t="shared" si="23"/>
        <v>1168</v>
      </c>
      <c r="AB23" s="71">
        <f t="shared" si="24"/>
        <v>68.705882352941174</v>
      </c>
      <c r="AC23" s="72">
        <f t="shared" si="25"/>
        <v>20</v>
      </c>
      <c r="AD23" s="73" t="s">
        <v>805</v>
      </c>
      <c r="AE23" s="73" t="s">
        <v>805</v>
      </c>
      <c r="AF23" s="73" t="s">
        <v>805</v>
      </c>
      <c r="AG23" s="74">
        <v>0</v>
      </c>
      <c r="AH23" s="74">
        <v>0</v>
      </c>
      <c r="AI23" s="74">
        <v>0</v>
      </c>
      <c r="AJ23" s="75"/>
      <c r="AL23" s="66">
        <v>17</v>
      </c>
      <c r="AM23" s="66">
        <v>19200114</v>
      </c>
      <c r="AN23" s="80" t="s">
        <v>305</v>
      </c>
      <c r="AO23" s="68">
        <v>82</v>
      </c>
      <c r="AP23" s="68">
        <v>67</v>
      </c>
      <c r="AQ23" s="68">
        <v>78.199999999999989</v>
      </c>
      <c r="AR23" s="68">
        <v>55</v>
      </c>
      <c r="AS23" s="68">
        <v>80.5</v>
      </c>
      <c r="AT23" s="68">
        <v>73.2</v>
      </c>
      <c r="AU23" s="68">
        <v>69.699999999999989</v>
      </c>
      <c r="AV23" s="68">
        <v>59</v>
      </c>
      <c r="AW23" s="68">
        <v>55</v>
      </c>
      <c r="AX23" s="68">
        <v>76</v>
      </c>
      <c r="AY23" s="68">
        <v>70</v>
      </c>
      <c r="AZ23" s="68">
        <v>66</v>
      </c>
      <c r="BA23" s="68">
        <v>76</v>
      </c>
      <c r="BB23" s="76">
        <v>45</v>
      </c>
      <c r="BC23" s="76">
        <v>90</v>
      </c>
      <c r="BD23" s="76">
        <v>75</v>
      </c>
      <c r="BE23" s="76">
        <v>50</v>
      </c>
      <c r="BF23" s="234">
        <v>100</v>
      </c>
      <c r="BG23" s="234">
        <v>100</v>
      </c>
      <c r="BH23" s="234">
        <v>59</v>
      </c>
      <c r="BI23" s="234">
        <v>97.5</v>
      </c>
      <c r="BJ23" s="234">
        <v>92.5</v>
      </c>
      <c r="BK23" s="234">
        <v>90</v>
      </c>
      <c r="BL23" s="70">
        <f t="shared" si="26"/>
        <v>1167.5999999999999</v>
      </c>
      <c r="BM23" s="71">
        <f t="shared" si="27"/>
        <v>68.682352941176461</v>
      </c>
      <c r="BN23" s="72" t="e">
        <f t="shared" si="28"/>
        <v>#N/A</v>
      </c>
      <c r="BO23" s="73"/>
      <c r="BP23" s="73"/>
      <c r="BQ23" s="73"/>
      <c r="BR23" s="74"/>
      <c r="BS23" s="74"/>
      <c r="BT23" s="74"/>
      <c r="BU23" s="75"/>
    </row>
    <row r="24" spans="1:73" ht="27.95" customHeight="1">
      <c r="A24" s="91">
        <v>21</v>
      </c>
      <c r="B24" s="91">
        <v>19200111</v>
      </c>
      <c r="C24" s="92" t="s">
        <v>303</v>
      </c>
      <c r="D24" s="68">
        <f t="shared" si="0"/>
        <v>74</v>
      </c>
      <c r="E24" s="68">
        <f t="shared" si="1"/>
        <v>66</v>
      </c>
      <c r="F24" s="68">
        <f t="shared" si="2"/>
        <v>77</v>
      </c>
      <c r="G24" s="68">
        <f t="shared" si="3"/>
        <v>59</v>
      </c>
      <c r="H24" s="68">
        <f t="shared" si="4"/>
        <v>75</v>
      </c>
      <c r="I24" s="68">
        <f t="shared" si="5"/>
        <v>66</v>
      </c>
      <c r="J24" s="68">
        <f t="shared" si="6"/>
        <v>74</v>
      </c>
      <c r="K24" s="68">
        <f t="shared" si="7"/>
        <v>73</v>
      </c>
      <c r="L24" s="68">
        <f t="shared" si="8"/>
        <v>54</v>
      </c>
      <c r="M24" s="68">
        <f t="shared" si="9"/>
        <v>72</v>
      </c>
      <c r="N24" s="68">
        <f t="shared" si="10"/>
        <v>68</v>
      </c>
      <c r="O24" s="68">
        <f t="shared" si="11"/>
        <v>66</v>
      </c>
      <c r="P24" s="68">
        <f t="shared" si="12"/>
        <v>69</v>
      </c>
      <c r="Q24" s="69">
        <f t="shared" si="13"/>
        <v>40</v>
      </c>
      <c r="R24" s="69">
        <f t="shared" si="14"/>
        <v>90</v>
      </c>
      <c r="S24" s="69">
        <f t="shared" si="15"/>
        <v>70</v>
      </c>
      <c r="T24" s="69">
        <f t="shared" si="16"/>
        <v>45</v>
      </c>
      <c r="U24" s="234">
        <f t="shared" si="17"/>
        <v>90</v>
      </c>
      <c r="V24" s="234">
        <f t="shared" si="18"/>
        <v>95</v>
      </c>
      <c r="W24" s="234">
        <f t="shared" si="19"/>
        <v>73</v>
      </c>
      <c r="X24" s="234">
        <f t="shared" si="20"/>
        <v>73</v>
      </c>
      <c r="Y24" s="234">
        <f t="shared" si="21"/>
        <v>73</v>
      </c>
      <c r="Z24" s="234">
        <f t="shared" si="22"/>
        <v>90</v>
      </c>
      <c r="AA24" s="70">
        <f t="shared" si="23"/>
        <v>1138</v>
      </c>
      <c r="AB24" s="71">
        <f t="shared" si="24"/>
        <v>66.941176470588232</v>
      </c>
      <c r="AC24" s="72">
        <f t="shared" si="25"/>
        <v>21</v>
      </c>
      <c r="AD24" s="73" t="s">
        <v>805</v>
      </c>
      <c r="AE24" s="73" t="s">
        <v>805</v>
      </c>
      <c r="AF24" s="73" t="s">
        <v>805</v>
      </c>
      <c r="AG24" s="74">
        <v>7</v>
      </c>
      <c r="AH24" s="74">
        <v>27</v>
      </c>
      <c r="AI24" s="74">
        <v>0</v>
      </c>
      <c r="AJ24" s="75"/>
      <c r="AL24" s="66">
        <v>15</v>
      </c>
      <c r="AM24" s="66">
        <v>19200111</v>
      </c>
      <c r="AN24" s="77" t="s">
        <v>303</v>
      </c>
      <c r="AO24" s="68">
        <v>74.400000000000006</v>
      </c>
      <c r="AP24" s="68">
        <v>66</v>
      </c>
      <c r="AQ24" s="68">
        <v>76.5</v>
      </c>
      <c r="AR24" s="68">
        <v>58.5</v>
      </c>
      <c r="AS24" s="68">
        <v>74.5</v>
      </c>
      <c r="AT24" s="68">
        <v>66</v>
      </c>
      <c r="AU24" s="68">
        <v>74.099999999999994</v>
      </c>
      <c r="AV24" s="68">
        <v>73</v>
      </c>
      <c r="AW24" s="68">
        <v>54</v>
      </c>
      <c r="AX24" s="68">
        <v>72</v>
      </c>
      <c r="AY24" s="68">
        <v>68</v>
      </c>
      <c r="AZ24" s="68">
        <v>66</v>
      </c>
      <c r="BA24" s="68">
        <v>69</v>
      </c>
      <c r="BB24" s="76">
        <v>32</v>
      </c>
      <c r="BC24" s="76">
        <v>90</v>
      </c>
      <c r="BD24" s="76">
        <v>70</v>
      </c>
      <c r="BE24" s="76">
        <v>45</v>
      </c>
      <c r="BF24" s="234">
        <v>90</v>
      </c>
      <c r="BG24" s="234">
        <v>95</v>
      </c>
      <c r="BH24" s="234">
        <v>73</v>
      </c>
      <c r="BI24" s="234">
        <v>72.5</v>
      </c>
      <c r="BJ24" s="234">
        <v>72.5</v>
      </c>
      <c r="BK24" s="234">
        <v>90</v>
      </c>
      <c r="BL24" s="70">
        <f t="shared" si="26"/>
        <v>1129</v>
      </c>
      <c r="BM24" s="71">
        <f t="shared" si="27"/>
        <v>66.411764705882348</v>
      </c>
      <c r="BN24" s="72" t="e">
        <f t="shared" si="28"/>
        <v>#N/A</v>
      </c>
      <c r="BO24" s="73"/>
      <c r="BP24" s="73"/>
      <c r="BQ24" s="73"/>
      <c r="BR24" s="74"/>
      <c r="BS24" s="74"/>
      <c r="BT24" s="74"/>
      <c r="BU24" s="75"/>
    </row>
    <row r="25" spans="1:73" ht="27.95" customHeight="1">
      <c r="A25" s="91">
        <v>22</v>
      </c>
      <c r="B25" s="66">
        <v>18190044</v>
      </c>
      <c r="C25" s="77" t="s">
        <v>314</v>
      </c>
      <c r="D25" s="68">
        <f t="shared" si="0"/>
        <v>91</v>
      </c>
      <c r="E25" s="68">
        <f t="shared" si="1"/>
        <v>67</v>
      </c>
      <c r="F25" s="68">
        <f t="shared" si="2"/>
        <v>76</v>
      </c>
      <c r="G25" s="68">
        <f t="shared" si="3"/>
        <v>61</v>
      </c>
      <c r="H25" s="68">
        <f t="shared" si="4"/>
        <v>70</v>
      </c>
      <c r="I25" s="68">
        <f t="shared" si="5"/>
        <v>51</v>
      </c>
      <c r="J25" s="68">
        <f t="shared" si="6"/>
        <v>81</v>
      </c>
      <c r="K25" s="68">
        <f t="shared" si="7"/>
        <v>76</v>
      </c>
      <c r="L25" s="68">
        <f t="shared" si="8"/>
        <v>49</v>
      </c>
      <c r="M25" s="68">
        <f t="shared" si="9"/>
        <v>67</v>
      </c>
      <c r="N25" s="68">
        <f t="shared" si="10"/>
        <v>58</v>
      </c>
      <c r="O25" s="68">
        <f t="shared" si="11"/>
        <v>81</v>
      </c>
      <c r="P25" s="68">
        <f t="shared" si="12"/>
        <v>48</v>
      </c>
      <c r="Q25" s="69">
        <f t="shared" si="13"/>
        <v>40</v>
      </c>
      <c r="R25" s="69">
        <f t="shared" si="14"/>
        <v>90</v>
      </c>
      <c r="S25" s="69">
        <f t="shared" si="15"/>
        <v>75</v>
      </c>
      <c r="T25" s="69">
        <f t="shared" si="16"/>
        <v>50</v>
      </c>
      <c r="U25" s="234">
        <f t="shared" si="17"/>
        <v>95</v>
      </c>
      <c r="V25" s="234">
        <f t="shared" si="18"/>
        <v>99</v>
      </c>
      <c r="W25" s="234">
        <f t="shared" si="19"/>
        <v>76</v>
      </c>
      <c r="X25" s="234">
        <f t="shared" si="20"/>
        <v>93</v>
      </c>
      <c r="Y25" s="234">
        <f t="shared" si="21"/>
        <v>83</v>
      </c>
      <c r="Z25" s="234">
        <f t="shared" si="22"/>
        <v>85</v>
      </c>
      <c r="AA25" s="70">
        <f t="shared" si="23"/>
        <v>1131</v>
      </c>
      <c r="AB25" s="71">
        <f t="shared" si="24"/>
        <v>66.529411764705884</v>
      </c>
      <c r="AC25" s="72">
        <f t="shared" si="25"/>
        <v>22</v>
      </c>
      <c r="AD25" s="73" t="s">
        <v>805</v>
      </c>
      <c r="AE25" s="73" t="s">
        <v>805</v>
      </c>
      <c r="AF25" s="73" t="s">
        <v>805</v>
      </c>
      <c r="AG25" s="74">
        <v>0</v>
      </c>
      <c r="AH25" s="74">
        <v>0</v>
      </c>
      <c r="AI25" s="74">
        <v>0</v>
      </c>
      <c r="AJ25" s="75"/>
      <c r="AL25" s="66">
        <v>26</v>
      </c>
      <c r="AM25" s="66">
        <v>18190044</v>
      </c>
      <c r="AN25" s="77" t="s">
        <v>314</v>
      </c>
      <c r="AO25" s="68">
        <v>91.3</v>
      </c>
      <c r="AP25" s="68">
        <v>67</v>
      </c>
      <c r="AQ25" s="68">
        <v>76</v>
      </c>
      <c r="AR25" s="68">
        <v>61.199999999999996</v>
      </c>
      <c r="AS25" s="68">
        <v>70</v>
      </c>
      <c r="AT25" s="68">
        <v>51</v>
      </c>
      <c r="AU25" s="68">
        <v>80.5</v>
      </c>
      <c r="AV25" s="68">
        <v>76</v>
      </c>
      <c r="AW25" s="68">
        <v>49</v>
      </c>
      <c r="AX25" s="68">
        <v>67</v>
      </c>
      <c r="AY25" s="68">
        <v>58</v>
      </c>
      <c r="AZ25" s="68">
        <v>81</v>
      </c>
      <c r="BA25" s="68">
        <v>47.5</v>
      </c>
      <c r="BB25" s="76">
        <v>7</v>
      </c>
      <c r="BC25" s="76">
        <v>90</v>
      </c>
      <c r="BD25" s="76">
        <v>75</v>
      </c>
      <c r="BE25" s="76">
        <v>50</v>
      </c>
      <c r="BF25" s="234">
        <v>95</v>
      </c>
      <c r="BG25" s="234">
        <v>100</v>
      </c>
      <c r="BH25" s="234">
        <v>76</v>
      </c>
      <c r="BI25" s="234">
        <v>92.5</v>
      </c>
      <c r="BJ25" s="234">
        <v>82.5</v>
      </c>
      <c r="BK25" s="234">
        <v>85</v>
      </c>
      <c r="BL25" s="70">
        <f t="shared" si="26"/>
        <v>1097.5</v>
      </c>
      <c r="BM25" s="71">
        <f t="shared" si="27"/>
        <v>64.558823529411768</v>
      </c>
      <c r="BN25" s="72" t="e">
        <f t="shared" si="28"/>
        <v>#N/A</v>
      </c>
      <c r="BO25" s="73"/>
      <c r="BP25" s="73"/>
      <c r="BQ25" s="73"/>
      <c r="BR25" s="74"/>
      <c r="BS25" s="74"/>
      <c r="BT25" s="74"/>
      <c r="BU25" s="75"/>
    </row>
    <row r="26" spans="1:73" ht="27.95" customHeight="1">
      <c r="A26" s="66">
        <v>23</v>
      </c>
      <c r="B26" s="66">
        <v>19200033</v>
      </c>
      <c r="C26" s="79" t="s">
        <v>293</v>
      </c>
      <c r="D26" s="68">
        <f t="shared" si="0"/>
        <v>91</v>
      </c>
      <c r="E26" s="68">
        <f t="shared" si="1"/>
        <v>65</v>
      </c>
      <c r="F26" s="68">
        <f t="shared" si="2"/>
        <v>87</v>
      </c>
      <c r="G26" s="68">
        <f t="shared" si="3"/>
        <v>53</v>
      </c>
      <c r="H26" s="68">
        <f t="shared" si="4"/>
        <v>69</v>
      </c>
      <c r="I26" s="68">
        <f t="shared" si="5"/>
        <v>62</v>
      </c>
      <c r="J26" s="68">
        <f t="shared" si="6"/>
        <v>73</v>
      </c>
      <c r="K26" s="68">
        <f t="shared" si="7"/>
        <v>57</v>
      </c>
      <c r="L26" s="68">
        <f t="shared" si="8"/>
        <v>53</v>
      </c>
      <c r="M26" s="68">
        <f t="shared" si="9"/>
        <v>73</v>
      </c>
      <c r="N26" s="68">
        <f t="shared" si="10"/>
        <v>66</v>
      </c>
      <c r="O26" s="68">
        <f t="shared" si="11"/>
        <v>59</v>
      </c>
      <c r="P26" s="68">
        <f t="shared" si="12"/>
        <v>68</v>
      </c>
      <c r="Q26" s="69">
        <f t="shared" si="13"/>
        <v>40</v>
      </c>
      <c r="R26" s="69">
        <f t="shared" si="14"/>
        <v>90</v>
      </c>
      <c r="S26" s="69">
        <f t="shared" si="15"/>
        <v>70</v>
      </c>
      <c r="T26" s="69">
        <f t="shared" si="16"/>
        <v>45</v>
      </c>
      <c r="U26" s="234">
        <f t="shared" si="17"/>
        <v>95</v>
      </c>
      <c r="V26" s="234">
        <f t="shared" si="18"/>
        <v>99</v>
      </c>
      <c r="W26" s="234">
        <f t="shared" si="19"/>
        <v>57</v>
      </c>
      <c r="X26" s="234">
        <f t="shared" si="20"/>
        <v>98</v>
      </c>
      <c r="Y26" s="234">
        <f t="shared" si="21"/>
        <v>93</v>
      </c>
      <c r="Z26" s="234">
        <f t="shared" si="22"/>
        <v>90</v>
      </c>
      <c r="AA26" s="70">
        <f t="shared" si="23"/>
        <v>1121</v>
      </c>
      <c r="AB26" s="71">
        <f t="shared" si="24"/>
        <v>65.941176470588232</v>
      </c>
      <c r="AC26" s="72">
        <f t="shared" si="25"/>
        <v>23</v>
      </c>
      <c r="AD26" s="73" t="s">
        <v>805</v>
      </c>
      <c r="AE26" s="73" t="s">
        <v>805</v>
      </c>
      <c r="AF26" s="73" t="s">
        <v>805</v>
      </c>
      <c r="AG26" s="74">
        <v>0</v>
      </c>
      <c r="AH26" s="74">
        <v>10</v>
      </c>
      <c r="AI26" s="74">
        <v>24</v>
      </c>
      <c r="AJ26" s="75"/>
      <c r="AL26" s="66">
        <v>5</v>
      </c>
      <c r="AM26" s="66">
        <v>19200033</v>
      </c>
      <c r="AN26" s="78" t="s">
        <v>293</v>
      </c>
      <c r="AO26" s="68">
        <v>90.8</v>
      </c>
      <c r="AP26" s="68">
        <v>65</v>
      </c>
      <c r="AQ26" s="68">
        <v>87.3</v>
      </c>
      <c r="AR26" s="68">
        <v>53</v>
      </c>
      <c r="AS26" s="68">
        <v>68.5</v>
      </c>
      <c r="AT26" s="68">
        <v>62.3</v>
      </c>
      <c r="AU26" s="68">
        <v>72.5</v>
      </c>
      <c r="AV26" s="68">
        <v>56.5</v>
      </c>
      <c r="AW26" s="68">
        <v>53</v>
      </c>
      <c r="AX26" s="68">
        <v>72.5</v>
      </c>
      <c r="AY26" s="68">
        <v>65.5</v>
      </c>
      <c r="AZ26" s="68">
        <v>59</v>
      </c>
      <c r="BA26" s="68">
        <v>68</v>
      </c>
      <c r="BB26" s="76">
        <v>19</v>
      </c>
      <c r="BC26" s="76">
        <v>90</v>
      </c>
      <c r="BD26" s="76">
        <v>70</v>
      </c>
      <c r="BE26" s="76">
        <v>45</v>
      </c>
      <c r="BF26" s="234">
        <v>95</v>
      </c>
      <c r="BG26" s="234">
        <v>100</v>
      </c>
      <c r="BH26" s="234">
        <v>56.5</v>
      </c>
      <c r="BI26" s="234">
        <v>97.5</v>
      </c>
      <c r="BJ26" s="234">
        <v>92.5</v>
      </c>
      <c r="BK26" s="234">
        <v>90</v>
      </c>
      <c r="BL26" s="70">
        <f t="shared" si="26"/>
        <v>1097.9000000000001</v>
      </c>
      <c r="BM26" s="71">
        <f t="shared" si="27"/>
        <v>64.582352941176481</v>
      </c>
      <c r="BN26" s="72" t="e">
        <f t="shared" si="28"/>
        <v>#N/A</v>
      </c>
      <c r="BO26" s="73"/>
      <c r="BP26" s="73"/>
      <c r="BQ26" s="73"/>
      <c r="BR26" s="74"/>
      <c r="BS26" s="74"/>
      <c r="BT26" s="74"/>
      <c r="BU26" s="75"/>
    </row>
    <row r="27" spans="1:73" ht="27.95" customHeight="1">
      <c r="A27" s="66">
        <v>24</v>
      </c>
      <c r="B27" s="66">
        <v>19200063</v>
      </c>
      <c r="C27" s="79" t="s">
        <v>299</v>
      </c>
      <c r="D27" s="68">
        <f t="shared" si="0"/>
        <v>71</v>
      </c>
      <c r="E27" s="68">
        <f t="shared" si="1"/>
        <v>65</v>
      </c>
      <c r="F27" s="68">
        <f t="shared" si="2"/>
        <v>65</v>
      </c>
      <c r="G27" s="68">
        <f t="shared" si="3"/>
        <v>62</v>
      </c>
      <c r="H27" s="68">
        <f t="shared" si="4"/>
        <v>69</v>
      </c>
      <c r="I27" s="68">
        <f t="shared" si="5"/>
        <v>63</v>
      </c>
      <c r="J27" s="68">
        <f t="shared" si="6"/>
        <v>62</v>
      </c>
      <c r="K27" s="68">
        <f t="shared" si="7"/>
        <v>76</v>
      </c>
      <c r="L27" s="68">
        <f t="shared" si="8"/>
        <v>54</v>
      </c>
      <c r="M27" s="68">
        <f t="shared" si="9"/>
        <v>69</v>
      </c>
      <c r="N27" s="68">
        <f t="shared" si="10"/>
        <v>67</v>
      </c>
      <c r="O27" s="68">
        <f t="shared" si="11"/>
        <v>59</v>
      </c>
      <c r="P27" s="68">
        <f t="shared" si="12"/>
        <v>77</v>
      </c>
      <c r="Q27" s="69">
        <f t="shared" si="13"/>
        <v>40</v>
      </c>
      <c r="R27" s="69">
        <f t="shared" si="14"/>
        <v>90</v>
      </c>
      <c r="S27" s="69">
        <f t="shared" si="15"/>
        <v>65</v>
      </c>
      <c r="T27" s="69">
        <f t="shared" si="16"/>
        <v>45</v>
      </c>
      <c r="U27" s="234">
        <f t="shared" si="17"/>
        <v>73</v>
      </c>
      <c r="V27" s="234">
        <f t="shared" si="18"/>
        <v>99</v>
      </c>
      <c r="W27" s="234">
        <f t="shared" si="19"/>
        <v>76</v>
      </c>
      <c r="X27" s="234">
        <f t="shared" si="20"/>
        <v>75</v>
      </c>
      <c r="Y27" s="234">
        <f t="shared" si="21"/>
        <v>88</v>
      </c>
      <c r="Z27" s="234">
        <f t="shared" si="22"/>
        <v>85</v>
      </c>
      <c r="AA27" s="70">
        <f t="shared" si="23"/>
        <v>1099</v>
      </c>
      <c r="AB27" s="71">
        <f t="shared" si="24"/>
        <v>64.647058823529406</v>
      </c>
      <c r="AC27" s="72">
        <f t="shared" si="25"/>
        <v>24</v>
      </c>
      <c r="AD27" s="73" t="s">
        <v>805</v>
      </c>
      <c r="AE27" s="73" t="s">
        <v>805</v>
      </c>
      <c r="AF27" s="73" t="s">
        <v>805</v>
      </c>
      <c r="AG27" s="74">
        <v>5</v>
      </c>
      <c r="AH27" s="74">
        <v>0</v>
      </c>
      <c r="AI27" s="74">
        <v>49</v>
      </c>
      <c r="AJ27" s="75"/>
      <c r="AL27" s="66">
        <v>11</v>
      </c>
      <c r="AM27" s="66">
        <v>19200063</v>
      </c>
      <c r="AN27" s="78" t="s">
        <v>299</v>
      </c>
      <c r="AO27" s="68">
        <v>71</v>
      </c>
      <c r="AP27" s="68">
        <v>65</v>
      </c>
      <c r="AQ27" s="68">
        <v>64.5</v>
      </c>
      <c r="AR27" s="68">
        <v>62</v>
      </c>
      <c r="AS27" s="68">
        <v>69</v>
      </c>
      <c r="AT27" s="68">
        <v>63</v>
      </c>
      <c r="AU27" s="68">
        <v>62</v>
      </c>
      <c r="AV27" s="68">
        <v>76</v>
      </c>
      <c r="AW27" s="68">
        <v>54.2</v>
      </c>
      <c r="AX27" s="68">
        <v>68.5</v>
      </c>
      <c r="AY27" s="68">
        <v>67</v>
      </c>
      <c r="AZ27" s="68">
        <v>58.5</v>
      </c>
      <c r="BA27" s="68">
        <v>76.599999999999994</v>
      </c>
      <c r="BB27" s="76">
        <v>23</v>
      </c>
      <c r="BC27" s="76">
        <v>90</v>
      </c>
      <c r="BD27" s="76">
        <v>65</v>
      </c>
      <c r="BE27" s="76">
        <v>45</v>
      </c>
      <c r="BF27" s="234">
        <v>72.5</v>
      </c>
      <c r="BG27" s="234">
        <v>100</v>
      </c>
      <c r="BH27" s="234">
        <v>76</v>
      </c>
      <c r="BI27" s="234">
        <v>75</v>
      </c>
      <c r="BJ27" s="234">
        <v>87.5</v>
      </c>
      <c r="BK27" s="234">
        <v>85</v>
      </c>
      <c r="BL27" s="70">
        <f t="shared" si="26"/>
        <v>1080.3000000000002</v>
      </c>
      <c r="BM27" s="71">
        <f t="shared" si="27"/>
        <v>63.547058823529426</v>
      </c>
      <c r="BN27" s="72" t="e">
        <f t="shared" si="28"/>
        <v>#N/A</v>
      </c>
      <c r="BO27" s="73"/>
      <c r="BP27" s="73"/>
      <c r="BQ27" s="73"/>
      <c r="BR27" s="74"/>
      <c r="BS27" s="74"/>
      <c r="BT27" s="74"/>
      <c r="BU27" s="75"/>
    </row>
    <row r="28" spans="1:73" ht="27.95" customHeight="1">
      <c r="A28" s="66">
        <v>25</v>
      </c>
      <c r="B28" s="66">
        <v>21220120</v>
      </c>
      <c r="C28" s="77" t="s">
        <v>290</v>
      </c>
      <c r="D28" s="68">
        <f t="shared" si="0"/>
        <v>60</v>
      </c>
      <c r="E28" s="68">
        <f t="shared" si="1"/>
        <v>67</v>
      </c>
      <c r="F28" s="68">
        <f t="shared" si="2"/>
        <v>64</v>
      </c>
      <c r="G28" s="68">
        <f t="shared" si="3"/>
        <v>64</v>
      </c>
      <c r="H28" s="68">
        <f t="shared" si="4"/>
        <v>72</v>
      </c>
      <c r="I28" s="68">
        <f t="shared" si="5"/>
        <v>63</v>
      </c>
      <c r="J28" s="68">
        <f t="shared" si="6"/>
        <v>63</v>
      </c>
      <c r="K28" s="68">
        <f t="shared" si="7"/>
        <v>68</v>
      </c>
      <c r="L28" s="68">
        <f t="shared" si="8"/>
        <v>55</v>
      </c>
      <c r="M28" s="68">
        <f t="shared" si="9"/>
        <v>72</v>
      </c>
      <c r="N28" s="68">
        <f t="shared" si="10"/>
        <v>64</v>
      </c>
      <c r="O28" s="68">
        <f t="shared" si="11"/>
        <v>63</v>
      </c>
      <c r="P28" s="68">
        <f t="shared" si="12"/>
        <v>69</v>
      </c>
      <c r="Q28" s="69">
        <f t="shared" si="13"/>
        <v>40</v>
      </c>
      <c r="R28" s="69">
        <f t="shared" si="14"/>
        <v>90</v>
      </c>
      <c r="S28" s="69">
        <f t="shared" si="15"/>
        <v>65</v>
      </c>
      <c r="T28" s="69">
        <f t="shared" si="16"/>
        <v>55</v>
      </c>
      <c r="U28" s="234">
        <f t="shared" si="17"/>
        <v>90</v>
      </c>
      <c r="V28" s="234">
        <f t="shared" si="18"/>
        <v>99</v>
      </c>
      <c r="W28" s="234">
        <f t="shared" si="19"/>
        <v>68</v>
      </c>
      <c r="X28" s="234">
        <f t="shared" si="20"/>
        <v>95</v>
      </c>
      <c r="Y28" s="234">
        <f t="shared" si="21"/>
        <v>95</v>
      </c>
      <c r="Z28" s="234">
        <f t="shared" si="22"/>
        <v>83</v>
      </c>
      <c r="AA28" s="70">
        <f t="shared" si="23"/>
        <v>1094</v>
      </c>
      <c r="AB28" s="71">
        <f t="shared" si="24"/>
        <v>64.352941176470594</v>
      </c>
      <c r="AC28" s="72">
        <f t="shared" si="25"/>
        <v>25</v>
      </c>
      <c r="AD28" s="73" t="s">
        <v>805</v>
      </c>
      <c r="AE28" s="73" t="s">
        <v>805</v>
      </c>
      <c r="AF28" s="73" t="s">
        <v>805</v>
      </c>
      <c r="AG28" s="74">
        <v>13</v>
      </c>
      <c r="AH28" s="74">
        <v>0</v>
      </c>
      <c r="AI28" s="74">
        <v>0</v>
      </c>
      <c r="AJ28" s="75"/>
      <c r="AL28" s="66">
        <v>2</v>
      </c>
      <c r="AM28" s="66">
        <v>21220120</v>
      </c>
      <c r="AN28" s="77" t="s">
        <v>290</v>
      </c>
      <c r="AO28" s="68">
        <v>60.4</v>
      </c>
      <c r="AP28" s="68">
        <v>67</v>
      </c>
      <c r="AQ28" s="68">
        <v>64.2</v>
      </c>
      <c r="AR28" s="68">
        <v>64</v>
      </c>
      <c r="AS28" s="68">
        <v>72</v>
      </c>
      <c r="AT28" s="68">
        <v>63.3</v>
      </c>
      <c r="AU28" s="68">
        <v>62.5</v>
      </c>
      <c r="AV28" s="68">
        <v>67.5</v>
      </c>
      <c r="AW28" s="68">
        <v>55</v>
      </c>
      <c r="AX28" s="68">
        <v>72</v>
      </c>
      <c r="AY28" s="68">
        <v>64</v>
      </c>
      <c r="AZ28" s="68">
        <v>62.5</v>
      </c>
      <c r="BA28" s="68">
        <v>69</v>
      </c>
      <c r="BB28" s="76">
        <v>18</v>
      </c>
      <c r="BC28" s="76">
        <v>90</v>
      </c>
      <c r="BD28" s="76">
        <v>65</v>
      </c>
      <c r="BE28" s="76">
        <v>55</v>
      </c>
      <c r="BF28" s="234">
        <v>90</v>
      </c>
      <c r="BG28" s="234">
        <v>100</v>
      </c>
      <c r="BH28" s="234">
        <v>67.5</v>
      </c>
      <c r="BI28" s="234">
        <v>95</v>
      </c>
      <c r="BJ28" s="234">
        <v>95</v>
      </c>
      <c r="BK28" s="234">
        <v>82.5</v>
      </c>
      <c r="BL28" s="70">
        <f t="shared" si="26"/>
        <v>1071.4000000000001</v>
      </c>
      <c r="BM28" s="71">
        <f t="shared" si="27"/>
        <v>63.023529411764713</v>
      </c>
      <c r="BN28" s="72" t="e">
        <f t="shared" si="28"/>
        <v>#N/A</v>
      </c>
      <c r="BO28" s="73"/>
      <c r="BP28" s="73"/>
      <c r="BQ28" s="73"/>
      <c r="BR28" s="74"/>
      <c r="BS28" s="74"/>
      <c r="BT28" s="74"/>
      <c r="BU28" s="75"/>
    </row>
    <row r="29" spans="1:73" ht="27.95" customHeight="1">
      <c r="A29" s="66">
        <v>26</v>
      </c>
      <c r="B29" s="66">
        <v>20210007</v>
      </c>
      <c r="C29" s="77" t="s">
        <v>312</v>
      </c>
      <c r="D29" s="68">
        <f t="shared" si="0"/>
        <v>85</v>
      </c>
      <c r="E29" s="68">
        <f t="shared" si="1"/>
        <v>65</v>
      </c>
      <c r="F29" s="68">
        <f t="shared" si="2"/>
        <v>70</v>
      </c>
      <c r="G29" s="68">
        <f t="shared" si="3"/>
        <v>53</v>
      </c>
      <c r="H29" s="68">
        <f t="shared" si="4"/>
        <v>71</v>
      </c>
      <c r="I29" s="68">
        <f t="shared" si="5"/>
        <v>59</v>
      </c>
      <c r="J29" s="68">
        <f t="shared" si="6"/>
        <v>68</v>
      </c>
      <c r="K29" s="68">
        <f t="shared" si="7"/>
        <v>72</v>
      </c>
      <c r="L29" s="68">
        <f t="shared" si="8"/>
        <v>68</v>
      </c>
      <c r="M29" s="68">
        <f t="shared" si="9"/>
        <v>74</v>
      </c>
      <c r="N29" s="68">
        <f t="shared" si="10"/>
        <v>69</v>
      </c>
      <c r="O29" s="68">
        <f t="shared" si="11"/>
        <v>64</v>
      </c>
      <c r="P29" s="68">
        <f t="shared" si="12"/>
        <v>68</v>
      </c>
      <c r="Q29" s="69">
        <f t="shared" si="13"/>
        <v>40</v>
      </c>
      <c r="R29" s="69">
        <f t="shared" si="14"/>
        <v>0</v>
      </c>
      <c r="S29" s="69">
        <f t="shared" si="15"/>
        <v>70</v>
      </c>
      <c r="T29" s="69">
        <f t="shared" si="16"/>
        <v>80</v>
      </c>
      <c r="U29" s="234">
        <f t="shared" si="17"/>
        <v>93</v>
      </c>
      <c r="V29" s="234">
        <f t="shared" si="18"/>
        <v>98</v>
      </c>
      <c r="W29" s="234">
        <f t="shared" si="19"/>
        <v>72</v>
      </c>
      <c r="X29" s="234">
        <f t="shared" si="20"/>
        <v>98</v>
      </c>
      <c r="Y29" s="234">
        <f t="shared" si="21"/>
        <v>95</v>
      </c>
      <c r="Z29" s="234">
        <f t="shared" si="22"/>
        <v>80</v>
      </c>
      <c r="AA29" s="70">
        <f t="shared" si="23"/>
        <v>1076</v>
      </c>
      <c r="AB29" s="71">
        <f t="shared" si="24"/>
        <v>63.294117647058826</v>
      </c>
      <c r="AC29" s="72">
        <f t="shared" si="25"/>
        <v>26</v>
      </c>
      <c r="AD29" s="73" t="s">
        <v>805</v>
      </c>
      <c r="AE29" s="73" t="s">
        <v>805</v>
      </c>
      <c r="AF29" s="73" t="s">
        <v>805</v>
      </c>
      <c r="AG29" s="74">
        <v>9</v>
      </c>
      <c r="AH29" s="74">
        <v>69</v>
      </c>
      <c r="AI29" s="74">
        <v>6</v>
      </c>
      <c r="AJ29" s="75"/>
      <c r="AL29" s="66">
        <v>24</v>
      </c>
      <c r="AM29" s="66">
        <v>20210007</v>
      </c>
      <c r="AN29" s="77" t="s">
        <v>312</v>
      </c>
      <c r="AO29" s="68">
        <v>84.8</v>
      </c>
      <c r="AP29" s="68">
        <v>65</v>
      </c>
      <c r="AQ29" s="68">
        <v>69.8</v>
      </c>
      <c r="AR29" s="68">
        <v>53</v>
      </c>
      <c r="AS29" s="68">
        <v>71</v>
      </c>
      <c r="AT29" s="68">
        <v>58.699999999999996</v>
      </c>
      <c r="AU29" s="68">
        <v>68</v>
      </c>
      <c r="AV29" s="68">
        <v>71.5</v>
      </c>
      <c r="AW29" s="68">
        <v>68</v>
      </c>
      <c r="AX29" s="68">
        <v>74</v>
      </c>
      <c r="AY29" s="68">
        <v>69</v>
      </c>
      <c r="AZ29" s="68">
        <v>63.5</v>
      </c>
      <c r="BA29" s="68">
        <v>68.199999999999989</v>
      </c>
      <c r="BB29" s="76">
        <v>37</v>
      </c>
      <c r="BC29" s="76">
        <v>0</v>
      </c>
      <c r="BD29" s="76">
        <v>70</v>
      </c>
      <c r="BE29" s="76">
        <v>80</v>
      </c>
      <c r="BF29" s="234">
        <v>92.5</v>
      </c>
      <c r="BG29" s="234">
        <v>97.5</v>
      </c>
      <c r="BH29" s="234">
        <v>71.5</v>
      </c>
      <c r="BI29" s="234">
        <v>97.5</v>
      </c>
      <c r="BJ29" s="234">
        <v>95</v>
      </c>
      <c r="BK29" s="234">
        <v>80</v>
      </c>
      <c r="BL29" s="70">
        <f t="shared" si="26"/>
        <v>1071.5</v>
      </c>
      <c r="BM29" s="71">
        <f t="shared" si="27"/>
        <v>63.029411764705884</v>
      </c>
      <c r="BN29" s="72" t="e">
        <f t="shared" si="28"/>
        <v>#N/A</v>
      </c>
      <c r="BO29" s="73"/>
      <c r="BP29" s="73"/>
      <c r="BQ29" s="73"/>
      <c r="BR29" s="74"/>
      <c r="BS29" s="74"/>
      <c r="BT29" s="74"/>
      <c r="BU29" s="75"/>
    </row>
    <row r="30" spans="1:73">
      <c r="A30" s="267" t="s">
        <v>202</v>
      </c>
      <c r="B30" s="268"/>
      <c r="C30" s="269"/>
      <c r="D30" s="72">
        <f t="shared" ref="D30:T30" si="29">SUM(D4:D29)</f>
        <v>2381</v>
      </c>
      <c r="E30" s="72">
        <f t="shared" si="29"/>
        <v>1948</v>
      </c>
      <c r="F30" s="72">
        <f t="shared" si="29"/>
        <v>2252</v>
      </c>
      <c r="G30" s="72">
        <f t="shared" si="29"/>
        <v>1895</v>
      </c>
      <c r="H30" s="72">
        <f t="shared" si="29"/>
        <v>2148</v>
      </c>
      <c r="I30" s="72">
        <f t="shared" si="29"/>
        <v>2108</v>
      </c>
      <c r="J30" s="72">
        <f t="shared" si="29"/>
        <v>2230</v>
      </c>
      <c r="K30" s="72">
        <f t="shared" si="29"/>
        <v>2107</v>
      </c>
      <c r="L30" s="72">
        <f t="shared" si="29"/>
        <v>1713</v>
      </c>
      <c r="M30" s="72">
        <f t="shared" si="29"/>
        <v>2139</v>
      </c>
      <c r="N30" s="72">
        <f t="shared" si="29"/>
        <v>2070</v>
      </c>
      <c r="O30" s="72">
        <f t="shared" si="29"/>
        <v>2017</v>
      </c>
      <c r="P30" s="72">
        <f t="shared" si="29"/>
        <v>1950</v>
      </c>
      <c r="Q30" s="72">
        <f t="shared" si="29"/>
        <v>1420</v>
      </c>
      <c r="R30" s="72">
        <f t="shared" si="29"/>
        <v>2250</v>
      </c>
      <c r="S30" s="72">
        <f t="shared" si="29"/>
        <v>2070</v>
      </c>
      <c r="T30" s="72">
        <f t="shared" si="29"/>
        <v>1734</v>
      </c>
      <c r="U30" s="72"/>
      <c r="V30" s="72"/>
      <c r="W30" s="72"/>
      <c r="X30" s="72"/>
      <c r="Y30" s="72"/>
      <c r="Z30" s="72"/>
      <c r="AA30" s="72">
        <f t="shared" ref="AA30:AA31" si="30">SUM(D30:T30)</f>
        <v>34432</v>
      </c>
      <c r="AB30" s="72">
        <f t="shared" ref="AB30:AB31" si="31">AVERAGE(D30:T30)</f>
        <v>2025.4117647058824</v>
      </c>
      <c r="AC30" s="72"/>
      <c r="AD30" s="81"/>
      <c r="AE30" s="81"/>
      <c r="AF30" s="81"/>
      <c r="AG30" s="81"/>
      <c r="AH30" s="81"/>
      <c r="AI30" s="81"/>
      <c r="AJ30" s="82"/>
      <c r="AL30" s="267" t="s">
        <v>202</v>
      </c>
      <c r="AM30" s="268"/>
      <c r="AN30" s="269"/>
      <c r="AO30" s="72">
        <f t="shared" ref="AO30:BE30" si="32">SUM(AO4:AO29)</f>
        <v>2388.9000000000005</v>
      </c>
      <c r="AP30" s="72">
        <f t="shared" si="32"/>
        <v>1948.2</v>
      </c>
      <c r="AQ30" s="72">
        <f t="shared" si="32"/>
        <v>2248.1999999999998</v>
      </c>
      <c r="AR30" s="72">
        <f t="shared" si="32"/>
        <v>1895.3000000000002</v>
      </c>
      <c r="AS30" s="72">
        <f t="shared" si="32"/>
        <v>2143.9</v>
      </c>
      <c r="AT30" s="72">
        <f t="shared" si="32"/>
        <v>2106.1</v>
      </c>
      <c r="AU30" s="72">
        <f t="shared" si="32"/>
        <v>2229</v>
      </c>
      <c r="AV30" s="72">
        <f t="shared" si="32"/>
        <v>2100.8000000000002</v>
      </c>
      <c r="AW30" s="72">
        <f t="shared" si="32"/>
        <v>1712.1</v>
      </c>
      <c r="AX30" s="72">
        <f t="shared" si="32"/>
        <v>2135.6</v>
      </c>
      <c r="AY30" s="72">
        <f t="shared" si="32"/>
        <v>2069.1</v>
      </c>
      <c r="AZ30" s="72">
        <f t="shared" si="32"/>
        <v>2012</v>
      </c>
      <c r="BA30" s="72">
        <f t="shared" si="32"/>
        <v>1945.8</v>
      </c>
      <c r="BB30" s="72">
        <f t="shared" si="32"/>
        <v>1281</v>
      </c>
      <c r="BC30" s="72">
        <f t="shared" si="32"/>
        <v>2250</v>
      </c>
      <c r="BD30" s="72">
        <f t="shared" si="32"/>
        <v>2070</v>
      </c>
      <c r="BE30" s="72">
        <f t="shared" si="32"/>
        <v>1734</v>
      </c>
      <c r="BF30" s="72"/>
      <c r="BG30" s="72"/>
      <c r="BH30" s="72"/>
      <c r="BI30" s="72"/>
      <c r="BJ30" s="72"/>
      <c r="BK30" s="72"/>
      <c r="BL30" s="72">
        <f t="shared" ref="BL30:BL31" si="33">SUM(AO30:BE30)</f>
        <v>34270</v>
      </c>
      <c r="BM30" s="72">
        <f t="shared" ref="BM30:BM31" si="34">AVERAGE(AO30:BE30)</f>
        <v>2015.8823529411766</v>
      </c>
      <c r="BN30" s="72" t="e">
        <f t="shared" ref="BN30:BN31" si="35">RANK(BL30,$AA$4:$AA$29)</f>
        <v>#N/A</v>
      </c>
      <c r="BO30" s="81"/>
      <c r="BP30" s="81"/>
      <c r="BQ30" s="81"/>
      <c r="BR30" s="81"/>
      <c r="BS30" s="81"/>
      <c r="BT30" s="81"/>
      <c r="BU30" s="82"/>
    </row>
    <row r="31" spans="1:73">
      <c r="A31" s="267" t="s">
        <v>203</v>
      </c>
      <c r="B31" s="268"/>
      <c r="C31" s="269"/>
      <c r="D31" s="72">
        <f t="shared" ref="D31:T31" si="36">AVERAGE(D4:D29)</f>
        <v>91.57692307692308</v>
      </c>
      <c r="E31" s="72">
        <f t="shared" si="36"/>
        <v>74.92307692307692</v>
      </c>
      <c r="F31" s="72">
        <f t="shared" si="36"/>
        <v>86.615384615384613</v>
      </c>
      <c r="G31" s="72">
        <f t="shared" si="36"/>
        <v>72.884615384615387</v>
      </c>
      <c r="H31" s="72">
        <f t="shared" si="36"/>
        <v>82.615384615384613</v>
      </c>
      <c r="I31" s="72">
        <f t="shared" si="36"/>
        <v>81.07692307692308</v>
      </c>
      <c r="J31" s="72">
        <f t="shared" si="36"/>
        <v>85.769230769230774</v>
      </c>
      <c r="K31" s="72">
        <f t="shared" si="36"/>
        <v>81.038461538461533</v>
      </c>
      <c r="L31" s="72">
        <f t="shared" si="36"/>
        <v>65.884615384615387</v>
      </c>
      <c r="M31" s="72">
        <f t="shared" si="36"/>
        <v>82.269230769230774</v>
      </c>
      <c r="N31" s="72">
        <f t="shared" si="36"/>
        <v>79.615384615384613</v>
      </c>
      <c r="O31" s="72">
        <f t="shared" si="36"/>
        <v>77.57692307692308</v>
      </c>
      <c r="P31" s="72">
        <f t="shared" si="36"/>
        <v>75</v>
      </c>
      <c r="Q31" s="72">
        <f t="shared" si="36"/>
        <v>54.615384615384613</v>
      </c>
      <c r="R31" s="72">
        <f t="shared" si="36"/>
        <v>86.538461538461533</v>
      </c>
      <c r="S31" s="72">
        <f t="shared" si="36"/>
        <v>79.615384615384613</v>
      </c>
      <c r="T31" s="72">
        <f t="shared" si="36"/>
        <v>66.692307692307693</v>
      </c>
      <c r="U31" s="72"/>
      <c r="V31" s="72"/>
      <c r="W31" s="72"/>
      <c r="X31" s="72"/>
      <c r="Y31" s="72"/>
      <c r="Z31" s="72"/>
      <c r="AA31" s="72">
        <f t="shared" si="30"/>
        <v>1324.3076923076919</v>
      </c>
      <c r="AB31" s="72">
        <f t="shared" si="31"/>
        <v>77.900452488687762</v>
      </c>
      <c r="AC31" s="72"/>
      <c r="AD31" s="81"/>
      <c r="AE31" s="81"/>
      <c r="AF31" s="81"/>
      <c r="AG31" s="81"/>
      <c r="AH31" s="81"/>
      <c r="AI31" s="81"/>
      <c r="AJ31" s="82"/>
      <c r="AL31" s="267" t="s">
        <v>203</v>
      </c>
      <c r="AM31" s="268"/>
      <c r="AN31" s="269"/>
      <c r="AO31" s="72">
        <f t="shared" ref="AO31:BE31" si="37">AVERAGE(AO4:AO29)</f>
        <v>91.880769230769246</v>
      </c>
      <c r="AP31" s="72">
        <f t="shared" si="37"/>
        <v>74.930769230769229</v>
      </c>
      <c r="AQ31" s="72">
        <f t="shared" si="37"/>
        <v>86.469230769230762</v>
      </c>
      <c r="AR31" s="72">
        <f t="shared" si="37"/>
        <v>72.896153846153851</v>
      </c>
      <c r="AS31" s="72">
        <f t="shared" si="37"/>
        <v>82.457692307692312</v>
      </c>
      <c r="AT31" s="72">
        <f t="shared" si="37"/>
        <v>81.003846153846155</v>
      </c>
      <c r="AU31" s="72">
        <f t="shared" si="37"/>
        <v>85.730769230769226</v>
      </c>
      <c r="AV31" s="72">
        <f t="shared" si="37"/>
        <v>80.800000000000011</v>
      </c>
      <c r="AW31" s="72">
        <f t="shared" si="37"/>
        <v>65.849999999999994</v>
      </c>
      <c r="AX31" s="72">
        <f t="shared" si="37"/>
        <v>82.138461538461542</v>
      </c>
      <c r="AY31" s="72">
        <f t="shared" si="37"/>
        <v>79.580769230769221</v>
      </c>
      <c r="AZ31" s="72">
        <f t="shared" si="37"/>
        <v>77.384615384615387</v>
      </c>
      <c r="BA31" s="72">
        <f t="shared" si="37"/>
        <v>74.83846153846153</v>
      </c>
      <c r="BB31" s="72">
        <f t="shared" si="37"/>
        <v>49.269230769230766</v>
      </c>
      <c r="BC31" s="72">
        <f t="shared" si="37"/>
        <v>86.538461538461533</v>
      </c>
      <c r="BD31" s="72">
        <f t="shared" si="37"/>
        <v>79.615384615384613</v>
      </c>
      <c r="BE31" s="72">
        <f t="shared" si="37"/>
        <v>66.692307692307693</v>
      </c>
      <c r="BF31" s="72"/>
      <c r="BG31" s="72"/>
      <c r="BH31" s="72"/>
      <c r="BI31" s="72"/>
      <c r="BJ31" s="72"/>
      <c r="BK31" s="72"/>
      <c r="BL31" s="72">
        <f t="shared" si="33"/>
        <v>1318.0769230769229</v>
      </c>
      <c r="BM31" s="72">
        <f t="shared" si="34"/>
        <v>77.533936651583701</v>
      </c>
      <c r="BN31" s="72" t="e">
        <f t="shared" si="35"/>
        <v>#N/A</v>
      </c>
      <c r="BO31" s="81"/>
      <c r="BP31" s="81"/>
      <c r="BQ31" s="81"/>
      <c r="BR31" s="81"/>
      <c r="BS31" s="81"/>
      <c r="BT31" s="81"/>
      <c r="BU31" s="82"/>
    </row>
    <row r="32" spans="1:73" s="83" customFormat="1">
      <c r="A32" s="83">
        <v>1</v>
      </c>
      <c r="B32" s="83">
        <v>2</v>
      </c>
      <c r="C32" s="83">
        <v>3</v>
      </c>
      <c r="D32" s="83">
        <v>4</v>
      </c>
      <c r="E32" s="83">
        <v>5</v>
      </c>
      <c r="F32" s="83">
        <v>6</v>
      </c>
      <c r="G32" s="83">
        <v>7</v>
      </c>
      <c r="H32" s="83">
        <v>8</v>
      </c>
      <c r="I32" s="83">
        <v>9</v>
      </c>
      <c r="J32" s="83">
        <v>10</v>
      </c>
      <c r="K32" s="83">
        <v>11</v>
      </c>
      <c r="L32" s="83">
        <v>12</v>
      </c>
      <c r="M32" s="83">
        <v>13</v>
      </c>
      <c r="N32" s="83">
        <v>14</v>
      </c>
      <c r="O32" s="83">
        <v>15</v>
      </c>
      <c r="P32" s="83">
        <v>16</v>
      </c>
      <c r="Q32" s="83">
        <v>17</v>
      </c>
      <c r="R32" s="83">
        <v>18</v>
      </c>
      <c r="S32" s="83">
        <v>19</v>
      </c>
      <c r="T32" s="83">
        <v>20</v>
      </c>
      <c r="U32" s="83">
        <v>21</v>
      </c>
      <c r="V32" s="83">
        <v>22</v>
      </c>
      <c r="W32" s="83">
        <v>23</v>
      </c>
      <c r="X32" s="83">
        <v>24</v>
      </c>
      <c r="Y32" s="83">
        <v>25</v>
      </c>
      <c r="Z32" s="83">
        <v>26</v>
      </c>
      <c r="AA32" s="83">
        <v>27</v>
      </c>
      <c r="AB32" s="83">
        <v>28</v>
      </c>
      <c r="AC32" s="83">
        <v>29</v>
      </c>
      <c r="AD32" s="83">
        <v>30</v>
      </c>
      <c r="AE32" s="83">
        <v>31</v>
      </c>
      <c r="AF32" s="83">
        <v>32</v>
      </c>
      <c r="AG32" s="83">
        <v>33</v>
      </c>
      <c r="AH32" s="83">
        <v>34</v>
      </c>
      <c r="AI32" s="83">
        <v>35</v>
      </c>
      <c r="AL32" s="83">
        <v>1</v>
      </c>
      <c r="AM32" s="83">
        <v>2</v>
      </c>
      <c r="AN32" s="83">
        <v>3</v>
      </c>
      <c r="AO32" s="83">
        <v>4</v>
      </c>
      <c r="AP32" s="83">
        <v>5</v>
      </c>
      <c r="AQ32" s="83">
        <v>6</v>
      </c>
      <c r="AR32" s="83">
        <v>7</v>
      </c>
      <c r="AS32" s="83">
        <v>8</v>
      </c>
      <c r="AT32" s="83">
        <v>9</v>
      </c>
      <c r="AU32" s="83">
        <v>10</v>
      </c>
      <c r="AV32" s="83">
        <v>11</v>
      </c>
      <c r="AW32" s="83">
        <v>12</v>
      </c>
      <c r="AX32" s="83">
        <v>13</v>
      </c>
      <c r="AY32" s="83">
        <v>14</v>
      </c>
      <c r="AZ32" s="83">
        <v>15</v>
      </c>
      <c r="BA32" s="83">
        <v>16</v>
      </c>
      <c r="BB32" s="83">
        <v>17</v>
      </c>
      <c r="BC32" s="83">
        <v>18</v>
      </c>
      <c r="BD32" s="83">
        <v>19</v>
      </c>
      <c r="BE32" s="83">
        <v>20</v>
      </c>
      <c r="BL32" s="83">
        <v>22</v>
      </c>
      <c r="BM32" s="83">
        <v>23</v>
      </c>
      <c r="BN32" s="83">
        <v>24</v>
      </c>
      <c r="BO32" s="83">
        <v>25</v>
      </c>
      <c r="BP32" s="83">
        <v>26</v>
      </c>
      <c r="BQ32" s="83">
        <v>27</v>
      </c>
      <c r="BR32" s="83">
        <v>28</v>
      </c>
      <c r="BS32" s="83">
        <v>29</v>
      </c>
      <c r="BT32" s="83">
        <v>30</v>
      </c>
    </row>
    <row r="34" spans="1:9" ht="18.600000000000001" customHeight="1">
      <c r="A34" s="84" t="s">
        <v>204</v>
      </c>
      <c r="C34" s="85"/>
      <c r="D34" s="85"/>
      <c r="E34" s="85"/>
      <c r="F34" s="85"/>
      <c r="G34" s="85"/>
      <c r="H34" s="85"/>
      <c r="I34" s="85"/>
    </row>
    <row r="35" spans="1:9">
      <c r="A35" s="86"/>
      <c r="B35" s="86"/>
      <c r="C35" s="60" t="s">
        <v>205</v>
      </c>
    </row>
    <row r="36" spans="1:9">
      <c r="A36" s="87"/>
      <c r="B36" s="87"/>
      <c r="C36" s="60" t="s">
        <v>206</v>
      </c>
    </row>
    <row r="37" spans="1:9">
      <c r="A37" s="88"/>
      <c r="B37" s="88"/>
      <c r="C37" s="60" t="s">
        <v>207</v>
      </c>
    </row>
    <row r="38" spans="1:9">
      <c r="A38" s="89"/>
      <c r="B38" s="89"/>
      <c r="C38" s="60" t="s">
        <v>208</v>
      </c>
    </row>
  </sheetData>
  <sortState xmlns:xlrd2="http://schemas.microsoft.com/office/spreadsheetml/2017/richdata2" ref="B4:BU29">
    <sortCondition ref="AC4:AC29"/>
  </sortState>
  <mergeCells count="36">
    <mergeCell ref="A30:C30"/>
    <mergeCell ref="AL30:AN30"/>
    <mergeCell ref="A31:C31"/>
    <mergeCell ref="AL31:AN31"/>
    <mergeCell ref="AH2:AH3"/>
    <mergeCell ref="AI2:AI3"/>
    <mergeCell ref="AJ2:AJ3"/>
    <mergeCell ref="AL2:AL3"/>
    <mergeCell ref="AM2:AM3"/>
    <mergeCell ref="AN2:AN3"/>
    <mergeCell ref="AB2:AB3"/>
    <mergeCell ref="AC2:AC3"/>
    <mergeCell ref="AD2:AD3"/>
    <mergeCell ref="AE2:AE3"/>
    <mergeCell ref="AF2:AF3"/>
    <mergeCell ref="AG2:AG3"/>
    <mergeCell ref="BP2:BP3"/>
    <mergeCell ref="AO2:AZ2"/>
    <mergeCell ref="BB2:BE2"/>
    <mergeCell ref="BL2:BL3"/>
    <mergeCell ref="BM2:BM3"/>
    <mergeCell ref="BN2:BN3"/>
    <mergeCell ref="BO2:BO3"/>
    <mergeCell ref="BF2:BK2"/>
    <mergeCell ref="BQ2:BQ3"/>
    <mergeCell ref="BR2:BR3"/>
    <mergeCell ref="BS2:BS3"/>
    <mergeCell ref="BT2:BT3"/>
    <mergeCell ref="BU2:BU3"/>
    <mergeCell ref="AA2:AA3"/>
    <mergeCell ref="A2:A3"/>
    <mergeCell ref="B2:B3"/>
    <mergeCell ref="C2:C3"/>
    <mergeCell ref="D2:O2"/>
    <mergeCell ref="Q2:T2"/>
    <mergeCell ref="U2:Z2"/>
  </mergeCells>
  <conditionalFormatting sqref="B4:B29">
    <cfRule type="duplicateValues" dxfId="987" priority="92"/>
  </conditionalFormatting>
  <conditionalFormatting sqref="D4:Z29">
    <cfRule type="cellIs" dxfId="986" priority="3" operator="lessThanOrEqual">
      <formula>59</formula>
    </cfRule>
  </conditionalFormatting>
  <conditionalFormatting sqref="AB4:AB31 BM4:BM31">
    <cfRule type="cellIs" dxfId="985" priority="4" operator="lessThan">
      <formula>60</formula>
    </cfRule>
  </conditionalFormatting>
  <conditionalFormatting sqref="AC4:AC31">
    <cfRule type="duplicateValues" dxfId="984" priority="93"/>
  </conditionalFormatting>
  <conditionalFormatting sqref="AM4:AM29">
    <cfRule type="duplicateValues" dxfId="983" priority="95"/>
  </conditionalFormatting>
  <conditionalFormatting sqref="AO4:BE29">
    <cfRule type="cellIs" dxfId="982" priority="2" operator="lessThanOrEqual">
      <formula>59</formula>
    </cfRule>
  </conditionalFormatting>
  <conditionalFormatting sqref="BN4:BN31">
    <cfRule type="duplicateValues" dxfId="981" priority="96"/>
  </conditionalFormatting>
  <conditionalFormatting sqref="BF4:BK29">
    <cfRule type="cellIs" dxfId="980" priority="1" operator="lessThanOrEqual">
      <formula>59</formula>
    </cfRule>
  </conditionalFormatting>
  <printOptions horizontalCentered="1"/>
  <pageMargins left="0.37" right="0.12" top="0.74803149606299202" bottom="0.34" header="0.31496062992126" footer="0.31496062992126"/>
  <pageSetup paperSize="10000" scale="75" orientation="landscape" horizontalDpi="203" verticalDpi="203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B2B7A-ACEB-4CED-A2FE-F19E7CACF2CB}">
  <sheetPr codeName="Sheet8">
    <tabColor theme="1" tint="0.499984740745262"/>
  </sheetPr>
  <dimension ref="A1:BY41"/>
  <sheetViews>
    <sheetView topLeftCell="A11" zoomScale="55" zoomScaleNormal="55" zoomScaleSheetLayoutView="55" workbookViewId="0">
      <selection activeCell="AC4" sqref="AC4"/>
    </sheetView>
  </sheetViews>
  <sheetFormatPr defaultColWidth="9.140625" defaultRowHeight="15.75"/>
  <cols>
    <col min="1" max="1" width="5.5703125" style="60" bestFit="1" customWidth="1"/>
    <col min="2" max="2" width="10.5703125" style="60" bestFit="1" customWidth="1"/>
    <col min="3" max="3" width="35.5703125" style="60" bestFit="1" customWidth="1"/>
    <col min="4" max="28" width="5.42578125" style="60" customWidth="1"/>
    <col min="29" max="31" width="7.140625" style="60" customWidth="1"/>
    <col min="32" max="36" width="5.42578125" style="60" customWidth="1"/>
    <col min="37" max="37" width="4.7109375" style="60" customWidth="1"/>
    <col min="38" max="38" width="5.42578125" style="60" customWidth="1"/>
    <col min="39" max="39" width="9.140625" style="60"/>
    <col min="40" max="40" width="9.28515625" style="60" bestFit="1" customWidth="1"/>
    <col min="41" max="41" width="10.42578125" style="60" bestFit="1" customWidth="1"/>
    <col min="42" max="42" width="29.5703125" style="60" bestFit="1" customWidth="1"/>
    <col min="43" max="47" width="9.28515625" style="60" bestFit="1" customWidth="1"/>
    <col min="48" max="16384" width="9.140625" style="60"/>
  </cols>
  <sheetData>
    <row r="1" spans="1:77" ht="26.25">
      <c r="A1" s="59" t="s">
        <v>315</v>
      </c>
      <c r="AN1" s="59" t="s">
        <v>315</v>
      </c>
    </row>
    <row r="2" spans="1:77" ht="15.75" customHeight="1">
      <c r="A2" s="281" t="s">
        <v>151</v>
      </c>
      <c r="B2" s="281" t="s">
        <v>152</v>
      </c>
      <c r="C2" s="281" t="s">
        <v>0</v>
      </c>
      <c r="D2" s="273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61"/>
      <c r="P2" s="61"/>
      <c r="Q2" s="61"/>
      <c r="R2" s="286" t="s">
        <v>316</v>
      </c>
      <c r="S2" s="286"/>
      <c r="T2" s="286"/>
      <c r="U2" s="286"/>
      <c r="V2" s="287"/>
      <c r="W2" s="283" t="s">
        <v>798</v>
      </c>
      <c r="X2" s="284"/>
      <c r="Y2" s="284"/>
      <c r="Z2" s="284"/>
      <c r="AA2" s="284"/>
      <c r="AB2" s="285"/>
      <c r="AC2" s="276" t="s">
        <v>155</v>
      </c>
      <c r="AD2" s="276" t="s">
        <v>156</v>
      </c>
      <c r="AE2" s="276" t="s">
        <v>157</v>
      </c>
      <c r="AF2" s="270" t="s">
        <v>158</v>
      </c>
      <c r="AG2" s="270" t="s">
        <v>159</v>
      </c>
      <c r="AH2" s="270" t="s">
        <v>160</v>
      </c>
      <c r="AI2" s="278" t="s">
        <v>161</v>
      </c>
      <c r="AJ2" s="278" t="s">
        <v>162</v>
      </c>
      <c r="AK2" s="278" t="s">
        <v>163</v>
      </c>
      <c r="AL2" s="280" t="s">
        <v>164</v>
      </c>
      <c r="AN2" s="281" t="s">
        <v>151</v>
      </c>
      <c r="AO2" s="281" t="s">
        <v>152</v>
      </c>
      <c r="AP2" s="281" t="s">
        <v>0</v>
      </c>
      <c r="AQ2" s="273" t="s">
        <v>153</v>
      </c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61"/>
      <c r="BC2" s="61"/>
      <c r="BD2" s="61"/>
      <c r="BE2" s="426" t="s">
        <v>316</v>
      </c>
      <c r="BF2" s="426"/>
      <c r="BG2" s="426"/>
      <c r="BH2" s="426"/>
      <c r="BI2" s="427"/>
      <c r="BJ2" s="283" t="s">
        <v>798</v>
      </c>
      <c r="BK2" s="284"/>
      <c r="BL2" s="284"/>
      <c r="BM2" s="284"/>
      <c r="BN2" s="284"/>
      <c r="BO2" s="285"/>
      <c r="BP2" s="276" t="s">
        <v>155</v>
      </c>
      <c r="BQ2" s="276" t="s">
        <v>156</v>
      </c>
      <c r="BR2" s="276" t="s">
        <v>157</v>
      </c>
      <c r="BS2" s="270" t="s">
        <v>158</v>
      </c>
      <c r="BT2" s="270" t="s">
        <v>159</v>
      </c>
      <c r="BU2" s="270" t="s">
        <v>160</v>
      </c>
      <c r="BV2" s="278" t="s">
        <v>161</v>
      </c>
      <c r="BW2" s="278" t="s">
        <v>162</v>
      </c>
      <c r="BX2" s="278" t="s">
        <v>163</v>
      </c>
      <c r="BY2" s="280" t="s">
        <v>164</v>
      </c>
    </row>
    <row r="3" spans="1:77" ht="99.75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3" t="s">
        <v>96</v>
      </c>
      <c r="R3" s="64" t="s">
        <v>14</v>
      </c>
      <c r="S3" s="64" t="s">
        <v>22</v>
      </c>
      <c r="T3" s="64" t="s">
        <v>91</v>
      </c>
      <c r="U3" s="64" t="s">
        <v>20</v>
      </c>
      <c r="V3" s="64" t="s">
        <v>93</v>
      </c>
      <c r="W3" s="233" t="s">
        <v>799</v>
      </c>
      <c r="X3" s="233" t="s">
        <v>800</v>
      </c>
      <c r="Y3" s="233" t="s">
        <v>801</v>
      </c>
      <c r="Z3" s="233" t="s">
        <v>802</v>
      </c>
      <c r="AA3" s="233" t="s">
        <v>803</v>
      </c>
      <c r="AB3" s="233" t="s">
        <v>804</v>
      </c>
      <c r="AC3" s="277"/>
      <c r="AD3" s="277"/>
      <c r="AE3" s="277"/>
      <c r="AF3" s="271"/>
      <c r="AG3" s="271"/>
      <c r="AH3" s="271"/>
      <c r="AI3" s="279"/>
      <c r="AJ3" s="279"/>
      <c r="AK3" s="279"/>
      <c r="AL3" s="280"/>
      <c r="AN3" s="282"/>
      <c r="AO3" s="282"/>
      <c r="AP3" s="282"/>
      <c r="AQ3" s="63" t="s">
        <v>20</v>
      </c>
      <c r="AR3" s="63" t="s">
        <v>22</v>
      </c>
      <c r="AS3" s="63" t="s">
        <v>165</v>
      </c>
      <c r="AT3" s="63" t="s">
        <v>166</v>
      </c>
      <c r="AU3" s="63" t="s">
        <v>167</v>
      </c>
      <c r="AV3" s="63" t="s">
        <v>168</v>
      </c>
      <c r="AW3" s="63" t="s">
        <v>169</v>
      </c>
      <c r="AX3" s="63" t="s">
        <v>170</v>
      </c>
      <c r="AY3" s="63" t="s">
        <v>14</v>
      </c>
      <c r="AZ3" s="63" t="s">
        <v>120</v>
      </c>
      <c r="BA3" s="63" t="s">
        <v>171</v>
      </c>
      <c r="BB3" s="63" t="s">
        <v>172</v>
      </c>
      <c r="BC3" s="63" t="s">
        <v>55</v>
      </c>
      <c r="BD3" s="63" t="s">
        <v>96</v>
      </c>
      <c r="BE3" s="65" t="s">
        <v>14</v>
      </c>
      <c r="BF3" s="65" t="s">
        <v>22</v>
      </c>
      <c r="BG3" s="65" t="s">
        <v>91</v>
      </c>
      <c r="BH3" s="65" t="s">
        <v>20</v>
      </c>
      <c r="BI3" s="65" t="s">
        <v>93</v>
      </c>
      <c r="BJ3" s="233" t="s">
        <v>799</v>
      </c>
      <c r="BK3" s="233" t="s">
        <v>800</v>
      </c>
      <c r="BL3" s="233" t="s">
        <v>801</v>
      </c>
      <c r="BM3" s="233" t="s">
        <v>802</v>
      </c>
      <c r="BN3" s="233" t="s">
        <v>803</v>
      </c>
      <c r="BO3" s="233" t="s">
        <v>804</v>
      </c>
      <c r="BP3" s="277"/>
      <c r="BQ3" s="277"/>
      <c r="BR3" s="277"/>
      <c r="BS3" s="271"/>
      <c r="BT3" s="271"/>
      <c r="BU3" s="271"/>
      <c r="BV3" s="279"/>
      <c r="BW3" s="279"/>
      <c r="BX3" s="279"/>
      <c r="BY3" s="280"/>
    </row>
    <row r="4" spans="1:77" ht="24.6" customHeight="1">
      <c r="A4" s="93">
        <v>1</v>
      </c>
      <c r="B4" s="94">
        <v>21220018</v>
      </c>
      <c r="C4" s="96" t="s">
        <v>319</v>
      </c>
      <c r="D4" s="68">
        <f t="shared" ref="D4:D32" si="0">ROUND(IF(AQ4=0,0,MIN(MAX(AQ4,40),99)),0)</f>
        <v>97</v>
      </c>
      <c r="E4" s="68">
        <f t="shared" ref="E4:E32" si="1">ROUND(IF(AR4=0,0,MIN(MAX(AR4,40),99)),0)</f>
        <v>83</v>
      </c>
      <c r="F4" s="68">
        <f t="shared" ref="F4:F32" si="2">ROUND(IF(AS4=0,0,MIN(MAX(AS4,40),99)),0)</f>
        <v>97</v>
      </c>
      <c r="G4" s="68">
        <f t="shared" ref="G4:G32" si="3">ROUND(IF(AT4=0,0,MIN(MAX(AT4,40),99)),0)</f>
        <v>99</v>
      </c>
      <c r="H4" s="68">
        <f t="shared" ref="H4:H32" si="4">ROUND(IF(AU4=0,0,MIN(MAX(AU4,40),99)),0)</f>
        <v>95</v>
      </c>
      <c r="I4" s="68">
        <f t="shared" ref="I4:I32" si="5">ROUND(IF(AV4=0,0,MIN(MAX(AV4,40),99)),0)</f>
        <v>93</v>
      </c>
      <c r="J4" s="68">
        <f t="shared" ref="J4:J32" si="6">ROUND(IF(AW4=0,0,MIN(MAX(AW4,40),99)),0)</f>
        <v>97</v>
      </c>
      <c r="K4" s="68">
        <f t="shared" ref="K4:K32" si="7">ROUND(IF(AX4=0,0,MIN(MAX(AX4,40),99)),0)</f>
        <v>96</v>
      </c>
      <c r="L4" s="68">
        <f t="shared" ref="L4:L32" si="8">ROUND(IF(AY4=0,0,MIN(MAX(AY4,40),99)),0)</f>
        <v>99</v>
      </c>
      <c r="M4" s="68">
        <f t="shared" ref="M4:M32" si="9">ROUND(IF(AZ4=0,0,MIN(MAX(AZ4,40),99)),0)</f>
        <v>95</v>
      </c>
      <c r="N4" s="68">
        <f t="shared" ref="N4:N32" si="10">ROUND(IF(BA4=0,0,MIN(MAX(BA4,40),99)),0)</f>
        <v>96</v>
      </c>
      <c r="O4" s="68">
        <f t="shared" ref="O4:O32" si="11">ROUND(IF(BB4=0,0,MIN(MAX(BB4,40),99)),0)</f>
        <v>87</v>
      </c>
      <c r="P4" s="68">
        <f t="shared" ref="P4:P32" si="12">ROUND(IF(BC4=0,0,MIN(MAX(BC4,40),99)),0)</f>
        <v>99</v>
      </c>
      <c r="Q4" s="68">
        <f t="shared" ref="Q4:Q32" si="13">ROUND(IF(BD4=0,0,MIN(MAX(BD4,40),99)),0)</f>
        <v>99</v>
      </c>
      <c r="R4" s="69">
        <f t="shared" ref="R4:R32" si="14">ROUND(IF(BE4=0,0,MIN(MAX(BE4,40),99)),0)</f>
        <v>95</v>
      </c>
      <c r="S4" s="69">
        <f t="shared" ref="S4:S32" si="15">ROUND(IF(BF4=0,0,MIN(MAX(BF4,40),99)),0)</f>
        <v>99</v>
      </c>
      <c r="T4" s="69">
        <f t="shared" ref="T4:T32" si="16">ROUND(IF(BG4=0,0,MIN(MAX(BG4,40),99)),0)</f>
        <v>98</v>
      </c>
      <c r="U4" s="69">
        <f t="shared" ref="U4:U32" si="17">ROUND(IF(BH4=0,0,MIN(MAX(BH4,40),99)),0)</f>
        <v>95</v>
      </c>
      <c r="V4" s="69">
        <f t="shared" ref="V4:V32" si="18">ROUND(IF(BI4=0,0,MIN(MAX(BI4,40),99)),0)</f>
        <v>80</v>
      </c>
      <c r="W4" s="234">
        <f t="shared" ref="W4:W32" si="19">ROUND(IF(BJ4=0,0,MIN(MAX(BJ4,40),99)),0)</f>
        <v>98</v>
      </c>
      <c r="X4" s="234">
        <f t="shared" ref="X4:X32" si="20">ROUND(IF(BK4=0,0,MIN(MAX(BK4,40),99)),0)</f>
        <v>99</v>
      </c>
      <c r="Y4" s="234">
        <f t="shared" ref="Y4:Y32" si="21">ROUND(IF(BL4=0,0,MIN(MAX(BL4,40),99)),0)</f>
        <v>96</v>
      </c>
      <c r="Z4" s="234">
        <f t="shared" ref="Z4:Z32" si="22">ROUND(IF(BM4=0,0,MIN(MAX(BM4,40),99)),0)</f>
        <v>93</v>
      </c>
      <c r="AA4" s="234">
        <f t="shared" ref="AA4:AA32" si="23">ROUND(IF(BN4=0,0,MIN(MAX(BN4,40),99)),0)</f>
        <v>90</v>
      </c>
      <c r="AB4" s="234">
        <f t="shared" ref="AB4:AB32" si="24">ROUND(IF(BO4=0,0,MIN(MAX(BO4,40),99)),0)</f>
        <v>60</v>
      </c>
      <c r="AC4" s="70">
        <f t="shared" ref="AC4:AC32" si="25">SUM(D4:V4)</f>
        <v>1799</v>
      </c>
      <c r="AD4" s="71">
        <f t="shared" ref="AD4:AD32" si="26">AVERAGE(D4:V4)</f>
        <v>94.684210526315795</v>
      </c>
      <c r="AE4" s="72">
        <f t="shared" ref="AE4:AE32" si="27">RANK(AC4,$AC$4:$AC$32)</f>
        <v>1</v>
      </c>
      <c r="AF4" s="73" t="s">
        <v>805</v>
      </c>
      <c r="AG4" s="73" t="s">
        <v>805</v>
      </c>
      <c r="AH4" s="73" t="s">
        <v>805</v>
      </c>
      <c r="AI4" s="74">
        <v>1</v>
      </c>
      <c r="AJ4" s="74">
        <v>16</v>
      </c>
      <c r="AK4" s="74">
        <v>0</v>
      </c>
      <c r="AL4" s="75"/>
      <c r="AN4" s="93">
        <v>5</v>
      </c>
      <c r="AO4" s="94">
        <v>21220018</v>
      </c>
      <c r="AP4" s="96" t="s">
        <v>319</v>
      </c>
      <c r="AQ4" s="68">
        <v>96.7</v>
      </c>
      <c r="AR4" s="68">
        <v>82.5</v>
      </c>
      <c r="AS4" s="68">
        <v>96.8</v>
      </c>
      <c r="AT4" s="68">
        <v>98.5</v>
      </c>
      <c r="AU4" s="68">
        <v>94.9</v>
      </c>
      <c r="AV4" s="68">
        <v>93.199999999999989</v>
      </c>
      <c r="AW4" s="68">
        <v>97.1</v>
      </c>
      <c r="AX4" s="68">
        <v>96.1</v>
      </c>
      <c r="AY4" s="68">
        <v>98.5</v>
      </c>
      <c r="AZ4" s="68">
        <v>94.8</v>
      </c>
      <c r="BA4" s="68">
        <v>96</v>
      </c>
      <c r="BB4" s="68">
        <v>86.5</v>
      </c>
      <c r="BC4" s="68">
        <v>99</v>
      </c>
      <c r="BD4" s="68">
        <v>99</v>
      </c>
      <c r="BE4" s="76">
        <v>95</v>
      </c>
      <c r="BF4" s="76">
        <v>100</v>
      </c>
      <c r="BG4" s="76">
        <v>98</v>
      </c>
      <c r="BH4" s="76">
        <v>95</v>
      </c>
      <c r="BI4" s="76">
        <v>80</v>
      </c>
      <c r="BJ4" s="240">
        <v>97.5</v>
      </c>
      <c r="BK4" s="240">
        <v>100</v>
      </c>
      <c r="BL4" s="240">
        <v>96.1</v>
      </c>
      <c r="BM4" s="240">
        <v>92.5</v>
      </c>
      <c r="BN4" s="240">
        <v>90</v>
      </c>
      <c r="BO4" s="240">
        <v>60</v>
      </c>
      <c r="BP4" s="70">
        <f t="shared" ref="BP4:BP32" si="28">SUM(AQ4:BI4)</f>
        <v>1797.6</v>
      </c>
      <c r="BQ4" s="71">
        <f t="shared" ref="BQ4:BQ32" si="29">AVERAGE(AQ4:BI4)</f>
        <v>94.610526315789471</v>
      </c>
      <c r="BR4" s="72" t="e">
        <f t="shared" ref="BR4:BR32" si="30">RANK(BP4,$AC$4:$AC$30)</f>
        <v>#N/A</v>
      </c>
      <c r="BS4" s="73"/>
      <c r="BT4" s="73"/>
      <c r="BU4" s="73"/>
      <c r="BV4" s="74"/>
      <c r="BW4" s="74"/>
      <c r="BX4" s="74"/>
      <c r="BY4" s="75"/>
    </row>
    <row r="5" spans="1:77" ht="24.6" customHeight="1">
      <c r="A5" s="93">
        <v>2</v>
      </c>
      <c r="B5" s="94">
        <v>20210017</v>
      </c>
      <c r="C5" s="96" t="s">
        <v>324</v>
      </c>
      <c r="D5" s="68">
        <f t="shared" si="0"/>
        <v>93</v>
      </c>
      <c r="E5" s="68">
        <f t="shared" si="1"/>
        <v>86</v>
      </c>
      <c r="F5" s="68">
        <f t="shared" si="2"/>
        <v>98</v>
      </c>
      <c r="G5" s="68">
        <f t="shared" si="3"/>
        <v>98</v>
      </c>
      <c r="H5" s="68">
        <f t="shared" si="4"/>
        <v>94</v>
      </c>
      <c r="I5" s="68">
        <f t="shared" si="5"/>
        <v>65</v>
      </c>
      <c r="J5" s="68">
        <f t="shared" si="6"/>
        <v>93</v>
      </c>
      <c r="K5" s="68">
        <f t="shared" si="7"/>
        <v>95</v>
      </c>
      <c r="L5" s="68">
        <f t="shared" si="8"/>
        <v>93</v>
      </c>
      <c r="M5" s="68">
        <f t="shared" si="9"/>
        <v>85</v>
      </c>
      <c r="N5" s="68">
        <f t="shared" si="10"/>
        <v>90</v>
      </c>
      <c r="O5" s="68">
        <f t="shared" si="11"/>
        <v>84</v>
      </c>
      <c r="P5" s="68">
        <f t="shared" si="12"/>
        <v>99</v>
      </c>
      <c r="Q5" s="68">
        <f t="shared" si="13"/>
        <v>94</v>
      </c>
      <c r="R5" s="69">
        <f t="shared" si="14"/>
        <v>95</v>
      </c>
      <c r="S5" s="69">
        <f t="shared" si="15"/>
        <v>99</v>
      </c>
      <c r="T5" s="69">
        <f t="shared" si="16"/>
        <v>98</v>
      </c>
      <c r="U5" s="69">
        <f t="shared" si="17"/>
        <v>90</v>
      </c>
      <c r="V5" s="69">
        <f t="shared" si="18"/>
        <v>80</v>
      </c>
      <c r="W5" s="234">
        <f t="shared" si="19"/>
        <v>99</v>
      </c>
      <c r="X5" s="234">
        <f t="shared" si="20"/>
        <v>99</v>
      </c>
      <c r="Y5" s="234">
        <f t="shared" si="21"/>
        <v>95</v>
      </c>
      <c r="Z5" s="234">
        <f t="shared" si="22"/>
        <v>99</v>
      </c>
      <c r="AA5" s="234">
        <f t="shared" si="23"/>
        <v>98</v>
      </c>
      <c r="AB5" s="234">
        <f t="shared" si="24"/>
        <v>63</v>
      </c>
      <c r="AC5" s="70">
        <f t="shared" si="25"/>
        <v>1729</v>
      </c>
      <c r="AD5" s="71">
        <f t="shared" si="26"/>
        <v>91</v>
      </c>
      <c r="AE5" s="72">
        <f t="shared" si="27"/>
        <v>2</v>
      </c>
      <c r="AF5" s="73" t="s">
        <v>805</v>
      </c>
      <c r="AG5" s="73" t="s">
        <v>805</v>
      </c>
      <c r="AH5" s="73" t="s">
        <v>805</v>
      </c>
      <c r="AI5" s="74">
        <v>0</v>
      </c>
      <c r="AJ5" s="74">
        <v>14</v>
      </c>
      <c r="AK5" s="74">
        <v>0</v>
      </c>
      <c r="AL5" s="75"/>
      <c r="AN5" s="93">
        <v>10</v>
      </c>
      <c r="AO5" s="94">
        <v>20210017</v>
      </c>
      <c r="AP5" s="96" t="s">
        <v>324</v>
      </c>
      <c r="AQ5" s="68">
        <v>93</v>
      </c>
      <c r="AR5" s="68">
        <v>86</v>
      </c>
      <c r="AS5" s="68">
        <v>98.1</v>
      </c>
      <c r="AT5" s="68">
        <v>97.7</v>
      </c>
      <c r="AU5" s="68">
        <v>93.9</v>
      </c>
      <c r="AV5" s="68">
        <v>65</v>
      </c>
      <c r="AW5" s="68">
        <v>92.5</v>
      </c>
      <c r="AX5" s="68">
        <v>94.8</v>
      </c>
      <c r="AY5" s="68">
        <v>92.5</v>
      </c>
      <c r="AZ5" s="68">
        <v>85</v>
      </c>
      <c r="BA5" s="68">
        <v>90</v>
      </c>
      <c r="BB5" s="68">
        <v>84</v>
      </c>
      <c r="BC5" s="68">
        <v>99</v>
      </c>
      <c r="BD5" s="68">
        <v>93.5</v>
      </c>
      <c r="BE5" s="76">
        <v>95</v>
      </c>
      <c r="BF5" s="76">
        <v>100</v>
      </c>
      <c r="BG5" s="76">
        <v>98</v>
      </c>
      <c r="BH5" s="76">
        <v>90</v>
      </c>
      <c r="BI5" s="76">
        <v>80</v>
      </c>
      <c r="BJ5" s="240">
        <v>100</v>
      </c>
      <c r="BK5" s="240">
        <v>100</v>
      </c>
      <c r="BL5" s="240">
        <v>94.8</v>
      </c>
      <c r="BM5" s="240">
        <v>100</v>
      </c>
      <c r="BN5" s="240">
        <v>97.5</v>
      </c>
      <c r="BO5" s="240">
        <v>62.5</v>
      </c>
      <c r="BP5" s="70">
        <f t="shared" si="28"/>
        <v>1728</v>
      </c>
      <c r="BQ5" s="71">
        <f t="shared" si="29"/>
        <v>90.94736842105263</v>
      </c>
      <c r="BR5" s="72" t="e">
        <f t="shared" si="30"/>
        <v>#N/A</v>
      </c>
      <c r="BS5" s="73"/>
      <c r="BT5" s="73"/>
      <c r="BU5" s="73"/>
      <c r="BV5" s="74"/>
      <c r="BW5" s="74"/>
      <c r="BX5" s="74"/>
      <c r="BY5" s="75"/>
    </row>
    <row r="6" spans="1:77" ht="24.6" customHeight="1">
      <c r="A6" s="93">
        <v>3</v>
      </c>
      <c r="B6" s="94">
        <v>20210095</v>
      </c>
      <c r="C6" s="95" t="s">
        <v>325</v>
      </c>
      <c r="D6" s="68">
        <f t="shared" si="0"/>
        <v>89</v>
      </c>
      <c r="E6" s="68">
        <f t="shared" si="1"/>
        <v>81</v>
      </c>
      <c r="F6" s="68">
        <f t="shared" si="2"/>
        <v>95</v>
      </c>
      <c r="G6" s="68">
        <f t="shared" si="3"/>
        <v>82</v>
      </c>
      <c r="H6" s="68">
        <f t="shared" si="4"/>
        <v>87</v>
      </c>
      <c r="I6" s="68">
        <f t="shared" si="5"/>
        <v>90</v>
      </c>
      <c r="J6" s="68">
        <f t="shared" si="6"/>
        <v>86</v>
      </c>
      <c r="K6" s="68">
        <f t="shared" si="7"/>
        <v>90</v>
      </c>
      <c r="L6" s="68">
        <f t="shared" si="8"/>
        <v>91</v>
      </c>
      <c r="M6" s="68">
        <f t="shared" si="9"/>
        <v>79</v>
      </c>
      <c r="N6" s="68">
        <f t="shared" si="10"/>
        <v>66</v>
      </c>
      <c r="O6" s="68">
        <f t="shared" si="11"/>
        <v>71</v>
      </c>
      <c r="P6" s="68">
        <f t="shared" si="12"/>
        <v>77</v>
      </c>
      <c r="Q6" s="68">
        <f t="shared" si="13"/>
        <v>99</v>
      </c>
      <c r="R6" s="69">
        <f t="shared" si="14"/>
        <v>95</v>
      </c>
      <c r="S6" s="69">
        <f t="shared" si="15"/>
        <v>99</v>
      </c>
      <c r="T6" s="69">
        <f t="shared" si="16"/>
        <v>90</v>
      </c>
      <c r="U6" s="69">
        <f t="shared" si="17"/>
        <v>95</v>
      </c>
      <c r="V6" s="69">
        <f t="shared" si="18"/>
        <v>80</v>
      </c>
      <c r="W6" s="234">
        <f t="shared" si="19"/>
        <v>99</v>
      </c>
      <c r="X6" s="234">
        <f t="shared" si="20"/>
        <v>99</v>
      </c>
      <c r="Y6" s="234">
        <f t="shared" si="21"/>
        <v>90</v>
      </c>
      <c r="Z6" s="234">
        <f t="shared" si="22"/>
        <v>99</v>
      </c>
      <c r="AA6" s="234">
        <f t="shared" si="23"/>
        <v>95</v>
      </c>
      <c r="AB6" s="234">
        <f t="shared" si="24"/>
        <v>63</v>
      </c>
      <c r="AC6" s="70">
        <f t="shared" si="25"/>
        <v>1642</v>
      </c>
      <c r="AD6" s="71">
        <f t="shared" si="26"/>
        <v>86.421052631578945</v>
      </c>
      <c r="AE6" s="72">
        <f t="shared" si="27"/>
        <v>3</v>
      </c>
      <c r="AF6" s="73" t="s">
        <v>805</v>
      </c>
      <c r="AG6" s="73" t="s">
        <v>805</v>
      </c>
      <c r="AH6" s="73" t="s">
        <v>805</v>
      </c>
      <c r="AI6" s="74">
        <v>0</v>
      </c>
      <c r="AJ6" s="74">
        <v>0</v>
      </c>
      <c r="AK6" s="74">
        <v>2</v>
      </c>
      <c r="AL6" s="75"/>
      <c r="AN6" s="93">
        <v>8</v>
      </c>
      <c r="AO6" s="94">
        <v>20210095</v>
      </c>
      <c r="AP6" s="95" t="s">
        <v>325</v>
      </c>
      <c r="AQ6" s="68">
        <v>88.6</v>
      </c>
      <c r="AR6" s="68">
        <v>81</v>
      </c>
      <c r="AS6" s="68">
        <v>94.5</v>
      </c>
      <c r="AT6" s="68">
        <v>81.900000000000006</v>
      </c>
      <c r="AU6" s="68">
        <v>86.5</v>
      </c>
      <c r="AV6" s="68">
        <v>89.5</v>
      </c>
      <c r="AW6" s="68">
        <v>85.5</v>
      </c>
      <c r="AX6" s="68">
        <v>90</v>
      </c>
      <c r="AY6" s="68">
        <v>90.699999999999989</v>
      </c>
      <c r="AZ6" s="68">
        <v>78.5</v>
      </c>
      <c r="BA6" s="68">
        <v>66</v>
      </c>
      <c r="BB6" s="68">
        <v>71</v>
      </c>
      <c r="BC6" s="68">
        <v>76.5</v>
      </c>
      <c r="BD6" s="68">
        <v>99</v>
      </c>
      <c r="BE6" s="76">
        <v>95</v>
      </c>
      <c r="BF6" s="76">
        <v>100</v>
      </c>
      <c r="BG6" s="76">
        <v>90</v>
      </c>
      <c r="BH6" s="76">
        <v>95</v>
      </c>
      <c r="BI6" s="76">
        <v>80</v>
      </c>
      <c r="BJ6" s="240">
        <v>100</v>
      </c>
      <c r="BK6" s="240">
        <v>100</v>
      </c>
      <c r="BL6" s="240">
        <v>90</v>
      </c>
      <c r="BM6" s="240">
        <v>100</v>
      </c>
      <c r="BN6" s="240">
        <v>95</v>
      </c>
      <c r="BO6" s="240">
        <v>62.5</v>
      </c>
      <c r="BP6" s="70">
        <f t="shared" si="28"/>
        <v>1639.2</v>
      </c>
      <c r="BQ6" s="71">
        <f t="shared" si="29"/>
        <v>86.273684210526312</v>
      </c>
      <c r="BR6" s="72" t="e">
        <f t="shared" si="30"/>
        <v>#N/A</v>
      </c>
      <c r="BS6" s="73"/>
      <c r="BT6" s="73"/>
      <c r="BU6" s="73"/>
      <c r="BV6" s="74"/>
      <c r="BW6" s="74"/>
      <c r="BX6" s="74"/>
      <c r="BY6" s="75"/>
    </row>
    <row r="7" spans="1:77" ht="24.6" customHeight="1">
      <c r="A7" s="93">
        <v>4</v>
      </c>
      <c r="B7" s="139">
        <v>21220001</v>
      </c>
      <c r="C7" s="108" t="s">
        <v>322</v>
      </c>
      <c r="D7" s="68">
        <f t="shared" si="0"/>
        <v>96</v>
      </c>
      <c r="E7" s="68">
        <f t="shared" si="1"/>
        <v>66</v>
      </c>
      <c r="F7" s="68">
        <f t="shared" si="2"/>
        <v>90</v>
      </c>
      <c r="G7" s="68">
        <f t="shared" si="3"/>
        <v>97</v>
      </c>
      <c r="H7" s="68">
        <f t="shared" si="4"/>
        <v>84</v>
      </c>
      <c r="I7" s="68">
        <f t="shared" si="5"/>
        <v>62</v>
      </c>
      <c r="J7" s="68">
        <f t="shared" si="6"/>
        <v>90</v>
      </c>
      <c r="K7" s="68">
        <f t="shared" si="7"/>
        <v>84</v>
      </c>
      <c r="L7" s="68">
        <f t="shared" si="8"/>
        <v>89</v>
      </c>
      <c r="M7" s="68">
        <f t="shared" si="9"/>
        <v>77</v>
      </c>
      <c r="N7" s="68">
        <f t="shared" si="10"/>
        <v>94</v>
      </c>
      <c r="O7" s="68">
        <f t="shared" si="11"/>
        <v>76</v>
      </c>
      <c r="P7" s="68">
        <f t="shared" si="12"/>
        <v>78</v>
      </c>
      <c r="Q7" s="68">
        <f t="shared" si="13"/>
        <v>99</v>
      </c>
      <c r="R7" s="69">
        <f t="shared" si="14"/>
        <v>95</v>
      </c>
      <c r="S7" s="69">
        <f t="shared" si="15"/>
        <v>99</v>
      </c>
      <c r="T7" s="69">
        <f t="shared" si="16"/>
        <v>86</v>
      </c>
      <c r="U7" s="69">
        <f t="shared" si="17"/>
        <v>90</v>
      </c>
      <c r="V7" s="69">
        <f t="shared" si="18"/>
        <v>80</v>
      </c>
      <c r="W7" s="234">
        <f t="shared" si="19"/>
        <v>98</v>
      </c>
      <c r="X7" s="234">
        <f t="shared" si="20"/>
        <v>98</v>
      </c>
      <c r="Y7" s="234">
        <f t="shared" si="21"/>
        <v>84</v>
      </c>
      <c r="Z7" s="234">
        <f t="shared" si="22"/>
        <v>93</v>
      </c>
      <c r="AA7" s="234">
        <f t="shared" si="23"/>
        <v>98</v>
      </c>
      <c r="AB7" s="234">
        <f t="shared" si="24"/>
        <v>60</v>
      </c>
      <c r="AC7" s="70">
        <f t="shared" si="25"/>
        <v>1632</v>
      </c>
      <c r="AD7" s="71">
        <f t="shared" si="26"/>
        <v>85.89473684210526</v>
      </c>
      <c r="AE7" s="72">
        <f t="shared" si="27"/>
        <v>4</v>
      </c>
      <c r="AF7" s="73" t="s">
        <v>805</v>
      </c>
      <c r="AG7" s="73" t="s">
        <v>805</v>
      </c>
      <c r="AH7" s="73" t="s">
        <v>805</v>
      </c>
      <c r="AI7" s="74">
        <v>0</v>
      </c>
      <c r="AJ7" s="74">
        <v>0</v>
      </c>
      <c r="AK7" s="74">
        <v>0</v>
      </c>
      <c r="AL7" s="75"/>
      <c r="AN7" s="93">
        <v>26</v>
      </c>
      <c r="AO7" s="94">
        <v>21220001</v>
      </c>
      <c r="AP7" s="96" t="s">
        <v>322</v>
      </c>
      <c r="AQ7" s="68">
        <v>95.8</v>
      </c>
      <c r="AR7" s="68">
        <v>66</v>
      </c>
      <c r="AS7" s="68">
        <v>90</v>
      </c>
      <c r="AT7" s="68">
        <v>97.4</v>
      </c>
      <c r="AU7" s="68">
        <v>84</v>
      </c>
      <c r="AV7" s="68">
        <v>62.099999999999994</v>
      </c>
      <c r="AW7" s="68">
        <v>89.5</v>
      </c>
      <c r="AX7" s="68">
        <v>83.6</v>
      </c>
      <c r="AY7" s="68">
        <v>89.3</v>
      </c>
      <c r="AZ7" s="68">
        <v>76.5</v>
      </c>
      <c r="BA7" s="68">
        <v>94</v>
      </c>
      <c r="BB7" s="68">
        <v>75.5</v>
      </c>
      <c r="BC7" s="68">
        <v>77.5</v>
      </c>
      <c r="BD7" s="68">
        <v>98.6</v>
      </c>
      <c r="BE7" s="76">
        <v>95</v>
      </c>
      <c r="BF7" s="76">
        <v>100</v>
      </c>
      <c r="BG7" s="76">
        <v>86</v>
      </c>
      <c r="BH7" s="76">
        <v>90</v>
      </c>
      <c r="BI7" s="76">
        <v>80</v>
      </c>
      <c r="BJ7" s="240">
        <v>97.5</v>
      </c>
      <c r="BK7" s="240">
        <v>97.5</v>
      </c>
      <c r="BL7" s="240">
        <v>83.6</v>
      </c>
      <c r="BM7" s="240">
        <v>92.5</v>
      </c>
      <c r="BN7" s="240">
        <v>97.5</v>
      </c>
      <c r="BO7" s="240">
        <v>60</v>
      </c>
      <c r="BP7" s="70">
        <f t="shared" si="28"/>
        <v>1630.8</v>
      </c>
      <c r="BQ7" s="71">
        <f t="shared" si="29"/>
        <v>85.831578947368413</v>
      </c>
      <c r="BR7" s="72" t="e">
        <f t="shared" si="30"/>
        <v>#N/A</v>
      </c>
      <c r="BS7" s="73"/>
      <c r="BT7" s="73"/>
      <c r="BU7" s="73"/>
      <c r="BV7" s="74"/>
      <c r="BW7" s="74"/>
      <c r="BX7" s="74"/>
      <c r="BY7" s="75"/>
    </row>
    <row r="8" spans="1:77" ht="24.6" customHeight="1">
      <c r="A8" s="93">
        <v>5</v>
      </c>
      <c r="B8" s="94">
        <v>20210019</v>
      </c>
      <c r="C8" s="96" t="s">
        <v>321</v>
      </c>
      <c r="D8" s="68">
        <f t="shared" si="0"/>
        <v>92</v>
      </c>
      <c r="E8" s="68">
        <f t="shared" si="1"/>
        <v>78</v>
      </c>
      <c r="F8" s="68">
        <f t="shared" si="2"/>
        <v>95</v>
      </c>
      <c r="G8" s="68">
        <f t="shared" si="3"/>
        <v>80</v>
      </c>
      <c r="H8" s="68">
        <f t="shared" si="4"/>
        <v>87</v>
      </c>
      <c r="I8" s="68">
        <f t="shared" si="5"/>
        <v>75</v>
      </c>
      <c r="J8" s="68">
        <f t="shared" si="6"/>
        <v>61</v>
      </c>
      <c r="K8" s="68">
        <f t="shared" si="7"/>
        <v>83</v>
      </c>
      <c r="L8" s="68">
        <f t="shared" si="8"/>
        <v>82</v>
      </c>
      <c r="M8" s="68">
        <f t="shared" si="9"/>
        <v>83</v>
      </c>
      <c r="N8" s="68">
        <f t="shared" si="10"/>
        <v>94</v>
      </c>
      <c r="O8" s="68">
        <f t="shared" si="11"/>
        <v>77</v>
      </c>
      <c r="P8" s="68">
        <f t="shared" si="12"/>
        <v>78</v>
      </c>
      <c r="Q8" s="68">
        <f t="shared" si="13"/>
        <v>99</v>
      </c>
      <c r="R8" s="69">
        <f t="shared" si="14"/>
        <v>95</v>
      </c>
      <c r="S8" s="69">
        <f t="shared" si="15"/>
        <v>99</v>
      </c>
      <c r="T8" s="69">
        <f t="shared" si="16"/>
        <v>84</v>
      </c>
      <c r="U8" s="69">
        <f t="shared" si="17"/>
        <v>85</v>
      </c>
      <c r="V8" s="69">
        <f t="shared" si="18"/>
        <v>80</v>
      </c>
      <c r="W8" s="234">
        <f t="shared" si="19"/>
        <v>99</v>
      </c>
      <c r="X8" s="234">
        <f t="shared" si="20"/>
        <v>95</v>
      </c>
      <c r="Y8" s="234">
        <f t="shared" si="21"/>
        <v>83</v>
      </c>
      <c r="Z8" s="234">
        <f t="shared" si="22"/>
        <v>98</v>
      </c>
      <c r="AA8" s="234">
        <f t="shared" si="23"/>
        <v>99</v>
      </c>
      <c r="AB8" s="234">
        <f t="shared" si="24"/>
        <v>65</v>
      </c>
      <c r="AC8" s="70">
        <f t="shared" si="25"/>
        <v>1607</v>
      </c>
      <c r="AD8" s="71">
        <f t="shared" si="26"/>
        <v>84.578947368421055</v>
      </c>
      <c r="AE8" s="72">
        <f t="shared" si="27"/>
        <v>5</v>
      </c>
      <c r="AF8" s="73" t="s">
        <v>805</v>
      </c>
      <c r="AG8" s="73" t="s">
        <v>805</v>
      </c>
      <c r="AH8" s="73" t="s">
        <v>805</v>
      </c>
      <c r="AI8" s="74">
        <v>0</v>
      </c>
      <c r="AJ8" s="74">
        <v>0</v>
      </c>
      <c r="AK8" s="74">
        <v>0</v>
      </c>
      <c r="AL8" s="75"/>
      <c r="AN8" s="93">
        <v>12</v>
      </c>
      <c r="AO8" s="94">
        <v>20210019</v>
      </c>
      <c r="AP8" s="96" t="s">
        <v>321</v>
      </c>
      <c r="AQ8" s="68">
        <v>92</v>
      </c>
      <c r="AR8" s="68">
        <v>78</v>
      </c>
      <c r="AS8" s="68">
        <v>94.8</v>
      </c>
      <c r="AT8" s="68">
        <v>80.3</v>
      </c>
      <c r="AU8" s="68">
        <v>87</v>
      </c>
      <c r="AV8" s="68">
        <v>75.3</v>
      </c>
      <c r="AW8" s="68">
        <v>61</v>
      </c>
      <c r="AX8" s="68">
        <v>83.2</v>
      </c>
      <c r="AY8" s="68">
        <v>81.5</v>
      </c>
      <c r="AZ8" s="68">
        <v>83</v>
      </c>
      <c r="BA8" s="68">
        <v>93.699999999999989</v>
      </c>
      <c r="BB8" s="68">
        <v>77</v>
      </c>
      <c r="BC8" s="68">
        <v>77.5</v>
      </c>
      <c r="BD8" s="68">
        <v>100</v>
      </c>
      <c r="BE8" s="76">
        <v>95</v>
      </c>
      <c r="BF8" s="76">
        <v>100</v>
      </c>
      <c r="BG8" s="76">
        <v>84</v>
      </c>
      <c r="BH8" s="76">
        <v>85</v>
      </c>
      <c r="BI8" s="76">
        <v>80</v>
      </c>
      <c r="BJ8" s="240">
        <v>100</v>
      </c>
      <c r="BK8" s="240">
        <v>95</v>
      </c>
      <c r="BL8" s="240">
        <v>83.2</v>
      </c>
      <c r="BM8" s="240">
        <v>97.5</v>
      </c>
      <c r="BN8" s="240">
        <v>100</v>
      </c>
      <c r="BO8" s="240">
        <v>65</v>
      </c>
      <c r="BP8" s="70">
        <f t="shared" si="28"/>
        <v>1608.3000000000002</v>
      </c>
      <c r="BQ8" s="71">
        <f t="shared" si="29"/>
        <v>84.647368421052647</v>
      </c>
      <c r="BR8" s="72" t="e">
        <f t="shared" si="30"/>
        <v>#N/A</v>
      </c>
      <c r="BS8" s="73"/>
      <c r="BT8" s="73"/>
      <c r="BU8" s="73"/>
      <c r="BV8" s="74"/>
      <c r="BW8" s="74"/>
      <c r="BX8" s="74"/>
      <c r="BY8" s="75"/>
    </row>
    <row r="9" spans="1:77" ht="24.6" customHeight="1">
      <c r="A9" s="93">
        <v>6</v>
      </c>
      <c r="B9" s="94">
        <v>21220100</v>
      </c>
      <c r="C9" s="95" t="s">
        <v>327</v>
      </c>
      <c r="D9" s="68">
        <f t="shared" si="0"/>
        <v>88</v>
      </c>
      <c r="E9" s="68">
        <f t="shared" si="1"/>
        <v>94</v>
      </c>
      <c r="F9" s="68">
        <f t="shared" si="2"/>
        <v>80</v>
      </c>
      <c r="G9" s="68">
        <f t="shared" si="3"/>
        <v>91</v>
      </c>
      <c r="H9" s="68">
        <f t="shared" si="4"/>
        <v>82</v>
      </c>
      <c r="I9" s="68">
        <f t="shared" si="5"/>
        <v>50</v>
      </c>
      <c r="J9" s="68">
        <f t="shared" si="6"/>
        <v>83</v>
      </c>
      <c r="K9" s="68">
        <f t="shared" si="7"/>
        <v>76</v>
      </c>
      <c r="L9" s="68">
        <f t="shared" si="8"/>
        <v>84</v>
      </c>
      <c r="M9" s="68">
        <f t="shared" si="9"/>
        <v>96</v>
      </c>
      <c r="N9" s="68">
        <f t="shared" si="10"/>
        <v>77</v>
      </c>
      <c r="O9" s="68">
        <f t="shared" si="11"/>
        <v>79</v>
      </c>
      <c r="P9" s="68">
        <f t="shared" si="12"/>
        <v>81</v>
      </c>
      <c r="Q9" s="68">
        <f t="shared" si="13"/>
        <v>92</v>
      </c>
      <c r="R9" s="69">
        <f t="shared" si="14"/>
        <v>95</v>
      </c>
      <c r="S9" s="69">
        <f t="shared" si="15"/>
        <v>99</v>
      </c>
      <c r="T9" s="69">
        <f t="shared" si="16"/>
        <v>90</v>
      </c>
      <c r="U9" s="69">
        <f t="shared" si="17"/>
        <v>60</v>
      </c>
      <c r="V9" s="69">
        <f t="shared" si="18"/>
        <v>80</v>
      </c>
      <c r="W9" s="234">
        <f t="shared" si="19"/>
        <v>98</v>
      </c>
      <c r="X9" s="234">
        <f t="shared" si="20"/>
        <v>93</v>
      </c>
      <c r="Y9" s="234">
        <f t="shared" si="21"/>
        <v>76</v>
      </c>
      <c r="Z9" s="234">
        <f t="shared" si="22"/>
        <v>90</v>
      </c>
      <c r="AA9" s="234">
        <f t="shared" si="23"/>
        <v>90</v>
      </c>
      <c r="AB9" s="234">
        <f t="shared" si="24"/>
        <v>70</v>
      </c>
      <c r="AC9" s="70">
        <f t="shared" si="25"/>
        <v>1577</v>
      </c>
      <c r="AD9" s="71">
        <f t="shared" si="26"/>
        <v>83</v>
      </c>
      <c r="AE9" s="72">
        <f t="shared" si="27"/>
        <v>6</v>
      </c>
      <c r="AF9" s="73" t="s">
        <v>805</v>
      </c>
      <c r="AG9" s="73" t="s">
        <v>805</v>
      </c>
      <c r="AH9" s="73" t="s">
        <v>805</v>
      </c>
      <c r="AI9" s="74">
        <v>11</v>
      </c>
      <c r="AJ9" s="74">
        <v>5</v>
      </c>
      <c r="AK9" s="74">
        <v>0</v>
      </c>
      <c r="AL9" s="75"/>
      <c r="AN9" s="93">
        <v>25</v>
      </c>
      <c r="AO9" s="94">
        <v>21220100</v>
      </c>
      <c r="AP9" s="95" t="s">
        <v>327</v>
      </c>
      <c r="AQ9" s="68">
        <v>88.2</v>
      </c>
      <c r="AR9" s="68">
        <v>94</v>
      </c>
      <c r="AS9" s="68">
        <v>80</v>
      </c>
      <c r="AT9" s="68">
        <v>91</v>
      </c>
      <c r="AU9" s="68">
        <v>82</v>
      </c>
      <c r="AV9" s="68">
        <v>50.099999999999994</v>
      </c>
      <c r="AW9" s="68">
        <v>82.5</v>
      </c>
      <c r="AX9" s="68">
        <v>76</v>
      </c>
      <c r="AY9" s="68">
        <v>83.5</v>
      </c>
      <c r="AZ9" s="68">
        <v>95.8</v>
      </c>
      <c r="BA9" s="68">
        <v>76.8</v>
      </c>
      <c r="BB9" s="68">
        <v>78.5</v>
      </c>
      <c r="BC9" s="68">
        <v>81</v>
      </c>
      <c r="BD9" s="68">
        <v>91.5</v>
      </c>
      <c r="BE9" s="76">
        <v>95</v>
      </c>
      <c r="BF9" s="76">
        <v>100</v>
      </c>
      <c r="BG9" s="76">
        <v>90</v>
      </c>
      <c r="BH9" s="76">
        <v>60</v>
      </c>
      <c r="BI9" s="76">
        <v>80</v>
      </c>
      <c r="BJ9" s="240">
        <v>97.5</v>
      </c>
      <c r="BK9" s="240">
        <v>92.5</v>
      </c>
      <c r="BL9" s="240">
        <v>76</v>
      </c>
      <c r="BM9" s="240">
        <v>90</v>
      </c>
      <c r="BN9" s="240">
        <v>90</v>
      </c>
      <c r="BO9" s="240">
        <v>70</v>
      </c>
      <c r="BP9" s="70">
        <f t="shared" si="28"/>
        <v>1575.8999999999999</v>
      </c>
      <c r="BQ9" s="71">
        <f t="shared" si="29"/>
        <v>82.942105263157885</v>
      </c>
      <c r="BR9" s="72" t="e">
        <f t="shared" si="30"/>
        <v>#N/A</v>
      </c>
      <c r="BS9" s="73"/>
      <c r="BT9" s="73"/>
      <c r="BU9" s="73"/>
      <c r="BV9" s="74"/>
      <c r="BW9" s="74"/>
      <c r="BX9" s="74"/>
      <c r="BY9" s="75"/>
    </row>
    <row r="10" spans="1:77" ht="24.6" customHeight="1">
      <c r="A10" s="93">
        <v>7</v>
      </c>
      <c r="B10" s="94">
        <v>20210058</v>
      </c>
      <c r="C10" s="95" t="s">
        <v>334</v>
      </c>
      <c r="D10" s="68">
        <f t="shared" si="0"/>
        <v>87</v>
      </c>
      <c r="E10" s="68">
        <f t="shared" si="1"/>
        <v>63</v>
      </c>
      <c r="F10" s="68">
        <f t="shared" si="2"/>
        <v>92</v>
      </c>
      <c r="G10" s="68">
        <f t="shared" si="3"/>
        <v>98</v>
      </c>
      <c r="H10" s="68">
        <f t="shared" si="4"/>
        <v>78</v>
      </c>
      <c r="I10" s="68">
        <f t="shared" si="5"/>
        <v>75</v>
      </c>
      <c r="J10" s="68">
        <f t="shared" si="6"/>
        <v>81</v>
      </c>
      <c r="K10" s="68">
        <f t="shared" si="7"/>
        <v>91</v>
      </c>
      <c r="L10" s="68">
        <f t="shared" si="8"/>
        <v>90</v>
      </c>
      <c r="M10" s="68">
        <f t="shared" si="9"/>
        <v>71</v>
      </c>
      <c r="N10" s="68">
        <f t="shared" si="10"/>
        <v>66</v>
      </c>
      <c r="O10" s="68">
        <f t="shared" si="11"/>
        <v>67</v>
      </c>
      <c r="P10" s="68">
        <f t="shared" si="12"/>
        <v>78</v>
      </c>
      <c r="Q10" s="68">
        <f t="shared" si="13"/>
        <v>94</v>
      </c>
      <c r="R10" s="69">
        <f t="shared" si="14"/>
        <v>95</v>
      </c>
      <c r="S10" s="69">
        <f t="shared" si="15"/>
        <v>99</v>
      </c>
      <c r="T10" s="69">
        <f t="shared" si="16"/>
        <v>98</v>
      </c>
      <c r="U10" s="69">
        <f t="shared" si="17"/>
        <v>60</v>
      </c>
      <c r="V10" s="69">
        <f t="shared" si="18"/>
        <v>80</v>
      </c>
      <c r="W10" s="234">
        <f t="shared" si="19"/>
        <v>98</v>
      </c>
      <c r="X10" s="234">
        <f t="shared" si="20"/>
        <v>98</v>
      </c>
      <c r="Y10" s="234">
        <f t="shared" si="21"/>
        <v>91</v>
      </c>
      <c r="Z10" s="234">
        <f t="shared" si="22"/>
        <v>93</v>
      </c>
      <c r="AA10" s="234">
        <f t="shared" si="23"/>
        <v>90</v>
      </c>
      <c r="AB10" s="234">
        <f t="shared" si="24"/>
        <v>63</v>
      </c>
      <c r="AC10" s="70">
        <f t="shared" si="25"/>
        <v>1563</v>
      </c>
      <c r="AD10" s="71">
        <f t="shared" si="26"/>
        <v>82.263157894736835</v>
      </c>
      <c r="AE10" s="72">
        <f t="shared" si="27"/>
        <v>7</v>
      </c>
      <c r="AF10" s="73" t="s">
        <v>805</v>
      </c>
      <c r="AG10" s="73" t="s">
        <v>805</v>
      </c>
      <c r="AH10" s="73" t="s">
        <v>805</v>
      </c>
      <c r="AI10" s="74">
        <v>0</v>
      </c>
      <c r="AJ10" s="74">
        <v>0</v>
      </c>
      <c r="AK10" s="74">
        <v>0</v>
      </c>
      <c r="AL10" s="75"/>
      <c r="AN10" s="93">
        <v>3</v>
      </c>
      <c r="AO10" s="94">
        <v>20210058</v>
      </c>
      <c r="AP10" s="95" t="s">
        <v>334</v>
      </c>
      <c r="AQ10" s="68">
        <v>86.5</v>
      </c>
      <c r="AR10" s="68">
        <v>63.099999999999994</v>
      </c>
      <c r="AS10" s="68">
        <v>92.4</v>
      </c>
      <c r="AT10" s="68">
        <v>97.5</v>
      </c>
      <c r="AU10" s="68">
        <v>78</v>
      </c>
      <c r="AV10" s="68">
        <v>74.699999999999989</v>
      </c>
      <c r="AW10" s="68">
        <v>80.5</v>
      </c>
      <c r="AX10" s="68">
        <v>91</v>
      </c>
      <c r="AY10" s="68">
        <v>90.3</v>
      </c>
      <c r="AZ10" s="68">
        <v>71.099999999999994</v>
      </c>
      <c r="BA10" s="68">
        <v>65.5</v>
      </c>
      <c r="BB10" s="68">
        <v>67</v>
      </c>
      <c r="BC10" s="68">
        <v>77.5</v>
      </c>
      <c r="BD10" s="68">
        <v>93.5</v>
      </c>
      <c r="BE10" s="76">
        <v>95</v>
      </c>
      <c r="BF10" s="76">
        <v>100</v>
      </c>
      <c r="BG10" s="76">
        <v>98</v>
      </c>
      <c r="BH10" s="76">
        <v>60</v>
      </c>
      <c r="BI10" s="76">
        <v>80</v>
      </c>
      <c r="BJ10" s="240">
        <v>97.5</v>
      </c>
      <c r="BK10" s="240">
        <v>97.5</v>
      </c>
      <c r="BL10" s="240">
        <v>91</v>
      </c>
      <c r="BM10" s="240">
        <v>92.5</v>
      </c>
      <c r="BN10" s="240">
        <v>90</v>
      </c>
      <c r="BO10" s="240">
        <v>62.5</v>
      </c>
      <c r="BP10" s="70">
        <f t="shared" si="28"/>
        <v>1561.6</v>
      </c>
      <c r="BQ10" s="71">
        <f t="shared" si="29"/>
        <v>82.189473684210526</v>
      </c>
      <c r="BR10" s="72" t="e">
        <f t="shared" si="30"/>
        <v>#N/A</v>
      </c>
      <c r="BS10" s="73"/>
      <c r="BT10" s="73"/>
      <c r="BU10" s="73"/>
      <c r="BV10" s="74"/>
      <c r="BW10" s="74"/>
      <c r="BX10" s="74"/>
      <c r="BY10" s="75"/>
    </row>
    <row r="11" spans="1:77" ht="24.6" customHeight="1">
      <c r="A11" s="93">
        <v>8</v>
      </c>
      <c r="B11" s="94">
        <v>21220020</v>
      </c>
      <c r="C11" s="95" t="s">
        <v>323</v>
      </c>
      <c r="D11" s="68">
        <f t="shared" si="0"/>
        <v>91</v>
      </c>
      <c r="E11" s="68">
        <f t="shared" si="1"/>
        <v>84</v>
      </c>
      <c r="F11" s="68">
        <f t="shared" si="2"/>
        <v>90</v>
      </c>
      <c r="G11" s="68">
        <f t="shared" si="3"/>
        <v>85</v>
      </c>
      <c r="H11" s="68">
        <f t="shared" si="4"/>
        <v>66</v>
      </c>
      <c r="I11" s="68">
        <f t="shared" si="5"/>
        <v>59</v>
      </c>
      <c r="J11" s="68">
        <f t="shared" si="6"/>
        <v>89</v>
      </c>
      <c r="K11" s="68">
        <f t="shared" si="7"/>
        <v>92</v>
      </c>
      <c r="L11" s="68">
        <f t="shared" si="8"/>
        <v>75</v>
      </c>
      <c r="M11" s="68">
        <f t="shared" si="9"/>
        <v>86</v>
      </c>
      <c r="N11" s="68">
        <f t="shared" si="10"/>
        <v>60</v>
      </c>
      <c r="O11" s="68">
        <f t="shared" si="11"/>
        <v>68</v>
      </c>
      <c r="P11" s="68">
        <f t="shared" si="12"/>
        <v>73</v>
      </c>
      <c r="Q11" s="68">
        <f t="shared" si="13"/>
        <v>99</v>
      </c>
      <c r="R11" s="69">
        <f t="shared" si="14"/>
        <v>95</v>
      </c>
      <c r="S11" s="69">
        <f t="shared" si="15"/>
        <v>99</v>
      </c>
      <c r="T11" s="69">
        <f t="shared" si="16"/>
        <v>95</v>
      </c>
      <c r="U11" s="69">
        <f t="shared" si="17"/>
        <v>60</v>
      </c>
      <c r="V11" s="69">
        <f t="shared" si="18"/>
        <v>80</v>
      </c>
      <c r="W11" s="234">
        <f t="shared" si="19"/>
        <v>99</v>
      </c>
      <c r="X11" s="234">
        <f t="shared" si="20"/>
        <v>99</v>
      </c>
      <c r="Y11" s="234">
        <f t="shared" si="21"/>
        <v>92</v>
      </c>
      <c r="Z11" s="234">
        <f t="shared" si="22"/>
        <v>98</v>
      </c>
      <c r="AA11" s="234">
        <f t="shared" si="23"/>
        <v>93</v>
      </c>
      <c r="AB11" s="234">
        <f t="shared" si="24"/>
        <v>70</v>
      </c>
      <c r="AC11" s="70">
        <f t="shared" si="25"/>
        <v>1546</v>
      </c>
      <c r="AD11" s="71">
        <f t="shared" si="26"/>
        <v>81.368421052631575</v>
      </c>
      <c r="AE11" s="72">
        <f t="shared" si="27"/>
        <v>8</v>
      </c>
      <c r="AF11" s="73" t="s">
        <v>805</v>
      </c>
      <c r="AG11" s="73" t="s">
        <v>805</v>
      </c>
      <c r="AH11" s="73" t="s">
        <v>805</v>
      </c>
      <c r="AI11" s="74">
        <v>0</v>
      </c>
      <c r="AJ11" s="74">
        <v>0</v>
      </c>
      <c r="AK11" s="74">
        <v>0</v>
      </c>
      <c r="AL11" s="75"/>
      <c r="AN11" s="93">
        <v>21</v>
      </c>
      <c r="AO11" s="94">
        <v>21220020</v>
      </c>
      <c r="AP11" s="95" t="s">
        <v>323</v>
      </c>
      <c r="AQ11" s="68">
        <v>91.399999999999991</v>
      </c>
      <c r="AR11" s="68">
        <v>83.5</v>
      </c>
      <c r="AS11" s="68">
        <v>89.9</v>
      </c>
      <c r="AT11" s="68">
        <v>85.4</v>
      </c>
      <c r="AU11" s="68">
        <v>66</v>
      </c>
      <c r="AV11" s="68">
        <v>58.7</v>
      </c>
      <c r="AW11" s="68">
        <v>88.5</v>
      </c>
      <c r="AX11" s="68">
        <v>91.7</v>
      </c>
      <c r="AY11" s="68">
        <v>75.099999999999994</v>
      </c>
      <c r="AZ11" s="68">
        <v>85.8</v>
      </c>
      <c r="BA11" s="68">
        <v>59.5</v>
      </c>
      <c r="BB11" s="68">
        <v>67.5</v>
      </c>
      <c r="BC11" s="68">
        <v>73</v>
      </c>
      <c r="BD11" s="68">
        <v>100</v>
      </c>
      <c r="BE11" s="76">
        <v>95</v>
      </c>
      <c r="BF11" s="76">
        <v>100</v>
      </c>
      <c r="BG11" s="76">
        <v>95</v>
      </c>
      <c r="BH11" s="76">
        <v>60</v>
      </c>
      <c r="BI11" s="76">
        <v>80</v>
      </c>
      <c r="BJ11" s="240">
        <v>100</v>
      </c>
      <c r="BK11" s="240">
        <v>100</v>
      </c>
      <c r="BL11" s="240">
        <v>91.7</v>
      </c>
      <c r="BM11" s="240">
        <v>97.5</v>
      </c>
      <c r="BN11" s="240">
        <v>92.5</v>
      </c>
      <c r="BO11" s="240">
        <v>70</v>
      </c>
      <c r="BP11" s="70">
        <f t="shared" si="28"/>
        <v>1546</v>
      </c>
      <c r="BQ11" s="71">
        <f t="shared" si="29"/>
        <v>81.368421052631575</v>
      </c>
      <c r="BR11" s="72">
        <f t="shared" si="30"/>
        <v>8</v>
      </c>
      <c r="BS11" s="73"/>
      <c r="BT11" s="73"/>
      <c r="BU11" s="73"/>
      <c r="BV11" s="74"/>
      <c r="BW11" s="74"/>
      <c r="BX11" s="74"/>
      <c r="BY11" s="75"/>
    </row>
    <row r="12" spans="1:77" ht="24.6" customHeight="1">
      <c r="A12" s="138">
        <v>9</v>
      </c>
      <c r="B12" s="94">
        <v>20210034</v>
      </c>
      <c r="C12" s="95" t="s">
        <v>320</v>
      </c>
      <c r="D12" s="68">
        <f t="shared" si="0"/>
        <v>93</v>
      </c>
      <c r="E12" s="68">
        <f t="shared" si="1"/>
        <v>61</v>
      </c>
      <c r="F12" s="68">
        <f t="shared" si="2"/>
        <v>97</v>
      </c>
      <c r="G12" s="68">
        <f t="shared" si="3"/>
        <v>82</v>
      </c>
      <c r="H12" s="68">
        <f t="shared" si="4"/>
        <v>86</v>
      </c>
      <c r="I12" s="68">
        <f t="shared" si="5"/>
        <v>73</v>
      </c>
      <c r="J12" s="68">
        <f t="shared" si="6"/>
        <v>94</v>
      </c>
      <c r="K12" s="68">
        <f t="shared" si="7"/>
        <v>71</v>
      </c>
      <c r="L12" s="68">
        <f t="shared" si="8"/>
        <v>73</v>
      </c>
      <c r="M12" s="68">
        <f t="shared" si="9"/>
        <v>78</v>
      </c>
      <c r="N12" s="68">
        <f t="shared" si="10"/>
        <v>68</v>
      </c>
      <c r="O12" s="68">
        <f t="shared" si="11"/>
        <v>40</v>
      </c>
      <c r="P12" s="68">
        <f t="shared" si="12"/>
        <v>82</v>
      </c>
      <c r="Q12" s="68">
        <f t="shared" si="13"/>
        <v>99</v>
      </c>
      <c r="R12" s="69">
        <f t="shared" si="14"/>
        <v>95</v>
      </c>
      <c r="S12" s="69">
        <f t="shared" si="15"/>
        <v>99</v>
      </c>
      <c r="T12" s="69">
        <f t="shared" si="16"/>
        <v>60</v>
      </c>
      <c r="U12" s="69">
        <f t="shared" si="17"/>
        <v>90</v>
      </c>
      <c r="V12" s="69">
        <f t="shared" si="18"/>
        <v>80</v>
      </c>
      <c r="W12" s="234">
        <f t="shared" si="19"/>
        <v>95</v>
      </c>
      <c r="X12" s="234">
        <f t="shared" si="20"/>
        <v>98</v>
      </c>
      <c r="Y12" s="234">
        <f t="shared" si="21"/>
        <v>71</v>
      </c>
      <c r="Z12" s="234">
        <f t="shared" si="22"/>
        <v>85</v>
      </c>
      <c r="AA12" s="234">
        <f t="shared" si="23"/>
        <v>98</v>
      </c>
      <c r="AB12" s="234">
        <f t="shared" si="24"/>
        <v>58</v>
      </c>
      <c r="AC12" s="70">
        <f t="shared" si="25"/>
        <v>1521</v>
      </c>
      <c r="AD12" s="71">
        <f t="shared" si="26"/>
        <v>80.05263157894737</v>
      </c>
      <c r="AE12" s="72">
        <f t="shared" si="27"/>
        <v>9</v>
      </c>
      <c r="AF12" s="73" t="s">
        <v>805</v>
      </c>
      <c r="AG12" s="73" t="s">
        <v>805</v>
      </c>
      <c r="AH12" s="73" t="s">
        <v>805</v>
      </c>
      <c r="AI12" s="74">
        <v>0</v>
      </c>
      <c r="AJ12" s="74">
        <v>0</v>
      </c>
      <c r="AK12" s="74">
        <v>0</v>
      </c>
      <c r="AL12" s="75"/>
      <c r="AN12" s="93">
        <v>17</v>
      </c>
      <c r="AO12" s="94">
        <v>20210034</v>
      </c>
      <c r="AP12" s="95" t="s">
        <v>320</v>
      </c>
      <c r="AQ12" s="68">
        <v>93</v>
      </c>
      <c r="AR12" s="68">
        <v>60.5</v>
      </c>
      <c r="AS12" s="68">
        <v>97.2</v>
      </c>
      <c r="AT12" s="68">
        <v>82.1</v>
      </c>
      <c r="AU12" s="68">
        <v>85.5</v>
      </c>
      <c r="AV12" s="68">
        <v>72.699999999999989</v>
      </c>
      <c r="AW12" s="68">
        <v>94.2</v>
      </c>
      <c r="AX12" s="68">
        <v>70.599999999999994</v>
      </c>
      <c r="AY12" s="68">
        <v>72.5</v>
      </c>
      <c r="AZ12" s="68">
        <v>77.8</v>
      </c>
      <c r="BA12" s="68">
        <v>67.5</v>
      </c>
      <c r="BB12" s="68">
        <v>35.5</v>
      </c>
      <c r="BC12" s="68">
        <v>82</v>
      </c>
      <c r="BD12" s="68">
        <v>98.5</v>
      </c>
      <c r="BE12" s="76">
        <v>95</v>
      </c>
      <c r="BF12" s="76">
        <v>100</v>
      </c>
      <c r="BG12" s="76">
        <v>60</v>
      </c>
      <c r="BH12" s="76">
        <v>90</v>
      </c>
      <c r="BI12" s="76">
        <v>80</v>
      </c>
      <c r="BJ12" s="240">
        <v>95</v>
      </c>
      <c r="BK12" s="240">
        <v>97.5</v>
      </c>
      <c r="BL12" s="240">
        <v>70.599999999999994</v>
      </c>
      <c r="BM12" s="240">
        <v>85</v>
      </c>
      <c r="BN12" s="240">
        <v>97.5</v>
      </c>
      <c r="BO12" s="240">
        <v>57.5</v>
      </c>
      <c r="BP12" s="70">
        <f t="shared" si="28"/>
        <v>1514.6</v>
      </c>
      <c r="BQ12" s="71">
        <f t="shared" si="29"/>
        <v>79.715789473684211</v>
      </c>
      <c r="BR12" s="72" t="e">
        <f t="shared" si="30"/>
        <v>#N/A</v>
      </c>
      <c r="BS12" s="73"/>
      <c r="BT12" s="73"/>
      <c r="BU12" s="73"/>
      <c r="BV12" s="74"/>
      <c r="BW12" s="74"/>
      <c r="BX12" s="74"/>
      <c r="BY12" s="75"/>
    </row>
    <row r="13" spans="1:77" ht="24.6" customHeight="1">
      <c r="A13" s="93">
        <v>10</v>
      </c>
      <c r="B13" s="94">
        <v>20210014</v>
      </c>
      <c r="C13" s="96" t="s">
        <v>335</v>
      </c>
      <c r="D13" s="68">
        <f t="shared" si="0"/>
        <v>73</v>
      </c>
      <c r="E13" s="68">
        <f t="shared" si="1"/>
        <v>70</v>
      </c>
      <c r="F13" s="68">
        <f t="shared" si="2"/>
        <v>87</v>
      </c>
      <c r="G13" s="68">
        <f t="shared" si="3"/>
        <v>79</v>
      </c>
      <c r="H13" s="68">
        <f t="shared" si="4"/>
        <v>61</v>
      </c>
      <c r="I13" s="68">
        <f t="shared" si="5"/>
        <v>68</v>
      </c>
      <c r="J13" s="68">
        <f t="shared" si="6"/>
        <v>78</v>
      </c>
      <c r="K13" s="68">
        <f t="shared" si="7"/>
        <v>87</v>
      </c>
      <c r="L13" s="68">
        <f t="shared" si="8"/>
        <v>75</v>
      </c>
      <c r="M13" s="68">
        <f t="shared" si="9"/>
        <v>68</v>
      </c>
      <c r="N13" s="68">
        <f t="shared" si="10"/>
        <v>84</v>
      </c>
      <c r="O13" s="68">
        <f t="shared" si="11"/>
        <v>70</v>
      </c>
      <c r="P13" s="68">
        <f t="shared" si="12"/>
        <v>91</v>
      </c>
      <c r="Q13" s="68">
        <f t="shared" si="13"/>
        <v>95</v>
      </c>
      <c r="R13" s="69">
        <f t="shared" si="14"/>
        <v>95</v>
      </c>
      <c r="S13" s="69">
        <f t="shared" si="15"/>
        <v>99</v>
      </c>
      <c r="T13" s="69">
        <f t="shared" si="16"/>
        <v>85</v>
      </c>
      <c r="U13" s="69">
        <f t="shared" si="17"/>
        <v>60</v>
      </c>
      <c r="V13" s="69">
        <f t="shared" si="18"/>
        <v>80</v>
      </c>
      <c r="W13" s="234">
        <f t="shared" si="19"/>
        <v>99</v>
      </c>
      <c r="X13" s="234">
        <f t="shared" si="20"/>
        <v>99</v>
      </c>
      <c r="Y13" s="234">
        <f t="shared" si="21"/>
        <v>87</v>
      </c>
      <c r="Z13" s="234">
        <f t="shared" si="22"/>
        <v>99</v>
      </c>
      <c r="AA13" s="234">
        <f t="shared" si="23"/>
        <v>95</v>
      </c>
      <c r="AB13" s="234">
        <f t="shared" si="24"/>
        <v>58</v>
      </c>
      <c r="AC13" s="70">
        <f t="shared" si="25"/>
        <v>1505</v>
      </c>
      <c r="AD13" s="71">
        <f t="shared" si="26"/>
        <v>79.21052631578948</v>
      </c>
      <c r="AE13" s="72">
        <f t="shared" si="27"/>
        <v>10</v>
      </c>
      <c r="AF13" s="73" t="s">
        <v>805</v>
      </c>
      <c r="AG13" s="73" t="s">
        <v>805</v>
      </c>
      <c r="AH13" s="73" t="s">
        <v>805</v>
      </c>
      <c r="AI13" s="74">
        <v>0</v>
      </c>
      <c r="AJ13" s="74">
        <v>0</v>
      </c>
      <c r="AK13" s="74">
        <v>0</v>
      </c>
      <c r="AL13" s="75"/>
      <c r="AN13" s="93">
        <v>13</v>
      </c>
      <c r="AO13" s="94">
        <v>20210014</v>
      </c>
      <c r="AP13" s="96" t="s">
        <v>335</v>
      </c>
      <c r="AQ13" s="68">
        <v>73</v>
      </c>
      <c r="AR13" s="68">
        <v>70</v>
      </c>
      <c r="AS13" s="68">
        <v>86.8</v>
      </c>
      <c r="AT13" s="68">
        <v>79</v>
      </c>
      <c r="AU13" s="68">
        <v>60.5</v>
      </c>
      <c r="AV13" s="68">
        <v>67.599999999999994</v>
      </c>
      <c r="AW13" s="68">
        <v>78.400000000000006</v>
      </c>
      <c r="AX13" s="68">
        <v>87</v>
      </c>
      <c r="AY13" s="68">
        <v>75.3</v>
      </c>
      <c r="AZ13" s="68">
        <v>68.2</v>
      </c>
      <c r="BA13" s="68">
        <v>83.8</v>
      </c>
      <c r="BB13" s="68">
        <v>70</v>
      </c>
      <c r="BC13" s="68">
        <v>91</v>
      </c>
      <c r="BD13" s="68">
        <v>95</v>
      </c>
      <c r="BE13" s="76">
        <v>95</v>
      </c>
      <c r="BF13" s="76">
        <v>100</v>
      </c>
      <c r="BG13" s="76">
        <v>85</v>
      </c>
      <c r="BH13" s="76">
        <v>60</v>
      </c>
      <c r="BI13" s="76">
        <v>80</v>
      </c>
      <c r="BJ13" s="240">
        <v>100</v>
      </c>
      <c r="BK13" s="240">
        <v>100</v>
      </c>
      <c r="BL13" s="240">
        <v>87</v>
      </c>
      <c r="BM13" s="240">
        <v>100</v>
      </c>
      <c r="BN13" s="240">
        <v>95</v>
      </c>
      <c r="BO13" s="240">
        <v>57.5</v>
      </c>
      <c r="BP13" s="70">
        <f t="shared" si="28"/>
        <v>1505.6</v>
      </c>
      <c r="BQ13" s="71">
        <f t="shared" si="29"/>
        <v>79.242105263157896</v>
      </c>
      <c r="BR13" s="72" t="e">
        <f t="shared" si="30"/>
        <v>#N/A</v>
      </c>
      <c r="BS13" s="73"/>
      <c r="BT13" s="73"/>
      <c r="BU13" s="73"/>
      <c r="BV13" s="74"/>
      <c r="BW13" s="74"/>
      <c r="BX13" s="74"/>
      <c r="BY13" s="75"/>
    </row>
    <row r="14" spans="1:77" ht="24.6" customHeight="1">
      <c r="A14" s="93">
        <v>11</v>
      </c>
      <c r="B14" s="94">
        <v>20210031</v>
      </c>
      <c r="C14" s="95" t="s">
        <v>326</v>
      </c>
      <c r="D14" s="68">
        <f t="shared" si="0"/>
        <v>72</v>
      </c>
      <c r="E14" s="68">
        <f t="shared" si="1"/>
        <v>58</v>
      </c>
      <c r="F14" s="68">
        <f t="shared" si="2"/>
        <v>83</v>
      </c>
      <c r="G14" s="68">
        <f t="shared" si="3"/>
        <v>73</v>
      </c>
      <c r="H14" s="68">
        <f t="shared" si="4"/>
        <v>85</v>
      </c>
      <c r="I14" s="68">
        <f t="shared" si="5"/>
        <v>62</v>
      </c>
      <c r="J14" s="68">
        <f t="shared" si="6"/>
        <v>76</v>
      </c>
      <c r="K14" s="68">
        <f t="shared" si="7"/>
        <v>88</v>
      </c>
      <c r="L14" s="68">
        <f t="shared" si="8"/>
        <v>93</v>
      </c>
      <c r="M14" s="68">
        <f t="shared" si="9"/>
        <v>76</v>
      </c>
      <c r="N14" s="68">
        <f t="shared" si="10"/>
        <v>59</v>
      </c>
      <c r="O14" s="68">
        <f t="shared" si="11"/>
        <v>63</v>
      </c>
      <c r="P14" s="68">
        <f t="shared" si="12"/>
        <v>87</v>
      </c>
      <c r="Q14" s="68">
        <f t="shared" si="13"/>
        <v>99</v>
      </c>
      <c r="R14" s="69">
        <f t="shared" si="14"/>
        <v>95</v>
      </c>
      <c r="S14" s="69">
        <f t="shared" si="15"/>
        <v>99</v>
      </c>
      <c r="T14" s="69">
        <f t="shared" si="16"/>
        <v>95</v>
      </c>
      <c r="U14" s="69">
        <f t="shared" si="17"/>
        <v>60</v>
      </c>
      <c r="V14" s="69">
        <f t="shared" si="18"/>
        <v>80</v>
      </c>
      <c r="W14" s="234">
        <f t="shared" si="19"/>
        <v>99</v>
      </c>
      <c r="X14" s="234">
        <f t="shared" si="20"/>
        <v>98</v>
      </c>
      <c r="Y14" s="234">
        <f t="shared" si="21"/>
        <v>88</v>
      </c>
      <c r="Z14" s="234">
        <f t="shared" si="22"/>
        <v>99</v>
      </c>
      <c r="AA14" s="234">
        <f t="shared" si="23"/>
        <v>99</v>
      </c>
      <c r="AB14" s="234">
        <f t="shared" si="24"/>
        <v>63</v>
      </c>
      <c r="AC14" s="70">
        <f t="shared" si="25"/>
        <v>1503</v>
      </c>
      <c r="AD14" s="71">
        <f t="shared" si="26"/>
        <v>79.10526315789474</v>
      </c>
      <c r="AE14" s="72">
        <f t="shared" si="27"/>
        <v>11</v>
      </c>
      <c r="AF14" s="73" t="s">
        <v>805</v>
      </c>
      <c r="AG14" s="73" t="s">
        <v>805</v>
      </c>
      <c r="AH14" s="73" t="s">
        <v>805</v>
      </c>
      <c r="AI14" s="74">
        <v>0</v>
      </c>
      <c r="AJ14" s="74">
        <v>0</v>
      </c>
      <c r="AK14" s="74">
        <v>0</v>
      </c>
      <c r="AL14" s="75"/>
      <c r="AN14" s="93">
        <v>23</v>
      </c>
      <c r="AO14" s="94">
        <v>20210031</v>
      </c>
      <c r="AP14" s="95" t="s">
        <v>326</v>
      </c>
      <c r="AQ14" s="68">
        <v>72</v>
      </c>
      <c r="AR14" s="68">
        <v>58</v>
      </c>
      <c r="AS14" s="68">
        <v>83.3</v>
      </c>
      <c r="AT14" s="68">
        <v>72.5</v>
      </c>
      <c r="AU14" s="68">
        <v>84.5</v>
      </c>
      <c r="AV14" s="68">
        <v>61.5</v>
      </c>
      <c r="AW14" s="68">
        <v>76.3</v>
      </c>
      <c r="AX14" s="68">
        <v>88</v>
      </c>
      <c r="AY14" s="68">
        <v>92.7</v>
      </c>
      <c r="AZ14" s="68">
        <v>76</v>
      </c>
      <c r="BA14" s="68">
        <v>59.199999999999996</v>
      </c>
      <c r="BB14" s="68">
        <v>62.5</v>
      </c>
      <c r="BC14" s="68">
        <v>86.5</v>
      </c>
      <c r="BD14" s="68">
        <v>98.5</v>
      </c>
      <c r="BE14" s="76">
        <v>95</v>
      </c>
      <c r="BF14" s="76">
        <v>100</v>
      </c>
      <c r="BG14" s="76">
        <v>95</v>
      </c>
      <c r="BH14" s="76">
        <v>60</v>
      </c>
      <c r="BI14" s="76">
        <v>80</v>
      </c>
      <c r="BJ14" s="240">
        <v>100</v>
      </c>
      <c r="BK14" s="240">
        <v>97.5</v>
      </c>
      <c r="BL14" s="240">
        <v>88</v>
      </c>
      <c r="BM14" s="240">
        <v>100</v>
      </c>
      <c r="BN14" s="240">
        <v>100</v>
      </c>
      <c r="BO14" s="240">
        <v>62.5</v>
      </c>
      <c r="BP14" s="70">
        <f t="shared" si="28"/>
        <v>1501.5</v>
      </c>
      <c r="BQ14" s="71">
        <f t="shared" si="29"/>
        <v>79.026315789473685</v>
      </c>
      <c r="BR14" s="72" t="e">
        <f t="shared" si="30"/>
        <v>#N/A</v>
      </c>
      <c r="BS14" s="73"/>
      <c r="BT14" s="73"/>
      <c r="BU14" s="73"/>
      <c r="BV14" s="74"/>
      <c r="BW14" s="74"/>
      <c r="BX14" s="74"/>
      <c r="BY14" s="75"/>
    </row>
    <row r="15" spans="1:77" ht="24.6" customHeight="1">
      <c r="A15" s="93">
        <v>12</v>
      </c>
      <c r="B15" s="94">
        <v>21220065</v>
      </c>
      <c r="C15" s="96" t="s">
        <v>331</v>
      </c>
      <c r="D15" s="68">
        <f t="shared" si="0"/>
        <v>92</v>
      </c>
      <c r="E15" s="68">
        <f t="shared" si="1"/>
        <v>49</v>
      </c>
      <c r="F15" s="68">
        <f t="shared" si="2"/>
        <v>91</v>
      </c>
      <c r="G15" s="68">
        <f t="shared" si="3"/>
        <v>98</v>
      </c>
      <c r="H15" s="68">
        <f t="shared" si="4"/>
        <v>86</v>
      </c>
      <c r="I15" s="68">
        <f t="shared" si="5"/>
        <v>61</v>
      </c>
      <c r="J15" s="68">
        <f t="shared" si="6"/>
        <v>64</v>
      </c>
      <c r="K15" s="68">
        <f t="shared" si="7"/>
        <v>81</v>
      </c>
      <c r="L15" s="68">
        <f t="shared" si="8"/>
        <v>63</v>
      </c>
      <c r="M15" s="68">
        <f t="shared" si="9"/>
        <v>79</v>
      </c>
      <c r="N15" s="68">
        <f t="shared" si="10"/>
        <v>60</v>
      </c>
      <c r="O15" s="68">
        <f t="shared" si="11"/>
        <v>83</v>
      </c>
      <c r="P15" s="68">
        <f t="shared" si="12"/>
        <v>87</v>
      </c>
      <c r="Q15" s="68">
        <f t="shared" si="13"/>
        <v>99</v>
      </c>
      <c r="R15" s="69">
        <f t="shared" si="14"/>
        <v>95</v>
      </c>
      <c r="S15" s="69">
        <f t="shared" si="15"/>
        <v>99</v>
      </c>
      <c r="T15" s="69">
        <f t="shared" si="16"/>
        <v>75</v>
      </c>
      <c r="U15" s="69">
        <f t="shared" si="17"/>
        <v>60</v>
      </c>
      <c r="V15" s="69">
        <f t="shared" si="18"/>
        <v>80</v>
      </c>
      <c r="W15" s="234">
        <f t="shared" si="19"/>
        <v>99</v>
      </c>
      <c r="X15" s="234">
        <f t="shared" si="20"/>
        <v>98</v>
      </c>
      <c r="Y15" s="234">
        <f t="shared" si="21"/>
        <v>81</v>
      </c>
      <c r="Z15" s="234">
        <f t="shared" si="22"/>
        <v>99</v>
      </c>
      <c r="AA15" s="234">
        <f t="shared" si="23"/>
        <v>99</v>
      </c>
      <c r="AB15" s="234">
        <f t="shared" si="24"/>
        <v>63</v>
      </c>
      <c r="AC15" s="70">
        <f t="shared" si="25"/>
        <v>1502</v>
      </c>
      <c r="AD15" s="71">
        <f t="shared" si="26"/>
        <v>79.05263157894737</v>
      </c>
      <c r="AE15" s="72">
        <f t="shared" si="27"/>
        <v>12</v>
      </c>
      <c r="AF15" s="73" t="s">
        <v>805</v>
      </c>
      <c r="AG15" s="73" t="s">
        <v>805</v>
      </c>
      <c r="AH15" s="73" t="s">
        <v>805</v>
      </c>
      <c r="AI15" s="74">
        <v>0</v>
      </c>
      <c r="AJ15" s="74">
        <v>0</v>
      </c>
      <c r="AK15" s="74">
        <v>0</v>
      </c>
      <c r="AL15" s="75"/>
      <c r="AN15" s="93">
        <v>11</v>
      </c>
      <c r="AO15" s="94">
        <v>21220065</v>
      </c>
      <c r="AP15" s="96" t="s">
        <v>331</v>
      </c>
      <c r="AQ15" s="68">
        <v>91.9</v>
      </c>
      <c r="AR15" s="68">
        <v>48.5</v>
      </c>
      <c r="AS15" s="68">
        <v>90.9</v>
      </c>
      <c r="AT15" s="68">
        <v>97.6</v>
      </c>
      <c r="AU15" s="68">
        <v>86</v>
      </c>
      <c r="AV15" s="68">
        <v>60.9</v>
      </c>
      <c r="AW15" s="68">
        <v>64.3</v>
      </c>
      <c r="AX15" s="68">
        <v>81.3</v>
      </c>
      <c r="AY15" s="68">
        <v>63.3</v>
      </c>
      <c r="AZ15" s="68">
        <v>78.599999999999994</v>
      </c>
      <c r="BA15" s="68">
        <v>59.5</v>
      </c>
      <c r="BB15" s="68">
        <v>83</v>
      </c>
      <c r="BC15" s="68">
        <v>86.5</v>
      </c>
      <c r="BD15" s="68">
        <v>98.5</v>
      </c>
      <c r="BE15" s="76">
        <v>95</v>
      </c>
      <c r="BF15" s="76">
        <v>100</v>
      </c>
      <c r="BG15" s="76">
        <v>75</v>
      </c>
      <c r="BH15" s="76">
        <v>60</v>
      </c>
      <c r="BI15" s="76">
        <v>80</v>
      </c>
      <c r="BJ15" s="240">
        <v>100</v>
      </c>
      <c r="BK15" s="240">
        <v>97.5</v>
      </c>
      <c r="BL15" s="240">
        <v>81.3</v>
      </c>
      <c r="BM15" s="240">
        <v>100</v>
      </c>
      <c r="BN15" s="240">
        <v>100</v>
      </c>
      <c r="BO15" s="240">
        <v>62.5</v>
      </c>
      <c r="BP15" s="70">
        <f t="shared" si="28"/>
        <v>1500.7999999999997</v>
      </c>
      <c r="BQ15" s="71">
        <f t="shared" si="29"/>
        <v>78.989473684210509</v>
      </c>
      <c r="BR15" s="72" t="e">
        <f t="shared" si="30"/>
        <v>#N/A</v>
      </c>
      <c r="BS15" s="73"/>
      <c r="BT15" s="73"/>
      <c r="BU15" s="73"/>
      <c r="BV15" s="74"/>
      <c r="BW15" s="74"/>
      <c r="BX15" s="74"/>
      <c r="BY15" s="75"/>
    </row>
    <row r="16" spans="1:77" ht="24.6" customHeight="1">
      <c r="A16" s="93">
        <v>13</v>
      </c>
      <c r="B16" s="94">
        <v>20210021</v>
      </c>
      <c r="C16" s="96" t="s">
        <v>329</v>
      </c>
      <c r="D16" s="68">
        <f t="shared" si="0"/>
        <v>78</v>
      </c>
      <c r="E16" s="68">
        <f t="shared" si="1"/>
        <v>61</v>
      </c>
      <c r="F16" s="68">
        <f t="shared" si="2"/>
        <v>83</v>
      </c>
      <c r="G16" s="68">
        <f t="shared" si="3"/>
        <v>88</v>
      </c>
      <c r="H16" s="68">
        <f t="shared" si="4"/>
        <v>84</v>
      </c>
      <c r="I16" s="68">
        <f t="shared" si="5"/>
        <v>66</v>
      </c>
      <c r="J16" s="68">
        <f t="shared" si="6"/>
        <v>75</v>
      </c>
      <c r="K16" s="68">
        <f t="shared" si="7"/>
        <v>73</v>
      </c>
      <c r="L16" s="68">
        <f t="shared" si="8"/>
        <v>90</v>
      </c>
      <c r="M16" s="68">
        <f t="shared" si="9"/>
        <v>79</v>
      </c>
      <c r="N16" s="68">
        <f t="shared" si="10"/>
        <v>76</v>
      </c>
      <c r="O16" s="68">
        <f t="shared" si="11"/>
        <v>71</v>
      </c>
      <c r="P16" s="68">
        <f t="shared" si="12"/>
        <v>78</v>
      </c>
      <c r="Q16" s="68">
        <f t="shared" si="13"/>
        <v>87</v>
      </c>
      <c r="R16" s="69">
        <f t="shared" si="14"/>
        <v>92</v>
      </c>
      <c r="S16" s="69">
        <f t="shared" si="15"/>
        <v>99</v>
      </c>
      <c r="T16" s="69">
        <f t="shared" si="16"/>
        <v>65</v>
      </c>
      <c r="U16" s="69">
        <f t="shared" si="17"/>
        <v>60</v>
      </c>
      <c r="V16" s="69">
        <f t="shared" si="18"/>
        <v>80</v>
      </c>
      <c r="W16" s="234">
        <f t="shared" si="19"/>
        <v>98</v>
      </c>
      <c r="X16" s="234">
        <f t="shared" si="20"/>
        <v>98</v>
      </c>
      <c r="Y16" s="234">
        <f t="shared" si="21"/>
        <v>73</v>
      </c>
      <c r="Z16" s="234">
        <f t="shared" si="22"/>
        <v>98</v>
      </c>
      <c r="AA16" s="234">
        <f t="shared" si="23"/>
        <v>99</v>
      </c>
      <c r="AB16" s="234">
        <f t="shared" si="24"/>
        <v>70</v>
      </c>
      <c r="AC16" s="70">
        <f t="shared" si="25"/>
        <v>1485</v>
      </c>
      <c r="AD16" s="71">
        <f t="shared" si="26"/>
        <v>78.15789473684211</v>
      </c>
      <c r="AE16" s="72">
        <f t="shared" si="27"/>
        <v>13</v>
      </c>
      <c r="AF16" s="73" t="s">
        <v>805</v>
      </c>
      <c r="AG16" s="73" t="s">
        <v>805</v>
      </c>
      <c r="AH16" s="73" t="s">
        <v>805</v>
      </c>
      <c r="AI16" s="74">
        <v>4</v>
      </c>
      <c r="AJ16" s="74">
        <v>0</v>
      </c>
      <c r="AK16" s="74">
        <v>0</v>
      </c>
      <c r="AL16" s="75"/>
      <c r="AN16" s="93">
        <v>6</v>
      </c>
      <c r="AO16" s="94">
        <v>20210021</v>
      </c>
      <c r="AP16" s="96" t="s">
        <v>329</v>
      </c>
      <c r="AQ16" s="68">
        <v>78.3</v>
      </c>
      <c r="AR16" s="68">
        <v>61</v>
      </c>
      <c r="AS16" s="68">
        <v>82.5</v>
      </c>
      <c r="AT16" s="68">
        <v>87.9</v>
      </c>
      <c r="AU16" s="68">
        <v>83.899999999999991</v>
      </c>
      <c r="AV16" s="68">
        <v>65.899999999999991</v>
      </c>
      <c r="AW16" s="68">
        <v>74.5</v>
      </c>
      <c r="AX16" s="68">
        <v>73.2</v>
      </c>
      <c r="AY16" s="68">
        <v>90.1</v>
      </c>
      <c r="AZ16" s="68">
        <v>79.199999999999989</v>
      </c>
      <c r="BA16" s="68">
        <v>75.699999999999989</v>
      </c>
      <c r="BB16" s="68">
        <v>71</v>
      </c>
      <c r="BC16" s="68">
        <v>77.5</v>
      </c>
      <c r="BD16" s="68">
        <v>86.8</v>
      </c>
      <c r="BE16" s="76">
        <v>92</v>
      </c>
      <c r="BF16" s="76">
        <v>100</v>
      </c>
      <c r="BG16" s="76">
        <v>65</v>
      </c>
      <c r="BH16" s="76">
        <v>60</v>
      </c>
      <c r="BI16" s="76">
        <v>80</v>
      </c>
      <c r="BJ16" s="240">
        <v>97.5</v>
      </c>
      <c r="BK16" s="240">
        <v>97.5</v>
      </c>
      <c r="BL16" s="240">
        <v>73.2</v>
      </c>
      <c r="BM16" s="240">
        <v>97.5</v>
      </c>
      <c r="BN16" s="240">
        <v>100</v>
      </c>
      <c r="BO16" s="240">
        <v>70</v>
      </c>
      <c r="BP16" s="70">
        <f t="shared" si="28"/>
        <v>1484.5</v>
      </c>
      <c r="BQ16" s="71">
        <f t="shared" si="29"/>
        <v>78.131578947368425</v>
      </c>
      <c r="BR16" s="72" t="e">
        <f t="shared" si="30"/>
        <v>#N/A</v>
      </c>
      <c r="BS16" s="73"/>
      <c r="BT16" s="73"/>
      <c r="BU16" s="73"/>
      <c r="BV16" s="74"/>
      <c r="BW16" s="74"/>
      <c r="BX16" s="74"/>
      <c r="BY16" s="75"/>
    </row>
    <row r="17" spans="1:77" ht="24.6" customHeight="1">
      <c r="A17" s="93">
        <v>14</v>
      </c>
      <c r="B17" s="94">
        <v>20210110</v>
      </c>
      <c r="C17" s="96" t="s">
        <v>328</v>
      </c>
      <c r="D17" s="68">
        <f t="shared" si="0"/>
        <v>85</v>
      </c>
      <c r="E17" s="68">
        <f t="shared" si="1"/>
        <v>60</v>
      </c>
      <c r="F17" s="68">
        <f t="shared" si="2"/>
        <v>85</v>
      </c>
      <c r="G17" s="68">
        <f t="shared" si="3"/>
        <v>94</v>
      </c>
      <c r="H17" s="68">
        <f t="shared" si="4"/>
        <v>70</v>
      </c>
      <c r="I17" s="68">
        <f t="shared" si="5"/>
        <v>66</v>
      </c>
      <c r="J17" s="68">
        <f t="shared" si="6"/>
        <v>82</v>
      </c>
      <c r="K17" s="68">
        <f t="shared" si="7"/>
        <v>68</v>
      </c>
      <c r="L17" s="68">
        <f t="shared" si="8"/>
        <v>68</v>
      </c>
      <c r="M17" s="68">
        <f t="shared" si="9"/>
        <v>66</v>
      </c>
      <c r="N17" s="68">
        <f t="shared" si="10"/>
        <v>91</v>
      </c>
      <c r="O17" s="68">
        <f t="shared" si="11"/>
        <v>60</v>
      </c>
      <c r="P17" s="68">
        <f t="shared" si="12"/>
        <v>55</v>
      </c>
      <c r="Q17" s="68">
        <f t="shared" si="13"/>
        <v>94</v>
      </c>
      <c r="R17" s="69">
        <f t="shared" si="14"/>
        <v>95</v>
      </c>
      <c r="S17" s="69">
        <f t="shared" si="15"/>
        <v>99</v>
      </c>
      <c r="T17" s="69">
        <f t="shared" si="16"/>
        <v>70</v>
      </c>
      <c r="U17" s="69">
        <f t="shared" si="17"/>
        <v>90</v>
      </c>
      <c r="V17" s="69">
        <f t="shared" si="18"/>
        <v>80</v>
      </c>
      <c r="W17" s="234">
        <f t="shared" si="19"/>
        <v>99</v>
      </c>
      <c r="X17" s="234">
        <f t="shared" si="20"/>
        <v>98</v>
      </c>
      <c r="Y17" s="234">
        <f t="shared" si="21"/>
        <v>68</v>
      </c>
      <c r="Z17" s="234">
        <f t="shared" si="22"/>
        <v>95</v>
      </c>
      <c r="AA17" s="234">
        <f t="shared" si="23"/>
        <v>99</v>
      </c>
      <c r="AB17" s="234">
        <f t="shared" si="24"/>
        <v>70</v>
      </c>
      <c r="AC17" s="70">
        <f t="shared" si="25"/>
        <v>1478</v>
      </c>
      <c r="AD17" s="71">
        <f t="shared" si="26"/>
        <v>77.78947368421052</v>
      </c>
      <c r="AE17" s="72">
        <f t="shared" si="27"/>
        <v>14</v>
      </c>
      <c r="AF17" s="73" t="s">
        <v>805</v>
      </c>
      <c r="AG17" s="73" t="s">
        <v>805</v>
      </c>
      <c r="AH17" s="73" t="s">
        <v>805</v>
      </c>
      <c r="AI17" s="74">
        <v>11</v>
      </c>
      <c r="AJ17" s="74">
        <v>0</v>
      </c>
      <c r="AK17" s="74">
        <v>0</v>
      </c>
      <c r="AL17" s="75"/>
      <c r="AN17" s="93">
        <v>15</v>
      </c>
      <c r="AO17" s="94">
        <v>20210110</v>
      </c>
      <c r="AP17" s="96" t="s">
        <v>328</v>
      </c>
      <c r="AQ17" s="68">
        <v>85</v>
      </c>
      <c r="AR17" s="68">
        <v>60</v>
      </c>
      <c r="AS17" s="68">
        <v>84.8</v>
      </c>
      <c r="AT17" s="68">
        <v>93.5</v>
      </c>
      <c r="AU17" s="68">
        <v>69.5</v>
      </c>
      <c r="AV17" s="68">
        <v>65.900000000000006</v>
      </c>
      <c r="AW17" s="68">
        <v>81.8</v>
      </c>
      <c r="AX17" s="68">
        <v>68.2</v>
      </c>
      <c r="AY17" s="68">
        <v>68</v>
      </c>
      <c r="AZ17" s="68">
        <v>66.199999999999989</v>
      </c>
      <c r="BA17" s="68">
        <v>90.8</v>
      </c>
      <c r="BB17" s="68">
        <v>60</v>
      </c>
      <c r="BC17" s="68">
        <v>55</v>
      </c>
      <c r="BD17" s="68">
        <v>94.3</v>
      </c>
      <c r="BE17" s="76">
        <v>95</v>
      </c>
      <c r="BF17" s="76">
        <v>100</v>
      </c>
      <c r="BG17" s="76">
        <v>70</v>
      </c>
      <c r="BH17" s="76">
        <v>90</v>
      </c>
      <c r="BI17" s="76">
        <v>80</v>
      </c>
      <c r="BJ17" s="240">
        <v>100</v>
      </c>
      <c r="BK17" s="240">
        <v>97.5</v>
      </c>
      <c r="BL17" s="240">
        <v>68.2</v>
      </c>
      <c r="BM17" s="240">
        <v>95</v>
      </c>
      <c r="BN17" s="240">
        <v>100</v>
      </c>
      <c r="BO17" s="240">
        <v>70</v>
      </c>
      <c r="BP17" s="70">
        <f t="shared" si="28"/>
        <v>1478</v>
      </c>
      <c r="BQ17" s="71">
        <f t="shared" si="29"/>
        <v>77.78947368421052</v>
      </c>
      <c r="BR17" s="72">
        <f t="shared" si="30"/>
        <v>14</v>
      </c>
      <c r="BS17" s="73"/>
      <c r="BT17" s="73"/>
      <c r="BU17" s="73"/>
      <c r="BV17" s="74"/>
      <c r="BW17" s="74"/>
      <c r="BX17" s="74"/>
      <c r="BY17" s="75"/>
    </row>
    <row r="18" spans="1:77" ht="24.6" customHeight="1">
      <c r="A18" s="93">
        <v>15</v>
      </c>
      <c r="B18" s="94">
        <v>21220064</v>
      </c>
      <c r="C18" s="95" t="s">
        <v>333</v>
      </c>
      <c r="D18" s="68">
        <f t="shared" si="0"/>
        <v>84</v>
      </c>
      <c r="E18" s="68">
        <f t="shared" si="1"/>
        <v>48</v>
      </c>
      <c r="F18" s="68">
        <f t="shared" si="2"/>
        <v>88</v>
      </c>
      <c r="G18" s="68">
        <f t="shared" si="3"/>
        <v>90</v>
      </c>
      <c r="H18" s="68">
        <f t="shared" si="4"/>
        <v>77</v>
      </c>
      <c r="I18" s="68">
        <f t="shared" si="5"/>
        <v>66</v>
      </c>
      <c r="J18" s="68">
        <f t="shared" si="6"/>
        <v>72</v>
      </c>
      <c r="K18" s="68">
        <f t="shared" si="7"/>
        <v>67</v>
      </c>
      <c r="L18" s="68">
        <f t="shared" si="8"/>
        <v>78</v>
      </c>
      <c r="M18" s="68">
        <f t="shared" si="9"/>
        <v>78</v>
      </c>
      <c r="N18" s="68">
        <f t="shared" si="10"/>
        <v>64</v>
      </c>
      <c r="O18" s="68">
        <f t="shared" si="11"/>
        <v>77</v>
      </c>
      <c r="P18" s="68">
        <f t="shared" si="12"/>
        <v>69</v>
      </c>
      <c r="Q18" s="68">
        <f t="shared" si="13"/>
        <v>85</v>
      </c>
      <c r="R18" s="69">
        <f t="shared" si="14"/>
        <v>95</v>
      </c>
      <c r="S18" s="69">
        <f t="shared" si="15"/>
        <v>99</v>
      </c>
      <c r="T18" s="69">
        <f t="shared" si="16"/>
        <v>60</v>
      </c>
      <c r="U18" s="69">
        <f t="shared" si="17"/>
        <v>90</v>
      </c>
      <c r="V18" s="69">
        <f t="shared" si="18"/>
        <v>80</v>
      </c>
      <c r="W18" s="234">
        <f t="shared" si="19"/>
        <v>99</v>
      </c>
      <c r="X18" s="234">
        <f t="shared" si="20"/>
        <v>99</v>
      </c>
      <c r="Y18" s="234">
        <f t="shared" si="21"/>
        <v>67</v>
      </c>
      <c r="Z18" s="234">
        <f t="shared" si="22"/>
        <v>88</v>
      </c>
      <c r="AA18" s="234">
        <f t="shared" si="23"/>
        <v>98</v>
      </c>
      <c r="AB18" s="234">
        <f t="shared" si="24"/>
        <v>63</v>
      </c>
      <c r="AC18" s="70">
        <f t="shared" si="25"/>
        <v>1467</v>
      </c>
      <c r="AD18" s="71">
        <f t="shared" si="26"/>
        <v>77.21052631578948</v>
      </c>
      <c r="AE18" s="72">
        <f t="shared" si="27"/>
        <v>15</v>
      </c>
      <c r="AF18" s="73" t="s">
        <v>805</v>
      </c>
      <c r="AG18" s="73" t="s">
        <v>805</v>
      </c>
      <c r="AH18" s="73" t="s">
        <v>805</v>
      </c>
      <c r="AI18" s="74">
        <v>10</v>
      </c>
      <c r="AJ18" s="74">
        <v>0</v>
      </c>
      <c r="AK18" s="74">
        <v>3</v>
      </c>
      <c r="AL18" s="75"/>
      <c r="AN18" s="93">
        <v>14</v>
      </c>
      <c r="AO18" s="94">
        <v>21220064</v>
      </c>
      <c r="AP18" s="95" t="s">
        <v>333</v>
      </c>
      <c r="AQ18" s="68">
        <v>83.8</v>
      </c>
      <c r="AR18" s="68">
        <v>48</v>
      </c>
      <c r="AS18" s="68">
        <v>87.9</v>
      </c>
      <c r="AT18" s="68">
        <v>90.1</v>
      </c>
      <c r="AU18" s="68">
        <v>77</v>
      </c>
      <c r="AV18" s="68">
        <v>65.899999999999991</v>
      </c>
      <c r="AW18" s="68">
        <v>71.5</v>
      </c>
      <c r="AX18" s="68">
        <v>67.3</v>
      </c>
      <c r="AY18" s="68">
        <v>77.7</v>
      </c>
      <c r="AZ18" s="68">
        <v>78.199999999999989</v>
      </c>
      <c r="BA18" s="68">
        <v>64</v>
      </c>
      <c r="BB18" s="68">
        <v>76.5</v>
      </c>
      <c r="BC18" s="68">
        <v>68.5</v>
      </c>
      <c r="BD18" s="68">
        <v>84.7</v>
      </c>
      <c r="BE18" s="76">
        <v>95</v>
      </c>
      <c r="BF18" s="76">
        <v>100</v>
      </c>
      <c r="BG18" s="76">
        <v>60</v>
      </c>
      <c r="BH18" s="76">
        <v>90</v>
      </c>
      <c r="BI18" s="76">
        <v>80</v>
      </c>
      <c r="BJ18" s="240">
        <v>100</v>
      </c>
      <c r="BK18" s="240">
        <v>100</v>
      </c>
      <c r="BL18" s="240">
        <v>67.3</v>
      </c>
      <c r="BM18" s="240">
        <v>87.5</v>
      </c>
      <c r="BN18" s="240">
        <v>97.5</v>
      </c>
      <c r="BO18" s="240">
        <v>62.5</v>
      </c>
      <c r="BP18" s="70">
        <f t="shared" si="28"/>
        <v>1466.1000000000001</v>
      </c>
      <c r="BQ18" s="71">
        <f t="shared" si="29"/>
        <v>77.163157894736855</v>
      </c>
      <c r="BR18" s="72" t="e">
        <f t="shared" si="30"/>
        <v>#N/A</v>
      </c>
      <c r="BS18" s="73"/>
      <c r="BT18" s="73"/>
      <c r="BU18" s="73"/>
      <c r="BV18" s="74"/>
      <c r="BW18" s="74"/>
      <c r="BX18" s="74"/>
      <c r="BY18" s="75"/>
    </row>
    <row r="19" spans="1:77" ht="24.6" customHeight="1">
      <c r="A19" s="93">
        <v>16</v>
      </c>
      <c r="B19" s="94">
        <v>21220016</v>
      </c>
      <c r="C19" s="95" t="s">
        <v>336</v>
      </c>
      <c r="D19" s="68">
        <f t="shared" si="0"/>
        <v>79</v>
      </c>
      <c r="E19" s="68">
        <f t="shared" si="1"/>
        <v>54</v>
      </c>
      <c r="F19" s="68">
        <f t="shared" si="2"/>
        <v>78</v>
      </c>
      <c r="G19" s="68">
        <f t="shared" si="3"/>
        <v>89</v>
      </c>
      <c r="H19" s="68">
        <f t="shared" si="4"/>
        <v>76</v>
      </c>
      <c r="I19" s="68">
        <f t="shared" si="5"/>
        <v>66</v>
      </c>
      <c r="J19" s="68">
        <f t="shared" si="6"/>
        <v>79</v>
      </c>
      <c r="K19" s="68">
        <f t="shared" si="7"/>
        <v>75</v>
      </c>
      <c r="L19" s="68">
        <f t="shared" si="8"/>
        <v>72</v>
      </c>
      <c r="M19" s="68">
        <f t="shared" si="9"/>
        <v>81</v>
      </c>
      <c r="N19" s="68">
        <f t="shared" si="10"/>
        <v>66</v>
      </c>
      <c r="O19" s="68">
        <f t="shared" si="11"/>
        <v>62</v>
      </c>
      <c r="P19" s="68">
        <f t="shared" si="12"/>
        <v>91</v>
      </c>
      <c r="Q19" s="68">
        <f t="shared" si="13"/>
        <v>85</v>
      </c>
      <c r="R19" s="69">
        <f t="shared" si="14"/>
        <v>95</v>
      </c>
      <c r="S19" s="69">
        <f t="shared" si="15"/>
        <v>99</v>
      </c>
      <c r="T19" s="69">
        <f t="shared" si="16"/>
        <v>75</v>
      </c>
      <c r="U19" s="69">
        <f t="shared" si="17"/>
        <v>60</v>
      </c>
      <c r="V19" s="69">
        <f t="shared" si="18"/>
        <v>80</v>
      </c>
      <c r="W19" s="234">
        <f t="shared" si="19"/>
        <v>99</v>
      </c>
      <c r="X19" s="234">
        <f t="shared" si="20"/>
        <v>98</v>
      </c>
      <c r="Y19" s="234">
        <f t="shared" si="21"/>
        <v>75</v>
      </c>
      <c r="Z19" s="234">
        <f t="shared" si="22"/>
        <v>98</v>
      </c>
      <c r="AA19" s="234">
        <f t="shared" si="23"/>
        <v>93</v>
      </c>
      <c r="AB19" s="234">
        <f t="shared" si="24"/>
        <v>70</v>
      </c>
      <c r="AC19" s="70">
        <f t="shared" si="25"/>
        <v>1462</v>
      </c>
      <c r="AD19" s="71">
        <f t="shared" si="26"/>
        <v>76.94736842105263</v>
      </c>
      <c r="AE19" s="72">
        <f t="shared" si="27"/>
        <v>16</v>
      </c>
      <c r="AF19" s="73" t="s">
        <v>805</v>
      </c>
      <c r="AG19" s="73" t="s">
        <v>805</v>
      </c>
      <c r="AH19" s="73" t="s">
        <v>805</v>
      </c>
      <c r="AI19" s="74">
        <v>0</v>
      </c>
      <c r="AJ19" s="74">
        <v>0</v>
      </c>
      <c r="AK19" s="74">
        <v>0</v>
      </c>
      <c r="AL19" s="75"/>
      <c r="AN19" s="93">
        <v>1</v>
      </c>
      <c r="AO19" s="94">
        <v>21220016</v>
      </c>
      <c r="AP19" s="95" t="s">
        <v>336</v>
      </c>
      <c r="AQ19" s="68">
        <v>79</v>
      </c>
      <c r="AR19" s="68">
        <v>53.8</v>
      </c>
      <c r="AS19" s="68">
        <v>78.400000000000006</v>
      </c>
      <c r="AT19" s="68">
        <v>89</v>
      </c>
      <c r="AU19" s="68">
        <v>76</v>
      </c>
      <c r="AV19" s="68">
        <v>66.099999999999994</v>
      </c>
      <c r="AW19" s="68">
        <v>79</v>
      </c>
      <c r="AX19" s="68">
        <v>75</v>
      </c>
      <c r="AY19" s="68">
        <v>72.3</v>
      </c>
      <c r="AZ19" s="68">
        <v>81</v>
      </c>
      <c r="BA19" s="68">
        <v>65.5</v>
      </c>
      <c r="BB19" s="68">
        <v>61.5</v>
      </c>
      <c r="BC19" s="68">
        <v>91</v>
      </c>
      <c r="BD19" s="68">
        <v>85</v>
      </c>
      <c r="BE19" s="76">
        <v>95</v>
      </c>
      <c r="BF19" s="76">
        <v>100</v>
      </c>
      <c r="BG19" s="76">
        <v>75</v>
      </c>
      <c r="BH19" s="76">
        <v>60</v>
      </c>
      <c r="BI19" s="76">
        <v>80</v>
      </c>
      <c r="BJ19" s="240">
        <v>100</v>
      </c>
      <c r="BK19" s="240">
        <v>97.5</v>
      </c>
      <c r="BL19" s="240">
        <v>75</v>
      </c>
      <c r="BM19" s="240">
        <v>97.5</v>
      </c>
      <c r="BN19" s="240">
        <v>92.5</v>
      </c>
      <c r="BO19" s="240">
        <v>70</v>
      </c>
      <c r="BP19" s="70">
        <f t="shared" si="28"/>
        <v>1462.6</v>
      </c>
      <c r="BQ19" s="71">
        <f t="shared" si="29"/>
        <v>76.978947368421046</v>
      </c>
      <c r="BR19" s="72" t="e">
        <f t="shared" si="30"/>
        <v>#N/A</v>
      </c>
      <c r="BS19" s="73"/>
      <c r="BT19" s="73"/>
      <c r="BU19" s="73"/>
      <c r="BV19" s="74"/>
      <c r="BW19" s="74"/>
      <c r="BX19" s="74"/>
      <c r="BY19" s="75"/>
    </row>
    <row r="20" spans="1:77" ht="24.6" customHeight="1">
      <c r="A20" s="93">
        <v>17</v>
      </c>
      <c r="B20" s="139">
        <v>19200044</v>
      </c>
      <c r="C20" s="108" t="s">
        <v>437</v>
      </c>
      <c r="D20" s="68">
        <f t="shared" si="0"/>
        <v>79</v>
      </c>
      <c r="E20" s="68">
        <f t="shared" si="1"/>
        <v>57</v>
      </c>
      <c r="F20" s="68">
        <f t="shared" si="2"/>
        <v>90</v>
      </c>
      <c r="G20" s="68">
        <f t="shared" si="3"/>
        <v>93</v>
      </c>
      <c r="H20" s="68">
        <f t="shared" si="4"/>
        <v>74</v>
      </c>
      <c r="I20" s="68">
        <f t="shared" si="5"/>
        <v>66</v>
      </c>
      <c r="J20" s="68">
        <f t="shared" si="6"/>
        <v>63</v>
      </c>
      <c r="K20" s="68">
        <f t="shared" si="7"/>
        <v>62</v>
      </c>
      <c r="L20" s="68">
        <f t="shared" si="8"/>
        <v>67</v>
      </c>
      <c r="M20" s="68">
        <f t="shared" si="9"/>
        <v>50</v>
      </c>
      <c r="N20" s="68">
        <f t="shared" si="10"/>
        <v>80</v>
      </c>
      <c r="O20" s="68">
        <f t="shared" si="11"/>
        <v>77</v>
      </c>
      <c r="P20" s="68">
        <f t="shared" si="12"/>
        <v>66</v>
      </c>
      <c r="Q20" s="68">
        <f t="shared" si="13"/>
        <v>95</v>
      </c>
      <c r="R20" s="69">
        <f t="shared" si="14"/>
        <v>90</v>
      </c>
      <c r="S20" s="69">
        <f t="shared" si="15"/>
        <v>99</v>
      </c>
      <c r="T20" s="69">
        <f t="shared" si="16"/>
        <v>78</v>
      </c>
      <c r="U20" s="69">
        <f t="shared" si="17"/>
        <v>90</v>
      </c>
      <c r="V20" s="69">
        <f t="shared" si="18"/>
        <v>80</v>
      </c>
      <c r="W20" s="234">
        <f t="shared" si="19"/>
        <v>99</v>
      </c>
      <c r="X20" s="234">
        <f t="shared" si="20"/>
        <v>99</v>
      </c>
      <c r="Y20" s="234">
        <f t="shared" si="21"/>
        <v>62</v>
      </c>
      <c r="Z20" s="234">
        <f t="shared" si="22"/>
        <v>98</v>
      </c>
      <c r="AA20" s="234">
        <f t="shared" si="23"/>
        <v>99</v>
      </c>
      <c r="AB20" s="234">
        <f t="shared" si="24"/>
        <v>65</v>
      </c>
      <c r="AC20" s="70">
        <f t="shared" si="25"/>
        <v>1456</v>
      </c>
      <c r="AD20" s="71">
        <f t="shared" si="26"/>
        <v>76.631578947368425</v>
      </c>
      <c r="AE20" s="72">
        <f t="shared" si="27"/>
        <v>17</v>
      </c>
      <c r="AF20" s="73" t="s">
        <v>805</v>
      </c>
      <c r="AG20" s="73" t="s">
        <v>805</v>
      </c>
      <c r="AH20" s="73" t="s">
        <v>805</v>
      </c>
      <c r="AI20" s="74">
        <v>0</v>
      </c>
      <c r="AJ20" s="74">
        <v>0</v>
      </c>
      <c r="AK20" s="74">
        <v>11</v>
      </c>
      <c r="AL20" s="75"/>
      <c r="AN20" s="93">
        <v>29</v>
      </c>
      <c r="AO20" s="94">
        <v>19200044</v>
      </c>
      <c r="AP20" s="97" t="s">
        <v>437</v>
      </c>
      <c r="AQ20" s="68">
        <v>78.5</v>
      </c>
      <c r="AR20" s="68">
        <v>57</v>
      </c>
      <c r="AS20" s="68">
        <v>89.8</v>
      </c>
      <c r="AT20" s="68">
        <v>92.5</v>
      </c>
      <c r="AU20" s="68">
        <v>73.5</v>
      </c>
      <c r="AV20" s="68">
        <v>65.699999999999989</v>
      </c>
      <c r="AW20" s="68">
        <v>63.2</v>
      </c>
      <c r="AX20" s="68">
        <v>61.5</v>
      </c>
      <c r="AY20" s="68">
        <v>66.5</v>
      </c>
      <c r="AZ20" s="68">
        <v>49.8</v>
      </c>
      <c r="BA20" s="68">
        <v>79.5</v>
      </c>
      <c r="BB20" s="68">
        <v>76.5</v>
      </c>
      <c r="BC20" s="68">
        <v>65.5</v>
      </c>
      <c r="BD20" s="68">
        <v>94.7</v>
      </c>
      <c r="BE20" s="76">
        <v>90</v>
      </c>
      <c r="BF20" s="76">
        <v>100</v>
      </c>
      <c r="BG20" s="76">
        <v>78</v>
      </c>
      <c r="BH20" s="76">
        <v>90</v>
      </c>
      <c r="BI20" s="76">
        <v>80</v>
      </c>
      <c r="BJ20" s="240">
        <v>100</v>
      </c>
      <c r="BK20" s="240">
        <v>100</v>
      </c>
      <c r="BL20" s="240">
        <v>61.5</v>
      </c>
      <c r="BM20" s="240">
        <v>97.5</v>
      </c>
      <c r="BN20" s="240">
        <v>100</v>
      </c>
      <c r="BO20" s="240">
        <v>65</v>
      </c>
      <c r="BP20" s="70">
        <f t="shared" si="28"/>
        <v>1452.2</v>
      </c>
      <c r="BQ20" s="71">
        <f t="shared" si="29"/>
        <v>76.431578947368422</v>
      </c>
      <c r="BR20" s="72" t="e">
        <f t="shared" si="30"/>
        <v>#N/A</v>
      </c>
      <c r="BS20" s="73"/>
      <c r="BT20" s="73"/>
      <c r="BU20" s="73"/>
      <c r="BV20" s="74"/>
      <c r="BW20" s="74"/>
      <c r="BX20" s="74"/>
      <c r="BY20" s="75"/>
    </row>
    <row r="21" spans="1:77" ht="24.6" customHeight="1">
      <c r="A21" s="93">
        <v>18</v>
      </c>
      <c r="B21" s="139">
        <v>21220096</v>
      </c>
      <c r="C21" s="108" t="s">
        <v>330</v>
      </c>
      <c r="D21" s="68">
        <f t="shared" si="0"/>
        <v>78</v>
      </c>
      <c r="E21" s="68">
        <f t="shared" si="1"/>
        <v>75</v>
      </c>
      <c r="F21" s="68">
        <f t="shared" si="2"/>
        <v>89</v>
      </c>
      <c r="G21" s="68">
        <f t="shared" si="3"/>
        <v>71</v>
      </c>
      <c r="H21" s="68">
        <f t="shared" si="4"/>
        <v>57</v>
      </c>
      <c r="I21" s="68">
        <f t="shared" si="5"/>
        <v>61</v>
      </c>
      <c r="J21" s="68">
        <f t="shared" si="6"/>
        <v>72</v>
      </c>
      <c r="K21" s="68">
        <f t="shared" si="7"/>
        <v>73</v>
      </c>
      <c r="L21" s="68">
        <f t="shared" si="8"/>
        <v>82</v>
      </c>
      <c r="M21" s="68">
        <f t="shared" si="9"/>
        <v>66</v>
      </c>
      <c r="N21" s="68">
        <f t="shared" si="10"/>
        <v>69</v>
      </c>
      <c r="O21" s="68">
        <f t="shared" si="11"/>
        <v>51</v>
      </c>
      <c r="P21" s="68">
        <f t="shared" si="12"/>
        <v>96</v>
      </c>
      <c r="Q21" s="68">
        <f t="shared" si="13"/>
        <v>89</v>
      </c>
      <c r="R21" s="69">
        <f t="shared" si="14"/>
        <v>95</v>
      </c>
      <c r="S21" s="69">
        <f t="shared" si="15"/>
        <v>99</v>
      </c>
      <c r="T21" s="69">
        <f t="shared" si="16"/>
        <v>85</v>
      </c>
      <c r="U21" s="69">
        <f t="shared" si="17"/>
        <v>60</v>
      </c>
      <c r="V21" s="69">
        <f t="shared" si="18"/>
        <v>80</v>
      </c>
      <c r="W21" s="234">
        <f t="shared" si="19"/>
        <v>99</v>
      </c>
      <c r="X21" s="234">
        <f t="shared" si="20"/>
        <v>98</v>
      </c>
      <c r="Y21" s="234">
        <f t="shared" si="21"/>
        <v>73</v>
      </c>
      <c r="Z21" s="234">
        <f t="shared" si="22"/>
        <v>99</v>
      </c>
      <c r="AA21" s="234">
        <f t="shared" si="23"/>
        <v>80</v>
      </c>
      <c r="AB21" s="234">
        <f t="shared" si="24"/>
        <v>70</v>
      </c>
      <c r="AC21" s="70">
        <f t="shared" si="25"/>
        <v>1448</v>
      </c>
      <c r="AD21" s="71">
        <f t="shared" si="26"/>
        <v>76.21052631578948</v>
      </c>
      <c r="AE21" s="72">
        <f t="shared" si="27"/>
        <v>18</v>
      </c>
      <c r="AF21" s="73" t="s">
        <v>805</v>
      </c>
      <c r="AG21" s="73" t="s">
        <v>805</v>
      </c>
      <c r="AH21" s="73" t="s">
        <v>805</v>
      </c>
      <c r="AI21" s="74">
        <v>0</v>
      </c>
      <c r="AJ21" s="74">
        <v>0</v>
      </c>
      <c r="AK21" s="74">
        <v>0</v>
      </c>
      <c r="AL21" s="75"/>
      <c r="AN21" s="93">
        <v>27</v>
      </c>
      <c r="AO21" s="94">
        <v>21220096</v>
      </c>
      <c r="AP21" s="97" t="s">
        <v>330</v>
      </c>
      <c r="AQ21" s="68">
        <v>78</v>
      </c>
      <c r="AR21" s="68">
        <v>75</v>
      </c>
      <c r="AS21" s="68">
        <v>88.9</v>
      </c>
      <c r="AT21" s="68">
        <v>70.599999999999994</v>
      </c>
      <c r="AU21" s="68">
        <v>56.5</v>
      </c>
      <c r="AV21" s="68">
        <v>61.3</v>
      </c>
      <c r="AW21" s="68">
        <v>71.5</v>
      </c>
      <c r="AX21" s="68">
        <v>72.8</v>
      </c>
      <c r="AY21" s="68">
        <v>81.5</v>
      </c>
      <c r="AZ21" s="68">
        <v>65.8</v>
      </c>
      <c r="BA21" s="68">
        <v>68.5</v>
      </c>
      <c r="BB21" s="68">
        <v>51</v>
      </c>
      <c r="BC21" s="68">
        <v>95.5</v>
      </c>
      <c r="BD21" s="68">
        <v>88.8</v>
      </c>
      <c r="BE21" s="76">
        <v>95</v>
      </c>
      <c r="BF21" s="76">
        <v>100</v>
      </c>
      <c r="BG21" s="76">
        <v>85</v>
      </c>
      <c r="BH21" s="76">
        <v>60</v>
      </c>
      <c r="BI21" s="76">
        <v>80</v>
      </c>
      <c r="BJ21" s="240">
        <v>100</v>
      </c>
      <c r="BK21" s="240">
        <v>97.5</v>
      </c>
      <c r="BL21" s="240">
        <v>72.8</v>
      </c>
      <c r="BM21" s="240">
        <v>100</v>
      </c>
      <c r="BN21" s="240">
        <v>80</v>
      </c>
      <c r="BO21" s="240">
        <v>70</v>
      </c>
      <c r="BP21" s="70">
        <f t="shared" si="28"/>
        <v>1445.7</v>
      </c>
      <c r="BQ21" s="71">
        <f t="shared" si="29"/>
        <v>76.089473684210532</v>
      </c>
      <c r="BR21" s="72" t="e">
        <f t="shared" si="30"/>
        <v>#N/A</v>
      </c>
      <c r="BS21" s="73"/>
      <c r="BT21" s="73"/>
      <c r="BU21" s="73"/>
      <c r="BV21" s="74"/>
      <c r="BW21" s="74"/>
      <c r="BX21" s="74"/>
      <c r="BY21" s="75"/>
    </row>
    <row r="22" spans="1:77" ht="24.6" customHeight="1">
      <c r="A22" s="93">
        <v>19</v>
      </c>
      <c r="B22" s="94">
        <v>20210247</v>
      </c>
      <c r="C22" s="97" t="s">
        <v>332</v>
      </c>
      <c r="D22" s="68">
        <f t="shared" si="0"/>
        <v>80</v>
      </c>
      <c r="E22" s="68">
        <f t="shared" si="1"/>
        <v>57</v>
      </c>
      <c r="F22" s="68">
        <f t="shared" si="2"/>
        <v>79</v>
      </c>
      <c r="G22" s="68">
        <f t="shared" si="3"/>
        <v>69</v>
      </c>
      <c r="H22" s="68">
        <f t="shared" si="4"/>
        <v>80</v>
      </c>
      <c r="I22" s="68">
        <f t="shared" si="5"/>
        <v>56</v>
      </c>
      <c r="J22" s="68">
        <f t="shared" si="6"/>
        <v>72</v>
      </c>
      <c r="K22" s="68">
        <f t="shared" si="7"/>
        <v>82</v>
      </c>
      <c r="L22" s="68">
        <f t="shared" si="8"/>
        <v>78</v>
      </c>
      <c r="M22" s="68">
        <f t="shared" si="9"/>
        <v>48</v>
      </c>
      <c r="N22" s="68">
        <f t="shared" si="10"/>
        <v>46</v>
      </c>
      <c r="O22" s="68">
        <f t="shared" si="11"/>
        <v>50</v>
      </c>
      <c r="P22" s="68">
        <f t="shared" si="12"/>
        <v>68</v>
      </c>
      <c r="Q22" s="68">
        <f t="shared" si="13"/>
        <v>87</v>
      </c>
      <c r="R22" s="69">
        <f t="shared" si="14"/>
        <v>93</v>
      </c>
      <c r="S22" s="69">
        <f t="shared" si="15"/>
        <v>99</v>
      </c>
      <c r="T22" s="69">
        <f t="shared" si="16"/>
        <v>86</v>
      </c>
      <c r="U22" s="69">
        <f t="shared" si="17"/>
        <v>60</v>
      </c>
      <c r="V22" s="69">
        <f t="shared" si="18"/>
        <v>80</v>
      </c>
      <c r="W22" s="234">
        <f t="shared" si="19"/>
        <v>95</v>
      </c>
      <c r="X22" s="234">
        <f t="shared" si="20"/>
        <v>98</v>
      </c>
      <c r="Y22" s="234">
        <f t="shared" si="21"/>
        <v>82</v>
      </c>
      <c r="Z22" s="234">
        <f t="shared" si="22"/>
        <v>95</v>
      </c>
      <c r="AA22" s="234">
        <f t="shared" si="23"/>
        <v>90</v>
      </c>
      <c r="AB22" s="234">
        <f t="shared" si="24"/>
        <v>60</v>
      </c>
      <c r="AC22" s="70">
        <f t="shared" si="25"/>
        <v>1370</v>
      </c>
      <c r="AD22" s="71">
        <f t="shared" si="26"/>
        <v>72.10526315789474</v>
      </c>
      <c r="AE22" s="72">
        <f t="shared" si="27"/>
        <v>19</v>
      </c>
      <c r="AF22" s="73" t="s">
        <v>805</v>
      </c>
      <c r="AG22" s="73" t="s">
        <v>805</v>
      </c>
      <c r="AH22" s="73" t="s">
        <v>805</v>
      </c>
      <c r="AI22" s="74">
        <v>5</v>
      </c>
      <c r="AJ22" s="74">
        <v>0</v>
      </c>
      <c r="AK22" s="74">
        <v>2</v>
      </c>
      <c r="AL22" s="75"/>
      <c r="AN22" s="93">
        <v>16</v>
      </c>
      <c r="AO22" s="94">
        <v>20210247</v>
      </c>
      <c r="AP22" s="97" t="s">
        <v>332</v>
      </c>
      <c r="AQ22" s="68">
        <v>80</v>
      </c>
      <c r="AR22" s="68">
        <v>57</v>
      </c>
      <c r="AS22" s="68">
        <v>79</v>
      </c>
      <c r="AT22" s="68">
        <v>68.5</v>
      </c>
      <c r="AU22" s="68">
        <v>79.5</v>
      </c>
      <c r="AV22" s="68">
        <v>56.199999999999996</v>
      </c>
      <c r="AW22" s="68">
        <v>72</v>
      </c>
      <c r="AX22" s="68">
        <v>82.3</v>
      </c>
      <c r="AY22" s="68">
        <v>77.5</v>
      </c>
      <c r="AZ22" s="68">
        <v>48</v>
      </c>
      <c r="BA22" s="68">
        <v>45.5</v>
      </c>
      <c r="BB22" s="68">
        <v>50</v>
      </c>
      <c r="BC22" s="68">
        <v>67.5</v>
      </c>
      <c r="BD22" s="68">
        <v>86.7</v>
      </c>
      <c r="BE22" s="76">
        <v>93</v>
      </c>
      <c r="BF22" s="76">
        <v>100</v>
      </c>
      <c r="BG22" s="76">
        <v>86</v>
      </c>
      <c r="BH22" s="76">
        <v>60</v>
      </c>
      <c r="BI22" s="76">
        <v>80</v>
      </c>
      <c r="BJ22" s="240">
        <v>95</v>
      </c>
      <c r="BK22" s="240">
        <v>97.5</v>
      </c>
      <c r="BL22" s="240">
        <v>82.3</v>
      </c>
      <c r="BM22" s="240">
        <v>95</v>
      </c>
      <c r="BN22" s="240">
        <v>90</v>
      </c>
      <c r="BO22" s="240">
        <v>60</v>
      </c>
      <c r="BP22" s="70">
        <f t="shared" si="28"/>
        <v>1368.7</v>
      </c>
      <c r="BQ22" s="71">
        <f t="shared" si="29"/>
        <v>72.036842105263162</v>
      </c>
      <c r="BR22" s="72" t="e">
        <f t="shared" si="30"/>
        <v>#N/A</v>
      </c>
      <c r="BS22" s="73"/>
      <c r="BT22" s="73"/>
      <c r="BU22" s="73"/>
      <c r="BV22" s="74"/>
      <c r="BW22" s="74"/>
      <c r="BX22" s="74"/>
      <c r="BY22" s="75"/>
    </row>
    <row r="23" spans="1:77" ht="24.6" customHeight="1">
      <c r="A23" s="93">
        <v>20</v>
      </c>
      <c r="B23" s="94">
        <v>20210109</v>
      </c>
      <c r="C23" s="96" t="s">
        <v>337</v>
      </c>
      <c r="D23" s="68">
        <f t="shared" si="0"/>
        <v>82</v>
      </c>
      <c r="E23" s="68">
        <f t="shared" si="1"/>
        <v>48</v>
      </c>
      <c r="F23" s="68">
        <f t="shared" si="2"/>
        <v>85</v>
      </c>
      <c r="G23" s="68">
        <f t="shared" si="3"/>
        <v>40</v>
      </c>
      <c r="H23" s="68">
        <f t="shared" si="4"/>
        <v>78</v>
      </c>
      <c r="I23" s="68">
        <f t="shared" si="5"/>
        <v>58</v>
      </c>
      <c r="J23" s="68">
        <f t="shared" si="6"/>
        <v>75</v>
      </c>
      <c r="K23" s="68">
        <f t="shared" si="7"/>
        <v>75</v>
      </c>
      <c r="L23" s="68">
        <f t="shared" si="8"/>
        <v>74</v>
      </c>
      <c r="M23" s="68">
        <f t="shared" si="9"/>
        <v>79</v>
      </c>
      <c r="N23" s="68">
        <f t="shared" si="10"/>
        <v>67</v>
      </c>
      <c r="O23" s="68">
        <f t="shared" si="11"/>
        <v>67</v>
      </c>
      <c r="P23" s="68">
        <f t="shared" si="12"/>
        <v>60</v>
      </c>
      <c r="Q23" s="68">
        <f t="shared" si="13"/>
        <v>69</v>
      </c>
      <c r="R23" s="69">
        <f t="shared" si="14"/>
        <v>92</v>
      </c>
      <c r="S23" s="69">
        <f t="shared" si="15"/>
        <v>99</v>
      </c>
      <c r="T23" s="69">
        <f t="shared" si="16"/>
        <v>75</v>
      </c>
      <c r="U23" s="69">
        <f t="shared" si="17"/>
        <v>60</v>
      </c>
      <c r="V23" s="69">
        <f t="shared" si="18"/>
        <v>80</v>
      </c>
      <c r="W23" s="234">
        <f t="shared" si="19"/>
        <v>99</v>
      </c>
      <c r="X23" s="234">
        <f t="shared" si="20"/>
        <v>99</v>
      </c>
      <c r="Y23" s="234">
        <f t="shared" si="21"/>
        <v>75</v>
      </c>
      <c r="Z23" s="234">
        <f t="shared" si="22"/>
        <v>98</v>
      </c>
      <c r="AA23" s="234">
        <f t="shared" si="23"/>
        <v>98</v>
      </c>
      <c r="AB23" s="234">
        <f t="shared" si="24"/>
        <v>60</v>
      </c>
      <c r="AC23" s="70">
        <f t="shared" si="25"/>
        <v>1363</v>
      </c>
      <c r="AD23" s="71">
        <f t="shared" si="26"/>
        <v>71.736842105263165</v>
      </c>
      <c r="AE23" s="72">
        <f t="shared" si="27"/>
        <v>20</v>
      </c>
      <c r="AF23" s="73" t="s">
        <v>805</v>
      </c>
      <c r="AG23" s="73" t="s">
        <v>805</v>
      </c>
      <c r="AH23" s="73" t="s">
        <v>805</v>
      </c>
      <c r="AI23" s="74">
        <v>0</v>
      </c>
      <c r="AJ23" s="74">
        <v>0</v>
      </c>
      <c r="AK23" s="74">
        <v>0</v>
      </c>
      <c r="AL23" s="75"/>
      <c r="AN23" s="93">
        <v>19</v>
      </c>
      <c r="AO23" s="94">
        <v>20210109</v>
      </c>
      <c r="AP23" s="96" t="s">
        <v>337</v>
      </c>
      <c r="AQ23" s="68">
        <v>82</v>
      </c>
      <c r="AR23" s="68">
        <v>47.5</v>
      </c>
      <c r="AS23" s="68">
        <v>85.3</v>
      </c>
      <c r="AT23" s="68">
        <v>39.6</v>
      </c>
      <c r="AU23" s="68">
        <v>77.5</v>
      </c>
      <c r="AV23" s="68">
        <v>57.9</v>
      </c>
      <c r="AW23" s="68">
        <v>74.5</v>
      </c>
      <c r="AX23" s="68">
        <v>75</v>
      </c>
      <c r="AY23" s="68">
        <v>74</v>
      </c>
      <c r="AZ23" s="68">
        <v>78.5</v>
      </c>
      <c r="BA23" s="68">
        <v>67</v>
      </c>
      <c r="BB23" s="68">
        <v>67</v>
      </c>
      <c r="BC23" s="68">
        <v>59.5</v>
      </c>
      <c r="BD23" s="68">
        <v>69.2</v>
      </c>
      <c r="BE23" s="76">
        <v>92</v>
      </c>
      <c r="BF23" s="76">
        <v>100</v>
      </c>
      <c r="BG23" s="76">
        <v>75</v>
      </c>
      <c r="BH23" s="76">
        <v>60</v>
      </c>
      <c r="BI23" s="76">
        <v>80</v>
      </c>
      <c r="BJ23" s="240">
        <v>100</v>
      </c>
      <c r="BK23" s="240">
        <v>100</v>
      </c>
      <c r="BL23" s="240">
        <v>75</v>
      </c>
      <c r="BM23" s="240">
        <v>97.5</v>
      </c>
      <c r="BN23" s="240">
        <v>97.5</v>
      </c>
      <c r="BO23" s="240">
        <v>60</v>
      </c>
      <c r="BP23" s="70">
        <f t="shared" si="28"/>
        <v>1361.5</v>
      </c>
      <c r="BQ23" s="71">
        <f t="shared" si="29"/>
        <v>71.65789473684211</v>
      </c>
      <c r="BR23" s="72" t="e">
        <f t="shared" si="30"/>
        <v>#N/A</v>
      </c>
      <c r="BS23" s="73"/>
      <c r="BT23" s="73"/>
      <c r="BU23" s="73"/>
      <c r="BV23" s="74"/>
      <c r="BW23" s="74"/>
      <c r="BX23" s="74"/>
      <c r="BY23" s="75"/>
    </row>
    <row r="24" spans="1:77" ht="24.6" customHeight="1">
      <c r="A24" s="93">
        <v>21</v>
      </c>
      <c r="B24" s="139">
        <v>20210047</v>
      </c>
      <c r="C24" s="108" t="s">
        <v>341</v>
      </c>
      <c r="D24" s="68">
        <f t="shared" si="0"/>
        <v>79</v>
      </c>
      <c r="E24" s="68">
        <f t="shared" si="1"/>
        <v>42</v>
      </c>
      <c r="F24" s="68">
        <f t="shared" si="2"/>
        <v>55</v>
      </c>
      <c r="G24" s="68">
        <f t="shared" si="3"/>
        <v>61</v>
      </c>
      <c r="H24" s="68">
        <f t="shared" si="4"/>
        <v>78</v>
      </c>
      <c r="I24" s="68">
        <f t="shared" si="5"/>
        <v>64</v>
      </c>
      <c r="J24" s="68">
        <f t="shared" si="6"/>
        <v>77</v>
      </c>
      <c r="K24" s="68">
        <f t="shared" si="7"/>
        <v>68</v>
      </c>
      <c r="L24" s="68">
        <f t="shared" si="8"/>
        <v>62</v>
      </c>
      <c r="M24" s="68">
        <f t="shared" si="9"/>
        <v>84</v>
      </c>
      <c r="N24" s="68">
        <f t="shared" si="10"/>
        <v>57</v>
      </c>
      <c r="O24" s="68">
        <f t="shared" si="11"/>
        <v>66</v>
      </c>
      <c r="P24" s="68">
        <f t="shared" si="12"/>
        <v>72</v>
      </c>
      <c r="Q24" s="68">
        <f t="shared" si="13"/>
        <v>82</v>
      </c>
      <c r="R24" s="69">
        <f t="shared" si="14"/>
        <v>95</v>
      </c>
      <c r="S24" s="69">
        <f t="shared" si="15"/>
        <v>99</v>
      </c>
      <c r="T24" s="69">
        <f t="shared" si="16"/>
        <v>71</v>
      </c>
      <c r="U24" s="69">
        <f t="shared" si="17"/>
        <v>60</v>
      </c>
      <c r="V24" s="69">
        <f t="shared" si="18"/>
        <v>80</v>
      </c>
      <c r="W24" s="234">
        <f t="shared" si="19"/>
        <v>98</v>
      </c>
      <c r="X24" s="234">
        <f t="shared" si="20"/>
        <v>98</v>
      </c>
      <c r="Y24" s="234">
        <f t="shared" si="21"/>
        <v>68</v>
      </c>
      <c r="Z24" s="234">
        <f t="shared" si="22"/>
        <v>95</v>
      </c>
      <c r="AA24" s="234">
        <f t="shared" si="23"/>
        <v>98</v>
      </c>
      <c r="AB24" s="234">
        <f t="shared" si="24"/>
        <v>73</v>
      </c>
      <c r="AC24" s="70">
        <f t="shared" si="25"/>
        <v>1352</v>
      </c>
      <c r="AD24" s="71">
        <f t="shared" si="26"/>
        <v>71.15789473684211</v>
      </c>
      <c r="AE24" s="72">
        <f t="shared" si="27"/>
        <v>21</v>
      </c>
      <c r="AF24" s="73" t="s">
        <v>805</v>
      </c>
      <c r="AG24" s="73" t="s">
        <v>805</v>
      </c>
      <c r="AH24" s="73" t="s">
        <v>805</v>
      </c>
      <c r="AI24" s="74">
        <v>11</v>
      </c>
      <c r="AJ24" s="74">
        <v>0</v>
      </c>
      <c r="AK24" s="74">
        <v>0</v>
      </c>
      <c r="AL24" s="75"/>
      <c r="AN24" s="93">
        <v>9</v>
      </c>
      <c r="AO24" s="94">
        <v>20210047</v>
      </c>
      <c r="AP24" s="96" t="s">
        <v>341</v>
      </c>
      <c r="AQ24" s="68">
        <v>79</v>
      </c>
      <c r="AR24" s="68">
        <v>42</v>
      </c>
      <c r="AS24" s="68">
        <v>55</v>
      </c>
      <c r="AT24" s="68">
        <v>60.5</v>
      </c>
      <c r="AU24" s="68">
        <v>78</v>
      </c>
      <c r="AV24" s="68">
        <v>64.3</v>
      </c>
      <c r="AW24" s="68">
        <v>76.5</v>
      </c>
      <c r="AX24" s="68">
        <v>67.599999999999994</v>
      </c>
      <c r="AY24" s="68">
        <v>61.7</v>
      </c>
      <c r="AZ24" s="68">
        <v>84</v>
      </c>
      <c r="BA24" s="68">
        <v>57</v>
      </c>
      <c r="BB24" s="68">
        <v>65.5</v>
      </c>
      <c r="BC24" s="68">
        <v>72</v>
      </c>
      <c r="BD24" s="68">
        <v>81.599999999999994</v>
      </c>
      <c r="BE24" s="76">
        <v>95</v>
      </c>
      <c r="BF24" s="76">
        <v>100</v>
      </c>
      <c r="BG24" s="76">
        <v>71</v>
      </c>
      <c r="BH24" s="76">
        <v>60</v>
      </c>
      <c r="BI24" s="76">
        <v>80</v>
      </c>
      <c r="BJ24" s="240">
        <v>97.5</v>
      </c>
      <c r="BK24" s="240">
        <v>97.5</v>
      </c>
      <c r="BL24" s="240">
        <v>67.599999999999994</v>
      </c>
      <c r="BM24" s="240">
        <v>95</v>
      </c>
      <c r="BN24" s="240">
        <v>97.5</v>
      </c>
      <c r="BO24" s="240">
        <v>72.5</v>
      </c>
      <c r="BP24" s="70">
        <f t="shared" si="28"/>
        <v>1350.7</v>
      </c>
      <c r="BQ24" s="71">
        <f t="shared" si="29"/>
        <v>71.089473684210532</v>
      </c>
      <c r="BR24" s="72" t="e">
        <f t="shared" si="30"/>
        <v>#N/A</v>
      </c>
      <c r="BS24" s="73"/>
      <c r="BT24" s="73"/>
      <c r="BU24" s="73"/>
      <c r="BV24" s="74"/>
      <c r="BW24" s="74"/>
      <c r="BX24" s="74"/>
      <c r="BY24" s="75"/>
    </row>
    <row r="25" spans="1:77" ht="24.6" customHeight="1">
      <c r="A25" s="93">
        <v>22</v>
      </c>
      <c r="B25" s="139">
        <v>19200012</v>
      </c>
      <c r="C25" s="108" t="s">
        <v>317</v>
      </c>
      <c r="D25" s="68">
        <f t="shared" si="0"/>
        <v>74</v>
      </c>
      <c r="E25" s="68">
        <f t="shared" si="1"/>
        <v>52</v>
      </c>
      <c r="F25" s="68">
        <f t="shared" si="2"/>
        <v>89</v>
      </c>
      <c r="G25" s="68">
        <f t="shared" si="3"/>
        <v>40</v>
      </c>
      <c r="H25" s="68">
        <f t="shared" si="4"/>
        <v>64</v>
      </c>
      <c r="I25" s="68">
        <f t="shared" si="5"/>
        <v>67</v>
      </c>
      <c r="J25" s="68">
        <f t="shared" si="6"/>
        <v>71</v>
      </c>
      <c r="K25" s="68">
        <f t="shared" si="7"/>
        <v>59</v>
      </c>
      <c r="L25" s="68">
        <f t="shared" si="8"/>
        <v>74</v>
      </c>
      <c r="M25" s="68">
        <f t="shared" si="9"/>
        <v>69</v>
      </c>
      <c r="N25" s="68">
        <f t="shared" si="10"/>
        <v>60</v>
      </c>
      <c r="O25" s="68">
        <f t="shared" si="11"/>
        <v>56</v>
      </c>
      <c r="P25" s="68">
        <f t="shared" si="12"/>
        <v>50</v>
      </c>
      <c r="Q25" s="68">
        <f t="shared" si="13"/>
        <v>57</v>
      </c>
      <c r="R25" s="69">
        <f t="shared" si="14"/>
        <v>90</v>
      </c>
      <c r="S25" s="69">
        <f t="shared" si="15"/>
        <v>99</v>
      </c>
      <c r="T25" s="69">
        <f t="shared" si="16"/>
        <v>60</v>
      </c>
      <c r="U25" s="69">
        <f t="shared" si="17"/>
        <v>60</v>
      </c>
      <c r="V25" s="69">
        <f t="shared" si="18"/>
        <v>80</v>
      </c>
      <c r="W25" s="234">
        <f t="shared" si="19"/>
        <v>85</v>
      </c>
      <c r="X25" s="234">
        <f t="shared" si="20"/>
        <v>85</v>
      </c>
      <c r="Y25" s="234">
        <f t="shared" si="21"/>
        <v>59</v>
      </c>
      <c r="Z25" s="234">
        <f t="shared" si="22"/>
        <v>83</v>
      </c>
      <c r="AA25" s="234">
        <f t="shared" si="23"/>
        <v>99</v>
      </c>
      <c r="AB25" s="234">
        <f t="shared" si="24"/>
        <v>63</v>
      </c>
      <c r="AC25" s="70">
        <f t="shared" si="25"/>
        <v>1271</v>
      </c>
      <c r="AD25" s="71">
        <f t="shared" si="26"/>
        <v>66.89473684210526</v>
      </c>
      <c r="AE25" s="72">
        <f t="shared" si="27"/>
        <v>22</v>
      </c>
      <c r="AF25" s="73" t="s">
        <v>805</v>
      </c>
      <c r="AG25" s="73" t="s">
        <v>805</v>
      </c>
      <c r="AH25" s="73" t="s">
        <v>805</v>
      </c>
      <c r="AI25" s="74">
        <v>29</v>
      </c>
      <c r="AJ25" s="74">
        <v>0</v>
      </c>
      <c r="AK25" s="74">
        <v>0</v>
      </c>
      <c r="AL25" s="75"/>
      <c r="AN25" s="93">
        <v>28</v>
      </c>
      <c r="AO25" s="94">
        <v>19200012</v>
      </c>
      <c r="AP25" s="97" t="s">
        <v>317</v>
      </c>
      <c r="AQ25" s="68">
        <v>74</v>
      </c>
      <c r="AR25" s="68">
        <v>51.5</v>
      </c>
      <c r="AS25" s="68">
        <v>88.7</v>
      </c>
      <c r="AT25" s="68">
        <v>36.700000000000003</v>
      </c>
      <c r="AU25" s="68">
        <v>64</v>
      </c>
      <c r="AV25" s="68">
        <v>66.900000000000006</v>
      </c>
      <c r="AW25" s="68">
        <v>70.5</v>
      </c>
      <c r="AX25" s="68">
        <v>59</v>
      </c>
      <c r="AY25" s="68">
        <v>73.7</v>
      </c>
      <c r="AZ25" s="68">
        <v>68.599999999999994</v>
      </c>
      <c r="BA25" s="68">
        <v>60</v>
      </c>
      <c r="BB25" s="68">
        <v>56</v>
      </c>
      <c r="BC25" s="68">
        <v>49.5</v>
      </c>
      <c r="BD25" s="68">
        <v>56.8</v>
      </c>
      <c r="BE25" s="76">
        <v>90</v>
      </c>
      <c r="BF25" s="76">
        <v>100</v>
      </c>
      <c r="BG25" s="76">
        <v>60</v>
      </c>
      <c r="BH25" s="76">
        <v>60</v>
      </c>
      <c r="BI25" s="76">
        <v>80</v>
      </c>
      <c r="BJ25" s="240">
        <v>85</v>
      </c>
      <c r="BK25" s="240">
        <v>85</v>
      </c>
      <c r="BL25" s="240">
        <v>59</v>
      </c>
      <c r="BM25" s="240">
        <v>82.5</v>
      </c>
      <c r="BN25" s="240">
        <v>100</v>
      </c>
      <c r="BO25" s="240">
        <v>62.5</v>
      </c>
      <c r="BP25" s="70">
        <f t="shared" si="28"/>
        <v>1265.9000000000001</v>
      </c>
      <c r="BQ25" s="71">
        <f t="shared" si="29"/>
        <v>66.626315789473693</v>
      </c>
      <c r="BR25" s="72" t="e">
        <f t="shared" si="30"/>
        <v>#N/A</v>
      </c>
      <c r="BS25" s="73"/>
      <c r="BT25" s="73"/>
      <c r="BU25" s="73"/>
      <c r="BV25" s="74"/>
      <c r="BW25" s="74"/>
      <c r="BX25" s="74"/>
      <c r="BY25" s="75"/>
    </row>
    <row r="26" spans="1:77" ht="24.6" customHeight="1">
      <c r="A26" s="93">
        <v>23</v>
      </c>
      <c r="B26" s="94">
        <v>20210038</v>
      </c>
      <c r="C26" s="95" t="s">
        <v>338</v>
      </c>
      <c r="D26" s="68">
        <f t="shared" si="0"/>
        <v>50</v>
      </c>
      <c r="E26" s="68">
        <f t="shared" si="1"/>
        <v>55</v>
      </c>
      <c r="F26" s="68">
        <f t="shared" si="2"/>
        <v>74</v>
      </c>
      <c r="G26" s="68">
        <f t="shared" si="3"/>
        <v>78</v>
      </c>
      <c r="H26" s="68">
        <f t="shared" si="4"/>
        <v>76</v>
      </c>
      <c r="I26" s="68">
        <f t="shared" si="5"/>
        <v>58</v>
      </c>
      <c r="J26" s="68">
        <f t="shared" si="6"/>
        <v>52</v>
      </c>
      <c r="K26" s="68">
        <f t="shared" si="7"/>
        <v>65</v>
      </c>
      <c r="L26" s="68">
        <f t="shared" si="8"/>
        <v>70</v>
      </c>
      <c r="M26" s="68">
        <f t="shared" si="9"/>
        <v>62</v>
      </c>
      <c r="N26" s="68">
        <f t="shared" si="10"/>
        <v>44</v>
      </c>
      <c r="O26" s="68">
        <f t="shared" si="11"/>
        <v>48</v>
      </c>
      <c r="P26" s="68">
        <f t="shared" si="12"/>
        <v>49</v>
      </c>
      <c r="Q26" s="68">
        <f t="shared" si="13"/>
        <v>81</v>
      </c>
      <c r="R26" s="69">
        <f t="shared" si="14"/>
        <v>85</v>
      </c>
      <c r="S26" s="69">
        <f t="shared" si="15"/>
        <v>99</v>
      </c>
      <c r="T26" s="69">
        <f t="shared" si="16"/>
        <v>60</v>
      </c>
      <c r="U26" s="69">
        <f t="shared" si="17"/>
        <v>60</v>
      </c>
      <c r="V26" s="69">
        <f t="shared" si="18"/>
        <v>80</v>
      </c>
      <c r="W26" s="234">
        <f t="shared" si="19"/>
        <v>98</v>
      </c>
      <c r="X26" s="234">
        <f t="shared" si="20"/>
        <v>93</v>
      </c>
      <c r="Y26" s="234">
        <f t="shared" si="21"/>
        <v>65</v>
      </c>
      <c r="Z26" s="234">
        <f t="shared" si="22"/>
        <v>90</v>
      </c>
      <c r="AA26" s="234">
        <f t="shared" si="23"/>
        <v>95</v>
      </c>
      <c r="AB26" s="234">
        <f t="shared" si="24"/>
        <v>55</v>
      </c>
      <c r="AC26" s="70">
        <f t="shared" si="25"/>
        <v>1246</v>
      </c>
      <c r="AD26" s="71">
        <f t="shared" si="26"/>
        <v>65.578947368421055</v>
      </c>
      <c r="AE26" s="72">
        <f t="shared" si="27"/>
        <v>23</v>
      </c>
      <c r="AF26" s="73" t="s">
        <v>805</v>
      </c>
      <c r="AG26" s="73" t="s">
        <v>805</v>
      </c>
      <c r="AH26" s="73" t="s">
        <v>805</v>
      </c>
      <c r="AI26" s="74">
        <v>18</v>
      </c>
      <c r="AJ26" s="74">
        <v>17</v>
      </c>
      <c r="AK26" s="74">
        <v>0</v>
      </c>
      <c r="AL26" s="75"/>
      <c r="AN26" s="93">
        <v>2</v>
      </c>
      <c r="AO26" s="94">
        <v>20210038</v>
      </c>
      <c r="AP26" s="95" t="s">
        <v>338</v>
      </c>
      <c r="AQ26" s="68">
        <v>50</v>
      </c>
      <c r="AR26" s="68">
        <v>55</v>
      </c>
      <c r="AS26" s="68">
        <v>73.5</v>
      </c>
      <c r="AT26" s="68">
        <v>78.400000000000006</v>
      </c>
      <c r="AU26" s="68">
        <v>76</v>
      </c>
      <c r="AV26" s="68">
        <v>58.3</v>
      </c>
      <c r="AW26" s="68">
        <v>51.5</v>
      </c>
      <c r="AX26" s="68">
        <v>65</v>
      </c>
      <c r="AY26" s="68">
        <v>69.7</v>
      </c>
      <c r="AZ26" s="68">
        <v>62</v>
      </c>
      <c r="BA26" s="68">
        <v>44</v>
      </c>
      <c r="BB26" s="68">
        <v>47.5</v>
      </c>
      <c r="BC26" s="68">
        <v>48.5</v>
      </c>
      <c r="BD26" s="68">
        <v>80.599999999999994</v>
      </c>
      <c r="BE26" s="76">
        <v>85</v>
      </c>
      <c r="BF26" s="76">
        <v>100</v>
      </c>
      <c r="BG26" s="76">
        <v>60</v>
      </c>
      <c r="BH26" s="76">
        <v>60</v>
      </c>
      <c r="BI26" s="76">
        <v>80</v>
      </c>
      <c r="BJ26" s="240">
        <v>97.5</v>
      </c>
      <c r="BK26" s="240">
        <v>92.5</v>
      </c>
      <c r="BL26" s="240">
        <v>65</v>
      </c>
      <c r="BM26" s="240">
        <v>90</v>
      </c>
      <c r="BN26" s="240">
        <v>95</v>
      </c>
      <c r="BO26" s="240">
        <v>55</v>
      </c>
      <c r="BP26" s="70">
        <f t="shared" si="28"/>
        <v>1245</v>
      </c>
      <c r="BQ26" s="71">
        <f t="shared" si="29"/>
        <v>65.526315789473685</v>
      </c>
      <c r="BR26" s="72" t="e">
        <f t="shared" si="30"/>
        <v>#N/A</v>
      </c>
      <c r="BS26" s="73"/>
      <c r="BT26" s="73"/>
      <c r="BU26" s="73"/>
      <c r="BV26" s="74"/>
      <c r="BW26" s="74"/>
      <c r="BX26" s="74"/>
      <c r="BY26" s="75"/>
    </row>
    <row r="27" spans="1:77" ht="24.6" customHeight="1">
      <c r="A27" s="93">
        <v>24</v>
      </c>
      <c r="B27" s="94">
        <v>21220093</v>
      </c>
      <c r="C27" s="96" t="s">
        <v>339</v>
      </c>
      <c r="D27" s="68">
        <f t="shared" si="0"/>
        <v>76</v>
      </c>
      <c r="E27" s="68">
        <f t="shared" si="1"/>
        <v>40</v>
      </c>
      <c r="F27" s="68">
        <f t="shared" si="2"/>
        <v>81</v>
      </c>
      <c r="G27" s="68">
        <f t="shared" si="3"/>
        <v>72</v>
      </c>
      <c r="H27" s="68">
        <f t="shared" si="4"/>
        <v>62</v>
      </c>
      <c r="I27" s="68">
        <f t="shared" si="5"/>
        <v>56</v>
      </c>
      <c r="J27" s="68">
        <f t="shared" si="6"/>
        <v>64</v>
      </c>
      <c r="K27" s="68">
        <f t="shared" si="7"/>
        <v>60</v>
      </c>
      <c r="L27" s="68">
        <f t="shared" si="8"/>
        <v>59</v>
      </c>
      <c r="M27" s="68">
        <f t="shared" si="9"/>
        <v>40</v>
      </c>
      <c r="N27" s="68">
        <f t="shared" si="10"/>
        <v>61</v>
      </c>
      <c r="O27" s="68">
        <f t="shared" si="11"/>
        <v>56</v>
      </c>
      <c r="P27" s="68">
        <f t="shared" si="12"/>
        <v>46</v>
      </c>
      <c r="Q27" s="68">
        <f t="shared" si="13"/>
        <v>65</v>
      </c>
      <c r="R27" s="69">
        <f t="shared" si="14"/>
        <v>70</v>
      </c>
      <c r="S27" s="69">
        <f t="shared" si="15"/>
        <v>99</v>
      </c>
      <c r="T27" s="69">
        <f t="shared" si="16"/>
        <v>50</v>
      </c>
      <c r="U27" s="69">
        <f t="shared" si="17"/>
        <v>60</v>
      </c>
      <c r="V27" s="69">
        <f t="shared" si="18"/>
        <v>80</v>
      </c>
      <c r="W27" s="234">
        <f t="shared" si="19"/>
        <v>98</v>
      </c>
      <c r="X27" s="234">
        <f t="shared" si="20"/>
        <v>85</v>
      </c>
      <c r="Y27" s="234">
        <f t="shared" si="21"/>
        <v>60</v>
      </c>
      <c r="Z27" s="234">
        <f t="shared" si="22"/>
        <v>98</v>
      </c>
      <c r="AA27" s="234">
        <f t="shared" si="23"/>
        <v>93</v>
      </c>
      <c r="AB27" s="234">
        <f t="shared" si="24"/>
        <v>63</v>
      </c>
      <c r="AC27" s="70">
        <f t="shared" si="25"/>
        <v>1197</v>
      </c>
      <c r="AD27" s="71">
        <f t="shared" si="26"/>
        <v>63</v>
      </c>
      <c r="AE27" s="72">
        <f t="shared" si="27"/>
        <v>24</v>
      </c>
      <c r="AF27" s="73" t="s">
        <v>805</v>
      </c>
      <c r="AG27" s="73" t="s">
        <v>805</v>
      </c>
      <c r="AH27" s="73" t="s">
        <v>805</v>
      </c>
      <c r="AI27" s="74">
        <v>8</v>
      </c>
      <c r="AJ27" s="74">
        <v>0</v>
      </c>
      <c r="AK27" s="74">
        <v>0</v>
      </c>
      <c r="AL27" s="75"/>
      <c r="AN27" s="93">
        <v>4</v>
      </c>
      <c r="AO27" s="94">
        <v>21220093</v>
      </c>
      <c r="AP27" s="96" t="s">
        <v>339</v>
      </c>
      <c r="AQ27" s="68">
        <v>76</v>
      </c>
      <c r="AR27" s="68">
        <v>39.5</v>
      </c>
      <c r="AS27" s="68">
        <v>81</v>
      </c>
      <c r="AT27" s="68">
        <v>72.099999999999994</v>
      </c>
      <c r="AU27" s="68">
        <v>62</v>
      </c>
      <c r="AV27" s="68">
        <v>55.5</v>
      </c>
      <c r="AW27" s="68">
        <v>64</v>
      </c>
      <c r="AX27" s="68">
        <v>60</v>
      </c>
      <c r="AY27" s="68">
        <v>58.5</v>
      </c>
      <c r="AZ27" s="68">
        <v>39.5</v>
      </c>
      <c r="BA27" s="68">
        <v>61</v>
      </c>
      <c r="BB27" s="68">
        <v>56</v>
      </c>
      <c r="BC27" s="68">
        <v>46</v>
      </c>
      <c r="BD27" s="68">
        <v>64.7</v>
      </c>
      <c r="BE27" s="76">
        <v>70</v>
      </c>
      <c r="BF27" s="76">
        <v>100</v>
      </c>
      <c r="BG27" s="76">
        <v>50</v>
      </c>
      <c r="BH27" s="76">
        <v>60</v>
      </c>
      <c r="BI27" s="76">
        <v>80</v>
      </c>
      <c r="BJ27" s="240">
        <v>97.5</v>
      </c>
      <c r="BK27" s="240">
        <v>85</v>
      </c>
      <c r="BL27" s="240">
        <v>60</v>
      </c>
      <c r="BM27" s="240">
        <v>97.5</v>
      </c>
      <c r="BN27" s="240">
        <v>92.5</v>
      </c>
      <c r="BO27" s="240">
        <v>62.5</v>
      </c>
      <c r="BP27" s="70">
        <f t="shared" si="28"/>
        <v>1195.8000000000002</v>
      </c>
      <c r="BQ27" s="71">
        <f t="shared" si="29"/>
        <v>62.936842105263167</v>
      </c>
      <c r="BR27" s="72" t="e">
        <f t="shared" si="30"/>
        <v>#N/A</v>
      </c>
      <c r="BS27" s="73"/>
      <c r="BT27" s="73"/>
      <c r="BU27" s="73"/>
      <c r="BV27" s="74"/>
      <c r="BW27" s="74"/>
      <c r="BX27" s="74"/>
      <c r="BY27" s="75"/>
    </row>
    <row r="28" spans="1:77" ht="24.6" customHeight="1">
      <c r="A28" s="93">
        <v>25</v>
      </c>
      <c r="B28" s="94">
        <v>20210002</v>
      </c>
      <c r="C28" s="96" t="s">
        <v>344</v>
      </c>
      <c r="D28" s="68">
        <f t="shared" si="0"/>
        <v>73</v>
      </c>
      <c r="E28" s="68">
        <f t="shared" si="1"/>
        <v>40</v>
      </c>
      <c r="F28" s="68">
        <f t="shared" si="2"/>
        <v>69</v>
      </c>
      <c r="G28" s="68">
        <f t="shared" si="3"/>
        <v>60</v>
      </c>
      <c r="H28" s="68">
        <f t="shared" si="4"/>
        <v>65</v>
      </c>
      <c r="I28" s="68">
        <f t="shared" si="5"/>
        <v>54</v>
      </c>
      <c r="J28" s="68">
        <f t="shared" si="6"/>
        <v>58</v>
      </c>
      <c r="K28" s="68">
        <f t="shared" si="7"/>
        <v>61</v>
      </c>
      <c r="L28" s="68">
        <f t="shared" si="8"/>
        <v>68</v>
      </c>
      <c r="M28" s="68">
        <f t="shared" si="9"/>
        <v>60</v>
      </c>
      <c r="N28" s="68">
        <f t="shared" si="10"/>
        <v>55</v>
      </c>
      <c r="O28" s="68">
        <f t="shared" si="11"/>
        <v>49</v>
      </c>
      <c r="P28" s="68">
        <f t="shared" si="12"/>
        <v>46</v>
      </c>
      <c r="Q28" s="68">
        <f t="shared" si="13"/>
        <v>62</v>
      </c>
      <c r="R28" s="69">
        <f t="shared" si="14"/>
        <v>75</v>
      </c>
      <c r="S28" s="69">
        <f t="shared" si="15"/>
        <v>99</v>
      </c>
      <c r="T28" s="69">
        <f t="shared" si="16"/>
        <v>50</v>
      </c>
      <c r="U28" s="69">
        <f t="shared" si="17"/>
        <v>60</v>
      </c>
      <c r="V28" s="69">
        <f t="shared" si="18"/>
        <v>80</v>
      </c>
      <c r="W28" s="234">
        <f t="shared" si="19"/>
        <v>98</v>
      </c>
      <c r="X28" s="234">
        <f t="shared" si="20"/>
        <v>95</v>
      </c>
      <c r="Y28" s="234">
        <f t="shared" si="21"/>
        <v>61</v>
      </c>
      <c r="Z28" s="234">
        <f t="shared" si="22"/>
        <v>98</v>
      </c>
      <c r="AA28" s="234">
        <f t="shared" si="23"/>
        <v>88</v>
      </c>
      <c r="AB28" s="234">
        <f t="shared" si="24"/>
        <v>70</v>
      </c>
      <c r="AC28" s="70">
        <f t="shared" si="25"/>
        <v>1184</v>
      </c>
      <c r="AD28" s="71">
        <f t="shared" si="26"/>
        <v>62.315789473684212</v>
      </c>
      <c r="AE28" s="72">
        <f t="shared" si="27"/>
        <v>25</v>
      </c>
      <c r="AF28" s="73" t="s">
        <v>805</v>
      </c>
      <c r="AG28" s="73" t="s">
        <v>805</v>
      </c>
      <c r="AH28" s="73" t="s">
        <v>805</v>
      </c>
      <c r="AI28" s="74">
        <v>0</v>
      </c>
      <c r="AJ28" s="74">
        <v>0</v>
      </c>
      <c r="AK28" s="74">
        <v>0</v>
      </c>
      <c r="AL28" s="75"/>
      <c r="AN28" s="93">
        <v>18</v>
      </c>
      <c r="AO28" s="94">
        <v>20210002</v>
      </c>
      <c r="AP28" s="96" t="s">
        <v>344</v>
      </c>
      <c r="AQ28" s="68">
        <v>73</v>
      </c>
      <c r="AR28" s="68">
        <v>38</v>
      </c>
      <c r="AS28" s="68">
        <v>69</v>
      </c>
      <c r="AT28" s="68">
        <v>60.099999999999994</v>
      </c>
      <c r="AU28" s="68">
        <v>65</v>
      </c>
      <c r="AV28" s="68">
        <v>53.5</v>
      </c>
      <c r="AW28" s="68">
        <v>58</v>
      </c>
      <c r="AX28" s="68">
        <v>61</v>
      </c>
      <c r="AY28" s="68">
        <v>68.2</v>
      </c>
      <c r="AZ28" s="68">
        <v>60</v>
      </c>
      <c r="BA28" s="68">
        <v>55</v>
      </c>
      <c r="BB28" s="68">
        <v>48.5</v>
      </c>
      <c r="BC28" s="68">
        <v>46</v>
      </c>
      <c r="BD28" s="68">
        <v>61.7</v>
      </c>
      <c r="BE28" s="76">
        <v>75</v>
      </c>
      <c r="BF28" s="76">
        <v>100</v>
      </c>
      <c r="BG28" s="76">
        <v>50</v>
      </c>
      <c r="BH28" s="76">
        <v>60</v>
      </c>
      <c r="BI28" s="76">
        <v>80</v>
      </c>
      <c r="BJ28" s="240">
        <v>97.5</v>
      </c>
      <c r="BK28" s="240">
        <v>95</v>
      </c>
      <c r="BL28" s="240">
        <v>61</v>
      </c>
      <c r="BM28" s="240">
        <v>97.5</v>
      </c>
      <c r="BN28" s="240">
        <v>87.5</v>
      </c>
      <c r="BO28" s="240">
        <v>70</v>
      </c>
      <c r="BP28" s="70">
        <f t="shared" si="28"/>
        <v>1182</v>
      </c>
      <c r="BQ28" s="71">
        <f t="shared" si="29"/>
        <v>62.210526315789473</v>
      </c>
      <c r="BR28" s="72" t="e">
        <f t="shared" si="30"/>
        <v>#N/A</v>
      </c>
      <c r="BS28" s="73"/>
      <c r="BT28" s="73"/>
      <c r="BU28" s="73"/>
      <c r="BV28" s="74"/>
      <c r="BW28" s="74"/>
      <c r="BX28" s="74"/>
      <c r="BY28" s="75"/>
    </row>
    <row r="29" spans="1:77" ht="24.6" customHeight="1">
      <c r="A29" s="138">
        <v>26</v>
      </c>
      <c r="B29" s="94">
        <v>19200126</v>
      </c>
      <c r="C29" s="95" t="s">
        <v>345</v>
      </c>
      <c r="D29" s="68">
        <f t="shared" si="0"/>
        <v>71</v>
      </c>
      <c r="E29" s="68">
        <f t="shared" si="1"/>
        <v>44</v>
      </c>
      <c r="F29" s="68">
        <f t="shared" si="2"/>
        <v>71</v>
      </c>
      <c r="G29" s="68">
        <f t="shared" si="3"/>
        <v>53</v>
      </c>
      <c r="H29" s="68">
        <f t="shared" si="4"/>
        <v>67</v>
      </c>
      <c r="I29" s="68">
        <f t="shared" si="5"/>
        <v>50</v>
      </c>
      <c r="J29" s="68">
        <f t="shared" si="6"/>
        <v>62</v>
      </c>
      <c r="K29" s="68">
        <f t="shared" si="7"/>
        <v>62</v>
      </c>
      <c r="L29" s="68">
        <f t="shared" si="8"/>
        <v>67</v>
      </c>
      <c r="M29" s="68">
        <f t="shared" si="9"/>
        <v>57</v>
      </c>
      <c r="N29" s="68">
        <f t="shared" si="10"/>
        <v>51</v>
      </c>
      <c r="O29" s="68">
        <f t="shared" si="11"/>
        <v>49</v>
      </c>
      <c r="P29" s="68">
        <f t="shared" si="12"/>
        <v>45</v>
      </c>
      <c r="Q29" s="68">
        <f t="shared" si="13"/>
        <v>54</v>
      </c>
      <c r="R29" s="69">
        <f t="shared" si="14"/>
        <v>65</v>
      </c>
      <c r="S29" s="69">
        <f t="shared" si="15"/>
        <v>99</v>
      </c>
      <c r="T29" s="69">
        <f t="shared" si="16"/>
        <v>50</v>
      </c>
      <c r="U29" s="69">
        <f t="shared" si="17"/>
        <v>60</v>
      </c>
      <c r="V29" s="69">
        <f t="shared" si="18"/>
        <v>80</v>
      </c>
      <c r="W29" s="234">
        <f t="shared" si="19"/>
        <v>99</v>
      </c>
      <c r="X29" s="234">
        <f t="shared" si="20"/>
        <v>95</v>
      </c>
      <c r="Y29" s="234">
        <f t="shared" si="21"/>
        <v>62</v>
      </c>
      <c r="Z29" s="234">
        <f t="shared" si="22"/>
        <v>98</v>
      </c>
      <c r="AA29" s="234">
        <f t="shared" si="23"/>
        <v>98</v>
      </c>
      <c r="AB29" s="234">
        <f t="shared" si="24"/>
        <v>58</v>
      </c>
      <c r="AC29" s="70">
        <f t="shared" si="25"/>
        <v>1157</v>
      </c>
      <c r="AD29" s="71">
        <f t="shared" si="26"/>
        <v>60.89473684210526</v>
      </c>
      <c r="AE29" s="72">
        <f t="shared" si="27"/>
        <v>26</v>
      </c>
      <c r="AF29" s="73" t="s">
        <v>805</v>
      </c>
      <c r="AG29" s="73" t="s">
        <v>805</v>
      </c>
      <c r="AH29" s="73" t="s">
        <v>805</v>
      </c>
      <c r="AI29" s="74">
        <v>17</v>
      </c>
      <c r="AJ29" s="74">
        <v>0</v>
      </c>
      <c r="AK29" s="74">
        <v>0</v>
      </c>
      <c r="AL29" s="75"/>
      <c r="AN29" s="93">
        <v>22</v>
      </c>
      <c r="AO29" s="94">
        <v>19200126</v>
      </c>
      <c r="AP29" s="95" t="s">
        <v>345</v>
      </c>
      <c r="AQ29" s="68">
        <v>71</v>
      </c>
      <c r="AR29" s="68">
        <v>44</v>
      </c>
      <c r="AS29" s="68">
        <v>71</v>
      </c>
      <c r="AT29" s="68">
        <v>53.4</v>
      </c>
      <c r="AU29" s="68">
        <v>66.5</v>
      </c>
      <c r="AV29" s="68">
        <v>50</v>
      </c>
      <c r="AW29" s="68">
        <v>61.5</v>
      </c>
      <c r="AX29" s="68">
        <v>62</v>
      </c>
      <c r="AY29" s="68">
        <v>67.3</v>
      </c>
      <c r="AZ29" s="68">
        <v>56.8</v>
      </c>
      <c r="BA29" s="68">
        <v>51</v>
      </c>
      <c r="BB29" s="68">
        <v>48.5</v>
      </c>
      <c r="BC29" s="68">
        <v>45</v>
      </c>
      <c r="BD29" s="68">
        <v>54</v>
      </c>
      <c r="BE29" s="76">
        <v>65</v>
      </c>
      <c r="BF29" s="76">
        <v>100</v>
      </c>
      <c r="BG29" s="76">
        <v>50</v>
      </c>
      <c r="BH29" s="76">
        <v>60</v>
      </c>
      <c r="BI29" s="76">
        <v>80</v>
      </c>
      <c r="BJ29" s="240">
        <v>100</v>
      </c>
      <c r="BK29" s="240">
        <v>95</v>
      </c>
      <c r="BL29" s="240">
        <v>62</v>
      </c>
      <c r="BM29" s="240">
        <v>97.5</v>
      </c>
      <c r="BN29" s="240">
        <v>97.5</v>
      </c>
      <c r="BO29" s="240">
        <v>57.5</v>
      </c>
      <c r="BP29" s="70">
        <f t="shared" si="28"/>
        <v>1157</v>
      </c>
      <c r="BQ29" s="71">
        <f t="shared" si="29"/>
        <v>60.89473684210526</v>
      </c>
      <c r="BR29" s="72">
        <f t="shared" si="30"/>
        <v>26</v>
      </c>
      <c r="BS29" s="73"/>
      <c r="BT29" s="73"/>
      <c r="BU29" s="73"/>
      <c r="BV29" s="74"/>
      <c r="BW29" s="74"/>
      <c r="BX29" s="74"/>
      <c r="BY29" s="75"/>
    </row>
    <row r="30" spans="1:77" ht="24.6" customHeight="1">
      <c r="A30" s="138">
        <v>27</v>
      </c>
      <c r="B30" s="94">
        <v>21220066</v>
      </c>
      <c r="C30" s="97" t="s">
        <v>342</v>
      </c>
      <c r="D30" s="68">
        <f t="shared" si="0"/>
        <v>52</v>
      </c>
      <c r="E30" s="68">
        <f t="shared" si="1"/>
        <v>44</v>
      </c>
      <c r="F30" s="68">
        <f t="shared" si="2"/>
        <v>49</v>
      </c>
      <c r="G30" s="68">
        <f t="shared" si="3"/>
        <v>64</v>
      </c>
      <c r="H30" s="68">
        <f t="shared" si="4"/>
        <v>62</v>
      </c>
      <c r="I30" s="68">
        <f t="shared" si="5"/>
        <v>58</v>
      </c>
      <c r="J30" s="68">
        <f t="shared" si="6"/>
        <v>51</v>
      </c>
      <c r="K30" s="68">
        <f t="shared" si="7"/>
        <v>51</v>
      </c>
      <c r="L30" s="68">
        <f t="shared" si="8"/>
        <v>63</v>
      </c>
      <c r="M30" s="68">
        <f t="shared" si="9"/>
        <v>57</v>
      </c>
      <c r="N30" s="68">
        <f t="shared" si="10"/>
        <v>49</v>
      </c>
      <c r="O30" s="68">
        <f t="shared" si="11"/>
        <v>48</v>
      </c>
      <c r="P30" s="68">
        <f t="shared" si="12"/>
        <v>55</v>
      </c>
      <c r="Q30" s="68">
        <f t="shared" si="13"/>
        <v>73</v>
      </c>
      <c r="R30" s="69">
        <f t="shared" si="14"/>
        <v>70</v>
      </c>
      <c r="S30" s="69">
        <f t="shared" si="15"/>
        <v>99</v>
      </c>
      <c r="T30" s="69">
        <f t="shared" si="16"/>
        <v>60</v>
      </c>
      <c r="U30" s="69">
        <f t="shared" si="17"/>
        <v>60</v>
      </c>
      <c r="V30" s="69">
        <f t="shared" si="18"/>
        <v>80</v>
      </c>
      <c r="W30" s="234">
        <f t="shared" si="19"/>
        <v>98</v>
      </c>
      <c r="X30" s="234">
        <f t="shared" si="20"/>
        <v>98</v>
      </c>
      <c r="Y30" s="234">
        <f t="shared" si="21"/>
        <v>51</v>
      </c>
      <c r="Z30" s="234">
        <f t="shared" si="22"/>
        <v>93</v>
      </c>
      <c r="AA30" s="234">
        <f t="shared" si="23"/>
        <v>99</v>
      </c>
      <c r="AB30" s="234">
        <f t="shared" si="24"/>
        <v>60</v>
      </c>
      <c r="AC30" s="70">
        <f t="shared" si="25"/>
        <v>1145</v>
      </c>
      <c r="AD30" s="71">
        <f t="shared" si="26"/>
        <v>60.263157894736842</v>
      </c>
      <c r="AE30" s="72">
        <f t="shared" si="27"/>
        <v>27</v>
      </c>
      <c r="AF30" s="73" t="s">
        <v>805</v>
      </c>
      <c r="AG30" s="73" t="s">
        <v>805</v>
      </c>
      <c r="AH30" s="73" t="s">
        <v>805</v>
      </c>
      <c r="AI30" s="74">
        <v>0</v>
      </c>
      <c r="AJ30" s="74">
        <v>0</v>
      </c>
      <c r="AK30" s="74">
        <v>0</v>
      </c>
      <c r="AL30" s="75"/>
      <c r="AN30" s="93">
        <v>24</v>
      </c>
      <c r="AO30" s="94">
        <v>21220066</v>
      </c>
      <c r="AP30" s="97" t="s">
        <v>342</v>
      </c>
      <c r="AQ30" s="68">
        <v>52</v>
      </c>
      <c r="AR30" s="68">
        <v>44</v>
      </c>
      <c r="AS30" s="68">
        <v>49</v>
      </c>
      <c r="AT30" s="68">
        <v>64.2</v>
      </c>
      <c r="AU30" s="68">
        <v>62</v>
      </c>
      <c r="AV30" s="68">
        <v>58.3</v>
      </c>
      <c r="AW30" s="68">
        <v>50.5</v>
      </c>
      <c r="AX30" s="68">
        <v>51</v>
      </c>
      <c r="AY30" s="68">
        <v>62.7</v>
      </c>
      <c r="AZ30" s="68">
        <v>57</v>
      </c>
      <c r="BA30" s="68">
        <v>49</v>
      </c>
      <c r="BB30" s="68">
        <v>48</v>
      </c>
      <c r="BC30" s="68">
        <v>55</v>
      </c>
      <c r="BD30" s="68">
        <v>72.8</v>
      </c>
      <c r="BE30" s="76">
        <v>70</v>
      </c>
      <c r="BF30" s="76">
        <v>100</v>
      </c>
      <c r="BG30" s="76">
        <v>60</v>
      </c>
      <c r="BH30" s="76">
        <v>60</v>
      </c>
      <c r="BI30" s="76">
        <v>80</v>
      </c>
      <c r="BJ30" s="240">
        <v>97.5</v>
      </c>
      <c r="BK30" s="240">
        <v>97.5</v>
      </c>
      <c r="BL30" s="240">
        <v>51</v>
      </c>
      <c r="BM30" s="240">
        <v>92.5</v>
      </c>
      <c r="BN30" s="240">
        <v>100</v>
      </c>
      <c r="BO30" s="240">
        <v>60</v>
      </c>
      <c r="BP30" s="70">
        <f t="shared" si="28"/>
        <v>1145.5</v>
      </c>
      <c r="BQ30" s="71">
        <f t="shared" si="29"/>
        <v>60.289473684210527</v>
      </c>
      <c r="BR30" s="72" t="e">
        <f t="shared" si="30"/>
        <v>#N/A</v>
      </c>
      <c r="BS30" s="73"/>
      <c r="BT30" s="73"/>
      <c r="BU30" s="73"/>
      <c r="BV30" s="74"/>
      <c r="BW30" s="74"/>
      <c r="BX30" s="74"/>
      <c r="BY30" s="75"/>
    </row>
    <row r="31" spans="1:77" ht="24.6" customHeight="1">
      <c r="A31" s="138">
        <v>28</v>
      </c>
      <c r="B31" s="94">
        <v>20210093</v>
      </c>
      <c r="C31" s="95" t="s">
        <v>343</v>
      </c>
      <c r="D31" s="68">
        <f t="shared" si="0"/>
        <v>73</v>
      </c>
      <c r="E31" s="68">
        <f t="shared" si="1"/>
        <v>43</v>
      </c>
      <c r="F31" s="68">
        <f t="shared" si="2"/>
        <v>60</v>
      </c>
      <c r="G31" s="68">
        <f t="shared" si="3"/>
        <v>67</v>
      </c>
      <c r="H31" s="68">
        <f t="shared" si="4"/>
        <v>54</v>
      </c>
      <c r="I31" s="68">
        <f t="shared" si="5"/>
        <v>57</v>
      </c>
      <c r="J31" s="68">
        <f t="shared" si="6"/>
        <v>66</v>
      </c>
      <c r="K31" s="68">
        <f t="shared" si="7"/>
        <v>54</v>
      </c>
      <c r="L31" s="68">
        <f t="shared" si="8"/>
        <v>40</v>
      </c>
      <c r="M31" s="68">
        <f t="shared" si="9"/>
        <v>41</v>
      </c>
      <c r="N31" s="68">
        <f t="shared" si="10"/>
        <v>45</v>
      </c>
      <c r="O31" s="68">
        <f t="shared" si="11"/>
        <v>58</v>
      </c>
      <c r="P31" s="68">
        <f t="shared" si="12"/>
        <v>57</v>
      </c>
      <c r="Q31" s="68">
        <f t="shared" si="13"/>
        <v>64</v>
      </c>
      <c r="R31" s="69">
        <f t="shared" si="14"/>
        <v>81</v>
      </c>
      <c r="S31" s="69">
        <f t="shared" si="15"/>
        <v>99</v>
      </c>
      <c r="T31" s="69">
        <f t="shared" si="16"/>
        <v>40</v>
      </c>
      <c r="U31" s="69">
        <f t="shared" si="17"/>
        <v>60</v>
      </c>
      <c r="V31" s="69">
        <f t="shared" si="18"/>
        <v>80</v>
      </c>
      <c r="W31" s="234">
        <f t="shared" si="19"/>
        <v>98</v>
      </c>
      <c r="X31" s="234">
        <f t="shared" si="20"/>
        <v>98</v>
      </c>
      <c r="Y31" s="234">
        <f t="shared" si="21"/>
        <v>54</v>
      </c>
      <c r="Z31" s="234">
        <f t="shared" si="22"/>
        <v>85</v>
      </c>
      <c r="AA31" s="234">
        <f t="shared" si="23"/>
        <v>98</v>
      </c>
      <c r="AB31" s="234">
        <f t="shared" si="24"/>
        <v>60</v>
      </c>
      <c r="AC31" s="70">
        <f t="shared" si="25"/>
        <v>1139</v>
      </c>
      <c r="AD31" s="71">
        <f t="shared" si="26"/>
        <v>59.94736842105263</v>
      </c>
      <c r="AE31" s="72">
        <f t="shared" si="27"/>
        <v>28</v>
      </c>
      <c r="AF31" s="73" t="s">
        <v>805</v>
      </c>
      <c r="AG31" s="73" t="s">
        <v>805</v>
      </c>
      <c r="AH31" s="73" t="s">
        <v>805</v>
      </c>
      <c r="AI31" s="74">
        <v>12</v>
      </c>
      <c r="AJ31" s="74">
        <v>0</v>
      </c>
      <c r="AK31" s="74">
        <v>15</v>
      </c>
      <c r="AL31" s="75"/>
      <c r="AN31" s="93">
        <v>7</v>
      </c>
      <c r="AO31" s="94">
        <v>20210093</v>
      </c>
      <c r="AP31" s="95" t="s">
        <v>343</v>
      </c>
      <c r="AQ31" s="68">
        <v>73</v>
      </c>
      <c r="AR31" s="68">
        <v>43</v>
      </c>
      <c r="AS31" s="68">
        <v>60</v>
      </c>
      <c r="AT31" s="68">
        <v>66.900000000000006</v>
      </c>
      <c r="AU31" s="68">
        <v>53.5</v>
      </c>
      <c r="AV31" s="68">
        <v>56.5</v>
      </c>
      <c r="AW31" s="68">
        <v>65.699999999999989</v>
      </c>
      <c r="AX31" s="68">
        <v>53.8</v>
      </c>
      <c r="AY31" s="68">
        <v>38.700000000000003</v>
      </c>
      <c r="AZ31" s="68">
        <v>40.799999999999997</v>
      </c>
      <c r="BA31" s="68">
        <v>44.5</v>
      </c>
      <c r="BB31" s="68">
        <v>58</v>
      </c>
      <c r="BC31" s="68">
        <v>56.5</v>
      </c>
      <c r="BD31" s="68">
        <v>64.400000000000006</v>
      </c>
      <c r="BE31" s="76">
        <v>81</v>
      </c>
      <c r="BF31" s="76">
        <v>100</v>
      </c>
      <c r="BG31" s="76">
        <v>40</v>
      </c>
      <c r="BH31" s="76">
        <v>60</v>
      </c>
      <c r="BI31" s="76">
        <v>80</v>
      </c>
      <c r="BJ31" s="240">
        <v>97.5</v>
      </c>
      <c r="BK31" s="240">
        <v>97.5</v>
      </c>
      <c r="BL31" s="240">
        <v>53.8</v>
      </c>
      <c r="BM31" s="240">
        <v>85</v>
      </c>
      <c r="BN31" s="240">
        <v>97.5</v>
      </c>
      <c r="BO31" s="240">
        <v>60</v>
      </c>
      <c r="BP31" s="70">
        <f t="shared" si="28"/>
        <v>1136.3</v>
      </c>
      <c r="BQ31" s="71">
        <f t="shared" si="29"/>
        <v>59.805263157894736</v>
      </c>
      <c r="BR31" s="72" t="e">
        <f t="shared" si="30"/>
        <v>#N/A</v>
      </c>
      <c r="BS31" s="73"/>
      <c r="BT31" s="73"/>
      <c r="BU31" s="73"/>
      <c r="BV31" s="74"/>
      <c r="BW31" s="74"/>
      <c r="BX31" s="74"/>
      <c r="BY31" s="75"/>
    </row>
    <row r="32" spans="1:77" ht="24.6" customHeight="1">
      <c r="A32" s="138">
        <v>29</v>
      </c>
      <c r="B32" s="94">
        <v>20210059</v>
      </c>
      <c r="C32" s="95" t="s">
        <v>340</v>
      </c>
      <c r="D32" s="68">
        <f t="shared" si="0"/>
        <v>49</v>
      </c>
      <c r="E32" s="68">
        <f t="shared" si="1"/>
        <v>40</v>
      </c>
      <c r="F32" s="68">
        <f t="shared" si="2"/>
        <v>46</v>
      </c>
      <c r="G32" s="68">
        <f t="shared" si="3"/>
        <v>40</v>
      </c>
      <c r="H32" s="68">
        <f t="shared" si="4"/>
        <v>58</v>
      </c>
      <c r="I32" s="68">
        <f t="shared" si="5"/>
        <v>43</v>
      </c>
      <c r="J32" s="68">
        <f t="shared" si="6"/>
        <v>53</v>
      </c>
      <c r="K32" s="68">
        <f t="shared" si="7"/>
        <v>50</v>
      </c>
      <c r="L32" s="68">
        <f t="shared" si="8"/>
        <v>54</v>
      </c>
      <c r="M32" s="68">
        <f t="shared" si="9"/>
        <v>40</v>
      </c>
      <c r="N32" s="68">
        <f t="shared" si="10"/>
        <v>40</v>
      </c>
      <c r="O32" s="68">
        <f t="shared" si="11"/>
        <v>51</v>
      </c>
      <c r="P32" s="68">
        <f t="shared" si="12"/>
        <v>50</v>
      </c>
      <c r="Q32" s="68">
        <f t="shared" si="13"/>
        <v>59</v>
      </c>
      <c r="R32" s="69">
        <f t="shared" si="14"/>
        <v>67</v>
      </c>
      <c r="S32" s="69">
        <f t="shared" si="15"/>
        <v>99</v>
      </c>
      <c r="T32" s="69">
        <f t="shared" si="16"/>
        <v>40</v>
      </c>
      <c r="U32" s="69">
        <f t="shared" si="17"/>
        <v>60</v>
      </c>
      <c r="V32" s="69">
        <f t="shared" si="18"/>
        <v>80</v>
      </c>
      <c r="W32" s="234">
        <f t="shared" si="19"/>
        <v>99</v>
      </c>
      <c r="X32" s="234">
        <f t="shared" si="20"/>
        <v>98</v>
      </c>
      <c r="Y32" s="234">
        <f t="shared" si="21"/>
        <v>50</v>
      </c>
      <c r="Z32" s="234">
        <f t="shared" si="22"/>
        <v>98</v>
      </c>
      <c r="AA32" s="234">
        <f t="shared" si="23"/>
        <v>99</v>
      </c>
      <c r="AB32" s="234">
        <f t="shared" si="24"/>
        <v>63</v>
      </c>
      <c r="AC32" s="70">
        <f t="shared" si="25"/>
        <v>1019</v>
      </c>
      <c r="AD32" s="71">
        <f t="shared" si="26"/>
        <v>53.631578947368418</v>
      </c>
      <c r="AE32" s="72">
        <f t="shared" si="27"/>
        <v>29</v>
      </c>
      <c r="AF32" s="73" t="s">
        <v>805</v>
      </c>
      <c r="AG32" s="73" t="s">
        <v>805</v>
      </c>
      <c r="AH32" s="73" t="s">
        <v>805</v>
      </c>
      <c r="AI32" s="74">
        <v>30</v>
      </c>
      <c r="AJ32" s="74">
        <v>0</v>
      </c>
      <c r="AK32" s="74">
        <v>4</v>
      </c>
      <c r="AL32" s="75"/>
      <c r="AN32" s="93">
        <v>20</v>
      </c>
      <c r="AO32" s="94">
        <v>20210059</v>
      </c>
      <c r="AP32" s="95" t="s">
        <v>340</v>
      </c>
      <c r="AQ32" s="68">
        <v>49</v>
      </c>
      <c r="AR32" s="68">
        <v>29</v>
      </c>
      <c r="AS32" s="68">
        <v>46</v>
      </c>
      <c r="AT32" s="68">
        <v>26</v>
      </c>
      <c r="AU32" s="68">
        <v>58</v>
      </c>
      <c r="AV32" s="68">
        <v>42.5</v>
      </c>
      <c r="AW32" s="68">
        <v>52.5</v>
      </c>
      <c r="AX32" s="68">
        <v>50</v>
      </c>
      <c r="AY32" s="68">
        <v>54</v>
      </c>
      <c r="AZ32" s="68">
        <v>33</v>
      </c>
      <c r="BA32" s="68">
        <v>36</v>
      </c>
      <c r="BB32" s="68">
        <v>50.5</v>
      </c>
      <c r="BC32" s="68">
        <v>49.5</v>
      </c>
      <c r="BD32" s="68">
        <v>59.2</v>
      </c>
      <c r="BE32" s="76">
        <v>67</v>
      </c>
      <c r="BF32" s="76">
        <v>100</v>
      </c>
      <c r="BG32" s="76">
        <v>40</v>
      </c>
      <c r="BH32" s="76">
        <v>60</v>
      </c>
      <c r="BI32" s="76">
        <v>80</v>
      </c>
      <c r="BJ32" s="240">
        <v>100</v>
      </c>
      <c r="BK32" s="240">
        <v>97.5</v>
      </c>
      <c r="BL32" s="240">
        <v>50</v>
      </c>
      <c r="BM32" s="240">
        <v>97.5</v>
      </c>
      <c r="BN32" s="240">
        <v>100</v>
      </c>
      <c r="BO32" s="240">
        <v>62.5</v>
      </c>
      <c r="BP32" s="70">
        <f t="shared" si="28"/>
        <v>982.2</v>
      </c>
      <c r="BQ32" s="71">
        <f t="shared" si="29"/>
        <v>51.694736842105264</v>
      </c>
      <c r="BR32" s="72" t="e">
        <f t="shared" si="30"/>
        <v>#N/A</v>
      </c>
      <c r="BS32" s="73"/>
      <c r="BT32" s="73"/>
      <c r="BU32" s="73"/>
      <c r="BV32" s="74"/>
      <c r="BW32" s="74"/>
      <c r="BX32" s="74"/>
      <c r="BY32" s="75"/>
    </row>
    <row r="33" spans="1:77" ht="24.6" customHeight="1">
      <c r="A33" s="267" t="s">
        <v>202</v>
      </c>
      <c r="B33" s="268"/>
      <c r="C33" s="269"/>
      <c r="D33" s="72">
        <f t="shared" ref="D33:V33" si="31">SUM(D4:D30)</f>
        <v>2183</v>
      </c>
      <c r="E33" s="72">
        <f t="shared" si="31"/>
        <v>1650</v>
      </c>
      <c r="F33" s="72">
        <f t="shared" si="31"/>
        <v>2260</v>
      </c>
      <c r="G33" s="72">
        <f t="shared" si="31"/>
        <v>2124</v>
      </c>
      <c r="H33" s="72">
        <f t="shared" si="31"/>
        <v>2061</v>
      </c>
      <c r="I33" s="72">
        <f t="shared" si="31"/>
        <v>1745</v>
      </c>
      <c r="J33" s="72">
        <f t="shared" si="31"/>
        <v>2017</v>
      </c>
      <c r="K33" s="72">
        <f t="shared" si="31"/>
        <v>2035</v>
      </c>
      <c r="L33" s="72">
        <f t="shared" si="31"/>
        <v>2079</v>
      </c>
      <c r="M33" s="72">
        <f t="shared" si="31"/>
        <v>1949</v>
      </c>
      <c r="N33" s="72">
        <f t="shared" si="31"/>
        <v>1850</v>
      </c>
      <c r="O33" s="72">
        <f t="shared" si="31"/>
        <v>1752</v>
      </c>
      <c r="P33" s="72">
        <f t="shared" si="31"/>
        <v>1956</v>
      </c>
      <c r="Q33" s="72">
        <f t="shared" si="31"/>
        <v>2332</v>
      </c>
      <c r="R33" s="72">
        <f t="shared" si="31"/>
        <v>2437</v>
      </c>
      <c r="S33" s="72">
        <f t="shared" si="31"/>
        <v>2673</v>
      </c>
      <c r="T33" s="72">
        <f t="shared" si="31"/>
        <v>2049</v>
      </c>
      <c r="U33" s="72">
        <f t="shared" si="31"/>
        <v>1895</v>
      </c>
      <c r="V33" s="72">
        <f t="shared" si="31"/>
        <v>2160</v>
      </c>
      <c r="W33" s="72"/>
      <c r="X33" s="72"/>
      <c r="Y33" s="72"/>
      <c r="Z33" s="72"/>
      <c r="AA33" s="72"/>
      <c r="AB33" s="72"/>
      <c r="AC33" s="81"/>
      <c r="AD33" s="81"/>
      <c r="AE33" s="81"/>
      <c r="AF33" s="81"/>
      <c r="AG33" s="81"/>
      <c r="AH33" s="81"/>
      <c r="AI33" s="81"/>
      <c r="AJ33" s="81"/>
      <c r="AK33" s="81"/>
      <c r="AL33" s="82"/>
      <c r="AN33" s="267" t="s">
        <v>202</v>
      </c>
      <c r="AO33" s="268"/>
      <c r="AP33" s="269"/>
      <c r="AQ33" s="72">
        <f t="shared" ref="AQ33:BI33" si="32">SUM(AQ4:AQ30)</f>
        <v>2181.6999999999998</v>
      </c>
      <c r="AR33" s="72">
        <f t="shared" si="32"/>
        <v>1644.3999999999999</v>
      </c>
      <c r="AS33" s="72">
        <f t="shared" si="32"/>
        <v>2258.5</v>
      </c>
      <c r="AT33" s="72">
        <f t="shared" si="32"/>
        <v>2117.9999999999995</v>
      </c>
      <c r="AU33" s="72">
        <f t="shared" si="32"/>
        <v>2055.6999999999998</v>
      </c>
      <c r="AV33" s="72">
        <f t="shared" si="32"/>
        <v>1743</v>
      </c>
      <c r="AW33" s="72">
        <f t="shared" si="32"/>
        <v>2010.8</v>
      </c>
      <c r="AX33" s="72">
        <f t="shared" si="32"/>
        <v>2034.2</v>
      </c>
      <c r="AY33" s="72">
        <f t="shared" si="32"/>
        <v>2074.6</v>
      </c>
      <c r="AZ33" s="72">
        <f t="shared" si="32"/>
        <v>1945.6999999999998</v>
      </c>
      <c r="BA33" s="72">
        <f t="shared" si="32"/>
        <v>1845</v>
      </c>
      <c r="BB33" s="72">
        <f t="shared" si="32"/>
        <v>1741.5</v>
      </c>
      <c r="BC33" s="72">
        <f t="shared" si="32"/>
        <v>1949</v>
      </c>
      <c r="BD33" s="72">
        <f t="shared" si="32"/>
        <v>2327.9999999999995</v>
      </c>
      <c r="BE33" s="72">
        <f>SUM(BE4:BE32)</f>
        <v>2585</v>
      </c>
      <c r="BF33" s="72">
        <f t="shared" si="32"/>
        <v>2700</v>
      </c>
      <c r="BG33" s="72">
        <f>SUM(BG4:BG32)</f>
        <v>2129</v>
      </c>
      <c r="BH33" s="72">
        <f t="shared" si="32"/>
        <v>1895</v>
      </c>
      <c r="BI33" s="72">
        <f t="shared" si="32"/>
        <v>2160</v>
      </c>
      <c r="BJ33" s="72"/>
      <c r="BK33" s="72"/>
      <c r="BL33" s="72"/>
      <c r="BM33" s="72"/>
      <c r="BN33" s="72"/>
      <c r="BO33" s="72"/>
      <c r="BP33" s="81"/>
      <c r="BQ33" s="81"/>
      <c r="BR33" s="81"/>
      <c r="BS33" s="81"/>
      <c r="BT33" s="81"/>
      <c r="BU33" s="81"/>
      <c r="BV33" s="81"/>
      <c r="BW33" s="81"/>
      <c r="BX33" s="81"/>
      <c r="BY33" s="82"/>
    </row>
    <row r="34" spans="1:77" ht="24.6" customHeight="1">
      <c r="A34" s="267" t="s">
        <v>203</v>
      </c>
      <c r="B34" s="268"/>
      <c r="C34" s="269"/>
      <c r="D34" s="72">
        <f t="shared" ref="D34:V34" si="33">AVERAGE(D4:D30)</f>
        <v>80.851851851851848</v>
      </c>
      <c r="E34" s="72">
        <f t="shared" si="33"/>
        <v>61.111111111111114</v>
      </c>
      <c r="F34" s="72">
        <f t="shared" si="33"/>
        <v>83.703703703703709</v>
      </c>
      <c r="G34" s="72">
        <f t="shared" si="33"/>
        <v>78.666666666666671</v>
      </c>
      <c r="H34" s="72">
        <f t="shared" si="33"/>
        <v>76.333333333333329</v>
      </c>
      <c r="I34" s="72">
        <f t="shared" si="33"/>
        <v>64.629629629629633</v>
      </c>
      <c r="J34" s="72">
        <f t="shared" si="33"/>
        <v>74.703703703703709</v>
      </c>
      <c r="K34" s="72">
        <f t="shared" si="33"/>
        <v>75.370370370370367</v>
      </c>
      <c r="L34" s="72">
        <f t="shared" si="33"/>
        <v>77</v>
      </c>
      <c r="M34" s="72">
        <f t="shared" si="33"/>
        <v>72.18518518518519</v>
      </c>
      <c r="N34" s="72">
        <f t="shared" si="33"/>
        <v>68.518518518518519</v>
      </c>
      <c r="O34" s="72">
        <f t="shared" si="33"/>
        <v>64.888888888888886</v>
      </c>
      <c r="P34" s="72">
        <f t="shared" si="33"/>
        <v>72.444444444444443</v>
      </c>
      <c r="Q34" s="72">
        <f t="shared" si="33"/>
        <v>86.370370370370367</v>
      </c>
      <c r="R34" s="72">
        <f t="shared" si="33"/>
        <v>90.259259259259252</v>
      </c>
      <c r="S34" s="72">
        <f t="shared" si="33"/>
        <v>99</v>
      </c>
      <c r="T34" s="72">
        <f t="shared" si="33"/>
        <v>75.888888888888886</v>
      </c>
      <c r="U34" s="72">
        <f t="shared" si="33"/>
        <v>70.18518518518519</v>
      </c>
      <c r="V34" s="72">
        <f t="shared" si="33"/>
        <v>80</v>
      </c>
      <c r="W34" s="72"/>
      <c r="X34" s="72"/>
      <c r="Y34" s="72"/>
      <c r="Z34" s="72"/>
      <c r="AA34" s="72"/>
      <c r="AB34" s="72"/>
      <c r="AC34" s="81"/>
      <c r="AD34" s="81"/>
      <c r="AE34" s="81"/>
      <c r="AF34" s="81"/>
      <c r="AG34" s="81"/>
      <c r="AH34" s="81"/>
      <c r="AI34" s="81"/>
      <c r="AJ34" s="81"/>
      <c r="AK34" s="81"/>
      <c r="AL34" s="82"/>
      <c r="AN34" s="267" t="s">
        <v>203</v>
      </c>
      <c r="AO34" s="268"/>
      <c r="AP34" s="269"/>
      <c r="AQ34" s="72">
        <f t="shared" ref="AQ34:BD34" si="34">AVERAGE(AQ4:AQ30)</f>
        <v>80.803703703703704</v>
      </c>
      <c r="AR34" s="72">
        <f t="shared" si="34"/>
        <v>60.903703703703698</v>
      </c>
      <c r="AS34" s="72">
        <f t="shared" si="34"/>
        <v>83.648148148148152</v>
      </c>
      <c r="AT34" s="72">
        <f t="shared" si="34"/>
        <v>78.444444444444429</v>
      </c>
      <c r="AU34" s="72">
        <f t="shared" si="34"/>
        <v>76.137037037037032</v>
      </c>
      <c r="AV34" s="72">
        <f t="shared" si="34"/>
        <v>64.555555555555557</v>
      </c>
      <c r="AW34" s="72">
        <f t="shared" si="34"/>
        <v>74.474074074074068</v>
      </c>
      <c r="AX34" s="72">
        <f t="shared" si="34"/>
        <v>75.340740740740742</v>
      </c>
      <c r="AY34" s="72">
        <f t="shared" si="34"/>
        <v>76.837037037037035</v>
      </c>
      <c r="AZ34" s="72">
        <f t="shared" si="34"/>
        <v>72.062962962962956</v>
      </c>
      <c r="BA34" s="72">
        <f t="shared" si="34"/>
        <v>68.333333333333329</v>
      </c>
      <c r="BB34" s="72">
        <f t="shared" si="34"/>
        <v>64.5</v>
      </c>
      <c r="BC34" s="72">
        <f t="shared" si="34"/>
        <v>72.18518518518519</v>
      </c>
      <c r="BD34" s="72">
        <f t="shared" si="34"/>
        <v>86.2222222222222</v>
      </c>
      <c r="BE34" s="72">
        <f>AVERAGE(BE4:BE32)</f>
        <v>89.137931034482762</v>
      </c>
      <c r="BF34" s="72">
        <f>AVERAGE(BF4:BF30)</f>
        <v>100</v>
      </c>
      <c r="BG34" s="72">
        <f>AVERAGE(BG4:BG32)</f>
        <v>73.41379310344827</v>
      </c>
      <c r="BH34" s="72">
        <f>AVERAGE(BH4:BH30)</f>
        <v>70.18518518518519</v>
      </c>
      <c r="BI34" s="72">
        <f>AVERAGE(BI4:BI30)</f>
        <v>80</v>
      </c>
      <c r="BJ34" s="72"/>
      <c r="BK34" s="72"/>
      <c r="BL34" s="72"/>
      <c r="BM34" s="72"/>
      <c r="BN34" s="72"/>
      <c r="BO34" s="72"/>
      <c r="BP34" s="81"/>
      <c r="BQ34" s="81"/>
      <c r="BR34" s="81"/>
      <c r="BS34" s="81"/>
      <c r="BT34" s="81"/>
      <c r="BU34" s="81"/>
      <c r="BV34" s="81"/>
      <c r="BW34" s="81"/>
      <c r="BX34" s="81"/>
      <c r="BY34" s="82"/>
    </row>
    <row r="35" spans="1:77" s="83" customFormat="1">
      <c r="A35" s="83">
        <v>1</v>
      </c>
      <c r="B35" s="83">
        <v>2</v>
      </c>
      <c r="C35" s="83">
        <v>3</v>
      </c>
      <c r="D35" s="83">
        <v>4</v>
      </c>
      <c r="E35" s="83">
        <v>5</v>
      </c>
      <c r="F35" s="83">
        <v>6</v>
      </c>
      <c r="G35" s="83">
        <v>7</v>
      </c>
      <c r="H35" s="83">
        <v>8</v>
      </c>
      <c r="I35" s="83">
        <v>9</v>
      </c>
      <c r="J35" s="83">
        <v>10</v>
      </c>
      <c r="K35" s="83">
        <v>11</v>
      </c>
      <c r="L35" s="83">
        <v>12</v>
      </c>
      <c r="M35" s="83">
        <v>13</v>
      </c>
      <c r="N35" s="83">
        <v>14</v>
      </c>
      <c r="O35" s="83">
        <v>15</v>
      </c>
      <c r="P35" s="83">
        <v>16</v>
      </c>
      <c r="Q35" s="83">
        <v>17</v>
      </c>
      <c r="R35" s="83">
        <v>18</v>
      </c>
      <c r="S35" s="83">
        <v>19</v>
      </c>
      <c r="T35" s="83">
        <v>20</v>
      </c>
      <c r="U35" s="83">
        <v>21</v>
      </c>
      <c r="V35" s="83">
        <v>22</v>
      </c>
      <c r="AC35" s="83">
        <v>23</v>
      </c>
      <c r="AD35" s="83">
        <v>24</v>
      </c>
      <c r="AE35" s="83">
        <v>25</v>
      </c>
      <c r="AF35" s="83">
        <v>26</v>
      </c>
      <c r="AG35" s="83">
        <v>27</v>
      </c>
      <c r="AH35" s="83">
        <v>28</v>
      </c>
      <c r="AI35" s="83">
        <v>29</v>
      </c>
      <c r="AJ35" s="83">
        <v>30</v>
      </c>
      <c r="AK35" s="83">
        <v>31</v>
      </c>
      <c r="AN35" s="83">
        <v>1</v>
      </c>
      <c r="AO35" s="83">
        <v>2</v>
      </c>
      <c r="AP35" s="83">
        <v>3</v>
      </c>
      <c r="AQ35" s="83">
        <v>4</v>
      </c>
      <c r="AR35" s="83">
        <v>5</v>
      </c>
      <c r="AS35" s="83">
        <v>6</v>
      </c>
      <c r="AT35" s="83">
        <v>7</v>
      </c>
      <c r="AU35" s="83">
        <v>8</v>
      </c>
      <c r="AV35" s="83">
        <v>9</v>
      </c>
      <c r="AW35" s="83">
        <v>10</v>
      </c>
      <c r="AX35" s="83">
        <v>11</v>
      </c>
      <c r="AY35" s="83">
        <v>12</v>
      </c>
      <c r="AZ35" s="83">
        <v>13</v>
      </c>
      <c r="BA35" s="83">
        <v>14</v>
      </c>
      <c r="BB35" s="83">
        <v>15</v>
      </c>
      <c r="BC35" s="83">
        <v>16</v>
      </c>
      <c r="BD35" s="83">
        <v>17</v>
      </c>
      <c r="BE35" s="83">
        <v>18</v>
      </c>
      <c r="BF35" s="83">
        <v>19</v>
      </c>
      <c r="BG35" s="83">
        <v>20</v>
      </c>
      <c r="BH35" s="83">
        <v>21</v>
      </c>
      <c r="BI35" s="83">
        <v>22</v>
      </c>
      <c r="BP35" s="83">
        <v>23</v>
      </c>
      <c r="BQ35" s="83">
        <v>24</v>
      </c>
      <c r="BR35" s="83">
        <v>25</v>
      </c>
      <c r="BS35" s="83">
        <v>26</v>
      </c>
      <c r="BT35" s="83">
        <v>27</v>
      </c>
      <c r="BU35" s="83">
        <v>28</v>
      </c>
      <c r="BV35" s="83">
        <v>29</v>
      </c>
      <c r="BW35" s="83">
        <v>30</v>
      </c>
      <c r="BX35" s="83">
        <v>31</v>
      </c>
    </row>
    <row r="36" spans="1:77">
      <c r="A36" s="84"/>
    </row>
    <row r="37" spans="1:77" ht="23.25">
      <c r="A37" s="84" t="s">
        <v>204</v>
      </c>
      <c r="C37" s="85"/>
    </row>
    <row r="38" spans="1:77">
      <c r="A38" s="86"/>
      <c r="B38" s="86"/>
      <c r="C38" s="60" t="s">
        <v>205</v>
      </c>
    </row>
    <row r="39" spans="1:77">
      <c r="A39" s="87"/>
      <c r="B39" s="87"/>
      <c r="C39" s="60" t="s">
        <v>206</v>
      </c>
    </row>
    <row r="40" spans="1:77">
      <c r="A40" s="88"/>
      <c r="B40" s="88"/>
      <c r="C40" s="60" t="s">
        <v>207</v>
      </c>
    </row>
    <row r="41" spans="1:77">
      <c r="A41" s="89"/>
      <c r="B41" s="89"/>
      <c r="C41" s="60" t="s">
        <v>208</v>
      </c>
    </row>
  </sheetData>
  <sortState xmlns:xlrd2="http://schemas.microsoft.com/office/spreadsheetml/2017/richdata2" ref="B4:BY32">
    <sortCondition ref="AE4:AE32"/>
  </sortState>
  <mergeCells count="36">
    <mergeCell ref="A33:C33"/>
    <mergeCell ref="AN33:AP33"/>
    <mergeCell ref="A34:C34"/>
    <mergeCell ref="AN34:AP34"/>
    <mergeCell ref="BT2:BT3"/>
    <mergeCell ref="AQ2:BA2"/>
    <mergeCell ref="BE2:BI2"/>
    <mergeCell ref="BP2:BP3"/>
    <mergeCell ref="BQ2:BQ3"/>
    <mergeCell ref="BR2:BR3"/>
    <mergeCell ref="BS2:BS3"/>
    <mergeCell ref="AJ2:AJ3"/>
    <mergeCell ref="AK2:AK3"/>
    <mergeCell ref="AL2:AL3"/>
    <mergeCell ref="AN2:AN3"/>
    <mergeCell ref="AO2:AO3"/>
    <mergeCell ref="BU2:BU3"/>
    <mergeCell ref="BV2:BV3"/>
    <mergeCell ref="BW2:BW3"/>
    <mergeCell ref="BX2:BX3"/>
    <mergeCell ref="BY2:BY3"/>
    <mergeCell ref="BJ2:BO2"/>
    <mergeCell ref="AC2:AC3"/>
    <mergeCell ref="A2:A3"/>
    <mergeCell ref="B2:B3"/>
    <mergeCell ref="C2:C3"/>
    <mergeCell ref="D2:N2"/>
    <mergeCell ref="R2:V2"/>
    <mergeCell ref="W2:AB2"/>
    <mergeCell ref="AP2:AP3"/>
    <mergeCell ref="AD2:AD3"/>
    <mergeCell ref="AE2:AE3"/>
    <mergeCell ref="AF2:AF3"/>
    <mergeCell ref="AG2:AG3"/>
    <mergeCell ref="AH2:AH3"/>
    <mergeCell ref="AI2:AI3"/>
  </mergeCells>
  <conditionalFormatting sqref="B4">
    <cfRule type="duplicateValues" dxfId="979" priority="61"/>
    <cfRule type="duplicateValues" dxfId="978" priority="62"/>
  </conditionalFormatting>
  <conditionalFormatting sqref="B5">
    <cfRule type="duplicateValues" dxfId="977" priority="59"/>
    <cfRule type="duplicateValues" dxfId="976" priority="60"/>
  </conditionalFormatting>
  <conditionalFormatting sqref="B6">
    <cfRule type="duplicateValues" dxfId="975" priority="57"/>
    <cfRule type="duplicateValues" dxfId="974" priority="58"/>
  </conditionalFormatting>
  <conditionalFormatting sqref="B7">
    <cfRule type="duplicateValues" dxfId="973" priority="55"/>
    <cfRule type="duplicateValues" dxfId="972" priority="56"/>
  </conditionalFormatting>
  <conditionalFormatting sqref="B8">
    <cfRule type="duplicateValues" dxfId="971" priority="53"/>
    <cfRule type="duplicateValues" dxfId="970" priority="54"/>
  </conditionalFormatting>
  <conditionalFormatting sqref="B9">
    <cfRule type="duplicateValues" dxfId="969" priority="51"/>
    <cfRule type="duplicateValues" dxfId="968" priority="52"/>
  </conditionalFormatting>
  <conditionalFormatting sqref="B10">
    <cfRule type="duplicateValues" dxfId="967" priority="49"/>
    <cfRule type="duplicateValues" dxfId="966" priority="50"/>
  </conditionalFormatting>
  <conditionalFormatting sqref="B11">
    <cfRule type="duplicateValues" dxfId="965" priority="47"/>
    <cfRule type="duplicateValues" dxfId="964" priority="48"/>
  </conditionalFormatting>
  <conditionalFormatting sqref="B12:B13">
    <cfRule type="duplicateValues" dxfId="963" priority="46"/>
  </conditionalFormatting>
  <conditionalFormatting sqref="B14">
    <cfRule type="duplicateValues" dxfId="962" priority="45"/>
  </conditionalFormatting>
  <conditionalFormatting sqref="B15">
    <cfRule type="duplicateValues" dxfId="961" priority="44"/>
  </conditionalFormatting>
  <conditionalFormatting sqref="B16:B17">
    <cfRule type="duplicateValues" dxfId="960" priority="43"/>
  </conditionalFormatting>
  <conditionalFormatting sqref="B18">
    <cfRule type="duplicateValues" dxfId="959" priority="42"/>
  </conditionalFormatting>
  <conditionalFormatting sqref="B19">
    <cfRule type="duplicateValues" dxfId="958" priority="40"/>
  </conditionalFormatting>
  <conditionalFormatting sqref="B20">
    <cfRule type="duplicateValues" dxfId="957" priority="41"/>
  </conditionalFormatting>
  <conditionalFormatting sqref="B21">
    <cfRule type="duplicateValues" dxfId="956" priority="39"/>
  </conditionalFormatting>
  <conditionalFormatting sqref="B22">
    <cfRule type="duplicateValues" dxfId="955" priority="38"/>
  </conditionalFormatting>
  <conditionalFormatting sqref="B23">
    <cfRule type="duplicateValues" dxfId="954" priority="37"/>
  </conditionalFormatting>
  <conditionalFormatting sqref="B24">
    <cfRule type="duplicateValues" dxfId="953" priority="36"/>
  </conditionalFormatting>
  <conditionalFormatting sqref="B25">
    <cfRule type="duplicateValues" dxfId="952" priority="35"/>
  </conditionalFormatting>
  <conditionalFormatting sqref="B26:B29">
    <cfRule type="duplicateValues" dxfId="951" priority="34"/>
  </conditionalFormatting>
  <conditionalFormatting sqref="B30:B32">
    <cfRule type="duplicateValues" dxfId="950" priority="96"/>
  </conditionalFormatting>
  <conditionalFormatting sqref="D4:AB32">
    <cfRule type="cellIs" dxfId="949" priority="64" operator="lessThanOrEqual">
      <formula>59</formula>
    </cfRule>
  </conditionalFormatting>
  <conditionalFormatting sqref="AD4:AD32">
    <cfRule type="cellIs" dxfId="948" priority="63" operator="lessThan">
      <formula>60</formula>
    </cfRule>
  </conditionalFormatting>
  <conditionalFormatting sqref="AE4:AE32">
    <cfRule type="duplicateValues" dxfId="947" priority="97"/>
  </conditionalFormatting>
  <conditionalFormatting sqref="AO4">
    <cfRule type="duplicateValues" dxfId="946" priority="28"/>
    <cfRule type="duplicateValues" dxfId="945" priority="29"/>
  </conditionalFormatting>
  <conditionalFormatting sqref="AO5">
    <cfRule type="duplicateValues" dxfId="944" priority="26"/>
    <cfRule type="duplicateValues" dxfId="943" priority="27"/>
  </conditionalFormatting>
  <conditionalFormatting sqref="AO6">
    <cfRule type="duplicateValues" dxfId="942" priority="24"/>
    <cfRule type="duplicateValues" dxfId="941" priority="25"/>
  </conditionalFormatting>
  <conditionalFormatting sqref="AO7">
    <cfRule type="duplicateValues" dxfId="940" priority="22"/>
    <cfRule type="duplicateValues" dxfId="939" priority="23"/>
  </conditionalFormatting>
  <conditionalFormatting sqref="AO8">
    <cfRule type="duplicateValues" dxfId="938" priority="20"/>
    <cfRule type="duplicateValues" dxfId="937" priority="21"/>
  </conditionalFormatting>
  <conditionalFormatting sqref="AO9">
    <cfRule type="duplicateValues" dxfId="936" priority="18"/>
    <cfRule type="duplicateValues" dxfId="935" priority="19"/>
  </conditionalFormatting>
  <conditionalFormatting sqref="AO10">
    <cfRule type="duplicateValues" dxfId="934" priority="16"/>
    <cfRule type="duplicateValues" dxfId="933" priority="17"/>
  </conditionalFormatting>
  <conditionalFormatting sqref="AO11">
    <cfRule type="duplicateValues" dxfId="932" priority="14"/>
    <cfRule type="duplicateValues" dxfId="931" priority="15"/>
  </conditionalFormatting>
  <conditionalFormatting sqref="AO12:AO13">
    <cfRule type="duplicateValues" dxfId="930" priority="13"/>
  </conditionalFormatting>
  <conditionalFormatting sqref="AO14">
    <cfRule type="duplicateValues" dxfId="929" priority="12"/>
  </conditionalFormatting>
  <conditionalFormatting sqref="AO15">
    <cfRule type="duplicateValues" dxfId="928" priority="11"/>
  </conditionalFormatting>
  <conditionalFormatting sqref="AO16:AO17">
    <cfRule type="duplicateValues" dxfId="927" priority="10"/>
  </conditionalFormatting>
  <conditionalFormatting sqref="AO18">
    <cfRule type="duplicateValues" dxfId="926" priority="9"/>
  </conditionalFormatting>
  <conditionalFormatting sqref="AO19">
    <cfRule type="duplicateValues" dxfId="925" priority="7"/>
  </conditionalFormatting>
  <conditionalFormatting sqref="AO20">
    <cfRule type="duplicateValues" dxfId="924" priority="8"/>
  </conditionalFormatting>
  <conditionalFormatting sqref="AO21">
    <cfRule type="duplicateValues" dxfId="923" priority="6"/>
  </conditionalFormatting>
  <conditionalFormatting sqref="AO22">
    <cfRule type="duplicateValues" dxfId="922" priority="5"/>
  </conditionalFormatting>
  <conditionalFormatting sqref="AO23">
    <cfRule type="duplicateValues" dxfId="921" priority="4"/>
  </conditionalFormatting>
  <conditionalFormatting sqref="AO24">
    <cfRule type="duplicateValues" dxfId="920" priority="3"/>
  </conditionalFormatting>
  <conditionalFormatting sqref="AO25">
    <cfRule type="duplicateValues" dxfId="919" priority="2"/>
  </conditionalFormatting>
  <conditionalFormatting sqref="AO26:AO29">
    <cfRule type="duplicateValues" dxfId="918" priority="1"/>
  </conditionalFormatting>
  <conditionalFormatting sqref="AO30:AO32">
    <cfRule type="duplicateValues" dxfId="917" priority="98"/>
  </conditionalFormatting>
  <conditionalFormatting sqref="AQ4:BO32">
    <cfRule type="cellIs" dxfId="916" priority="31" operator="lessThanOrEqual">
      <formula>59</formula>
    </cfRule>
  </conditionalFormatting>
  <conditionalFormatting sqref="BQ4:BQ32">
    <cfRule type="cellIs" dxfId="915" priority="30" operator="lessThan">
      <formula>60</formula>
    </cfRule>
  </conditionalFormatting>
  <conditionalFormatting sqref="BR4:BR32">
    <cfRule type="duplicateValues" dxfId="914" priority="99"/>
  </conditionalFormatting>
  <printOptions horizontalCentered="1"/>
  <pageMargins left="0.26" right="0.12" top="0.74803149606299202" bottom="0.12" header="0.31496062992126" footer="0.12"/>
  <pageSetup paperSize="10000" scale="75" orientation="landscape" horizontalDpi="203" verticalDpi="203" r:id="rId1"/>
  <rowBreaks count="1" manualBreakCount="1">
    <brk id="26" max="31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98ABC5-3F61-41FB-8554-763C7518962F}">
  <sheetPr codeName="Sheet9">
    <tabColor theme="1" tint="0.499984740745262"/>
  </sheetPr>
  <dimension ref="A1:BY40"/>
  <sheetViews>
    <sheetView zoomScale="70" zoomScaleNormal="70" zoomScaleSheetLayoutView="55" workbookViewId="0">
      <selection activeCell="B4" sqref="B4:BY31"/>
    </sheetView>
  </sheetViews>
  <sheetFormatPr defaultColWidth="9.140625" defaultRowHeight="15.75"/>
  <cols>
    <col min="1" max="1" width="5.5703125" style="60" bestFit="1" customWidth="1"/>
    <col min="2" max="2" width="10.5703125" style="60" bestFit="1" customWidth="1"/>
    <col min="3" max="3" width="35.5703125" style="60" bestFit="1" customWidth="1"/>
    <col min="4" max="28" width="5.42578125" style="60" customWidth="1"/>
    <col min="29" max="31" width="7.140625" style="60" customWidth="1"/>
    <col min="32" max="36" width="5.42578125" style="60" customWidth="1"/>
    <col min="37" max="37" width="4.7109375" style="60" customWidth="1"/>
    <col min="38" max="38" width="5.42578125" style="60" customWidth="1"/>
    <col min="39" max="39" width="9.140625" style="60"/>
    <col min="40" max="40" width="9.28515625" style="60" bestFit="1" customWidth="1"/>
    <col min="41" max="41" width="10.42578125" style="60" bestFit="1" customWidth="1"/>
    <col min="42" max="42" width="29.5703125" style="60" bestFit="1" customWidth="1"/>
    <col min="43" max="77" width="5" style="60" customWidth="1"/>
    <col min="78" max="16384" width="9.140625" style="60"/>
  </cols>
  <sheetData>
    <row r="1" spans="1:77" ht="26.25">
      <c r="A1" s="59" t="s">
        <v>466</v>
      </c>
      <c r="AN1" s="59" t="s">
        <v>315</v>
      </c>
    </row>
    <row r="2" spans="1:77" ht="15.75" customHeight="1">
      <c r="A2" s="281" t="s">
        <v>151</v>
      </c>
      <c r="B2" s="281" t="s">
        <v>152</v>
      </c>
      <c r="C2" s="281" t="s">
        <v>0</v>
      </c>
      <c r="D2" s="273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61"/>
      <c r="P2" s="61"/>
      <c r="Q2" s="61"/>
      <c r="R2" s="286" t="s">
        <v>316</v>
      </c>
      <c r="S2" s="286"/>
      <c r="T2" s="286"/>
      <c r="U2" s="286"/>
      <c r="V2" s="287"/>
      <c r="W2" s="283" t="s">
        <v>798</v>
      </c>
      <c r="X2" s="284"/>
      <c r="Y2" s="284"/>
      <c r="Z2" s="284"/>
      <c r="AA2" s="284"/>
      <c r="AB2" s="285"/>
      <c r="AC2" s="276" t="s">
        <v>155</v>
      </c>
      <c r="AD2" s="276" t="s">
        <v>156</v>
      </c>
      <c r="AE2" s="276" t="s">
        <v>157</v>
      </c>
      <c r="AF2" s="270" t="s">
        <v>158</v>
      </c>
      <c r="AG2" s="270" t="s">
        <v>159</v>
      </c>
      <c r="AH2" s="270" t="s">
        <v>160</v>
      </c>
      <c r="AI2" s="278" t="s">
        <v>161</v>
      </c>
      <c r="AJ2" s="278" t="s">
        <v>162</v>
      </c>
      <c r="AK2" s="278" t="s">
        <v>163</v>
      </c>
      <c r="AL2" s="280" t="s">
        <v>164</v>
      </c>
      <c r="AN2" s="281" t="s">
        <v>151</v>
      </c>
      <c r="AO2" s="281" t="s">
        <v>152</v>
      </c>
      <c r="AP2" s="281" t="s">
        <v>0</v>
      </c>
      <c r="AQ2" s="273" t="s">
        <v>153</v>
      </c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61"/>
      <c r="BC2" s="61"/>
      <c r="BD2" s="61"/>
      <c r="BE2" s="426" t="s">
        <v>316</v>
      </c>
      <c r="BF2" s="426"/>
      <c r="BG2" s="426"/>
      <c r="BH2" s="426"/>
      <c r="BI2" s="427"/>
      <c r="BJ2" s="283" t="s">
        <v>798</v>
      </c>
      <c r="BK2" s="284"/>
      <c r="BL2" s="284"/>
      <c r="BM2" s="284"/>
      <c r="BN2" s="284"/>
      <c r="BO2" s="285"/>
      <c r="BP2" s="276" t="s">
        <v>155</v>
      </c>
      <c r="BQ2" s="276" t="s">
        <v>156</v>
      </c>
      <c r="BR2" s="276" t="s">
        <v>157</v>
      </c>
      <c r="BS2" s="270" t="s">
        <v>158</v>
      </c>
      <c r="BT2" s="270" t="s">
        <v>159</v>
      </c>
      <c r="BU2" s="270" t="s">
        <v>160</v>
      </c>
      <c r="BV2" s="278" t="s">
        <v>161</v>
      </c>
      <c r="BW2" s="278" t="s">
        <v>162</v>
      </c>
      <c r="BX2" s="278" t="s">
        <v>163</v>
      </c>
      <c r="BY2" s="280" t="s">
        <v>164</v>
      </c>
    </row>
    <row r="3" spans="1:77" ht="99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3" t="s">
        <v>96</v>
      </c>
      <c r="R3" s="64" t="s">
        <v>14</v>
      </c>
      <c r="S3" s="64" t="s">
        <v>22</v>
      </c>
      <c r="T3" s="64" t="s">
        <v>91</v>
      </c>
      <c r="U3" s="64" t="s">
        <v>20</v>
      </c>
      <c r="V3" s="64" t="s">
        <v>93</v>
      </c>
      <c r="W3" s="233" t="s">
        <v>799</v>
      </c>
      <c r="X3" s="233" t="s">
        <v>800</v>
      </c>
      <c r="Y3" s="233" t="s">
        <v>801</v>
      </c>
      <c r="Z3" s="233" t="s">
        <v>802</v>
      </c>
      <c r="AA3" s="233" t="s">
        <v>803</v>
      </c>
      <c r="AB3" s="233" t="s">
        <v>804</v>
      </c>
      <c r="AC3" s="277"/>
      <c r="AD3" s="277"/>
      <c r="AE3" s="277"/>
      <c r="AF3" s="271"/>
      <c r="AG3" s="271"/>
      <c r="AH3" s="271"/>
      <c r="AI3" s="279"/>
      <c r="AJ3" s="279"/>
      <c r="AK3" s="279"/>
      <c r="AL3" s="280"/>
      <c r="AN3" s="282"/>
      <c r="AO3" s="282"/>
      <c r="AP3" s="282"/>
      <c r="AQ3" s="63" t="s">
        <v>20</v>
      </c>
      <c r="AR3" s="63" t="s">
        <v>22</v>
      </c>
      <c r="AS3" s="63" t="s">
        <v>165</v>
      </c>
      <c r="AT3" s="63" t="s">
        <v>166</v>
      </c>
      <c r="AU3" s="63" t="s">
        <v>167</v>
      </c>
      <c r="AV3" s="63" t="s">
        <v>168</v>
      </c>
      <c r="AW3" s="63" t="s">
        <v>169</v>
      </c>
      <c r="AX3" s="63" t="s">
        <v>170</v>
      </c>
      <c r="AY3" s="63" t="s">
        <v>14</v>
      </c>
      <c r="AZ3" s="63" t="s">
        <v>120</v>
      </c>
      <c r="BA3" s="63" t="s">
        <v>171</v>
      </c>
      <c r="BB3" s="63" t="s">
        <v>172</v>
      </c>
      <c r="BC3" s="63" t="s">
        <v>55</v>
      </c>
      <c r="BD3" s="63" t="s">
        <v>96</v>
      </c>
      <c r="BE3" s="65" t="s">
        <v>14</v>
      </c>
      <c r="BF3" s="65" t="s">
        <v>22</v>
      </c>
      <c r="BG3" s="65" t="s">
        <v>91</v>
      </c>
      <c r="BH3" s="65" t="s">
        <v>20</v>
      </c>
      <c r="BI3" s="65" t="s">
        <v>93</v>
      </c>
      <c r="BJ3" s="233" t="s">
        <v>799</v>
      </c>
      <c r="BK3" s="233" t="s">
        <v>800</v>
      </c>
      <c r="BL3" s="233" t="s">
        <v>801</v>
      </c>
      <c r="BM3" s="233" t="s">
        <v>802</v>
      </c>
      <c r="BN3" s="233" t="s">
        <v>803</v>
      </c>
      <c r="BO3" s="233" t="s">
        <v>804</v>
      </c>
      <c r="BP3" s="277"/>
      <c r="BQ3" s="277"/>
      <c r="BR3" s="277"/>
      <c r="BS3" s="271"/>
      <c r="BT3" s="271"/>
      <c r="BU3" s="271"/>
      <c r="BV3" s="279"/>
      <c r="BW3" s="279"/>
      <c r="BX3" s="279"/>
      <c r="BY3" s="280"/>
    </row>
    <row r="4" spans="1:77" ht="24.6" customHeight="1">
      <c r="A4" s="93">
        <v>1</v>
      </c>
      <c r="B4" s="139">
        <v>21220023</v>
      </c>
      <c r="C4" s="108" t="s">
        <v>462</v>
      </c>
      <c r="D4" s="68">
        <f t="shared" ref="D4:D31" si="0">ROUND(IF(AQ4=0,0,MIN(MAX(AQ4,40),99)),0)</f>
        <v>99</v>
      </c>
      <c r="E4" s="68">
        <f t="shared" ref="E4:E31" si="1">ROUND(IF(AR4=0,0,MIN(MAX(AR4,40),99)),0)</f>
        <v>99</v>
      </c>
      <c r="F4" s="68">
        <f t="shared" ref="F4:F31" si="2">ROUND(IF(AS4=0,0,MIN(MAX(AS4,40),99)),0)</f>
        <v>96</v>
      </c>
      <c r="G4" s="68">
        <f t="shared" ref="G4:G31" si="3">ROUND(IF(AT4=0,0,MIN(MAX(AT4,40),99)),0)</f>
        <v>99</v>
      </c>
      <c r="H4" s="68">
        <f t="shared" ref="H4:H31" si="4">ROUND(IF(AU4=0,0,MIN(MAX(AU4,40),99)),0)</f>
        <v>95</v>
      </c>
      <c r="I4" s="68">
        <f t="shared" ref="I4:I31" si="5">ROUND(IF(AV4=0,0,MIN(MAX(AV4,40),99)),0)</f>
        <v>98</v>
      </c>
      <c r="J4" s="68">
        <f t="shared" ref="J4:J31" si="6">ROUND(IF(AW4=0,0,MIN(MAX(AW4,40),99)),0)</f>
        <v>99</v>
      </c>
      <c r="K4" s="68">
        <f t="shared" ref="K4:K31" si="7">ROUND(IF(AX4=0,0,MIN(MAX(AX4,40),99)),0)</f>
        <v>99</v>
      </c>
      <c r="L4" s="68">
        <f t="shared" ref="L4:L31" si="8">ROUND(IF(AY4=0,0,MIN(MAX(AY4,40),99)),0)</f>
        <v>99</v>
      </c>
      <c r="M4" s="68">
        <f t="shared" ref="M4:M31" si="9">ROUND(IF(AZ4=0,0,MIN(MAX(AZ4,40),99)),0)</f>
        <v>99</v>
      </c>
      <c r="N4" s="68">
        <f t="shared" ref="N4:N31" si="10">ROUND(IF(BA4=0,0,MIN(MAX(BA4,40),99)),0)</f>
        <v>96</v>
      </c>
      <c r="O4" s="68">
        <f t="shared" ref="O4:O31" si="11">ROUND(IF(BB4=0,0,MIN(MAX(BB4,40),99)),0)</f>
        <v>99</v>
      </c>
      <c r="P4" s="68">
        <f t="shared" ref="P4:P31" si="12">ROUND(IF(BC4=0,0,MIN(MAX(BC4,40),99)),0)</f>
        <v>91</v>
      </c>
      <c r="Q4" s="68">
        <f t="shared" ref="Q4:Q31" si="13">ROUND(IF(BD4=0,0,MIN(MAX(BD4,40),99)),0)</f>
        <v>99</v>
      </c>
      <c r="R4" s="69">
        <f t="shared" ref="R4:R31" si="14">ROUND(IF(BE4=0,0,MIN(MAX(BE4,40),99)),0)</f>
        <v>99</v>
      </c>
      <c r="S4" s="69">
        <f t="shared" ref="S4:S31" si="15">ROUND(IF(BF4=0,0,MIN(MAX(BF4,40),99)),0)</f>
        <v>85</v>
      </c>
      <c r="T4" s="69">
        <f t="shared" ref="T4:T31" si="16">ROUND(IF(BG4=0,0,MIN(MAX(BG4,40),99)),0)</f>
        <v>99</v>
      </c>
      <c r="U4" s="69">
        <f t="shared" ref="U4:U31" si="17">ROUND(IF(BH4=0,0,MIN(MAX(BH4,40),99)),0)</f>
        <v>95</v>
      </c>
      <c r="V4" s="69">
        <f t="shared" ref="V4:V31" si="18">ROUND(IF(BI4=0,0,MIN(MAX(BI4,40),99)),0)</f>
        <v>99</v>
      </c>
      <c r="W4" s="234">
        <f t="shared" ref="W4:W31" si="19">ROUND(IF(BJ4=0,0,MIN(MAX(BJ4,40),99)),0)</f>
        <v>99</v>
      </c>
      <c r="X4" s="234">
        <f t="shared" ref="X4:X31" si="20">ROUND(IF(BK4=0,0,MIN(MAX(BK4,40),99)),0)</f>
        <v>99</v>
      </c>
      <c r="Y4" s="234">
        <f t="shared" ref="Y4:Y31" si="21">ROUND(IF(BL4=0,0,MIN(MAX(BL4,40),99)),0)</f>
        <v>99</v>
      </c>
      <c r="Z4" s="234">
        <f t="shared" ref="Z4:Z31" si="22">ROUND(IF(BM4=0,0,MIN(MAX(BM4,40),99)),0)</f>
        <v>98</v>
      </c>
      <c r="AA4" s="234">
        <f t="shared" ref="AA4:AA31" si="23">ROUND(IF(BN4=0,0,MIN(MAX(BN4,40),99)),0)</f>
        <v>99</v>
      </c>
      <c r="AB4" s="234">
        <f t="shared" ref="AB4:AB31" si="24">ROUND(IF(BO4=0,0,MIN(MAX(BO4,40),99)),0)</f>
        <v>65</v>
      </c>
      <c r="AC4" s="70">
        <f t="shared" ref="AC4:AC31" si="25">SUM(D4:V4)</f>
        <v>1844</v>
      </c>
      <c r="AD4" s="71">
        <f t="shared" ref="AD4:AD31" si="26">AVERAGE(D4:V4)</f>
        <v>97.05263157894737</v>
      </c>
      <c r="AE4" s="72">
        <f t="shared" ref="AE4:AE31" si="27">RANK(AC4,$AC$4:$AC$31)</f>
        <v>1</v>
      </c>
      <c r="AF4" s="73" t="s">
        <v>805</v>
      </c>
      <c r="AG4" s="73" t="s">
        <v>806</v>
      </c>
      <c r="AH4" s="73" t="s">
        <v>806</v>
      </c>
      <c r="AI4" s="74">
        <v>0</v>
      </c>
      <c r="AJ4" s="74">
        <v>0</v>
      </c>
      <c r="AK4" s="74">
        <v>0</v>
      </c>
      <c r="AL4" s="75"/>
      <c r="AN4" s="93">
        <v>25</v>
      </c>
      <c r="AO4" s="94">
        <v>21220023</v>
      </c>
      <c r="AP4" s="96" t="s">
        <v>462</v>
      </c>
      <c r="AQ4" s="68">
        <v>99.8</v>
      </c>
      <c r="AR4" s="68">
        <v>100</v>
      </c>
      <c r="AS4" s="68">
        <v>95.7</v>
      </c>
      <c r="AT4" s="68">
        <v>99.3</v>
      </c>
      <c r="AU4" s="68">
        <v>95</v>
      </c>
      <c r="AV4" s="68">
        <v>98</v>
      </c>
      <c r="AW4" s="68">
        <v>98.5</v>
      </c>
      <c r="AX4" s="68">
        <v>99.199999999999989</v>
      </c>
      <c r="AY4" s="68">
        <v>98.8</v>
      </c>
      <c r="AZ4" s="68">
        <v>99.7</v>
      </c>
      <c r="BA4" s="68">
        <v>96.4</v>
      </c>
      <c r="BB4" s="68">
        <v>99.9</v>
      </c>
      <c r="BC4" s="68">
        <v>91</v>
      </c>
      <c r="BD4" s="68">
        <v>100</v>
      </c>
      <c r="BE4" s="76">
        <v>100</v>
      </c>
      <c r="BF4" s="76">
        <v>85</v>
      </c>
      <c r="BG4" s="76">
        <v>100</v>
      </c>
      <c r="BH4" s="76">
        <v>95</v>
      </c>
      <c r="BI4" s="76">
        <v>100</v>
      </c>
      <c r="BJ4" s="240">
        <v>100</v>
      </c>
      <c r="BK4" s="240">
        <v>100</v>
      </c>
      <c r="BL4" s="240">
        <v>99.6</v>
      </c>
      <c r="BM4" s="240">
        <v>97.5</v>
      </c>
      <c r="BN4" s="240">
        <v>100</v>
      </c>
      <c r="BO4" s="240">
        <v>65</v>
      </c>
      <c r="BP4" s="70">
        <f t="shared" ref="BP4:BP31" si="28">SUM(AQ4:BI4)</f>
        <v>1851.3000000000002</v>
      </c>
      <c r="BQ4" s="71">
        <f t="shared" ref="BQ4:BQ31" si="29">AVERAGE(AQ4:BI4)</f>
        <v>97.436842105263167</v>
      </c>
      <c r="BR4" s="72" t="e">
        <f t="shared" ref="BR4:BR31" si="30">RANK(BP4,$AC$4:$AC$29)</f>
        <v>#N/A</v>
      </c>
      <c r="BS4" s="73"/>
      <c r="BT4" s="73"/>
      <c r="BU4" s="73"/>
      <c r="BV4" s="74"/>
      <c r="BW4" s="74"/>
      <c r="BX4" s="74"/>
      <c r="BY4" s="75"/>
    </row>
    <row r="5" spans="1:77" ht="24.6" customHeight="1">
      <c r="A5" s="93">
        <v>2</v>
      </c>
      <c r="B5" s="94">
        <v>22230020</v>
      </c>
      <c r="C5" s="95" t="s">
        <v>445</v>
      </c>
      <c r="D5" s="68">
        <f t="shared" si="0"/>
        <v>85</v>
      </c>
      <c r="E5" s="68">
        <f t="shared" si="1"/>
        <v>89</v>
      </c>
      <c r="F5" s="68">
        <f t="shared" si="2"/>
        <v>74</v>
      </c>
      <c r="G5" s="68">
        <f t="shared" si="3"/>
        <v>96</v>
      </c>
      <c r="H5" s="68">
        <f t="shared" si="4"/>
        <v>94</v>
      </c>
      <c r="I5" s="68">
        <f t="shared" si="5"/>
        <v>91</v>
      </c>
      <c r="J5" s="68">
        <f t="shared" si="6"/>
        <v>98</v>
      </c>
      <c r="K5" s="68">
        <f t="shared" si="7"/>
        <v>99</v>
      </c>
      <c r="L5" s="68">
        <f t="shared" si="8"/>
        <v>97</v>
      </c>
      <c r="M5" s="68">
        <f t="shared" si="9"/>
        <v>98</v>
      </c>
      <c r="N5" s="68">
        <f t="shared" si="10"/>
        <v>96</v>
      </c>
      <c r="O5" s="68">
        <f t="shared" si="11"/>
        <v>92</v>
      </c>
      <c r="P5" s="68">
        <f t="shared" si="12"/>
        <v>88</v>
      </c>
      <c r="Q5" s="68">
        <f t="shared" si="13"/>
        <v>98</v>
      </c>
      <c r="R5" s="69">
        <f t="shared" si="14"/>
        <v>99</v>
      </c>
      <c r="S5" s="69">
        <f t="shared" si="15"/>
        <v>85</v>
      </c>
      <c r="T5" s="69">
        <f t="shared" si="16"/>
        <v>99</v>
      </c>
      <c r="U5" s="69">
        <f t="shared" si="17"/>
        <v>80</v>
      </c>
      <c r="V5" s="69">
        <f t="shared" si="18"/>
        <v>99</v>
      </c>
      <c r="W5" s="234">
        <f t="shared" si="19"/>
        <v>99</v>
      </c>
      <c r="X5" s="234">
        <f t="shared" si="20"/>
        <v>99</v>
      </c>
      <c r="Y5" s="234">
        <f t="shared" si="21"/>
        <v>99</v>
      </c>
      <c r="Z5" s="234">
        <f t="shared" si="22"/>
        <v>99</v>
      </c>
      <c r="AA5" s="234">
        <f t="shared" si="23"/>
        <v>98</v>
      </c>
      <c r="AB5" s="234">
        <f t="shared" si="24"/>
        <v>68</v>
      </c>
      <c r="AC5" s="70">
        <f t="shared" si="25"/>
        <v>1757</v>
      </c>
      <c r="AD5" s="71">
        <f t="shared" si="26"/>
        <v>92.473684210526315</v>
      </c>
      <c r="AE5" s="72">
        <f t="shared" si="27"/>
        <v>2</v>
      </c>
      <c r="AF5" s="73" t="s">
        <v>805</v>
      </c>
      <c r="AG5" s="73" t="s">
        <v>805</v>
      </c>
      <c r="AH5" s="73" t="s">
        <v>805</v>
      </c>
      <c r="AI5" s="74">
        <v>0</v>
      </c>
      <c r="AJ5" s="74">
        <v>0</v>
      </c>
      <c r="AK5" s="74">
        <v>0</v>
      </c>
      <c r="AL5" s="75"/>
      <c r="AN5" s="93">
        <v>8</v>
      </c>
      <c r="AO5" s="94">
        <v>22230020</v>
      </c>
      <c r="AP5" s="95" t="s">
        <v>445</v>
      </c>
      <c r="AQ5" s="68">
        <v>84.5</v>
      </c>
      <c r="AR5" s="68">
        <v>89.199999999999989</v>
      </c>
      <c r="AS5" s="68">
        <v>73.5</v>
      </c>
      <c r="AT5" s="68">
        <v>95.8</v>
      </c>
      <c r="AU5" s="68">
        <v>93.5</v>
      </c>
      <c r="AV5" s="68">
        <v>91</v>
      </c>
      <c r="AW5" s="68">
        <v>98</v>
      </c>
      <c r="AX5" s="68">
        <v>99.199999999999989</v>
      </c>
      <c r="AY5" s="68">
        <v>96.9</v>
      </c>
      <c r="AZ5" s="68">
        <v>98.4</v>
      </c>
      <c r="BA5" s="68">
        <v>95.5</v>
      </c>
      <c r="BB5" s="68">
        <v>91.5</v>
      </c>
      <c r="BC5" s="68">
        <v>88</v>
      </c>
      <c r="BD5" s="68">
        <v>97.5</v>
      </c>
      <c r="BE5" s="76">
        <v>100</v>
      </c>
      <c r="BF5" s="76">
        <v>85</v>
      </c>
      <c r="BG5" s="76">
        <v>100</v>
      </c>
      <c r="BH5" s="76">
        <v>80</v>
      </c>
      <c r="BI5" s="76">
        <v>100</v>
      </c>
      <c r="BJ5" s="240">
        <v>100</v>
      </c>
      <c r="BK5" s="240">
        <v>100</v>
      </c>
      <c r="BL5" s="240">
        <v>99.6</v>
      </c>
      <c r="BM5" s="240">
        <v>100</v>
      </c>
      <c r="BN5" s="240">
        <v>97.5</v>
      </c>
      <c r="BO5" s="240">
        <v>67.5</v>
      </c>
      <c r="BP5" s="70">
        <f t="shared" si="28"/>
        <v>1757.5</v>
      </c>
      <c r="BQ5" s="71">
        <f t="shared" si="29"/>
        <v>92.5</v>
      </c>
      <c r="BR5" s="72" t="e">
        <f t="shared" si="30"/>
        <v>#N/A</v>
      </c>
      <c r="BS5" s="73"/>
      <c r="BT5" s="73"/>
      <c r="BU5" s="73"/>
      <c r="BV5" s="74"/>
      <c r="BW5" s="74"/>
      <c r="BX5" s="74"/>
      <c r="BY5" s="75"/>
    </row>
    <row r="6" spans="1:77" ht="24.6" customHeight="1">
      <c r="A6" s="93">
        <v>3</v>
      </c>
      <c r="B6" s="94">
        <v>20210100</v>
      </c>
      <c r="C6" s="96" t="s">
        <v>448</v>
      </c>
      <c r="D6" s="68">
        <f t="shared" si="0"/>
        <v>90</v>
      </c>
      <c r="E6" s="68">
        <f t="shared" si="1"/>
        <v>87</v>
      </c>
      <c r="F6" s="68">
        <f t="shared" si="2"/>
        <v>86</v>
      </c>
      <c r="G6" s="68">
        <f t="shared" si="3"/>
        <v>89</v>
      </c>
      <c r="H6" s="68">
        <f t="shared" si="4"/>
        <v>97</v>
      </c>
      <c r="I6" s="68">
        <f t="shared" si="5"/>
        <v>88</v>
      </c>
      <c r="J6" s="68">
        <f t="shared" si="6"/>
        <v>94</v>
      </c>
      <c r="K6" s="68">
        <f t="shared" si="7"/>
        <v>99</v>
      </c>
      <c r="L6" s="68">
        <f t="shared" si="8"/>
        <v>95</v>
      </c>
      <c r="M6" s="68">
        <f t="shared" si="9"/>
        <v>91</v>
      </c>
      <c r="N6" s="68">
        <f t="shared" si="10"/>
        <v>94</v>
      </c>
      <c r="O6" s="68">
        <f t="shared" si="11"/>
        <v>91</v>
      </c>
      <c r="P6" s="68">
        <f t="shared" si="12"/>
        <v>88</v>
      </c>
      <c r="Q6" s="68">
        <f t="shared" si="13"/>
        <v>99</v>
      </c>
      <c r="R6" s="69">
        <f t="shared" si="14"/>
        <v>85</v>
      </c>
      <c r="S6" s="69">
        <f t="shared" si="15"/>
        <v>85</v>
      </c>
      <c r="T6" s="69">
        <f t="shared" si="16"/>
        <v>99</v>
      </c>
      <c r="U6" s="69">
        <f t="shared" si="17"/>
        <v>90</v>
      </c>
      <c r="V6" s="69">
        <f t="shared" si="18"/>
        <v>95</v>
      </c>
      <c r="W6" s="234">
        <f t="shared" si="19"/>
        <v>99</v>
      </c>
      <c r="X6" s="234">
        <f t="shared" si="20"/>
        <v>98</v>
      </c>
      <c r="Y6" s="234">
        <f t="shared" si="21"/>
        <v>99</v>
      </c>
      <c r="Z6" s="234">
        <f t="shared" si="22"/>
        <v>99</v>
      </c>
      <c r="AA6" s="234">
        <f t="shared" si="23"/>
        <v>98</v>
      </c>
      <c r="AB6" s="234">
        <f t="shared" si="24"/>
        <v>65</v>
      </c>
      <c r="AC6" s="70">
        <f t="shared" si="25"/>
        <v>1742</v>
      </c>
      <c r="AD6" s="71">
        <f t="shared" si="26"/>
        <v>91.684210526315795</v>
      </c>
      <c r="AE6" s="72">
        <f t="shared" si="27"/>
        <v>3</v>
      </c>
      <c r="AF6" s="73" t="s">
        <v>805</v>
      </c>
      <c r="AG6" s="73" t="s">
        <v>805</v>
      </c>
      <c r="AH6" s="73" t="s">
        <v>805</v>
      </c>
      <c r="AI6" s="74">
        <v>0</v>
      </c>
      <c r="AJ6" s="74">
        <v>0</v>
      </c>
      <c r="AK6" s="74">
        <v>0</v>
      </c>
      <c r="AL6" s="75"/>
      <c r="AN6" s="93">
        <v>11</v>
      </c>
      <c r="AO6" s="94">
        <v>20210100</v>
      </c>
      <c r="AP6" s="96" t="s">
        <v>448</v>
      </c>
      <c r="AQ6" s="68">
        <v>90</v>
      </c>
      <c r="AR6" s="68">
        <v>86.5</v>
      </c>
      <c r="AS6" s="68">
        <v>86.3</v>
      </c>
      <c r="AT6" s="68">
        <v>89</v>
      </c>
      <c r="AU6" s="68">
        <v>96.8</v>
      </c>
      <c r="AV6" s="68">
        <v>87.5</v>
      </c>
      <c r="AW6" s="68">
        <v>93.5</v>
      </c>
      <c r="AX6" s="68">
        <v>99</v>
      </c>
      <c r="AY6" s="68">
        <v>94.9</v>
      </c>
      <c r="AZ6" s="68">
        <v>90.5</v>
      </c>
      <c r="BA6" s="68">
        <v>94</v>
      </c>
      <c r="BB6" s="68">
        <v>90.8</v>
      </c>
      <c r="BC6" s="68">
        <v>88</v>
      </c>
      <c r="BD6" s="68">
        <v>100</v>
      </c>
      <c r="BE6" s="76">
        <v>85</v>
      </c>
      <c r="BF6" s="76">
        <v>85</v>
      </c>
      <c r="BG6" s="76">
        <v>100</v>
      </c>
      <c r="BH6" s="76">
        <v>90</v>
      </c>
      <c r="BI6" s="76">
        <v>95</v>
      </c>
      <c r="BJ6" s="240">
        <v>100</v>
      </c>
      <c r="BK6" s="240">
        <v>97.5</v>
      </c>
      <c r="BL6" s="240">
        <v>99.5</v>
      </c>
      <c r="BM6" s="240">
        <v>100</v>
      </c>
      <c r="BN6" s="240">
        <v>97.5</v>
      </c>
      <c r="BO6" s="240">
        <v>65</v>
      </c>
      <c r="BP6" s="70">
        <f t="shared" si="28"/>
        <v>1741.8</v>
      </c>
      <c r="BQ6" s="71">
        <f t="shared" si="29"/>
        <v>91.673684210526318</v>
      </c>
      <c r="BR6" s="72" t="e">
        <f t="shared" si="30"/>
        <v>#N/A</v>
      </c>
      <c r="BS6" s="73"/>
      <c r="BT6" s="73"/>
      <c r="BU6" s="73"/>
      <c r="BV6" s="74"/>
      <c r="BW6" s="74"/>
      <c r="BX6" s="74"/>
      <c r="BY6" s="75"/>
    </row>
    <row r="7" spans="1:77" ht="24.6" customHeight="1">
      <c r="A7" s="93">
        <v>4</v>
      </c>
      <c r="B7" s="94">
        <v>21220005</v>
      </c>
      <c r="C7" s="97" t="s">
        <v>452</v>
      </c>
      <c r="D7" s="68">
        <f t="shared" si="0"/>
        <v>79</v>
      </c>
      <c r="E7" s="68">
        <f t="shared" si="1"/>
        <v>78</v>
      </c>
      <c r="F7" s="68">
        <f t="shared" si="2"/>
        <v>67</v>
      </c>
      <c r="G7" s="68">
        <f t="shared" si="3"/>
        <v>85</v>
      </c>
      <c r="H7" s="68">
        <f t="shared" si="4"/>
        <v>82</v>
      </c>
      <c r="I7" s="68">
        <f t="shared" si="5"/>
        <v>88</v>
      </c>
      <c r="J7" s="68">
        <f t="shared" si="6"/>
        <v>96</v>
      </c>
      <c r="K7" s="68">
        <f t="shared" si="7"/>
        <v>99</v>
      </c>
      <c r="L7" s="68">
        <f t="shared" si="8"/>
        <v>96</v>
      </c>
      <c r="M7" s="68">
        <f t="shared" si="9"/>
        <v>92</v>
      </c>
      <c r="N7" s="68">
        <f t="shared" si="10"/>
        <v>94</v>
      </c>
      <c r="O7" s="68">
        <f t="shared" si="11"/>
        <v>87</v>
      </c>
      <c r="P7" s="68">
        <f t="shared" si="12"/>
        <v>88</v>
      </c>
      <c r="Q7" s="68">
        <f t="shared" si="13"/>
        <v>99</v>
      </c>
      <c r="R7" s="69">
        <f t="shared" si="14"/>
        <v>99</v>
      </c>
      <c r="S7" s="69">
        <f t="shared" si="15"/>
        <v>85</v>
      </c>
      <c r="T7" s="69">
        <f t="shared" si="16"/>
        <v>99</v>
      </c>
      <c r="U7" s="69">
        <f t="shared" si="17"/>
        <v>95</v>
      </c>
      <c r="V7" s="69">
        <f t="shared" si="18"/>
        <v>99</v>
      </c>
      <c r="W7" s="234">
        <f t="shared" si="19"/>
        <v>99</v>
      </c>
      <c r="X7" s="234">
        <f t="shared" si="20"/>
        <v>99</v>
      </c>
      <c r="Y7" s="234">
        <f t="shared" si="21"/>
        <v>99</v>
      </c>
      <c r="Z7" s="234">
        <f t="shared" si="22"/>
        <v>99</v>
      </c>
      <c r="AA7" s="234">
        <f t="shared" si="23"/>
        <v>99</v>
      </c>
      <c r="AB7" s="234">
        <f t="shared" si="24"/>
        <v>65</v>
      </c>
      <c r="AC7" s="70">
        <f t="shared" si="25"/>
        <v>1707</v>
      </c>
      <c r="AD7" s="71">
        <f t="shared" si="26"/>
        <v>89.84210526315789</v>
      </c>
      <c r="AE7" s="72">
        <f t="shared" si="27"/>
        <v>4</v>
      </c>
      <c r="AF7" s="73" t="s">
        <v>805</v>
      </c>
      <c r="AG7" s="73" t="s">
        <v>805</v>
      </c>
      <c r="AH7" s="73" t="s">
        <v>805</v>
      </c>
      <c r="AI7" s="74">
        <v>0</v>
      </c>
      <c r="AJ7" s="74">
        <v>0</v>
      </c>
      <c r="AK7" s="74">
        <v>0</v>
      </c>
      <c r="AL7" s="75"/>
      <c r="AN7" s="93">
        <v>15</v>
      </c>
      <c r="AO7" s="94">
        <v>21220005</v>
      </c>
      <c r="AP7" s="97" t="s">
        <v>452</v>
      </c>
      <c r="AQ7" s="68">
        <v>78.900000000000006</v>
      </c>
      <c r="AR7" s="68">
        <v>77.5</v>
      </c>
      <c r="AS7" s="68">
        <v>67.3</v>
      </c>
      <c r="AT7" s="68">
        <v>84.9</v>
      </c>
      <c r="AU7" s="68">
        <v>82</v>
      </c>
      <c r="AV7" s="68">
        <v>88</v>
      </c>
      <c r="AW7" s="68">
        <v>95.5</v>
      </c>
      <c r="AX7" s="68">
        <v>100</v>
      </c>
      <c r="AY7" s="68">
        <v>95.9</v>
      </c>
      <c r="AZ7" s="68">
        <v>92</v>
      </c>
      <c r="BA7" s="68">
        <v>94</v>
      </c>
      <c r="BB7" s="68">
        <v>87</v>
      </c>
      <c r="BC7" s="68">
        <v>88</v>
      </c>
      <c r="BD7" s="68">
        <v>98.5</v>
      </c>
      <c r="BE7" s="76">
        <v>100</v>
      </c>
      <c r="BF7" s="76">
        <v>85</v>
      </c>
      <c r="BG7" s="76">
        <v>100</v>
      </c>
      <c r="BH7" s="76">
        <v>95</v>
      </c>
      <c r="BI7" s="76">
        <v>100</v>
      </c>
      <c r="BJ7" s="240">
        <v>100</v>
      </c>
      <c r="BK7" s="240">
        <v>100</v>
      </c>
      <c r="BL7" s="240">
        <v>100</v>
      </c>
      <c r="BM7" s="240">
        <v>100</v>
      </c>
      <c r="BN7" s="240">
        <v>100</v>
      </c>
      <c r="BO7" s="240">
        <v>65</v>
      </c>
      <c r="BP7" s="70">
        <f t="shared" si="28"/>
        <v>1709.5</v>
      </c>
      <c r="BQ7" s="71">
        <f t="shared" si="29"/>
        <v>89.973684210526315</v>
      </c>
      <c r="BR7" s="72" t="e">
        <f t="shared" si="30"/>
        <v>#N/A</v>
      </c>
      <c r="BS7" s="73"/>
      <c r="BT7" s="73"/>
      <c r="BU7" s="73"/>
      <c r="BV7" s="74"/>
      <c r="BW7" s="74"/>
      <c r="BX7" s="74"/>
      <c r="BY7" s="75"/>
    </row>
    <row r="8" spans="1:77" ht="24.6" customHeight="1">
      <c r="A8" s="93">
        <v>5</v>
      </c>
      <c r="B8" s="94">
        <v>20210088</v>
      </c>
      <c r="C8" s="96" t="s">
        <v>447</v>
      </c>
      <c r="D8" s="68">
        <f t="shared" si="0"/>
        <v>89</v>
      </c>
      <c r="E8" s="68">
        <f t="shared" si="1"/>
        <v>96</v>
      </c>
      <c r="F8" s="68">
        <f t="shared" si="2"/>
        <v>83</v>
      </c>
      <c r="G8" s="68">
        <f t="shared" si="3"/>
        <v>90</v>
      </c>
      <c r="H8" s="68">
        <f t="shared" si="4"/>
        <v>84</v>
      </c>
      <c r="I8" s="68">
        <f t="shared" si="5"/>
        <v>85</v>
      </c>
      <c r="J8" s="68">
        <f t="shared" si="6"/>
        <v>92</v>
      </c>
      <c r="K8" s="68">
        <f t="shared" si="7"/>
        <v>94</v>
      </c>
      <c r="L8" s="68">
        <f t="shared" si="8"/>
        <v>98</v>
      </c>
      <c r="M8" s="68">
        <f t="shared" si="9"/>
        <v>99</v>
      </c>
      <c r="N8" s="68">
        <f t="shared" si="10"/>
        <v>94</v>
      </c>
      <c r="O8" s="68">
        <f t="shared" si="11"/>
        <v>89</v>
      </c>
      <c r="P8" s="68">
        <f t="shared" si="12"/>
        <v>79</v>
      </c>
      <c r="Q8" s="68">
        <f t="shared" si="13"/>
        <v>90</v>
      </c>
      <c r="R8" s="69">
        <f t="shared" si="14"/>
        <v>99</v>
      </c>
      <c r="S8" s="69">
        <f t="shared" si="15"/>
        <v>85</v>
      </c>
      <c r="T8" s="69">
        <f t="shared" si="16"/>
        <v>95</v>
      </c>
      <c r="U8" s="69">
        <f t="shared" si="17"/>
        <v>75</v>
      </c>
      <c r="V8" s="69">
        <f t="shared" si="18"/>
        <v>90</v>
      </c>
      <c r="W8" s="234">
        <f t="shared" si="19"/>
        <v>99</v>
      </c>
      <c r="X8" s="234">
        <f t="shared" si="20"/>
        <v>99</v>
      </c>
      <c r="Y8" s="234">
        <f t="shared" si="21"/>
        <v>97</v>
      </c>
      <c r="Z8" s="234">
        <f t="shared" si="22"/>
        <v>99</v>
      </c>
      <c r="AA8" s="234">
        <f t="shared" si="23"/>
        <v>99</v>
      </c>
      <c r="AB8" s="234">
        <f t="shared" si="24"/>
        <v>63</v>
      </c>
      <c r="AC8" s="70">
        <f t="shared" si="25"/>
        <v>1706</v>
      </c>
      <c r="AD8" s="71">
        <f t="shared" si="26"/>
        <v>89.78947368421052</v>
      </c>
      <c r="AE8" s="72">
        <f t="shared" si="27"/>
        <v>5</v>
      </c>
      <c r="AF8" s="73" t="s">
        <v>805</v>
      </c>
      <c r="AG8" s="73" t="s">
        <v>805</v>
      </c>
      <c r="AH8" s="73" t="s">
        <v>805</v>
      </c>
      <c r="AI8" s="74">
        <v>0</v>
      </c>
      <c r="AJ8" s="74">
        <v>1</v>
      </c>
      <c r="AK8" s="74">
        <v>0</v>
      </c>
      <c r="AL8" s="75"/>
      <c r="AN8" s="93">
        <v>10</v>
      </c>
      <c r="AO8" s="94">
        <v>20210088</v>
      </c>
      <c r="AP8" s="96" t="s">
        <v>447</v>
      </c>
      <c r="AQ8" s="68">
        <v>89.3</v>
      </c>
      <c r="AR8" s="68">
        <v>95.5</v>
      </c>
      <c r="AS8" s="68">
        <v>83</v>
      </c>
      <c r="AT8" s="68">
        <v>90</v>
      </c>
      <c r="AU8" s="68">
        <v>83.5</v>
      </c>
      <c r="AV8" s="68">
        <v>84.5</v>
      </c>
      <c r="AW8" s="68">
        <v>92</v>
      </c>
      <c r="AX8" s="68">
        <v>94</v>
      </c>
      <c r="AY8" s="68">
        <v>97.9</v>
      </c>
      <c r="AZ8" s="68">
        <v>98.9</v>
      </c>
      <c r="BA8" s="68">
        <v>94</v>
      </c>
      <c r="BB8" s="68">
        <v>89.1</v>
      </c>
      <c r="BC8" s="68">
        <v>79</v>
      </c>
      <c r="BD8" s="68">
        <v>89.8</v>
      </c>
      <c r="BE8" s="76">
        <v>100</v>
      </c>
      <c r="BF8" s="76">
        <v>85</v>
      </c>
      <c r="BG8" s="76">
        <v>95</v>
      </c>
      <c r="BH8" s="76">
        <v>75</v>
      </c>
      <c r="BI8" s="76">
        <v>90</v>
      </c>
      <c r="BJ8" s="240">
        <v>100</v>
      </c>
      <c r="BK8" s="240">
        <v>100</v>
      </c>
      <c r="BL8" s="240">
        <v>97</v>
      </c>
      <c r="BM8" s="240">
        <v>100</v>
      </c>
      <c r="BN8" s="240">
        <v>100</v>
      </c>
      <c r="BO8" s="240">
        <v>62.5</v>
      </c>
      <c r="BP8" s="70">
        <f t="shared" si="28"/>
        <v>1705.4999999999998</v>
      </c>
      <c r="BQ8" s="71">
        <f t="shared" si="29"/>
        <v>89.763157894736835</v>
      </c>
      <c r="BR8" s="72" t="e">
        <f t="shared" si="30"/>
        <v>#N/A</v>
      </c>
      <c r="BS8" s="73"/>
      <c r="BT8" s="73"/>
      <c r="BU8" s="73"/>
      <c r="BV8" s="74"/>
      <c r="BW8" s="74"/>
      <c r="BX8" s="74"/>
      <c r="BY8" s="75"/>
    </row>
    <row r="9" spans="1:77" ht="24.6" customHeight="1">
      <c r="A9" s="93">
        <v>6</v>
      </c>
      <c r="B9" s="139">
        <v>22230105</v>
      </c>
      <c r="C9" s="108" t="s">
        <v>463</v>
      </c>
      <c r="D9" s="68">
        <f t="shared" si="0"/>
        <v>70</v>
      </c>
      <c r="E9" s="68">
        <f t="shared" si="1"/>
        <v>78</v>
      </c>
      <c r="F9" s="68">
        <f t="shared" si="2"/>
        <v>82</v>
      </c>
      <c r="G9" s="68">
        <f t="shared" si="3"/>
        <v>86</v>
      </c>
      <c r="H9" s="68">
        <f t="shared" si="4"/>
        <v>89</v>
      </c>
      <c r="I9" s="68">
        <f t="shared" si="5"/>
        <v>98</v>
      </c>
      <c r="J9" s="68">
        <f t="shared" si="6"/>
        <v>99</v>
      </c>
      <c r="K9" s="68">
        <f t="shared" si="7"/>
        <v>91</v>
      </c>
      <c r="L9" s="68">
        <f t="shared" si="8"/>
        <v>95</v>
      </c>
      <c r="M9" s="68">
        <f t="shared" si="9"/>
        <v>91</v>
      </c>
      <c r="N9" s="68">
        <f t="shared" si="10"/>
        <v>94</v>
      </c>
      <c r="O9" s="68">
        <f t="shared" si="11"/>
        <v>88</v>
      </c>
      <c r="P9" s="68">
        <f t="shared" si="12"/>
        <v>88</v>
      </c>
      <c r="Q9" s="68">
        <f t="shared" si="13"/>
        <v>99</v>
      </c>
      <c r="R9" s="69">
        <f t="shared" si="14"/>
        <v>99</v>
      </c>
      <c r="S9" s="69">
        <f t="shared" si="15"/>
        <v>85</v>
      </c>
      <c r="T9" s="69">
        <f t="shared" si="16"/>
        <v>91</v>
      </c>
      <c r="U9" s="69">
        <f t="shared" si="17"/>
        <v>80</v>
      </c>
      <c r="V9" s="69">
        <f t="shared" si="18"/>
        <v>99</v>
      </c>
      <c r="W9" s="234">
        <f t="shared" si="19"/>
        <v>99</v>
      </c>
      <c r="X9" s="234">
        <f t="shared" si="20"/>
        <v>99</v>
      </c>
      <c r="Y9" s="234">
        <f t="shared" si="21"/>
        <v>96</v>
      </c>
      <c r="Z9" s="234">
        <f t="shared" si="22"/>
        <v>99</v>
      </c>
      <c r="AA9" s="234">
        <f t="shared" si="23"/>
        <v>98</v>
      </c>
      <c r="AB9" s="234">
        <f t="shared" si="24"/>
        <v>65</v>
      </c>
      <c r="AC9" s="70">
        <f t="shared" si="25"/>
        <v>1702</v>
      </c>
      <c r="AD9" s="71">
        <f t="shared" si="26"/>
        <v>89.578947368421055</v>
      </c>
      <c r="AE9" s="72">
        <f t="shared" si="27"/>
        <v>6</v>
      </c>
      <c r="AF9" s="73" t="s">
        <v>805</v>
      </c>
      <c r="AG9" s="73" t="s">
        <v>805</v>
      </c>
      <c r="AH9" s="73" t="s">
        <v>805</v>
      </c>
      <c r="AI9" s="74">
        <v>0</v>
      </c>
      <c r="AJ9" s="74">
        <v>0</v>
      </c>
      <c r="AK9" s="74">
        <v>0</v>
      </c>
      <c r="AL9" s="75"/>
      <c r="AN9" s="93">
        <v>26</v>
      </c>
      <c r="AO9" s="94">
        <v>22230105</v>
      </c>
      <c r="AP9" s="97" t="s">
        <v>463</v>
      </c>
      <c r="AQ9" s="68">
        <v>69.5</v>
      </c>
      <c r="AR9" s="68">
        <v>77.5</v>
      </c>
      <c r="AS9" s="68">
        <v>82</v>
      </c>
      <c r="AT9" s="68">
        <v>86</v>
      </c>
      <c r="AU9" s="68">
        <v>88.5</v>
      </c>
      <c r="AV9" s="68">
        <v>97.5</v>
      </c>
      <c r="AW9" s="68">
        <v>100</v>
      </c>
      <c r="AX9" s="68">
        <v>91.1</v>
      </c>
      <c r="AY9" s="68">
        <v>95</v>
      </c>
      <c r="AZ9" s="68">
        <v>90.8</v>
      </c>
      <c r="BA9" s="68">
        <v>94</v>
      </c>
      <c r="BB9" s="68">
        <v>87.6</v>
      </c>
      <c r="BC9" s="68">
        <v>88</v>
      </c>
      <c r="BD9" s="68">
        <v>99</v>
      </c>
      <c r="BE9" s="76">
        <v>100</v>
      </c>
      <c r="BF9" s="76">
        <v>85</v>
      </c>
      <c r="BG9" s="76">
        <v>91</v>
      </c>
      <c r="BH9" s="76">
        <v>80</v>
      </c>
      <c r="BI9" s="76">
        <v>100</v>
      </c>
      <c r="BJ9" s="240">
        <v>100</v>
      </c>
      <c r="BK9" s="240">
        <v>100</v>
      </c>
      <c r="BL9" s="240">
        <v>95.55</v>
      </c>
      <c r="BM9" s="240">
        <v>100</v>
      </c>
      <c r="BN9" s="240">
        <v>97.5</v>
      </c>
      <c r="BO9" s="240">
        <v>65</v>
      </c>
      <c r="BP9" s="70">
        <f t="shared" si="28"/>
        <v>1702.5</v>
      </c>
      <c r="BQ9" s="71">
        <f t="shared" si="29"/>
        <v>89.60526315789474</v>
      </c>
      <c r="BR9" s="72" t="e">
        <f t="shared" si="30"/>
        <v>#N/A</v>
      </c>
      <c r="BS9" s="73"/>
      <c r="BT9" s="73"/>
      <c r="BU9" s="73"/>
      <c r="BV9" s="74"/>
      <c r="BW9" s="74"/>
      <c r="BX9" s="74"/>
      <c r="BY9" s="75"/>
    </row>
    <row r="10" spans="1:77" ht="24.6" customHeight="1">
      <c r="A10" s="93">
        <v>7</v>
      </c>
      <c r="B10" s="94">
        <v>20210018</v>
      </c>
      <c r="C10" s="95" t="s">
        <v>457</v>
      </c>
      <c r="D10" s="68">
        <f t="shared" si="0"/>
        <v>79</v>
      </c>
      <c r="E10" s="68">
        <f t="shared" si="1"/>
        <v>82</v>
      </c>
      <c r="F10" s="68">
        <f t="shared" si="2"/>
        <v>89</v>
      </c>
      <c r="G10" s="68">
        <f t="shared" si="3"/>
        <v>99</v>
      </c>
      <c r="H10" s="68">
        <f t="shared" si="4"/>
        <v>93</v>
      </c>
      <c r="I10" s="68">
        <f t="shared" si="5"/>
        <v>85</v>
      </c>
      <c r="J10" s="68">
        <f t="shared" si="6"/>
        <v>83</v>
      </c>
      <c r="K10" s="68">
        <f t="shared" si="7"/>
        <v>83</v>
      </c>
      <c r="L10" s="68">
        <f t="shared" si="8"/>
        <v>98</v>
      </c>
      <c r="M10" s="68">
        <f t="shared" si="9"/>
        <v>94</v>
      </c>
      <c r="N10" s="68">
        <f t="shared" si="10"/>
        <v>94</v>
      </c>
      <c r="O10" s="68">
        <f t="shared" si="11"/>
        <v>95</v>
      </c>
      <c r="P10" s="68">
        <f t="shared" si="12"/>
        <v>90</v>
      </c>
      <c r="Q10" s="68">
        <f t="shared" si="13"/>
        <v>97</v>
      </c>
      <c r="R10" s="69">
        <f t="shared" si="14"/>
        <v>99</v>
      </c>
      <c r="S10" s="69">
        <f t="shared" si="15"/>
        <v>85</v>
      </c>
      <c r="T10" s="69">
        <f t="shared" si="16"/>
        <v>80</v>
      </c>
      <c r="U10" s="69">
        <f t="shared" si="17"/>
        <v>88</v>
      </c>
      <c r="V10" s="69">
        <f t="shared" si="18"/>
        <v>80</v>
      </c>
      <c r="W10" s="234">
        <f t="shared" si="19"/>
        <v>95</v>
      </c>
      <c r="X10" s="234">
        <f t="shared" si="20"/>
        <v>95</v>
      </c>
      <c r="Y10" s="234">
        <f t="shared" si="21"/>
        <v>91</v>
      </c>
      <c r="Z10" s="234">
        <f t="shared" si="22"/>
        <v>99</v>
      </c>
      <c r="AA10" s="234">
        <f t="shared" si="23"/>
        <v>90</v>
      </c>
      <c r="AB10" s="234">
        <f t="shared" si="24"/>
        <v>65</v>
      </c>
      <c r="AC10" s="70">
        <f t="shared" si="25"/>
        <v>1693</v>
      </c>
      <c r="AD10" s="71">
        <f t="shared" si="26"/>
        <v>89.10526315789474</v>
      </c>
      <c r="AE10" s="72">
        <f t="shared" si="27"/>
        <v>7</v>
      </c>
      <c r="AF10" s="73" t="s">
        <v>805</v>
      </c>
      <c r="AG10" s="73" t="s">
        <v>805</v>
      </c>
      <c r="AH10" s="73" t="s">
        <v>805</v>
      </c>
      <c r="AI10" s="74">
        <v>0</v>
      </c>
      <c r="AJ10" s="74">
        <v>0</v>
      </c>
      <c r="AK10" s="74">
        <v>0</v>
      </c>
      <c r="AL10" s="75"/>
      <c r="AN10" s="93">
        <v>20</v>
      </c>
      <c r="AO10" s="94">
        <v>20210018</v>
      </c>
      <c r="AP10" s="95" t="s">
        <v>457</v>
      </c>
      <c r="AQ10" s="68">
        <v>79</v>
      </c>
      <c r="AR10" s="68">
        <v>82</v>
      </c>
      <c r="AS10" s="68">
        <v>88.5</v>
      </c>
      <c r="AT10" s="68">
        <v>98.9</v>
      </c>
      <c r="AU10" s="68">
        <v>93.199999999999989</v>
      </c>
      <c r="AV10" s="68">
        <v>84.5</v>
      </c>
      <c r="AW10" s="68">
        <v>83</v>
      </c>
      <c r="AX10" s="68">
        <v>82.6</v>
      </c>
      <c r="AY10" s="68">
        <v>97.8</v>
      </c>
      <c r="AZ10" s="68">
        <v>93.5</v>
      </c>
      <c r="BA10" s="68">
        <v>94</v>
      </c>
      <c r="BB10" s="68">
        <v>95.1</v>
      </c>
      <c r="BC10" s="68">
        <v>90.4</v>
      </c>
      <c r="BD10" s="68">
        <v>96.6</v>
      </c>
      <c r="BE10" s="76">
        <v>100</v>
      </c>
      <c r="BF10" s="76">
        <v>85</v>
      </c>
      <c r="BG10" s="76">
        <v>80</v>
      </c>
      <c r="BH10" s="76">
        <v>88</v>
      </c>
      <c r="BI10" s="76">
        <v>80</v>
      </c>
      <c r="BJ10" s="240">
        <v>95</v>
      </c>
      <c r="BK10" s="240">
        <v>95</v>
      </c>
      <c r="BL10" s="240">
        <v>91.3</v>
      </c>
      <c r="BM10" s="240">
        <v>100</v>
      </c>
      <c r="BN10" s="240">
        <v>90</v>
      </c>
      <c r="BO10" s="240">
        <v>65</v>
      </c>
      <c r="BP10" s="70">
        <f t="shared" si="28"/>
        <v>1692.1</v>
      </c>
      <c r="BQ10" s="71">
        <f t="shared" si="29"/>
        <v>89.057894736842101</v>
      </c>
      <c r="BR10" s="72" t="e">
        <f t="shared" si="30"/>
        <v>#N/A</v>
      </c>
      <c r="BS10" s="73"/>
      <c r="BT10" s="73"/>
      <c r="BU10" s="73"/>
      <c r="BV10" s="74"/>
      <c r="BW10" s="74"/>
      <c r="BX10" s="74"/>
      <c r="BY10" s="75"/>
    </row>
    <row r="11" spans="1:77" ht="24.6" customHeight="1">
      <c r="A11" s="93">
        <v>8</v>
      </c>
      <c r="B11" s="94">
        <v>20210096</v>
      </c>
      <c r="C11" s="95" t="s">
        <v>458</v>
      </c>
      <c r="D11" s="68">
        <f t="shared" si="0"/>
        <v>84</v>
      </c>
      <c r="E11" s="68">
        <f t="shared" si="1"/>
        <v>69</v>
      </c>
      <c r="F11" s="68">
        <f t="shared" si="2"/>
        <v>68</v>
      </c>
      <c r="G11" s="68">
        <f t="shared" si="3"/>
        <v>92</v>
      </c>
      <c r="H11" s="68">
        <f t="shared" si="4"/>
        <v>87</v>
      </c>
      <c r="I11" s="68">
        <f t="shared" si="5"/>
        <v>91</v>
      </c>
      <c r="J11" s="68">
        <f t="shared" si="6"/>
        <v>88</v>
      </c>
      <c r="K11" s="68">
        <f t="shared" si="7"/>
        <v>94</v>
      </c>
      <c r="L11" s="68">
        <f t="shared" si="8"/>
        <v>96</v>
      </c>
      <c r="M11" s="68">
        <f t="shared" si="9"/>
        <v>95</v>
      </c>
      <c r="N11" s="68">
        <f t="shared" si="10"/>
        <v>92</v>
      </c>
      <c r="O11" s="68">
        <f t="shared" si="11"/>
        <v>90</v>
      </c>
      <c r="P11" s="68">
        <f t="shared" si="12"/>
        <v>82</v>
      </c>
      <c r="Q11" s="68">
        <f t="shared" si="13"/>
        <v>87</v>
      </c>
      <c r="R11" s="69">
        <f t="shared" si="14"/>
        <v>85</v>
      </c>
      <c r="S11" s="69">
        <f t="shared" si="15"/>
        <v>85</v>
      </c>
      <c r="T11" s="69">
        <f t="shared" si="16"/>
        <v>95</v>
      </c>
      <c r="U11" s="69">
        <f t="shared" si="17"/>
        <v>93</v>
      </c>
      <c r="V11" s="69">
        <f t="shared" si="18"/>
        <v>85</v>
      </c>
      <c r="W11" s="234">
        <f t="shared" si="19"/>
        <v>99</v>
      </c>
      <c r="X11" s="234">
        <f t="shared" si="20"/>
        <v>99</v>
      </c>
      <c r="Y11" s="234">
        <f t="shared" si="21"/>
        <v>97</v>
      </c>
      <c r="Z11" s="234">
        <f t="shared" si="22"/>
        <v>99</v>
      </c>
      <c r="AA11" s="234">
        <f t="shared" si="23"/>
        <v>98</v>
      </c>
      <c r="AB11" s="234">
        <f t="shared" si="24"/>
        <v>65</v>
      </c>
      <c r="AC11" s="70">
        <f t="shared" si="25"/>
        <v>1658</v>
      </c>
      <c r="AD11" s="71">
        <f t="shared" si="26"/>
        <v>87.263157894736835</v>
      </c>
      <c r="AE11" s="72">
        <f t="shared" si="27"/>
        <v>8</v>
      </c>
      <c r="AF11" s="73" t="s">
        <v>805</v>
      </c>
      <c r="AG11" s="73" t="s">
        <v>805</v>
      </c>
      <c r="AH11" s="73" t="s">
        <v>805</v>
      </c>
      <c r="AI11" s="74">
        <v>0</v>
      </c>
      <c r="AJ11" s="74">
        <v>0</v>
      </c>
      <c r="AK11" s="74">
        <v>0</v>
      </c>
      <c r="AL11" s="75"/>
      <c r="AN11" s="93">
        <v>21</v>
      </c>
      <c r="AO11" s="94">
        <v>20210096</v>
      </c>
      <c r="AP11" s="95" t="s">
        <v>458</v>
      </c>
      <c r="AQ11" s="68">
        <v>84</v>
      </c>
      <c r="AR11" s="68">
        <v>68.5</v>
      </c>
      <c r="AS11" s="68">
        <v>67.5</v>
      </c>
      <c r="AT11" s="68">
        <v>92</v>
      </c>
      <c r="AU11" s="68">
        <v>87.3</v>
      </c>
      <c r="AV11" s="68">
        <v>91</v>
      </c>
      <c r="AW11" s="68">
        <v>87.5</v>
      </c>
      <c r="AX11" s="68">
        <v>94.1</v>
      </c>
      <c r="AY11" s="68">
        <v>96.3</v>
      </c>
      <c r="AZ11" s="68">
        <v>94.9</v>
      </c>
      <c r="BA11" s="68">
        <v>92</v>
      </c>
      <c r="BB11" s="68">
        <v>89.8</v>
      </c>
      <c r="BC11" s="68">
        <v>82</v>
      </c>
      <c r="BD11" s="68">
        <v>86.7</v>
      </c>
      <c r="BE11" s="76">
        <v>85</v>
      </c>
      <c r="BF11" s="76">
        <v>85</v>
      </c>
      <c r="BG11" s="76">
        <v>95</v>
      </c>
      <c r="BH11" s="76">
        <v>93</v>
      </c>
      <c r="BI11" s="76">
        <v>85</v>
      </c>
      <c r="BJ11" s="240">
        <v>100</v>
      </c>
      <c r="BK11" s="240">
        <v>100</v>
      </c>
      <c r="BL11" s="240">
        <v>97.05</v>
      </c>
      <c r="BM11" s="240">
        <v>100</v>
      </c>
      <c r="BN11" s="240">
        <v>97.5</v>
      </c>
      <c r="BO11" s="240">
        <v>65</v>
      </c>
      <c r="BP11" s="70">
        <f t="shared" si="28"/>
        <v>1656.6</v>
      </c>
      <c r="BQ11" s="71">
        <f t="shared" si="29"/>
        <v>87.189473684210526</v>
      </c>
      <c r="BR11" s="72" t="e">
        <f t="shared" si="30"/>
        <v>#N/A</v>
      </c>
      <c r="BS11" s="73"/>
      <c r="BT11" s="73"/>
      <c r="BU11" s="73"/>
      <c r="BV11" s="74"/>
      <c r="BW11" s="74"/>
      <c r="BX11" s="74"/>
      <c r="BY11" s="75"/>
    </row>
    <row r="12" spans="1:77" ht="24.6" customHeight="1">
      <c r="A12" s="138">
        <v>9</v>
      </c>
      <c r="B12" s="94">
        <v>21220115</v>
      </c>
      <c r="C12" s="95" t="s">
        <v>444</v>
      </c>
      <c r="D12" s="68">
        <f t="shared" si="0"/>
        <v>70</v>
      </c>
      <c r="E12" s="68">
        <f t="shared" si="1"/>
        <v>69</v>
      </c>
      <c r="F12" s="68">
        <f t="shared" si="2"/>
        <v>66</v>
      </c>
      <c r="G12" s="68">
        <f t="shared" si="3"/>
        <v>83</v>
      </c>
      <c r="H12" s="68">
        <f t="shared" si="4"/>
        <v>89</v>
      </c>
      <c r="I12" s="68">
        <f t="shared" si="5"/>
        <v>90</v>
      </c>
      <c r="J12" s="68">
        <f t="shared" si="6"/>
        <v>89</v>
      </c>
      <c r="K12" s="68">
        <f t="shared" si="7"/>
        <v>95</v>
      </c>
      <c r="L12" s="68">
        <f t="shared" si="8"/>
        <v>91</v>
      </c>
      <c r="M12" s="68">
        <f t="shared" si="9"/>
        <v>91</v>
      </c>
      <c r="N12" s="68">
        <f t="shared" si="10"/>
        <v>94</v>
      </c>
      <c r="O12" s="68">
        <f t="shared" si="11"/>
        <v>83</v>
      </c>
      <c r="P12" s="68">
        <f t="shared" si="12"/>
        <v>79</v>
      </c>
      <c r="Q12" s="68">
        <f t="shared" si="13"/>
        <v>95</v>
      </c>
      <c r="R12" s="69">
        <f t="shared" si="14"/>
        <v>99</v>
      </c>
      <c r="S12" s="69">
        <f t="shared" si="15"/>
        <v>85</v>
      </c>
      <c r="T12" s="69">
        <f t="shared" si="16"/>
        <v>99</v>
      </c>
      <c r="U12" s="69">
        <f t="shared" si="17"/>
        <v>95</v>
      </c>
      <c r="V12" s="69">
        <f t="shared" si="18"/>
        <v>90</v>
      </c>
      <c r="W12" s="234">
        <f t="shared" si="19"/>
        <v>98</v>
      </c>
      <c r="X12" s="234">
        <f t="shared" si="20"/>
        <v>99</v>
      </c>
      <c r="Y12" s="234">
        <f t="shared" si="21"/>
        <v>98</v>
      </c>
      <c r="Z12" s="234">
        <f t="shared" si="22"/>
        <v>99</v>
      </c>
      <c r="AA12" s="234">
        <f t="shared" si="23"/>
        <v>99</v>
      </c>
      <c r="AB12" s="234">
        <f t="shared" si="24"/>
        <v>65</v>
      </c>
      <c r="AC12" s="70">
        <f t="shared" si="25"/>
        <v>1652</v>
      </c>
      <c r="AD12" s="71">
        <f t="shared" si="26"/>
        <v>86.94736842105263</v>
      </c>
      <c r="AE12" s="72">
        <f t="shared" si="27"/>
        <v>9</v>
      </c>
      <c r="AF12" s="73" t="s">
        <v>805</v>
      </c>
      <c r="AG12" s="73" t="s">
        <v>805</v>
      </c>
      <c r="AH12" s="73" t="s">
        <v>805</v>
      </c>
      <c r="AI12" s="74">
        <v>0</v>
      </c>
      <c r="AJ12" s="74">
        <v>0</v>
      </c>
      <c r="AK12" s="74">
        <v>0</v>
      </c>
      <c r="AL12" s="75"/>
      <c r="AN12" s="93">
        <v>7</v>
      </c>
      <c r="AO12" s="94">
        <v>21220115</v>
      </c>
      <c r="AP12" s="95" t="s">
        <v>444</v>
      </c>
      <c r="AQ12" s="68">
        <v>69.8</v>
      </c>
      <c r="AR12" s="68">
        <v>68.5</v>
      </c>
      <c r="AS12" s="68">
        <v>66</v>
      </c>
      <c r="AT12" s="68">
        <v>83</v>
      </c>
      <c r="AU12" s="68">
        <v>89.4</v>
      </c>
      <c r="AV12" s="68">
        <v>90</v>
      </c>
      <c r="AW12" s="68">
        <v>89</v>
      </c>
      <c r="AX12" s="68">
        <v>95.3</v>
      </c>
      <c r="AY12" s="68">
        <v>91</v>
      </c>
      <c r="AZ12" s="68">
        <v>90.5</v>
      </c>
      <c r="BA12" s="68">
        <v>94</v>
      </c>
      <c r="BB12" s="68">
        <v>82.9</v>
      </c>
      <c r="BC12" s="68">
        <v>79</v>
      </c>
      <c r="BD12" s="68">
        <v>94.7</v>
      </c>
      <c r="BE12" s="76">
        <v>100</v>
      </c>
      <c r="BF12" s="76">
        <v>85</v>
      </c>
      <c r="BG12" s="76">
        <v>100</v>
      </c>
      <c r="BH12" s="76">
        <v>95</v>
      </c>
      <c r="BI12" s="76">
        <v>90</v>
      </c>
      <c r="BJ12" s="240">
        <v>97.5</v>
      </c>
      <c r="BK12" s="240">
        <v>100</v>
      </c>
      <c r="BL12" s="240">
        <v>97.65</v>
      </c>
      <c r="BM12" s="240">
        <v>100</v>
      </c>
      <c r="BN12" s="240">
        <v>100</v>
      </c>
      <c r="BO12" s="240">
        <v>65</v>
      </c>
      <c r="BP12" s="70">
        <f t="shared" si="28"/>
        <v>1653.1000000000001</v>
      </c>
      <c r="BQ12" s="71">
        <f t="shared" si="29"/>
        <v>87.005263157894746</v>
      </c>
      <c r="BR12" s="72" t="e">
        <f t="shared" si="30"/>
        <v>#N/A</v>
      </c>
      <c r="BS12" s="73"/>
      <c r="BT12" s="73"/>
      <c r="BU12" s="73"/>
      <c r="BV12" s="74"/>
      <c r="BW12" s="74"/>
      <c r="BX12" s="74"/>
      <c r="BY12" s="75"/>
    </row>
    <row r="13" spans="1:77" ht="24.6" customHeight="1">
      <c r="A13" s="93">
        <v>10</v>
      </c>
      <c r="B13" s="94">
        <v>21220015</v>
      </c>
      <c r="C13" s="96" t="s">
        <v>441</v>
      </c>
      <c r="D13" s="68">
        <f t="shared" si="0"/>
        <v>73</v>
      </c>
      <c r="E13" s="68">
        <f t="shared" si="1"/>
        <v>73</v>
      </c>
      <c r="F13" s="68">
        <f t="shared" si="2"/>
        <v>68</v>
      </c>
      <c r="G13" s="68">
        <f t="shared" si="3"/>
        <v>90</v>
      </c>
      <c r="H13" s="68">
        <f t="shared" si="4"/>
        <v>71</v>
      </c>
      <c r="I13" s="68">
        <f t="shared" si="5"/>
        <v>89</v>
      </c>
      <c r="J13" s="68">
        <f t="shared" si="6"/>
        <v>98</v>
      </c>
      <c r="K13" s="68">
        <f t="shared" si="7"/>
        <v>83</v>
      </c>
      <c r="L13" s="68">
        <f t="shared" si="8"/>
        <v>94</v>
      </c>
      <c r="M13" s="68">
        <f t="shared" si="9"/>
        <v>94</v>
      </c>
      <c r="N13" s="68">
        <f t="shared" si="10"/>
        <v>95</v>
      </c>
      <c r="O13" s="68">
        <f t="shared" si="11"/>
        <v>85</v>
      </c>
      <c r="P13" s="68">
        <f t="shared" si="12"/>
        <v>82</v>
      </c>
      <c r="Q13" s="68">
        <f t="shared" si="13"/>
        <v>97</v>
      </c>
      <c r="R13" s="69">
        <f t="shared" si="14"/>
        <v>85</v>
      </c>
      <c r="S13" s="69">
        <f t="shared" si="15"/>
        <v>85</v>
      </c>
      <c r="T13" s="69">
        <f t="shared" si="16"/>
        <v>95</v>
      </c>
      <c r="U13" s="69">
        <f t="shared" si="17"/>
        <v>60</v>
      </c>
      <c r="V13" s="69">
        <f t="shared" si="18"/>
        <v>99</v>
      </c>
      <c r="W13" s="234">
        <f t="shared" si="19"/>
        <v>99</v>
      </c>
      <c r="X13" s="234">
        <f t="shared" si="20"/>
        <v>99</v>
      </c>
      <c r="Y13" s="234">
        <f t="shared" si="21"/>
        <v>91</v>
      </c>
      <c r="Z13" s="234">
        <f t="shared" si="22"/>
        <v>99</v>
      </c>
      <c r="AA13" s="234">
        <f t="shared" si="23"/>
        <v>99</v>
      </c>
      <c r="AB13" s="234">
        <f t="shared" si="24"/>
        <v>65</v>
      </c>
      <c r="AC13" s="70">
        <f t="shared" si="25"/>
        <v>1616</v>
      </c>
      <c r="AD13" s="71">
        <f t="shared" si="26"/>
        <v>85.05263157894737</v>
      </c>
      <c r="AE13" s="72">
        <f t="shared" si="27"/>
        <v>10</v>
      </c>
      <c r="AF13" s="73" t="s">
        <v>805</v>
      </c>
      <c r="AG13" s="73" t="s">
        <v>805</v>
      </c>
      <c r="AH13" s="73" t="s">
        <v>805</v>
      </c>
      <c r="AI13" s="74">
        <v>8</v>
      </c>
      <c r="AJ13" s="74">
        <v>4</v>
      </c>
      <c r="AK13" s="74">
        <v>1</v>
      </c>
      <c r="AL13" s="75"/>
      <c r="AN13" s="93">
        <v>4</v>
      </c>
      <c r="AO13" s="94">
        <v>21220015</v>
      </c>
      <c r="AP13" s="96" t="s">
        <v>441</v>
      </c>
      <c r="AQ13" s="68">
        <v>73</v>
      </c>
      <c r="AR13" s="68">
        <v>73</v>
      </c>
      <c r="AS13" s="68">
        <v>67.5</v>
      </c>
      <c r="AT13" s="68">
        <v>90.4</v>
      </c>
      <c r="AU13" s="68">
        <v>70.5</v>
      </c>
      <c r="AV13" s="68">
        <v>88.5</v>
      </c>
      <c r="AW13" s="68">
        <v>97.5</v>
      </c>
      <c r="AX13" s="68">
        <v>82.6</v>
      </c>
      <c r="AY13" s="68">
        <v>94</v>
      </c>
      <c r="AZ13" s="68">
        <v>94</v>
      </c>
      <c r="BA13" s="68">
        <v>95</v>
      </c>
      <c r="BB13" s="68">
        <v>84.8</v>
      </c>
      <c r="BC13" s="68">
        <v>82</v>
      </c>
      <c r="BD13" s="68">
        <v>97</v>
      </c>
      <c r="BE13" s="76">
        <v>85</v>
      </c>
      <c r="BF13" s="76">
        <v>85</v>
      </c>
      <c r="BG13" s="76">
        <v>95</v>
      </c>
      <c r="BH13" s="76">
        <v>60</v>
      </c>
      <c r="BI13" s="76">
        <v>100</v>
      </c>
      <c r="BJ13" s="240">
        <v>100</v>
      </c>
      <c r="BK13" s="240">
        <v>100</v>
      </c>
      <c r="BL13" s="240">
        <v>91.3</v>
      </c>
      <c r="BM13" s="240">
        <v>100</v>
      </c>
      <c r="BN13" s="240">
        <v>100</v>
      </c>
      <c r="BO13" s="240">
        <v>65</v>
      </c>
      <c r="BP13" s="70">
        <f t="shared" si="28"/>
        <v>1614.8</v>
      </c>
      <c r="BQ13" s="71">
        <f t="shared" si="29"/>
        <v>84.989473684210523</v>
      </c>
      <c r="BR13" s="72" t="e">
        <f t="shared" si="30"/>
        <v>#N/A</v>
      </c>
      <c r="BS13" s="73"/>
      <c r="BT13" s="73"/>
      <c r="BU13" s="73"/>
      <c r="BV13" s="74"/>
      <c r="BW13" s="74"/>
      <c r="BX13" s="74"/>
      <c r="BY13" s="75"/>
    </row>
    <row r="14" spans="1:77" ht="24.6" customHeight="1">
      <c r="A14" s="93">
        <v>11</v>
      </c>
      <c r="B14" s="139">
        <v>20210033</v>
      </c>
      <c r="C14" s="108" t="s">
        <v>465</v>
      </c>
      <c r="D14" s="68">
        <f t="shared" si="0"/>
        <v>80</v>
      </c>
      <c r="E14" s="68">
        <f t="shared" si="1"/>
        <v>78</v>
      </c>
      <c r="F14" s="68">
        <f t="shared" si="2"/>
        <v>88</v>
      </c>
      <c r="G14" s="68">
        <f t="shared" si="3"/>
        <v>93</v>
      </c>
      <c r="H14" s="68">
        <f t="shared" si="4"/>
        <v>77</v>
      </c>
      <c r="I14" s="68">
        <f t="shared" si="5"/>
        <v>85</v>
      </c>
      <c r="J14" s="68">
        <f t="shared" si="6"/>
        <v>80</v>
      </c>
      <c r="K14" s="68">
        <f t="shared" si="7"/>
        <v>83</v>
      </c>
      <c r="L14" s="68">
        <f t="shared" si="8"/>
        <v>94</v>
      </c>
      <c r="M14" s="68">
        <f t="shared" si="9"/>
        <v>99</v>
      </c>
      <c r="N14" s="68">
        <f t="shared" si="10"/>
        <v>92</v>
      </c>
      <c r="O14" s="68">
        <f t="shared" si="11"/>
        <v>82</v>
      </c>
      <c r="P14" s="68">
        <f t="shared" si="12"/>
        <v>84</v>
      </c>
      <c r="Q14" s="68">
        <f t="shared" si="13"/>
        <v>93</v>
      </c>
      <c r="R14" s="69">
        <f t="shared" si="14"/>
        <v>99</v>
      </c>
      <c r="S14" s="69">
        <f t="shared" si="15"/>
        <v>85</v>
      </c>
      <c r="T14" s="69">
        <f t="shared" si="16"/>
        <v>75</v>
      </c>
      <c r="U14" s="69">
        <f t="shared" si="17"/>
        <v>77</v>
      </c>
      <c r="V14" s="69">
        <f t="shared" si="18"/>
        <v>70</v>
      </c>
      <c r="W14" s="234">
        <f t="shared" si="19"/>
        <v>98</v>
      </c>
      <c r="X14" s="234">
        <f t="shared" si="20"/>
        <v>90</v>
      </c>
      <c r="Y14" s="234">
        <f t="shared" si="21"/>
        <v>91</v>
      </c>
      <c r="Z14" s="234">
        <f t="shared" si="22"/>
        <v>99</v>
      </c>
      <c r="AA14" s="234">
        <f t="shared" si="23"/>
        <v>93</v>
      </c>
      <c r="AB14" s="234">
        <f t="shared" si="24"/>
        <v>65</v>
      </c>
      <c r="AC14" s="70">
        <f t="shared" si="25"/>
        <v>1614</v>
      </c>
      <c r="AD14" s="71">
        <f t="shared" si="26"/>
        <v>84.94736842105263</v>
      </c>
      <c r="AE14" s="72">
        <f t="shared" si="27"/>
        <v>11</v>
      </c>
      <c r="AF14" s="73" t="s">
        <v>805</v>
      </c>
      <c r="AG14" s="73" t="s">
        <v>805</v>
      </c>
      <c r="AH14" s="73" t="s">
        <v>805</v>
      </c>
      <c r="AI14" s="74">
        <v>0</v>
      </c>
      <c r="AJ14" s="74">
        <v>0</v>
      </c>
      <c r="AK14" s="74">
        <v>0</v>
      </c>
      <c r="AL14" s="75"/>
      <c r="AN14" s="93">
        <v>28</v>
      </c>
      <c r="AO14" s="94">
        <v>20210033</v>
      </c>
      <c r="AP14" s="97" t="s">
        <v>465</v>
      </c>
      <c r="AQ14" s="68">
        <v>80</v>
      </c>
      <c r="AR14" s="68">
        <v>77.5</v>
      </c>
      <c r="AS14" s="68">
        <v>87.7</v>
      </c>
      <c r="AT14" s="68">
        <v>93.4</v>
      </c>
      <c r="AU14" s="68">
        <v>76.5</v>
      </c>
      <c r="AV14" s="68">
        <v>85</v>
      </c>
      <c r="AW14" s="68">
        <v>79.5</v>
      </c>
      <c r="AX14" s="68">
        <v>82.7</v>
      </c>
      <c r="AY14" s="68">
        <v>94</v>
      </c>
      <c r="AZ14" s="68">
        <v>99.7</v>
      </c>
      <c r="BA14" s="68">
        <v>92</v>
      </c>
      <c r="BB14" s="68">
        <v>81.7</v>
      </c>
      <c r="BC14" s="68">
        <v>84.4</v>
      </c>
      <c r="BD14" s="68">
        <v>93.1</v>
      </c>
      <c r="BE14" s="76">
        <v>100</v>
      </c>
      <c r="BF14" s="76">
        <v>85</v>
      </c>
      <c r="BG14" s="76">
        <v>75</v>
      </c>
      <c r="BH14" s="76">
        <v>77</v>
      </c>
      <c r="BI14" s="76">
        <v>70</v>
      </c>
      <c r="BJ14" s="240">
        <v>97.5</v>
      </c>
      <c r="BK14" s="240">
        <v>90</v>
      </c>
      <c r="BL14" s="240">
        <v>91.35</v>
      </c>
      <c r="BM14" s="240">
        <v>100</v>
      </c>
      <c r="BN14" s="240">
        <v>92.5</v>
      </c>
      <c r="BO14" s="240">
        <v>65</v>
      </c>
      <c r="BP14" s="70">
        <f t="shared" si="28"/>
        <v>1614.2</v>
      </c>
      <c r="BQ14" s="71">
        <f t="shared" si="29"/>
        <v>84.957894736842107</v>
      </c>
      <c r="BR14" s="72" t="e">
        <f t="shared" si="30"/>
        <v>#N/A</v>
      </c>
      <c r="BS14" s="73"/>
      <c r="BT14" s="73"/>
      <c r="BU14" s="73"/>
      <c r="BV14" s="74"/>
      <c r="BW14" s="74"/>
      <c r="BX14" s="74"/>
      <c r="BY14" s="75"/>
    </row>
    <row r="15" spans="1:77" ht="24.6" customHeight="1">
      <c r="A15" s="93">
        <v>12</v>
      </c>
      <c r="B15" s="139">
        <v>22230059</v>
      </c>
      <c r="C15" s="108" t="s">
        <v>464</v>
      </c>
      <c r="D15" s="68">
        <f t="shared" si="0"/>
        <v>76</v>
      </c>
      <c r="E15" s="68">
        <f t="shared" si="1"/>
        <v>82</v>
      </c>
      <c r="F15" s="68">
        <f t="shared" si="2"/>
        <v>55</v>
      </c>
      <c r="G15" s="68">
        <f t="shared" si="3"/>
        <v>88</v>
      </c>
      <c r="H15" s="68">
        <f t="shared" si="4"/>
        <v>59</v>
      </c>
      <c r="I15" s="68">
        <f t="shared" si="5"/>
        <v>79</v>
      </c>
      <c r="J15" s="68">
        <f t="shared" si="6"/>
        <v>88</v>
      </c>
      <c r="K15" s="68">
        <f t="shared" si="7"/>
        <v>82</v>
      </c>
      <c r="L15" s="68">
        <f t="shared" si="8"/>
        <v>91</v>
      </c>
      <c r="M15" s="68">
        <f t="shared" si="9"/>
        <v>89</v>
      </c>
      <c r="N15" s="68">
        <f t="shared" si="10"/>
        <v>85</v>
      </c>
      <c r="O15" s="68">
        <f t="shared" si="11"/>
        <v>87</v>
      </c>
      <c r="P15" s="68">
        <f t="shared" si="12"/>
        <v>85</v>
      </c>
      <c r="Q15" s="68">
        <f t="shared" si="13"/>
        <v>90</v>
      </c>
      <c r="R15" s="69">
        <f t="shared" si="14"/>
        <v>85</v>
      </c>
      <c r="S15" s="69">
        <f t="shared" si="15"/>
        <v>85</v>
      </c>
      <c r="T15" s="69">
        <f t="shared" si="16"/>
        <v>75</v>
      </c>
      <c r="U15" s="69">
        <f t="shared" si="17"/>
        <v>80</v>
      </c>
      <c r="V15" s="69">
        <f t="shared" si="18"/>
        <v>90</v>
      </c>
      <c r="W15" s="234">
        <f t="shared" si="19"/>
        <v>99</v>
      </c>
      <c r="X15" s="234">
        <f t="shared" si="20"/>
        <v>99</v>
      </c>
      <c r="Y15" s="234">
        <f t="shared" si="21"/>
        <v>91</v>
      </c>
      <c r="Z15" s="234">
        <f t="shared" si="22"/>
        <v>99</v>
      </c>
      <c r="AA15" s="234">
        <f t="shared" si="23"/>
        <v>99</v>
      </c>
      <c r="AB15" s="234">
        <f t="shared" si="24"/>
        <v>65</v>
      </c>
      <c r="AC15" s="70">
        <f t="shared" si="25"/>
        <v>1551</v>
      </c>
      <c r="AD15" s="71">
        <f t="shared" si="26"/>
        <v>81.631578947368425</v>
      </c>
      <c r="AE15" s="72">
        <f t="shared" si="27"/>
        <v>12</v>
      </c>
      <c r="AF15" s="73" t="s">
        <v>805</v>
      </c>
      <c r="AG15" s="73" t="s">
        <v>805</v>
      </c>
      <c r="AH15" s="73" t="s">
        <v>805</v>
      </c>
      <c r="AI15" s="74">
        <v>0</v>
      </c>
      <c r="AJ15" s="74">
        <v>0</v>
      </c>
      <c r="AK15" s="74">
        <v>0</v>
      </c>
      <c r="AL15" s="75"/>
      <c r="AN15" s="93">
        <v>27</v>
      </c>
      <c r="AO15" s="94">
        <v>22230059</v>
      </c>
      <c r="AP15" s="97" t="s">
        <v>464</v>
      </c>
      <c r="AQ15" s="68">
        <v>76.399999999999991</v>
      </c>
      <c r="AR15" s="68">
        <v>82</v>
      </c>
      <c r="AS15" s="68">
        <v>55</v>
      </c>
      <c r="AT15" s="68">
        <v>88</v>
      </c>
      <c r="AU15" s="68">
        <v>59.400000000000006</v>
      </c>
      <c r="AV15" s="68">
        <v>78.5</v>
      </c>
      <c r="AW15" s="68">
        <v>88</v>
      </c>
      <c r="AX15" s="68">
        <v>81.5</v>
      </c>
      <c r="AY15" s="68">
        <v>91</v>
      </c>
      <c r="AZ15" s="68">
        <v>88.8</v>
      </c>
      <c r="BA15" s="68">
        <v>85</v>
      </c>
      <c r="BB15" s="68">
        <v>86.5</v>
      </c>
      <c r="BC15" s="68">
        <v>85</v>
      </c>
      <c r="BD15" s="68">
        <v>89.8</v>
      </c>
      <c r="BE15" s="76">
        <v>85</v>
      </c>
      <c r="BF15" s="76">
        <v>85</v>
      </c>
      <c r="BG15" s="76">
        <v>75</v>
      </c>
      <c r="BH15" s="76">
        <v>80</v>
      </c>
      <c r="BI15" s="76">
        <v>90</v>
      </c>
      <c r="BJ15" s="240">
        <v>100</v>
      </c>
      <c r="BK15" s="240">
        <v>100</v>
      </c>
      <c r="BL15" s="240">
        <v>90.75</v>
      </c>
      <c r="BM15" s="240">
        <v>100</v>
      </c>
      <c r="BN15" s="240">
        <v>100</v>
      </c>
      <c r="BO15" s="240">
        <v>65</v>
      </c>
      <c r="BP15" s="70">
        <f t="shared" si="28"/>
        <v>1549.8999999999999</v>
      </c>
      <c r="BQ15" s="71">
        <f t="shared" si="29"/>
        <v>81.573684210526309</v>
      </c>
      <c r="BR15" s="72" t="e">
        <f t="shared" si="30"/>
        <v>#N/A</v>
      </c>
      <c r="BS15" s="73"/>
      <c r="BT15" s="73"/>
      <c r="BU15" s="73"/>
      <c r="BV15" s="74"/>
      <c r="BW15" s="74"/>
      <c r="BX15" s="74"/>
      <c r="BY15" s="75"/>
    </row>
    <row r="16" spans="1:77" ht="24.6" customHeight="1">
      <c r="A16" s="93">
        <v>13</v>
      </c>
      <c r="B16" s="94">
        <v>19200081</v>
      </c>
      <c r="C16" s="96" t="s">
        <v>451</v>
      </c>
      <c r="D16" s="68">
        <f t="shared" si="0"/>
        <v>67</v>
      </c>
      <c r="E16" s="68">
        <f t="shared" si="1"/>
        <v>73</v>
      </c>
      <c r="F16" s="68">
        <f t="shared" si="2"/>
        <v>49</v>
      </c>
      <c r="G16" s="68">
        <f t="shared" si="3"/>
        <v>90</v>
      </c>
      <c r="H16" s="68">
        <f t="shared" si="4"/>
        <v>77</v>
      </c>
      <c r="I16" s="68">
        <f t="shared" si="5"/>
        <v>58</v>
      </c>
      <c r="J16" s="68">
        <f t="shared" si="6"/>
        <v>84</v>
      </c>
      <c r="K16" s="68">
        <f t="shared" si="7"/>
        <v>72</v>
      </c>
      <c r="L16" s="68">
        <f t="shared" si="8"/>
        <v>92</v>
      </c>
      <c r="M16" s="68">
        <f t="shared" si="9"/>
        <v>82</v>
      </c>
      <c r="N16" s="68">
        <f t="shared" si="10"/>
        <v>79</v>
      </c>
      <c r="O16" s="68">
        <f t="shared" si="11"/>
        <v>71</v>
      </c>
      <c r="P16" s="68">
        <f t="shared" si="12"/>
        <v>70</v>
      </c>
      <c r="Q16" s="68">
        <f t="shared" si="13"/>
        <v>77</v>
      </c>
      <c r="R16" s="69">
        <f t="shared" si="14"/>
        <v>99</v>
      </c>
      <c r="S16" s="69">
        <f t="shared" si="15"/>
        <v>85</v>
      </c>
      <c r="T16" s="69">
        <f t="shared" si="16"/>
        <v>60</v>
      </c>
      <c r="U16" s="69">
        <f t="shared" si="17"/>
        <v>77</v>
      </c>
      <c r="V16" s="69">
        <f t="shared" si="18"/>
        <v>80</v>
      </c>
      <c r="W16" s="234">
        <f t="shared" si="19"/>
        <v>98</v>
      </c>
      <c r="X16" s="234">
        <f t="shared" si="20"/>
        <v>90</v>
      </c>
      <c r="Y16" s="234">
        <f t="shared" si="21"/>
        <v>86</v>
      </c>
      <c r="Z16" s="234">
        <f t="shared" si="22"/>
        <v>99</v>
      </c>
      <c r="AA16" s="234">
        <f t="shared" si="23"/>
        <v>95</v>
      </c>
      <c r="AB16" s="234">
        <f t="shared" si="24"/>
        <v>65</v>
      </c>
      <c r="AC16" s="70">
        <f t="shared" si="25"/>
        <v>1442</v>
      </c>
      <c r="AD16" s="71">
        <f t="shared" si="26"/>
        <v>75.89473684210526</v>
      </c>
      <c r="AE16" s="72">
        <f t="shared" si="27"/>
        <v>13</v>
      </c>
      <c r="AF16" s="73" t="s">
        <v>805</v>
      </c>
      <c r="AG16" s="73" t="s">
        <v>805</v>
      </c>
      <c r="AH16" s="73" t="s">
        <v>805</v>
      </c>
      <c r="AI16" s="74">
        <v>19</v>
      </c>
      <c r="AJ16" s="74">
        <v>0</v>
      </c>
      <c r="AK16" s="74">
        <v>2</v>
      </c>
      <c r="AL16" s="75"/>
      <c r="AN16" s="93">
        <v>14</v>
      </c>
      <c r="AO16" s="94">
        <v>19200081</v>
      </c>
      <c r="AP16" s="96" t="s">
        <v>451</v>
      </c>
      <c r="AQ16" s="68">
        <v>66.5</v>
      </c>
      <c r="AR16" s="68">
        <v>73</v>
      </c>
      <c r="AS16" s="68">
        <v>49</v>
      </c>
      <c r="AT16" s="68">
        <v>89.9</v>
      </c>
      <c r="AU16" s="68">
        <v>76.5</v>
      </c>
      <c r="AV16" s="68">
        <v>57.5</v>
      </c>
      <c r="AW16" s="68">
        <v>83.5</v>
      </c>
      <c r="AX16" s="68">
        <v>72.2</v>
      </c>
      <c r="AY16" s="68">
        <v>91.9</v>
      </c>
      <c r="AZ16" s="68">
        <v>82</v>
      </c>
      <c r="BA16" s="68">
        <v>79</v>
      </c>
      <c r="BB16" s="68">
        <v>70.5</v>
      </c>
      <c r="BC16" s="68">
        <v>70</v>
      </c>
      <c r="BD16" s="68">
        <v>77</v>
      </c>
      <c r="BE16" s="76">
        <v>100</v>
      </c>
      <c r="BF16" s="76">
        <v>85</v>
      </c>
      <c r="BG16" s="76">
        <v>60</v>
      </c>
      <c r="BH16" s="76">
        <v>77</v>
      </c>
      <c r="BI16" s="76">
        <v>80</v>
      </c>
      <c r="BJ16" s="240">
        <v>97.5</v>
      </c>
      <c r="BK16" s="240">
        <v>90</v>
      </c>
      <c r="BL16" s="240">
        <v>86.1</v>
      </c>
      <c r="BM16" s="240">
        <v>100</v>
      </c>
      <c r="BN16" s="240">
        <v>95</v>
      </c>
      <c r="BO16" s="240">
        <v>65</v>
      </c>
      <c r="BP16" s="70">
        <f t="shared" si="28"/>
        <v>1440.5</v>
      </c>
      <c r="BQ16" s="71">
        <f t="shared" si="29"/>
        <v>75.815789473684205</v>
      </c>
      <c r="BR16" s="72" t="e">
        <f t="shared" si="30"/>
        <v>#N/A</v>
      </c>
      <c r="BS16" s="73"/>
      <c r="BT16" s="73"/>
      <c r="BU16" s="73"/>
      <c r="BV16" s="74"/>
      <c r="BW16" s="74"/>
      <c r="BX16" s="74"/>
      <c r="BY16" s="75"/>
    </row>
    <row r="17" spans="1:77" ht="24.6" customHeight="1">
      <c r="A17" s="93">
        <v>14</v>
      </c>
      <c r="B17" s="94">
        <v>20210071</v>
      </c>
      <c r="C17" s="95" t="s">
        <v>438</v>
      </c>
      <c r="D17" s="68">
        <f t="shared" si="0"/>
        <v>47</v>
      </c>
      <c r="E17" s="68">
        <f t="shared" si="1"/>
        <v>69</v>
      </c>
      <c r="F17" s="68">
        <f t="shared" si="2"/>
        <v>71</v>
      </c>
      <c r="G17" s="68">
        <f t="shared" si="3"/>
        <v>68</v>
      </c>
      <c r="H17" s="68">
        <f t="shared" si="4"/>
        <v>72</v>
      </c>
      <c r="I17" s="68">
        <f t="shared" si="5"/>
        <v>75</v>
      </c>
      <c r="J17" s="68">
        <f t="shared" si="6"/>
        <v>84</v>
      </c>
      <c r="K17" s="68">
        <f t="shared" si="7"/>
        <v>86</v>
      </c>
      <c r="L17" s="68">
        <f t="shared" si="8"/>
        <v>88</v>
      </c>
      <c r="M17" s="68">
        <f t="shared" si="9"/>
        <v>73</v>
      </c>
      <c r="N17" s="68">
        <f t="shared" si="10"/>
        <v>86</v>
      </c>
      <c r="O17" s="68">
        <f t="shared" si="11"/>
        <v>65</v>
      </c>
      <c r="P17" s="68">
        <f t="shared" si="12"/>
        <v>61</v>
      </c>
      <c r="Q17" s="68">
        <f t="shared" si="13"/>
        <v>88</v>
      </c>
      <c r="R17" s="69">
        <f t="shared" si="14"/>
        <v>70</v>
      </c>
      <c r="S17" s="69">
        <f t="shared" si="15"/>
        <v>85</v>
      </c>
      <c r="T17" s="69">
        <f t="shared" si="16"/>
        <v>90</v>
      </c>
      <c r="U17" s="69">
        <f t="shared" si="17"/>
        <v>75</v>
      </c>
      <c r="V17" s="69">
        <f t="shared" si="18"/>
        <v>85</v>
      </c>
      <c r="W17" s="234">
        <f t="shared" si="19"/>
        <v>98</v>
      </c>
      <c r="X17" s="234">
        <f t="shared" si="20"/>
        <v>99</v>
      </c>
      <c r="Y17" s="234">
        <f t="shared" si="21"/>
        <v>93</v>
      </c>
      <c r="Z17" s="234">
        <f t="shared" si="22"/>
        <v>99</v>
      </c>
      <c r="AA17" s="234">
        <f t="shared" si="23"/>
        <v>83</v>
      </c>
      <c r="AB17" s="234">
        <f t="shared" si="24"/>
        <v>65</v>
      </c>
      <c r="AC17" s="70">
        <f t="shared" si="25"/>
        <v>1438</v>
      </c>
      <c r="AD17" s="71">
        <f t="shared" si="26"/>
        <v>75.684210526315795</v>
      </c>
      <c r="AE17" s="72">
        <f t="shared" si="27"/>
        <v>14</v>
      </c>
      <c r="AF17" s="73" t="s">
        <v>805</v>
      </c>
      <c r="AG17" s="73" t="s">
        <v>805</v>
      </c>
      <c r="AH17" s="73" t="s">
        <v>805</v>
      </c>
      <c r="AI17" s="74">
        <v>0</v>
      </c>
      <c r="AJ17" s="74">
        <v>0</v>
      </c>
      <c r="AK17" s="74">
        <v>0</v>
      </c>
      <c r="AL17" s="75"/>
      <c r="AN17" s="93">
        <v>1</v>
      </c>
      <c r="AO17" s="94">
        <v>20210071</v>
      </c>
      <c r="AP17" s="95" t="s">
        <v>438</v>
      </c>
      <c r="AQ17" s="68">
        <v>47.2</v>
      </c>
      <c r="AR17" s="68">
        <v>68.5</v>
      </c>
      <c r="AS17" s="68">
        <v>71</v>
      </c>
      <c r="AT17" s="68">
        <v>68</v>
      </c>
      <c r="AU17" s="68">
        <v>71.5</v>
      </c>
      <c r="AV17" s="68">
        <v>74.5</v>
      </c>
      <c r="AW17" s="68">
        <v>84</v>
      </c>
      <c r="AX17" s="68">
        <v>86.3</v>
      </c>
      <c r="AY17" s="68">
        <v>88.4</v>
      </c>
      <c r="AZ17" s="68">
        <v>73</v>
      </c>
      <c r="BA17" s="68">
        <v>86</v>
      </c>
      <c r="BB17" s="68">
        <v>65</v>
      </c>
      <c r="BC17" s="68">
        <v>61</v>
      </c>
      <c r="BD17" s="68">
        <v>88.4</v>
      </c>
      <c r="BE17" s="76">
        <v>70</v>
      </c>
      <c r="BF17" s="76">
        <v>85</v>
      </c>
      <c r="BG17" s="76">
        <v>90</v>
      </c>
      <c r="BH17" s="76">
        <v>75</v>
      </c>
      <c r="BI17" s="76">
        <v>85</v>
      </c>
      <c r="BJ17" s="240">
        <v>97.5</v>
      </c>
      <c r="BK17" s="240">
        <v>100</v>
      </c>
      <c r="BL17" s="240">
        <v>93.15</v>
      </c>
      <c r="BM17" s="240">
        <v>100</v>
      </c>
      <c r="BN17" s="240">
        <v>82.5</v>
      </c>
      <c r="BO17" s="240">
        <v>65</v>
      </c>
      <c r="BP17" s="70">
        <f t="shared" si="28"/>
        <v>1437.8</v>
      </c>
      <c r="BQ17" s="71">
        <f t="shared" si="29"/>
        <v>75.673684210526318</v>
      </c>
      <c r="BR17" s="72" t="e">
        <f t="shared" si="30"/>
        <v>#N/A</v>
      </c>
      <c r="BS17" s="73"/>
      <c r="BT17" s="73"/>
      <c r="BU17" s="73"/>
      <c r="BV17" s="74"/>
      <c r="BW17" s="74"/>
      <c r="BX17" s="74"/>
      <c r="BY17" s="75"/>
    </row>
    <row r="18" spans="1:77" ht="24.6" customHeight="1">
      <c r="A18" s="93">
        <v>15</v>
      </c>
      <c r="B18" s="139">
        <v>20210039</v>
      </c>
      <c r="C18" s="108" t="s">
        <v>446</v>
      </c>
      <c r="D18" s="68">
        <f t="shared" si="0"/>
        <v>70</v>
      </c>
      <c r="E18" s="68">
        <f t="shared" si="1"/>
        <v>78</v>
      </c>
      <c r="F18" s="68">
        <f t="shared" si="2"/>
        <v>67</v>
      </c>
      <c r="G18" s="68">
        <f t="shared" si="3"/>
        <v>88</v>
      </c>
      <c r="H18" s="68">
        <f t="shared" si="4"/>
        <v>60</v>
      </c>
      <c r="I18" s="68">
        <f t="shared" si="5"/>
        <v>58</v>
      </c>
      <c r="J18" s="68">
        <f t="shared" si="6"/>
        <v>84</v>
      </c>
      <c r="K18" s="68">
        <f t="shared" si="7"/>
        <v>82</v>
      </c>
      <c r="L18" s="68">
        <f t="shared" si="8"/>
        <v>76</v>
      </c>
      <c r="M18" s="68">
        <f t="shared" si="9"/>
        <v>81</v>
      </c>
      <c r="N18" s="68">
        <f t="shared" si="10"/>
        <v>81</v>
      </c>
      <c r="O18" s="68">
        <f t="shared" si="11"/>
        <v>59</v>
      </c>
      <c r="P18" s="68">
        <f t="shared" si="12"/>
        <v>58</v>
      </c>
      <c r="Q18" s="68">
        <f t="shared" si="13"/>
        <v>79</v>
      </c>
      <c r="R18" s="69">
        <f t="shared" si="14"/>
        <v>70</v>
      </c>
      <c r="S18" s="69">
        <f t="shared" si="15"/>
        <v>85</v>
      </c>
      <c r="T18" s="69">
        <f t="shared" si="16"/>
        <v>80</v>
      </c>
      <c r="U18" s="69">
        <f t="shared" si="17"/>
        <v>75</v>
      </c>
      <c r="V18" s="69">
        <f t="shared" si="18"/>
        <v>90</v>
      </c>
      <c r="W18" s="234">
        <f t="shared" si="19"/>
        <v>99</v>
      </c>
      <c r="X18" s="234">
        <f t="shared" si="20"/>
        <v>98</v>
      </c>
      <c r="Y18" s="234">
        <f t="shared" si="21"/>
        <v>91</v>
      </c>
      <c r="Z18" s="234">
        <f t="shared" si="22"/>
        <v>98</v>
      </c>
      <c r="AA18" s="234">
        <f t="shared" si="23"/>
        <v>99</v>
      </c>
      <c r="AB18" s="234">
        <f t="shared" si="24"/>
        <v>68</v>
      </c>
      <c r="AC18" s="70">
        <f t="shared" si="25"/>
        <v>1421</v>
      </c>
      <c r="AD18" s="71">
        <f t="shared" si="26"/>
        <v>74.78947368421052</v>
      </c>
      <c r="AE18" s="72">
        <f t="shared" si="27"/>
        <v>15</v>
      </c>
      <c r="AF18" s="73" t="s">
        <v>805</v>
      </c>
      <c r="AG18" s="73" t="s">
        <v>805</v>
      </c>
      <c r="AH18" s="73" t="s">
        <v>805</v>
      </c>
      <c r="AI18" s="74">
        <v>4</v>
      </c>
      <c r="AJ18" s="74">
        <v>0</v>
      </c>
      <c r="AK18" s="74">
        <v>0</v>
      </c>
      <c r="AL18" s="75"/>
      <c r="AN18" s="93">
        <v>9</v>
      </c>
      <c r="AO18" s="94">
        <v>20210039</v>
      </c>
      <c r="AP18" s="96" t="s">
        <v>446</v>
      </c>
      <c r="AQ18" s="68">
        <v>69.5</v>
      </c>
      <c r="AR18" s="68">
        <v>77.5</v>
      </c>
      <c r="AS18" s="68">
        <v>66.5</v>
      </c>
      <c r="AT18" s="68">
        <v>87.9</v>
      </c>
      <c r="AU18" s="68">
        <v>59.5</v>
      </c>
      <c r="AV18" s="68">
        <v>57.5</v>
      </c>
      <c r="AW18" s="68">
        <v>84</v>
      </c>
      <c r="AX18" s="68">
        <v>81.5</v>
      </c>
      <c r="AY18" s="68">
        <v>76</v>
      </c>
      <c r="AZ18" s="68">
        <v>81</v>
      </c>
      <c r="BA18" s="68">
        <v>81</v>
      </c>
      <c r="BB18" s="68">
        <v>59.3</v>
      </c>
      <c r="BC18" s="68">
        <v>58</v>
      </c>
      <c r="BD18" s="68">
        <v>78.5</v>
      </c>
      <c r="BE18" s="76">
        <v>70</v>
      </c>
      <c r="BF18" s="76">
        <v>85</v>
      </c>
      <c r="BG18" s="76">
        <v>80</v>
      </c>
      <c r="BH18" s="76">
        <v>75</v>
      </c>
      <c r="BI18" s="76">
        <v>90</v>
      </c>
      <c r="BJ18" s="240">
        <v>100</v>
      </c>
      <c r="BK18" s="240">
        <v>97.5</v>
      </c>
      <c r="BL18" s="240">
        <v>90.75</v>
      </c>
      <c r="BM18" s="240">
        <v>97.5</v>
      </c>
      <c r="BN18" s="240">
        <v>100</v>
      </c>
      <c r="BO18" s="240">
        <v>67.5</v>
      </c>
      <c r="BP18" s="70">
        <f t="shared" si="28"/>
        <v>1417.6999999999998</v>
      </c>
      <c r="BQ18" s="71">
        <f t="shared" si="29"/>
        <v>74.615789473684202</v>
      </c>
      <c r="BR18" s="72" t="e">
        <f t="shared" si="30"/>
        <v>#N/A</v>
      </c>
      <c r="BS18" s="73"/>
      <c r="BT18" s="73"/>
      <c r="BU18" s="73"/>
      <c r="BV18" s="74"/>
      <c r="BW18" s="74"/>
      <c r="BX18" s="74"/>
      <c r="BY18" s="75"/>
    </row>
    <row r="19" spans="1:77" ht="24.6" customHeight="1">
      <c r="A19" s="93">
        <v>16</v>
      </c>
      <c r="B19" s="94">
        <v>21220062</v>
      </c>
      <c r="C19" s="95" t="s">
        <v>456</v>
      </c>
      <c r="D19" s="68">
        <f t="shared" si="0"/>
        <v>60</v>
      </c>
      <c r="E19" s="68">
        <f t="shared" si="1"/>
        <v>64</v>
      </c>
      <c r="F19" s="68">
        <f t="shared" si="2"/>
        <v>58</v>
      </c>
      <c r="G19" s="68">
        <f t="shared" si="3"/>
        <v>82</v>
      </c>
      <c r="H19" s="68">
        <f t="shared" si="4"/>
        <v>76</v>
      </c>
      <c r="I19" s="68">
        <f t="shared" si="5"/>
        <v>81</v>
      </c>
      <c r="J19" s="68">
        <f t="shared" si="6"/>
        <v>57</v>
      </c>
      <c r="K19" s="68">
        <f t="shared" si="7"/>
        <v>53</v>
      </c>
      <c r="L19" s="68">
        <f t="shared" si="8"/>
        <v>80</v>
      </c>
      <c r="M19" s="68">
        <f t="shared" si="9"/>
        <v>76</v>
      </c>
      <c r="N19" s="68">
        <f t="shared" si="10"/>
        <v>84</v>
      </c>
      <c r="O19" s="68">
        <f t="shared" si="11"/>
        <v>69</v>
      </c>
      <c r="P19" s="68">
        <f t="shared" si="12"/>
        <v>67</v>
      </c>
      <c r="Q19" s="68">
        <f t="shared" si="13"/>
        <v>87</v>
      </c>
      <c r="R19" s="69">
        <f t="shared" si="14"/>
        <v>99</v>
      </c>
      <c r="S19" s="69">
        <f t="shared" si="15"/>
        <v>85</v>
      </c>
      <c r="T19" s="69">
        <f t="shared" si="16"/>
        <v>50</v>
      </c>
      <c r="U19" s="69">
        <f t="shared" si="17"/>
        <v>93</v>
      </c>
      <c r="V19" s="69">
        <f t="shared" si="18"/>
        <v>80</v>
      </c>
      <c r="W19" s="234">
        <f t="shared" si="19"/>
        <v>99</v>
      </c>
      <c r="X19" s="234">
        <f t="shared" si="20"/>
        <v>98</v>
      </c>
      <c r="Y19" s="234">
        <f t="shared" si="21"/>
        <v>77</v>
      </c>
      <c r="Z19" s="234">
        <f t="shared" si="22"/>
        <v>99</v>
      </c>
      <c r="AA19" s="234">
        <f t="shared" si="23"/>
        <v>99</v>
      </c>
      <c r="AB19" s="234">
        <f t="shared" si="24"/>
        <v>63</v>
      </c>
      <c r="AC19" s="70">
        <f t="shared" si="25"/>
        <v>1401</v>
      </c>
      <c r="AD19" s="71">
        <f t="shared" si="26"/>
        <v>73.736842105263165</v>
      </c>
      <c r="AE19" s="72">
        <f t="shared" si="27"/>
        <v>16</v>
      </c>
      <c r="AF19" s="73" t="s">
        <v>805</v>
      </c>
      <c r="AG19" s="73" t="s">
        <v>805</v>
      </c>
      <c r="AH19" s="73" t="s">
        <v>805</v>
      </c>
      <c r="AI19" s="74">
        <v>10</v>
      </c>
      <c r="AJ19" s="74">
        <v>0</v>
      </c>
      <c r="AK19" s="74">
        <v>0</v>
      </c>
      <c r="AL19" s="75"/>
      <c r="AN19" s="93">
        <v>19</v>
      </c>
      <c r="AO19" s="94">
        <v>21220062</v>
      </c>
      <c r="AP19" s="95" t="s">
        <v>456</v>
      </c>
      <c r="AQ19" s="68">
        <v>60</v>
      </c>
      <c r="AR19" s="68">
        <v>64</v>
      </c>
      <c r="AS19" s="68">
        <v>57.599999999999994</v>
      </c>
      <c r="AT19" s="68">
        <v>82</v>
      </c>
      <c r="AU19" s="68">
        <v>75.5</v>
      </c>
      <c r="AV19" s="68">
        <v>80.5</v>
      </c>
      <c r="AW19" s="68">
        <v>57</v>
      </c>
      <c r="AX19" s="68">
        <v>53</v>
      </c>
      <c r="AY19" s="68">
        <v>80</v>
      </c>
      <c r="AZ19" s="68">
        <v>76</v>
      </c>
      <c r="BA19" s="68">
        <v>84</v>
      </c>
      <c r="BB19" s="68">
        <v>68.5</v>
      </c>
      <c r="BC19" s="68">
        <v>67</v>
      </c>
      <c r="BD19" s="68">
        <v>86.9</v>
      </c>
      <c r="BE19" s="76">
        <v>100</v>
      </c>
      <c r="BF19" s="76">
        <v>85</v>
      </c>
      <c r="BG19" s="76">
        <v>50</v>
      </c>
      <c r="BH19" s="76">
        <v>93</v>
      </c>
      <c r="BI19" s="76">
        <v>80</v>
      </c>
      <c r="BJ19" s="240">
        <v>100</v>
      </c>
      <c r="BK19" s="240">
        <v>97.5</v>
      </c>
      <c r="BL19" s="240">
        <v>76.5</v>
      </c>
      <c r="BM19" s="240">
        <v>100</v>
      </c>
      <c r="BN19" s="240">
        <v>100</v>
      </c>
      <c r="BO19" s="240">
        <v>62.5</v>
      </c>
      <c r="BP19" s="70">
        <f t="shared" si="28"/>
        <v>1400</v>
      </c>
      <c r="BQ19" s="71">
        <f t="shared" si="29"/>
        <v>73.684210526315795</v>
      </c>
      <c r="BR19" s="72" t="e">
        <f t="shared" si="30"/>
        <v>#N/A</v>
      </c>
      <c r="BS19" s="73"/>
      <c r="BT19" s="73"/>
      <c r="BU19" s="73"/>
      <c r="BV19" s="74"/>
      <c r="BW19" s="74"/>
      <c r="BX19" s="74"/>
      <c r="BY19" s="75"/>
    </row>
    <row r="20" spans="1:77" ht="24.6" customHeight="1">
      <c r="A20" s="93">
        <v>17</v>
      </c>
      <c r="B20" s="94">
        <v>21220004</v>
      </c>
      <c r="C20" s="95" t="s">
        <v>453</v>
      </c>
      <c r="D20" s="68">
        <f t="shared" si="0"/>
        <v>56</v>
      </c>
      <c r="E20" s="68">
        <f t="shared" si="1"/>
        <v>73</v>
      </c>
      <c r="F20" s="68">
        <f t="shared" si="2"/>
        <v>57</v>
      </c>
      <c r="G20" s="68">
        <f t="shared" si="3"/>
        <v>83</v>
      </c>
      <c r="H20" s="68">
        <f t="shared" si="4"/>
        <v>60</v>
      </c>
      <c r="I20" s="68">
        <f t="shared" si="5"/>
        <v>77</v>
      </c>
      <c r="J20" s="68">
        <f t="shared" si="6"/>
        <v>62</v>
      </c>
      <c r="K20" s="68">
        <f t="shared" si="7"/>
        <v>70</v>
      </c>
      <c r="L20" s="68">
        <f t="shared" si="8"/>
        <v>75</v>
      </c>
      <c r="M20" s="68">
        <f t="shared" si="9"/>
        <v>83</v>
      </c>
      <c r="N20" s="68">
        <f t="shared" si="10"/>
        <v>83</v>
      </c>
      <c r="O20" s="68">
        <f t="shared" si="11"/>
        <v>72</v>
      </c>
      <c r="P20" s="68">
        <f t="shared" si="12"/>
        <v>73</v>
      </c>
      <c r="Q20" s="68">
        <f t="shared" si="13"/>
        <v>88</v>
      </c>
      <c r="R20" s="69">
        <f t="shared" si="14"/>
        <v>70</v>
      </c>
      <c r="S20" s="69">
        <f t="shared" si="15"/>
        <v>85</v>
      </c>
      <c r="T20" s="69">
        <f t="shared" si="16"/>
        <v>60</v>
      </c>
      <c r="U20" s="69">
        <f t="shared" si="17"/>
        <v>75</v>
      </c>
      <c r="V20" s="69">
        <f t="shared" si="18"/>
        <v>50</v>
      </c>
      <c r="W20" s="234">
        <f t="shared" si="19"/>
        <v>95</v>
      </c>
      <c r="X20" s="234">
        <f t="shared" si="20"/>
        <v>90</v>
      </c>
      <c r="Y20" s="234">
        <f t="shared" si="21"/>
        <v>85</v>
      </c>
      <c r="Z20" s="234">
        <f t="shared" si="22"/>
        <v>99</v>
      </c>
      <c r="AA20" s="234">
        <f t="shared" si="23"/>
        <v>99</v>
      </c>
      <c r="AB20" s="234">
        <f t="shared" si="24"/>
        <v>65</v>
      </c>
      <c r="AC20" s="70">
        <f t="shared" si="25"/>
        <v>1352</v>
      </c>
      <c r="AD20" s="71">
        <f t="shared" si="26"/>
        <v>71.15789473684211</v>
      </c>
      <c r="AE20" s="72">
        <f t="shared" si="27"/>
        <v>17</v>
      </c>
      <c r="AF20" s="73" t="s">
        <v>805</v>
      </c>
      <c r="AG20" s="73" t="s">
        <v>807</v>
      </c>
      <c r="AH20" s="73" t="s">
        <v>805</v>
      </c>
      <c r="AI20" s="74">
        <v>0</v>
      </c>
      <c r="AJ20" s="74">
        <v>0</v>
      </c>
      <c r="AK20" s="74">
        <v>0</v>
      </c>
      <c r="AL20" s="75"/>
      <c r="AN20" s="93">
        <v>16</v>
      </c>
      <c r="AO20" s="94">
        <v>21220004</v>
      </c>
      <c r="AP20" s="95" t="s">
        <v>453</v>
      </c>
      <c r="AQ20" s="68">
        <v>56</v>
      </c>
      <c r="AR20" s="68">
        <v>73</v>
      </c>
      <c r="AS20" s="68">
        <v>57</v>
      </c>
      <c r="AT20" s="68">
        <v>83.4</v>
      </c>
      <c r="AU20" s="68">
        <v>59.5</v>
      </c>
      <c r="AV20" s="68">
        <v>76.5</v>
      </c>
      <c r="AW20" s="68">
        <v>61.5</v>
      </c>
      <c r="AX20" s="68">
        <v>70.3</v>
      </c>
      <c r="AY20" s="68">
        <v>75</v>
      </c>
      <c r="AZ20" s="68">
        <v>82.9</v>
      </c>
      <c r="BA20" s="68">
        <v>83</v>
      </c>
      <c r="BB20" s="68">
        <v>71.5</v>
      </c>
      <c r="BC20" s="68">
        <v>73</v>
      </c>
      <c r="BD20" s="68">
        <v>87.5</v>
      </c>
      <c r="BE20" s="76">
        <v>70</v>
      </c>
      <c r="BF20" s="76">
        <v>85</v>
      </c>
      <c r="BG20" s="76">
        <v>60</v>
      </c>
      <c r="BH20" s="76">
        <v>75</v>
      </c>
      <c r="BI20" s="76">
        <v>50</v>
      </c>
      <c r="BJ20" s="240">
        <v>95</v>
      </c>
      <c r="BK20" s="240">
        <v>90</v>
      </c>
      <c r="BL20" s="240">
        <v>85.15</v>
      </c>
      <c r="BM20" s="240">
        <v>100</v>
      </c>
      <c r="BN20" s="240">
        <v>100</v>
      </c>
      <c r="BO20" s="240">
        <v>65</v>
      </c>
      <c r="BP20" s="70">
        <f t="shared" si="28"/>
        <v>1350.1</v>
      </c>
      <c r="BQ20" s="71">
        <f t="shared" si="29"/>
        <v>71.057894736842101</v>
      </c>
      <c r="BR20" s="72" t="e">
        <f t="shared" si="30"/>
        <v>#N/A</v>
      </c>
      <c r="BS20" s="73"/>
      <c r="BT20" s="73"/>
      <c r="BU20" s="73"/>
      <c r="BV20" s="74"/>
      <c r="BW20" s="74"/>
      <c r="BX20" s="74"/>
      <c r="BY20" s="75"/>
    </row>
    <row r="21" spans="1:77" ht="24.6" customHeight="1">
      <c r="A21" s="93">
        <v>18</v>
      </c>
      <c r="B21" s="94">
        <v>20210266</v>
      </c>
      <c r="C21" s="97" t="s">
        <v>460</v>
      </c>
      <c r="D21" s="68">
        <f t="shared" si="0"/>
        <v>60</v>
      </c>
      <c r="E21" s="68">
        <f t="shared" si="1"/>
        <v>68</v>
      </c>
      <c r="F21" s="68">
        <f t="shared" si="2"/>
        <v>40</v>
      </c>
      <c r="G21" s="68">
        <f t="shared" si="3"/>
        <v>85</v>
      </c>
      <c r="H21" s="68">
        <f t="shared" si="4"/>
        <v>52</v>
      </c>
      <c r="I21" s="68">
        <f t="shared" si="5"/>
        <v>59</v>
      </c>
      <c r="J21" s="68">
        <f t="shared" si="6"/>
        <v>74</v>
      </c>
      <c r="K21" s="68">
        <f t="shared" si="7"/>
        <v>74</v>
      </c>
      <c r="L21" s="68">
        <f t="shared" si="8"/>
        <v>88</v>
      </c>
      <c r="M21" s="68">
        <f t="shared" si="9"/>
        <v>82</v>
      </c>
      <c r="N21" s="68">
        <f t="shared" si="10"/>
        <v>76</v>
      </c>
      <c r="O21" s="68">
        <f t="shared" si="11"/>
        <v>61</v>
      </c>
      <c r="P21" s="68">
        <f t="shared" si="12"/>
        <v>66</v>
      </c>
      <c r="Q21" s="68">
        <f t="shared" si="13"/>
        <v>77</v>
      </c>
      <c r="R21" s="69">
        <f t="shared" si="14"/>
        <v>70</v>
      </c>
      <c r="S21" s="69">
        <f t="shared" si="15"/>
        <v>85</v>
      </c>
      <c r="T21" s="69">
        <f t="shared" si="16"/>
        <v>70</v>
      </c>
      <c r="U21" s="69">
        <f t="shared" si="17"/>
        <v>75</v>
      </c>
      <c r="V21" s="69">
        <f t="shared" si="18"/>
        <v>70</v>
      </c>
      <c r="W21" s="234">
        <f t="shared" si="19"/>
        <v>99</v>
      </c>
      <c r="X21" s="234">
        <f t="shared" si="20"/>
        <v>99</v>
      </c>
      <c r="Y21" s="234">
        <f t="shared" si="21"/>
        <v>87</v>
      </c>
      <c r="Z21" s="234">
        <f t="shared" si="22"/>
        <v>99</v>
      </c>
      <c r="AA21" s="234">
        <f t="shared" si="23"/>
        <v>99</v>
      </c>
      <c r="AB21" s="234">
        <f t="shared" si="24"/>
        <v>65</v>
      </c>
      <c r="AC21" s="70">
        <f t="shared" si="25"/>
        <v>1332</v>
      </c>
      <c r="AD21" s="71">
        <f t="shared" si="26"/>
        <v>70.10526315789474</v>
      </c>
      <c r="AE21" s="72">
        <f t="shared" si="27"/>
        <v>18</v>
      </c>
      <c r="AF21" s="73" t="s">
        <v>805</v>
      </c>
      <c r="AG21" s="73" t="s">
        <v>805</v>
      </c>
      <c r="AH21" s="73" t="s">
        <v>805</v>
      </c>
      <c r="AI21" s="74">
        <v>19</v>
      </c>
      <c r="AJ21" s="74">
        <v>7</v>
      </c>
      <c r="AK21" s="74">
        <v>0</v>
      </c>
      <c r="AL21" s="75"/>
      <c r="AN21" s="93">
        <v>23</v>
      </c>
      <c r="AO21" s="94">
        <v>20210266</v>
      </c>
      <c r="AP21" s="97" t="s">
        <v>460</v>
      </c>
      <c r="AQ21" s="68">
        <v>59.5</v>
      </c>
      <c r="AR21" s="68">
        <v>67.5</v>
      </c>
      <c r="AS21" s="68">
        <v>36.5</v>
      </c>
      <c r="AT21" s="68">
        <v>85</v>
      </c>
      <c r="AU21" s="68">
        <v>51.5</v>
      </c>
      <c r="AV21" s="68">
        <v>58.5</v>
      </c>
      <c r="AW21" s="68">
        <v>73.5</v>
      </c>
      <c r="AX21" s="68">
        <v>73.5</v>
      </c>
      <c r="AY21" s="68">
        <v>88</v>
      </c>
      <c r="AZ21" s="68">
        <v>82</v>
      </c>
      <c r="BA21" s="68">
        <v>76</v>
      </c>
      <c r="BB21" s="68">
        <v>60.6</v>
      </c>
      <c r="BC21" s="68">
        <v>66</v>
      </c>
      <c r="BD21" s="68">
        <v>77</v>
      </c>
      <c r="BE21" s="76">
        <v>70</v>
      </c>
      <c r="BF21" s="76">
        <v>85</v>
      </c>
      <c r="BG21" s="76">
        <v>70</v>
      </c>
      <c r="BH21" s="76">
        <v>75</v>
      </c>
      <c r="BI21" s="76">
        <v>70</v>
      </c>
      <c r="BJ21" s="240">
        <v>100</v>
      </c>
      <c r="BK21" s="240">
        <v>100</v>
      </c>
      <c r="BL21" s="240">
        <v>86.75</v>
      </c>
      <c r="BM21" s="240">
        <v>100</v>
      </c>
      <c r="BN21" s="240">
        <v>100</v>
      </c>
      <c r="BO21" s="240">
        <v>65</v>
      </c>
      <c r="BP21" s="70">
        <f t="shared" si="28"/>
        <v>1325.1</v>
      </c>
      <c r="BQ21" s="71">
        <f t="shared" si="29"/>
        <v>69.742105263157896</v>
      </c>
      <c r="BR21" s="72" t="e">
        <f t="shared" si="30"/>
        <v>#N/A</v>
      </c>
      <c r="BS21" s="73"/>
      <c r="BT21" s="73"/>
      <c r="BU21" s="73"/>
      <c r="BV21" s="74"/>
      <c r="BW21" s="74"/>
      <c r="BX21" s="74"/>
      <c r="BY21" s="75"/>
    </row>
    <row r="22" spans="1:77" ht="24.6" customHeight="1">
      <c r="A22" s="93">
        <v>19</v>
      </c>
      <c r="B22" s="94">
        <v>19200118</v>
      </c>
      <c r="C22" s="95" t="s">
        <v>459</v>
      </c>
      <c r="D22" s="68">
        <f t="shared" si="0"/>
        <v>67</v>
      </c>
      <c r="E22" s="68">
        <f t="shared" si="1"/>
        <v>45</v>
      </c>
      <c r="F22" s="68">
        <f t="shared" si="2"/>
        <v>63</v>
      </c>
      <c r="G22" s="68">
        <f t="shared" si="3"/>
        <v>78</v>
      </c>
      <c r="H22" s="68">
        <f t="shared" si="4"/>
        <v>50</v>
      </c>
      <c r="I22" s="68">
        <f t="shared" si="5"/>
        <v>40</v>
      </c>
      <c r="J22" s="68">
        <f t="shared" si="6"/>
        <v>87</v>
      </c>
      <c r="K22" s="68">
        <f t="shared" si="7"/>
        <v>68</v>
      </c>
      <c r="L22" s="68">
        <f t="shared" si="8"/>
        <v>81</v>
      </c>
      <c r="M22" s="68">
        <f t="shared" si="9"/>
        <v>67</v>
      </c>
      <c r="N22" s="68">
        <f t="shared" si="10"/>
        <v>86</v>
      </c>
      <c r="O22" s="68">
        <f t="shared" si="11"/>
        <v>78</v>
      </c>
      <c r="P22" s="68">
        <f t="shared" si="12"/>
        <v>69</v>
      </c>
      <c r="Q22" s="68">
        <f t="shared" si="13"/>
        <v>56</v>
      </c>
      <c r="R22" s="69">
        <f t="shared" si="14"/>
        <v>70</v>
      </c>
      <c r="S22" s="69">
        <f t="shared" si="15"/>
        <v>70</v>
      </c>
      <c r="T22" s="69">
        <f t="shared" si="16"/>
        <v>75</v>
      </c>
      <c r="U22" s="69">
        <f t="shared" si="17"/>
        <v>90</v>
      </c>
      <c r="V22" s="69">
        <f t="shared" si="18"/>
        <v>90</v>
      </c>
      <c r="W22" s="234">
        <f t="shared" si="19"/>
        <v>99</v>
      </c>
      <c r="X22" s="234">
        <f t="shared" si="20"/>
        <v>99</v>
      </c>
      <c r="Y22" s="234">
        <f t="shared" si="21"/>
        <v>84</v>
      </c>
      <c r="Z22" s="234">
        <f t="shared" si="22"/>
        <v>99</v>
      </c>
      <c r="AA22" s="234">
        <f t="shared" si="23"/>
        <v>98</v>
      </c>
      <c r="AB22" s="234">
        <f t="shared" si="24"/>
        <v>68</v>
      </c>
      <c r="AC22" s="70">
        <f t="shared" si="25"/>
        <v>1330</v>
      </c>
      <c r="AD22" s="71">
        <f t="shared" si="26"/>
        <v>70</v>
      </c>
      <c r="AE22" s="72">
        <f t="shared" si="27"/>
        <v>19</v>
      </c>
      <c r="AF22" s="73" t="s">
        <v>805</v>
      </c>
      <c r="AG22" s="73" t="s">
        <v>807</v>
      </c>
      <c r="AH22" s="73" t="s">
        <v>805</v>
      </c>
      <c r="AI22" s="74">
        <v>13</v>
      </c>
      <c r="AJ22" s="74">
        <v>52</v>
      </c>
      <c r="AK22" s="74">
        <v>0</v>
      </c>
      <c r="AL22" s="75"/>
      <c r="AN22" s="93">
        <v>22</v>
      </c>
      <c r="AO22" s="94">
        <v>19200118</v>
      </c>
      <c r="AP22" s="95" t="s">
        <v>459</v>
      </c>
      <c r="AQ22" s="68">
        <v>66.8</v>
      </c>
      <c r="AR22" s="68">
        <v>45</v>
      </c>
      <c r="AS22" s="68">
        <v>63</v>
      </c>
      <c r="AT22" s="68">
        <v>77.5</v>
      </c>
      <c r="AU22" s="68">
        <v>50</v>
      </c>
      <c r="AV22" s="68">
        <v>36.5</v>
      </c>
      <c r="AW22" s="68">
        <v>87</v>
      </c>
      <c r="AX22" s="68">
        <v>68</v>
      </c>
      <c r="AY22" s="68">
        <v>81</v>
      </c>
      <c r="AZ22" s="68">
        <v>67</v>
      </c>
      <c r="BA22" s="68">
        <v>86</v>
      </c>
      <c r="BB22" s="68">
        <v>78.3</v>
      </c>
      <c r="BC22" s="68">
        <v>69</v>
      </c>
      <c r="BD22" s="68">
        <v>55.8</v>
      </c>
      <c r="BE22" s="76">
        <v>70</v>
      </c>
      <c r="BF22" s="76">
        <v>70</v>
      </c>
      <c r="BG22" s="76">
        <v>75</v>
      </c>
      <c r="BH22" s="76">
        <v>90</v>
      </c>
      <c r="BI22" s="76">
        <v>90</v>
      </c>
      <c r="BJ22" s="240">
        <v>100</v>
      </c>
      <c r="BK22" s="240">
        <v>100</v>
      </c>
      <c r="BL22" s="240">
        <v>84</v>
      </c>
      <c r="BM22" s="240">
        <v>100</v>
      </c>
      <c r="BN22" s="240">
        <v>97.5</v>
      </c>
      <c r="BO22" s="240">
        <v>67.5</v>
      </c>
      <c r="BP22" s="70">
        <f t="shared" si="28"/>
        <v>1325.8999999999999</v>
      </c>
      <c r="BQ22" s="71">
        <f t="shared" si="29"/>
        <v>69.784210526315789</v>
      </c>
      <c r="BR22" s="72" t="e">
        <f t="shared" si="30"/>
        <v>#N/A</v>
      </c>
      <c r="BS22" s="73"/>
      <c r="BT22" s="73"/>
      <c r="BU22" s="73"/>
      <c r="BV22" s="74"/>
      <c r="BW22" s="74"/>
      <c r="BX22" s="74"/>
      <c r="BY22" s="75"/>
    </row>
    <row r="23" spans="1:77" ht="24.6" customHeight="1">
      <c r="A23" s="93">
        <v>20</v>
      </c>
      <c r="B23" s="94">
        <v>21220176</v>
      </c>
      <c r="C23" s="95" t="s">
        <v>439</v>
      </c>
      <c r="D23" s="68">
        <f t="shared" si="0"/>
        <v>40</v>
      </c>
      <c r="E23" s="68">
        <f t="shared" si="1"/>
        <v>46</v>
      </c>
      <c r="F23" s="68">
        <f t="shared" si="2"/>
        <v>48</v>
      </c>
      <c r="G23" s="68">
        <f t="shared" si="3"/>
        <v>84</v>
      </c>
      <c r="H23" s="68">
        <f t="shared" si="4"/>
        <v>59</v>
      </c>
      <c r="I23" s="68">
        <f t="shared" si="5"/>
        <v>74</v>
      </c>
      <c r="J23" s="68">
        <f t="shared" si="6"/>
        <v>88</v>
      </c>
      <c r="K23" s="68">
        <f t="shared" si="7"/>
        <v>63</v>
      </c>
      <c r="L23" s="68">
        <f t="shared" si="8"/>
        <v>71</v>
      </c>
      <c r="M23" s="68">
        <f t="shared" si="9"/>
        <v>50</v>
      </c>
      <c r="N23" s="68">
        <f t="shared" si="10"/>
        <v>83</v>
      </c>
      <c r="O23" s="68">
        <f t="shared" si="11"/>
        <v>49</v>
      </c>
      <c r="P23" s="68">
        <f t="shared" si="12"/>
        <v>61</v>
      </c>
      <c r="Q23" s="68">
        <f t="shared" si="13"/>
        <v>87</v>
      </c>
      <c r="R23" s="69">
        <f t="shared" si="14"/>
        <v>70</v>
      </c>
      <c r="S23" s="69">
        <f t="shared" si="15"/>
        <v>85</v>
      </c>
      <c r="T23" s="69">
        <f t="shared" si="16"/>
        <v>60</v>
      </c>
      <c r="U23" s="69">
        <f t="shared" si="17"/>
        <v>65</v>
      </c>
      <c r="V23" s="69">
        <f t="shared" si="18"/>
        <v>99</v>
      </c>
      <c r="W23" s="234">
        <f t="shared" si="19"/>
        <v>88</v>
      </c>
      <c r="X23" s="234">
        <f t="shared" si="20"/>
        <v>95</v>
      </c>
      <c r="Y23" s="234">
        <f t="shared" si="21"/>
        <v>82</v>
      </c>
      <c r="Z23" s="234">
        <f t="shared" si="22"/>
        <v>98</v>
      </c>
      <c r="AA23" s="234">
        <f t="shared" si="23"/>
        <v>98</v>
      </c>
      <c r="AB23" s="234">
        <f t="shared" si="24"/>
        <v>65</v>
      </c>
      <c r="AC23" s="70">
        <f t="shared" si="25"/>
        <v>1282</v>
      </c>
      <c r="AD23" s="71">
        <f t="shared" si="26"/>
        <v>67.473684210526315</v>
      </c>
      <c r="AE23" s="72">
        <f t="shared" si="27"/>
        <v>20</v>
      </c>
      <c r="AF23" s="73" t="s">
        <v>805</v>
      </c>
      <c r="AG23" s="73" t="s">
        <v>805</v>
      </c>
      <c r="AH23" s="73" t="s">
        <v>805</v>
      </c>
      <c r="AI23" s="74">
        <v>15</v>
      </c>
      <c r="AJ23" s="74">
        <v>0</v>
      </c>
      <c r="AK23" s="74">
        <v>0</v>
      </c>
      <c r="AL23" s="75"/>
      <c r="AN23" s="93">
        <v>2</v>
      </c>
      <c r="AO23" s="94">
        <v>21220176</v>
      </c>
      <c r="AP23" s="95" t="s">
        <v>439</v>
      </c>
      <c r="AQ23" s="68">
        <v>39.299999999999997</v>
      </c>
      <c r="AR23" s="68">
        <v>46</v>
      </c>
      <c r="AS23" s="68">
        <v>47.7</v>
      </c>
      <c r="AT23" s="68">
        <v>84</v>
      </c>
      <c r="AU23" s="68">
        <v>59</v>
      </c>
      <c r="AV23" s="68">
        <v>73.5</v>
      </c>
      <c r="AW23" s="68">
        <v>88</v>
      </c>
      <c r="AX23" s="68">
        <v>63.099999999999994</v>
      </c>
      <c r="AY23" s="68">
        <v>71</v>
      </c>
      <c r="AZ23" s="68">
        <v>50</v>
      </c>
      <c r="BA23" s="68">
        <v>83</v>
      </c>
      <c r="BB23" s="68">
        <v>49</v>
      </c>
      <c r="BC23" s="68">
        <v>61</v>
      </c>
      <c r="BD23" s="68">
        <v>87.3</v>
      </c>
      <c r="BE23" s="76">
        <v>70</v>
      </c>
      <c r="BF23" s="76">
        <v>85</v>
      </c>
      <c r="BG23" s="76">
        <v>60</v>
      </c>
      <c r="BH23" s="76">
        <v>65</v>
      </c>
      <c r="BI23" s="76">
        <v>100</v>
      </c>
      <c r="BJ23" s="240">
        <v>87.5</v>
      </c>
      <c r="BK23" s="240">
        <v>95</v>
      </c>
      <c r="BL23" s="240">
        <v>81.55</v>
      </c>
      <c r="BM23" s="240">
        <v>97.5</v>
      </c>
      <c r="BN23" s="240">
        <v>97.5</v>
      </c>
      <c r="BO23" s="240">
        <v>65</v>
      </c>
      <c r="BP23" s="70">
        <f t="shared" si="28"/>
        <v>1281.9000000000001</v>
      </c>
      <c r="BQ23" s="71">
        <f t="shared" si="29"/>
        <v>67.468421052631584</v>
      </c>
      <c r="BR23" s="72" t="e">
        <f t="shared" si="30"/>
        <v>#N/A</v>
      </c>
      <c r="BS23" s="73"/>
      <c r="BT23" s="73"/>
      <c r="BU23" s="73"/>
      <c r="BV23" s="74"/>
      <c r="BW23" s="74"/>
      <c r="BX23" s="74"/>
      <c r="BY23" s="75"/>
    </row>
    <row r="24" spans="1:77" ht="24.6" customHeight="1">
      <c r="A24" s="93">
        <v>21</v>
      </c>
      <c r="B24" s="94">
        <v>20210001</v>
      </c>
      <c r="C24" s="96" t="s">
        <v>443</v>
      </c>
      <c r="D24" s="68">
        <f t="shared" si="0"/>
        <v>53</v>
      </c>
      <c r="E24" s="68">
        <f t="shared" si="1"/>
        <v>55</v>
      </c>
      <c r="F24" s="68">
        <f t="shared" si="2"/>
        <v>58</v>
      </c>
      <c r="G24" s="68">
        <f t="shared" si="3"/>
        <v>81</v>
      </c>
      <c r="H24" s="68">
        <f t="shared" si="4"/>
        <v>71</v>
      </c>
      <c r="I24" s="68">
        <f t="shared" si="5"/>
        <v>61</v>
      </c>
      <c r="J24" s="68">
        <f t="shared" si="6"/>
        <v>72</v>
      </c>
      <c r="K24" s="68">
        <f t="shared" si="7"/>
        <v>63</v>
      </c>
      <c r="L24" s="68">
        <f t="shared" si="8"/>
        <v>78</v>
      </c>
      <c r="M24" s="68">
        <f t="shared" si="9"/>
        <v>67</v>
      </c>
      <c r="N24" s="68">
        <f t="shared" si="10"/>
        <v>85</v>
      </c>
      <c r="O24" s="68">
        <f t="shared" si="11"/>
        <v>48</v>
      </c>
      <c r="P24" s="68">
        <f t="shared" si="12"/>
        <v>61</v>
      </c>
      <c r="Q24" s="68">
        <f t="shared" si="13"/>
        <v>78</v>
      </c>
      <c r="R24" s="69">
        <f t="shared" si="14"/>
        <v>70</v>
      </c>
      <c r="S24" s="69">
        <f t="shared" si="15"/>
        <v>85</v>
      </c>
      <c r="T24" s="69">
        <f t="shared" si="16"/>
        <v>60</v>
      </c>
      <c r="U24" s="69">
        <f t="shared" si="17"/>
        <v>60</v>
      </c>
      <c r="V24" s="69">
        <f t="shared" si="18"/>
        <v>70</v>
      </c>
      <c r="W24" s="234">
        <f t="shared" si="19"/>
        <v>99</v>
      </c>
      <c r="X24" s="234">
        <f t="shared" si="20"/>
        <v>95</v>
      </c>
      <c r="Y24" s="234">
        <f t="shared" si="21"/>
        <v>82</v>
      </c>
      <c r="Z24" s="234">
        <f t="shared" si="22"/>
        <v>99</v>
      </c>
      <c r="AA24" s="234">
        <f t="shared" si="23"/>
        <v>93</v>
      </c>
      <c r="AB24" s="234">
        <f t="shared" si="24"/>
        <v>68</v>
      </c>
      <c r="AC24" s="70">
        <f t="shared" si="25"/>
        <v>1276</v>
      </c>
      <c r="AD24" s="71">
        <f t="shared" si="26"/>
        <v>67.15789473684211</v>
      </c>
      <c r="AE24" s="72">
        <f t="shared" si="27"/>
        <v>21</v>
      </c>
      <c r="AF24" s="73" t="s">
        <v>805</v>
      </c>
      <c r="AG24" s="73" t="s">
        <v>805</v>
      </c>
      <c r="AH24" s="73" t="s">
        <v>805</v>
      </c>
      <c r="AI24" s="74">
        <v>0</v>
      </c>
      <c r="AJ24" s="74">
        <v>0</v>
      </c>
      <c r="AK24" s="74">
        <v>0</v>
      </c>
      <c r="AL24" s="75"/>
      <c r="AN24" s="93">
        <v>6</v>
      </c>
      <c r="AO24" s="94">
        <v>20210001</v>
      </c>
      <c r="AP24" s="96" t="s">
        <v>443</v>
      </c>
      <c r="AQ24" s="68">
        <v>53</v>
      </c>
      <c r="AR24" s="68">
        <v>55</v>
      </c>
      <c r="AS24" s="68">
        <v>58</v>
      </c>
      <c r="AT24" s="68">
        <v>81</v>
      </c>
      <c r="AU24" s="68">
        <v>70.5</v>
      </c>
      <c r="AV24" s="68">
        <v>60.5</v>
      </c>
      <c r="AW24" s="68">
        <v>72</v>
      </c>
      <c r="AX24" s="68">
        <v>63</v>
      </c>
      <c r="AY24" s="68">
        <v>78</v>
      </c>
      <c r="AZ24" s="68">
        <v>67</v>
      </c>
      <c r="BA24" s="68">
        <v>85</v>
      </c>
      <c r="BB24" s="68">
        <v>48.2</v>
      </c>
      <c r="BC24" s="68">
        <v>61</v>
      </c>
      <c r="BD24" s="68">
        <v>78.2</v>
      </c>
      <c r="BE24" s="76">
        <v>70</v>
      </c>
      <c r="BF24" s="76">
        <v>85</v>
      </c>
      <c r="BG24" s="76">
        <v>60</v>
      </c>
      <c r="BH24" s="76">
        <v>60</v>
      </c>
      <c r="BI24" s="76">
        <v>70</v>
      </c>
      <c r="BJ24" s="240">
        <v>100</v>
      </c>
      <c r="BK24" s="240">
        <v>95</v>
      </c>
      <c r="BL24" s="240">
        <v>81.5</v>
      </c>
      <c r="BM24" s="240">
        <v>100</v>
      </c>
      <c r="BN24" s="240">
        <v>92.5</v>
      </c>
      <c r="BO24" s="240">
        <v>67.5</v>
      </c>
      <c r="BP24" s="70">
        <f t="shared" si="28"/>
        <v>1275.4000000000001</v>
      </c>
      <c r="BQ24" s="71">
        <f t="shared" si="29"/>
        <v>67.126315789473693</v>
      </c>
      <c r="BR24" s="72" t="e">
        <f t="shared" si="30"/>
        <v>#N/A</v>
      </c>
      <c r="BS24" s="73"/>
      <c r="BT24" s="73"/>
      <c r="BU24" s="73"/>
      <c r="BV24" s="74"/>
      <c r="BW24" s="74"/>
      <c r="BX24" s="74"/>
      <c r="BY24" s="75"/>
    </row>
    <row r="25" spans="1:77" ht="24.6" customHeight="1">
      <c r="A25" s="93">
        <v>22</v>
      </c>
      <c r="B25" s="94">
        <v>19200094</v>
      </c>
      <c r="C25" s="95" t="s">
        <v>461</v>
      </c>
      <c r="D25" s="68">
        <f t="shared" si="0"/>
        <v>61</v>
      </c>
      <c r="E25" s="68">
        <f t="shared" si="1"/>
        <v>64</v>
      </c>
      <c r="F25" s="68">
        <f t="shared" si="2"/>
        <v>60</v>
      </c>
      <c r="G25" s="68">
        <f t="shared" si="3"/>
        <v>75</v>
      </c>
      <c r="H25" s="68">
        <f t="shared" si="4"/>
        <v>50</v>
      </c>
      <c r="I25" s="68">
        <f t="shared" si="5"/>
        <v>61</v>
      </c>
      <c r="J25" s="68">
        <f t="shared" si="6"/>
        <v>74</v>
      </c>
      <c r="K25" s="68">
        <f t="shared" si="7"/>
        <v>70</v>
      </c>
      <c r="L25" s="68">
        <f t="shared" si="8"/>
        <v>75</v>
      </c>
      <c r="M25" s="68">
        <f t="shared" si="9"/>
        <v>56</v>
      </c>
      <c r="N25" s="68">
        <f t="shared" si="10"/>
        <v>79</v>
      </c>
      <c r="O25" s="68">
        <f t="shared" si="11"/>
        <v>40</v>
      </c>
      <c r="P25" s="68">
        <f t="shared" si="12"/>
        <v>49</v>
      </c>
      <c r="Q25" s="68">
        <f t="shared" si="13"/>
        <v>73</v>
      </c>
      <c r="R25" s="69">
        <f t="shared" si="14"/>
        <v>70</v>
      </c>
      <c r="S25" s="69">
        <f t="shared" si="15"/>
        <v>85</v>
      </c>
      <c r="T25" s="69">
        <f t="shared" si="16"/>
        <v>73</v>
      </c>
      <c r="U25" s="69">
        <f t="shared" si="17"/>
        <v>65</v>
      </c>
      <c r="V25" s="69">
        <f t="shared" si="18"/>
        <v>70</v>
      </c>
      <c r="W25" s="234">
        <f t="shared" si="19"/>
        <v>98</v>
      </c>
      <c r="X25" s="234">
        <f t="shared" si="20"/>
        <v>99</v>
      </c>
      <c r="Y25" s="234">
        <f t="shared" si="21"/>
        <v>85</v>
      </c>
      <c r="Z25" s="234">
        <f t="shared" si="22"/>
        <v>99</v>
      </c>
      <c r="AA25" s="234">
        <f t="shared" si="23"/>
        <v>98</v>
      </c>
      <c r="AB25" s="234">
        <f t="shared" si="24"/>
        <v>65</v>
      </c>
      <c r="AC25" s="70">
        <f t="shared" si="25"/>
        <v>1250</v>
      </c>
      <c r="AD25" s="71">
        <f t="shared" si="26"/>
        <v>65.78947368421052</v>
      </c>
      <c r="AE25" s="72">
        <f t="shared" si="27"/>
        <v>22</v>
      </c>
      <c r="AF25" s="73" t="s">
        <v>805</v>
      </c>
      <c r="AG25" s="73" t="s">
        <v>807</v>
      </c>
      <c r="AH25" s="73" t="s">
        <v>805</v>
      </c>
      <c r="AI25" s="74">
        <v>0</v>
      </c>
      <c r="AJ25" s="74">
        <v>0</v>
      </c>
      <c r="AK25" s="74">
        <v>0</v>
      </c>
      <c r="AL25" s="75"/>
      <c r="AN25" s="93">
        <v>24</v>
      </c>
      <c r="AO25" s="94">
        <v>19200094</v>
      </c>
      <c r="AP25" s="95" t="s">
        <v>461</v>
      </c>
      <c r="AQ25" s="68">
        <v>60.8</v>
      </c>
      <c r="AR25" s="68">
        <v>64</v>
      </c>
      <c r="AS25" s="68">
        <v>60</v>
      </c>
      <c r="AT25" s="68">
        <v>75</v>
      </c>
      <c r="AU25" s="68">
        <v>49.7</v>
      </c>
      <c r="AV25" s="68">
        <v>60.5</v>
      </c>
      <c r="AW25" s="68">
        <v>74</v>
      </c>
      <c r="AX25" s="68">
        <v>70</v>
      </c>
      <c r="AY25" s="68">
        <v>75</v>
      </c>
      <c r="AZ25" s="68">
        <v>56</v>
      </c>
      <c r="BA25" s="68">
        <v>79</v>
      </c>
      <c r="BB25" s="68">
        <v>37.799999999999997</v>
      </c>
      <c r="BC25" s="68">
        <v>49</v>
      </c>
      <c r="BD25" s="68">
        <v>72.5</v>
      </c>
      <c r="BE25" s="76">
        <v>70</v>
      </c>
      <c r="BF25" s="76">
        <v>85</v>
      </c>
      <c r="BG25" s="76">
        <v>73</v>
      </c>
      <c r="BH25" s="76">
        <v>65</v>
      </c>
      <c r="BI25" s="76">
        <v>70</v>
      </c>
      <c r="BJ25" s="240">
        <v>97.5</v>
      </c>
      <c r="BK25" s="240">
        <v>100</v>
      </c>
      <c r="BL25" s="240">
        <v>85</v>
      </c>
      <c r="BM25" s="240">
        <v>100</v>
      </c>
      <c r="BN25" s="240">
        <v>97.5</v>
      </c>
      <c r="BO25" s="240">
        <v>65</v>
      </c>
      <c r="BP25" s="70">
        <f t="shared" si="28"/>
        <v>1246.3</v>
      </c>
      <c r="BQ25" s="71">
        <f t="shared" si="29"/>
        <v>65.594736842105263</v>
      </c>
      <c r="BR25" s="72" t="e">
        <f t="shared" si="30"/>
        <v>#N/A</v>
      </c>
      <c r="BS25" s="73"/>
      <c r="BT25" s="73"/>
      <c r="BU25" s="73"/>
      <c r="BV25" s="74"/>
      <c r="BW25" s="74"/>
      <c r="BX25" s="74"/>
      <c r="BY25" s="75"/>
    </row>
    <row r="26" spans="1:77" ht="24.6" customHeight="1">
      <c r="A26" s="93">
        <v>23</v>
      </c>
      <c r="B26" s="94">
        <v>20210067</v>
      </c>
      <c r="C26" s="96" t="s">
        <v>449</v>
      </c>
      <c r="D26" s="68">
        <f t="shared" si="0"/>
        <v>51</v>
      </c>
      <c r="E26" s="68">
        <f t="shared" si="1"/>
        <v>64</v>
      </c>
      <c r="F26" s="68">
        <f t="shared" si="2"/>
        <v>47</v>
      </c>
      <c r="G26" s="68">
        <f t="shared" si="3"/>
        <v>75</v>
      </c>
      <c r="H26" s="68">
        <f t="shared" si="4"/>
        <v>68</v>
      </c>
      <c r="I26" s="68">
        <f t="shared" si="5"/>
        <v>54</v>
      </c>
      <c r="J26" s="68">
        <f t="shared" si="6"/>
        <v>66</v>
      </c>
      <c r="K26" s="68">
        <f t="shared" si="7"/>
        <v>67</v>
      </c>
      <c r="L26" s="68">
        <f t="shared" si="8"/>
        <v>81</v>
      </c>
      <c r="M26" s="68">
        <f t="shared" si="9"/>
        <v>71</v>
      </c>
      <c r="N26" s="68">
        <f t="shared" si="10"/>
        <v>79</v>
      </c>
      <c r="O26" s="68">
        <f t="shared" si="11"/>
        <v>48</v>
      </c>
      <c r="P26" s="68">
        <f t="shared" si="12"/>
        <v>61</v>
      </c>
      <c r="Q26" s="68">
        <f t="shared" si="13"/>
        <v>56</v>
      </c>
      <c r="R26" s="69">
        <f t="shared" si="14"/>
        <v>70</v>
      </c>
      <c r="S26" s="69">
        <f t="shared" si="15"/>
        <v>85</v>
      </c>
      <c r="T26" s="69">
        <f t="shared" si="16"/>
        <v>70</v>
      </c>
      <c r="U26" s="69">
        <f t="shared" si="17"/>
        <v>60</v>
      </c>
      <c r="V26" s="69">
        <f t="shared" si="18"/>
        <v>70</v>
      </c>
      <c r="W26" s="234">
        <f t="shared" si="19"/>
        <v>99</v>
      </c>
      <c r="X26" s="234">
        <f t="shared" si="20"/>
        <v>98</v>
      </c>
      <c r="Y26" s="234">
        <f t="shared" si="21"/>
        <v>84</v>
      </c>
      <c r="Z26" s="234">
        <f t="shared" si="22"/>
        <v>98</v>
      </c>
      <c r="AA26" s="234">
        <f t="shared" si="23"/>
        <v>98</v>
      </c>
      <c r="AB26" s="234">
        <f t="shared" si="24"/>
        <v>65</v>
      </c>
      <c r="AC26" s="70">
        <f t="shared" si="25"/>
        <v>1243</v>
      </c>
      <c r="AD26" s="71">
        <f t="shared" si="26"/>
        <v>65.421052631578945</v>
      </c>
      <c r="AE26" s="72">
        <f t="shared" si="27"/>
        <v>23</v>
      </c>
      <c r="AF26" s="73" t="s">
        <v>805</v>
      </c>
      <c r="AG26" s="73" t="s">
        <v>805</v>
      </c>
      <c r="AH26" s="73" t="s">
        <v>805</v>
      </c>
      <c r="AI26" s="74">
        <v>8</v>
      </c>
      <c r="AJ26" s="74">
        <v>0</v>
      </c>
      <c r="AK26" s="74">
        <v>0</v>
      </c>
      <c r="AL26" s="75"/>
      <c r="AN26" s="93">
        <v>12</v>
      </c>
      <c r="AO26" s="94">
        <v>20210067</v>
      </c>
      <c r="AP26" s="96" t="s">
        <v>449</v>
      </c>
      <c r="AQ26" s="68">
        <v>50.5</v>
      </c>
      <c r="AR26" s="68">
        <v>64</v>
      </c>
      <c r="AS26" s="68">
        <v>47</v>
      </c>
      <c r="AT26" s="68">
        <v>75</v>
      </c>
      <c r="AU26" s="68">
        <v>68</v>
      </c>
      <c r="AV26" s="68">
        <v>54</v>
      </c>
      <c r="AW26" s="68">
        <v>66</v>
      </c>
      <c r="AX26" s="68">
        <v>67.400000000000006</v>
      </c>
      <c r="AY26" s="68">
        <v>81</v>
      </c>
      <c r="AZ26" s="68">
        <v>71</v>
      </c>
      <c r="BA26" s="68">
        <v>79</v>
      </c>
      <c r="BB26" s="68">
        <v>47.5</v>
      </c>
      <c r="BC26" s="68">
        <v>61</v>
      </c>
      <c r="BD26" s="68">
        <v>56</v>
      </c>
      <c r="BE26" s="76">
        <v>70</v>
      </c>
      <c r="BF26" s="76">
        <v>85</v>
      </c>
      <c r="BG26" s="76">
        <v>70</v>
      </c>
      <c r="BH26" s="76">
        <v>60</v>
      </c>
      <c r="BI26" s="76">
        <v>70</v>
      </c>
      <c r="BJ26" s="240">
        <v>100</v>
      </c>
      <c r="BK26" s="240">
        <v>97.5</v>
      </c>
      <c r="BL26" s="240">
        <v>83.7</v>
      </c>
      <c r="BM26" s="240">
        <v>97.5</v>
      </c>
      <c r="BN26" s="240">
        <v>97.5</v>
      </c>
      <c r="BO26" s="240">
        <v>65</v>
      </c>
      <c r="BP26" s="70">
        <f t="shared" si="28"/>
        <v>1242.4000000000001</v>
      </c>
      <c r="BQ26" s="71">
        <f t="shared" si="29"/>
        <v>65.389473684210529</v>
      </c>
      <c r="BR26" s="72" t="e">
        <f t="shared" si="30"/>
        <v>#N/A</v>
      </c>
      <c r="BS26" s="73"/>
      <c r="BT26" s="73"/>
      <c r="BU26" s="73"/>
      <c r="BV26" s="74"/>
      <c r="BW26" s="74"/>
      <c r="BX26" s="74"/>
      <c r="BY26" s="75"/>
    </row>
    <row r="27" spans="1:77" ht="24.6" customHeight="1">
      <c r="A27" s="93">
        <v>24</v>
      </c>
      <c r="B27" s="94">
        <v>20210052</v>
      </c>
      <c r="C27" s="96" t="s">
        <v>455</v>
      </c>
      <c r="D27" s="68">
        <f t="shared" si="0"/>
        <v>60</v>
      </c>
      <c r="E27" s="68">
        <f t="shared" si="1"/>
        <v>54</v>
      </c>
      <c r="F27" s="68">
        <f t="shared" si="2"/>
        <v>55</v>
      </c>
      <c r="G27" s="68">
        <f t="shared" si="3"/>
        <v>81</v>
      </c>
      <c r="H27" s="68">
        <f t="shared" si="4"/>
        <v>67</v>
      </c>
      <c r="I27" s="68">
        <f t="shared" si="5"/>
        <v>73</v>
      </c>
      <c r="J27" s="68">
        <f t="shared" si="6"/>
        <v>66</v>
      </c>
      <c r="K27" s="68">
        <f t="shared" si="7"/>
        <v>51</v>
      </c>
      <c r="L27" s="68">
        <f t="shared" si="8"/>
        <v>68</v>
      </c>
      <c r="M27" s="68">
        <f t="shared" si="9"/>
        <v>65</v>
      </c>
      <c r="N27" s="68">
        <f t="shared" si="10"/>
        <v>79</v>
      </c>
      <c r="O27" s="68">
        <f t="shared" si="11"/>
        <v>49</v>
      </c>
      <c r="P27" s="68">
        <f t="shared" si="12"/>
        <v>60</v>
      </c>
      <c r="Q27" s="68">
        <f t="shared" si="13"/>
        <v>67</v>
      </c>
      <c r="R27" s="69">
        <f t="shared" si="14"/>
        <v>70</v>
      </c>
      <c r="S27" s="69">
        <f t="shared" si="15"/>
        <v>85</v>
      </c>
      <c r="T27" s="69">
        <f t="shared" si="16"/>
        <v>50</v>
      </c>
      <c r="U27" s="69">
        <f t="shared" si="17"/>
        <v>60</v>
      </c>
      <c r="V27" s="69">
        <f t="shared" si="18"/>
        <v>70</v>
      </c>
      <c r="W27" s="234">
        <f t="shared" si="19"/>
        <v>98</v>
      </c>
      <c r="X27" s="234">
        <f t="shared" si="20"/>
        <v>99</v>
      </c>
      <c r="Y27" s="234">
        <f t="shared" si="21"/>
        <v>76</v>
      </c>
      <c r="Z27" s="234">
        <f t="shared" si="22"/>
        <v>99</v>
      </c>
      <c r="AA27" s="234">
        <f t="shared" si="23"/>
        <v>90</v>
      </c>
      <c r="AB27" s="234">
        <f t="shared" si="24"/>
        <v>65</v>
      </c>
      <c r="AC27" s="70">
        <f t="shared" si="25"/>
        <v>1230</v>
      </c>
      <c r="AD27" s="71">
        <f t="shared" si="26"/>
        <v>64.736842105263165</v>
      </c>
      <c r="AE27" s="72">
        <f t="shared" si="27"/>
        <v>24</v>
      </c>
      <c r="AF27" s="73" t="s">
        <v>805</v>
      </c>
      <c r="AG27" s="73" t="s">
        <v>805</v>
      </c>
      <c r="AH27" s="73" t="s">
        <v>805</v>
      </c>
      <c r="AI27" s="74">
        <v>28</v>
      </c>
      <c r="AJ27" s="74">
        <v>19</v>
      </c>
      <c r="AK27" s="74">
        <v>0</v>
      </c>
      <c r="AL27" s="75"/>
      <c r="AN27" s="93">
        <v>18</v>
      </c>
      <c r="AO27" s="94">
        <v>20210052</v>
      </c>
      <c r="AP27" s="96" t="s">
        <v>455</v>
      </c>
      <c r="AQ27" s="68">
        <v>60</v>
      </c>
      <c r="AR27" s="68">
        <v>54</v>
      </c>
      <c r="AS27" s="68">
        <v>54.5</v>
      </c>
      <c r="AT27" s="68">
        <v>81</v>
      </c>
      <c r="AU27" s="68">
        <v>67.3</v>
      </c>
      <c r="AV27" s="68">
        <v>73</v>
      </c>
      <c r="AW27" s="68">
        <v>65.5</v>
      </c>
      <c r="AX27" s="68">
        <v>51</v>
      </c>
      <c r="AY27" s="68">
        <v>68</v>
      </c>
      <c r="AZ27" s="68">
        <v>65</v>
      </c>
      <c r="BA27" s="68">
        <v>79</v>
      </c>
      <c r="BB27" s="68">
        <v>49</v>
      </c>
      <c r="BC27" s="68">
        <v>60</v>
      </c>
      <c r="BD27" s="68">
        <v>67</v>
      </c>
      <c r="BE27" s="76">
        <v>70</v>
      </c>
      <c r="BF27" s="76">
        <v>85</v>
      </c>
      <c r="BG27" s="76">
        <v>50</v>
      </c>
      <c r="BH27" s="76">
        <v>60</v>
      </c>
      <c r="BI27" s="76">
        <v>70</v>
      </c>
      <c r="BJ27" s="240">
        <v>97.5</v>
      </c>
      <c r="BK27" s="240">
        <v>100</v>
      </c>
      <c r="BL27" s="240">
        <v>75.5</v>
      </c>
      <c r="BM27" s="240">
        <v>100</v>
      </c>
      <c r="BN27" s="240">
        <v>90</v>
      </c>
      <c r="BO27" s="240">
        <v>65</v>
      </c>
      <c r="BP27" s="70">
        <f t="shared" si="28"/>
        <v>1229.3</v>
      </c>
      <c r="BQ27" s="71">
        <f t="shared" si="29"/>
        <v>64.7</v>
      </c>
      <c r="BR27" s="72" t="e">
        <f t="shared" si="30"/>
        <v>#N/A</v>
      </c>
      <c r="BS27" s="73"/>
      <c r="BT27" s="73"/>
      <c r="BU27" s="73"/>
      <c r="BV27" s="74"/>
      <c r="BW27" s="74"/>
      <c r="BX27" s="74"/>
      <c r="BY27" s="75"/>
    </row>
    <row r="28" spans="1:77" ht="24.6" customHeight="1">
      <c r="A28" s="93">
        <v>25</v>
      </c>
      <c r="B28" s="94">
        <v>20210057</v>
      </c>
      <c r="C28" s="96" t="s">
        <v>454</v>
      </c>
      <c r="D28" s="68">
        <f t="shared" si="0"/>
        <v>65</v>
      </c>
      <c r="E28" s="68">
        <f t="shared" si="1"/>
        <v>46</v>
      </c>
      <c r="F28" s="68">
        <f t="shared" si="2"/>
        <v>63</v>
      </c>
      <c r="G28" s="68">
        <f t="shared" si="3"/>
        <v>75</v>
      </c>
      <c r="H28" s="68">
        <f t="shared" si="4"/>
        <v>50</v>
      </c>
      <c r="I28" s="68">
        <f t="shared" si="5"/>
        <v>54</v>
      </c>
      <c r="J28" s="68">
        <f t="shared" si="6"/>
        <v>73</v>
      </c>
      <c r="K28" s="68">
        <f t="shared" si="7"/>
        <v>58</v>
      </c>
      <c r="L28" s="68">
        <f t="shared" si="8"/>
        <v>79</v>
      </c>
      <c r="M28" s="68">
        <f t="shared" si="9"/>
        <v>57</v>
      </c>
      <c r="N28" s="68">
        <f t="shared" si="10"/>
        <v>82</v>
      </c>
      <c r="O28" s="68">
        <f t="shared" si="11"/>
        <v>59</v>
      </c>
      <c r="P28" s="68">
        <f t="shared" si="12"/>
        <v>61</v>
      </c>
      <c r="Q28" s="68">
        <f t="shared" si="13"/>
        <v>57</v>
      </c>
      <c r="R28" s="69">
        <f t="shared" si="14"/>
        <v>70</v>
      </c>
      <c r="S28" s="69">
        <f t="shared" si="15"/>
        <v>85</v>
      </c>
      <c r="T28" s="69">
        <f t="shared" si="16"/>
        <v>50</v>
      </c>
      <c r="U28" s="69">
        <f t="shared" si="17"/>
        <v>60</v>
      </c>
      <c r="V28" s="69">
        <f t="shared" si="18"/>
        <v>70</v>
      </c>
      <c r="W28" s="234">
        <f t="shared" si="19"/>
        <v>98</v>
      </c>
      <c r="X28" s="234">
        <f t="shared" si="20"/>
        <v>99</v>
      </c>
      <c r="Y28" s="234">
        <f t="shared" si="21"/>
        <v>79</v>
      </c>
      <c r="Z28" s="234">
        <f t="shared" si="22"/>
        <v>99</v>
      </c>
      <c r="AA28" s="234">
        <f t="shared" si="23"/>
        <v>98</v>
      </c>
      <c r="AB28" s="234">
        <f t="shared" si="24"/>
        <v>68</v>
      </c>
      <c r="AC28" s="70">
        <f t="shared" si="25"/>
        <v>1214</v>
      </c>
      <c r="AD28" s="71">
        <f t="shared" si="26"/>
        <v>63.89473684210526</v>
      </c>
      <c r="AE28" s="72">
        <f t="shared" si="27"/>
        <v>25</v>
      </c>
      <c r="AF28" s="73" t="s">
        <v>805</v>
      </c>
      <c r="AG28" s="73" t="s">
        <v>807</v>
      </c>
      <c r="AH28" s="73" t="s">
        <v>805</v>
      </c>
      <c r="AI28" s="74">
        <v>0</v>
      </c>
      <c r="AJ28" s="74">
        <v>0</v>
      </c>
      <c r="AK28" s="74">
        <v>0</v>
      </c>
      <c r="AL28" s="75"/>
      <c r="AN28" s="93">
        <v>17</v>
      </c>
      <c r="AO28" s="94">
        <v>20210057</v>
      </c>
      <c r="AP28" s="96" t="s">
        <v>454</v>
      </c>
      <c r="AQ28" s="68">
        <v>64.5</v>
      </c>
      <c r="AR28" s="68">
        <v>46</v>
      </c>
      <c r="AS28" s="68">
        <v>62.5</v>
      </c>
      <c r="AT28" s="68">
        <v>75</v>
      </c>
      <c r="AU28" s="68">
        <v>50</v>
      </c>
      <c r="AV28" s="68">
        <v>53.5</v>
      </c>
      <c r="AW28" s="68">
        <v>73</v>
      </c>
      <c r="AX28" s="68">
        <v>58</v>
      </c>
      <c r="AY28" s="68">
        <v>79</v>
      </c>
      <c r="AZ28" s="68">
        <v>57</v>
      </c>
      <c r="BA28" s="68">
        <v>82</v>
      </c>
      <c r="BB28" s="68">
        <v>58.5</v>
      </c>
      <c r="BC28" s="68">
        <v>61</v>
      </c>
      <c r="BD28" s="68">
        <v>57</v>
      </c>
      <c r="BE28" s="76">
        <v>70</v>
      </c>
      <c r="BF28" s="76">
        <v>85</v>
      </c>
      <c r="BG28" s="76">
        <v>50</v>
      </c>
      <c r="BH28" s="76">
        <v>60</v>
      </c>
      <c r="BI28" s="76">
        <v>70</v>
      </c>
      <c r="BJ28" s="240">
        <v>97.5</v>
      </c>
      <c r="BK28" s="240">
        <v>100</v>
      </c>
      <c r="BL28" s="240">
        <v>79</v>
      </c>
      <c r="BM28" s="240">
        <v>100</v>
      </c>
      <c r="BN28" s="240">
        <v>97.5</v>
      </c>
      <c r="BO28" s="240">
        <v>67.5</v>
      </c>
      <c r="BP28" s="70">
        <f t="shared" si="28"/>
        <v>1212</v>
      </c>
      <c r="BQ28" s="71">
        <f t="shared" si="29"/>
        <v>63.789473684210527</v>
      </c>
      <c r="BR28" s="72" t="e">
        <f t="shared" si="30"/>
        <v>#N/A</v>
      </c>
      <c r="BS28" s="73"/>
      <c r="BT28" s="73"/>
      <c r="BU28" s="73"/>
      <c r="BV28" s="74"/>
      <c r="BW28" s="74"/>
      <c r="BX28" s="74"/>
      <c r="BY28" s="75"/>
    </row>
    <row r="29" spans="1:77" ht="24.6" customHeight="1">
      <c r="A29" s="93">
        <v>26</v>
      </c>
      <c r="B29" s="94">
        <v>20210008</v>
      </c>
      <c r="C29" s="96" t="s">
        <v>442</v>
      </c>
      <c r="D29" s="68">
        <f t="shared" si="0"/>
        <v>60</v>
      </c>
      <c r="E29" s="68">
        <f t="shared" si="1"/>
        <v>52</v>
      </c>
      <c r="F29" s="68">
        <f t="shared" si="2"/>
        <v>47</v>
      </c>
      <c r="G29" s="68">
        <f t="shared" si="3"/>
        <v>75</v>
      </c>
      <c r="H29" s="68">
        <f t="shared" si="4"/>
        <v>56</v>
      </c>
      <c r="I29" s="68">
        <f t="shared" si="5"/>
        <v>57</v>
      </c>
      <c r="J29" s="68">
        <f t="shared" si="6"/>
        <v>56</v>
      </c>
      <c r="K29" s="68">
        <f t="shared" si="7"/>
        <v>46</v>
      </c>
      <c r="L29" s="68">
        <f t="shared" si="8"/>
        <v>63</v>
      </c>
      <c r="M29" s="68">
        <f t="shared" si="9"/>
        <v>67</v>
      </c>
      <c r="N29" s="68">
        <f t="shared" si="10"/>
        <v>71</v>
      </c>
      <c r="O29" s="68">
        <f t="shared" si="11"/>
        <v>49</v>
      </c>
      <c r="P29" s="68">
        <f t="shared" si="12"/>
        <v>52</v>
      </c>
      <c r="Q29" s="68">
        <f t="shared" si="13"/>
        <v>51</v>
      </c>
      <c r="R29" s="69">
        <f t="shared" si="14"/>
        <v>70</v>
      </c>
      <c r="S29" s="69">
        <f t="shared" si="15"/>
        <v>85</v>
      </c>
      <c r="T29" s="69">
        <f t="shared" si="16"/>
        <v>50</v>
      </c>
      <c r="U29" s="69">
        <f t="shared" si="17"/>
        <v>60</v>
      </c>
      <c r="V29" s="69">
        <f t="shared" si="18"/>
        <v>60</v>
      </c>
      <c r="W29" s="234">
        <f t="shared" si="19"/>
        <v>98</v>
      </c>
      <c r="X29" s="234">
        <f t="shared" si="20"/>
        <v>98</v>
      </c>
      <c r="Y29" s="234">
        <f t="shared" si="21"/>
        <v>73</v>
      </c>
      <c r="Z29" s="234">
        <f t="shared" si="22"/>
        <v>99</v>
      </c>
      <c r="AA29" s="234">
        <f t="shared" si="23"/>
        <v>98</v>
      </c>
      <c r="AB29" s="234">
        <f t="shared" si="24"/>
        <v>65</v>
      </c>
      <c r="AC29" s="70">
        <f t="shared" si="25"/>
        <v>1127</v>
      </c>
      <c r="AD29" s="71">
        <f t="shared" si="26"/>
        <v>59.315789473684212</v>
      </c>
      <c r="AE29" s="72">
        <f t="shared" si="27"/>
        <v>26</v>
      </c>
      <c r="AF29" s="73" t="s">
        <v>805</v>
      </c>
      <c r="AG29" s="73" t="s">
        <v>807</v>
      </c>
      <c r="AH29" s="73" t="s">
        <v>807</v>
      </c>
      <c r="AI29" s="74">
        <v>32</v>
      </c>
      <c r="AJ29" s="74">
        <v>0</v>
      </c>
      <c r="AK29" s="74">
        <v>14</v>
      </c>
      <c r="AL29" s="75"/>
      <c r="AN29" s="93">
        <v>5</v>
      </c>
      <c r="AO29" s="94">
        <v>20210008</v>
      </c>
      <c r="AP29" s="96" t="s">
        <v>442</v>
      </c>
      <c r="AQ29" s="68">
        <v>60</v>
      </c>
      <c r="AR29" s="68">
        <v>52</v>
      </c>
      <c r="AS29" s="68">
        <v>47</v>
      </c>
      <c r="AT29" s="68">
        <v>75</v>
      </c>
      <c r="AU29" s="68">
        <v>56</v>
      </c>
      <c r="AV29" s="68">
        <v>57</v>
      </c>
      <c r="AW29" s="68">
        <v>55.5</v>
      </c>
      <c r="AX29" s="68">
        <v>46</v>
      </c>
      <c r="AY29" s="68">
        <v>63</v>
      </c>
      <c r="AZ29" s="68">
        <v>67</v>
      </c>
      <c r="BA29" s="68">
        <v>71</v>
      </c>
      <c r="BB29" s="68">
        <v>49.099999999999994</v>
      </c>
      <c r="BC29" s="68">
        <v>52</v>
      </c>
      <c r="BD29" s="68">
        <v>51</v>
      </c>
      <c r="BE29" s="76">
        <v>70</v>
      </c>
      <c r="BF29" s="76">
        <v>85</v>
      </c>
      <c r="BG29" s="76">
        <v>50</v>
      </c>
      <c r="BH29" s="76">
        <v>60</v>
      </c>
      <c r="BI29" s="76">
        <v>60</v>
      </c>
      <c r="BJ29" s="240">
        <v>97.5</v>
      </c>
      <c r="BK29" s="240">
        <v>97.5</v>
      </c>
      <c r="BL29" s="240">
        <v>73</v>
      </c>
      <c r="BM29" s="240">
        <v>100</v>
      </c>
      <c r="BN29" s="240">
        <v>97.5</v>
      </c>
      <c r="BO29" s="240">
        <v>65</v>
      </c>
      <c r="BP29" s="70">
        <f t="shared" si="28"/>
        <v>1126.5999999999999</v>
      </c>
      <c r="BQ29" s="71">
        <f t="shared" si="29"/>
        <v>59.294736842105259</v>
      </c>
      <c r="BR29" s="72" t="e">
        <f t="shared" si="30"/>
        <v>#N/A</v>
      </c>
      <c r="BS29" s="73"/>
      <c r="BT29" s="73"/>
      <c r="BU29" s="73"/>
      <c r="BV29" s="74"/>
      <c r="BW29" s="74"/>
      <c r="BX29" s="74"/>
      <c r="BY29" s="75"/>
    </row>
    <row r="30" spans="1:77" ht="24.6" customHeight="1">
      <c r="A30" s="93">
        <v>27</v>
      </c>
      <c r="B30" s="94">
        <v>20210075</v>
      </c>
      <c r="C30" s="95" t="s">
        <v>450</v>
      </c>
      <c r="D30" s="68">
        <f t="shared" si="0"/>
        <v>50</v>
      </c>
      <c r="E30" s="68">
        <f t="shared" si="1"/>
        <v>45</v>
      </c>
      <c r="F30" s="68">
        <f t="shared" si="2"/>
        <v>40</v>
      </c>
      <c r="G30" s="68">
        <f t="shared" si="3"/>
        <v>55</v>
      </c>
      <c r="H30" s="68">
        <f t="shared" si="4"/>
        <v>60</v>
      </c>
      <c r="I30" s="68">
        <f t="shared" si="5"/>
        <v>51</v>
      </c>
      <c r="J30" s="68">
        <f t="shared" si="6"/>
        <v>49</v>
      </c>
      <c r="K30" s="68">
        <f t="shared" si="7"/>
        <v>59</v>
      </c>
      <c r="L30" s="68">
        <f t="shared" si="8"/>
        <v>77</v>
      </c>
      <c r="M30" s="68">
        <f t="shared" si="9"/>
        <v>49</v>
      </c>
      <c r="N30" s="68">
        <f t="shared" si="10"/>
        <v>73</v>
      </c>
      <c r="O30" s="68">
        <f t="shared" si="11"/>
        <v>40</v>
      </c>
      <c r="P30" s="68">
        <f t="shared" si="12"/>
        <v>54</v>
      </c>
      <c r="Q30" s="68">
        <f t="shared" si="13"/>
        <v>76</v>
      </c>
      <c r="R30" s="69">
        <f t="shared" si="14"/>
        <v>70</v>
      </c>
      <c r="S30" s="69">
        <f t="shared" si="15"/>
        <v>85</v>
      </c>
      <c r="T30" s="69">
        <f t="shared" si="16"/>
        <v>50</v>
      </c>
      <c r="U30" s="69">
        <f t="shared" si="17"/>
        <v>60</v>
      </c>
      <c r="V30" s="69">
        <f t="shared" si="18"/>
        <v>40</v>
      </c>
      <c r="W30" s="234">
        <f t="shared" si="19"/>
        <v>98</v>
      </c>
      <c r="X30" s="234">
        <f t="shared" si="20"/>
        <v>99</v>
      </c>
      <c r="Y30" s="234">
        <f t="shared" si="21"/>
        <v>80</v>
      </c>
      <c r="Z30" s="234">
        <f t="shared" si="22"/>
        <v>99</v>
      </c>
      <c r="AA30" s="234">
        <f t="shared" si="23"/>
        <v>93</v>
      </c>
      <c r="AB30" s="234">
        <f t="shared" si="24"/>
        <v>65</v>
      </c>
      <c r="AC30" s="70">
        <f t="shared" si="25"/>
        <v>1083</v>
      </c>
      <c r="AD30" s="71">
        <f t="shared" si="26"/>
        <v>57</v>
      </c>
      <c r="AE30" s="72">
        <f t="shared" si="27"/>
        <v>27</v>
      </c>
      <c r="AF30" s="73" t="s">
        <v>805</v>
      </c>
      <c r="AG30" s="73" t="s">
        <v>807</v>
      </c>
      <c r="AH30" s="73" t="s">
        <v>805</v>
      </c>
      <c r="AI30" s="74">
        <v>0</v>
      </c>
      <c r="AJ30" s="74">
        <v>30</v>
      </c>
      <c r="AK30" s="74">
        <v>0</v>
      </c>
      <c r="AL30" s="75"/>
      <c r="AN30" s="93">
        <v>13</v>
      </c>
      <c r="AO30" s="94">
        <v>20210075</v>
      </c>
      <c r="AP30" s="95" t="s">
        <v>450</v>
      </c>
      <c r="AQ30" s="68">
        <v>50</v>
      </c>
      <c r="AR30" s="68">
        <v>45</v>
      </c>
      <c r="AS30" s="68">
        <v>34.700000000000003</v>
      </c>
      <c r="AT30" s="68">
        <v>55</v>
      </c>
      <c r="AU30" s="68">
        <v>59.5</v>
      </c>
      <c r="AV30" s="68">
        <v>50.5</v>
      </c>
      <c r="AW30" s="68">
        <v>49</v>
      </c>
      <c r="AX30" s="68">
        <v>59</v>
      </c>
      <c r="AY30" s="68">
        <v>77</v>
      </c>
      <c r="AZ30" s="68">
        <v>49</v>
      </c>
      <c r="BA30" s="68">
        <v>73</v>
      </c>
      <c r="BB30" s="68">
        <v>37.75</v>
      </c>
      <c r="BC30" s="68">
        <v>54</v>
      </c>
      <c r="BD30" s="68">
        <v>75.699999999999989</v>
      </c>
      <c r="BE30" s="76">
        <v>70</v>
      </c>
      <c r="BF30" s="76">
        <v>85</v>
      </c>
      <c r="BG30" s="76">
        <v>50</v>
      </c>
      <c r="BH30" s="76">
        <v>60</v>
      </c>
      <c r="BI30" s="76">
        <v>40</v>
      </c>
      <c r="BJ30" s="240">
        <v>97.5</v>
      </c>
      <c r="BK30" s="240">
        <v>100</v>
      </c>
      <c r="BL30" s="240">
        <v>79.5</v>
      </c>
      <c r="BM30" s="240">
        <v>100</v>
      </c>
      <c r="BN30" s="240">
        <v>92.5</v>
      </c>
      <c r="BO30" s="240">
        <v>65</v>
      </c>
      <c r="BP30" s="70">
        <f t="shared" si="28"/>
        <v>1074.1500000000001</v>
      </c>
      <c r="BQ30" s="71">
        <f t="shared" si="29"/>
        <v>56.534210526315796</v>
      </c>
      <c r="BR30" s="72" t="e">
        <f t="shared" si="30"/>
        <v>#N/A</v>
      </c>
      <c r="BS30" s="73"/>
      <c r="BT30" s="73"/>
      <c r="BU30" s="73"/>
      <c r="BV30" s="74"/>
      <c r="BW30" s="74"/>
      <c r="BX30" s="74"/>
      <c r="BY30" s="75"/>
    </row>
    <row r="31" spans="1:77" ht="24.6" customHeight="1">
      <c r="A31" s="93">
        <v>28</v>
      </c>
      <c r="B31" s="94">
        <v>21220123</v>
      </c>
      <c r="C31" s="95" t="s">
        <v>440</v>
      </c>
      <c r="D31" s="68">
        <f t="shared" si="0"/>
        <v>40</v>
      </c>
      <c r="E31" s="68">
        <f t="shared" si="1"/>
        <v>46</v>
      </c>
      <c r="F31" s="68">
        <f t="shared" si="2"/>
        <v>40</v>
      </c>
      <c r="G31" s="68">
        <f t="shared" si="3"/>
        <v>75</v>
      </c>
      <c r="H31" s="68">
        <f t="shared" si="4"/>
        <v>53</v>
      </c>
      <c r="I31" s="68">
        <f t="shared" si="5"/>
        <v>41</v>
      </c>
      <c r="J31" s="68">
        <f t="shared" si="6"/>
        <v>51</v>
      </c>
      <c r="K31" s="68">
        <f t="shared" si="7"/>
        <v>49</v>
      </c>
      <c r="L31" s="68">
        <f t="shared" si="8"/>
        <v>69</v>
      </c>
      <c r="M31" s="68">
        <f t="shared" si="9"/>
        <v>55</v>
      </c>
      <c r="N31" s="68">
        <f t="shared" si="10"/>
        <v>75</v>
      </c>
      <c r="O31" s="68">
        <f t="shared" si="11"/>
        <v>40</v>
      </c>
      <c r="P31" s="68">
        <f t="shared" si="12"/>
        <v>49</v>
      </c>
      <c r="Q31" s="68">
        <f t="shared" si="13"/>
        <v>56</v>
      </c>
      <c r="R31" s="69">
        <f t="shared" si="14"/>
        <v>70</v>
      </c>
      <c r="S31" s="69">
        <f t="shared" si="15"/>
        <v>85</v>
      </c>
      <c r="T31" s="69">
        <f t="shared" si="16"/>
        <v>50</v>
      </c>
      <c r="U31" s="69">
        <f t="shared" si="17"/>
        <v>70</v>
      </c>
      <c r="V31" s="69">
        <f t="shared" si="18"/>
        <v>60</v>
      </c>
      <c r="W31" s="234">
        <f t="shared" si="19"/>
        <v>99</v>
      </c>
      <c r="X31" s="234">
        <f t="shared" si="20"/>
        <v>93</v>
      </c>
      <c r="Y31" s="234">
        <f t="shared" si="21"/>
        <v>74</v>
      </c>
      <c r="Z31" s="234">
        <f t="shared" si="22"/>
        <v>99</v>
      </c>
      <c r="AA31" s="234">
        <f t="shared" si="23"/>
        <v>99</v>
      </c>
      <c r="AB31" s="234">
        <f t="shared" si="24"/>
        <v>65</v>
      </c>
      <c r="AC31" s="70">
        <f t="shared" si="25"/>
        <v>1074</v>
      </c>
      <c r="AD31" s="71">
        <f t="shared" si="26"/>
        <v>56.526315789473685</v>
      </c>
      <c r="AE31" s="72">
        <f t="shared" si="27"/>
        <v>28</v>
      </c>
      <c r="AF31" s="73" t="s">
        <v>805</v>
      </c>
      <c r="AG31" s="73" t="s">
        <v>807</v>
      </c>
      <c r="AH31" s="73" t="s">
        <v>807</v>
      </c>
      <c r="AI31" s="74">
        <v>0</v>
      </c>
      <c r="AJ31" s="74">
        <v>0</v>
      </c>
      <c r="AK31" s="74">
        <v>0</v>
      </c>
      <c r="AL31" s="75"/>
      <c r="AN31" s="93">
        <v>3</v>
      </c>
      <c r="AO31" s="94">
        <v>21220123</v>
      </c>
      <c r="AP31" s="95" t="s">
        <v>440</v>
      </c>
      <c r="AQ31" s="68">
        <v>27</v>
      </c>
      <c r="AR31" s="68">
        <v>46</v>
      </c>
      <c r="AS31" s="68">
        <v>30.7</v>
      </c>
      <c r="AT31" s="68">
        <v>75</v>
      </c>
      <c r="AU31" s="68">
        <v>53</v>
      </c>
      <c r="AV31" s="68">
        <v>41</v>
      </c>
      <c r="AW31" s="68">
        <v>50.5</v>
      </c>
      <c r="AX31" s="68">
        <v>48.5</v>
      </c>
      <c r="AY31" s="68">
        <v>69</v>
      </c>
      <c r="AZ31" s="68">
        <v>54.5</v>
      </c>
      <c r="BA31" s="68">
        <v>75</v>
      </c>
      <c r="BB31" s="68">
        <v>39</v>
      </c>
      <c r="BC31" s="68">
        <v>49</v>
      </c>
      <c r="BD31" s="68">
        <v>56</v>
      </c>
      <c r="BE31" s="76">
        <v>70</v>
      </c>
      <c r="BF31" s="76">
        <v>85</v>
      </c>
      <c r="BG31" s="76">
        <v>50</v>
      </c>
      <c r="BH31" s="76">
        <v>70</v>
      </c>
      <c r="BI31" s="76">
        <v>60</v>
      </c>
      <c r="BJ31" s="240">
        <v>100</v>
      </c>
      <c r="BK31" s="240">
        <v>92.5</v>
      </c>
      <c r="BL31" s="240">
        <v>74.25</v>
      </c>
      <c r="BM31" s="240">
        <v>100</v>
      </c>
      <c r="BN31" s="240">
        <v>100</v>
      </c>
      <c r="BO31" s="240">
        <v>65</v>
      </c>
      <c r="BP31" s="70">
        <f t="shared" si="28"/>
        <v>1049.2</v>
      </c>
      <c r="BQ31" s="71">
        <f t="shared" si="29"/>
        <v>55.221052631578949</v>
      </c>
      <c r="BR31" s="72" t="e">
        <f t="shared" si="30"/>
        <v>#N/A</v>
      </c>
      <c r="BS31" s="73"/>
      <c r="BT31" s="73"/>
      <c r="BU31" s="73"/>
      <c r="BV31" s="74"/>
      <c r="BW31" s="74"/>
      <c r="BX31" s="74"/>
      <c r="BY31" s="75"/>
    </row>
    <row r="32" spans="1:77" ht="24.6" customHeight="1">
      <c r="A32" s="267" t="s">
        <v>202</v>
      </c>
      <c r="B32" s="268"/>
      <c r="C32" s="269"/>
      <c r="D32" s="72">
        <f t="shared" ref="D32:V32" si="31">SUM(D4:D29)</f>
        <v>1791</v>
      </c>
      <c r="E32" s="72">
        <f t="shared" si="31"/>
        <v>1831</v>
      </c>
      <c r="F32" s="72">
        <f t="shared" si="31"/>
        <v>1705</v>
      </c>
      <c r="G32" s="72">
        <f t="shared" si="31"/>
        <v>2210</v>
      </c>
      <c r="H32" s="72">
        <f t="shared" si="31"/>
        <v>1885</v>
      </c>
      <c r="I32" s="72">
        <f t="shared" si="31"/>
        <v>1949</v>
      </c>
      <c r="J32" s="72">
        <f t="shared" si="31"/>
        <v>2131</v>
      </c>
      <c r="K32" s="72">
        <f t="shared" si="31"/>
        <v>2024</v>
      </c>
      <c r="L32" s="72">
        <f t="shared" si="31"/>
        <v>2239</v>
      </c>
      <c r="M32" s="72">
        <f t="shared" si="31"/>
        <v>2109</v>
      </c>
      <c r="N32" s="72">
        <f t="shared" si="31"/>
        <v>2253</v>
      </c>
      <c r="O32" s="72">
        <f t="shared" si="31"/>
        <v>1885</v>
      </c>
      <c r="P32" s="72">
        <f t="shared" si="31"/>
        <v>1893</v>
      </c>
      <c r="Q32" s="72">
        <f t="shared" si="31"/>
        <v>2164</v>
      </c>
      <c r="R32" s="72">
        <f t="shared" si="31"/>
        <v>2170</v>
      </c>
      <c r="S32" s="72">
        <f t="shared" si="31"/>
        <v>2195</v>
      </c>
      <c r="T32" s="72">
        <f t="shared" si="31"/>
        <v>1999</v>
      </c>
      <c r="U32" s="72">
        <f t="shared" si="31"/>
        <v>1998</v>
      </c>
      <c r="V32" s="72">
        <f t="shared" si="31"/>
        <v>2149</v>
      </c>
      <c r="W32" s="72"/>
      <c r="X32" s="72"/>
      <c r="Y32" s="72"/>
      <c r="Z32" s="72"/>
      <c r="AA32" s="72"/>
      <c r="AB32" s="72"/>
      <c r="AC32" s="81"/>
      <c r="AD32" s="81"/>
      <c r="AE32" s="81"/>
      <c r="AF32" s="81"/>
      <c r="AG32" s="81"/>
      <c r="AH32" s="81"/>
      <c r="AI32" s="81"/>
      <c r="AJ32" s="81"/>
      <c r="AK32" s="81"/>
      <c r="AL32" s="82"/>
      <c r="AN32" s="267" t="s">
        <v>202</v>
      </c>
      <c r="AO32" s="268"/>
      <c r="AP32" s="269"/>
      <c r="AQ32" s="72">
        <f t="shared" ref="AQ32:BF32" si="32">SUM(AQ4:AQ29)</f>
        <v>1787.7999999999997</v>
      </c>
      <c r="AR32" s="72">
        <f t="shared" si="32"/>
        <v>1827.2</v>
      </c>
      <c r="AS32" s="72">
        <f t="shared" si="32"/>
        <v>1697.3</v>
      </c>
      <c r="AT32" s="72">
        <f t="shared" si="32"/>
        <v>2210.4</v>
      </c>
      <c r="AU32" s="72">
        <f t="shared" si="32"/>
        <v>1880.1</v>
      </c>
      <c r="AV32" s="72">
        <f t="shared" si="32"/>
        <v>1937.5</v>
      </c>
      <c r="AW32" s="72">
        <f t="shared" si="32"/>
        <v>2126.5</v>
      </c>
      <c r="AX32" s="72">
        <f t="shared" si="32"/>
        <v>2024.6000000000001</v>
      </c>
      <c r="AY32" s="72">
        <f t="shared" si="32"/>
        <v>2238.8000000000002</v>
      </c>
      <c r="AZ32" s="72">
        <f t="shared" si="32"/>
        <v>2108.6</v>
      </c>
      <c r="BA32" s="72">
        <f t="shared" si="32"/>
        <v>2252.9</v>
      </c>
      <c r="BB32" s="72">
        <f t="shared" si="32"/>
        <v>1879.4999999999995</v>
      </c>
      <c r="BC32" s="72">
        <f t="shared" si="32"/>
        <v>1893.8</v>
      </c>
      <c r="BD32" s="72">
        <f t="shared" si="32"/>
        <v>2162.8000000000002</v>
      </c>
      <c r="BE32" s="72">
        <f>SUM(BE4:BE31)</f>
        <v>2320</v>
      </c>
      <c r="BF32" s="72">
        <f t="shared" si="32"/>
        <v>2195</v>
      </c>
      <c r="BG32" s="72">
        <f>SUM(BG4:BG31)</f>
        <v>2104</v>
      </c>
      <c r="BH32" s="72">
        <f>SUM(BH4:BH31)</f>
        <v>2128</v>
      </c>
      <c r="BI32" s="72">
        <f>SUM(BI4:BI31)</f>
        <v>2255</v>
      </c>
      <c r="BJ32" s="72"/>
      <c r="BK32" s="72"/>
      <c r="BL32" s="72"/>
      <c r="BM32" s="72"/>
      <c r="BN32" s="72"/>
      <c r="BO32" s="72"/>
      <c r="BP32" s="81"/>
      <c r="BQ32" s="81"/>
      <c r="BR32" s="81"/>
      <c r="BS32" s="81"/>
      <c r="BT32" s="81"/>
      <c r="BU32" s="81"/>
      <c r="BV32" s="81"/>
      <c r="BW32" s="81"/>
      <c r="BX32" s="81"/>
      <c r="BY32" s="82"/>
    </row>
    <row r="33" spans="1:77" ht="24.6" customHeight="1">
      <c r="A33" s="267" t="s">
        <v>203</v>
      </c>
      <c r="B33" s="268"/>
      <c r="C33" s="269"/>
      <c r="D33" s="72">
        <f t="shared" ref="D33:V33" si="33">AVERAGE(D4:D29)</f>
        <v>68.884615384615387</v>
      </c>
      <c r="E33" s="72">
        <f t="shared" si="33"/>
        <v>70.42307692307692</v>
      </c>
      <c r="F33" s="72">
        <f t="shared" si="33"/>
        <v>65.57692307692308</v>
      </c>
      <c r="G33" s="72">
        <f t="shared" si="33"/>
        <v>85</v>
      </c>
      <c r="H33" s="72">
        <f t="shared" si="33"/>
        <v>72.5</v>
      </c>
      <c r="I33" s="72">
        <f t="shared" si="33"/>
        <v>74.961538461538467</v>
      </c>
      <c r="J33" s="72">
        <f t="shared" si="33"/>
        <v>81.961538461538467</v>
      </c>
      <c r="K33" s="72">
        <f t="shared" si="33"/>
        <v>77.84615384615384</v>
      </c>
      <c r="L33" s="72">
        <f t="shared" si="33"/>
        <v>86.115384615384613</v>
      </c>
      <c r="M33" s="72">
        <f t="shared" si="33"/>
        <v>81.115384615384613</v>
      </c>
      <c r="N33" s="72">
        <f t="shared" si="33"/>
        <v>86.65384615384616</v>
      </c>
      <c r="O33" s="72">
        <f t="shared" si="33"/>
        <v>72.5</v>
      </c>
      <c r="P33" s="72">
        <f t="shared" si="33"/>
        <v>72.807692307692307</v>
      </c>
      <c r="Q33" s="72">
        <f t="shared" si="33"/>
        <v>83.230769230769226</v>
      </c>
      <c r="R33" s="72">
        <f t="shared" si="33"/>
        <v>83.461538461538467</v>
      </c>
      <c r="S33" s="72">
        <f t="shared" si="33"/>
        <v>84.42307692307692</v>
      </c>
      <c r="T33" s="72">
        <f t="shared" si="33"/>
        <v>76.884615384615387</v>
      </c>
      <c r="U33" s="72">
        <f t="shared" si="33"/>
        <v>76.84615384615384</v>
      </c>
      <c r="V33" s="72">
        <f t="shared" si="33"/>
        <v>82.65384615384616</v>
      </c>
      <c r="W33" s="72"/>
      <c r="X33" s="72"/>
      <c r="Y33" s="72"/>
      <c r="Z33" s="72"/>
      <c r="AA33" s="72"/>
      <c r="AB33" s="72"/>
      <c r="AC33" s="81"/>
      <c r="AD33" s="81"/>
      <c r="AE33" s="81"/>
      <c r="AF33" s="81"/>
      <c r="AG33" s="81"/>
      <c r="AH33" s="81"/>
      <c r="AI33" s="81"/>
      <c r="AJ33" s="81"/>
      <c r="AK33" s="81"/>
      <c r="AL33" s="82"/>
      <c r="AN33" s="267" t="s">
        <v>203</v>
      </c>
      <c r="AO33" s="268"/>
      <c r="AP33" s="269"/>
      <c r="AQ33" s="72">
        <f t="shared" ref="AQ33:BD33" si="34">AVERAGE(AQ4:AQ29)</f>
        <v>68.76153846153845</v>
      </c>
      <c r="AR33" s="72">
        <f t="shared" si="34"/>
        <v>70.276923076923083</v>
      </c>
      <c r="AS33" s="72">
        <f t="shared" si="34"/>
        <v>65.280769230769224</v>
      </c>
      <c r="AT33" s="72">
        <f t="shared" si="34"/>
        <v>85.015384615384619</v>
      </c>
      <c r="AU33" s="72">
        <f t="shared" si="34"/>
        <v>72.311538461538461</v>
      </c>
      <c r="AV33" s="72">
        <f t="shared" si="34"/>
        <v>74.519230769230774</v>
      </c>
      <c r="AW33" s="72">
        <f t="shared" si="34"/>
        <v>81.788461538461533</v>
      </c>
      <c r="AX33" s="72">
        <f t="shared" si="34"/>
        <v>77.869230769230768</v>
      </c>
      <c r="AY33" s="72">
        <f t="shared" si="34"/>
        <v>86.107692307692318</v>
      </c>
      <c r="AZ33" s="72">
        <f t="shared" si="34"/>
        <v>81.099999999999994</v>
      </c>
      <c r="BA33" s="72">
        <f t="shared" si="34"/>
        <v>86.65</v>
      </c>
      <c r="BB33" s="72">
        <f t="shared" si="34"/>
        <v>72.288461538461519</v>
      </c>
      <c r="BC33" s="72">
        <f t="shared" si="34"/>
        <v>72.83846153846153</v>
      </c>
      <c r="BD33" s="72">
        <f t="shared" si="34"/>
        <v>83.184615384615398</v>
      </c>
      <c r="BE33" s="72">
        <f>AVERAGE(BE4:BE31)</f>
        <v>82.857142857142861</v>
      </c>
      <c r="BF33" s="72">
        <f>AVERAGE(BF4:BF29)</f>
        <v>84.42307692307692</v>
      </c>
      <c r="BG33" s="72">
        <f>AVERAGE(BG4:BG31)</f>
        <v>75.142857142857139</v>
      </c>
      <c r="BH33" s="72">
        <f>AVERAGE(BH4:BH31)</f>
        <v>76</v>
      </c>
      <c r="BI33" s="72">
        <f>AVERAGE(BI4:BI31)</f>
        <v>80.535714285714292</v>
      </c>
      <c r="BJ33" s="72"/>
      <c r="BK33" s="72"/>
      <c r="BL33" s="72"/>
      <c r="BM33" s="72"/>
      <c r="BN33" s="72"/>
      <c r="BO33" s="72"/>
      <c r="BP33" s="81"/>
      <c r="BQ33" s="81"/>
      <c r="BR33" s="81"/>
      <c r="BS33" s="81"/>
      <c r="BT33" s="81"/>
      <c r="BU33" s="81"/>
      <c r="BV33" s="81"/>
      <c r="BW33" s="81"/>
      <c r="BX33" s="81"/>
      <c r="BY33" s="82"/>
    </row>
    <row r="34" spans="1:77" s="83" customFormat="1">
      <c r="A34" s="83">
        <v>1</v>
      </c>
      <c r="B34" s="83">
        <v>2</v>
      </c>
      <c r="C34" s="83">
        <v>3</v>
      </c>
      <c r="D34" s="83">
        <v>4</v>
      </c>
      <c r="E34" s="83">
        <v>5</v>
      </c>
      <c r="F34" s="83">
        <v>6</v>
      </c>
      <c r="G34" s="83">
        <v>7</v>
      </c>
      <c r="H34" s="83">
        <v>8</v>
      </c>
      <c r="I34" s="83">
        <v>9</v>
      </c>
      <c r="J34" s="83">
        <v>10</v>
      </c>
      <c r="K34" s="83">
        <v>11</v>
      </c>
      <c r="L34" s="83">
        <v>12</v>
      </c>
      <c r="M34" s="83">
        <v>13</v>
      </c>
      <c r="N34" s="83">
        <v>14</v>
      </c>
      <c r="O34" s="83">
        <v>15</v>
      </c>
      <c r="P34" s="83">
        <v>16</v>
      </c>
      <c r="Q34" s="83">
        <v>17</v>
      </c>
      <c r="R34" s="83">
        <v>18</v>
      </c>
      <c r="S34" s="83">
        <v>19</v>
      </c>
      <c r="T34" s="83">
        <v>20</v>
      </c>
      <c r="U34" s="83">
        <v>21</v>
      </c>
      <c r="V34" s="83">
        <v>22</v>
      </c>
      <c r="W34" s="83">
        <v>23</v>
      </c>
      <c r="X34" s="83">
        <v>24</v>
      </c>
      <c r="Y34" s="83">
        <v>25</v>
      </c>
      <c r="Z34" s="83">
        <v>26</v>
      </c>
      <c r="AA34" s="83">
        <v>27</v>
      </c>
      <c r="AB34" s="83">
        <v>28</v>
      </c>
      <c r="AC34" s="83">
        <v>29</v>
      </c>
      <c r="AD34" s="83">
        <v>30</v>
      </c>
      <c r="AE34" s="83">
        <v>31</v>
      </c>
      <c r="AF34" s="83">
        <v>32</v>
      </c>
      <c r="AG34" s="83">
        <v>33</v>
      </c>
      <c r="AH34" s="83">
        <v>34</v>
      </c>
      <c r="AI34" s="83">
        <v>35</v>
      </c>
      <c r="AJ34" s="83">
        <v>36</v>
      </c>
      <c r="AK34" s="83">
        <v>37</v>
      </c>
      <c r="AN34" s="83">
        <v>1</v>
      </c>
      <c r="AO34" s="83">
        <v>2</v>
      </c>
      <c r="AP34" s="83">
        <v>3</v>
      </c>
      <c r="AQ34" s="83">
        <v>4</v>
      </c>
      <c r="AR34" s="83">
        <v>5</v>
      </c>
      <c r="AS34" s="83">
        <v>6</v>
      </c>
      <c r="AT34" s="83">
        <v>7</v>
      </c>
      <c r="AU34" s="83">
        <v>8</v>
      </c>
      <c r="AV34" s="83">
        <v>9</v>
      </c>
      <c r="AW34" s="83">
        <v>10</v>
      </c>
      <c r="AX34" s="83">
        <v>11</v>
      </c>
      <c r="AY34" s="83">
        <v>12</v>
      </c>
      <c r="AZ34" s="83">
        <v>13</v>
      </c>
      <c r="BA34" s="83">
        <v>14</v>
      </c>
      <c r="BB34" s="83">
        <v>15</v>
      </c>
      <c r="BC34" s="83">
        <v>16</v>
      </c>
      <c r="BD34" s="83">
        <v>17</v>
      </c>
      <c r="BE34" s="83">
        <v>18</v>
      </c>
      <c r="BF34" s="83">
        <v>19</v>
      </c>
      <c r="BG34" s="83">
        <v>20</v>
      </c>
      <c r="BH34" s="83">
        <v>21</v>
      </c>
      <c r="BI34" s="83">
        <v>22</v>
      </c>
      <c r="BP34" s="83">
        <v>23</v>
      </c>
      <c r="BQ34" s="83">
        <v>24</v>
      </c>
      <c r="BR34" s="83">
        <v>25</v>
      </c>
      <c r="BS34" s="83">
        <v>26</v>
      </c>
      <c r="BT34" s="83">
        <v>27</v>
      </c>
      <c r="BU34" s="83">
        <v>28</v>
      </c>
      <c r="BV34" s="83">
        <v>29</v>
      </c>
      <c r="BW34" s="83">
        <v>30</v>
      </c>
      <c r="BX34" s="83">
        <v>31</v>
      </c>
    </row>
    <row r="35" spans="1:77">
      <c r="A35" s="84"/>
    </row>
    <row r="36" spans="1:77" ht="23.25">
      <c r="A36" s="84" t="s">
        <v>204</v>
      </c>
      <c r="C36" s="85"/>
    </row>
    <row r="37" spans="1:77">
      <c r="A37" s="86"/>
      <c r="B37" s="86"/>
      <c r="C37" s="60" t="s">
        <v>205</v>
      </c>
    </row>
    <row r="38" spans="1:77">
      <c r="A38" s="87"/>
      <c r="B38" s="87"/>
      <c r="C38" s="60" t="s">
        <v>206</v>
      </c>
    </row>
    <row r="39" spans="1:77">
      <c r="A39" s="88"/>
      <c r="B39" s="88"/>
      <c r="C39" s="60" t="s">
        <v>207</v>
      </c>
    </row>
    <row r="40" spans="1:77">
      <c r="A40" s="89"/>
      <c r="B40" s="89"/>
      <c r="C40" s="60" t="s">
        <v>208</v>
      </c>
    </row>
  </sheetData>
  <sortState xmlns:xlrd2="http://schemas.microsoft.com/office/spreadsheetml/2017/richdata2" ref="B4:BY31">
    <sortCondition ref="AE4:AE31"/>
  </sortState>
  <mergeCells count="36">
    <mergeCell ref="A32:C32"/>
    <mergeCell ref="AN32:AP32"/>
    <mergeCell ref="A33:C33"/>
    <mergeCell ref="AN33:AP33"/>
    <mergeCell ref="BT2:BT3"/>
    <mergeCell ref="AQ2:BA2"/>
    <mergeCell ref="BE2:BI2"/>
    <mergeCell ref="BP2:BP3"/>
    <mergeCell ref="BQ2:BQ3"/>
    <mergeCell ref="BR2:BR3"/>
    <mergeCell ref="BS2:BS3"/>
    <mergeCell ref="AJ2:AJ3"/>
    <mergeCell ref="AK2:AK3"/>
    <mergeCell ref="AL2:AL3"/>
    <mergeCell ref="AN2:AN3"/>
    <mergeCell ref="AO2:AO3"/>
    <mergeCell ref="BU2:BU3"/>
    <mergeCell ref="BV2:BV3"/>
    <mergeCell ref="BW2:BW3"/>
    <mergeCell ref="BX2:BX3"/>
    <mergeCell ref="BY2:BY3"/>
    <mergeCell ref="BJ2:BO2"/>
    <mergeCell ref="AC2:AC3"/>
    <mergeCell ref="A2:A3"/>
    <mergeCell ref="B2:B3"/>
    <mergeCell ref="C2:C3"/>
    <mergeCell ref="D2:N2"/>
    <mergeCell ref="R2:V2"/>
    <mergeCell ref="W2:AB2"/>
    <mergeCell ref="AP2:AP3"/>
    <mergeCell ref="AD2:AD3"/>
    <mergeCell ref="AE2:AE3"/>
    <mergeCell ref="AF2:AF3"/>
    <mergeCell ref="AG2:AG3"/>
    <mergeCell ref="AH2:AH3"/>
    <mergeCell ref="AI2:AI3"/>
  </mergeCells>
  <conditionalFormatting sqref="B4">
    <cfRule type="duplicateValues" dxfId="913" priority="59"/>
    <cfRule type="duplicateValues" dxfId="912" priority="60"/>
  </conditionalFormatting>
  <conditionalFormatting sqref="B5">
    <cfRule type="duplicateValues" dxfId="911" priority="57"/>
    <cfRule type="duplicateValues" dxfId="910" priority="58"/>
  </conditionalFormatting>
  <conditionalFormatting sqref="B6">
    <cfRule type="duplicateValues" dxfId="909" priority="55"/>
    <cfRule type="duplicateValues" dxfId="908" priority="56"/>
  </conditionalFormatting>
  <conditionalFormatting sqref="B7">
    <cfRule type="duplicateValues" dxfId="907" priority="53"/>
    <cfRule type="duplicateValues" dxfId="906" priority="54"/>
  </conditionalFormatting>
  <conditionalFormatting sqref="B8">
    <cfRule type="duplicateValues" dxfId="905" priority="51"/>
    <cfRule type="duplicateValues" dxfId="904" priority="52"/>
  </conditionalFormatting>
  <conditionalFormatting sqref="B9">
    <cfRule type="duplicateValues" dxfId="903" priority="49"/>
    <cfRule type="duplicateValues" dxfId="902" priority="50"/>
  </conditionalFormatting>
  <conditionalFormatting sqref="B10">
    <cfRule type="duplicateValues" dxfId="901" priority="47"/>
    <cfRule type="duplicateValues" dxfId="900" priority="48"/>
  </conditionalFormatting>
  <conditionalFormatting sqref="B11">
    <cfRule type="duplicateValues" dxfId="899" priority="45"/>
    <cfRule type="duplicateValues" dxfId="898" priority="46"/>
  </conditionalFormatting>
  <conditionalFormatting sqref="B12:B13">
    <cfRule type="duplicateValues" dxfId="897" priority="44"/>
  </conditionalFormatting>
  <conditionalFormatting sqref="B14">
    <cfRule type="duplicateValues" dxfId="896" priority="43"/>
  </conditionalFormatting>
  <conditionalFormatting sqref="B15">
    <cfRule type="duplicateValues" dxfId="895" priority="42"/>
  </conditionalFormatting>
  <conditionalFormatting sqref="B16">
    <cfRule type="duplicateValues" dxfId="894" priority="104"/>
  </conditionalFormatting>
  <conditionalFormatting sqref="B17">
    <cfRule type="duplicateValues" dxfId="893" priority="40"/>
  </conditionalFormatting>
  <conditionalFormatting sqref="B18">
    <cfRule type="duplicateValues" dxfId="892" priority="38"/>
  </conditionalFormatting>
  <conditionalFormatting sqref="B19">
    <cfRule type="duplicateValues" dxfId="891" priority="39"/>
  </conditionalFormatting>
  <conditionalFormatting sqref="B20">
    <cfRule type="duplicateValues" dxfId="890" priority="37"/>
  </conditionalFormatting>
  <conditionalFormatting sqref="B21">
    <cfRule type="duplicateValues" dxfId="889" priority="36"/>
  </conditionalFormatting>
  <conditionalFormatting sqref="B22">
    <cfRule type="duplicateValues" dxfId="888" priority="35"/>
  </conditionalFormatting>
  <conditionalFormatting sqref="B23">
    <cfRule type="duplicateValues" dxfId="887" priority="34"/>
  </conditionalFormatting>
  <conditionalFormatting sqref="B24">
    <cfRule type="duplicateValues" dxfId="886" priority="33"/>
  </conditionalFormatting>
  <conditionalFormatting sqref="B25:B28">
    <cfRule type="duplicateValues" dxfId="885" priority="32"/>
  </conditionalFormatting>
  <conditionalFormatting sqref="B29:B31">
    <cfRule type="duplicateValues" dxfId="884" priority="63"/>
  </conditionalFormatting>
  <conditionalFormatting sqref="D4:AB31 AQ4:BO31">
    <cfRule type="cellIs" dxfId="883" priority="62" operator="lessThanOrEqual">
      <formula>59</formula>
    </cfRule>
  </conditionalFormatting>
  <conditionalFormatting sqref="AD4:AD31 BQ4:BQ31">
    <cfRule type="cellIs" dxfId="882" priority="61" operator="lessThan">
      <formula>60</formula>
    </cfRule>
  </conditionalFormatting>
  <conditionalFormatting sqref="AE4:AE31">
    <cfRule type="duplicateValues" dxfId="881" priority="114"/>
  </conditionalFormatting>
  <conditionalFormatting sqref="AO4">
    <cfRule type="duplicateValues" dxfId="880" priority="28"/>
    <cfRule type="duplicateValues" dxfId="879" priority="29"/>
  </conditionalFormatting>
  <conditionalFormatting sqref="AO5">
    <cfRule type="duplicateValues" dxfId="878" priority="26"/>
    <cfRule type="duplicateValues" dxfId="877" priority="27"/>
  </conditionalFormatting>
  <conditionalFormatting sqref="AO6">
    <cfRule type="duplicateValues" dxfId="876" priority="24"/>
    <cfRule type="duplicateValues" dxfId="875" priority="25"/>
  </conditionalFormatting>
  <conditionalFormatting sqref="AO7">
    <cfRule type="duplicateValues" dxfId="874" priority="22"/>
    <cfRule type="duplicateValues" dxfId="873" priority="23"/>
  </conditionalFormatting>
  <conditionalFormatting sqref="AO8">
    <cfRule type="duplicateValues" dxfId="872" priority="20"/>
    <cfRule type="duplicateValues" dxfId="871" priority="21"/>
  </conditionalFormatting>
  <conditionalFormatting sqref="AO9">
    <cfRule type="duplicateValues" dxfId="870" priority="18"/>
    <cfRule type="duplicateValues" dxfId="869" priority="19"/>
  </conditionalFormatting>
  <conditionalFormatting sqref="AO10">
    <cfRule type="duplicateValues" dxfId="868" priority="16"/>
    <cfRule type="duplicateValues" dxfId="867" priority="17"/>
  </conditionalFormatting>
  <conditionalFormatting sqref="AO11">
    <cfRule type="duplicateValues" dxfId="866" priority="14"/>
    <cfRule type="duplicateValues" dxfId="865" priority="15"/>
  </conditionalFormatting>
  <conditionalFormatting sqref="AO12:AO13">
    <cfRule type="duplicateValues" dxfId="864" priority="13"/>
  </conditionalFormatting>
  <conditionalFormatting sqref="AO14">
    <cfRule type="duplicateValues" dxfId="863" priority="12"/>
  </conditionalFormatting>
  <conditionalFormatting sqref="AO15">
    <cfRule type="duplicateValues" dxfId="862" priority="11"/>
  </conditionalFormatting>
  <conditionalFormatting sqref="AO16">
    <cfRule type="duplicateValues" dxfId="861" priority="109"/>
  </conditionalFormatting>
  <conditionalFormatting sqref="AO17">
    <cfRule type="duplicateValues" dxfId="860" priority="9"/>
  </conditionalFormatting>
  <conditionalFormatting sqref="AO18">
    <cfRule type="duplicateValues" dxfId="859" priority="7"/>
  </conditionalFormatting>
  <conditionalFormatting sqref="AO19">
    <cfRule type="duplicateValues" dxfId="858" priority="8"/>
  </conditionalFormatting>
  <conditionalFormatting sqref="AO20">
    <cfRule type="duplicateValues" dxfId="857" priority="6"/>
  </conditionalFormatting>
  <conditionalFormatting sqref="AO21">
    <cfRule type="duplicateValues" dxfId="856" priority="5"/>
  </conditionalFormatting>
  <conditionalFormatting sqref="AO22">
    <cfRule type="duplicateValues" dxfId="855" priority="4"/>
  </conditionalFormatting>
  <conditionalFormatting sqref="AO23">
    <cfRule type="duplicateValues" dxfId="854" priority="3"/>
  </conditionalFormatting>
  <conditionalFormatting sqref="AO24">
    <cfRule type="duplicateValues" dxfId="853" priority="2"/>
  </conditionalFormatting>
  <conditionalFormatting sqref="AO25:AO28">
    <cfRule type="duplicateValues" dxfId="852" priority="1"/>
  </conditionalFormatting>
  <conditionalFormatting sqref="AO29:AO31">
    <cfRule type="duplicateValues" dxfId="851" priority="65"/>
  </conditionalFormatting>
  <conditionalFormatting sqref="BR4:BR31">
    <cfRule type="duplicateValues" dxfId="850" priority="116"/>
  </conditionalFormatting>
  <printOptions horizontalCentered="1"/>
  <pageMargins left="0.26" right="0.12" top="0.74803149606299202" bottom="0.12" header="0.31496062992126" footer="0.12"/>
  <pageSetup paperSize="10000" scale="75" orientation="landscape" horizontalDpi="203" verticalDpi="203" r:id="rId1"/>
  <rowBreaks count="1" manualBreakCount="1">
    <brk id="25" max="31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2967A-E61F-4D48-861D-B9A2F2E3E60E}">
  <sheetPr codeName="Sheet10">
    <tabColor theme="1" tint="0.499984740745262"/>
  </sheetPr>
  <dimension ref="A1:BY40"/>
  <sheetViews>
    <sheetView zoomScale="70" zoomScaleNormal="70" zoomScaleSheetLayoutView="55" workbookViewId="0">
      <selection activeCell="B4" sqref="B4:BY31"/>
    </sheetView>
  </sheetViews>
  <sheetFormatPr defaultColWidth="9.140625" defaultRowHeight="15.75"/>
  <cols>
    <col min="1" max="1" width="5.5703125" style="60" bestFit="1" customWidth="1"/>
    <col min="2" max="2" width="10.5703125" style="60" bestFit="1" customWidth="1"/>
    <col min="3" max="3" width="35.5703125" style="60" bestFit="1" customWidth="1"/>
    <col min="4" max="28" width="5.42578125" style="60" customWidth="1"/>
    <col min="29" max="31" width="7.140625" style="60" customWidth="1"/>
    <col min="32" max="36" width="5.42578125" style="60" customWidth="1"/>
    <col min="37" max="37" width="4.7109375" style="60" customWidth="1"/>
    <col min="38" max="38" width="5.42578125" style="60" customWidth="1"/>
    <col min="39" max="39" width="9.140625" style="60"/>
    <col min="40" max="40" width="9.28515625" style="60" bestFit="1" customWidth="1"/>
    <col min="41" max="41" width="10.42578125" style="60" bestFit="1" customWidth="1"/>
    <col min="42" max="42" width="29.5703125" style="60" bestFit="1" customWidth="1"/>
    <col min="43" max="47" width="9.28515625" style="60" bestFit="1" customWidth="1"/>
    <col min="48" max="16384" width="9.140625" style="60"/>
  </cols>
  <sheetData>
    <row r="1" spans="1:77" ht="26.25">
      <c r="A1" s="59" t="s">
        <v>495</v>
      </c>
      <c r="AN1" s="59" t="str">
        <f>A1</f>
        <v>Kelas 4 C</v>
      </c>
    </row>
    <row r="2" spans="1:77" ht="15.75" customHeight="1">
      <c r="A2" s="281" t="s">
        <v>151</v>
      </c>
      <c r="B2" s="281" t="s">
        <v>152</v>
      </c>
      <c r="C2" s="281" t="s">
        <v>0</v>
      </c>
      <c r="D2" s="273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61"/>
      <c r="P2" s="61"/>
      <c r="Q2" s="61"/>
      <c r="R2" s="286" t="s">
        <v>316</v>
      </c>
      <c r="S2" s="286"/>
      <c r="T2" s="286"/>
      <c r="U2" s="286"/>
      <c r="V2" s="287"/>
      <c r="W2" s="425" t="s">
        <v>798</v>
      </c>
      <c r="X2" s="425"/>
      <c r="Y2" s="425"/>
      <c r="Z2" s="425"/>
      <c r="AA2" s="425"/>
      <c r="AB2" s="425"/>
      <c r="AC2" s="276" t="s">
        <v>155</v>
      </c>
      <c r="AD2" s="276" t="s">
        <v>156</v>
      </c>
      <c r="AE2" s="276" t="s">
        <v>157</v>
      </c>
      <c r="AF2" s="270" t="s">
        <v>158</v>
      </c>
      <c r="AG2" s="270" t="s">
        <v>159</v>
      </c>
      <c r="AH2" s="270" t="s">
        <v>160</v>
      </c>
      <c r="AI2" s="278" t="s">
        <v>161</v>
      </c>
      <c r="AJ2" s="278" t="s">
        <v>162</v>
      </c>
      <c r="AK2" s="278" t="s">
        <v>163</v>
      </c>
      <c r="AL2" s="280" t="s">
        <v>164</v>
      </c>
      <c r="AN2" s="281" t="s">
        <v>151</v>
      </c>
      <c r="AO2" s="281" t="s">
        <v>152</v>
      </c>
      <c r="AP2" s="281" t="s">
        <v>0</v>
      </c>
      <c r="AQ2" s="273" t="s">
        <v>153</v>
      </c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61"/>
      <c r="BC2" s="61"/>
      <c r="BD2" s="61"/>
      <c r="BE2" s="426" t="s">
        <v>316</v>
      </c>
      <c r="BF2" s="426"/>
      <c r="BG2" s="426"/>
      <c r="BH2" s="426"/>
      <c r="BI2" s="427"/>
      <c r="BJ2" s="425" t="s">
        <v>798</v>
      </c>
      <c r="BK2" s="425"/>
      <c r="BL2" s="425"/>
      <c r="BM2" s="425"/>
      <c r="BN2" s="425"/>
      <c r="BO2" s="425"/>
      <c r="BP2" s="276" t="s">
        <v>155</v>
      </c>
      <c r="BQ2" s="276" t="s">
        <v>156</v>
      </c>
      <c r="BR2" s="276" t="s">
        <v>157</v>
      </c>
      <c r="BS2" s="270" t="s">
        <v>158</v>
      </c>
      <c r="BT2" s="270" t="s">
        <v>159</v>
      </c>
      <c r="BU2" s="270" t="s">
        <v>160</v>
      </c>
      <c r="BV2" s="278" t="s">
        <v>161</v>
      </c>
      <c r="BW2" s="278" t="s">
        <v>162</v>
      </c>
      <c r="BX2" s="278" t="s">
        <v>163</v>
      </c>
      <c r="BY2" s="280" t="s">
        <v>164</v>
      </c>
    </row>
    <row r="3" spans="1:77" ht="99">
      <c r="A3" s="282"/>
      <c r="B3" s="282"/>
      <c r="C3" s="282"/>
      <c r="D3" s="63" t="s">
        <v>20</v>
      </c>
      <c r="E3" s="63" t="s">
        <v>22</v>
      </c>
      <c r="F3" s="63" t="s">
        <v>165</v>
      </c>
      <c r="G3" s="63" t="s">
        <v>166</v>
      </c>
      <c r="H3" s="63" t="s">
        <v>167</v>
      </c>
      <c r="I3" s="63" t="s">
        <v>168</v>
      </c>
      <c r="J3" s="63" t="s">
        <v>169</v>
      </c>
      <c r="K3" s="63" t="s">
        <v>170</v>
      </c>
      <c r="L3" s="63" t="s">
        <v>14</v>
      </c>
      <c r="M3" s="63" t="s">
        <v>120</v>
      </c>
      <c r="N3" s="63" t="s">
        <v>171</v>
      </c>
      <c r="O3" s="63" t="s">
        <v>172</v>
      </c>
      <c r="P3" s="63" t="s">
        <v>55</v>
      </c>
      <c r="Q3" s="63" t="s">
        <v>96</v>
      </c>
      <c r="R3" s="64" t="s">
        <v>14</v>
      </c>
      <c r="S3" s="64" t="s">
        <v>22</v>
      </c>
      <c r="T3" s="64" t="s">
        <v>91</v>
      </c>
      <c r="U3" s="64" t="s">
        <v>20</v>
      </c>
      <c r="V3" s="64" t="s">
        <v>93</v>
      </c>
      <c r="W3" s="233" t="s">
        <v>799</v>
      </c>
      <c r="X3" s="233" t="s">
        <v>800</v>
      </c>
      <c r="Y3" s="233" t="s">
        <v>801</v>
      </c>
      <c r="Z3" s="233" t="s">
        <v>802</v>
      </c>
      <c r="AA3" s="233" t="s">
        <v>803</v>
      </c>
      <c r="AB3" s="233" t="s">
        <v>804</v>
      </c>
      <c r="AC3" s="277"/>
      <c r="AD3" s="277"/>
      <c r="AE3" s="277"/>
      <c r="AF3" s="271"/>
      <c r="AG3" s="271"/>
      <c r="AH3" s="271"/>
      <c r="AI3" s="279"/>
      <c r="AJ3" s="279"/>
      <c r="AK3" s="279"/>
      <c r="AL3" s="280"/>
      <c r="AN3" s="282"/>
      <c r="AO3" s="282"/>
      <c r="AP3" s="282"/>
      <c r="AQ3" s="63" t="s">
        <v>20</v>
      </c>
      <c r="AR3" s="63" t="s">
        <v>22</v>
      </c>
      <c r="AS3" s="63" t="s">
        <v>165</v>
      </c>
      <c r="AT3" s="63" t="s">
        <v>166</v>
      </c>
      <c r="AU3" s="63" t="s">
        <v>167</v>
      </c>
      <c r="AV3" s="63" t="s">
        <v>168</v>
      </c>
      <c r="AW3" s="63" t="s">
        <v>169</v>
      </c>
      <c r="AX3" s="63" t="s">
        <v>170</v>
      </c>
      <c r="AY3" s="63" t="s">
        <v>14</v>
      </c>
      <c r="AZ3" s="63" t="s">
        <v>120</v>
      </c>
      <c r="BA3" s="63" t="s">
        <v>171</v>
      </c>
      <c r="BB3" s="63" t="s">
        <v>172</v>
      </c>
      <c r="BC3" s="63" t="s">
        <v>55</v>
      </c>
      <c r="BD3" s="63" t="s">
        <v>96</v>
      </c>
      <c r="BE3" s="65" t="s">
        <v>14</v>
      </c>
      <c r="BF3" s="65" t="s">
        <v>22</v>
      </c>
      <c r="BG3" s="65" t="s">
        <v>91</v>
      </c>
      <c r="BH3" s="65" t="s">
        <v>20</v>
      </c>
      <c r="BI3" s="65" t="s">
        <v>93</v>
      </c>
      <c r="BJ3" s="233" t="s">
        <v>799</v>
      </c>
      <c r="BK3" s="233" t="s">
        <v>800</v>
      </c>
      <c r="BL3" s="233" t="s">
        <v>801</v>
      </c>
      <c r="BM3" s="233" t="s">
        <v>802</v>
      </c>
      <c r="BN3" s="233" t="s">
        <v>803</v>
      </c>
      <c r="BO3" s="233" t="s">
        <v>804</v>
      </c>
      <c r="BP3" s="277"/>
      <c r="BQ3" s="277"/>
      <c r="BR3" s="277"/>
      <c r="BS3" s="271"/>
      <c r="BT3" s="271"/>
      <c r="BU3" s="271"/>
      <c r="BV3" s="279"/>
      <c r="BW3" s="279"/>
      <c r="BX3" s="279"/>
      <c r="BY3" s="280"/>
    </row>
    <row r="4" spans="1:77" ht="24.6" customHeight="1">
      <c r="A4" s="93">
        <v>1</v>
      </c>
      <c r="B4" s="94">
        <v>21220014</v>
      </c>
      <c r="C4" s="96" t="s">
        <v>472</v>
      </c>
      <c r="D4" s="68">
        <f t="shared" ref="D4:D31" si="0">ROUND(IF(AQ4=0,0,MIN(MAX(AQ4,40),99)),0)</f>
        <v>99</v>
      </c>
      <c r="E4" s="68">
        <f t="shared" ref="E4:E31" si="1">ROUND(IF(AR4=0,0,MIN(MAX(AR4,40),99)),0)</f>
        <v>93</v>
      </c>
      <c r="F4" s="68">
        <f t="shared" ref="F4:F31" si="2">ROUND(IF(AS4=0,0,MIN(MAX(AS4,40),99)),0)</f>
        <v>92</v>
      </c>
      <c r="G4" s="68">
        <f t="shared" ref="G4:G31" si="3">ROUND(IF(AT4=0,0,MIN(MAX(AT4,40),99)),0)</f>
        <v>90</v>
      </c>
      <c r="H4" s="68">
        <f t="shared" ref="H4:H31" si="4">ROUND(IF(AU4=0,0,MIN(MAX(AU4,40),99)),0)</f>
        <v>98</v>
      </c>
      <c r="I4" s="68">
        <f t="shared" ref="I4:I31" si="5">ROUND(IF(AV4=0,0,MIN(MAX(AV4,40),99)),0)</f>
        <v>97</v>
      </c>
      <c r="J4" s="68">
        <f t="shared" ref="J4:J31" si="6">ROUND(IF(AW4=0,0,MIN(MAX(AW4,40),99)),0)</f>
        <v>97</v>
      </c>
      <c r="K4" s="68">
        <f t="shared" ref="K4:K31" si="7">ROUND(IF(AX4=0,0,MIN(MAX(AX4,40),99)),0)</f>
        <v>96</v>
      </c>
      <c r="L4" s="68">
        <f t="shared" ref="L4:L31" si="8">ROUND(IF(AY4=0,0,MIN(MAX(AY4,40),99)),0)</f>
        <v>93</v>
      </c>
      <c r="M4" s="68">
        <f t="shared" ref="M4:M31" si="9">ROUND(IF(AZ4=0,0,MIN(MAX(AZ4,40),99)),0)</f>
        <v>98</v>
      </c>
      <c r="N4" s="68">
        <f t="shared" ref="N4:N31" si="10">ROUND(IF(BA4=0,0,MIN(MAX(BA4,40),99)),0)</f>
        <v>87</v>
      </c>
      <c r="O4" s="68">
        <f t="shared" ref="O4:O31" si="11">ROUND(IF(BB4=0,0,MIN(MAX(BB4,40),99)),0)</f>
        <v>99</v>
      </c>
      <c r="P4" s="68">
        <f t="shared" ref="P4:P31" si="12">ROUND(IF(BC4=0,0,MIN(MAX(BC4,40),99)),0)</f>
        <v>99</v>
      </c>
      <c r="Q4" s="68">
        <f t="shared" ref="Q4:Q31" si="13">ROUND(IF(BD4=0,0,MIN(MAX(BD4,40),99)),0)</f>
        <v>99</v>
      </c>
      <c r="R4" s="69">
        <f t="shared" ref="R4:R31" si="14">ROUND(IF(BE4=0,0,MIN(MAX(BE4,40),99)),0)</f>
        <v>90</v>
      </c>
      <c r="S4" s="69">
        <f t="shared" ref="S4:S31" si="15">ROUND(IF(BF4=0,0,MIN(MAX(BF4,40),99)),0)</f>
        <v>95</v>
      </c>
      <c r="T4" s="69">
        <f t="shared" ref="T4:T31" si="16">ROUND(IF(BG4=0,0,MIN(MAX(BG4,40),99)),0)</f>
        <v>99</v>
      </c>
      <c r="U4" s="69">
        <f t="shared" ref="U4:U31" si="17">ROUND(IF(BH4=0,0,MIN(MAX(BH4,40),99)),0)</f>
        <v>99</v>
      </c>
      <c r="V4" s="69">
        <f t="shared" ref="V4:V31" si="18">ROUND(IF(BI4=0,0,MIN(MAX(BI4,40),99)),0)</f>
        <v>80</v>
      </c>
      <c r="W4" s="234">
        <f t="shared" ref="W4:W31" si="19">ROUND(IF(BJ4=0,0,MIN(MAX(BJ4,40),99)),0)</f>
        <v>99</v>
      </c>
      <c r="X4" s="234">
        <f t="shared" ref="X4:X31" si="20">ROUND(IF(BK4=0,0,MIN(MAX(BK4,40),99)),0)</f>
        <v>99</v>
      </c>
      <c r="Y4" s="234">
        <f t="shared" ref="Y4:Y31" si="21">ROUND(IF(BL4=0,0,MIN(MAX(BL4,40),99)),0)</f>
        <v>96</v>
      </c>
      <c r="Z4" s="234">
        <f t="shared" ref="Z4:Z31" si="22">ROUND(IF(BM4=0,0,MIN(MAX(BM4,40),99)),0)</f>
        <v>93</v>
      </c>
      <c r="AA4" s="234">
        <f t="shared" ref="AA4:AA31" si="23">ROUND(IF(BN4=0,0,MIN(MAX(BN4,40),99)),0)</f>
        <v>98</v>
      </c>
      <c r="AB4" s="234">
        <f t="shared" ref="AB4:AB31" si="24">ROUND(IF(BO4=0,0,MIN(MAX(BO4,40),99)),0)</f>
        <v>68</v>
      </c>
      <c r="AC4" s="70">
        <f t="shared" ref="AC4:AC31" si="25">SUM(D4:V4)</f>
        <v>1800</v>
      </c>
      <c r="AD4" s="71">
        <f t="shared" ref="AD4:AD31" si="26">AVERAGE(D4:V4)</f>
        <v>94.736842105263165</v>
      </c>
      <c r="AE4" s="72">
        <f t="shared" ref="AE4:AE31" si="27">RANK(AC4,$AC$4:$AC$31)</f>
        <v>1</v>
      </c>
      <c r="AF4" s="73" t="s">
        <v>806</v>
      </c>
      <c r="AG4" s="73" t="s">
        <v>806</v>
      </c>
      <c r="AH4" s="73" t="s">
        <v>805</v>
      </c>
      <c r="AI4" s="74">
        <v>0</v>
      </c>
      <c r="AJ4" s="74">
        <v>4</v>
      </c>
      <c r="AK4" s="74">
        <v>0</v>
      </c>
      <c r="AL4" s="75"/>
      <c r="AN4" s="93">
        <v>6</v>
      </c>
      <c r="AO4" s="94">
        <v>21220014</v>
      </c>
      <c r="AP4" s="96" t="s">
        <v>472</v>
      </c>
      <c r="AQ4" s="68">
        <v>98.5</v>
      </c>
      <c r="AR4" s="68">
        <v>93.4</v>
      </c>
      <c r="AS4" s="68">
        <v>91.8</v>
      </c>
      <c r="AT4" s="68">
        <v>90</v>
      </c>
      <c r="AU4" s="68">
        <v>98</v>
      </c>
      <c r="AV4" s="68">
        <v>96.5</v>
      </c>
      <c r="AW4" s="68">
        <v>97.4</v>
      </c>
      <c r="AX4" s="68">
        <v>96.3</v>
      </c>
      <c r="AY4" s="68">
        <v>92.5</v>
      </c>
      <c r="AZ4" s="68">
        <v>97.7</v>
      </c>
      <c r="BA4" s="68">
        <v>87.4</v>
      </c>
      <c r="BB4" s="68">
        <v>98.8</v>
      </c>
      <c r="BC4" s="68">
        <v>98.5</v>
      </c>
      <c r="BD4" s="68">
        <v>99</v>
      </c>
      <c r="BE4" s="76">
        <v>90</v>
      </c>
      <c r="BF4" s="76">
        <v>95</v>
      </c>
      <c r="BG4" s="76">
        <v>100</v>
      </c>
      <c r="BH4" s="76">
        <v>100</v>
      </c>
      <c r="BI4" s="76">
        <v>80</v>
      </c>
      <c r="BJ4" s="240">
        <v>100</v>
      </c>
      <c r="BK4" s="240">
        <v>100</v>
      </c>
      <c r="BL4" s="240">
        <v>96.3</v>
      </c>
      <c r="BM4" s="240">
        <v>92.5</v>
      </c>
      <c r="BN4" s="240">
        <v>97.5</v>
      </c>
      <c r="BO4" s="240">
        <v>67.5</v>
      </c>
      <c r="BP4" s="70">
        <f t="shared" ref="BP4:BP31" si="28">SUM(AQ4:BI4)</f>
        <v>1800.8</v>
      </c>
      <c r="BQ4" s="71">
        <f t="shared" ref="BQ4:BQ31" si="29">AVERAGE(AQ4:BI4)</f>
        <v>94.778947368421044</v>
      </c>
      <c r="BR4" s="72" t="e">
        <f t="shared" ref="BR4:BR31" si="30">RANK(BP4,$AC$4:$AC$30)</f>
        <v>#N/A</v>
      </c>
      <c r="BS4" s="73"/>
      <c r="BT4" s="73"/>
      <c r="BU4" s="73"/>
      <c r="BV4" s="74"/>
      <c r="BW4" s="74"/>
      <c r="BX4" s="74"/>
      <c r="BY4" s="75"/>
    </row>
    <row r="5" spans="1:77" ht="24.6" customHeight="1">
      <c r="A5" s="93">
        <v>2</v>
      </c>
      <c r="B5" s="94">
        <v>21220003</v>
      </c>
      <c r="C5" s="97" t="s">
        <v>490</v>
      </c>
      <c r="D5" s="68">
        <f t="shared" si="0"/>
        <v>97</v>
      </c>
      <c r="E5" s="68">
        <f t="shared" si="1"/>
        <v>93</v>
      </c>
      <c r="F5" s="68">
        <f t="shared" si="2"/>
        <v>96</v>
      </c>
      <c r="G5" s="68">
        <f t="shared" si="3"/>
        <v>99</v>
      </c>
      <c r="H5" s="68">
        <f t="shared" si="4"/>
        <v>99</v>
      </c>
      <c r="I5" s="68">
        <f t="shared" si="5"/>
        <v>98</v>
      </c>
      <c r="J5" s="68">
        <f t="shared" si="6"/>
        <v>99</v>
      </c>
      <c r="K5" s="68">
        <f t="shared" si="7"/>
        <v>96</v>
      </c>
      <c r="L5" s="68">
        <f t="shared" si="8"/>
        <v>80</v>
      </c>
      <c r="M5" s="68">
        <f t="shared" si="9"/>
        <v>97</v>
      </c>
      <c r="N5" s="68">
        <f t="shared" si="10"/>
        <v>90</v>
      </c>
      <c r="O5" s="68">
        <f t="shared" si="11"/>
        <v>97</v>
      </c>
      <c r="P5" s="68">
        <f t="shared" si="12"/>
        <v>99</v>
      </c>
      <c r="Q5" s="68">
        <f t="shared" si="13"/>
        <v>99</v>
      </c>
      <c r="R5" s="69">
        <f t="shared" si="14"/>
        <v>90</v>
      </c>
      <c r="S5" s="69">
        <f t="shared" si="15"/>
        <v>95</v>
      </c>
      <c r="T5" s="69">
        <f t="shared" si="16"/>
        <v>95</v>
      </c>
      <c r="U5" s="69">
        <f t="shared" si="17"/>
        <v>99</v>
      </c>
      <c r="V5" s="69">
        <f t="shared" si="18"/>
        <v>80</v>
      </c>
      <c r="W5" s="234">
        <f t="shared" si="19"/>
        <v>99</v>
      </c>
      <c r="X5" s="234">
        <f t="shared" si="20"/>
        <v>99</v>
      </c>
      <c r="Y5" s="234">
        <f t="shared" si="21"/>
        <v>96</v>
      </c>
      <c r="Z5" s="234">
        <f t="shared" si="22"/>
        <v>90</v>
      </c>
      <c r="AA5" s="234">
        <f t="shared" si="23"/>
        <v>98</v>
      </c>
      <c r="AB5" s="234">
        <f t="shared" si="24"/>
        <v>63</v>
      </c>
      <c r="AC5" s="70">
        <f t="shared" si="25"/>
        <v>1798</v>
      </c>
      <c r="AD5" s="71">
        <f t="shared" si="26"/>
        <v>94.631578947368425</v>
      </c>
      <c r="AE5" s="72">
        <f t="shared" si="27"/>
        <v>2</v>
      </c>
      <c r="AF5" s="73" t="s">
        <v>805</v>
      </c>
      <c r="AG5" s="73" t="s">
        <v>806</v>
      </c>
      <c r="AH5" s="73" t="s">
        <v>805</v>
      </c>
      <c r="AI5" s="74">
        <v>0</v>
      </c>
      <c r="AJ5" s="74">
        <v>0</v>
      </c>
      <c r="AK5" s="74">
        <v>0</v>
      </c>
      <c r="AL5" s="75"/>
      <c r="AN5" s="93">
        <v>24</v>
      </c>
      <c r="AO5" s="94">
        <v>21220003</v>
      </c>
      <c r="AP5" s="97" t="s">
        <v>490</v>
      </c>
      <c r="AQ5" s="68">
        <v>97</v>
      </c>
      <c r="AR5" s="68">
        <v>93.4</v>
      </c>
      <c r="AS5" s="68">
        <v>96</v>
      </c>
      <c r="AT5" s="68">
        <v>98.5</v>
      </c>
      <c r="AU5" s="68">
        <v>99</v>
      </c>
      <c r="AV5" s="68">
        <v>98.4</v>
      </c>
      <c r="AW5" s="68">
        <v>99.6</v>
      </c>
      <c r="AX5" s="68">
        <v>96.3</v>
      </c>
      <c r="AY5" s="68">
        <v>80</v>
      </c>
      <c r="AZ5" s="68">
        <v>97</v>
      </c>
      <c r="BA5" s="68">
        <v>90.4</v>
      </c>
      <c r="BB5" s="68">
        <v>96.7</v>
      </c>
      <c r="BC5" s="68">
        <v>99</v>
      </c>
      <c r="BD5" s="68">
        <v>100</v>
      </c>
      <c r="BE5" s="76">
        <v>90</v>
      </c>
      <c r="BF5" s="76">
        <v>95</v>
      </c>
      <c r="BG5" s="76">
        <v>95</v>
      </c>
      <c r="BH5" s="76">
        <v>100</v>
      </c>
      <c r="BI5" s="76">
        <v>80</v>
      </c>
      <c r="BJ5" s="240">
        <v>100</v>
      </c>
      <c r="BK5" s="240">
        <v>100</v>
      </c>
      <c r="BL5" s="240">
        <v>96.3</v>
      </c>
      <c r="BM5" s="240">
        <v>90</v>
      </c>
      <c r="BN5" s="240">
        <v>97.5</v>
      </c>
      <c r="BO5" s="240">
        <v>62.5</v>
      </c>
      <c r="BP5" s="70">
        <f t="shared" si="28"/>
        <v>1801.3</v>
      </c>
      <c r="BQ5" s="71">
        <f t="shared" si="29"/>
        <v>94.805263157894728</v>
      </c>
      <c r="BR5" s="72" t="e">
        <f t="shared" si="30"/>
        <v>#N/A</v>
      </c>
      <c r="BS5" s="73"/>
      <c r="BT5" s="73"/>
      <c r="BU5" s="73"/>
      <c r="BV5" s="74"/>
      <c r="BW5" s="74"/>
      <c r="BX5" s="74"/>
      <c r="BY5" s="75"/>
    </row>
    <row r="6" spans="1:77" ht="24.6" customHeight="1">
      <c r="A6" s="93">
        <v>3</v>
      </c>
      <c r="B6" s="94">
        <v>21220045</v>
      </c>
      <c r="C6" s="95" t="s">
        <v>488</v>
      </c>
      <c r="D6" s="68">
        <f t="shared" si="0"/>
        <v>97</v>
      </c>
      <c r="E6" s="68">
        <f t="shared" si="1"/>
        <v>91</v>
      </c>
      <c r="F6" s="68">
        <f t="shared" si="2"/>
        <v>92</v>
      </c>
      <c r="G6" s="68">
        <f t="shared" si="3"/>
        <v>95</v>
      </c>
      <c r="H6" s="68">
        <f t="shared" si="4"/>
        <v>98</v>
      </c>
      <c r="I6" s="68">
        <f t="shared" si="5"/>
        <v>98</v>
      </c>
      <c r="J6" s="68">
        <f t="shared" si="6"/>
        <v>99</v>
      </c>
      <c r="K6" s="68">
        <f t="shared" si="7"/>
        <v>94</v>
      </c>
      <c r="L6" s="68">
        <f t="shared" si="8"/>
        <v>98</v>
      </c>
      <c r="M6" s="68">
        <f t="shared" si="9"/>
        <v>92</v>
      </c>
      <c r="N6" s="68">
        <f t="shared" si="10"/>
        <v>88</v>
      </c>
      <c r="O6" s="68">
        <f t="shared" si="11"/>
        <v>96</v>
      </c>
      <c r="P6" s="68">
        <f t="shared" si="12"/>
        <v>98</v>
      </c>
      <c r="Q6" s="68">
        <f t="shared" si="13"/>
        <v>98</v>
      </c>
      <c r="R6" s="69">
        <f t="shared" si="14"/>
        <v>90</v>
      </c>
      <c r="S6" s="69">
        <f t="shared" si="15"/>
        <v>95</v>
      </c>
      <c r="T6" s="69">
        <f t="shared" si="16"/>
        <v>99</v>
      </c>
      <c r="U6" s="69">
        <f t="shared" si="17"/>
        <v>99</v>
      </c>
      <c r="V6" s="69">
        <f t="shared" si="18"/>
        <v>80</v>
      </c>
      <c r="W6" s="234">
        <f t="shared" si="19"/>
        <v>98</v>
      </c>
      <c r="X6" s="234">
        <f t="shared" si="20"/>
        <v>99</v>
      </c>
      <c r="Y6" s="234">
        <f t="shared" si="21"/>
        <v>94</v>
      </c>
      <c r="Z6" s="234">
        <f t="shared" si="22"/>
        <v>95</v>
      </c>
      <c r="AA6" s="234">
        <f t="shared" si="23"/>
        <v>93</v>
      </c>
      <c r="AB6" s="234">
        <f t="shared" si="24"/>
        <v>68</v>
      </c>
      <c r="AC6" s="70">
        <f t="shared" si="25"/>
        <v>1797</v>
      </c>
      <c r="AD6" s="71">
        <f t="shared" si="26"/>
        <v>94.578947368421055</v>
      </c>
      <c r="AE6" s="72">
        <f t="shared" si="27"/>
        <v>3</v>
      </c>
      <c r="AF6" s="73" t="s">
        <v>806</v>
      </c>
      <c r="AG6" s="73" t="s">
        <v>806</v>
      </c>
      <c r="AH6" s="73" t="s">
        <v>805</v>
      </c>
      <c r="AI6" s="74">
        <v>0</v>
      </c>
      <c r="AJ6" s="74">
        <v>0</v>
      </c>
      <c r="AK6" s="74">
        <v>0</v>
      </c>
      <c r="AL6" s="75"/>
      <c r="AN6" s="93">
        <v>22</v>
      </c>
      <c r="AO6" s="94">
        <v>21220045</v>
      </c>
      <c r="AP6" s="95" t="s">
        <v>488</v>
      </c>
      <c r="AQ6" s="68">
        <v>97</v>
      </c>
      <c r="AR6" s="68">
        <v>91</v>
      </c>
      <c r="AS6" s="68">
        <v>91.699999999999989</v>
      </c>
      <c r="AT6" s="68">
        <v>94.699999999999989</v>
      </c>
      <c r="AU6" s="68">
        <v>98</v>
      </c>
      <c r="AV6" s="68">
        <v>98.4</v>
      </c>
      <c r="AW6" s="68">
        <v>99.3</v>
      </c>
      <c r="AX6" s="68">
        <v>93.8</v>
      </c>
      <c r="AY6" s="68">
        <v>98</v>
      </c>
      <c r="AZ6" s="68">
        <v>91.5</v>
      </c>
      <c r="BA6" s="68">
        <v>88</v>
      </c>
      <c r="BB6" s="68">
        <v>95.8</v>
      </c>
      <c r="BC6" s="68">
        <v>97.5</v>
      </c>
      <c r="BD6" s="68">
        <v>97.7</v>
      </c>
      <c r="BE6" s="76">
        <v>90</v>
      </c>
      <c r="BF6" s="76">
        <v>95</v>
      </c>
      <c r="BG6" s="76">
        <v>100</v>
      </c>
      <c r="BH6" s="76">
        <v>100</v>
      </c>
      <c r="BI6" s="76">
        <v>80</v>
      </c>
      <c r="BJ6" s="240">
        <v>97.5</v>
      </c>
      <c r="BK6" s="240">
        <v>100</v>
      </c>
      <c r="BL6" s="240">
        <v>93.8</v>
      </c>
      <c r="BM6" s="240">
        <v>95</v>
      </c>
      <c r="BN6" s="240">
        <v>92.5</v>
      </c>
      <c r="BO6" s="240">
        <v>67.5</v>
      </c>
      <c r="BP6" s="70">
        <f t="shared" si="28"/>
        <v>1797.3999999999999</v>
      </c>
      <c r="BQ6" s="71">
        <f t="shared" si="29"/>
        <v>94.6</v>
      </c>
      <c r="BR6" s="72" t="e">
        <f t="shared" si="30"/>
        <v>#N/A</v>
      </c>
      <c r="BS6" s="73"/>
      <c r="BT6" s="73"/>
      <c r="BU6" s="73"/>
      <c r="BV6" s="74"/>
      <c r="BW6" s="74"/>
      <c r="BX6" s="74"/>
      <c r="BY6" s="75"/>
    </row>
    <row r="7" spans="1:77" ht="24.6" customHeight="1">
      <c r="A7" s="93">
        <v>4</v>
      </c>
      <c r="B7" s="94">
        <v>21220058</v>
      </c>
      <c r="C7" s="96" t="s">
        <v>470</v>
      </c>
      <c r="D7" s="68">
        <f t="shared" si="0"/>
        <v>99</v>
      </c>
      <c r="E7" s="68">
        <f t="shared" si="1"/>
        <v>82</v>
      </c>
      <c r="F7" s="68">
        <f t="shared" si="2"/>
        <v>94</v>
      </c>
      <c r="G7" s="68">
        <f t="shared" si="3"/>
        <v>94</v>
      </c>
      <c r="H7" s="68">
        <f t="shared" si="4"/>
        <v>99</v>
      </c>
      <c r="I7" s="68">
        <f t="shared" si="5"/>
        <v>97</v>
      </c>
      <c r="J7" s="68">
        <f t="shared" si="6"/>
        <v>99</v>
      </c>
      <c r="K7" s="68">
        <f t="shared" si="7"/>
        <v>93</v>
      </c>
      <c r="L7" s="68">
        <f t="shared" si="8"/>
        <v>93</v>
      </c>
      <c r="M7" s="68">
        <f t="shared" si="9"/>
        <v>97</v>
      </c>
      <c r="N7" s="68">
        <f t="shared" si="10"/>
        <v>90</v>
      </c>
      <c r="O7" s="68">
        <f t="shared" si="11"/>
        <v>94</v>
      </c>
      <c r="P7" s="68">
        <f t="shared" si="12"/>
        <v>99</v>
      </c>
      <c r="Q7" s="68">
        <f t="shared" si="13"/>
        <v>99</v>
      </c>
      <c r="R7" s="69">
        <f t="shared" si="14"/>
        <v>90</v>
      </c>
      <c r="S7" s="69">
        <f t="shared" si="15"/>
        <v>90</v>
      </c>
      <c r="T7" s="69">
        <f t="shared" si="16"/>
        <v>99</v>
      </c>
      <c r="U7" s="69">
        <f t="shared" si="17"/>
        <v>99</v>
      </c>
      <c r="V7" s="69">
        <f t="shared" si="18"/>
        <v>80</v>
      </c>
      <c r="W7" s="234">
        <f t="shared" si="19"/>
        <v>99</v>
      </c>
      <c r="X7" s="234">
        <f t="shared" si="20"/>
        <v>99</v>
      </c>
      <c r="Y7" s="234">
        <f t="shared" si="21"/>
        <v>93</v>
      </c>
      <c r="Z7" s="234">
        <f t="shared" si="22"/>
        <v>98</v>
      </c>
      <c r="AA7" s="234">
        <f t="shared" si="23"/>
        <v>98</v>
      </c>
      <c r="AB7" s="234">
        <f t="shared" si="24"/>
        <v>68</v>
      </c>
      <c r="AC7" s="70">
        <f t="shared" si="25"/>
        <v>1787</v>
      </c>
      <c r="AD7" s="71">
        <f t="shared" si="26"/>
        <v>94.05263157894737</v>
      </c>
      <c r="AE7" s="72">
        <f t="shared" si="27"/>
        <v>4</v>
      </c>
      <c r="AF7" s="73" t="s">
        <v>805</v>
      </c>
      <c r="AG7" s="73" t="s">
        <v>806</v>
      </c>
      <c r="AH7" s="73" t="s">
        <v>805</v>
      </c>
      <c r="AI7" s="74">
        <v>0</v>
      </c>
      <c r="AJ7" s="74">
        <v>4</v>
      </c>
      <c r="AK7" s="74">
        <v>0</v>
      </c>
      <c r="AL7" s="75"/>
      <c r="AN7" s="93">
        <v>4</v>
      </c>
      <c r="AO7" s="94">
        <v>21220058</v>
      </c>
      <c r="AP7" s="96" t="s">
        <v>470</v>
      </c>
      <c r="AQ7" s="68">
        <v>98.5</v>
      </c>
      <c r="AR7" s="68">
        <v>82</v>
      </c>
      <c r="AS7" s="68">
        <v>93.5</v>
      </c>
      <c r="AT7" s="68">
        <v>93.5</v>
      </c>
      <c r="AU7" s="68">
        <v>99</v>
      </c>
      <c r="AV7" s="68">
        <v>97</v>
      </c>
      <c r="AW7" s="68">
        <v>99.7</v>
      </c>
      <c r="AX7" s="68">
        <v>93.199999999999989</v>
      </c>
      <c r="AY7" s="68">
        <v>93</v>
      </c>
      <c r="AZ7" s="68">
        <v>96.5</v>
      </c>
      <c r="BA7" s="68">
        <v>89.8</v>
      </c>
      <c r="BB7" s="68">
        <v>93.8</v>
      </c>
      <c r="BC7" s="68">
        <v>99</v>
      </c>
      <c r="BD7" s="68">
        <v>99.199999999999989</v>
      </c>
      <c r="BE7" s="76">
        <v>90</v>
      </c>
      <c r="BF7" s="76">
        <v>90</v>
      </c>
      <c r="BG7" s="76">
        <v>100</v>
      </c>
      <c r="BH7" s="76">
        <v>100</v>
      </c>
      <c r="BI7" s="76">
        <v>80</v>
      </c>
      <c r="BJ7" s="240">
        <v>100</v>
      </c>
      <c r="BK7" s="240">
        <v>100</v>
      </c>
      <c r="BL7" s="240">
        <v>93.199999999999989</v>
      </c>
      <c r="BM7" s="240">
        <v>97.5</v>
      </c>
      <c r="BN7" s="240">
        <v>97.5</v>
      </c>
      <c r="BO7" s="240">
        <v>67.5</v>
      </c>
      <c r="BP7" s="70">
        <f t="shared" si="28"/>
        <v>1787.7</v>
      </c>
      <c r="BQ7" s="71">
        <f t="shared" si="29"/>
        <v>94.089473684210532</v>
      </c>
      <c r="BR7" s="72" t="e">
        <f t="shared" si="30"/>
        <v>#N/A</v>
      </c>
      <c r="BS7" s="73"/>
      <c r="BT7" s="73"/>
      <c r="BU7" s="73"/>
      <c r="BV7" s="74"/>
      <c r="BW7" s="74"/>
      <c r="BX7" s="74"/>
      <c r="BY7" s="75"/>
    </row>
    <row r="8" spans="1:77" ht="24.6" customHeight="1">
      <c r="A8" s="93">
        <v>5</v>
      </c>
      <c r="B8" s="94">
        <v>21220104</v>
      </c>
      <c r="C8" s="96" t="s">
        <v>484</v>
      </c>
      <c r="D8" s="68">
        <f t="shared" si="0"/>
        <v>99</v>
      </c>
      <c r="E8" s="68">
        <f t="shared" si="1"/>
        <v>88</v>
      </c>
      <c r="F8" s="68">
        <f t="shared" si="2"/>
        <v>92</v>
      </c>
      <c r="G8" s="68">
        <f t="shared" si="3"/>
        <v>94</v>
      </c>
      <c r="H8" s="68">
        <f t="shared" si="4"/>
        <v>99</v>
      </c>
      <c r="I8" s="68">
        <f t="shared" si="5"/>
        <v>94</v>
      </c>
      <c r="J8" s="68">
        <f t="shared" si="6"/>
        <v>97</v>
      </c>
      <c r="K8" s="68">
        <f t="shared" si="7"/>
        <v>97</v>
      </c>
      <c r="L8" s="68">
        <f t="shared" si="8"/>
        <v>92</v>
      </c>
      <c r="M8" s="68">
        <f t="shared" si="9"/>
        <v>98</v>
      </c>
      <c r="N8" s="68">
        <f t="shared" si="10"/>
        <v>87</v>
      </c>
      <c r="O8" s="68">
        <f t="shared" si="11"/>
        <v>93</v>
      </c>
      <c r="P8" s="68">
        <f t="shared" si="12"/>
        <v>92</v>
      </c>
      <c r="Q8" s="68">
        <f t="shared" si="13"/>
        <v>97</v>
      </c>
      <c r="R8" s="69">
        <f t="shared" si="14"/>
        <v>90</v>
      </c>
      <c r="S8" s="69">
        <f t="shared" si="15"/>
        <v>95</v>
      </c>
      <c r="T8" s="69">
        <f t="shared" si="16"/>
        <v>99</v>
      </c>
      <c r="U8" s="69">
        <f t="shared" si="17"/>
        <v>99</v>
      </c>
      <c r="V8" s="69">
        <f t="shared" si="18"/>
        <v>80</v>
      </c>
      <c r="W8" s="234">
        <f t="shared" si="19"/>
        <v>99</v>
      </c>
      <c r="X8" s="234">
        <f t="shared" si="20"/>
        <v>99</v>
      </c>
      <c r="Y8" s="234">
        <f t="shared" si="21"/>
        <v>97</v>
      </c>
      <c r="Z8" s="234">
        <f t="shared" si="22"/>
        <v>95</v>
      </c>
      <c r="AA8" s="234">
        <f t="shared" si="23"/>
        <v>95</v>
      </c>
      <c r="AB8" s="234">
        <f t="shared" si="24"/>
        <v>60</v>
      </c>
      <c r="AC8" s="70">
        <f t="shared" si="25"/>
        <v>1782</v>
      </c>
      <c r="AD8" s="71">
        <f t="shared" si="26"/>
        <v>93.78947368421052</v>
      </c>
      <c r="AE8" s="72">
        <f t="shared" si="27"/>
        <v>5</v>
      </c>
      <c r="AF8" s="73" t="s">
        <v>805</v>
      </c>
      <c r="AG8" s="73" t="s">
        <v>806</v>
      </c>
      <c r="AH8" s="73" t="s">
        <v>805</v>
      </c>
      <c r="AI8" s="74">
        <v>0</v>
      </c>
      <c r="AJ8" s="74">
        <v>0</v>
      </c>
      <c r="AK8" s="74">
        <v>0</v>
      </c>
      <c r="AL8" s="75"/>
      <c r="AN8" s="93">
        <v>18</v>
      </c>
      <c r="AO8" s="94">
        <v>21220104</v>
      </c>
      <c r="AP8" s="96" t="s">
        <v>484</v>
      </c>
      <c r="AQ8" s="68">
        <v>98.5</v>
      </c>
      <c r="AR8" s="68">
        <v>88</v>
      </c>
      <c r="AS8" s="68">
        <v>91.699999999999989</v>
      </c>
      <c r="AT8" s="68">
        <v>94.199999999999989</v>
      </c>
      <c r="AU8" s="68">
        <v>99</v>
      </c>
      <c r="AV8" s="68">
        <v>93.8</v>
      </c>
      <c r="AW8" s="68">
        <v>96.9</v>
      </c>
      <c r="AX8" s="68">
        <v>96.5</v>
      </c>
      <c r="AY8" s="68">
        <v>92</v>
      </c>
      <c r="AZ8" s="68">
        <v>98</v>
      </c>
      <c r="BA8" s="68">
        <v>86.8</v>
      </c>
      <c r="BB8" s="68">
        <v>93.3</v>
      </c>
      <c r="BC8" s="68">
        <v>91.5</v>
      </c>
      <c r="BD8" s="68">
        <v>96.8</v>
      </c>
      <c r="BE8" s="76">
        <v>90</v>
      </c>
      <c r="BF8" s="76">
        <v>95</v>
      </c>
      <c r="BG8" s="76">
        <v>99</v>
      </c>
      <c r="BH8" s="76">
        <v>100</v>
      </c>
      <c r="BI8" s="76">
        <v>80</v>
      </c>
      <c r="BJ8" s="240">
        <v>100</v>
      </c>
      <c r="BK8" s="240">
        <v>100</v>
      </c>
      <c r="BL8" s="240">
        <v>96.5</v>
      </c>
      <c r="BM8" s="240">
        <v>95</v>
      </c>
      <c r="BN8" s="240">
        <v>95</v>
      </c>
      <c r="BO8" s="240">
        <v>60</v>
      </c>
      <c r="BP8" s="70">
        <f t="shared" si="28"/>
        <v>1780.9999999999998</v>
      </c>
      <c r="BQ8" s="71">
        <f t="shared" si="29"/>
        <v>93.73684210526315</v>
      </c>
      <c r="BR8" s="72" t="e">
        <f t="shared" si="30"/>
        <v>#N/A</v>
      </c>
      <c r="BS8" s="73"/>
      <c r="BT8" s="73"/>
      <c r="BU8" s="73"/>
      <c r="BV8" s="74"/>
      <c r="BW8" s="74"/>
      <c r="BX8" s="74"/>
      <c r="BY8" s="75"/>
    </row>
    <row r="9" spans="1:77" ht="24.6" customHeight="1">
      <c r="A9" s="93">
        <v>6</v>
      </c>
      <c r="B9" s="94">
        <v>21220084</v>
      </c>
      <c r="C9" s="95" t="s">
        <v>467</v>
      </c>
      <c r="D9" s="68">
        <f t="shared" si="0"/>
        <v>95</v>
      </c>
      <c r="E9" s="68">
        <f t="shared" si="1"/>
        <v>90</v>
      </c>
      <c r="F9" s="68">
        <f t="shared" si="2"/>
        <v>95</v>
      </c>
      <c r="G9" s="68">
        <f t="shared" si="3"/>
        <v>94</v>
      </c>
      <c r="H9" s="68">
        <f t="shared" si="4"/>
        <v>99</v>
      </c>
      <c r="I9" s="68">
        <f t="shared" si="5"/>
        <v>93</v>
      </c>
      <c r="J9" s="68">
        <f t="shared" si="6"/>
        <v>97</v>
      </c>
      <c r="K9" s="68">
        <f t="shared" si="7"/>
        <v>93</v>
      </c>
      <c r="L9" s="68">
        <f t="shared" si="8"/>
        <v>87</v>
      </c>
      <c r="M9" s="68">
        <f t="shared" si="9"/>
        <v>97</v>
      </c>
      <c r="N9" s="68">
        <f t="shared" si="10"/>
        <v>86</v>
      </c>
      <c r="O9" s="68">
        <f t="shared" si="11"/>
        <v>95</v>
      </c>
      <c r="P9" s="68">
        <f t="shared" si="12"/>
        <v>97</v>
      </c>
      <c r="Q9" s="68">
        <f t="shared" si="13"/>
        <v>99</v>
      </c>
      <c r="R9" s="69">
        <f t="shared" si="14"/>
        <v>90</v>
      </c>
      <c r="S9" s="69">
        <f t="shared" si="15"/>
        <v>95</v>
      </c>
      <c r="T9" s="69">
        <f t="shared" si="16"/>
        <v>98</v>
      </c>
      <c r="U9" s="69">
        <f t="shared" si="17"/>
        <v>99</v>
      </c>
      <c r="V9" s="69">
        <f t="shared" si="18"/>
        <v>80</v>
      </c>
      <c r="W9" s="234">
        <f t="shared" si="19"/>
        <v>99</v>
      </c>
      <c r="X9" s="234">
        <f t="shared" si="20"/>
        <v>99</v>
      </c>
      <c r="Y9" s="234">
        <f t="shared" si="21"/>
        <v>93</v>
      </c>
      <c r="Z9" s="234">
        <f t="shared" si="22"/>
        <v>95</v>
      </c>
      <c r="AA9" s="234">
        <f t="shared" si="23"/>
        <v>95</v>
      </c>
      <c r="AB9" s="234">
        <f t="shared" si="24"/>
        <v>65</v>
      </c>
      <c r="AC9" s="70">
        <f t="shared" si="25"/>
        <v>1779</v>
      </c>
      <c r="AD9" s="71">
        <f t="shared" si="26"/>
        <v>93.631578947368425</v>
      </c>
      <c r="AE9" s="72">
        <f t="shared" si="27"/>
        <v>6</v>
      </c>
      <c r="AF9" s="73" t="s">
        <v>805</v>
      </c>
      <c r="AG9" s="73" t="s">
        <v>806</v>
      </c>
      <c r="AH9" s="73" t="s">
        <v>805</v>
      </c>
      <c r="AI9" s="74">
        <v>0</v>
      </c>
      <c r="AJ9" s="74">
        <v>0</v>
      </c>
      <c r="AK9" s="74">
        <v>0</v>
      </c>
      <c r="AL9" s="75"/>
      <c r="AN9" s="93">
        <v>1</v>
      </c>
      <c r="AO9" s="94">
        <v>21220084</v>
      </c>
      <c r="AP9" s="95" t="s">
        <v>467</v>
      </c>
      <c r="AQ9" s="68">
        <v>94.5</v>
      </c>
      <c r="AR9" s="68">
        <v>89.8</v>
      </c>
      <c r="AS9" s="68">
        <v>95.3</v>
      </c>
      <c r="AT9" s="68">
        <v>93.5</v>
      </c>
      <c r="AU9" s="68">
        <v>99</v>
      </c>
      <c r="AV9" s="68">
        <v>93</v>
      </c>
      <c r="AW9" s="68">
        <v>96.6</v>
      </c>
      <c r="AX9" s="68">
        <v>93.199999999999989</v>
      </c>
      <c r="AY9" s="68">
        <v>86.5</v>
      </c>
      <c r="AZ9" s="68">
        <v>96.5</v>
      </c>
      <c r="BA9" s="68">
        <v>86.199999999999989</v>
      </c>
      <c r="BB9" s="68">
        <v>94.9</v>
      </c>
      <c r="BC9" s="68">
        <v>97</v>
      </c>
      <c r="BD9" s="68">
        <v>99</v>
      </c>
      <c r="BE9" s="76">
        <v>90</v>
      </c>
      <c r="BF9" s="76">
        <v>95</v>
      </c>
      <c r="BG9" s="76">
        <v>98</v>
      </c>
      <c r="BH9" s="76">
        <v>100</v>
      </c>
      <c r="BI9" s="76">
        <v>80</v>
      </c>
      <c r="BJ9" s="240">
        <v>100</v>
      </c>
      <c r="BK9" s="240">
        <v>100</v>
      </c>
      <c r="BL9" s="240">
        <v>93.199999999999989</v>
      </c>
      <c r="BM9" s="240">
        <v>95</v>
      </c>
      <c r="BN9" s="240">
        <v>95</v>
      </c>
      <c r="BO9" s="240">
        <v>65</v>
      </c>
      <c r="BP9" s="70">
        <f t="shared" si="28"/>
        <v>1778.0000000000002</v>
      </c>
      <c r="BQ9" s="71">
        <f t="shared" si="29"/>
        <v>93.578947368421069</v>
      </c>
      <c r="BR9" s="72" t="e">
        <f t="shared" si="30"/>
        <v>#N/A</v>
      </c>
      <c r="BS9" s="73"/>
      <c r="BT9" s="73"/>
      <c r="BU9" s="73"/>
      <c r="BV9" s="74"/>
      <c r="BW9" s="74"/>
      <c r="BX9" s="74"/>
      <c r="BY9" s="75"/>
    </row>
    <row r="10" spans="1:77" ht="24.6" customHeight="1">
      <c r="A10" s="93">
        <v>7</v>
      </c>
      <c r="B10" s="94">
        <v>21220111</v>
      </c>
      <c r="C10" s="97" t="s">
        <v>482</v>
      </c>
      <c r="D10" s="68">
        <f t="shared" si="0"/>
        <v>98</v>
      </c>
      <c r="E10" s="68">
        <f t="shared" si="1"/>
        <v>88</v>
      </c>
      <c r="F10" s="68">
        <f t="shared" si="2"/>
        <v>88</v>
      </c>
      <c r="G10" s="68">
        <f t="shared" si="3"/>
        <v>93</v>
      </c>
      <c r="H10" s="68">
        <f t="shared" si="4"/>
        <v>95</v>
      </c>
      <c r="I10" s="68">
        <f t="shared" si="5"/>
        <v>97</v>
      </c>
      <c r="J10" s="68">
        <f t="shared" si="6"/>
        <v>98</v>
      </c>
      <c r="K10" s="68">
        <f t="shared" si="7"/>
        <v>92</v>
      </c>
      <c r="L10" s="68">
        <f t="shared" si="8"/>
        <v>92</v>
      </c>
      <c r="M10" s="68">
        <f t="shared" si="9"/>
        <v>90</v>
      </c>
      <c r="N10" s="68">
        <f t="shared" si="10"/>
        <v>89</v>
      </c>
      <c r="O10" s="68">
        <f t="shared" si="11"/>
        <v>94</v>
      </c>
      <c r="P10" s="68">
        <f t="shared" si="12"/>
        <v>91</v>
      </c>
      <c r="Q10" s="68">
        <f t="shared" si="13"/>
        <v>98</v>
      </c>
      <c r="R10" s="69">
        <f t="shared" si="14"/>
        <v>90</v>
      </c>
      <c r="S10" s="69">
        <f t="shared" si="15"/>
        <v>92</v>
      </c>
      <c r="T10" s="69">
        <f t="shared" si="16"/>
        <v>99</v>
      </c>
      <c r="U10" s="69">
        <f t="shared" si="17"/>
        <v>99</v>
      </c>
      <c r="V10" s="69">
        <f t="shared" si="18"/>
        <v>80</v>
      </c>
      <c r="W10" s="234">
        <f t="shared" si="19"/>
        <v>99</v>
      </c>
      <c r="X10" s="234">
        <f t="shared" si="20"/>
        <v>99</v>
      </c>
      <c r="Y10" s="234">
        <f t="shared" si="21"/>
        <v>92</v>
      </c>
      <c r="Z10" s="234">
        <f t="shared" si="22"/>
        <v>95</v>
      </c>
      <c r="AA10" s="234">
        <f t="shared" si="23"/>
        <v>93</v>
      </c>
      <c r="AB10" s="234">
        <f t="shared" si="24"/>
        <v>60</v>
      </c>
      <c r="AC10" s="70">
        <f t="shared" si="25"/>
        <v>1763</v>
      </c>
      <c r="AD10" s="71">
        <f t="shared" si="26"/>
        <v>92.78947368421052</v>
      </c>
      <c r="AE10" s="72">
        <f t="shared" si="27"/>
        <v>7</v>
      </c>
      <c r="AF10" s="73" t="s">
        <v>805</v>
      </c>
      <c r="AG10" s="73" t="s">
        <v>806</v>
      </c>
      <c r="AH10" s="73" t="s">
        <v>805</v>
      </c>
      <c r="AI10" s="74">
        <v>0</v>
      </c>
      <c r="AJ10" s="74">
        <v>3</v>
      </c>
      <c r="AK10" s="74">
        <v>0</v>
      </c>
      <c r="AL10" s="75"/>
      <c r="AN10" s="93">
        <v>16</v>
      </c>
      <c r="AO10" s="94">
        <v>21220111</v>
      </c>
      <c r="AP10" s="97" t="s">
        <v>482</v>
      </c>
      <c r="AQ10" s="68">
        <v>97.5</v>
      </c>
      <c r="AR10" s="68">
        <v>88</v>
      </c>
      <c r="AS10" s="68">
        <v>88</v>
      </c>
      <c r="AT10" s="68">
        <v>93</v>
      </c>
      <c r="AU10" s="68">
        <v>95</v>
      </c>
      <c r="AV10" s="68">
        <v>97.3</v>
      </c>
      <c r="AW10" s="68">
        <v>98.4</v>
      </c>
      <c r="AX10" s="68">
        <v>92.1</v>
      </c>
      <c r="AY10" s="68">
        <v>92</v>
      </c>
      <c r="AZ10" s="68">
        <v>90</v>
      </c>
      <c r="BA10" s="68">
        <v>88.6</v>
      </c>
      <c r="BB10" s="68">
        <v>93.9</v>
      </c>
      <c r="BC10" s="68">
        <v>90.5</v>
      </c>
      <c r="BD10" s="68">
        <v>97.7</v>
      </c>
      <c r="BE10" s="76">
        <v>90</v>
      </c>
      <c r="BF10" s="76">
        <v>92</v>
      </c>
      <c r="BG10" s="76">
        <v>100</v>
      </c>
      <c r="BH10" s="76">
        <v>100</v>
      </c>
      <c r="BI10" s="76">
        <v>80</v>
      </c>
      <c r="BJ10" s="240">
        <v>100</v>
      </c>
      <c r="BK10" s="240">
        <v>100</v>
      </c>
      <c r="BL10" s="240">
        <v>92.1</v>
      </c>
      <c r="BM10" s="240">
        <v>95</v>
      </c>
      <c r="BN10" s="240">
        <v>92.5</v>
      </c>
      <c r="BO10" s="240">
        <v>60</v>
      </c>
      <c r="BP10" s="70">
        <f t="shared" si="28"/>
        <v>1764</v>
      </c>
      <c r="BQ10" s="71">
        <f t="shared" si="29"/>
        <v>92.84210526315789</v>
      </c>
      <c r="BR10" s="72" t="e">
        <f t="shared" si="30"/>
        <v>#N/A</v>
      </c>
      <c r="BS10" s="73"/>
      <c r="BT10" s="73"/>
      <c r="BU10" s="73"/>
      <c r="BV10" s="74"/>
      <c r="BW10" s="74"/>
      <c r="BX10" s="74"/>
      <c r="BY10" s="75"/>
    </row>
    <row r="11" spans="1:77" ht="24.6" customHeight="1">
      <c r="A11" s="93">
        <v>8</v>
      </c>
      <c r="B11" s="94">
        <v>21220012</v>
      </c>
      <c r="C11" s="95" t="s">
        <v>486</v>
      </c>
      <c r="D11" s="68">
        <f t="shared" si="0"/>
        <v>86</v>
      </c>
      <c r="E11" s="68">
        <f t="shared" si="1"/>
        <v>91</v>
      </c>
      <c r="F11" s="68">
        <f t="shared" si="2"/>
        <v>89</v>
      </c>
      <c r="G11" s="68">
        <f t="shared" si="3"/>
        <v>95</v>
      </c>
      <c r="H11" s="68">
        <f t="shared" si="4"/>
        <v>88</v>
      </c>
      <c r="I11" s="68">
        <f t="shared" si="5"/>
        <v>99</v>
      </c>
      <c r="J11" s="68">
        <f t="shared" si="6"/>
        <v>99</v>
      </c>
      <c r="K11" s="68">
        <f t="shared" si="7"/>
        <v>93</v>
      </c>
      <c r="L11" s="68">
        <f t="shared" si="8"/>
        <v>84</v>
      </c>
      <c r="M11" s="68">
        <f t="shared" si="9"/>
        <v>95</v>
      </c>
      <c r="N11" s="68">
        <f t="shared" si="10"/>
        <v>89</v>
      </c>
      <c r="O11" s="68">
        <f t="shared" si="11"/>
        <v>96</v>
      </c>
      <c r="P11" s="68">
        <f t="shared" si="12"/>
        <v>89</v>
      </c>
      <c r="Q11" s="68">
        <f t="shared" si="13"/>
        <v>99</v>
      </c>
      <c r="R11" s="69">
        <f t="shared" si="14"/>
        <v>90</v>
      </c>
      <c r="S11" s="69">
        <f t="shared" si="15"/>
        <v>95</v>
      </c>
      <c r="T11" s="69">
        <f t="shared" si="16"/>
        <v>99</v>
      </c>
      <c r="U11" s="69">
        <f t="shared" si="17"/>
        <v>99</v>
      </c>
      <c r="V11" s="69">
        <f t="shared" si="18"/>
        <v>80</v>
      </c>
      <c r="W11" s="234">
        <f t="shared" si="19"/>
        <v>99</v>
      </c>
      <c r="X11" s="234">
        <f t="shared" si="20"/>
        <v>95</v>
      </c>
      <c r="Y11" s="234">
        <f t="shared" si="21"/>
        <v>93</v>
      </c>
      <c r="Z11" s="234">
        <f t="shared" si="22"/>
        <v>90</v>
      </c>
      <c r="AA11" s="234">
        <f t="shared" si="23"/>
        <v>93</v>
      </c>
      <c r="AB11" s="234">
        <f t="shared" si="24"/>
        <v>63</v>
      </c>
      <c r="AC11" s="70">
        <f t="shared" si="25"/>
        <v>1755</v>
      </c>
      <c r="AD11" s="71">
        <f t="shared" si="26"/>
        <v>92.368421052631575</v>
      </c>
      <c r="AE11" s="72">
        <f t="shared" si="27"/>
        <v>8</v>
      </c>
      <c r="AF11" s="73" t="s">
        <v>806</v>
      </c>
      <c r="AG11" s="73" t="s">
        <v>806</v>
      </c>
      <c r="AH11" s="73" t="s">
        <v>805</v>
      </c>
      <c r="AI11" s="74">
        <v>0</v>
      </c>
      <c r="AJ11" s="74">
        <v>0</v>
      </c>
      <c r="AK11" s="74">
        <v>0</v>
      </c>
      <c r="AL11" s="75"/>
      <c r="AN11" s="93">
        <v>20</v>
      </c>
      <c r="AO11" s="94">
        <v>21220012</v>
      </c>
      <c r="AP11" s="95" t="s">
        <v>486</v>
      </c>
      <c r="AQ11" s="68">
        <v>85.5</v>
      </c>
      <c r="AR11" s="68">
        <v>91</v>
      </c>
      <c r="AS11" s="68">
        <v>88.699999999999989</v>
      </c>
      <c r="AT11" s="68">
        <v>94.699999999999989</v>
      </c>
      <c r="AU11" s="68">
        <v>87.5</v>
      </c>
      <c r="AV11" s="68">
        <v>98.8</v>
      </c>
      <c r="AW11" s="68">
        <v>99.7</v>
      </c>
      <c r="AX11" s="68">
        <v>93.4</v>
      </c>
      <c r="AY11" s="68">
        <v>84</v>
      </c>
      <c r="AZ11" s="68">
        <v>95</v>
      </c>
      <c r="BA11" s="68">
        <v>89.199999999999989</v>
      </c>
      <c r="BB11" s="68">
        <v>95.8</v>
      </c>
      <c r="BC11" s="68">
        <v>89</v>
      </c>
      <c r="BD11" s="68">
        <v>99.3</v>
      </c>
      <c r="BE11" s="76">
        <v>90</v>
      </c>
      <c r="BF11" s="76">
        <v>95</v>
      </c>
      <c r="BG11" s="76">
        <v>100</v>
      </c>
      <c r="BH11" s="76">
        <v>100</v>
      </c>
      <c r="BI11" s="76">
        <v>80</v>
      </c>
      <c r="BJ11" s="240">
        <v>100</v>
      </c>
      <c r="BK11" s="240">
        <v>95</v>
      </c>
      <c r="BL11" s="240">
        <v>93.4</v>
      </c>
      <c r="BM11" s="240">
        <v>90</v>
      </c>
      <c r="BN11" s="240">
        <v>92.5</v>
      </c>
      <c r="BO11" s="240">
        <v>62.5</v>
      </c>
      <c r="BP11" s="70">
        <f t="shared" si="28"/>
        <v>1756.6</v>
      </c>
      <c r="BQ11" s="71">
        <f t="shared" si="29"/>
        <v>92.452631578947361</v>
      </c>
      <c r="BR11" s="72" t="e">
        <f t="shared" si="30"/>
        <v>#N/A</v>
      </c>
      <c r="BS11" s="73"/>
      <c r="BT11" s="73"/>
      <c r="BU11" s="73"/>
      <c r="BV11" s="74"/>
      <c r="BW11" s="74"/>
      <c r="BX11" s="74"/>
      <c r="BY11" s="75"/>
    </row>
    <row r="12" spans="1:77" ht="24.6" customHeight="1">
      <c r="A12" s="138">
        <v>9</v>
      </c>
      <c r="B12" s="139">
        <v>21220117</v>
      </c>
      <c r="C12" s="108" t="s">
        <v>492</v>
      </c>
      <c r="D12" s="68">
        <f t="shared" si="0"/>
        <v>91</v>
      </c>
      <c r="E12" s="68">
        <f t="shared" si="1"/>
        <v>86</v>
      </c>
      <c r="F12" s="68">
        <f t="shared" si="2"/>
        <v>84</v>
      </c>
      <c r="G12" s="68">
        <f t="shared" si="3"/>
        <v>51</v>
      </c>
      <c r="H12" s="68">
        <f t="shared" si="4"/>
        <v>99</v>
      </c>
      <c r="I12" s="68">
        <f t="shared" si="5"/>
        <v>95</v>
      </c>
      <c r="J12" s="68">
        <f t="shared" si="6"/>
        <v>97</v>
      </c>
      <c r="K12" s="68">
        <f t="shared" si="7"/>
        <v>99</v>
      </c>
      <c r="L12" s="68">
        <f t="shared" si="8"/>
        <v>80</v>
      </c>
      <c r="M12" s="68">
        <f t="shared" si="9"/>
        <v>75</v>
      </c>
      <c r="N12" s="68">
        <f t="shared" si="10"/>
        <v>80</v>
      </c>
      <c r="O12" s="68">
        <f t="shared" si="11"/>
        <v>89</v>
      </c>
      <c r="P12" s="68">
        <f t="shared" si="12"/>
        <v>85</v>
      </c>
      <c r="Q12" s="68">
        <f t="shared" si="13"/>
        <v>94</v>
      </c>
      <c r="R12" s="69">
        <f t="shared" si="14"/>
        <v>90</v>
      </c>
      <c r="S12" s="69">
        <f t="shared" si="15"/>
        <v>90</v>
      </c>
      <c r="T12" s="69">
        <f t="shared" si="16"/>
        <v>99</v>
      </c>
      <c r="U12" s="69">
        <f t="shared" si="17"/>
        <v>90</v>
      </c>
      <c r="V12" s="69">
        <f t="shared" si="18"/>
        <v>80</v>
      </c>
      <c r="W12" s="234">
        <f t="shared" si="19"/>
        <v>99</v>
      </c>
      <c r="X12" s="234">
        <f t="shared" si="20"/>
        <v>99</v>
      </c>
      <c r="Y12" s="234">
        <f t="shared" si="21"/>
        <v>99</v>
      </c>
      <c r="Z12" s="234">
        <f t="shared" si="22"/>
        <v>93</v>
      </c>
      <c r="AA12" s="234">
        <f t="shared" si="23"/>
        <v>98</v>
      </c>
      <c r="AB12" s="234">
        <f t="shared" si="24"/>
        <v>65</v>
      </c>
      <c r="AC12" s="70">
        <f t="shared" si="25"/>
        <v>1654</v>
      </c>
      <c r="AD12" s="71">
        <f t="shared" si="26"/>
        <v>87.05263157894737</v>
      </c>
      <c r="AE12" s="72">
        <f t="shared" si="27"/>
        <v>9</v>
      </c>
      <c r="AF12" s="73" t="s">
        <v>805</v>
      </c>
      <c r="AG12" s="73" t="s">
        <v>805</v>
      </c>
      <c r="AH12" s="73" t="s">
        <v>805</v>
      </c>
      <c r="AI12" s="74">
        <v>0</v>
      </c>
      <c r="AJ12" s="74">
        <v>0</v>
      </c>
      <c r="AK12" s="74">
        <v>0</v>
      </c>
      <c r="AL12" s="75"/>
      <c r="AN12" s="93">
        <v>26</v>
      </c>
      <c r="AO12" s="94">
        <v>21220117</v>
      </c>
      <c r="AP12" s="96" t="s">
        <v>492</v>
      </c>
      <c r="AQ12" s="68">
        <v>91</v>
      </c>
      <c r="AR12" s="68">
        <v>86.199999999999989</v>
      </c>
      <c r="AS12" s="68">
        <v>84.199999999999989</v>
      </c>
      <c r="AT12" s="68">
        <v>51.199999999999996</v>
      </c>
      <c r="AU12" s="68">
        <v>99</v>
      </c>
      <c r="AV12" s="68">
        <v>94.8</v>
      </c>
      <c r="AW12" s="68">
        <v>96.9</v>
      </c>
      <c r="AX12" s="68">
        <v>98.5</v>
      </c>
      <c r="AY12" s="68">
        <v>80</v>
      </c>
      <c r="AZ12" s="68">
        <v>75</v>
      </c>
      <c r="BA12" s="68">
        <v>79.599999999999994</v>
      </c>
      <c r="BB12" s="68">
        <v>89</v>
      </c>
      <c r="BC12" s="68">
        <v>84.5</v>
      </c>
      <c r="BD12" s="68">
        <v>94</v>
      </c>
      <c r="BE12" s="76">
        <v>90</v>
      </c>
      <c r="BF12" s="76">
        <v>90</v>
      </c>
      <c r="BG12" s="76">
        <v>100</v>
      </c>
      <c r="BH12" s="76">
        <v>90</v>
      </c>
      <c r="BI12" s="76">
        <v>80</v>
      </c>
      <c r="BJ12" s="240">
        <v>100</v>
      </c>
      <c r="BK12" s="240">
        <v>100</v>
      </c>
      <c r="BL12" s="240">
        <v>98.5</v>
      </c>
      <c r="BM12" s="240">
        <v>92.5</v>
      </c>
      <c r="BN12" s="240">
        <v>97.5</v>
      </c>
      <c r="BO12" s="240">
        <v>65</v>
      </c>
      <c r="BP12" s="70">
        <f t="shared" si="28"/>
        <v>1653.9</v>
      </c>
      <c r="BQ12" s="71">
        <f t="shared" si="29"/>
        <v>87.047368421052639</v>
      </c>
      <c r="BR12" s="72" t="e">
        <f t="shared" si="30"/>
        <v>#N/A</v>
      </c>
      <c r="BS12" s="73"/>
      <c r="BT12" s="73"/>
      <c r="BU12" s="73"/>
      <c r="BV12" s="74"/>
      <c r="BW12" s="74"/>
      <c r="BX12" s="74"/>
      <c r="BY12" s="75"/>
    </row>
    <row r="13" spans="1:77" ht="24.6" customHeight="1">
      <c r="A13" s="93">
        <v>10</v>
      </c>
      <c r="B13" s="94">
        <v>21220008</v>
      </c>
      <c r="C13" s="96" t="s">
        <v>481</v>
      </c>
      <c r="D13" s="68">
        <f t="shared" si="0"/>
        <v>90</v>
      </c>
      <c r="E13" s="68">
        <f t="shared" si="1"/>
        <v>78</v>
      </c>
      <c r="F13" s="68">
        <f t="shared" si="2"/>
        <v>70</v>
      </c>
      <c r="G13" s="68">
        <f t="shared" si="3"/>
        <v>71</v>
      </c>
      <c r="H13" s="68">
        <f t="shared" si="4"/>
        <v>76</v>
      </c>
      <c r="I13" s="68">
        <f t="shared" si="5"/>
        <v>86</v>
      </c>
      <c r="J13" s="68">
        <f t="shared" si="6"/>
        <v>92</v>
      </c>
      <c r="K13" s="68">
        <f t="shared" si="7"/>
        <v>86</v>
      </c>
      <c r="L13" s="68">
        <f t="shared" si="8"/>
        <v>83</v>
      </c>
      <c r="M13" s="68">
        <f t="shared" si="9"/>
        <v>77</v>
      </c>
      <c r="N13" s="68">
        <f t="shared" si="10"/>
        <v>84</v>
      </c>
      <c r="O13" s="68">
        <f t="shared" si="11"/>
        <v>88</v>
      </c>
      <c r="P13" s="68">
        <f t="shared" si="12"/>
        <v>88</v>
      </c>
      <c r="Q13" s="68">
        <f t="shared" si="13"/>
        <v>91</v>
      </c>
      <c r="R13" s="69">
        <f t="shared" si="14"/>
        <v>90</v>
      </c>
      <c r="S13" s="69">
        <f t="shared" si="15"/>
        <v>80</v>
      </c>
      <c r="T13" s="69">
        <f t="shared" si="16"/>
        <v>95</v>
      </c>
      <c r="U13" s="69">
        <f t="shared" si="17"/>
        <v>80</v>
      </c>
      <c r="V13" s="69">
        <f t="shared" si="18"/>
        <v>80</v>
      </c>
      <c r="W13" s="234">
        <f t="shared" si="19"/>
        <v>99</v>
      </c>
      <c r="X13" s="234">
        <f t="shared" si="20"/>
        <v>95</v>
      </c>
      <c r="Y13" s="234">
        <f t="shared" si="21"/>
        <v>86</v>
      </c>
      <c r="Z13" s="234">
        <f t="shared" si="22"/>
        <v>88</v>
      </c>
      <c r="AA13" s="234">
        <f t="shared" si="23"/>
        <v>88</v>
      </c>
      <c r="AB13" s="234">
        <f t="shared" si="24"/>
        <v>63</v>
      </c>
      <c r="AC13" s="70">
        <f t="shared" si="25"/>
        <v>1585</v>
      </c>
      <c r="AD13" s="71">
        <f t="shared" si="26"/>
        <v>83.421052631578945</v>
      </c>
      <c r="AE13" s="72">
        <f t="shared" si="27"/>
        <v>10</v>
      </c>
      <c r="AF13" s="73" t="s">
        <v>805</v>
      </c>
      <c r="AG13" s="73" t="s">
        <v>805</v>
      </c>
      <c r="AH13" s="73" t="s">
        <v>805</v>
      </c>
      <c r="AI13" s="74">
        <v>0</v>
      </c>
      <c r="AJ13" s="74">
        <v>0</v>
      </c>
      <c r="AK13" s="74">
        <v>0</v>
      </c>
      <c r="AL13" s="75"/>
      <c r="AN13" s="93">
        <v>15</v>
      </c>
      <c r="AO13" s="94">
        <v>21220008</v>
      </c>
      <c r="AP13" s="96" t="s">
        <v>481</v>
      </c>
      <c r="AQ13" s="68">
        <v>90</v>
      </c>
      <c r="AR13" s="68">
        <v>77.8</v>
      </c>
      <c r="AS13" s="68">
        <v>69.8</v>
      </c>
      <c r="AT13" s="68">
        <v>71</v>
      </c>
      <c r="AU13" s="68">
        <v>76</v>
      </c>
      <c r="AV13" s="68">
        <v>86</v>
      </c>
      <c r="AW13" s="68">
        <v>91.699999999999989</v>
      </c>
      <c r="AX13" s="68">
        <v>86.2</v>
      </c>
      <c r="AY13" s="68">
        <v>83</v>
      </c>
      <c r="AZ13" s="68">
        <v>77</v>
      </c>
      <c r="BA13" s="68">
        <v>83.8</v>
      </c>
      <c r="BB13" s="68">
        <v>87.5</v>
      </c>
      <c r="BC13" s="68">
        <v>87.5</v>
      </c>
      <c r="BD13" s="68">
        <v>90.699999999999989</v>
      </c>
      <c r="BE13" s="76">
        <v>90</v>
      </c>
      <c r="BF13" s="76">
        <v>80</v>
      </c>
      <c r="BG13" s="76">
        <v>95</v>
      </c>
      <c r="BH13" s="76">
        <v>80</v>
      </c>
      <c r="BI13" s="76">
        <v>80</v>
      </c>
      <c r="BJ13" s="240">
        <v>100</v>
      </c>
      <c r="BK13" s="240">
        <v>95</v>
      </c>
      <c r="BL13" s="240">
        <v>86.2</v>
      </c>
      <c r="BM13" s="240">
        <v>87.5</v>
      </c>
      <c r="BN13" s="240">
        <v>87.5</v>
      </c>
      <c r="BO13" s="240">
        <v>62.5</v>
      </c>
      <c r="BP13" s="70">
        <f t="shared" si="28"/>
        <v>1583</v>
      </c>
      <c r="BQ13" s="71">
        <f t="shared" si="29"/>
        <v>83.315789473684205</v>
      </c>
      <c r="BR13" s="72" t="e">
        <f t="shared" si="30"/>
        <v>#N/A</v>
      </c>
      <c r="BS13" s="73"/>
      <c r="BT13" s="73"/>
      <c r="BU13" s="73"/>
      <c r="BV13" s="74"/>
      <c r="BW13" s="74"/>
      <c r="BX13" s="74"/>
      <c r="BY13" s="75"/>
    </row>
    <row r="14" spans="1:77" ht="24.6" customHeight="1">
      <c r="A14" s="93">
        <v>11</v>
      </c>
      <c r="B14" s="139">
        <v>21220069</v>
      </c>
      <c r="C14" s="108" t="s">
        <v>475</v>
      </c>
      <c r="D14" s="68">
        <f t="shared" si="0"/>
        <v>80</v>
      </c>
      <c r="E14" s="68">
        <f t="shared" si="1"/>
        <v>87</v>
      </c>
      <c r="F14" s="68">
        <f t="shared" si="2"/>
        <v>74</v>
      </c>
      <c r="G14" s="68">
        <f t="shared" si="3"/>
        <v>77</v>
      </c>
      <c r="H14" s="68">
        <f t="shared" si="4"/>
        <v>92</v>
      </c>
      <c r="I14" s="68">
        <f t="shared" si="5"/>
        <v>73</v>
      </c>
      <c r="J14" s="68">
        <f t="shared" si="6"/>
        <v>95</v>
      </c>
      <c r="K14" s="68">
        <f t="shared" si="7"/>
        <v>89</v>
      </c>
      <c r="L14" s="68">
        <f t="shared" si="8"/>
        <v>53</v>
      </c>
      <c r="M14" s="68">
        <f t="shared" si="9"/>
        <v>68</v>
      </c>
      <c r="N14" s="68">
        <f t="shared" si="10"/>
        <v>86</v>
      </c>
      <c r="O14" s="68">
        <f t="shared" si="11"/>
        <v>79</v>
      </c>
      <c r="P14" s="68">
        <f t="shared" si="12"/>
        <v>86</v>
      </c>
      <c r="Q14" s="68">
        <f t="shared" si="13"/>
        <v>96</v>
      </c>
      <c r="R14" s="69">
        <f t="shared" si="14"/>
        <v>90</v>
      </c>
      <c r="S14" s="69">
        <f t="shared" si="15"/>
        <v>95</v>
      </c>
      <c r="T14" s="69">
        <f t="shared" si="16"/>
        <v>85</v>
      </c>
      <c r="U14" s="69">
        <f t="shared" si="17"/>
        <v>70</v>
      </c>
      <c r="V14" s="69">
        <f t="shared" si="18"/>
        <v>80</v>
      </c>
      <c r="W14" s="234">
        <f t="shared" si="19"/>
        <v>70</v>
      </c>
      <c r="X14" s="234">
        <f t="shared" si="20"/>
        <v>98</v>
      </c>
      <c r="Y14" s="234">
        <f t="shared" si="21"/>
        <v>89</v>
      </c>
      <c r="Z14" s="234">
        <f t="shared" si="22"/>
        <v>83</v>
      </c>
      <c r="AA14" s="234">
        <f t="shared" si="23"/>
        <v>78</v>
      </c>
      <c r="AB14" s="234">
        <f t="shared" si="24"/>
        <v>60</v>
      </c>
      <c r="AC14" s="70">
        <f t="shared" si="25"/>
        <v>1555</v>
      </c>
      <c r="AD14" s="71">
        <f t="shared" si="26"/>
        <v>81.84210526315789</v>
      </c>
      <c r="AE14" s="72">
        <f t="shared" si="27"/>
        <v>11</v>
      </c>
      <c r="AF14" s="73" t="s">
        <v>805</v>
      </c>
      <c r="AG14" s="73" t="s">
        <v>805</v>
      </c>
      <c r="AH14" s="73" t="s">
        <v>805</v>
      </c>
      <c r="AI14" s="74">
        <v>0</v>
      </c>
      <c r="AJ14" s="74">
        <v>6</v>
      </c>
      <c r="AK14" s="74">
        <v>0</v>
      </c>
      <c r="AL14" s="75"/>
      <c r="AN14" s="93">
        <v>9</v>
      </c>
      <c r="AO14" s="94">
        <v>21220069</v>
      </c>
      <c r="AP14" s="96" t="s">
        <v>475</v>
      </c>
      <c r="AQ14" s="68">
        <v>80</v>
      </c>
      <c r="AR14" s="68">
        <v>87.4</v>
      </c>
      <c r="AS14" s="68">
        <v>73.5</v>
      </c>
      <c r="AT14" s="68">
        <v>76.5</v>
      </c>
      <c r="AU14" s="68">
        <v>92</v>
      </c>
      <c r="AV14" s="68">
        <v>73</v>
      </c>
      <c r="AW14" s="68">
        <v>95</v>
      </c>
      <c r="AX14" s="68">
        <v>89.3</v>
      </c>
      <c r="AY14" s="68">
        <v>52.5</v>
      </c>
      <c r="AZ14" s="68">
        <v>67.5</v>
      </c>
      <c r="BA14" s="68">
        <v>85.6</v>
      </c>
      <c r="BB14" s="68">
        <v>79</v>
      </c>
      <c r="BC14" s="68">
        <v>85.5</v>
      </c>
      <c r="BD14" s="68">
        <v>96.3</v>
      </c>
      <c r="BE14" s="76">
        <v>90</v>
      </c>
      <c r="BF14" s="76">
        <v>95</v>
      </c>
      <c r="BG14" s="76">
        <v>85</v>
      </c>
      <c r="BH14" s="76">
        <v>70</v>
      </c>
      <c r="BI14" s="76">
        <v>80</v>
      </c>
      <c r="BJ14" s="240">
        <v>70</v>
      </c>
      <c r="BK14" s="240">
        <v>97.5</v>
      </c>
      <c r="BL14" s="240">
        <v>89.3</v>
      </c>
      <c r="BM14" s="240">
        <v>82.5</v>
      </c>
      <c r="BN14" s="240">
        <v>77.5</v>
      </c>
      <c r="BO14" s="240">
        <v>60</v>
      </c>
      <c r="BP14" s="70">
        <f t="shared" si="28"/>
        <v>1553.1</v>
      </c>
      <c r="BQ14" s="71">
        <f t="shared" si="29"/>
        <v>81.742105263157896</v>
      </c>
      <c r="BR14" s="72" t="e">
        <f t="shared" si="30"/>
        <v>#N/A</v>
      </c>
      <c r="BS14" s="73"/>
      <c r="BT14" s="73"/>
      <c r="BU14" s="73"/>
      <c r="BV14" s="74"/>
      <c r="BW14" s="74"/>
      <c r="BX14" s="74"/>
      <c r="BY14" s="75"/>
    </row>
    <row r="15" spans="1:77" ht="24.6" customHeight="1">
      <c r="A15" s="93">
        <v>12</v>
      </c>
      <c r="B15" s="94">
        <v>21220118</v>
      </c>
      <c r="C15" s="95" t="s">
        <v>480</v>
      </c>
      <c r="D15" s="68">
        <f t="shared" si="0"/>
        <v>82</v>
      </c>
      <c r="E15" s="68">
        <f t="shared" si="1"/>
        <v>71</v>
      </c>
      <c r="F15" s="68">
        <f t="shared" si="2"/>
        <v>72</v>
      </c>
      <c r="G15" s="68">
        <f t="shared" si="3"/>
        <v>71</v>
      </c>
      <c r="H15" s="68">
        <f t="shared" si="4"/>
        <v>92</v>
      </c>
      <c r="I15" s="68">
        <f t="shared" si="5"/>
        <v>86</v>
      </c>
      <c r="J15" s="68">
        <f t="shared" si="6"/>
        <v>83</v>
      </c>
      <c r="K15" s="68">
        <f t="shared" si="7"/>
        <v>86</v>
      </c>
      <c r="L15" s="68">
        <f t="shared" si="8"/>
        <v>82</v>
      </c>
      <c r="M15" s="68">
        <f t="shared" si="9"/>
        <v>69</v>
      </c>
      <c r="N15" s="68">
        <f t="shared" si="10"/>
        <v>83</v>
      </c>
      <c r="O15" s="68">
        <f t="shared" si="11"/>
        <v>79</v>
      </c>
      <c r="P15" s="68">
        <f t="shared" si="12"/>
        <v>78</v>
      </c>
      <c r="Q15" s="68">
        <f t="shared" si="13"/>
        <v>83</v>
      </c>
      <c r="R15" s="69">
        <f t="shared" si="14"/>
        <v>90</v>
      </c>
      <c r="S15" s="69">
        <f t="shared" si="15"/>
        <v>75</v>
      </c>
      <c r="T15" s="69">
        <f t="shared" si="16"/>
        <v>99</v>
      </c>
      <c r="U15" s="69">
        <f t="shared" si="17"/>
        <v>80</v>
      </c>
      <c r="V15" s="69">
        <f t="shared" si="18"/>
        <v>80</v>
      </c>
      <c r="W15" s="234">
        <f t="shared" si="19"/>
        <v>99</v>
      </c>
      <c r="X15" s="234">
        <f t="shared" si="20"/>
        <v>98</v>
      </c>
      <c r="Y15" s="234">
        <f t="shared" si="21"/>
        <v>86</v>
      </c>
      <c r="Z15" s="234">
        <f t="shared" si="22"/>
        <v>93</v>
      </c>
      <c r="AA15" s="234">
        <f t="shared" si="23"/>
        <v>98</v>
      </c>
      <c r="AB15" s="234">
        <f t="shared" si="24"/>
        <v>70</v>
      </c>
      <c r="AC15" s="70">
        <f t="shared" si="25"/>
        <v>1541</v>
      </c>
      <c r="AD15" s="71">
        <f t="shared" si="26"/>
        <v>81.10526315789474</v>
      </c>
      <c r="AE15" s="72">
        <f t="shared" si="27"/>
        <v>12</v>
      </c>
      <c r="AF15" s="73" t="s">
        <v>805</v>
      </c>
      <c r="AG15" s="73" t="s">
        <v>805</v>
      </c>
      <c r="AH15" s="73" t="s">
        <v>805</v>
      </c>
      <c r="AI15" s="74">
        <v>0</v>
      </c>
      <c r="AJ15" s="74">
        <v>0</v>
      </c>
      <c r="AK15" s="74">
        <v>0</v>
      </c>
      <c r="AL15" s="75"/>
      <c r="AN15" s="93">
        <v>14</v>
      </c>
      <c r="AO15" s="94">
        <v>21220118</v>
      </c>
      <c r="AP15" s="95" t="s">
        <v>480</v>
      </c>
      <c r="AQ15" s="68">
        <v>82</v>
      </c>
      <c r="AR15" s="68">
        <v>71</v>
      </c>
      <c r="AS15" s="68">
        <v>71.5</v>
      </c>
      <c r="AT15" s="68">
        <v>70.5</v>
      </c>
      <c r="AU15" s="68">
        <v>91.5</v>
      </c>
      <c r="AV15" s="68">
        <v>85.8</v>
      </c>
      <c r="AW15" s="68">
        <v>83</v>
      </c>
      <c r="AX15" s="68">
        <v>86.2</v>
      </c>
      <c r="AY15" s="68">
        <v>82</v>
      </c>
      <c r="AZ15" s="68">
        <v>69</v>
      </c>
      <c r="BA15" s="68">
        <v>83</v>
      </c>
      <c r="BB15" s="68">
        <v>78.5</v>
      </c>
      <c r="BC15" s="68">
        <v>78</v>
      </c>
      <c r="BD15" s="68">
        <v>82.8</v>
      </c>
      <c r="BE15" s="76">
        <v>90</v>
      </c>
      <c r="BF15" s="76">
        <v>75</v>
      </c>
      <c r="BG15" s="76">
        <v>99</v>
      </c>
      <c r="BH15" s="76">
        <v>80</v>
      </c>
      <c r="BI15" s="76">
        <v>80</v>
      </c>
      <c r="BJ15" s="240">
        <v>100</v>
      </c>
      <c r="BK15" s="240">
        <v>97.5</v>
      </c>
      <c r="BL15" s="240">
        <v>86.2</v>
      </c>
      <c r="BM15" s="240">
        <v>92.5</v>
      </c>
      <c r="BN15" s="240">
        <v>97.5</v>
      </c>
      <c r="BO15" s="240">
        <v>70</v>
      </c>
      <c r="BP15" s="70">
        <f t="shared" si="28"/>
        <v>1538.8</v>
      </c>
      <c r="BQ15" s="71">
        <f t="shared" si="29"/>
        <v>80.989473684210523</v>
      </c>
      <c r="BR15" s="72" t="e">
        <f t="shared" si="30"/>
        <v>#N/A</v>
      </c>
      <c r="BS15" s="73"/>
      <c r="BT15" s="73"/>
      <c r="BU15" s="73"/>
      <c r="BV15" s="74"/>
      <c r="BW15" s="74"/>
      <c r="BX15" s="74"/>
      <c r="BY15" s="75"/>
    </row>
    <row r="16" spans="1:77" ht="24.6" customHeight="1">
      <c r="A16" s="93">
        <v>13</v>
      </c>
      <c r="B16" s="94">
        <v>21220088</v>
      </c>
      <c r="C16" s="95" t="s">
        <v>491</v>
      </c>
      <c r="D16" s="68">
        <f t="shared" si="0"/>
        <v>77</v>
      </c>
      <c r="E16" s="68">
        <f t="shared" si="1"/>
        <v>76</v>
      </c>
      <c r="F16" s="68">
        <f t="shared" si="2"/>
        <v>81</v>
      </c>
      <c r="G16" s="68">
        <f t="shared" si="3"/>
        <v>87</v>
      </c>
      <c r="H16" s="68">
        <f t="shared" si="4"/>
        <v>88</v>
      </c>
      <c r="I16" s="68">
        <f t="shared" si="5"/>
        <v>92</v>
      </c>
      <c r="J16" s="68">
        <f t="shared" si="6"/>
        <v>90</v>
      </c>
      <c r="K16" s="68">
        <f t="shared" si="7"/>
        <v>77</v>
      </c>
      <c r="L16" s="68">
        <f t="shared" si="8"/>
        <v>58</v>
      </c>
      <c r="M16" s="68">
        <f t="shared" si="9"/>
        <v>73</v>
      </c>
      <c r="N16" s="68">
        <f t="shared" si="10"/>
        <v>84</v>
      </c>
      <c r="O16" s="68">
        <f t="shared" si="11"/>
        <v>78</v>
      </c>
      <c r="P16" s="68">
        <f t="shared" si="12"/>
        <v>81</v>
      </c>
      <c r="Q16" s="68">
        <f t="shared" si="13"/>
        <v>67</v>
      </c>
      <c r="R16" s="69">
        <f t="shared" si="14"/>
        <v>90</v>
      </c>
      <c r="S16" s="69">
        <f t="shared" si="15"/>
        <v>90</v>
      </c>
      <c r="T16" s="69">
        <f t="shared" si="16"/>
        <v>71</v>
      </c>
      <c r="U16" s="69">
        <f t="shared" si="17"/>
        <v>65</v>
      </c>
      <c r="V16" s="69">
        <f t="shared" si="18"/>
        <v>80</v>
      </c>
      <c r="W16" s="234">
        <f t="shared" si="19"/>
        <v>98</v>
      </c>
      <c r="X16" s="234">
        <f t="shared" si="20"/>
        <v>99</v>
      </c>
      <c r="Y16" s="234">
        <f t="shared" si="21"/>
        <v>77</v>
      </c>
      <c r="Z16" s="234">
        <f t="shared" si="22"/>
        <v>88</v>
      </c>
      <c r="AA16" s="234">
        <f t="shared" si="23"/>
        <v>93</v>
      </c>
      <c r="AB16" s="234">
        <f t="shared" si="24"/>
        <v>68</v>
      </c>
      <c r="AC16" s="70">
        <f t="shared" si="25"/>
        <v>1505</v>
      </c>
      <c r="AD16" s="71">
        <f t="shared" si="26"/>
        <v>79.21052631578948</v>
      </c>
      <c r="AE16" s="72">
        <f t="shared" si="27"/>
        <v>13</v>
      </c>
      <c r="AF16" s="73" t="s">
        <v>805</v>
      </c>
      <c r="AG16" s="73" t="s">
        <v>805</v>
      </c>
      <c r="AH16" s="73" t="s">
        <v>805</v>
      </c>
      <c r="AI16" s="74">
        <v>0</v>
      </c>
      <c r="AJ16" s="74">
        <v>0</v>
      </c>
      <c r="AK16" s="74">
        <v>0</v>
      </c>
      <c r="AL16" s="75"/>
      <c r="AN16" s="93">
        <v>25</v>
      </c>
      <c r="AO16" s="94">
        <v>21220088</v>
      </c>
      <c r="AP16" s="95" t="s">
        <v>491</v>
      </c>
      <c r="AQ16" s="68">
        <v>76.5</v>
      </c>
      <c r="AR16" s="68">
        <v>76</v>
      </c>
      <c r="AS16" s="68">
        <v>80.900000000000006</v>
      </c>
      <c r="AT16" s="68">
        <v>87.4</v>
      </c>
      <c r="AU16" s="68">
        <v>88</v>
      </c>
      <c r="AV16" s="68">
        <v>91.9</v>
      </c>
      <c r="AW16" s="68">
        <v>89.8</v>
      </c>
      <c r="AX16" s="68">
        <v>77.3</v>
      </c>
      <c r="AY16" s="68">
        <v>58</v>
      </c>
      <c r="AZ16" s="68">
        <v>72.5</v>
      </c>
      <c r="BA16" s="68">
        <v>84.4</v>
      </c>
      <c r="BB16" s="68">
        <v>78</v>
      </c>
      <c r="BC16" s="68">
        <v>80.5</v>
      </c>
      <c r="BD16" s="68">
        <v>66.5</v>
      </c>
      <c r="BE16" s="76">
        <v>90</v>
      </c>
      <c r="BF16" s="76">
        <v>90</v>
      </c>
      <c r="BG16" s="76">
        <v>71</v>
      </c>
      <c r="BH16" s="76">
        <v>65</v>
      </c>
      <c r="BI16" s="76">
        <v>80</v>
      </c>
      <c r="BJ16" s="240">
        <v>97.5</v>
      </c>
      <c r="BK16" s="240">
        <v>100</v>
      </c>
      <c r="BL16" s="240">
        <v>77.3</v>
      </c>
      <c r="BM16" s="240">
        <v>87.5</v>
      </c>
      <c r="BN16" s="240">
        <v>92.5</v>
      </c>
      <c r="BO16" s="240">
        <v>67.5</v>
      </c>
      <c r="BP16" s="70">
        <f t="shared" si="28"/>
        <v>1503.6999999999998</v>
      </c>
      <c r="BQ16" s="71">
        <f t="shared" si="29"/>
        <v>79.142105263157887</v>
      </c>
      <c r="BR16" s="72" t="e">
        <f t="shared" si="30"/>
        <v>#N/A</v>
      </c>
      <c r="BS16" s="73"/>
      <c r="BT16" s="73"/>
      <c r="BU16" s="73"/>
      <c r="BV16" s="74"/>
      <c r="BW16" s="74"/>
      <c r="BX16" s="74"/>
      <c r="BY16" s="75"/>
    </row>
    <row r="17" spans="1:77" ht="24.6" customHeight="1">
      <c r="A17" s="93">
        <v>14</v>
      </c>
      <c r="B17" s="94">
        <v>21220011</v>
      </c>
      <c r="C17" s="95" t="s">
        <v>487</v>
      </c>
      <c r="D17" s="68">
        <f t="shared" si="0"/>
        <v>90</v>
      </c>
      <c r="E17" s="68">
        <f t="shared" si="1"/>
        <v>64</v>
      </c>
      <c r="F17" s="68">
        <f t="shared" si="2"/>
        <v>74</v>
      </c>
      <c r="G17" s="68">
        <f t="shared" si="3"/>
        <v>73</v>
      </c>
      <c r="H17" s="68">
        <f t="shared" si="4"/>
        <v>89</v>
      </c>
      <c r="I17" s="68">
        <f t="shared" si="5"/>
        <v>83</v>
      </c>
      <c r="J17" s="68">
        <f t="shared" si="6"/>
        <v>90</v>
      </c>
      <c r="K17" s="68">
        <f t="shared" si="7"/>
        <v>79</v>
      </c>
      <c r="L17" s="68">
        <f t="shared" si="8"/>
        <v>62</v>
      </c>
      <c r="M17" s="68">
        <f t="shared" si="9"/>
        <v>67</v>
      </c>
      <c r="N17" s="68">
        <f t="shared" si="10"/>
        <v>80</v>
      </c>
      <c r="O17" s="68">
        <f t="shared" si="11"/>
        <v>76</v>
      </c>
      <c r="P17" s="68">
        <f t="shared" si="12"/>
        <v>74</v>
      </c>
      <c r="Q17" s="68">
        <f t="shared" si="13"/>
        <v>75</v>
      </c>
      <c r="R17" s="69">
        <f t="shared" si="14"/>
        <v>90</v>
      </c>
      <c r="S17" s="69">
        <f t="shared" si="15"/>
        <v>75</v>
      </c>
      <c r="T17" s="69">
        <f t="shared" si="16"/>
        <v>90</v>
      </c>
      <c r="U17" s="69">
        <f t="shared" si="17"/>
        <v>80</v>
      </c>
      <c r="V17" s="69">
        <f t="shared" si="18"/>
        <v>80</v>
      </c>
      <c r="W17" s="234">
        <f t="shared" si="19"/>
        <v>83</v>
      </c>
      <c r="X17" s="234">
        <f t="shared" si="20"/>
        <v>99</v>
      </c>
      <c r="Y17" s="234">
        <f t="shared" si="21"/>
        <v>79</v>
      </c>
      <c r="Z17" s="234">
        <f t="shared" si="22"/>
        <v>95</v>
      </c>
      <c r="AA17" s="234">
        <f t="shared" si="23"/>
        <v>90</v>
      </c>
      <c r="AB17" s="234">
        <f t="shared" si="24"/>
        <v>68</v>
      </c>
      <c r="AC17" s="70">
        <f t="shared" si="25"/>
        <v>1491</v>
      </c>
      <c r="AD17" s="71">
        <f t="shared" si="26"/>
        <v>78.473684210526315</v>
      </c>
      <c r="AE17" s="72">
        <f t="shared" si="27"/>
        <v>14</v>
      </c>
      <c r="AF17" s="73" t="s">
        <v>805</v>
      </c>
      <c r="AG17" s="73" t="s">
        <v>805</v>
      </c>
      <c r="AH17" s="73" t="s">
        <v>805</v>
      </c>
      <c r="AI17" s="74">
        <v>0</v>
      </c>
      <c r="AJ17" s="74">
        <v>0</v>
      </c>
      <c r="AK17" s="74">
        <v>0</v>
      </c>
      <c r="AL17" s="75"/>
      <c r="AN17" s="93">
        <v>21</v>
      </c>
      <c r="AO17" s="94">
        <v>21220011</v>
      </c>
      <c r="AP17" s="95" t="s">
        <v>487</v>
      </c>
      <c r="AQ17" s="68">
        <v>90.3</v>
      </c>
      <c r="AR17" s="68">
        <v>64</v>
      </c>
      <c r="AS17" s="68">
        <v>73.599999999999994</v>
      </c>
      <c r="AT17" s="68">
        <v>73.099999999999994</v>
      </c>
      <c r="AU17" s="68">
        <v>89</v>
      </c>
      <c r="AV17" s="68">
        <v>83</v>
      </c>
      <c r="AW17" s="68">
        <v>89.9</v>
      </c>
      <c r="AX17" s="68">
        <v>78.7</v>
      </c>
      <c r="AY17" s="68">
        <v>61.5</v>
      </c>
      <c r="AZ17" s="68">
        <v>66.5</v>
      </c>
      <c r="BA17" s="68">
        <v>80.199999999999989</v>
      </c>
      <c r="BB17" s="68">
        <v>76</v>
      </c>
      <c r="BC17" s="68">
        <v>74</v>
      </c>
      <c r="BD17" s="68">
        <v>74.599999999999994</v>
      </c>
      <c r="BE17" s="76">
        <v>90</v>
      </c>
      <c r="BF17" s="76">
        <v>75</v>
      </c>
      <c r="BG17" s="76">
        <v>90</v>
      </c>
      <c r="BH17" s="76">
        <v>80</v>
      </c>
      <c r="BI17" s="76">
        <v>80</v>
      </c>
      <c r="BJ17" s="240">
        <v>82.5</v>
      </c>
      <c r="BK17" s="240">
        <v>100</v>
      </c>
      <c r="BL17" s="240">
        <v>78.7</v>
      </c>
      <c r="BM17" s="240">
        <v>95</v>
      </c>
      <c r="BN17" s="240">
        <v>90</v>
      </c>
      <c r="BO17" s="240">
        <v>67.5</v>
      </c>
      <c r="BP17" s="70">
        <f t="shared" si="28"/>
        <v>1489.3999999999999</v>
      </c>
      <c r="BQ17" s="71">
        <f t="shared" si="29"/>
        <v>78.389473684210515</v>
      </c>
      <c r="BR17" s="72" t="e">
        <f t="shared" si="30"/>
        <v>#N/A</v>
      </c>
      <c r="BS17" s="73"/>
      <c r="BT17" s="73"/>
      <c r="BU17" s="73"/>
      <c r="BV17" s="74"/>
      <c r="BW17" s="74"/>
      <c r="BX17" s="74"/>
      <c r="BY17" s="75"/>
    </row>
    <row r="18" spans="1:77" ht="24.6" customHeight="1">
      <c r="A18" s="93">
        <v>15</v>
      </c>
      <c r="B18" s="94">
        <v>21220052</v>
      </c>
      <c r="C18" s="95" t="s">
        <v>469</v>
      </c>
      <c r="D18" s="68">
        <f t="shared" si="0"/>
        <v>85</v>
      </c>
      <c r="E18" s="68">
        <f t="shared" si="1"/>
        <v>65</v>
      </c>
      <c r="F18" s="68">
        <f t="shared" si="2"/>
        <v>72</v>
      </c>
      <c r="G18" s="68">
        <f t="shared" si="3"/>
        <v>75</v>
      </c>
      <c r="H18" s="68">
        <f t="shared" si="4"/>
        <v>83</v>
      </c>
      <c r="I18" s="68">
        <f t="shared" si="5"/>
        <v>73</v>
      </c>
      <c r="J18" s="68">
        <f t="shared" si="6"/>
        <v>91</v>
      </c>
      <c r="K18" s="68">
        <f t="shared" si="7"/>
        <v>86</v>
      </c>
      <c r="L18" s="68">
        <f t="shared" si="8"/>
        <v>48</v>
      </c>
      <c r="M18" s="68">
        <f t="shared" si="9"/>
        <v>72</v>
      </c>
      <c r="N18" s="68">
        <f t="shared" si="10"/>
        <v>77</v>
      </c>
      <c r="O18" s="68">
        <f t="shared" si="11"/>
        <v>82</v>
      </c>
      <c r="P18" s="68">
        <f t="shared" si="12"/>
        <v>82</v>
      </c>
      <c r="Q18" s="68">
        <f t="shared" si="13"/>
        <v>77</v>
      </c>
      <c r="R18" s="69">
        <f t="shared" si="14"/>
        <v>90</v>
      </c>
      <c r="S18" s="69">
        <f t="shared" si="15"/>
        <v>75</v>
      </c>
      <c r="T18" s="69">
        <f t="shared" si="16"/>
        <v>95</v>
      </c>
      <c r="U18" s="69">
        <f t="shared" si="17"/>
        <v>70</v>
      </c>
      <c r="V18" s="69">
        <f t="shared" si="18"/>
        <v>80</v>
      </c>
      <c r="W18" s="234">
        <f t="shared" si="19"/>
        <v>99</v>
      </c>
      <c r="X18" s="234">
        <f t="shared" si="20"/>
        <v>99</v>
      </c>
      <c r="Y18" s="234">
        <f t="shared" si="21"/>
        <v>86</v>
      </c>
      <c r="Z18" s="234">
        <f t="shared" si="22"/>
        <v>93</v>
      </c>
      <c r="AA18" s="234">
        <f t="shared" si="23"/>
        <v>93</v>
      </c>
      <c r="AB18" s="234">
        <f t="shared" si="24"/>
        <v>63</v>
      </c>
      <c r="AC18" s="70">
        <f t="shared" si="25"/>
        <v>1478</v>
      </c>
      <c r="AD18" s="71">
        <f t="shared" si="26"/>
        <v>77.78947368421052</v>
      </c>
      <c r="AE18" s="72">
        <f t="shared" si="27"/>
        <v>15</v>
      </c>
      <c r="AF18" s="73" t="s">
        <v>805</v>
      </c>
      <c r="AG18" s="73" t="s">
        <v>805</v>
      </c>
      <c r="AH18" s="73" t="s">
        <v>805</v>
      </c>
      <c r="AI18" s="74">
        <v>3</v>
      </c>
      <c r="AJ18" s="74">
        <v>0</v>
      </c>
      <c r="AK18" s="74">
        <v>0</v>
      </c>
      <c r="AL18" s="75"/>
      <c r="AN18" s="93">
        <v>3</v>
      </c>
      <c r="AO18" s="94">
        <v>21220052</v>
      </c>
      <c r="AP18" s="95" t="s">
        <v>469</v>
      </c>
      <c r="AQ18" s="68">
        <v>85</v>
      </c>
      <c r="AR18" s="68">
        <v>65.2</v>
      </c>
      <c r="AS18" s="68">
        <v>72.199999999999989</v>
      </c>
      <c r="AT18" s="68">
        <v>74.5</v>
      </c>
      <c r="AU18" s="68">
        <v>83</v>
      </c>
      <c r="AV18" s="68">
        <v>73</v>
      </c>
      <c r="AW18" s="68">
        <v>90.9</v>
      </c>
      <c r="AX18" s="68">
        <v>85.899999999999991</v>
      </c>
      <c r="AY18" s="68">
        <v>48</v>
      </c>
      <c r="AZ18" s="68">
        <v>72</v>
      </c>
      <c r="BA18" s="68">
        <v>76.599999999999994</v>
      </c>
      <c r="BB18" s="68">
        <v>81.599999999999994</v>
      </c>
      <c r="BC18" s="68">
        <v>82</v>
      </c>
      <c r="BD18" s="68">
        <v>76.5</v>
      </c>
      <c r="BE18" s="76">
        <v>90</v>
      </c>
      <c r="BF18" s="76">
        <v>75</v>
      </c>
      <c r="BG18" s="76">
        <v>95</v>
      </c>
      <c r="BH18" s="76">
        <v>70</v>
      </c>
      <c r="BI18" s="76">
        <v>80</v>
      </c>
      <c r="BJ18" s="240">
        <v>100</v>
      </c>
      <c r="BK18" s="240">
        <v>100</v>
      </c>
      <c r="BL18" s="240">
        <v>85.899999999999991</v>
      </c>
      <c r="BM18" s="240">
        <v>92.5</v>
      </c>
      <c r="BN18" s="240">
        <v>92.5</v>
      </c>
      <c r="BO18" s="240">
        <v>62.5</v>
      </c>
      <c r="BP18" s="70">
        <f t="shared" si="28"/>
        <v>1476.4</v>
      </c>
      <c r="BQ18" s="71">
        <f t="shared" si="29"/>
        <v>77.705263157894748</v>
      </c>
      <c r="BR18" s="72" t="e">
        <f t="shared" si="30"/>
        <v>#N/A</v>
      </c>
      <c r="BS18" s="73"/>
      <c r="BT18" s="73"/>
      <c r="BU18" s="73"/>
      <c r="BV18" s="74"/>
      <c r="BW18" s="74"/>
      <c r="BX18" s="74"/>
      <c r="BY18" s="75"/>
    </row>
    <row r="19" spans="1:77" ht="24.6" customHeight="1">
      <c r="A19" s="93">
        <v>16</v>
      </c>
      <c r="B19" s="94">
        <v>21220087</v>
      </c>
      <c r="C19" s="96" t="s">
        <v>485</v>
      </c>
      <c r="D19" s="68">
        <f t="shared" si="0"/>
        <v>92</v>
      </c>
      <c r="E19" s="68">
        <f t="shared" si="1"/>
        <v>57</v>
      </c>
      <c r="F19" s="68">
        <f t="shared" si="2"/>
        <v>64</v>
      </c>
      <c r="G19" s="68">
        <f t="shared" si="3"/>
        <v>65</v>
      </c>
      <c r="H19" s="68">
        <f t="shared" si="4"/>
        <v>77</v>
      </c>
      <c r="I19" s="68">
        <f t="shared" si="5"/>
        <v>83</v>
      </c>
      <c r="J19" s="68">
        <f t="shared" si="6"/>
        <v>81</v>
      </c>
      <c r="K19" s="68">
        <f t="shared" si="7"/>
        <v>99</v>
      </c>
      <c r="L19" s="68">
        <f t="shared" si="8"/>
        <v>68</v>
      </c>
      <c r="M19" s="68">
        <f t="shared" si="9"/>
        <v>72</v>
      </c>
      <c r="N19" s="68">
        <f t="shared" si="10"/>
        <v>82</v>
      </c>
      <c r="O19" s="68">
        <f t="shared" si="11"/>
        <v>82</v>
      </c>
      <c r="P19" s="68">
        <f t="shared" si="12"/>
        <v>60</v>
      </c>
      <c r="Q19" s="68">
        <f t="shared" si="13"/>
        <v>86</v>
      </c>
      <c r="R19" s="69">
        <f t="shared" si="14"/>
        <v>90</v>
      </c>
      <c r="S19" s="69">
        <f t="shared" si="15"/>
        <v>75</v>
      </c>
      <c r="T19" s="69">
        <f t="shared" si="16"/>
        <v>90</v>
      </c>
      <c r="U19" s="69">
        <f t="shared" si="17"/>
        <v>65</v>
      </c>
      <c r="V19" s="69">
        <f t="shared" si="18"/>
        <v>80</v>
      </c>
      <c r="W19" s="234">
        <f t="shared" si="19"/>
        <v>80</v>
      </c>
      <c r="X19" s="234">
        <f t="shared" si="20"/>
        <v>99</v>
      </c>
      <c r="Y19" s="234">
        <f t="shared" si="21"/>
        <v>99</v>
      </c>
      <c r="Z19" s="234">
        <f t="shared" si="22"/>
        <v>90</v>
      </c>
      <c r="AA19" s="234">
        <f t="shared" si="23"/>
        <v>93</v>
      </c>
      <c r="AB19" s="234">
        <f t="shared" si="24"/>
        <v>68</v>
      </c>
      <c r="AC19" s="70">
        <f t="shared" si="25"/>
        <v>1468</v>
      </c>
      <c r="AD19" s="71">
        <f t="shared" si="26"/>
        <v>77.263157894736835</v>
      </c>
      <c r="AE19" s="72">
        <f t="shared" si="27"/>
        <v>16</v>
      </c>
      <c r="AF19" s="73" t="s">
        <v>805</v>
      </c>
      <c r="AG19" s="73" t="s">
        <v>805</v>
      </c>
      <c r="AH19" s="73" t="s">
        <v>805</v>
      </c>
      <c r="AI19" s="74">
        <v>2</v>
      </c>
      <c r="AJ19" s="74">
        <v>4</v>
      </c>
      <c r="AK19" s="74">
        <v>2</v>
      </c>
      <c r="AL19" s="75"/>
      <c r="AN19" s="93">
        <v>19</v>
      </c>
      <c r="AO19" s="94">
        <v>21220087</v>
      </c>
      <c r="AP19" s="96" t="s">
        <v>485</v>
      </c>
      <c r="AQ19" s="68">
        <v>92</v>
      </c>
      <c r="AR19" s="68">
        <v>57</v>
      </c>
      <c r="AS19" s="68">
        <v>64.199999999999989</v>
      </c>
      <c r="AT19" s="68">
        <v>64.699999999999989</v>
      </c>
      <c r="AU19" s="68">
        <v>76.5</v>
      </c>
      <c r="AV19" s="68">
        <v>83.4</v>
      </c>
      <c r="AW19" s="68">
        <v>80.8</v>
      </c>
      <c r="AX19" s="68">
        <v>338.8</v>
      </c>
      <c r="AY19" s="68">
        <v>67.5</v>
      </c>
      <c r="AZ19" s="68">
        <v>71.5</v>
      </c>
      <c r="BA19" s="68">
        <v>82.199999999999989</v>
      </c>
      <c r="BB19" s="68">
        <v>81.5</v>
      </c>
      <c r="BC19" s="68">
        <v>60</v>
      </c>
      <c r="BD19" s="68">
        <v>85.5</v>
      </c>
      <c r="BE19" s="76">
        <v>90</v>
      </c>
      <c r="BF19" s="76">
        <v>75</v>
      </c>
      <c r="BG19" s="76">
        <v>90</v>
      </c>
      <c r="BH19" s="76">
        <v>65</v>
      </c>
      <c r="BI19" s="76">
        <v>80</v>
      </c>
      <c r="BJ19" s="240">
        <v>80</v>
      </c>
      <c r="BK19" s="240">
        <v>100</v>
      </c>
      <c r="BL19" s="240">
        <v>338.8</v>
      </c>
      <c r="BM19" s="240">
        <v>90</v>
      </c>
      <c r="BN19" s="240">
        <v>92.5</v>
      </c>
      <c r="BO19" s="240">
        <v>67.5</v>
      </c>
      <c r="BP19" s="70">
        <f t="shared" si="28"/>
        <v>1705.6</v>
      </c>
      <c r="BQ19" s="71">
        <f t="shared" si="29"/>
        <v>89.768421052631581</v>
      </c>
      <c r="BR19" s="72" t="e">
        <f t="shared" si="30"/>
        <v>#N/A</v>
      </c>
      <c r="BS19" s="73"/>
      <c r="BT19" s="73"/>
      <c r="BU19" s="73"/>
      <c r="BV19" s="74"/>
      <c r="BW19" s="74"/>
      <c r="BX19" s="74"/>
      <c r="BY19" s="75"/>
    </row>
    <row r="20" spans="1:77" ht="24.6" customHeight="1">
      <c r="A20" s="93">
        <v>17</v>
      </c>
      <c r="B20" s="94">
        <v>21220043</v>
      </c>
      <c r="C20" s="96" t="s">
        <v>476</v>
      </c>
      <c r="D20" s="68">
        <f t="shared" si="0"/>
        <v>77</v>
      </c>
      <c r="E20" s="68">
        <f t="shared" si="1"/>
        <v>55</v>
      </c>
      <c r="F20" s="68">
        <f t="shared" si="2"/>
        <v>60</v>
      </c>
      <c r="G20" s="68">
        <f t="shared" si="3"/>
        <v>57</v>
      </c>
      <c r="H20" s="68">
        <f t="shared" si="4"/>
        <v>92</v>
      </c>
      <c r="I20" s="68">
        <f t="shared" si="5"/>
        <v>80</v>
      </c>
      <c r="J20" s="68">
        <f t="shared" si="6"/>
        <v>91</v>
      </c>
      <c r="K20" s="68">
        <f t="shared" si="7"/>
        <v>67</v>
      </c>
      <c r="L20" s="68">
        <f t="shared" si="8"/>
        <v>71</v>
      </c>
      <c r="M20" s="68">
        <f t="shared" si="9"/>
        <v>46</v>
      </c>
      <c r="N20" s="68">
        <f t="shared" si="10"/>
        <v>83</v>
      </c>
      <c r="O20" s="68">
        <f t="shared" si="11"/>
        <v>81</v>
      </c>
      <c r="P20" s="68">
        <f t="shared" si="12"/>
        <v>72</v>
      </c>
      <c r="Q20" s="68">
        <f t="shared" si="13"/>
        <v>79</v>
      </c>
      <c r="R20" s="69">
        <f t="shared" si="14"/>
        <v>90</v>
      </c>
      <c r="S20" s="69">
        <f t="shared" si="15"/>
        <v>75</v>
      </c>
      <c r="T20" s="69">
        <f t="shared" si="16"/>
        <v>95</v>
      </c>
      <c r="U20" s="69">
        <f t="shared" si="17"/>
        <v>65</v>
      </c>
      <c r="V20" s="69">
        <f t="shared" si="18"/>
        <v>80</v>
      </c>
      <c r="W20" s="234">
        <f t="shared" si="19"/>
        <v>99</v>
      </c>
      <c r="X20" s="234">
        <f t="shared" si="20"/>
        <v>99</v>
      </c>
      <c r="Y20" s="234">
        <f t="shared" si="21"/>
        <v>67</v>
      </c>
      <c r="Z20" s="234">
        <f t="shared" si="22"/>
        <v>93</v>
      </c>
      <c r="AA20" s="234">
        <f t="shared" si="23"/>
        <v>98</v>
      </c>
      <c r="AB20" s="234">
        <f t="shared" si="24"/>
        <v>60</v>
      </c>
      <c r="AC20" s="70">
        <f t="shared" si="25"/>
        <v>1416</v>
      </c>
      <c r="AD20" s="71">
        <f t="shared" si="26"/>
        <v>74.526315789473685</v>
      </c>
      <c r="AE20" s="72">
        <f t="shared" si="27"/>
        <v>17</v>
      </c>
      <c r="AF20" s="73" t="s">
        <v>805</v>
      </c>
      <c r="AG20" s="73" t="s">
        <v>805</v>
      </c>
      <c r="AH20" s="73" t="s">
        <v>805</v>
      </c>
      <c r="AI20" s="74">
        <v>12</v>
      </c>
      <c r="AJ20" s="74">
        <v>0</v>
      </c>
      <c r="AK20" s="74">
        <v>0</v>
      </c>
      <c r="AL20" s="75"/>
      <c r="AN20" s="93">
        <v>10</v>
      </c>
      <c r="AO20" s="94">
        <v>21220043</v>
      </c>
      <c r="AP20" s="96" t="s">
        <v>476</v>
      </c>
      <c r="AQ20" s="68">
        <v>76.5</v>
      </c>
      <c r="AR20" s="68">
        <v>55</v>
      </c>
      <c r="AS20" s="68">
        <v>60</v>
      </c>
      <c r="AT20" s="68">
        <v>57</v>
      </c>
      <c r="AU20" s="68">
        <v>92</v>
      </c>
      <c r="AV20" s="68">
        <v>80</v>
      </c>
      <c r="AW20" s="68">
        <v>90.8</v>
      </c>
      <c r="AX20" s="68">
        <v>66.5</v>
      </c>
      <c r="AY20" s="68">
        <v>71</v>
      </c>
      <c r="AZ20" s="68">
        <v>45.5</v>
      </c>
      <c r="BA20" s="68">
        <v>82.6</v>
      </c>
      <c r="BB20" s="68">
        <v>81</v>
      </c>
      <c r="BC20" s="68">
        <v>72</v>
      </c>
      <c r="BD20" s="68">
        <v>78.8</v>
      </c>
      <c r="BE20" s="76">
        <v>90</v>
      </c>
      <c r="BF20" s="76">
        <v>75</v>
      </c>
      <c r="BG20" s="76">
        <v>95</v>
      </c>
      <c r="BH20" s="76">
        <v>65</v>
      </c>
      <c r="BI20" s="76">
        <v>80</v>
      </c>
      <c r="BJ20" s="240">
        <v>100</v>
      </c>
      <c r="BK20" s="240">
        <v>100</v>
      </c>
      <c r="BL20" s="240">
        <v>66.5</v>
      </c>
      <c r="BM20" s="240">
        <v>92.5</v>
      </c>
      <c r="BN20" s="240">
        <v>97.5</v>
      </c>
      <c r="BO20" s="240">
        <v>60</v>
      </c>
      <c r="BP20" s="70">
        <f t="shared" si="28"/>
        <v>1413.6999999999998</v>
      </c>
      <c r="BQ20" s="71">
        <f t="shared" si="29"/>
        <v>74.405263157894723</v>
      </c>
      <c r="BR20" s="72" t="e">
        <f t="shared" si="30"/>
        <v>#N/A</v>
      </c>
      <c r="BS20" s="73"/>
      <c r="BT20" s="73"/>
      <c r="BU20" s="73"/>
      <c r="BV20" s="74"/>
      <c r="BW20" s="74"/>
      <c r="BX20" s="74"/>
      <c r="BY20" s="75"/>
    </row>
    <row r="21" spans="1:77" ht="24.6" customHeight="1">
      <c r="A21" s="93">
        <v>18</v>
      </c>
      <c r="B21" s="94">
        <v>21220019</v>
      </c>
      <c r="C21" s="95" t="s">
        <v>474</v>
      </c>
      <c r="D21" s="68">
        <f t="shared" si="0"/>
        <v>84</v>
      </c>
      <c r="E21" s="68">
        <f t="shared" si="1"/>
        <v>58</v>
      </c>
      <c r="F21" s="68">
        <f t="shared" si="2"/>
        <v>60</v>
      </c>
      <c r="G21" s="68">
        <f t="shared" si="3"/>
        <v>61</v>
      </c>
      <c r="H21" s="68">
        <f t="shared" si="4"/>
        <v>90</v>
      </c>
      <c r="I21" s="68">
        <f t="shared" si="5"/>
        <v>85</v>
      </c>
      <c r="J21" s="68">
        <f t="shared" si="6"/>
        <v>82</v>
      </c>
      <c r="K21" s="68">
        <f t="shared" si="7"/>
        <v>78</v>
      </c>
      <c r="L21" s="68">
        <f t="shared" si="8"/>
        <v>68</v>
      </c>
      <c r="M21" s="68">
        <f t="shared" si="9"/>
        <v>45</v>
      </c>
      <c r="N21" s="68">
        <f t="shared" si="10"/>
        <v>79</v>
      </c>
      <c r="O21" s="68">
        <f t="shared" si="11"/>
        <v>74</v>
      </c>
      <c r="P21" s="68">
        <f t="shared" si="12"/>
        <v>62</v>
      </c>
      <c r="Q21" s="68">
        <f t="shared" si="13"/>
        <v>57</v>
      </c>
      <c r="R21" s="69">
        <f t="shared" si="14"/>
        <v>90</v>
      </c>
      <c r="S21" s="69">
        <f t="shared" si="15"/>
        <v>75</v>
      </c>
      <c r="T21" s="69">
        <f t="shared" si="16"/>
        <v>95</v>
      </c>
      <c r="U21" s="69">
        <f t="shared" si="17"/>
        <v>70</v>
      </c>
      <c r="V21" s="69">
        <f t="shared" si="18"/>
        <v>80</v>
      </c>
      <c r="W21" s="234">
        <f t="shared" si="19"/>
        <v>83</v>
      </c>
      <c r="X21" s="234">
        <f t="shared" si="20"/>
        <v>99</v>
      </c>
      <c r="Y21" s="234">
        <f t="shared" si="21"/>
        <v>78</v>
      </c>
      <c r="Z21" s="234">
        <f t="shared" si="22"/>
        <v>95</v>
      </c>
      <c r="AA21" s="234">
        <f t="shared" si="23"/>
        <v>95</v>
      </c>
      <c r="AB21" s="234">
        <f t="shared" si="24"/>
        <v>63</v>
      </c>
      <c r="AC21" s="70">
        <f t="shared" si="25"/>
        <v>1393</v>
      </c>
      <c r="AD21" s="71">
        <f t="shared" si="26"/>
        <v>73.315789473684205</v>
      </c>
      <c r="AE21" s="72">
        <f t="shared" si="27"/>
        <v>18</v>
      </c>
      <c r="AF21" s="73" t="s">
        <v>805</v>
      </c>
      <c r="AG21" s="73" t="s">
        <v>805</v>
      </c>
      <c r="AH21" s="73" t="s">
        <v>805</v>
      </c>
      <c r="AI21" s="74">
        <v>0</v>
      </c>
      <c r="AJ21" s="74">
        <v>0</v>
      </c>
      <c r="AK21" s="74">
        <v>0</v>
      </c>
      <c r="AL21" s="75"/>
      <c r="AN21" s="93">
        <v>8</v>
      </c>
      <c r="AO21" s="94">
        <v>21220019</v>
      </c>
      <c r="AP21" s="95" t="s">
        <v>474</v>
      </c>
      <c r="AQ21" s="68">
        <v>83.5</v>
      </c>
      <c r="AR21" s="68">
        <v>58</v>
      </c>
      <c r="AS21" s="68">
        <v>60</v>
      </c>
      <c r="AT21" s="68">
        <v>60.5</v>
      </c>
      <c r="AU21" s="68">
        <v>89.5</v>
      </c>
      <c r="AV21" s="68">
        <v>84.9</v>
      </c>
      <c r="AW21" s="68">
        <v>81.8</v>
      </c>
      <c r="AX21" s="68">
        <v>78.099999999999994</v>
      </c>
      <c r="AY21" s="68">
        <v>67.5</v>
      </c>
      <c r="AZ21" s="68">
        <v>45</v>
      </c>
      <c r="BA21" s="68">
        <v>79</v>
      </c>
      <c r="BB21" s="68">
        <v>74</v>
      </c>
      <c r="BC21" s="68">
        <v>62</v>
      </c>
      <c r="BD21" s="68">
        <v>57.2</v>
      </c>
      <c r="BE21" s="76">
        <v>90</v>
      </c>
      <c r="BF21" s="76">
        <v>75</v>
      </c>
      <c r="BG21" s="76">
        <v>95</v>
      </c>
      <c r="BH21" s="76">
        <v>70</v>
      </c>
      <c r="BI21" s="76">
        <v>80</v>
      </c>
      <c r="BJ21" s="240">
        <v>82.5</v>
      </c>
      <c r="BK21" s="240">
        <v>100</v>
      </c>
      <c r="BL21" s="240">
        <v>78.099999999999994</v>
      </c>
      <c r="BM21" s="240">
        <v>95</v>
      </c>
      <c r="BN21" s="240">
        <v>95</v>
      </c>
      <c r="BO21" s="240">
        <v>62.5</v>
      </c>
      <c r="BP21" s="70">
        <f t="shared" si="28"/>
        <v>1391</v>
      </c>
      <c r="BQ21" s="71">
        <f t="shared" si="29"/>
        <v>73.21052631578948</v>
      </c>
      <c r="BR21" s="72" t="e">
        <f t="shared" si="30"/>
        <v>#N/A</v>
      </c>
      <c r="BS21" s="73"/>
      <c r="BT21" s="73"/>
      <c r="BU21" s="73"/>
      <c r="BV21" s="74"/>
      <c r="BW21" s="74"/>
      <c r="BX21" s="74"/>
      <c r="BY21" s="75"/>
    </row>
    <row r="22" spans="1:77" ht="24.6" customHeight="1">
      <c r="A22" s="93">
        <v>19</v>
      </c>
      <c r="B22" s="94">
        <v>21220116</v>
      </c>
      <c r="C22" s="95" t="s">
        <v>468</v>
      </c>
      <c r="D22" s="68">
        <f t="shared" si="0"/>
        <v>87</v>
      </c>
      <c r="E22" s="68">
        <f t="shared" si="1"/>
        <v>67</v>
      </c>
      <c r="F22" s="68">
        <f t="shared" si="2"/>
        <v>57</v>
      </c>
      <c r="G22" s="68">
        <f t="shared" si="3"/>
        <v>52</v>
      </c>
      <c r="H22" s="68">
        <f t="shared" si="4"/>
        <v>82</v>
      </c>
      <c r="I22" s="68">
        <f t="shared" si="5"/>
        <v>75</v>
      </c>
      <c r="J22" s="68">
        <f t="shared" si="6"/>
        <v>87</v>
      </c>
      <c r="K22" s="68">
        <f t="shared" si="7"/>
        <v>67</v>
      </c>
      <c r="L22" s="68">
        <f t="shared" si="8"/>
        <v>47</v>
      </c>
      <c r="M22" s="68">
        <f t="shared" si="9"/>
        <v>46</v>
      </c>
      <c r="N22" s="68">
        <f t="shared" si="10"/>
        <v>81</v>
      </c>
      <c r="O22" s="68">
        <f t="shared" si="11"/>
        <v>82</v>
      </c>
      <c r="P22" s="68">
        <f t="shared" si="12"/>
        <v>74</v>
      </c>
      <c r="Q22" s="68">
        <f t="shared" si="13"/>
        <v>75</v>
      </c>
      <c r="R22" s="69">
        <f t="shared" si="14"/>
        <v>90</v>
      </c>
      <c r="S22" s="69">
        <f t="shared" si="15"/>
        <v>75</v>
      </c>
      <c r="T22" s="69">
        <f t="shared" si="16"/>
        <v>90</v>
      </c>
      <c r="U22" s="69">
        <f t="shared" si="17"/>
        <v>60</v>
      </c>
      <c r="V22" s="69">
        <f t="shared" si="18"/>
        <v>80</v>
      </c>
      <c r="W22" s="234">
        <f t="shared" si="19"/>
        <v>99</v>
      </c>
      <c r="X22" s="234">
        <f t="shared" si="20"/>
        <v>60</v>
      </c>
      <c r="Y22" s="234">
        <f t="shared" si="21"/>
        <v>67</v>
      </c>
      <c r="Z22" s="234">
        <f t="shared" si="22"/>
        <v>93</v>
      </c>
      <c r="AA22" s="234">
        <f t="shared" si="23"/>
        <v>90</v>
      </c>
      <c r="AB22" s="234">
        <f t="shared" si="24"/>
        <v>60</v>
      </c>
      <c r="AC22" s="70">
        <f t="shared" si="25"/>
        <v>1374</v>
      </c>
      <c r="AD22" s="71">
        <f t="shared" si="26"/>
        <v>72.315789473684205</v>
      </c>
      <c r="AE22" s="72">
        <f t="shared" si="27"/>
        <v>19</v>
      </c>
      <c r="AF22" s="73" t="s">
        <v>805</v>
      </c>
      <c r="AG22" s="73" t="s">
        <v>805</v>
      </c>
      <c r="AH22" s="73" t="s">
        <v>805</v>
      </c>
      <c r="AI22" s="74">
        <v>0</v>
      </c>
      <c r="AJ22" s="74">
        <v>0</v>
      </c>
      <c r="AK22" s="74">
        <v>0</v>
      </c>
      <c r="AL22" s="75"/>
      <c r="AN22" s="93">
        <v>2</v>
      </c>
      <c r="AO22" s="94">
        <v>21220116</v>
      </c>
      <c r="AP22" s="95" t="s">
        <v>468</v>
      </c>
      <c r="AQ22" s="68">
        <v>86.5</v>
      </c>
      <c r="AR22" s="68">
        <v>67</v>
      </c>
      <c r="AS22" s="68">
        <v>56.5</v>
      </c>
      <c r="AT22" s="68">
        <v>51.5</v>
      </c>
      <c r="AU22" s="68">
        <v>81.5</v>
      </c>
      <c r="AV22" s="68">
        <v>75</v>
      </c>
      <c r="AW22" s="68">
        <v>87</v>
      </c>
      <c r="AX22" s="68">
        <v>66.7</v>
      </c>
      <c r="AY22" s="68">
        <v>47</v>
      </c>
      <c r="AZ22" s="68">
        <v>46</v>
      </c>
      <c r="BA22" s="68">
        <v>81.400000000000006</v>
      </c>
      <c r="BB22" s="68">
        <v>82</v>
      </c>
      <c r="BC22" s="68">
        <v>73.5</v>
      </c>
      <c r="BD22" s="68">
        <v>75</v>
      </c>
      <c r="BE22" s="76">
        <v>90</v>
      </c>
      <c r="BF22" s="76">
        <v>75</v>
      </c>
      <c r="BG22" s="76">
        <v>90</v>
      </c>
      <c r="BH22" s="76">
        <v>60</v>
      </c>
      <c r="BI22" s="76">
        <v>80</v>
      </c>
      <c r="BJ22" s="240">
        <v>100</v>
      </c>
      <c r="BK22" s="240">
        <v>60</v>
      </c>
      <c r="BL22" s="240">
        <v>66.7</v>
      </c>
      <c r="BM22" s="240">
        <v>92.5</v>
      </c>
      <c r="BN22" s="240">
        <v>90</v>
      </c>
      <c r="BO22" s="240">
        <v>60</v>
      </c>
      <c r="BP22" s="70">
        <f t="shared" si="28"/>
        <v>1371.6</v>
      </c>
      <c r="BQ22" s="71">
        <f t="shared" si="29"/>
        <v>72.189473684210526</v>
      </c>
      <c r="BR22" s="72" t="e">
        <f t="shared" si="30"/>
        <v>#N/A</v>
      </c>
      <c r="BS22" s="73"/>
      <c r="BT22" s="73"/>
      <c r="BU22" s="73"/>
      <c r="BV22" s="74"/>
      <c r="BW22" s="74"/>
      <c r="BX22" s="74"/>
      <c r="BY22" s="75"/>
    </row>
    <row r="23" spans="1:77" ht="24.6" customHeight="1">
      <c r="A23" s="93">
        <v>20</v>
      </c>
      <c r="B23" s="94">
        <v>21220090</v>
      </c>
      <c r="C23" s="96" t="s">
        <v>479</v>
      </c>
      <c r="D23" s="68">
        <f t="shared" si="0"/>
        <v>78</v>
      </c>
      <c r="E23" s="68">
        <f t="shared" si="1"/>
        <v>54</v>
      </c>
      <c r="F23" s="68">
        <f t="shared" si="2"/>
        <v>71</v>
      </c>
      <c r="G23" s="68">
        <f t="shared" si="3"/>
        <v>72</v>
      </c>
      <c r="H23" s="68">
        <f t="shared" si="4"/>
        <v>86</v>
      </c>
      <c r="I23" s="68">
        <f t="shared" si="5"/>
        <v>40</v>
      </c>
      <c r="J23" s="68">
        <f t="shared" si="6"/>
        <v>92</v>
      </c>
      <c r="K23" s="68">
        <f t="shared" si="7"/>
        <v>52</v>
      </c>
      <c r="L23" s="68">
        <f t="shared" si="8"/>
        <v>51</v>
      </c>
      <c r="M23" s="68">
        <f t="shared" si="9"/>
        <v>54</v>
      </c>
      <c r="N23" s="68">
        <f t="shared" si="10"/>
        <v>80</v>
      </c>
      <c r="O23" s="68">
        <f t="shared" si="11"/>
        <v>83</v>
      </c>
      <c r="P23" s="68">
        <f t="shared" si="12"/>
        <v>85</v>
      </c>
      <c r="Q23" s="68">
        <f t="shared" si="13"/>
        <v>62</v>
      </c>
      <c r="R23" s="69">
        <f t="shared" si="14"/>
        <v>90</v>
      </c>
      <c r="S23" s="69">
        <f t="shared" si="15"/>
        <v>75</v>
      </c>
      <c r="T23" s="69">
        <f t="shared" si="16"/>
        <v>99</v>
      </c>
      <c r="U23" s="69">
        <f t="shared" si="17"/>
        <v>65</v>
      </c>
      <c r="V23" s="69">
        <f t="shared" si="18"/>
        <v>80</v>
      </c>
      <c r="W23" s="234">
        <f t="shared" si="19"/>
        <v>95</v>
      </c>
      <c r="X23" s="234">
        <f t="shared" si="20"/>
        <v>60</v>
      </c>
      <c r="Y23" s="234">
        <f t="shared" si="21"/>
        <v>52</v>
      </c>
      <c r="Z23" s="234">
        <f t="shared" si="22"/>
        <v>78</v>
      </c>
      <c r="AA23" s="234">
        <f t="shared" si="23"/>
        <v>88</v>
      </c>
      <c r="AB23" s="234">
        <f t="shared" si="24"/>
        <v>63</v>
      </c>
      <c r="AC23" s="70">
        <f t="shared" si="25"/>
        <v>1369</v>
      </c>
      <c r="AD23" s="71">
        <f t="shared" si="26"/>
        <v>72.05263157894737</v>
      </c>
      <c r="AE23" s="72">
        <f t="shared" si="27"/>
        <v>20</v>
      </c>
      <c r="AF23" s="73" t="s">
        <v>805</v>
      </c>
      <c r="AG23" s="73" t="s">
        <v>805</v>
      </c>
      <c r="AH23" s="73" t="s">
        <v>805</v>
      </c>
      <c r="AI23" s="74">
        <v>0</v>
      </c>
      <c r="AJ23" s="74">
        <v>42</v>
      </c>
      <c r="AK23" s="74">
        <v>2</v>
      </c>
      <c r="AL23" s="75"/>
      <c r="AN23" s="93">
        <v>13</v>
      </c>
      <c r="AO23" s="94">
        <v>21220090</v>
      </c>
      <c r="AP23" s="96" t="s">
        <v>479</v>
      </c>
      <c r="AQ23" s="68">
        <v>77.5</v>
      </c>
      <c r="AR23" s="68">
        <v>54</v>
      </c>
      <c r="AS23" s="68">
        <v>70.8</v>
      </c>
      <c r="AT23" s="68">
        <v>71.8</v>
      </c>
      <c r="AU23" s="68">
        <v>85.5</v>
      </c>
      <c r="AV23" s="68">
        <v>28.4</v>
      </c>
      <c r="AW23" s="68">
        <v>91.8</v>
      </c>
      <c r="AX23" s="68">
        <v>52.4</v>
      </c>
      <c r="AY23" s="68">
        <v>51</v>
      </c>
      <c r="AZ23" s="68">
        <v>54</v>
      </c>
      <c r="BA23" s="68">
        <v>79.8</v>
      </c>
      <c r="BB23" s="68">
        <v>83</v>
      </c>
      <c r="BC23" s="68">
        <v>84.5</v>
      </c>
      <c r="BD23" s="68">
        <v>62</v>
      </c>
      <c r="BE23" s="76">
        <v>90</v>
      </c>
      <c r="BF23" s="76">
        <v>75</v>
      </c>
      <c r="BG23" s="76">
        <v>99</v>
      </c>
      <c r="BH23" s="76">
        <v>65</v>
      </c>
      <c r="BI23" s="76">
        <v>80</v>
      </c>
      <c r="BJ23" s="240">
        <v>95</v>
      </c>
      <c r="BK23" s="240">
        <v>60</v>
      </c>
      <c r="BL23" s="240">
        <v>52.4</v>
      </c>
      <c r="BM23" s="240">
        <v>77.5</v>
      </c>
      <c r="BN23" s="240">
        <v>87.5</v>
      </c>
      <c r="BO23" s="240">
        <v>62.5</v>
      </c>
      <c r="BP23" s="70">
        <f t="shared" si="28"/>
        <v>1355.5</v>
      </c>
      <c r="BQ23" s="71">
        <f t="shared" si="29"/>
        <v>71.34210526315789</v>
      </c>
      <c r="BR23" s="72" t="e">
        <f t="shared" si="30"/>
        <v>#N/A</v>
      </c>
      <c r="BS23" s="73"/>
      <c r="BT23" s="73"/>
      <c r="BU23" s="73"/>
      <c r="BV23" s="74"/>
      <c r="BW23" s="74"/>
      <c r="BX23" s="74"/>
      <c r="BY23" s="75"/>
    </row>
    <row r="24" spans="1:77" ht="24.6" customHeight="1">
      <c r="A24" s="93">
        <v>21</v>
      </c>
      <c r="B24" s="94">
        <v>21220108</v>
      </c>
      <c r="C24" s="96" t="s">
        <v>477</v>
      </c>
      <c r="D24" s="68">
        <f t="shared" si="0"/>
        <v>76</v>
      </c>
      <c r="E24" s="68">
        <f t="shared" si="1"/>
        <v>52</v>
      </c>
      <c r="F24" s="68">
        <f t="shared" si="2"/>
        <v>68</v>
      </c>
      <c r="G24" s="68">
        <f t="shared" si="3"/>
        <v>66</v>
      </c>
      <c r="H24" s="68">
        <f t="shared" si="4"/>
        <v>81</v>
      </c>
      <c r="I24" s="68">
        <f t="shared" si="5"/>
        <v>81</v>
      </c>
      <c r="J24" s="68">
        <f t="shared" si="6"/>
        <v>95</v>
      </c>
      <c r="K24" s="68">
        <f t="shared" si="7"/>
        <v>63</v>
      </c>
      <c r="L24" s="68">
        <f t="shared" si="8"/>
        <v>49</v>
      </c>
      <c r="M24" s="68">
        <f t="shared" si="9"/>
        <v>67</v>
      </c>
      <c r="N24" s="68">
        <f t="shared" si="10"/>
        <v>73</v>
      </c>
      <c r="O24" s="68">
        <f t="shared" si="11"/>
        <v>73</v>
      </c>
      <c r="P24" s="68">
        <f t="shared" si="12"/>
        <v>68</v>
      </c>
      <c r="Q24" s="68">
        <f t="shared" si="13"/>
        <v>60</v>
      </c>
      <c r="R24" s="69">
        <f t="shared" si="14"/>
        <v>90</v>
      </c>
      <c r="S24" s="69">
        <f t="shared" si="15"/>
        <v>75</v>
      </c>
      <c r="T24" s="69">
        <f t="shared" si="16"/>
        <v>85</v>
      </c>
      <c r="U24" s="69">
        <f t="shared" si="17"/>
        <v>60</v>
      </c>
      <c r="V24" s="69">
        <f t="shared" si="18"/>
        <v>80</v>
      </c>
      <c r="W24" s="234">
        <f t="shared" si="19"/>
        <v>88</v>
      </c>
      <c r="X24" s="234">
        <f t="shared" si="20"/>
        <v>98</v>
      </c>
      <c r="Y24" s="234">
        <f t="shared" si="21"/>
        <v>63</v>
      </c>
      <c r="Z24" s="234">
        <f t="shared" si="22"/>
        <v>83</v>
      </c>
      <c r="AA24" s="234">
        <f t="shared" si="23"/>
        <v>98</v>
      </c>
      <c r="AB24" s="234">
        <f t="shared" si="24"/>
        <v>68</v>
      </c>
      <c r="AC24" s="70">
        <f t="shared" si="25"/>
        <v>1362</v>
      </c>
      <c r="AD24" s="71">
        <f t="shared" si="26"/>
        <v>71.684210526315795</v>
      </c>
      <c r="AE24" s="72">
        <f t="shared" si="27"/>
        <v>21</v>
      </c>
      <c r="AF24" s="73" t="s">
        <v>805</v>
      </c>
      <c r="AG24" s="73" t="s">
        <v>805</v>
      </c>
      <c r="AH24" s="73" t="s">
        <v>805</v>
      </c>
      <c r="AI24" s="74">
        <v>0</v>
      </c>
      <c r="AJ24" s="74">
        <v>0</v>
      </c>
      <c r="AK24" s="74">
        <v>0</v>
      </c>
      <c r="AL24" s="75"/>
      <c r="AN24" s="93">
        <v>11</v>
      </c>
      <c r="AO24" s="94">
        <v>21220108</v>
      </c>
      <c r="AP24" s="96" t="s">
        <v>477</v>
      </c>
      <c r="AQ24" s="68">
        <v>76</v>
      </c>
      <c r="AR24" s="68">
        <v>52</v>
      </c>
      <c r="AS24" s="68">
        <v>67.5</v>
      </c>
      <c r="AT24" s="68">
        <v>66</v>
      </c>
      <c r="AU24" s="68">
        <v>80.5</v>
      </c>
      <c r="AV24" s="68">
        <v>81.400000000000006</v>
      </c>
      <c r="AW24" s="68">
        <v>94.6</v>
      </c>
      <c r="AX24" s="68">
        <v>63.3</v>
      </c>
      <c r="AY24" s="68">
        <v>49</v>
      </c>
      <c r="AZ24" s="68">
        <v>67</v>
      </c>
      <c r="BA24" s="68">
        <v>73</v>
      </c>
      <c r="BB24" s="68">
        <v>73</v>
      </c>
      <c r="BC24" s="68">
        <v>68</v>
      </c>
      <c r="BD24" s="68">
        <v>60</v>
      </c>
      <c r="BE24" s="76">
        <v>90</v>
      </c>
      <c r="BF24" s="76">
        <v>75</v>
      </c>
      <c r="BG24" s="76">
        <v>85</v>
      </c>
      <c r="BH24" s="76">
        <v>60</v>
      </c>
      <c r="BI24" s="76">
        <v>80</v>
      </c>
      <c r="BJ24" s="240">
        <v>87.5</v>
      </c>
      <c r="BK24" s="240">
        <v>97.5</v>
      </c>
      <c r="BL24" s="240">
        <v>63.3</v>
      </c>
      <c r="BM24" s="240">
        <v>82.5</v>
      </c>
      <c r="BN24" s="240">
        <v>97.5</v>
      </c>
      <c r="BO24" s="240">
        <v>67.5</v>
      </c>
      <c r="BP24" s="70">
        <f t="shared" si="28"/>
        <v>1361.3</v>
      </c>
      <c r="BQ24" s="71">
        <f t="shared" si="29"/>
        <v>71.647368421052633</v>
      </c>
      <c r="BR24" s="72" t="e">
        <f t="shared" si="30"/>
        <v>#N/A</v>
      </c>
      <c r="BS24" s="73"/>
      <c r="BT24" s="73"/>
      <c r="BU24" s="73"/>
      <c r="BV24" s="74"/>
      <c r="BW24" s="74"/>
      <c r="BX24" s="74"/>
      <c r="BY24" s="75"/>
    </row>
    <row r="25" spans="1:77" ht="24.6" customHeight="1">
      <c r="A25" s="93">
        <v>22</v>
      </c>
      <c r="B25" s="94">
        <v>21220091</v>
      </c>
      <c r="C25" s="95" t="s">
        <v>473</v>
      </c>
      <c r="D25" s="68">
        <f t="shared" si="0"/>
        <v>90</v>
      </c>
      <c r="E25" s="68">
        <f t="shared" si="1"/>
        <v>52</v>
      </c>
      <c r="F25" s="68">
        <f t="shared" si="2"/>
        <v>62</v>
      </c>
      <c r="G25" s="68">
        <f t="shared" si="3"/>
        <v>58</v>
      </c>
      <c r="H25" s="68">
        <f t="shared" si="4"/>
        <v>81</v>
      </c>
      <c r="I25" s="68">
        <f t="shared" si="5"/>
        <v>68</v>
      </c>
      <c r="J25" s="68">
        <f t="shared" si="6"/>
        <v>87</v>
      </c>
      <c r="K25" s="68">
        <f t="shared" si="7"/>
        <v>74</v>
      </c>
      <c r="L25" s="68">
        <f t="shared" si="8"/>
        <v>55</v>
      </c>
      <c r="M25" s="68">
        <f t="shared" si="9"/>
        <v>68</v>
      </c>
      <c r="N25" s="68">
        <f t="shared" si="10"/>
        <v>77</v>
      </c>
      <c r="O25" s="68">
        <f t="shared" si="11"/>
        <v>72</v>
      </c>
      <c r="P25" s="68">
        <f t="shared" si="12"/>
        <v>72</v>
      </c>
      <c r="Q25" s="68">
        <f t="shared" si="13"/>
        <v>59</v>
      </c>
      <c r="R25" s="69">
        <f t="shared" si="14"/>
        <v>90</v>
      </c>
      <c r="S25" s="69">
        <f t="shared" si="15"/>
        <v>75</v>
      </c>
      <c r="T25" s="69">
        <f t="shared" si="16"/>
        <v>70</v>
      </c>
      <c r="U25" s="69">
        <f t="shared" si="17"/>
        <v>65</v>
      </c>
      <c r="V25" s="69">
        <f t="shared" si="18"/>
        <v>80</v>
      </c>
      <c r="W25" s="234">
        <f t="shared" si="19"/>
        <v>98</v>
      </c>
      <c r="X25" s="234">
        <f t="shared" si="20"/>
        <v>95</v>
      </c>
      <c r="Y25" s="234">
        <f t="shared" si="21"/>
        <v>74</v>
      </c>
      <c r="Z25" s="234">
        <f t="shared" si="22"/>
        <v>83</v>
      </c>
      <c r="AA25" s="234">
        <f t="shared" si="23"/>
        <v>93</v>
      </c>
      <c r="AB25" s="234">
        <f t="shared" si="24"/>
        <v>60</v>
      </c>
      <c r="AC25" s="70">
        <f t="shared" si="25"/>
        <v>1355</v>
      </c>
      <c r="AD25" s="71">
        <f t="shared" si="26"/>
        <v>71.315789473684205</v>
      </c>
      <c r="AE25" s="72">
        <f t="shared" si="27"/>
        <v>22</v>
      </c>
      <c r="AF25" s="73" t="s">
        <v>805</v>
      </c>
      <c r="AG25" s="73" t="s">
        <v>805</v>
      </c>
      <c r="AH25" s="73" t="s">
        <v>805</v>
      </c>
      <c r="AI25" s="74">
        <v>0</v>
      </c>
      <c r="AJ25" s="74">
        <v>0</v>
      </c>
      <c r="AK25" s="74">
        <v>0</v>
      </c>
      <c r="AL25" s="75"/>
      <c r="AN25" s="93">
        <v>7</v>
      </c>
      <c r="AO25" s="94">
        <v>21220091</v>
      </c>
      <c r="AP25" s="95" t="s">
        <v>473</v>
      </c>
      <c r="AQ25" s="68">
        <v>89.5</v>
      </c>
      <c r="AR25" s="68">
        <v>52</v>
      </c>
      <c r="AS25" s="68">
        <v>62</v>
      </c>
      <c r="AT25" s="68">
        <v>57.5</v>
      </c>
      <c r="AU25" s="68">
        <v>80.5</v>
      </c>
      <c r="AV25" s="68">
        <v>68</v>
      </c>
      <c r="AW25" s="68">
        <v>86.8</v>
      </c>
      <c r="AX25" s="68">
        <v>74</v>
      </c>
      <c r="AY25" s="68">
        <v>54.5</v>
      </c>
      <c r="AZ25" s="68">
        <v>68</v>
      </c>
      <c r="BA25" s="68">
        <v>77.199999999999989</v>
      </c>
      <c r="BB25" s="68">
        <v>72</v>
      </c>
      <c r="BC25" s="68">
        <v>72</v>
      </c>
      <c r="BD25" s="68">
        <v>58.6</v>
      </c>
      <c r="BE25" s="76">
        <v>90</v>
      </c>
      <c r="BF25" s="76">
        <v>75</v>
      </c>
      <c r="BG25" s="76">
        <v>70</v>
      </c>
      <c r="BH25" s="76">
        <v>65</v>
      </c>
      <c r="BI25" s="76">
        <v>80</v>
      </c>
      <c r="BJ25" s="240">
        <v>97.5</v>
      </c>
      <c r="BK25" s="240">
        <v>95</v>
      </c>
      <c r="BL25" s="240">
        <v>74</v>
      </c>
      <c r="BM25" s="240">
        <v>82.5</v>
      </c>
      <c r="BN25" s="240">
        <v>92.5</v>
      </c>
      <c r="BO25" s="240">
        <v>60</v>
      </c>
      <c r="BP25" s="70">
        <f t="shared" si="28"/>
        <v>1352.6</v>
      </c>
      <c r="BQ25" s="71">
        <f t="shared" si="29"/>
        <v>71.189473684210526</v>
      </c>
      <c r="BR25" s="72" t="e">
        <f t="shared" si="30"/>
        <v>#N/A</v>
      </c>
      <c r="BS25" s="73"/>
      <c r="BT25" s="73"/>
      <c r="BU25" s="73"/>
      <c r="BV25" s="74"/>
      <c r="BW25" s="74"/>
      <c r="BX25" s="74"/>
      <c r="BY25" s="75"/>
    </row>
    <row r="26" spans="1:77" ht="24.6" customHeight="1">
      <c r="A26" s="93">
        <v>23</v>
      </c>
      <c r="B26" s="139">
        <v>21220079</v>
      </c>
      <c r="C26" s="108" t="s">
        <v>493</v>
      </c>
      <c r="D26" s="68">
        <f t="shared" si="0"/>
        <v>91</v>
      </c>
      <c r="E26" s="68">
        <f t="shared" si="1"/>
        <v>52</v>
      </c>
      <c r="F26" s="68">
        <f t="shared" si="2"/>
        <v>66</v>
      </c>
      <c r="G26" s="68">
        <f t="shared" si="3"/>
        <v>67</v>
      </c>
      <c r="H26" s="68">
        <f t="shared" si="4"/>
        <v>85</v>
      </c>
      <c r="I26" s="68">
        <f t="shared" si="5"/>
        <v>79</v>
      </c>
      <c r="J26" s="68">
        <f t="shared" si="6"/>
        <v>85</v>
      </c>
      <c r="K26" s="68">
        <f t="shared" si="7"/>
        <v>57</v>
      </c>
      <c r="L26" s="68">
        <f t="shared" si="8"/>
        <v>54</v>
      </c>
      <c r="M26" s="68">
        <f t="shared" si="9"/>
        <v>57</v>
      </c>
      <c r="N26" s="68">
        <f t="shared" si="10"/>
        <v>82</v>
      </c>
      <c r="O26" s="68">
        <f t="shared" si="11"/>
        <v>78</v>
      </c>
      <c r="P26" s="68">
        <f t="shared" si="12"/>
        <v>63</v>
      </c>
      <c r="Q26" s="68">
        <f t="shared" si="13"/>
        <v>64</v>
      </c>
      <c r="R26" s="69">
        <f t="shared" si="14"/>
        <v>90</v>
      </c>
      <c r="S26" s="69">
        <f t="shared" si="15"/>
        <v>75</v>
      </c>
      <c r="T26" s="69">
        <f t="shared" si="16"/>
        <v>50</v>
      </c>
      <c r="U26" s="69">
        <f t="shared" si="17"/>
        <v>65</v>
      </c>
      <c r="V26" s="69">
        <f t="shared" si="18"/>
        <v>80</v>
      </c>
      <c r="W26" s="234">
        <f t="shared" si="19"/>
        <v>99</v>
      </c>
      <c r="X26" s="234">
        <f t="shared" si="20"/>
        <v>98</v>
      </c>
      <c r="Y26" s="234">
        <f t="shared" si="21"/>
        <v>57</v>
      </c>
      <c r="Z26" s="234">
        <f t="shared" si="22"/>
        <v>88</v>
      </c>
      <c r="AA26" s="234">
        <f t="shared" si="23"/>
        <v>93</v>
      </c>
      <c r="AB26" s="234">
        <f t="shared" si="24"/>
        <v>60</v>
      </c>
      <c r="AC26" s="70">
        <f t="shared" si="25"/>
        <v>1340</v>
      </c>
      <c r="AD26" s="71">
        <f t="shared" si="26"/>
        <v>70.526315789473685</v>
      </c>
      <c r="AE26" s="72">
        <f t="shared" si="27"/>
        <v>23</v>
      </c>
      <c r="AF26" s="73" t="s">
        <v>805</v>
      </c>
      <c r="AG26" s="73" t="s">
        <v>805</v>
      </c>
      <c r="AH26" s="73" t="s">
        <v>805</v>
      </c>
      <c r="AI26" s="74">
        <v>0</v>
      </c>
      <c r="AJ26" s="74">
        <v>0</v>
      </c>
      <c r="AK26" s="74">
        <v>0</v>
      </c>
      <c r="AL26" s="75"/>
      <c r="AN26" s="93">
        <v>27</v>
      </c>
      <c r="AO26" s="94">
        <v>21220079</v>
      </c>
      <c r="AP26" s="97" t="s">
        <v>493</v>
      </c>
      <c r="AQ26" s="68">
        <v>90.5</v>
      </c>
      <c r="AR26" s="68">
        <v>52</v>
      </c>
      <c r="AS26" s="68">
        <v>65.5</v>
      </c>
      <c r="AT26" s="68">
        <v>67.3</v>
      </c>
      <c r="AU26" s="68">
        <v>85</v>
      </c>
      <c r="AV26" s="68">
        <v>79</v>
      </c>
      <c r="AW26" s="68">
        <v>85</v>
      </c>
      <c r="AX26" s="68">
        <v>57.3</v>
      </c>
      <c r="AY26" s="68">
        <v>53.5</v>
      </c>
      <c r="AZ26" s="68">
        <v>56.5</v>
      </c>
      <c r="BA26" s="68">
        <v>82</v>
      </c>
      <c r="BB26" s="68">
        <v>78</v>
      </c>
      <c r="BC26" s="68">
        <v>63</v>
      </c>
      <c r="BD26" s="68">
        <v>64</v>
      </c>
      <c r="BE26" s="76">
        <v>90</v>
      </c>
      <c r="BF26" s="76">
        <v>75</v>
      </c>
      <c r="BG26" s="76">
        <v>50</v>
      </c>
      <c r="BH26" s="76">
        <v>65</v>
      </c>
      <c r="BI26" s="76">
        <v>80</v>
      </c>
      <c r="BJ26" s="240">
        <v>100</v>
      </c>
      <c r="BK26" s="240">
        <v>97.5</v>
      </c>
      <c r="BL26" s="240">
        <v>57.3</v>
      </c>
      <c r="BM26" s="240">
        <v>87.5</v>
      </c>
      <c r="BN26" s="240">
        <v>92.5</v>
      </c>
      <c r="BO26" s="240">
        <v>60</v>
      </c>
      <c r="BP26" s="70">
        <f t="shared" si="28"/>
        <v>1338.6</v>
      </c>
      <c r="BQ26" s="71">
        <f t="shared" si="29"/>
        <v>70.452631578947361</v>
      </c>
      <c r="BR26" s="72" t="e">
        <f t="shared" si="30"/>
        <v>#N/A</v>
      </c>
      <c r="BS26" s="73"/>
      <c r="BT26" s="73"/>
      <c r="BU26" s="73"/>
      <c r="BV26" s="74"/>
      <c r="BW26" s="74"/>
      <c r="BX26" s="74"/>
      <c r="BY26" s="75"/>
    </row>
    <row r="27" spans="1:77" ht="24.6" customHeight="1">
      <c r="A27" s="93">
        <v>24</v>
      </c>
      <c r="B27" s="94">
        <v>21220051</v>
      </c>
      <c r="C27" s="96" t="s">
        <v>478</v>
      </c>
      <c r="D27" s="68">
        <f t="shared" si="0"/>
        <v>48</v>
      </c>
      <c r="E27" s="68">
        <f t="shared" si="1"/>
        <v>52</v>
      </c>
      <c r="F27" s="68">
        <f t="shared" si="2"/>
        <v>58</v>
      </c>
      <c r="G27" s="68">
        <f t="shared" si="3"/>
        <v>58</v>
      </c>
      <c r="H27" s="68">
        <f t="shared" si="4"/>
        <v>79</v>
      </c>
      <c r="I27" s="68">
        <f t="shared" si="5"/>
        <v>73</v>
      </c>
      <c r="J27" s="68">
        <f t="shared" si="6"/>
        <v>83</v>
      </c>
      <c r="K27" s="68">
        <f t="shared" si="7"/>
        <v>63</v>
      </c>
      <c r="L27" s="68">
        <f t="shared" si="8"/>
        <v>49</v>
      </c>
      <c r="M27" s="68">
        <f t="shared" si="9"/>
        <v>63</v>
      </c>
      <c r="N27" s="68">
        <f t="shared" si="10"/>
        <v>85</v>
      </c>
      <c r="O27" s="68">
        <f t="shared" si="11"/>
        <v>76</v>
      </c>
      <c r="P27" s="68">
        <f t="shared" si="12"/>
        <v>68</v>
      </c>
      <c r="Q27" s="68">
        <f t="shared" si="13"/>
        <v>67</v>
      </c>
      <c r="R27" s="69">
        <f t="shared" si="14"/>
        <v>90</v>
      </c>
      <c r="S27" s="69">
        <f t="shared" si="15"/>
        <v>75</v>
      </c>
      <c r="T27" s="69">
        <f t="shared" si="16"/>
        <v>90</v>
      </c>
      <c r="U27" s="69">
        <f t="shared" si="17"/>
        <v>65</v>
      </c>
      <c r="V27" s="69">
        <f t="shared" si="18"/>
        <v>80</v>
      </c>
      <c r="W27" s="234">
        <f t="shared" si="19"/>
        <v>99</v>
      </c>
      <c r="X27" s="234">
        <f t="shared" si="20"/>
        <v>90</v>
      </c>
      <c r="Y27" s="234">
        <f t="shared" si="21"/>
        <v>63</v>
      </c>
      <c r="Z27" s="234">
        <f t="shared" si="22"/>
        <v>88</v>
      </c>
      <c r="AA27" s="234">
        <f t="shared" si="23"/>
        <v>90</v>
      </c>
      <c r="AB27" s="234">
        <f t="shared" si="24"/>
        <v>60</v>
      </c>
      <c r="AC27" s="70">
        <f t="shared" si="25"/>
        <v>1322</v>
      </c>
      <c r="AD27" s="71">
        <f t="shared" si="26"/>
        <v>69.578947368421055</v>
      </c>
      <c r="AE27" s="72">
        <f t="shared" si="27"/>
        <v>24</v>
      </c>
      <c r="AF27" s="73" t="s">
        <v>805</v>
      </c>
      <c r="AG27" s="73" t="s">
        <v>805</v>
      </c>
      <c r="AH27" s="73" t="s">
        <v>805</v>
      </c>
      <c r="AI27" s="74">
        <v>10</v>
      </c>
      <c r="AJ27" s="74">
        <v>0</v>
      </c>
      <c r="AK27" s="74">
        <v>0</v>
      </c>
      <c r="AL27" s="75"/>
      <c r="AN27" s="93">
        <v>12</v>
      </c>
      <c r="AO27" s="94">
        <v>21220051</v>
      </c>
      <c r="AP27" s="96" t="s">
        <v>478</v>
      </c>
      <c r="AQ27" s="68">
        <v>48</v>
      </c>
      <c r="AR27" s="68">
        <v>52</v>
      </c>
      <c r="AS27" s="68">
        <v>58</v>
      </c>
      <c r="AT27" s="68">
        <v>58</v>
      </c>
      <c r="AU27" s="68">
        <v>78.5</v>
      </c>
      <c r="AV27" s="68">
        <v>73</v>
      </c>
      <c r="AW27" s="68">
        <v>83</v>
      </c>
      <c r="AX27" s="68">
        <v>62.599999999999994</v>
      </c>
      <c r="AY27" s="68">
        <v>49</v>
      </c>
      <c r="AZ27" s="68">
        <v>63</v>
      </c>
      <c r="BA27" s="68">
        <v>85</v>
      </c>
      <c r="BB27" s="68">
        <v>76</v>
      </c>
      <c r="BC27" s="68">
        <v>68</v>
      </c>
      <c r="BD27" s="68">
        <v>67</v>
      </c>
      <c r="BE27" s="76">
        <v>90</v>
      </c>
      <c r="BF27" s="76">
        <v>75</v>
      </c>
      <c r="BG27" s="76">
        <v>90</v>
      </c>
      <c r="BH27" s="76">
        <v>65</v>
      </c>
      <c r="BI27" s="76">
        <v>80</v>
      </c>
      <c r="BJ27" s="240">
        <v>100</v>
      </c>
      <c r="BK27" s="240">
        <v>90</v>
      </c>
      <c r="BL27" s="240">
        <v>62.599999999999994</v>
      </c>
      <c r="BM27" s="240">
        <v>87.5</v>
      </c>
      <c r="BN27" s="240">
        <v>90</v>
      </c>
      <c r="BO27" s="240">
        <v>60</v>
      </c>
      <c r="BP27" s="70">
        <f t="shared" si="28"/>
        <v>1321.1</v>
      </c>
      <c r="BQ27" s="71">
        <f t="shared" si="29"/>
        <v>69.531578947368416</v>
      </c>
      <c r="BR27" s="72" t="e">
        <f t="shared" si="30"/>
        <v>#N/A</v>
      </c>
      <c r="BS27" s="73"/>
      <c r="BT27" s="73"/>
      <c r="BU27" s="73"/>
      <c r="BV27" s="74"/>
      <c r="BW27" s="74"/>
      <c r="BX27" s="74"/>
      <c r="BY27" s="75"/>
    </row>
    <row r="28" spans="1:77" ht="24.6" customHeight="1">
      <c r="A28" s="93">
        <v>25</v>
      </c>
      <c r="B28" s="94">
        <v>21220172</v>
      </c>
      <c r="C28" s="95" t="s">
        <v>483</v>
      </c>
      <c r="D28" s="68">
        <f t="shared" si="0"/>
        <v>72</v>
      </c>
      <c r="E28" s="68">
        <f t="shared" si="1"/>
        <v>52</v>
      </c>
      <c r="F28" s="68">
        <f t="shared" si="2"/>
        <v>52</v>
      </c>
      <c r="G28" s="68">
        <f t="shared" si="3"/>
        <v>50</v>
      </c>
      <c r="H28" s="68">
        <f t="shared" si="4"/>
        <v>68</v>
      </c>
      <c r="I28" s="68">
        <f t="shared" si="5"/>
        <v>75</v>
      </c>
      <c r="J28" s="68">
        <f t="shared" si="6"/>
        <v>76</v>
      </c>
      <c r="K28" s="68">
        <f t="shared" si="7"/>
        <v>47</v>
      </c>
      <c r="L28" s="68">
        <f t="shared" si="8"/>
        <v>44</v>
      </c>
      <c r="M28" s="68">
        <f t="shared" si="9"/>
        <v>65</v>
      </c>
      <c r="N28" s="68">
        <f t="shared" si="10"/>
        <v>77</v>
      </c>
      <c r="O28" s="68">
        <f t="shared" si="11"/>
        <v>68</v>
      </c>
      <c r="P28" s="68">
        <f t="shared" si="12"/>
        <v>70</v>
      </c>
      <c r="Q28" s="68">
        <f t="shared" si="13"/>
        <v>83</v>
      </c>
      <c r="R28" s="69">
        <f t="shared" si="14"/>
        <v>90</v>
      </c>
      <c r="S28" s="69">
        <f t="shared" si="15"/>
        <v>75</v>
      </c>
      <c r="T28" s="69">
        <f t="shared" si="16"/>
        <v>85</v>
      </c>
      <c r="U28" s="69">
        <f t="shared" si="17"/>
        <v>70</v>
      </c>
      <c r="V28" s="69">
        <f t="shared" si="18"/>
        <v>80</v>
      </c>
      <c r="W28" s="234">
        <f t="shared" si="19"/>
        <v>93</v>
      </c>
      <c r="X28" s="234">
        <f t="shared" si="20"/>
        <v>98</v>
      </c>
      <c r="Y28" s="234">
        <f t="shared" si="21"/>
        <v>47</v>
      </c>
      <c r="Z28" s="234">
        <f t="shared" si="22"/>
        <v>95</v>
      </c>
      <c r="AA28" s="234">
        <f t="shared" si="23"/>
        <v>98</v>
      </c>
      <c r="AB28" s="234">
        <f t="shared" si="24"/>
        <v>70</v>
      </c>
      <c r="AC28" s="70">
        <f t="shared" si="25"/>
        <v>1299</v>
      </c>
      <c r="AD28" s="71">
        <f t="shared" si="26"/>
        <v>68.368421052631575</v>
      </c>
      <c r="AE28" s="72">
        <f t="shared" si="27"/>
        <v>25</v>
      </c>
      <c r="AF28" s="73" t="s">
        <v>805</v>
      </c>
      <c r="AG28" s="73" t="s">
        <v>805</v>
      </c>
      <c r="AH28" s="73" t="s">
        <v>805</v>
      </c>
      <c r="AI28" s="74">
        <v>0</v>
      </c>
      <c r="AJ28" s="74">
        <v>0</v>
      </c>
      <c r="AK28" s="74">
        <v>0</v>
      </c>
      <c r="AL28" s="75"/>
      <c r="AN28" s="93">
        <v>17</v>
      </c>
      <c r="AO28" s="94">
        <v>21220172</v>
      </c>
      <c r="AP28" s="95" t="s">
        <v>483</v>
      </c>
      <c r="AQ28" s="68">
        <v>72</v>
      </c>
      <c r="AR28" s="68">
        <v>52</v>
      </c>
      <c r="AS28" s="68">
        <v>51.5</v>
      </c>
      <c r="AT28" s="68">
        <v>49.5</v>
      </c>
      <c r="AU28" s="68">
        <v>68</v>
      </c>
      <c r="AV28" s="68">
        <v>75</v>
      </c>
      <c r="AW28" s="68">
        <v>75.8</v>
      </c>
      <c r="AX28" s="68">
        <v>46.7</v>
      </c>
      <c r="AY28" s="68">
        <v>43.5</v>
      </c>
      <c r="AZ28" s="68">
        <v>64.5</v>
      </c>
      <c r="BA28" s="68">
        <v>77.199999999999989</v>
      </c>
      <c r="BB28" s="68">
        <v>68</v>
      </c>
      <c r="BC28" s="68">
        <v>70</v>
      </c>
      <c r="BD28" s="68">
        <v>82.8</v>
      </c>
      <c r="BE28" s="76">
        <v>90</v>
      </c>
      <c r="BF28" s="76">
        <v>75</v>
      </c>
      <c r="BG28" s="76">
        <v>85</v>
      </c>
      <c r="BH28" s="76">
        <v>70</v>
      </c>
      <c r="BI28" s="76">
        <v>80</v>
      </c>
      <c r="BJ28" s="240">
        <v>92.5</v>
      </c>
      <c r="BK28" s="240">
        <v>97.5</v>
      </c>
      <c r="BL28" s="240">
        <v>46.7</v>
      </c>
      <c r="BM28" s="240">
        <v>95</v>
      </c>
      <c r="BN28" s="240">
        <v>97.5</v>
      </c>
      <c r="BO28" s="240">
        <v>70</v>
      </c>
      <c r="BP28" s="70">
        <f t="shared" si="28"/>
        <v>1296.5</v>
      </c>
      <c r="BQ28" s="71">
        <f t="shared" si="29"/>
        <v>68.236842105263165</v>
      </c>
      <c r="BR28" s="72" t="e">
        <f t="shared" si="30"/>
        <v>#N/A</v>
      </c>
      <c r="BS28" s="73"/>
      <c r="BT28" s="73"/>
      <c r="BU28" s="73"/>
      <c r="BV28" s="74"/>
      <c r="BW28" s="74"/>
      <c r="BX28" s="74"/>
      <c r="BY28" s="75"/>
    </row>
    <row r="29" spans="1:77" ht="24.6" customHeight="1">
      <c r="A29" s="138">
        <v>26</v>
      </c>
      <c r="B29" s="94">
        <v>21220122</v>
      </c>
      <c r="C29" s="96" t="s">
        <v>471</v>
      </c>
      <c r="D29" s="68">
        <f t="shared" si="0"/>
        <v>77</v>
      </c>
      <c r="E29" s="68">
        <f t="shared" si="1"/>
        <v>67</v>
      </c>
      <c r="F29" s="68">
        <f t="shared" si="2"/>
        <v>49</v>
      </c>
      <c r="G29" s="68">
        <f t="shared" si="3"/>
        <v>53</v>
      </c>
      <c r="H29" s="68">
        <f t="shared" si="4"/>
        <v>71</v>
      </c>
      <c r="I29" s="68">
        <f t="shared" si="5"/>
        <v>74</v>
      </c>
      <c r="J29" s="68">
        <f t="shared" si="6"/>
        <v>77</v>
      </c>
      <c r="K29" s="68">
        <f t="shared" si="7"/>
        <v>49</v>
      </c>
      <c r="L29" s="68">
        <f t="shared" si="8"/>
        <v>40</v>
      </c>
      <c r="M29" s="68">
        <f t="shared" si="9"/>
        <v>45</v>
      </c>
      <c r="N29" s="68">
        <f t="shared" si="10"/>
        <v>73</v>
      </c>
      <c r="O29" s="68">
        <f t="shared" si="11"/>
        <v>73</v>
      </c>
      <c r="P29" s="68">
        <f t="shared" si="12"/>
        <v>49</v>
      </c>
      <c r="Q29" s="68">
        <f t="shared" si="13"/>
        <v>63</v>
      </c>
      <c r="R29" s="69">
        <f t="shared" si="14"/>
        <v>90</v>
      </c>
      <c r="S29" s="69">
        <f t="shared" si="15"/>
        <v>75</v>
      </c>
      <c r="T29" s="69">
        <f t="shared" si="16"/>
        <v>90</v>
      </c>
      <c r="U29" s="69">
        <f t="shared" si="17"/>
        <v>60</v>
      </c>
      <c r="V29" s="69">
        <f t="shared" si="18"/>
        <v>80</v>
      </c>
      <c r="W29" s="234">
        <f t="shared" si="19"/>
        <v>98</v>
      </c>
      <c r="X29" s="234">
        <f t="shared" si="20"/>
        <v>98</v>
      </c>
      <c r="Y29" s="234">
        <f t="shared" si="21"/>
        <v>49</v>
      </c>
      <c r="Z29" s="234">
        <f t="shared" si="22"/>
        <v>78</v>
      </c>
      <c r="AA29" s="234">
        <f t="shared" si="23"/>
        <v>90</v>
      </c>
      <c r="AB29" s="234">
        <f t="shared" si="24"/>
        <v>60</v>
      </c>
      <c r="AC29" s="70">
        <f t="shared" si="25"/>
        <v>1255</v>
      </c>
      <c r="AD29" s="71">
        <f t="shared" si="26"/>
        <v>66.05263157894737</v>
      </c>
      <c r="AE29" s="72">
        <f t="shared" si="27"/>
        <v>26</v>
      </c>
      <c r="AF29" s="73" t="s">
        <v>805</v>
      </c>
      <c r="AG29" s="73" t="s">
        <v>805</v>
      </c>
      <c r="AH29" s="73" t="s">
        <v>805</v>
      </c>
      <c r="AI29" s="74">
        <v>4</v>
      </c>
      <c r="AJ29" s="74">
        <v>0</v>
      </c>
      <c r="AK29" s="74">
        <v>0</v>
      </c>
      <c r="AL29" s="75"/>
      <c r="AN29" s="93">
        <v>5</v>
      </c>
      <c r="AO29" s="94">
        <v>21220122</v>
      </c>
      <c r="AP29" s="96" t="s">
        <v>471</v>
      </c>
      <c r="AQ29" s="68">
        <v>76.5</v>
      </c>
      <c r="AR29" s="68">
        <v>67</v>
      </c>
      <c r="AS29" s="68">
        <v>48.5</v>
      </c>
      <c r="AT29" s="68">
        <v>53</v>
      </c>
      <c r="AU29" s="68">
        <v>70.8</v>
      </c>
      <c r="AV29" s="68">
        <v>74</v>
      </c>
      <c r="AW29" s="68">
        <v>76.8</v>
      </c>
      <c r="AX29" s="68">
        <v>48.5</v>
      </c>
      <c r="AY29" s="68">
        <v>32.200000000000003</v>
      </c>
      <c r="AZ29" s="68">
        <v>45</v>
      </c>
      <c r="BA29" s="68">
        <v>73</v>
      </c>
      <c r="BB29" s="68">
        <v>73</v>
      </c>
      <c r="BC29" s="68">
        <v>48.5</v>
      </c>
      <c r="BD29" s="68">
        <v>62.5</v>
      </c>
      <c r="BE29" s="76">
        <v>90</v>
      </c>
      <c r="BF29" s="76">
        <v>75</v>
      </c>
      <c r="BG29" s="76">
        <v>90</v>
      </c>
      <c r="BH29" s="76">
        <v>60</v>
      </c>
      <c r="BI29" s="76">
        <v>80</v>
      </c>
      <c r="BJ29" s="240">
        <v>97.5</v>
      </c>
      <c r="BK29" s="240">
        <v>97.5</v>
      </c>
      <c r="BL29" s="240">
        <v>48.5</v>
      </c>
      <c r="BM29" s="240">
        <v>77.5</v>
      </c>
      <c r="BN29" s="240">
        <v>90</v>
      </c>
      <c r="BO29" s="240">
        <v>60</v>
      </c>
      <c r="BP29" s="70">
        <f t="shared" si="28"/>
        <v>1244.3000000000002</v>
      </c>
      <c r="BQ29" s="71">
        <f t="shared" si="29"/>
        <v>65.489473684210537</v>
      </c>
      <c r="BR29" s="72" t="e">
        <f t="shared" si="30"/>
        <v>#N/A</v>
      </c>
      <c r="BS29" s="73"/>
      <c r="BT29" s="73"/>
      <c r="BU29" s="73"/>
      <c r="BV29" s="74"/>
      <c r="BW29" s="74"/>
      <c r="BX29" s="74"/>
      <c r="BY29" s="75"/>
    </row>
    <row r="30" spans="1:77" ht="24.6" customHeight="1">
      <c r="A30" s="138">
        <v>27</v>
      </c>
      <c r="B30" s="139">
        <v>21220124</v>
      </c>
      <c r="C30" s="108" t="s">
        <v>494</v>
      </c>
      <c r="D30" s="68">
        <f t="shared" si="0"/>
        <v>73</v>
      </c>
      <c r="E30" s="68">
        <f t="shared" si="1"/>
        <v>46</v>
      </c>
      <c r="F30" s="68">
        <f t="shared" si="2"/>
        <v>47</v>
      </c>
      <c r="G30" s="68">
        <f t="shared" si="3"/>
        <v>44</v>
      </c>
      <c r="H30" s="68">
        <f t="shared" si="4"/>
        <v>82</v>
      </c>
      <c r="I30" s="68">
        <f t="shared" si="5"/>
        <v>82</v>
      </c>
      <c r="J30" s="68">
        <f t="shared" si="6"/>
        <v>81</v>
      </c>
      <c r="K30" s="68">
        <f t="shared" si="7"/>
        <v>62</v>
      </c>
      <c r="L30" s="68">
        <f t="shared" si="8"/>
        <v>40</v>
      </c>
      <c r="M30" s="68">
        <f t="shared" si="9"/>
        <v>71</v>
      </c>
      <c r="N30" s="68">
        <f t="shared" si="10"/>
        <v>73</v>
      </c>
      <c r="O30" s="68">
        <f t="shared" si="11"/>
        <v>77</v>
      </c>
      <c r="P30" s="68">
        <f t="shared" si="12"/>
        <v>52</v>
      </c>
      <c r="Q30" s="68">
        <f t="shared" si="13"/>
        <v>57</v>
      </c>
      <c r="R30" s="69">
        <f t="shared" si="14"/>
        <v>90</v>
      </c>
      <c r="S30" s="69">
        <f t="shared" si="15"/>
        <v>75</v>
      </c>
      <c r="T30" s="69">
        <f t="shared" si="16"/>
        <v>60</v>
      </c>
      <c r="U30" s="69">
        <f t="shared" si="17"/>
        <v>60</v>
      </c>
      <c r="V30" s="69">
        <f t="shared" si="18"/>
        <v>80</v>
      </c>
      <c r="W30" s="234">
        <f t="shared" si="19"/>
        <v>93</v>
      </c>
      <c r="X30" s="234">
        <f t="shared" si="20"/>
        <v>83</v>
      </c>
      <c r="Y30" s="234">
        <f t="shared" si="21"/>
        <v>62</v>
      </c>
      <c r="Z30" s="234">
        <f t="shared" si="22"/>
        <v>80</v>
      </c>
      <c r="AA30" s="234">
        <f t="shared" si="23"/>
        <v>88</v>
      </c>
      <c r="AB30" s="234">
        <f t="shared" si="24"/>
        <v>60</v>
      </c>
      <c r="AC30" s="70">
        <f t="shared" si="25"/>
        <v>1252</v>
      </c>
      <c r="AD30" s="71">
        <f t="shared" si="26"/>
        <v>65.89473684210526</v>
      </c>
      <c r="AE30" s="72">
        <f t="shared" si="27"/>
        <v>27</v>
      </c>
      <c r="AF30" s="73" t="s">
        <v>805</v>
      </c>
      <c r="AG30" s="73" t="s">
        <v>805</v>
      </c>
      <c r="AH30" s="73" t="s">
        <v>805</v>
      </c>
      <c r="AI30" s="74">
        <v>6</v>
      </c>
      <c r="AJ30" s="74">
        <v>0</v>
      </c>
      <c r="AK30" s="74">
        <v>0</v>
      </c>
      <c r="AL30" s="75"/>
      <c r="AN30" s="93">
        <v>28</v>
      </c>
      <c r="AO30" s="94">
        <v>21220124</v>
      </c>
      <c r="AP30" s="97" t="s">
        <v>494</v>
      </c>
      <c r="AQ30" s="68">
        <v>72.5</v>
      </c>
      <c r="AR30" s="68">
        <v>46</v>
      </c>
      <c r="AS30" s="68">
        <v>46.5</v>
      </c>
      <c r="AT30" s="68">
        <v>44</v>
      </c>
      <c r="AU30" s="68">
        <v>81.5</v>
      </c>
      <c r="AV30" s="68">
        <v>81.5</v>
      </c>
      <c r="AW30" s="68">
        <v>80.8</v>
      </c>
      <c r="AX30" s="68">
        <v>61.5</v>
      </c>
      <c r="AY30" s="68">
        <v>37.699999999999996</v>
      </c>
      <c r="AZ30" s="68">
        <v>70.5</v>
      </c>
      <c r="BA30" s="68">
        <v>73</v>
      </c>
      <c r="BB30" s="68">
        <v>76.7</v>
      </c>
      <c r="BC30" s="68">
        <v>51.5</v>
      </c>
      <c r="BD30" s="68">
        <v>56.5</v>
      </c>
      <c r="BE30" s="76">
        <v>90</v>
      </c>
      <c r="BF30" s="76">
        <v>75</v>
      </c>
      <c r="BG30" s="76">
        <v>60</v>
      </c>
      <c r="BH30" s="76">
        <v>60</v>
      </c>
      <c r="BI30" s="76">
        <v>80</v>
      </c>
      <c r="BJ30" s="240">
        <v>92.5</v>
      </c>
      <c r="BK30" s="240">
        <v>82.5</v>
      </c>
      <c r="BL30" s="240">
        <v>61.5</v>
      </c>
      <c r="BM30" s="240">
        <v>80</v>
      </c>
      <c r="BN30" s="240">
        <v>87.5</v>
      </c>
      <c r="BO30" s="240">
        <v>60</v>
      </c>
      <c r="BP30" s="70">
        <f t="shared" si="28"/>
        <v>1245.2</v>
      </c>
      <c r="BQ30" s="71">
        <f t="shared" si="29"/>
        <v>65.536842105263162</v>
      </c>
      <c r="BR30" s="72" t="e">
        <f t="shared" si="30"/>
        <v>#N/A</v>
      </c>
      <c r="BS30" s="73"/>
      <c r="BT30" s="73"/>
      <c r="BU30" s="73"/>
      <c r="BV30" s="74"/>
      <c r="BW30" s="74"/>
      <c r="BX30" s="74"/>
      <c r="BY30" s="75"/>
    </row>
    <row r="31" spans="1:77" ht="24.6" customHeight="1">
      <c r="A31" s="138">
        <v>28</v>
      </c>
      <c r="B31" s="94">
        <v>21220106</v>
      </c>
      <c r="C31" s="95" t="s">
        <v>489</v>
      </c>
      <c r="D31" s="68">
        <f t="shared" si="0"/>
        <v>40</v>
      </c>
      <c r="E31" s="68">
        <f t="shared" si="1"/>
        <v>40</v>
      </c>
      <c r="F31" s="68">
        <f t="shared" si="2"/>
        <v>40</v>
      </c>
      <c r="G31" s="68">
        <f t="shared" si="3"/>
        <v>40</v>
      </c>
      <c r="H31" s="68">
        <f t="shared" si="4"/>
        <v>40</v>
      </c>
      <c r="I31" s="68">
        <f t="shared" si="5"/>
        <v>40</v>
      </c>
      <c r="J31" s="68">
        <f t="shared" si="6"/>
        <v>40</v>
      </c>
      <c r="K31" s="68">
        <f t="shared" si="7"/>
        <v>40</v>
      </c>
      <c r="L31" s="68">
        <f t="shared" si="8"/>
        <v>40</v>
      </c>
      <c r="M31" s="68">
        <f t="shared" si="9"/>
        <v>40</v>
      </c>
      <c r="N31" s="68">
        <f t="shared" si="10"/>
        <v>40</v>
      </c>
      <c r="O31" s="68">
        <f t="shared" si="11"/>
        <v>40</v>
      </c>
      <c r="P31" s="68">
        <f t="shared" si="12"/>
        <v>40</v>
      </c>
      <c r="Q31" s="68">
        <f t="shared" si="13"/>
        <v>40</v>
      </c>
      <c r="R31" s="69">
        <f t="shared" si="14"/>
        <v>0</v>
      </c>
      <c r="S31" s="69">
        <f t="shared" si="15"/>
        <v>0</v>
      </c>
      <c r="T31" s="69">
        <f t="shared" si="16"/>
        <v>0</v>
      </c>
      <c r="U31" s="69">
        <f t="shared" si="17"/>
        <v>0</v>
      </c>
      <c r="V31" s="69">
        <f t="shared" si="18"/>
        <v>0</v>
      </c>
      <c r="W31" s="234">
        <f t="shared" si="19"/>
        <v>50</v>
      </c>
      <c r="X31" s="234">
        <f t="shared" si="20"/>
        <v>50</v>
      </c>
      <c r="Y31" s="234">
        <f t="shared" si="21"/>
        <v>40</v>
      </c>
      <c r="Z31" s="234">
        <f t="shared" si="22"/>
        <v>50</v>
      </c>
      <c r="AA31" s="234">
        <f t="shared" si="23"/>
        <v>50</v>
      </c>
      <c r="AB31" s="234">
        <f t="shared" si="24"/>
        <v>50</v>
      </c>
      <c r="AC31" s="70">
        <f t="shared" si="25"/>
        <v>560</v>
      </c>
      <c r="AD31" s="71">
        <f t="shared" si="26"/>
        <v>29.473684210526315</v>
      </c>
      <c r="AE31" s="72">
        <f t="shared" si="27"/>
        <v>28</v>
      </c>
      <c r="AF31" s="73"/>
      <c r="AG31" s="73"/>
      <c r="AH31" s="73"/>
      <c r="AI31" s="74">
        <v>0</v>
      </c>
      <c r="AJ31" s="74">
        <v>57</v>
      </c>
      <c r="AK31" s="74">
        <v>0</v>
      </c>
      <c r="AL31" s="75"/>
      <c r="AN31" s="93">
        <v>23</v>
      </c>
      <c r="AO31" s="94">
        <v>21220106</v>
      </c>
      <c r="AP31" s="95" t="s">
        <v>489</v>
      </c>
      <c r="AQ31" s="68">
        <v>33.5</v>
      </c>
      <c r="AR31" s="68">
        <v>33</v>
      </c>
      <c r="AS31" s="68">
        <v>26</v>
      </c>
      <c r="AT31" s="68">
        <v>35.5</v>
      </c>
      <c r="AU31" s="68">
        <v>27.5</v>
      </c>
      <c r="AV31" s="68">
        <v>22</v>
      </c>
      <c r="AW31" s="68">
        <v>23</v>
      </c>
      <c r="AX31" s="68">
        <v>30.8</v>
      </c>
      <c r="AY31" s="68">
        <v>30.999999999999996</v>
      </c>
      <c r="AZ31" s="68">
        <v>30.5</v>
      </c>
      <c r="BA31" s="68">
        <v>30</v>
      </c>
      <c r="BB31" s="68">
        <v>16</v>
      </c>
      <c r="BC31" s="68">
        <v>30</v>
      </c>
      <c r="BD31" s="68">
        <v>37.5</v>
      </c>
      <c r="BE31" s="76"/>
      <c r="BF31" s="76"/>
      <c r="BG31" s="76"/>
      <c r="BH31" s="76"/>
      <c r="BI31" s="76"/>
      <c r="BJ31" s="240">
        <v>50</v>
      </c>
      <c r="BK31" s="240">
        <v>50</v>
      </c>
      <c r="BL31" s="240">
        <v>30.8</v>
      </c>
      <c r="BM31" s="240">
        <v>50</v>
      </c>
      <c r="BN31" s="240">
        <v>50</v>
      </c>
      <c r="BO31" s="240">
        <v>50</v>
      </c>
      <c r="BP31" s="70">
        <f t="shared" si="28"/>
        <v>406.3</v>
      </c>
      <c r="BQ31" s="71">
        <f t="shared" si="29"/>
        <v>29.021428571428572</v>
      </c>
      <c r="BR31" s="72" t="e">
        <f t="shared" si="30"/>
        <v>#N/A</v>
      </c>
      <c r="BS31" s="73"/>
      <c r="BT31" s="73"/>
      <c r="BU31" s="73"/>
      <c r="BV31" s="74"/>
      <c r="BW31" s="74"/>
      <c r="BX31" s="74"/>
      <c r="BY31" s="75"/>
    </row>
    <row r="32" spans="1:77" ht="24.6" customHeight="1">
      <c r="A32" s="267" t="s">
        <v>202</v>
      </c>
      <c r="B32" s="268"/>
      <c r="C32" s="269"/>
      <c r="D32" s="72">
        <f t="shared" ref="D32:V32" si="31">SUM(D4:D30)</f>
        <v>2310</v>
      </c>
      <c r="E32" s="72">
        <f t="shared" si="31"/>
        <v>1907</v>
      </c>
      <c r="F32" s="72">
        <f t="shared" si="31"/>
        <v>1979</v>
      </c>
      <c r="G32" s="72">
        <f t="shared" si="31"/>
        <v>1962</v>
      </c>
      <c r="H32" s="72">
        <f t="shared" si="31"/>
        <v>2368</v>
      </c>
      <c r="I32" s="72">
        <f t="shared" si="31"/>
        <v>2256</v>
      </c>
      <c r="J32" s="72">
        <f t="shared" si="31"/>
        <v>2440</v>
      </c>
      <c r="K32" s="72">
        <f t="shared" si="31"/>
        <v>2134</v>
      </c>
      <c r="L32" s="72">
        <f t="shared" si="31"/>
        <v>1821</v>
      </c>
      <c r="M32" s="72">
        <f t="shared" si="31"/>
        <v>1964</v>
      </c>
      <c r="N32" s="72">
        <f t="shared" si="31"/>
        <v>2225</v>
      </c>
      <c r="O32" s="72">
        <f t="shared" si="31"/>
        <v>2254</v>
      </c>
      <c r="P32" s="72">
        <f t="shared" si="31"/>
        <v>2133</v>
      </c>
      <c r="Q32" s="72">
        <f t="shared" si="31"/>
        <v>2183</v>
      </c>
      <c r="R32" s="72">
        <f t="shared" si="31"/>
        <v>2430</v>
      </c>
      <c r="S32" s="72">
        <f t="shared" si="31"/>
        <v>2232</v>
      </c>
      <c r="T32" s="72">
        <f t="shared" si="31"/>
        <v>2420</v>
      </c>
      <c r="U32" s="72">
        <f t="shared" si="31"/>
        <v>2097</v>
      </c>
      <c r="V32" s="72">
        <f t="shared" si="31"/>
        <v>2160</v>
      </c>
      <c r="W32" s="72"/>
      <c r="X32" s="72"/>
      <c r="Y32" s="72"/>
      <c r="Z32" s="72"/>
      <c r="AA32" s="72"/>
      <c r="AB32" s="72"/>
      <c r="AC32" s="81"/>
      <c r="AD32" s="81"/>
      <c r="AE32" s="81"/>
      <c r="AF32" s="81"/>
      <c r="AG32" s="81"/>
      <c r="AH32" s="81"/>
      <c r="AI32" s="81"/>
      <c r="AJ32" s="81"/>
      <c r="AK32" s="81"/>
      <c r="AL32" s="82"/>
      <c r="AN32" s="267" t="s">
        <v>202</v>
      </c>
      <c r="AO32" s="268"/>
      <c r="AP32" s="269"/>
      <c r="AQ32" s="72">
        <f t="shared" ref="AQ32:BE32" si="32">SUM(AQ4:AQ30)</f>
        <v>2302.8000000000002</v>
      </c>
      <c r="AR32" s="72">
        <f t="shared" si="32"/>
        <v>1908.2</v>
      </c>
      <c r="AS32" s="72">
        <f t="shared" si="32"/>
        <v>1973.4</v>
      </c>
      <c r="AT32" s="72">
        <f t="shared" si="32"/>
        <v>1957.1</v>
      </c>
      <c r="AU32" s="72">
        <f t="shared" si="32"/>
        <v>2362.8000000000002</v>
      </c>
      <c r="AV32" s="72">
        <f t="shared" si="32"/>
        <v>2244.3000000000002</v>
      </c>
      <c r="AW32" s="72">
        <f t="shared" si="32"/>
        <v>2439.8000000000002</v>
      </c>
      <c r="AX32" s="72">
        <f t="shared" si="32"/>
        <v>2373.2999999999997</v>
      </c>
      <c r="AY32" s="72">
        <f t="shared" si="32"/>
        <v>1806.4</v>
      </c>
      <c r="AZ32" s="72">
        <f t="shared" si="32"/>
        <v>1958.2</v>
      </c>
      <c r="BA32" s="72">
        <f t="shared" si="32"/>
        <v>2225</v>
      </c>
      <c r="BB32" s="72">
        <f t="shared" si="32"/>
        <v>2250.7999999999997</v>
      </c>
      <c r="BC32" s="72">
        <f t="shared" si="32"/>
        <v>2127</v>
      </c>
      <c r="BD32" s="72">
        <f t="shared" si="32"/>
        <v>2180</v>
      </c>
      <c r="BE32" s="72">
        <f t="shared" si="32"/>
        <v>2430</v>
      </c>
      <c r="BF32" s="72">
        <f>SUM(BF4:BF31)</f>
        <v>2232</v>
      </c>
      <c r="BG32" s="72">
        <f>SUM(BG4:BG31)</f>
        <v>2426</v>
      </c>
      <c r="BH32" s="72">
        <f>SUM(BH4:BH31)</f>
        <v>2105</v>
      </c>
      <c r="BI32" s="72">
        <f>SUM(BI4:BI31)</f>
        <v>2160</v>
      </c>
      <c r="BJ32" s="72"/>
      <c r="BK32" s="72"/>
      <c r="BL32" s="72"/>
      <c r="BM32" s="72"/>
      <c r="BN32" s="72"/>
      <c r="BO32" s="72"/>
      <c r="BP32" s="81"/>
      <c r="BQ32" s="81"/>
      <c r="BR32" s="81"/>
      <c r="BS32" s="81"/>
      <c r="BT32" s="81"/>
      <c r="BU32" s="81"/>
      <c r="BV32" s="81"/>
      <c r="BW32" s="81"/>
      <c r="BX32" s="81"/>
      <c r="BY32" s="82"/>
    </row>
    <row r="33" spans="1:77" ht="24.6" customHeight="1">
      <c r="A33" s="267" t="s">
        <v>203</v>
      </c>
      <c r="B33" s="268"/>
      <c r="C33" s="269"/>
      <c r="D33" s="72">
        <f t="shared" ref="D33:V33" si="33">AVERAGE(D4:D30)</f>
        <v>85.555555555555557</v>
      </c>
      <c r="E33" s="72">
        <f t="shared" si="33"/>
        <v>70.629629629629633</v>
      </c>
      <c r="F33" s="72">
        <f t="shared" si="33"/>
        <v>73.296296296296291</v>
      </c>
      <c r="G33" s="72">
        <f t="shared" si="33"/>
        <v>72.666666666666671</v>
      </c>
      <c r="H33" s="72">
        <f t="shared" si="33"/>
        <v>87.703703703703709</v>
      </c>
      <c r="I33" s="72">
        <f t="shared" si="33"/>
        <v>83.555555555555557</v>
      </c>
      <c r="J33" s="72">
        <f t="shared" si="33"/>
        <v>90.370370370370367</v>
      </c>
      <c r="K33" s="72">
        <f t="shared" si="33"/>
        <v>79.037037037037038</v>
      </c>
      <c r="L33" s="72">
        <f t="shared" si="33"/>
        <v>67.444444444444443</v>
      </c>
      <c r="M33" s="72">
        <f t="shared" si="33"/>
        <v>72.740740740740748</v>
      </c>
      <c r="N33" s="72">
        <f t="shared" si="33"/>
        <v>82.407407407407405</v>
      </c>
      <c r="O33" s="72">
        <f t="shared" si="33"/>
        <v>83.481481481481481</v>
      </c>
      <c r="P33" s="72">
        <f t="shared" si="33"/>
        <v>79</v>
      </c>
      <c r="Q33" s="72">
        <f t="shared" si="33"/>
        <v>80.851851851851848</v>
      </c>
      <c r="R33" s="72">
        <f t="shared" si="33"/>
        <v>90</v>
      </c>
      <c r="S33" s="72">
        <f t="shared" si="33"/>
        <v>82.666666666666671</v>
      </c>
      <c r="T33" s="72">
        <f t="shared" si="33"/>
        <v>89.629629629629633</v>
      </c>
      <c r="U33" s="72">
        <f t="shared" si="33"/>
        <v>77.666666666666671</v>
      </c>
      <c r="V33" s="72">
        <f t="shared" si="33"/>
        <v>80</v>
      </c>
      <c r="W33" s="72"/>
      <c r="X33" s="72"/>
      <c r="Y33" s="72"/>
      <c r="Z33" s="72"/>
      <c r="AA33" s="72"/>
      <c r="AB33" s="72"/>
      <c r="AC33" s="81"/>
      <c r="AD33" s="81"/>
      <c r="AE33" s="81"/>
      <c r="AF33" s="81"/>
      <c r="AG33" s="81"/>
      <c r="AH33" s="81"/>
      <c r="AI33" s="81"/>
      <c r="AJ33" s="81"/>
      <c r="AK33" s="81"/>
      <c r="AL33" s="82"/>
      <c r="AN33" s="267" t="s">
        <v>203</v>
      </c>
      <c r="AO33" s="268"/>
      <c r="AP33" s="269"/>
      <c r="AQ33" s="72">
        <f t="shared" ref="AQ33:BD33" si="34">AVERAGE(AQ4:AQ30)</f>
        <v>85.288888888888891</v>
      </c>
      <c r="AR33" s="72">
        <f t="shared" si="34"/>
        <v>70.67407407407407</v>
      </c>
      <c r="AS33" s="72">
        <f t="shared" si="34"/>
        <v>73.088888888888889</v>
      </c>
      <c r="AT33" s="72">
        <f t="shared" si="34"/>
        <v>72.485185185185188</v>
      </c>
      <c r="AU33" s="72">
        <f t="shared" si="34"/>
        <v>87.51111111111112</v>
      </c>
      <c r="AV33" s="72">
        <f t="shared" si="34"/>
        <v>83.122222222222234</v>
      </c>
      <c r="AW33" s="72">
        <f t="shared" si="34"/>
        <v>90.362962962962968</v>
      </c>
      <c r="AX33" s="72">
        <f t="shared" si="34"/>
        <v>87.899999999999991</v>
      </c>
      <c r="AY33" s="72">
        <f t="shared" si="34"/>
        <v>66.903703703703712</v>
      </c>
      <c r="AZ33" s="72">
        <f t="shared" si="34"/>
        <v>72.525925925925932</v>
      </c>
      <c r="BA33" s="72">
        <f t="shared" si="34"/>
        <v>82.407407407407405</v>
      </c>
      <c r="BB33" s="72">
        <f t="shared" si="34"/>
        <v>83.362962962962953</v>
      </c>
      <c r="BC33" s="72">
        <f t="shared" si="34"/>
        <v>78.777777777777771</v>
      </c>
      <c r="BD33" s="72">
        <f t="shared" si="34"/>
        <v>80.740740740740748</v>
      </c>
      <c r="BE33" s="72">
        <f>AVERAGE(BE4:BE30)</f>
        <v>90</v>
      </c>
      <c r="BF33" s="72">
        <f>AVERAGE(BF4:BF31)</f>
        <v>82.666666666666671</v>
      </c>
      <c r="BG33" s="72">
        <f>AVERAGE(BG4:BG31)</f>
        <v>89.851851851851848</v>
      </c>
      <c r="BH33" s="72">
        <f>AVERAGE(BH4:BH31)</f>
        <v>77.962962962962962</v>
      </c>
      <c r="BI33" s="72">
        <f>AVERAGE(BI4:BI31)</f>
        <v>80</v>
      </c>
      <c r="BJ33" s="72"/>
      <c r="BK33" s="72"/>
      <c r="BL33" s="72"/>
      <c r="BM33" s="72"/>
      <c r="BN33" s="72"/>
      <c r="BO33" s="72"/>
      <c r="BP33" s="81"/>
      <c r="BQ33" s="81"/>
      <c r="BR33" s="81"/>
      <c r="BS33" s="81"/>
      <c r="BT33" s="81"/>
      <c r="BU33" s="81"/>
      <c r="BV33" s="81"/>
      <c r="BW33" s="81"/>
      <c r="BX33" s="81"/>
      <c r="BY33" s="82"/>
    </row>
    <row r="34" spans="1:77" s="83" customFormat="1">
      <c r="A34" s="83">
        <v>1</v>
      </c>
      <c r="B34" s="83">
        <v>2</v>
      </c>
      <c r="C34" s="83">
        <v>3</v>
      </c>
      <c r="D34" s="83">
        <v>4</v>
      </c>
      <c r="E34" s="83">
        <v>5</v>
      </c>
      <c r="F34" s="83">
        <v>6</v>
      </c>
      <c r="G34" s="83">
        <v>7</v>
      </c>
      <c r="H34" s="83">
        <v>8</v>
      </c>
      <c r="I34" s="83">
        <v>9</v>
      </c>
      <c r="J34" s="83">
        <v>10</v>
      </c>
      <c r="K34" s="83">
        <v>11</v>
      </c>
      <c r="L34" s="83">
        <v>12</v>
      </c>
      <c r="M34" s="83">
        <v>13</v>
      </c>
      <c r="N34" s="83">
        <v>14</v>
      </c>
      <c r="O34" s="83">
        <v>15</v>
      </c>
      <c r="P34" s="83">
        <v>16</v>
      </c>
      <c r="Q34" s="83">
        <v>17</v>
      </c>
      <c r="R34" s="83">
        <v>18</v>
      </c>
      <c r="S34" s="83">
        <v>19</v>
      </c>
      <c r="T34" s="83">
        <v>20</v>
      </c>
      <c r="U34" s="83">
        <v>21</v>
      </c>
      <c r="V34" s="83">
        <v>22</v>
      </c>
      <c r="AC34" s="83">
        <v>23</v>
      </c>
      <c r="AD34" s="83">
        <v>24</v>
      </c>
      <c r="AE34" s="83">
        <v>25</v>
      </c>
      <c r="AF34" s="83">
        <v>26</v>
      </c>
      <c r="AG34" s="83">
        <v>27</v>
      </c>
      <c r="AH34" s="83">
        <v>28</v>
      </c>
      <c r="AI34" s="83">
        <v>29</v>
      </c>
      <c r="AJ34" s="83">
        <v>30</v>
      </c>
      <c r="AK34" s="83">
        <v>31</v>
      </c>
      <c r="AN34" s="83">
        <v>1</v>
      </c>
      <c r="AO34" s="83">
        <v>2</v>
      </c>
      <c r="AP34" s="83">
        <v>3</v>
      </c>
      <c r="AQ34" s="83">
        <v>4</v>
      </c>
      <c r="AR34" s="83">
        <v>5</v>
      </c>
      <c r="AS34" s="83">
        <v>6</v>
      </c>
      <c r="AT34" s="83">
        <v>7</v>
      </c>
      <c r="AU34" s="83">
        <v>8</v>
      </c>
      <c r="AV34" s="83">
        <v>9</v>
      </c>
      <c r="AW34" s="83">
        <v>10</v>
      </c>
      <c r="AX34" s="83">
        <v>11</v>
      </c>
      <c r="AY34" s="83">
        <v>12</v>
      </c>
      <c r="AZ34" s="83">
        <v>13</v>
      </c>
      <c r="BA34" s="83">
        <v>14</v>
      </c>
      <c r="BB34" s="83">
        <v>15</v>
      </c>
      <c r="BC34" s="83">
        <v>16</v>
      </c>
      <c r="BD34" s="83">
        <v>17</v>
      </c>
      <c r="BE34" s="83">
        <v>18</v>
      </c>
      <c r="BF34" s="83">
        <v>19</v>
      </c>
      <c r="BG34" s="83">
        <v>20</v>
      </c>
      <c r="BH34" s="83">
        <v>21</v>
      </c>
      <c r="BI34" s="83">
        <v>22</v>
      </c>
      <c r="BP34" s="83">
        <v>23</v>
      </c>
      <c r="BQ34" s="83">
        <v>24</v>
      </c>
      <c r="BR34" s="83">
        <v>25</v>
      </c>
      <c r="BS34" s="83">
        <v>26</v>
      </c>
      <c r="BT34" s="83">
        <v>27</v>
      </c>
      <c r="BU34" s="83">
        <v>28</v>
      </c>
      <c r="BV34" s="83">
        <v>29</v>
      </c>
      <c r="BW34" s="83">
        <v>30</v>
      </c>
      <c r="BX34" s="83">
        <v>31</v>
      </c>
    </row>
    <row r="35" spans="1:77">
      <c r="A35" s="84"/>
    </row>
    <row r="36" spans="1:77" ht="23.25">
      <c r="A36" s="84" t="s">
        <v>204</v>
      </c>
      <c r="C36" s="85"/>
    </row>
    <row r="37" spans="1:77">
      <c r="A37" s="86"/>
      <c r="B37" s="86"/>
      <c r="C37" s="60" t="s">
        <v>205</v>
      </c>
    </row>
    <row r="38" spans="1:77">
      <c r="A38" s="87"/>
      <c r="B38" s="87"/>
      <c r="C38" s="60" t="s">
        <v>206</v>
      </c>
    </row>
    <row r="39" spans="1:77">
      <c r="A39" s="88"/>
      <c r="B39" s="88"/>
      <c r="C39" s="60" t="s">
        <v>207</v>
      </c>
    </row>
    <row r="40" spans="1:77">
      <c r="A40" s="89"/>
      <c r="B40" s="89"/>
      <c r="C40" s="60" t="s">
        <v>208</v>
      </c>
    </row>
  </sheetData>
  <sortState xmlns:xlrd2="http://schemas.microsoft.com/office/spreadsheetml/2017/richdata2" ref="B4:BY31">
    <sortCondition ref="AE4:AE31"/>
  </sortState>
  <mergeCells count="36">
    <mergeCell ref="A32:C32"/>
    <mergeCell ref="AN32:AP32"/>
    <mergeCell ref="A33:C33"/>
    <mergeCell ref="AN33:AP33"/>
    <mergeCell ref="BT2:BT3"/>
    <mergeCell ref="AQ2:BA2"/>
    <mergeCell ref="BE2:BI2"/>
    <mergeCell ref="BP2:BP3"/>
    <mergeCell ref="BQ2:BQ3"/>
    <mergeCell ref="BR2:BR3"/>
    <mergeCell ref="BS2:BS3"/>
    <mergeCell ref="AJ2:AJ3"/>
    <mergeCell ref="AK2:AK3"/>
    <mergeCell ref="AL2:AL3"/>
    <mergeCell ref="AN2:AN3"/>
    <mergeCell ref="AO2:AO3"/>
    <mergeCell ref="BU2:BU3"/>
    <mergeCell ref="BV2:BV3"/>
    <mergeCell ref="BW2:BW3"/>
    <mergeCell ref="BX2:BX3"/>
    <mergeCell ref="BY2:BY3"/>
    <mergeCell ref="BJ2:BO2"/>
    <mergeCell ref="AC2:AC3"/>
    <mergeCell ref="A2:A3"/>
    <mergeCell ref="B2:B3"/>
    <mergeCell ref="C2:C3"/>
    <mergeCell ref="D2:N2"/>
    <mergeCell ref="R2:V2"/>
    <mergeCell ref="W2:AB2"/>
    <mergeCell ref="AP2:AP3"/>
    <mergeCell ref="AD2:AD3"/>
    <mergeCell ref="AE2:AE3"/>
    <mergeCell ref="AF2:AF3"/>
    <mergeCell ref="AG2:AG3"/>
    <mergeCell ref="AH2:AH3"/>
    <mergeCell ref="AI2:AI3"/>
  </mergeCells>
  <conditionalFormatting sqref="B4">
    <cfRule type="duplicateValues" dxfId="849" priority="59"/>
    <cfRule type="duplicateValues" dxfId="848" priority="60"/>
  </conditionalFormatting>
  <conditionalFormatting sqref="B5">
    <cfRule type="duplicateValues" dxfId="847" priority="57"/>
    <cfRule type="duplicateValues" dxfId="846" priority="58"/>
  </conditionalFormatting>
  <conditionalFormatting sqref="B6">
    <cfRule type="duplicateValues" dxfId="845" priority="55"/>
    <cfRule type="duplicateValues" dxfId="844" priority="56"/>
  </conditionalFormatting>
  <conditionalFormatting sqref="B7">
    <cfRule type="duplicateValues" dxfId="843" priority="53"/>
    <cfRule type="duplicateValues" dxfId="842" priority="54"/>
  </conditionalFormatting>
  <conditionalFormatting sqref="B8">
    <cfRule type="duplicateValues" dxfId="841" priority="51"/>
    <cfRule type="duplicateValues" dxfId="840" priority="52"/>
  </conditionalFormatting>
  <conditionalFormatting sqref="B9">
    <cfRule type="duplicateValues" dxfId="839" priority="49"/>
    <cfRule type="duplicateValues" dxfId="838" priority="50"/>
  </conditionalFormatting>
  <conditionalFormatting sqref="B10">
    <cfRule type="duplicateValues" dxfId="837" priority="47"/>
    <cfRule type="duplicateValues" dxfId="836" priority="48"/>
  </conditionalFormatting>
  <conditionalFormatting sqref="B11">
    <cfRule type="duplicateValues" dxfId="835" priority="45"/>
    <cfRule type="duplicateValues" dxfId="834" priority="46"/>
  </conditionalFormatting>
  <conditionalFormatting sqref="B12:B13">
    <cfRule type="duplicateValues" dxfId="833" priority="44"/>
  </conditionalFormatting>
  <conditionalFormatting sqref="B14">
    <cfRule type="duplicateValues" dxfId="832" priority="43"/>
  </conditionalFormatting>
  <conditionalFormatting sqref="B15">
    <cfRule type="duplicateValues" dxfId="831" priority="42"/>
  </conditionalFormatting>
  <conditionalFormatting sqref="B16:B17">
    <cfRule type="duplicateValues" dxfId="830" priority="41"/>
  </conditionalFormatting>
  <conditionalFormatting sqref="B18">
    <cfRule type="duplicateValues" dxfId="829" priority="40"/>
  </conditionalFormatting>
  <conditionalFormatting sqref="B19">
    <cfRule type="duplicateValues" dxfId="828" priority="38"/>
  </conditionalFormatting>
  <conditionalFormatting sqref="B20">
    <cfRule type="duplicateValues" dxfId="827" priority="39"/>
  </conditionalFormatting>
  <conditionalFormatting sqref="B21">
    <cfRule type="duplicateValues" dxfId="826" priority="37"/>
  </conditionalFormatting>
  <conditionalFormatting sqref="B22">
    <cfRule type="duplicateValues" dxfId="825" priority="36"/>
  </conditionalFormatting>
  <conditionalFormatting sqref="B23">
    <cfRule type="duplicateValues" dxfId="824" priority="35"/>
  </conditionalFormatting>
  <conditionalFormatting sqref="B24">
    <cfRule type="duplicateValues" dxfId="823" priority="34"/>
  </conditionalFormatting>
  <conditionalFormatting sqref="B25">
    <cfRule type="duplicateValues" dxfId="822" priority="33"/>
  </conditionalFormatting>
  <conditionalFormatting sqref="B26:B29">
    <cfRule type="duplicateValues" dxfId="821" priority="32"/>
  </conditionalFormatting>
  <conditionalFormatting sqref="B30:B31">
    <cfRule type="duplicateValues" dxfId="820" priority="100"/>
  </conditionalFormatting>
  <conditionalFormatting sqref="D4:AB31">
    <cfRule type="cellIs" dxfId="819" priority="62" operator="lessThanOrEqual">
      <formula>59</formula>
    </cfRule>
  </conditionalFormatting>
  <conditionalFormatting sqref="AD4:AD31">
    <cfRule type="cellIs" dxfId="818" priority="61" operator="lessThan">
      <formula>60</formula>
    </cfRule>
  </conditionalFormatting>
  <conditionalFormatting sqref="AE4:AE31">
    <cfRule type="duplicateValues" dxfId="817" priority="101"/>
  </conditionalFormatting>
  <conditionalFormatting sqref="AO4">
    <cfRule type="duplicateValues" dxfId="816" priority="28"/>
    <cfRule type="duplicateValues" dxfId="815" priority="29"/>
  </conditionalFormatting>
  <conditionalFormatting sqref="AO5">
    <cfRule type="duplicateValues" dxfId="814" priority="26"/>
    <cfRule type="duplicateValues" dxfId="813" priority="27"/>
  </conditionalFormatting>
  <conditionalFormatting sqref="AO6">
    <cfRule type="duplicateValues" dxfId="812" priority="24"/>
    <cfRule type="duplicateValues" dxfId="811" priority="25"/>
  </conditionalFormatting>
  <conditionalFormatting sqref="AO7">
    <cfRule type="duplicateValues" dxfId="810" priority="22"/>
    <cfRule type="duplicateValues" dxfId="809" priority="23"/>
  </conditionalFormatting>
  <conditionalFormatting sqref="AO8">
    <cfRule type="duplicateValues" dxfId="808" priority="20"/>
    <cfRule type="duplicateValues" dxfId="807" priority="21"/>
  </conditionalFormatting>
  <conditionalFormatting sqref="AO9">
    <cfRule type="duplicateValues" dxfId="806" priority="18"/>
    <cfRule type="duplicateValues" dxfId="805" priority="19"/>
  </conditionalFormatting>
  <conditionalFormatting sqref="AO10">
    <cfRule type="duplicateValues" dxfId="804" priority="16"/>
    <cfRule type="duplicateValues" dxfId="803" priority="17"/>
  </conditionalFormatting>
  <conditionalFormatting sqref="AO11">
    <cfRule type="duplicateValues" dxfId="802" priority="14"/>
    <cfRule type="duplicateValues" dxfId="801" priority="15"/>
  </conditionalFormatting>
  <conditionalFormatting sqref="AO12:AO13">
    <cfRule type="duplicateValues" dxfId="800" priority="13"/>
  </conditionalFormatting>
  <conditionalFormatting sqref="AO14">
    <cfRule type="duplicateValues" dxfId="799" priority="12"/>
  </conditionalFormatting>
  <conditionalFormatting sqref="AO15">
    <cfRule type="duplicateValues" dxfId="798" priority="11"/>
  </conditionalFormatting>
  <conditionalFormatting sqref="AO16:AO17">
    <cfRule type="duplicateValues" dxfId="797" priority="10"/>
  </conditionalFormatting>
  <conditionalFormatting sqref="AO18">
    <cfRule type="duplicateValues" dxfId="796" priority="9"/>
  </conditionalFormatting>
  <conditionalFormatting sqref="AO19">
    <cfRule type="duplicateValues" dxfId="795" priority="7"/>
  </conditionalFormatting>
  <conditionalFormatting sqref="AO20">
    <cfRule type="duplicateValues" dxfId="794" priority="8"/>
  </conditionalFormatting>
  <conditionalFormatting sqref="AO21">
    <cfRule type="duplicateValues" dxfId="793" priority="6"/>
  </conditionalFormatting>
  <conditionalFormatting sqref="AO22">
    <cfRule type="duplicateValues" dxfId="792" priority="5"/>
  </conditionalFormatting>
  <conditionalFormatting sqref="AO23">
    <cfRule type="duplicateValues" dxfId="791" priority="4"/>
  </conditionalFormatting>
  <conditionalFormatting sqref="AO24">
    <cfRule type="duplicateValues" dxfId="790" priority="3"/>
  </conditionalFormatting>
  <conditionalFormatting sqref="AO25">
    <cfRule type="duplicateValues" dxfId="789" priority="2"/>
  </conditionalFormatting>
  <conditionalFormatting sqref="AO26:AO29">
    <cfRule type="duplicateValues" dxfId="788" priority="1"/>
  </conditionalFormatting>
  <conditionalFormatting sqref="AO30:AO31">
    <cfRule type="duplicateValues" dxfId="787" priority="102"/>
  </conditionalFormatting>
  <conditionalFormatting sqref="AQ4:BO31">
    <cfRule type="cellIs" dxfId="786" priority="31" operator="lessThanOrEqual">
      <formula>59</formula>
    </cfRule>
  </conditionalFormatting>
  <conditionalFormatting sqref="BQ4:BQ31">
    <cfRule type="cellIs" dxfId="785" priority="30" operator="lessThan">
      <formula>60</formula>
    </cfRule>
  </conditionalFormatting>
  <conditionalFormatting sqref="BR4:BR31">
    <cfRule type="duplicateValues" dxfId="784" priority="103"/>
  </conditionalFormatting>
  <printOptions horizontalCentered="1"/>
  <pageMargins left="0.26" right="0.12" top="0.74803149606299202" bottom="0.12" header="0.31496062992126" footer="0.12"/>
  <pageSetup paperSize="10000" scale="75" orientation="landscape" horizontalDpi="203" verticalDpi="203" r:id="rId1"/>
  <rowBreaks count="1" manualBreakCount="1">
    <brk id="26" max="31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8B64E-1530-4480-AB13-85B8471862B7}">
  <sheetPr codeName="Sheet11">
    <tabColor theme="1" tint="0.499984740745262"/>
  </sheetPr>
  <dimension ref="A1:BQ37"/>
  <sheetViews>
    <sheetView topLeftCell="A16" zoomScale="55" zoomScaleNormal="55" zoomScaleSheetLayoutView="61" workbookViewId="0">
      <selection activeCell="AG28" sqref="AG28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40.28515625" style="60" customWidth="1"/>
    <col min="4" max="24" width="5.42578125" style="60" customWidth="1"/>
    <col min="25" max="27" width="7.140625" style="60" customWidth="1"/>
    <col min="28" max="34" width="5.42578125" style="60" customWidth="1"/>
    <col min="35" max="35" width="9.140625" style="60"/>
    <col min="36" max="36" width="9.28515625" style="60" bestFit="1" customWidth="1"/>
    <col min="37" max="37" width="9.5703125" style="60" bestFit="1" customWidth="1"/>
    <col min="38" max="38" width="31.140625" style="60" bestFit="1" customWidth="1"/>
    <col min="39" max="41" width="9.28515625" style="60" bestFit="1" customWidth="1"/>
    <col min="42" max="16384" width="9.140625" style="60"/>
  </cols>
  <sheetData>
    <row r="1" spans="1:69" ht="26.25">
      <c r="A1" s="59" t="s">
        <v>318</v>
      </c>
      <c r="AJ1" s="59" t="s">
        <v>318</v>
      </c>
    </row>
    <row r="2" spans="1:69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86" t="s">
        <v>316</v>
      </c>
      <c r="P2" s="286"/>
      <c r="Q2" s="286"/>
      <c r="R2" s="286"/>
      <c r="S2" s="425" t="s">
        <v>798</v>
      </c>
      <c r="T2" s="425"/>
      <c r="U2" s="425"/>
      <c r="V2" s="425"/>
      <c r="W2" s="425"/>
      <c r="X2" s="425"/>
      <c r="Y2" s="276" t="s">
        <v>155</v>
      </c>
      <c r="Z2" s="276" t="s">
        <v>156</v>
      </c>
      <c r="AA2" s="276" t="s">
        <v>157</v>
      </c>
      <c r="AB2" s="270" t="s">
        <v>158</v>
      </c>
      <c r="AC2" s="270" t="s">
        <v>159</v>
      </c>
      <c r="AD2" s="270" t="s">
        <v>160</v>
      </c>
      <c r="AE2" s="278" t="s">
        <v>161</v>
      </c>
      <c r="AF2" s="278" t="s">
        <v>162</v>
      </c>
      <c r="AG2" s="278" t="s">
        <v>163</v>
      </c>
      <c r="AH2" s="280" t="s">
        <v>164</v>
      </c>
      <c r="AJ2" s="281" t="s">
        <v>151</v>
      </c>
      <c r="AK2" s="281" t="s">
        <v>152</v>
      </c>
      <c r="AL2" s="281" t="s">
        <v>0</v>
      </c>
      <c r="AM2" s="272" t="s">
        <v>153</v>
      </c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426" t="s">
        <v>316</v>
      </c>
      <c r="AY2" s="426"/>
      <c r="AZ2" s="426"/>
      <c r="BA2" s="426"/>
      <c r="BB2" s="425" t="s">
        <v>798</v>
      </c>
      <c r="BC2" s="425"/>
      <c r="BD2" s="425"/>
      <c r="BE2" s="425"/>
      <c r="BF2" s="425"/>
      <c r="BG2" s="425"/>
      <c r="BH2" s="276" t="s">
        <v>155</v>
      </c>
      <c r="BI2" s="276" t="s">
        <v>156</v>
      </c>
      <c r="BJ2" s="276" t="s">
        <v>157</v>
      </c>
      <c r="BK2" s="270" t="s">
        <v>158</v>
      </c>
      <c r="BL2" s="270" t="s">
        <v>159</v>
      </c>
      <c r="BM2" s="270" t="s">
        <v>160</v>
      </c>
      <c r="BN2" s="278" t="s">
        <v>161</v>
      </c>
      <c r="BO2" s="278" t="s">
        <v>162</v>
      </c>
      <c r="BP2" s="278" t="s">
        <v>163</v>
      </c>
      <c r="BQ2" s="280" t="s">
        <v>164</v>
      </c>
    </row>
    <row r="3" spans="1:69" ht="65.25">
      <c r="A3" s="282"/>
      <c r="B3" s="282"/>
      <c r="C3" s="282"/>
      <c r="D3" s="63" t="s">
        <v>22</v>
      </c>
      <c r="E3" s="63" t="s">
        <v>55</v>
      </c>
      <c r="F3" s="63" t="s">
        <v>167</v>
      </c>
      <c r="G3" s="63" t="s">
        <v>168</v>
      </c>
      <c r="H3" s="63" t="s">
        <v>171</v>
      </c>
      <c r="I3" s="63" t="s">
        <v>96</v>
      </c>
      <c r="J3" s="63" t="s">
        <v>14</v>
      </c>
      <c r="K3" s="63" t="s">
        <v>120</v>
      </c>
      <c r="L3" s="63" t="s">
        <v>108</v>
      </c>
      <c r="M3" s="63" t="s">
        <v>110</v>
      </c>
      <c r="N3" s="63" t="s">
        <v>111</v>
      </c>
      <c r="O3" s="64" t="s">
        <v>137</v>
      </c>
      <c r="P3" s="64" t="s">
        <v>14</v>
      </c>
      <c r="Q3" s="64" t="s">
        <v>34</v>
      </c>
      <c r="R3" s="64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277"/>
      <c r="Z3" s="277"/>
      <c r="AA3" s="277"/>
      <c r="AB3" s="271"/>
      <c r="AC3" s="271"/>
      <c r="AD3" s="271"/>
      <c r="AE3" s="279"/>
      <c r="AF3" s="279"/>
      <c r="AG3" s="279"/>
      <c r="AH3" s="280"/>
      <c r="AJ3" s="282"/>
      <c r="AK3" s="282"/>
      <c r="AL3" s="282"/>
      <c r="AM3" s="63" t="s">
        <v>22</v>
      </c>
      <c r="AN3" s="63" t="s">
        <v>55</v>
      </c>
      <c r="AO3" s="63" t="s">
        <v>167</v>
      </c>
      <c r="AP3" s="63" t="s">
        <v>168</v>
      </c>
      <c r="AQ3" s="63" t="s">
        <v>171</v>
      </c>
      <c r="AR3" s="63" t="s">
        <v>96</v>
      </c>
      <c r="AS3" s="63" t="s">
        <v>14</v>
      </c>
      <c r="AT3" s="63" t="s">
        <v>120</v>
      </c>
      <c r="AU3" s="63" t="s">
        <v>108</v>
      </c>
      <c r="AV3" s="63" t="s">
        <v>110</v>
      </c>
      <c r="AW3" s="63" t="s">
        <v>111</v>
      </c>
      <c r="AX3" s="98" t="s">
        <v>137</v>
      </c>
      <c r="AY3" s="98" t="s">
        <v>14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277"/>
      <c r="BI3" s="277"/>
      <c r="BJ3" s="277"/>
      <c r="BK3" s="271"/>
      <c r="BL3" s="271"/>
      <c r="BM3" s="271"/>
      <c r="BN3" s="279"/>
      <c r="BO3" s="279"/>
      <c r="BP3" s="279"/>
      <c r="BQ3" s="280"/>
    </row>
    <row r="4" spans="1:69" ht="21.95" customHeight="1">
      <c r="A4" s="93">
        <v>1</v>
      </c>
      <c r="B4" s="99">
        <v>22230130</v>
      </c>
      <c r="C4" s="102" t="s">
        <v>347</v>
      </c>
      <c r="D4" s="68">
        <f t="shared" ref="D4:D29" si="0">ROUND(IF(AM4=0,0,MIN(MAX(AM4,40),99)),0)</f>
        <v>98</v>
      </c>
      <c r="E4" s="68">
        <f t="shared" ref="E4:E29" si="1">ROUND(IF(AN4=0,0,MIN(MAX(AN4,40),99)),0)</f>
        <v>95</v>
      </c>
      <c r="F4" s="68">
        <f t="shared" ref="F4:F29" si="2">ROUND(IF(AO4=0,0,MIN(MAX(AO4,40),99)),0)</f>
        <v>96</v>
      </c>
      <c r="G4" s="68">
        <f t="shared" ref="G4:G29" si="3">ROUND(IF(AP4=0,0,MIN(MAX(AP4,40),99)),0)</f>
        <v>96</v>
      </c>
      <c r="H4" s="68">
        <f t="shared" ref="H4:H29" si="4">ROUND(IF(AQ4=0,0,MIN(MAX(AQ4,40),99)),0)</f>
        <v>99</v>
      </c>
      <c r="I4" s="68">
        <f t="shared" ref="I4:I29" si="5">ROUND(IF(AR4=0,0,MIN(MAX(AR4,40),99)),0)</f>
        <v>99</v>
      </c>
      <c r="J4" s="68">
        <f t="shared" ref="J4:J29" si="6">ROUND(IF(AS4=0,0,MIN(MAX(AS4,40),99)),0)</f>
        <v>96</v>
      </c>
      <c r="K4" s="68">
        <f t="shared" ref="K4:K29" si="7">ROUND(IF(AT4=0,0,MIN(MAX(AT4,40),99)),0)</f>
        <v>94</v>
      </c>
      <c r="L4" s="68">
        <f t="shared" ref="L4:L29" si="8">ROUND(IF(AU4=0,0,MIN(MAX(AU4,40),99)),0)</f>
        <v>94</v>
      </c>
      <c r="M4" s="68">
        <f t="shared" ref="M4:M29" si="9">ROUND(IF(AV4=0,0,MIN(MAX(AV4,40),99)),0)</f>
        <v>99</v>
      </c>
      <c r="N4" s="68">
        <f t="shared" ref="N4:N29" si="10">ROUND(IF(AW4=0,0,MIN(MAX(AW4,40),99)),0)</f>
        <v>99</v>
      </c>
      <c r="O4" s="69">
        <f t="shared" ref="O4:O29" si="11">ROUND(IF(AX4=0,0,MIN(MAX(AX4,40),99)),0)</f>
        <v>99</v>
      </c>
      <c r="P4" s="69">
        <f t="shared" ref="P4:P29" si="12">ROUND(IF(AY4=0,0,MIN(MAX(AY4,40),99)),0)</f>
        <v>99</v>
      </c>
      <c r="Q4" s="69">
        <f t="shared" ref="Q4:Q29" si="13">ROUND(IF(AZ4=0,0,MIN(MAX(AZ4,40),99)),0)</f>
        <v>98</v>
      </c>
      <c r="R4" s="69">
        <f t="shared" ref="R4:R29" si="14">ROUND(IF(BA4=0,0,MIN(MAX(BA4,40),99)),0)</f>
        <v>99</v>
      </c>
      <c r="S4" s="234">
        <f t="shared" ref="S4:S29" si="15">ROUND(IF(BB4=0,0,MIN(MAX(BB4,40),99)),0)</f>
        <v>93</v>
      </c>
      <c r="T4" s="234">
        <f t="shared" ref="T4:T29" si="16">ROUND(IF(BC4=0,0,MIN(MAX(BC4,40),99)),0)</f>
        <v>88</v>
      </c>
      <c r="U4" s="234">
        <f t="shared" ref="U4:U29" si="17">ROUND(IF(BD4=0,0,MIN(MAX(BD4,40),99)),0)</f>
        <v>94</v>
      </c>
      <c r="V4" s="234">
        <f t="shared" ref="V4:V29" si="18">ROUND(IF(BE4=0,0,MIN(MAX(BE4,40),99)),0)</f>
        <v>88</v>
      </c>
      <c r="W4" s="234">
        <f t="shared" ref="W4:W29" si="19">ROUND(IF(BF4=0,0,MIN(MAX(BF4,40),99)),0)</f>
        <v>78</v>
      </c>
      <c r="X4" s="234">
        <f t="shared" ref="X4:X29" si="20">ROUND(IF(BG4=0,0,MIN(MAX(BG4,40),99)),0)</f>
        <v>90</v>
      </c>
      <c r="Y4" s="70">
        <f t="shared" ref="Y4:Y29" si="21">SUM(D4:R4)</f>
        <v>1460</v>
      </c>
      <c r="Z4" s="71">
        <f t="shared" ref="Z4:Z29" si="22">AVERAGE(D4:R4)</f>
        <v>97.333333333333329</v>
      </c>
      <c r="AA4" s="101">
        <f t="shared" ref="AA4:AA13" si="23">RANK(Y4,$Y$4:$Y$29)</f>
        <v>1</v>
      </c>
      <c r="AB4" s="73" t="s">
        <v>806</v>
      </c>
      <c r="AC4" s="73" t="s">
        <v>806</v>
      </c>
      <c r="AD4" s="73" t="s">
        <v>806</v>
      </c>
      <c r="AE4" s="74">
        <v>0</v>
      </c>
      <c r="AF4" s="74">
        <v>3</v>
      </c>
      <c r="AG4" s="74">
        <v>0</v>
      </c>
      <c r="AH4" s="75"/>
      <c r="AJ4" s="93">
        <v>24</v>
      </c>
      <c r="AK4" s="99">
        <v>22230130</v>
      </c>
      <c r="AL4" s="102" t="s">
        <v>347</v>
      </c>
      <c r="AM4" s="68">
        <v>98.3</v>
      </c>
      <c r="AN4" s="68">
        <v>95</v>
      </c>
      <c r="AO4" s="68">
        <v>96</v>
      </c>
      <c r="AP4" s="68">
        <v>95.6</v>
      </c>
      <c r="AQ4" s="68">
        <v>99.7</v>
      </c>
      <c r="AR4" s="68">
        <v>98.5</v>
      </c>
      <c r="AS4" s="68">
        <v>95.5</v>
      </c>
      <c r="AT4" s="68">
        <v>94</v>
      </c>
      <c r="AU4" s="68">
        <v>94</v>
      </c>
      <c r="AV4" s="68">
        <v>100</v>
      </c>
      <c r="AW4" s="68">
        <v>98.5</v>
      </c>
      <c r="AX4" s="76">
        <v>100</v>
      </c>
      <c r="AY4" s="76">
        <v>100</v>
      </c>
      <c r="AZ4" s="76">
        <v>98</v>
      </c>
      <c r="BA4" s="76">
        <v>100</v>
      </c>
      <c r="BB4" s="240">
        <v>92.5</v>
      </c>
      <c r="BC4" s="240">
        <v>87.5</v>
      </c>
      <c r="BD4" s="240">
        <v>94</v>
      </c>
      <c r="BE4" s="240">
        <v>87.5</v>
      </c>
      <c r="BF4" s="240">
        <v>77.5</v>
      </c>
      <c r="BG4" s="240">
        <v>90</v>
      </c>
      <c r="BH4" s="70">
        <f t="shared" ref="BH4:BH13" si="24">SUM(AM4:BA4)</f>
        <v>1463.1</v>
      </c>
      <c r="BI4" s="71">
        <f t="shared" ref="BI4:BI13" si="25">AVERAGE(AM4:BA4)</f>
        <v>97.539999999999992</v>
      </c>
      <c r="BJ4" s="101" t="e">
        <f t="shared" ref="BJ4:BJ13" si="26">RANK(BH4,$Y$4:$Y$27)</f>
        <v>#N/A</v>
      </c>
      <c r="BK4" s="73" t="s">
        <v>806</v>
      </c>
      <c r="BL4" s="73" t="s">
        <v>806</v>
      </c>
      <c r="BM4" s="73" t="s">
        <v>806</v>
      </c>
      <c r="BN4" s="74">
        <v>0</v>
      </c>
      <c r="BO4" s="74">
        <v>3</v>
      </c>
      <c r="BP4" s="74">
        <v>0</v>
      </c>
      <c r="BQ4" s="75"/>
    </row>
    <row r="5" spans="1:69" ht="21.95" customHeight="1">
      <c r="A5" s="93">
        <v>2</v>
      </c>
      <c r="B5" s="99">
        <v>22230056</v>
      </c>
      <c r="C5" s="100" t="s">
        <v>348</v>
      </c>
      <c r="D5" s="68">
        <f t="shared" si="0"/>
        <v>99</v>
      </c>
      <c r="E5" s="68">
        <f t="shared" si="1"/>
        <v>97</v>
      </c>
      <c r="F5" s="68">
        <f t="shared" si="2"/>
        <v>99</v>
      </c>
      <c r="G5" s="68">
        <f t="shared" si="3"/>
        <v>93</v>
      </c>
      <c r="H5" s="68">
        <f t="shared" si="4"/>
        <v>99</v>
      </c>
      <c r="I5" s="68">
        <f t="shared" si="5"/>
        <v>96</v>
      </c>
      <c r="J5" s="68">
        <f t="shared" si="6"/>
        <v>93</v>
      </c>
      <c r="K5" s="68">
        <f t="shared" si="7"/>
        <v>94</v>
      </c>
      <c r="L5" s="68">
        <f t="shared" si="8"/>
        <v>94</v>
      </c>
      <c r="M5" s="68">
        <f t="shared" si="9"/>
        <v>99</v>
      </c>
      <c r="N5" s="68">
        <f t="shared" si="10"/>
        <v>99</v>
      </c>
      <c r="O5" s="69">
        <f t="shared" si="11"/>
        <v>95</v>
      </c>
      <c r="P5" s="69">
        <f t="shared" si="12"/>
        <v>99</v>
      </c>
      <c r="Q5" s="69">
        <f t="shared" si="13"/>
        <v>95</v>
      </c>
      <c r="R5" s="69">
        <f t="shared" si="14"/>
        <v>99</v>
      </c>
      <c r="S5" s="234">
        <f t="shared" si="15"/>
        <v>90</v>
      </c>
      <c r="T5" s="234">
        <f t="shared" si="16"/>
        <v>88</v>
      </c>
      <c r="U5" s="234">
        <f t="shared" si="17"/>
        <v>94</v>
      </c>
      <c r="V5" s="234">
        <f t="shared" si="18"/>
        <v>85</v>
      </c>
      <c r="W5" s="234">
        <f t="shared" si="19"/>
        <v>70</v>
      </c>
      <c r="X5" s="234">
        <f t="shared" si="20"/>
        <v>83</v>
      </c>
      <c r="Y5" s="70">
        <f t="shared" si="21"/>
        <v>1450</v>
      </c>
      <c r="Z5" s="71">
        <f t="shared" si="22"/>
        <v>96.666666666666671</v>
      </c>
      <c r="AA5" s="101">
        <f t="shared" si="23"/>
        <v>2</v>
      </c>
      <c r="AB5" s="73" t="s">
        <v>806</v>
      </c>
      <c r="AC5" s="73" t="s">
        <v>806</v>
      </c>
      <c r="AD5" s="73" t="s">
        <v>806</v>
      </c>
      <c r="AE5" s="74">
        <v>0</v>
      </c>
      <c r="AF5" s="74">
        <v>0</v>
      </c>
      <c r="AG5" s="74">
        <v>0</v>
      </c>
      <c r="AH5" s="75"/>
      <c r="AJ5" s="93">
        <v>4</v>
      </c>
      <c r="AK5" s="99">
        <v>22230056</v>
      </c>
      <c r="AL5" s="100" t="s">
        <v>348</v>
      </c>
      <c r="AM5" s="68">
        <v>99.6</v>
      </c>
      <c r="AN5" s="68">
        <v>97</v>
      </c>
      <c r="AO5" s="68">
        <v>98.5</v>
      </c>
      <c r="AP5" s="68">
        <v>92.8</v>
      </c>
      <c r="AQ5" s="68">
        <v>99.7</v>
      </c>
      <c r="AR5" s="68">
        <v>95.5</v>
      </c>
      <c r="AS5" s="68">
        <v>92.5</v>
      </c>
      <c r="AT5" s="68">
        <v>94</v>
      </c>
      <c r="AU5" s="68">
        <v>94</v>
      </c>
      <c r="AV5" s="68">
        <v>100</v>
      </c>
      <c r="AW5" s="68">
        <v>98.5</v>
      </c>
      <c r="AX5" s="76">
        <v>95</v>
      </c>
      <c r="AY5" s="76">
        <v>100</v>
      </c>
      <c r="AZ5" s="76">
        <v>95</v>
      </c>
      <c r="BA5" s="76">
        <v>100</v>
      </c>
      <c r="BB5" s="240">
        <v>90</v>
      </c>
      <c r="BC5" s="240">
        <v>87.5</v>
      </c>
      <c r="BD5" s="240">
        <v>94</v>
      </c>
      <c r="BE5" s="240">
        <v>85</v>
      </c>
      <c r="BF5" s="240">
        <v>70</v>
      </c>
      <c r="BG5" s="240">
        <v>82.5</v>
      </c>
      <c r="BH5" s="70">
        <f t="shared" si="24"/>
        <v>1452.1</v>
      </c>
      <c r="BI5" s="71">
        <f t="shared" si="25"/>
        <v>96.806666666666658</v>
      </c>
      <c r="BJ5" s="101" t="e">
        <f t="shared" si="26"/>
        <v>#N/A</v>
      </c>
      <c r="BK5" s="73" t="s">
        <v>806</v>
      </c>
      <c r="BL5" s="73" t="s">
        <v>806</v>
      </c>
      <c r="BM5" s="73" t="s">
        <v>806</v>
      </c>
      <c r="BN5" s="74">
        <v>0</v>
      </c>
      <c r="BO5" s="74">
        <v>0</v>
      </c>
      <c r="BP5" s="74">
        <v>0</v>
      </c>
      <c r="BQ5" s="75"/>
    </row>
    <row r="6" spans="1:69" ht="21.95" customHeight="1">
      <c r="A6" s="93">
        <v>3</v>
      </c>
      <c r="B6" s="99">
        <v>22230173</v>
      </c>
      <c r="C6" s="107" t="s">
        <v>349</v>
      </c>
      <c r="D6" s="68">
        <f t="shared" si="0"/>
        <v>99</v>
      </c>
      <c r="E6" s="68">
        <f t="shared" si="1"/>
        <v>93</v>
      </c>
      <c r="F6" s="68">
        <f t="shared" si="2"/>
        <v>98</v>
      </c>
      <c r="G6" s="68">
        <f t="shared" si="3"/>
        <v>92</v>
      </c>
      <c r="H6" s="68">
        <f t="shared" si="4"/>
        <v>96</v>
      </c>
      <c r="I6" s="68">
        <f t="shared" si="5"/>
        <v>96</v>
      </c>
      <c r="J6" s="68">
        <f t="shared" si="6"/>
        <v>92</v>
      </c>
      <c r="K6" s="68">
        <f t="shared" si="7"/>
        <v>90</v>
      </c>
      <c r="L6" s="68">
        <f t="shared" si="8"/>
        <v>75</v>
      </c>
      <c r="M6" s="68">
        <f t="shared" si="9"/>
        <v>99</v>
      </c>
      <c r="N6" s="68">
        <f t="shared" si="10"/>
        <v>98</v>
      </c>
      <c r="O6" s="69">
        <f t="shared" si="11"/>
        <v>99</v>
      </c>
      <c r="P6" s="69">
        <f t="shared" si="12"/>
        <v>99</v>
      </c>
      <c r="Q6" s="69">
        <f t="shared" si="13"/>
        <v>94</v>
      </c>
      <c r="R6" s="69">
        <f t="shared" si="14"/>
        <v>99</v>
      </c>
      <c r="S6" s="234">
        <f t="shared" si="15"/>
        <v>90</v>
      </c>
      <c r="T6" s="234">
        <f t="shared" si="16"/>
        <v>95</v>
      </c>
      <c r="U6" s="234">
        <f t="shared" si="17"/>
        <v>75</v>
      </c>
      <c r="V6" s="234">
        <f t="shared" si="18"/>
        <v>80</v>
      </c>
      <c r="W6" s="234">
        <f t="shared" si="19"/>
        <v>75</v>
      </c>
      <c r="X6" s="234">
        <f t="shared" si="20"/>
        <v>75</v>
      </c>
      <c r="Y6" s="70">
        <f t="shared" si="21"/>
        <v>1419</v>
      </c>
      <c r="Z6" s="71">
        <f t="shared" si="22"/>
        <v>94.6</v>
      </c>
      <c r="AA6" s="101">
        <f t="shared" si="23"/>
        <v>3</v>
      </c>
      <c r="AB6" s="73" t="s">
        <v>806</v>
      </c>
      <c r="AC6" s="73" t="s">
        <v>806</v>
      </c>
      <c r="AD6" s="73" t="s">
        <v>806</v>
      </c>
      <c r="AE6" s="74">
        <v>3</v>
      </c>
      <c r="AF6" s="74">
        <v>14</v>
      </c>
      <c r="AG6" s="74">
        <v>0</v>
      </c>
      <c r="AH6" s="75"/>
      <c r="AJ6" s="93">
        <v>16</v>
      </c>
      <c r="AK6" s="99">
        <v>22230173</v>
      </c>
      <c r="AL6" s="102" t="s">
        <v>349</v>
      </c>
      <c r="AM6" s="68">
        <v>98.6</v>
      </c>
      <c r="AN6" s="68">
        <v>93</v>
      </c>
      <c r="AO6" s="68">
        <v>98</v>
      </c>
      <c r="AP6" s="68">
        <v>92.1</v>
      </c>
      <c r="AQ6" s="68">
        <v>95.7</v>
      </c>
      <c r="AR6" s="68">
        <v>96</v>
      </c>
      <c r="AS6" s="68">
        <v>91.5</v>
      </c>
      <c r="AT6" s="68">
        <v>90</v>
      </c>
      <c r="AU6" s="68">
        <v>75</v>
      </c>
      <c r="AV6" s="68">
        <v>99</v>
      </c>
      <c r="AW6" s="68">
        <v>97.5</v>
      </c>
      <c r="AX6" s="76">
        <v>100</v>
      </c>
      <c r="AY6" s="76">
        <v>100</v>
      </c>
      <c r="AZ6" s="76">
        <v>94</v>
      </c>
      <c r="BA6" s="76">
        <v>100</v>
      </c>
      <c r="BB6" s="240">
        <v>90</v>
      </c>
      <c r="BC6" s="240">
        <v>95</v>
      </c>
      <c r="BD6" s="240">
        <v>75</v>
      </c>
      <c r="BE6" s="240">
        <v>80</v>
      </c>
      <c r="BF6" s="240">
        <v>75</v>
      </c>
      <c r="BG6" s="240">
        <v>75</v>
      </c>
      <c r="BH6" s="70">
        <f t="shared" si="24"/>
        <v>1420.4</v>
      </c>
      <c r="BI6" s="71">
        <f t="shared" si="25"/>
        <v>94.693333333333342</v>
      </c>
      <c r="BJ6" s="101" t="e">
        <f t="shared" si="26"/>
        <v>#N/A</v>
      </c>
      <c r="BK6" s="73" t="s">
        <v>806</v>
      </c>
      <c r="BL6" s="73" t="s">
        <v>806</v>
      </c>
      <c r="BM6" s="73" t="s">
        <v>806</v>
      </c>
      <c r="BN6" s="74">
        <v>3</v>
      </c>
      <c r="BO6" s="74">
        <v>14</v>
      </c>
      <c r="BP6" s="74">
        <v>0</v>
      </c>
      <c r="BQ6" s="75"/>
    </row>
    <row r="7" spans="1:69" ht="21.95" customHeight="1">
      <c r="A7" s="93">
        <v>4</v>
      </c>
      <c r="B7" s="99">
        <v>22230074</v>
      </c>
      <c r="C7" s="103" t="s">
        <v>352</v>
      </c>
      <c r="D7" s="68">
        <f t="shared" si="0"/>
        <v>99</v>
      </c>
      <c r="E7" s="68">
        <f t="shared" si="1"/>
        <v>86</v>
      </c>
      <c r="F7" s="68">
        <f t="shared" si="2"/>
        <v>90</v>
      </c>
      <c r="G7" s="68">
        <f t="shared" si="3"/>
        <v>83</v>
      </c>
      <c r="H7" s="68">
        <f t="shared" si="4"/>
        <v>87</v>
      </c>
      <c r="I7" s="68">
        <f t="shared" si="5"/>
        <v>99</v>
      </c>
      <c r="J7" s="68">
        <f t="shared" si="6"/>
        <v>93</v>
      </c>
      <c r="K7" s="68">
        <f t="shared" si="7"/>
        <v>94</v>
      </c>
      <c r="L7" s="68">
        <f t="shared" si="8"/>
        <v>98</v>
      </c>
      <c r="M7" s="68">
        <f t="shared" si="9"/>
        <v>97</v>
      </c>
      <c r="N7" s="68">
        <f t="shared" si="10"/>
        <v>99</v>
      </c>
      <c r="O7" s="69">
        <f t="shared" si="11"/>
        <v>99</v>
      </c>
      <c r="P7" s="69">
        <f t="shared" si="12"/>
        <v>99</v>
      </c>
      <c r="Q7" s="69">
        <f t="shared" si="13"/>
        <v>93</v>
      </c>
      <c r="R7" s="69">
        <f t="shared" si="14"/>
        <v>99</v>
      </c>
      <c r="S7" s="234">
        <f t="shared" si="15"/>
        <v>98</v>
      </c>
      <c r="T7" s="234">
        <f t="shared" si="16"/>
        <v>90</v>
      </c>
      <c r="U7" s="234">
        <f t="shared" si="17"/>
        <v>98</v>
      </c>
      <c r="V7" s="234">
        <f t="shared" si="18"/>
        <v>80</v>
      </c>
      <c r="W7" s="234">
        <f t="shared" si="19"/>
        <v>73</v>
      </c>
      <c r="X7" s="234">
        <f t="shared" si="20"/>
        <v>78</v>
      </c>
      <c r="Y7" s="70">
        <f t="shared" si="21"/>
        <v>1415</v>
      </c>
      <c r="Z7" s="71">
        <f t="shared" si="22"/>
        <v>94.333333333333329</v>
      </c>
      <c r="AA7" s="101">
        <f t="shared" si="23"/>
        <v>4</v>
      </c>
      <c r="AB7" s="73" t="s">
        <v>806</v>
      </c>
      <c r="AC7" s="73" t="s">
        <v>806</v>
      </c>
      <c r="AD7" s="73" t="s">
        <v>805</v>
      </c>
      <c r="AE7" s="74">
        <v>2</v>
      </c>
      <c r="AF7" s="74">
        <v>0</v>
      </c>
      <c r="AG7" s="74">
        <v>0</v>
      </c>
      <c r="AH7" s="75"/>
      <c r="AJ7" s="93">
        <v>18</v>
      </c>
      <c r="AK7" s="99">
        <v>22230074</v>
      </c>
      <c r="AL7" s="103" t="s">
        <v>352</v>
      </c>
      <c r="AM7" s="68">
        <v>98.7</v>
      </c>
      <c r="AN7" s="68">
        <v>86</v>
      </c>
      <c r="AO7" s="68">
        <v>89.9</v>
      </c>
      <c r="AP7" s="68">
        <v>83.2</v>
      </c>
      <c r="AQ7" s="68">
        <v>86.5</v>
      </c>
      <c r="AR7" s="68">
        <v>98.5</v>
      </c>
      <c r="AS7" s="68">
        <v>93</v>
      </c>
      <c r="AT7" s="68">
        <v>93.5</v>
      </c>
      <c r="AU7" s="68">
        <v>98</v>
      </c>
      <c r="AV7" s="68">
        <v>96.5</v>
      </c>
      <c r="AW7" s="68">
        <v>98.5</v>
      </c>
      <c r="AX7" s="76">
        <v>100</v>
      </c>
      <c r="AY7" s="76">
        <v>100</v>
      </c>
      <c r="AZ7" s="76">
        <v>93</v>
      </c>
      <c r="BA7" s="76">
        <v>100</v>
      </c>
      <c r="BB7" s="240">
        <v>97.5</v>
      </c>
      <c r="BC7" s="240">
        <v>90</v>
      </c>
      <c r="BD7" s="240">
        <v>98</v>
      </c>
      <c r="BE7" s="240">
        <v>80</v>
      </c>
      <c r="BF7" s="240">
        <v>72.5</v>
      </c>
      <c r="BG7" s="240">
        <v>77.5</v>
      </c>
      <c r="BH7" s="70">
        <f t="shared" si="24"/>
        <v>1415.3</v>
      </c>
      <c r="BI7" s="71">
        <f t="shared" si="25"/>
        <v>94.353333333333325</v>
      </c>
      <c r="BJ7" s="101" t="e">
        <f t="shared" si="26"/>
        <v>#N/A</v>
      </c>
      <c r="BK7" s="73" t="s">
        <v>806</v>
      </c>
      <c r="BL7" s="73" t="s">
        <v>806</v>
      </c>
      <c r="BM7" s="73" t="s">
        <v>805</v>
      </c>
      <c r="BN7" s="74">
        <v>2</v>
      </c>
      <c r="BO7" s="74">
        <v>0</v>
      </c>
      <c r="BP7" s="74">
        <v>0</v>
      </c>
      <c r="BQ7" s="75"/>
    </row>
    <row r="8" spans="1:69" ht="21.95" customHeight="1">
      <c r="A8" s="93">
        <v>5</v>
      </c>
      <c r="B8" s="99">
        <v>23240156</v>
      </c>
      <c r="C8" s="107" t="s">
        <v>350</v>
      </c>
      <c r="D8" s="68">
        <f t="shared" si="0"/>
        <v>98</v>
      </c>
      <c r="E8" s="68">
        <f t="shared" si="1"/>
        <v>93</v>
      </c>
      <c r="F8" s="68">
        <f t="shared" si="2"/>
        <v>88</v>
      </c>
      <c r="G8" s="68">
        <f t="shared" si="3"/>
        <v>82</v>
      </c>
      <c r="H8" s="68">
        <f t="shared" si="4"/>
        <v>96</v>
      </c>
      <c r="I8" s="68">
        <f t="shared" si="5"/>
        <v>93</v>
      </c>
      <c r="J8" s="68">
        <f t="shared" si="6"/>
        <v>87</v>
      </c>
      <c r="K8" s="68">
        <f t="shared" si="7"/>
        <v>92</v>
      </c>
      <c r="L8" s="68">
        <f t="shared" si="8"/>
        <v>92</v>
      </c>
      <c r="M8" s="68">
        <f t="shared" si="9"/>
        <v>97</v>
      </c>
      <c r="N8" s="68">
        <f t="shared" si="10"/>
        <v>88</v>
      </c>
      <c r="O8" s="69">
        <f t="shared" si="11"/>
        <v>99</v>
      </c>
      <c r="P8" s="69">
        <f t="shared" si="12"/>
        <v>98</v>
      </c>
      <c r="Q8" s="69">
        <f t="shared" si="13"/>
        <v>88</v>
      </c>
      <c r="R8" s="69">
        <f t="shared" si="14"/>
        <v>99</v>
      </c>
      <c r="S8" s="234">
        <f t="shared" si="15"/>
        <v>95</v>
      </c>
      <c r="T8" s="234">
        <f t="shared" si="16"/>
        <v>83</v>
      </c>
      <c r="U8" s="234">
        <f t="shared" si="17"/>
        <v>92</v>
      </c>
      <c r="V8" s="234">
        <f t="shared" si="18"/>
        <v>85</v>
      </c>
      <c r="W8" s="234">
        <f t="shared" si="19"/>
        <v>83</v>
      </c>
      <c r="X8" s="234">
        <f t="shared" si="20"/>
        <v>85</v>
      </c>
      <c r="Y8" s="70">
        <f t="shared" si="21"/>
        <v>1390</v>
      </c>
      <c r="Z8" s="71">
        <f t="shared" si="22"/>
        <v>92.666666666666671</v>
      </c>
      <c r="AA8" s="101">
        <f t="shared" si="23"/>
        <v>5</v>
      </c>
      <c r="AB8" s="73" t="s">
        <v>806</v>
      </c>
      <c r="AC8" s="73" t="s">
        <v>806</v>
      </c>
      <c r="AD8" s="73" t="s">
        <v>806</v>
      </c>
      <c r="AE8" s="74">
        <v>4</v>
      </c>
      <c r="AF8" s="74">
        <v>79</v>
      </c>
      <c r="AG8" s="74">
        <v>0</v>
      </c>
      <c r="AH8" s="75"/>
      <c r="AJ8" s="93">
        <v>7</v>
      </c>
      <c r="AK8" s="99">
        <v>23240156</v>
      </c>
      <c r="AL8" s="102" t="s">
        <v>350</v>
      </c>
      <c r="AM8" s="68">
        <v>97.7</v>
      </c>
      <c r="AN8" s="68">
        <v>93</v>
      </c>
      <c r="AO8" s="68">
        <v>88.399999999999991</v>
      </c>
      <c r="AP8" s="68">
        <v>81.7</v>
      </c>
      <c r="AQ8" s="68">
        <v>96.4</v>
      </c>
      <c r="AR8" s="68">
        <v>92.5</v>
      </c>
      <c r="AS8" s="68">
        <v>87</v>
      </c>
      <c r="AT8" s="68">
        <v>91.5</v>
      </c>
      <c r="AU8" s="68">
        <v>92</v>
      </c>
      <c r="AV8" s="68">
        <v>97</v>
      </c>
      <c r="AW8" s="68">
        <v>87.5</v>
      </c>
      <c r="AX8" s="76">
        <v>100</v>
      </c>
      <c r="AY8" s="76">
        <v>98</v>
      </c>
      <c r="AZ8" s="76">
        <v>88</v>
      </c>
      <c r="BA8" s="76">
        <v>100</v>
      </c>
      <c r="BB8" s="240">
        <v>95</v>
      </c>
      <c r="BC8" s="240">
        <v>82.5</v>
      </c>
      <c r="BD8" s="240">
        <v>92</v>
      </c>
      <c r="BE8" s="240">
        <v>85</v>
      </c>
      <c r="BF8" s="240">
        <v>82.5</v>
      </c>
      <c r="BG8" s="240">
        <v>85</v>
      </c>
      <c r="BH8" s="70">
        <f t="shared" si="24"/>
        <v>1390.6999999999998</v>
      </c>
      <c r="BI8" s="71">
        <f t="shared" si="25"/>
        <v>92.713333333333324</v>
      </c>
      <c r="BJ8" s="101" t="e">
        <f t="shared" si="26"/>
        <v>#N/A</v>
      </c>
      <c r="BK8" s="73" t="s">
        <v>806</v>
      </c>
      <c r="BL8" s="73" t="s">
        <v>806</v>
      </c>
      <c r="BM8" s="73" t="s">
        <v>806</v>
      </c>
      <c r="BN8" s="74">
        <v>4</v>
      </c>
      <c r="BO8" s="74">
        <v>79</v>
      </c>
      <c r="BP8" s="74">
        <v>0</v>
      </c>
      <c r="BQ8" s="75"/>
    </row>
    <row r="9" spans="1:69" ht="21.95" customHeight="1">
      <c r="A9" s="93">
        <v>6</v>
      </c>
      <c r="B9" s="99">
        <v>22230049</v>
      </c>
      <c r="C9" s="100" t="s">
        <v>351</v>
      </c>
      <c r="D9" s="68">
        <f t="shared" si="0"/>
        <v>86</v>
      </c>
      <c r="E9" s="68">
        <f t="shared" si="1"/>
        <v>92</v>
      </c>
      <c r="F9" s="68">
        <f t="shared" si="2"/>
        <v>89</v>
      </c>
      <c r="G9" s="68">
        <f t="shared" si="3"/>
        <v>90</v>
      </c>
      <c r="H9" s="68">
        <f t="shared" si="4"/>
        <v>97</v>
      </c>
      <c r="I9" s="68">
        <f t="shared" si="5"/>
        <v>99</v>
      </c>
      <c r="J9" s="68">
        <f t="shared" si="6"/>
        <v>89</v>
      </c>
      <c r="K9" s="68">
        <f t="shared" si="7"/>
        <v>85</v>
      </c>
      <c r="L9" s="68">
        <f t="shared" si="8"/>
        <v>82</v>
      </c>
      <c r="M9" s="68">
        <f t="shared" si="9"/>
        <v>99</v>
      </c>
      <c r="N9" s="68">
        <f t="shared" si="10"/>
        <v>99</v>
      </c>
      <c r="O9" s="69">
        <f t="shared" si="11"/>
        <v>80</v>
      </c>
      <c r="P9" s="69">
        <f t="shared" si="12"/>
        <v>99</v>
      </c>
      <c r="Q9" s="69">
        <f t="shared" si="13"/>
        <v>96</v>
      </c>
      <c r="R9" s="69">
        <f t="shared" si="14"/>
        <v>99</v>
      </c>
      <c r="S9" s="234">
        <f t="shared" si="15"/>
        <v>95</v>
      </c>
      <c r="T9" s="234">
        <f t="shared" si="16"/>
        <v>90</v>
      </c>
      <c r="U9" s="234">
        <f t="shared" si="17"/>
        <v>82</v>
      </c>
      <c r="V9" s="234">
        <f t="shared" si="18"/>
        <v>75</v>
      </c>
      <c r="W9" s="234">
        <f t="shared" si="19"/>
        <v>75</v>
      </c>
      <c r="X9" s="234">
        <f t="shared" si="20"/>
        <v>75</v>
      </c>
      <c r="Y9" s="70">
        <f t="shared" si="21"/>
        <v>1381</v>
      </c>
      <c r="Z9" s="71">
        <f t="shared" si="22"/>
        <v>92.066666666666663</v>
      </c>
      <c r="AA9" s="101">
        <f t="shared" si="23"/>
        <v>6</v>
      </c>
      <c r="AB9" s="73" t="s">
        <v>806</v>
      </c>
      <c r="AC9" s="73" t="s">
        <v>806</v>
      </c>
      <c r="AD9" s="73" t="s">
        <v>806</v>
      </c>
      <c r="AE9" s="74">
        <v>0</v>
      </c>
      <c r="AF9" s="74">
        <v>0</v>
      </c>
      <c r="AG9" s="74">
        <v>0</v>
      </c>
      <c r="AH9" s="75"/>
      <c r="AJ9" s="93">
        <v>1</v>
      </c>
      <c r="AK9" s="99">
        <v>22230049</v>
      </c>
      <c r="AL9" s="100" t="s">
        <v>351</v>
      </c>
      <c r="AM9" s="68">
        <v>85.6</v>
      </c>
      <c r="AN9" s="68">
        <v>92</v>
      </c>
      <c r="AO9" s="68">
        <v>89</v>
      </c>
      <c r="AP9" s="68">
        <v>89.6</v>
      </c>
      <c r="AQ9" s="68">
        <v>96.6</v>
      </c>
      <c r="AR9" s="68">
        <v>98.8</v>
      </c>
      <c r="AS9" s="68">
        <v>89</v>
      </c>
      <c r="AT9" s="68">
        <v>85</v>
      </c>
      <c r="AU9" s="68">
        <v>82</v>
      </c>
      <c r="AV9" s="68">
        <v>99.8</v>
      </c>
      <c r="AW9" s="68">
        <v>98.5</v>
      </c>
      <c r="AX9" s="76">
        <v>80</v>
      </c>
      <c r="AY9" s="76">
        <v>100</v>
      </c>
      <c r="AZ9" s="76">
        <v>96</v>
      </c>
      <c r="BA9" s="76">
        <v>100</v>
      </c>
      <c r="BB9" s="240">
        <v>95</v>
      </c>
      <c r="BC9" s="240">
        <v>90</v>
      </c>
      <c r="BD9" s="240">
        <v>82</v>
      </c>
      <c r="BE9" s="240">
        <v>75</v>
      </c>
      <c r="BF9" s="240">
        <v>75</v>
      </c>
      <c r="BG9" s="240">
        <v>75</v>
      </c>
      <c r="BH9" s="70">
        <f t="shared" si="24"/>
        <v>1381.9</v>
      </c>
      <c r="BI9" s="71">
        <f t="shared" si="25"/>
        <v>92.126666666666679</v>
      </c>
      <c r="BJ9" s="101" t="e">
        <f t="shared" si="26"/>
        <v>#N/A</v>
      </c>
      <c r="BK9" s="73" t="s">
        <v>806</v>
      </c>
      <c r="BL9" s="73" t="s">
        <v>806</v>
      </c>
      <c r="BM9" s="73" t="s">
        <v>806</v>
      </c>
      <c r="BN9" s="74">
        <v>0</v>
      </c>
      <c r="BO9" s="74">
        <v>0</v>
      </c>
      <c r="BP9" s="74">
        <v>0</v>
      </c>
      <c r="BQ9" s="75"/>
    </row>
    <row r="10" spans="1:69" ht="21.95" customHeight="1">
      <c r="A10" s="93">
        <v>7</v>
      </c>
      <c r="B10" s="99">
        <v>22230192</v>
      </c>
      <c r="C10" s="102" t="s">
        <v>353</v>
      </c>
      <c r="D10" s="68">
        <f t="shared" si="0"/>
        <v>91</v>
      </c>
      <c r="E10" s="68">
        <f t="shared" si="1"/>
        <v>84</v>
      </c>
      <c r="F10" s="68">
        <f t="shared" si="2"/>
        <v>94</v>
      </c>
      <c r="G10" s="68">
        <f t="shared" si="3"/>
        <v>85</v>
      </c>
      <c r="H10" s="68">
        <f t="shared" si="4"/>
        <v>84</v>
      </c>
      <c r="I10" s="68">
        <f t="shared" si="5"/>
        <v>93</v>
      </c>
      <c r="J10" s="68">
        <f t="shared" si="6"/>
        <v>86</v>
      </c>
      <c r="K10" s="68">
        <f t="shared" si="7"/>
        <v>87</v>
      </c>
      <c r="L10" s="68">
        <f t="shared" si="8"/>
        <v>91</v>
      </c>
      <c r="M10" s="68">
        <f t="shared" si="9"/>
        <v>95</v>
      </c>
      <c r="N10" s="68">
        <f t="shared" si="10"/>
        <v>98</v>
      </c>
      <c r="O10" s="69">
        <f t="shared" si="11"/>
        <v>85</v>
      </c>
      <c r="P10" s="69">
        <f t="shared" si="12"/>
        <v>99</v>
      </c>
      <c r="Q10" s="69">
        <f t="shared" si="13"/>
        <v>92</v>
      </c>
      <c r="R10" s="69">
        <f t="shared" si="14"/>
        <v>99</v>
      </c>
      <c r="S10" s="234">
        <f t="shared" si="15"/>
        <v>93</v>
      </c>
      <c r="T10" s="234">
        <f t="shared" si="16"/>
        <v>85</v>
      </c>
      <c r="U10" s="234">
        <f t="shared" si="17"/>
        <v>91</v>
      </c>
      <c r="V10" s="234">
        <f t="shared" si="18"/>
        <v>78</v>
      </c>
      <c r="W10" s="234">
        <f t="shared" si="19"/>
        <v>75</v>
      </c>
      <c r="X10" s="234">
        <f t="shared" si="20"/>
        <v>80</v>
      </c>
      <c r="Y10" s="70">
        <f t="shared" si="21"/>
        <v>1363</v>
      </c>
      <c r="Z10" s="71">
        <f t="shared" si="22"/>
        <v>90.86666666666666</v>
      </c>
      <c r="AA10" s="101">
        <f t="shared" si="23"/>
        <v>7</v>
      </c>
      <c r="AB10" s="73" t="s">
        <v>806</v>
      </c>
      <c r="AC10" s="73" t="s">
        <v>806</v>
      </c>
      <c r="AD10" s="73" t="s">
        <v>806</v>
      </c>
      <c r="AE10" s="74">
        <v>1</v>
      </c>
      <c r="AF10" s="74">
        <v>0</v>
      </c>
      <c r="AG10" s="74">
        <v>3</v>
      </c>
      <c r="AH10" s="75"/>
      <c r="AJ10" s="93">
        <v>3</v>
      </c>
      <c r="AK10" s="99">
        <v>22230192</v>
      </c>
      <c r="AL10" s="102" t="s">
        <v>353</v>
      </c>
      <c r="AM10" s="68">
        <v>91.2</v>
      </c>
      <c r="AN10" s="68">
        <v>84</v>
      </c>
      <c r="AO10" s="68">
        <v>94.3</v>
      </c>
      <c r="AP10" s="68">
        <v>85.2</v>
      </c>
      <c r="AQ10" s="68">
        <v>83.6</v>
      </c>
      <c r="AR10" s="68">
        <v>93</v>
      </c>
      <c r="AS10" s="68">
        <v>85.5</v>
      </c>
      <c r="AT10" s="68">
        <v>87</v>
      </c>
      <c r="AU10" s="68">
        <v>90.5</v>
      </c>
      <c r="AV10" s="68">
        <v>94.5</v>
      </c>
      <c r="AW10" s="68">
        <v>97.5</v>
      </c>
      <c r="AX10" s="76">
        <v>85</v>
      </c>
      <c r="AY10" s="76">
        <v>99</v>
      </c>
      <c r="AZ10" s="76">
        <v>92</v>
      </c>
      <c r="BA10" s="76">
        <v>100</v>
      </c>
      <c r="BB10" s="240">
        <v>92.5</v>
      </c>
      <c r="BC10" s="240">
        <v>85</v>
      </c>
      <c r="BD10" s="240">
        <v>90.5</v>
      </c>
      <c r="BE10" s="240">
        <v>77.5</v>
      </c>
      <c r="BF10" s="240">
        <v>75</v>
      </c>
      <c r="BG10" s="240">
        <v>80</v>
      </c>
      <c r="BH10" s="70">
        <f t="shared" si="24"/>
        <v>1362.3</v>
      </c>
      <c r="BI10" s="71">
        <f t="shared" si="25"/>
        <v>90.82</v>
      </c>
      <c r="BJ10" s="101" t="e">
        <f t="shared" si="26"/>
        <v>#N/A</v>
      </c>
      <c r="BK10" s="73" t="s">
        <v>806</v>
      </c>
      <c r="BL10" s="73" t="s">
        <v>806</v>
      </c>
      <c r="BM10" s="73" t="s">
        <v>806</v>
      </c>
      <c r="BN10" s="74">
        <v>1</v>
      </c>
      <c r="BO10" s="74">
        <v>0</v>
      </c>
      <c r="BP10" s="74">
        <v>3</v>
      </c>
      <c r="BQ10" s="75"/>
    </row>
    <row r="11" spans="1:69" ht="21.95" customHeight="1">
      <c r="A11" s="93">
        <v>8</v>
      </c>
      <c r="B11" s="99">
        <v>22230099</v>
      </c>
      <c r="C11" s="103" t="s">
        <v>356</v>
      </c>
      <c r="D11" s="68">
        <f t="shared" si="0"/>
        <v>98</v>
      </c>
      <c r="E11" s="68">
        <f t="shared" si="1"/>
        <v>95</v>
      </c>
      <c r="F11" s="68">
        <f t="shared" si="2"/>
        <v>88</v>
      </c>
      <c r="G11" s="68">
        <f t="shared" si="3"/>
        <v>75</v>
      </c>
      <c r="H11" s="68">
        <f t="shared" si="4"/>
        <v>81</v>
      </c>
      <c r="I11" s="68">
        <f t="shared" si="5"/>
        <v>88</v>
      </c>
      <c r="J11" s="68">
        <f t="shared" si="6"/>
        <v>81</v>
      </c>
      <c r="K11" s="68">
        <f t="shared" si="7"/>
        <v>87</v>
      </c>
      <c r="L11" s="68">
        <f t="shared" si="8"/>
        <v>94</v>
      </c>
      <c r="M11" s="68">
        <f t="shared" si="9"/>
        <v>96</v>
      </c>
      <c r="N11" s="68">
        <f t="shared" si="10"/>
        <v>99</v>
      </c>
      <c r="O11" s="69">
        <f t="shared" si="11"/>
        <v>90</v>
      </c>
      <c r="P11" s="69">
        <f t="shared" si="12"/>
        <v>98</v>
      </c>
      <c r="Q11" s="69">
        <f t="shared" si="13"/>
        <v>78</v>
      </c>
      <c r="R11" s="69">
        <f t="shared" si="14"/>
        <v>99</v>
      </c>
      <c r="S11" s="234">
        <f t="shared" si="15"/>
        <v>90</v>
      </c>
      <c r="T11" s="234">
        <f t="shared" si="16"/>
        <v>60</v>
      </c>
      <c r="U11" s="234">
        <f t="shared" si="17"/>
        <v>94</v>
      </c>
      <c r="V11" s="234">
        <f t="shared" si="18"/>
        <v>83</v>
      </c>
      <c r="W11" s="234">
        <f t="shared" si="19"/>
        <v>70</v>
      </c>
      <c r="X11" s="234">
        <f t="shared" si="20"/>
        <v>60</v>
      </c>
      <c r="Y11" s="70">
        <f t="shared" si="21"/>
        <v>1347</v>
      </c>
      <c r="Z11" s="71">
        <f t="shared" si="22"/>
        <v>89.8</v>
      </c>
      <c r="AA11" s="101">
        <f t="shared" si="23"/>
        <v>8</v>
      </c>
      <c r="AB11" s="73" t="s">
        <v>806</v>
      </c>
      <c r="AC11" s="73" t="s">
        <v>806</v>
      </c>
      <c r="AD11" s="73" t="s">
        <v>806</v>
      </c>
      <c r="AE11" s="74">
        <v>0</v>
      </c>
      <c r="AF11" s="74">
        <v>0</v>
      </c>
      <c r="AG11" s="74">
        <v>0</v>
      </c>
      <c r="AH11" s="75"/>
      <c r="AJ11" s="93">
        <v>19</v>
      </c>
      <c r="AK11" s="99">
        <v>22230099</v>
      </c>
      <c r="AL11" s="103" t="s">
        <v>356</v>
      </c>
      <c r="AM11" s="68">
        <v>98.3</v>
      </c>
      <c r="AN11" s="68">
        <v>95</v>
      </c>
      <c r="AO11" s="68">
        <v>87.8</v>
      </c>
      <c r="AP11" s="68">
        <v>74.8</v>
      </c>
      <c r="AQ11" s="68">
        <v>81.099999999999994</v>
      </c>
      <c r="AR11" s="68">
        <v>88</v>
      </c>
      <c r="AS11" s="68">
        <v>81</v>
      </c>
      <c r="AT11" s="68">
        <v>86.5</v>
      </c>
      <c r="AU11" s="68">
        <v>93.5</v>
      </c>
      <c r="AV11" s="68">
        <v>96</v>
      </c>
      <c r="AW11" s="68">
        <v>98.5</v>
      </c>
      <c r="AX11" s="76">
        <v>90</v>
      </c>
      <c r="AY11" s="76">
        <v>98</v>
      </c>
      <c r="AZ11" s="76">
        <v>78</v>
      </c>
      <c r="BA11" s="76">
        <v>100</v>
      </c>
      <c r="BB11" s="240">
        <v>90</v>
      </c>
      <c r="BC11" s="240">
        <v>60</v>
      </c>
      <c r="BD11" s="240">
        <v>93.5</v>
      </c>
      <c r="BE11" s="240">
        <v>82.5</v>
      </c>
      <c r="BF11" s="240">
        <v>70</v>
      </c>
      <c r="BG11" s="240">
        <v>60</v>
      </c>
      <c r="BH11" s="70">
        <f t="shared" si="24"/>
        <v>1346.5</v>
      </c>
      <c r="BI11" s="71">
        <f t="shared" si="25"/>
        <v>89.766666666666666</v>
      </c>
      <c r="BJ11" s="101" t="e">
        <f t="shared" si="26"/>
        <v>#N/A</v>
      </c>
      <c r="BK11" s="73" t="s">
        <v>806</v>
      </c>
      <c r="BL11" s="73" t="s">
        <v>806</v>
      </c>
      <c r="BM11" s="73" t="s">
        <v>806</v>
      </c>
      <c r="BN11" s="74">
        <v>0</v>
      </c>
      <c r="BO11" s="74">
        <v>0</v>
      </c>
      <c r="BP11" s="74">
        <v>0</v>
      </c>
      <c r="BQ11" s="75"/>
    </row>
    <row r="12" spans="1:69" ht="21.95" customHeight="1">
      <c r="A12" s="93">
        <v>9</v>
      </c>
      <c r="B12" s="99">
        <v>23240066</v>
      </c>
      <c r="C12" s="100" t="s">
        <v>355</v>
      </c>
      <c r="D12" s="68">
        <f t="shared" si="0"/>
        <v>89</v>
      </c>
      <c r="E12" s="68">
        <f t="shared" si="1"/>
        <v>88</v>
      </c>
      <c r="F12" s="68">
        <f t="shared" si="2"/>
        <v>81</v>
      </c>
      <c r="G12" s="68">
        <f t="shared" si="3"/>
        <v>71</v>
      </c>
      <c r="H12" s="68">
        <f t="shared" si="4"/>
        <v>89</v>
      </c>
      <c r="I12" s="68">
        <f t="shared" si="5"/>
        <v>96</v>
      </c>
      <c r="J12" s="68">
        <f t="shared" si="6"/>
        <v>76</v>
      </c>
      <c r="K12" s="68">
        <f t="shared" si="7"/>
        <v>78</v>
      </c>
      <c r="L12" s="68">
        <f t="shared" si="8"/>
        <v>97</v>
      </c>
      <c r="M12" s="68">
        <f t="shared" si="9"/>
        <v>95</v>
      </c>
      <c r="N12" s="68">
        <f t="shared" si="10"/>
        <v>97</v>
      </c>
      <c r="O12" s="69">
        <f t="shared" si="11"/>
        <v>95</v>
      </c>
      <c r="P12" s="69">
        <f t="shared" si="12"/>
        <v>97</v>
      </c>
      <c r="Q12" s="69">
        <f t="shared" si="13"/>
        <v>85</v>
      </c>
      <c r="R12" s="69">
        <f t="shared" si="14"/>
        <v>99</v>
      </c>
      <c r="S12" s="234">
        <f t="shared" si="15"/>
        <v>95</v>
      </c>
      <c r="T12" s="234">
        <f t="shared" si="16"/>
        <v>95</v>
      </c>
      <c r="U12" s="234">
        <f t="shared" si="17"/>
        <v>97</v>
      </c>
      <c r="V12" s="234">
        <f t="shared" si="18"/>
        <v>88</v>
      </c>
      <c r="W12" s="234">
        <f t="shared" si="19"/>
        <v>78</v>
      </c>
      <c r="X12" s="234">
        <f t="shared" si="20"/>
        <v>85</v>
      </c>
      <c r="Y12" s="70">
        <f t="shared" si="21"/>
        <v>1333</v>
      </c>
      <c r="Z12" s="71">
        <f t="shared" si="22"/>
        <v>88.86666666666666</v>
      </c>
      <c r="AA12" s="101">
        <f t="shared" si="23"/>
        <v>9</v>
      </c>
      <c r="AB12" s="73" t="s">
        <v>806</v>
      </c>
      <c r="AC12" s="73" t="s">
        <v>806</v>
      </c>
      <c r="AD12" s="73" t="s">
        <v>806</v>
      </c>
      <c r="AE12" s="74">
        <v>0</v>
      </c>
      <c r="AF12" s="74">
        <v>9</v>
      </c>
      <c r="AG12" s="74">
        <v>20</v>
      </c>
      <c r="AH12" s="75"/>
      <c r="AJ12" s="93">
        <v>20</v>
      </c>
      <c r="AK12" s="99">
        <v>23240066</v>
      </c>
      <c r="AL12" s="100" t="s">
        <v>355</v>
      </c>
      <c r="AM12" s="68">
        <v>88.6</v>
      </c>
      <c r="AN12" s="68">
        <v>88</v>
      </c>
      <c r="AO12" s="68">
        <v>81</v>
      </c>
      <c r="AP12" s="68">
        <v>71.3</v>
      </c>
      <c r="AQ12" s="68">
        <v>88.5</v>
      </c>
      <c r="AR12" s="68">
        <v>96</v>
      </c>
      <c r="AS12" s="68">
        <v>76</v>
      </c>
      <c r="AT12" s="68">
        <v>78</v>
      </c>
      <c r="AU12" s="68">
        <v>97</v>
      </c>
      <c r="AV12" s="68">
        <v>94.5</v>
      </c>
      <c r="AW12" s="68">
        <v>96.5</v>
      </c>
      <c r="AX12" s="76">
        <v>95</v>
      </c>
      <c r="AY12" s="76">
        <v>97</v>
      </c>
      <c r="AZ12" s="76">
        <v>85</v>
      </c>
      <c r="BA12" s="76">
        <v>100</v>
      </c>
      <c r="BB12" s="240">
        <v>95</v>
      </c>
      <c r="BC12" s="240">
        <v>95</v>
      </c>
      <c r="BD12" s="240">
        <v>97</v>
      </c>
      <c r="BE12" s="240">
        <v>87.5</v>
      </c>
      <c r="BF12" s="240">
        <v>77.5</v>
      </c>
      <c r="BG12" s="240">
        <v>85</v>
      </c>
      <c r="BH12" s="70">
        <f t="shared" si="24"/>
        <v>1332.4</v>
      </c>
      <c r="BI12" s="71">
        <f t="shared" si="25"/>
        <v>88.826666666666668</v>
      </c>
      <c r="BJ12" s="101" t="e">
        <f t="shared" si="26"/>
        <v>#N/A</v>
      </c>
      <c r="BK12" s="73" t="s">
        <v>806</v>
      </c>
      <c r="BL12" s="73" t="s">
        <v>806</v>
      </c>
      <c r="BM12" s="73" t="s">
        <v>806</v>
      </c>
      <c r="BN12" s="74">
        <v>0</v>
      </c>
      <c r="BO12" s="74">
        <v>9</v>
      </c>
      <c r="BP12" s="74">
        <v>20</v>
      </c>
      <c r="BQ12" s="75"/>
    </row>
    <row r="13" spans="1:69" ht="21.95" customHeight="1">
      <c r="A13" s="93">
        <v>10</v>
      </c>
      <c r="B13" s="99">
        <v>22230060</v>
      </c>
      <c r="C13" s="107" t="s">
        <v>354</v>
      </c>
      <c r="D13" s="68">
        <f t="shared" si="0"/>
        <v>97</v>
      </c>
      <c r="E13" s="68">
        <f t="shared" si="1"/>
        <v>90</v>
      </c>
      <c r="F13" s="68">
        <f t="shared" si="2"/>
        <v>91</v>
      </c>
      <c r="G13" s="68">
        <f t="shared" si="3"/>
        <v>84</v>
      </c>
      <c r="H13" s="68">
        <f t="shared" si="4"/>
        <v>84</v>
      </c>
      <c r="I13" s="68">
        <f t="shared" si="5"/>
        <v>82</v>
      </c>
      <c r="J13" s="68">
        <f t="shared" si="6"/>
        <v>80</v>
      </c>
      <c r="K13" s="68">
        <f t="shared" si="7"/>
        <v>79</v>
      </c>
      <c r="L13" s="68">
        <f t="shared" si="8"/>
        <v>73</v>
      </c>
      <c r="M13" s="68">
        <f t="shared" si="9"/>
        <v>95</v>
      </c>
      <c r="N13" s="68">
        <f t="shared" si="10"/>
        <v>98</v>
      </c>
      <c r="O13" s="69">
        <f t="shared" si="11"/>
        <v>90</v>
      </c>
      <c r="P13" s="69">
        <f t="shared" si="12"/>
        <v>97</v>
      </c>
      <c r="Q13" s="69">
        <f t="shared" si="13"/>
        <v>92</v>
      </c>
      <c r="R13" s="69">
        <f t="shared" si="14"/>
        <v>99</v>
      </c>
      <c r="S13" s="234">
        <f t="shared" si="15"/>
        <v>90</v>
      </c>
      <c r="T13" s="234">
        <f t="shared" si="16"/>
        <v>85</v>
      </c>
      <c r="U13" s="234">
        <f t="shared" si="17"/>
        <v>73</v>
      </c>
      <c r="V13" s="234">
        <f t="shared" si="18"/>
        <v>78</v>
      </c>
      <c r="W13" s="234">
        <f t="shared" si="19"/>
        <v>73</v>
      </c>
      <c r="X13" s="234">
        <f t="shared" si="20"/>
        <v>80</v>
      </c>
      <c r="Y13" s="70">
        <f t="shared" si="21"/>
        <v>1331</v>
      </c>
      <c r="Z13" s="71">
        <f t="shared" si="22"/>
        <v>88.733333333333334</v>
      </c>
      <c r="AA13" s="101">
        <f t="shared" si="23"/>
        <v>10</v>
      </c>
      <c r="AB13" s="73" t="s">
        <v>806</v>
      </c>
      <c r="AC13" s="73" t="s">
        <v>806</v>
      </c>
      <c r="AD13" s="73" t="s">
        <v>805</v>
      </c>
      <c r="AE13" s="74">
        <v>19</v>
      </c>
      <c r="AF13" s="74">
        <v>0</v>
      </c>
      <c r="AG13" s="74">
        <v>0</v>
      </c>
      <c r="AH13" s="75"/>
      <c r="AJ13" s="93">
        <v>10</v>
      </c>
      <c r="AK13" s="99">
        <v>22230060</v>
      </c>
      <c r="AL13" s="102" t="s">
        <v>354</v>
      </c>
      <c r="AM13" s="68">
        <v>96.6</v>
      </c>
      <c r="AN13" s="68">
        <v>90</v>
      </c>
      <c r="AO13" s="68">
        <v>90.5</v>
      </c>
      <c r="AP13" s="68">
        <v>84.2</v>
      </c>
      <c r="AQ13" s="68">
        <v>83.6</v>
      </c>
      <c r="AR13" s="68">
        <v>81.899999999999991</v>
      </c>
      <c r="AS13" s="68">
        <v>79.5</v>
      </c>
      <c r="AT13" s="68">
        <v>79</v>
      </c>
      <c r="AU13" s="68">
        <v>72.5</v>
      </c>
      <c r="AV13" s="68">
        <v>95</v>
      </c>
      <c r="AW13" s="68">
        <v>97.5</v>
      </c>
      <c r="AX13" s="76">
        <v>90</v>
      </c>
      <c r="AY13" s="76">
        <v>97</v>
      </c>
      <c r="AZ13" s="76">
        <v>92</v>
      </c>
      <c r="BA13" s="76">
        <v>100</v>
      </c>
      <c r="BB13" s="240">
        <v>90</v>
      </c>
      <c r="BC13" s="240">
        <v>85</v>
      </c>
      <c r="BD13" s="240">
        <v>72.5</v>
      </c>
      <c r="BE13" s="240">
        <v>77.5</v>
      </c>
      <c r="BF13" s="240">
        <v>72.5</v>
      </c>
      <c r="BG13" s="240">
        <v>80</v>
      </c>
      <c r="BH13" s="70">
        <f t="shared" si="24"/>
        <v>1329.3</v>
      </c>
      <c r="BI13" s="71">
        <f t="shared" si="25"/>
        <v>88.61999999999999</v>
      </c>
      <c r="BJ13" s="101" t="e">
        <f t="shared" si="26"/>
        <v>#N/A</v>
      </c>
      <c r="BK13" s="73" t="s">
        <v>806</v>
      </c>
      <c r="BL13" s="73" t="s">
        <v>806</v>
      </c>
      <c r="BM13" s="73" t="s">
        <v>805</v>
      </c>
      <c r="BN13" s="74">
        <v>19</v>
      </c>
      <c r="BO13" s="74">
        <v>0</v>
      </c>
      <c r="BP13" s="74">
        <v>0</v>
      </c>
      <c r="BQ13" s="75"/>
    </row>
    <row r="14" spans="1:69" ht="21.95" customHeight="1">
      <c r="A14" s="93">
        <v>11</v>
      </c>
      <c r="B14" s="99">
        <v>25260057</v>
      </c>
      <c r="C14" s="103" t="s">
        <v>497</v>
      </c>
      <c r="D14" s="68">
        <f t="shared" si="0"/>
        <v>91</v>
      </c>
      <c r="E14" s="68">
        <f t="shared" si="1"/>
        <v>86</v>
      </c>
      <c r="F14" s="68">
        <f t="shared" si="2"/>
        <v>87</v>
      </c>
      <c r="G14" s="68">
        <f t="shared" si="3"/>
        <v>78</v>
      </c>
      <c r="H14" s="68">
        <f t="shared" si="4"/>
        <v>85</v>
      </c>
      <c r="I14" s="68">
        <f t="shared" si="5"/>
        <v>90</v>
      </c>
      <c r="J14" s="68">
        <f t="shared" si="6"/>
        <v>78</v>
      </c>
      <c r="K14" s="68">
        <f t="shared" si="7"/>
        <v>87</v>
      </c>
      <c r="L14" s="68">
        <f t="shared" si="8"/>
        <v>84</v>
      </c>
      <c r="M14" s="68">
        <f t="shared" si="9"/>
        <v>90</v>
      </c>
      <c r="N14" s="68">
        <f t="shared" si="10"/>
        <v>90</v>
      </c>
      <c r="O14" s="69">
        <f t="shared" si="11"/>
        <v>99</v>
      </c>
      <c r="P14" s="69">
        <f t="shared" si="12"/>
        <v>99</v>
      </c>
      <c r="Q14" s="69">
        <f t="shared" si="13"/>
        <v>87</v>
      </c>
      <c r="R14" s="69">
        <f t="shared" si="14"/>
        <v>99</v>
      </c>
      <c r="S14" s="234">
        <f t="shared" si="15"/>
        <v>93</v>
      </c>
      <c r="T14" s="234">
        <f t="shared" si="16"/>
        <v>90</v>
      </c>
      <c r="U14" s="234">
        <f t="shared" si="17"/>
        <v>84</v>
      </c>
      <c r="V14" s="234">
        <f t="shared" si="18"/>
        <v>88</v>
      </c>
      <c r="W14" s="234">
        <f t="shared" si="19"/>
        <v>73</v>
      </c>
      <c r="X14" s="234">
        <f t="shared" si="20"/>
        <v>88</v>
      </c>
      <c r="Y14" s="70">
        <f t="shared" si="21"/>
        <v>1330</v>
      </c>
      <c r="Z14" s="71">
        <f t="shared" si="22"/>
        <v>88.666666666666671</v>
      </c>
      <c r="AA14" s="101"/>
      <c r="AB14" s="73" t="s">
        <v>806</v>
      </c>
      <c r="AC14" s="73" t="s">
        <v>806</v>
      </c>
      <c r="AD14" s="73" t="s">
        <v>805</v>
      </c>
      <c r="AE14" s="74">
        <v>0</v>
      </c>
      <c r="AF14" s="74">
        <v>0</v>
      </c>
      <c r="AG14" s="74">
        <v>0</v>
      </c>
      <c r="AH14" s="75"/>
      <c r="AJ14" s="93"/>
      <c r="AK14" s="99">
        <v>25260057</v>
      </c>
      <c r="AL14" s="103" t="s">
        <v>497</v>
      </c>
      <c r="AM14" s="68">
        <v>90.8</v>
      </c>
      <c r="AN14" s="68">
        <v>86</v>
      </c>
      <c r="AO14" s="68">
        <v>87</v>
      </c>
      <c r="AP14" s="68">
        <v>77.5</v>
      </c>
      <c r="AQ14" s="68">
        <v>84.5</v>
      </c>
      <c r="AR14" s="68">
        <v>89.5</v>
      </c>
      <c r="AS14" s="68">
        <v>77.5</v>
      </c>
      <c r="AT14" s="68">
        <v>86.5</v>
      </c>
      <c r="AU14" s="68">
        <v>83.5</v>
      </c>
      <c r="AV14" s="68">
        <v>89.5</v>
      </c>
      <c r="AW14" s="68">
        <v>89.5</v>
      </c>
      <c r="AX14" s="76">
        <v>100</v>
      </c>
      <c r="AY14" s="76">
        <v>100</v>
      </c>
      <c r="AZ14" s="76">
        <v>87</v>
      </c>
      <c r="BA14" s="76">
        <v>100</v>
      </c>
      <c r="BB14" s="240">
        <v>92.5</v>
      </c>
      <c r="BC14" s="240">
        <v>90</v>
      </c>
      <c r="BD14" s="240">
        <v>83.5</v>
      </c>
      <c r="BE14" s="240">
        <v>87.5</v>
      </c>
      <c r="BF14" s="240">
        <v>72.5</v>
      </c>
      <c r="BG14" s="240">
        <v>87.5</v>
      </c>
      <c r="BH14" s="70"/>
      <c r="BI14" s="71"/>
      <c r="BJ14" s="101"/>
      <c r="BK14" s="73"/>
      <c r="BL14" s="73"/>
      <c r="BM14" s="73"/>
      <c r="BN14" s="74"/>
      <c r="BO14" s="74"/>
      <c r="BP14" s="74"/>
      <c r="BQ14" s="75"/>
    </row>
    <row r="15" spans="1:69" ht="21.95" customHeight="1">
      <c r="A15" s="93">
        <v>12</v>
      </c>
      <c r="B15" s="99">
        <v>22230122</v>
      </c>
      <c r="C15" s="102" t="s">
        <v>358</v>
      </c>
      <c r="D15" s="68">
        <f t="shared" si="0"/>
        <v>98</v>
      </c>
      <c r="E15" s="68">
        <f t="shared" si="1"/>
        <v>88</v>
      </c>
      <c r="F15" s="68">
        <f t="shared" si="2"/>
        <v>91</v>
      </c>
      <c r="G15" s="68">
        <f t="shared" si="3"/>
        <v>73</v>
      </c>
      <c r="H15" s="68">
        <f t="shared" si="4"/>
        <v>76</v>
      </c>
      <c r="I15" s="68">
        <f t="shared" si="5"/>
        <v>95</v>
      </c>
      <c r="J15" s="68">
        <f t="shared" si="6"/>
        <v>75</v>
      </c>
      <c r="K15" s="68">
        <f t="shared" si="7"/>
        <v>78</v>
      </c>
      <c r="L15" s="68">
        <f t="shared" si="8"/>
        <v>92</v>
      </c>
      <c r="M15" s="68">
        <f t="shared" si="9"/>
        <v>93</v>
      </c>
      <c r="N15" s="68">
        <f t="shared" si="10"/>
        <v>99</v>
      </c>
      <c r="O15" s="69">
        <f t="shared" si="11"/>
        <v>99</v>
      </c>
      <c r="P15" s="69">
        <f t="shared" si="12"/>
        <v>85</v>
      </c>
      <c r="Q15" s="69">
        <f t="shared" si="13"/>
        <v>80</v>
      </c>
      <c r="R15" s="69">
        <f t="shared" si="14"/>
        <v>99</v>
      </c>
      <c r="S15" s="234">
        <f t="shared" si="15"/>
        <v>90</v>
      </c>
      <c r="T15" s="234">
        <f t="shared" si="16"/>
        <v>63</v>
      </c>
      <c r="U15" s="234">
        <f t="shared" si="17"/>
        <v>92</v>
      </c>
      <c r="V15" s="234">
        <f t="shared" si="18"/>
        <v>83</v>
      </c>
      <c r="W15" s="234">
        <f t="shared" si="19"/>
        <v>75</v>
      </c>
      <c r="X15" s="234">
        <f t="shared" si="20"/>
        <v>68</v>
      </c>
      <c r="Y15" s="70">
        <f t="shared" si="21"/>
        <v>1321</v>
      </c>
      <c r="Z15" s="71">
        <f t="shared" si="22"/>
        <v>88.066666666666663</v>
      </c>
      <c r="AA15" s="101"/>
      <c r="AB15" s="73" t="s">
        <v>806</v>
      </c>
      <c r="AC15" s="73" t="s">
        <v>806</v>
      </c>
      <c r="AD15" s="73" t="s">
        <v>805</v>
      </c>
      <c r="AE15" s="74">
        <v>4</v>
      </c>
      <c r="AF15" s="74">
        <v>0</v>
      </c>
      <c r="AG15" s="74">
        <v>0</v>
      </c>
      <c r="AH15" s="75"/>
      <c r="AJ15" s="93">
        <v>21</v>
      </c>
      <c r="AK15" s="99">
        <v>22230122</v>
      </c>
      <c r="AL15" s="102" t="s">
        <v>358</v>
      </c>
      <c r="AM15" s="68">
        <v>98.3</v>
      </c>
      <c r="AN15" s="68">
        <v>88</v>
      </c>
      <c r="AO15" s="68">
        <v>91.2</v>
      </c>
      <c r="AP15" s="68">
        <v>72.5</v>
      </c>
      <c r="AQ15" s="68">
        <v>75.7</v>
      </c>
      <c r="AR15" s="68">
        <v>95.4</v>
      </c>
      <c r="AS15" s="68">
        <v>74.5</v>
      </c>
      <c r="AT15" s="68">
        <v>78</v>
      </c>
      <c r="AU15" s="68">
        <v>92</v>
      </c>
      <c r="AV15" s="68">
        <v>93</v>
      </c>
      <c r="AW15" s="68">
        <v>98.5</v>
      </c>
      <c r="AX15" s="76">
        <v>100</v>
      </c>
      <c r="AY15" s="76">
        <v>85</v>
      </c>
      <c r="AZ15" s="76">
        <v>80</v>
      </c>
      <c r="BA15" s="76">
        <v>99</v>
      </c>
      <c r="BB15" s="240">
        <v>90</v>
      </c>
      <c r="BC15" s="240">
        <v>62.5</v>
      </c>
      <c r="BD15" s="240">
        <v>92</v>
      </c>
      <c r="BE15" s="240">
        <v>82.5</v>
      </c>
      <c r="BF15" s="240">
        <v>75</v>
      </c>
      <c r="BG15" s="240">
        <v>67.5</v>
      </c>
      <c r="BH15" s="70">
        <f t="shared" ref="BH15:BH27" si="27">SUM(AM15:BA15)</f>
        <v>1321.1</v>
      </c>
      <c r="BI15" s="71">
        <f t="shared" ref="BI15:BI27" si="28">AVERAGE(AM15:BA15)</f>
        <v>88.073333333333323</v>
      </c>
      <c r="BJ15" s="101" t="e">
        <f t="shared" ref="BJ15:BJ27" si="29">RANK(BH15,$Y$4:$Y$27)</f>
        <v>#N/A</v>
      </c>
      <c r="BK15" s="73" t="s">
        <v>806</v>
      </c>
      <c r="BL15" s="73" t="s">
        <v>806</v>
      </c>
      <c r="BM15" s="73" t="s">
        <v>805</v>
      </c>
      <c r="BN15" s="74">
        <v>4</v>
      </c>
      <c r="BO15" s="74">
        <v>0</v>
      </c>
      <c r="BP15" s="74">
        <v>0</v>
      </c>
      <c r="BQ15" s="75"/>
    </row>
    <row r="16" spans="1:69" ht="21.95" customHeight="1">
      <c r="A16" s="93">
        <v>13</v>
      </c>
      <c r="B16" s="99">
        <v>23240051</v>
      </c>
      <c r="C16" s="102" t="s">
        <v>359</v>
      </c>
      <c r="D16" s="68">
        <f t="shared" si="0"/>
        <v>96</v>
      </c>
      <c r="E16" s="68">
        <f t="shared" si="1"/>
        <v>91</v>
      </c>
      <c r="F16" s="68">
        <f t="shared" si="2"/>
        <v>87</v>
      </c>
      <c r="G16" s="68">
        <f t="shared" si="3"/>
        <v>78</v>
      </c>
      <c r="H16" s="68">
        <f t="shared" si="4"/>
        <v>91</v>
      </c>
      <c r="I16" s="68">
        <f t="shared" si="5"/>
        <v>82</v>
      </c>
      <c r="J16" s="68">
        <f t="shared" si="6"/>
        <v>82</v>
      </c>
      <c r="K16" s="68">
        <f t="shared" si="7"/>
        <v>81</v>
      </c>
      <c r="L16" s="68">
        <f t="shared" si="8"/>
        <v>75</v>
      </c>
      <c r="M16" s="68">
        <f t="shared" si="9"/>
        <v>96</v>
      </c>
      <c r="N16" s="68">
        <f t="shared" si="10"/>
        <v>99</v>
      </c>
      <c r="O16" s="69">
        <f t="shared" si="11"/>
        <v>90</v>
      </c>
      <c r="P16" s="69">
        <f t="shared" si="12"/>
        <v>90</v>
      </c>
      <c r="Q16" s="69">
        <f t="shared" si="13"/>
        <v>80</v>
      </c>
      <c r="R16" s="69">
        <f t="shared" si="14"/>
        <v>99</v>
      </c>
      <c r="S16" s="234">
        <f t="shared" si="15"/>
        <v>95</v>
      </c>
      <c r="T16" s="234">
        <f t="shared" si="16"/>
        <v>75</v>
      </c>
      <c r="U16" s="234">
        <f t="shared" si="17"/>
        <v>75</v>
      </c>
      <c r="V16" s="234">
        <f t="shared" si="18"/>
        <v>75</v>
      </c>
      <c r="W16" s="234">
        <f t="shared" si="19"/>
        <v>60</v>
      </c>
      <c r="X16" s="234">
        <f t="shared" si="20"/>
        <v>70</v>
      </c>
      <c r="Y16" s="70">
        <f t="shared" si="21"/>
        <v>1317</v>
      </c>
      <c r="Z16" s="71">
        <f t="shared" si="22"/>
        <v>87.8</v>
      </c>
      <c r="AA16" s="101"/>
      <c r="AB16" s="73" t="s">
        <v>806</v>
      </c>
      <c r="AC16" s="73" t="s">
        <v>806</v>
      </c>
      <c r="AD16" s="73" t="s">
        <v>805</v>
      </c>
      <c r="AE16" s="74">
        <v>8</v>
      </c>
      <c r="AF16" s="74">
        <v>9</v>
      </c>
      <c r="AG16" s="74">
        <v>0</v>
      </c>
      <c r="AH16" s="75"/>
      <c r="AJ16" s="93">
        <v>22</v>
      </c>
      <c r="AK16" s="99">
        <v>23240051</v>
      </c>
      <c r="AL16" s="102" t="s">
        <v>359</v>
      </c>
      <c r="AM16" s="68">
        <v>95.8</v>
      </c>
      <c r="AN16" s="68">
        <v>91</v>
      </c>
      <c r="AO16" s="68">
        <v>87</v>
      </c>
      <c r="AP16" s="68">
        <v>77.8</v>
      </c>
      <c r="AQ16" s="68">
        <v>91</v>
      </c>
      <c r="AR16" s="68">
        <v>81.5</v>
      </c>
      <c r="AS16" s="68">
        <v>82</v>
      </c>
      <c r="AT16" s="68">
        <v>81</v>
      </c>
      <c r="AU16" s="68">
        <v>75</v>
      </c>
      <c r="AV16" s="68">
        <v>95.5</v>
      </c>
      <c r="AW16" s="68">
        <v>98.5</v>
      </c>
      <c r="AX16" s="76">
        <v>90</v>
      </c>
      <c r="AY16" s="76">
        <v>90</v>
      </c>
      <c r="AZ16" s="76">
        <v>80</v>
      </c>
      <c r="BA16" s="76">
        <v>100</v>
      </c>
      <c r="BB16" s="240">
        <v>95</v>
      </c>
      <c r="BC16" s="240">
        <v>75</v>
      </c>
      <c r="BD16" s="240">
        <v>75</v>
      </c>
      <c r="BE16" s="240">
        <v>75</v>
      </c>
      <c r="BF16" s="240">
        <v>60</v>
      </c>
      <c r="BG16" s="240">
        <v>70</v>
      </c>
      <c r="BH16" s="70">
        <f t="shared" si="27"/>
        <v>1316.1</v>
      </c>
      <c r="BI16" s="71">
        <f t="shared" si="28"/>
        <v>87.74</v>
      </c>
      <c r="BJ16" s="101" t="e">
        <f t="shared" si="29"/>
        <v>#N/A</v>
      </c>
      <c r="BK16" s="73" t="s">
        <v>806</v>
      </c>
      <c r="BL16" s="73" t="s">
        <v>806</v>
      </c>
      <c r="BM16" s="73" t="s">
        <v>805</v>
      </c>
      <c r="BN16" s="74">
        <v>8</v>
      </c>
      <c r="BO16" s="74">
        <v>9</v>
      </c>
      <c r="BP16" s="74">
        <v>0</v>
      </c>
      <c r="BQ16" s="75"/>
    </row>
    <row r="17" spans="1:69" ht="21.95" customHeight="1">
      <c r="A17" s="93">
        <v>14</v>
      </c>
      <c r="B17" s="99">
        <v>22230051</v>
      </c>
      <c r="C17" s="107" t="s">
        <v>360</v>
      </c>
      <c r="D17" s="68">
        <f t="shared" si="0"/>
        <v>98</v>
      </c>
      <c r="E17" s="68">
        <f t="shared" si="1"/>
        <v>87</v>
      </c>
      <c r="F17" s="68">
        <f t="shared" si="2"/>
        <v>85</v>
      </c>
      <c r="G17" s="68">
        <f t="shared" si="3"/>
        <v>74</v>
      </c>
      <c r="H17" s="68">
        <f t="shared" si="4"/>
        <v>81</v>
      </c>
      <c r="I17" s="68">
        <f t="shared" si="5"/>
        <v>80</v>
      </c>
      <c r="J17" s="68">
        <f t="shared" si="6"/>
        <v>81</v>
      </c>
      <c r="K17" s="68">
        <f t="shared" si="7"/>
        <v>80</v>
      </c>
      <c r="L17" s="68">
        <f t="shared" si="8"/>
        <v>73</v>
      </c>
      <c r="M17" s="68">
        <f t="shared" si="9"/>
        <v>92</v>
      </c>
      <c r="N17" s="68">
        <f t="shared" si="10"/>
        <v>98</v>
      </c>
      <c r="O17" s="69">
        <f t="shared" si="11"/>
        <v>95</v>
      </c>
      <c r="P17" s="69">
        <f t="shared" si="12"/>
        <v>98</v>
      </c>
      <c r="Q17" s="69">
        <f t="shared" si="13"/>
        <v>90</v>
      </c>
      <c r="R17" s="69">
        <f t="shared" si="14"/>
        <v>99</v>
      </c>
      <c r="S17" s="234">
        <f t="shared" si="15"/>
        <v>85</v>
      </c>
      <c r="T17" s="234">
        <f t="shared" si="16"/>
        <v>78</v>
      </c>
      <c r="U17" s="234">
        <f t="shared" si="17"/>
        <v>73</v>
      </c>
      <c r="V17" s="234">
        <f t="shared" si="18"/>
        <v>68</v>
      </c>
      <c r="W17" s="234">
        <f t="shared" si="19"/>
        <v>80</v>
      </c>
      <c r="X17" s="234">
        <f t="shared" si="20"/>
        <v>70</v>
      </c>
      <c r="Y17" s="70">
        <f t="shared" si="21"/>
        <v>1311</v>
      </c>
      <c r="Z17" s="71">
        <f t="shared" si="22"/>
        <v>87.4</v>
      </c>
      <c r="AA17" s="101"/>
      <c r="AB17" s="73" t="s">
        <v>806</v>
      </c>
      <c r="AC17" s="73" t="s">
        <v>806</v>
      </c>
      <c r="AD17" s="73" t="s">
        <v>806</v>
      </c>
      <c r="AE17" s="74">
        <v>19</v>
      </c>
      <c r="AF17" s="74">
        <v>0</v>
      </c>
      <c r="AG17" s="74">
        <v>0</v>
      </c>
      <c r="AH17" s="75"/>
      <c r="AJ17" s="93">
        <v>13</v>
      </c>
      <c r="AK17" s="99">
        <v>22230051</v>
      </c>
      <c r="AL17" s="100" t="s">
        <v>360</v>
      </c>
      <c r="AM17" s="68">
        <v>97.8</v>
      </c>
      <c r="AN17" s="68">
        <v>86.5</v>
      </c>
      <c r="AO17" s="68">
        <v>84.8</v>
      </c>
      <c r="AP17" s="68">
        <v>73.8</v>
      </c>
      <c r="AQ17" s="68">
        <v>80.7</v>
      </c>
      <c r="AR17" s="68">
        <v>80.3</v>
      </c>
      <c r="AS17" s="68">
        <v>80.5</v>
      </c>
      <c r="AT17" s="68">
        <v>79.5</v>
      </c>
      <c r="AU17" s="68">
        <v>72.5</v>
      </c>
      <c r="AV17" s="68">
        <v>91.5</v>
      </c>
      <c r="AW17" s="68">
        <v>97.5</v>
      </c>
      <c r="AX17" s="76">
        <v>95</v>
      </c>
      <c r="AY17" s="76">
        <v>98</v>
      </c>
      <c r="AZ17" s="76">
        <v>90</v>
      </c>
      <c r="BA17" s="76">
        <v>100</v>
      </c>
      <c r="BB17" s="240">
        <v>85</v>
      </c>
      <c r="BC17" s="240">
        <v>77.5</v>
      </c>
      <c r="BD17" s="240">
        <v>72.5</v>
      </c>
      <c r="BE17" s="240">
        <v>67.5</v>
      </c>
      <c r="BF17" s="240">
        <v>80</v>
      </c>
      <c r="BG17" s="240">
        <v>70</v>
      </c>
      <c r="BH17" s="70">
        <f t="shared" si="27"/>
        <v>1308.4000000000001</v>
      </c>
      <c r="BI17" s="71">
        <f t="shared" si="28"/>
        <v>87.226666666666674</v>
      </c>
      <c r="BJ17" s="101" t="e">
        <f t="shared" si="29"/>
        <v>#N/A</v>
      </c>
      <c r="BK17" s="73" t="s">
        <v>806</v>
      </c>
      <c r="BL17" s="73" t="s">
        <v>806</v>
      </c>
      <c r="BM17" s="73" t="s">
        <v>806</v>
      </c>
      <c r="BN17" s="74">
        <v>19</v>
      </c>
      <c r="BO17" s="74">
        <v>0</v>
      </c>
      <c r="BP17" s="74">
        <v>0</v>
      </c>
      <c r="BQ17" s="75"/>
    </row>
    <row r="18" spans="1:69" ht="21.95" customHeight="1">
      <c r="A18" s="93">
        <v>15</v>
      </c>
      <c r="B18" s="99">
        <v>22230050</v>
      </c>
      <c r="C18" s="107" t="s">
        <v>357</v>
      </c>
      <c r="D18" s="68">
        <f t="shared" si="0"/>
        <v>91</v>
      </c>
      <c r="E18" s="68">
        <f t="shared" si="1"/>
        <v>93</v>
      </c>
      <c r="F18" s="68">
        <f t="shared" si="2"/>
        <v>76</v>
      </c>
      <c r="G18" s="68">
        <f t="shared" si="3"/>
        <v>73</v>
      </c>
      <c r="H18" s="68">
        <f t="shared" si="4"/>
        <v>75</v>
      </c>
      <c r="I18" s="68">
        <f t="shared" si="5"/>
        <v>72</v>
      </c>
      <c r="J18" s="68">
        <f t="shared" si="6"/>
        <v>80</v>
      </c>
      <c r="K18" s="68">
        <f t="shared" si="7"/>
        <v>78</v>
      </c>
      <c r="L18" s="68">
        <f t="shared" si="8"/>
        <v>92</v>
      </c>
      <c r="M18" s="68">
        <f t="shared" si="9"/>
        <v>95</v>
      </c>
      <c r="N18" s="68">
        <f t="shared" si="10"/>
        <v>98</v>
      </c>
      <c r="O18" s="69">
        <f t="shared" si="11"/>
        <v>90</v>
      </c>
      <c r="P18" s="69">
        <f t="shared" si="12"/>
        <v>90</v>
      </c>
      <c r="Q18" s="69">
        <f t="shared" si="13"/>
        <v>79</v>
      </c>
      <c r="R18" s="69">
        <f t="shared" si="14"/>
        <v>99</v>
      </c>
      <c r="S18" s="234">
        <f t="shared" si="15"/>
        <v>85</v>
      </c>
      <c r="T18" s="234">
        <f t="shared" si="16"/>
        <v>80</v>
      </c>
      <c r="U18" s="234">
        <f t="shared" si="17"/>
        <v>92</v>
      </c>
      <c r="V18" s="234">
        <f t="shared" si="18"/>
        <v>78</v>
      </c>
      <c r="W18" s="234">
        <f t="shared" si="19"/>
        <v>63</v>
      </c>
      <c r="X18" s="234">
        <f t="shared" si="20"/>
        <v>80</v>
      </c>
      <c r="Y18" s="70">
        <f t="shared" si="21"/>
        <v>1281</v>
      </c>
      <c r="Z18" s="71">
        <f t="shared" si="22"/>
        <v>85.4</v>
      </c>
      <c r="AA18" s="101"/>
      <c r="AB18" s="73" t="s">
        <v>806</v>
      </c>
      <c r="AC18" s="73" t="s">
        <v>806</v>
      </c>
      <c r="AD18" s="73" t="s">
        <v>805</v>
      </c>
      <c r="AE18" s="74">
        <v>10</v>
      </c>
      <c r="AF18" s="74">
        <v>0</v>
      </c>
      <c r="AG18" s="74">
        <v>0</v>
      </c>
      <c r="AH18" s="75"/>
      <c r="AJ18" s="93">
        <v>11</v>
      </c>
      <c r="AK18" s="99">
        <v>22230050</v>
      </c>
      <c r="AL18" s="102" t="s">
        <v>357</v>
      </c>
      <c r="AM18" s="68">
        <v>90.5</v>
      </c>
      <c r="AN18" s="68">
        <v>93</v>
      </c>
      <c r="AO18" s="68">
        <v>76</v>
      </c>
      <c r="AP18" s="68">
        <v>73.099999999999994</v>
      </c>
      <c r="AQ18" s="68">
        <v>74.7</v>
      </c>
      <c r="AR18" s="68">
        <v>72.400000000000006</v>
      </c>
      <c r="AS18" s="68">
        <v>79.5</v>
      </c>
      <c r="AT18" s="68">
        <v>78</v>
      </c>
      <c r="AU18" s="68">
        <v>91.5</v>
      </c>
      <c r="AV18" s="68">
        <v>95</v>
      </c>
      <c r="AW18" s="68">
        <v>97.5</v>
      </c>
      <c r="AX18" s="76">
        <v>90</v>
      </c>
      <c r="AY18" s="76">
        <v>90</v>
      </c>
      <c r="AZ18" s="76">
        <v>79</v>
      </c>
      <c r="BA18" s="76">
        <v>100</v>
      </c>
      <c r="BB18" s="240">
        <v>85</v>
      </c>
      <c r="BC18" s="240">
        <v>80</v>
      </c>
      <c r="BD18" s="240">
        <v>91.5</v>
      </c>
      <c r="BE18" s="240">
        <v>77.5</v>
      </c>
      <c r="BF18" s="240">
        <v>62.5</v>
      </c>
      <c r="BG18" s="240">
        <v>80</v>
      </c>
      <c r="BH18" s="70">
        <f t="shared" si="27"/>
        <v>1280.2</v>
      </c>
      <c r="BI18" s="71">
        <f t="shared" si="28"/>
        <v>85.346666666666664</v>
      </c>
      <c r="BJ18" s="101" t="e">
        <f t="shared" si="29"/>
        <v>#N/A</v>
      </c>
      <c r="BK18" s="73" t="s">
        <v>806</v>
      </c>
      <c r="BL18" s="73" t="s">
        <v>806</v>
      </c>
      <c r="BM18" s="73" t="s">
        <v>805</v>
      </c>
      <c r="BN18" s="74">
        <v>10</v>
      </c>
      <c r="BO18" s="74">
        <v>0</v>
      </c>
      <c r="BP18" s="74">
        <v>0</v>
      </c>
      <c r="BQ18" s="75"/>
    </row>
    <row r="19" spans="1:69" ht="21.95" customHeight="1">
      <c r="A19" s="93">
        <v>16</v>
      </c>
      <c r="B19" s="99">
        <v>22230024</v>
      </c>
      <c r="C19" s="107" t="s">
        <v>361</v>
      </c>
      <c r="D19" s="68">
        <f t="shared" si="0"/>
        <v>93</v>
      </c>
      <c r="E19" s="68">
        <f t="shared" si="1"/>
        <v>76</v>
      </c>
      <c r="F19" s="68">
        <f t="shared" si="2"/>
        <v>63</v>
      </c>
      <c r="G19" s="68">
        <f t="shared" si="3"/>
        <v>79</v>
      </c>
      <c r="H19" s="68">
        <f t="shared" si="4"/>
        <v>74</v>
      </c>
      <c r="I19" s="68">
        <f t="shared" si="5"/>
        <v>80</v>
      </c>
      <c r="J19" s="68">
        <f t="shared" si="6"/>
        <v>62</v>
      </c>
      <c r="K19" s="68">
        <f t="shared" si="7"/>
        <v>63</v>
      </c>
      <c r="L19" s="68">
        <f t="shared" si="8"/>
        <v>78</v>
      </c>
      <c r="M19" s="68">
        <f t="shared" si="9"/>
        <v>85</v>
      </c>
      <c r="N19" s="68">
        <f t="shared" si="10"/>
        <v>98</v>
      </c>
      <c r="O19" s="69">
        <f t="shared" si="11"/>
        <v>85</v>
      </c>
      <c r="P19" s="69">
        <f t="shared" si="12"/>
        <v>80</v>
      </c>
      <c r="Q19" s="69">
        <f t="shared" si="13"/>
        <v>89</v>
      </c>
      <c r="R19" s="69">
        <f t="shared" si="14"/>
        <v>99</v>
      </c>
      <c r="S19" s="234">
        <f t="shared" si="15"/>
        <v>95</v>
      </c>
      <c r="T19" s="234">
        <f t="shared" si="16"/>
        <v>88</v>
      </c>
      <c r="U19" s="234">
        <f t="shared" si="17"/>
        <v>78</v>
      </c>
      <c r="V19" s="234">
        <f t="shared" si="18"/>
        <v>75</v>
      </c>
      <c r="W19" s="234">
        <f t="shared" si="19"/>
        <v>83</v>
      </c>
      <c r="X19" s="234">
        <f t="shared" si="20"/>
        <v>83</v>
      </c>
      <c r="Y19" s="70">
        <f t="shared" si="21"/>
        <v>1204</v>
      </c>
      <c r="Z19" s="71">
        <f t="shared" si="22"/>
        <v>80.266666666666666</v>
      </c>
      <c r="AA19" s="101"/>
      <c r="AB19" s="73" t="s">
        <v>806</v>
      </c>
      <c r="AC19" s="73" t="s">
        <v>806</v>
      </c>
      <c r="AD19" s="73" t="s">
        <v>805</v>
      </c>
      <c r="AE19" s="74">
        <v>14</v>
      </c>
      <c r="AF19" s="74">
        <v>0</v>
      </c>
      <c r="AG19" s="74">
        <v>0</v>
      </c>
      <c r="AH19" s="75"/>
      <c r="AJ19" s="93">
        <v>6</v>
      </c>
      <c r="AK19" s="99">
        <v>22230024</v>
      </c>
      <c r="AL19" s="100" t="s">
        <v>361</v>
      </c>
      <c r="AM19" s="68">
        <v>92.8</v>
      </c>
      <c r="AN19" s="68">
        <v>76</v>
      </c>
      <c r="AO19" s="68">
        <v>63.099999999999994</v>
      </c>
      <c r="AP19" s="68">
        <v>78.5</v>
      </c>
      <c r="AQ19" s="68">
        <v>74.099999999999994</v>
      </c>
      <c r="AR19" s="68">
        <v>80.399999999999991</v>
      </c>
      <c r="AS19" s="68">
        <v>62</v>
      </c>
      <c r="AT19" s="68">
        <v>63</v>
      </c>
      <c r="AU19" s="68">
        <v>78</v>
      </c>
      <c r="AV19" s="68">
        <v>85</v>
      </c>
      <c r="AW19" s="68">
        <v>97.5</v>
      </c>
      <c r="AX19" s="76">
        <v>85</v>
      </c>
      <c r="AY19" s="76">
        <v>80</v>
      </c>
      <c r="AZ19" s="76">
        <v>89</v>
      </c>
      <c r="BA19" s="76">
        <v>100</v>
      </c>
      <c r="BB19" s="240">
        <v>95</v>
      </c>
      <c r="BC19" s="240">
        <v>87.5</v>
      </c>
      <c r="BD19" s="240">
        <v>78</v>
      </c>
      <c r="BE19" s="240">
        <v>75</v>
      </c>
      <c r="BF19" s="240">
        <v>82.5</v>
      </c>
      <c r="BG19" s="240">
        <v>82.5</v>
      </c>
      <c r="BH19" s="70">
        <f t="shared" si="27"/>
        <v>1204.4000000000001</v>
      </c>
      <c r="BI19" s="71">
        <f t="shared" si="28"/>
        <v>80.293333333333337</v>
      </c>
      <c r="BJ19" s="101" t="e">
        <f t="shared" si="29"/>
        <v>#N/A</v>
      </c>
      <c r="BK19" s="73" t="s">
        <v>806</v>
      </c>
      <c r="BL19" s="73" t="s">
        <v>806</v>
      </c>
      <c r="BM19" s="73" t="s">
        <v>805</v>
      </c>
      <c r="BN19" s="74">
        <v>14</v>
      </c>
      <c r="BO19" s="74">
        <v>0</v>
      </c>
      <c r="BP19" s="74">
        <v>0</v>
      </c>
      <c r="BQ19" s="75"/>
    </row>
    <row r="20" spans="1:69" ht="21.95" customHeight="1">
      <c r="A20" s="93">
        <v>17</v>
      </c>
      <c r="B20" s="99">
        <v>22230146</v>
      </c>
      <c r="C20" s="107" t="s">
        <v>362</v>
      </c>
      <c r="D20" s="68">
        <f t="shared" si="0"/>
        <v>79</v>
      </c>
      <c r="E20" s="68">
        <f t="shared" si="1"/>
        <v>84</v>
      </c>
      <c r="F20" s="68">
        <f t="shared" si="2"/>
        <v>72</v>
      </c>
      <c r="G20" s="68">
        <f t="shared" si="3"/>
        <v>72</v>
      </c>
      <c r="H20" s="68">
        <f t="shared" si="4"/>
        <v>74</v>
      </c>
      <c r="I20" s="68">
        <f t="shared" si="5"/>
        <v>99</v>
      </c>
      <c r="J20" s="68">
        <f t="shared" si="6"/>
        <v>74</v>
      </c>
      <c r="K20" s="68">
        <f t="shared" si="7"/>
        <v>61</v>
      </c>
      <c r="L20" s="68">
        <f t="shared" si="8"/>
        <v>73</v>
      </c>
      <c r="M20" s="68">
        <f t="shared" si="9"/>
        <v>64</v>
      </c>
      <c r="N20" s="68">
        <f t="shared" si="10"/>
        <v>89</v>
      </c>
      <c r="O20" s="69">
        <f t="shared" si="11"/>
        <v>90</v>
      </c>
      <c r="P20" s="69">
        <f t="shared" si="12"/>
        <v>85</v>
      </c>
      <c r="Q20" s="69">
        <f t="shared" si="13"/>
        <v>77</v>
      </c>
      <c r="R20" s="69">
        <f t="shared" si="14"/>
        <v>99</v>
      </c>
      <c r="S20" s="234">
        <f t="shared" si="15"/>
        <v>90</v>
      </c>
      <c r="T20" s="234">
        <f t="shared" si="16"/>
        <v>75</v>
      </c>
      <c r="U20" s="234">
        <f t="shared" si="17"/>
        <v>73</v>
      </c>
      <c r="V20" s="234">
        <f t="shared" si="18"/>
        <v>83</v>
      </c>
      <c r="W20" s="234">
        <f t="shared" si="19"/>
        <v>75</v>
      </c>
      <c r="X20" s="234">
        <f t="shared" si="20"/>
        <v>80</v>
      </c>
      <c r="Y20" s="70">
        <f t="shared" si="21"/>
        <v>1192</v>
      </c>
      <c r="Z20" s="71">
        <f t="shared" si="22"/>
        <v>79.466666666666669</v>
      </c>
      <c r="AA20" s="101"/>
      <c r="AB20" s="73" t="s">
        <v>806</v>
      </c>
      <c r="AC20" s="73" t="s">
        <v>806</v>
      </c>
      <c r="AD20" s="73" t="s">
        <v>805</v>
      </c>
      <c r="AE20" s="74">
        <v>28</v>
      </c>
      <c r="AF20" s="74">
        <v>12</v>
      </c>
      <c r="AG20" s="74">
        <v>0</v>
      </c>
      <c r="AH20" s="75"/>
      <c r="AJ20" s="93">
        <v>12</v>
      </c>
      <c r="AK20" s="99">
        <v>22230146</v>
      </c>
      <c r="AL20" s="102" t="s">
        <v>362</v>
      </c>
      <c r="AM20" s="68">
        <v>78.8</v>
      </c>
      <c r="AN20" s="68">
        <v>83.5</v>
      </c>
      <c r="AO20" s="68">
        <v>72</v>
      </c>
      <c r="AP20" s="68">
        <v>71.5</v>
      </c>
      <c r="AQ20" s="68">
        <v>74.3</v>
      </c>
      <c r="AR20" s="68">
        <v>99</v>
      </c>
      <c r="AS20" s="68">
        <v>73.5</v>
      </c>
      <c r="AT20" s="68">
        <v>61</v>
      </c>
      <c r="AU20" s="68">
        <v>72.5</v>
      </c>
      <c r="AV20" s="68">
        <v>63.5</v>
      </c>
      <c r="AW20" s="68">
        <v>88.5</v>
      </c>
      <c r="AX20" s="76">
        <v>90</v>
      </c>
      <c r="AY20" s="76">
        <v>85</v>
      </c>
      <c r="AZ20" s="76">
        <v>77</v>
      </c>
      <c r="BA20" s="76">
        <v>100</v>
      </c>
      <c r="BB20" s="240">
        <v>90</v>
      </c>
      <c r="BC20" s="240">
        <v>75</v>
      </c>
      <c r="BD20" s="240">
        <v>72.5</v>
      </c>
      <c r="BE20" s="240">
        <v>82.5</v>
      </c>
      <c r="BF20" s="240">
        <v>75</v>
      </c>
      <c r="BG20" s="240">
        <v>80</v>
      </c>
      <c r="BH20" s="70">
        <f t="shared" si="27"/>
        <v>1190.0999999999999</v>
      </c>
      <c r="BI20" s="71">
        <f t="shared" si="28"/>
        <v>79.339999999999989</v>
      </c>
      <c r="BJ20" s="101" t="e">
        <f t="shared" si="29"/>
        <v>#N/A</v>
      </c>
      <c r="BK20" s="73" t="s">
        <v>806</v>
      </c>
      <c r="BL20" s="73" t="s">
        <v>806</v>
      </c>
      <c r="BM20" s="73" t="s">
        <v>805</v>
      </c>
      <c r="BN20" s="74">
        <v>28</v>
      </c>
      <c r="BO20" s="74">
        <v>12</v>
      </c>
      <c r="BP20" s="74">
        <v>0</v>
      </c>
      <c r="BQ20" s="75"/>
    </row>
    <row r="21" spans="1:69" ht="21.95" customHeight="1">
      <c r="A21" s="93">
        <v>18</v>
      </c>
      <c r="B21" s="99">
        <v>23240065</v>
      </c>
      <c r="C21" s="103" t="s">
        <v>364</v>
      </c>
      <c r="D21" s="68">
        <f t="shared" si="0"/>
        <v>82</v>
      </c>
      <c r="E21" s="68">
        <f t="shared" si="1"/>
        <v>72</v>
      </c>
      <c r="F21" s="68">
        <f t="shared" si="2"/>
        <v>80</v>
      </c>
      <c r="G21" s="68">
        <f t="shared" si="3"/>
        <v>78</v>
      </c>
      <c r="H21" s="68">
        <f t="shared" si="4"/>
        <v>75</v>
      </c>
      <c r="I21" s="68">
        <f t="shared" si="5"/>
        <v>83</v>
      </c>
      <c r="J21" s="68">
        <f t="shared" si="6"/>
        <v>72</v>
      </c>
      <c r="K21" s="68">
        <f t="shared" si="7"/>
        <v>84</v>
      </c>
      <c r="L21" s="68">
        <f t="shared" si="8"/>
        <v>78</v>
      </c>
      <c r="M21" s="68">
        <f t="shared" si="9"/>
        <v>80</v>
      </c>
      <c r="N21" s="68">
        <f t="shared" si="10"/>
        <v>90</v>
      </c>
      <c r="O21" s="69">
        <f t="shared" si="11"/>
        <v>60</v>
      </c>
      <c r="P21" s="69">
        <f t="shared" si="12"/>
        <v>85</v>
      </c>
      <c r="Q21" s="69">
        <f t="shared" si="13"/>
        <v>82</v>
      </c>
      <c r="R21" s="69">
        <f t="shared" si="14"/>
        <v>90</v>
      </c>
      <c r="S21" s="234">
        <f t="shared" si="15"/>
        <v>85</v>
      </c>
      <c r="T21" s="234">
        <f t="shared" si="16"/>
        <v>70</v>
      </c>
      <c r="U21" s="234">
        <f t="shared" si="17"/>
        <v>78</v>
      </c>
      <c r="V21" s="234">
        <f t="shared" si="18"/>
        <v>78</v>
      </c>
      <c r="W21" s="234">
        <f t="shared" si="19"/>
        <v>83</v>
      </c>
      <c r="X21" s="234">
        <f t="shared" si="20"/>
        <v>75</v>
      </c>
      <c r="Y21" s="70">
        <f t="shared" si="21"/>
        <v>1191</v>
      </c>
      <c r="Z21" s="71">
        <f t="shared" si="22"/>
        <v>79.400000000000006</v>
      </c>
      <c r="AA21" s="101"/>
      <c r="AB21" s="73" t="s">
        <v>806</v>
      </c>
      <c r="AC21" s="73" t="s">
        <v>806</v>
      </c>
      <c r="AD21" s="73" t="s">
        <v>805</v>
      </c>
      <c r="AE21" s="74">
        <v>3</v>
      </c>
      <c r="AF21" s="74">
        <v>0</v>
      </c>
      <c r="AG21" s="74">
        <v>0</v>
      </c>
      <c r="AH21" s="75"/>
      <c r="AJ21" s="93">
        <v>17</v>
      </c>
      <c r="AK21" s="99">
        <v>23240065</v>
      </c>
      <c r="AL21" s="103" t="s">
        <v>364</v>
      </c>
      <c r="AM21" s="68">
        <v>81.599999999999994</v>
      </c>
      <c r="AN21" s="68">
        <v>72</v>
      </c>
      <c r="AO21" s="68">
        <v>80.3</v>
      </c>
      <c r="AP21" s="68">
        <v>77.8</v>
      </c>
      <c r="AQ21" s="68">
        <v>75.199999999999989</v>
      </c>
      <c r="AR21" s="68">
        <v>82.5</v>
      </c>
      <c r="AS21" s="68">
        <v>72</v>
      </c>
      <c r="AT21" s="68">
        <v>84</v>
      </c>
      <c r="AU21" s="68">
        <v>77.5</v>
      </c>
      <c r="AV21" s="68">
        <v>79.5</v>
      </c>
      <c r="AW21" s="68">
        <v>89.5</v>
      </c>
      <c r="AX21" s="76">
        <v>60</v>
      </c>
      <c r="AY21" s="76">
        <v>85</v>
      </c>
      <c r="AZ21" s="76">
        <v>82</v>
      </c>
      <c r="BA21" s="76">
        <v>90</v>
      </c>
      <c r="BB21" s="240">
        <v>85</v>
      </c>
      <c r="BC21" s="240">
        <v>70</v>
      </c>
      <c r="BD21" s="240">
        <v>77.5</v>
      </c>
      <c r="BE21" s="240">
        <v>77.5</v>
      </c>
      <c r="BF21" s="240">
        <v>82.5</v>
      </c>
      <c r="BG21" s="240">
        <v>75</v>
      </c>
      <c r="BH21" s="70">
        <f t="shared" si="27"/>
        <v>1188.9000000000001</v>
      </c>
      <c r="BI21" s="71">
        <f t="shared" si="28"/>
        <v>79.260000000000005</v>
      </c>
      <c r="BJ21" s="101" t="e">
        <f t="shared" si="29"/>
        <v>#N/A</v>
      </c>
      <c r="BK21" s="73" t="s">
        <v>806</v>
      </c>
      <c r="BL21" s="73" t="s">
        <v>806</v>
      </c>
      <c r="BM21" s="73" t="s">
        <v>805</v>
      </c>
      <c r="BN21" s="74">
        <v>3</v>
      </c>
      <c r="BO21" s="74">
        <v>0</v>
      </c>
      <c r="BP21" s="74">
        <v>0</v>
      </c>
      <c r="BQ21" s="75"/>
    </row>
    <row r="22" spans="1:69" ht="21.95" customHeight="1">
      <c r="A22" s="93">
        <v>19</v>
      </c>
      <c r="B22" s="99">
        <v>22230152</v>
      </c>
      <c r="C22" s="107" t="s">
        <v>365</v>
      </c>
      <c r="D22" s="68">
        <f t="shared" si="0"/>
        <v>86</v>
      </c>
      <c r="E22" s="68">
        <f t="shared" si="1"/>
        <v>78</v>
      </c>
      <c r="F22" s="68">
        <f t="shared" si="2"/>
        <v>55</v>
      </c>
      <c r="G22" s="68">
        <f t="shared" si="3"/>
        <v>68</v>
      </c>
      <c r="H22" s="68">
        <f t="shared" si="4"/>
        <v>73</v>
      </c>
      <c r="I22" s="68">
        <f t="shared" si="5"/>
        <v>91</v>
      </c>
      <c r="J22" s="68">
        <f t="shared" si="6"/>
        <v>56</v>
      </c>
      <c r="K22" s="68">
        <f t="shared" si="7"/>
        <v>56</v>
      </c>
      <c r="L22" s="68">
        <f t="shared" si="8"/>
        <v>92</v>
      </c>
      <c r="M22" s="68">
        <f t="shared" si="9"/>
        <v>60</v>
      </c>
      <c r="N22" s="68">
        <f t="shared" si="10"/>
        <v>66</v>
      </c>
      <c r="O22" s="69">
        <f t="shared" si="11"/>
        <v>80</v>
      </c>
      <c r="P22" s="69">
        <f t="shared" si="12"/>
        <v>85</v>
      </c>
      <c r="Q22" s="69">
        <f t="shared" si="13"/>
        <v>75</v>
      </c>
      <c r="R22" s="69">
        <f t="shared" si="14"/>
        <v>99</v>
      </c>
      <c r="S22" s="234">
        <f t="shared" si="15"/>
        <v>93</v>
      </c>
      <c r="T22" s="234">
        <f t="shared" si="16"/>
        <v>88</v>
      </c>
      <c r="U22" s="234">
        <f t="shared" si="17"/>
        <v>92</v>
      </c>
      <c r="V22" s="234">
        <f t="shared" si="18"/>
        <v>73</v>
      </c>
      <c r="W22" s="234">
        <f t="shared" si="19"/>
        <v>53</v>
      </c>
      <c r="X22" s="234">
        <f t="shared" si="20"/>
        <v>70</v>
      </c>
      <c r="Y22" s="70">
        <f t="shared" si="21"/>
        <v>1120</v>
      </c>
      <c r="Z22" s="71">
        <f t="shared" si="22"/>
        <v>74.666666666666671</v>
      </c>
      <c r="AA22" s="101"/>
      <c r="AB22" s="73" t="s">
        <v>806</v>
      </c>
      <c r="AC22" s="73" t="s">
        <v>805</v>
      </c>
      <c r="AD22" s="73" t="s">
        <v>805</v>
      </c>
      <c r="AE22" s="74">
        <v>4</v>
      </c>
      <c r="AF22" s="74">
        <v>28</v>
      </c>
      <c r="AG22" s="74">
        <v>5</v>
      </c>
      <c r="AH22" s="75"/>
      <c r="AJ22" s="93">
        <v>9</v>
      </c>
      <c r="AK22" s="99">
        <v>22230152</v>
      </c>
      <c r="AL22" s="103" t="s">
        <v>365</v>
      </c>
      <c r="AM22" s="68">
        <v>85.8</v>
      </c>
      <c r="AN22" s="68">
        <v>78</v>
      </c>
      <c r="AO22" s="68">
        <v>55</v>
      </c>
      <c r="AP22" s="68">
        <v>68.099999999999994</v>
      </c>
      <c r="AQ22" s="68">
        <v>73.199999999999989</v>
      </c>
      <c r="AR22" s="68">
        <v>90.5</v>
      </c>
      <c r="AS22" s="68">
        <v>56</v>
      </c>
      <c r="AT22" s="68">
        <v>55.5</v>
      </c>
      <c r="AU22" s="68">
        <v>92</v>
      </c>
      <c r="AV22" s="68">
        <v>59.5</v>
      </c>
      <c r="AW22" s="68">
        <v>66</v>
      </c>
      <c r="AX22" s="76">
        <v>80</v>
      </c>
      <c r="AY22" s="76">
        <v>85</v>
      </c>
      <c r="AZ22" s="76">
        <v>75</v>
      </c>
      <c r="BA22" s="76">
        <v>100</v>
      </c>
      <c r="BB22" s="240">
        <v>92.5</v>
      </c>
      <c r="BC22" s="240">
        <v>87.5</v>
      </c>
      <c r="BD22" s="240">
        <v>92</v>
      </c>
      <c r="BE22" s="240">
        <v>72.5</v>
      </c>
      <c r="BF22" s="240">
        <v>52.5</v>
      </c>
      <c r="BG22" s="240">
        <v>70</v>
      </c>
      <c r="BH22" s="70">
        <f t="shared" si="27"/>
        <v>1119.5999999999999</v>
      </c>
      <c r="BI22" s="71">
        <f t="shared" si="28"/>
        <v>74.64</v>
      </c>
      <c r="BJ22" s="101" t="e">
        <f t="shared" si="29"/>
        <v>#N/A</v>
      </c>
      <c r="BK22" s="73" t="s">
        <v>806</v>
      </c>
      <c r="BL22" s="73" t="s">
        <v>805</v>
      </c>
      <c r="BM22" s="73" t="s">
        <v>805</v>
      </c>
      <c r="BN22" s="74">
        <v>4</v>
      </c>
      <c r="BO22" s="74">
        <v>28</v>
      </c>
      <c r="BP22" s="74">
        <v>5</v>
      </c>
      <c r="BQ22" s="75"/>
    </row>
    <row r="23" spans="1:69" ht="21.95" customHeight="1">
      <c r="A23" s="93">
        <v>20</v>
      </c>
      <c r="B23" s="99">
        <v>22230182</v>
      </c>
      <c r="C23" s="102" t="s">
        <v>368</v>
      </c>
      <c r="D23" s="68">
        <f t="shared" si="0"/>
        <v>74</v>
      </c>
      <c r="E23" s="68">
        <f t="shared" si="1"/>
        <v>62</v>
      </c>
      <c r="F23" s="68">
        <f t="shared" si="2"/>
        <v>72</v>
      </c>
      <c r="G23" s="68">
        <f t="shared" si="3"/>
        <v>66</v>
      </c>
      <c r="H23" s="68">
        <f t="shared" si="4"/>
        <v>73</v>
      </c>
      <c r="I23" s="68">
        <f t="shared" si="5"/>
        <v>65</v>
      </c>
      <c r="J23" s="68">
        <f t="shared" si="6"/>
        <v>59</v>
      </c>
      <c r="K23" s="68">
        <f t="shared" si="7"/>
        <v>62</v>
      </c>
      <c r="L23" s="68">
        <f t="shared" si="8"/>
        <v>87</v>
      </c>
      <c r="M23" s="68">
        <f t="shared" si="9"/>
        <v>80</v>
      </c>
      <c r="N23" s="68">
        <f t="shared" si="10"/>
        <v>96</v>
      </c>
      <c r="O23" s="69">
        <f t="shared" si="11"/>
        <v>80</v>
      </c>
      <c r="P23" s="69">
        <f t="shared" si="12"/>
        <v>85</v>
      </c>
      <c r="Q23" s="69">
        <f t="shared" si="13"/>
        <v>68</v>
      </c>
      <c r="R23" s="69">
        <f t="shared" si="14"/>
        <v>70</v>
      </c>
      <c r="S23" s="234">
        <f t="shared" si="15"/>
        <v>99</v>
      </c>
      <c r="T23" s="234">
        <f t="shared" si="16"/>
        <v>78</v>
      </c>
      <c r="U23" s="234">
        <f t="shared" si="17"/>
        <v>87</v>
      </c>
      <c r="V23" s="234">
        <f t="shared" si="18"/>
        <v>78</v>
      </c>
      <c r="W23" s="234">
        <f t="shared" si="19"/>
        <v>73</v>
      </c>
      <c r="X23" s="234">
        <f t="shared" si="20"/>
        <v>73</v>
      </c>
      <c r="Y23" s="70">
        <f t="shared" si="21"/>
        <v>1099</v>
      </c>
      <c r="Z23" s="71">
        <f t="shared" si="22"/>
        <v>73.266666666666666</v>
      </c>
      <c r="AA23" s="101"/>
      <c r="AB23" s="73" t="s">
        <v>806</v>
      </c>
      <c r="AC23" s="73" t="s">
        <v>805</v>
      </c>
      <c r="AD23" s="73" t="s">
        <v>805</v>
      </c>
      <c r="AE23" s="74">
        <v>0</v>
      </c>
      <c r="AF23" s="74">
        <v>0</v>
      </c>
      <c r="AG23" s="74">
        <v>0</v>
      </c>
      <c r="AH23" s="75"/>
      <c r="AJ23" s="93">
        <v>2</v>
      </c>
      <c r="AK23" s="99">
        <v>22230182</v>
      </c>
      <c r="AL23" s="102" t="s">
        <v>368</v>
      </c>
      <c r="AM23" s="68">
        <v>74.400000000000006</v>
      </c>
      <c r="AN23" s="68">
        <v>62</v>
      </c>
      <c r="AO23" s="68">
        <v>72.099999999999994</v>
      </c>
      <c r="AP23" s="68">
        <v>65.7</v>
      </c>
      <c r="AQ23" s="68">
        <v>72.7</v>
      </c>
      <c r="AR23" s="68">
        <v>65</v>
      </c>
      <c r="AS23" s="68">
        <v>59</v>
      </c>
      <c r="AT23" s="68">
        <v>61.5</v>
      </c>
      <c r="AU23" s="68">
        <v>87</v>
      </c>
      <c r="AV23" s="68">
        <v>80</v>
      </c>
      <c r="AW23" s="68">
        <v>95.5</v>
      </c>
      <c r="AX23" s="76">
        <v>80</v>
      </c>
      <c r="AY23" s="76">
        <v>85</v>
      </c>
      <c r="AZ23" s="76">
        <v>68</v>
      </c>
      <c r="BA23" s="76">
        <v>70</v>
      </c>
      <c r="BB23" s="240">
        <v>100</v>
      </c>
      <c r="BC23" s="240">
        <v>77.5</v>
      </c>
      <c r="BD23" s="240">
        <v>87</v>
      </c>
      <c r="BE23" s="240">
        <v>77.5</v>
      </c>
      <c r="BF23" s="240">
        <v>72.5</v>
      </c>
      <c r="BG23" s="240">
        <v>72.5</v>
      </c>
      <c r="BH23" s="70">
        <f t="shared" si="27"/>
        <v>1097.9000000000001</v>
      </c>
      <c r="BI23" s="71">
        <f t="shared" si="28"/>
        <v>73.193333333333342</v>
      </c>
      <c r="BJ23" s="101" t="e">
        <f t="shared" si="29"/>
        <v>#N/A</v>
      </c>
      <c r="BK23" s="73" t="s">
        <v>806</v>
      </c>
      <c r="BL23" s="73" t="s">
        <v>805</v>
      </c>
      <c r="BM23" s="73" t="s">
        <v>805</v>
      </c>
      <c r="BN23" s="74">
        <v>0</v>
      </c>
      <c r="BO23" s="74">
        <v>0</v>
      </c>
      <c r="BP23" s="74">
        <v>0</v>
      </c>
      <c r="BQ23" s="75"/>
    </row>
    <row r="24" spans="1:69" ht="21.95" customHeight="1">
      <c r="A24" s="93">
        <v>21</v>
      </c>
      <c r="B24" s="99">
        <v>22230072</v>
      </c>
      <c r="C24" s="107" t="s">
        <v>369</v>
      </c>
      <c r="D24" s="68">
        <f t="shared" si="0"/>
        <v>72</v>
      </c>
      <c r="E24" s="68">
        <f t="shared" si="1"/>
        <v>49</v>
      </c>
      <c r="F24" s="68">
        <f t="shared" si="2"/>
        <v>77</v>
      </c>
      <c r="G24" s="68">
        <f t="shared" si="3"/>
        <v>72</v>
      </c>
      <c r="H24" s="68">
        <f t="shared" si="4"/>
        <v>71</v>
      </c>
      <c r="I24" s="68">
        <f t="shared" si="5"/>
        <v>64</v>
      </c>
      <c r="J24" s="68">
        <f t="shared" si="6"/>
        <v>65</v>
      </c>
      <c r="K24" s="68">
        <f t="shared" si="7"/>
        <v>67</v>
      </c>
      <c r="L24" s="68">
        <f t="shared" si="8"/>
        <v>67</v>
      </c>
      <c r="M24" s="68">
        <f t="shared" si="9"/>
        <v>57</v>
      </c>
      <c r="N24" s="68">
        <f t="shared" si="10"/>
        <v>90</v>
      </c>
      <c r="O24" s="69">
        <f t="shared" si="11"/>
        <v>80</v>
      </c>
      <c r="P24" s="69">
        <f t="shared" si="12"/>
        <v>50</v>
      </c>
      <c r="Q24" s="69">
        <f t="shared" si="13"/>
        <v>81</v>
      </c>
      <c r="R24" s="69">
        <f t="shared" si="14"/>
        <v>70</v>
      </c>
      <c r="S24" s="234">
        <f t="shared" si="15"/>
        <v>98</v>
      </c>
      <c r="T24" s="234">
        <f t="shared" si="16"/>
        <v>75</v>
      </c>
      <c r="U24" s="234">
        <f t="shared" si="17"/>
        <v>67</v>
      </c>
      <c r="V24" s="234">
        <f t="shared" si="18"/>
        <v>90</v>
      </c>
      <c r="W24" s="234">
        <f t="shared" si="19"/>
        <v>65</v>
      </c>
      <c r="X24" s="234">
        <f t="shared" si="20"/>
        <v>73</v>
      </c>
      <c r="Y24" s="70">
        <f t="shared" si="21"/>
        <v>1032</v>
      </c>
      <c r="Z24" s="71">
        <f t="shared" si="22"/>
        <v>68.8</v>
      </c>
      <c r="AA24" s="101"/>
      <c r="AB24" s="73" t="s">
        <v>806</v>
      </c>
      <c r="AC24" s="73" t="s">
        <v>805</v>
      </c>
      <c r="AD24" s="73" t="s">
        <v>805</v>
      </c>
      <c r="AE24" s="74">
        <v>3</v>
      </c>
      <c r="AF24" s="74">
        <v>0</v>
      </c>
      <c r="AG24" s="74">
        <v>0</v>
      </c>
      <c r="AH24" s="75"/>
      <c r="AJ24" s="93">
        <v>8</v>
      </c>
      <c r="AK24" s="99">
        <v>22230072</v>
      </c>
      <c r="AL24" s="102" t="s">
        <v>369</v>
      </c>
      <c r="AM24" s="68">
        <v>71.7</v>
      </c>
      <c r="AN24" s="68">
        <v>49</v>
      </c>
      <c r="AO24" s="68">
        <v>77.400000000000006</v>
      </c>
      <c r="AP24" s="68">
        <v>71.599999999999994</v>
      </c>
      <c r="AQ24" s="68">
        <v>70.5</v>
      </c>
      <c r="AR24" s="68">
        <v>64</v>
      </c>
      <c r="AS24" s="68">
        <v>64.5</v>
      </c>
      <c r="AT24" s="68">
        <v>66.5</v>
      </c>
      <c r="AU24" s="68">
        <v>67</v>
      </c>
      <c r="AV24" s="68">
        <v>56.5</v>
      </c>
      <c r="AW24" s="68">
        <v>89.5</v>
      </c>
      <c r="AX24" s="76">
        <v>80</v>
      </c>
      <c r="AY24" s="76">
        <v>50</v>
      </c>
      <c r="AZ24" s="76">
        <v>81</v>
      </c>
      <c r="BA24" s="76">
        <v>70</v>
      </c>
      <c r="BB24" s="240">
        <v>97.5</v>
      </c>
      <c r="BC24" s="240">
        <v>75</v>
      </c>
      <c r="BD24" s="240">
        <v>67</v>
      </c>
      <c r="BE24" s="240">
        <v>90</v>
      </c>
      <c r="BF24" s="240">
        <v>65</v>
      </c>
      <c r="BG24" s="240">
        <v>72.5</v>
      </c>
      <c r="BH24" s="70">
        <f t="shared" si="27"/>
        <v>1029.2</v>
      </c>
      <c r="BI24" s="71">
        <f t="shared" si="28"/>
        <v>68.61333333333333</v>
      </c>
      <c r="BJ24" s="101" t="e">
        <f t="shared" si="29"/>
        <v>#N/A</v>
      </c>
      <c r="BK24" s="73" t="s">
        <v>806</v>
      </c>
      <c r="BL24" s="73" t="s">
        <v>805</v>
      </c>
      <c r="BM24" s="73" t="s">
        <v>805</v>
      </c>
      <c r="BN24" s="74">
        <v>3</v>
      </c>
      <c r="BO24" s="74">
        <v>0</v>
      </c>
      <c r="BP24" s="74">
        <v>0</v>
      </c>
      <c r="BQ24" s="75"/>
    </row>
    <row r="25" spans="1:69" ht="21.95" customHeight="1">
      <c r="A25" s="93">
        <v>22</v>
      </c>
      <c r="B25" s="99">
        <v>23240166</v>
      </c>
      <c r="C25" s="107" t="s">
        <v>370</v>
      </c>
      <c r="D25" s="68">
        <f t="shared" si="0"/>
        <v>70</v>
      </c>
      <c r="E25" s="68">
        <f t="shared" si="1"/>
        <v>63</v>
      </c>
      <c r="F25" s="68">
        <f t="shared" si="2"/>
        <v>58</v>
      </c>
      <c r="G25" s="68">
        <f t="shared" si="3"/>
        <v>65</v>
      </c>
      <c r="H25" s="68">
        <f t="shared" si="4"/>
        <v>74</v>
      </c>
      <c r="I25" s="68">
        <f t="shared" si="5"/>
        <v>64</v>
      </c>
      <c r="J25" s="68">
        <f t="shared" si="6"/>
        <v>59</v>
      </c>
      <c r="K25" s="68">
        <f t="shared" si="7"/>
        <v>59</v>
      </c>
      <c r="L25" s="68">
        <f t="shared" si="8"/>
        <v>79</v>
      </c>
      <c r="M25" s="68">
        <f t="shared" si="9"/>
        <v>59</v>
      </c>
      <c r="N25" s="68">
        <f t="shared" si="10"/>
        <v>89</v>
      </c>
      <c r="O25" s="69">
        <f t="shared" si="11"/>
        <v>60</v>
      </c>
      <c r="P25" s="69">
        <f t="shared" si="12"/>
        <v>90</v>
      </c>
      <c r="Q25" s="69">
        <f t="shared" si="13"/>
        <v>69</v>
      </c>
      <c r="R25" s="69">
        <f t="shared" si="14"/>
        <v>70</v>
      </c>
      <c r="S25" s="234">
        <f t="shared" si="15"/>
        <v>88</v>
      </c>
      <c r="T25" s="234">
        <f t="shared" si="16"/>
        <v>75</v>
      </c>
      <c r="U25" s="234">
        <f t="shared" si="17"/>
        <v>79</v>
      </c>
      <c r="V25" s="234">
        <f t="shared" si="18"/>
        <v>83</v>
      </c>
      <c r="W25" s="234">
        <f t="shared" si="19"/>
        <v>68</v>
      </c>
      <c r="X25" s="234">
        <f t="shared" si="20"/>
        <v>83</v>
      </c>
      <c r="Y25" s="70">
        <f t="shared" si="21"/>
        <v>1028</v>
      </c>
      <c r="Z25" s="71">
        <f t="shared" si="22"/>
        <v>68.533333333333331</v>
      </c>
      <c r="AA25" s="101"/>
      <c r="AB25" s="73" t="s">
        <v>806</v>
      </c>
      <c r="AC25" s="73" t="s">
        <v>805</v>
      </c>
      <c r="AD25" s="73" t="s">
        <v>805</v>
      </c>
      <c r="AE25" s="74">
        <v>0</v>
      </c>
      <c r="AF25" s="74">
        <v>9</v>
      </c>
      <c r="AG25" s="74">
        <v>0</v>
      </c>
      <c r="AH25" s="75"/>
      <c r="AJ25" s="93">
        <v>14</v>
      </c>
      <c r="AK25" s="99">
        <v>23240166</v>
      </c>
      <c r="AL25" s="100" t="s">
        <v>370</v>
      </c>
      <c r="AM25" s="68">
        <v>69.599999999999994</v>
      </c>
      <c r="AN25" s="68">
        <v>63</v>
      </c>
      <c r="AO25" s="68">
        <v>57.599999999999994</v>
      </c>
      <c r="AP25" s="68">
        <v>64.900000000000006</v>
      </c>
      <c r="AQ25" s="68">
        <v>74.3</v>
      </c>
      <c r="AR25" s="68">
        <v>64</v>
      </c>
      <c r="AS25" s="68">
        <v>58.5</v>
      </c>
      <c r="AT25" s="68">
        <v>59</v>
      </c>
      <c r="AU25" s="68">
        <v>78.5</v>
      </c>
      <c r="AV25" s="68">
        <v>59</v>
      </c>
      <c r="AW25" s="68">
        <v>88.5</v>
      </c>
      <c r="AX25" s="76">
        <v>60</v>
      </c>
      <c r="AY25" s="76">
        <v>90</v>
      </c>
      <c r="AZ25" s="76">
        <v>69</v>
      </c>
      <c r="BA25" s="76">
        <v>70</v>
      </c>
      <c r="BB25" s="240">
        <v>87.5</v>
      </c>
      <c r="BC25" s="240">
        <v>75</v>
      </c>
      <c r="BD25" s="240">
        <v>78.5</v>
      </c>
      <c r="BE25" s="240">
        <v>82.5</v>
      </c>
      <c r="BF25" s="240">
        <v>67.5</v>
      </c>
      <c r="BG25" s="240">
        <v>82.5</v>
      </c>
      <c r="BH25" s="70">
        <f t="shared" si="27"/>
        <v>1025.9000000000001</v>
      </c>
      <c r="BI25" s="71">
        <f t="shared" si="28"/>
        <v>68.393333333333345</v>
      </c>
      <c r="BJ25" s="101" t="e">
        <f t="shared" si="29"/>
        <v>#N/A</v>
      </c>
      <c r="BK25" s="73" t="s">
        <v>806</v>
      </c>
      <c r="BL25" s="73" t="s">
        <v>805</v>
      </c>
      <c r="BM25" s="73" t="s">
        <v>805</v>
      </c>
      <c r="BN25" s="74">
        <v>0</v>
      </c>
      <c r="BO25" s="74">
        <v>9</v>
      </c>
      <c r="BP25" s="74">
        <v>0</v>
      </c>
      <c r="BQ25" s="75"/>
    </row>
    <row r="26" spans="1:69" ht="21.95" customHeight="1">
      <c r="A26" s="93">
        <v>23</v>
      </c>
      <c r="B26" s="99">
        <v>22230046</v>
      </c>
      <c r="C26" s="107" t="s">
        <v>366</v>
      </c>
      <c r="D26" s="68">
        <f t="shared" si="0"/>
        <v>76</v>
      </c>
      <c r="E26" s="68">
        <f t="shared" si="1"/>
        <v>68</v>
      </c>
      <c r="F26" s="68">
        <f t="shared" si="2"/>
        <v>50</v>
      </c>
      <c r="G26" s="68">
        <f t="shared" si="3"/>
        <v>66</v>
      </c>
      <c r="H26" s="68">
        <f t="shared" si="4"/>
        <v>73</v>
      </c>
      <c r="I26" s="68">
        <f t="shared" si="5"/>
        <v>58</v>
      </c>
      <c r="J26" s="68">
        <f t="shared" si="6"/>
        <v>64</v>
      </c>
      <c r="K26" s="68">
        <f t="shared" si="7"/>
        <v>77</v>
      </c>
      <c r="L26" s="68">
        <f t="shared" si="8"/>
        <v>70</v>
      </c>
      <c r="M26" s="68">
        <f t="shared" si="9"/>
        <v>77</v>
      </c>
      <c r="N26" s="68">
        <f t="shared" si="10"/>
        <v>81</v>
      </c>
      <c r="O26" s="69">
        <f t="shared" si="11"/>
        <v>60</v>
      </c>
      <c r="P26" s="69">
        <f t="shared" si="12"/>
        <v>50</v>
      </c>
      <c r="Q26" s="69">
        <f t="shared" si="13"/>
        <v>50</v>
      </c>
      <c r="R26" s="69">
        <f t="shared" si="14"/>
        <v>99</v>
      </c>
      <c r="S26" s="234">
        <f t="shared" si="15"/>
        <v>83</v>
      </c>
      <c r="T26" s="234">
        <f t="shared" si="16"/>
        <v>75</v>
      </c>
      <c r="U26" s="234">
        <f t="shared" si="17"/>
        <v>70</v>
      </c>
      <c r="V26" s="234">
        <f t="shared" si="18"/>
        <v>85</v>
      </c>
      <c r="W26" s="234">
        <f t="shared" si="19"/>
        <v>70</v>
      </c>
      <c r="X26" s="234">
        <f t="shared" si="20"/>
        <v>65</v>
      </c>
      <c r="Y26" s="70">
        <f t="shared" si="21"/>
        <v>1019</v>
      </c>
      <c r="Z26" s="71">
        <f t="shared" si="22"/>
        <v>67.933333333333337</v>
      </c>
      <c r="AA26" s="101"/>
      <c r="AB26" s="73" t="s">
        <v>806</v>
      </c>
      <c r="AC26" s="73" t="s">
        <v>805</v>
      </c>
      <c r="AD26" s="73" t="s">
        <v>805</v>
      </c>
      <c r="AE26" s="74">
        <v>27</v>
      </c>
      <c r="AF26" s="74">
        <v>1</v>
      </c>
      <c r="AG26" s="74">
        <v>1</v>
      </c>
      <c r="AH26" s="75"/>
      <c r="AJ26" s="93">
        <v>15</v>
      </c>
      <c r="AK26" s="99">
        <v>22230046</v>
      </c>
      <c r="AL26" s="100" t="s">
        <v>366</v>
      </c>
      <c r="AM26" s="68">
        <v>75.7</v>
      </c>
      <c r="AN26" s="68">
        <v>68</v>
      </c>
      <c r="AO26" s="68">
        <v>49.5</v>
      </c>
      <c r="AP26" s="68">
        <v>65.7</v>
      </c>
      <c r="AQ26" s="68">
        <v>73</v>
      </c>
      <c r="AR26" s="68">
        <v>58</v>
      </c>
      <c r="AS26" s="68">
        <v>64</v>
      </c>
      <c r="AT26" s="68">
        <v>77</v>
      </c>
      <c r="AU26" s="68">
        <v>70</v>
      </c>
      <c r="AV26" s="68">
        <v>77</v>
      </c>
      <c r="AW26" s="68">
        <v>81</v>
      </c>
      <c r="AX26" s="76">
        <v>60</v>
      </c>
      <c r="AY26" s="76">
        <v>50</v>
      </c>
      <c r="AZ26" s="76">
        <v>50</v>
      </c>
      <c r="BA26" s="76">
        <v>100</v>
      </c>
      <c r="BB26" s="240">
        <v>82.5</v>
      </c>
      <c r="BC26" s="240">
        <v>75</v>
      </c>
      <c r="BD26" s="240">
        <v>70</v>
      </c>
      <c r="BE26" s="240">
        <v>85</v>
      </c>
      <c r="BF26" s="240">
        <v>70</v>
      </c>
      <c r="BG26" s="240">
        <v>65</v>
      </c>
      <c r="BH26" s="70">
        <f t="shared" si="27"/>
        <v>1018.9</v>
      </c>
      <c r="BI26" s="71">
        <f t="shared" si="28"/>
        <v>67.926666666666662</v>
      </c>
      <c r="BJ26" s="101" t="e">
        <f t="shared" si="29"/>
        <v>#N/A</v>
      </c>
      <c r="BK26" s="73" t="s">
        <v>806</v>
      </c>
      <c r="BL26" s="73" t="s">
        <v>805</v>
      </c>
      <c r="BM26" s="73" t="s">
        <v>805</v>
      </c>
      <c r="BN26" s="74">
        <v>27</v>
      </c>
      <c r="BO26" s="74">
        <v>1</v>
      </c>
      <c r="BP26" s="74">
        <v>1</v>
      </c>
      <c r="BQ26" s="75"/>
    </row>
    <row r="27" spans="1:69" ht="21.95" customHeight="1">
      <c r="A27" s="93">
        <v>24</v>
      </c>
      <c r="B27" s="99">
        <v>22230151</v>
      </c>
      <c r="C27" s="107" t="s">
        <v>367</v>
      </c>
      <c r="D27" s="68">
        <f t="shared" si="0"/>
        <v>73</v>
      </c>
      <c r="E27" s="68">
        <f t="shared" si="1"/>
        <v>56</v>
      </c>
      <c r="F27" s="68">
        <f t="shared" si="2"/>
        <v>48</v>
      </c>
      <c r="G27" s="68">
        <f t="shared" si="3"/>
        <v>65</v>
      </c>
      <c r="H27" s="68">
        <f t="shared" si="4"/>
        <v>70</v>
      </c>
      <c r="I27" s="68">
        <f t="shared" si="5"/>
        <v>56</v>
      </c>
      <c r="J27" s="68">
        <f t="shared" si="6"/>
        <v>58</v>
      </c>
      <c r="K27" s="68">
        <f t="shared" si="7"/>
        <v>56</v>
      </c>
      <c r="L27" s="68">
        <f t="shared" si="8"/>
        <v>52</v>
      </c>
      <c r="M27" s="68">
        <f t="shared" si="9"/>
        <v>56</v>
      </c>
      <c r="N27" s="68">
        <f t="shared" si="10"/>
        <v>84</v>
      </c>
      <c r="O27" s="69">
        <f t="shared" si="11"/>
        <v>80</v>
      </c>
      <c r="P27" s="69">
        <f t="shared" si="12"/>
        <v>95</v>
      </c>
      <c r="Q27" s="69">
        <f t="shared" si="13"/>
        <v>70</v>
      </c>
      <c r="R27" s="69">
        <f t="shared" si="14"/>
        <v>98</v>
      </c>
      <c r="S27" s="234">
        <f t="shared" si="15"/>
        <v>95</v>
      </c>
      <c r="T27" s="234">
        <f t="shared" si="16"/>
        <v>83</v>
      </c>
      <c r="U27" s="234">
        <f t="shared" si="17"/>
        <v>52</v>
      </c>
      <c r="V27" s="234">
        <f t="shared" si="18"/>
        <v>75</v>
      </c>
      <c r="W27" s="234">
        <f t="shared" si="19"/>
        <v>70</v>
      </c>
      <c r="X27" s="234">
        <f t="shared" si="20"/>
        <v>75</v>
      </c>
      <c r="Y27" s="70">
        <f t="shared" si="21"/>
        <v>1017</v>
      </c>
      <c r="Z27" s="71">
        <f t="shared" si="22"/>
        <v>67.8</v>
      </c>
      <c r="AA27" s="101"/>
      <c r="AB27" s="73" t="s">
        <v>806</v>
      </c>
      <c r="AC27" s="73" t="s">
        <v>805</v>
      </c>
      <c r="AD27" s="73" t="s">
        <v>805</v>
      </c>
      <c r="AE27" s="74">
        <v>9</v>
      </c>
      <c r="AF27" s="74">
        <v>0</v>
      </c>
      <c r="AG27" s="74">
        <v>0</v>
      </c>
      <c r="AH27" s="75"/>
      <c r="AJ27" s="93">
        <v>5</v>
      </c>
      <c r="AK27" s="99">
        <v>22230151</v>
      </c>
      <c r="AL27" s="100" t="s">
        <v>367</v>
      </c>
      <c r="AM27" s="68">
        <v>73.3</v>
      </c>
      <c r="AN27" s="68">
        <v>56</v>
      </c>
      <c r="AO27" s="68">
        <v>48.2</v>
      </c>
      <c r="AP27" s="68">
        <v>65</v>
      </c>
      <c r="AQ27" s="68">
        <v>69.8</v>
      </c>
      <c r="AR27" s="68">
        <v>55.5</v>
      </c>
      <c r="AS27" s="68">
        <v>58</v>
      </c>
      <c r="AT27" s="68">
        <v>56</v>
      </c>
      <c r="AU27" s="68">
        <v>52</v>
      </c>
      <c r="AV27" s="68">
        <v>56</v>
      </c>
      <c r="AW27" s="68">
        <v>83.5</v>
      </c>
      <c r="AX27" s="76">
        <v>80</v>
      </c>
      <c r="AY27" s="76">
        <v>95</v>
      </c>
      <c r="AZ27" s="76">
        <v>70</v>
      </c>
      <c r="BA27" s="76">
        <v>98</v>
      </c>
      <c r="BB27" s="240">
        <v>95</v>
      </c>
      <c r="BC27" s="240">
        <v>82.5</v>
      </c>
      <c r="BD27" s="240">
        <v>52</v>
      </c>
      <c r="BE27" s="240">
        <v>75</v>
      </c>
      <c r="BF27" s="240">
        <v>70</v>
      </c>
      <c r="BG27" s="240">
        <v>75</v>
      </c>
      <c r="BH27" s="70">
        <f t="shared" si="27"/>
        <v>1016.3</v>
      </c>
      <c r="BI27" s="71">
        <f t="shared" si="28"/>
        <v>67.75333333333333</v>
      </c>
      <c r="BJ27" s="101" t="e">
        <f t="shared" si="29"/>
        <v>#N/A</v>
      </c>
      <c r="BK27" s="73" t="s">
        <v>806</v>
      </c>
      <c r="BL27" s="73" t="s">
        <v>805</v>
      </c>
      <c r="BM27" s="73" t="s">
        <v>805</v>
      </c>
      <c r="BN27" s="74">
        <v>9</v>
      </c>
      <c r="BO27" s="74">
        <v>0</v>
      </c>
      <c r="BP27" s="74">
        <v>137</v>
      </c>
      <c r="BQ27" s="75"/>
    </row>
    <row r="28" spans="1:69" ht="21.95" customHeight="1">
      <c r="A28" s="93">
        <v>25</v>
      </c>
      <c r="B28" s="99">
        <v>20210069</v>
      </c>
      <c r="C28" s="103" t="s">
        <v>496</v>
      </c>
      <c r="D28" s="68">
        <f t="shared" si="0"/>
        <v>40</v>
      </c>
      <c r="E28" s="68">
        <f t="shared" si="1"/>
        <v>48</v>
      </c>
      <c r="F28" s="68">
        <f t="shared" si="2"/>
        <v>43</v>
      </c>
      <c r="G28" s="68">
        <f t="shared" si="3"/>
        <v>56</v>
      </c>
      <c r="H28" s="68">
        <f t="shared" si="4"/>
        <v>43</v>
      </c>
      <c r="I28" s="68">
        <f t="shared" si="5"/>
        <v>44</v>
      </c>
      <c r="J28" s="68">
        <f t="shared" si="6"/>
        <v>40</v>
      </c>
      <c r="K28" s="68">
        <f t="shared" si="7"/>
        <v>40</v>
      </c>
      <c r="L28" s="68">
        <f t="shared" si="8"/>
        <v>45</v>
      </c>
      <c r="M28" s="68">
        <f t="shared" si="9"/>
        <v>40</v>
      </c>
      <c r="N28" s="68">
        <f t="shared" si="10"/>
        <v>52</v>
      </c>
      <c r="O28" s="69">
        <f t="shared" si="11"/>
        <v>40</v>
      </c>
      <c r="P28" s="69">
        <f t="shared" si="12"/>
        <v>40</v>
      </c>
      <c r="Q28" s="69">
        <f t="shared" si="13"/>
        <v>50</v>
      </c>
      <c r="R28" s="69">
        <f t="shared" si="14"/>
        <v>60</v>
      </c>
      <c r="S28" s="234">
        <f t="shared" si="15"/>
        <v>85</v>
      </c>
      <c r="T28" s="234">
        <f t="shared" si="16"/>
        <v>73</v>
      </c>
      <c r="U28" s="234">
        <f t="shared" si="17"/>
        <v>45</v>
      </c>
      <c r="V28" s="234">
        <f t="shared" si="18"/>
        <v>83</v>
      </c>
      <c r="W28" s="234">
        <f t="shared" si="19"/>
        <v>73</v>
      </c>
      <c r="X28" s="234">
        <f t="shared" si="20"/>
        <v>75</v>
      </c>
      <c r="Y28" s="70">
        <f t="shared" si="21"/>
        <v>681</v>
      </c>
      <c r="Z28" s="71">
        <f t="shared" si="22"/>
        <v>45.4</v>
      </c>
      <c r="AA28" s="101"/>
      <c r="AB28" s="73" t="s">
        <v>806</v>
      </c>
      <c r="AC28" s="73" t="s">
        <v>805</v>
      </c>
      <c r="AD28" s="73" t="s">
        <v>805</v>
      </c>
      <c r="AE28" s="74">
        <v>41</v>
      </c>
      <c r="AF28" s="74">
        <v>112</v>
      </c>
      <c r="AG28" s="74">
        <v>0</v>
      </c>
      <c r="AH28" s="75"/>
      <c r="AJ28" s="247"/>
      <c r="AK28" s="99">
        <v>20210069</v>
      </c>
      <c r="AL28" s="103" t="s">
        <v>496</v>
      </c>
      <c r="AM28" s="68">
        <v>31</v>
      </c>
      <c r="AN28" s="68">
        <v>48</v>
      </c>
      <c r="AO28" s="68">
        <v>43</v>
      </c>
      <c r="AP28" s="68">
        <v>56</v>
      </c>
      <c r="AQ28" s="68">
        <v>43</v>
      </c>
      <c r="AR28" s="68">
        <v>43.5</v>
      </c>
      <c r="AS28" s="68">
        <v>37</v>
      </c>
      <c r="AT28" s="68">
        <v>39</v>
      </c>
      <c r="AU28" s="68">
        <v>45</v>
      </c>
      <c r="AV28" s="68">
        <v>38</v>
      </c>
      <c r="AW28" s="68">
        <v>52</v>
      </c>
      <c r="AX28" s="76">
        <v>40</v>
      </c>
      <c r="AY28" s="76">
        <v>40</v>
      </c>
      <c r="AZ28" s="76">
        <v>50</v>
      </c>
      <c r="BA28" s="76">
        <v>60</v>
      </c>
      <c r="BB28" s="240">
        <v>85</v>
      </c>
      <c r="BC28" s="240">
        <v>72.5</v>
      </c>
      <c r="BD28" s="240">
        <v>45</v>
      </c>
      <c r="BE28" s="240">
        <v>82.5</v>
      </c>
      <c r="BF28" s="240">
        <v>72.5</v>
      </c>
      <c r="BG28" s="240">
        <v>75</v>
      </c>
      <c r="BH28" s="70"/>
      <c r="BI28" s="71"/>
      <c r="BJ28" s="101"/>
      <c r="BK28" s="73"/>
      <c r="BL28" s="73"/>
      <c r="BM28" s="73"/>
      <c r="BN28" s="74"/>
      <c r="BO28" s="74"/>
      <c r="BP28" s="74"/>
      <c r="BQ28" s="75"/>
    </row>
    <row r="29" spans="1:69" ht="21.95" customHeight="1">
      <c r="A29" s="93">
        <v>26</v>
      </c>
      <c r="B29" s="99">
        <v>22230155</v>
      </c>
      <c r="C29" s="100" t="s">
        <v>363</v>
      </c>
      <c r="D29" s="68">
        <f t="shared" si="0"/>
        <v>40</v>
      </c>
      <c r="E29" s="68">
        <f t="shared" si="1"/>
        <v>40</v>
      </c>
      <c r="F29" s="68">
        <f t="shared" si="2"/>
        <v>0</v>
      </c>
      <c r="G29" s="68">
        <f t="shared" si="3"/>
        <v>40</v>
      </c>
      <c r="H29" s="68">
        <f t="shared" si="4"/>
        <v>40</v>
      </c>
      <c r="I29" s="68">
        <f t="shared" si="5"/>
        <v>40</v>
      </c>
      <c r="J29" s="68">
        <f t="shared" si="6"/>
        <v>40</v>
      </c>
      <c r="K29" s="68">
        <f t="shared" si="7"/>
        <v>40</v>
      </c>
      <c r="L29" s="68">
        <f t="shared" si="8"/>
        <v>0</v>
      </c>
      <c r="M29" s="68">
        <f t="shared" si="9"/>
        <v>40</v>
      </c>
      <c r="N29" s="68">
        <f t="shared" si="10"/>
        <v>40</v>
      </c>
      <c r="O29" s="69">
        <f t="shared" si="11"/>
        <v>0</v>
      </c>
      <c r="P29" s="69">
        <f t="shared" si="12"/>
        <v>0</v>
      </c>
      <c r="Q29" s="69">
        <f t="shared" si="13"/>
        <v>0</v>
      </c>
      <c r="R29" s="69">
        <f t="shared" si="14"/>
        <v>0</v>
      </c>
      <c r="S29" s="234">
        <f t="shared" si="15"/>
        <v>50</v>
      </c>
      <c r="T29" s="234">
        <f t="shared" si="16"/>
        <v>50</v>
      </c>
      <c r="U29" s="234">
        <f t="shared" si="17"/>
        <v>0</v>
      </c>
      <c r="V29" s="234">
        <f t="shared" si="18"/>
        <v>50</v>
      </c>
      <c r="W29" s="234">
        <f t="shared" si="19"/>
        <v>50</v>
      </c>
      <c r="X29" s="234">
        <f t="shared" si="20"/>
        <v>50</v>
      </c>
      <c r="Y29" s="70">
        <f t="shared" si="21"/>
        <v>360</v>
      </c>
      <c r="Z29" s="71">
        <f t="shared" si="22"/>
        <v>24</v>
      </c>
      <c r="AA29" s="101"/>
      <c r="AB29" s="73"/>
      <c r="AC29" s="73"/>
      <c r="AD29" s="73"/>
      <c r="AE29" s="74">
        <v>18</v>
      </c>
      <c r="AF29" s="74">
        <v>172</v>
      </c>
      <c r="AG29" s="74">
        <v>0</v>
      </c>
      <c r="AH29" s="75"/>
      <c r="AJ29" s="247">
        <v>23</v>
      </c>
      <c r="AK29" s="99">
        <v>22230155</v>
      </c>
      <c r="AL29" s="100" t="s">
        <v>363</v>
      </c>
      <c r="AM29" s="68">
        <v>9.1999999999999993</v>
      </c>
      <c r="AN29" s="68">
        <v>6.9999999999999991</v>
      </c>
      <c r="AO29" s="68">
        <v>0</v>
      </c>
      <c r="AP29" s="68">
        <v>19.899999999999999</v>
      </c>
      <c r="AQ29" s="68">
        <v>19.400000000000002</v>
      </c>
      <c r="AR29" s="68">
        <v>16</v>
      </c>
      <c r="AS29" s="68">
        <v>13.5</v>
      </c>
      <c r="AT29" s="68">
        <v>19.5</v>
      </c>
      <c r="AU29" s="68">
        <v>0</v>
      </c>
      <c r="AV29" s="68">
        <v>9.5</v>
      </c>
      <c r="AW29" s="68">
        <v>9</v>
      </c>
      <c r="AX29" s="76"/>
      <c r="AY29" s="76"/>
      <c r="AZ29" s="76"/>
      <c r="BA29" s="76"/>
      <c r="BB29" s="240">
        <v>50</v>
      </c>
      <c r="BC29" s="240">
        <v>50</v>
      </c>
      <c r="BD29" s="240">
        <v>0</v>
      </c>
      <c r="BE29" s="240">
        <v>50</v>
      </c>
      <c r="BF29" s="240">
        <v>50</v>
      </c>
      <c r="BG29" s="240">
        <v>50</v>
      </c>
      <c r="BH29" s="70">
        <f>SUM(AM29:BA29)</f>
        <v>123</v>
      </c>
      <c r="BI29" s="71">
        <f>AVERAGE(AM29:BA29)</f>
        <v>11.181818181818182</v>
      </c>
      <c r="BJ29" s="101" t="e">
        <f>RANK(BH29,$Y$4:$Y$27)</f>
        <v>#N/A</v>
      </c>
      <c r="BK29" s="73"/>
      <c r="BL29" s="73"/>
      <c r="BM29" s="73"/>
      <c r="BN29" s="74">
        <v>18</v>
      </c>
      <c r="BO29" s="74">
        <v>172</v>
      </c>
      <c r="BP29" s="74">
        <v>0</v>
      </c>
      <c r="BQ29" s="75"/>
    </row>
    <row r="30" spans="1:69" ht="21.95" customHeight="1">
      <c r="A30" s="267" t="s">
        <v>202</v>
      </c>
      <c r="B30" s="268"/>
      <c r="C30" s="269"/>
      <c r="D30" s="72">
        <f t="shared" ref="D30:R30" si="30">SUM(D4:D27)</f>
        <v>2133</v>
      </c>
      <c r="E30" s="72">
        <f t="shared" si="30"/>
        <v>1966</v>
      </c>
      <c r="F30" s="72">
        <f t="shared" si="30"/>
        <v>1915</v>
      </c>
      <c r="G30" s="72">
        <f t="shared" si="30"/>
        <v>1858</v>
      </c>
      <c r="H30" s="72">
        <f t="shared" si="30"/>
        <v>1977</v>
      </c>
      <c r="I30" s="72">
        <f t="shared" si="30"/>
        <v>2020</v>
      </c>
      <c r="J30" s="72">
        <f t="shared" si="30"/>
        <v>1838</v>
      </c>
      <c r="K30" s="72">
        <f t="shared" si="30"/>
        <v>1869</v>
      </c>
      <c r="L30" s="72">
        <f t="shared" si="30"/>
        <v>1982</v>
      </c>
      <c r="M30" s="72">
        <f t="shared" si="30"/>
        <v>2055</v>
      </c>
      <c r="N30" s="72">
        <f t="shared" si="30"/>
        <v>2241</v>
      </c>
      <c r="O30" s="72">
        <f t="shared" si="30"/>
        <v>2079</v>
      </c>
      <c r="P30" s="72">
        <f t="shared" si="30"/>
        <v>2151</v>
      </c>
      <c r="Q30" s="72">
        <f t="shared" si="30"/>
        <v>1988</v>
      </c>
      <c r="R30" s="72">
        <f t="shared" si="30"/>
        <v>2279</v>
      </c>
      <c r="S30" s="72"/>
      <c r="T30" s="72"/>
      <c r="U30" s="72"/>
      <c r="V30" s="72"/>
      <c r="W30" s="72"/>
      <c r="X30" s="72"/>
      <c r="Y30" s="81"/>
      <c r="Z30" s="81"/>
      <c r="AA30" s="81"/>
      <c r="AB30" s="81"/>
      <c r="AC30" s="81"/>
      <c r="AD30" s="81"/>
      <c r="AE30" s="81"/>
      <c r="AF30" s="81"/>
      <c r="AG30" s="81"/>
      <c r="AH30" s="82"/>
      <c r="AJ30" s="267" t="s">
        <v>202</v>
      </c>
      <c r="AK30" s="268"/>
      <c r="AL30" s="269"/>
      <c r="AM30" s="72">
        <f t="shared" ref="AM30:BA30" si="31">SUM(AM4:AM27)</f>
        <v>2130.1</v>
      </c>
      <c r="AN30" s="72">
        <f t="shared" si="31"/>
        <v>1965</v>
      </c>
      <c r="AO30" s="72">
        <f t="shared" si="31"/>
        <v>1914.5999999999997</v>
      </c>
      <c r="AP30" s="72">
        <f t="shared" si="31"/>
        <v>1853.9999999999998</v>
      </c>
      <c r="AQ30" s="72">
        <f t="shared" si="31"/>
        <v>1975.1000000000001</v>
      </c>
      <c r="AR30" s="72">
        <f t="shared" si="31"/>
        <v>2016.7</v>
      </c>
      <c r="AS30" s="72">
        <f t="shared" si="31"/>
        <v>1832</v>
      </c>
      <c r="AT30" s="72">
        <f t="shared" si="31"/>
        <v>1865</v>
      </c>
      <c r="AU30" s="72">
        <f t="shared" si="31"/>
        <v>1977.5</v>
      </c>
      <c r="AV30" s="72">
        <f t="shared" si="31"/>
        <v>2052.8000000000002</v>
      </c>
      <c r="AW30" s="72">
        <f t="shared" si="31"/>
        <v>2230</v>
      </c>
      <c r="AX30" s="72">
        <f t="shared" si="31"/>
        <v>2085</v>
      </c>
      <c r="AY30" s="72">
        <f t="shared" si="31"/>
        <v>2157</v>
      </c>
      <c r="AZ30" s="72">
        <f t="shared" si="31"/>
        <v>1988</v>
      </c>
      <c r="BA30" s="72">
        <f t="shared" si="31"/>
        <v>2297</v>
      </c>
      <c r="BB30" s="72"/>
      <c r="BC30" s="72"/>
      <c r="BD30" s="72"/>
      <c r="BE30" s="72"/>
      <c r="BF30" s="72"/>
      <c r="BG30" s="72"/>
      <c r="BH30" s="81"/>
      <c r="BI30" s="81"/>
      <c r="BJ30" s="81"/>
      <c r="BK30" s="81"/>
      <c r="BL30" s="81"/>
      <c r="BM30" s="81"/>
      <c r="BN30" s="81"/>
      <c r="BO30" s="81"/>
      <c r="BP30" s="81"/>
      <c r="BQ30" s="82"/>
    </row>
    <row r="31" spans="1:69" ht="21.95" customHeight="1">
      <c r="A31" s="267" t="s">
        <v>203</v>
      </c>
      <c r="B31" s="268"/>
      <c r="C31" s="269"/>
      <c r="D31" s="72">
        <f t="shared" ref="D31:R31" si="32">AVERAGE(D4:D27)</f>
        <v>88.875</v>
      </c>
      <c r="E31" s="72">
        <f t="shared" si="32"/>
        <v>81.916666666666671</v>
      </c>
      <c r="F31" s="72">
        <f t="shared" si="32"/>
        <v>79.791666666666671</v>
      </c>
      <c r="G31" s="72">
        <f t="shared" si="32"/>
        <v>77.416666666666671</v>
      </c>
      <c r="H31" s="72">
        <f t="shared" si="32"/>
        <v>82.375</v>
      </c>
      <c r="I31" s="72">
        <f t="shared" si="32"/>
        <v>84.166666666666671</v>
      </c>
      <c r="J31" s="72">
        <f t="shared" si="32"/>
        <v>76.583333333333329</v>
      </c>
      <c r="K31" s="72">
        <f t="shared" si="32"/>
        <v>77.875</v>
      </c>
      <c r="L31" s="72">
        <f t="shared" si="32"/>
        <v>82.583333333333329</v>
      </c>
      <c r="M31" s="72">
        <f t="shared" si="32"/>
        <v>85.625</v>
      </c>
      <c r="N31" s="72">
        <f t="shared" si="32"/>
        <v>93.375</v>
      </c>
      <c r="O31" s="72">
        <f t="shared" si="32"/>
        <v>86.625</v>
      </c>
      <c r="P31" s="72">
        <f t="shared" si="32"/>
        <v>89.625</v>
      </c>
      <c r="Q31" s="72">
        <f t="shared" si="32"/>
        <v>82.833333333333329</v>
      </c>
      <c r="R31" s="72">
        <f t="shared" si="32"/>
        <v>94.958333333333329</v>
      </c>
      <c r="S31" s="72"/>
      <c r="T31" s="72"/>
      <c r="U31" s="72"/>
      <c r="V31" s="72"/>
      <c r="W31" s="72"/>
      <c r="X31" s="72"/>
      <c r="Y31" s="81"/>
      <c r="Z31" s="81"/>
      <c r="AA31" s="81"/>
      <c r="AB31" s="81"/>
      <c r="AC31" s="81"/>
      <c r="AD31" s="81"/>
      <c r="AE31" s="81"/>
      <c r="AF31" s="81"/>
      <c r="AG31" s="81"/>
      <c r="AH31" s="82"/>
      <c r="AJ31" s="267" t="s">
        <v>203</v>
      </c>
      <c r="AK31" s="268"/>
      <c r="AL31" s="269"/>
      <c r="AM31" s="72">
        <f t="shared" ref="AM31:BA31" si="33">AVERAGE(AM4:AM27)</f>
        <v>88.754166666666663</v>
      </c>
      <c r="AN31" s="72">
        <f t="shared" si="33"/>
        <v>81.875</v>
      </c>
      <c r="AO31" s="72">
        <f t="shared" si="33"/>
        <v>79.774999999999991</v>
      </c>
      <c r="AP31" s="72">
        <f t="shared" si="33"/>
        <v>77.249999999999986</v>
      </c>
      <c r="AQ31" s="72">
        <f t="shared" si="33"/>
        <v>82.295833333333334</v>
      </c>
      <c r="AR31" s="72">
        <f t="shared" si="33"/>
        <v>84.029166666666669</v>
      </c>
      <c r="AS31" s="72">
        <f t="shared" si="33"/>
        <v>76.333333333333329</v>
      </c>
      <c r="AT31" s="72">
        <f t="shared" si="33"/>
        <v>77.708333333333329</v>
      </c>
      <c r="AU31" s="72">
        <f t="shared" si="33"/>
        <v>82.395833333333329</v>
      </c>
      <c r="AV31" s="72">
        <f t="shared" si="33"/>
        <v>85.533333333333346</v>
      </c>
      <c r="AW31" s="72">
        <f t="shared" si="33"/>
        <v>92.916666666666671</v>
      </c>
      <c r="AX31" s="72">
        <f t="shared" si="33"/>
        <v>86.875</v>
      </c>
      <c r="AY31" s="72">
        <f t="shared" si="33"/>
        <v>89.875</v>
      </c>
      <c r="AZ31" s="72">
        <f t="shared" si="33"/>
        <v>82.833333333333329</v>
      </c>
      <c r="BA31" s="72">
        <f t="shared" si="33"/>
        <v>95.708333333333329</v>
      </c>
      <c r="BB31" s="72"/>
      <c r="BC31" s="72"/>
      <c r="BD31" s="72"/>
      <c r="BE31" s="72"/>
      <c r="BF31" s="72"/>
      <c r="BG31" s="72"/>
      <c r="BH31" s="81"/>
      <c r="BI31" s="81"/>
      <c r="BJ31" s="81"/>
      <c r="BK31" s="81"/>
      <c r="BL31" s="81"/>
      <c r="BM31" s="81"/>
      <c r="BN31" s="81"/>
      <c r="BO31" s="81"/>
      <c r="BP31" s="81"/>
      <c r="BQ31" s="82"/>
    </row>
    <row r="32" spans="1:69" s="83" customFormat="1">
      <c r="A32" s="83">
        <v>1</v>
      </c>
      <c r="B32" s="83">
        <v>2</v>
      </c>
      <c r="C32" s="83">
        <v>3</v>
      </c>
      <c r="D32" s="83">
        <v>4</v>
      </c>
      <c r="E32" s="83">
        <v>5</v>
      </c>
      <c r="F32" s="83">
        <v>6</v>
      </c>
      <c r="G32" s="83">
        <v>7</v>
      </c>
      <c r="H32" s="83">
        <v>8</v>
      </c>
      <c r="I32" s="83">
        <v>9</v>
      </c>
      <c r="J32" s="83">
        <v>10</v>
      </c>
      <c r="K32" s="83">
        <v>11</v>
      </c>
      <c r="L32" s="83">
        <v>12</v>
      </c>
      <c r="M32" s="83">
        <v>13</v>
      </c>
      <c r="N32" s="83">
        <v>14</v>
      </c>
      <c r="O32" s="83">
        <v>15</v>
      </c>
      <c r="P32" s="83">
        <v>16</v>
      </c>
      <c r="Q32" s="83">
        <v>17</v>
      </c>
      <c r="R32" s="83">
        <v>18</v>
      </c>
      <c r="S32" s="83">
        <v>19</v>
      </c>
      <c r="T32" s="83">
        <v>20</v>
      </c>
      <c r="U32" s="83">
        <v>21</v>
      </c>
      <c r="V32" s="83">
        <v>22</v>
      </c>
      <c r="W32" s="83">
        <v>23</v>
      </c>
      <c r="X32" s="83">
        <v>24</v>
      </c>
      <c r="Y32" s="83">
        <v>25</v>
      </c>
      <c r="Z32" s="83">
        <v>26</v>
      </c>
      <c r="AA32" s="83">
        <v>27</v>
      </c>
      <c r="AB32" s="83">
        <v>28</v>
      </c>
      <c r="AC32" s="83">
        <v>29</v>
      </c>
      <c r="AD32" s="83">
        <v>30</v>
      </c>
      <c r="AE32" s="83">
        <v>31</v>
      </c>
      <c r="AF32" s="83">
        <v>32</v>
      </c>
      <c r="AG32" s="83">
        <v>33</v>
      </c>
    </row>
    <row r="33" spans="1:3" ht="23.25">
      <c r="A33" s="84" t="s">
        <v>204</v>
      </c>
      <c r="C33" s="85"/>
    </row>
    <row r="34" spans="1:3">
      <c r="A34" s="86"/>
      <c r="B34" s="86"/>
      <c r="C34" s="60" t="s">
        <v>205</v>
      </c>
    </row>
    <row r="35" spans="1:3">
      <c r="A35" s="87"/>
      <c r="B35" s="87"/>
      <c r="C35" s="60" t="s">
        <v>206</v>
      </c>
    </row>
    <row r="36" spans="1:3">
      <c r="A36" s="88"/>
      <c r="B36" s="88"/>
      <c r="C36" s="60" t="s">
        <v>207</v>
      </c>
    </row>
    <row r="37" spans="1:3">
      <c r="A37" s="89"/>
      <c r="B37" s="89"/>
      <c r="C37" s="60" t="s">
        <v>208</v>
      </c>
    </row>
  </sheetData>
  <sortState xmlns:xlrd2="http://schemas.microsoft.com/office/spreadsheetml/2017/richdata2" ref="B4:BQ29">
    <sortCondition ref="AA4:AA29"/>
  </sortState>
  <mergeCells count="36">
    <mergeCell ref="A30:C30"/>
    <mergeCell ref="AJ30:AL30"/>
    <mergeCell ref="A31:C31"/>
    <mergeCell ref="AJ31:AL31"/>
    <mergeCell ref="BL2:BL3"/>
    <mergeCell ref="AM2:AW2"/>
    <mergeCell ref="AX2:BA2"/>
    <mergeCell ref="BH2:BH3"/>
    <mergeCell ref="BI2:BI3"/>
    <mergeCell ref="BJ2:BJ3"/>
    <mergeCell ref="BK2:BK3"/>
    <mergeCell ref="AF2:AF3"/>
    <mergeCell ref="AG2:AG3"/>
    <mergeCell ref="AH2:AH3"/>
    <mergeCell ref="AJ2:AJ3"/>
    <mergeCell ref="AK2:AK3"/>
    <mergeCell ref="BM2:BM3"/>
    <mergeCell ref="BN2:BN3"/>
    <mergeCell ref="BO2:BO3"/>
    <mergeCell ref="BP2:BP3"/>
    <mergeCell ref="BQ2:BQ3"/>
    <mergeCell ref="BB2:BG2"/>
    <mergeCell ref="Y2:Y3"/>
    <mergeCell ref="A2:A3"/>
    <mergeCell ref="B2:B3"/>
    <mergeCell ref="C2:C3"/>
    <mergeCell ref="D2:N2"/>
    <mergeCell ref="O2:R2"/>
    <mergeCell ref="S2:X2"/>
    <mergeCell ref="AL2:AL3"/>
    <mergeCell ref="Z2:Z3"/>
    <mergeCell ref="AA2:AA3"/>
    <mergeCell ref="AB2:AB3"/>
    <mergeCell ref="AC2:AC3"/>
    <mergeCell ref="AD2:AD3"/>
    <mergeCell ref="AE2:AE3"/>
  </mergeCells>
  <conditionalFormatting sqref="B4">
    <cfRule type="duplicateValues" dxfId="783" priority="56"/>
    <cfRule type="duplicateValues" dxfId="782" priority="57"/>
  </conditionalFormatting>
  <conditionalFormatting sqref="B5">
    <cfRule type="duplicateValues" dxfId="781" priority="55"/>
  </conditionalFormatting>
  <conditionalFormatting sqref="B6">
    <cfRule type="duplicateValues" dxfId="780" priority="67"/>
    <cfRule type="duplicateValues" dxfId="779" priority="68"/>
  </conditionalFormatting>
  <conditionalFormatting sqref="B7">
    <cfRule type="duplicateValues" dxfId="778" priority="78"/>
  </conditionalFormatting>
  <conditionalFormatting sqref="B8">
    <cfRule type="duplicateValues" dxfId="777" priority="77"/>
  </conditionalFormatting>
  <conditionalFormatting sqref="B9">
    <cfRule type="duplicateValues" dxfId="776" priority="66"/>
  </conditionalFormatting>
  <conditionalFormatting sqref="B10">
    <cfRule type="duplicateValues" dxfId="775" priority="60"/>
    <cfRule type="duplicateValues" dxfId="774" priority="61"/>
  </conditionalFormatting>
  <conditionalFormatting sqref="B11">
    <cfRule type="duplicateValues" dxfId="773" priority="74"/>
    <cfRule type="duplicateValues" dxfId="772" priority="75"/>
  </conditionalFormatting>
  <conditionalFormatting sqref="B12">
    <cfRule type="duplicateValues" dxfId="771" priority="72"/>
    <cfRule type="duplicateValues" dxfId="770" priority="73"/>
  </conditionalFormatting>
  <conditionalFormatting sqref="B13">
    <cfRule type="duplicateValues" dxfId="769" priority="76"/>
  </conditionalFormatting>
  <conditionalFormatting sqref="B14">
    <cfRule type="duplicateValues" dxfId="768" priority="50"/>
  </conditionalFormatting>
  <conditionalFormatting sqref="B15">
    <cfRule type="duplicateValues" dxfId="767" priority="81"/>
  </conditionalFormatting>
  <conditionalFormatting sqref="B16">
    <cfRule type="duplicateValues" dxfId="766" priority="62"/>
  </conditionalFormatting>
  <conditionalFormatting sqref="B17">
    <cfRule type="duplicateValues" dxfId="765" priority="53"/>
    <cfRule type="duplicateValues" dxfId="764" priority="54"/>
  </conditionalFormatting>
  <conditionalFormatting sqref="B19">
    <cfRule type="duplicateValues" dxfId="763" priority="79"/>
    <cfRule type="duplicateValues" dxfId="762" priority="80"/>
  </conditionalFormatting>
  <conditionalFormatting sqref="B20">
    <cfRule type="duplicateValues" dxfId="761" priority="84"/>
    <cfRule type="duplicateValues" dxfId="760" priority="85"/>
  </conditionalFormatting>
  <conditionalFormatting sqref="B21">
    <cfRule type="duplicateValues" dxfId="759" priority="69"/>
    <cfRule type="duplicateValues" dxfId="758" priority="70"/>
  </conditionalFormatting>
  <conditionalFormatting sqref="B22">
    <cfRule type="duplicateValues" dxfId="757" priority="86"/>
  </conditionalFormatting>
  <conditionalFormatting sqref="B23">
    <cfRule type="duplicateValues" dxfId="756" priority="82"/>
    <cfRule type="duplicateValues" dxfId="755" priority="83"/>
  </conditionalFormatting>
  <conditionalFormatting sqref="B24">
    <cfRule type="duplicateValues" dxfId="754" priority="71"/>
  </conditionalFormatting>
  <conditionalFormatting sqref="B25">
    <cfRule type="duplicateValues" dxfId="753" priority="51"/>
    <cfRule type="duplicateValues" dxfId="752" priority="52"/>
  </conditionalFormatting>
  <conditionalFormatting sqref="B26">
    <cfRule type="duplicateValues" dxfId="751" priority="63"/>
  </conditionalFormatting>
  <conditionalFormatting sqref="B27">
    <cfRule type="duplicateValues" dxfId="750" priority="64"/>
  </conditionalFormatting>
  <conditionalFormatting sqref="AM4:BG29 D4:X29">
    <cfRule type="cellIs" dxfId="749" priority="88" operator="lessThanOrEqual">
      <formula>59</formula>
    </cfRule>
  </conditionalFormatting>
  <conditionalFormatting sqref="BI4:BI29 Z4:Z29">
    <cfRule type="cellIs" dxfId="748" priority="87" operator="lessThan">
      <formula>60</formula>
    </cfRule>
  </conditionalFormatting>
  <conditionalFormatting sqref="AK4">
    <cfRule type="duplicateValues" dxfId="747" priority="15"/>
    <cfRule type="duplicateValues" dxfId="746" priority="16"/>
  </conditionalFormatting>
  <conditionalFormatting sqref="AK5">
    <cfRule type="duplicateValues" dxfId="745" priority="14"/>
  </conditionalFormatting>
  <conditionalFormatting sqref="AK6">
    <cfRule type="duplicateValues" dxfId="744" priority="26"/>
    <cfRule type="duplicateValues" dxfId="743" priority="27"/>
  </conditionalFormatting>
  <conditionalFormatting sqref="AK7">
    <cfRule type="duplicateValues" dxfId="742" priority="37"/>
  </conditionalFormatting>
  <conditionalFormatting sqref="AK8">
    <cfRule type="duplicateValues" dxfId="741" priority="36"/>
  </conditionalFormatting>
  <conditionalFormatting sqref="AK9">
    <cfRule type="duplicateValues" dxfId="740" priority="25"/>
  </conditionalFormatting>
  <conditionalFormatting sqref="AK10">
    <cfRule type="duplicateValues" dxfId="739" priority="19"/>
    <cfRule type="duplicateValues" dxfId="738" priority="20"/>
  </conditionalFormatting>
  <conditionalFormatting sqref="AK11">
    <cfRule type="duplicateValues" dxfId="737" priority="33"/>
    <cfRule type="duplicateValues" dxfId="736" priority="34"/>
  </conditionalFormatting>
  <conditionalFormatting sqref="AK12">
    <cfRule type="duplicateValues" dxfId="735" priority="31"/>
    <cfRule type="duplicateValues" dxfId="734" priority="32"/>
  </conditionalFormatting>
  <conditionalFormatting sqref="AK13">
    <cfRule type="duplicateValues" dxfId="733" priority="35"/>
  </conditionalFormatting>
  <conditionalFormatting sqref="AK14">
    <cfRule type="duplicateValues" dxfId="732" priority="9"/>
  </conditionalFormatting>
  <conditionalFormatting sqref="AK15">
    <cfRule type="duplicateValues" dxfId="731" priority="40"/>
  </conditionalFormatting>
  <conditionalFormatting sqref="AK16">
    <cfRule type="duplicateValues" dxfId="730" priority="21"/>
  </conditionalFormatting>
  <conditionalFormatting sqref="AK17">
    <cfRule type="duplicateValues" dxfId="729" priority="12"/>
    <cfRule type="duplicateValues" dxfId="728" priority="13"/>
  </conditionalFormatting>
  <conditionalFormatting sqref="AK19">
    <cfRule type="duplicateValues" dxfId="727" priority="38"/>
    <cfRule type="duplicateValues" dxfId="726" priority="39"/>
  </conditionalFormatting>
  <conditionalFormatting sqref="AK20">
    <cfRule type="duplicateValues" dxfId="725" priority="43"/>
    <cfRule type="duplicateValues" dxfId="724" priority="44"/>
  </conditionalFormatting>
  <conditionalFormatting sqref="AK21">
    <cfRule type="duplicateValues" dxfId="723" priority="28"/>
    <cfRule type="duplicateValues" dxfId="722" priority="29"/>
  </conditionalFormatting>
  <conditionalFormatting sqref="AK22">
    <cfRule type="duplicateValues" dxfId="721" priority="45"/>
  </conditionalFormatting>
  <conditionalFormatting sqref="AK23">
    <cfRule type="duplicateValues" dxfId="720" priority="41"/>
    <cfRule type="duplicateValues" dxfId="719" priority="42"/>
  </conditionalFormatting>
  <conditionalFormatting sqref="AK24">
    <cfRule type="duplicateValues" dxfId="718" priority="30"/>
  </conditionalFormatting>
  <conditionalFormatting sqref="AK25">
    <cfRule type="duplicateValues" dxfId="717" priority="10"/>
    <cfRule type="duplicateValues" dxfId="716" priority="11"/>
  </conditionalFormatting>
  <conditionalFormatting sqref="AK26">
    <cfRule type="duplicateValues" dxfId="715" priority="22"/>
  </conditionalFormatting>
  <conditionalFormatting sqref="AK27">
    <cfRule type="duplicateValues" dxfId="714" priority="23"/>
  </conditionalFormatting>
  <conditionalFormatting sqref="B29">
    <cfRule type="duplicateValues" dxfId="713" priority="6"/>
  </conditionalFormatting>
  <conditionalFormatting sqref="AK29">
    <cfRule type="duplicateValues" dxfId="712" priority="5"/>
  </conditionalFormatting>
  <conditionalFormatting sqref="B28">
    <cfRule type="duplicateValues" dxfId="711" priority="3"/>
    <cfRule type="duplicateValues" dxfId="710" priority="4"/>
  </conditionalFormatting>
  <conditionalFormatting sqref="AK28">
    <cfRule type="duplicateValues" dxfId="709" priority="1"/>
    <cfRule type="duplicateValues" dxfId="708" priority="2"/>
  </conditionalFormatting>
  <conditionalFormatting sqref="AA4:AA29">
    <cfRule type="duplicateValues" dxfId="707" priority="295"/>
    <cfRule type="duplicateValues" dxfId="706" priority="296"/>
    <cfRule type="duplicateValues" dxfId="705" priority="297"/>
  </conditionalFormatting>
  <conditionalFormatting sqref="BJ4:BJ29">
    <cfRule type="duplicateValues" dxfId="704" priority="301"/>
    <cfRule type="duplicateValues" dxfId="703" priority="302"/>
    <cfRule type="duplicateValues" dxfId="702" priority="303"/>
  </conditionalFormatting>
  <printOptions horizontalCentered="1"/>
  <pageMargins left="0.73" right="0.12" top="0.74803149606299202" bottom="0.74803149606299202" header="0.31496062992126" footer="0.31496062992126"/>
  <pageSetup paperSize="10000" scale="80" orientation="landscape" horizontalDpi="203" verticalDpi="203" r:id="rId1"/>
  <rowBreaks count="1" manualBreakCount="1">
    <brk id="25" max="26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C94F2-0D34-4772-B9D1-D8D3EBFBF0F4}">
  <sheetPr codeName="Sheet12">
    <tabColor theme="1" tint="0.499984740745262"/>
  </sheetPr>
  <dimension ref="A1:BQ42"/>
  <sheetViews>
    <sheetView topLeftCell="A16" zoomScale="55" zoomScaleNormal="55" zoomScaleSheetLayoutView="61" workbookViewId="0">
      <selection activeCell="AI4" sqref="AI4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4" width="5.42578125" style="60" customWidth="1"/>
    <col min="25" max="27" width="7.140625" style="60" customWidth="1"/>
    <col min="28" max="34" width="5.42578125" style="60" customWidth="1"/>
    <col min="35" max="35" width="9.140625" style="60"/>
    <col min="36" max="36" width="9.28515625" style="60" bestFit="1" customWidth="1"/>
    <col min="37" max="37" width="9.5703125" style="60" bestFit="1" customWidth="1"/>
    <col min="38" max="38" width="31.140625" style="60" bestFit="1" customWidth="1"/>
    <col min="39" max="41" width="9.28515625" style="60" bestFit="1" customWidth="1"/>
    <col min="42" max="16384" width="9.140625" style="60"/>
  </cols>
  <sheetData>
    <row r="1" spans="1:69" ht="26.25">
      <c r="A1" s="59" t="s">
        <v>529</v>
      </c>
      <c r="AJ1" s="59" t="s">
        <v>529</v>
      </c>
    </row>
    <row r="2" spans="1:69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86" t="s">
        <v>316</v>
      </c>
      <c r="P2" s="286"/>
      <c r="Q2" s="286"/>
      <c r="R2" s="286"/>
      <c r="S2" s="425" t="s">
        <v>798</v>
      </c>
      <c r="T2" s="425"/>
      <c r="U2" s="425"/>
      <c r="V2" s="425"/>
      <c r="W2" s="425"/>
      <c r="X2" s="425"/>
      <c r="Y2" s="276" t="s">
        <v>155</v>
      </c>
      <c r="Z2" s="276" t="s">
        <v>156</v>
      </c>
      <c r="AA2" s="276" t="s">
        <v>157</v>
      </c>
      <c r="AB2" s="270" t="s">
        <v>158</v>
      </c>
      <c r="AC2" s="270" t="s">
        <v>159</v>
      </c>
      <c r="AD2" s="270" t="s">
        <v>160</v>
      </c>
      <c r="AE2" s="278" t="s">
        <v>161</v>
      </c>
      <c r="AF2" s="278" t="s">
        <v>162</v>
      </c>
      <c r="AG2" s="278" t="s">
        <v>163</v>
      </c>
      <c r="AH2" s="280" t="s">
        <v>164</v>
      </c>
      <c r="AJ2" s="281" t="s">
        <v>151</v>
      </c>
      <c r="AK2" s="281" t="s">
        <v>152</v>
      </c>
      <c r="AL2" s="281" t="s">
        <v>0</v>
      </c>
      <c r="AM2" s="272" t="s">
        <v>153</v>
      </c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426" t="s">
        <v>316</v>
      </c>
      <c r="AY2" s="426"/>
      <c r="AZ2" s="426"/>
      <c r="BA2" s="426"/>
      <c r="BB2" s="425" t="s">
        <v>798</v>
      </c>
      <c r="BC2" s="425"/>
      <c r="BD2" s="425"/>
      <c r="BE2" s="425"/>
      <c r="BF2" s="425"/>
      <c r="BG2" s="425"/>
      <c r="BH2" s="276" t="s">
        <v>155</v>
      </c>
      <c r="BI2" s="276" t="s">
        <v>156</v>
      </c>
      <c r="BJ2" s="276" t="s">
        <v>157</v>
      </c>
      <c r="BK2" s="270" t="s">
        <v>158</v>
      </c>
      <c r="BL2" s="270" t="s">
        <v>159</v>
      </c>
      <c r="BM2" s="270" t="s">
        <v>160</v>
      </c>
      <c r="BN2" s="278" t="s">
        <v>161</v>
      </c>
      <c r="BO2" s="278" t="s">
        <v>162</v>
      </c>
      <c r="BP2" s="278" t="s">
        <v>163</v>
      </c>
      <c r="BQ2" s="280" t="s">
        <v>164</v>
      </c>
    </row>
    <row r="3" spans="1:69" ht="65.25">
      <c r="A3" s="282"/>
      <c r="B3" s="282"/>
      <c r="C3" s="282"/>
      <c r="D3" s="63" t="s">
        <v>22</v>
      </c>
      <c r="E3" s="63" t="s">
        <v>55</v>
      </c>
      <c r="F3" s="63" t="s">
        <v>167</v>
      </c>
      <c r="G3" s="63" t="s">
        <v>168</v>
      </c>
      <c r="H3" s="63" t="s">
        <v>171</v>
      </c>
      <c r="I3" s="63" t="s">
        <v>96</v>
      </c>
      <c r="J3" s="63" t="s">
        <v>14</v>
      </c>
      <c r="K3" s="63" t="s">
        <v>120</v>
      </c>
      <c r="L3" s="63" t="s">
        <v>108</v>
      </c>
      <c r="M3" s="63" t="s">
        <v>110</v>
      </c>
      <c r="N3" s="63" t="s">
        <v>111</v>
      </c>
      <c r="O3" s="64" t="s">
        <v>137</v>
      </c>
      <c r="P3" s="64" t="s">
        <v>14</v>
      </c>
      <c r="Q3" s="64" t="s">
        <v>34</v>
      </c>
      <c r="R3" s="64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277"/>
      <c r="Z3" s="277"/>
      <c r="AA3" s="277"/>
      <c r="AB3" s="271"/>
      <c r="AC3" s="271"/>
      <c r="AD3" s="271"/>
      <c r="AE3" s="279"/>
      <c r="AF3" s="279"/>
      <c r="AG3" s="279"/>
      <c r="AH3" s="280"/>
      <c r="AJ3" s="282"/>
      <c r="AK3" s="282"/>
      <c r="AL3" s="282"/>
      <c r="AM3" s="63" t="s">
        <v>22</v>
      </c>
      <c r="AN3" s="63" t="s">
        <v>55</v>
      </c>
      <c r="AO3" s="63" t="s">
        <v>167</v>
      </c>
      <c r="AP3" s="63" t="s">
        <v>168</v>
      </c>
      <c r="AQ3" s="63" t="s">
        <v>171</v>
      </c>
      <c r="AR3" s="63" t="s">
        <v>96</v>
      </c>
      <c r="AS3" s="63" t="s">
        <v>14</v>
      </c>
      <c r="AT3" s="63" t="s">
        <v>120</v>
      </c>
      <c r="AU3" s="63" t="s">
        <v>108</v>
      </c>
      <c r="AV3" s="63" t="s">
        <v>110</v>
      </c>
      <c r="AW3" s="63" t="s">
        <v>111</v>
      </c>
      <c r="AX3" s="98" t="s">
        <v>137</v>
      </c>
      <c r="AY3" s="98" t="s">
        <v>14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277"/>
      <c r="BI3" s="277"/>
      <c r="BJ3" s="277"/>
      <c r="BK3" s="271"/>
      <c r="BL3" s="271"/>
      <c r="BM3" s="271"/>
      <c r="BN3" s="279"/>
      <c r="BO3" s="279"/>
      <c r="BP3" s="279"/>
      <c r="BQ3" s="280"/>
    </row>
    <row r="4" spans="1:69" ht="21.95" customHeight="1">
      <c r="A4" s="93">
        <v>1</v>
      </c>
      <c r="B4" s="99">
        <v>24250075</v>
      </c>
      <c r="C4" s="107" t="s">
        <v>505</v>
      </c>
      <c r="D4" s="68">
        <f t="shared" ref="D4:D34" si="0">ROUND(IF(AM4=0,0,MIN(MAX(AM4,40),99)),0)</f>
        <v>99</v>
      </c>
      <c r="E4" s="68">
        <f t="shared" ref="E4:E34" si="1">ROUND(IF(AN4=0,0,MIN(MAX(AN4,40),99)),0)</f>
        <v>99</v>
      </c>
      <c r="F4" s="68">
        <f t="shared" ref="F4:F34" si="2">ROUND(IF(AO4=0,0,MIN(MAX(AO4,40),99)),0)</f>
        <v>96</v>
      </c>
      <c r="G4" s="68">
        <f t="shared" ref="G4:G34" si="3">ROUND(IF(AP4=0,0,MIN(MAX(AP4,40),99)),0)</f>
        <v>99</v>
      </c>
      <c r="H4" s="68">
        <f t="shared" ref="H4:H34" si="4">ROUND(IF(AQ4=0,0,MIN(MAX(AQ4,40),99)),0)</f>
        <v>78</v>
      </c>
      <c r="I4" s="68">
        <f t="shared" ref="I4:I34" si="5">ROUND(IF(AR4=0,0,MIN(MAX(AR4,40),99)),0)</f>
        <v>90</v>
      </c>
      <c r="J4" s="68">
        <f t="shared" ref="J4:J34" si="6">ROUND(IF(AS4=0,0,MIN(MAX(AS4,40),99)),0)</f>
        <v>96</v>
      </c>
      <c r="K4" s="68">
        <f t="shared" ref="K4:K34" si="7">ROUND(IF(AT4=0,0,MIN(MAX(AT4,40),99)),0)</f>
        <v>96</v>
      </c>
      <c r="L4" s="68">
        <f t="shared" ref="L4:L34" si="8">ROUND(IF(AU4=0,0,MIN(MAX(AU4,40),99)),0)</f>
        <v>80</v>
      </c>
      <c r="M4" s="68">
        <f t="shared" ref="M4:M34" si="9">ROUND(IF(AV4=0,0,MIN(MAX(AV4,40),99)),0)</f>
        <v>95</v>
      </c>
      <c r="N4" s="68">
        <f t="shared" ref="N4:N34" si="10">ROUND(IF(AW4=0,0,MIN(MAX(AW4,40),99)),0)</f>
        <v>90</v>
      </c>
      <c r="O4" s="69">
        <f t="shared" ref="O4:O34" si="11">ROUND(IF(AX4=0,0,MIN(MAX(AX4,40),99)),0)</f>
        <v>90</v>
      </c>
      <c r="P4" s="69">
        <f t="shared" ref="P4:P34" si="12">ROUND(IF(AY4=0,0,MIN(MAX(AY4,40),99)),0)</f>
        <v>95</v>
      </c>
      <c r="Q4" s="69">
        <f t="shared" ref="Q4:Q34" si="13">ROUND(IF(AZ4=0,0,MIN(MAX(AZ4,40),99)),0)</f>
        <v>99</v>
      </c>
      <c r="R4" s="69">
        <f t="shared" ref="R4:R34" si="14">ROUND(IF(BA4=0,0,MIN(MAX(BA4,40),99)),0)</f>
        <v>95</v>
      </c>
      <c r="S4" s="234">
        <f t="shared" ref="S4:S34" si="15">ROUND(IF(BB4=0,0,MIN(MAX(BB4,40),99)),0)</f>
        <v>99</v>
      </c>
      <c r="T4" s="234">
        <f t="shared" ref="T4:T34" si="16">ROUND(IF(BC4=0,0,MIN(MAX(BC4,40),99)),0)</f>
        <v>93</v>
      </c>
      <c r="U4" s="234">
        <f t="shared" ref="U4:U34" si="17">ROUND(IF(BD4=0,0,MIN(MAX(BD4,40),99)),0)</f>
        <v>80</v>
      </c>
      <c r="V4" s="234">
        <f t="shared" ref="V4:V34" si="18">ROUND(IF(BE4=0,0,MIN(MAX(BE4,40),99)),0)</f>
        <v>80</v>
      </c>
      <c r="W4" s="234">
        <f t="shared" ref="W4:W34" si="19">ROUND(IF(BF4=0,0,MIN(MAX(BF4,40),99)),0)</f>
        <v>73</v>
      </c>
      <c r="X4" s="234">
        <f t="shared" ref="X4:X34" si="20">ROUND(IF(BG4=0,0,MIN(MAX(BG4,40),99)),0)</f>
        <v>90</v>
      </c>
      <c r="Y4" s="70">
        <f t="shared" ref="Y4:Y34" si="21">SUM(D4:R4)</f>
        <v>1397</v>
      </c>
      <c r="Z4" s="71">
        <f t="shared" ref="Z4:Z34" si="22">AVERAGE(D4:R4)</f>
        <v>93.13333333333334</v>
      </c>
      <c r="AA4" s="101">
        <f t="shared" ref="AA4:AA34" si="23">RANK(Y4,$Y$4:$Y$34)</f>
        <v>1</v>
      </c>
      <c r="AB4" s="73" t="s">
        <v>805</v>
      </c>
      <c r="AC4" s="73" t="s">
        <v>805</v>
      </c>
      <c r="AD4" s="73" t="s">
        <v>805</v>
      </c>
      <c r="AE4" s="74">
        <v>0</v>
      </c>
      <c r="AF4" s="74">
        <v>0</v>
      </c>
      <c r="AG4" s="74">
        <v>0</v>
      </c>
      <c r="AH4" s="75"/>
      <c r="AJ4" s="93">
        <v>8</v>
      </c>
      <c r="AK4" s="99">
        <v>24250075</v>
      </c>
      <c r="AL4" s="102" t="s">
        <v>505</v>
      </c>
      <c r="AM4" s="68">
        <v>98.5</v>
      </c>
      <c r="AN4" s="68">
        <v>98.5</v>
      </c>
      <c r="AO4" s="68">
        <v>95.6</v>
      </c>
      <c r="AP4" s="68">
        <v>99</v>
      </c>
      <c r="AQ4" s="68">
        <v>78</v>
      </c>
      <c r="AR4" s="68">
        <v>90</v>
      </c>
      <c r="AS4" s="68">
        <v>95.5</v>
      </c>
      <c r="AT4" s="68">
        <v>95.5</v>
      </c>
      <c r="AU4" s="68">
        <v>80</v>
      </c>
      <c r="AV4" s="68">
        <v>95.4</v>
      </c>
      <c r="AW4" s="68">
        <v>89.5</v>
      </c>
      <c r="AX4" s="76">
        <v>90</v>
      </c>
      <c r="AY4" s="76">
        <v>95</v>
      </c>
      <c r="AZ4" s="76">
        <v>99</v>
      </c>
      <c r="BA4" s="76">
        <v>95</v>
      </c>
      <c r="BB4" s="240">
        <v>100</v>
      </c>
      <c r="BC4" s="240">
        <v>92.5</v>
      </c>
      <c r="BD4" s="240">
        <v>80</v>
      </c>
      <c r="BE4" s="240">
        <v>80</v>
      </c>
      <c r="BF4" s="240">
        <v>72.5</v>
      </c>
      <c r="BG4" s="240">
        <v>90</v>
      </c>
      <c r="BH4" s="70">
        <f t="shared" ref="BH4:BH34" si="24">SUM(AM4:BA4)</f>
        <v>1394.5</v>
      </c>
      <c r="BI4" s="71">
        <f t="shared" ref="BI4:BI34" si="25">AVERAGE(AM4:BA4)</f>
        <v>92.966666666666669</v>
      </c>
      <c r="BJ4" s="101" t="e">
        <f t="shared" ref="BJ4:BJ34" si="26">RANK(BH4,$Y$4:$Y$29)</f>
        <v>#N/A</v>
      </c>
      <c r="BK4" s="73"/>
      <c r="BL4" s="73"/>
      <c r="BM4" s="73"/>
      <c r="BN4" s="74"/>
      <c r="BO4" s="74"/>
      <c r="BP4" s="74"/>
      <c r="BQ4" s="75"/>
    </row>
    <row r="5" spans="1:69" ht="21.95" customHeight="1">
      <c r="A5" s="93">
        <v>2</v>
      </c>
      <c r="B5" s="99">
        <v>23240048</v>
      </c>
      <c r="C5" s="102" t="s">
        <v>499</v>
      </c>
      <c r="D5" s="68">
        <f t="shared" si="0"/>
        <v>99</v>
      </c>
      <c r="E5" s="68">
        <f t="shared" si="1"/>
        <v>97</v>
      </c>
      <c r="F5" s="68">
        <f t="shared" si="2"/>
        <v>92</v>
      </c>
      <c r="G5" s="68">
        <f t="shared" si="3"/>
        <v>99</v>
      </c>
      <c r="H5" s="68">
        <f t="shared" si="4"/>
        <v>75</v>
      </c>
      <c r="I5" s="68">
        <f t="shared" si="5"/>
        <v>90</v>
      </c>
      <c r="J5" s="68">
        <f t="shared" si="6"/>
        <v>96</v>
      </c>
      <c r="K5" s="68">
        <f t="shared" si="7"/>
        <v>96</v>
      </c>
      <c r="L5" s="68">
        <f t="shared" si="8"/>
        <v>69</v>
      </c>
      <c r="M5" s="68">
        <f t="shared" si="9"/>
        <v>95</v>
      </c>
      <c r="N5" s="68">
        <f t="shared" si="10"/>
        <v>90</v>
      </c>
      <c r="O5" s="69">
        <f t="shared" si="11"/>
        <v>90</v>
      </c>
      <c r="P5" s="69">
        <f t="shared" si="12"/>
        <v>95</v>
      </c>
      <c r="Q5" s="69">
        <f t="shared" si="13"/>
        <v>95</v>
      </c>
      <c r="R5" s="69">
        <f t="shared" si="14"/>
        <v>95</v>
      </c>
      <c r="S5" s="234">
        <f t="shared" si="15"/>
        <v>98</v>
      </c>
      <c r="T5" s="234">
        <f t="shared" si="16"/>
        <v>90</v>
      </c>
      <c r="U5" s="234">
        <f t="shared" si="17"/>
        <v>69</v>
      </c>
      <c r="V5" s="234">
        <f t="shared" si="18"/>
        <v>90</v>
      </c>
      <c r="W5" s="234">
        <f t="shared" si="19"/>
        <v>90</v>
      </c>
      <c r="X5" s="234">
        <f t="shared" si="20"/>
        <v>98</v>
      </c>
      <c r="Y5" s="70">
        <f t="shared" si="21"/>
        <v>1373</v>
      </c>
      <c r="Z5" s="71">
        <f t="shared" si="22"/>
        <v>91.533333333333331</v>
      </c>
      <c r="AA5" s="101">
        <f t="shared" si="23"/>
        <v>2</v>
      </c>
      <c r="AB5" s="73" t="s">
        <v>805</v>
      </c>
      <c r="AC5" s="73" t="s">
        <v>805</v>
      </c>
      <c r="AD5" s="73" t="s">
        <v>805</v>
      </c>
      <c r="AE5" s="74">
        <v>0</v>
      </c>
      <c r="AF5" s="74">
        <v>0</v>
      </c>
      <c r="AG5" s="74">
        <v>0</v>
      </c>
      <c r="AH5" s="75"/>
      <c r="AJ5" s="93">
        <v>2</v>
      </c>
      <c r="AK5" s="99">
        <v>23240048</v>
      </c>
      <c r="AL5" s="102" t="s">
        <v>499</v>
      </c>
      <c r="AM5" s="68">
        <v>98.5</v>
      </c>
      <c r="AN5" s="68">
        <v>97</v>
      </c>
      <c r="AO5" s="68">
        <v>92.4</v>
      </c>
      <c r="AP5" s="68">
        <v>98.9</v>
      </c>
      <c r="AQ5" s="68">
        <v>75</v>
      </c>
      <c r="AR5" s="68">
        <v>90</v>
      </c>
      <c r="AS5" s="68">
        <v>95.5</v>
      </c>
      <c r="AT5" s="68">
        <v>95.5</v>
      </c>
      <c r="AU5" s="68">
        <v>68.5</v>
      </c>
      <c r="AV5" s="68">
        <v>95.4</v>
      </c>
      <c r="AW5" s="68">
        <v>89.5</v>
      </c>
      <c r="AX5" s="76">
        <v>90</v>
      </c>
      <c r="AY5" s="76">
        <v>95</v>
      </c>
      <c r="AZ5" s="76">
        <v>95</v>
      </c>
      <c r="BA5" s="76">
        <v>95</v>
      </c>
      <c r="BB5" s="240">
        <v>97.5</v>
      </c>
      <c r="BC5" s="240">
        <v>90</v>
      </c>
      <c r="BD5" s="240">
        <v>68.5</v>
      </c>
      <c r="BE5" s="240">
        <v>90</v>
      </c>
      <c r="BF5" s="240">
        <v>90</v>
      </c>
      <c r="BG5" s="240">
        <v>97.5</v>
      </c>
      <c r="BH5" s="70">
        <f t="shared" si="24"/>
        <v>1371.1999999999998</v>
      </c>
      <c r="BI5" s="71">
        <f t="shared" si="25"/>
        <v>91.413333333333327</v>
      </c>
      <c r="BJ5" s="101" t="e">
        <f t="shared" si="26"/>
        <v>#N/A</v>
      </c>
      <c r="BK5" s="73"/>
      <c r="BL5" s="73"/>
      <c r="BM5" s="73"/>
      <c r="BN5" s="74"/>
      <c r="BO5" s="74"/>
      <c r="BP5" s="74"/>
      <c r="BQ5" s="75"/>
    </row>
    <row r="6" spans="1:69" ht="21.95" customHeight="1">
      <c r="A6" s="93">
        <v>3</v>
      </c>
      <c r="B6" s="99">
        <v>22230044</v>
      </c>
      <c r="C6" s="107" t="s">
        <v>509</v>
      </c>
      <c r="D6" s="68">
        <f t="shared" si="0"/>
        <v>99</v>
      </c>
      <c r="E6" s="68">
        <f t="shared" si="1"/>
        <v>85</v>
      </c>
      <c r="F6" s="68">
        <f t="shared" si="2"/>
        <v>90</v>
      </c>
      <c r="G6" s="68">
        <f t="shared" si="3"/>
        <v>95</v>
      </c>
      <c r="H6" s="68">
        <f t="shared" si="4"/>
        <v>75</v>
      </c>
      <c r="I6" s="68">
        <f t="shared" si="5"/>
        <v>87</v>
      </c>
      <c r="J6" s="68">
        <f t="shared" si="6"/>
        <v>94</v>
      </c>
      <c r="K6" s="68">
        <f t="shared" si="7"/>
        <v>94</v>
      </c>
      <c r="L6" s="68">
        <f t="shared" si="8"/>
        <v>96</v>
      </c>
      <c r="M6" s="68">
        <f t="shared" si="9"/>
        <v>77</v>
      </c>
      <c r="N6" s="68">
        <f t="shared" si="10"/>
        <v>90</v>
      </c>
      <c r="O6" s="69">
        <f t="shared" si="11"/>
        <v>90</v>
      </c>
      <c r="P6" s="69">
        <f t="shared" si="12"/>
        <v>85</v>
      </c>
      <c r="Q6" s="69">
        <f t="shared" si="13"/>
        <v>95</v>
      </c>
      <c r="R6" s="69">
        <f t="shared" si="14"/>
        <v>95</v>
      </c>
      <c r="S6" s="234">
        <f t="shared" si="15"/>
        <v>90</v>
      </c>
      <c r="T6" s="234">
        <f t="shared" si="16"/>
        <v>85</v>
      </c>
      <c r="U6" s="234">
        <f t="shared" si="17"/>
        <v>96</v>
      </c>
      <c r="V6" s="234">
        <f t="shared" si="18"/>
        <v>80</v>
      </c>
      <c r="W6" s="234">
        <f t="shared" si="19"/>
        <v>70</v>
      </c>
      <c r="X6" s="234">
        <f t="shared" si="20"/>
        <v>80</v>
      </c>
      <c r="Y6" s="70">
        <f t="shared" si="21"/>
        <v>1347</v>
      </c>
      <c r="Z6" s="71">
        <f t="shared" si="22"/>
        <v>89.8</v>
      </c>
      <c r="AA6" s="101">
        <f t="shared" si="23"/>
        <v>3</v>
      </c>
      <c r="AB6" s="73" t="s">
        <v>805</v>
      </c>
      <c r="AC6" s="73" t="s">
        <v>805</v>
      </c>
      <c r="AD6" s="73" t="s">
        <v>805</v>
      </c>
      <c r="AE6" s="74">
        <v>3</v>
      </c>
      <c r="AF6" s="74">
        <v>0</v>
      </c>
      <c r="AG6" s="74">
        <v>0</v>
      </c>
      <c r="AH6" s="75"/>
      <c r="AJ6" s="93">
        <v>12</v>
      </c>
      <c r="AK6" s="99">
        <v>22230044</v>
      </c>
      <c r="AL6" s="102" t="s">
        <v>509</v>
      </c>
      <c r="AM6" s="68">
        <v>98.5</v>
      </c>
      <c r="AN6" s="68">
        <v>85</v>
      </c>
      <c r="AO6" s="68">
        <v>89.699999999999989</v>
      </c>
      <c r="AP6" s="68">
        <v>95</v>
      </c>
      <c r="AQ6" s="68">
        <v>75</v>
      </c>
      <c r="AR6" s="68">
        <v>86.8</v>
      </c>
      <c r="AS6" s="68">
        <v>94</v>
      </c>
      <c r="AT6" s="68">
        <v>94</v>
      </c>
      <c r="AU6" s="68">
        <v>96</v>
      </c>
      <c r="AV6" s="68">
        <v>77</v>
      </c>
      <c r="AW6" s="68">
        <v>89.5</v>
      </c>
      <c r="AX6" s="76">
        <v>90</v>
      </c>
      <c r="AY6" s="76">
        <v>85</v>
      </c>
      <c r="AZ6" s="76">
        <v>95</v>
      </c>
      <c r="BA6" s="76">
        <v>95</v>
      </c>
      <c r="BB6" s="240">
        <v>90</v>
      </c>
      <c r="BC6" s="240">
        <v>85</v>
      </c>
      <c r="BD6" s="240">
        <v>96</v>
      </c>
      <c r="BE6" s="240">
        <v>80</v>
      </c>
      <c r="BF6" s="240">
        <v>70</v>
      </c>
      <c r="BG6" s="240">
        <v>80</v>
      </c>
      <c r="BH6" s="70">
        <f t="shared" si="24"/>
        <v>1345.5</v>
      </c>
      <c r="BI6" s="71">
        <f t="shared" si="25"/>
        <v>89.7</v>
      </c>
      <c r="BJ6" s="101" t="e">
        <f t="shared" si="26"/>
        <v>#N/A</v>
      </c>
      <c r="BK6" s="73"/>
      <c r="BL6" s="73"/>
      <c r="BM6" s="73"/>
      <c r="BN6" s="74"/>
      <c r="BO6" s="74"/>
      <c r="BP6" s="74"/>
      <c r="BQ6" s="75"/>
    </row>
    <row r="7" spans="1:69" ht="21.95" customHeight="1">
      <c r="A7" s="93">
        <v>4</v>
      </c>
      <c r="B7" s="99">
        <v>22230042</v>
      </c>
      <c r="C7" s="107" t="s">
        <v>503</v>
      </c>
      <c r="D7" s="68">
        <f t="shared" si="0"/>
        <v>99</v>
      </c>
      <c r="E7" s="68">
        <f t="shared" si="1"/>
        <v>96</v>
      </c>
      <c r="F7" s="68">
        <f t="shared" si="2"/>
        <v>86</v>
      </c>
      <c r="G7" s="68">
        <f t="shared" si="3"/>
        <v>96</v>
      </c>
      <c r="H7" s="68">
        <f t="shared" si="4"/>
        <v>69</v>
      </c>
      <c r="I7" s="68">
        <f t="shared" si="5"/>
        <v>90</v>
      </c>
      <c r="J7" s="68">
        <f t="shared" si="6"/>
        <v>94</v>
      </c>
      <c r="K7" s="68">
        <f t="shared" si="7"/>
        <v>93</v>
      </c>
      <c r="L7" s="68">
        <f t="shared" si="8"/>
        <v>63</v>
      </c>
      <c r="M7" s="68">
        <f t="shared" si="9"/>
        <v>90</v>
      </c>
      <c r="N7" s="68">
        <f t="shared" si="10"/>
        <v>90</v>
      </c>
      <c r="O7" s="69">
        <f t="shared" si="11"/>
        <v>90</v>
      </c>
      <c r="P7" s="69">
        <f t="shared" si="12"/>
        <v>90</v>
      </c>
      <c r="Q7" s="69">
        <f t="shared" si="13"/>
        <v>95</v>
      </c>
      <c r="R7" s="69">
        <f t="shared" si="14"/>
        <v>95</v>
      </c>
      <c r="S7" s="234">
        <f t="shared" si="15"/>
        <v>88</v>
      </c>
      <c r="T7" s="234">
        <f t="shared" si="16"/>
        <v>90</v>
      </c>
      <c r="U7" s="234">
        <f t="shared" si="17"/>
        <v>63</v>
      </c>
      <c r="V7" s="234">
        <f t="shared" si="18"/>
        <v>78</v>
      </c>
      <c r="W7" s="234">
        <f t="shared" si="19"/>
        <v>73</v>
      </c>
      <c r="X7" s="234">
        <f t="shared" si="20"/>
        <v>80</v>
      </c>
      <c r="Y7" s="70">
        <f t="shared" si="21"/>
        <v>1336</v>
      </c>
      <c r="Z7" s="71">
        <f t="shared" si="22"/>
        <v>89.066666666666663</v>
      </c>
      <c r="AA7" s="101">
        <f t="shared" si="23"/>
        <v>4</v>
      </c>
      <c r="AB7" s="73" t="s">
        <v>805</v>
      </c>
      <c r="AC7" s="73" t="s">
        <v>805</v>
      </c>
      <c r="AD7" s="73" t="s">
        <v>805</v>
      </c>
      <c r="AE7" s="74">
        <v>8</v>
      </c>
      <c r="AF7" s="74">
        <v>0</v>
      </c>
      <c r="AG7" s="74">
        <v>0</v>
      </c>
      <c r="AH7" s="75"/>
      <c r="AJ7" s="93">
        <v>6</v>
      </c>
      <c r="AK7" s="99">
        <v>22230042</v>
      </c>
      <c r="AL7" s="100" t="s">
        <v>503</v>
      </c>
      <c r="AM7" s="68">
        <v>98.5</v>
      </c>
      <c r="AN7" s="68">
        <v>96</v>
      </c>
      <c r="AO7" s="68">
        <v>86</v>
      </c>
      <c r="AP7" s="68">
        <v>96</v>
      </c>
      <c r="AQ7" s="68">
        <v>69</v>
      </c>
      <c r="AR7" s="68">
        <v>90</v>
      </c>
      <c r="AS7" s="68">
        <v>94</v>
      </c>
      <c r="AT7" s="68">
        <v>92.5</v>
      </c>
      <c r="AU7" s="68">
        <v>63</v>
      </c>
      <c r="AV7" s="68">
        <v>90</v>
      </c>
      <c r="AW7" s="68">
        <v>89.5</v>
      </c>
      <c r="AX7" s="76">
        <v>90</v>
      </c>
      <c r="AY7" s="76">
        <v>90</v>
      </c>
      <c r="AZ7" s="76">
        <v>95</v>
      </c>
      <c r="BA7" s="76">
        <v>95</v>
      </c>
      <c r="BB7" s="240">
        <v>87.5</v>
      </c>
      <c r="BC7" s="240">
        <v>90</v>
      </c>
      <c r="BD7" s="240">
        <v>63</v>
      </c>
      <c r="BE7" s="240">
        <v>77.5</v>
      </c>
      <c r="BF7" s="240">
        <v>72.5</v>
      </c>
      <c r="BG7" s="240">
        <v>80</v>
      </c>
      <c r="BH7" s="70">
        <f t="shared" si="24"/>
        <v>1334.5</v>
      </c>
      <c r="BI7" s="71">
        <f t="shared" si="25"/>
        <v>88.966666666666669</v>
      </c>
      <c r="BJ7" s="101" t="e">
        <f t="shared" si="26"/>
        <v>#N/A</v>
      </c>
      <c r="BK7" s="73"/>
      <c r="BL7" s="73"/>
      <c r="BM7" s="73"/>
      <c r="BN7" s="74"/>
      <c r="BO7" s="74"/>
      <c r="BP7" s="74"/>
      <c r="BQ7" s="75"/>
    </row>
    <row r="8" spans="1:69" ht="21.95" customHeight="1">
      <c r="A8" s="138">
        <v>5</v>
      </c>
      <c r="B8" s="99">
        <v>22230043</v>
      </c>
      <c r="C8" s="103" t="s">
        <v>526</v>
      </c>
      <c r="D8" s="68">
        <f t="shared" si="0"/>
        <v>99</v>
      </c>
      <c r="E8" s="68">
        <f t="shared" si="1"/>
        <v>96</v>
      </c>
      <c r="F8" s="68">
        <f t="shared" si="2"/>
        <v>86</v>
      </c>
      <c r="G8" s="68">
        <f t="shared" si="3"/>
        <v>95</v>
      </c>
      <c r="H8" s="68">
        <f t="shared" si="4"/>
        <v>72</v>
      </c>
      <c r="I8" s="68">
        <f t="shared" si="5"/>
        <v>87</v>
      </c>
      <c r="J8" s="68">
        <f t="shared" si="6"/>
        <v>94</v>
      </c>
      <c r="K8" s="68">
        <f t="shared" si="7"/>
        <v>92</v>
      </c>
      <c r="L8" s="68">
        <f t="shared" si="8"/>
        <v>61</v>
      </c>
      <c r="M8" s="68">
        <f t="shared" si="9"/>
        <v>90</v>
      </c>
      <c r="N8" s="68">
        <f t="shared" si="10"/>
        <v>90</v>
      </c>
      <c r="O8" s="69">
        <f t="shared" si="11"/>
        <v>90</v>
      </c>
      <c r="P8" s="69">
        <f t="shared" si="12"/>
        <v>90</v>
      </c>
      <c r="Q8" s="69">
        <f t="shared" si="13"/>
        <v>95</v>
      </c>
      <c r="R8" s="69">
        <f t="shared" si="14"/>
        <v>95</v>
      </c>
      <c r="S8" s="234">
        <f t="shared" si="15"/>
        <v>90</v>
      </c>
      <c r="T8" s="234">
        <f t="shared" si="16"/>
        <v>90</v>
      </c>
      <c r="U8" s="234">
        <f t="shared" si="17"/>
        <v>61</v>
      </c>
      <c r="V8" s="234">
        <f t="shared" si="18"/>
        <v>80</v>
      </c>
      <c r="W8" s="234">
        <f t="shared" si="19"/>
        <v>68</v>
      </c>
      <c r="X8" s="234">
        <f t="shared" si="20"/>
        <v>75</v>
      </c>
      <c r="Y8" s="70">
        <f t="shared" si="21"/>
        <v>1332</v>
      </c>
      <c r="Z8" s="71">
        <f t="shared" si="22"/>
        <v>88.8</v>
      </c>
      <c r="AA8" s="101">
        <f t="shared" si="23"/>
        <v>5</v>
      </c>
      <c r="AB8" s="73" t="s">
        <v>805</v>
      </c>
      <c r="AC8" s="73" t="s">
        <v>805</v>
      </c>
      <c r="AD8" s="73" t="s">
        <v>805</v>
      </c>
      <c r="AE8" s="74">
        <v>6</v>
      </c>
      <c r="AF8" s="74">
        <v>0</v>
      </c>
      <c r="AG8" s="74">
        <v>0</v>
      </c>
      <c r="AH8" s="75"/>
      <c r="AJ8" s="93">
        <v>29</v>
      </c>
      <c r="AK8" s="99">
        <v>22230043</v>
      </c>
      <c r="AL8" s="103" t="s">
        <v>526</v>
      </c>
      <c r="AM8" s="68">
        <v>98.5</v>
      </c>
      <c r="AN8" s="68">
        <v>96</v>
      </c>
      <c r="AO8" s="68">
        <v>85.7</v>
      </c>
      <c r="AP8" s="68">
        <v>94.5</v>
      </c>
      <c r="AQ8" s="68">
        <v>72</v>
      </c>
      <c r="AR8" s="68">
        <v>87.3</v>
      </c>
      <c r="AS8" s="68">
        <v>94</v>
      </c>
      <c r="AT8" s="68">
        <v>92</v>
      </c>
      <c r="AU8" s="68">
        <v>61</v>
      </c>
      <c r="AV8" s="68">
        <v>90</v>
      </c>
      <c r="AW8" s="68">
        <v>89.5</v>
      </c>
      <c r="AX8" s="76">
        <v>90</v>
      </c>
      <c r="AY8" s="76">
        <v>90</v>
      </c>
      <c r="AZ8" s="76">
        <v>95</v>
      </c>
      <c r="BA8" s="76">
        <v>95</v>
      </c>
      <c r="BB8" s="240">
        <v>90</v>
      </c>
      <c r="BC8" s="240">
        <v>90</v>
      </c>
      <c r="BD8" s="240">
        <v>61</v>
      </c>
      <c r="BE8" s="240">
        <v>80</v>
      </c>
      <c r="BF8" s="240">
        <v>67.5</v>
      </c>
      <c r="BG8" s="240">
        <v>75</v>
      </c>
      <c r="BH8" s="70">
        <f t="shared" si="24"/>
        <v>1330.5</v>
      </c>
      <c r="BI8" s="71">
        <f t="shared" si="25"/>
        <v>88.7</v>
      </c>
      <c r="BJ8" s="101" t="e">
        <f t="shared" si="26"/>
        <v>#N/A</v>
      </c>
      <c r="BK8" s="73"/>
      <c r="BL8" s="73"/>
      <c r="BM8" s="73"/>
      <c r="BN8" s="74"/>
      <c r="BO8" s="74"/>
      <c r="BP8" s="74"/>
      <c r="BQ8" s="75"/>
    </row>
    <row r="9" spans="1:69" ht="21.95" customHeight="1">
      <c r="A9" s="138">
        <v>6</v>
      </c>
      <c r="B9" s="99">
        <v>22230038</v>
      </c>
      <c r="C9" s="100" t="s">
        <v>517</v>
      </c>
      <c r="D9" s="68">
        <f t="shared" si="0"/>
        <v>99</v>
      </c>
      <c r="E9" s="68">
        <f t="shared" si="1"/>
        <v>97</v>
      </c>
      <c r="F9" s="68">
        <f t="shared" si="2"/>
        <v>94</v>
      </c>
      <c r="G9" s="68">
        <f t="shared" si="3"/>
        <v>96</v>
      </c>
      <c r="H9" s="68">
        <f t="shared" si="4"/>
        <v>77</v>
      </c>
      <c r="I9" s="68">
        <f t="shared" si="5"/>
        <v>87</v>
      </c>
      <c r="J9" s="68">
        <f t="shared" si="6"/>
        <v>81</v>
      </c>
      <c r="K9" s="68">
        <f t="shared" si="7"/>
        <v>90</v>
      </c>
      <c r="L9" s="68">
        <f t="shared" si="8"/>
        <v>67</v>
      </c>
      <c r="M9" s="68">
        <f t="shared" si="9"/>
        <v>93</v>
      </c>
      <c r="N9" s="68">
        <f t="shared" si="10"/>
        <v>90</v>
      </c>
      <c r="O9" s="69">
        <f t="shared" si="11"/>
        <v>90</v>
      </c>
      <c r="P9" s="69">
        <f t="shared" si="12"/>
        <v>80</v>
      </c>
      <c r="Q9" s="69">
        <f t="shared" si="13"/>
        <v>95</v>
      </c>
      <c r="R9" s="69">
        <f t="shared" si="14"/>
        <v>95</v>
      </c>
      <c r="S9" s="234">
        <f t="shared" si="15"/>
        <v>65</v>
      </c>
      <c r="T9" s="234">
        <f t="shared" si="16"/>
        <v>83</v>
      </c>
      <c r="U9" s="234">
        <f t="shared" si="17"/>
        <v>67</v>
      </c>
      <c r="V9" s="234">
        <f t="shared" si="18"/>
        <v>70</v>
      </c>
      <c r="W9" s="234">
        <f t="shared" si="19"/>
        <v>60</v>
      </c>
      <c r="X9" s="234">
        <f t="shared" si="20"/>
        <v>80</v>
      </c>
      <c r="Y9" s="70">
        <f t="shared" si="21"/>
        <v>1331</v>
      </c>
      <c r="Z9" s="71">
        <f t="shared" si="22"/>
        <v>88.733333333333334</v>
      </c>
      <c r="AA9" s="101">
        <f t="shared" si="23"/>
        <v>6</v>
      </c>
      <c r="AB9" s="73" t="s">
        <v>805</v>
      </c>
      <c r="AC9" s="73" t="s">
        <v>805</v>
      </c>
      <c r="AD9" s="73" t="s">
        <v>805</v>
      </c>
      <c r="AE9" s="74">
        <v>0</v>
      </c>
      <c r="AF9" s="74">
        <v>0</v>
      </c>
      <c r="AG9" s="74">
        <v>0</v>
      </c>
      <c r="AH9" s="75"/>
      <c r="AJ9" s="93">
        <v>20</v>
      </c>
      <c r="AK9" s="99">
        <v>22230038</v>
      </c>
      <c r="AL9" s="100" t="s">
        <v>517</v>
      </c>
      <c r="AM9" s="68">
        <v>98.5</v>
      </c>
      <c r="AN9" s="68">
        <v>96.5</v>
      </c>
      <c r="AO9" s="68">
        <v>93.8</v>
      </c>
      <c r="AP9" s="68">
        <v>95.5</v>
      </c>
      <c r="AQ9" s="68">
        <v>76.8</v>
      </c>
      <c r="AR9" s="68">
        <v>87</v>
      </c>
      <c r="AS9" s="68">
        <v>80.5</v>
      </c>
      <c r="AT9" s="68">
        <v>89.7</v>
      </c>
      <c r="AU9" s="68">
        <v>67</v>
      </c>
      <c r="AV9" s="68">
        <v>93</v>
      </c>
      <c r="AW9" s="68">
        <v>89.5</v>
      </c>
      <c r="AX9" s="76">
        <v>90</v>
      </c>
      <c r="AY9" s="76">
        <v>80</v>
      </c>
      <c r="AZ9" s="76">
        <v>95</v>
      </c>
      <c r="BA9" s="76">
        <v>95</v>
      </c>
      <c r="BB9" s="240">
        <v>65</v>
      </c>
      <c r="BC9" s="240">
        <v>82.5</v>
      </c>
      <c r="BD9" s="240">
        <v>67</v>
      </c>
      <c r="BE9" s="240">
        <v>70</v>
      </c>
      <c r="BF9" s="240">
        <v>60</v>
      </c>
      <c r="BG9" s="240">
        <v>80</v>
      </c>
      <c r="BH9" s="70">
        <f t="shared" si="24"/>
        <v>1327.8000000000002</v>
      </c>
      <c r="BI9" s="71">
        <f t="shared" si="25"/>
        <v>88.52000000000001</v>
      </c>
      <c r="BJ9" s="101" t="e">
        <f t="shared" si="26"/>
        <v>#N/A</v>
      </c>
      <c r="BK9" s="73"/>
      <c r="BL9" s="73"/>
      <c r="BM9" s="73"/>
      <c r="BN9" s="74"/>
      <c r="BO9" s="74"/>
      <c r="BP9" s="74"/>
      <c r="BQ9" s="75"/>
    </row>
    <row r="10" spans="1:69" ht="21.95" customHeight="1">
      <c r="A10" s="138">
        <v>7</v>
      </c>
      <c r="B10" s="99">
        <v>22230093</v>
      </c>
      <c r="C10" s="103" t="s">
        <v>514</v>
      </c>
      <c r="D10" s="68">
        <f t="shared" si="0"/>
        <v>99</v>
      </c>
      <c r="E10" s="68">
        <f t="shared" si="1"/>
        <v>85</v>
      </c>
      <c r="F10" s="68">
        <f t="shared" si="2"/>
        <v>88</v>
      </c>
      <c r="G10" s="68">
        <f t="shared" si="3"/>
        <v>90</v>
      </c>
      <c r="H10" s="68">
        <f t="shared" si="4"/>
        <v>75</v>
      </c>
      <c r="I10" s="68">
        <f t="shared" si="5"/>
        <v>78</v>
      </c>
      <c r="J10" s="68">
        <f t="shared" si="6"/>
        <v>93</v>
      </c>
      <c r="K10" s="68">
        <f t="shared" si="7"/>
        <v>94</v>
      </c>
      <c r="L10" s="68">
        <f t="shared" si="8"/>
        <v>78</v>
      </c>
      <c r="M10" s="68">
        <f t="shared" si="9"/>
        <v>86</v>
      </c>
      <c r="N10" s="68">
        <f t="shared" si="10"/>
        <v>85</v>
      </c>
      <c r="O10" s="69">
        <f t="shared" si="11"/>
        <v>85</v>
      </c>
      <c r="P10" s="69">
        <f t="shared" si="12"/>
        <v>90</v>
      </c>
      <c r="Q10" s="69">
        <f t="shared" si="13"/>
        <v>95</v>
      </c>
      <c r="R10" s="69">
        <f t="shared" si="14"/>
        <v>95</v>
      </c>
      <c r="S10" s="234">
        <f t="shared" si="15"/>
        <v>93</v>
      </c>
      <c r="T10" s="234">
        <f t="shared" si="16"/>
        <v>85</v>
      </c>
      <c r="U10" s="234">
        <f t="shared" si="17"/>
        <v>78</v>
      </c>
      <c r="V10" s="234">
        <f t="shared" si="18"/>
        <v>83</v>
      </c>
      <c r="W10" s="234">
        <f t="shared" si="19"/>
        <v>78</v>
      </c>
      <c r="X10" s="234">
        <f t="shared" si="20"/>
        <v>80</v>
      </c>
      <c r="Y10" s="70">
        <f t="shared" si="21"/>
        <v>1316</v>
      </c>
      <c r="Z10" s="71">
        <f t="shared" si="22"/>
        <v>87.733333333333334</v>
      </c>
      <c r="AA10" s="101">
        <f t="shared" si="23"/>
        <v>7</v>
      </c>
      <c r="AB10" s="73" t="s">
        <v>805</v>
      </c>
      <c r="AC10" s="73" t="s">
        <v>805</v>
      </c>
      <c r="AD10" s="73" t="s">
        <v>805</v>
      </c>
      <c r="AE10" s="74">
        <v>3</v>
      </c>
      <c r="AF10" s="74">
        <v>0</v>
      </c>
      <c r="AG10" s="74">
        <v>0</v>
      </c>
      <c r="AH10" s="75"/>
      <c r="AJ10" s="93">
        <v>17</v>
      </c>
      <c r="AK10" s="99">
        <v>22230093</v>
      </c>
      <c r="AL10" s="103" t="s">
        <v>514</v>
      </c>
      <c r="AM10" s="68">
        <v>98.5</v>
      </c>
      <c r="AN10" s="68">
        <v>85</v>
      </c>
      <c r="AO10" s="68">
        <v>88.1</v>
      </c>
      <c r="AP10" s="68">
        <v>90</v>
      </c>
      <c r="AQ10" s="68">
        <v>75</v>
      </c>
      <c r="AR10" s="68">
        <v>78.399999999999991</v>
      </c>
      <c r="AS10" s="68">
        <v>92.5</v>
      </c>
      <c r="AT10" s="68">
        <v>94</v>
      </c>
      <c r="AU10" s="68">
        <v>78</v>
      </c>
      <c r="AV10" s="68">
        <v>86</v>
      </c>
      <c r="AW10" s="68">
        <v>85</v>
      </c>
      <c r="AX10" s="76">
        <v>85</v>
      </c>
      <c r="AY10" s="76">
        <v>90</v>
      </c>
      <c r="AZ10" s="76">
        <v>95</v>
      </c>
      <c r="BA10" s="76">
        <v>95</v>
      </c>
      <c r="BB10" s="240">
        <v>92.5</v>
      </c>
      <c r="BC10" s="240">
        <v>85</v>
      </c>
      <c r="BD10" s="240">
        <v>78</v>
      </c>
      <c r="BE10" s="240">
        <v>82.5</v>
      </c>
      <c r="BF10" s="240">
        <v>77.5</v>
      </c>
      <c r="BG10" s="240">
        <v>80</v>
      </c>
      <c r="BH10" s="70">
        <f t="shared" si="24"/>
        <v>1315.5</v>
      </c>
      <c r="BI10" s="71">
        <f t="shared" si="25"/>
        <v>87.7</v>
      </c>
      <c r="BJ10" s="101" t="e">
        <f t="shared" si="26"/>
        <v>#N/A</v>
      </c>
      <c r="BK10" s="73"/>
      <c r="BL10" s="73"/>
      <c r="BM10" s="73"/>
      <c r="BN10" s="74"/>
      <c r="BO10" s="74"/>
      <c r="BP10" s="74"/>
      <c r="BQ10" s="75"/>
    </row>
    <row r="11" spans="1:69" ht="21.95" customHeight="1">
      <c r="A11" s="138">
        <v>8</v>
      </c>
      <c r="B11" s="99">
        <v>22230036</v>
      </c>
      <c r="C11" s="107" t="s">
        <v>511</v>
      </c>
      <c r="D11" s="68">
        <f t="shared" si="0"/>
        <v>99</v>
      </c>
      <c r="E11" s="68">
        <f t="shared" si="1"/>
        <v>88</v>
      </c>
      <c r="F11" s="68">
        <f t="shared" si="2"/>
        <v>78</v>
      </c>
      <c r="G11" s="68">
        <f t="shared" si="3"/>
        <v>81</v>
      </c>
      <c r="H11" s="68">
        <f t="shared" si="4"/>
        <v>72</v>
      </c>
      <c r="I11" s="68">
        <f t="shared" si="5"/>
        <v>72</v>
      </c>
      <c r="J11" s="68">
        <f t="shared" si="6"/>
        <v>88</v>
      </c>
      <c r="K11" s="68">
        <f t="shared" si="7"/>
        <v>94</v>
      </c>
      <c r="L11" s="68">
        <f t="shared" si="8"/>
        <v>69</v>
      </c>
      <c r="M11" s="68">
        <f t="shared" si="9"/>
        <v>73</v>
      </c>
      <c r="N11" s="68">
        <f t="shared" si="10"/>
        <v>81</v>
      </c>
      <c r="O11" s="69">
        <f t="shared" si="11"/>
        <v>80</v>
      </c>
      <c r="P11" s="69">
        <f t="shared" si="12"/>
        <v>85</v>
      </c>
      <c r="Q11" s="69">
        <f t="shared" si="13"/>
        <v>95</v>
      </c>
      <c r="R11" s="69">
        <f t="shared" si="14"/>
        <v>95</v>
      </c>
      <c r="S11" s="234">
        <f t="shared" si="15"/>
        <v>93</v>
      </c>
      <c r="T11" s="234">
        <f t="shared" si="16"/>
        <v>80</v>
      </c>
      <c r="U11" s="234">
        <f t="shared" si="17"/>
        <v>69</v>
      </c>
      <c r="V11" s="234">
        <f t="shared" si="18"/>
        <v>70</v>
      </c>
      <c r="W11" s="234">
        <f t="shared" si="19"/>
        <v>60</v>
      </c>
      <c r="X11" s="234">
        <f t="shared" si="20"/>
        <v>85</v>
      </c>
      <c r="Y11" s="70">
        <f t="shared" si="21"/>
        <v>1250</v>
      </c>
      <c r="Z11" s="71">
        <f t="shared" si="22"/>
        <v>83.333333333333329</v>
      </c>
      <c r="AA11" s="101">
        <f t="shared" si="23"/>
        <v>8</v>
      </c>
      <c r="AB11" s="73" t="s">
        <v>805</v>
      </c>
      <c r="AC11" s="73" t="s">
        <v>805</v>
      </c>
      <c r="AD11" s="73" t="s">
        <v>805</v>
      </c>
      <c r="AE11" s="74">
        <v>0</v>
      </c>
      <c r="AF11" s="74">
        <v>0</v>
      </c>
      <c r="AG11" s="74">
        <v>0</v>
      </c>
      <c r="AH11" s="75"/>
      <c r="AJ11" s="93">
        <v>14</v>
      </c>
      <c r="AK11" s="99">
        <v>22230036</v>
      </c>
      <c r="AL11" s="100" t="s">
        <v>511</v>
      </c>
      <c r="AM11" s="68">
        <v>98.5</v>
      </c>
      <c r="AN11" s="68">
        <v>87.5</v>
      </c>
      <c r="AO11" s="68">
        <v>78.2</v>
      </c>
      <c r="AP11" s="68">
        <v>81</v>
      </c>
      <c r="AQ11" s="68">
        <v>72</v>
      </c>
      <c r="AR11" s="68">
        <v>71.5</v>
      </c>
      <c r="AS11" s="68">
        <v>88.3</v>
      </c>
      <c r="AT11" s="68">
        <v>94</v>
      </c>
      <c r="AU11" s="68">
        <v>69</v>
      </c>
      <c r="AV11" s="68">
        <v>72.5</v>
      </c>
      <c r="AW11" s="68">
        <v>80.5</v>
      </c>
      <c r="AX11" s="76">
        <v>80</v>
      </c>
      <c r="AY11" s="76">
        <v>85</v>
      </c>
      <c r="AZ11" s="76">
        <v>95</v>
      </c>
      <c r="BA11" s="76">
        <v>95</v>
      </c>
      <c r="BB11" s="240">
        <v>92.5</v>
      </c>
      <c r="BC11" s="240">
        <v>80</v>
      </c>
      <c r="BD11" s="240">
        <v>69</v>
      </c>
      <c r="BE11" s="240">
        <v>70</v>
      </c>
      <c r="BF11" s="240">
        <v>60</v>
      </c>
      <c r="BG11" s="240">
        <v>85</v>
      </c>
      <c r="BH11" s="70">
        <f t="shared" si="24"/>
        <v>1248</v>
      </c>
      <c r="BI11" s="71">
        <f t="shared" si="25"/>
        <v>83.2</v>
      </c>
      <c r="BJ11" s="101" t="e">
        <f t="shared" si="26"/>
        <v>#N/A</v>
      </c>
      <c r="BK11" s="73"/>
      <c r="BL11" s="73"/>
      <c r="BM11" s="73"/>
      <c r="BN11" s="74"/>
      <c r="BO11" s="74"/>
      <c r="BP11" s="74"/>
      <c r="BQ11" s="75"/>
    </row>
    <row r="12" spans="1:69" ht="21.95" customHeight="1">
      <c r="A12" s="138">
        <v>9</v>
      </c>
      <c r="B12" s="99">
        <v>22230186</v>
      </c>
      <c r="C12" s="103" t="s">
        <v>515</v>
      </c>
      <c r="D12" s="68">
        <f t="shared" si="0"/>
        <v>99</v>
      </c>
      <c r="E12" s="68">
        <f t="shared" si="1"/>
        <v>94</v>
      </c>
      <c r="F12" s="68">
        <f t="shared" si="2"/>
        <v>80</v>
      </c>
      <c r="G12" s="68">
        <f t="shared" si="3"/>
        <v>79</v>
      </c>
      <c r="H12" s="68">
        <f t="shared" si="4"/>
        <v>66</v>
      </c>
      <c r="I12" s="68">
        <f t="shared" si="5"/>
        <v>70</v>
      </c>
      <c r="J12" s="68">
        <f t="shared" si="6"/>
        <v>79</v>
      </c>
      <c r="K12" s="68">
        <f t="shared" si="7"/>
        <v>79</v>
      </c>
      <c r="L12" s="68">
        <f t="shared" si="8"/>
        <v>99</v>
      </c>
      <c r="M12" s="68">
        <f t="shared" si="9"/>
        <v>83</v>
      </c>
      <c r="N12" s="68">
        <f t="shared" si="10"/>
        <v>78</v>
      </c>
      <c r="O12" s="69">
        <f t="shared" si="11"/>
        <v>80</v>
      </c>
      <c r="P12" s="69">
        <f t="shared" si="12"/>
        <v>70</v>
      </c>
      <c r="Q12" s="69">
        <f t="shared" si="13"/>
        <v>95</v>
      </c>
      <c r="R12" s="69">
        <f t="shared" si="14"/>
        <v>95</v>
      </c>
      <c r="S12" s="234">
        <f t="shared" si="15"/>
        <v>93</v>
      </c>
      <c r="T12" s="234">
        <f t="shared" si="16"/>
        <v>88</v>
      </c>
      <c r="U12" s="234">
        <f t="shared" si="17"/>
        <v>99</v>
      </c>
      <c r="V12" s="234">
        <f t="shared" si="18"/>
        <v>70</v>
      </c>
      <c r="W12" s="234">
        <f t="shared" si="19"/>
        <v>80</v>
      </c>
      <c r="X12" s="234">
        <f t="shared" si="20"/>
        <v>83</v>
      </c>
      <c r="Y12" s="70">
        <f t="shared" si="21"/>
        <v>1246</v>
      </c>
      <c r="Z12" s="71">
        <f t="shared" si="22"/>
        <v>83.066666666666663</v>
      </c>
      <c r="AA12" s="101">
        <f t="shared" si="23"/>
        <v>9</v>
      </c>
      <c r="AB12" s="73" t="s">
        <v>805</v>
      </c>
      <c r="AC12" s="73" t="s">
        <v>805</v>
      </c>
      <c r="AD12" s="73" t="s">
        <v>805</v>
      </c>
      <c r="AE12" s="74">
        <v>0</v>
      </c>
      <c r="AF12" s="74">
        <v>0</v>
      </c>
      <c r="AG12" s="74">
        <v>7</v>
      </c>
      <c r="AH12" s="75"/>
      <c r="AJ12" s="93">
        <v>18</v>
      </c>
      <c r="AK12" s="99">
        <v>22230186</v>
      </c>
      <c r="AL12" s="103" t="s">
        <v>515</v>
      </c>
      <c r="AM12" s="68">
        <v>98.5</v>
      </c>
      <c r="AN12" s="68">
        <v>94</v>
      </c>
      <c r="AO12" s="68">
        <v>79.5</v>
      </c>
      <c r="AP12" s="68">
        <v>79</v>
      </c>
      <c r="AQ12" s="68">
        <v>66</v>
      </c>
      <c r="AR12" s="68">
        <v>69.5</v>
      </c>
      <c r="AS12" s="68">
        <v>79</v>
      </c>
      <c r="AT12" s="68">
        <v>79</v>
      </c>
      <c r="AU12" s="68">
        <v>99</v>
      </c>
      <c r="AV12" s="68">
        <v>83</v>
      </c>
      <c r="AW12" s="68">
        <v>78</v>
      </c>
      <c r="AX12" s="76">
        <v>80</v>
      </c>
      <c r="AY12" s="76">
        <v>70</v>
      </c>
      <c r="AZ12" s="76">
        <v>95</v>
      </c>
      <c r="BA12" s="76">
        <v>95</v>
      </c>
      <c r="BB12" s="240">
        <v>92.5</v>
      </c>
      <c r="BC12" s="240">
        <v>87.5</v>
      </c>
      <c r="BD12" s="240">
        <v>99</v>
      </c>
      <c r="BE12" s="240">
        <v>70</v>
      </c>
      <c r="BF12" s="240">
        <v>80</v>
      </c>
      <c r="BG12" s="240">
        <v>82.5</v>
      </c>
      <c r="BH12" s="70">
        <f t="shared" si="24"/>
        <v>1244.5</v>
      </c>
      <c r="BI12" s="71">
        <f t="shared" si="25"/>
        <v>82.966666666666669</v>
      </c>
      <c r="BJ12" s="101" t="e">
        <f t="shared" si="26"/>
        <v>#N/A</v>
      </c>
      <c r="BK12" s="73"/>
      <c r="BL12" s="73"/>
      <c r="BM12" s="73"/>
      <c r="BN12" s="74"/>
      <c r="BO12" s="74"/>
      <c r="BP12" s="74"/>
      <c r="BQ12" s="75"/>
    </row>
    <row r="13" spans="1:69" ht="21.95" customHeight="1">
      <c r="A13" s="138">
        <v>10</v>
      </c>
      <c r="B13" s="99">
        <v>22230103</v>
      </c>
      <c r="C13" s="102" t="s">
        <v>500</v>
      </c>
      <c r="D13" s="68">
        <f t="shared" si="0"/>
        <v>99</v>
      </c>
      <c r="E13" s="68">
        <f t="shared" si="1"/>
        <v>77</v>
      </c>
      <c r="F13" s="68">
        <f t="shared" si="2"/>
        <v>73</v>
      </c>
      <c r="G13" s="68">
        <f t="shared" si="3"/>
        <v>93</v>
      </c>
      <c r="H13" s="68">
        <f t="shared" si="4"/>
        <v>58</v>
      </c>
      <c r="I13" s="68">
        <f t="shared" si="5"/>
        <v>80</v>
      </c>
      <c r="J13" s="68">
        <f t="shared" si="6"/>
        <v>73</v>
      </c>
      <c r="K13" s="68">
        <f t="shared" si="7"/>
        <v>81</v>
      </c>
      <c r="L13" s="68">
        <f t="shared" si="8"/>
        <v>97</v>
      </c>
      <c r="M13" s="68">
        <f t="shared" si="9"/>
        <v>87</v>
      </c>
      <c r="N13" s="68">
        <f t="shared" si="10"/>
        <v>81</v>
      </c>
      <c r="O13" s="69">
        <f t="shared" si="11"/>
        <v>85</v>
      </c>
      <c r="P13" s="69">
        <f t="shared" si="12"/>
        <v>70</v>
      </c>
      <c r="Q13" s="69">
        <f t="shared" si="13"/>
        <v>95</v>
      </c>
      <c r="R13" s="69">
        <f t="shared" si="14"/>
        <v>95</v>
      </c>
      <c r="S13" s="234">
        <f t="shared" si="15"/>
        <v>93</v>
      </c>
      <c r="T13" s="234">
        <f t="shared" si="16"/>
        <v>85</v>
      </c>
      <c r="U13" s="234">
        <f t="shared" si="17"/>
        <v>97</v>
      </c>
      <c r="V13" s="234">
        <f t="shared" si="18"/>
        <v>85</v>
      </c>
      <c r="W13" s="234">
        <f t="shared" si="19"/>
        <v>80</v>
      </c>
      <c r="X13" s="234">
        <f t="shared" si="20"/>
        <v>83</v>
      </c>
      <c r="Y13" s="70">
        <f t="shared" si="21"/>
        <v>1244</v>
      </c>
      <c r="Z13" s="71">
        <f t="shared" si="22"/>
        <v>82.933333333333337</v>
      </c>
      <c r="AA13" s="101">
        <f t="shared" si="23"/>
        <v>10</v>
      </c>
      <c r="AB13" s="73" t="s">
        <v>805</v>
      </c>
      <c r="AC13" s="73" t="s">
        <v>805</v>
      </c>
      <c r="AD13" s="73" t="s">
        <v>805</v>
      </c>
      <c r="AE13" s="74">
        <v>7</v>
      </c>
      <c r="AF13" s="74">
        <v>0</v>
      </c>
      <c r="AG13" s="74">
        <v>0</v>
      </c>
      <c r="AH13" s="75"/>
      <c r="AJ13" s="93">
        <v>3</v>
      </c>
      <c r="AK13" s="99">
        <v>22230103</v>
      </c>
      <c r="AL13" s="102" t="s">
        <v>500</v>
      </c>
      <c r="AM13" s="68">
        <v>98.5</v>
      </c>
      <c r="AN13" s="68">
        <v>76.5</v>
      </c>
      <c r="AO13" s="68">
        <v>72.900000000000006</v>
      </c>
      <c r="AP13" s="68">
        <v>92.5</v>
      </c>
      <c r="AQ13" s="68">
        <v>57.6</v>
      </c>
      <c r="AR13" s="68">
        <v>79.5</v>
      </c>
      <c r="AS13" s="68">
        <v>73</v>
      </c>
      <c r="AT13" s="68">
        <v>80.5</v>
      </c>
      <c r="AU13" s="68">
        <v>97.399999999999991</v>
      </c>
      <c r="AV13" s="68">
        <v>87</v>
      </c>
      <c r="AW13" s="68">
        <v>80.5</v>
      </c>
      <c r="AX13" s="76">
        <v>85</v>
      </c>
      <c r="AY13" s="76">
        <v>70</v>
      </c>
      <c r="AZ13" s="76">
        <v>95</v>
      </c>
      <c r="BA13" s="76">
        <v>95</v>
      </c>
      <c r="BB13" s="240">
        <v>92.5</v>
      </c>
      <c r="BC13" s="240">
        <v>85</v>
      </c>
      <c r="BD13" s="240">
        <v>97.399999999999991</v>
      </c>
      <c r="BE13" s="240">
        <v>85</v>
      </c>
      <c r="BF13" s="240">
        <v>80</v>
      </c>
      <c r="BG13" s="240">
        <v>82.5</v>
      </c>
      <c r="BH13" s="70">
        <f t="shared" si="24"/>
        <v>1240.9000000000001</v>
      </c>
      <c r="BI13" s="71">
        <f t="shared" si="25"/>
        <v>82.726666666666674</v>
      </c>
      <c r="BJ13" s="101" t="e">
        <f t="shared" si="26"/>
        <v>#N/A</v>
      </c>
      <c r="BK13" s="73"/>
      <c r="BL13" s="73"/>
      <c r="BM13" s="73"/>
      <c r="BN13" s="74"/>
      <c r="BO13" s="74"/>
      <c r="BP13" s="74"/>
      <c r="BQ13" s="75"/>
    </row>
    <row r="14" spans="1:69" ht="21.95" customHeight="1">
      <c r="A14" s="138">
        <v>11</v>
      </c>
      <c r="B14" s="99">
        <v>22230150</v>
      </c>
      <c r="C14" s="107" t="s">
        <v>510</v>
      </c>
      <c r="D14" s="68">
        <f t="shared" si="0"/>
        <v>96</v>
      </c>
      <c r="E14" s="68">
        <f t="shared" si="1"/>
        <v>82</v>
      </c>
      <c r="F14" s="68">
        <f t="shared" si="2"/>
        <v>73</v>
      </c>
      <c r="G14" s="68">
        <f t="shared" si="3"/>
        <v>91</v>
      </c>
      <c r="H14" s="68">
        <f t="shared" si="4"/>
        <v>63</v>
      </c>
      <c r="I14" s="68">
        <f t="shared" si="5"/>
        <v>78</v>
      </c>
      <c r="J14" s="68">
        <f t="shared" si="6"/>
        <v>76</v>
      </c>
      <c r="K14" s="68">
        <f t="shared" si="7"/>
        <v>79</v>
      </c>
      <c r="L14" s="68">
        <f t="shared" si="8"/>
        <v>98</v>
      </c>
      <c r="M14" s="68">
        <f t="shared" si="9"/>
        <v>80</v>
      </c>
      <c r="N14" s="68">
        <f t="shared" si="10"/>
        <v>81</v>
      </c>
      <c r="O14" s="69">
        <f t="shared" si="11"/>
        <v>85</v>
      </c>
      <c r="P14" s="69">
        <f t="shared" si="12"/>
        <v>70</v>
      </c>
      <c r="Q14" s="69">
        <f t="shared" si="13"/>
        <v>95</v>
      </c>
      <c r="R14" s="69">
        <f t="shared" si="14"/>
        <v>90</v>
      </c>
      <c r="S14" s="234">
        <f t="shared" si="15"/>
        <v>98</v>
      </c>
      <c r="T14" s="234">
        <f t="shared" si="16"/>
        <v>85</v>
      </c>
      <c r="U14" s="234">
        <f t="shared" si="17"/>
        <v>98</v>
      </c>
      <c r="V14" s="234">
        <f t="shared" si="18"/>
        <v>78</v>
      </c>
      <c r="W14" s="234">
        <f t="shared" si="19"/>
        <v>73</v>
      </c>
      <c r="X14" s="234">
        <f t="shared" si="20"/>
        <v>80</v>
      </c>
      <c r="Y14" s="70">
        <f t="shared" si="21"/>
        <v>1237</v>
      </c>
      <c r="Z14" s="71">
        <f t="shared" si="22"/>
        <v>82.466666666666669</v>
      </c>
      <c r="AA14" s="101">
        <f t="shared" si="23"/>
        <v>11</v>
      </c>
      <c r="AB14" s="73" t="s">
        <v>805</v>
      </c>
      <c r="AC14" s="73" t="s">
        <v>805</v>
      </c>
      <c r="AD14" s="73" t="s">
        <v>805</v>
      </c>
      <c r="AE14" s="74">
        <v>0</v>
      </c>
      <c r="AF14" s="74">
        <v>0</v>
      </c>
      <c r="AG14" s="74">
        <v>0</v>
      </c>
      <c r="AH14" s="75"/>
      <c r="AJ14" s="93">
        <v>13</v>
      </c>
      <c r="AK14" s="99">
        <v>22230150</v>
      </c>
      <c r="AL14" s="100" t="s">
        <v>510</v>
      </c>
      <c r="AM14" s="68">
        <v>95.5</v>
      </c>
      <c r="AN14" s="68">
        <v>82</v>
      </c>
      <c r="AO14" s="68">
        <v>73.400000000000006</v>
      </c>
      <c r="AP14" s="68">
        <v>91</v>
      </c>
      <c r="AQ14" s="68">
        <v>63</v>
      </c>
      <c r="AR14" s="68">
        <v>77.5</v>
      </c>
      <c r="AS14" s="68">
        <v>76</v>
      </c>
      <c r="AT14" s="68">
        <v>79</v>
      </c>
      <c r="AU14" s="68">
        <v>98.4</v>
      </c>
      <c r="AV14" s="68">
        <v>80</v>
      </c>
      <c r="AW14" s="68">
        <v>81</v>
      </c>
      <c r="AX14" s="76">
        <v>85</v>
      </c>
      <c r="AY14" s="76">
        <v>70</v>
      </c>
      <c r="AZ14" s="76">
        <v>95</v>
      </c>
      <c r="BA14" s="76">
        <v>90</v>
      </c>
      <c r="BB14" s="240">
        <v>97.5</v>
      </c>
      <c r="BC14" s="240">
        <v>85</v>
      </c>
      <c r="BD14" s="240">
        <v>98.4</v>
      </c>
      <c r="BE14" s="240">
        <v>77.5</v>
      </c>
      <c r="BF14" s="240">
        <v>72.5</v>
      </c>
      <c r="BG14" s="240">
        <v>80</v>
      </c>
      <c r="BH14" s="70">
        <f t="shared" si="24"/>
        <v>1236.8</v>
      </c>
      <c r="BI14" s="71">
        <f t="shared" si="25"/>
        <v>82.453333333333333</v>
      </c>
      <c r="BJ14" s="101" t="e">
        <f t="shared" si="26"/>
        <v>#N/A</v>
      </c>
      <c r="BK14" s="73"/>
      <c r="BL14" s="73"/>
      <c r="BM14" s="73"/>
      <c r="BN14" s="74"/>
      <c r="BO14" s="74"/>
      <c r="BP14" s="74"/>
      <c r="BQ14" s="75"/>
    </row>
    <row r="15" spans="1:69" ht="21.95" customHeight="1">
      <c r="A15" s="138">
        <v>12</v>
      </c>
      <c r="B15" s="99">
        <v>23240137</v>
      </c>
      <c r="C15" s="107" t="s">
        <v>513</v>
      </c>
      <c r="D15" s="68">
        <f t="shared" si="0"/>
        <v>99</v>
      </c>
      <c r="E15" s="68">
        <f t="shared" si="1"/>
        <v>69</v>
      </c>
      <c r="F15" s="68">
        <f t="shared" si="2"/>
        <v>88</v>
      </c>
      <c r="G15" s="68">
        <f t="shared" si="3"/>
        <v>84</v>
      </c>
      <c r="H15" s="68">
        <f t="shared" si="4"/>
        <v>75</v>
      </c>
      <c r="I15" s="68">
        <f t="shared" si="5"/>
        <v>81</v>
      </c>
      <c r="J15" s="68">
        <f t="shared" si="6"/>
        <v>76</v>
      </c>
      <c r="K15" s="68">
        <f t="shared" si="7"/>
        <v>82</v>
      </c>
      <c r="L15" s="68">
        <f t="shared" si="8"/>
        <v>62</v>
      </c>
      <c r="M15" s="68">
        <f t="shared" si="9"/>
        <v>86</v>
      </c>
      <c r="N15" s="68">
        <f t="shared" si="10"/>
        <v>84</v>
      </c>
      <c r="O15" s="69">
        <f t="shared" si="11"/>
        <v>85</v>
      </c>
      <c r="P15" s="69">
        <f t="shared" si="12"/>
        <v>70</v>
      </c>
      <c r="Q15" s="69">
        <f t="shared" si="13"/>
        <v>95</v>
      </c>
      <c r="R15" s="69">
        <f t="shared" si="14"/>
        <v>95</v>
      </c>
      <c r="S15" s="234">
        <f t="shared" si="15"/>
        <v>99</v>
      </c>
      <c r="T15" s="234">
        <f t="shared" si="16"/>
        <v>93</v>
      </c>
      <c r="U15" s="234">
        <f t="shared" si="17"/>
        <v>62</v>
      </c>
      <c r="V15" s="234">
        <f t="shared" si="18"/>
        <v>78</v>
      </c>
      <c r="W15" s="234">
        <f t="shared" si="19"/>
        <v>70</v>
      </c>
      <c r="X15" s="234">
        <f t="shared" si="20"/>
        <v>93</v>
      </c>
      <c r="Y15" s="70">
        <f t="shared" si="21"/>
        <v>1231</v>
      </c>
      <c r="Z15" s="71">
        <f t="shared" si="22"/>
        <v>82.066666666666663</v>
      </c>
      <c r="AA15" s="101">
        <f t="shared" si="23"/>
        <v>12</v>
      </c>
      <c r="AB15" s="73" t="s">
        <v>805</v>
      </c>
      <c r="AC15" s="73" t="s">
        <v>805</v>
      </c>
      <c r="AD15" s="73" t="s">
        <v>805</v>
      </c>
      <c r="AE15" s="74">
        <v>0</v>
      </c>
      <c r="AF15" s="74">
        <v>2</v>
      </c>
      <c r="AG15" s="74">
        <v>18</v>
      </c>
      <c r="AH15" s="75"/>
      <c r="AJ15" s="93">
        <v>16</v>
      </c>
      <c r="AK15" s="99">
        <v>23240137</v>
      </c>
      <c r="AL15" s="102" t="s">
        <v>513</v>
      </c>
      <c r="AM15" s="68">
        <v>98.5</v>
      </c>
      <c r="AN15" s="68">
        <v>69</v>
      </c>
      <c r="AO15" s="68">
        <v>87.6</v>
      </c>
      <c r="AP15" s="68">
        <v>83.8</v>
      </c>
      <c r="AQ15" s="68">
        <v>75</v>
      </c>
      <c r="AR15" s="68">
        <v>81.199999999999989</v>
      </c>
      <c r="AS15" s="68">
        <v>76</v>
      </c>
      <c r="AT15" s="68">
        <v>82</v>
      </c>
      <c r="AU15" s="68">
        <v>61.5</v>
      </c>
      <c r="AV15" s="68">
        <v>85.5</v>
      </c>
      <c r="AW15" s="68">
        <v>84</v>
      </c>
      <c r="AX15" s="76">
        <v>85</v>
      </c>
      <c r="AY15" s="76">
        <v>70</v>
      </c>
      <c r="AZ15" s="76">
        <v>95</v>
      </c>
      <c r="BA15" s="76">
        <v>95</v>
      </c>
      <c r="BB15" s="240">
        <v>100</v>
      </c>
      <c r="BC15" s="240">
        <v>92.5</v>
      </c>
      <c r="BD15" s="240">
        <v>61.5</v>
      </c>
      <c r="BE15" s="240">
        <v>77.5</v>
      </c>
      <c r="BF15" s="240">
        <v>70</v>
      </c>
      <c r="BG15" s="240">
        <v>92.5</v>
      </c>
      <c r="BH15" s="70">
        <f t="shared" si="24"/>
        <v>1229.0999999999999</v>
      </c>
      <c r="BI15" s="71">
        <f t="shared" si="25"/>
        <v>81.94</v>
      </c>
      <c r="BJ15" s="101" t="e">
        <f t="shared" si="26"/>
        <v>#N/A</v>
      </c>
      <c r="BK15" s="73"/>
      <c r="BL15" s="73"/>
      <c r="BM15" s="73"/>
      <c r="BN15" s="74"/>
      <c r="BO15" s="74"/>
      <c r="BP15" s="74"/>
      <c r="BQ15" s="75"/>
    </row>
    <row r="16" spans="1:69" ht="21.95" customHeight="1">
      <c r="A16" s="138">
        <v>13</v>
      </c>
      <c r="B16" s="99">
        <v>22230198</v>
      </c>
      <c r="C16" s="102" t="s">
        <v>521</v>
      </c>
      <c r="D16" s="68">
        <f t="shared" si="0"/>
        <v>99</v>
      </c>
      <c r="E16" s="68">
        <f t="shared" si="1"/>
        <v>76</v>
      </c>
      <c r="F16" s="68">
        <f t="shared" si="2"/>
        <v>83</v>
      </c>
      <c r="G16" s="68">
        <f t="shared" si="3"/>
        <v>78</v>
      </c>
      <c r="H16" s="68">
        <f t="shared" si="4"/>
        <v>66</v>
      </c>
      <c r="I16" s="68">
        <f t="shared" si="5"/>
        <v>86</v>
      </c>
      <c r="J16" s="68">
        <f t="shared" si="6"/>
        <v>76</v>
      </c>
      <c r="K16" s="68">
        <f t="shared" si="7"/>
        <v>76</v>
      </c>
      <c r="L16" s="68">
        <f t="shared" si="8"/>
        <v>50</v>
      </c>
      <c r="M16" s="68">
        <f t="shared" si="9"/>
        <v>81</v>
      </c>
      <c r="N16" s="68">
        <f t="shared" si="10"/>
        <v>88</v>
      </c>
      <c r="O16" s="69">
        <f t="shared" si="11"/>
        <v>90</v>
      </c>
      <c r="P16" s="69">
        <f t="shared" si="12"/>
        <v>70</v>
      </c>
      <c r="Q16" s="69">
        <f t="shared" si="13"/>
        <v>99</v>
      </c>
      <c r="R16" s="69">
        <f t="shared" si="14"/>
        <v>95</v>
      </c>
      <c r="S16" s="234">
        <f t="shared" si="15"/>
        <v>93</v>
      </c>
      <c r="T16" s="234">
        <f t="shared" si="16"/>
        <v>93</v>
      </c>
      <c r="U16" s="234">
        <f t="shared" si="17"/>
        <v>50</v>
      </c>
      <c r="V16" s="234">
        <f t="shared" si="18"/>
        <v>75</v>
      </c>
      <c r="W16" s="234">
        <f t="shared" si="19"/>
        <v>68</v>
      </c>
      <c r="X16" s="234">
        <f t="shared" si="20"/>
        <v>78</v>
      </c>
      <c r="Y16" s="70">
        <f t="shared" si="21"/>
        <v>1213</v>
      </c>
      <c r="Z16" s="71">
        <f t="shared" si="22"/>
        <v>80.86666666666666</v>
      </c>
      <c r="AA16" s="101">
        <f t="shared" si="23"/>
        <v>13</v>
      </c>
      <c r="AB16" s="73" t="s">
        <v>805</v>
      </c>
      <c r="AC16" s="73" t="s">
        <v>805</v>
      </c>
      <c r="AD16" s="73" t="s">
        <v>807</v>
      </c>
      <c r="AE16" s="74">
        <v>0</v>
      </c>
      <c r="AF16" s="74">
        <v>0</v>
      </c>
      <c r="AG16" s="74">
        <v>2</v>
      </c>
      <c r="AH16" s="75"/>
      <c r="AJ16" s="93">
        <v>24</v>
      </c>
      <c r="AK16" s="99">
        <v>22230198</v>
      </c>
      <c r="AL16" s="102" t="s">
        <v>521</v>
      </c>
      <c r="AM16" s="68">
        <v>98.5</v>
      </c>
      <c r="AN16" s="68">
        <v>75.5</v>
      </c>
      <c r="AO16" s="68">
        <v>82.6</v>
      </c>
      <c r="AP16" s="68">
        <v>78</v>
      </c>
      <c r="AQ16" s="68">
        <v>66</v>
      </c>
      <c r="AR16" s="68">
        <v>85.8</v>
      </c>
      <c r="AS16" s="68">
        <v>76</v>
      </c>
      <c r="AT16" s="68">
        <v>76</v>
      </c>
      <c r="AU16" s="68">
        <v>50</v>
      </c>
      <c r="AV16" s="68">
        <v>80.5</v>
      </c>
      <c r="AW16" s="68">
        <v>88</v>
      </c>
      <c r="AX16" s="76">
        <v>90</v>
      </c>
      <c r="AY16" s="76">
        <v>70</v>
      </c>
      <c r="AZ16" s="76">
        <v>99</v>
      </c>
      <c r="BA16" s="76">
        <v>95</v>
      </c>
      <c r="BB16" s="240">
        <v>92.5</v>
      </c>
      <c r="BC16" s="240">
        <v>92.5</v>
      </c>
      <c r="BD16" s="240">
        <v>50</v>
      </c>
      <c r="BE16" s="240">
        <v>75</v>
      </c>
      <c r="BF16" s="240">
        <v>67.5</v>
      </c>
      <c r="BG16" s="240">
        <v>77.5</v>
      </c>
      <c r="BH16" s="70">
        <f t="shared" si="24"/>
        <v>1210.9000000000001</v>
      </c>
      <c r="BI16" s="71">
        <f t="shared" si="25"/>
        <v>80.726666666666674</v>
      </c>
      <c r="BJ16" s="101" t="e">
        <f t="shared" si="26"/>
        <v>#N/A</v>
      </c>
      <c r="BK16" s="73"/>
      <c r="BL16" s="73"/>
      <c r="BM16" s="73"/>
      <c r="BN16" s="74"/>
      <c r="BO16" s="74"/>
      <c r="BP16" s="74"/>
      <c r="BQ16" s="75"/>
    </row>
    <row r="17" spans="1:69" ht="21.95" customHeight="1">
      <c r="A17" s="138">
        <v>14</v>
      </c>
      <c r="B17" s="99">
        <v>24250119</v>
      </c>
      <c r="C17" s="103" t="s">
        <v>525</v>
      </c>
      <c r="D17" s="68">
        <f t="shared" si="0"/>
        <v>99</v>
      </c>
      <c r="E17" s="68">
        <f t="shared" si="1"/>
        <v>73</v>
      </c>
      <c r="F17" s="68">
        <f t="shared" si="2"/>
        <v>68</v>
      </c>
      <c r="G17" s="68">
        <f t="shared" si="3"/>
        <v>71</v>
      </c>
      <c r="H17" s="68">
        <f t="shared" si="4"/>
        <v>63</v>
      </c>
      <c r="I17" s="68">
        <f t="shared" si="5"/>
        <v>80</v>
      </c>
      <c r="J17" s="68">
        <f t="shared" si="6"/>
        <v>88</v>
      </c>
      <c r="K17" s="68">
        <f t="shared" si="7"/>
        <v>90</v>
      </c>
      <c r="L17" s="68">
        <f t="shared" si="8"/>
        <v>61</v>
      </c>
      <c r="M17" s="68">
        <f t="shared" si="9"/>
        <v>77</v>
      </c>
      <c r="N17" s="68">
        <f t="shared" si="10"/>
        <v>82</v>
      </c>
      <c r="O17" s="69">
        <f t="shared" si="11"/>
        <v>85</v>
      </c>
      <c r="P17" s="69">
        <f t="shared" si="12"/>
        <v>80</v>
      </c>
      <c r="Q17" s="69">
        <f t="shared" si="13"/>
        <v>96</v>
      </c>
      <c r="R17" s="69">
        <f t="shared" si="14"/>
        <v>95</v>
      </c>
      <c r="S17" s="234">
        <f t="shared" si="15"/>
        <v>95</v>
      </c>
      <c r="T17" s="234">
        <f t="shared" si="16"/>
        <v>95</v>
      </c>
      <c r="U17" s="234">
        <f t="shared" si="17"/>
        <v>61</v>
      </c>
      <c r="V17" s="234">
        <f t="shared" si="18"/>
        <v>75</v>
      </c>
      <c r="W17" s="234">
        <f t="shared" si="19"/>
        <v>65</v>
      </c>
      <c r="X17" s="234">
        <f t="shared" si="20"/>
        <v>90</v>
      </c>
      <c r="Y17" s="70">
        <f t="shared" si="21"/>
        <v>1208</v>
      </c>
      <c r="Z17" s="71">
        <f t="shared" si="22"/>
        <v>80.533333333333331</v>
      </c>
      <c r="AA17" s="101">
        <f t="shared" si="23"/>
        <v>14</v>
      </c>
      <c r="AB17" s="73" t="s">
        <v>805</v>
      </c>
      <c r="AC17" s="73" t="s">
        <v>805</v>
      </c>
      <c r="AD17" s="73" t="s">
        <v>805</v>
      </c>
      <c r="AE17" s="74">
        <v>3</v>
      </c>
      <c r="AF17" s="74">
        <v>0</v>
      </c>
      <c r="AG17" s="74">
        <v>0</v>
      </c>
      <c r="AH17" s="75"/>
      <c r="AJ17" s="93">
        <v>28</v>
      </c>
      <c r="AK17" s="99">
        <v>24250119</v>
      </c>
      <c r="AL17" s="103" t="s">
        <v>525</v>
      </c>
      <c r="AM17" s="68">
        <v>98.5</v>
      </c>
      <c r="AN17" s="68">
        <v>73</v>
      </c>
      <c r="AO17" s="68">
        <v>67.699999999999989</v>
      </c>
      <c r="AP17" s="68">
        <v>71.3</v>
      </c>
      <c r="AQ17" s="68">
        <v>63</v>
      </c>
      <c r="AR17" s="68">
        <v>80</v>
      </c>
      <c r="AS17" s="68">
        <v>88</v>
      </c>
      <c r="AT17" s="68">
        <v>89.5</v>
      </c>
      <c r="AU17" s="68">
        <v>61</v>
      </c>
      <c r="AV17" s="68">
        <v>76.5</v>
      </c>
      <c r="AW17" s="68">
        <v>82</v>
      </c>
      <c r="AX17" s="76">
        <v>85</v>
      </c>
      <c r="AY17" s="76">
        <v>80</v>
      </c>
      <c r="AZ17" s="76">
        <v>96</v>
      </c>
      <c r="BA17" s="76">
        <v>95</v>
      </c>
      <c r="BB17" s="240">
        <v>95</v>
      </c>
      <c r="BC17" s="240">
        <v>95</v>
      </c>
      <c r="BD17" s="240">
        <v>61</v>
      </c>
      <c r="BE17" s="240">
        <v>75</v>
      </c>
      <c r="BF17" s="240">
        <v>65</v>
      </c>
      <c r="BG17" s="240">
        <v>90</v>
      </c>
      <c r="BH17" s="70">
        <f t="shared" si="24"/>
        <v>1206.5</v>
      </c>
      <c r="BI17" s="71">
        <f t="shared" si="25"/>
        <v>80.433333333333337</v>
      </c>
      <c r="BJ17" s="101" t="e">
        <f t="shared" si="26"/>
        <v>#N/A</v>
      </c>
      <c r="BK17" s="73"/>
      <c r="BL17" s="73"/>
      <c r="BM17" s="73"/>
      <c r="BN17" s="74"/>
      <c r="BO17" s="74"/>
      <c r="BP17" s="74"/>
      <c r="BQ17" s="75"/>
    </row>
    <row r="18" spans="1:69" ht="21.95" customHeight="1">
      <c r="A18" s="138">
        <v>15</v>
      </c>
      <c r="B18" s="99">
        <v>22230090</v>
      </c>
      <c r="C18" s="107" t="s">
        <v>504</v>
      </c>
      <c r="D18" s="68">
        <f t="shared" si="0"/>
        <v>99</v>
      </c>
      <c r="E18" s="68">
        <f t="shared" si="1"/>
        <v>65</v>
      </c>
      <c r="F18" s="68">
        <f t="shared" si="2"/>
        <v>67</v>
      </c>
      <c r="G18" s="68">
        <f t="shared" si="3"/>
        <v>90</v>
      </c>
      <c r="H18" s="68">
        <f t="shared" si="4"/>
        <v>57</v>
      </c>
      <c r="I18" s="68">
        <f t="shared" si="5"/>
        <v>89</v>
      </c>
      <c r="J18" s="68">
        <f t="shared" si="6"/>
        <v>79</v>
      </c>
      <c r="K18" s="68">
        <f t="shared" si="7"/>
        <v>81</v>
      </c>
      <c r="L18" s="68">
        <f t="shared" si="8"/>
        <v>69</v>
      </c>
      <c r="M18" s="68">
        <f t="shared" si="9"/>
        <v>75</v>
      </c>
      <c r="N18" s="68">
        <f t="shared" si="10"/>
        <v>81</v>
      </c>
      <c r="O18" s="69">
        <f t="shared" si="11"/>
        <v>85</v>
      </c>
      <c r="P18" s="69">
        <f t="shared" si="12"/>
        <v>75</v>
      </c>
      <c r="Q18" s="69">
        <f t="shared" si="13"/>
        <v>95</v>
      </c>
      <c r="R18" s="69">
        <f t="shared" si="14"/>
        <v>95</v>
      </c>
      <c r="S18" s="234">
        <f t="shared" si="15"/>
        <v>85</v>
      </c>
      <c r="T18" s="234">
        <f t="shared" si="16"/>
        <v>88</v>
      </c>
      <c r="U18" s="234">
        <f t="shared" si="17"/>
        <v>69</v>
      </c>
      <c r="V18" s="234">
        <f t="shared" si="18"/>
        <v>83</v>
      </c>
      <c r="W18" s="234">
        <f t="shared" si="19"/>
        <v>80</v>
      </c>
      <c r="X18" s="234">
        <f t="shared" si="20"/>
        <v>90</v>
      </c>
      <c r="Y18" s="70">
        <f t="shared" si="21"/>
        <v>1202</v>
      </c>
      <c r="Z18" s="71">
        <f t="shared" si="22"/>
        <v>80.13333333333334</v>
      </c>
      <c r="AA18" s="101">
        <f t="shared" si="23"/>
        <v>15</v>
      </c>
      <c r="AB18" s="73" t="s">
        <v>805</v>
      </c>
      <c r="AC18" s="73" t="s">
        <v>805</v>
      </c>
      <c r="AD18" s="73" t="s">
        <v>805</v>
      </c>
      <c r="AE18" s="74">
        <v>0</v>
      </c>
      <c r="AF18" s="74">
        <v>0</v>
      </c>
      <c r="AG18" s="74">
        <v>0</v>
      </c>
      <c r="AH18" s="75"/>
      <c r="AJ18" s="93">
        <v>7</v>
      </c>
      <c r="AK18" s="99">
        <v>22230090</v>
      </c>
      <c r="AL18" s="102" t="s">
        <v>504</v>
      </c>
      <c r="AM18" s="68">
        <v>98.5</v>
      </c>
      <c r="AN18" s="68">
        <v>65</v>
      </c>
      <c r="AO18" s="68">
        <v>66.900000000000006</v>
      </c>
      <c r="AP18" s="68">
        <v>90</v>
      </c>
      <c r="AQ18" s="68">
        <v>57</v>
      </c>
      <c r="AR18" s="68">
        <v>88.5</v>
      </c>
      <c r="AS18" s="68">
        <v>79</v>
      </c>
      <c r="AT18" s="68">
        <v>80.5</v>
      </c>
      <c r="AU18" s="68">
        <v>69</v>
      </c>
      <c r="AV18" s="68">
        <v>74.5</v>
      </c>
      <c r="AW18" s="68">
        <v>80.5</v>
      </c>
      <c r="AX18" s="76">
        <v>85</v>
      </c>
      <c r="AY18" s="76">
        <v>75</v>
      </c>
      <c r="AZ18" s="76">
        <v>95</v>
      </c>
      <c r="BA18" s="76">
        <v>95</v>
      </c>
      <c r="BB18" s="240">
        <v>85</v>
      </c>
      <c r="BC18" s="240">
        <v>87.5</v>
      </c>
      <c r="BD18" s="240">
        <v>69</v>
      </c>
      <c r="BE18" s="240">
        <v>82.5</v>
      </c>
      <c r="BF18" s="240">
        <v>80</v>
      </c>
      <c r="BG18" s="240">
        <v>90</v>
      </c>
      <c r="BH18" s="70">
        <f t="shared" si="24"/>
        <v>1199.4000000000001</v>
      </c>
      <c r="BI18" s="71">
        <f t="shared" si="25"/>
        <v>79.960000000000008</v>
      </c>
      <c r="BJ18" s="101" t="e">
        <f t="shared" si="26"/>
        <v>#N/A</v>
      </c>
      <c r="BK18" s="73"/>
      <c r="BL18" s="73"/>
      <c r="BM18" s="73"/>
      <c r="BN18" s="74"/>
      <c r="BO18" s="74"/>
      <c r="BP18" s="74"/>
      <c r="BQ18" s="75"/>
    </row>
    <row r="19" spans="1:69" ht="21.95" customHeight="1">
      <c r="A19" s="138">
        <v>16</v>
      </c>
      <c r="B19" s="99">
        <v>22230087</v>
      </c>
      <c r="C19" s="107" t="s">
        <v>506</v>
      </c>
      <c r="D19" s="68">
        <f t="shared" si="0"/>
        <v>95</v>
      </c>
      <c r="E19" s="68">
        <f t="shared" si="1"/>
        <v>82</v>
      </c>
      <c r="F19" s="68">
        <f t="shared" si="2"/>
        <v>62</v>
      </c>
      <c r="G19" s="68">
        <f t="shared" si="3"/>
        <v>82</v>
      </c>
      <c r="H19" s="68">
        <f t="shared" si="4"/>
        <v>52</v>
      </c>
      <c r="I19" s="68">
        <f t="shared" si="5"/>
        <v>80</v>
      </c>
      <c r="J19" s="68">
        <f t="shared" si="6"/>
        <v>84</v>
      </c>
      <c r="K19" s="68">
        <f t="shared" si="7"/>
        <v>88</v>
      </c>
      <c r="L19" s="68">
        <f t="shared" si="8"/>
        <v>67</v>
      </c>
      <c r="M19" s="68">
        <f t="shared" si="9"/>
        <v>81</v>
      </c>
      <c r="N19" s="68">
        <f t="shared" si="10"/>
        <v>81</v>
      </c>
      <c r="O19" s="69">
        <f t="shared" si="11"/>
        <v>85</v>
      </c>
      <c r="P19" s="69">
        <f t="shared" si="12"/>
        <v>70</v>
      </c>
      <c r="Q19" s="69">
        <f t="shared" si="13"/>
        <v>90</v>
      </c>
      <c r="R19" s="69">
        <f t="shared" si="14"/>
        <v>95</v>
      </c>
      <c r="S19" s="234">
        <f t="shared" si="15"/>
        <v>88</v>
      </c>
      <c r="T19" s="234">
        <f t="shared" si="16"/>
        <v>88</v>
      </c>
      <c r="U19" s="234">
        <f t="shared" si="17"/>
        <v>67</v>
      </c>
      <c r="V19" s="234">
        <f t="shared" si="18"/>
        <v>85</v>
      </c>
      <c r="W19" s="234">
        <f t="shared" si="19"/>
        <v>80</v>
      </c>
      <c r="X19" s="234">
        <f t="shared" si="20"/>
        <v>90</v>
      </c>
      <c r="Y19" s="70">
        <f t="shared" si="21"/>
        <v>1194</v>
      </c>
      <c r="Z19" s="71">
        <f t="shared" si="22"/>
        <v>79.599999999999994</v>
      </c>
      <c r="AA19" s="101">
        <f t="shared" si="23"/>
        <v>16</v>
      </c>
      <c r="AB19" s="73" t="s">
        <v>805</v>
      </c>
      <c r="AC19" s="73" t="s">
        <v>805</v>
      </c>
      <c r="AD19" s="73" t="s">
        <v>805</v>
      </c>
      <c r="AE19" s="74">
        <v>21</v>
      </c>
      <c r="AF19" s="74">
        <v>25</v>
      </c>
      <c r="AG19" s="74">
        <v>0</v>
      </c>
      <c r="AH19" s="75"/>
      <c r="AJ19" s="93">
        <v>9</v>
      </c>
      <c r="AK19" s="99">
        <v>22230087</v>
      </c>
      <c r="AL19" s="103" t="s">
        <v>506</v>
      </c>
      <c r="AM19" s="68">
        <v>94.5</v>
      </c>
      <c r="AN19" s="68">
        <v>81.5</v>
      </c>
      <c r="AO19" s="68">
        <v>61.599999999999994</v>
      </c>
      <c r="AP19" s="68">
        <v>81.5</v>
      </c>
      <c r="AQ19" s="68">
        <v>52.2</v>
      </c>
      <c r="AR19" s="68">
        <v>80.199999999999989</v>
      </c>
      <c r="AS19" s="68">
        <v>84</v>
      </c>
      <c r="AT19" s="68">
        <v>88</v>
      </c>
      <c r="AU19" s="68">
        <v>66.5</v>
      </c>
      <c r="AV19" s="68">
        <v>80.5</v>
      </c>
      <c r="AW19" s="68">
        <v>81</v>
      </c>
      <c r="AX19" s="76">
        <v>85</v>
      </c>
      <c r="AY19" s="76">
        <v>70</v>
      </c>
      <c r="AZ19" s="76">
        <v>90</v>
      </c>
      <c r="BA19" s="76">
        <v>95</v>
      </c>
      <c r="BB19" s="240">
        <v>87.5</v>
      </c>
      <c r="BC19" s="240">
        <v>87.5</v>
      </c>
      <c r="BD19" s="240">
        <v>66.5</v>
      </c>
      <c r="BE19" s="240">
        <v>85</v>
      </c>
      <c r="BF19" s="240">
        <v>80</v>
      </c>
      <c r="BG19" s="240">
        <v>90</v>
      </c>
      <c r="BH19" s="70">
        <f t="shared" si="24"/>
        <v>1191.5</v>
      </c>
      <c r="BI19" s="71">
        <f t="shared" si="25"/>
        <v>79.433333333333337</v>
      </c>
      <c r="BJ19" s="101" t="e">
        <f t="shared" si="26"/>
        <v>#N/A</v>
      </c>
      <c r="BK19" s="73"/>
      <c r="BL19" s="73"/>
      <c r="BM19" s="73"/>
      <c r="BN19" s="74"/>
      <c r="BO19" s="74"/>
      <c r="BP19" s="74"/>
      <c r="BQ19" s="75"/>
    </row>
    <row r="20" spans="1:69" ht="21.95" customHeight="1">
      <c r="A20" s="93">
        <v>17</v>
      </c>
      <c r="B20" s="99">
        <v>23240061</v>
      </c>
      <c r="C20" s="107" t="s">
        <v>502</v>
      </c>
      <c r="D20" s="68">
        <f t="shared" si="0"/>
        <v>99</v>
      </c>
      <c r="E20" s="68">
        <f t="shared" si="1"/>
        <v>58</v>
      </c>
      <c r="F20" s="68">
        <f t="shared" si="2"/>
        <v>73</v>
      </c>
      <c r="G20" s="68">
        <f t="shared" si="3"/>
        <v>70</v>
      </c>
      <c r="H20" s="68">
        <f t="shared" si="4"/>
        <v>63</v>
      </c>
      <c r="I20" s="68">
        <f t="shared" si="5"/>
        <v>84</v>
      </c>
      <c r="J20" s="68">
        <f t="shared" si="6"/>
        <v>81</v>
      </c>
      <c r="K20" s="68">
        <f t="shared" si="7"/>
        <v>87</v>
      </c>
      <c r="L20" s="68">
        <f t="shared" si="8"/>
        <v>96</v>
      </c>
      <c r="M20" s="68">
        <f t="shared" si="9"/>
        <v>69</v>
      </c>
      <c r="N20" s="68">
        <f t="shared" si="10"/>
        <v>76</v>
      </c>
      <c r="O20" s="69">
        <f t="shared" si="11"/>
        <v>70</v>
      </c>
      <c r="P20" s="69">
        <f t="shared" si="12"/>
        <v>80</v>
      </c>
      <c r="Q20" s="69">
        <f t="shared" si="13"/>
        <v>90</v>
      </c>
      <c r="R20" s="69">
        <f t="shared" si="14"/>
        <v>90</v>
      </c>
      <c r="S20" s="234">
        <f t="shared" si="15"/>
        <v>95</v>
      </c>
      <c r="T20" s="234">
        <f t="shared" si="16"/>
        <v>88</v>
      </c>
      <c r="U20" s="234">
        <f t="shared" si="17"/>
        <v>96</v>
      </c>
      <c r="V20" s="234">
        <f t="shared" si="18"/>
        <v>90</v>
      </c>
      <c r="W20" s="234">
        <f t="shared" si="19"/>
        <v>80</v>
      </c>
      <c r="X20" s="234">
        <f t="shared" si="20"/>
        <v>73</v>
      </c>
      <c r="Y20" s="70">
        <f t="shared" si="21"/>
        <v>1186</v>
      </c>
      <c r="Z20" s="71">
        <f t="shared" si="22"/>
        <v>79.066666666666663</v>
      </c>
      <c r="AA20" s="101">
        <f t="shared" si="23"/>
        <v>17</v>
      </c>
      <c r="AB20" s="73" t="s">
        <v>805</v>
      </c>
      <c r="AC20" s="73" t="s">
        <v>805</v>
      </c>
      <c r="AD20" s="73" t="s">
        <v>805</v>
      </c>
      <c r="AE20" s="74">
        <v>9</v>
      </c>
      <c r="AF20" s="74">
        <v>0</v>
      </c>
      <c r="AG20" s="74">
        <v>0</v>
      </c>
      <c r="AH20" s="75"/>
      <c r="AJ20" s="93">
        <v>5</v>
      </c>
      <c r="AK20" s="99">
        <v>23240061</v>
      </c>
      <c r="AL20" s="100" t="s">
        <v>502</v>
      </c>
      <c r="AM20" s="68">
        <v>98.5</v>
      </c>
      <c r="AN20" s="68">
        <v>58</v>
      </c>
      <c r="AO20" s="68">
        <v>73.3</v>
      </c>
      <c r="AP20" s="68">
        <v>69.5</v>
      </c>
      <c r="AQ20" s="68">
        <v>63</v>
      </c>
      <c r="AR20" s="68">
        <v>84.3</v>
      </c>
      <c r="AS20" s="68">
        <v>80.5</v>
      </c>
      <c r="AT20" s="68">
        <v>86.5</v>
      </c>
      <c r="AU20" s="68">
        <v>96</v>
      </c>
      <c r="AV20" s="68">
        <v>68.5</v>
      </c>
      <c r="AW20" s="68">
        <v>75.5</v>
      </c>
      <c r="AX20" s="76">
        <v>70</v>
      </c>
      <c r="AY20" s="76">
        <v>80</v>
      </c>
      <c r="AZ20" s="76">
        <v>90</v>
      </c>
      <c r="BA20" s="76">
        <v>90</v>
      </c>
      <c r="BB20" s="240">
        <v>95</v>
      </c>
      <c r="BC20" s="240">
        <v>87.5</v>
      </c>
      <c r="BD20" s="240">
        <v>96</v>
      </c>
      <c r="BE20" s="240">
        <v>90</v>
      </c>
      <c r="BF20" s="240">
        <v>80</v>
      </c>
      <c r="BG20" s="240">
        <v>72.5</v>
      </c>
      <c r="BH20" s="70">
        <f t="shared" si="24"/>
        <v>1183.5999999999999</v>
      </c>
      <c r="BI20" s="71">
        <f t="shared" si="25"/>
        <v>78.906666666666666</v>
      </c>
      <c r="BJ20" s="101" t="e">
        <f t="shared" si="26"/>
        <v>#N/A</v>
      </c>
      <c r="BK20" s="73"/>
      <c r="BL20" s="73"/>
      <c r="BM20" s="73"/>
      <c r="BN20" s="74"/>
      <c r="BO20" s="74"/>
      <c r="BP20" s="74"/>
      <c r="BQ20" s="75"/>
    </row>
    <row r="21" spans="1:69" ht="21.95" customHeight="1">
      <c r="A21" s="93">
        <v>18</v>
      </c>
      <c r="B21" s="99">
        <v>22230007</v>
      </c>
      <c r="C21" s="103" t="s">
        <v>516</v>
      </c>
      <c r="D21" s="68">
        <f t="shared" si="0"/>
        <v>99</v>
      </c>
      <c r="E21" s="68">
        <f t="shared" si="1"/>
        <v>79</v>
      </c>
      <c r="F21" s="68">
        <f t="shared" si="2"/>
        <v>76</v>
      </c>
      <c r="G21" s="68">
        <f t="shared" si="3"/>
        <v>91</v>
      </c>
      <c r="H21" s="68">
        <f t="shared" si="4"/>
        <v>66</v>
      </c>
      <c r="I21" s="68">
        <f t="shared" si="5"/>
        <v>70</v>
      </c>
      <c r="J21" s="68">
        <f t="shared" si="6"/>
        <v>76</v>
      </c>
      <c r="K21" s="68">
        <f t="shared" si="7"/>
        <v>73</v>
      </c>
      <c r="L21" s="68">
        <f t="shared" si="8"/>
        <v>47</v>
      </c>
      <c r="M21" s="68">
        <f t="shared" si="9"/>
        <v>88</v>
      </c>
      <c r="N21" s="68">
        <f t="shared" si="10"/>
        <v>78</v>
      </c>
      <c r="O21" s="69">
        <f t="shared" si="11"/>
        <v>80</v>
      </c>
      <c r="P21" s="69">
        <f t="shared" si="12"/>
        <v>70</v>
      </c>
      <c r="Q21" s="69">
        <f t="shared" si="13"/>
        <v>90</v>
      </c>
      <c r="R21" s="69">
        <f t="shared" si="14"/>
        <v>95</v>
      </c>
      <c r="S21" s="234">
        <f t="shared" si="15"/>
        <v>85</v>
      </c>
      <c r="T21" s="234">
        <f t="shared" si="16"/>
        <v>95</v>
      </c>
      <c r="U21" s="234">
        <f t="shared" si="17"/>
        <v>47</v>
      </c>
      <c r="V21" s="234">
        <f t="shared" si="18"/>
        <v>85</v>
      </c>
      <c r="W21" s="234">
        <f t="shared" si="19"/>
        <v>78</v>
      </c>
      <c r="X21" s="234">
        <f t="shared" si="20"/>
        <v>85</v>
      </c>
      <c r="Y21" s="70">
        <f t="shared" si="21"/>
        <v>1178</v>
      </c>
      <c r="Z21" s="71">
        <f t="shared" si="22"/>
        <v>78.533333333333331</v>
      </c>
      <c r="AA21" s="101">
        <f t="shared" si="23"/>
        <v>18</v>
      </c>
      <c r="AB21" s="73" t="s">
        <v>805</v>
      </c>
      <c r="AC21" s="73" t="s">
        <v>805</v>
      </c>
      <c r="AD21" s="73" t="s">
        <v>805</v>
      </c>
      <c r="AE21" s="74">
        <v>0</v>
      </c>
      <c r="AF21" s="74">
        <v>0</v>
      </c>
      <c r="AG21" s="74">
        <v>0</v>
      </c>
      <c r="AH21" s="75"/>
      <c r="AJ21" s="93">
        <v>19</v>
      </c>
      <c r="AK21" s="99">
        <v>22230007</v>
      </c>
      <c r="AL21" s="103" t="s">
        <v>516</v>
      </c>
      <c r="AM21" s="68">
        <v>98.5</v>
      </c>
      <c r="AN21" s="68">
        <v>79</v>
      </c>
      <c r="AO21" s="68">
        <v>76.400000000000006</v>
      </c>
      <c r="AP21" s="68">
        <v>90.5</v>
      </c>
      <c r="AQ21" s="68">
        <v>66</v>
      </c>
      <c r="AR21" s="68">
        <v>69.5</v>
      </c>
      <c r="AS21" s="68">
        <v>76</v>
      </c>
      <c r="AT21" s="68">
        <v>73</v>
      </c>
      <c r="AU21" s="68">
        <v>46.5</v>
      </c>
      <c r="AV21" s="68">
        <v>88</v>
      </c>
      <c r="AW21" s="68">
        <v>77.5</v>
      </c>
      <c r="AX21" s="76">
        <v>80</v>
      </c>
      <c r="AY21" s="76">
        <v>70</v>
      </c>
      <c r="AZ21" s="76">
        <v>90</v>
      </c>
      <c r="BA21" s="76">
        <v>95</v>
      </c>
      <c r="BB21" s="240">
        <v>85</v>
      </c>
      <c r="BC21" s="240">
        <v>95</v>
      </c>
      <c r="BD21" s="240">
        <v>46.5</v>
      </c>
      <c r="BE21" s="240">
        <v>85</v>
      </c>
      <c r="BF21" s="240">
        <v>77.5</v>
      </c>
      <c r="BG21" s="240">
        <v>85</v>
      </c>
      <c r="BH21" s="70">
        <f t="shared" si="24"/>
        <v>1175.9000000000001</v>
      </c>
      <c r="BI21" s="71">
        <f t="shared" si="25"/>
        <v>78.393333333333345</v>
      </c>
      <c r="BJ21" s="101" t="e">
        <f t="shared" si="26"/>
        <v>#N/A</v>
      </c>
      <c r="BK21" s="73"/>
      <c r="BL21" s="73"/>
      <c r="BM21" s="73"/>
      <c r="BN21" s="74"/>
      <c r="BO21" s="74"/>
      <c r="BP21" s="74"/>
      <c r="BQ21" s="75"/>
    </row>
    <row r="22" spans="1:69" ht="21.95" customHeight="1">
      <c r="A22" s="93">
        <v>19</v>
      </c>
      <c r="B22" s="99">
        <v>22230019</v>
      </c>
      <c r="C22" s="100" t="s">
        <v>520</v>
      </c>
      <c r="D22" s="68">
        <f t="shared" si="0"/>
        <v>99</v>
      </c>
      <c r="E22" s="68">
        <f t="shared" si="1"/>
        <v>69</v>
      </c>
      <c r="F22" s="68">
        <f t="shared" si="2"/>
        <v>75</v>
      </c>
      <c r="G22" s="68">
        <f t="shared" si="3"/>
        <v>74</v>
      </c>
      <c r="H22" s="68">
        <f t="shared" si="4"/>
        <v>63</v>
      </c>
      <c r="I22" s="68">
        <f t="shared" si="5"/>
        <v>69</v>
      </c>
      <c r="J22" s="68">
        <f t="shared" si="6"/>
        <v>79</v>
      </c>
      <c r="K22" s="68">
        <f t="shared" si="7"/>
        <v>79</v>
      </c>
      <c r="L22" s="68">
        <f t="shared" si="8"/>
        <v>64</v>
      </c>
      <c r="M22" s="68">
        <f t="shared" si="9"/>
        <v>74</v>
      </c>
      <c r="N22" s="68">
        <f t="shared" si="10"/>
        <v>82</v>
      </c>
      <c r="O22" s="69">
        <f t="shared" si="11"/>
        <v>90</v>
      </c>
      <c r="P22" s="69">
        <f t="shared" si="12"/>
        <v>70</v>
      </c>
      <c r="Q22" s="69">
        <f t="shared" si="13"/>
        <v>95</v>
      </c>
      <c r="R22" s="69">
        <f t="shared" si="14"/>
        <v>95</v>
      </c>
      <c r="S22" s="234">
        <f t="shared" si="15"/>
        <v>98</v>
      </c>
      <c r="T22" s="234">
        <f t="shared" si="16"/>
        <v>98</v>
      </c>
      <c r="U22" s="234">
        <f t="shared" si="17"/>
        <v>64</v>
      </c>
      <c r="V22" s="234">
        <f t="shared" si="18"/>
        <v>78</v>
      </c>
      <c r="W22" s="234">
        <f t="shared" si="19"/>
        <v>70</v>
      </c>
      <c r="X22" s="234">
        <f t="shared" si="20"/>
        <v>73</v>
      </c>
      <c r="Y22" s="70">
        <f t="shared" si="21"/>
        <v>1177</v>
      </c>
      <c r="Z22" s="71">
        <f t="shared" si="22"/>
        <v>78.466666666666669</v>
      </c>
      <c r="AA22" s="101">
        <f t="shared" si="23"/>
        <v>19</v>
      </c>
      <c r="AB22" s="73" t="s">
        <v>805</v>
      </c>
      <c r="AC22" s="73" t="s">
        <v>805</v>
      </c>
      <c r="AD22" s="73" t="s">
        <v>805</v>
      </c>
      <c r="AE22" s="74">
        <v>0</v>
      </c>
      <c r="AF22" s="74">
        <v>0</v>
      </c>
      <c r="AG22" s="74">
        <v>0</v>
      </c>
      <c r="AH22" s="75"/>
      <c r="AJ22" s="93">
        <v>23</v>
      </c>
      <c r="AK22" s="99">
        <v>22230019</v>
      </c>
      <c r="AL22" s="100" t="s">
        <v>520</v>
      </c>
      <c r="AM22" s="68">
        <v>98.5</v>
      </c>
      <c r="AN22" s="68">
        <v>68.5</v>
      </c>
      <c r="AO22" s="68">
        <v>74.599999999999994</v>
      </c>
      <c r="AP22" s="68">
        <v>73.8</v>
      </c>
      <c r="AQ22" s="68">
        <v>63</v>
      </c>
      <c r="AR22" s="68">
        <v>69</v>
      </c>
      <c r="AS22" s="68">
        <v>79</v>
      </c>
      <c r="AT22" s="68">
        <v>79</v>
      </c>
      <c r="AU22" s="68">
        <v>64</v>
      </c>
      <c r="AV22" s="68">
        <v>74</v>
      </c>
      <c r="AW22" s="68">
        <v>81.5</v>
      </c>
      <c r="AX22" s="76">
        <v>90</v>
      </c>
      <c r="AY22" s="76">
        <v>70</v>
      </c>
      <c r="AZ22" s="76">
        <v>95</v>
      </c>
      <c r="BA22" s="76">
        <v>95</v>
      </c>
      <c r="BB22" s="240">
        <v>97.5</v>
      </c>
      <c r="BC22" s="240">
        <v>97.5</v>
      </c>
      <c r="BD22" s="240">
        <v>64</v>
      </c>
      <c r="BE22" s="240">
        <v>77.5</v>
      </c>
      <c r="BF22" s="240">
        <v>70</v>
      </c>
      <c r="BG22" s="240">
        <v>72.5</v>
      </c>
      <c r="BH22" s="70">
        <f t="shared" si="24"/>
        <v>1174.9000000000001</v>
      </c>
      <c r="BI22" s="71">
        <f t="shared" si="25"/>
        <v>78.326666666666668</v>
      </c>
      <c r="BJ22" s="101" t="e">
        <f t="shared" si="26"/>
        <v>#N/A</v>
      </c>
      <c r="BK22" s="73"/>
      <c r="BL22" s="73"/>
      <c r="BM22" s="73"/>
      <c r="BN22" s="74"/>
      <c r="BO22" s="74"/>
      <c r="BP22" s="74"/>
      <c r="BQ22" s="75"/>
    </row>
    <row r="23" spans="1:69" ht="21.95" customHeight="1">
      <c r="A23" s="93">
        <v>20</v>
      </c>
      <c r="B23" s="99">
        <v>22230187</v>
      </c>
      <c r="C23" s="107" t="s">
        <v>507</v>
      </c>
      <c r="D23" s="68">
        <f t="shared" si="0"/>
        <v>96</v>
      </c>
      <c r="E23" s="68">
        <f t="shared" si="1"/>
        <v>58</v>
      </c>
      <c r="F23" s="68">
        <f t="shared" si="2"/>
        <v>73</v>
      </c>
      <c r="G23" s="68">
        <f t="shared" si="3"/>
        <v>84</v>
      </c>
      <c r="H23" s="68">
        <f t="shared" si="4"/>
        <v>63</v>
      </c>
      <c r="I23" s="68">
        <f t="shared" si="5"/>
        <v>78</v>
      </c>
      <c r="J23" s="68">
        <f t="shared" si="6"/>
        <v>79</v>
      </c>
      <c r="K23" s="68">
        <f t="shared" si="7"/>
        <v>82</v>
      </c>
      <c r="L23" s="68">
        <f t="shared" si="8"/>
        <v>75</v>
      </c>
      <c r="M23" s="68">
        <f t="shared" si="9"/>
        <v>69</v>
      </c>
      <c r="N23" s="68">
        <f t="shared" si="10"/>
        <v>78</v>
      </c>
      <c r="O23" s="69">
        <f t="shared" si="11"/>
        <v>80</v>
      </c>
      <c r="P23" s="69">
        <f t="shared" si="12"/>
        <v>70</v>
      </c>
      <c r="Q23" s="69">
        <f t="shared" si="13"/>
        <v>90</v>
      </c>
      <c r="R23" s="69">
        <f t="shared" si="14"/>
        <v>95</v>
      </c>
      <c r="S23" s="234">
        <f t="shared" si="15"/>
        <v>90</v>
      </c>
      <c r="T23" s="234">
        <f t="shared" si="16"/>
        <v>88</v>
      </c>
      <c r="U23" s="234">
        <f t="shared" si="17"/>
        <v>75</v>
      </c>
      <c r="V23" s="234">
        <f t="shared" si="18"/>
        <v>83</v>
      </c>
      <c r="W23" s="234">
        <f t="shared" si="19"/>
        <v>83</v>
      </c>
      <c r="X23" s="234">
        <f t="shared" si="20"/>
        <v>78</v>
      </c>
      <c r="Y23" s="70">
        <f t="shared" si="21"/>
        <v>1170</v>
      </c>
      <c r="Z23" s="71">
        <f t="shared" si="22"/>
        <v>78</v>
      </c>
      <c r="AA23" s="101">
        <f t="shared" si="23"/>
        <v>20</v>
      </c>
      <c r="AB23" s="73" t="s">
        <v>805</v>
      </c>
      <c r="AC23" s="73" t="s">
        <v>805</v>
      </c>
      <c r="AD23" s="73" t="s">
        <v>805</v>
      </c>
      <c r="AE23" s="74">
        <v>7</v>
      </c>
      <c r="AF23" s="74">
        <v>8</v>
      </c>
      <c r="AG23" s="74">
        <v>0</v>
      </c>
      <c r="AH23" s="75"/>
      <c r="AJ23" s="93">
        <v>10</v>
      </c>
      <c r="AK23" s="99">
        <v>22230187</v>
      </c>
      <c r="AL23" s="102" t="s">
        <v>507</v>
      </c>
      <c r="AM23" s="68">
        <v>95.5</v>
      </c>
      <c r="AN23" s="68">
        <v>58</v>
      </c>
      <c r="AO23" s="68">
        <v>73.199999999999989</v>
      </c>
      <c r="AP23" s="68">
        <v>84</v>
      </c>
      <c r="AQ23" s="68">
        <v>63</v>
      </c>
      <c r="AR23" s="68">
        <v>77.5</v>
      </c>
      <c r="AS23" s="68">
        <v>79</v>
      </c>
      <c r="AT23" s="68">
        <v>82</v>
      </c>
      <c r="AU23" s="68">
        <v>74.5</v>
      </c>
      <c r="AV23" s="68">
        <v>68.5</v>
      </c>
      <c r="AW23" s="68">
        <v>77.5</v>
      </c>
      <c r="AX23" s="76">
        <v>80</v>
      </c>
      <c r="AY23" s="76">
        <v>70</v>
      </c>
      <c r="AZ23" s="76">
        <v>90</v>
      </c>
      <c r="BA23" s="76">
        <v>95</v>
      </c>
      <c r="BB23" s="240">
        <v>90</v>
      </c>
      <c r="BC23" s="240">
        <v>87.5</v>
      </c>
      <c r="BD23" s="240">
        <v>74.5</v>
      </c>
      <c r="BE23" s="240">
        <v>82.5</v>
      </c>
      <c r="BF23" s="240">
        <v>82.5</v>
      </c>
      <c r="BG23" s="240">
        <v>77.5</v>
      </c>
      <c r="BH23" s="70">
        <f t="shared" si="24"/>
        <v>1167.7</v>
      </c>
      <c r="BI23" s="71">
        <f t="shared" si="25"/>
        <v>77.846666666666664</v>
      </c>
      <c r="BJ23" s="101" t="e">
        <f t="shared" si="26"/>
        <v>#N/A</v>
      </c>
      <c r="BK23" s="73"/>
      <c r="BL23" s="73"/>
      <c r="BM23" s="73"/>
      <c r="BN23" s="74"/>
      <c r="BO23" s="74"/>
      <c r="BP23" s="74"/>
      <c r="BQ23" s="75"/>
    </row>
    <row r="24" spans="1:69" ht="21.95" customHeight="1">
      <c r="A24" s="93">
        <v>21</v>
      </c>
      <c r="B24" s="99">
        <v>22230113</v>
      </c>
      <c r="C24" s="100" t="s">
        <v>501</v>
      </c>
      <c r="D24" s="68">
        <f t="shared" si="0"/>
        <v>98</v>
      </c>
      <c r="E24" s="68">
        <f t="shared" si="1"/>
        <v>84</v>
      </c>
      <c r="F24" s="68">
        <f t="shared" si="2"/>
        <v>69</v>
      </c>
      <c r="G24" s="68">
        <f t="shared" si="3"/>
        <v>75</v>
      </c>
      <c r="H24" s="68">
        <f t="shared" si="4"/>
        <v>59</v>
      </c>
      <c r="I24" s="68">
        <f t="shared" si="5"/>
        <v>82</v>
      </c>
      <c r="J24" s="68">
        <f t="shared" si="6"/>
        <v>72</v>
      </c>
      <c r="K24" s="68">
        <f t="shared" si="7"/>
        <v>78</v>
      </c>
      <c r="L24" s="68">
        <f t="shared" si="8"/>
        <v>56</v>
      </c>
      <c r="M24" s="68">
        <f t="shared" si="9"/>
        <v>75</v>
      </c>
      <c r="N24" s="68">
        <f t="shared" si="10"/>
        <v>84</v>
      </c>
      <c r="O24" s="69">
        <f t="shared" si="11"/>
        <v>80</v>
      </c>
      <c r="P24" s="69">
        <f t="shared" si="12"/>
        <v>70</v>
      </c>
      <c r="Q24" s="69">
        <f t="shared" si="13"/>
        <v>90</v>
      </c>
      <c r="R24" s="69">
        <f t="shared" si="14"/>
        <v>95</v>
      </c>
      <c r="S24" s="234">
        <f t="shared" si="15"/>
        <v>88</v>
      </c>
      <c r="T24" s="234">
        <f t="shared" si="16"/>
        <v>75</v>
      </c>
      <c r="U24" s="234">
        <f t="shared" si="17"/>
        <v>60</v>
      </c>
      <c r="V24" s="234">
        <f t="shared" si="18"/>
        <v>75</v>
      </c>
      <c r="W24" s="234">
        <f t="shared" si="19"/>
        <v>78</v>
      </c>
      <c r="X24" s="234">
        <f t="shared" si="20"/>
        <v>83</v>
      </c>
      <c r="Y24" s="70">
        <f t="shared" si="21"/>
        <v>1167</v>
      </c>
      <c r="Z24" s="71">
        <f t="shared" si="22"/>
        <v>77.8</v>
      </c>
      <c r="AA24" s="101">
        <f t="shared" si="23"/>
        <v>21</v>
      </c>
      <c r="AB24" s="73" t="s">
        <v>805</v>
      </c>
      <c r="AC24" s="73" t="s">
        <v>805</v>
      </c>
      <c r="AD24" s="73" t="s">
        <v>805</v>
      </c>
      <c r="AE24" s="74">
        <v>7</v>
      </c>
      <c r="AF24" s="74">
        <v>0</v>
      </c>
      <c r="AG24" s="74">
        <v>42</v>
      </c>
      <c r="AH24" s="75"/>
      <c r="AJ24" s="93">
        <v>4</v>
      </c>
      <c r="AK24" s="99">
        <v>22230113</v>
      </c>
      <c r="AL24" s="100" t="s">
        <v>501</v>
      </c>
      <c r="AM24" s="68">
        <v>97.5</v>
      </c>
      <c r="AN24" s="68">
        <v>84</v>
      </c>
      <c r="AO24" s="68">
        <v>69.400000000000006</v>
      </c>
      <c r="AP24" s="68">
        <v>74.5</v>
      </c>
      <c r="AQ24" s="68">
        <v>59.4</v>
      </c>
      <c r="AR24" s="68">
        <v>82</v>
      </c>
      <c r="AS24" s="68">
        <v>72</v>
      </c>
      <c r="AT24" s="68">
        <v>78</v>
      </c>
      <c r="AU24" s="68">
        <v>56</v>
      </c>
      <c r="AV24" s="68">
        <v>74.5</v>
      </c>
      <c r="AW24" s="68">
        <v>83.5</v>
      </c>
      <c r="AX24" s="76">
        <v>80</v>
      </c>
      <c r="AY24" s="76">
        <v>70</v>
      </c>
      <c r="AZ24" s="76">
        <v>90</v>
      </c>
      <c r="BA24" s="76">
        <v>95</v>
      </c>
      <c r="BB24" s="240">
        <v>87.5</v>
      </c>
      <c r="BC24" s="240">
        <v>75</v>
      </c>
      <c r="BD24" s="240">
        <v>60</v>
      </c>
      <c r="BE24" s="240">
        <v>75</v>
      </c>
      <c r="BF24" s="240">
        <v>77.5</v>
      </c>
      <c r="BG24" s="240">
        <v>82.5</v>
      </c>
      <c r="BH24" s="70">
        <f t="shared" si="24"/>
        <v>1165.8</v>
      </c>
      <c r="BI24" s="71">
        <f t="shared" si="25"/>
        <v>77.72</v>
      </c>
      <c r="BJ24" s="101" t="e">
        <f t="shared" si="26"/>
        <v>#N/A</v>
      </c>
      <c r="BK24" s="73"/>
      <c r="BL24" s="73"/>
      <c r="BM24" s="73"/>
      <c r="BN24" s="74"/>
      <c r="BO24" s="74"/>
      <c r="BP24" s="74"/>
      <c r="BQ24" s="75"/>
    </row>
    <row r="25" spans="1:69" ht="21.95" customHeight="1">
      <c r="A25" s="93">
        <v>22</v>
      </c>
      <c r="B25" s="99">
        <v>22230054</v>
      </c>
      <c r="C25" s="102" t="s">
        <v>519</v>
      </c>
      <c r="D25" s="68">
        <f t="shared" si="0"/>
        <v>98</v>
      </c>
      <c r="E25" s="68">
        <f t="shared" si="1"/>
        <v>74</v>
      </c>
      <c r="F25" s="68">
        <f t="shared" si="2"/>
        <v>64</v>
      </c>
      <c r="G25" s="68">
        <f t="shared" si="3"/>
        <v>81</v>
      </c>
      <c r="H25" s="68">
        <f t="shared" si="4"/>
        <v>55</v>
      </c>
      <c r="I25" s="68">
        <f t="shared" si="5"/>
        <v>59</v>
      </c>
      <c r="J25" s="68">
        <f t="shared" si="6"/>
        <v>78</v>
      </c>
      <c r="K25" s="68">
        <f t="shared" si="7"/>
        <v>78</v>
      </c>
      <c r="L25" s="68">
        <f t="shared" si="8"/>
        <v>62</v>
      </c>
      <c r="M25" s="68">
        <f t="shared" si="9"/>
        <v>83</v>
      </c>
      <c r="N25" s="68">
        <f t="shared" si="10"/>
        <v>83</v>
      </c>
      <c r="O25" s="69">
        <f t="shared" si="11"/>
        <v>85</v>
      </c>
      <c r="P25" s="69">
        <f t="shared" si="12"/>
        <v>70</v>
      </c>
      <c r="Q25" s="69">
        <f t="shared" si="13"/>
        <v>95</v>
      </c>
      <c r="R25" s="69">
        <f t="shared" si="14"/>
        <v>95</v>
      </c>
      <c r="S25" s="234">
        <f t="shared" si="15"/>
        <v>95</v>
      </c>
      <c r="T25" s="234">
        <f t="shared" si="16"/>
        <v>98</v>
      </c>
      <c r="U25" s="234">
        <f t="shared" si="17"/>
        <v>62</v>
      </c>
      <c r="V25" s="234">
        <f t="shared" si="18"/>
        <v>78</v>
      </c>
      <c r="W25" s="234">
        <f t="shared" si="19"/>
        <v>60</v>
      </c>
      <c r="X25" s="234">
        <f t="shared" si="20"/>
        <v>78</v>
      </c>
      <c r="Y25" s="70">
        <f t="shared" si="21"/>
        <v>1160</v>
      </c>
      <c r="Z25" s="71">
        <f t="shared" si="22"/>
        <v>77.333333333333329</v>
      </c>
      <c r="AA25" s="101">
        <f t="shared" si="23"/>
        <v>22</v>
      </c>
      <c r="AB25" s="73" t="s">
        <v>805</v>
      </c>
      <c r="AC25" s="73" t="s">
        <v>805</v>
      </c>
      <c r="AD25" s="73" t="s">
        <v>805</v>
      </c>
      <c r="AE25" s="74">
        <v>0</v>
      </c>
      <c r="AF25" s="74">
        <v>38</v>
      </c>
      <c r="AG25" s="74">
        <v>13</v>
      </c>
      <c r="AH25" s="75"/>
      <c r="AJ25" s="93">
        <v>22</v>
      </c>
      <c r="AK25" s="99">
        <v>22230054</v>
      </c>
      <c r="AL25" s="102" t="s">
        <v>519</v>
      </c>
      <c r="AM25" s="68">
        <v>97.5</v>
      </c>
      <c r="AN25" s="68">
        <v>73.5</v>
      </c>
      <c r="AO25" s="68">
        <v>63.599999999999994</v>
      </c>
      <c r="AP25" s="68">
        <v>81</v>
      </c>
      <c r="AQ25" s="68">
        <v>54.6</v>
      </c>
      <c r="AR25" s="68">
        <v>59.399999999999991</v>
      </c>
      <c r="AS25" s="68">
        <v>78</v>
      </c>
      <c r="AT25" s="68">
        <v>78</v>
      </c>
      <c r="AU25" s="68">
        <v>62</v>
      </c>
      <c r="AV25" s="68">
        <v>82.5</v>
      </c>
      <c r="AW25" s="68">
        <v>83</v>
      </c>
      <c r="AX25" s="76">
        <v>85</v>
      </c>
      <c r="AY25" s="76">
        <v>70</v>
      </c>
      <c r="AZ25" s="76">
        <v>95</v>
      </c>
      <c r="BA25" s="76">
        <v>95</v>
      </c>
      <c r="BB25" s="240">
        <v>95</v>
      </c>
      <c r="BC25" s="240">
        <v>97.5</v>
      </c>
      <c r="BD25" s="240">
        <v>62</v>
      </c>
      <c r="BE25" s="240">
        <v>77.5</v>
      </c>
      <c r="BF25" s="240">
        <v>60</v>
      </c>
      <c r="BG25" s="240">
        <v>77.5</v>
      </c>
      <c r="BH25" s="70">
        <f t="shared" si="24"/>
        <v>1158.0999999999999</v>
      </c>
      <c r="BI25" s="71">
        <f t="shared" si="25"/>
        <v>77.206666666666663</v>
      </c>
      <c r="BJ25" s="101" t="e">
        <f t="shared" si="26"/>
        <v>#N/A</v>
      </c>
      <c r="BK25" s="73"/>
      <c r="BL25" s="73"/>
      <c r="BM25" s="73"/>
      <c r="BN25" s="74"/>
      <c r="BO25" s="74"/>
      <c r="BP25" s="74"/>
      <c r="BQ25" s="75"/>
    </row>
    <row r="26" spans="1:69" ht="21.95" customHeight="1">
      <c r="A26" s="93">
        <v>23</v>
      </c>
      <c r="B26" s="99">
        <v>22230001</v>
      </c>
      <c r="C26" s="103" t="s">
        <v>524</v>
      </c>
      <c r="D26" s="68">
        <f t="shared" si="0"/>
        <v>93</v>
      </c>
      <c r="E26" s="68">
        <f t="shared" si="1"/>
        <v>40</v>
      </c>
      <c r="F26" s="68">
        <f t="shared" si="2"/>
        <v>68</v>
      </c>
      <c r="G26" s="68">
        <f t="shared" si="3"/>
        <v>67</v>
      </c>
      <c r="H26" s="68">
        <f t="shared" si="4"/>
        <v>60</v>
      </c>
      <c r="I26" s="68">
        <f t="shared" si="5"/>
        <v>87</v>
      </c>
      <c r="J26" s="68">
        <f t="shared" si="6"/>
        <v>79</v>
      </c>
      <c r="K26" s="68">
        <f t="shared" si="7"/>
        <v>79</v>
      </c>
      <c r="L26" s="68">
        <f t="shared" si="8"/>
        <v>96</v>
      </c>
      <c r="M26" s="68">
        <f t="shared" si="9"/>
        <v>82</v>
      </c>
      <c r="N26" s="68">
        <f t="shared" si="10"/>
        <v>76</v>
      </c>
      <c r="O26" s="69">
        <f t="shared" si="11"/>
        <v>65</v>
      </c>
      <c r="P26" s="69">
        <f t="shared" si="12"/>
        <v>70</v>
      </c>
      <c r="Q26" s="69">
        <f t="shared" si="13"/>
        <v>96</v>
      </c>
      <c r="R26" s="69">
        <f t="shared" si="14"/>
        <v>90</v>
      </c>
      <c r="S26" s="234">
        <f t="shared" si="15"/>
        <v>88</v>
      </c>
      <c r="T26" s="234">
        <f t="shared" si="16"/>
        <v>88</v>
      </c>
      <c r="U26" s="234">
        <f t="shared" si="17"/>
        <v>96</v>
      </c>
      <c r="V26" s="234">
        <f t="shared" si="18"/>
        <v>78</v>
      </c>
      <c r="W26" s="234">
        <f t="shared" si="19"/>
        <v>78</v>
      </c>
      <c r="X26" s="234">
        <f t="shared" si="20"/>
        <v>88</v>
      </c>
      <c r="Y26" s="70">
        <f t="shared" si="21"/>
        <v>1148</v>
      </c>
      <c r="Z26" s="71">
        <f t="shared" si="22"/>
        <v>76.533333333333331</v>
      </c>
      <c r="AA26" s="101">
        <f t="shared" si="23"/>
        <v>23</v>
      </c>
      <c r="AB26" s="73" t="s">
        <v>805</v>
      </c>
      <c r="AC26" s="73" t="s">
        <v>805</v>
      </c>
      <c r="AD26" s="73" t="s">
        <v>805</v>
      </c>
      <c r="AE26" s="74">
        <v>5</v>
      </c>
      <c r="AF26" s="74">
        <v>12</v>
      </c>
      <c r="AG26" s="74">
        <v>0</v>
      </c>
      <c r="AH26" s="75"/>
      <c r="AJ26" s="93">
        <v>27</v>
      </c>
      <c r="AK26" s="99">
        <v>22230001</v>
      </c>
      <c r="AL26" s="103" t="s">
        <v>524</v>
      </c>
      <c r="AM26" s="68">
        <v>92.5</v>
      </c>
      <c r="AN26" s="68">
        <v>31</v>
      </c>
      <c r="AO26" s="68">
        <v>67.599999999999994</v>
      </c>
      <c r="AP26" s="68">
        <v>66.8</v>
      </c>
      <c r="AQ26" s="68">
        <v>60</v>
      </c>
      <c r="AR26" s="68">
        <v>87</v>
      </c>
      <c r="AS26" s="68">
        <v>79</v>
      </c>
      <c r="AT26" s="68">
        <v>79</v>
      </c>
      <c r="AU26" s="68">
        <v>96</v>
      </c>
      <c r="AV26" s="68">
        <v>81.5</v>
      </c>
      <c r="AW26" s="68">
        <v>76</v>
      </c>
      <c r="AX26" s="76">
        <v>65</v>
      </c>
      <c r="AY26" s="76">
        <v>70</v>
      </c>
      <c r="AZ26" s="76">
        <v>96</v>
      </c>
      <c r="BA26" s="76">
        <v>90</v>
      </c>
      <c r="BB26" s="240">
        <v>87.5</v>
      </c>
      <c r="BC26" s="240">
        <v>87.5</v>
      </c>
      <c r="BD26" s="240">
        <v>96</v>
      </c>
      <c r="BE26" s="240">
        <v>77.5</v>
      </c>
      <c r="BF26" s="240">
        <v>77.5</v>
      </c>
      <c r="BG26" s="240">
        <v>87.5</v>
      </c>
      <c r="BH26" s="70">
        <f t="shared" si="24"/>
        <v>1137.4000000000001</v>
      </c>
      <c r="BI26" s="71">
        <f t="shared" si="25"/>
        <v>75.826666666666668</v>
      </c>
      <c r="BJ26" s="101" t="e">
        <f t="shared" si="26"/>
        <v>#N/A</v>
      </c>
      <c r="BK26" s="73"/>
      <c r="BL26" s="73"/>
      <c r="BM26" s="73"/>
      <c r="BN26" s="74"/>
      <c r="BO26" s="74"/>
      <c r="BP26" s="74"/>
      <c r="BQ26" s="75"/>
    </row>
    <row r="27" spans="1:69" ht="21.95" customHeight="1">
      <c r="A27" s="93">
        <v>24</v>
      </c>
      <c r="B27" s="99">
        <v>22230008</v>
      </c>
      <c r="C27" s="107" t="s">
        <v>508</v>
      </c>
      <c r="D27" s="68">
        <f t="shared" si="0"/>
        <v>99</v>
      </c>
      <c r="E27" s="68">
        <f t="shared" si="1"/>
        <v>74</v>
      </c>
      <c r="F27" s="68">
        <f t="shared" si="2"/>
        <v>62</v>
      </c>
      <c r="G27" s="68">
        <f t="shared" si="3"/>
        <v>87</v>
      </c>
      <c r="H27" s="68">
        <f t="shared" si="4"/>
        <v>52</v>
      </c>
      <c r="I27" s="68">
        <f t="shared" si="5"/>
        <v>80</v>
      </c>
      <c r="J27" s="68">
        <f t="shared" si="6"/>
        <v>79</v>
      </c>
      <c r="K27" s="68">
        <f t="shared" si="7"/>
        <v>84</v>
      </c>
      <c r="L27" s="68">
        <f t="shared" si="8"/>
        <v>51</v>
      </c>
      <c r="M27" s="68">
        <f t="shared" si="9"/>
        <v>69</v>
      </c>
      <c r="N27" s="68">
        <f t="shared" si="10"/>
        <v>77</v>
      </c>
      <c r="O27" s="69">
        <f t="shared" si="11"/>
        <v>70</v>
      </c>
      <c r="P27" s="69">
        <f t="shared" si="12"/>
        <v>75</v>
      </c>
      <c r="Q27" s="69">
        <f t="shared" si="13"/>
        <v>95</v>
      </c>
      <c r="R27" s="69">
        <f t="shared" si="14"/>
        <v>90</v>
      </c>
      <c r="S27" s="234">
        <f t="shared" si="15"/>
        <v>88</v>
      </c>
      <c r="T27" s="234">
        <f t="shared" si="16"/>
        <v>80</v>
      </c>
      <c r="U27" s="234">
        <f t="shared" si="17"/>
        <v>60</v>
      </c>
      <c r="V27" s="234">
        <f t="shared" si="18"/>
        <v>68</v>
      </c>
      <c r="W27" s="234">
        <f t="shared" si="19"/>
        <v>68</v>
      </c>
      <c r="X27" s="234">
        <f t="shared" si="20"/>
        <v>75</v>
      </c>
      <c r="Y27" s="70">
        <f t="shared" si="21"/>
        <v>1144</v>
      </c>
      <c r="Z27" s="71">
        <f t="shared" si="22"/>
        <v>76.266666666666666</v>
      </c>
      <c r="AA27" s="101">
        <f t="shared" si="23"/>
        <v>24</v>
      </c>
      <c r="AB27" s="73" t="s">
        <v>805</v>
      </c>
      <c r="AC27" s="73" t="s">
        <v>805</v>
      </c>
      <c r="AD27" s="73" t="s">
        <v>805</v>
      </c>
      <c r="AE27" s="74">
        <v>2</v>
      </c>
      <c r="AF27" s="74">
        <v>0</v>
      </c>
      <c r="AG27" s="74">
        <v>0</v>
      </c>
      <c r="AH27" s="75"/>
      <c r="AJ27" s="93">
        <v>11</v>
      </c>
      <c r="AK27" s="99">
        <v>22230008</v>
      </c>
      <c r="AL27" s="102" t="s">
        <v>508</v>
      </c>
      <c r="AM27" s="68">
        <v>98.5</v>
      </c>
      <c r="AN27" s="68">
        <v>73.5</v>
      </c>
      <c r="AO27" s="68">
        <v>62.3</v>
      </c>
      <c r="AP27" s="68">
        <v>86.5</v>
      </c>
      <c r="AQ27" s="68">
        <v>51.599999999999994</v>
      </c>
      <c r="AR27" s="68">
        <v>80.199999999999989</v>
      </c>
      <c r="AS27" s="68">
        <v>79</v>
      </c>
      <c r="AT27" s="68">
        <v>83.5</v>
      </c>
      <c r="AU27" s="68">
        <v>50.5</v>
      </c>
      <c r="AV27" s="68">
        <v>68.5</v>
      </c>
      <c r="AW27" s="68">
        <v>77</v>
      </c>
      <c r="AX27" s="76">
        <v>70</v>
      </c>
      <c r="AY27" s="76">
        <v>75</v>
      </c>
      <c r="AZ27" s="76">
        <v>95</v>
      </c>
      <c r="BA27" s="76">
        <v>90</v>
      </c>
      <c r="BB27" s="240">
        <v>87.5</v>
      </c>
      <c r="BC27" s="240">
        <v>80</v>
      </c>
      <c r="BD27" s="240">
        <v>60</v>
      </c>
      <c r="BE27" s="240">
        <v>67.5</v>
      </c>
      <c r="BF27" s="240">
        <v>67.5</v>
      </c>
      <c r="BG27" s="240">
        <v>75</v>
      </c>
      <c r="BH27" s="70">
        <f t="shared" si="24"/>
        <v>1141.0999999999999</v>
      </c>
      <c r="BI27" s="71">
        <f t="shared" si="25"/>
        <v>76.073333333333323</v>
      </c>
      <c r="BJ27" s="101" t="e">
        <f t="shared" si="26"/>
        <v>#N/A</v>
      </c>
      <c r="BK27" s="73"/>
      <c r="BL27" s="73"/>
      <c r="BM27" s="73"/>
      <c r="BN27" s="74"/>
      <c r="BO27" s="74"/>
      <c r="BP27" s="74"/>
      <c r="BQ27" s="75"/>
    </row>
    <row r="28" spans="1:69" ht="21.95" customHeight="1">
      <c r="A28" s="93">
        <v>25</v>
      </c>
      <c r="B28" s="99">
        <v>22230039</v>
      </c>
      <c r="C28" s="103" t="s">
        <v>523</v>
      </c>
      <c r="D28" s="68">
        <f t="shared" si="0"/>
        <v>99</v>
      </c>
      <c r="E28" s="68">
        <f t="shared" si="1"/>
        <v>65</v>
      </c>
      <c r="F28" s="68">
        <f t="shared" si="2"/>
        <v>75</v>
      </c>
      <c r="G28" s="68">
        <f t="shared" si="3"/>
        <v>72</v>
      </c>
      <c r="H28" s="68">
        <f t="shared" si="4"/>
        <v>67</v>
      </c>
      <c r="I28" s="68">
        <f t="shared" si="5"/>
        <v>69</v>
      </c>
      <c r="J28" s="68">
        <f t="shared" si="6"/>
        <v>79</v>
      </c>
      <c r="K28" s="68">
        <f t="shared" si="7"/>
        <v>83</v>
      </c>
      <c r="L28" s="68">
        <f t="shared" si="8"/>
        <v>46</v>
      </c>
      <c r="M28" s="68">
        <f t="shared" si="9"/>
        <v>70</v>
      </c>
      <c r="N28" s="68">
        <f t="shared" si="10"/>
        <v>78</v>
      </c>
      <c r="O28" s="69">
        <f t="shared" si="11"/>
        <v>80</v>
      </c>
      <c r="P28" s="69">
        <f t="shared" si="12"/>
        <v>70</v>
      </c>
      <c r="Q28" s="69">
        <f t="shared" si="13"/>
        <v>96</v>
      </c>
      <c r="R28" s="69">
        <f t="shared" si="14"/>
        <v>90</v>
      </c>
      <c r="S28" s="234">
        <f t="shared" si="15"/>
        <v>93</v>
      </c>
      <c r="T28" s="234">
        <f t="shared" si="16"/>
        <v>93</v>
      </c>
      <c r="U28" s="234">
        <f t="shared" si="17"/>
        <v>46</v>
      </c>
      <c r="V28" s="234">
        <f t="shared" si="18"/>
        <v>85</v>
      </c>
      <c r="W28" s="234">
        <f t="shared" si="19"/>
        <v>73</v>
      </c>
      <c r="X28" s="234">
        <f t="shared" si="20"/>
        <v>90</v>
      </c>
      <c r="Y28" s="70">
        <f t="shared" si="21"/>
        <v>1139</v>
      </c>
      <c r="Z28" s="71">
        <f t="shared" si="22"/>
        <v>75.933333333333337</v>
      </c>
      <c r="AA28" s="101">
        <f t="shared" si="23"/>
        <v>25</v>
      </c>
      <c r="AB28" s="73" t="s">
        <v>805</v>
      </c>
      <c r="AC28" s="73" t="s">
        <v>805</v>
      </c>
      <c r="AD28" s="73" t="s">
        <v>805</v>
      </c>
      <c r="AE28" s="74">
        <v>0</v>
      </c>
      <c r="AF28" s="74">
        <v>0</v>
      </c>
      <c r="AG28" s="74">
        <v>0</v>
      </c>
      <c r="AH28" s="75"/>
      <c r="AJ28" s="93">
        <v>26</v>
      </c>
      <c r="AK28" s="99">
        <v>22230039</v>
      </c>
      <c r="AL28" s="103" t="s">
        <v>523</v>
      </c>
      <c r="AM28" s="68">
        <v>98.5</v>
      </c>
      <c r="AN28" s="68">
        <v>65</v>
      </c>
      <c r="AO28" s="68">
        <v>74.7</v>
      </c>
      <c r="AP28" s="68">
        <v>72</v>
      </c>
      <c r="AQ28" s="68">
        <v>66.599999999999994</v>
      </c>
      <c r="AR28" s="68">
        <v>68.699999999999989</v>
      </c>
      <c r="AS28" s="68">
        <v>79</v>
      </c>
      <c r="AT28" s="68">
        <v>82.6</v>
      </c>
      <c r="AU28" s="68">
        <v>46</v>
      </c>
      <c r="AV28" s="68">
        <v>69.5</v>
      </c>
      <c r="AW28" s="68">
        <v>78</v>
      </c>
      <c r="AX28" s="76">
        <v>80</v>
      </c>
      <c r="AY28" s="76">
        <v>70</v>
      </c>
      <c r="AZ28" s="76">
        <v>96</v>
      </c>
      <c r="BA28" s="76">
        <v>90</v>
      </c>
      <c r="BB28" s="240">
        <v>92.5</v>
      </c>
      <c r="BC28" s="240">
        <v>92.5</v>
      </c>
      <c r="BD28" s="240">
        <v>46</v>
      </c>
      <c r="BE28" s="240">
        <v>85</v>
      </c>
      <c r="BF28" s="240">
        <v>72.5</v>
      </c>
      <c r="BG28" s="240">
        <v>90</v>
      </c>
      <c r="BH28" s="70">
        <f t="shared" si="24"/>
        <v>1136.5999999999999</v>
      </c>
      <c r="BI28" s="71">
        <f t="shared" si="25"/>
        <v>75.773333333333326</v>
      </c>
      <c r="BJ28" s="101" t="e">
        <f t="shared" si="26"/>
        <v>#N/A</v>
      </c>
      <c r="BK28" s="73"/>
      <c r="BL28" s="73"/>
      <c r="BM28" s="73"/>
      <c r="BN28" s="74"/>
      <c r="BO28" s="74"/>
      <c r="BP28" s="74"/>
      <c r="BQ28" s="75"/>
    </row>
    <row r="29" spans="1:69" ht="21.95" customHeight="1">
      <c r="A29" s="93">
        <v>26</v>
      </c>
      <c r="B29" s="99">
        <v>22230073</v>
      </c>
      <c r="C29" s="103" t="s">
        <v>527</v>
      </c>
      <c r="D29" s="68">
        <f t="shared" si="0"/>
        <v>84</v>
      </c>
      <c r="E29" s="68">
        <f t="shared" si="1"/>
        <v>77</v>
      </c>
      <c r="F29" s="68">
        <f t="shared" si="2"/>
        <v>66</v>
      </c>
      <c r="G29" s="68">
        <f t="shared" si="3"/>
        <v>65</v>
      </c>
      <c r="H29" s="68">
        <f t="shared" si="4"/>
        <v>57</v>
      </c>
      <c r="I29" s="68">
        <f t="shared" si="5"/>
        <v>80</v>
      </c>
      <c r="J29" s="68">
        <f t="shared" si="6"/>
        <v>73</v>
      </c>
      <c r="K29" s="68">
        <f t="shared" si="7"/>
        <v>79</v>
      </c>
      <c r="L29" s="68">
        <f t="shared" si="8"/>
        <v>87</v>
      </c>
      <c r="M29" s="68">
        <f t="shared" si="9"/>
        <v>70</v>
      </c>
      <c r="N29" s="68">
        <f t="shared" si="10"/>
        <v>75</v>
      </c>
      <c r="O29" s="69">
        <f t="shared" si="11"/>
        <v>70</v>
      </c>
      <c r="P29" s="69">
        <f t="shared" si="12"/>
        <v>70</v>
      </c>
      <c r="Q29" s="69">
        <f t="shared" si="13"/>
        <v>80</v>
      </c>
      <c r="R29" s="69">
        <f t="shared" si="14"/>
        <v>90</v>
      </c>
      <c r="S29" s="234">
        <f t="shared" si="15"/>
        <v>98</v>
      </c>
      <c r="T29" s="234">
        <f t="shared" si="16"/>
        <v>98</v>
      </c>
      <c r="U29" s="234">
        <f t="shared" si="17"/>
        <v>87</v>
      </c>
      <c r="V29" s="234">
        <f t="shared" si="18"/>
        <v>78</v>
      </c>
      <c r="W29" s="234">
        <f t="shared" si="19"/>
        <v>80</v>
      </c>
      <c r="X29" s="234">
        <f t="shared" si="20"/>
        <v>80</v>
      </c>
      <c r="Y29" s="70">
        <f t="shared" si="21"/>
        <v>1123</v>
      </c>
      <c r="Z29" s="71">
        <f t="shared" si="22"/>
        <v>74.86666666666666</v>
      </c>
      <c r="AA29" s="101">
        <f t="shared" si="23"/>
        <v>26</v>
      </c>
      <c r="AB29" s="73" t="s">
        <v>805</v>
      </c>
      <c r="AC29" s="73" t="s">
        <v>805</v>
      </c>
      <c r="AD29" s="73" t="s">
        <v>805</v>
      </c>
      <c r="AE29" s="74">
        <v>0</v>
      </c>
      <c r="AF29" s="74">
        <v>0</v>
      </c>
      <c r="AG29" s="74">
        <v>0</v>
      </c>
      <c r="AH29" s="75"/>
      <c r="AJ29" s="93">
        <v>30</v>
      </c>
      <c r="AK29" s="99">
        <v>22230073</v>
      </c>
      <c r="AL29" s="103" t="s">
        <v>527</v>
      </c>
      <c r="AM29" s="68">
        <v>83.5</v>
      </c>
      <c r="AN29" s="68">
        <v>76.5</v>
      </c>
      <c r="AO29" s="68">
        <v>66.3</v>
      </c>
      <c r="AP29" s="68">
        <v>64.5</v>
      </c>
      <c r="AQ29" s="68">
        <v>57</v>
      </c>
      <c r="AR29" s="68">
        <v>80.199999999999989</v>
      </c>
      <c r="AS29" s="68">
        <v>73</v>
      </c>
      <c r="AT29" s="68">
        <v>79</v>
      </c>
      <c r="AU29" s="68">
        <v>87</v>
      </c>
      <c r="AV29" s="68">
        <v>69.5</v>
      </c>
      <c r="AW29" s="68">
        <v>74.5</v>
      </c>
      <c r="AX29" s="76">
        <v>70</v>
      </c>
      <c r="AY29" s="76">
        <v>70</v>
      </c>
      <c r="AZ29" s="76">
        <v>80</v>
      </c>
      <c r="BA29" s="76">
        <v>90</v>
      </c>
      <c r="BB29" s="240">
        <v>97.5</v>
      </c>
      <c r="BC29" s="240">
        <v>97.5</v>
      </c>
      <c r="BD29" s="240">
        <v>87</v>
      </c>
      <c r="BE29" s="240">
        <v>77.5</v>
      </c>
      <c r="BF29" s="240">
        <v>80</v>
      </c>
      <c r="BG29" s="240">
        <v>80</v>
      </c>
      <c r="BH29" s="70">
        <f t="shared" si="24"/>
        <v>1121</v>
      </c>
      <c r="BI29" s="71">
        <f t="shared" si="25"/>
        <v>74.733333333333334</v>
      </c>
      <c r="BJ29" s="101" t="e">
        <f t="shared" si="26"/>
        <v>#N/A</v>
      </c>
      <c r="BK29" s="73"/>
      <c r="BL29" s="73"/>
      <c r="BM29" s="73"/>
      <c r="BN29" s="74"/>
      <c r="BO29" s="74"/>
      <c r="BP29" s="74"/>
      <c r="BQ29" s="75"/>
    </row>
    <row r="30" spans="1:69" ht="21.95" customHeight="1">
      <c r="A30" s="93">
        <v>27</v>
      </c>
      <c r="B30" s="99">
        <v>22230119</v>
      </c>
      <c r="C30" s="103" t="s">
        <v>522</v>
      </c>
      <c r="D30" s="68">
        <f t="shared" si="0"/>
        <v>99</v>
      </c>
      <c r="E30" s="68">
        <f t="shared" si="1"/>
        <v>88</v>
      </c>
      <c r="F30" s="68">
        <f t="shared" si="2"/>
        <v>65</v>
      </c>
      <c r="G30" s="68">
        <f t="shared" si="3"/>
        <v>65</v>
      </c>
      <c r="H30" s="68">
        <f t="shared" si="4"/>
        <v>55</v>
      </c>
      <c r="I30" s="68">
        <f t="shared" si="5"/>
        <v>78</v>
      </c>
      <c r="J30" s="68">
        <f t="shared" si="6"/>
        <v>79</v>
      </c>
      <c r="K30" s="68">
        <f t="shared" si="7"/>
        <v>79</v>
      </c>
      <c r="L30" s="68">
        <f t="shared" si="8"/>
        <v>57</v>
      </c>
      <c r="M30" s="68">
        <f t="shared" si="9"/>
        <v>70</v>
      </c>
      <c r="N30" s="68">
        <f t="shared" si="10"/>
        <v>81</v>
      </c>
      <c r="O30" s="69">
        <f t="shared" si="11"/>
        <v>70</v>
      </c>
      <c r="P30" s="69">
        <f t="shared" si="12"/>
        <v>75</v>
      </c>
      <c r="Q30" s="69">
        <f t="shared" si="13"/>
        <v>70</v>
      </c>
      <c r="R30" s="69">
        <f t="shared" si="14"/>
        <v>90</v>
      </c>
      <c r="S30" s="234">
        <f t="shared" si="15"/>
        <v>98</v>
      </c>
      <c r="T30" s="234">
        <f t="shared" si="16"/>
        <v>98</v>
      </c>
      <c r="U30" s="234">
        <f t="shared" si="17"/>
        <v>57</v>
      </c>
      <c r="V30" s="234">
        <f t="shared" si="18"/>
        <v>85</v>
      </c>
      <c r="W30" s="234">
        <f t="shared" si="19"/>
        <v>80</v>
      </c>
      <c r="X30" s="234">
        <f t="shared" si="20"/>
        <v>80</v>
      </c>
      <c r="Y30" s="70">
        <f t="shared" si="21"/>
        <v>1121</v>
      </c>
      <c r="Z30" s="71">
        <f t="shared" si="22"/>
        <v>74.733333333333334</v>
      </c>
      <c r="AA30" s="101">
        <f t="shared" si="23"/>
        <v>27</v>
      </c>
      <c r="AB30" s="73" t="s">
        <v>805</v>
      </c>
      <c r="AC30" s="73" t="s">
        <v>805</v>
      </c>
      <c r="AD30" s="73" t="s">
        <v>805</v>
      </c>
      <c r="AE30" s="74">
        <v>0</v>
      </c>
      <c r="AF30" s="74">
        <v>0</v>
      </c>
      <c r="AG30" s="74">
        <v>0</v>
      </c>
      <c r="AH30" s="75"/>
      <c r="AJ30" s="93">
        <v>25</v>
      </c>
      <c r="AK30" s="99">
        <v>22230119</v>
      </c>
      <c r="AL30" s="103" t="s">
        <v>522</v>
      </c>
      <c r="AM30" s="68">
        <v>98.5</v>
      </c>
      <c r="AN30" s="68">
        <v>87.5</v>
      </c>
      <c r="AO30" s="68">
        <v>64.599999999999994</v>
      </c>
      <c r="AP30" s="68">
        <v>64.5</v>
      </c>
      <c r="AQ30" s="68">
        <v>54.6</v>
      </c>
      <c r="AR30" s="68">
        <v>78</v>
      </c>
      <c r="AS30" s="68">
        <v>79</v>
      </c>
      <c r="AT30" s="68">
        <v>79</v>
      </c>
      <c r="AU30" s="68">
        <v>56.5</v>
      </c>
      <c r="AV30" s="68">
        <v>69.5</v>
      </c>
      <c r="AW30" s="68">
        <v>81</v>
      </c>
      <c r="AX30" s="76">
        <v>70</v>
      </c>
      <c r="AY30" s="76">
        <v>75</v>
      </c>
      <c r="AZ30" s="76">
        <v>70</v>
      </c>
      <c r="BA30" s="76">
        <v>90</v>
      </c>
      <c r="BB30" s="240">
        <v>97.5</v>
      </c>
      <c r="BC30" s="240">
        <v>97.5</v>
      </c>
      <c r="BD30" s="240">
        <v>56.5</v>
      </c>
      <c r="BE30" s="240">
        <v>85</v>
      </c>
      <c r="BF30" s="240">
        <v>80</v>
      </c>
      <c r="BG30" s="240">
        <v>80</v>
      </c>
      <c r="BH30" s="70">
        <f t="shared" si="24"/>
        <v>1117.7</v>
      </c>
      <c r="BI30" s="71">
        <f t="shared" si="25"/>
        <v>74.513333333333335</v>
      </c>
      <c r="BJ30" s="101" t="e">
        <f t="shared" si="26"/>
        <v>#N/A</v>
      </c>
      <c r="BK30" s="73"/>
      <c r="BL30" s="73"/>
      <c r="BM30" s="73"/>
      <c r="BN30" s="74"/>
      <c r="BO30" s="74"/>
      <c r="BP30" s="74"/>
      <c r="BQ30" s="75"/>
    </row>
    <row r="31" spans="1:69" ht="21.95" customHeight="1">
      <c r="A31" s="93">
        <v>28</v>
      </c>
      <c r="B31" s="99">
        <v>22230002</v>
      </c>
      <c r="C31" s="100" t="s">
        <v>498</v>
      </c>
      <c r="D31" s="68">
        <f t="shared" si="0"/>
        <v>99</v>
      </c>
      <c r="E31" s="68">
        <f t="shared" si="1"/>
        <v>76</v>
      </c>
      <c r="F31" s="68">
        <f t="shared" si="2"/>
        <v>62</v>
      </c>
      <c r="G31" s="68">
        <f t="shared" si="3"/>
        <v>76</v>
      </c>
      <c r="H31" s="68">
        <f t="shared" si="4"/>
        <v>51</v>
      </c>
      <c r="I31" s="68">
        <f t="shared" si="5"/>
        <v>60</v>
      </c>
      <c r="J31" s="68">
        <f t="shared" si="6"/>
        <v>76</v>
      </c>
      <c r="K31" s="68">
        <f t="shared" si="7"/>
        <v>74</v>
      </c>
      <c r="L31" s="68">
        <f t="shared" si="8"/>
        <v>64</v>
      </c>
      <c r="M31" s="68">
        <f t="shared" si="9"/>
        <v>68</v>
      </c>
      <c r="N31" s="68">
        <f t="shared" si="10"/>
        <v>76</v>
      </c>
      <c r="O31" s="69">
        <f t="shared" si="11"/>
        <v>65</v>
      </c>
      <c r="P31" s="69">
        <f t="shared" si="12"/>
        <v>75</v>
      </c>
      <c r="Q31" s="69">
        <f t="shared" si="13"/>
        <v>80</v>
      </c>
      <c r="R31" s="69">
        <f t="shared" si="14"/>
        <v>95</v>
      </c>
      <c r="S31" s="234">
        <f t="shared" si="15"/>
        <v>85</v>
      </c>
      <c r="T31" s="234">
        <f t="shared" si="16"/>
        <v>78</v>
      </c>
      <c r="U31" s="234">
        <f t="shared" si="17"/>
        <v>64</v>
      </c>
      <c r="V31" s="234">
        <f t="shared" si="18"/>
        <v>73</v>
      </c>
      <c r="W31" s="234">
        <f t="shared" si="19"/>
        <v>68</v>
      </c>
      <c r="X31" s="234">
        <f t="shared" si="20"/>
        <v>68</v>
      </c>
      <c r="Y31" s="70">
        <f t="shared" si="21"/>
        <v>1097</v>
      </c>
      <c r="Z31" s="71">
        <f t="shared" si="22"/>
        <v>73.13333333333334</v>
      </c>
      <c r="AA31" s="101">
        <f t="shared" si="23"/>
        <v>28</v>
      </c>
      <c r="AB31" s="73" t="s">
        <v>805</v>
      </c>
      <c r="AC31" s="73" t="s">
        <v>805</v>
      </c>
      <c r="AD31" s="73" t="s">
        <v>805</v>
      </c>
      <c r="AE31" s="74">
        <v>0</v>
      </c>
      <c r="AF31" s="74">
        <v>0</v>
      </c>
      <c r="AG31" s="74">
        <v>0</v>
      </c>
      <c r="AH31" s="75"/>
      <c r="AJ31" s="93">
        <v>1</v>
      </c>
      <c r="AK31" s="99">
        <v>22230002</v>
      </c>
      <c r="AL31" s="100" t="s">
        <v>498</v>
      </c>
      <c r="AM31" s="68">
        <v>98.5</v>
      </c>
      <c r="AN31" s="68">
        <v>76</v>
      </c>
      <c r="AO31" s="68">
        <v>62.3</v>
      </c>
      <c r="AP31" s="68">
        <v>75.8</v>
      </c>
      <c r="AQ31" s="68">
        <v>51</v>
      </c>
      <c r="AR31" s="68">
        <v>59.5</v>
      </c>
      <c r="AS31" s="68">
        <v>76</v>
      </c>
      <c r="AT31" s="68">
        <v>73.599999999999994</v>
      </c>
      <c r="AU31" s="68">
        <v>64</v>
      </c>
      <c r="AV31" s="68">
        <v>67.5</v>
      </c>
      <c r="AW31" s="68">
        <v>75.5</v>
      </c>
      <c r="AX31" s="76">
        <v>65</v>
      </c>
      <c r="AY31" s="76">
        <v>75</v>
      </c>
      <c r="AZ31" s="76">
        <v>80</v>
      </c>
      <c r="BA31" s="76">
        <v>95</v>
      </c>
      <c r="BB31" s="240">
        <v>85</v>
      </c>
      <c r="BC31" s="240">
        <v>77.5</v>
      </c>
      <c r="BD31" s="240">
        <v>64</v>
      </c>
      <c r="BE31" s="240">
        <v>72.5</v>
      </c>
      <c r="BF31" s="240">
        <v>67.5</v>
      </c>
      <c r="BG31" s="240">
        <v>67.5</v>
      </c>
      <c r="BH31" s="70">
        <f t="shared" si="24"/>
        <v>1094.7</v>
      </c>
      <c r="BI31" s="71">
        <f t="shared" si="25"/>
        <v>72.98</v>
      </c>
      <c r="BJ31" s="101" t="e">
        <f t="shared" si="26"/>
        <v>#N/A</v>
      </c>
      <c r="BK31" s="73"/>
      <c r="BL31" s="73"/>
      <c r="BM31" s="73"/>
      <c r="BN31" s="74"/>
      <c r="BO31" s="74"/>
      <c r="BP31" s="74"/>
      <c r="BQ31" s="75"/>
    </row>
    <row r="32" spans="1:69" ht="21.95" customHeight="1">
      <c r="A32" s="93">
        <v>29</v>
      </c>
      <c r="B32" s="99">
        <v>20210076</v>
      </c>
      <c r="C32" s="103" t="s">
        <v>528</v>
      </c>
      <c r="D32" s="68">
        <f t="shared" si="0"/>
        <v>75</v>
      </c>
      <c r="E32" s="68">
        <f t="shared" si="1"/>
        <v>56</v>
      </c>
      <c r="F32" s="68">
        <f t="shared" si="2"/>
        <v>71</v>
      </c>
      <c r="G32" s="68">
        <f t="shared" si="3"/>
        <v>69</v>
      </c>
      <c r="H32" s="68">
        <f t="shared" si="4"/>
        <v>57</v>
      </c>
      <c r="I32" s="68">
        <f t="shared" si="5"/>
        <v>78</v>
      </c>
      <c r="J32" s="68">
        <f t="shared" si="6"/>
        <v>73</v>
      </c>
      <c r="K32" s="68">
        <f t="shared" si="7"/>
        <v>80</v>
      </c>
      <c r="L32" s="68">
        <f t="shared" si="8"/>
        <v>54</v>
      </c>
      <c r="M32" s="68">
        <f t="shared" si="9"/>
        <v>70</v>
      </c>
      <c r="N32" s="68">
        <f t="shared" si="10"/>
        <v>82</v>
      </c>
      <c r="O32" s="69">
        <f t="shared" si="11"/>
        <v>85</v>
      </c>
      <c r="P32" s="69">
        <f t="shared" si="12"/>
        <v>70</v>
      </c>
      <c r="Q32" s="69">
        <f t="shared" si="13"/>
        <v>70</v>
      </c>
      <c r="R32" s="69">
        <f t="shared" si="14"/>
        <v>90</v>
      </c>
      <c r="S32" s="234">
        <f t="shared" si="15"/>
        <v>93</v>
      </c>
      <c r="T32" s="234">
        <f t="shared" si="16"/>
        <v>95</v>
      </c>
      <c r="U32" s="234">
        <f t="shared" si="17"/>
        <v>54</v>
      </c>
      <c r="V32" s="234">
        <f t="shared" si="18"/>
        <v>83</v>
      </c>
      <c r="W32" s="234">
        <f t="shared" si="19"/>
        <v>85</v>
      </c>
      <c r="X32" s="234">
        <f t="shared" si="20"/>
        <v>88</v>
      </c>
      <c r="Y32" s="70">
        <f t="shared" si="21"/>
        <v>1080</v>
      </c>
      <c r="Z32" s="71">
        <f t="shared" si="22"/>
        <v>72</v>
      </c>
      <c r="AA32" s="101">
        <f t="shared" si="23"/>
        <v>29</v>
      </c>
      <c r="AB32" s="73" t="s">
        <v>805</v>
      </c>
      <c r="AC32" s="73" t="s">
        <v>807</v>
      </c>
      <c r="AD32" s="73" t="s">
        <v>805</v>
      </c>
      <c r="AE32" s="74">
        <v>9</v>
      </c>
      <c r="AF32" s="74">
        <v>0</v>
      </c>
      <c r="AG32" s="74">
        <v>0</v>
      </c>
      <c r="AH32" s="75"/>
      <c r="AJ32" s="93">
        <v>31</v>
      </c>
      <c r="AK32" s="99">
        <v>20210076</v>
      </c>
      <c r="AL32" s="103" t="s">
        <v>528</v>
      </c>
      <c r="AM32" s="68">
        <v>74.5</v>
      </c>
      <c r="AN32" s="68">
        <v>56</v>
      </c>
      <c r="AO32" s="68">
        <v>71.2</v>
      </c>
      <c r="AP32" s="68">
        <v>68.8</v>
      </c>
      <c r="AQ32" s="68">
        <v>57</v>
      </c>
      <c r="AR32" s="68">
        <v>77.900000000000006</v>
      </c>
      <c r="AS32" s="68">
        <v>73</v>
      </c>
      <c r="AT32" s="68">
        <v>80.2</v>
      </c>
      <c r="AU32" s="68">
        <v>54</v>
      </c>
      <c r="AV32" s="68">
        <v>69.5</v>
      </c>
      <c r="AW32" s="68">
        <v>81.5</v>
      </c>
      <c r="AX32" s="76">
        <v>85</v>
      </c>
      <c r="AY32" s="76">
        <v>70</v>
      </c>
      <c r="AZ32" s="76">
        <v>70</v>
      </c>
      <c r="BA32" s="76">
        <v>90</v>
      </c>
      <c r="BB32" s="240">
        <v>92.5</v>
      </c>
      <c r="BC32" s="240">
        <v>95</v>
      </c>
      <c r="BD32" s="240">
        <v>54</v>
      </c>
      <c r="BE32" s="240">
        <v>82.5</v>
      </c>
      <c r="BF32" s="240">
        <v>85</v>
      </c>
      <c r="BG32" s="240">
        <v>87.5</v>
      </c>
      <c r="BH32" s="70">
        <f t="shared" si="24"/>
        <v>1078.5999999999999</v>
      </c>
      <c r="BI32" s="71">
        <f t="shared" si="25"/>
        <v>71.906666666666666</v>
      </c>
      <c r="BJ32" s="101" t="e">
        <f t="shared" si="26"/>
        <v>#N/A</v>
      </c>
      <c r="BK32" s="73"/>
      <c r="BL32" s="73"/>
      <c r="BM32" s="73"/>
      <c r="BN32" s="74"/>
      <c r="BO32" s="74"/>
      <c r="BP32" s="74"/>
      <c r="BQ32" s="75"/>
    </row>
    <row r="33" spans="1:69" ht="21.95" customHeight="1">
      <c r="A33" s="93">
        <v>30</v>
      </c>
      <c r="B33" s="99">
        <v>22230129</v>
      </c>
      <c r="C33" s="102" t="s">
        <v>518</v>
      </c>
      <c r="D33" s="68">
        <f t="shared" si="0"/>
        <v>84</v>
      </c>
      <c r="E33" s="68">
        <f t="shared" si="1"/>
        <v>45</v>
      </c>
      <c r="F33" s="68">
        <f t="shared" si="2"/>
        <v>63</v>
      </c>
      <c r="G33" s="68">
        <f t="shared" si="3"/>
        <v>71</v>
      </c>
      <c r="H33" s="68">
        <f t="shared" si="4"/>
        <v>54</v>
      </c>
      <c r="I33" s="68">
        <f t="shared" si="5"/>
        <v>54</v>
      </c>
      <c r="J33" s="68">
        <f t="shared" si="6"/>
        <v>79</v>
      </c>
      <c r="K33" s="68">
        <f t="shared" si="7"/>
        <v>80</v>
      </c>
      <c r="L33" s="68">
        <f t="shared" si="8"/>
        <v>46</v>
      </c>
      <c r="M33" s="68">
        <f t="shared" si="9"/>
        <v>41</v>
      </c>
      <c r="N33" s="68">
        <f t="shared" si="10"/>
        <v>70</v>
      </c>
      <c r="O33" s="69">
        <f t="shared" si="11"/>
        <v>60</v>
      </c>
      <c r="P33" s="69">
        <f t="shared" si="12"/>
        <v>70</v>
      </c>
      <c r="Q33" s="69">
        <f t="shared" si="13"/>
        <v>65</v>
      </c>
      <c r="R33" s="69">
        <f t="shared" si="14"/>
        <v>90</v>
      </c>
      <c r="S33" s="234">
        <f t="shared" si="15"/>
        <v>95</v>
      </c>
      <c r="T33" s="234">
        <f t="shared" si="16"/>
        <v>60</v>
      </c>
      <c r="U33" s="234">
        <f t="shared" si="17"/>
        <v>46</v>
      </c>
      <c r="V33" s="234">
        <f t="shared" si="18"/>
        <v>85</v>
      </c>
      <c r="W33" s="234">
        <f t="shared" si="19"/>
        <v>85</v>
      </c>
      <c r="X33" s="234">
        <f t="shared" si="20"/>
        <v>60</v>
      </c>
      <c r="Y33" s="70">
        <f t="shared" si="21"/>
        <v>972</v>
      </c>
      <c r="Z33" s="71">
        <f t="shared" si="22"/>
        <v>64.8</v>
      </c>
      <c r="AA33" s="101">
        <f t="shared" si="23"/>
        <v>30</v>
      </c>
      <c r="AB33" s="73" t="s">
        <v>805</v>
      </c>
      <c r="AC33" s="73" t="s">
        <v>805</v>
      </c>
      <c r="AD33" s="73" t="s">
        <v>807</v>
      </c>
      <c r="AE33" s="74">
        <v>6</v>
      </c>
      <c r="AF33" s="74">
        <v>0</v>
      </c>
      <c r="AG33" s="74">
        <v>0</v>
      </c>
      <c r="AH33" s="75"/>
      <c r="AJ33" s="93">
        <v>21</v>
      </c>
      <c r="AK33" s="99">
        <v>22230129</v>
      </c>
      <c r="AL33" s="102" t="s">
        <v>518</v>
      </c>
      <c r="AM33" s="68">
        <v>83.5</v>
      </c>
      <c r="AN33" s="68">
        <v>44.5</v>
      </c>
      <c r="AO33" s="68">
        <v>62.8</v>
      </c>
      <c r="AP33" s="68">
        <v>70.5</v>
      </c>
      <c r="AQ33" s="68">
        <v>54</v>
      </c>
      <c r="AR33" s="68">
        <v>54</v>
      </c>
      <c r="AS33" s="68">
        <v>79</v>
      </c>
      <c r="AT33" s="68">
        <v>79.599999999999994</v>
      </c>
      <c r="AU33" s="68">
        <v>46</v>
      </c>
      <c r="AV33" s="68">
        <v>41</v>
      </c>
      <c r="AW33" s="68">
        <v>70</v>
      </c>
      <c r="AX33" s="76">
        <v>60</v>
      </c>
      <c r="AY33" s="76">
        <v>70</v>
      </c>
      <c r="AZ33" s="76">
        <v>65</v>
      </c>
      <c r="BA33" s="76">
        <v>90</v>
      </c>
      <c r="BB33" s="240">
        <v>95</v>
      </c>
      <c r="BC33" s="240">
        <v>60</v>
      </c>
      <c r="BD33" s="240">
        <v>46</v>
      </c>
      <c r="BE33" s="240">
        <v>85</v>
      </c>
      <c r="BF33" s="240">
        <v>85</v>
      </c>
      <c r="BG33" s="240">
        <v>60</v>
      </c>
      <c r="BH33" s="70">
        <f t="shared" si="24"/>
        <v>969.9</v>
      </c>
      <c r="BI33" s="71">
        <f t="shared" si="25"/>
        <v>64.66</v>
      </c>
      <c r="BJ33" s="101" t="e">
        <f t="shared" si="26"/>
        <v>#N/A</v>
      </c>
      <c r="BK33" s="73"/>
      <c r="BL33" s="73"/>
      <c r="BM33" s="73"/>
      <c r="BN33" s="74"/>
      <c r="BO33" s="74"/>
      <c r="BP33" s="74"/>
      <c r="BQ33" s="75"/>
    </row>
    <row r="34" spans="1:69" ht="21.95" customHeight="1">
      <c r="A34" s="93">
        <v>31</v>
      </c>
      <c r="B34" s="99">
        <v>22230178</v>
      </c>
      <c r="C34" s="107" t="s">
        <v>512</v>
      </c>
      <c r="D34" s="68">
        <f t="shared" si="0"/>
        <v>74</v>
      </c>
      <c r="E34" s="68">
        <f t="shared" si="1"/>
        <v>40</v>
      </c>
      <c r="F34" s="68">
        <f t="shared" si="2"/>
        <v>60</v>
      </c>
      <c r="G34" s="68">
        <f t="shared" si="3"/>
        <v>52</v>
      </c>
      <c r="H34" s="68">
        <f t="shared" si="4"/>
        <v>51</v>
      </c>
      <c r="I34" s="68">
        <f t="shared" si="5"/>
        <v>44</v>
      </c>
      <c r="J34" s="68">
        <f t="shared" si="6"/>
        <v>72</v>
      </c>
      <c r="K34" s="68">
        <f t="shared" si="7"/>
        <v>75</v>
      </c>
      <c r="L34" s="68">
        <f t="shared" si="8"/>
        <v>49</v>
      </c>
      <c r="M34" s="68">
        <f t="shared" si="9"/>
        <v>64</v>
      </c>
      <c r="N34" s="68">
        <f t="shared" si="10"/>
        <v>70</v>
      </c>
      <c r="O34" s="69">
        <f t="shared" si="11"/>
        <v>60</v>
      </c>
      <c r="P34" s="69">
        <f t="shared" si="12"/>
        <v>70</v>
      </c>
      <c r="Q34" s="69">
        <f t="shared" si="13"/>
        <v>65</v>
      </c>
      <c r="R34" s="69">
        <f t="shared" si="14"/>
        <v>90</v>
      </c>
      <c r="S34" s="234">
        <f t="shared" si="15"/>
        <v>98</v>
      </c>
      <c r="T34" s="234">
        <f t="shared" si="16"/>
        <v>80</v>
      </c>
      <c r="U34" s="234">
        <f t="shared" si="17"/>
        <v>49</v>
      </c>
      <c r="V34" s="234">
        <f t="shared" si="18"/>
        <v>90</v>
      </c>
      <c r="W34" s="234">
        <f t="shared" si="19"/>
        <v>78</v>
      </c>
      <c r="X34" s="234">
        <f t="shared" si="20"/>
        <v>70</v>
      </c>
      <c r="Y34" s="70">
        <f t="shared" si="21"/>
        <v>936</v>
      </c>
      <c r="Z34" s="71">
        <f t="shared" si="22"/>
        <v>62.4</v>
      </c>
      <c r="AA34" s="101">
        <f t="shared" si="23"/>
        <v>31</v>
      </c>
      <c r="AB34" s="73" t="s">
        <v>805</v>
      </c>
      <c r="AC34" s="73" t="s">
        <v>807</v>
      </c>
      <c r="AD34" s="73" t="s">
        <v>805</v>
      </c>
      <c r="AE34" s="74">
        <v>34</v>
      </c>
      <c r="AF34" s="74">
        <v>22</v>
      </c>
      <c r="AG34" s="74">
        <v>0</v>
      </c>
      <c r="AH34" s="75"/>
      <c r="AJ34" s="93">
        <v>15</v>
      </c>
      <c r="AK34" s="99">
        <v>22230178</v>
      </c>
      <c r="AL34" s="100" t="s">
        <v>512</v>
      </c>
      <c r="AM34" s="68">
        <v>73.5</v>
      </c>
      <c r="AN34" s="68">
        <v>39</v>
      </c>
      <c r="AO34" s="68">
        <v>60.1</v>
      </c>
      <c r="AP34" s="68">
        <v>52</v>
      </c>
      <c r="AQ34" s="68">
        <v>51</v>
      </c>
      <c r="AR34" s="68">
        <v>44</v>
      </c>
      <c r="AS34" s="68">
        <v>72</v>
      </c>
      <c r="AT34" s="68">
        <v>75</v>
      </c>
      <c r="AU34" s="68">
        <v>48.5</v>
      </c>
      <c r="AV34" s="68">
        <v>64</v>
      </c>
      <c r="AW34" s="68">
        <v>70</v>
      </c>
      <c r="AX34" s="76">
        <v>60</v>
      </c>
      <c r="AY34" s="76">
        <v>70</v>
      </c>
      <c r="AZ34" s="76">
        <v>65</v>
      </c>
      <c r="BA34" s="76">
        <v>90</v>
      </c>
      <c r="BB34" s="240">
        <v>97.5</v>
      </c>
      <c r="BC34" s="240">
        <v>80</v>
      </c>
      <c r="BD34" s="240">
        <v>48.5</v>
      </c>
      <c r="BE34" s="240">
        <v>90</v>
      </c>
      <c r="BF34" s="240">
        <v>77.5</v>
      </c>
      <c r="BG34" s="240">
        <v>70</v>
      </c>
      <c r="BH34" s="70">
        <f t="shared" si="24"/>
        <v>934.1</v>
      </c>
      <c r="BI34" s="71">
        <f t="shared" si="25"/>
        <v>62.273333333333333</v>
      </c>
      <c r="BJ34" s="101" t="e">
        <f t="shared" si="26"/>
        <v>#N/A</v>
      </c>
      <c r="BK34" s="73"/>
      <c r="BL34" s="73"/>
      <c r="BM34" s="73"/>
      <c r="BN34" s="74"/>
      <c r="BO34" s="74"/>
      <c r="BP34" s="74"/>
      <c r="BQ34" s="75"/>
    </row>
    <row r="35" spans="1:69" ht="21.95" customHeight="1">
      <c r="A35" s="267" t="s">
        <v>202</v>
      </c>
      <c r="B35" s="268"/>
      <c r="C35" s="269"/>
      <c r="D35" s="72">
        <f t="shared" ref="D35:R35" si="27">SUM(D4:D29)</f>
        <v>2541</v>
      </c>
      <c r="E35" s="72">
        <f t="shared" si="27"/>
        <v>2039</v>
      </c>
      <c r="F35" s="72">
        <f t="shared" si="27"/>
        <v>2005</v>
      </c>
      <c r="G35" s="72">
        <f t="shared" si="27"/>
        <v>2185</v>
      </c>
      <c r="H35" s="72">
        <f t="shared" si="27"/>
        <v>1698</v>
      </c>
      <c r="I35" s="72">
        <f t="shared" si="27"/>
        <v>2083</v>
      </c>
      <c r="J35" s="72">
        <f t="shared" si="27"/>
        <v>2142</v>
      </c>
      <c r="K35" s="72">
        <f t="shared" si="27"/>
        <v>2207</v>
      </c>
      <c r="L35" s="72">
        <f t="shared" si="27"/>
        <v>1866</v>
      </c>
      <c r="M35" s="72">
        <f t="shared" si="27"/>
        <v>2098</v>
      </c>
      <c r="N35" s="72">
        <f t="shared" si="27"/>
        <v>2149</v>
      </c>
      <c r="O35" s="72">
        <f t="shared" si="27"/>
        <v>2155</v>
      </c>
      <c r="P35" s="72">
        <f t="shared" si="27"/>
        <v>2000</v>
      </c>
      <c r="Q35" s="72">
        <f t="shared" si="27"/>
        <v>2441</v>
      </c>
      <c r="R35" s="72">
        <f t="shared" si="27"/>
        <v>2440</v>
      </c>
      <c r="S35" s="72"/>
      <c r="T35" s="72"/>
      <c r="U35" s="72"/>
      <c r="V35" s="72"/>
      <c r="W35" s="72"/>
      <c r="X35" s="72"/>
      <c r="Y35" s="81"/>
      <c r="Z35" s="81"/>
      <c r="AA35" s="81"/>
      <c r="AB35" s="81"/>
      <c r="AC35" s="81"/>
      <c r="AD35" s="81"/>
      <c r="AE35" s="81"/>
      <c r="AF35" s="81"/>
      <c r="AG35" s="81"/>
      <c r="AH35" s="82"/>
      <c r="AJ35" s="267" t="s">
        <v>202</v>
      </c>
      <c r="AK35" s="268"/>
      <c r="AL35" s="269"/>
      <c r="AM35" s="72">
        <f t="shared" ref="AM35:AW35" si="28">SUM(AM4:AM29)</f>
        <v>2528</v>
      </c>
      <c r="AN35" s="72">
        <f t="shared" si="28"/>
        <v>2025</v>
      </c>
      <c r="AO35" s="72">
        <f t="shared" si="28"/>
        <v>2003.1</v>
      </c>
      <c r="AP35" s="72">
        <f t="shared" si="28"/>
        <v>2180.1</v>
      </c>
      <c r="AQ35" s="72">
        <f t="shared" si="28"/>
        <v>1696.8</v>
      </c>
      <c r="AR35" s="72">
        <f t="shared" si="28"/>
        <v>2081</v>
      </c>
      <c r="AS35" s="72">
        <f t="shared" si="28"/>
        <v>2139.8000000000002</v>
      </c>
      <c r="AT35" s="72">
        <f t="shared" si="28"/>
        <v>2202.3000000000002</v>
      </c>
      <c r="AU35" s="72">
        <f t="shared" si="28"/>
        <v>1863.8</v>
      </c>
      <c r="AV35" s="72">
        <f t="shared" si="28"/>
        <v>2091.8000000000002</v>
      </c>
      <c r="AW35" s="72">
        <f t="shared" si="28"/>
        <v>2141.5</v>
      </c>
      <c r="AX35" s="72">
        <f>SUM(AX4:AX34)</f>
        <v>2495</v>
      </c>
      <c r="AY35" s="72">
        <f>SUM(AY4:AY34)</f>
        <v>2360</v>
      </c>
      <c r="AZ35" s="72">
        <f>SUM(AZ4:AZ34)</f>
        <v>2791</v>
      </c>
      <c r="BA35" s="72">
        <f>SUM(BA4:BA34)</f>
        <v>2895</v>
      </c>
      <c r="BB35" s="72"/>
      <c r="BC35" s="72"/>
      <c r="BD35" s="72"/>
      <c r="BE35" s="72"/>
      <c r="BF35" s="72"/>
      <c r="BG35" s="72"/>
      <c r="BH35" s="81"/>
      <c r="BI35" s="81"/>
      <c r="BJ35" s="81"/>
      <c r="BK35" s="81"/>
      <c r="BL35" s="81"/>
      <c r="BM35" s="81"/>
      <c r="BN35" s="81"/>
      <c r="BO35" s="81"/>
      <c r="BP35" s="81"/>
      <c r="BQ35" s="82"/>
    </row>
    <row r="36" spans="1:69" ht="21.95" customHeight="1">
      <c r="A36" s="267" t="s">
        <v>203</v>
      </c>
      <c r="B36" s="268"/>
      <c r="C36" s="269"/>
      <c r="D36" s="72">
        <f t="shared" ref="D36:R36" si="29">AVERAGE(D4:D29)</f>
        <v>97.730769230769226</v>
      </c>
      <c r="E36" s="72">
        <f t="shared" si="29"/>
        <v>78.42307692307692</v>
      </c>
      <c r="F36" s="72">
        <f t="shared" si="29"/>
        <v>77.115384615384613</v>
      </c>
      <c r="G36" s="72">
        <f t="shared" si="29"/>
        <v>84.038461538461533</v>
      </c>
      <c r="H36" s="72">
        <f t="shared" si="29"/>
        <v>65.307692307692307</v>
      </c>
      <c r="I36" s="72">
        <f t="shared" si="29"/>
        <v>80.115384615384613</v>
      </c>
      <c r="J36" s="72">
        <f t="shared" si="29"/>
        <v>82.384615384615387</v>
      </c>
      <c r="K36" s="72">
        <f t="shared" si="29"/>
        <v>84.884615384615387</v>
      </c>
      <c r="L36" s="72">
        <f t="shared" si="29"/>
        <v>71.769230769230774</v>
      </c>
      <c r="M36" s="72">
        <f t="shared" si="29"/>
        <v>80.692307692307693</v>
      </c>
      <c r="N36" s="72">
        <f t="shared" si="29"/>
        <v>82.65384615384616</v>
      </c>
      <c r="O36" s="72">
        <f t="shared" si="29"/>
        <v>82.884615384615387</v>
      </c>
      <c r="P36" s="72">
        <f t="shared" si="29"/>
        <v>76.92307692307692</v>
      </c>
      <c r="Q36" s="72">
        <f t="shared" si="29"/>
        <v>93.884615384615387</v>
      </c>
      <c r="R36" s="72">
        <f t="shared" si="29"/>
        <v>93.84615384615384</v>
      </c>
      <c r="S36" s="72"/>
      <c r="T36" s="72"/>
      <c r="U36" s="72"/>
      <c r="V36" s="72"/>
      <c r="W36" s="72"/>
      <c r="X36" s="72"/>
      <c r="Y36" s="81"/>
      <c r="Z36" s="81"/>
      <c r="AA36" s="81"/>
      <c r="AB36" s="81"/>
      <c r="AC36" s="81"/>
      <c r="AD36" s="81"/>
      <c r="AE36" s="81"/>
      <c r="AF36" s="81"/>
      <c r="AG36" s="81"/>
      <c r="AH36" s="82"/>
      <c r="AJ36" s="267" t="s">
        <v>203</v>
      </c>
      <c r="AK36" s="268"/>
      <c r="AL36" s="269"/>
      <c r="AM36" s="72">
        <f t="shared" ref="AM36:AW36" si="30">AVERAGE(AM4:AM29)</f>
        <v>97.230769230769226</v>
      </c>
      <c r="AN36" s="72">
        <f t="shared" si="30"/>
        <v>77.884615384615387</v>
      </c>
      <c r="AO36" s="72">
        <f t="shared" si="30"/>
        <v>77.042307692307688</v>
      </c>
      <c r="AP36" s="72">
        <f t="shared" si="30"/>
        <v>83.85</v>
      </c>
      <c r="AQ36" s="72">
        <f t="shared" si="30"/>
        <v>65.261538461538464</v>
      </c>
      <c r="AR36" s="72">
        <f t="shared" si="30"/>
        <v>80.038461538461533</v>
      </c>
      <c r="AS36" s="72">
        <f t="shared" si="30"/>
        <v>82.300000000000011</v>
      </c>
      <c r="AT36" s="72">
        <f t="shared" si="30"/>
        <v>84.703846153846158</v>
      </c>
      <c r="AU36" s="72">
        <f t="shared" si="30"/>
        <v>71.684615384615384</v>
      </c>
      <c r="AV36" s="72">
        <f t="shared" si="30"/>
        <v>80.453846153846158</v>
      </c>
      <c r="AW36" s="72">
        <f t="shared" si="30"/>
        <v>82.365384615384613</v>
      </c>
      <c r="AX36" s="72">
        <f>AVERAGE(AX4:AX34)</f>
        <v>80.483870967741936</v>
      </c>
      <c r="AY36" s="72">
        <f>AVERAGE(AY4:AY34)</f>
        <v>76.129032258064512</v>
      </c>
      <c r="AZ36" s="72">
        <f>AVERAGE(AZ4:AZ34)</f>
        <v>90.032258064516128</v>
      </c>
      <c r="BA36" s="72">
        <f>AVERAGE(BA4:BA34)</f>
        <v>93.387096774193552</v>
      </c>
      <c r="BB36" s="72"/>
      <c r="BC36" s="72"/>
      <c r="BD36" s="72"/>
      <c r="BE36" s="72"/>
      <c r="BF36" s="72"/>
      <c r="BG36" s="72"/>
      <c r="BH36" s="81"/>
      <c r="BI36" s="81"/>
      <c r="BJ36" s="81"/>
      <c r="BK36" s="81"/>
      <c r="BL36" s="81"/>
      <c r="BM36" s="81"/>
      <c r="BN36" s="81"/>
      <c r="BO36" s="81"/>
      <c r="BP36" s="81"/>
      <c r="BQ36" s="82"/>
    </row>
    <row r="37" spans="1:69" s="83" customFormat="1">
      <c r="A37" s="83">
        <v>1</v>
      </c>
      <c r="B37" s="83">
        <v>2</v>
      </c>
      <c r="C37" s="83">
        <v>3</v>
      </c>
      <c r="D37" s="83">
        <v>4</v>
      </c>
      <c r="E37" s="83">
        <v>5</v>
      </c>
      <c r="F37" s="83">
        <v>6</v>
      </c>
      <c r="G37" s="83">
        <v>7</v>
      </c>
      <c r="H37" s="83">
        <v>8</v>
      </c>
      <c r="I37" s="83">
        <v>9</v>
      </c>
      <c r="J37" s="83">
        <v>10</v>
      </c>
      <c r="K37" s="83">
        <v>11</v>
      </c>
      <c r="L37" s="83">
        <v>12</v>
      </c>
      <c r="M37" s="83">
        <v>13</v>
      </c>
      <c r="N37" s="83">
        <v>14</v>
      </c>
      <c r="O37" s="83">
        <v>15</v>
      </c>
      <c r="P37" s="83">
        <v>16</v>
      </c>
      <c r="Q37" s="83">
        <v>17</v>
      </c>
      <c r="R37" s="83">
        <v>18</v>
      </c>
      <c r="Y37" s="83">
        <v>19</v>
      </c>
      <c r="Z37" s="83">
        <v>20</v>
      </c>
      <c r="AA37" s="83">
        <v>21</v>
      </c>
      <c r="AB37" s="83">
        <v>22</v>
      </c>
      <c r="AC37" s="83">
        <v>23</v>
      </c>
      <c r="AD37" s="83">
        <v>24</v>
      </c>
      <c r="AE37" s="83">
        <v>25</v>
      </c>
      <c r="AF37" s="83">
        <v>26</v>
      </c>
      <c r="AG37" s="83">
        <v>27</v>
      </c>
    </row>
    <row r="38" spans="1:69" ht="23.25">
      <c r="A38" s="84" t="s">
        <v>204</v>
      </c>
      <c r="C38" s="85"/>
    </row>
    <row r="39" spans="1:69">
      <c r="A39" s="86"/>
      <c r="B39" s="86"/>
      <c r="C39" s="60" t="s">
        <v>205</v>
      </c>
    </row>
    <row r="40" spans="1:69">
      <c r="A40" s="87"/>
      <c r="B40" s="87"/>
      <c r="C40" s="60" t="s">
        <v>206</v>
      </c>
    </row>
    <row r="41" spans="1:69">
      <c r="A41" s="88"/>
      <c r="B41" s="88"/>
      <c r="C41" s="60" t="s">
        <v>207</v>
      </c>
    </row>
    <row r="42" spans="1:69">
      <c r="A42" s="89"/>
      <c r="B42" s="89"/>
      <c r="C42" s="60" t="s">
        <v>208</v>
      </c>
    </row>
  </sheetData>
  <sortState xmlns:xlrd2="http://schemas.microsoft.com/office/spreadsheetml/2017/richdata2" ref="B4:BQ34">
    <sortCondition ref="AA4:AA34"/>
  </sortState>
  <mergeCells count="36">
    <mergeCell ref="A35:C35"/>
    <mergeCell ref="AJ35:AL35"/>
    <mergeCell ref="A36:C36"/>
    <mergeCell ref="AJ36:AL36"/>
    <mergeCell ref="AF2:AF3"/>
    <mergeCell ref="AG2:AG3"/>
    <mergeCell ref="AH2:AH3"/>
    <mergeCell ref="AJ2:AJ3"/>
    <mergeCell ref="AK2:AK3"/>
    <mergeCell ref="AL2:AL3"/>
    <mergeCell ref="Z2:Z3"/>
    <mergeCell ref="AA2:AA3"/>
    <mergeCell ref="AB2:AB3"/>
    <mergeCell ref="AC2:AC3"/>
    <mergeCell ref="AD2:AD3"/>
    <mergeCell ref="AE2:AE3"/>
    <mergeCell ref="BL2:BL3"/>
    <mergeCell ref="AM2:AW2"/>
    <mergeCell ref="AX2:BA2"/>
    <mergeCell ref="BH2:BH3"/>
    <mergeCell ref="BI2:BI3"/>
    <mergeCell ref="BJ2:BJ3"/>
    <mergeCell ref="BK2:BK3"/>
    <mergeCell ref="BB2:BG2"/>
    <mergeCell ref="BM2:BM3"/>
    <mergeCell ref="BN2:BN3"/>
    <mergeCell ref="BO2:BO3"/>
    <mergeCell ref="BP2:BP3"/>
    <mergeCell ref="BQ2:BQ3"/>
    <mergeCell ref="Y2:Y3"/>
    <mergeCell ref="A2:A3"/>
    <mergeCell ref="B2:B3"/>
    <mergeCell ref="C2:C3"/>
    <mergeCell ref="D2:N2"/>
    <mergeCell ref="O2:R2"/>
    <mergeCell ref="S2:X2"/>
  </mergeCells>
  <conditionalFormatting sqref="B4">
    <cfRule type="duplicateValues" dxfId="701" priority="46"/>
    <cfRule type="duplicateValues" dxfId="700" priority="47"/>
  </conditionalFormatting>
  <conditionalFormatting sqref="B5">
    <cfRule type="duplicateValues" dxfId="699" priority="48"/>
    <cfRule type="duplicateValues" dxfId="698" priority="49"/>
  </conditionalFormatting>
  <conditionalFormatting sqref="B6">
    <cfRule type="duplicateValues" dxfId="697" priority="45"/>
  </conditionalFormatting>
  <conditionalFormatting sqref="B7">
    <cfRule type="duplicateValues" dxfId="696" priority="57"/>
    <cfRule type="duplicateValues" dxfId="695" priority="58"/>
  </conditionalFormatting>
  <conditionalFormatting sqref="B8">
    <cfRule type="duplicateValues" dxfId="694" priority="68"/>
  </conditionalFormatting>
  <conditionalFormatting sqref="B9">
    <cfRule type="duplicateValues" dxfId="693" priority="67"/>
  </conditionalFormatting>
  <conditionalFormatting sqref="B10">
    <cfRule type="duplicateValues" dxfId="692" priority="56"/>
  </conditionalFormatting>
  <conditionalFormatting sqref="B11">
    <cfRule type="duplicateValues" dxfId="691" priority="50"/>
    <cfRule type="duplicateValues" dxfId="690" priority="51"/>
  </conditionalFormatting>
  <conditionalFormatting sqref="B12">
    <cfRule type="duplicateValues" dxfId="689" priority="64"/>
    <cfRule type="duplicateValues" dxfId="688" priority="65"/>
  </conditionalFormatting>
  <conditionalFormatting sqref="B13">
    <cfRule type="duplicateValues" dxfId="687" priority="62"/>
    <cfRule type="duplicateValues" dxfId="686" priority="63"/>
  </conditionalFormatting>
  <conditionalFormatting sqref="B14">
    <cfRule type="duplicateValues" dxfId="685" priority="66"/>
  </conditionalFormatting>
  <conditionalFormatting sqref="B15">
    <cfRule type="duplicateValues" dxfId="684" priority="40"/>
  </conditionalFormatting>
  <conditionalFormatting sqref="B16">
    <cfRule type="duplicateValues" dxfId="683" priority="71"/>
  </conditionalFormatting>
  <conditionalFormatting sqref="B17">
    <cfRule type="duplicateValues" dxfId="682" priority="52"/>
  </conditionalFormatting>
  <conditionalFormatting sqref="B18">
    <cfRule type="duplicateValues" dxfId="681" priority="43"/>
    <cfRule type="duplicateValues" dxfId="680" priority="44"/>
  </conditionalFormatting>
  <conditionalFormatting sqref="B20">
    <cfRule type="duplicateValues" dxfId="679" priority="69"/>
    <cfRule type="duplicateValues" dxfId="678" priority="70"/>
  </conditionalFormatting>
  <conditionalFormatting sqref="B21">
    <cfRule type="duplicateValues" dxfId="677" priority="74"/>
    <cfRule type="duplicateValues" dxfId="676" priority="75"/>
  </conditionalFormatting>
  <conditionalFormatting sqref="B22">
    <cfRule type="duplicateValues" dxfId="675" priority="59"/>
    <cfRule type="duplicateValues" dxfId="674" priority="60"/>
  </conditionalFormatting>
  <conditionalFormatting sqref="B23">
    <cfRule type="duplicateValues" dxfId="673" priority="76"/>
  </conditionalFormatting>
  <conditionalFormatting sqref="B24">
    <cfRule type="duplicateValues" dxfId="672" priority="55"/>
  </conditionalFormatting>
  <conditionalFormatting sqref="B25">
    <cfRule type="duplicateValues" dxfId="671" priority="72"/>
    <cfRule type="duplicateValues" dxfId="670" priority="73"/>
  </conditionalFormatting>
  <conditionalFormatting sqref="B26">
    <cfRule type="duplicateValues" dxfId="669" priority="61"/>
  </conditionalFormatting>
  <conditionalFormatting sqref="B27">
    <cfRule type="duplicateValues" dxfId="668" priority="41"/>
    <cfRule type="duplicateValues" dxfId="667" priority="42"/>
  </conditionalFormatting>
  <conditionalFormatting sqref="B28">
    <cfRule type="duplicateValues" dxfId="666" priority="53"/>
  </conditionalFormatting>
  <conditionalFormatting sqref="B29:B34">
    <cfRule type="duplicateValues" dxfId="665" priority="54"/>
  </conditionalFormatting>
  <conditionalFormatting sqref="D4:X34">
    <cfRule type="cellIs" dxfId="664" priority="78" operator="lessThanOrEqual">
      <formula>59</formula>
    </cfRule>
  </conditionalFormatting>
  <conditionalFormatting sqref="Z4:Z34">
    <cfRule type="cellIs" dxfId="663" priority="77" operator="lessThan">
      <formula>60</formula>
    </cfRule>
  </conditionalFormatting>
  <conditionalFormatting sqref="AA4:AA34">
    <cfRule type="duplicateValues" dxfId="662" priority="79"/>
    <cfRule type="duplicateValues" dxfId="661" priority="80"/>
    <cfRule type="duplicateValues" dxfId="660" priority="81"/>
  </conditionalFormatting>
  <conditionalFormatting sqref="AK4">
    <cfRule type="duplicateValues" dxfId="659" priority="7"/>
    <cfRule type="duplicateValues" dxfId="658" priority="8"/>
  </conditionalFormatting>
  <conditionalFormatting sqref="AK5">
    <cfRule type="duplicateValues" dxfId="657" priority="9"/>
    <cfRule type="duplicateValues" dxfId="656" priority="10"/>
  </conditionalFormatting>
  <conditionalFormatting sqref="AK6">
    <cfRule type="duplicateValues" dxfId="655" priority="6"/>
  </conditionalFormatting>
  <conditionalFormatting sqref="AK7">
    <cfRule type="duplicateValues" dxfId="654" priority="18"/>
    <cfRule type="duplicateValues" dxfId="653" priority="19"/>
  </conditionalFormatting>
  <conditionalFormatting sqref="AK8">
    <cfRule type="duplicateValues" dxfId="652" priority="29"/>
  </conditionalFormatting>
  <conditionalFormatting sqref="AK9">
    <cfRule type="duplicateValues" dxfId="651" priority="28"/>
  </conditionalFormatting>
  <conditionalFormatting sqref="AK10">
    <cfRule type="duplicateValues" dxfId="650" priority="17"/>
  </conditionalFormatting>
  <conditionalFormatting sqref="AK11">
    <cfRule type="duplicateValues" dxfId="649" priority="11"/>
    <cfRule type="duplicateValues" dxfId="648" priority="12"/>
  </conditionalFormatting>
  <conditionalFormatting sqref="AK12">
    <cfRule type="duplicateValues" dxfId="647" priority="25"/>
    <cfRule type="duplicateValues" dxfId="646" priority="26"/>
  </conditionalFormatting>
  <conditionalFormatting sqref="AK13">
    <cfRule type="duplicateValues" dxfId="645" priority="23"/>
    <cfRule type="duplicateValues" dxfId="644" priority="24"/>
  </conditionalFormatting>
  <conditionalFormatting sqref="AK14">
    <cfRule type="duplicateValues" dxfId="643" priority="27"/>
  </conditionalFormatting>
  <conditionalFormatting sqref="AK15">
    <cfRule type="duplicateValues" dxfId="642" priority="1"/>
  </conditionalFormatting>
  <conditionalFormatting sqref="AK16">
    <cfRule type="duplicateValues" dxfId="641" priority="32"/>
  </conditionalFormatting>
  <conditionalFormatting sqref="AK17">
    <cfRule type="duplicateValues" dxfId="640" priority="13"/>
  </conditionalFormatting>
  <conditionalFormatting sqref="AK18">
    <cfRule type="duplicateValues" dxfId="639" priority="4"/>
    <cfRule type="duplicateValues" dxfId="638" priority="5"/>
  </conditionalFormatting>
  <conditionalFormatting sqref="AK20">
    <cfRule type="duplicateValues" dxfId="637" priority="30"/>
    <cfRule type="duplicateValues" dxfId="636" priority="31"/>
  </conditionalFormatting>
  <conditionalFormatting sqref="AK21">
    <cfRule type="duplicateValues" dxfId="635" priority="35"/>
    <cfRule type="duplicateValues" dxfId="634" priority="36"/>
  </conditionalFormatting>
  <conditionalFormatting sqref="AK22">
    <cfRule type="duplicateValues" dxfId="633" priority="20"/>
    <cfRule type="duplicateValues" dxfId="632" priority="21"/>
  </conditionalFormatting>
  <conditionalFormatting sqref="AK23">
    <cfRule type="duplicateValues" dxfId="631" priority="37"/>
  </conditionalFormatting>
  <conditionalFormatting sqref="AK24">
    <cfRule type="duplicateValues" dxfId="630" priority="16"/>
  </conditionalFormatting>
  <conditionalFormatting sqref="AK25">
    <cfRule type="duplicateValues" dxfId="629" priority="33"/>
    <cfRule type="duplicateValues" dxfId="628" priority="34"/>
  </conditionalFormatting>
  <conditionalFormatting sqref="AK26">
    <cfRule type="duplicateValues" dxfId="627" priority="22"/>
  </conditionalFormatting>
  <conditionalFormatting sqref="AK27">
    <cfRule type="duplicateValues" dxfId="626" priority="2"/>
    <cfRule type="duplicateValues" dxfId="625" priority="3"/>
  </conditionalFormatting>
  <conditionalFormatting sqref="AK28">
    <cfRule type="duplicateValues" dxfId="624" priority="14"/>
  </conditionalFormatting>
  <conditionalFormatting sqref="AK29:AK34">
    <cfRule type="duplicateValues" dxfId="623" priority="15"/>
  </conditionalFormatting>
  <conditionalFormatting sqref="AM4:BG34">
    <cfRule type="cellIs" dxfId="622" priority="39" operator="lessThanOrEqual">
      <formula>59</formula>
    </cfRule>
  </conditionalFormatting>
  <conditionalFormatting sqref="BI4:BI34">
    <cfRule type="cellIs" dxfId="621" priority="38" operator="lessThan">
      <formula>60</formula>
    </cfRule>
  </conditionalFormatting>
  <conditionalFormatting sqref="BJ4:BJ34">
    <cfRule type="duplicateValues" dxfId="620" priority="82"/>
    <cfRule type="duplicateValues" dxfId="619" priority="83"/>
    <cfRule type="duplicateValues" dxfId="618" priority="84"/>
  </conditionalFormatting>
  <printOptions horizontalCentered="1"/>
  <pageMargins left="0.73" right="0.12" top="0.74803149606299202" bottom="0.74803149606299202" header="0.31496062992126" footer="0.31496062992126"/>
  <pageSetup paperSize="10000" scale="80" orientation="landscape" horizontalDpi="203" verticalDpi="203" r:id="rId1"/>
  <rowBreaks count="1" manualBreakCount="1">
    <brk id="26" max="27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B9E0B-9438-451F-A9A2-38C9DEA2809A}">
  <sheetPr codeName="Sheet13">
    <tabColor theme="1" tint="0.499984740745262"/>
  </sheetPr>
  <dimension ref="A1:BQ70"/>
  <sheetViews>
    <sheetView zoomScale="55" zoomScaleNormal="55" zoomScaleSheetLayoutView="61" workbookViewId="0">
      <selection activeCell="U4" sqref="U4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4" width="5.42578125" style="60" customWidth="1"/>
    <col min="25" max="27" width="7.140625" style="60" customWidth="1"/>
    <col min="28" max="30" width="5.42578125" style="60" customWidth="1"/>
    <col min="31" max="33" width="5.28515625" style="60" customWidth="1"/>
    <col min="34" max="34" width="8.140625" style="60" customWidth="1"/>
    <col min="35" max="35" width="9.140625" style="60"/>
    <col min="36" max="36" width="5.42578125" style="60" customWidth="1"/>
    <col min="37" max="37" width="9.5703125" style="60" bestFit="1" customWidth="1"/>
    <col min="38" max="38" width="31.140625" style="60" bestFit="1" customWidth="1"/>
    <col min="39" max="41" width="9.28515625" style="60" bestFit="1" customWidth="1"/>
    <col min="42" max="16384" width="9.140625" style="60"/>
  </cols>
  <sheetData>
    <row r="1" spans="1:69" ht="26.25">
      <c r="A1" s="59" t="s">
        <v>559</v>
      </c>
      <c r="AJ1" s="59" t="s">
        <v>559</v>
      </c>
    </row>
    <row r="2" spans="1:69" ht="15.75" customHeight="1">
      <c r="A2" s="281" t="s">
        <v>151</v>
      </c>
      <c r="B2" s="281" t="s">
        <v>152</v>
      </c>
      <c r="C2" s="281" t="s">
        <v>0</v>
      </c>
      <c r="D2" s="272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86" t="s">
        <v>316</v>
      </c>
      <c r="P2" s="286"/>
      <c r="Q2" s="286"/>
      <c r="R2" s="286"/>
      <c r="S2" s="425" t="s">
        <v>798</v>
      </c>
      <c r="T2" s="425"/>
      <c r="U2" s="425"/>
      <c r="V2" s="425"/>
      <c r="W2" s="425"/>
      <c r="X2" s="425"/>
      <c r="Y2" s="276" t="s">
        <v>155</v>
      </c>
      <c r="Z2" s="276" t="s">
        <v>156</v>
      </c>
      <c r="AA2" s="276" t="s">
        <v>157</v>
      </c>
      <c r="AB2" s="270" t="s">
        <v>158</v>
      </c>
      <c r="AC2" s="270" t="s">
        <v>159</v>
      </c>
      <c r="AD2" s="270" t="s">
        <v>160</v>
      </c>
      <c r="AE2" s="278" t="s">
        <v>161</v>
      </c>
      <c r="AF2" s="278" t="s">
        <v>162</v>
      </c>
      <c r="AG2" s="278" t="s">
        <v>163</v>
      </c>
      <c r="AH2" s="280" t="s">
        <v>164</v>
      </c>
      <c r="AJ2" s="281" t="s">
        <v>151</v>
      </c>
      <c r="AK2" s="281" t="s">
        <v>152</v>
      </c>
      <c r="AL2" s="281" t="s">
        <v>0</v>
      </c>
      <c r="AM2" s="272" t="s">
        <v>153</v>
      </c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426" t="s">
        <v>316</v>
      </c>
      <c r="AY2" s="426"/>
      <c r="AZ2" s="426"/>
      <c r="BA2" s="426"/>
      <c r="BB2" s="425" t="s">
        <v>798</v>
      </c>
      <c r="BC2" s="425"/>
      <c r="BD2" s="425"/>
      <c r="BE2" s="425"/>
      <c r="BF2" s="425"/>
      <c r="BG2" s="425"/>
      <c r="BH2" s="276" t="s">
        <v>155</v>
      </c>
      <c r="BI2" s="276" t="s">
        <v>156</v>
      </c>
      <c r="BJ2" s="276" t="s">
        <v>157</v>
      </c>
      <c r="BK2" s="270" t="s">
        <v>158</v>
      </c>
      <c r="BL2" s="270" t="s">
        <v>159</v>
      </c>
      <c r="BM2" s="270" t="s">
        <v>160</v>
      </c>
      <c r="BN2" s="278" t="s">
        <v>161</v>
      </c>
      <c r="BO2" s="278" t="s">
        <v>162</v>
      </c>
      <c r="BP2" s="278" t="s">
        <v>163</v>
      </c>
      <c r="BQ2" s="280" t="s">
        <v>164</v>
      </c>
    </row>
    <row r="3" spans="1:69" ht="65.25">
      <c r="A3" s="282"/>
      <c r="B3" s="282"/>
      <c r="C3" s="282"/>
      <c r="D3" s="63" t="s">
        <v>22</v>
      </c>
      <c r="E3" s="63" t="s">
        <v>55</v>
      </c>
      <c r="F3" s="63" t="s">
        <v>167</v>
      </c>
      <c r="G3" s="63" t="s">
        <v>168</v>
      </c>
      <c r="H3" s="63" t="s">
        <v>171</v>
      </c>
      <c r="I3" s="63" t="s">
        <v>96</v>
      </c>
      <c r="J3" s="63" t="s">
        <v>14</v>
      </c>
      <c r="K3" s="63" t="s">
        <v>120</v>
      </c>
      <c r="L3" s="63" t="s">
        <v>108</v>
      </c>
      <c r="M3" s="63" t="s">
        <v>110</v>
      </c>
      <c r="N3" s="63" t="s">
        <v>111</v>
      </c>
      <c r="O3" s="64" t="s">
        <v>137</v>
      </c>
      <c r="P3" s="64" t="s">
        <v>14</v>
      </c>
      <c r="Q3" s="64" t="s">
        <v>34</v>
      </c>
      <c r="R3" s="64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277"/>
      <c r="Z3" s="277"/>
      <c r="AA3" s="277"/>
      <c r="AB3" s="271"/>
      <c r="AC3" s="271"/>
      <c r="AD3" s="271"/>
      <c r="AE3" s="279"/>
      <c r="AF3" s="279"/>
      <c r="AG3" s="279"/>
      <c r="AH3" s="280"/>
      <c r="AJ3" s="282"/>
      <c r="AK3" s="282"/>
      <c r="AL3" s="282"/>
      <c r="AM3" s="63" t="s">
        <v>22</v>
      </c>
      <c r="AN3" s="63" t="s">
        <v>55</v>
      </c>
      <c r="AO3" s="63" t="s">
        <v>167</v>
      </c>
      <c r="AP3" s="63" t="s">
        <v>168</v>
      </c>
      <c r="AQ3" s="63" t="s">
        <v>171</v>
      </c>
      <c r="AR3" s="63" t="s">
        <v>96</v>
      </c>
      <c r="AS3" s="63" t="s">
        <v>14</v>
      </c>
      <c r="AT3" s="63" t="s">
        <v>120</v>
      </c>
      <c r="AU3" s="63" t="s">
        <v>108</v>
      </c>
      <c r="AV3" s="63" t="s">
        <v>110</v>
      </c>
      <c r="AW3" s="63" t="s">
        <v>111</v>
      </c>
      <c r="AX3" s="98" t="s">
        <v>137</v>
      </c>
      <c r="AY3" s="98" t="s">
        <v>14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277"/>
      <c r="BI3" s="277"/>
      <c r="BJ3" s="277"/>
      <c r="BK3" s="271"/>
      <c r="BL3" s="271"/>
      <c r="BM3" s="271"/>
      <c r="BN3" s="279"/>
      <c r="BO3" s="279"/>
      <c r="BP3" s="279"/>
      <c r="BQ3" s="280"/>
    </row>
    <row r="4" spans="1:69" ht="21.95" customHeight="1">
      <c r="A4" s="93">
        <v>1</v>
      </c>
      <c r="B4" s="99">
        <v>22230200</v>
      </c>
      <c r="C4" s="103" t="s">
        <v>555</v>
      </c>
      <c r="D4" s="68">
        <f t="shared" ref="D4:D32" si="0">ROUND(IF(AM4=0,0,MIN(MAX(AM4,40),99)),0)</f>
        <v>96</v>
      </c>
      <c r="E4" s="68">
        <f t="shared" ref="E4:E32" si="1">ROUND(IF(AN4=0,0,MIN(MAX(AN4,40),99)),0)</f>
        <v>92</v>
      </c>
      <c r="F4" s="68">
        <f t="shared" ref="F4:F32" si="2">ROUND(IF(AO4=0,0,MIN(MAX(AO4,40),99)),0)</f>
        <v>96</v>
      </c>
      <c r="G4" s="68">
        <f t="shared" ref="G4:G32" si="3">ROUND(IF(AP4=0,0,MIN(MAX(AP4,40),99)),0)</f>
        <v>93</v>
      </c>
      <c r="H4" s="68">
        <f t="shared" ref="H4:H32" si="4">ROUND(IF(AQ4=0,0,MIN(MAX(AQ4,40),99)),0)</f>
        <v>88</v>
      </c>
      <c r="I4" s="68">
        <f t="shared" ref="I4:I32" si="5">ROUND(IF(AR4=0,0,MIN(MAX(AR4,40),99)),0)</f>
        <v>97</v>
      </c>
      <c r="J4" s="68">
        <f t="shared" ref="J4:J32" si="6">ROUND(IF(AS4=0,0,MIN(MAX(AS4,40),99)),0)</f>
        <v>96</v>
      </c>
      <c r="K4" s="68">
        <f t="shared" ref="K4:K32" si="7">ROUND(IF(AT4=0,0,MIN(MAX(AT4,40),99)),0)</f>
        <v>89</v>
      </c>
      <c r="L4" s="68">
        <f t="shared" ref="L4:L32" si="8">ROUND(IF(AU4=0,0,MIN(MAX(AU4,40),99)),0)</f>
        <v>99</v>
      </c>
      <c r="M4" s="68">
        <f t="shared" ref="M4:M32" si="9">ROUND(IF(AV4=0,0,MIN(MAX(AV4,40),99)),0)</f>
        <v>96</v>
      </c>
      <c r="N4" s="68">
        <f t="shared" ref="N4:N32" si="10">ROUND(IF(AW4=0,0,MIN(MAX(AW4,40),99)),0)</f>
        <v>97</v>
      </c>
      <c r="O4" s="69">
        <f t="shared" ref="O4:O32" si="11">ROUND(IF(AX4=0,0,MIN(MAX(AX4,40),99)),0)</f>
        <v>85</v>
      </c>
      <c r="P4" s="69">
        <f t="shared" ref="P4:P32" si="12">ROUND(IF(AY4=0,0,MIN(MAX(AY4,40),99)),0)</f>
        <v>91</v>
      </c>
      <c r="Q4" s="69">
        <f t="shared" ref="Q4:Q32" si="13">ROUND(IF(AZ4=0,0,MIN(MAX(AZ4,40),99)),0)</f>
        <v>95</v>
      </c>
      <c r="R4" s="69">
        <f t="shared" ref="R4:R32" si="14">ROUND(IF(BA4=0,0,MIN(MAX(BA4,40),99)),0)</f>
        <v>90</v>
      </c>
      <c r="S4" s="234">
        <f t="shared" ref="S4:S32" si="15">ROUND(IF(BB4=0,0,MIN(MAX(BB4,40),99)),0)</f>
        <v>60</v>
      </c>
      <c r="T4" s="234">
        <f t="shared" ref="T4:T32" si="16">ROUND(IF(BC4=0,0,MIN(MAX(BC4,40),99)),0)</f>
        <v>73</v>
      </c>
      <c r="U4" s="234">
        <f t="shared" ref="U4:U32" si="17">ROUND(IF(BD4=0,0,MIN(MAX(BD4,40),99)),0)</f>
        <v>99</v>
      </c>
      <c r="V4" s="234">
        <f t="shared" ref="V4:V32" si="18">ROUND(IF(BE4=0,0,MIN(MAX(BE4,40),99)),0)</f>
        <v>60</v>
      </c>
      <c r="W4" s="234">
        <f t="shared" ref="W4:W32" si="19">ROUND(IF(BF4=0,0,MIN(MAX(BF4,40),99)),0)</f>
        <v>60</v>
      </c>
      <c r="X4" s="234">
        <f t="shared" ref="X4:X32" si="20">ROUND(IF(BG4=0,0,MIN(MAX(BG4,40),99)),0)</f>
        <v>63</v>
      </c>
      <c r="Y4" s="70">
        <f t="shared" ref="Y4:Y32" si="21">SUM(D4:R4)</f>
        <v>1400</v>
      </c>
      <c r="Z4" s="71">
        <f t="shared" ref="Z4:Z32" si="22">AVERAGE(D4:R4)</f>
        <v>93.333333333333329</v>
      </c>
      <c r="AA4" s="101">
        <f t="shared" ref="AA4:AA32" si="23">RANK(Y4,$Y$4:$Y$32)</f>
        <v>1</v>
      </c>
      <c r="AB4" s="73" t="s">
        <v>806</v>
      </c>
      <c r="AC4" s="73" t="s">
        <v>806</v>
      </c>
      <c r="AD4" s="73" t="s">
        <v>806</v>
      </c>
      <c r="AE4" s="74">
        <v>0</v>
      </c>
      <c r="AF4" s="74">
        <v>0</v>
      </c>
      <c r="AG4" s="74">
        <v>0</v>
      </c>
      <c r="AH4" s="246"/>
      <c r="AI4" s="60">
        <v>10</v>
      </c>
      <c r="AJ4" s="93">
        <v>26</v>
      </c>
      <c r="AK4" s="99">
        <v>22230200</v>
      </c>
      <c r="AL4" s="103" t="s">
        <v>555</v>
      </c>
      <c r="AM4" s="68">
        <v>95.899999999999991</v>
      </c>
      <c r="AN4" s="68">
        <v>91.6</v>
      </c>
      <c r="AO4" s="68">
        <v>96.1</v>
      </c>
      <c r="AP4" s="68">
        <v>92.5</v>
      </c>
      <c r="AQ4" s="68">
        <v>88</v>
      </c>
      <c r="AR4" s="68">
        <v>97</v>
      </c>
      <c r="AS4" s="68">
        <v>95.8</v>
      </c>
      <c r="AT4" s="68">
        <v>88.6</v>
      </c>
      <c r="AU4" s="68">
        <v>99</v>
      </c>
      <c r="AV4" s="68">
        <v>95.5</v>
      </c>
      <c r="AW4" s="68">
        <v>96.5</v>
      </c>
      <c r="AX4" s="76">
        <v>85</v>
      </c>
      <c r="AY4" s="76">
        <v>91</v>
      </c>
      <c r="AZ4" s="76">
        <v>95</v>
      </c>
      <c r="BA4" s="76">
        <v>90</v>
      </c>
      <c r="BB4" s="240">
        <v>60</v>
      </c>
      <c r="BC4" s="240">
        <v>72.5</v>
      </c>
      <c r="BD4" s="240">
        <v>99</v>
      </c>
      <c r="BE4" s="240">
        <v>60</v>
      </c>
      <c r="BF4" s="240">
        <v>60</v>
      </c>
      <c r="BG4" s="240">
        <v>62.5</v>
      </c>
      <c r="BH4" s="70">
        <f t="shared" ref="BH4:BH32" si="24">SUM(AM4:BA4)</f>
        <v>1397.5</v>
      </c>
      <c r="BI4" s="71">
        <f t="shared" ref="BI4:BI32" si="25">AVERAGE(AM4:BA4)</f>
        <v>93.166666666666671</v>
      </c>
      <c r="BJ4" s="101" t="e">
        <f t="shared" ref="BJ4:BJ32" si="26">RANK(BH4,$Y$4:$Y$29)</f>
        <v>#N/A</v>
      </c>
      <c r="BK4" s="73"/>
      <c r="BL4" s="73"/>
      <c r="BM4" s="73"/>
      <c r="BN4" s="74"/>
      <c r="BO4" s="74"/>
      <c r="BP4" s="74"/>
      <c r="BQ4" s="75"/>
    </row>
    <row r="5" spans="1:69" ht="21.95" customHeight="1">
      <c r="A5" s="93">
        <v>2</v>
      </c>
      <c r="B5" s="99">
        <v>22230107</v>
      </c>
      <c r="C5" s="102" t="s">
        <v>550</v>
      </c>
      <c r="D5" s="68">
        <f t="shared" si="0"/>
        <v>96</v>
      </c>
      <c r="E5" s="68">
        <f t="shared" si="1"/>
        <v>94</v>
      </c>
      <c r="F5" s="68">
        <f t="shared" si="2"/>
        <v>95</v>
      </c>
      <c r="G5" s="68">
        <f t="shared" si="3"/>
        <v>95</v>
      </c>
      <c r="H5" s="68">
        <f t="shared" si="4"/>
        <v>74</v>
      </c>
      <c r="I5" s="68">
        <f t="shared" si="5"/>
        <v>99</v>
      </c>
      <c r="J5" s="68">
        <f t="shared" si="6"/>
        <v>97</v>
      </c>
      <c r="K5" s="68">
        <f t="shared" si="7"/>
        <v>98</v>
      </c>
      <c r="L5" s="68">
        <f t="shared" si="8"/>
        <v>72</v>
      </c>
      <c r="M5" s="68">
        <f t="shared" si="9"/>
        <v>87</v>
      </c>
      <c r="N5" s="68">
        <f t="shared" si="10"/>
        <v>91</v>
      </c>
      <c r="O5" s="69">
        <f t="shared" si="11"/>
        <v>85</v>
      </c>
      <c r="P5" s="69">
        <f t="shared" si="12"/>
        <v>99</v>
      </c>
      <c r="Q5" s="69">
        <f t="shared" si="13"/>
        <v>95</v>
      </c>
      <c r="R5" s="69">
        <f t="shared" si="14"/>
        <v>90</v>
      </c>
      <c r="S5" s="234">
        <f t="shared" si="15"/>
        <v>95</v>
      </c>
      <c r="T5" s="234">
        <f t="shared" si="16"/>
        <v>90</v>
      </c>
      <c r="U5" s="234">
        <f t="shared" si="17"/>
        <v>72</v>
      </c>
      <c r="V5" s="234">
        <f t="shared" si="18"/>
        <v>85</v>
      </c>
      <c r="W5" s="234">
        <f t="shared" si="19"/>
        <v>75</v>
      </c>
      <c r="X5" s="234">
        <f t="shared" si="20"/>
        <v>93</v>
      </c>
      <c r="Y5" s="70">
        <f t="shared" si="21"/>
        <v>1367</v>
      </c>
      <c r="Z5" s="71">
        <f t="shared" si="22"/>
        <v>91.13333333333334</v>
      </c>
      <c r="AA5" s="101">
        <f t="shared" si="23"/>
        <v>2</v>
      </c>
      <c r="AB5" s="73" t="s">
        <v>806</v>
      </c>
      <c r="AC5" s="73" t="s">
        <v>806</v>
      </c>
      <c r="AD5" s="73" t="s">
        <v>806</v>
      </c>
      <c r="AE5" s="74">
        <v>10</v>
      </c>
      <c r="AF5" s="74">
        <v>0</v>
      </c>
      <c r="AG5" s="74">
        <v>0</v>
      </c>
      <c r="AH5" s="246"/>
      <c r="AI5" s="60">
        <v>9</v>
      </c>
      <c r="AJ5" s="93">
        <v>21</v>
      </c>
      <c r="AK5" s="99">
        <v>22230107</v>
      </c>
      <c r="AL5" s="102" t="s">
        <v>550</v>
      </c>
      <c r="AM5" s="68">
        <v>95.899999999999991</v>
      </c>
      <c r="AN5" s="68">
        <v>93.7</v>
      </c>
      <c r="AO5" s="68">
        <v>94.9</v>
      </c>
      <c r="AP5" s="68">
        <v>95</v>
      </c>
      <c r="AQ5" s="68">
        <v>74</v>
      </c>
      <c r="AR5" s="68">
        <v>98.5</v>
      </c>
      <c r="AS5" s="68">
        <v>96.7</v>
      </c>
      <c r="AT5" s="68">
        <v>97.899999999999991</v>
      </c>
      <c r="AU5" s="68">
        <v>72</v>
      </c>
      <c r="AV5" s="68">
        <v>86.5</v>
      </c>
      <c r="AW5" s="68">
        <v>90.5</v>
      </c>
      <c r="AX5" s="76">
        <v>85</v>
      </c>
      <c r="AY5" s="76">
        <v>99</v>
      </c>
      <c r="AZ5" s="76">
        <v>95</v>
      </c>
      <c r="BA5" s="76">
        <v>90</v>
      </c>
      <c r="BB5" s="240">
        <v>95</v>
      </c>
      <c r="BC5" s="240">
        <v>90</v>
      </c>
      <c r="BD5" s="240">
        <v>72</v>
      </c>
      <c r="BE5" s="240">
        <v>85</v>
      </c>
      <c r="BF5" s="240">
        <v>75</v>
      </c>
      <c r="BG5" s="240">
        <v>92.5</v>
      </c>
      <c r="BH5" s="70">
        <f t="shared" si="24"/>
        <v>1364.6</v>
      </c>
      <c r="BI5" s="71">
        <f t="shared" si="25"/>
        <v>90.973333333333329</v>
      </c>
      <c r="BJ5" s="101" t="e">
        <f t="shared" si="26"/>
        <v>#N/A</v>
      </c>
      <c r="BK5" s="73"/>
      <c r="BL5" s="73"/>
      <c r="BM5" s="73"/>
      <c r="BN5" s="74"/>
      <c r="BO5" s="74"/>
      <c r="BP5" s="74"/>
      <c r="BQ5" s="75"/>
    </row>
    <row r="6" spans="1:69" ht="21.95" customHeight="1">
      <c r="A6" s="93">
        <v>3</v>
      </c>
      <c r="B6" s="99">
        <v>22230021</v>
      </c>
      <c r="C6" s="107" t="s">
        <v>545</v>
      </c>
      <c r="D6" s="68">
        <f t="shared" si="0"/>
        <v>95</v>
      </c>
      <c r="E6" s="68">
        <f t="shared" si="1"/>
        <v>89</v>
      </c>
      <c r="F6" s="68">
        <f t="shared" si="2"/>
        <v>91</v>
      </c>
      <c r="G6" s="68">
        <f t="shared" si="3"/>
        <v>93</v>
      </c>
      <c r="H6" s="68">
        <f t="shared" si="4"/>
        <v>83</v>
      </c>
      <c r="I6" s="68">
        <f t="shared" si="5"/>
        <v>99</v>
      </c>
      <c r="J6" s="68">
        <f t="shared" si="6"/>
        <v>83</v>
      </c>
      <c r="K6" s="68">
        <f t="shared" si="7"/>
        <v>90</v>
      </c>
      <c r="L6" s="68">
        <f t="shared" si="8"/>
        <v>90</v>
      </c>
      <c r="M6" s="68">
        <f t="shared" si="9"/>
        <v>63</v>
      </c>
      <c r="N6" s="68">
        <f t="shared" si="10"/>
        <v>99</v>
      </c>
      <c r="O6" s="69">
        <f t="shared" si="11"/>
        <v>85</v>
      </c>
      <c r="P6" s="69">
        <f t="shared" si="12"/>
        <v>94</v>
      </c>
      <c r="Q6" s="69">
        <f t="shared" si="13"/>
        <v>95</v>
      </c>
      <c r="R6" s="69">
        <f t="shared" si="14"/>
        <v>90</v>
      </c>
      <c r="S6" s="234">
        <f t="shared" si="15"/>
        <v>95</v>
      </c>
      <c r="T6" s="234">
        <f t="shared" si="16"/>
        <v>80</v>
      </c>
      <c r="U6" s="234">
        <f t="shared" si="17"/>
        <v>90</v>
      </c>
      <c r="V6" s="234">
        <f t="shared" si="18"/>
        <v>73</v>
      </c>
      <c r="W6" s="234">
        <f t="shared" si="19"/>
        <v>75</v>
      </c>
      <c r="X6" s="234">
        <f t="shared" si="20"/>
        <v>83</v>
      </c>
      <c r="Y6" s="70">
        <f t="shared" si="21"/>
        <v>1339</v>
      </c>
      <c r="Z6" s="71">
        <f t="shared" si="22"/>
        <v>89.266666666666666</v>
      </c>
      <c r="AA6" s="101">
        <f t="shared" si="23"/>
        <v>3</v>
      </c>
      <c r="AB6" s="73" t="s">
        <v>806</v>
      </c>
      <c r="AC6" s="73" t="s">
        <v>806</v>
      </c>
      <c r="AD6" s="73" t="s">
        <v>806</v>
      </c>
      <c r="AE6" s="74">
        <v>0</v>
      </c>
      <c r="AF6" s="74">
        <v>0</v>
      </c>
      <c r="AG6" s="74">
        <v>0</v>
      </c>
      <c r="AH6" s="246"/>
      <c r="AI6" s="60">
        <v>10</v>
      </c>
      <c r="AJ6" s="93">
        <v>16</v>
      </c>
      <c r="AK6" s="99">
        <v>22230021</v>
      </c>
      <c r="AL6" s="102" t="s">
        <v>545</v>
      </c>
      <c r="AM6" s="68">
        <v>95.4</v>
      </c>
      <c r="AN6" s="68">
        <v>89.1</v>
      </c>
      <c r="AO6" s="68">
        <v>91</v>
      </c>
      <c r="AP6" s="68">
        <v>92.5</v>
      </c>
      <c r="AQ6" s="68">
        <v>83</v>
      </c>
      <c r="AR6" s="68">
        <v>99</v>
      </c>
      <c r="AS6" s="68">
        <v>83.1</v>
      </c>
      <c r="AT6" s="68">
        <v>89.7</v>
      </c>
      <c r="AU6" s="68">
        <v>90</v>
      </c>
      <c r="AV6" s="68">
        <v>62.5</v>
      </c>
      <c r="AW6" s="68">
        <v>98.899999999999991</v>
      </c>
      <c r="AX6" s="76">
        <v>85</v>
      </c>
      <c r="AY6" s="76">
        <v>94</v>
      </c>
      <c r="AZ6" s="76">
        <v>95</v>
      </c>
      <c r="BA6" s="76">
        <v>90</v>
      </c>
      <c r="BB6" s="240">
        <v>95</v>
      </c>
      <c r="BC6" s="240">
        <v>80</v>
      </c>
      <c r="BD6" s="240">
        <v>90</v>
      </c>
      <c r="BE6" s="240">
        <v>72.5</v>
      </c>
      <c r="BF6" s="240">
        <v>75</v>
      </c>
      <c r="BG6" s="240">
        <v>82.5</v>
      </c>
      <c r="BH6" s="70">
        <f t="shared" si="24"/>
        <v>1338.2</v>
      </c>
      <c r="BI6" s="71">
        <f t="shared" si="25"/>
        <v>89.213333333333338</v>
      </c>
      <c r="BJ6" s="101" t="e">
        <f t="shared" si="26"/>
        <v>#N/A</v>
      </c>
      <c r="BK6" s="73"/>
      <c r="BL6" s="73"/>
      <c r="BM6" s="73"/>
      <c r="BN6" s="74"/>
      <c r="BO6" s="74"/>
      <c r="BP6" s="74"/>
      <c r="BQ6" s="75"/>
    </row>
    <row r="7" spans="1:69" ht="21.95" customHeight="1">
      <c r="A7" s="93">
        <v>4</v>
      </c>
      <c r="B7" s="99">
        <v>22230028</v>
      </c>
      <c r="C7" s="107" t="s">
        <v>535</v>
      </c>
      <c r="D7" s="68">
        <f t="shared" si="0"/>
        <v>96</v>
      </c>
      <c r="E7" s="68">
        <f t="shared" si="1"/>
        <v>81</v>
      </c>
      <c r="F7" s="68">
        <f t="shared" si="2"/>
        <v>96</v>
      </c>
      <c r="G7" s="68">
        <f t="shared" si="3"/>
        <v>91</v>
      </c>
      <c r="H7" s="68">
        <f t="shared" si="4"/>
        <v>58</v>
      </c>
      <c r="I7" s="68">
        <f t="shared" si="5"/>
        <v>98</v>
      </c>
      <c r="J7" s="68">
        <f t="shared" si="6"/>
        <v>90</v>
      </c>
      <c r="K7" s="68">
        <f t="shared" si="7"/>
        <v>86</v>
      </c>
      <c r="L7" s="68">
        <f t="shared" si="8"/>
        <v>88</v>
      </c>
      <c r="M7" s="68">
        <f t="shared" si="9"/>
        <v>73</v>
      </c>
      <c r="N7" s="68">
        <f t="shared" si="10"/>
        <v>97</v>
      </c>
      <c r="O7" s="69">
        <f t="shared" si="11"/>
        <v>85</v>
      </c>
      <c r="P7" s="69">
        <f t="shared" si="12"/>
        <v>98</v>
      </c>
      <c r="Q7" s="69">
        <f t="shared" si="13"/>
        <v>89</v>
      </c>
      <c r="R7" s="69">
        <f t="shared" si="14"/>
        <v>90</v>
      </c>
      <c r="S7" s="234">
        <f t="shared" si="15"/>
        <v>99</v>
      </c>
      <c r="T7" s="234">
        <f t="shared" si="16"/>
        <v>83</v>
      </c>
      <c r="U7" s="234">
        <f t="shared" si="17"/>
        <v>88</v>
      </c>
      <c r="V7" s="234">
        <f t="shared" si="18"/>
        <v>78</v>
      </c>
      <c r="W7" s="234">
        <f t="shared" si="19"/>
        <v>85</v>
      </c>
      <c r="X7" s="234">
        <f t="shared" si="20"/>
        <v>73</v>
      </c>
      <c r="Y7" s="70">
        <f t="shared" si="21"/>
        <v>1316</v>
      </c>
      <c r="Z7" s="71">
        <f t="shared" si="22"/>
        <v>87.733333333333334</v>
      </c>
      <c r="AA7" s="101">
        <f t="shared" si="23"/>
        <v>4</v>
      </c>
      <c r="AB7" s="73" t="s">
        <v>806</v>
      </c>
      <c r="AC7" s="73" t="s">
        <v>806</v>
      </c>
      <c r="AD7" s="73" t="s">
        <v>805</v>
      </c>
      <c r="AE7" s="74">
        <v>0</v>
      </c>
      <c r="AF7" s="74">
        <v>0</v>
      </c>
      <c r="AG7" s="74">
        <v>0</v>
      </c>
      <c r="AH7" s="246"/>
      <c r="AI7" s="60">
        <v>10</v>
      </c>
      <c r="AJ7" s="93">
        <v>6</v>
      </c>
      <c r="AK7" s="99">
        <v>22230028</v>
      </c>
      <c r="AL7" s="100" t="s">
        <v>535</v>
      </c>
      <c r="AM7" s="68">
        <v>95.899999999999991</v>
      </c>
      <c r="AN7" s="68">
        <v>80.7</v>
      </c>
      <c r="AO7" s="68">
        <v>96.1</v>
      </c>
      <c r="AP7" s="68">
        <v>90.5</v>
      </c>
      <c r="AQ7" s="68">
        <v>57.5</v>
      </c>
      <c r="AR7" s="68">
        <v>98</v>
      </c>
      <c r="AS7" s="68">
        <v>89.7</v>
      </c>
      <c r="AT7" s="68">
        <v>86.1</v>
      </c>
      <c r="AU7" s="68">
        <v>88</v>
      </c>
      <c r="AV7" s="68">
        <v>73</v>
      </c>
      <c r="AW7" s="68">
        <v>96.5</v>
      </c>
      <c r="AX7" s="76">
        <v>85</v>
      </c>
      <c r="AY7" s="76">
        <v>98</v>
      </c>
      <c r="AZ7" s="76">
        <v>89</v>
      </c>
      <c r="BA7" s="76">
        <v>90</v>
      </c>
      <c r="BB7" s="240">
        <v>100</v>
      </c>
      <c r="BC7" s="240">
        <v>82.5</v>
      </c>
      <c r="BD7" s="240">
        <v>88</v>
      </c>
      <c r="BE7" s="240">
        <v>77.5</v>
      </c>
      <c r="BF7" s="240">
        <v>85</v>
      </c>
      <c r="BG7" s="240">
        <v>72.5</v>
      </c>
      <c r="BH7" s="70">
        <f t="shared" si="24"/>
        <v>1314</v>
      </c>
      <c r="BI7" s="71">
        <f t="shared" si="25"/>
        <v>87.6</v>
      </c>
      <c r="BJ7" s="101" t="e">
        <f t="shared" si="26"/>
        <v>#N/A</v>
      </c>
      <c r="BK7" s="73"/>
      <c r="BL7" s="73"/>
      <c r="BM7" s="73"/>
      <c r="BN7" s="74"/>
      <c r="BO7" s="74"/>
      <c r="BP7" s="74"/>
      <c r="BQ7" s="75"/>
    </row>
    <row r="8" spans="1:69" ht="21.95" customHeight="1">
      <c r="A8" s="138">
        <v>5</v>
      </c>
      <c r="B8" s="99">
        <v>22230033</v>
      </c>
      <c r="C8" s="100" t="s">
        <v>549</v>
      </c>
      <c r="D8" s="68">
        <f t="shared" si="0"/>
        <v>95</v>
      </c>
      <c r="E8" s="68">
        <f t="shared" si="1"/>
        <v>88</v>
      </c>
      <c r="F8" s="68">
        <f t="shared" si="2"/>
        <v>95</v>
      </c>
      <c r="G8" s="68">
        <f t="shared" si="3"/>
        <v>84</v>
      </c>
      <c r="H8" s="68">
        <f t="shared" si="4"/>
        <v>72</v>
      </c>
      <c r="I8" s="68">
        <f t="shared" si="5"/>
        <v>71</v>
      </c>
      <c r="J8" s="68">
        <f t="shared" si="6"/>
        <v>91</v>
      </c>
      <c r="K8" s="68">
        <f t="shared" si="7"/>
        <v>96</v>
      </c>
      <c r="L8" s="68">
        <f t="shared" si="8"/>
        <v>87</v>
      </c>
      <c r="M8" s="68">
        <f t="shared" si="9"/>
        <v>86</v>
      </c>
      <c r="N8" s="68">
        <f t="shared" si="10"/>
        <v>92</v>
      </c>
      <c r="O8" s="69">
        <f t="shared" si="11"/>
        <v>85</v>
      </c>
      <c r="P8" s="69">
        <f t="shared" si="12"/>
        <v>95</v>
      </c>
      <c r="Q8" s="69">
        <f t="shared" si="13"/>
        <v>80</v>
      </c>
      <c r="R8" s="69">
        <f t="shared" si="14"/>
        <v>90</v>
      </c>
      <c r="S8" s="234">
        <f t="shared" si="15"/>
        <v>93</v>
      </c>
      <c r="T8" s="234">
        <f t="shared" si="16"/>
        <v>78</v>
      </c>
      <c r="U8" s="234">
        <f t="shared" si="17"/>
        <v>87</v>
      </c>
      <c r="V8" s="234">
        <f t="shared" si="18"/>
        <v>78</v>
      </c>
      <c r="W8" s="234">
        <f t="shared" si="19"/>
        <v>63</v>
      </c>
      <c r="X8" s="234">
        <f t="shared" si="20"/>
        <v>83</v>
      </c>
      <c r="Y8" s="70">
        <f t="shared" si="21"/>
        <v>1307</v>
      </c>
      <c r="Z8" s="71">
        <f t="shared" si="22"/>
        <v>87.13333333333334</v>
      </c>
      <c r="AA8" s="101">
        <f t="shared" si="23"/>
        <v>5</v>
      </c>
      <c r="AB8" s="73" t="s">
        <v>805</v>
      </c>
      <c r="AC8" s="73" t="s">
        <v>806</v>
      </c>
      <c r="AD8" s="73" t="s">
        <v>806</v>
      </c>
      <c r="AE8" s="74">
        <v>16</v>
      </c>
      <c r="AF8" s="74">
        <v>15</v>
      </c>
      <c r="AG8" s="74">
        <v>0</v>
      </c>
      <c r="AH8" s="246"/>
      <c r="AI8" s="60">
        <v>8</v>
      </c>
      <c r="AJ8" s="93">
        <v>20</v>
      </c>
      <c r="AK8" s="99">
        <v>22230033</v>
      </c>
      <c r="AL8" s="100" t="s">
        <v>549</v>
      </c>
      <c r="AM8" s="68">
        <v>94.899999999999991</v>
      </c>
      <c r="AN8" s="68">
        <v>88.4</v>
      </c>
      <c r="AO8" s="68">
        <v>94.5</v>
      </c>
      <c r="AP8" s="68">
        <v>84</v>
      </c>
      <c r="AQ8" s="68">
        <v>71.5</v>
      </c>
      <c r="AR8" s="68">
        <v>70.5</v>
      </c>
      <c r="AS8" s="68">
        <v>91.4</v>
      </c>
      <c r="AT8" s="68">
        <v>95.6</v>
      </c>
      <c r="AU8" s="68">
        <v>87</v>
      </c>
      <c r="AV8" s="68">
        <v>85.5</v>
      </c>
      <c r="AW8" s="68">
        <v>91.5</v>
      </c>
      <c r="AX8" s="76">
        <v>85</v>
      </c>
      <c r="AY8" s="76">
        <v>95</v>
      </c>
      <c r="AZ8" s="76">
        <v>80</v>
      </c>
      <c r="BA8" s="76">
        <v>90</v>
      </c>
      <c r="BB8" s="240">
        <v>92.5</v>
      </c>
      <c r="BC8" s="240">
        <v>77.5</v>
      </c>
      <c r="BD8" s="240">
        <v>87</v>
      </c>
      <c r="BE8" s="240">
        <v>77.5</v>
      </c>
      <c r="BF8" s="240">
        <v>62.5</v>
      </c>
      <c r="BG8" s="240">
        <v>82.5</v>
      </c>
      <c r="BH8" s="70">
        <f t="shared" si="24"/>
        <v>1304.8000000000002</v>
      </c>
      <c r="BI8" s="71">
        <f t="shared" si="25"/>
        <v>86.986666666666679</v>
      </c>
      <c r="BJ8" s="101" t="e">
        <f t="shared" si="26"/>
        <v>#N/A</v>
      </c>
      <c r="BK8" s="73"/>
      <c r="BL8" s="73"/>
      <c r="BM8" s="73"/>
      <c r="BN8" s="74"/>
      <c r="BO8" s="74"/>
      <c r="BP8" s="74"/>
      <c r="BQ8" s="75"/>
    </row>
    <row r="9" spans="1:69" ht="21.95" customHeight="1">
      <c r="A9" s="138">
        <v>6</v>
      </c>
      <c r="B9" s="99">
        <v>22230180</v>
      </c>
      <c r="C9" s="103" t="s">
        <v>548</v>
      </c>
      <c r="D9" s="68">
        <f t="shared" si="0"/>
        <v>95</v>
      </c>
      <c r="E9" s="68">
        <f t="shared" si="1"/>
        <v>88</v>
      </c>
      <c r="F9" s="68">
        <f t="shared" si="2"/>
        <v>91</v>
      </c>
      <c r="G9" s="68">
        <f t="shared" si="3"/>
        <v>94</v>
      </c>
      <c r="H9" s="68">
        <f t="shared" si="4"/>
        <v>79</v>
      </c>
      <c r="I9" s="68">
        <f t="shared" si="5"/>
        <v>90</v>
      </c>
      <c r="J9" s="68">
        <f t="shared" si="6"/>
        <v>93</v>
      </c>
      <c r="K9" s="68">
        <f t="shared" si="7"/>
        <v>86</v>
      </c>
      <c r="L9" s="68">
        <f t="shared" si="8"/>
        <v>69</v>
      </c>
      <c r="M9" s="68">
        <f t="shared" si="9"/>
        <v>85</v>
      </c>
      <c r="N9" s="68">
        <f t="shared" si="10"/>
        <v>85</v>
      </c>
      <c r="O9" s="69">
        <f t="shared" si="11"/>
        <v>85</v>
      </c>
      <c r="P9" s="69">
        <f t="shared" si="12"/>
        <v>88</v>
      </c>
      <c r="Q9" s="69">
        <f t="shared" si="13"/>
        <v>85</v>
      </c>
      <c r="R9" s="69">
        <f t="shared" si="14"/>
        <v>90</v>
      </c>
      <c r="S9" s="234">
        <f t="shared" si="15"/>
        <v>90</v>
      </c>
      <c r="T9" s="234">
        <f t="shared" si="16"/>
        <v>90</v>
      </c>
      <c r="U9" s="234">
        <f t="shared" si="17"/>
        <v>69</v>
      </c>
      <c r="V9" s="234">
        <f t="shared" si="18"/>
        <v>75</v>
      </c>
      <c r="W9" s="234">
        <f t="shared" si="19"/>
        <v>83</v>
      </c>
      <c r="X9" s="234">
        <f t="shared" si="20"/>
        <v>85</v>
      </c>
      <c r="Y9" s="70">
        <f t="shared" si="21"/>
        <v>1303</v>
      </c>
      <c r="Z9" s="71">
        <f t="shared" si="22"/>
        <v>86.86666666666666</v>
      </c>
      <c r="AA9" s="101">
        <f t="shared" si="23"/>
        <v>6</v>
      </c>
      <c r="AB9" s="73" t="s">
        <v>806</v>
      </c>
      <c r="AC9" s="73" t="s">
        <v>806</v>
      </c>
      <c r="AD9" s="73" t="s">
        <v>805</v>
      </c>
      <c r="AE9" s="74">
        <v>6</v>
      </c>
      <c r="AF9" s="74">
        <v>4</v>
      </c>
      <c r="AG9" s="74">
        <v>0</v>
      </c>
      <c r="AH9" s="246"/>
      <c r="AI9" s="60">
        <v>9</v>
      </c>
      <c r="AJ9" s="93">
        <v>19</v>
      </c>
      <c r="AK9" s="99">
        <v>22230180</v>
      </c>
      <c r="AL9" s="103" t="s">
        <v>548</v>
      </c>
      <c r="AM9" s="68">
        <v>95.4</v>
      </c>
      <c r="AN9" s="68">
        <v>87.5</v>
      </c>
      <c r="AO9" s="68">
        <v>91.399999999999991</v>
      </c>
      <c r="AP9" s="68">
        <v>94</v>
      </c>
      <c r="AQ9" s="68">
        <v>78.5</v>
      </c>
      <c r="AR9" s="68">
        <v>89.5</v>
      </c>
      <c r="AS9" s="68">
        <v>92.899999999999991</v>
      </c>
      <c r="AT9" s="68">
        <v>86.3</v>
      </c>
      <c r="AU9" s="68">
        <v>69</v>
      </c>
      <c r="AV9" s="68">
        <v>85</v>
      </c>
      <c r="AW9" s="68">
        <v>84.5</v>
      </c>
      <c r="AX9" s="76">
        <v>85</v>
      </c>
      <c r="AY9" s="76">
        <v>88</v>
      </c>
      <c r="AZ9" s="76">
        <v>85</v>
      </c>
      <c r="BA9" s="76">
        <v>90</v>
      </c>
      <c r="BB9" s="240">
        <v>90</v>
      </c>
      <c r="BC9" s="240">
        <v>90</v>
      </c>
      <c r="BD9" s="240">
        <v>69</v>
      </c>
      <c r="BE9" s="240">
        <v>75</v>
      </c>
      <c r="BF9" s="240">
        <v>82.5</v>
      </c>
      <c r="BG9" s="240">
        <v>85</v>
      </c>
      <c r="BH9" s="70">
        <f t="shared" si="24"/>
        <v>1302</v>
      </c>
      <c r="BI9" s="71">
        <f t="shared" si="25"/>
        <v>86.8</v>
      </c>
      <c r="BJ9" s="101" t="e">
        <f t="shared" si="26"/>
        <v>#N/A</v>
      </c>
      <c r="BK9" s="73"/>
      <c r="BL9" s="73"/>
      <c r="BM9" s="73"/>
      <c r="BN9" s="74"/>
      <c r="BO9" s="74"/>
      <c r="BP9" s="74"/>
      <c r="BQ9" s="75"/>
    </row>
    <row r="10" spans="1:69" ht="21.95" customHeight="1">
      <c r="A10" s="138">
        <v>7</v>
      </c>
      <c r="B10" s="99">
        <v>22230055</v>
      </c>
      <c r="C10" s="102" t="s">
        <v>531</v>
      </c>
      <c r="D10" s="68">
        <f t="shared" si="0"/>
        <v>95</v>
      </c>
      <c r="E10" s="68">
        <f t="shared" si="1"/>
        <v>84</v>
      </c>
      <c r="F10" s="68">
        <f t="shared" si="2"/>
        <v>95</v>
      </c>
      <c r="G10" s="68">
        <f t="shared" si="3"/>
        <v>87</v>
      </c>
      <c r="H10" s="68">
        <f t="shared" si="4"/>
        <v>72</v>
      </c>
      <c r="I10" s="68">
        <f t="shared" si="5"/>
        <v>99</v>
      </c>
      <c r="J10" s="68">
        <f t="shared" si="6"/>
        <v>89</v>
      </c>
      <c r="K10" s="68">
        <f t="shared" si="7"/>
        <v>88</v>
      </c>
      <c r="L10" s="68">
        <f t="shared" si="8"/>
        <v>97</v>
      </c>
      <c r="M10" s="68">
        <f t="shared" si="9"/>
        <v>40</v>
      </c>
      <c r="N10" s="68">
        <f t="shared" si="10"/>
        <v>97</v>
      </c>
      <c r="O10" s="69">
        <f t="shared" si="11"/>
        <v>80</v>
      </c>
      <c r="P10" s="69">
        <f t="shared" si="12"/>
        <v>97</v>
      </c>
      <c r="Q10" s="69">
        <f t="shared" si="13"/>
        <v>90</v>
      </c>
      <c r="R10" s="69">
        <f t="shared" si="14"/>
        <v>85</v>
      </c>
      <c r="S10" s="234">
        <f t="shared" si="15"/>
        <v>65</v>
      </c>
      <c r="T10" s="234">
        <f t="shared" si="16"/>
        <v>83</v>
      </c>
      <c r="U10" s="234">
        <f t="shared" si="17"/>
        <v>97</v>
      </c>
      <c r="V10" s="234">
        <f t="shared" si="18"/>
        <v>85</v>
      </c>
      <c r="W10" s="234">
        <f t="shared" si="19"/>
        <v>75</v>
      </c>
      <c r="X10" s="234">
        <f t="shared" si="20"/>
        <v>80</v>
      </c>
      <c r="Y10" s="70">
        <f t="shared" si="21"/>
        <v>1295</v>
      </c>
      <c r="Z10" s="71">
        <f t="shared" si="22"/>
        <v>86.333333333333329</v>
      </c>
      <c r="AA10" s="101">
        <f t="shared" si="23"/>
        <v>7</v>
      </c>
      <c r="AB10" s="73" t="s">
        <v>806</v>
      </c>
      <c r="AC10" s="73" t="s">
        <v>806</v>
      </c>
      <c r="AD10" s="73" t="s">
        <v>806</v>
      </c>
      <c r="AE10" s="74">
        <v>0</v>
      </c>
      <c r="AF10" s="74">
        <v>0</v>
      </c>
      <c r="AG10" s="74">
        <v>0</v>
      </c>
      <c r="AH10" s="246"/>
      <c r="AI10" s="60">
        <v>10</v>
      </c>
      <c r="AJ10" s="93">
        <v>2</v>
      </c>
      <c r="AK10" s="99">
        <v>22230055</v>
      </c>
      <c r="AL10" s="102" t="s">
        <v>531</v>
      </c>
      <c r="AM10" s="68">
        <v>94.9</v>
      </c>
      <c r="AN10" s="68">
        <v>84.4</v>
      </c>
      <c r="AO10" s="68">
        <v>94.6</v>
      </c>
      <c r="AP10" s="68">
        <v>86.5</v>
      </c>
      <c r="AQ10" s="68">
        <v>72</v>
      </c>
      <c r="AR10" s="68">
        <v>98.5</v>
      </c>
      <c r="AS10" s="68">
        <v>89.199999999999989</v>
      </c>
      <c r="AT10" s="68">
        <v>88</v>
      </c>
      <c r="AU10" s="68">
        <v>97</v>
      </c>
      <c r="AV10" s="68">
        <v>35.200000000000003</v>
      </c>
      <c r="AW10" s="68">
        <v>97</v>
      </c>
      <c r="AX10" s="76">
        <v>80</v>
      </c>
      <c r="AY10" s="76">
        <v>97</v>
      </c>
      <c r="AZ10" s="76">
        <v>90</v>
      </c>
      <c r="BA10" s="76">
        <v>85</v>
      </c>
      <c r="BB10" s="240">
        <v>65</v>
      </c>
      <c r="BC10" s="240">
        <v>82.5</v>
      </c>
      <c r="BD10" s="240">
        <v>97</v>
      </c>
      <c r="BE10" s="240">
        <v>85</v>
      </c>
      <c r="BF10" s="240">
        <v>75</v>
      </c>
      <c r="BG10" s="240">
        <v>80</v>
      </c>
      <c r="BH10" s="70">
        <f t="shared" si="24"/>
        <v>1289.3</v>
      </c>
      <c r="BI10" s="71">
        <f t="shared" si="25"/>
        <v>85.953333333333333</v>
      </c>
      <c r="BJ10" s="101" t="e">
        <f t="shared" si="26"/>
        <v>#N/A</v>
      </c>
      <c r="BK10" s="73"/>
      <c r="BL10" s="73"/>
      <c r="BM10" s="73"/>
      <c r="BN10" s="74"/>
      <c r="BO10" s="74"/>
      <c r="BP10" s="74"/>
      <c r="BQ10" s="75"/>
    </row>
    <row r="11" spans="1:69" ht="21.95" customHeight="1">
      <c r="A11" s="138">
        <v>8</v>
      </c>
      <c r="B11" s="99">
        <v>23240177</v>
      </c>
      <c r="C11" s="107" t="s">
        <v>539</v>
      </c>
      <c r="D11" s="68">
        <f t="shared" si="0"/>
        <v>95</v>
      </c>
      <c r="E11" s="68">
        <f t="shared" si="1"/>
        <v>82</v>
      </c>
      <c r="F11" s="68">
        <f t="shared" si="2"/>
        <v>95</v>
      </c>
      <c r="G11" s="68">
        <f t="shared" si="3"/>
        <v>85</v>
      </c>
      <c r="H11" s="68">
        <f t="shared" si="4"/>
        <v>77</v>
      </c>
      <c r="I11" s="68">
        <f t="shared" si="5"/>
        <v>91</v>
      </c>
      <c r="J11" s="68">
        <f t="shared" si="6"/>
        <v>78</v>
      </c>
      <c r="K11" s="68">
        <f t="shared" si="7"/>
        <v>85</v>
      </c>
      <c r="L11" s="68">
        <f t="shared" si="8"/>
        <v>96</v>
      </c>
      <c r="M11" s="68">
        <f t="shared" si="9"/>
        <v>84</v>
      </c>
      <c r="N11" s="68">
        <f t="shared" si="10"/>
        <v>90</v>
      </c>
      <c r="O11" s="69">
        <f t="shared" si="11"/>
        <v>80</v>
      </c>
      <c r="P11" s="69">
        <f t="shared" si="12"/>
        <v>80</v>
      </c>
      <c r="Q11" s="69">
        <f t="shared" si="13"/>
        <v>85</v>
      </c>
      <c r="R11" s="69">
        <f t="shared" si="14"/>
        <v>90</v>
      </c>
      <c r="S11" s="234">
        <f t="shared" si="15"/>
        <v>93</v>
      </c>
      <c r="T11" s="234">
        <f t="shared" si="16"/>
        <v>73</v>
      </c>
      <c r="U11" s="234">
        <f t="shared" si="17"/>
        <v>96</v>
      </c>
      <c r="V11" s="234">
        <f t="shared" si="18"/>
        <v>83</v>
      </c>
      <c r="W11" s="234">
        <f t="shared" si="19"/>
        <v>73</v>
      </c>
      <c r="X11" s="234">
        <f t="shared" si="20"/>
        <v>80</v>
      </c>
      <c r="Y11" s="70">
        <f t="shared" si="21"/>
        <v>1293</v>
      </c>
      <c r="Z11" s="71">
        <f t="shared" si="22"/>
        <v>86.2</v>
      </c>
      <c r="AA11" s="101">
        <f t="shared" si="23"/>
        <v>8</v>
      </c>
      <c r="AB11" s="73" t="s">
        <v>806</v>
      </c>
      <c r="AC11" s="73" t="s">
        <v>806</v>
      </c>
      <c r="AD11" s="73" t="s">
        <v>805</v>
      </c>
      <c r="AE11" s="74">
        <v>15</v>
      </c>
      <c r="AF11" s="74">
        <v>0</v>
      </c>
      <c r="AG11" s="74">
        <v>0</v>
      </c>
      <c r="AH11" s="246"/>
      <c r="AI11" s="60">
        <v>9</v>
      </c>
      <c r="AJ11" s="93">
        <v>10</v>
      </c>
      <c r="AK11" s="99">
        <v>23240177</v>
      </c>
      <c r="AL11" s="140" t="s">
        <v>539</v>
      </c>
      <c r="AM11" s="68">
        <v>95.4</v>
      </c>
      <c r="AN11" s="68">
        <v>82.4</v>
      </c>
      <c r="AO11" s="68">
        <v>94.899999999999991</v>
      </c>
      <c r="AP11" s="68">
        <v>84.5</v>
      </c>
      <c r="AQ11" s="68">
        <v>77</v>
      </c>
      <c r="AR11" s="68">
        <v>91.199999999999989</v>
      </c>
      <c r="AS11" s="68">
        <v>77.599999999999994</v>
      </c>
      <c r="AT11" s="68">
        <v>85.4</v>
      </c>
      <c r="AU11" s="68">
        <v>96</v>
      </c>
      <c r="AV11" s="68">
        <v>84</v>
      </c>
      <c r="AW11" s="68">
        <v>89.5</v>
      </c>
      <c r="AX11" s="76">
        <v>80</v>
      </c>
      <c r="AY11" s="76">
        <v>80</v>
      </c>
      <c r="AZ11" s="76">
        <v>85</v>
      </c>
      <c r="BA11" s="76">
        <v>90</v>
      </c>
      <c r="BB11" s="240">
        <v>92.5</v>
      </c>
      <c r="BC11" s="240">
        <v>72.5</v>
      </c>
      <c r="BD11" s="240">
        <v>96</v>
      </c>
      <c r="BE11" s="240">
        <v>82.5</v>
      </c>
      <c r="BF11" s="240">
        <v>72.5</v>
      </c>
      <c r="BG11" s="240">
        <v>80</v>
      </c>
      <c r="BH11" s="70">
        <f t="shared" si="24"/>
        <v>1292.9000000000001</v>
      </c>
      <c r="BI11" s="71">
        <f t="shared" si="25"/>
        <v>86.193333333333342</v>
      </c>
      <c r="BJ11" s="101" t="e">
        <f t="shared" si="26"/>
        <v>#N/A</v>
      </c>
      <c r="BK11" s="73"/>
      <c r="BL11" s="73"/>
      <c r="BM11" s="73"/>
      <c r="BN11" s="74"/>
      <c r="BO11" s="74"/>
      <c r="BP11" s="74"/>
      <c r="BQ11" s="75"/>
    </row>
    <row r="12" spans="1:69" ht="21.95" customHeight="1">
      <c r="A12" s="138">
        <v>9</v>
      </c>
      <c r="B12" s="99">
        <v>22230190</v>
      </c>
      <c r="C12" s="107" t="s">
        <v>536</v>
      </c>
      <c r="D12" s="68">
        <f t="shared" si="0"/>
        <v>95</v>
      </c>
      <c r="E12" s="68">
        <f t="shared" si="1"/>
        <v>80</v>
      </c>
      <c r="F12" s="68">
        <f t="shared" si="2"/>
        <v>96</v>
      </c>
      <c r="G12" s="68">
        <f t="shared" si="3"/>
        <v>86</v>
      </c>
      <c r="H12" s="68">
        <f t="shared" si="4"/>
        <v>73</v>
      </c>
      <c r="I12" s="68">
        <f t="shared" si="5"/>
        <v>90</v>
      </c>
      <c r="J12" s="68">
        <f t="shared" si="6"/>
        <v>84</v>
      </c>
      <c r="K12" s="68">
        <f t="shared" si="7"/>
        <v>88</v>
      </c>
      <c r="L12" s="68">
        <f t="shared" si="8"/>
        <v>88</v>
      </c>
      <c r="M12" s="68">
        <f t="shared" si="9"/>
        <v>63</v>
      </c>
      <c r="N12" s="68">
        <f t="shared" si="10"/>
        <v>91</v>
      </c>
      <c r="O12" s="69">
        <f t="shared" si="11"/>
        <v>80</v>
      </c>
      <c r="P12" s="69">
        <f t="shared" si="12"/>
        <v>93</v>
      </c>
      <c r="Q12" s="69">
        <f t="shared" si="13"/>
        <v>80</v>
      </c>
      <c r="R12" s="69">
        <f t="shared" si="14"/>
        <v>90</v>
      </c>
      <c r="S12" s="234">
        <f t="shared" si="15"/>
        <v>90</v>
      </c>
      <c r="T12" s="234">
        <f t="shared" si="16"/>
        <v>85</v>
      </c>
      <c r="U12" s="234">
        <f t="shared" si="17"/>
        <v>88</v>
      </c>
      <c r="V12" s="234">
        <f t="shared" si="18"/>
        <v>80</v>
      </c>
      <c r="W12" s="234">
        <f t="shared" si="19"/>
        <v>73</v>
      </c>
      <c r="X12" s="234">
        <f t="shared" si="20"/>
        <v>68</v>
      </c>
      <c r="Y12" s="70">
        <f t="shared" si="21"/>
        <v>1277</v>
      </c>
      <c r="Z12" s="71">
        <f t="shared" si="22"/>
        <v>85.13333333333334</v>
      </c>
      <c r="AA12" s="101">
        <f t="shared" si="23"/>
        <v>9</v>
      </c>
      <c r="AB12" s="73" t="s">
        <v>806</v>
      </c>
      <c r="AC12" s="73" t="s">
        <v>806</v>
      </c>
      <c r="AD12" s="73" t="s">
        <v>805</v>
      </c>
      <c r="AE12" s="74">
        <v>4</v>
      </c>
      <c r="AF12" s="74">
        <v>0</v>
      </c>
      <c r="AG12" s="74">
        <v>0</v>
      </c>
      <c r="AH12" s="246"/>
      <c r="AI12" s="60">
        <v>10</v>
      </c>
      <c r="AJ12" s="93">
        <v>7</v>
      </c>
      <c r="AK12" s="99">
        <v>22230190</v>
      </c>
      <c r="AL12" s="102" t="s">
        <v>536</v>
      </c>
      <c r="AM12" s="68">
        <v>95.4</v>
      </c>
      <c r="AN12" s="68">
        <v>79.900000000000006</v>
      </c>
      <c r="AO12" s="68">
        <v>95.8</v>
      </c>
      <c r="AP12" s="68">
        <v>85.5</v>
      </c>
      <c r="AQ12" s="68">
        <v>73</v>
      </c>
      <c r="AR12" s="68">
        <v>89.5</v>
      </c>
      <c r="AS12" s="68">
        <v>84.1</v>
      </c>
      <c r="AT12" s="68">
        <v>88.3</v>
      </c>
      <c r="AU12" s="68">
        <v>88</v>
      </c>
      <c r="AV12" s="68">
        <v>62.5</v>
      </c>
      <c r="AW12" s="68">
        <v>90.5</v>
      </c>
      <c r="AX12" s="76">
        <v>80</v>
      </c>
      <c r="AY12" s="76">
        <v>93</v>
      </c>
      <c r="AZ12" s="76">
        <v>80</v>
      </c>
      <c r="BA12" s="76">
        <v>90</v>
      </c>
      <c r="BB12" s="240">
        <v>90</v>
      </c>
      <c r="BC12" s="240">
        <v>85</v>
      </c>
      <c r="BD12" s="240">
        <v>88</v>
      </c>
      <c r="BE12" s="240">
        <v>80</v>
      </c>
      <c r="BF12" s="240">
        <v>72.5</v>
      </c>
      <c r="BG12" s="240">
        <v>67.5</v>
      </c>
      <c r="BH12" s="70">
        <f t="shared" si="24"/>
        <v>1275.5</v>
      </c>
      <c r="BI12" s="71">
        <f t="shared" si="25"/>
        <v>85.033333333333331</v>
      </c>
      <c r="BJ12" s="101" t="e">
        <f t="shared" si="26"/>
        <v>#N/A</v>
      </c>
      <c r="BK12" s="73"/>
      <c r="BL12" s="73"/>
      <c r="BM12" s="73"/>
      <c r="BN12" s="74"/>
      <c r="BO12" s="74"/>
      <c r="BP12" s="74"/>
      <c r="BQ12" s="75"/>
    </row>
    <row r="13" spans="1:69" ht="21.95" customHeight="1">
      <c r="A13" s="138">
        <v>10</v>
      </c>
      <c r="B13" s="99">
        <v>21220174</v>
      </c>
      <c r="C13" s="102" t="s">
        <v>551</v>
      </c>
      <c r="D13" s="68">
        <f t="shared" si="0"/>
        <v>95</v>
      </c>
      <c r="E13" s="68">
        <f t="shared" si="1"/>
        <v>83</v>
      </c>
      <c r="F13" s="68">
        <f t="shared" si="2"/>
        <v>90</v>
      </c>
      <c r="G13" s="68">
        <f t="shared" si="3"/>
        <v>79</v>
      </c>
      <c r="H13" s="68">
        <f t="shared" si="4"/>
        <v>68</v>
      </c>
      <c r="I13" s="68">
        <f t="shared" si="5"/>
        <v>88</v>
      </c>
      <c r="J13" s="68">
        <f t="shared" si="6"/>
        <v>89</v>
      </c>
      <c r="K13" s="68">
        <f t="shared" si="7"/>
        <v>92</v>
      </c>
      <c r="L13" s="68">
        <f t="shared" si="8"/>
        <v>90</v>
      </c>
      <c r="M13" s="68">
        <f t="shared" si="9"/>
        <v>61</v>
      </c>
      <c r="N13" s="68">
        <f t="shared" si="10"/>
        <v>88</v>
      </c>
      <c r="O13" s="69">
        <f t="shared" si="11"/>
        <v>85</v>
      </c>
      <c r="P13" s="69">
        <f t="shared" si="12"/>
        <v>94</v>
      </c>
      <c r="Q13" s="69">
        <f t="shared" si="13"/>
        <v>80</v>
      </c>
      <c r="R13" s="69">
        <f t="shared" si="14"/>
        <v>85</v>
      </c>
      <c r="S13" s="234">
        <f t="shared" si="15"/>
        <v>95</v>
      </c>
      <c r="T13" s="234">
        <f t="shared" si="16"/>
        <v>93</v>
      </c>
      <c r="U13" s="234">
        <f t="shared" si="17"/>
        <v>90</v>
      </c>
      <c r="V13" s="234">
        <f t="shared" si="18"/>
        <v>88</v>
      </c>
      <c r="W13" s="234">
        <f t="shared" si="19"/>
        <v>80</v>
      </c>
      <c r="X13" s="234">
        <f t="shared" si="20"/>
        <v>80</v>
      </c>
      <c r="Y13" s="70">
        <f t="shared" si="21"/>
        <v>1267</v>
      </c>
      <c r="Z13" s="71">
        <f t="shared" si="22"/>
        <v>84.466666666666669</v>
      </c>
      <c r="AA13" s="101">
        <f t="shared" si="23"/>
        <v>10</v>
      </c>
      <c r="AB13" s="73" t="s">
        <v>805</v>
      </c>
      <c r="AC13" s="73" t="s">
        <v>806</v>
      </c>
      <c r="AD13" s="73" t="s">
        <v>805</v>
      </c>
      <c r="AE13" s="74">
        <v>0</v>
      </c>
      <c r="AF13" s="74">
        <v>0</v>
      </c>
      <c r="AG13" s="74">
        <v>0</v>
      </c>
      <c r="AH13" s="246"/>
      <c r="AI13" s="60">
        <v>10</v>
      </c>
      <c r="AJ13" s="93">
        <v>22</v>
      </c>
      <c r="AK13" s="99">
        <v>21220174</v>
      </c>
      <c r="AL13" s="102" t="s">
        <v>551</v>
      </c>
      <c r="AM13" s="68">
        <v>95.4</v>
      </c>
      <c r="AN13" s="68">
        <v>83.4</v>
      </c>
      <c r="AO13" s="68">
        <v>90.4</v>
      </c>
      <c r="AP13" s="68">
        <v>79</v>
      </c>
      <c r="AQ13" s="68">
        <v>68</v>
      </c>
      <c r="AR13" s="68">
        <v>87.5</v>
      </c>
      <c r="AS13" s="68">
        <v>89.4</v>
      </c>
      <c r="AT13" s="68">
        <v>92.4</v>
      </c>
      <c r="AU13" s="68">
        <v>90</v>
      </c>
      <c r="AV13" s="68">
        <v>61</v>
      </c>
      <c r="AW13" s="68">
        <v>88</v>
      </c>
      <c r="AX13" s="76">
        <v>85</v>
      </c>
      <c r="AY13" s="76">
        <v>94</v>
      </c>
      <c r="AZ13" s="76">
        <v>80</v>
      </c>
      <c r="BA13" s="76">
        <v>85</v>
      </c>
      <c r="BB13" s="240">
        <v>95</v>
      </c>
      <c r="BC13" s="240">
        <v>92.5</v>
      </c>
      <c r="BD13" s="240">
        <v>90</v>
      </c>
      <c r="BE13" s="240">
        <v>87.5</v>
      </c>
      <c r="BF13" s="240">
        <v>80</v>
      </c>
      <c r="BG13" s="240">
        <v>80</v>
      </c>
      <c r="BH13" s="70">
        <f t="shared" si="24"/>
        <v>1268.5</v>
      </c>
      <c r="BI13" s="71">
        <f t="shared" si="25"/>
        <v>84.566666666666663</v>
      </c>
      <c r="BJ13" s="101" t="e">
        <f t="shared" si="26"/>
        <v>#N/A</v>
      </c>
      <c r="BK13" s="73"/>
      <c r="BL13" s="73"/>
      <c r="BM13" s="73"/>
      <c r="BN13" s="74"/>
      <c r="BO13" s="74"/>
      <c r="BP13" s="74"/>
      <c r="BQ13" s="75"/>
    </row>
    <row r="14" spans="1:69" ht="21.95" customHeight="1">
      <c r="A14" s="138">
        <v>11</v>
      </c>
      <c r="B14" s="99">
        <v>21220056</v>
      </c>
      <c r="C14" s="103" t="s">
        <v>556</v>
      </c>
      <c r="D14" s="68">
        <f t="shared" si="0"/>
        <v>90</v>
      </c>
      <c r="E14" s="68">
        <f t="shared" si="1"/>
        <v>84</v>
      </c>
      <c r="F14" s="68">
        <f t="shared" si="2"/>
        <v>96</v>
      </c>
      <c r="G14" s="68">
        <f t="shared" si="3"/>
        <v>81</v>
      </c>
      <c r="H14" s="68">
        <f t="shared" si="4"/>
        <v>69</v>
      </c>
      <c r="I14" s="68">
        <f t="shared" si="5"/>
        <v>88</v>
      </c>
      <c r="J14" s="68">
        <f t="shared" si="6"/>
        <v>79</v>
      </c>
      <c r="K14" s="68">
        <f t="shared" si="7"/>
        <v>94</v>
      </c>
      <c r="L14" s="68">
        <f t="shared" si="8"/>
        <v>68</v>
      </c>
      <c r="M14" s="68">
        <f t="shared" si="9"/>
        <v>79</v>
      </c>
      <c r="N14" s="68">
        <f t="shared" si="10"/>
        <v>94</v>
      </c>
      <c r="O14" s="69">
        <f t="shared" si="11"/>
        <v>85</v>
      </c>
      <c r="P14" s="69">
        <f t="shared" si="12"/>
        <v>87</v>
      </c>
      <c r="Q14" s="69">
        <f t="shared" si="13"/>
        <v>75</v>
      </c>
      <c r="R14" s="69">
        <f t="shared" si="14"/>
        <v>85</v>
      </c>
      <c r="S14" s="234">
        <f t="shared" si="15"/>
        <v>83</v>
      </c>
      <c r="T14" s="234">
        <f t="shared" si="16"/>
        <v>68</v>
      </c>
      <c r="U14" s="234">
        <f t="shared" si="17"/>
        <v>68</v>
      </c>
      <c r="V14" s="234">
        <f t="shared" si="18"/>
        <v>68</v>
      </c>
      <c r="W14" s="234">
        <f t="shared" si="19"/>
        <v>60</v>
      </c>
      <c r="X14" s="234">
        <f t="shared" si="20"/>
        <v>78</v>
      </c>
      <c r="Y14" s="70">
        <f t="shared" si="21"/>
        <v>1254</v>
      </c>
      <c r="Z14" s="71">
        <f t="shared" si="22"/>
        <v>83.6</v>
      </c>
      <c r="AA14" s="101">
        <f t="shared" si="23"/>
        <v>11</v>
      </c>
      <c r="AB14" s="73" t="s">
        <v>806</v>
      </c>
      <c r="AC14" s="73" t="s">
        <v>806</v>
      </c>
      <c r="AD14" s="73" t="s">
        <v>806</v>
      </c>
      <c r="AE14" s="74">
        <v>0</v>
      </c>
      <c r="AF14" s="74">
        <v>0</v>
      </c>
      <c r="AG14" s="74">
        <v>0</v>
      </c>
      <c r="AH14" s="246"/>
      <c r="AI14" s="60">
        <v>10</v>
      </c>
      <c r="AJ14" s="93">
        <v>27</v>
      </c>
      <c r="AK14" s="99">
        <v>21220056</v>
      </c>
      <c r="AL14" s="103" t="s">
        <v>556</v>
      </c>
      <c r="AM14" s="68">
        <v>89.5</v>
      </c>
      <c r="AN14" s="68">
        <v>84.1</v>
      </c>
      <c r="AO14" s="68">
        <v>96.1</v>
      </c>
      <c r="AP14" s="68">
        <v>80.5</v>
      </c>
      <c r="AQ14" s="68">
        <v>69</v>
      </c>
      <c r="AR14" s="68">
        <v>88</v>
      </c>
      <c r="AS14" s="68">
        <v>79.3</v>
      </c>
      <c r="AT14" s="68">
        <v>94.3</v>
      </c>
      <c r="AU14" s="68">
        <v>68</v>
      </c>
      <c r="AV14" s="68">
        <v>79</v>
      </c>
      <c r="AW14" s="68">
        <v>93.5</v>
      </c>
      <c r="AX14" s="76">
        <v>85</v>
      </c>
      <c r="AY14" s="76">
        <v>87</v>
      </c>
      <c r="AZ14" s="76">
        <v>75</v>
      </c>
      <c r="BA14" s="76">
        <v>85</v>
      </c>
      <c r="BB14" s="240">
        <v>82.5</v>
      </c>
      <c r="BC14" s="240">
        <v>67.5</v>
      </c>
      <c r="BD14" s="240">
        <v>68</v>
      </c>
      <c r="BE14" s="240">
        <v>67.5</v>
      </c>
      <c r="BF14" s="240">
        <v>60</v>
      </c>
      <c r="BG14" s="240">
        <v>77.5</v>
      </c>
      <c r="BH14" s="70">
        <f t="shared" si="24"/>
        <v>1253.3</v>
      </c>
      <c r="BI14" s="71">
        <f t="shared" si="25"/>
        <v>83.553333333333327</v>
      </c>
      <c r="BJ14" s="101" t="e">
        <f t="shared" si="26"/>
        <v>#N/A</v>
      </c>
      <c r="BK14" s="73"/>
      <c r="BL14" s="73"/>
      <c r="BM14" s="73"/>
      <c r="BN14" s="74"/>
      <c r="BO14" s="74"/>
      <c r="BP14" s="74"/>
      <c r="BQ14" s="75"/>
    </row>
    <row r="15" spans="1:69" ht="21.95" customHeight="1">
      <c r="A15" s="138">
        <v>12</v>
      </c>
      <c r="B15" s="99">
        <v>22230040</v>
      </c>
      <c r="C15" s="107" t="s">
        <v>543</v>
      </c>
      <c r="D15" s="68">
        <f t="shared" si="0"/>
        <v>95</v>
      </c>
      <c r="E15" s="68">
        <f t="shared" si="1"/>
        <v>83</v>
      </c>
      <c r="F15" s="68">
        <f t="shared" si="2"/>
        <v>82</v>
      </c>
      <c r="G15" s="68">
        <f t="shared" si="3"/>
        <v>88</v>
      </c>
      <c r="H15" s="68">
        <f t="shared" si="4"/>
        <v>56</v>
      </c>
      <c r="I15" s="68">
        <f t="shared" si="5"/>
        <v>95</v>
      </c>
      <c r="J15" s="68">
        <f t="shared" si="6"/>
        <v>75</v>
      </c>
      <c r="K15" s="68">
        <f t="shared" si="7"/>
        <v>91</v>
      </c>
      <c r="L15" s="68">
        <f t="shared" si="8"/>
        <v>87</v>
      </c>
      <c r="M15" s="68">
        <f t="shared" si="9"/>
        <v>53</v>
      </c>
      <c r="N15" s="68">
        <f t="shared" si="10"/>
        <v>96</v>
      </c>
      <c r="O15" s="69">
        <f t="shared" si="11"/>
        <v>80</v>
      </c>
      <c r="P15" s="69">
        <f t="shared" si="12"/>
        <v>86</v>
      </c>
      <c r="Q15" s="69">
        <f t="shared" si="13"/>
        <v>85</v>
      </c>
      <c r="R15" s="69">
        <f t="shared" si="14"/>
        <v>90</v>
      </c>
      <c r="S15" s="234">
        <f t="shared" si="15"/>
        <v>60</v>
      </c>
      <c r="T15" s="234">
        <f t="shared" si="16"/>
        <v>60</v>
      </c>
      <c r="U15" s="234">
        <f t="shared" si="17"/>
        <v>87</v>
      </c>
      <c r="V15" s="234">
        <f t="shared" si="18"/>
        <v>60</v>
      </c>
      <c r="W15" s="234">
        <f t="shared" si="19"/>
        <v>60</v>
      </c>
      <c r="X15" s="234">
        <f t="shared" si="20"/>
        <v>60</v>
      </c>
      <c r="Y15" s="70">
        <f t="shared" si="21"/>
        <v>1242</v>
      </c>
      <c r="Z15" s="71">
        <f t="shared" si="22"/>
        <v>82.8</v>
      </c>
      <c r="AA15" s="101">
        <f t="shared" si="23"/>
        <v>12</v>
      </c>
      <c r="AB15" s="73" t="s">
        <v>806</v>
      </c>
      <c r="AC15" s="73" t="s">
        <v>806</v>
      </c>
      <c r="AD15" s="73" t="s">
        <v>805</v>
      </c>
      <c r="AE15" s="74">
        <v>0</v>
      </c>
      <c r="AF15" s="74">
        <v>0</v>
      </c>
      <c r="AG15" s="74">
        <v>0</v>
      </c>
      <c r="AH15" s="246"/>
      <c r="AI15" s="60">
        <v>10</v>
      </c>
      <c r="AJ15" s="93">
        <v>14</v>
      </c>
      <c r="AK15" s="99">
        <v>22230040</v>
      </c>
      <c r="AL15" s="100" t="s">
        <v>543</v>
      </c>
      <c r="AM15" s="68">
        <v>95.4</v>
      </c>
      <c r="AN15" s="68">
        <v>83</v>
      </c>
      <c r="AO15" s="68">
        <v>82.3</v>
      </c>
      <c r="AP15" s="68">
        <v>87.5</v>
      </c>
      <c r="AQ15" s="68">
        <v>56</v>
      </c>
      <c r="AR15" s="68">
        <v>95.3</v>
      </c>
      <c r="AS15" s="68">
        <v>74.599999999999994</v>
      </c>
      <c r="AT15" s="68">
        <v>91.399999999999991</v>
      </c>
      <c r="AU15" s="68">
        <v>86.5</v>
      </c>
      <c r="AV15" s="68">
        <v>52.5</v>
      </c>
      <c r="AW15" s="68">
        <v>95.5</v>
      </c>
      <c r="AX15" s="76">
        <v>80</v>
      </c>
      <c r="AY15" s="76">
        <v>86</v>
      </c>
      <c r="AZ15" s="76">
        <v>85</v>
      </c>
      <c r="BA15" s="76">
        <v>90</v>
      </c>
      <c r="BB15" s="240">
        <v>60</v>
      </c>
      <c r="BC15" s="240">
        <v>60</v>
      </c>
      <c r="BD15" s="240">
        <v>86.5</v>
      </c>
      <c r="BE15" s="240">
        <v>60</v>
      </c>
      <c r="BF15" s="240">
        <v>60</v>
      </c>
      <c r="BG15" s="240">
        <v>60</v>
      </c>
      <c r="BH15" s="70">
        <f t="shared" si="24"/>
        <v>1241</v>
      </c>
      <c r="BI15" s="71">
        <f t="shared" si="25"/>
        <v>82.733333333333334</v>
      </c>
      <c r="BJ15" s="101" t="e">
        <f t="shared" si="26"/>
        <v>#N/A</v>
      </c>
      <c r="BK15" s="73"/>
      <c r="BL15" s="73"/>
      <c r="BM15" s="73"/>
      <c r="BN15" s="74"/>
      <c r="BO15" s="74"/>
      <c r="BP15" s="74"/>
      <c r="BQ15" s="75"/>
    </row>
    <row r="16" spans="1:69" ht="21.95" customHeight="1">
      <c r="A16" s="138">
        <v>13</v>
      </c>
      <c r="B16" s="99">
        <v>21220067</v>
      </c>
      <c r="C16" s="103" t="s">
        <v>558</v>
      </c>
      <c r="D16" s="68">
        <f t="shared" si="0"/>
        <v>86</v>
      </c>
      <c r="E16" s="68">
        <f t="shared" si="1"/>
        <v>76</v>
      </c>
      <c r="F16" s="68">
        <f t="shared" si="2"/>
        <v>94</v>
      </c>
      <c r="G16" s="68">
        <f t="shared" si="3"/>
        <v>79</v>
      </c>
      <c r="H16" s="68">
        <f t="shared" si="4"/>
        <v>65</v>
      </c>
      <c r="I16" s="68">
        <f t="shared" si="5"/>
        <v>96</v>
      </c>
      <c r="J16" s="68">
        <f t="shared" si="6"/>
        <v>79</v>
      </c>
      <c r="K16" s="68">
        <f t="shared" si="7"/>
        <v>90</v>
      </c>
      <c r="L16" s="68">
        <f t="shared" si="8"/>
        <v>72</v>
      </c>
      <c r="M16" s="68">
        <f t="shared" si="9"/>
        <v>79</v>
      </c>
      <c r="N16" s="68">
        <f t="shared" si="10"/>
        <v>73</v>
      </c>
      <c r="O16" s="69">
        <f t="shared" si="11"/>
        <v>80</v>
      </c>
      <c r="P16" s="69">
        <f t="shared" si="12"/>
        <v>79</v>
      </c>
      <c r="Q16" s="69">
        <f t="shared" si="13"/>
        <v>75</v>
      </c>
      <c r="R16" s="69">
        <f t="shared" si="14"/>
        <v>85</v>
      </c>
      <c r="S16" s="234">
        <f t="shared" si="15"/>
        <v>83</v>
      </c>
      <c r="T16" s="234">
        <f t="shared" si="16"/>
        <v>70</v>
      </c>
      <c r="U16" s="234">
        <f t="shared" si="17"/>
        <v>72</v>
      </c>
      <c r="V16" s="234">
        <f t="shared" si="18"/>
        <v>85</v>
      </c>
      <c r="W16" s="234">
        <f t="shared" si="19"/>
        <v>78</v>
      </c>
      <c r="X16" s="234">
        <f t="shared" si="20"/>
        <v>88</v>
      </c>
      <c r="Y16" s="70">
        <f t="shared" si="21"/>
        <v>1208</v>
      </c>
      <c r="Z16" s="71">
        <f t="shared" si="22"/>
        <v>80.533333333333331</v>
      </c>
      <c r="AA16" s="101">
        <f t="shared" si="23"/>
        <v>13</v>
      </c>
      <c r="AB16" s="73" t="s">
        <v>805</v>
      </c>
      <c r="AC16" s="73" t="s">
        <v>806</v>
      </c>
      <c r="AD16" s="73" t="s">
        <v>805</v>
      </c>
      <c r="AE16" s="74">
        <v>0</v>
      </c>
      <c r="AF16" s="74">
        <v>0</v>
      </c>
      <c r="AG16" s="74">
        <v>0</v>
      </c>
      <c r="AH16" s="246"/>
      <c r="AI16" s="60">
        <v>10</v>
      </c>
      <c r="AJ16" s="93">
        <v>29</v>
      </c>
      <c r="AK16" s="99">
        <v>21220067</v>
      </c>
      <c r="AL16" s="103" t="s">
        <v>558</v>
      </c>
      <c r="AM16" s="68">
        <v>86</v>
      </c>
      <c r="AN16" s="68">
        <v>75.8</v>
      </c>
      <c r="AO16" s="68">
        <v>93.699999999999989</v>
      </c>
      <c r="AP16" s="68">
        <v>79</v>
      </c>
      <c r="AQ16" s="68">
        <v>65</v>
      </c>
      <c r="AR16" s="68">
        <v>96.3</v>
      </c>
      <c r="AS16" s="68">
        <v>79.400000000000006</v>
      </c>
      <c r="AT16" s="68">
        <v>89.6</v>
      </c>
      <c r="AU16" s="68">
        <v>72</v>
      </c>
      <c r="AV16" s="68">
        <v>78.5</v>
      </c>
      <c r="AW16" s="68">
        <v>73</v>
      </c>
      <c r="AX16" s="76">
        <v>80</v>
      </c>
      <c r="AY16" s="76">
        <v>79</v>
      </c>
      <c r="AZ16" s="76">
        <v>75</v>
      </c>
      <c r="BA16" s="76">
        <v>85</v>
      </c>
      <c r="BB16" s="240">
        <v>82.5</v>
      </c>
      <c r="BC16" s="240">
        <v>70</v>
      </c>
      <c r="BD16" s="240">
        <v>72</v>
      </c>
      <c r="BE16" s="240">
        <v>85</v>
      </c>
      <c r="BF16" s="240">
        <v>77.5</v>
      </c>
      <c r="BG16" s="240">
        <v>87.5</v>
      </c>
      <c r="BH16" s="70">
        <f t="shared" si="24"/>
        <v>1207.3000000000002</v>
      </c>
      <c r="BI16" s="71">
        <f t="shared" si="25"/>
        <v>80.486666666666679</v>
      </c>
      <c r="BJ16" s="101" t="e">
        <f t="shared" si="26"/>
        <v>#N/A</v>
      </c>
      <c r="BK16" s="73"/>
      <c r="BL16" s="73"/>
      <c r="BM16" s="73"/>
      <c r="BN16" s="74"/>
      <c r="BO16" s="74"/>
      <c r="BP16" s="74"/>
      <c r="BQ16" s="75"/>
    </row>
    <row r="17" spans="1:69" ht="21.95" customHeight="1">
      <c r="A17" s="138">
        <v>14</v>
      </c>
      <c r="B17" s="99">
        <v>22230091</v>
      </c>
      <c r="C17" s="107" t="s">
        <v>538</v>
      </c>
      <c r="D17" s="68">
        <f t="shared" si="0"/>
        <v>95</v>
      </c>
      <c r="E17" s="68">
        <f t="shared" si="1"/>
        <v>79</v>
      </c>
      <c r="F17" s="68">
        <f t="shared" si="2"/>
        <v>88</v>
      </c>
      <c r="G17" s="68">
        <f t="shared" si="3"/>
        <v>76</v>
      </c>
      <c r="H17" s="68">
        <f t="shared" si="4"/>
        <v>53</v>
      </c>
      <c r="I17" s="68">
        <f t="shared" si="5"/>
        <v>83</v>
      </c>
      <c r="J17" s="68">
        <f t="shared" si="6"/>
        <v>78</v>
      </c>
      <c r="K17" s="68">
        <f t="shared" si="7"/>
        <v>91</v>
      </c>
      <c r="L17" s="68">
        <f t="shared" si="8"/>
        <v>76</v>
      </c>
      <c r="M17" s="68">
        <f t="shared" si="9"/>
        <v>61</v>
      </c>
      <c r="N17" s="68">
        <f t="shared" si="10"/>
        <v>87</v>
      </c>
      <c r="O17" s="69">
        <f t="shared" si="11"/>
        <v>80</v>
      </c>
      <c r="P17" s="69">
        <f t="shared" si="12"/>
        <v>84</v>
      </c>
      <c r="Q17" s="69">
        <f t="shared" si="13"/>
        <v>80</v>
      </c>
      <c r="R17" s="69">
        <f t="shared" si="14"/>
        <v>90</v>
      </c>
      <c r="S17" s="234">
        <f t="shared" si="15"/>
        <v>98</v>
      </c>
      <c r="T17" s="234">
        <f t="shared" si="16"/>
        <v>83</v>
      </c>
      <c r="U17" s="234">
        <f t="shared" si="17"/>
        <v>76</v>
      </c>
      <c r="V17" s="234">
        <f t="shared" si="18"/>
        <v>85</v>
      </c>
      <c r="W17" s="234">
        <f t="shared" si="19"/>
        <v>73</v>
      </c>
      <c r="X17" s="234">
        <f t="shared" si="20"/>
        <v>85</v>
      </c>
      <c r="Y17" s="70">
        <f t="shared" si="21"/>
        <v>1201</v>
      </c>
      <c r="Z17" s="71">
        <f t="shared" si="22"/>
        <v>80.066666666666663</v>
      </c>
      <c r="AA17" s="101">
        <f t="shared" si="23"/>
        <v>14</v>
      </c>
      <c r="AB17" s="73" t="s">
        <v>806</v>
      </c>
      <c r="AC17" s="73" t="s">
        <v>805</v>
      </c>
      <c r="AD17" s="73" t="s">
        <v>805</v>
      </c>
      <c r="AE17" s="74">
        <v>0</v>
      </c>
      <c r="AF17" s="74">
        <v>0</v>
      </c>
      <c r="AG17" s="74">
        <v>0</v>
      </c>
      <c r="AH17" s="246"/>
      <c r="AI17" s="60">
        <v>10</v>
      </c>
      <c r="AJ17" s="93">
        <v>9</v>
      </c>
      <c r="AK17" s="99">
        <v>22230091</v>
      </c>
      <c r="AL17" s="103" t="s">
        <v>538</v>
      </c>
      <c r="AM17" s="68">
        <v>95.4</v>
      </c>
      <c r="AN17" s="68">
        <v>78.5</v>
      </c>
      <c r="AO17" s="68">
        <v>88</v>
      </c>
      <c r="AP17" s="68">
        <v>76</v>
      </c>
      <c r="AQ17" s="68">
        <v>53</v>
      </c>
      <c r="AR17" s="68">
        <v>83.3</v>
      </c>
      <c r="AS17" s="68">
        <v>77.899999999999991</v>
      </c>
      <c r="AT17" s="68">
        <v>91.1</v>
      </c>
      <c r="AU17" s="68">
        <v>76</v>
      </c>
      <c r="AV17" s="68">
        <v>61</v>
      </c>
      <c r="AW17" s="68">
        <v>87</v>
      </c>
      <c r="AX17" s="76">
        <v>80</v>
      </c>
      <c r="AY17" s="76">
        <v>84</v>
      </c>
      <c r="AZ17" s="76">
        <v>80</v>
      </c>
      <c r="BA17" s="76">
        <v>90</v>
      </c>
      <c r="BB17" s="240">
        <v>97.5</v>
      </c>
      <c r="BC17" s="240">
        <v>82.5</v>
      </c>
      <c r="BD17" s="240">
        <v>76</v>
      </c>
      <c r="BE17" s="240">
        <v>85</v>
      </c>
      <c r="BF17" s="240">
        <v>72.5</v>
      </c>
      <c r="BG17" s="240">
        <v>85</v>
      </c>
      <c r="BH17" s="70">
        <f t="shared" si="24"/>
        <v>1201.2</v>
      </c>
      <c r="BI17" s="71">
        <f t="shared" si="25"/>
        <v>80.08</v>
      </c>
      <c r="BJ17" s="101" t="e">
        <f t="shared" si="26"/>
        <v>#N/A</v>
      </c>
      <c r="BK17" s="73"/>
      <c r="BL17" s="73"/>
      <c r="BM17" s="73"/>
      <c r="BN17" s="74"/>
      <c r="BO17" s="74"/>
      <c r="BP17" s="74"/>
      <c r="BQ17" s="75"/>
    </row>
    <row r="18" spans="1:69" ht="21.95" customHeight="1">
      <c r="A18" s="138">
        <v>15</v>
      </c>
      <c r="B18" s="99">
        <v>22230106</v>
      </c>
      <c r="C18" s="100" t="s">
        <v>533</v>
      </c>
      <c r="D18" s="68">
        <f t="shared" si="0"/>
        <v>95</v>
      </c>
      <c r="E18" s="68">
        <f t="shared" si="1"/>
        <v>71</v>
      </c>
      <c r="F18" s="68">
        <f t="shared" si="2"/>
        <v>80</v>
      </c>
      <c r="G18" s="68">
        <f t="shared" si="3"/>
        <v>82</v>
      </c>
      <c r="H18" s="68">
        <f t="shared" si="4"/>
        <v>51</v>
      </c>
      <c r="I18" s="68">
        <f t="shared" si="5"/>
        <v>87</v>
      </c>
      <c r="J18" s="68">
        <f t="shared" si="6"/>
        <v>82</v>
      </c>
      <c r="K18" s="68">
        <f t="shared" si="7"/>
        <v>85</v>
      </c>
      <c r="L18" s="68">
        <f t="shared" si="8"/>
        <v>76</v>
      </c>
      <c r="M18" s="68">
        <f t="shared" si="9"/>
        <v>77</v>
      </c>
      <c r="N18" s="68">
        <f t="shared" si="10"/>
        <v>91</v>
      </c>
      <c r="O18" s="69">
        <f t="shared" si="11"/>
        <v>65</v>
      </c>
      <c r="P18" s="69">
        <f t="shared" si="12"/>
        <v>89</v>
      </c>
      <c r="Q18" s="69">
        <f t="shared" si="13"/>
        <v>75</v>
      </c>
      <c r="R18" s="69">
        <f t="shared" si="14"/>
        <v>90</v>
      </c>
      <c r="S18" s="234">
        <f t="shared" si="15"/>
        <v>83</v>
      </c>
      <c r="T18" s="234">
        <f t="shared" si="16"/>
        <v>75</v>
      </c>
      <c r="U18" s="234">
        <f t="shared" si="17"/>
        <v>76</v>
      </c>
      <c r="V18" s="234">
        <f t="shared" si="18"/>
        <v>78</v>
      </c>
      <c r="W18" s="234">
        <f t="shared" si="19"/>
        <v>78</v>
      </c>
      <c r="X18" s="234">
        <f t="shared" si="20"/>
        <v>68</v>
      </c>
      <c r="Y18" s="70">
        <f t="shared" si="21"/>
        <v>1196</v>
      </c>
      <c r="Z18" s="71">
        <f t="shared" si="22"/>
        <v>79.733333333333334</v>
      </c>
      <c r="AA18" s="101">
        <f t="shared" si="23"/>
        <v>15</v>
      </c>
      <c r="AB18" s="73" t="s">
        <v>805</v>
      </c>
      <c r="AC18" s="73" t="s">
        <v>805</v>
      </c>
      <c r="AD18" s="73" t="s">
        <v>805</v>
      </c>
      <c r="AE18" s="74">
        <v>14</v>
      </c>
      <c r="AF18" s="74">
        <v>0</v>
      </c>
      <c r="AG18" s="74">
        <v>0</v>
      </c>
      <c r="AH18" s="246"/>
      <c r="AI18" s="60">
        <v>9</v>
      </c>
      <c r="AJ18" s="93">
        <v>4</v>
      </c>
      <c r="AK18" s="99">
        <v>22230106</v>
      </c>
      <c r="AL18" s="100" t="s">
        <v>533</v>
      </c>
      <c r="AM18" s="68">
        <v>94.9</v>
      </c>
      <c r="AN18" s="68">
        <v>70.8</v>
      </c>
      <c r="AO18" s="68">
        <v>79.599999999999994</v>
      </c>
      <c r="AP18" s="68">
        <v>82</v>
      </c>
      <c r="AQ18" s="68">
        <v>50.5</v>
      </c>
      <c r="AR18" s="68">
        <v>87.4</v>
      </c>
      <c r="AS18" s="68">
        <v>82.2</v>
      </c>
      <c r="AT18" s="68">
        <v>84.6</v>
      </c>
      <c r="AU18" s="68">
        <v>76</v>
      </c>
      <c r="AV18" s="68">
        <v>77</v>
      </c>
      <c r="AW18" s="68">
        <v>91</v>
      </c>
      <c r="AX18" s="76">
        <v>65</v>
      </c>
      <c r="AY18" s="76">
        <v>89</v>
      </c>
      <c r="AZ18" s="76">
        <v>75</v>
      </c>
      <c r="BA18" s="76">
        <v>90</v>
      </c>
      <c r="BB18" s="240">
        <v>82.5</v>
      </c>
      <c r="BC18" s="240">
        <v>75</v>
      </c>
      <c r="BD18" s="240">
        <v>76</v>
      </c>
      <c r="BE18" s="240">
        <v>77.5</v>
      </c>
      <c r="BF18" s="240">
        <v>77.5</v>
      </c>
      <c r="BG18" s="240">
        <v>67.5</v>
      </c>
      <c r="BH18" s="70">
        <f t="shared" si="24"/>
        <v>1195</v>
      </c>
      <c r="BI18" s="71">
        <f t="shared" si="25"/>
        <v>79.666666666666671</v>
      </c>
      <c r="BJ18" s="101">
        <f t="shared" si="26"/>
        <v>16</v>
      </c>
      <c r="BK18" s="73"/>
      <c r="BL18" s="73"/>
      <c r="BM18" s="73"/>
      <c r="BN18" s="74"/>
      <c r="BO18" s="74"/>
      <c r="BP18" s="74"/>
      <c r="BQ18" s="75"/>
    </row>
    <row r="19" spans="1:69" ht="21.95" customHeight="1">
      <c r="A19" s="138">
        <v>16</v>
      </c>
      <c r="B19" s="99">
        <v>21220002</v>
      </c>
      <c r="C19" s="103" t="s">
        <v>557</v>
      </c>
      <c r="D19" s="68">
        <f t="shared" si="0"/>
        <v>92</v>
      </c>
      <c r="E19" s="68">
        <f t="shared" si="1"/>
        <v>80</v>
      </c>
      <c r="F19" s="68">
        <f t="shared" si="2"/>
        <v>83</v>
      </c>
      <c r="G19" s="68">
        <f t="shared" si="3"/>
        <v>79</v>
      </c>
      <c r="H19" s="68">
        <f t="shared" si="4"/>
        <v>59</v>
      </c>
      <c r="I19" s="68">
        <f t="shared" si="5"/>
        <v>78</v>
      </c>
      <c r="J19" s="68">
        <f t="shared" si="6"/>
        <v>74</v>
      </c>
      <c r="K19" s="68">
        <f t="shared" si="7"/>
        <v>82</v>
      </c>
      <c r="L19" s="68">
        <f t="shared" si="8"/>
        <v>85</v>
      </c>
      <c r="M19" s="68">
        <f t="shared" si="9"/>
        <v>56</v>
      </c>
      <c r="N19" s="68">
        <f t="shared" si="10"/>
        <v>90</v>
      </c>
      <c r="O19" s="69">
        <f t="shared" si="11"/>
        <v>85</v>
      </c>
      <c r="P19" s="69">
        <f t="shared" si="12"/>
        <v>92</v>
      </c>
      <c r="Q19" s="69">
        <f t="shared" si="13"/>
        <v>75</v>
      </c>
      <c r="R19" s="69">
        <f t="shared" si="14"/>
        <v>85</v>
      </c>
      <c r="S19" s="234">
        <f t="shared" si="15"/>
        <v>93</v>
      </c>
      <c r="T19" s="234">
        <f t="shared" si="16"/>
        <v>83</v>
      </c>
      <c r="U19" s="234">
        <f t="shared" si="17"/>
        <v>85</v>
      </c>
      <c r="V19" s="234">
        <f t="shared" si="18"/>
        <v>63</v>
      </c>
      <c r="W19" s="234">
        <f t="shared" si="19"/>
        <v>70</v>
      </c>
      <c r="X19" s="234">
        <f t="shared" si="20"/>
        <v>78</v>
      </c>
      <c r="Y19" s="70">
        <f t="shared" si="21"/>
        <v>1195</v>
      </c>
      <c r="Z19" s="71">
        <f t="shared" si="22"/>
        <v>79.666666666666671</v>
      </c>
      <c r="AA19" s="101">
        <f t="shared" si="23"/>
        <v>16</v>
      </c>
      <c r="AB19" s="73" t="s">
        <v>806</v>
      </c>
      <c r="AC19" s="73" t="s">
        <v>806</v>
      </c>
      <c r="AD19" s="73" t="s">
        <v>805</v>
      </c>
      <c r="AE19" s="74">
        <v>4</v>
      </c>
      <c r="AF19" s="74">
        <v>5</v>
      </c>
      <c r="AG19" s="74">
        <v>0</v>
      </c>
      <c r="AH19" s="246"/>
      <c r="AI19" s="60">
        <v>9</v>
      </c>
      <c r="AJ19" s="93">
        <v>28</v>
      </c>
      <c r="AK19" s="99">
        <v>21220002</v>
      </c>
      <c r="AL19" s="103" t="s">
        <v>557</v>
      </c>
      <c r="AM19" s="68">
        <v>91.9</v>
      </c>
      <c r="AN19" s="68">
        <v>80</v>
      </c>
      <c r="AO19" s="68">
        <v>82.8</v>
      </c>
      <c r="AP19" s="68">
        <v>79</v>
      </c>
      <c r="AQ19" s="68">
        <v>59</v>
      </c>
      <c r="AR19" s="68">
        <v>78</v>
      </c>
      <c r="AS19" s="68">
        <v>74</v>
      </c>
      <c r="AT19" s="68">
        <v>82.399999999999991</v>
      </c>
      <c r="AU19" s="68">
        <v>85</v>
      </c>
      <c r="AV19" s="68">
        <v>55.5</v>
      </c>
      <c r="AW19" s="68">
        <v>90</v>
      </c>
      <c r="AX19" s="76">
        <v>85</v>
      </c>
      <c r="AY19" s="76">
        <v>92</v>
      </c>
      <c r="AZ19" s="76">
        <v>75</v>
      </c>
      <c r="BA19" s="76">
        <v>85</v>
      </c>
      <c r="BB19" s="240">
        <v>92.5</v>
      </c>
      <c r="BC19" s="240">
        <v>82.5</v>
      </c>
      <c r="BD19" s="240">
        <v>85</v>
      </c>
      <c r="BE19" s="240">
        <v>62.5</v>
      </c>
      <c r="BF19" s="240">
        <v>70</v>
      </c>
      <c r="BG19" s="240">
        <v>77.5</v>
      </c>
      <c r="BH19" s="70">
        <f t="shared" si="24"/>
        <v>1194.5999999999999</v>
      </c>
      <c r="BI19" s="71">
        <f t="shared" si="25"/>
        <v>79.64</v>
      </c>
      <c r="BJ19" s="101" t="e">
        <f t="shared" si="26"/>
        <v>#N/A</v>
      </c>
      <c r="BK19" s="73"/>
      <c r="BL19" s="73"/>
      <c r="BM19" s="73"/>
      <c r="BN19" s="74"/>
      <c r="BO19" s="74"/>
      <c r="BP19" s="74"/>
      <c r="BQ19" s="75"/>
    </row>
    <row r="20" spans="1:69" ht="21.95" customHeight="1">
      <c r="A20" s="93">
        <v>17</v>
      </c>
      <c r="B20" s="99">
        <v>22230184</v>
      </c>
      <c r="C20" s="107" t="s">
        <v>534</v>
      </c>
      <c r="D20" s="68">
        <f t="shared" si="0"/>
        <v>74</v>
      </c>
      <c r="E20" s="68">
        <f t="shared" si="1"/>
        <v>67</v>
      </c>
      <c r="F20" s="68">
        <f t="shared" si="2"/>
        <v>90</v>
      </c>
      <c r="G20" s="68">
        <f t="shared" si="3"/>
        <v>76</v>
      </c>
      <c r="H20" s="68">
        <f t="shared" si="4"/>
        <v>56</v>
      </c>
      <c r="I20" s="68">
        <f t="shared" si="5"/>
        <v>85</v>
      </c>
      <c r="J20" s="68">
        <f t="shared" si="6"/>
        <v>68</v>
      </c>
      <c r="K20" s="68">
        <f t="shared" si="7"/>
        <v>80</v>
      </c>
      <c r="L20" s="68">
        <f t="shared" si="8"/>
        <v>92</v>
      </c>
      <c r="M20" s="68">
        <f t="shared" si="9"/>
        <v>65</v>
      </c>
      <c r="N20" s="68">
        <f t="shared" si="10"/>
        <v>86</v>
      </c>
      <c r="O20" s="69">
        <f t="shared" si="11"/>
        <v>80</v>
      </c>
      <c r="P20" s="69">
        <f t="shared" si="12"/>
        <v>81</v>
      </c>
      <c r="Q20" s="69">
        <f t="shared" si="13"/>
        <v>70</v>
      </c>
      <c r="R20" s="69">
        <f t="shared" si="14"/>
        <v>90</v>
      </c>
      <c r="S20" s="234">
        <f t="shared" si="15"/>
        <v>93</v>
      </c>
      <c r="T20" s="234">
        <f t="shared" si="16"/>
        <v>80</v>
      </c>
      <c r="U20" s="234">
        <f t="shared" si="17"/>
        <v>92</v>
      </c>
      <c r="V20" s="234">
        <f t="shared" si="18"/>
        <v>83</v>
      </c>
      <c r="W20" s="234">
        <f t="shared" si="19"/>
        <v>70</v>
      </c>
      <c r="X20" s="234">
        <f t="shared" si="20"/>
        <v>70</v>
      </c>
      <c r="Y20" s="70">
        <f t="shared" si="21"/>
        <v>1160</v>
      </c>
      <c r="Z20" s="71">
        <f t="shared" si="22"/>
        <v>77.333333333333329</v>
      </c>
      <c r="AA20" s="101">
        <f t="shared" si="23"/>
        <v>17</v>
      </c>
      <c r="AB20" s="73" t="s">
        <v>806</v>
      </c>
      <c r="AC20" s="73" t="s">
        <v>806</v>
      </c>
      <c r="AD20" s="73" t="s">
        <v>805</v>
      </c>
      <c r="AE20" s="74">
        <v>0</v>
      </c>
      <c r="AF20" s="74">
        <v>0</v>
      </c>
      <c r="AG20" s="74">
        <v>0</v>
      </c>
      <c r="AH20" s="246"/>
      <c r="AI20" s="60">
        <v>10</v>
      </c>
      <c r="AJ20" s="93">
        <v>5</v>
      </c>
      <c r="AK20" s="99">
        <v>22230184</v>
      </c>
      <c r="AL20" s="100" t="s">
        <v>534</v>
      </c>
      <c r="AM20" s="68">
        <v>74</v>
      </c>
      <c r="AN20" s="68">
        <v>66.7</v>
      </c>
      <c r="AO20" s="68">
        <v>89.5</v>
      </c>
      <c r="AP20" s="68">
        <v>76</v>
      </c>
      <c r="AQ20" s="68">
        <v>56</v>
      </c>
      <c r="AR20" s="68">
        <v>85.3</v>
      </c>
      <c r="AS20" s="68">
        <v>67.899999999999991</v>
      </c>
      <c r="AT20" s="68">
        <v>79.899999999999991</v>
      </c>
      <c r="AU20" s="68">
        <v>92</v>
      </c>
      <c r="AV20" s="68">
        <v>65</v>
      </c>
      <c r="AW20" s="68">
        <v>86</v>
      </c>
      <c r="AX20" s="76">
        <v>80</v>
      </c>
      <c r="AY20" s="76">
        <v>81</v>
      </c>
      <c r="AZ20" s="76">
        <v>70</v>
      </c>
      <c r="BA20" s="76">
        <v>90</v>
      </c>
      <c r="BB20" s="240">
        <v>92.5</v>
      </c>
      <c r="BC20" s="240">
        <v>80</v>
      </c>
      <c r="BD20" s="240">
        <v>92</v>
      </c>
      <c r="BE20" s="240">
        <v>82.5</v>
      </c>
      <c r="BF20" s="240">
        <v>70</v>
      </c>
      <c r="BG20" s="240">
        <v>70</v>
      </c>
      <c r="BH20" s="70">
        <f t="shared" si="24"/>
        <v>1159.3</v>
      </c>
      <c r="BI20" s="71">
        <f t="shared" si="25"/>
        <v>77.286666666666662</v>
      </c>
      <c r="BJ20" s="101" t="e">
        <f t="shared" si="26"/>
        <v>#N/A</v>
      </c>
      <c r="BK20" s="73"/>
      <c r="BL20" s="73"/>
      <c r="BM20" s="73"/>
      <c r="BN20" s="74"/>
      <c r="BO20" s="74"/>
      <c r="BP20" s="74"/>
      <c r="BQ20" s="75"/>
    </row>
    <row r="21" spans="1:69" ht="21.95" customHeight="1">
      <c r="A21" s="93">
        <v>18</v>
      </c>
      <c r="B21" s="99">
        <v>23240131</v>
      </c>
      <c r="C21" s="107" t="s">
        <v>540</v>
      </c>
      <c r="D21" s="68">
        <f t="shared" si="0"/>
        <v>94</v>
      </c>
      <c r="E21" s="68">
        <f t="shared" si="1"/>
        <v>79</v>
      </c>
      <c r="F21" s="68">
        <f t="shared" si="2"/>
        <v>84</v>
      </c>
      <c r="G21" s="68">
        <f t="shared" si="3"/>
        <v>76</v>
      </c>
      <c r="H21" s="68">
        <f t="shared" si="4"/>
        <v>49</v>
      </c>
      <c r="I21" s="68">
        <f t="shared" si="5"/>
        <v>73</v>
      </c>
      <c r="J21" s="68">
        <f t="shared" si="6"/>
        <v>80</v>
      </c>
      <c r="K21" s="68">
        <f t="shared" si="7"/>
        <v>86</v>
      </c>
      <c r="L21" s="68">
        <f t="shared" si="8"/>
        <v>66</v>
      </c>
      <c r="M21" s="68">
        <f t="shared" si="9"/>
        <v>60</v>
      </c>
      <c r="N21" s="68">
        <f t="shared" si="10"/>
        <v>74</v>
      </c>
      <c r="O21" s="69">
        <f t="shared" si="11"/>
        <v>85</v>
      </c>
      <c r="P21" s="69">
        <f t="shared" si="12"/>
        <v>85</v>
      </c>
      <c r="Q21" s="69">
        <f t="shared" si="13"/>
        <v>75</v>
      </c>
      <c r="R21" s="69">
        <f t="shared" si="14"/>
        <v>85</v>
      </c>
      <c r="S21" s="234">
        <f t="shared" si="15"/>
        <v>93</v>
      </c>
      <c r="T21" s="234">
        <f t="shared" si="16"/>
        <v>68</v>
      </c>
      <c r="U21" s="234">
        <f t="shared" si="17"/>
        <v>66</v>
      </c>
      <c r="V21" s="234">
        <f t="shared" si="18"/>
        <v>60</v>
      </c>
      <c r="W21" s="234">
        <f t="shared" si="19"/>
        <v>60</v>
      </c>
      <c r="X21" s="234">
        <f t="shared" si="20"/>
        <v>75</v>
      </c>
      <c r="Y21" s="70">
        <f t="shared" si="21"/>
        <v>1151</v>
      </c>
      <c r="Z21" s="71">
        <f t="shared" si="22"/>
        <v>76.733333333333334</v>
      </c>
      <c r="AA21" s="101">
        <f t="shared" si="23"/>
        <v>18</v>
      </c>
      <c r="AB21" s="73" t="s">
        <v>806</v>
      </c>
      <c r="AC21" s="73" t="s">
        <v>806</v>
      </c>
      <c r="AD21" s="73" t="s">
        <v>805</v>
      </c>
      <c r="AE21" s="74">
        <v>0</v>
      </c>
      <c r="AF21" s="74">
        <v>0</v>
      </c>
      <c r="AG21" s="74">
        <v>0</v>
      </c>
      <c r="AH21" s="246"/>
      <c r="AI21" s="60">
        <v>10</v>
      </c>
      <c r="AJ21" s="93">
        <v>11</v>
      </c>
      <c r="AK21" s="99">
        <v>23240131</v>
      </c>
      <c r="AL21" s="102" t="s">
        <v>540</v>
      </c>
      <c r="AM21" s="68">
        <v>93.9</v>
      </c>
      <c r="AN21" s="68">
        <v>78.900000000000006</v>
      </c>
      <c r="AO21" s="68">
        <v>83.5</v>
      </c>
      <c r="AP21" s="68">
        <v>76</v>
      </c>
      <c r="AQ21" s="68">
        <v>49</v>
      </c>
      <c r="AR21" s="68">
        <v>73.3</v>
      </c>
      <c r="AS21" s="68">
        <v>79.5</v>
      </c>
      <c r="AT21" s="68">
        <v>86.1</v>
      </c>
      <c r="AU21" s="68">
        <v>66</v>
      </c>
      <c r="AV21" s="68">
        <v>60</v>
      </c>
      <c r="AW21" s="68">
        <v>73.5</v>
      </c>
      <c r="AX21" s="76">
        <v>85</v>
      </c>
      <c r="AY21" s="76">
        <v>85</v>
      </c>
      <c r="AZ21" s="76">
        <v>75</v>
      </c>
      <c r="BA21" s="76">
        <v>85</v>
      </c>
      <c r="BB21" s="240">
        <v>92.5</v>
      </c>
      <c r="BC21" s="240">
        <v>67.5</v>
      </c>
      <c r="BD21" s="240">
        <v>66</v>
      </c>
      <c r="BE21" s="240">
        <v>60</v>
      </c>
      <c r="BF21" s="240">
        <v>60</v>
      </c>
      <c r="BG21" s="240">
        <v>75</v>
      </c>
      <c r="BH21" s="70">
        <f t="shared" si="24"/>
        <v>1149.7</v>
      </c>
      <c r="BI21" s="71">
        <f t="shared" si="25"/>
        <v>76.646666666666675</v>
      </c>
      <c r="BJ21" s="101" t="e">
        <f t="shared" si="26"/>
        <v>#N/A</v>
      </c>
      <c r="BK21" s="73"/>
      <c r="BL21" s="73"/>
      <c r="BM21" s="73"/>
      <c r="BN21" s="74"/>
      <c r="BO21" s="74"/>
      <c r="BP21" s="74"/>
      <c r="BQ21" s="75"/>
    </row>
    <row r="22" spans="1:69" ht="21.95" customHeight="1">
      <c r="A22" s="93">
        <v>19</v>
      </c>
      <c r="B22" s="99">
        <v>22230133</v>
      </c>
      <c r="C22" s="102" t="s">
        <v>532</v>
      </c>
      <c r="D22" s="68">
        <f t="shared" si="0"/>
        <v>81</v>
      </c>
      <c r="E22" s="68">
        <f t="shared" si="1"/>
        <v>64</v>
      </c>
      <c r="F22" s="68">
        <f t="shared" si="2"/>
        <v>83</v>
      </c>
      <c r="G22" s="68">
        <f t="shared" si="3"/>
        <v>79</v>
      </c>
      <c r="H22" s="68">
        <f t="shared" si="4"/>
        <v>58</v>
      </c>
      <c r="I22" s="68">
        <f t="shared" si="5"/>
        <v>79</v>
      </c>
      <c r="J22" s="68">
        <f t="shared" si="6"/>
        <v>64</v>
      </c>
      <c r="K22" s="68">
        <f t="shared" si="7"/>
        <v>72</v>
      </c>
      <c r="L22" s="68">
        <f t="shared" si="8"/>
        <v>84</v>
      </c>
      <c r="M22" s="68">
        <f t="shared" si="9"/>
        <v>40</v>
      </c>
      <c r="N22" s="68">
        <f t="shared" si="10"/>
        <v>89</v>
      </c>
      <c r="O22" s="69">
        <f t="shared" si="11"/>
        <v>75</v>
      </c>
      <c r="P22" s="69">
        <f t="shared" si="12"/>
        <v>70</v>
      </c>
      <c r="Q22" s="69">
        <f t="shared" si="13"/>
        <v>80</v>
      </c>
      <c r="R22" s="69">
        <f t="shared" si="14"/>
        <v>80</v>
      </c>
      <c r="S22" s="234">
        <f t="shared" si="15"/>
        <v>88</v>
      </c>
      <c r="T22" s="234">
        <f t="shared" si="16"/>
        <v>80</v>
      </c>
      <c r="U22" s="234">
        <f t="shared" si="17"/>
        <v>84</v>
      </c>
      <c r="V22" s="234">
        <f t="shared" si="18"/>
        <v>78</v>
      </c>
      <c r="W22" s="234">
        <f t="shared" si="19"/>
        <v>83</v>
      </c>
      <c r="X22" s="234">
        <f t="shared" si="20"/>
        <v>78</v>
      </c>
      <c r="Y22" s="70">
        <f t="shared" si="21"/>
        <v>1098</v>
      </c>
      <c r="Z22" s="71">
        <f t="shared" si="22"/>
        <v>73.2</v>
      </c>
      <c r="AA22" s="101">
        <f t="shared" si="23"/>
        <v>19</v>
      </c>
      <c r="AB22" s="73" t="s">
        <v>805</v>
      </c>
      <c r="AC22" s="73" t="s">
        <v>805</v>
      </c>
      <c r="AD22" s="73" t="s">
        <v>805</v>
      </c>
      <c r="AE22" s="74">
        <v>0</v>
      </c>
      <c r="AF22" s="74">
        <v>0</v>
      </c>
      <c r="AG22" s="74">
        <v>0</v>
      </c>
      <c r="AH22" s="246"/>
      <c r="AI22" s="60">
        <v>10</v>
      </c>
      <c r="AJ22" s="93">
        <v>3</v>
      </c>
      <c r="AK22" s="99">
        <v>22230133</v>
      </c>
      <c r="AL22" s="102" t="s">
        <v>532</v>
      </c>
      <c r="AM22" s="68">
        <v>80.5</v>
      </c>
      <c r="AN22" s="68">
        <v>64.400000000000006</v>
      </c>
      <c r="AO22" s="68">
        <v>83.199999999999989</v>
      </c>
      <c r="AP22" s="68">
        <v>79</v>
      </c>
      <c r="AQ22" s="68">
        <v>58</v>
      </c>
      <c r="AR22" s="68">
        <v>78.5</v>
      </c>
      <c r="AS22" s="68">
        <v>64.400000000000006</v>
      </c>
      <c r="AT22" s="68">
        <v>71.599999999999994</v>
      </c>
      <c r="AU22" s="68">
        <v>84</v>
      </c>
      <c r="AV22" s="68">
        <v>40</v>
      </c>
      <c r="AW22" s="68">
        <v>88.5</v>
      </c>
      <c r="AX22" s="76">
        <v>75</v>
      </c>
      <c r="AY22" s="76">
        <v>70</v>
      </c>
      <c r="AZ22" s="76">
        <v>80</v>
      </c>
      <c r="BA22" s="76">
        <v>80</v>
      </c>
      <c r="BB22" s="240">
        <v>87.5</v>
      </c>
      <c r="BC22" s="240">
        <v>80</v>
      </c>
      <c r="BD22" s="240">
        <v>84</v>
      </c>
      <c r="BE22" s="240">
        <v>77.5</v>
      </c>
      <c r="BF22" s="240">
        <v>82.5</v>
      </c>
      <c r="BG22" s="240">
        <v>77.5</v>
      </c>
      <c r="BH22" s="70">
        <f t="shared" si="24"/>
        <v>1097.0999999999999</v>
      </c>
      <c r="BI22" s="71">
        <f t="shared" si="25"/>
        <v>73.14</v>
      </c>
      <c r="BJ22" s="101" t="e">
        <f t="shared" si="26"/>
        <v>#N/A</v>
      </c>
      <c r="BK22" s="73"/>
      <c r="BL22" s="73"/>
      <c r="BM22" s="73"/>
      <c r="BN22" s="74"/>
      <c r="BO22" s="74"/>
      <c r="BP22" s="74"/>
      <c r="BQ22" s="75"/>
    </row>
    <row r="23" spans="1:69" ht="21.95" customHeight="1">
      <c r="A23" s="93">
        <v>20</v>
      </c>
      <c r="B23" s="99">
        <v>22230081</v>
      </c>
      <c r="C23" s="107" t="s">
        <v>542</v>
      </c>
      <c r="D23" s="68">
        <f t="shared" si="0"/>
        <v>90</v>
      </c>
      <c r="E23" s="68">
        <f t="shared" si="1"/>
        <v>66</v>
      </c>
      <c r="F23" s="68">
        <f t="shared" si="2"/>
        <v>72</v>
      </c>
      <c r="G23" s="68">
        <f t="shared" si="3"/>
        <v>76</v>
      </c>
      <c r="H23" s="68">
        <f t="shared" si="4"/>
        <v>52</v>
      </c>
      <c r="I23" s="68">
        <f t="shared" si="5"/>
        <v>86</v>
      </c>
      <c r="J23" s="68">
        <f t="shared" si="6"/>
        <v>82</v>
      </c>
      <c r="K23" s="68">
        <f t="shared" si="7"/>
        <v>66</v>
      </c>
      <c r="L23" s="68">
        <f t="shared" si="8"/>
        <v>86</v>
      </c>
      <c r="M23" s="68">
        <f t="shared" si="9"/>
        <v>40</v>
      </c>
      <c r="N23" s="68">
        <f t="shared" si="10"/>
        <v>94</v>
      </c>
      <c r="O23" s="69">
        <f t="shared" si="11"/>
        <v>60</v>
      </c>
      <c r="P23" s="69">
        <f t="shared" si="12"/>
        <v>70</v>
      </c>
      <c r="Q23" s="69">
        <f t="shared" si="13"/>
        <v>75</v>
      </c>
      <c r="R23" s="69">
        <f t="shared" si="14"/>
        <v>70</v>
      </c>
      <c r="S23" s="234">
        <f t="shared" si="15"/>
        <v>60</v>
      </c>
      <c r="T23" s="234">
        <f t="shared" si="16"/>
        <v>70</v>
      </c>
      <c r="U23" s="234">
        <f t="shared" si="17"/>
        <v>86</v>
      </c>
      <c r="V23" s="234">
        <f t="shared" si="18"/>
        <v>60</v>
      </c>
      <c r="W23" s="234">
        <f t="shared" si="19"/>
        <v>60</v>
      </c>
      <c r="X23" s="234">
        <f t="shared" si="20"/>
        <v>65</v>
      </c>
      <c r="Y23" s="70">
        <f t="shared" si="21"/>
        <v>1085</v>
      </c>
      <c r="Z23" s="71">
        <f t="shared" si="22"/>
        <v>72.333333333333329</v>
      </c>
      <c r="AA23" s="101">
        <f t="shared" si="23"/>
        <v>20</v>
      </c>
      <c r="AB23" s="73" t="s">
        <v>805</v>
      </c>
      <c r="AC23" s="73" t="s">
        <v>807</v>
      </c>
      <c r="AD23" s="73" t="s">
        <v>805</v>
      </c>
      <c r="AE23" s="74">
        <v>18</v>
      </c>
      <c r="AF23" s="74">
        <v>0</v>
      </c>
      <c r="AG23" s="74">
        <v>0</v>
      </c>
      <c r="AH23" s="246"/>
      <c r="AI23" s="60">
        <v>9</v>
      </c>
      <c r="AJ23" s="93">
        <v>13</v>
      </c>
      <c r="AK23" s="99">
        <v>22230081</v>
      </c>
      <c r="AL23" s="100" t="s">
        <v>542</v>
      </c>
      <c r="AM23" s="68">
        <v>90.4</v>
      </c>
      <c r="AN23" s="68">
        <v>66</v>
      </c>
      <c r="AO23" s="68">
        <v>71.8</v>
      </c>
      <c r="AP23" s="68">
        <v>76</v>
      </c>
      <c r="AQ23" s="68">
        <v>52</v>
      </c>
      <c r="AR23" s="68">
        <v>86.1</v>
      </c>
      <c r="AS23" s="68">
        <v>81.599999999999994</v>
      </c>
      <c r="AT23" s="68">
        <v>66</v>
      </c>
      <c r="AU23" s="68">
        <v>86</v>
      </c>
      <c r="AV23" s="68">
        <v>34</v>
      </c>
      <c r="AW23" s="68">
        <v>93.5</v>
      </c>
      <c r="AX23" s="76">
        <v>60</v>
      </c>
      <c r="AY23" s="76">
        <v>70</v>
      </c>
      <c r="AZ23" s="76">
        <v>75</v>
      </c>
      <c r="BA23" s="76">
        <v>70</v>
      </c>
      <c r="BB23" s="240">
        <v>60</v>
      </c>
      <c r="BC23" s="240">
        <v>70</v>
      </c>
      <c r="BD23" s="240">
        <v>86</v>
      </c>
      <c r="BE23" s="240">
        <v>60</v>
      </c>
      <c r="BF23" s="240">
        <v>60</v>
      </c>
      <c r="BG23" s="240">
        <v>65</v>
      </c>
      <c r="BH23" s="70">
        <f t="shared" si="24"/>
        <v>1078.4000000000001</v>
      </c>
      <c r="BI23" s="71">
        <f t="shared" si="25"/>
        <v>71.893333333333345</v>
      </c>
      <c r="BJ23" s="101" t="e">
        <f t="shared" si="26"/>
        <v>#N/A</v>
      </c>
      <c r="BK23" s="73"/>
      <c r="BL23" s="73"/>
      <c r="BM23" s="73"/>
      <c r="BN23" s="74"/>
      <c r="BO23" s="74"/>
      <c r="BP23" s="74"/>
      <c r="BQ23" s="75"/>
    </row>
    <row r="24" spans="1:69" ht="21.95" customHeight="1">
      <c r="A24" s="93">
        <v>21</v>
      </c>
      <c r="B24" s="99">
        <v>22230009</v>
      </c>
      <c r="C24" s="103" t="s">
        <v>554</v>
      </c>
      <c r="D24" s="68">
        <f t="shared" si="0"/>
        <v>85</v>
      </c>
      <c r="E24" s="68">
        <f t="shared" si="1"/>
        <v>65</v>
      </c>
      <c r="F24" s="68">
        <f t="shared" si="2"/>
        <v>73</v>
      </c>
      <c r="G24" s="68">
        <f t="shared" si="3"/>
        <v>80</v>
      </c>
      <c r="H24" s="68">
        <f t="shared" si="4"/>
        <v>64</v>
      </c>
      <c r="I24" s="68">
        <f t="shared" si="5"/>
        <v>90</v>
      </c>
      <c r="J24" s="68">
        <f t="shared" si="6"/>
        <v>65</v>
      </c>
      <c r="K24" s="68">
        <f t="shared" si="7"/>
        <v>65</v>
      </c>
      <c r="L24" s="68">
        <f t="shared" si="8"/>
        <v>70</v>
      </c>
      <c r="M24" s="68">
        <f t="shared" si="9"/>
        <v>40</v>
      </c>
      <c r="N24" s="68">
        <f t="shared" si="10"/>
        <v>80</v>
      </c>
      <c r="O24" s="69">
        <f t="shared" si="11"/>
        <v>55</v>
      </c>
      <c r="P24" s="69">
        <f t="shared" si="12"/>
        <v>80</v>
      </c>
      <c r="Q24" s="69">
        <f t="shared" si="13"/>
        <v>75</v>
      </c>
      <c r="R24" s="69">
        <f t="shared" si="14"/>
        <v>75</v>
      </c>
      <c r="S24" s="234">
        <f t="shared" si="15"/>
        <v>93</v>
      </c>
      <c r="T24" s="234">
        <f t="shared" si="16"/>
        <v>95</v>
      </c>
      <c r="U24" s="234">
        <f t="shared" si="17"/>
        <v>70</v>
      </c>
      <c r="V24" s="234">
        <f t="shared" si="18"/>
        <v>80</v>
      </c>
      <c r="W24" s="234">
        <f t="shared" si="19"/>
        <v>83</v>
      </c>
      <c r="X24" s="234">
        <f t="shared" si="20"/>
        <v>88</v>
      </c>
      <c r="Y24" s="70">
        <f t="shared" si="21"/>
        <v>1062</v>
      </c>
      <c r="Z24" s="71">
        <f t="shared" si="22"/>
        <v>70.8</v>
      </c>
      <c r="AA24" s="101">
        <f t="shared" si="23"/>
        <v>21</v>
      </c>
      <c r="AB24" s="73" t="s">
        <v>805</v>
      </c>
      <c r="AC24" s="73" t="s">
        <v>805</v>
      </c>
      <c r="AD24" s="73" t="s">
        <v>807</v>
      </c>
      <c r="AE24" s="74">
        <v>7</v>
      </c>
      <c r="AF24" s="74">
        <v>0</v>
      </c>
      <c r="AG24" s="74">
        <v>0</v>
      </c>
      <c r="AH24" s="246"/>
      <c r="AI24" s="60">
        <v>9</v>
      </c>
      <c r="AJ24" s="93">
        <v>25</v>
      </c>
      <c r="AK24" s="99">
        <v>22230009</v>
      </c>
      <c r="AL24" s="103" t="s">
        <v>554</v>
      </c>
      <c r="AM24" s="68">
        <v>85</v>
      </c>
      <c r="AN24" s="68">
        <v>64.900000000000006</v>
      </c>
      <c r="AO24" s="68">
        <v>73.099999999999994</v>
      </c>
      <c r="AP24" s="68">
        <v>79.5</v>
      </c>
      <c r="AQ24" s="68">
        <v>64</v>
      </c>
      <c r="AR24" s="68">
        <v>89.5</v>
      </c>
      <c r="AS24" s="68">
        <v>64.900000000000006</v>
      </c>
      <c r="AT24" s="68">
        <v>64.900000000000006</v>
      </c>
      <c r="AU24" s="68">
        <v>70</v>
      </c>
      <c r="AV24" s="68">
        <v>34</v>
      </c>
      <c r="AW24" s="68">
        <v>80</v>
      </c>
      <c r="AX24" s="76">
        <v>55</v>
      </c>
      <c r="AY24" s="76">
        <v>80</v>
      </c>
      <c r="AZ24" s="76">
        <v>75</v>
      </c>
      <c r="BA24" s="76">
        <v>75</v>
      </c>
      <c r="BB24" s="240">
        <v>92.5</v>
      </c>
      <c r="BC24" s="240">
        <v>95</v>
      </c>
      <c r="BD24" s="240">
        <v>70</v>
      </c>
      <c r="BE24" s="240">
        <v>80</v>
      </c>
      <c r="BF24" s="240">
        <v>82.5</v>
      </c>
      <c r="BG24" s="240">
        <v>87.5</v>
      </c>
      <c r="BH24" s="70">
        <f t="shared" si="24"/>
        <v>1054.8</v>
      </c>
      <c r="BI24" s="71">
        <f t="shared" si="25"/>
        <v>70.319999999999993</v>
      </c>
      <c r="BJ24" s="101" t="e">
        <f t="shared" si="26"/>
        <v>#N/A</v>
      </c>
      <c r="BK24" s="73"/>
      <c r="BL24" s="73"/>
      <c r="BM24" s="73"/>
      <c r="BN24" s="74"/>
      <c r="BO24" s="74"/>
      <c r="BP24" s="74"/>
      <c r="BQ24" s="75"/>
    </row>
    <row r="25" spans="1:69" ht="21.95" customHeight="1">
      <c r="A25" s="93">
        <v>22</v>
      </c>
      <c r="B25" s="99">
        <v>22230114</v>
      </c>
      <c r="C25" s="100" t="s">
        <v>530</v>
      </c>
      <c r="D25" s="68">
        <f t="shared" si="0"/>
        <v>69</v>
      </c>
      <c r="E25" s="68">
        <f t="shared" si="1"/>
        <v>68</v>
      </c>
      <c r="F25" s="68">
        <f t="shared" si="2"/>
        <v>74</v>
      </c>
      <c r="G25" s="68">
        <f t="shared" si="3"/>
        <v>76</v>
      </c>
      <c r="H25" s="68">
        <f t="shared" si="4"/>
        <v>46</v>
      </c>
      <c r="I25" s="68">
        <f t="shared" si="5"/>
        <v>82</v>
      </c>
      <c r="J25" s="68">
        <f t="shared" si="6"/>
        <v>76</v>
      </c>
      <c r="K25" s="68">
        <f t="shared" si="7"/>
        <v>79</v>
      </c>
      <c r="L25" s="68">
        <f t="shared" si="8"/>
        <v>72</v>
      </c>
      <c r="M25" s="68">
        <f t="shared" si="9"/>
        <v>40</v>
      </c>
      <c r="N25" s="68">
        <f t="shared" si="10"/>
        <v>67</v>
      </c>
      <c r="O25" s="69">
        <f t="shared" si="11"/>
        <v>55</v>
      </c>
      <c r="P25" s="69">
        <f t="shared" si="12"/>
        <v>90</v>
      </c>
      <c r="Q25" s="69">
        <f t="shared" si="13"/>
        <v>70</v>
      </c>
      <c r="R25" s="69">
        <f t="shared" si="14"/>
        <v>70</v>
      </c>
      <c r="S25" s="234">
        <f t="shared" si="15"/>
        <v>99</v>
      </c>
      <c r="T25" s="234">
        <f t="shared" si="16"/>
        <v>80</v>
      </c>
      <c r="U25" s="234">
        <f t="shared" si="17"/>
        <v>72</v>
      </c>
      <c r="V25" s="234">
        <f t="shared" si="18"/>
        <v>83</v>
      </c>
      <c r="W25" s="234">
        <f t="shared" si="19"/>
        <v>75</v>
      </c>
      <c r="X25" s="234">
        <f t="shared" si="20"/>
        <v>65</v>
      </c>
      <c r="Y25" s="70">
        <f t="shared" si="21"/>
        <v>1034</v>
      </c>
      <c r="Z25" s="71">
        <f t="shared" si="22"/>
        <v>68.933333333333337</v>
      </c>
      <c r="AA25" s="101">
        <f t="shared" si="23"/>
        <v>22</v>
      </c>
      <c r="AB25" s="73" t="s">
        <v>806</v>
      </c>
      <c r="AC25" s="73" t="s">
        <v>805</v>
      </c>
      <c r="AD25" s="73" t="s">
        <v>805</v>
      </c>
      <c r="AE25" s="74">
        <v>2</v>
      </c>
      <c r="AF25" s="74">
        <v>0</v>
      </c>
      <c r="AG25" s="74">
        <v>0</v>
      </c>
      <c r="AH25" s="246"/>
      <c r="AI25" s="60">
        <v>10</v>
      </c>
      <c r="AJ25" s="93">
        <v>1</v>
      </c>
      <c r="AK25" s="99">
        <v>22230114</v>
      </c>
      <c r="AL25" s="100" t="s">
        <v>530</v>
      </c>
      <c r="AM25" s="68">
        <v>68.5</v>
      </c>
      <c r="AN25" s="68">
        <v>68</v>
      </c>
      <c r="AO25" s="68">
        <v>73.599999999999994</v>
      </c>
      <c r="AP25" s="68">
        <v>76</v>
      </c>
      <c r="AQ25" s="68">
        <v>46</v>
      </c>
      <c r="AR25" s="68">
        <v>82.3</v>
      </c>
      <c r="AS25" s="68">
        <v>75.8</v>
      </c>
      <c r="AT25" s="68">
        <v>78.8</v>
      </c>
      <c r="AU25" s="68">
        <v>72</v>
      </c>
      <c r="AV25" s="68">
        <v>34</v>
      </c>
      <c r="AW25" s="68">
        <v>67</v>
      </c>
      <c r="AX25" s="76">
        <v>55</v>
      </c>
      <c r="AY25" s="76">
        <v>90</v>
      </c>
      <c r="AZ25" s="76">
        <v>70</v>
      </c>
      <c r="BA25" s="76">
        <v>70</v>
      </c>
      <c r="BB25" s="240">
        <v>100</v>
      </c>
      <c r="BC25" s="240">
        <v>80</v>
      </c>
      <c r="BD25" s="240">
        <v>72</v>
      </c>
      <c r="BE25" s="240">
        <v>82.5</v>
      </c>
      <c r="BF25" s="240">
        <v>75</v>
      </c>
      <c r="BG25" s="240">
        <v>65</v>
      </c>
      <c r="BH25" s="70">
        <f t="shared" si="24"/>
        <v>1027</v>
      </c>
      <c r="BI25" s="71">
        <f t="shared" si="25"/>
        <v>68.466666666666669</v>
      </c>
      <c r="BJ25" s="101" t="e">
        <f t="shared" si="26"/>
        <v>#N/A</v>
      </c>
      <c r="BK25" s="73"/>
      <c r="BL25" s="73"/>
      <c r="BM25" s="73"/>
      <c r="BN25" s="74"/>
      <c r="BO25" s="74"/>
      <c r="BP25" s="74"/>
      <c r="BQ25" s="75"/>
    </row>
    <row r="26" spans="1:69" ht="21.95" customHeight="1">
      <c r="A26" s="93">
        <v>23</v>
      </c>
      <c r="B26" s="99">
        <v>22230027</v>
      </c>
      <c r="C26" s="103" t="s">
        <v>546</v>
      </c>
      <c r="D26" s="68">
        <f t="shared" si="0"/>
        <v>67</v>
      </c>
      <c r="E26" s="68">
        <f t="shared" si="1"/>
        <v>66</v>
      </c>
      <c r="F26" s="68">
        <f t="shared" si="2"/>
        <v>82</v>
      </c>
      <c r="G26" s="68">
        <f t="shared" si="3"/>
        <v>79</v>
      </c>
      <c r="H26" s="68">
        <f t="shared" si="4"/>
        <v>48</v>
      </c>
      <c r="I26" s="68">
        <f t="shared" si="5"/>
        <v>75</v>
      </c>
      <c r="J26" s="68">
        <f t="shared" si="6"/>
        <v>69</v>
      </c>
      <c r="K26" s="68">
        <f t="shared" si="7"/>
        <v>74</v>
      </c>
      <c r="L26" s="68">
        <f t="shared" si="8"/>
        <v>60</v>
      </c>
      <c r="M26" s="68">
        <f t="shared" si="9"/>
        <v>40</v>
      </c>
      <c r="N26" s="68">
        <f t="shared" si="10"/>
        <v>63</v>
      </c>
      <c r="O26" s="69">
        <f t="shared" si="11"/>
        <v>55</v>
      </c>
      <c r="P26" s="69">
        <f t="shared" si="12"/>
        <v>82</v>
      </c>
      <c r="Q26" s="69">
        <f t="shared" si="13"/>
        <v>70</v>
      </c>
      <c r="R26" s="69">
        <f t="shared" si="14"/>
        <v>90</v>
      </c>
      <c r="S26" s="234">
        <f t="shared" si="15"/>
        <v>95</v>
      </c>
      <c r="T26" s="234">
        <f t="shared" si="16"/>
        <v>75</v>
      </c>
      <c r="U26" s="234">
        <f t="shared" si="17"/>
        <v>60</v>
      </c>
      <c r="V26" s="234">
        <f t="shared" si="18"/>
        <v>78</v>
      </c>
      <c r="W26" s="234">
        <f t="shared" si="19"/>
        <v>70</v>
      </c>
      <c r="X26" s="234">
        <f t="shared" si="20"/>
        <v>83</v>
      </c>
      <c r="Y26" s="70">
        <f t="shared" si="21"/>
        <v>1020</v>
      </c>
      <c r="Z26" s="71">
        <f t="shared" si="22"/>
        <v>68</v>
      </c>
      <c r="AA26" s="101">
        <f t="shared" si="23"/>
        <v>23</v>
      </c>
      <c r="AB26" s="73" t="s">
        <v>805</v>
      </c>
      <c r="AC26" s="73" t="s">
        <v>805</v>
      </c>
      <c r="AD26" s="73" t="s">
        <v>807</v>
      </c>
      <c r="AE26" s="74">
        <v>8</v>
      </c>
      <c r="AF26" s="74">
        <v>0</v>
      </c>
      <c r="AG26" s="74">
        <v>0</v>
      </c>
      <c r="AH26" s="246"/>
      <c r="AI26" s="60">
        <v>9</v>
      </c>
      <c r="AJ26" s="93">
        <v>17</v>
      </c>
      <c r="AK26" s="99">
        <v>22230027</v>
      </c>
      <c r="AL26" s="103" t="s">
        <v>546</v>
      </c>
      <c r="AM26" s="68">
        <v>67</v>
      </c>
      <c r="AN26" s="68">
        <v>66</v>
      </c>
      <c r="AO26" s="68">
        <v>82.199999999999989</v>
      </c>
      <c r="AP26" s="68">
        <v>79</v>
      </c>
      <c r="AQ26" s="68">
        <v>48</v>
      </c>
      <c r="AR26" s="68">
        <v>74.699999999999989</v>
      </c>
      <c r="AS26" s="68">
        <v>69</v>
      </c>
      <c r="AT26" s="68">
        <v>74.400000000000006</v>
      </c>
      <c r="AU26" s="68">
        <v>60</v>
      </c>
      <c r="AV26" s="68">
        <v>37</v>
      </c>
      <c r="AW26" s="68">
        <v>62.5</v>
      </c>
      <c r="AX26" s="76">
        <v>55</v>
      </c>
      <c r="AY26" s="76">
        <v>82</v>
      </c>
      <c r="AZ26" s="76">
        <v>70</v>
      </c>
      <c r="BA26" s="76">
        <v>90</v>
      </c>
      <c r="BB26" s="240">
        <v>95</v>
      </c>
      <c r="BC26" s="240">
        <v>75</v>
      </c>
      <c r="BD26" s="240">
        <v>60</v>
      </c>
      <c r="BE26" s="240">
        <v>77.5</v>
      </c>
      <c r="BF26" s="240">
        <v>70</v>
      </c>
      <c r="BG26" s="240">
        <v>82.5</v>
      </c>
      <c r="BH26" s="70">
        <f t="shared" si="24"/>
        <v>1016.8</v>
      </c>
      <c r="BI26" s="71">
        <f t="shared" si="25"/>
        <v>67.786666666666662</v>
      </c>
      <c r="BJ26" s="101" t="e">
        <f t="shared" si="26"/>
        <v>#N/A</v>
      </c>
      <c r="BK26" s="73"/>
      <c r="BL26" s="73"/>
      <c r="BM26" s="73"/>
      <c r="BN26" s="74"/>
      <c r="BO26" s="74"/>
      <c r="BP26" s="74"/>
      <c r="BQ26" s="75"/>
    </row>
    <row r="27" spans="1:69" ht="21.95" customHeight="1">
      <c r="A27" s="93">
        <v>24</v>
      </c>
      <c r="B27" s="99">
        <v>22230096</v>
      </c>
      <c r="C27" s="100" t="s">
        <v>552</v>
      </c>
      <c r="D27" s="68">
        <f t="shared" si="0"/>
        <v>68</v>
      </c>
      <c r="E27" s="68">
        <f t="shared" si="1"/>
        <v>72</v>
      </c>
      <c r="F27" s="68">
        <f t="shared" si="2"/>
        <v>81</v>
      </c>
      <c r="G27" s="68">
        <f t="shared" si="3"/>
        <v>76</v>
      </c>
      <c r="H27" s="68">
        <f t="shared" si="4"/>
        <v>42</v>
      </c>
      <c r="I27" s="68">
        <f t="shared" si="5"/>
        <v>70</v>
      </c>
      <c r="J27" s="68">
        <f t="shared" si="6"/>
        <v>66</v>
      </c>
      <c r="K27" s="68">
        <f t="shared" si="7"/>
        <v>60</v>
      </c>
      <c r="L27" s="68">
        <f t="shared" si="8"/>
        <v>74</v>
      </c>
      <c r="M27" s="68">
        <f t="shared" si="9"/>
        <v>40</v>
      </c>
      <c r="N27" s="68">
        <f t="shared" si="10"/>
        <v>80</v>
      </c>
      <c r="O27" s="69">
        <f t="shared" si="11"/>
        <v>55</v>
      </c>
      <c r="P27" s="69">
        <f t="shared" si="12"/>
        <v>60</v>
      </c>
      <c r="Q27" s="69">
        <f t="shared" si="13"/>
        <v>70</v>
      </c>
      <c r="R27" s="69">
        <f t="shared" si="14"/>
        <v>70</v>
      </c>
      <c r="S27" s="234">
        <f t="shared" si="15"/>
        <v>95</v>
      </c>
      <c r="T27" s="234">
        <f t="shared" si="16"/>
        <v>88</v>
      </c>
      <c r="U27" s="234">
        <f t="shared" si="17"/>
        <v>74</v>
      </c>
      <c r="V27" s="234">
        <f t="shared" si="18"/>
        <v>85</v>
      </c>
      <c r="W27" s="234">
        <f t="shared" si="19"/>
        <v>80</v>
      </c>
      <c r="X27" s="234">
        <f t="shared" si="20"/>
        <v>75</v>
      </c>
      <c r="Y27" s="70">
        <f t="shared" si="21"/>
        <v>984</v>
      </c>
      <c r="Z27" s="71">
        <f t="shared" si="22"/>
        <v>65.599999999999994</v>
      </c>
      <c r="AA27" s="101">
        <f t="shared" si="23"/>
        <v>24</v>
      </c>
      <c r="AB27" s="73" t="s">
        <v>805</v>
      </c>
      <c r="AC27" s="73" t="s">
        <v>805</v>
      </c>
      <c r="AD27" s="73" t="s">
        <v>805</v>
      </c>
      <c r="AE27" s="74">
        <v>20</v>
      </c>
      <c r="AF27" s="74">
        <v>0</v>
      </c>
      <c r="AG27" s="74">
        <v>0</v>
      </c>
      <c r="AH27" s="246"/>
      <c r="AI27" s="60">
        <v>9</v>
      </c>
      <c r="AJ27" s="93">
        <v>23</v>
      </c>
      <c r="AK27" s="99">
        <v>22230096</v>
      </c>
      <c r="AL27" s="100" t="s">
        <v>552</v>
      </c>
      <c r="AM27" s="68">
        <v>67.5</v>
      </c>
      <c r="AN27" s="68">
        <v>72.2</v>
      </c>
      <c r="AO27" s="68">
        <v>81.400000000000006</v>
      </c>
      <c r="AP27" s="68">
        <v>76</v>
      </c>
      <c r="AQ27" s="68">
        <v>42</v>
      </c>
      <c r="AR27" s="68">
        <v>69.5</v>
      </c>
      <c r="AS27" s="68">
        <v>66.2</v>
      </c>
      <c r="AT27" s="68">
        <v>60.2</v>
      </c>
      <c r="AU27" s="68">
        <v>74</v>
      </c>
      <c r="AV27" s="68">
        <v>35.5</v>
      </c>
      <c r="AW27" s="68">
        <v>80</v>
      </c>
      <c r="AX27" s="76">
        <v>55</v>
      </c>
      <c r="AY27" s="76">
        <v>60</v>
      </c>
      <c r="AZ27" s="76">
        <v>70</v>
      </c>
      <c r="BA27" s="76">
        <v>70</v>
      </c>
      <c r="BB27" s="240">
        <v>95</v>
      </c>
      <c r="BC27" s="240">
        <v>87.5</v>
      </c>
      <c r="BD27" s="240">
        <v>74</v>
      </c>
      <c r="BE27" s="240">
        <v>85</v>
      </c>
      <c r="BF27" s="240">
        <v>80</v>
      </c>
      <c r="BG27" s="240">
        <v>75</v>
      </c>
      <c r="BH27" s="70">
        <f t="shared" si="24"/>
        <v>979.5</v>
      </c>
      <c r="BI27" s="71">
        <f t="shared" si="25"/>
        <v>65.3</v>
      </c>
      <c r="BJ27" s="101" t="e">
        <f t="shared" si="26"/>
        <v>#N/A</v>
      </c>
      <c r="BK27" s="73"/>
      <c r="BL27" s="73"/>
      <c r="BM27" s="73"/>
      <c r="BN27" s="74"/>
      <c r="BO27" s="74"/>
      <c r="BP27" s="74"/>
      <c r="BQ27" s="75"/>
    </row>
    <row r="28" spans="1:69" ht="21.95" customHeight="1">
      <c r="A28" s="93">
        <v>25</v>
      </c>
      <c r="B28" s="99">
        <v>22230047</v>
      </c>
      <c r="C28" s="107" t="s">
        <v>537</v>
      </c>
      <c r="D28" s="68">
        <f t="shared" si="0"/>
        <v>60</v>
      </c>
      <c r="E28" s="68">
        <f t="shared" si="1"/>
        <v>63</v>
      </c>
      <c r="F28" s="68">
        <f t="shared" si="2"/>
        <v>57</v>
      </c>
      <c r="G28" s="68">
        <f t="shared" si="3"/>
        <v>78</v>
      </c>
      <c r="H28" s="68">
        <f t="shared" si="4"/>
        <v>54</v>
      </c>
      <c r="I28" s="68">
        <f t="shared" si="5"/>
        <v>52</v>
      </c>
      <c r="J28" s="68">
        <f t="shared" si="6"/>
        <v>57</v>
      </c>
      <c r="K28" s="68">
        <f t="shared" si="7"/>
        <v>55</v>
      </c>
      <c r="L28" s="68">
        <f t="shared" si="8"/>
        <v>48</v>
      </c>
      <c r="M28" s="68">
        <f t="shared" si="9"/>
        <v>40</v>
      </c>
      <c r="N28" s="68">
        <f t="shared" si="10"/>
        <v>64</v>
      </c>
      <c r="O28" s="69">
        <f t="shared" si="11"/>
        <v>55</v>
      </c>
      <c r="P28" s="69">
        <f t="shared" si="12"/>
        <v>70</v>
      </c>
      <c r="Q28" s="69">
        <f t="shared" si="13"/>
        <v>75</v>
      </c>
      <c r="R28" s="69">
        <f t="shared" si="14"/>
        <v>70</v>
      </c>
      <c r="S28" s="234">
        <f t="shared" si="15"/>
        <v>93</v>
      </c>
      <c r="T28" s="234">
        <f t="shared" si="16"/>
        <v>80</v>
      </c>
      <c r="U28" s="234">
        <f t="shared" si="17"/>
        <v>48</v>
      </c>
      <c r="V28" s="234">
        <f t="shared" si="18"/>
        <v>75</v>
      </c>
      <c r="W28" s="234">
        <f t="shared" si="19"/>
        <v>73</v>
      </c>
      <c r="X28" s="234">
        <f t="shared" si="20"/>
        <v>73</v>
      </c>
      <c r="Y28" s="70">
        <f t="shared" si="21"/>
        <v>898</v>
      </c>
      <c r="Z28" s="71">
        <f t="shared" si="22"/>
        <v>59.866666666666667</v>
      </c>
      <c r="AA28" s="101">
        <f t="shared" si="23"/>
        <v>25</v>
      </c>
      <c r="AB28" s="73" t="s">
        <v>807</v>
      </c>
      <c r="AC28" s="73" t="s">
        <v>807</v>
      </c>
      <c r="AD28" s="73" t="s">
        <v>807</v>
      </c>
      <c r="AE28" s="74">
        <v>74</v>
      </c>
      <c r="AF28" s="74">
        <v>0</v>
      </c>
      <c r="AG28" s="74">
        <v>5</v>
      </c>
      <c r="AH28" s="246"/>
      <c r="AI28" s="60">
        <v>4</v>
      </c>
      <c r="AJ28" s="93">
        <v>8</v>
      </c>
      <c r="AK28" s="99">
        <v>22230047</v>
      </c>
      <c r="AL28" s="102" t="s">
        <v>537</v>
      </c>
      <c r="AM28" s="68">
        <v>59.5</v>
      </c>
      <c r="AN28" s="68">
        <v>62.5</v>
      </c>
      <c r="AO28" s="68">
        <v>56.8</v>
      </c>
      <c r="AP28" s="68">
        <v>77.5</v>
      </c>
      <c r="AQ28" s="68">
        <v>54</v>
      </c>
      <c r="AR28" s="68">
        <v>52</v>
      </c>
      <c r="AS28" s="68">
        <v>56.5</v>
      </c>
      <c r="AT28" s="68">
        <v>55</v>
      </c>
      <c r="AU28" s="68">
        <v>48</v>
      </c>
      <c r="AV28" s="68">
        <v>38.5</v>
      </c>
      <c r="AW28" s="68">
        <v>64</v>
      </c>
      <c r="AX28" s="76">
        <v>55</v>
      </c>
      <c r="AY28" s="76">
        <v>70</v>
      </c>
      <c r="AZ28" s="76">
        <v>75</v>
      </c>
      <c r="BA28" s="76">
        <v>70</v>
      </c>
      <c r="BB28" s="240">
        <v>92.5</v>
      </c>
      <c r="BC28" s="240">
        <v>80</v>
      </c>
      <c r="BD28" s="240">
        <v>48</v>
      </c>
      <c r="BE28" s="240">
        <v>75</v>
      </c>
      <c r="BF28" s="240">
        <v>72.5</v>
      </c>
      <c r="BG28" s="240">
        <v>72.5</v>
      </c>
      <c r="BH28" s="70">
        <f t="shared" si="24"/>
        <v>894.3</v>
      </c>
      <c r="BI28" s="71">
        <f t="shared" si="25"/>
        <v>59.62</v>
      </c>
      <c r="BJ28" s="101" t="e">
        <f t="shared" si="26"/>
        <v>#N/A</v>
      </c>
      <c r="BK28" s="73"/>
      <c r="BL28" s="73"/>
      <c r="BM28" s="73"/>
      <c r="BN28" s="74"/>
      <c r="BO28" s="74"/>
      <c r="BP28" s="74"/>
      <c r="BQ28" s="75"/>
    </row>
    <row r="29" spans="1:69" ht="21.95" customHeight="1">
      <c r="A29" s="93">
        <v>26</v>
      </c>
      <c r="B29" s="99">
        <v>22230012</v>
      </c>
      <c r="C29" s="102" t="s">
        <v>553</v>
      </c>
      <c r="D29" s="68">
        <f t="shared" si="0"/>
        <v>66</v>
      </c>
      <c r="E29" s="68">
        <f t="shared" si="1"/>
        <v>55</v>
      </c>
      <c r="F29" s="68">
        <f t="shared" si="2"/>
        <v>70</v>
      </c>
      <c r="G29" s="68">
        <f t="shared" si="3"/>
        <v>76</v>
      </c>
      <c r="H29" s="68">
        <f t="shared" si="4"/>
        <v>58</v>
      </c>
      <c r="I29" s="68">
        <f t="shared" si="5"/>
        <v>57</v>
      </c>
      <c r="J29" s="68">
        <f t="shared" si="6"/>
        <v>50</v>
      </c>
      <c r="K29" s="68">
        <f t="shared" si="7"/>
        <v>50</v>
      </c>
      <c r="L29" s="68">
        <f t="shared" si="8"/>
        <v>52</v>
      </c>
      <c r="M29" s="68">
        <f t="shared" si="9"/>
        <v>40</v>
      </c>
      <c r="N29" s="68">
        <f t="shared" si="10"/>
        <v>62</v>
      </c>
      <c r="O29" s="69">
        <f t="shared" si="11"/>
        <v>55</v>
      </c>
      <c r="P29" s="69">
        <f t="shared" si="12"/>
        <v>60</v>
      </c>
      <c r="Q29" s="69">
        <f t="shared" si="13"/>
        <v>75</v>
      </c>
      <c r="R29" s="69">
        <f t="shared" si="14"/>
        <v>70</v>
      </c>
      <c r="S29" s="234">
        <f t="shared" si="15"/>
        <v>99</v>
      </c>
      <c r="T29" s="234">
        <f t="shared" si="16"/>
        <v>85</v>
      </c>
      <c r="U29" s="234">
        <f t="shared" si="17"/>
        <v>52</v>
      </c>
      <c r="V29" s="234">
        <f t="shared" si="18"/>
        <v>93</v>
      </c>
      <c r="W29" s="234">
        <f t="shared" si="19"/>
        <v>83</v>
      </c>
      <c r="X29" s="234">
        <f t="shared" si="20"/>
        <v>88</v>
      </c>
      <c r="Y29" s="70">
        <f t="shared" si="21"/>
        <v>896</v>
      </c>
      <c r="Z29" s="71">
        <f t="shared" si="22"/>
        <v>59.733333333333334</v>
      </c>
      <c r="AA29" s="101">
        <f t="shared" si="23"/>
        <v>26</v>
      </c>
      <c r="AB29" s="73" t="s">
        <v>805</v>
      </c>
      <c r="AC29" s="73" t="s">
        <v>805</v>
      </c>
      <c r="AD29" s="73" t="s">
        <v>807</v>
      </c>
      <c r="AE29" s="74">
        <v>0</v>
      </c>
      <c r="AF29" s="74">
        <v>16</v>
      </c>
      <c r="AG29" s="74">
        <v>0</v>
      </c>
      <c r="AH29" s="246"/>
      <c r="AI29" s="60">
        <v>9</v>
      </c>
      <c r="AJ29" s="93">
        <v>24</v>
      </c>
      <c r="AK29" s="99">
        <v>22230012</v>
      </c>
      <c r="AL29" s="102" t="s">
        <v>553</v>
      </c>
      <c r="AM29" s="68">
        <v>66</v>
      </c>
      <c r="AN29" s="68">
        <v>55</v>
      </c>
      <c r="AO29" s="68">
        <v>70</v>
      </c>
      <c r="AP29" s="68">
        <v>76</v>
      </c>
      <c r="AQ29" s="68">
        <v>58</v>
      </c>
      <c r="AR29" s="68">
        <v>56.5</v>
      </c>
      <c r="AS29" s="68">
        <v>50</v>
      </c>
      <c r="AT29" s="68">
        <v>50</v>
      </c>
      <c r="AU29" s="68">
        <v>52</v>
      </c>
      <c r="AV29" s="68">
        <v>38</v>
      </c>
      <c r="AW29" s="68">
        <v>62</v>
      </c>
      <c r="AX29" s="76">
        <v>55</v>
      </c>
      <c r="AY29" s="76">
        <v>60</v>
      </c>
      <c r="AZ29" s="76">
        <v>75</v>
      </c>
      <c r="BA29" s="76">
        <v>70</v>
      </c>
      <c r="BB29" s="240">
        <v>100</v>
      </c>
      <c r="BC29" s="240">
        <v>85</v>
      </c>
      <c r="BD29" s="240">
        <v>52</v>
      </c>
      <c r="BE29" s="240">
        <v>92.5</v>
      </c>
      <c r="BF29" s="240">
        <v>82.5</v>
      </c>
      <c r="BG29" s="240">
        <v>87.5</v>
      </c>
      <c r="BH29" s="70">
        <f t="shared" si="24"/>
        <v>893.5</v>
      </c>
      <c r="BI29" s="71">
        <f t="shared" si="25"/>
        <v>59.56666666666667</v>
      </c>
      <c r="BJ29" s="101" t="e">
        <f t="shared" si="26"/>
        <v>#N/A</v>
      </c>
      <c r="BK29" s="73"/>
      <c r="BL29" s="73"/>
      <c r="BM29" s="73"/>
      <c r="BN29" s="74"/>
      <c r="BO29" s="74"/>
      <c r="BP29" s="74"/>
      <c r="BQ29" s="75"/>
    </row>
    <row r="30" spans="1:69" ht="21.95" customHeight="1">
      <c r="A30" s="93">
        <v>27</v>
      </c>
      <c r="B30" s="99">
        <v>22230118</v>
      </c>
      <c r="C30" s="103" t="s">
        <v>547</v>
      </c>
      <c r="D30" s="68">
        <f t="shared" si="0"/>
        <v>58</v>
      </c>
      <c r="E30" s="68">
        <f t="shared" si="1"/>
        <v>56</v>
      </c>
      <c r="F30" s="68">
        <f t="shared" si="2"/>
        <v>56</v>
      </c>
      <c r="G30" s="68">
        <f t="shared" si="3"/>
        <v>72</v>
      </c>
      <c r="H30" s="68">
        <f t="shared" si="4"/>
        <v>48</v>
      </c>
      <c r="I30" s="68">
        <f t="shared" si="5"/>
        <v>52</v>
      </c>
      <c r="J30" s="68">
        <f t="shared" si="6"/>
        <v>59</v>
      </c>
      <c r="K30" s="68">
        <f t="shared" si="7"/>
        <v>50</v>
      </c>
      <c r="L30" s="68">
        <f t="shared" si="8"/>
        <v>51</v>
      </c>
      <c r="M30" s="68">
        <f t="shared" si="9"/>
        <v>40</v>
      </c>
      <c r="N30" s="68">
        <f t="shared" si="10"/>
        <v>63</v>
      </c>
      <c r="O30" s="69">
        <f t="shared" si="11"/>
        <v>60</v>
      </c>
      <c r="P30" s="69">
        <f t="shared" si="12"/>
        <v>70</v>
      </c>
      <c r="Q30" s="69">
        <f t="shared" si="13"/>
        <v>70</v>
      </c>
      <c r="R30" s="69">
        <f t="shared" si="14"/>
        <v>40</v>
      </c>
      <c r="S30" s="234">
        <f t="shared" si="15"/>
        <v>93</v>
      </c>
      <c r="T30" s="234">
        <f t="shared" si="16"/>
        <v>88</v>
      </c>
      <c r="U30" s="234">
        <f t="shared" si="17"/>
        <v>51</v>
      </c>
      <c r="V30" s="234">
        <f t="shared" si="18"/>
        <v>78</v>
      </c>
      <c r="W30" s="234">
        <f t="shared" si="19"/>
        <v>73</v>
      </c>
      <c r="X30" s="234">
        <f t="shared" si="20"/>
        <v>78</v>
      </c>
      <c r="Y30" s="70">
        <f t="shared" si="21"/>
        <v>845</v>
      </c>
      <c r="Z30" s="71">
        <f t="shared" si="22"/>
        <v>56.333333333333336</v>
      </c>
      <c r="AA30" s="101">
        <f t="shared" si="23"/>
        <v>27</v>
      </c>
      <c r="AB30" s="73" t="s">
        <v>807</v>
      </c>
      <c r="AC30" s="73" t="s">
        <v>807</v>
      </c>
      <c r="AD30" s="73" t="s">
        <v>807</v>
      </c>
      <c r="AE30" s="74">
        <v>51</v>
      </c>
      <c r="AF30" s="74">
        <v>0</v>
      </c>
      <c r="AG30" s="74">
        <v>3</v>
      </c>
      <c r="AH30" s="246"/>
      <c r="AI30" s="60">
        <v>6</v>
      </c>
      <c r="AJ30" s="93">
        <v>18</v>
      </c>
      <c r="AK30" s="99">
        <v>22230118</v>
      </c>
      <c r="AL30" s="103" t="s">
        <v>547</v>
      </c>
      <c r="AM30" s="68">
        <v>58</v>
      </c>
      <c r="AN30" s="68">
        <v>56</v>
      </c>
      <c r="AO30" s="68">
        <v>55.599999999999994</v>
      </c>
      <c r="AP30" s="68">
        <v>72</v>
      </c>
      <c r="AQ30" s="68">
        <v>48</v>
      </c>
      <c r="AR30" s="68">
        <v>51.5</v>
      </c>
      <c r="AS30" s="68">
        <v>59</v>
      </c>
      <c r="AT30" s="68">
        <v>50</v>
      </c>
      <c r="AU30" s="68">
        <v>51</v>
      </c>
      <c r="AV30" s="68">
        <v>30</v>
      </c>
      <c r="AW30" s="68">
        <v>63</v>
      </c>
      <c r="AX30" s="76">
        <v>60</v>
      </c>
      <c r="AY30" s="76">
        <v>70</v>
      </c>
      <c r="AZ30" s="76">
        <v>70</v>
      </c>
      <c r="BA30" s="76">
        <v>40</v>
      </c>
      <c r="BB30" s="240">
        <v>92.5</v>
      </c>
      <c r="BC30" s="240">
        <v>87.5</v>
      </c>
      <c r="BD30" s="240">
        <v>51</v>
      </c>
      <c r="BE30" s="240">
        <v>77.5</v>
      </c>
      <c r="BF30" s="240">
        <v>72.5</v>
      </c>
      <c r="BG30" s="240">
        <v>77.5</v>
      </c>
      <c r="BH30" s="70">
        <f t="shared" si="24"/>
        <v>834.1</v>
      </c>
      <c r="BI30" s="71">
        <f t="shared" si="25"/>
        <v>55.606666666666669</v>
      </c>
      <c r="BJ30" s="101" t="e">
        <f t="shared" si="26"/>
        <v>#N/A</v>
      </c>
      <c r="BK30" s="73"/>
      <c r="BL30" s="73"/>
      <c r="BM30" s="73"/>
      <c r="BN30" s="74"/>
      <c r="BO30" s="74"/>
      <c r="BP30" s="74"/>
      <c r="BQ30" s="75"/>
    </row>
    <row r="31" spans="1:69" ht="21.95" customHeight="1">
      <c r="A31" s="93">
        <v>28</v>
      </c>
      <c r="B31" s="99">
        <v>21220130</v>
      </c>
      <c r="C31" s="107" t="s">
        <v>544</v>
      </c>
      <c r="D31" s="68">
        <f t="shared" si="0"/>
        <v>67</v>
      </c>
      <c r="E31" s="68">
        <f t="shared" si="1"/>
        <v>49</v>
      </c>
      <c r="F31" s="68">
        <f t="shared" si="2"/>
        <v>40</v>
      </c>
      <c r="G31" s="68">
        <f t="shared" si="3"/>
        <v>70</v>
      </c>
      <c r="H31" s="68">
        <f t="shared" si="4"/>
        <v>47</v>
      </c>
      <c r="I31" s="68">
        <f t="shared" si="5"/>
        <v>53</v>
      </c>
      <c r="J31" s="68">
        <f t="shared" si="6"/>
        <v>49</v>
      </c>
      <c r="K31" s="68">
        <f t="shared" si="7"/>
        <v>49</v>
      </c>
      <c r="L31" s="68">
        <f t="shared" si="8"/>
        <v>40</v>
      </c>
      <c r="M31" s="68">
        <f t="shared" si="9"/>
        <v>41</v>
      </c>
      <c r="N31" s="68">
        <f t="shared" si="10"/>
        <v>67</v>
      </c>
      <c r="O31" s="69">
        <f t="shared" si="11"/>
        <v>55</v>
      </c>
      <c r="P31" s="69">
        <f t="shared" si="12"/>
        <v>60</v>
      </c>
      <c r="Q31" s="69">
        <f t="shared" si="13"/>
        <v>80</v>
      </c>
      <c r="R31" s="69">
        <f t="shared" si="14"/>
        <v>60</v>
      </c>
      <c r="S31" s="234">
        <f t="shared" si="15"/>
        <v>98</v>
      </c>
      <c r="T31" s="234">
        <f t="shared" si="16"/>
        <v>78</v>
      </c>
      <c r="U31" s="234">
        <f t="shared" si="17"/>
        <v>40</v>
      </c>
      <c r="V31" s="234">
        <f t="shared" si="18"/>
        <v>85</v>
      </c>
      <c r="W31" s="234">
        <f t="shared" si="19"/>
        <v>73</v>
      </c>
      <c r="X31" s="234">
        <f t="shared" si="20"/>
        <v>75</v>
      </c>
      <c r="Y31" s="70">
        <f t="shared" si="21"/>
        <v>827</v>
      </c>
      <c r="Z31" s="71">
        <f t="shared" si="22"/>
        <v>55.133333333333333</v>
      </c>
      <c r="AA31" s="101">
        <f t="shared" si="23"/>
        <v>28</v>
      </c>
      <c r="AB31" s="73" t="s">
        <v>807</v>
      </c>
      <c r="AC31" s="73" t="s">
        <v>807</v>
      </c>
      <c r="AD31" s="73" t="s">
        <v>807</v>
      </c>
      <c r="AE31" s="74">
        <v>69</v>
      </c>
      <c r="AF31" s="74">
        <v>69</v>
      </c>
      <c r="AG31" s="74">
        <v>2</v>
      </c>
      <c r="AH31" s="246"/>
      <c r="AI31" s="60">
        <v>0</v>
      </c>
      <c r="AJ31" s="93">
        <v>15</v>
      </c>
      <c r="AK31" s="99">
        <v>21220130</v>
      </c>
      <c r="AL31" s="100" t="s">
        <v>544</v>
      </c>
      <c r="AM31" s="68">
        <v>66.5</v>
      </c>
      <c r="AN31" s="68">
        <v>49.1</v>
      </c>
      <c r="AO31" s="68">
        <v>34.599999999999994</v>
      </c>
      <c r="AP31" s="68">
        <v>70</v>
      </c>
      <c r="AQ31" s="68">
        <v>47</v>
      </c>
      <c r="AR31" s="68">
        <v>53</v>
      </c>
      <c r="AS31" s="68">
        <v>49.1</v>
      </c>
      <c r="AT31" s="68">
        <v>49.1</v>
      </c>
      <c r="AU31" s="68">
        <v>37</v>
      </c>
      <c r="AV31" s="68">
        <v>40.5</v>
      </c>
      <c r="AW31" s="68">
        <v>67</v>
      </c>
      <c r="AX31" s="76">
        <v>55</v>
      </c>
      <c r="AY31" s="76">
        <v>60</v>
      </c>
      <c r="AZ31" s="76">
        <v>80</v>
      </c>
      <c r="BA31" s="76">
        <v>60</v>
      </c>
      <c r="BB31" s="240">
        <v>97.5</v>
      </c>
      <c r="BC31" s="240">
        <v>77.5</v>
      </c>
      <c r="BD31" s="240">
        <v>37</v>
      </c>
      <c r="BE31" s="240">
        <v>85</v>
      </c>
      <c r="BF31" s="240">
        <v>72.5</v>
      </c>
      <c r="BG31" s="240">
        <v>75</v>
      </c>
      <c r="BH31" s="70">
        <f t="shared" si="24"/>
        <v>817.90000000000009</v>
      </c>
      <c r="BI31" s="71">
        <f t="shared" si="25"/>
        <v>54.526666666666671</v>
      </c>
      <c r="BJ31" s="101" t="e">
        <f t="shared" si="26"/>
        <v>#N/A</v>
      </c>
      <c r="BK31" s="73"/>
      <c r="BL31" s="73"/>
      <c r="BM31" s="73"/>
      <c r="BN31" s="74"/>
      <c r="BO31" s="74"/>
      <c r="BP31" s="74"/>
      <c r="BQ31" s="75"/>
    </row>
    <row r="32" spans="1:69" ht="21.95" customHeight="1">
      <c r="A32" s="93">
        <v>29</v>
      </c>
      <c r="B32" s="99">
        <v>22230026</v>
      </c>
      <c r="C32" s="107" t="s">
        <v>541</v>
      </c>
      <c r="D32" s="68">
        <f t="shared" si="0"/>
        <v>0</v>
      </c>
      <c r="E32" s="68">
        <f t="shared" si="1"/>
        <v>0</v>
      </c>
      <c r="F32" s="68">
        <f t="shared" si="2"/>
        <v>0</v>
      </c>
      <c r="G32" s="68">
        <f t="shared" si="3"/>
        <v>0</v>
      </c>
      <c r="H32" s="68">
        <f t="shared" si="4"/>
        <v>0</v>
      </c>
      <c r="I32" s="68">
        <f t="shared" si="5"/>
        <v>0</v>
      </c>
      <c r="J32" s="68">
        <f t="shared" si="6"/>
        <v>0</v>
      </c>
      <c r="K32" s="68">
        <f t="shared" si="7"/>
        <v>0</v>
      </c>
      <c r="L32" s="68">
        <f t="shared" si="8"/>
        <v>0</v>
      </c>
      <c r="M32" s="68">
        <f t="shared" si="9"/>
        <v>0</v>
      </c>
      <c r="N32" s="68">
        <f t="shared" si="10"/>
        <v>0</v>
      </c>
      <c r="O32" s="69">
        <f t="shared" si="11"/>
        <v>0</v>
      </c>
      <c r="P32" s="69">
        <f t="shared" si="12"/>
        <v>0</v>
      </c>
      <c r="Q32" s="69">
        <f t="shared" si="13"/>
        <v>0</v>
      </c>
      <c r="R32" s="69">
        <f t="shared" si="14"/>
        <v>0</v>
      </c>
      <c r="S32" s="234">
        <f t="shared" si="15"/>
        <v>95</v>
      </c>
      <c r="T32" s="234">
        <f t="shared" si="16"/>
        <v>83</v>
      </c>
      <c r="U32" s="234">
        <f t="shared" si="17"/>
        <v>50</v>
      </c>
      <c r="V32" s="234">
        <f t="shared" si="18"/>
        <v>80</v>
      </c>
      <c r="W32" s="234">
        <f t="shared" si="19"/>
        <v>70</v>
      </c>
      <c r="X32" s="234">
        <f t="shared" si="20"/>
        <v>75</v>
      </c>
      <c r="Y32" s="70">
        <f t="shared" si="21"/>
        <v>0</v>
      </c>
      <c r="Z32" s="71">
        <f t="shared" si="22"/>
        <v>0</v>
      </c>
      <c r="AA32" s="101">
        <f t="shared" si="23"/>
        <v>29</v>
      </c>
      <c r="AB32" s="73"/>
      <c r="AC32" s="73"/>
      <c r="AD32" s="73"/>
      <c r="AE32" s="74">
        <v>0</v>
      </c>
      <c r="AF32" s="74">
        <v>84</v>
      </c>
      <c r="AG32" s="74">
        <v>0</v>
      </c>
      <c r="AH32" s="246"/>
      <c r="AI32" s="60">
        <v>4</v>
      </c>
      <c r="AJ32" s="93">
        <v>12</v>
      </c>
      <c r="AK32" s="99">
        <v>22230026</v>
      </c>
      <c r="AL32" s="102" t="s">
        <v>541</v>
      </c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76"/>
      <c r="AY32" s="76"/>
      <c r="AZ32" s="76"/>
      <c r="BA32" s="76"/>
      <c r="BB32" s="240">
        <v>95</v>
      </c>
      <c r="BC32" s="240">
        <v>82.5</v>
      </c>
      <c r="BD32" s="240">
        <v>50</v>
      </c>
      <c r="BE32" s="240">
        <v>80</v>
      </c>
      <c r="BF32" s="240">
        <v>70</v>
      </c>
      <c r="BG32" s="240">
        <v>75</v>
      </c>
      <c r="BH32" s="70">
        <f t="shared" si="24"/>
        <v>0</v>
      </c>
      <c r="BI32" s="71" t="e">
        <f t="shared" si="25"/>
        <v>#DIV/0!</v>
      </c>
      <c r="BJ32" s="101" t="e">
        <f t="shared" si="26"/>
        <v>#N/A</v>
      </c>
      <c r="BK32" s="73"/>
      <c r="BL32" s="73"/>
      <c r="BM32" s="73"/>
      <c r="BN32" s="74"/>
      <c r="BO32" s="74"/>
      <c r="BP32" s="74"/>
      <c r="BQ32" s="75"/>
    </row>
    <row r="33" spans="1:69" ht="21.95" customHeight="1">
      <c r="A33" s="267" t="s">
        <v>202</v>
      </c>
      <c r="B33" s="268"/>
      <c r="C33" s="269"/>
      <c r="D33" s="72">
        <f t="shared" ref="D33:R33" si="27">SUM(D4:D29)</f>
        <v>2260</v>
      </c>
      <c r="E33" s="72">
        <f t="shared" si="27"/>
        <v>1999</v>
      </c>
      <c r="F33" s="72">
        <f t="shared" si="27"/>
        <v>2229</v>
      </c>
      <c r="G33" s="72">
        <f t="shared" si="27"/>
        <v>2144</v>
      </c>
      <c r="H33" s="72">
        <f t="shared" si="27"/>
        <v>1624</v>
      </c>
      <c r="I33" s="72">
        <f t="shared" si="27"/>
        <v>2198</v>
      </c>
      <c r="J33" s="72">
        <f t="shared" si="27"/>
        <v>2034</v>
      </c>
      <c r="K33" s="72">
        <f t="shared" si="27"/>
        <v>2118</v>
      </c>
      <c r="L33" s="72">
        <f t="shared" si="27"/>
        <v>2044</v>
      </c>
      <c r="M33" s="72">
        <f t="shared" si="27"/>
        <v>1588</v>
      </c>
      <c r="N33" s="72">
        <f t="shared" si="27"/>
        <v>2217</v>
      </c>
      <c r="O33" s="72">
        <f t="shared" si="27"/>
        <v>1940</v>
      </c>
      <c r="P33" s="72">
        <f t="shared" si="27"/>
        <v>2194</v>
      </c>
      <c r="Q33" s="72">
        <f t="shared" si="27"/>
        <v>2074</v>
      </c>
      <c r="R33" s="72">
        <f t="shared" si="27"/>
        <v>2185</v>
      </c>
      <c r="S33" s="72"/>
      <c r="T33" s="72"/>
      <c r="U33" s="72"/>
      <c r="V33" s="72"/>
      <c r="W33" s="72"/>
      <c r="X33" s="72"/>
      <c r="Y33" s="81"/>
      <c r="Z33" s="81"/>
      <c r="AA33" s="81"/>
      <c r="AB33" s="81"/>
      <c r="AC33" s="81"/>
      <c r="AD33" s="81"/>
      <c r="AE33" s="81"/>
      <c r="AF33" s="81"/>
      <c r="AG33" s="81"/>
      <c r="AH33" s="82"/>
      <c r="AJ33" s="267" t="s">
        <v>202</v>
      </c>
      <c r="AK33" s="268"/>
      <c r="AL33" s="269"/>
      <c r="AM33" s="72">
        <f t="shared" ref="AM33:AW33" si="28">SUM(AM4:AM29)</f>
        <v>2259.9000000000005</v>
      </c>
      <c r="AN33" s="72">
        <f t="shared" si="28"/>
        <v>1997.9</v>
      </c>
      <c r="AO33" s="72">
        <f t="shared" si="28"/>
        <v>2227.2999999999997</v>
      </c>
      <c r="AP33" s="72">
        <f t="shared" si="28"/>
        <v>2139</v>
      </c>
      <c r="AQ33" s="72">
        <f t="shared" si="28"/>
        <v>1622</v>
      </c>
      <c r="AR33" s="72">
        <f t="shared" si="28"/>
        <v>2195.1999999999998</v>
      </c>
      <c r="AS33" s="72">
        <f t="shared" si="28"/>
        <v>2033.1000000000004</v>
      </c>
      <c r="AT33" s="72">
        <f t="shared" si="28"/>
        <v>2118.5999999999995</v>
      </c>
      <c r="AU33" s="72">
        <f t="shared" si="28"/>
        <v>2043.5</v>
      </c>
      <c r="AV33" s="72">
        <f t="shared" si="28"/>
        <v>1550.2</v>
      </c>
      <c r="AW33" s="72">
        <f t="shared" si="28"/>
        <v>2210.4</v>
      </c>
      <c r="AX33" s="72">
        <f>SUM(AX4:AX32)</f>
        <v>2055</v>
      </c>
      <c r="AY33" s="72">
        <f>SUM(AY4:AY32)</f>
        <v>2324</v>
      </c>
      <c r="AZ33" s="72">
        <f>SUM(AZ4:AZ32)</f>
        <v>2224</v>
      </c>
      <c r="BA33" s="72">
        <f>SUM(BA4:BA32)</f>
        <v>2285</v>
      </c>
      <c r="BB33" s="72"/>
      <c r="BC33" s="72"/>
      <c r="BD33" s="72"/>
      <c r="BE33" s="72"/>
      <c r="BF33" s="72"/>
      <c r="BG33" s="72"/>
      <c r="BH33" s="81"/>
      <c r="BI33" s="81"/>
      <c r="BJ33" s="81"/>
      <c r="BK33" s="81"/>
      <c r="BL33" s="81"/>
      <c r="BM33" s="81"/>
      <c r="BN33" s="81"/>
      <c r="BO33" s="81"/>
      <c r="BP33" s="81"/>
      <c r="BQ33" s="82"/>
    </row>
    <row r="34" spans="1:69" ht="21.95" customHeight="1">
      <c r="A34" s="267" t="s">
        <v>203</v>
      </c>
      <c r="B34" s="268"/>
      <c r="C34" s="269"/>
      <c r="D34" s="72">
        <f t="shared" ref="D34:R34" si="29">AVERAGE(D4:D29)</f>
        <v>86.92307692307692</v>
      </c>
      <c r="E34" s="72">
        <f t="shared" si="29"/>
        <v>76.884615384615387</v>
      </c>
      <c r="F34" s="72">
        <f t="shared" si="29"/>
        <v>85.730769230769226</v>
      </c>
      <c r="G34" s="72">
        <f t="shared" si="29"/>
        <v>82.461538461538467</v>
      </c>
      <c r="H34" s="72">
        <f t="shared" si="29"/>
        <v>62.46153846153846</v>
      </c>
      <c r="I34" s="72">
        <f t="shared" si="29"/>
        <v>84.538461538461533</v>
      </c>
      <c r="J34" s="72">
        <f t="shared" si="29"/>
        <v>78.230769230769226</v>
      </c>
      <c r="K34" s="72">
        <f t="shared" si="29"/>
        <v>81.461538461538467</v>
      </c>
      <c r="L34" s="72">
        <f t="shared" si="29"/>
        <v>78.615384615384613</v>
      </c>
      <c r="M34" s="72">
        <f t="shared" si="29"/>
        <v>61.07692307692308</v>
      </c>
      <c r="N34" s="72">
        <f t="shared" si="29"/>
        <v>85.269230769230774</v>
      </c>
      <c r="O34" s="72">
        <f t="shared" si="29"/>
        <v>74.615384615384613</v>
      </c>
      <c r="P34" s="72">
        <f t="shared" si="29"/>
        <v>84.384615384615387</v>
      </c>
      <c r="Q34" s="72">
        <f t="shared" si="29"/>
        <v>79.769230769230774</v>
      </c>
      <c r="R34" s="72">
        <f t="shared" si="29"/>
        <v>84.038461538461533</v>
      </c>
      <c r="S34" s="72"/>
      <c r="T34" s="72"/>
      <c r="U34" s="72"/>
      <c r="V34" s="72"/>
      <c r="W34" s="72"/>
      <c r="X34" s="72"/>
      <c r="Y34" s="81"/>
      <c r="Z34" s="81"/>
      <c r="AA34" s="81"/>
      <c r="AB34" s="81"/>
      <c r="AC34" s="81"/>
      <c r="AD34" s="81"/>
      <c r="AE34" s="81"/>
      <c r="AF34" s="81"/>
      <c r="AG34" s="81"/>
      <c r="AH34" s="82"/>
      <c r="AJ34" s="267" t="s">
        <v>203</v>
      </c>
      <c r="AK34" s="268"/>
      <c r="AL34" s="269"/>
      <c r="AM34" s="72">
        <f t="shared" ref="AM34:AW34" si="30">AVERAGE(AM4:AM29)</f>
        <v>86.919230769230793</v>
      </c>
      <c r="AN34" s="72">
        <f t="shared" si="30"/>
        <v>76.842307692307699</v>
      </c>
      <c r="AO34" s="72">
        <f t="shared" si="30"/>
        <v>85.66538461538461</v>
      </c>
      <c r="AP34" s="72">
        <f t="shared" si="30"/>
        <v>82.269230769230774</v>
      </c>
      <c r="AQ34" s="72">
        <f t="shared" si="30"/>
        <v>62.384615384615387</v>
      </c>
      <c r="AR34" s="72">
        <f t="shared" si="30"/>
        <v>84.430769230769229</v>
      </c>
      <c r="AS34" s="72">
        <f t="shared" si="30"/>
        <v>78.196153846153862</v>
      </c>
      <c r="AT34" s="72">
        <f t="shared" si="30"/>
        <v>81.484615384615367</v>
      </c>
      <c r="AU34" s="72">
        <f t="shared" si="30"/>
        <v>78.59615384615384</v>
      </c>
      <c r="AV34" s="72">
        <f t="shared" si="30"/>
        <v>59.623076923076923</v>
      </c>
      <c r="AW34" s="72">
        <f t="shared" si="30"/>
        <v>85.015384615384619</v>
      </c>
      <c r="AX34" s="72">
        <f>AVERAGE(AX4:AX32)</f>
        <v>73.392857142857139</v>
      </c>
      <c r="AY34" s="72">
        <f>AVERAGE(AY4:AY32)</f>
        <v>83</v>
      </c>
      <c r="AZ34" s="72">
        <f>AVERAGE(AZ4:AZ32)</f>
        <v>79.428571428571431</v>
      </c>
      <c r="BA34" s="72">
        <f>AVERAGE(BA4:BA32)</f>
        <v>81.607142857142861</v>
      </c>
      <c r="BB34" s="72"/>
      <c r="BC34" s="72"/>
      <c r="BD34" s="72"/>
      <c r="BE34" s="72"/>
      <c r="BF34" s="72"/>
      <c r="BG34" s="72"/>
      <c r="BH34" s="81"/>
      <c r="BI34" s="81"/>
      <c r="BJ34" s="81"/>
      <c r="BK34" s="81"/>
      <c r="BL34" s="81"/>
      <c r="BM34" s="81"/>
      <c r="BN34" s="81"/>
      <c r="BO34" s="81"/>
      <c r="BP34" s="81"/>
      <c r="BQ34" s="82"/>
    </row>
    <row r="35" spans="1:69" s="83" customFormat="1">
      <c r="A35" s="83">
        <v>1</v>
      </c>
      <c r="B35" s="83">
        <v>2</v>
      </c>
      <c r="C35" s="83">
        <v>3</v>
      </c>
      <c r="D35" s="83">
        <v>4</v>
      </c>
      <c r="E35" s="83">
        <v>5</v>
      </c>
      <c r="F35" s="83">
        <v>6</v>
      </c>
      <c r="G35" s="83">
        <v>7</v>
      </c>
      <c r="H35" s="83">
        <v>8</v>
      </c>
      <c r="I35" s="83">
        <v>9</v>
      </c>
      <c r="J35" s="83">
        <v>10</v>
      </c>
      <c r="K35" s="83">
        <v>11</v>
      </c>
      <c r="L35" s="83">
        <v>12</v>
      </c>
      <c r="M35" s="83">
        <v>13</v>
      </c>
      <c r="N35" s="83">
        <v>14</v>
      </c>
      <c r="O35" s="83">
        <v>15</v>
      </c>
      <c r="P35" s="83">
        <v>16</v>
      </c>
      <c r="Q35" s="83">
        <v>17</v>
      </c>
      <c r="R35" s="83">
        <v>18</v>
      </c>
      <c r="Y35" s="83">
        <v>19</v>
      </c>
      <c r="Z35" s="83">
        <v>20</v>
      </c>
      <c r="AA35" s="83">
        <v>21</v>
      </c>
      <c r="AB35" s="83">
        <v>22</v>
      </c>
      <c r="AC35" s="83">
        <v>23</v>
      </c>
      <c r="AD35" s="83">
        <v>24</v>
      </c>
      <c r="AE35" s="83">
        <v>25</v>
      </c>
      <c r="AF35" s="83">
        <v>26</v>
      </c>
      <c r="AG35" s="83">
        <v>27</v>
      </c>
    </row>
    <row r="36" spans="1:69" ht="23.25">
      <c r="A36" s="84" t="s">
        <v>204</v>
      </c>
      <c r="C36" s="85"/>
    </row>
    <row r="37" spans="1:69">
      <c r="A37" s="86"/>
      <c r="B37" s="86"/>
      <c r="C37" s="60" t="s">
        <v>205</v>
      </c>
    </row>
    <row r="38" spans="1:69">
      <c r="A38" s="87"/>
      <c r="B38" s="87"/>
      <c r="C38" s="60" t="s">
        <v>206</v>
      </c>
    </row>
    <row r="39" spans="1:69">
      <c r="A39" s="88"/>
      <c r="B39" s="88"/>
      <c r="C39" s="60" t="s">
        <v>207</v>
      </c>
    </row>
    <row r="40" spans="1:69">
      <c r="A40" s="89"/>
      <c r="B40" s="89"/>
      <c r="C40" s="60" t="s">
        <v>208</v>
      </c>
    </row>
    <row r="42" spans="1:69">
      <c r="AH42" s="60">
        <v>-134</v>
      </c>
      <c r="AI42" s="60">
        <v>134</v>
      </c>
      <c r="AJ42" s="245">
        <f>AI42/136*100*10%</f>
        <v>9.8529411764705888</v>
      </c>
    </row>
    <row r="43" spans="1:69">
      <c r="AH43" s="60">
        <v>-136</v>
      </c>
      <c r="AI43" s="60">
        <v>136</v>
      </c>
      <c r="AJ43" s="245">
        <f t="shared" ref="AJ43:AJ70" si="31">AI43/136*100*10%</f>
        <v>10</v>
      </c>
    </row>
    <row r="44" spans="1:69">
      <c r="AH44" s="60">
        <v>-136</v>
      </c>
      <c r="AI44" s="60">
        <v>136</v>
      </c>
      <c r="AJ44" s="245">
        <f t="shared" si="31"/>
        <v>10</v>
      </c>
    </row>
    <row r="45" spans="1:69">
      <c r="AH45" s="60">
        <v>-122</v>
      </c>
      <c r="AI45" s="60">
        <v>122</v>
      </c>
      <c r="AJ45" s="245">
        <f t="shared" si="31"/>
        <v>8.9705882352941178</v>
      </c>
    </row>
    <row r="46" spans="1:69">
      <c r="AH46" s="60">
        <v>-136</v>
      </c>
      <c r="AI46" s="60">
        <v>136</v>
      </c>
      <c r="AJ46" s="245">
        <f t="shared" si="31"/>
        <v>10</v>
      </c>
    </row>
    <row r="47" spans="1:69">
      <c r="AH47" s="60">
        <v>-136</v>
      </c>
      <c r="AI47" s="60">
        <v>136</v>
      </c>
      <c r="AJ47" s="245">
        <f t="shared" si="31"/>
        <v>10</v>
      </c>
    </row>
    <row r="48" spans="1:69">
      <c r="AH48" s="60">
        <v>-132</v>
      </c>
      <c r="AI48" s="60">
        <v>132</v>
      </c>
      <c r="AJ48" s="245">
        <f t="shared" si="31"/>
        <v>9.7058823529411775</v>
      </c>
    </row>
    <row r="49" spans="34:36">
      <c r="AH49" s="60">
        <v>-57</v>
      </c>
      <c r="AI49" s="60">
        <v>57</v>
      </c>
      <c r="AJ49" s="245">
        <f t="shared" si="31"/>
        <v>4.1911764705882355</v>
      </c>
    </row>
    <row r="50" spans="34:36">
      <c r="AH50" s="60">
        <v>-136</v>
      </c>
      <c r="AI50" s="60">
        <v>136</v>
      </c>
      <c r="AJ50" s="245">
        <f t="shared" si="31"/>
        <v>10</v>
      </c>
    </row>
    <row r="51" spans="34:36">
      <c r="AH51" s="60">
        <v>-121</v>
      </c>
      <c r="AI51" s="60">
        <v>121</v>
      </c>
      <c r="AJ51" s="245">
        <f t="shared" si="31"/>
        <v>8.8970588235294112</v>
      </c>
    </row>
    <row r="52" spans="34:36">
      <c r="AH52" s="60">
        <v>-136</v>
      </c>
      <c r="AI52" s="60">
        <v>136</v>
      </c>
      <c r="AJ52" s="245">
        <f t="shared" si="31"/>
        <v>10</v>
      </c>
    </row>
    <row r="53" spans="34:36">
      <c r="AH53" s="60">
        <v>-52</v>
      </c>
      <c r="AI53" s="60">
        <v>52</v>
      </c>
      <c r="AJ53" s="245">
        <f t="shared" si="31"/>
        <v>3.8235294117647061</v>
      </c>
    </row>
    <row r="54" spans="34:36">
      <c r="AH54" s="60">
        <v>-118</v>
      </c>
      <c r="AI54" s="60">
        <v>118</v>
      </c>
      <c r="AJ54" s="245">
        <f t="shared" si="31"/>
        <v>8.6764705882352953</v>
      </c>
    </row>
    <row r="55" spans="34:36">
      <c r="AH55" s="60">
        <v>-136</v>
      </c>
      <c r="AI55" s="60">
        <v>136</v>
      </c>
      <c r="AJ55" s="245">
        <f t="shared" si="31"/>
        <v>10</v>
      </c>
    </row>
    <row r="56" spans="34:36">
      <c r="AH56" s="60">
        <v>4</v>
      </c>
      <c r="AI56" s="60">
        <v>4</v>
      </c>
      <c r="AJ56" s="245">
        <f t="shared" si="31"/>
        <v>0.29411764705882354</v>
      </c>
    </row>
    <row r="57" spans="34:36">
      <c r="AH57" s="60">
        <v>-136</v>
      </c>
      <c r="AI57" s="60">
        <v>136</v>
      </c>
      <c r="AJ57" s="245">
        <f t="shared" si="31"/>
        <v>10</v>
      </c>
    </row>
    <row r="58" spans="34:36">
      <c r="AH58" s="60">
        <v>-128</v>
      </c>
      <c r="AI58" s="60">
        <v>128</v>
      </c>
      <c r="AJ58" s="245">
        <f t="shared" si="31"/>
        <v>9.4117647058823533</v>
      </c>
    </row>
    <row r="59" spans="34:36">
      <c r="AH59" s="60">
        <v>-82</v>
      </c>
      <c r="AI59" s="60">
        <v>82</v>
      </c>
      <c r="AJ59" s="245">
        <f t="shared" si="31"/>
        <v>6.0294117647058822</v>
      </c>
    </row>
    <row r="60" spans="34:36">
      <c r="AH60" s="60">
        <v>-126</v>
      </c>
      <c r="AI60" s="60">
        <v>126</v>
      </c>
      <c r="AJ60" s="245">
        <f t="shared" si="31"/>
        <v>9.264705882352942</v>
      </c>
    </row>
    <row r="61" spans="34:36">
      <c r="AH61" s="60">
        <v>-105</v>
      </c>
      <c r="AI61" s="60">
        <v>105</v>
      </c>
      <c r="AJ61" s="245">
        <f t="shared" si="31"/>
        <v>7.7205882352941178</v>
      </c>
    </row>
    <row r="62" spans="34:36">
      <c r="AH62" s="60">
        <v>-126</v>
      </c>
      <c r="AI62" s="60">
        <v>126</v>
      </c>
      <c r="AJ62" s="245">
        <f t="shared" si="31"/>
        <v>9.264705882352942</v>
      </c>
    </row>
    <row r="63" spans="34:36">
      <c r="AH63" s="60">
        <v>-136</v>
      </c>
      <c r="AI63" s="60">
        <v>136</v>
      </c>
      <c r="AJ63" s="245">
        <f t="shared" si="31"/>
        <v>10</v>
      </c>
    </row>
    <row r="64" spans="34:36">
      <c r="AH64" s="60">
        <v>-116</v>
      </c>
      <c r="AI64" s="60">
        <v>116</v>
      </c>
      <c r="AJ64" s="245">
        <f t="shared" si="31"/>
        <v>8.5294117647058822</v>
      </c>
    </row>
    <row r="65" spans="34:36">
      <c r="AH65" s="60">
        <v>-120</v>
      </c>
      <c r="AI65" s="60">
        <v>120</v>
      </c>
      <c r="AJ65" s="245">
        <f t="shared" si="31"/>
        <v>8.8235294117647065</v>
      </c>
    </row>
    <row r="66" spans="34:36">
      <c r="AH66" s="60">
        <v>-129</v>
      </c>
      <c r="AI66" s="60">
        <v>129</v>
      </c>
      <c r="AJ66" s="245">
        <f t="shared" si="31"/>
        <v>9.485294117647058</v>
      </c>
    </row>
    <row r="67" spans="34:36">
      <c r="AH67" s="60">
        <v>-136</v>
      </c>
      <c r="AI67" s="60">
        <v>136</v>
      </c>
      <c r="AJ67" s="245">
        <f t="shared" si="31"/>
        <v>10</v>
      </c>
    </row>
    <row r="68" spans="34:36">
      <c r="AH68" s="60">
        <v>-136</v>
      </c>
      <c r="AI68" s="60">
        <v>136</v>
      </c>
      <c r="AJ68" s="245">
        <f t="shared" si="31"/>
        <v>10</v>
      </c>
    </row>
    <row r="69" spans="34:36">
      <c r="AH69" s="60">
        <v>-127</v>
      </c>
      <c r="AI69" s="60">
        <v>127</v>
      </c>
      <c r="AJ69" s="245">
        <f t="shared" si="31"/>
        <v>9.3382352941176485</v>
      </c>
    </row>
    <row r="70" spans="34:36">
      <c r="AH70" s="60">
        <v>-136</v>
      </c>
      <c r="AI70" s="60">
        <v>136</v>
      </c>
      <c r="AJ70" s="245">
        <f t="shared" si="31"/>
        <v>10</v>
      </c>
    </row>
  </sheetData>
  <sortState xmlns:xlrd2="http://schemas.microsoft.com/office/spreadsheetml/2017/richdata2" ref="B4:BQ32">
    <sortCondition ref="AA4:AA32"/>
  </sortState>
  <mergeCells count="36">
    <mergeCell ref="A33:C33"/>
    <mergeCell ref="AJ33:AL33"/>
    <mergeCell ref="A34:C34"/>
    <mergeCell ref="AJ34:AL34"/>
    <mergeCell ref="BL2:BL3"/>
    <mergeCell ref="AM2:AW2"/>
    <mergeCell ref="AX2:BA2"/>
    <mergeCell ref="BH2:BH3"/>
    <mergeCell ref="BI2:BI3"/>
    <mergeCell ref="BJ2:BJ3"/>
    <mergeCell ref="BK2:BK3"/>
    <mergeCell ref="AF2:AF3"/>
    <mergeCell ref="AG2:AG3"/>
    <mergeCell ref="AH2:AH3"/>
    <mergeCell ref="AJ2:AJ3"/>
    <mergeCell ref="AK2:AK3"/>
    <mergeCell ref="BM2:BM3"/>
    <mergeCell ref="BN2:BN3"/>
    <mergeCell ref="BO2:BO3"/>
    <mergeCell ref="BP2:BP3"/>
    <mergeCell ref="BQ2:BQ3"/>
    <mergeCell ref="BB2:BG2"/>
    <mergeCell ref="Y2:Y3"/>
    <mergeCell ref="A2:A3"/>
    <mergeCell ref="B2:B3"/>
    <mergeCell ref="C2:C3"/>
    <mergeCell ref="D2:N2"/>
    <mergeCell ref="O2:R2"/>
    <mergeCell ref="S2:X2"/>
    <mergeCell ref="AL2:AL3"/>
    <mergeCell ref="Z2:Z3"/>
    <mergeCell ref="AA2:AA3"/>
    <mergeCell ref="AB2:AB3"/>
    <mergeCell ref="AC2:AC3"/>
    <mergeCell ref="AD2:AD3"/>
    <mergeCell ref="AE2:AE3"/>
  </mergeCells>
  <conditionalFormatting sqref="B4">
    <cfRule type="duplicateValues" dxfId="617" priority="46"/>
    <cfRule type="duplicateValues" dxfId="616" priority="47"/>
  </conditionalFormatting>
  <conditionalFormatting sqref="B5">
    <cfRule type="duplicateValues" dxfId="615" priority="48"/>
    <cfRule type="duplicateValues" dxfId="614" priority="49"/>
  </conditionalFormatting>
  <conditionalFormatting sqref="B6">
    <cfRule type="duplicateValues" dxfId="613" priority="45"/>
  </conditionalFormatting>
  <conditionalFormatting sqref="B7">
    <cfRule type="duplicateValues" dxfId="612" priority="57"/>
    <cfRule type="duplicateValues" dxfId="611" priority="58"/>
  </conditionalFormatting>
  <conditionalFormatting sqref="B8">
    <cfRule type="duplicateValues" dxfId="610" priority="68"/>
  </conditionalFormatting>
  <conditionalFormatting sqref="B9">
    <cfRule type="duplicateValues" dxfId="609" priority="67"/>
  </conditionalFormatting>
  <conditionalFormatting sqref="B10">
    <cfRule type="duplicateValues" dxfId="608" priority="56"/>
  </conditionalFormatting>
  <conditionalFormatting sqref="B11">
    <cfRule type="duplicateValues" dxfId="607" priority="50"/>
    <cfRule type="duplicateValues" dxfId="606" priority="51"/>
  </conditionalFormatting>
  <conditionalFormatting sqref="B12">
    <cfRule type="duplicateValues" dxfId="605" priority="64"/>
    <cfRule type="duplicateValues" dxfId="604" priority="65"/>
  </conditionalFormatting>
  <conditionalFormatting sqref="B13">
    <cfRule type="duplicateValues" dxfId="603" priority="62"/>
    <cfRule type="duplicateValues" dxfId="602" priority="63"/>
  </conditionalFormatting>
  <conditionalFormatting sqref="B14">
    <cfRule type="duplicateValues" dxfId="601" priority="66"/>
  </conditionalFormatting>
  <conditionalFormatting sqref="B15">
    <cfRule type="duplicateValues" dxfId="600" priority="40"/>
  </conditionalFormatting>
  <conditionalFormatting sqref="B16">
    <cfRule type="duplicateValues" dxfId="599" priority="71"/>
  </conditionalFormatting>
  <conditionalFormatting sqref="B17">
    <cfRule type="duplicateValues" dxfId="598" priority="52"/>
  </conditionalFormatting>
  <conditionalFormatting sqref="B18">
    <cfRule type="duplicateValues" dxfId="597" priority="43"/>
    <cfRule type="duplicateValues" dxfId="596" priority="44"/>
  </conditionalFormatting>
  <conditionalFormatting sqref="B20">
    <cfRule type="duplicateValues" dxfId="595" priority="69"/>
    <cfRule type="duplicateValues" dxfId="594" priority="70"/>
  </conditionalFormatting>
  <conditionalFormatting sqref="B21">
    <cfRule type="duplicateValues" dxfId="593" priority="74"/>
    <cfRule type="duplicateValues" dxfId="592" priority="75"/>
  </conditionalFormatting>
  <conditionalFormatting sqref="B22">
    <cfRule type="duplicateValues" dxfId="591" priority="59"/>
    <cfRule type="duplicateValues" dxfId="590" priority="60"/>
  </conditionalFormatting>
  <conditionalFormatting sqref="B23">
    <cfRule type="duplicateValues" dxfId="589" priority="76"/>
  </conditionalFormatting>
  <conditionalFormatting sqref="B24">
    <cfRule type="duplicateValues" dxfId="588" priority="55"/>
  </conditionalFormatting>
  <conditionalFormatting sqref="B25">
    <cfRule type="duplicateValues" dxfId="587" priority="72"/>
    <cfRule type="duplicateValues" dxfId="586" priority="73"/>
  </conditionalFormatting>
  <conditionalFormatting sqref="B26">
    <cfRule type="duplicateValues" dxfId="585" priority="61"/>
  </conditionalFormatting>
  <conditionalFormatting sqref="B27">
    <cfRule type="duplicateValues" dxfId="584" priority="41"/>
    <cfRule type="duplicateValues" dxfId="583" priority="42"/>
  </conditionalFormatting>
  <conditionalFormatting sqref="B28">
    <cfRule type="duplicateValues" dxfId="582" priority="53"/>
  </conditionalFormatting>
  <conditionalFormatting sqref="B29:B32">
    <cfRule type="duplicateValues" dxfId="581" priority="123"/>
  </conditionalFormatting>
  <conditionalFormatting sqref="D4:X32">
    <cfRule type="cellIs" dxfId="580" priority="78" operator="lessThanOrEqual">
      <formula>59</formula>
    </cfRule>
  </conditionalFormatting>
  <conditionalFormatting sqref="Z4:Z32">
    <cfRule type="cellIs" dxfId="579" priority="77" operator="lessThan">
      <formula>60</formula>
    </cfRule>
  </conditionalFormatting>
  <conditionalFormatting sqref="AA4:AA32">
    <cfRule type="duplicateValues" dxfId="578" priority="125"/>
    <cfRule type="duplicateValues" dxfId="577" priority="126"/>
    <cfRule type="duplicateValues" dxfId="576" priority="127"/>
  </conditionalFormatting>
  <conditionalFormatting sqref="AK4">
    <cfRule type="duplicateValues" dxfId="575" priority="7"/>
    <cfRule type="duplicateValues" dxfId="574" priority="8"/>
  </conditionalFormatting>
  <conditionalFormatting sqref="AK5">
    <cfRule type="duplicateValues" dxfId="573" priority="9"/>
    <cfRule type="duplicateValues" dxfId="572" priority="10"/>
  </conditionalFormatting>
  <conditionalFormatting sqref="AK6">
    <cfRule type="duplicateValues" dxfId="571" priority="6"/>
  </conditionalFormatting>
  <conditionalFormatting sqref="AK7">
    <cfRule type="duplicateValues" dxfId="570" priority="18"/>
    <cfRule type="duplicateValues" dxfId="569" priority="19"/>
  </conditionalFormatting>
  <conditionalFormatting sqref="AK8">
    <cfRule type="duplicateValues" dxfId="568" priority="29"/>
  </conditionalFormatting>
  <conditionalFormatting sqref="AK9">
    <cfRule type="duplicateValues" dxfId="567" priority="28"/>
  </conditionalFormatting>
  <conditionalFormatting sqref="AK10">
    <cfRule type="duplicateValues" dxfId="566" priority="17"/>
  </conditionalFormatting>
  <conditionalFormatting sqref="AK11">
    <cfRule type="duplicateValues" dxfId="565" priority="11"/>
    <cfRule type="duplicateValues" dxfId="564" priority="12"/>
  </conditionalFormatting>
  <conditionalFormatting sqref="AK12">
    <cfRule type="duplicateValues" dxfId="563" priority="25"/>
    <cfRule type="duplicateValues" dxfId="562" priority="26"/>
  </conditionalFormatting>
  <conditionalFormatting sqref="AK13">
    <cfRule type="duplicateValues" dxfId="561" priority="23"/>
    <cfRule type="duplicateValues" dxfId="560" priority="24"/>
  </conditionalFormatting>
  <conditionalFormatting sqref="AK14">
    <cfRule type="duplicateValues" dxfId="559" priority="27"/>
  </conditionalFormatting>
  <conditionalFormatting sqref="AK15">
    <cfRule type="duplicateValues" dxfId="558" priority="1"/>
  </conditionalFormatting>
  <conditionalFormatting sqref="AK16">
    <cfRule type="duplicateValues" dxfId="557" priority="32"/>
  </conditionalFormatting>
  <conditionalFormatting sqref="AK17">
    <cfRule type="duplicateValues" dxfId="556" priority="13"/>
  </conditionalFormatting>
  <conditionalFormatting sqref="AK18">
    <cfRule type="duplicateValues" dxfId="555" priority="4"/>
    <cfRule type="duplicateValues" dxfId="554" priority="5"/>
  </conditionalFormatting>
  <conditionalFormatting sqref="AK20">
    <cfRule type="duplicateValues" dxfId="553" priority="30"/>
    <cfRule type="duplicateValues" dxfId="552" priority="31"/>
  </conditionalFormatting>
  <conditionalFormatting sqref="AK21">
    <cfRule type="duplicateValues" dxfId="551" priority="35"/>
    <cfRule type="duplicateValues" dxfId="550" priority="36"/>
  </conditionalFormatting>
  <conditionalFormatting sqref="AK22">
    <cfRule type="duplicateValues" dxfId="549" priority="20"/>
    <cfRule type="duplicateValues" dxfId="548" priority="21"/>
  </conditionalFormatting>
  <conditionalFormatting sqref="AK23">
    <cfRule type="duplicateValues" dxfId="547" priority="37"/>
  </conditionalFormatting>
  <conditionalFormatting sqref="AK24">
    <cfRule type="duplicateValues" dxfId="546" priority="16"/>
  </conditionalFormatting>
  <conditionalFormatting sqref="AK25">
    <cfRule type="duplicateValues" dxfId="545" priority="33"/>
    <cfRule type="duplicateValues" dxfId="544" priority="34"/>
  </conditionalFormatting>
  <conditionalFormatting sqref="AK26">
    <cfRule type="duplicateValues" dxfId="543" priority="22"/>
  </conditionalFormatting>
  <conditionalFormatting sqref="AK27">
    <cfRule type="duplicateValues" dxfId="542" priority="2"/>
    <cfRule type="duplicateValues" dxfId="541" priority="3"/>
  </conditionalFormatting>
  <conditionalFormatting sqref="AK28">
    <cfRule type="duplicateValues" dxfId="540" priority="14"/>
  </conditionalFormatting>
  <conditionalFormatting sqref="AK29:AK32">
    <cfRule type="duplicateValues" dxfId="539" priority="124"/>
  </conditionalFormatting>
  <conditionalFormatting sqref="AM4:BG32">
    <cfRule type="cellIs" dxfId="538" priority="39" operator="lessThanOrEqual">
      <formula>59</formula>
    </cfRule>
  </conditionalFormatting>
  <conditionalFormatting sqref="BI4:BI32">
    <cfRule type="cellIs" dxfId="537" priority="38" operator="lessThan">
      <formula>60</formula>
    </cfRule>
  </conditionalFormatting>
  <conditionalFormatting sqref="BJ4:BJ32">
    <cfRule type="duplicateValues" dxfId="536" priority="128"/>
    <cfRule type="duplicateValues" dxfId="535" priority="129"/>
    <cfRule type="duplicateValues" dxfId="534" priority="130"/>
  </conditionalFormatting>
  <printOptions horizontalCentered="1"/>
  <pageMargins left="0.73" right="0.12" top="0.74803149606299202" bottom="0.74803149606299202" header="0.31496062992126" footer="0.31496062992126"/>
  <pageSetup paperSize="10000" scale="80" orientation="landscape" horizontalDpi="203" verticalDpi="203" r:id="rId1"/>
  <rowBreaks count="1" manualBreakCount="1">
    <brk id="21" max="27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4D769-839B-48E6-A810-1C8F1DB09D42}">
  <sheetPr codeName="Sheet14">
    <tabColor theme="1" tint="0.499984740745262"/>
  </sheetPr>
  <dimension ref="A1:BQ35"/>
  <sheetViews>
    <sheetView zoomScale="55" zoomScaleNormal="55" workbookViewId="0">
      <selection activeCell="AA14" sqref="AA14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4" width="5.42578125" style="60" customWidth="1"/>
    <col min="25" max="27" width="7.140625" style="60" customWidth="1"/>
    <col min="28" max="34" width="5.42578125" style="60" customWidth="1"/>
    <col min="35" max="35" width="9.140625" style="60"/>
    <col min="36" max="36" width="9.28515625" style="60" bestFit="1" customWidth="1"/>
    <col min="37" max="37" width="9.5703125" style="60" bestFit="1" customWidth="1"/>
    <col min="38" max="38" width="34.85546875" style="60" bestFit="1" customWidth="1"/>
    <col min="39" max="41" width="9.28515625" style="60" bestFit="1" customWidth="1"/>
    <col min="42" max="16384" width="9.140625" style="60"/>
  </cols>
  <sheetData>
    <row r="1" spans="1:69" ht="23.25">
      <c r="A1" s="85" t="s">
        <v>346</v>
      </c>
      <c r="AJ1" s="85" t="s">
        <v>346</v>
      </c>
    </row>
    <row r="2" spans="1:69" ht="15.75" customHeight="1">
      <c r="A2" s="281" t="s">
        <v>151</v>
      </c>
      <c r="B2" s="281" t="s">
        <v>152</v>
      </c>
      <c r="C2" s="281" t="s">
        <v>0</v>
      </c>
      <c r="D2" s="273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86" t="s">
        <v>316</v>
      </c>
      <c r="O2" s="286"/>
      <c r="P2" s="286"/>
      <c r="Q2" s="286"/>
      <c r="R2" s="90"/>
      <c r="S2" s="425" t="s">
        <v>798</v>
      </c>
      <c r="T2" s="425"/>
      <c r="U2" s="425"/>
      <c r="V2" s="425"/>
      <c r="W2" s="425"/>
      <c r="X2" s="425"/>
      <c r="Y2" s="276" t="s">
        <v>155</v>
      </c>
      <c r="Z2" s="276" t="s">
        <v>156</v>
      </c>
      <c r="AA2" s="276" t="s">
        <v>157</v>
      </c>
      <c r="AB2" s="270" t="s">
        <v>158</v>
      </c>
      <c r="AC2" s="270" t="s">
        <v>159</v>
      </c>
      <c r="AD2" s="270" t="s">
        <v>160</v>
      </c>
      <c r="AE2" s="278" t="s">
        <v>161</v>
      </c>
      <c r="AF2" s="278" t="s">
        <v>162</v>
      </c>
      <c r="AG2" s="278" t="s">
        <v>163</v>
      </c>
      <c r="AH2" s="280" t="s">
        <v>164</v>
      </c>
      <c r="AJ2" s="281" t="s">
        <v>151</v>
      </c>
      <c r="AK2" s="281" t="s">
        <v>152</v>
      </c>
      <c r="AL2" s="281" t="s">
        <v>0</v>
      </c>
      <c r="AM2" s="273" t="s">
        <v>153</v>
      </c>
      <c r="AN2" s="273"/>
      <c r="AO2" s="273"/>
      <c r="AP2" s="273"/>
      <c r="AQ2" s="273"/>
      <c r="AR2" s="273"/>
      <c r="AS2" s="273"/>
      <c r="AT2" s="273"/>
      <c r="AU2" s="273"/>
      <c r="AV2" s="273"/>
      <c r="AW2" s="426" t="s">
        <v>316</v>
      </c>
      <c r="AX2" s="426"/>
      <c r="AY2" s="426"/>
      <c r="AZ2" s="426"/>
      <c r="BA2" s="104"/>
      <c r="BB2" s="104"/>
      <c r="BC2" s="104"/>
      <c r="BD2" s="104"/>
      <c r="BE2" s="104"/>
      <c r="BF2" s="104"/>
      <c r="BG2" s="104"/>
      <c r="BH2" s="276" t="s">
        <v>155</v>
      </c>
      <c r="BI2" s="276" t="s">
        <v>156</v>
      </c>
      <c r="BJ2" s="276" t="s">
        <v>157</v>
      </c>
      <c r="BK2" s="270" t="s">
        <v>158</v>
      </c>
      <c r="BL2" s="270" t="s">
        <v>159</v>
      </c>
      <c r="BM2" s="270" t="s">
        <v>160</v>
      </c>
      <c r="BN2" s="278" t="s">
        <v>161</v>
      </c>
      <c r="BO2" s="278" t="s">
        <v>162</v>
      </c>
      <c r="BP2" s="278" t="s">
        <v>163</v>
      </c>
      <c r="BQ2" s="280" t="s">
        <v>164</v>
      </c>
    </row>
    <row r="3" spans="1:69" ht="60">
      <c r="A3" s="282"/>
      <c r="B3" s="282"/>
      <c r="C3" s="282"/>
      <c r="D3" s="63" t="s">
        <v>118</v>
      </c>
      <c r="E3" s="63" t="s">
        <v>22</v>
      </c>
      <c r="F3" s="63" t="s">
        <v>55</v>
      </c>
      <c r="G3" s="63" t="s">
        <v>167</v>
      </c>
      <c r="H3" s="63" t="s">
        <v>168</v>
      </c>
      <c r="I3" s="63" t="s">
        <v>49</v>
      </c>
      <c r="J3" s="63" t="s">
        <v>111</v>
      </c>
      <c r="K3" s="63" t="s">
        <v>96</v>
      </c>
      <c r="L3" s="63" t="s">
        <v>14</v>
      </c>
      <c r="M3" s="63" t="s">
        <v>120</v>
      </c>
      <c r="N3" s="64" t="s">
        <v>103</v>
      </c>
      <c r="O3" s="64" t="s">
        <v>14</v>
      </c>
      <c r="P3" s="64" t="s">
        <v>120</v>
      </c>
      <c r="Q3" s="64" t="s">
        <v>34</v>
      </c>
      <c r="R3" s="64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277"/>
      <c r="Z3" s="277"/>
      <c r="AA3" s="277"/>
      <c r="AB3" s="271"/>
      <c r="AC3" s="271"/>
      <c r="AD3" s="271"/>
      <c r="AE3" s="279"/>
      <c r="AF3" s="279"/>
      <c r="AG3" s="279"/>
      <c r="AH3" s="280"/>
      <c r="AJ3" s="282"/>
      <c r="AK3" s="282"/>
      <c r="AL3" s="282"/>
      <c r="AM3" s="63" t="s">
        <v>118</v>
      </c>
      <c r="AN3" s="63" t="s">
        <v>22</v>
      </c>
      <c r="AO3" s="63" t="s">
        <v>55</v>
      </c>
      <c r="AP3" s="63" t="s">
        <v>167</v>
      </c>
      <c r="AQ3" s="63" t="s">
        <v>168</v>
      </c>
      <c r="AR3" s="63" t="s">
        <v>49</v>
      </c>
      <c r="AS3" s="63" t="s">
        <v>111</v>
      </c>
      <c r="AT3" s="63" t="s">
        <v>96</v>
      </c>
      <c r="AU3" s="63" t="s">
        <v>14</v>
      </c>
      <c r="AV3" s="63" t="s">
        <v>120</v>
      </c>
      <c r="AW3" s="98" t="s">
        <v>103</v>
      </c>
      <c r="AX3" s="98" t="s">
        <v>14</v>
      </c>
      <c r="AY3" s="98" t="s">
        <v>120</v>
      </c>
      <c r="AZ3" s="98" t="s">
        <v>34</v>
      </c>
      <c r="BA3" s="98" t="s">
        <v>22</v>
      </c>
      <c r="BB3" s="242"/>
      <c r="BC3" s="242"/>
      <c r="BD3" s="242"/>
      <c r="BE3" s="242"/>
      <c r="BF3" s="242"/>
      <c r="BG3" s="242"/>
      <c r="BH3" s="277"/>
      <c r="BI3" s="277"/>
      <c r="BJ3" s="277"/>
      <c r="BK3" s="271"/>
      <c r="BL3" s="271"/>
      <c r="BM3" s="271"/>
      <c r="BN3" s="279"/>
      <c r="BO3" s="279"/>
      <c r="BP3" s="279"/>
      <c r="BQ3" s="280"/>
    </row>
    <row r="4" spans="1:69" ht="23.1" customHeight="1">
      <c r="A4" s="105">
        <v>1</v>
      </c>
      <c r="B4" s="106">
        <v>23240101</v>
      </c>
      <c r="C4" s="102" t="s">
        <v>373</v>
      </c>
      <c r="D4" s="68">
        <f t="shared" ref="D4:D27" si="0">ROUND(IF(AM4=0,0,MIN(MAX(AM4,40),99)),0)</f>
        <v>99</v>
      </c>
      <c r="E4" s="68">
        <f t="shared" ref="E4:E27" si="1">ROUND(IF(AN4=0,0,MIN(MAX(AN4,40),99)),0)</f>
        <v>99</v>
      </c>
      <c r="F4" s="68">
        <f t="shared" ref="F4:F27" si="2">ROUND(IF(AO4=0,0,MIN(MAX(AO4,40),99)),0)</f>
        <v>98</v>
      </c>
      <c r="G4" s="68">
        <f t="shared" ref="G4:G27" si="3">ROUND(IF(AP4=0,0,MIN(MAX(AP4,40),99)),0)</f>
        <v>98</v>
      </c>
      <c r="H4" s="68">
        <f t="shared" ref="H4:H27" si="4">ROUND(IF(AQ4=0,0,MIN(MAX(AQ4,40),99)),0)</f>
        <v>99</v>
      </c>
      <c r="I4" s="68">
        <f t="shared" ref="I4:I27" si="5">ROUND(IF(AR4=0,0,MIN(MAX(AR4,40),99)),0)</f>
        <v>98</v>
      </c>
      <c r="J4" s="68">
        <f t="shared" ref="J4:J27" si="6">ROUND(IF(AS4=0,0,MIN(MAX(AS4,40),99)),0)</f>
        <v>99</v>
      </c>
      <c r="K4" s="68">
        <f t="shared" ref="K4:K27" si="7">ROUND(IF(AT4=0,0,MIN(MAX(AT4,40),99)),0)</f>
        <v>97</v>
      </c>
      <c r="L4" s="68">
        <f t="shared" ref="L4:L27" si="8">ROUND(IF(AU4=0,0,MIN(MAX(AU4,40),99)),0)</f>
        <v>96</v>
      </c>
      <c r="M4" s="68">
        <f t="shared" ref="M4:M27" si="9">ROUND(IF(AV4=0,0,MIN(MAX(AV4,40),99)),0)</f>
        <v>95</v>
      </c>
      <c r="N4" s="69">
        <f t="shared" ref="N4:N27" si="10">ROUND(IF(AW4=0,0,MIN(MAX(AW4,40),99)),0)</f>
        <v>99</v>
      </c>
      <c r="O4" s="69">
        <f t="shared" ref="O4:O27" si="11">ROUND(IF(AX4=0,0,MIN(MAX(AX4,40),99)),0)</f>
        <v>98</v>
      </c>
      <c r="P4" s="69">
        <f t="shared" ref="P4:P27" si="12">ROUND(IF(AY4=0,0,MIN(MAX(AY4,40),99)),0)</f>
        <v>80</v>
      </c>
      <c r="Q4" s="69">
        <f t="shared" ref="Q4:Q27" si="13">ROUND(IF(AZ4=0,0,MIN(MAX(AZ4,40),99)),0)</f>
        <v>99</v>
      </c>
      <c r="R4" s="69">
        <f t="shared" ref="R4:R27" si="14">ROUND(IF(BA4=0,0,MIN(MAX(BA4,40),99)),0)</f>
        <v>99</v>
      </c>
      <c r="S4" s="234">
        <f t="shared" ref="S4:S27" si="15">ROUND(IF(BB4=0,0,MIN(MAX(BB4,40),99)),0)</f>
        <v>95</v>
      </c>
      <c r="T4" s="234">
        <f t="shared" ref="T4:T27" si="16">ROUND(IF(BC4=0,0,MIN(MAX(BC4,40),99)),0)</f>
        <v>98</v>
      </c>
      <c r="U4" s="234">
        <f t="shared" ref="U4:U27" si="17">ROUND(IF(BD4=0,0,MIN(MAX(BD4,40),99)),0)</f>
        <v>75</v>
      </c>
      <c r="V4" s="234">
        <f t="shared" ref="V4:V27" si="18">ROUND(IF(BE4=0,0,MIN(MAX(BE4,40),99)),0)</f>
        <v>98</v>
      </c>
      <c r="W4" s="234">
        <f t="shared" ref="W4:W27" si="19">ROUND(IF(BF4=0,0,MIN(MAX(BF4,40),99)),0)</f>
        <v>80</v>
      </c>
      <c r="X4" s="234">
        <f t="shared" ref="X4:X27" si="20">ROUND(IF(BG4=0,0,MIN(MAX(BG4,40),99)),0)</f>
        <v>75</v>
      </c>
      <c r="Y4" s="70">
        <f t="shared" ref="Y4:Y27" si="21">SUM(D4:R4)</f>
        <v>1453</v>
      </c>
      <c r="Z4" s="71">
        <f t="shared" ref="Z4:Z27" si="22">AVERAGE(D4:R4)</f>
        <v>96.86666666666666</v>
      </c>
      <c r="AA4" s="101">
        <f t="shared" ref="AA4:AA13" si="23">RANK(Y4,$Y$4:$Y$27)</f>
        <v>1</v>
      </c>
      <c r="AB4" s="73" t="s">
        <v>806</v>
      </c>
      <c r="AC4" s="73" t="s">
        <v>806</v>
      </c>
      <c r="AD4" s="73" t="s">
        <v>806</v>
      </c>
      <c r="AE4" s="74">
        <v>0</v>
      </c>
      <c r="AF4" s="74">
        <v>0</v>
      </c>
      <c r="AG4" s="74">
        <v>0</v>
      </c>
      <c r="AH4" s="75"/>
      <c r="AJ4" s="105">
        <v>1</v>
      </c>
      <c r="AK4" s="106">
        <v>23240101</v>
      </c>
      <c r="AL4" s="102" t="s">
        <v>373</v>
      </c>
      <c r="AM4" s="68">
        <v>99</v>
      </c>
      <c r="AN4" s="68">
        <v>99.5</v>
      </c>
      <c r="AO4" s="68">
        <v>98</v>
      </c>
      <c r="AP4" s="68">
        <v>97.5</v>
      </c>
      <c r="AQ4" s="68">
        <v>100</v>
      </c>
      <c r="AR4" s="68">
        <v>97.5</v>
      </c>
      <c r="AS4" s="68">
        <v>99.7</v>
      </c>
      <c r="AT4" s="68">
        <v>96.8</v>
      </c>
      <c r="AU4" s="68">
        <v>96</v>
      </c>
      <c r="AV4" s="68">
        <v>95</v>
      </c>
      <c r="AW4" s="76">
        <v>100</v>
      </c>
      <c r="AX4" s="76">
        <v>98</v>
      </c>
      <c r="AY4" s="76">
        <v>80</v>
      </c>
      <c r="AZ4" s="76">
        <v>100</v>
      </c>
      <c r="BA4" s="76">
        <v>100</v>
      </c>
      <c r="BB4" s="76">
        <v>95</v>
      </c>
      <c r="BC4" s="76">
        <v>97.5</v>
      </c>
      <c r="BD4" s="76">
        <v>75</v>
      </c>
      <c r="BE4" s="76">
        <v>97.5</v>
      </c>
      <c r="BF4" s="76">
        <v>80</v>
      </c>
      <c r="BG4" s="76">
        <v>75</v>
      </c>
      <c r="BH4" s="70">
        <f t="shared" ref="BH4:BH27" si="24">SUM(AM4:BA4)</f>
        <v>1457</v>
      </c>
      <c r="BI4" s="71">
        <f t="shared" ref="BI4:BI27" si="25">AVERAGE(AM4:BA4)</f>
        <v>97.13333333333334</v>
      </c>
      <c r="BJ4" s="101" t="e">
        <f t="shared" ref="BJ4:BJ27" si="26">RANK(BH4,$Y$4:$Y$27)</f>
        <v>#N/A</v>
      </c>
      <c r="BK4" s="73" t="s">
        <v>806</v>
      </c>
      <c r="BL4" s="73" t="s">
        <v>806</v>
      </c>
      <c r="BM4" s="73" t="s">
        <v>806</v>
      </c>
      <c r="BN4" s="74"/>
      <c r="BO4" s="74"/>
      <c r="BP4" s="74"/>
      <c r="BQ4" s="75"/>
    </row>
    <row r="5" spans="1:69" ht="23.1" customHeight="1">
      <c r="A5" s="105">
        <v>2</v>
      </c>
      <c r="B5" s="105">
        <v>23240047</v>
      </c>
      <c r="C5" s="100" t="s">
        <v>375</v>
      </c>
      <c r="D5" s="68">
        <f t="shared" si="0"/>
        <v>98</v>
      </c>
      <c r="E5" s="68">
        <f t="shared" si="1"/>
        <v>98</v>
      </c>
      <c r="F5" s="68">
        <f t="shared" si="2"/>
        <v>95</v>
      </c>
      <c r="G5" s="68">
        <f t="shared" si="3"/>
        <v>97</v>
      </c>
      <c r="H5" s="68">
        <f t="shared" si="4"/>
        <v>98</v>
      </c>
      <c r="I5" s="68">
        <f t="shared" si="5"/>
        <v>95</v>
      </c>
      <c r="J5" s="68">
        <f t="shared" si="6"/>
        <v>91</v>
      </c>
      <c r="K5" s="68">
        <f t="shared" si="7"/>
        <v>99</v>
      </c>
      <c r="L5" s="68">
        <f t="shared" si="8"/>
        <v>95</v>
      </c>
      <c r="M5" s="68">
        <f t="shared" si="9"/>
        <v>90</v>
      </c>
      <c r="N5" s="69">
        <f t="shared" si="10"/>
        <v>95</v>
      </c>
      <c r="O5" s="69">
        <f t="shared" si="11"/>
        <v>85</v>
      </c>
      <c r="P5" s="69">
        <f t="shared" si="12"/>
        <v>95</v>
      </c>
      <c r="Q5" s="69">
        <f t="shared" si="13"/>
        <v>99</v>
      </c>
      <c r="R5" s="69">
        <f t="shared" si="14"/>
        <v>99</v>
      </c>
      <c r="S5" s="234">
        <f t="shared" si="15"/>
        <v>98</v>
      </c>
      <c r="T5" s="234">
        <f t="shared" si="16"/>
        <v>65</v>
      </c>
      <c r="U5" s="234">
        <f t="shared" si="17"/>
        <v>60</v>
      </c>
      <c r="V5" s="234">
        <f t="shared" si="18"/>
        <v>99</v>
      </c>
      <c r="W5" s="234">
        <f t="shared" si="19"/>
        <v>73</v>
      </c>
      <c r="X5" s="234">
        <f t="shared" si="20"/>
        <v>60</v>
      </c>
      <c r="Y5" s="70">
        <f t="shared" si="21"/>
        <v>1429</v>
      </c>
      <c r="Z5" s="71">
        <f t="shared" si="22"/>
        <v>95.266666666666666</v>
      </c>
      <c r="AA5" s="101">
        <f t="shared" si="23"/>
        <v>2</v>
      </c>
      <c r="AB5" s="73" t="s">
        <v>806</v>
      </c>
      <c r="AC5" s="73" t="s">
        <v>806</v>
      </c>
      <c r="AD5" s="73" t="s">
        <v>806</v>
      </c>
      <c r="AE5" s="74">
        <v>0</v>
      </c>
      <c r="AF5" s="74">
        <v>0</v>
      </c>
      <c r="AG5" s="74">
        <v>0</v>
      </c>
      <c r="AH5" s="75"/>
      <c r="AJ5" s="105">
        <v>10</v>
      </c>
      <c r="AK5" s="105">
        <v>23240047</v>
      </c>
      <c r="AL5" s="100" t="s">
        <v>375</v>
      </c>
      <c r="AM5" s="68">
        <v>98</v>
      </c>
      <c r="AN5" s="68">
        <v>97.5</v>
      </c>
      <c r="AO5" s="68">
        <v>95</v>
      </c>
      <c r="AP5" s="68">
        <v>96.5</v>
      </c>
      <c r="AQ5" s="68">
        <v>97.9</v>
      </c>
      <c r="AR5" s="68">
        <v>94.5</v>
      </c>
      <c r="AS5" s="68">
        <v>91.2</v>
      </c>
      <c r="AT5" s="68">
        <v>99.5</v>
      </c>
      <c r="AU5" s="68">
        <v>94.5</v>
      </c>
      <c r="AV5" s="68">
        <v>89.5</v>
      </c>
      <c r="AW5" s="76">
        <v>95</v>
      </c>
      <c r="AX5" s="76">
        <v>85</v>
      </c>
      <c r="AY5" s="76">
        <v>95</v>
      </c>
      <c r="AZ5" s="76">
        <v>100</v>
      </c>
      <c r="BA5" s="76">
        <v>100</v>
      </c>
      <c r="BB5" s="76">
        <v>97.5</v>
      </c>
      <c r="BC5" s="76">
        <v>65</v>
      </c>
      <c r="BD5" s="76">
        <v>60</v>
      </c>
      <c r="BE5" s="76">
        <v>395</v>
      </c>
      <c r="BF5" s="76">
        <v>72.5</v>
      </c>
      <c r="BG5" s="76">
        <v>60</v>
      </c>
      <c r="BH5" s="70">
        <f t="shared" si="24"/>
        <v>1429.1</v>
      </c>
      <c r="BI5" s="71">
        <f t="shared" si="25"/>
        <v>95.273333333333326</v>
      </c>
      <c r="BJ5" s="101" t="e">
        <f t="shared" si="26"/>
        <v>#N/A</v>
      </c>
      <c r="BK5" s="73" t="s">
        <v>806</v>
      </c>
      <c r="BL5" s="73" t="s">
        <v>806</v>
      </c>
      <c r="BM5" s="73" t="s">
        <v>806</v>
      </c>
      <c r="BN5" s="74"/>
      <c r="BO5" s="74"/>
      <c r="BP5" s="74"/>
      <c r="BQ5" s="75"/>
    </row>
    <row r="6" spans="1:69" ht="23.1" customHeight="1">
      <c r="A6" s="105">
        <v>3</v>
      </c>
      <c r="B6" s="139">
        <v>23240087</v>
      </c>
      <c r="C6" s="108" t="s">
        <v>374</v>
      </c>
      <c r="D6" s="68">
        <f t="shared" si="0"/>
        <v>89</v>
      </c>
      <c r="E6" s="68">
        <f t="shared" si="1"/>
        <v>96</v>
      </c>
      <c r="F6" s="68">
        <f t="shared" si="2"/>
        <v>95</v>
      </c>
      <c r="G6" s="68">
        <f t="shared" si="3"/>
        <v>91</v>
      </c>
      <c r="H6" s="68">
        <f t="shared" si="4"/>
        <v>98</v>
      </c>
      <c r="I6" s="68">
        <f t="shared" si="5"/>
        <v>98</v>
      </c>
      <c r="J6" s="68">
        <f t="shared" si="6"/>
        <v>85</v>
      </c>
      <c r="K6" s="68">
        <f t="shared" si="7"/>
        <v>97</v>
      </c>
      <c r="L6" s="68">
        <f t="shared" si="8"/>
        <v>92</v>
      </c>
      <c r="M6" s="68">
        <f t="shared" si="9"/>
        <v>91</v>
      </c>
      <c r="N6" s="69">
        <f t="shared" si="10"/>
        <v>80</v>
      </c>
      <c r="O6" s="69">
        <f t="shared" si="11"/>
        <v>90</v>
      </c>
      <c r="P6" s="69">
        <f t="shared" si="12"/>
        <v>98</v>
      </c>
      <c r="Q6" s="69">
        <f t="shared" si="13"/>
        <v>99</v>
      </c>
      <c r="R6" s="69">
        <f t="shared" si="14"/>
        <v>99</v>
      </c>
      <c r="S6" s="234">
        <f t="shared" si="15"/>
        <v>95</v>
      </c>
      <c r="T6" s="234">
        <f t="shared" si="16"/>
        <v>95</v>
      </c>
      <c r="U6" s="234">
        <f t="shared" si="17"/>
        <v>75</v>
      </c>
      <c r="V6" s="234">
        <f t="shared" si="18"/>
        <v>85</v>
      </c>
      <c r="W6" s="234">
        <f t="shared" si="19"/>
        <v>68</v>
      </c>
      <c r="X6" s="234">
        <f t="shared" si="20"/>
        <v>75</v>
      </c>
      <c r="Y6" s="70">
        <f t="shared" si="21"/>
        <v>1398</v>
      </c>
      <c r="Z6" s="71">
        <f t="shared" si="22"/>
        <v>93.2</v>
      </c>
      <c r="AA6" s="101">
        <f t="shared" si="23"/>
        <v>3</v>
      </c>
      <c r="AB6" s="73" t="s">
        <v>806</v>
      </c>
      <c r="AC6" s="73" t="s">
        <v>806</v>
      </c>
      <c r="AD6" s="73" t="s">
        <v>806</v>
      </c>
      <c r="AE6" s="74">
        <v>3</v>
      </c>
      <c r="AF6" s="74">
        <v>0</v>
      </c>
      <c r="AG6" s="74">
        <v>0</v>
      </c>
      <c r="AH6" s="75"/>
      <c r="AJ6" s="105">
        <v>20</v>
      </c>
      <c r="AK6" s="114">
        <v>23240087</v>
      </c>
      <c r="AL6" s="108" t="s">
        <v>374</v>
      </c>
      <c r="AM6" s="68">
        <v>89</v>
      </c>
      <c r="AN6" s="68">
        <v>96</v>
      </c>
      <c r="AO6" s="68">
        <v>95</v>
      </c>
      <c r="AP6" s="68">
        <v>90.75</v>
      </c>
      <c r="AQ6" s="68">
        <v>97.9</v>
      </c>
      <c r="AR6" s="68">
        <v>98</v>
      </c>
      <c r="AS6" s="68">
        <v>84.8</v>
      </c>
      <c r="AT6" s="68">
        <v>97.2</v>
      </c>
      <c r="AU6" s="68">
        <v>92.199999999999989</v>
      </c>
      <c r="AV6" s="68">
        <v>90.5</v>
      </c>
      <c r="AW6" s="76">
        <v>80</v>
      </c>
      <c r="AX6" s="76">
        <v>90</v>
      </c>
      <c r="AY6" s="76">
        <v>98</v>
      </c>
      <c r="AZ6" s="76">
        <v>100</v>
      </c>
      <c r="BA6" s="76">
        <v>100</v>
      </c>
      <c r="BB6" s="76">
        <v>95</v>
      </c>
      <c r="BC6" s="76">
        <v>95</v>
      </c>
      <c r="BD6" s="76">
        <v>75</v>
      </c>
      <c r="BE6" s="76">
        <v>85</v>
      </c>
      <c r="BF6" s="76">
        <v>67.5</v>
      </c>
      <c r="BG6" s="76">
        <v>75</v>
      </c>
      <c r="BH6" s="70">
        <f t="shared" si="24"/>
        <v>1399.35</v>
      </c>
      <c r="BI6" s="71">
        <f t="shared" si="25"/>
        <v>93.289999999999992</v>
      </c>
      <c r="BJ6" s="101" t="e">
        <f t="shared" si="26"/>
        <v>#N/A</v>
      </c>
      <c r="BK6" s="73" t="s">
        <v>806</v>
      </c>
      <c r="BL6" s="73" t="s">
        <v>806</v>
      </c>
      <c r="BM6" s="73" t="s">
        <v>806</v>
      </c>
      <c r="BN6" s="74"/>
      <c r="BO6" s="74"/>
      <c r="BP6" s="74"/>
      <c r="BQ6" s="75"/>
    </row>
    <row r="7" spans="1:69" ht="23.1" customHeight="1">
      <c r="A7" s="105">
        <v>4</v>
      </c>
      <c r="B7" s="99">
        <v>23240031</v>
      </c>
      <c r="C7" s="108" t="s">
        <v>377</v>
      </c>
      <c r="D7" s="68">
        <f t="shared" si="0"/>
        <v>94</v>
      </c>
      <c r="E7" s="68">
        <f t="shared" si="1"/>
        <v>99</v>
      </c>
      <c r="F7" s="68">
        <f t="shared" si="2"/>
        <v>95</v>
      </c>
      <c r="G7" s="68">
        <f t="shared" si="3"/>
        <v>89</v>
      </c>
      <c r="H7" s="68">
        <f t="shared" si="4"/>
        <v>99</v>
      </c>
      <c r="I7" s="68">
        <f t="shared" si="5"/>
        <v>86</v>
      </c>
      <c r="J7" s="68">
        <f t="shared" si="6"/>
        <v>82</v>
      </c>
      <c r="K7" s="68">
        <f t="shared" si="7"/>
        <v>93</v>
      </c>
      <c r="L7" s="68">
        <f t="shared" si="8"/>
        <v>90</v>
      </c>
      <c r="M7" s="68">
        <f t="shared" si="9"/>
        <v>85</v>
      </c>
      <c r="N7" s="69">
        <f t="shared" si="10"/>
        <v>95</v>
      </c>
      <c r="O7" s="69">
        <f t="shared" si="11"/>
        <v>87</v>
      </c>
      <c r="P7" s="69">
        <f t="shared" si="12"/>
        <v>92</v>
      </c>
      <c r="Q7" s="69">
        <f t="shared" si="13"/>
        <v>99</v>
      </c>
      <c r="R7" s="69">
        <f t="shared" si="14"/>
        <v>99</v>
      </c>
      <c r="S7" s="234">
        <f t="shared" si="15"/>
        <v>60</v>
      </c>
      <c r="T7" s="234">
        <f t="shared" si="16"/>
        <v>80</v>
      </c>
      <c r="U7" s="234">
        <f t="shared" si="17"/>
        <v>68</v>
      </c>
      <c r="V7" s="234">
        <f t="shared" si="18"/>
        <v>90</v>
      </c>
      <c r="W7" s="234">
        <f t="shared" si="19"/>
        <v>75</v>
      </c>
      <c r="X7" s="234">
        <f t="shared" si="20"/>
        <v>60</v>
      </c>
      <c r="Y7" s="70">
        <f t="shared" si="21"/>
        <v>1384</v>
      </c>
      <c r="Z7" s="71">
        <f t="shared" si="22"/>
        <v>92.266666666666666</v>
      </c>
      <c r="AA7" s="101">
        <f t="shared" si="23"/>
        <v>4</v>
      </c>
      <c r="AB7" s="73" t="s">
        <v>805</v>
      </c>
      <c r="AC7" s="73" t="s">
        <v>805</v>
      </c>
      <c r="AD7" s="73" t="s">
        <v>805</v>
      </c>
      <c r="AE7" s="74">
        <v>7</v>
      </c>
      <c r="AF7" s="74">
        <v>9</v>
      </c>
      <c r="AG7" s="74">
        <v>0</v>
      </c>
      <c r="AH7" s="75"/>
      <c r="AJ7" s="105">
        <v>3</v>
      </c>
      <c r="AK7" s="99">
        <v>23240031</v>
      </c>
      <c r="AL7" s="108" t="s">
        <v>377</v>
      </c>
      <c r="AM7" s="68">
        <v>93.5</v>
      </c>
      <c r="AN7" s="68">
        <v>99.1</v>
      </c>
      <c r="AO7" s="68">
        <v>95</v>
      </c>
      <c r="AP7" s="68">
        <v>88.699999999999989</v>
      </c>
      <c r="AQ7" s="68">
        <v>99</v>
      </c>
      <c r="AR7" s="68">
        <v>85.5</v>
      </c>
      <c r="AS7" s="68">
        <v>82.4</v>
      </c>
      <c r="AT7" s="68">
        <v>93.4</v>
      </c>
      <c r="AU7" s="68">
        <v>89.5</v>
      </c>
      <c r="AV7" s="68">
        <v>84.5</v>
      </c>
      <c r="AW7" s="76">
        <v>95</v>
      </c>
      <c r="AX7" s="76">
        <v>87</v>
      </c>
      <c r="AY7" s="76">
        <v>92</v>
      </c>
      <c r="AZ7" s="76">
        <v>100</v>
      </c>
      <c r="BA7" s="76">
        <v>100</v>
      </c>
      <c r="BB7" s="76">
        <v>60</v>
      </c>
      <c r="BC7" s="76">
        <v>80</v>
      </c>
      <c r="BD7" s="76">
        <v>67.5</v>
      </c>
      <c r="BE7" s="76">
        <v>90</v>
      </c>
      <c r="BF7" s="76">
        <v>75</v>
      </c>
      <c r="BG7" s="76">
        <v>60</v>
      </c>
      <c r="BH7" s="70">
        <f t="shared" si="24"/>
        <v>1384.6</v>
      </c>
      <c r="BI7" s="71">
        <f t="shared" si="25"/>
        <v>92.306666666666658</v>
      </c>
      <c r="BJ7" s="101" t="e">
        <f t="shared" si="26"/>
        <v>#N/A</v>
      </c>
      <c r="BK7" s="73" t="s">
        <v>805</v>
      </c>
      <c r="BL7" s="73" t="s">
        <v>805</v>
      </c>
      <c r="BM7" s="73" t="s">
        <v>805</v>
      </c>
      <c r="BN7" s="74"/>
      <c r="BO7" s="74"/>
      <c r="BP7" s="74"/>
      <c r="BQ7" s="75"/>
    </row>
    <row r="8" spans="1:69" ht="23.1" customHeight="1">
      <c r="A8" s="105">
        <v>5</v>
      </c>
      <c r="B8" s="99">
        <v>23240024</v>
      </c>
      <c r="C8" s="107" t="s">
        <v>378</v>
      </c>
      <c r="D8" s="68">
        <f t="shared" si="0"/>
        <v>87</v>
      </c>
      <c r="E8" s="68">
        <f t="shared" si="1"/>
        <v>97</v>
      </c>
      <c r="F8" s="68">
        <f t="shared" si="2"/>
        <v>95</v>
      </c>
      <c r="G8" s="68">
        <f t="shared" si="3"/>
        <v>72</v>
      </c>
      <c r="H8" s="68">
        <f t="shared" si="4"/>
        <v>96</v>
      </c>
      <c r="I8" s="68">
        <f t="shared" si="5"/>
        <v>79</v>
      </c>
      <c r="J8" s="68">
        <f t="shared" si="6"/>
        <v>76</v>
      </c>
      <c r="K8" s="68">
        <f t="shared" si="7"/>
        <v>95</v>
      </c>
      <c r="L8" s="68">
        <f t="shared" si="8"/>
        <v>95</v>
      </c>
      <c r="M8" s="68">
        <f t="shared" si="9"/>
        <v>83</v>
      </c>
      <c r="N8" s="69">
        <f t="shared" si="10"/>
        <v>95</v>
      </c>
      <c r="O8" s="69">
        <f t="shared" si="11"/>
        <v>96</v>
      </c>
      <c r="P8" s="69">
        <f t="shared" si="12"/>
        <v>98</v>
      </c>
      <c r="Q8" s="69">
        <f t="shared" si="13"/>
        <v>99</v>
      </c>
      <c r="R8" s="69">
        <f t="shared" si="14"/>
        <v>99</v>
      </c>
      <c r="S8" s="234">
        <f t="shared" si="15"/>
        <v>75</v>
      </c>
      <c r="T8" s="234">
        <f t="shared" si="16"/>
        <v>70</v>
      </c>
      <c r="U8" s="234">
        <f t="shared" si="17"/>
        <v>65</v>
      </c>
      <c r="V8" s="234">
        <f t="shared" si="18"/>
        <v>90</v>
      </c>
      <c r="W8" s="234">
        <f t="shared" si="19"/>
        <v>68</v>
      </c>
      <c r="X8" s="234">
        <f t="shared" si="20"/>
        <v>70</v>
      </c>
      <c r="Y8" s="70">
        <f t="shared" si="21"/>
        <v>1362</v>
      </c>
      <c r="Z8" s="71">
        <f t="shared" si="22"/>
        <v>90.8</v>
      </c>
      <c r="AA8" s="101">
        <f t="shared" si="23"/>
        <v>5</v>
      </c>
      <c r="AB8" s="73" t="s">
        <v>805</v>
      </c>
      <c r="AC8" s="73" t="s">
        <v>805</v>
      </c>
      <c r="AD8" s="73" t="s">
        <v>805</v>
      </c>
      <c r="AE8" s="74">
        <v>9</v>
      </c>
      <c r="AF8" s="74">
        <v>0</v>
      </c>
      <c r="AG8" s="74">
        <v>0</v>
      </c>
      <c r="AH8" s="75"/>
      <c r="AJ8" s="105">
        <v>19</v>
      </c>
      <c r="AK8" s="109">
        <v>23240024</v>
      </c>
      <c r="AL8" s="103" t="s">
        <v>378</v>
      </c>
      <c r="AM8" s="68">
        <v>86.5</v>
      </c>
      <c r="AN8" s="68">
        <v>96.8</v>
      </c>
      <c r="AO8" s="68">
        <v>94.5</v>
      </c>
      <c r="AP8" s="68">
        <v>72.199999999999989</v>
      </c>
      <c r="AQ8" s="68">
        <v>96.4</v>
      </c>
      <c r="AR8" s="68">
        <v>79</v>
      </c>
      <c r="AS8" s="68">
        <v>76.2</v>
      </c>
      <c r="AT8" s="68">
        <v>95.199999999999989</v>
      </c>
      <c r="AU8" s="68">
        <v>94.5</v>
      </c>
      <c r="AV8" s="68">
        <v>82.5</v>
      </c>
      <c r="AW8" s="76">
        <v>95</v>
      </c>
      <c r="AX8" s="76">
        <v>96</v>
      </c>
      <c r="AY8" s="76">
        <v>98</v>
      </c>
      <c r="AZ8" s="76">
        <v>100</v>
      </c>
      <c r="BA8" s="76">
        <v>100</v>
      </c>
      <c r="BB8" s="76">
        <v>75</v>
      </c>
      <c r="BC8" s="76">
        <v>70</v>
      </c>
      <c r="BD8" s="76">
        <v>65</v>
      </c>
      <c r="BE8" s="76">
        <v>90</v>
      </c>
      <c r="BF8" s="76">
        <v>67.5</v>
      </c>
      <c r="BG8" s="76">
        <v>70</v>
      </c>
      <c r="BH8" s="70">
        <f t="shared" si="24"/>
        <v>1362.8</v>
      </c>
      <c r="BI8" s="71">
        <f t="shared" si="25"/>
        <v>90.853333333333325</v>
      </c>
      <c r="BJ8" s="101" t="e">
        <f t="shared" si="26"/>
        <v>#N/A</v>
      </c>
      <c r="BK8" s="73" t="s">
        <v>805</v>
      </c>
      <c r="BL8" s="73" t="s">
        <v>805</v>
      </c>
      <c r="BM8" s="73" t="s">
        <v>805</v>
      </c>
      <c r="BN8" s="74"/>
      <c r="BO8" s="74"/>
      <c r="BP8" s="74"/>
      <c r="BQ8" s="75"/>
    </row>
    <row r="9" spans="1:69" ht="23.1" customHeight="1">
      <c r="A9" s="105">
        <v>6</v>
      </c>
      <c r="B9" s="105">
        <v>23240152</v>
      </c>
      <c r="C9" s="102" t="s">
        <v>376</v>
      </c>
      <c r="D9" s="68">
        <f t="shared" si="0"/>
        <v>77</v>
      </c>
      <c r="E9" s="68">
        <f t="shared" si="1"/>
        <v>97</v>
      </c>
      <c r="F9" s="68">
        <f t="shared" si="2"/>
        <v>94</v>
      </c>
      <c r="G9" s="68">
        <f t="shared" si="3"/>
        <v>79</v>
      </c>
      <c r="H9" s="68">
        <f t="shared" si="4"/>
        <v>93</v>
      </c>
      <c r="I9" s="68">
        <f t="shared" si="5"/>
        <v>82</v>
      </c>
      <c r="J9" s="68">
        <f t="shared" si="6"/>
        <v>74</v>
      </c>
      <c r="K9" s="68">
        <f t="shared" si="7"/>
        <v>98</v>
      </c>
      <c r="L9" s="68">
        <f t="shared" si="8"/>
        <v>87</v>
      </c>
      <c r="M9" s="68">
        <f t="shared" si="9"/>
        <v>86</v>
      </c>
      <c r="N9" s="69">
        <f t="shared" si="10"/>
        <v>80</v>
      </c>
      <c r="O9" s="69">
        <f t="shared" si="11"/>
        <v>90</v>
      </c>
      <c r="P9" s="69">
        <f t="shared" si="12"/>
        <v>99</v>
      </c>
      <c r="Q9" s="69">
        <f t="shared" si="13"/>
        <v>99</v>
      </c>
      <c r="R9" s="69">
        <f t="shared" si="14"/>
        <v>99</v>
      </c>
      <c r="S9" s="234">
        <f t="shared" si="15"/>
        <v>93</v>
      </c>
      <c r="T9" s="234">
        <f t="shared" si="16"/>
        <v>93</v>
      </c>
      <c r="U9" s="234">
        <f t="shared" si="17"/>
        <v>65</v>
      </c>
      <c r="V9" s="234">
        <f t="shared" si="18"/>
        <v>88</v>
      </c>
      <c r="W9" s="234">
        <f t="shared" si="19"/>
        <v>73</v>
      </c>
      <c r="X9" s="234">
        <f t="shared" si="20"/>
        <v>73</v>
      </c>
      <c r="Y9" s="70">
        <f t="shared" si="21"/>
        <v>1334</v>
      </c>
      <c r="Z9" s="71">
        <f t="shared" si="22"/>
        <v>88.933333333333337</v>
      </c>
      <c r="AA9" s="101">
        <f t="shared" si="23"/>
        <v>6</v>
      </c>
      <c r="AB9" s="73" t="s">
        <v>805</v>
      </c>
      <c r="AC9" s="73" t="s">
        <v>805</v>
      </c>
      <c r="AD9" s="73" t="s">
        <v>805</v>
      </c>
      <c r="AE9" s="74">
        <v>0</v>
      </c>
      <c r="AF9" s="74">
        <v>0</v>
      </c>
      <c r="AG9" s="74">
        <v>0</v>
      </c>
      <c r="AH9" s="75"/>
      <c r="AJ9" s="105">
        <v>13</v>
      </c>
      <c r="AK9" s="105">
        <v>23240152</v>
      </c>
      <c r="AL9" s="102" t="s">
        <v>376</v>
      </c>
      <c r="AM9" s="68">
        <v>77</v>
      </c>
      <c r="AN9" s="68">
        <v>96.5</v>
      </c>
      <c r="AO9" s="68">
        <v>94</v>
      </c>
      <c r="AP9" s="68">
        <v>79.199999999999989</v>
      </c>
      <c r="AQ9" s="68">
        <v>93</v>
      </c>
      <c r="AR9" s="68">
        <v>82</v>
      </c>
      <c r="AS9" s="68">
        <v>73.900000000000006</v>
      </c>
      <c r="AT9" s="68">
        <v>98.4</v>
      </c>
      <c r="AU9" s="68">
        <v>87</v>
      </c>
      <c r="AV9" s="68">
        <v>86</v>
      </c>
      <c r="AW9" s="76">
        <v>80</v>
      </c>
      <c r="AX9" s="76">
        <v>90</v>
      </c>
      <c r="AY9" s="76">
        <v>100</v>
      </c>
      <c r="AZ9" s="76">
        <v>100</v>
      </c>
      <c r="BA9" s="76">
        <v>100</v>
      </c>
      <c r="BB9" s="76">
        <v>92.5</v>
      </c>
      <c r="BC9" s="76">
        <v>92.5</v>
      </c>
      <c r="BD9" s="76">
        <v>65</v>
      </c>
      <c r="BE9" s="76">
        <v>87.5</v>
      </c>
      <c r="BF9" s="76">
        <v>72.5</v>
      </c>
      <c r="BG9" s="76">
        <v>72.5</v>
      </c>
      <c r="BH9" s="70">
        <f t="shared" si="24"/>
        <v>1337</v>
      </c>
      <c r="BI9" s="71">
        <f t="shared" si="25"/>
        <v>89.13333333333334</v>
      </c>
      <c r="BJ9" s="101" t="e">
        <f t="shared" si="26"/>
        <v>#N/A</v>
      </c>
      <c r="BK9" s="73" t="s">
        <v>805</v>
      </c>
      <c r="BL9" s="73" t="s">
        <v>805</v>
      </c>
      <c r="BM9" s="73" t="s">
        <v>805</v>
      </c>
      <c r="BN9" s="74"/>
      <c r="BO9" s="74"/>
      <c r="BP9" s="74"/>
      <c r="BQ9" s="75"/>
    </row>
    <row r="10" spans="1:69" ht="23.1" customHeight="1">
      <c r="A10" s="105">
        <v>7</v>
      </c>
      <c r="B10" s="113">
        <v>23240164</v>
      </c>
      <c r="C10" s="107" t="s">
        <v>382</v>
      </c>
      <c r="D10" s="68">
        <f t="shared" si="0"/>
        <v>87</v>
      </c>
      <c r="E10" s="68">
        <f t="shared" si="1"/>
        <v>86</v>
      </c>
      <c r="F10" s="68">
        <f t="shared" si="2"/>
        <v>88</v>
      </c>
      <c r="G10" s="68">
        <f t="shared" si="3"/>
        <v>76</v>
      </c>
      <c r="H10" s="68">
        <f t="shared" si="4"/>
        <v>94</v>
      </c>
      <c r="I10" s="68">
        <f t="shared" si="5"/>
        <v>89</v>
      </c>
      <c r="J10" s="68">
        <f t="shared" si="6"/>
        <v>59</v>
      </c>
      <c r="K10" s="68">
        <f t="shared" si="7"/>
        <v>89</v>
      </c>
      <c r="L10" s="68">
        <f t="shared" si="8"/>
        <v>85</v>
      </c>
      <c r="M10" s="68">
        <f t="shared" si="9"/>
        <v>85</v>
      </c>
      <c r="N10" s="69">
        <f t="shared" si="10"/>
        <v>80</v>
      </c>
      <c r="O10" s="69">
        <f t="shared" si="11"/>
        <v>98</v>
      </c>
      <c r="P10" s="69">
        <f t="shared" si="12"/>
        <v>79</v>
      </c>
      <c r="Q10" s="69">
        <f t="shared" si="13"/>
        <v>99</v>
      </c>
      <c r="R10" s="69">
        <f t="shared" si="14"/>
        <v>99</v>
      </c>
      <c r="S10" s="234">
        <f t="shared" si="15"/>
        <v>98</v>
      </c>
      <c r="T10" s="234">
        <f t="shared" si="16"/>
        <v>60</v>
      </c>
      <c r="U10" s="234">
        <f t="shared" si="17"/>
        <v>65</v>
      </c>
      <c r="V10" s="234">
        <f t="shared" si="18"/>
        <v>93</v>
      </c>
      <c r="W10" s="234">
        <f t="shared" si="19"/>
        <v>68</v>
      </c>
      <c r="X10" s="234">
        <f t="shared" si="20"/>
        <v>60</v>
      </c>
      <c r="Y10" s="70">
        <f t="shared" si="21"/>
        <v>1293</v>
      </c>
      <c r="Z10" s="71">
        <f t="shared" si="22"/>
        <v>86.2</v>
      </c>
      <c r="AA10" s="101">
        <f t="shared" si="23"/>
        <v>7</v>
      </c>
      <c r="AB10" s="73" t="s">
        <v>805</v>
      </c>
      <c r="AC10" s="73" t="s">
        <v>805</v>
      </c>
      <c r="AD10" s="73" t="s">
        <v>805</v>
      </c>
      <c r="AE10" s="74">
        <v>8</v>
      </c>
      <c r="AF10" s="74">
        <v>0</v>
      </c>
      <c r="AG10" s="74">
        <v>0</v>
      </c>
      <c r="AH10" s="75"/>
      <c r="AJ10" s="105">
        <v>15</v>
      </c>
      <c r="AK10" s="113">
        <v>23240164</v>
      </c>
      <c r="AL10" s="107" t="s">
        <v>382</v>
      </c>
      <c r="AM10" s="68">
        <v>87</v>
      </c>
      <c r="AN10" s="68">
        <v>86</v>
      </c>
      <c r="AO10" s="68">
        <v>87.5</v>
      </c>
      <c r="AP10" s="68">
        <v>76</v>
      </c>
      <c r="AQ10" s="68">
        <v>93.5</v>
      </c>
      <c r="AR10" s="68">
        <v>89</v>
      </c>
      <c r="AS10" s="68">
        <v>59</v>
      </c>
      <c r="AT10" s="68">
        <v>89</v>
      </c>
      <c r="AU10" s="68">
        <v>85</v>
      </c>
      <c r="AV10" s="68">
        <v>84.5</v>
      </c>
      <c r="AW10" s="76">
        <v>80</v>
      </c>
      <c r="AX10" s="76">
        <v>98</v>
      </c>
      <c r="AY10" s="76">
        <v>79</v>
      </c>
      <c r="AZ10" s="76">
        <v>100</v>
      </c>
      <c r="BA10" s="76">
        <v>100</v>
      </c>
      <c r="BB10" s="76">
        <v>97.5</v>
      </c>
      <c r="BC10" s="76">
        <v>60</v>
      </c>
      <c r="BD10" s="76">
        <v>65</v>
      </c>
      <c r="BE10" s="76">
        <v>92.5</v>
      </c>
      <c r="BF10" s="76">
        <v>67.5</v>
      </c>
      <c r="BG10" s="76">
        <v>60</v>
      </c>
      <c r="BH10" s="70">
        <f t="shared" si="24"/>
        <v>1293.5</v>
      </c>
      <c r="BI10" s="71">
        <f t="shared" si="25"/>
        <v>86.233333333333334</v>
      </c>
      <c r="BJ10" s="101" t="e">
        <f t="shared" si="26"/>
        <v>#N/A</v>
      </c>
      <c r="BK10" s="73" t="s">
        <v>805</v>
      </c>
      <c r="BL10" s="73" t="s">
        <v>805</v>
      </c>
      <c r="BM10" s="73" t="s">
        <v>805</v>
      </c>
      <c r="BN10" s="74"/>
      <c r="BO10" s="74"/>
      <c r="BP10" s="74"/>
      <c r="BQ10" s="75"/>
    </row>
    <row r="11" spans="1:69" ht="23.1" customHeight="1">
      <c r="A11" s="105">
        <v>8</v>
      </c>
      <c r="B11" s="112">
        <v>23240168</v>
      </c>
      <c r="C11" s="102" t="s">
        <v>380</v>
      </c>
      <c r="D11" s="68">
        <f t="shared" si="0"/>
        <v>82</v>
      </c>
      <c r="E11" s="68">
        <f t="shared" si="1"/>
        <v>96</v>
      </c>
      <c r="F11" s="68">
        <f t="shared" si="2"/>
        <v>85</v>
      </c>
      <c r="G11" s="68">
        <f t="shared" si="3"/>
        <v>69</v>
      </c>
      <c r="H11" s="68">
        <f t="shared" si="4"/>
        <v>87</v>
      </c>
      <c r="I11" s="68">
        <f t="shared" si="5"/>
        <v>74</v>
      </c>
      <c r="J11" s="68">
        <f t="shared" si="6"/>
        <v>64</v>
      </c>
      <c r="K11" s="68">
        <f t="shared" si="7"/>
        <v>91</v>
      </c>
      <c r="L11" s="68">
        <f t="shared" si="8"/>
        <v>88</v>
      </c>
      <c r="M11" s="68">
        <f t="shared" si="9"/>
        <v>70</v>
      </c>
      <c r="N11" s="69">
        <f t="shared" si="10"/>
        <v>95</v>
      </c>
      <c r="O11" s="69">
        <f t="shared" si="11"/>
        <v>98</v>
      </c>
      <c r="P11" s="69">
        <f t="shared" si="12"/>
        <v>95</v>
      </c>
      <c r="Q11" s="69">
        <f t="shared" si="13"/>
        <v>99</v>
      </c>
      <c r="R11" s="69">
        <f t="shared" si="14"/>
        <v>99</v>
      </c>
      <c r="S11" s="234">
        <f t="shared" si="15"/>
        <v>78</v>
      </c>
      <c r="T11" s="234">
        <f t="shared" si="16"/>
        <v>90</v>
      </c>
      <c r="U11" s="234">
        <f t="shared" si="17"/>
        <v>63</v>
      </c>
      <c r="V11" s="234">
        <f t="shared" si="18"/>
        <v>85</v>
      </c>
      <c r="W11" s="234">
        <f t="shared" si="19"/>
        <v>70</v>
      </c>
      <c r="X11" s="234">
        <f t="shared" si="20"/>
        <v>70</v>
      </c>
      <c r="Y11" s="70">
        <f t="shared" si="21"/>
        <v>1292</v>
      </c>
      <c r="Z11" s="71">
        <f t="shared" si="22"/>
        <v>86.13333333333334</v>
      </c>
      <c r="AA11" s="101">
        <f t="shared" si="23"/>
        <v>8</v>
      </c>
      <c r="AB11" s="73" t="s">
        <v>805</v>
      </c>
      <c r="AC11" s="73" t="s">
        <v>805</v>
      </c>
      <c r="AD11" s="73" t="s">
        <v>805</v>
      </c>
      <c r="AE11" s="74">
        <v>0</v>
      </c>
      <c r="AF11" s="74">
        <v>0</v>
      </c>
      <c r="AG11" s="74">
        <v>0</v>
      </c>
      <c r="AH11" s="75"/>
      <c r="AJ11" s="105">
        <v>12</v>
      </c>
      <c r="AK11" s="112">
        <v>23240168</v>
      </c>
      <c r="AL11" s="102" t="s">
        <v>380</v>
      </c>
      <c r="AM11" s="68">
        <v>81.5</v>
      </c>
      <c r="AN11" s="68">
        <v>95.6</v>
      </c>
      <c r="AO11" s="68">
        <v>85.2</v>
      </c>
      <c r="AP11" s="68">
        <v>68.699999999999989</v>
      </c>
      <c r="AQ11" s="68">
        <v>87</v>
      </c>
      <c r="AR11" s="68">
        <v>74</v>
      </c>
      <c r="AS11" s="68">
        <v>63.5</v>
      </c>
      <c r="AT11" s="68">
        <v>90.9</v>
      </c>
      <c r="AU11" s="68">
        <v>87.5</v>
      </c>
      <c r="AV11" s="68">
        <v>69.5</v>
      </c>
      <c r="AW11" s="76">
        <v>95</v>
      </c>
      <c r="AX11" s="76">
        <v>98</v>
      </c>
      <c r="AY11" s="76">
        <v>95</v>
      </c>
      <c r="AZ11" s="76">
        <v>100</v>
      </c>
      <c r="BA11" s="76">
        <v>100</v>
      </c>
      <c r="BB11" s="76">
        <v>77.5</v>
      </c>
      <c r="BC11" s="76">
        <v>90</v>
      </c>
      <c r="BD11" s="76">
        <v>62.5</v>
      </c>
      <c r="BE11" s="76">
        <v>85</v>
      </c>
      <c r="BF11" s="76">
        <v>70</v>
      </c>
      <c r="BG11" s="76">
        <v>70</v>
      </c>
      <c r="BH11" s="70">
        <f t="shared" si="24"/>
        <v>1291.4000000000001</v>
      </c>
      <c r="BI11" s="71">
        <f t="shared" si="25"/>
        <v>86.093333333333334</v>
      </c>
      <c r="BJ11" s="101" t="e">
        <f t="shared" si="26"/>
        <v>#N/A</v>
      </c>
      <c r="BK11" s="73" t="s">
        <v>805</v>
      </c>
      <c r="BL11" s="73" t="s">
        <v>805</v>
      </c>
      <c r="BM11" s="73" t="s">
        <v>805</v>
      </c>
      <c r="BN11" s="74"/>
      <c r="BO11" s="74"/>
      <c r="BP11" s="74"/>
      <c r="BQ11" s="75"/>
    </row>
    <row r="12" spans="1:69" ht="23.1" customHeight="1">
      <c r="A12" s="105">
        <v>9</v>
      </c>
      <c r="B12" s="113">
        <v>23240062</v>
      </c>
      <c r="C12" s="107" t="s">
        <v>379</v>
      </c>
      <c r="D12" s="68">
        <f t="shared" si="0"/>
        <v>71</v>
      </c>
      <c r="E12" s="68">
        <f t="shared" si="1"/>
        <v>89</v>
      </c>
      <c r="F12" s="68">
        <f t="shared" si="2"/>
        <v>89</v>
      </c>
      <c r="G12" s="68">
        <f t="shared" si="3"/>
        <v>70</v>
      </c>
      <c r="H12" s="68">
        <f t="shared" si="4"/>
        <v>82</v>
      </c>
      <c r="I12" s="68">
        <f t="shared" si="5"/>
        <v>71</v>
      </c>
      <c r="J12" s="68">
        <f t="shared" si="6"/>
        <v>61</v>
      </c>
      <c r="K12" s="68">
        <f t="shared" si="7"/>
        <v>92</v>
      </c>
      <c r="L12" s="68">
        <f t="shared" si="8"/>
        <v>75</v>
      </c>
      <c r="M12" s="68">
        <f t="shared" si="9"/>
        <v>74</v>
      </c>
      <c r="N12" s="69">
        <f t="shared" si="10"/>
        <v>75</v>
      </c>
      <c r="O12" s="69">
        <f t="shared" si="11"/>
        <v>90</v>
      </c>
      <c r="P12" s="69">
        <f t="shared" si="12"/>
        <v>88</v>
      </c>
      <c r="Q12" s="69">
        <f t="shared" si="13"/>
        <v>99</v>
      </c>
      <c r="R12" s="69">
        <f t="shared" si="14"/>
        <v>99</v>
      </c>
      <c r="S12" s="234">
        <f t="shared" si="15"/>
        <v>63</v>
      </c>
      <c r="T12" s="234">
        <f t="shared" si="16"/>
        <v>68</v>
      </c>
      <c r="U12" s="234">
        <f t="shared" si="17"/>
        <v>60</v>
      </c>
      <c r="V12" s="234">
        <f t="shared" si="18"/>
        <v>63</v>
      </c>
      <c r="W12" s="234">
        <f t="shared" si="19"/>
        <v>60</v>
      </c>
      <c r="X12" s="234">
        <f t="shared" si="20"/>
        <v>63</v>
      </c>
      <c r="Y12" s="70">
        <f t="shared" si="21"/>
        <v>1225</v>
      </c>
      <c r="Z12" s="71">
        <f t="shared" si="22"/>
        <v>81.666666666666671</v>
      </c>
      <c r="AA12" s="101">
        <f t="shared" si="23"/>
        <v>9</v>
      </c>
      <c r="AB12" s="73" t="s">
        <v>805</v>
      </c>
      <c r="AC12" s="73" t="s">
        <v>805</v>
      </c>
      <c r="AD12" s="73" t="s">
        <v>805</v>
      </c>
      <c r="AE12" s="74">
        <v>0</v>
      </c>
      <c r="AF12" s="74">
        <v>0</v>
      </c>
      <c r="AG12" s="74">
        <v>3</v>
      </c>
      <c r="AH12" s="75"/>
      <c r="AJ12" s="105">
        <v>17</v>
      </c>
      <c r="AK12" s="113">
        <v>23240062</v>
      </c>
      <c r="AL12" s="107" t="s">
        <v>379</v>
      </c>
      <c r="AM12" s="68">
        <v>71</v>
      </c>
      <c r="AN12" s="68">
        <v>89</v>
      </c>
      <c r="AO12" s="68">
        <v>88.5</v>
      </c>
      <c r="AP12" s="68">
        <v>69.5</v>
      </c>
      <c r="AQ12" s="68">
        <v>81.5</v>
      </c>
      <c r="AR12" s="68">
        <v>71</v>
      </c>
      <c r="AS12" s="68">
        <v>61.3</v>
      </c>
      <c r="AT12" s="68">
        <v>91.6</v>
      </c>
      <c r="AU12" s="68">
        <v>74.5</v>
      </c>
      <c r="AV12" s="68">
        <v>73.5</v>
      </c>
      <c r="AW12" s="76">
        <v>75</v>
      </c>
      <c r="AX12" s="76">
        <v>90</v>
      </c>
      <c r="AY12" s="76">
        <v>88</v>
      </c>
      <c r="AZ12" s="76">
        <v>100</v>
      </c>
      <c r="BA12" s="76">
        <v>100</v>
      </c>
      <c r="BB12" s="76">
        <v>62.5</v>
      </c>
      <c r="BC12" s="76">
        <v>67.5</v>
      </c>
      <c r="BD12" s="76">
        <v>60</v>
      </c>
      <c r="BE12" s="76">
        <v>62.5</v>
      </c>
      <c r="BF12" s="76">
        <v>60</v>
      </c>
      <c r="BG12" s="76">
        <v>62.5</v>
      </c>
      <c r="BH12" s="70">
        <f t="shared" si="24"/>
        <v>1224.4000000000001</v>
      </c>
      <c r="BI12" s="71">
        <f t="shared" si="25"/>
        <v>81.626666666666679</v>
      </c>
      <c r="BJ12" s="101" t="e">
        <f t="shared" si="26"/>
        <v>#N/A</v>
      </c>
      <c r="BK12" s="73" t="s">
        <v>805</v>
      </c>
      <c r="BL12" s="73" t="s">
        <v>805</v>
      </c>
      <c r="BM12" s="73" t="s">
        <v>805</v>
      </c>
      <c r="BN12" s="74"/>
      <c r="BO12" s="74"/>
      <c r="BP12" s="74"/>
      <c r="BQ12" s="75"/>
    </row>
    <row r="13" spans="1:69" ht="23.1" customHeight="1">
      <c r="A13" s="105">
        <v>10</v>
      </c>
      <c r="B13" s="106">
        <v>23240165</v>
      </c>
      <c r="C13" s="100" t="s">
        <v>384</v>
      </c>
      <c r="D13" s="68">
        <f t="shared" si="0"/>
        <v>73</v>
      </c>
      <c r="E13" s="68">
        <f t="shared" si="1"/>
        <v>92</v>
      </c>
      <c r="F13" s="68">
        <f t="shared" si="2"/>
        <v>92</v>
      </c>
      <c r="G13" s="68">
        <f t="shared" si="3"/>
        <v>71</v>
      </c>
      <c r="H13" s="68">
        <f t="shared" si="4"/>
        <v>86</v>
      </c>
      <c r="I13" s="68">
        <f t="shared" si="5"/>
        <v>70</v>
      </c>
      <c r="J13" s="68">
        <f t="shared" si="6"/>
        <v>55</v>
      </c>
      <c r="K13" s="68">
        <f t="shared" si="7"/>
        <v>90</v>
      </c>
      <c r="L13" s="68">
        <f t="shared" si="8"/>
        <v>71</v>
      </c>
      <c r="M13" s="68">
        <f t="shared" si="9"/>
        <v>71</v>
      </c>
      <c r="N13" s="69">
        <f t="shared" si="10"/>
        <v>80</v>
      </c>
      <c r="O13" s="69">
        <f t="shared" si="11"/>
        <v>80</v>
      </c>
      <c r="P13" s="69">
        <f t="shared" si="12"/>
        <v>95</v>
      </c>
      <c r="Q13" s="69">
        <f t="shared" si="13"/>
        <v>99</v>
      </c>
      <c r="R13" s="69">
        <f t="shared" si="14"/>
        <v>99</v>
      </c>
      <c r="S13" s="234">
        <f t="shared" si="15"/>
        <v>85</v>
      </c>
      <c r="T13" s="234">
        <f t="shared" si="16"/>
        <v>85</v>
      </c>
      <c r="U13" s="234">
        <f t="shared" si="17"/>
        <v>63</v>
      </c>
      <c r="V13" s="234">
        <f t="shared" si="18"/>
        <v>78</v>
      </c>
      <c r="W13" s="234">
        <f t="shared" si="19"/>
        <v>68</v>
      </c>
      <c r="X13" s="234">
        <f t="shared" si="20"/>
        <v>78</v>
      </c>
      <c r="Y13" s="70">
        <f t="shared" si="21"/>
        <v>1224</v>
      </c>
      <c r="Z13" s="71">
        <f t="shared" si="22"/>
        <v>81.599999999999994</v>
      </c>
      <c r="AA13" s="101">
        <f t="shared" si="23"/>
        <v>10</v>
      </c>
      <c r="AB13" s="73" t="s">
        <v>805</v>
      </c>
      <c r="AC13" s="73" t="s">
        <v>805</v>
      </c>
      <c r="AD13" s="73" t="s">
        <v>805</v>
      </c>
      <c r="AE13" s="74">
        <v>0</v>
      </c>
      <c r="AF13" s="74">
        <v>0</v>
      </c>
      <c r="AG13" s="74">
        <v>0</v>
      </c>
      <c r="AH13" s="75"/>
      <c r="AJ13" s="105">
        <v>14</v>
      </c>
      <c r="AK13" s="106">
        <v>23240165</v>
      </c>
      <c r="AL13" s="100" t="s">
        <v>384</v>
      </c>
      <c r="AM13" s="68">
        <v>73</v>
      </c>
      <c r="AN13" s="68">
        <v>92</v>
      </c>
      <c r="AO13" s="68">
        <v>91.5</v>
      </c>
      <c r="AP13" s="68">
        <v>71.199999999999989</v>
      </c>
      <c r="AQ13" s="68">
        <v>85.5</v>
      </c>
      <c r="AR13" s="68">
        <v>70</v>
      </c>
      <c r="AS13" s="68">
        <v>55.4</v>
      </c>
      <c r="AT13" s="68">
        <v>89.899999999999991</v>
      </c>
      <c r="AU13" s="68">
        <v>70.5</v>
      </c>
      <c r="AV13" s="68">
        <v>70.5</v>
      </c>
      <c r="AW13" s="76">
        <v>80</v>
      </c>
      <c r="AX13" s="76">
        <v>80</v>
      </c>
      <c r="AY13" s="76">
        <v>95</v>
      </c>
      <c r="AZ13" s="76">
        <v>100</v>
      </c>
      <c r="BA13" s="76">
        <v>100</v>
      </c>
      <c r="BB13" s="76">
        <v>85</v>
      </c>
      <c r="BC13" s="76">
        <v>85</v>
      </c>
      <c r="BD13" s="76">
        <v>62.5</v>
      </c>
      <c r="BE13" s="76">
        <v>77.5</v>
      </c>
      <c r="BF13" s="76">
        <v>67.5</v>
      </c>
      <c r="BG13" s="76">
        <v>77.5</v>
      </c>
      <c r="BH13" s="70">
        <f t="shared" si="24"/>
        <v>1224.5</v>
      </c>
      <c r="BI13" s="71">
        <f t="shared" si="25"/>
        <v>81.63333333333334</v>
      </c>
      <c r="BJ13" s="101" t="e">
        <f t="shared" si="26"/>
        <v>#N/A</v>
      </c>
      <c r="BK13" s="73" t="s">
        <v>805</v>
      </c>
      <c r="BL13" s="73" t="s">
        <v>805</v>
      </c>
      <c r="BM13" s="73" t="s">
        <v>805</v>
      </c>
      <c r="BN13" s="74"/>
      <c r="BO13" s="74"/>
      <c r="BP13" s="74"/>
      <c r="BQ13" s="75"/>
    </row>
    <row r="14" spans="1:69" ht="23.1" customHeight="1">
      <c r="A14" s="105">
        <v>11</v>
      </c>
      <c r="B14" s="99">
        <v>23240057</v>
      </c>
      <c r="C14" s="107" t="s">
        <v>383</v>
      </c>
      <c r="D14" s="68">
        <f t="shared" si="0"/>
        <v>74</v>
      </c>
      <c r="E14" s="68">
        <f t="shared" si="1"/>
        <v>85</v>
      </c>
      <c r="F14" s="68">
        <f t="shared" si="2"/>
        <v>69</v>
      </c>
      <c r="G14" s="68">
        <f t="shared" si="3"/>
        <v>67</v>
      </c>
      <c r="H14" s="68">
        <f t="shared" si="4"/>
        <v>89</v>
      </c>
      <c r="I14" s="68">
        <f t="shared" si="5"/>
        <v>74</v>
      </c>
      <c r="J14" s="68">
        <f t="shared" si="6"/>
        <v>53</v>
      </c>
      <c r="K14" s="68">
        <f t="shared" si="7"/>
        <v>93</v>
      </c>
      <c r="L14" s="68">
        <f t="shared" si="8"/>
        <v>65</v>
      </c>
      <c r="M14" s="68">
        <f t="shared" si="9"/>
        <v>68</v>
      </c>
      <c r="N14" s="69">
        <f t="shared" si="10"/>
        <v>80</v>
      </c>
      <c r="O14" s="69">
        <f t="shared" si="11"/>
        <v>99</v>
      </c>
      <c r="P14" s="69">
        <f t="shared" si="12"/>
        <v>80</v>
      </c>
      <c r="Q14" s="69">
        <f t="shared" si="13"/>
        <v>99</v>
      </c>
      <c r="R14" s="69">
        <f t="shared" si="14"/>
        <v>99</v>
      </c>
      <c r="S14" s="234">
        <f t="shared" si="15"/>
        <v>93</v>
      </c>
      <c r="T14" s="234">
        <f t="shared" si="16"/>
        <v>65</v>
      </c>
      <c r="U14" s="234">
        <f t="shared" si="17"/>
        <v>60</v>
      </c>
      <c r="V14" s="234">
        <f t="shared" si="18"/>
        <v>80</v>
      </c>
      <c r="W14" s="234">
        <f t="shared" si="19"/>
        <v>70</v>
      </c>
      <c r="X14" s="234">
        <f t="shared" si="20"/>
        <v>60</v>
      </c>
      <c r="Y14" s="70">
        <f t="shared" si="21"/>
        <v>1194</v>
      </c>
      <c r="Z14" s="71">
        <f t="shared" si="22"/>
        <v>79.599999999999994</v>
      </c>
      <c r="AA14" s="101"/>
      <c r="AB14" s="73" t="s">
        <v>805</v>
      </c>
      <c r="AC14" s="73" t="s">
        <v>805</v>
      </c>
      <c r="AD14" s="73" t="s">
        <v>805</v>
      </c>
      <c r="AE14" s="74">
        <v>37</v>
      </c>
      <c r="AF14" s="74">
        <v>0</v>
      </c>
      <c r="AG14" s="74">
        <v>0</v>
      </c>
      <c r="AH14" s="75"/>
      <c r="AJ14" s="105">
        <v>21</v>
      </c>
      <c r="AK14" s="105">
        <v>23240057</v>
      </c>
      <c r="AL14" s="103" t="s">
        <v>383</v>
      </c>
      <c r="AM14" s="68">
        <v>74</v>
      </c>
      <c r="AN14" s="68">
        <v>84.5</v>
      </c>
      <c r="AO14" s="68">
        <v>69</v>
      </c>
      <c r="AP14" s="68">
        <v>66.95</v>
      </c>
      <c r="AQ14" s="68">
        <v>89</v>
      </c>
      <c r="AR14" s="68">
        <v>73.5</v>
      </c>
      <c r="AS14" s="68">
        <v>53</v>
      </c>
      <c r="AT14" s="68">
        <v>92.7</v>
      </c>
      <c r="AU14" s="68">
        <v>65</v>
      </c>
      <c r="AV14" s="68">
        <v>68</v>
      </c>
      <c r="AW14" s="76">
        <v>80</v>
      </c>
      <c r="AX14" s="76">
        <v>99</v>
      </c>
      <c r="AY14" s="76">
        <v>80</v>
      </c>
      <c r="AZ14" s="76">
        <v>100</v>
      </c>
      <c r="BA14" s="76">
        <v>100</v>
      </c>
      <c r="BB14" s="76">
        <v>92.5</v>
      </c>
      <c r="BC14" s="76">
        <v>65</v>
      </c>
      <c r="BD14" s="76">
        <v>60</v>
      </c>
      <c r="BE14" s="76">
        <v>80</v>
      </c>
      <c r="BF14" s="76">
        <v>70</v>
      </c>
      <c r="BG14" s="76">
        <v>60</v>
      </c>
      <c r="BH14" s="70">
        <f t="shared" si="24"/>
        <v>1194.6500000000001</v>
      </c>
      <c r="BI14" s="71">
        <f t="shared" si="25"/>
        <v>79.643333333333345</v>
      </c>
      <c r="BJ14" s="101" t="e">
        <f t="shared" si="26"/>
        <v>#N/A</v>
      </c>
      <c r="BK14" s="73" t="s">
        <v>805</v>
      </c>
      <c r="BL14" s="73" t="s">
        <v>805</v>
      </c>
      <c r="BM14" s="73" t="s">
        <v>805</v>
      </c>
      <c r="BN14" s="74"/>
      <c r="BO14" s="74"/>
      <c r="BP14" s="74"/>
      <c r="BQ14" s="75"/>
    </row>
    <row r="15" spans="1:69" ht="23.1" customHeight="1">
      <c r="A15" s="105">
        <v>12</v>
      </c>
      <c r="B15" s="99">
        <v>23240132</v>
      </c>
      <c r="C15" s="107" t="s">
        <v>386</v>
      </c>
      <c r="D15" s="68">
        <f t="shared" si="0"/>
        <v>71</v>
      </c>
      <c r="E15" s="68">
        <f t="shared" si="1"/>
        <v>91</v>
      </c>
      <c r="F15" s="68">
        <f t="shared" si="2"/>
        <v>76</v>
      </c>
      <c r="G15" s="68">
        <f t="shared" si="3"/>
        <v>55</v>
      </c>
      <c r="H15" s="68">
        <f t="shared" si="4"/>
        <v>86</v>
      </c>
      <c r="I15" s="68">
        <f t="shared" si="5"/>
        <v>68</v>
      </c>
      <c r="J15" s="68">
        <f t="shared" si="6"/>
        <v>54</v>
      </c>
      <c r="K15" s="68">
        <f t="shared" si="7"/>
        <v>86</v>
      </c>
      <c r="L15" s="68">
        <f t="shared" si="8"/>
        <v>73</v>
      </c>
      <c r="M15" s="68">
        <f t="shared" si="9"/>
        <v>63</v>
      </c>
      <c r="N15" s="69">
        <f t="shared" si="10"/>
        <v>75</v>
      </c>
      <c r="O15" s="69">
        <f t="shared" si="11"/>
        <v>75</v>
      </c>
      <c r="P15" s="69">
        <f t="shared" si="12"/>
        <v>85</v>
      </c>
      <c r="Q15" s="69">
        <f t="shared" si="13"/>
        <v>99</v>
      </c>
      <c r="R15" s="69">
        <f t="shared" si="14"/>
        <v>99</v>
      </c>
      <c r="S15" s="234">
        <f t="shared" si="15"/>
        <v>60</v>
      </c>
      <c r="T15" s="234">
        <f t="shared" si="16"/>
        <v>70</v>
      </c>
      <c r="U15" s="234">
        <f t="shared" si="17"/>
        <v>65</v>
      </c>
      <c r="V15" s="234">
        <f t="shared" si="18"/>
        <v>65</v>
      </c>
      <c r="W15" s="234">
        <f t="shared" si="19"/>
        <v>65</v>
      </c>
      <c r="X15" s="234">
        <f t="shared" si="20"/>
        <v>68</v>
      </c>
      <c r="Y15" s="70">
        <f t="shared" si="21"/>
        <v>1156</v>
      </c>
      <c r="Z15" s="71">
        <f t="shared" si="22"/>
        <v>77.066666666666663</v>
      </c>
      <c r="AA15" s="101"/>
      <c r="AB15" s="73" t="s">
        <v>805</v>
      </c>
      <c r="AC15" s="73" t="s">
        <v>805</v>
      </c>
      <c r="AD15" s="73" t="s">
        <v>805</v>
      </c>
      <c r="AE15" s="74">
        <v>2</v>
      </c>
      <c r="AF15" s="74">
        <v>0</v>
      </c>
      <c r="AG15" s="74">
        <v>0</v>
      </c>
      <c r="AH15" s="75"/>
      <c r="AJ15" s="105">
        <v>22</v>
      </c>
      <c r="AK15" s="106">
        <v>23240132</v>
      </c>
      <c r="AL15" s="102" t="s">
        <v>386</v>
      </c>
      <c r="AM15" s="68">
        <v>71</v>
      </c>
      <c r="AN15" s="68">
        <v>90.5</v>
      </c>
      <c r="AO15" s="68">
        <v>76</v>
      </c>
      <c r="AP15" s="68">
        <v>54.5</v>
      </c>
      <c r="AQ15" s="68">
        <v>85.5</v>
      </c>
      <c r="AR15" s="68">
        <v>68</v>
      </c>
      <c r="AS15" s="68">
        <v>53.9</v>
      </c>
      <c r="AT15" s="68">
        <v>86.3</v>
      </c>
      <c r="AU15" s="68">
        <v>72.5</v>
      </c>
      <c r="AV15" s="68">
        <v>63</v>
      </c>
      <c r="AW15" s="76">
        <v>75</v>
      </c>
      <c r="AX15" s="76">
        <v>75</v>
      </c>
      <c r="AY15" s="76">
        <v>85</v>
      </c>
      <c r="AZ15" s="76">
        <v>100</v>
      </c>
      <c r="BA15" s="76">
        <v>100</v>
      </c>
      <c r="BB15" s="76">
        <v>60</v>
      </c>
      <c r="BC15" s="76">
        <v>70</v>
      </c>
      <c r="BD15" s="76">
        <v>65</v>
      </c>
      <c r="BE15" s="76">
        <v>65</v>
      </c>
      <c r="BF15" s="76">
        <v>65</v>
      </c>
      <c r="BG15" s="76">
        <v>67.5</v>
      </c>
      <c r="BH15" s="70">
        <f t="shared" si="24"/>
        <v>1156.1999999999998</v>
      </c>
      <c r="BI15" s="71">
        <f t="shared" si="25"/>
        <v>77.079999999999984</v>
      </c>
      <c r="BJ15" s="101" t="e">
        <f t="shared" si="26"/>
        <v>#N/A</v>
      </c>
      <c r="BK15" s="73" t="s">
        <v>805</v>
      </c>
      <c r="BL15" s="73" t="s">
        <v>805</v>
      </c>
      <c r="BM15" s="73" t="s">
        <v>805</v>
      </c>
      <c r="BN15" s="74"/>
      <c r="BO15" s="74"/>
      <c r="BP15" s="74"/>
      <c r="BQ15" s="75"/>
    </row>
    <row r="16" spans="1:69" ht="23.1" customHeight="1">
      <c r="A16" s="105">
        <v>13</v>
      </c>
      <c r="B16" s="110">
        <v>23240186</v>
      </c>
      <c r="C16" s="111" t="s">
        <v>387</v>
      </c>
      <c r="D16" s="68">
        <f t="shared" si="0"/>
        <v>77</v>
      </c>
      <c r="E16" s="68">
        <f t="shared" si="1"/>
        <v>80</v>
      </c>
      <c r="F16" s="68">
        <f t="shared" si="2"/>
        <v>58</v>
      </c>
      <c r="G16" s="68">
        <f t="shared" si="3"/>
        <v>81</v>
      </c>
      <c r="H16" s="68">
        <f t="shared" si="4"/>
        <v>76</v>
      </c>
      <c r="I16" s="68">
        <f t="shared" si="5"/>
        <v>72</v>
      </c>
      <c r="J16" s="68">
        <f t="shared" si="6"/>
        <v>55</v>
      </c>
      <c r="K16" s="68">
        <f t="shared" si="7"/>
        <v>83</v>
      </c>
      <c r="L16" s="68">
        <f t="shared" si="8"/>
        <v>86</v>
      </c>
      <c r="M16" s="68">
        <f t="shared" si="9"/>
        <v>79</v>
      </c>
      <c r="N16" s="69">
        <f t="shared" si="10"/>
        <v>75</v>
      </c>
      <c r="O16" s="69">
        <f t="shared" si="11"/>
        <v>90</v>
      </c>
      <c r="P16" s="69">
        <f t="shared" si="12"/>
        <v>65</v>
      </c>
      <c r="Q16" s="69">
        <f t="shared" si="13"/>
        <v>99</v>
      </c>
      <c r="R16" s="69">
        <f t="shared" si="14"/>
        <v>75</v>
      </c>
      <c r="S16" s="234">
        <f t="shared" si="15"/>
        <v>93</v>
      </c>
      <c r="T16" s="234">
        <f t="shared" si="16"/>
        <v>88</v>
      </c>
      <c r="U16" s="234">
        <f t="shared" si="17"/>
        <v>73</v>
      </c>
      <c r="V16" s="234">
        <f t="shared" si="18"/>
        <v>90</v>
      </c>
      <c r="W16" s="234">
        <f t="shared" si="19"/>
        <v>78</v>
      </c>
      <c r="X16" s="234">
        <f t="shared" si="20"/>
        <v>73</v>
      </c>
      <c r="Y16" s="70">
        <f t="shared" si="21"/>
        <v>1151</v>
      </c>
      <c r="Z16" s="71">
        <f t="shared" si="22"/>
        <v>76.733333333333334</v>
      </c>
      <c r="AA16" s="101"/>
      <c r="AB16" s="73" t="s">
        <v>807</v>
      </c>
      <c r="AC16" s="73" t="s">
        <v>805</v>
      </c>
      <c r="AD16" s="73" t="s">
        <v>807</v>
      </c>
      <c r="AE16" s="74">
        <v>54</v>
      </c>
      <c r="AF16" s="74">
        <v>0</v>
      </c>
      <c r="AG16" s="74">
        <v>0</v>
      </c>
      <c r="AH16" s="75"/>
      <c r="AJ16" s="105">
        <v>7</v>
      </c>
      <c r="AK16" s="110">
        <v>23240186</v>
      </c>
      <c r="AL16" s="111" t="s">
        <v>387</v>
      </c>
      <c r="AM16" s="68">
        <v>76.5</v>
      </c>
      <c r="AN16" s="68">
        <v>80</v>
      </c>
      <c r="AO16" s="68">
        <v>58</v>
      </c>
      <c r="AP16" s="68">
        <v>81.199999999999989</v>
      </c>
      <c r="AQ16" s="68">
        <v>75.5</v>
      </c>
      <c r="AR16" s="68">
        <v>72</v>
      </c>
      <c r="AS16" s="68">
        <v>54.5</v>
      </c>
      <c r="AT16" s="68">
        <v>82.6</v>
      </c>
      <c r="AU16" s="68">
        <v>85.699999999999989</v>
      </c>
      <c r="AV16" s="68">
        <v>79</v>
      </c>
      <c r="AW16" s="76">
        <v>75</v>
      </c>
      <c r="AX16" s="76">
        <v>90</v>
      </c>
      <c r="AY16" s="76">
        <v>65</v>
      </c>
      <c r="AZ16" s="76">
        <v>100</v>
      </c>
      <c r="BA16" s="76">
        <v>75</v>
      </c>
      <c r="BB16" s="76">
        <v>92.5</v>
      </c>
      <c r="BC16" s="76">
        <v>87.5</v>
      </c>
      <c r="BD16" s="76">
        <v>72.5</v>
      </c>
      <c r="BE16" s="76">
        <v>90</v>
      </c>
      <c r="BF16" s="76">
        <v>77.5</v>
      </c>
      <c r="BG16" s="76">
        <v>72.5</v>
      </c>
      <c r="BH16" s="70">
        <f t="shared" si="24"/>
        <v>1150</v>
      </c>
      <c r="BI16" s="71">
        <f t="shared" si="25"/>
        <v>76.666666666666671</v>
      </c>
      <c r="BJ16" s="101">
        <f t="shared" si="26"/>
        <v>14</v>
      </c>
      <c r="BK16" s="73" t="s">
        <v>807</v>
      </c>
      <c r="BL16" s="73" t="s">
        <v>805</v>
      </c>
      <c r="BM16" s="73" t="s">
        <v>807</v>
      </c>
      <c r="BN16" s="74"/>
      <c r="BO16" s="74"/>
      <c r="BP16" s="74"/>
      <c r="BQ16" s="75"/>
    </row>
    <row r="17" spans="1:69" ht="23.1" customHeight="1">
      <c r="A17" s="105">
        <v>14</v>
      </c>
      <c r="B17" s="105">
        <v>22230177</v>
      </c>
      <c r="C17" s="103" t="s">
        <v>385</v>
      </c>
      <c r="D17" s="68">
        <f t="shared" si="0"/>
        <v>68</v>
      </c>
      <c r="E17" s="68">
        <f t="shared" si="1"/>
        <v>80</v>
      </c>
      <c r="F17" s="68">
        <f t="shared" si="2"/>
        <v>95</v>
      </c>
      <c r="G17" s="68">
        <f t="shared" si="3"/>
        <v>65</v>
      </c>
      <c r="H17" s="68">
        <f t="shared" si="4"/>
        <v>85</v>
      </c>
      <c r="I17" s="68">
        <f t="shared" si="5"/>
        <v>75</v>
      </c>
      <c r="J17" s="68">
        <f t="shared" si="6"/>
        <v>49</v>
      </c>
      <c r="K17" s="68">
        <f t="shared" si="7"/>
        <v>86</v>
      </c>
      <c r="L17" s="68">
        <f t="shared" si="8"/>
        <v>67</v>
      </c>
      <c r="M17" s="68">
        <f t="shared" si="9"/>
        <v>68</v>
      </c>
      <c r="N17" s="69">
        <f t="shared" si="10"/>
        <v>60</v>
      </c>
      <c r="O17" s="69">
        <f t="shared" si="11"/>
        <v>65</v>
      </c>
      <c r="P17" s="69">
        <f t="shared" si="12"/>
        <v>93</v>
      </c>
      <c r="Q17" s="69">
        <f t="shared" si="13"/>
        <v>99</v>
      </c>
      <c r="R17" s="69">
        <f t="shared" si="14"/>
        <v>95</v>
      </c>
      <c r="S17" s="234">
        <f t="shared" si="15"/>
        <v>60</v>
      </c>
      <c r="T17" s="234">
        <f t="shared" si="16"/>
        <v>65</v>
      </c>
      <c r="U17" s="234">
        <f t="shared" si="17"/>
        <v>63</v>
      </c>
      <c r="V17" s="234">
        <f t="shared" si="18"/>
        <v>73</v>
      </c>
      <c r="W17" s="234">
        <f t="shared" si="19"/>
        <v>63</v>
      </c>
      <c r="X17" s="234">
        <f t="shared" si="20"/>
        <v>60</v>
      </c>
      <c r="Y17" s="70">
        <f t="shared" si="21"/>
        <v>1150</v>
      </c>
      <c r="Z17" s="71">
        <f t="shared" si="22"/>
        <v>76.666666666666671</v>
      </c>
      <c r="AA17" s="101"/>
      <c r="AB17" s="73" t="s">
        <v>805</v>
      </c>
      <c r="AC17" s="73" t="s">
        <v>805</v>
      </c>
      <c r="AD17" s="73" t="s">
        <v>805</v>
      </c>
      <c r="AE17" s="74">
        <v>11</v>
      </c>
      <c r="AF17" s="74">
        <v>0</v>
      </c>
      <c r="AG17" s="74">
        <v>0</v>
      </c>
      <c r="AH17" s="75"/>
      <c r="AJ17" s="105">
        <v>6</v>
      </c>
      <c r="AK17" s="105">
        <v>22230177</v>
      </c>
      <c r="AL17" s="103" t="s">
        <v>385</v>
      </c>
      <c r="AM17" s="68">
        <v>68</v>
      </c>
      <c r="AN17" s="68">
        <v>79.5</v>
      </c>
      <c r="AO17" s="68">
        <v>94.5</v>
      </c>
      <c r="AP17" s="68">
        <v>65.199999999999989</v>
      </c>
      <c r="AQ17" s="68">
        <v>84.5</v>
      </c>
      <c r="AR17" s="68">
        <v>74.5</v>
      </c>
      <c r="AS17" s="68">
        <v>48.7</v>
      </c>
      <c r="AT17" s="68">
        <v>85.5</v>
      </c>
      <c r="AU17" s="68">
        <v>66.5</v>
      </c>
      <c r="AV17" s="68">
        <v>67.5</v>
      </c>
      <c r="AW17" s="76">
        <v>60</v>
      </c>
      <c r="AX17" s="76">
        <v>65</v>
      </c>
      <c r="AY17" s="76">
        <v>93</v>
      </c>
      <c r="AZ17" s="76">
        <v>100</v>
      </c>
      <c r="BA17" s="76">
        <v>95</v>
      </c>
      <c r="BB17" s="76">
        <v>60</v>
      </c>
      <c r="BC17" s="76">
        <v>65</v>
      </c>
      <c r="BD17" s="76">
        <v>62.5</v>
      </c>
      <c r="BE17" s="76">
        <v>72.5</v>
      </c>
      <c r="BF17" s="76">
        <v>62.5</v>
      </c>
      <c r="BG17" s="76">
        <v>60</v>
      </c>
      <c r="BH17" s="70">
        <f t="shared" si="24"/>
        <v>1147.4000000000001</v>
      </c>
      <c r="BI17" s="71">
        <f t="shared" si="25"/>
        <v>76.493333333333339</v>
      </c>
      <c r="BJ17" s="101" t="e">
        <f t="shared" si="26"/>
        <v>#N/A</v>
      </c>
      <c r="BK17" s="73" t="s">
        <v>805</v>
      </c>
      <c r="BL17" s="73" t="s">
        <v>805</v>
      </c>
      <c r="BM17" s="73" t="s">
        <v>805</v>
      </c>
      <c r="BN17" s="74"/>
      <c r="BO17" s="74"/>
      <c r="BP17" s="74"/>
      <c r="BQ17" s="75"/>
    </row>
    <row r="18" spans="1:69" ht="23.1" customHeight="1">
      <c r="A18" s="99">
        <v>15</v>
      </c>
      <c r="B18" s="106">
        <v>23240023</v>
      </c>
      <c r="C18" s="102" t="s">
        <v>388</v>
      </c>
      <c r="D18" s="68">
        <f t="shared" si="0"/>
        <v>64</v>
      </c>
      <c r="E18" s="68">
        <f t="shared" si="1"/>
        <v>71</v>
      </c>
      <c r="F18" s="68">
        <f t="shared" si="2"/>
        <v>78</v>
      </c>
      <c r="G18" s="68">
        <f t="shared" si="3"/>
        <v>84</v>
      </c>
      <c r="H18" s="68">
        <f t="shared" si="4"/>
        <v>79</v>
      </c>
      <c r="I18" s="68">
        <f t="shared" si="5"/>
        <v>77</v>
      </c>
      <c r="J18" s="68">
        <f t="shared" si="6"/>
        <v>57</v>
      </c>
      <c r="K18" s="68">
        <f t="shared" si="7"/>
        <v>99</v>
      </c>
      <c r="L18" s="68">
        <f t="shared" si="8"/>
        <v>71</v>
      </c>
      <c r="M18" s="68">
        <f t="shared" si="9"/>
        <v>67</v>
      </c>
      <c r="N18" s="69">
        <f t="shared" si="10"/>
        <v>80</v>
      </c>
      <c r="O18" s="69">
        <f t="shared" si="11"/>
        <v>55</v>
      </c>
      <c r="P18" s="69">
        <f t="shared" si="12"/>
        <v>90</v>
      </c>
      <c r="Q18" s="69">
        <f t="shared" si="13"/>
        <v>99</v>
      </c>
      <c r="R18" s="69">
        <f t="shared" si="14"/>
        <v>75</v>
      </c>
      <c r="S18" s="234">
        <f t="shared" si="15"/>
        <v>99</v>
      </c>
      <c r="T18" s="234">
        <f t="shared" si="16"/>
        <v>99</v>
      </c>
      <c r="U18" s="234">
        <f t="shared" si="17"/>
        <v>73</v>
      </c>
      <c r="V18" s="234">
        <f t="shared" si="18"/>
        <v>85</v>
      </c>
      <c r="W18" s="234">
        <f t="shared" si="19"/>
        <v>75</v>
      </c>
      <c r="X18" s="234">
        <f t="shared" si="20"/>
        <v>75</v>
      </c>
      <c r="Y18" s="70">
        <f t="shared" si="21"/>
        <v>1146</v>
      </c>
      <c r="Z18" s="71">
        <f t="shared" si="22"/>
        <v>76.400000000000006</v>
      </c>
      <c r="AA18" s="101"/>
      <c r="AB18" s="73" t="s">
        <v>805</v>
      </c>
      <c r="AC18" s="73" t="s">
        <v>805</v>
      </c>
      <c r="AD18" s="73" t="s">
        <v>805</v>
      </c>
      <c r="AE18" s="74">
        <v>0</v>
      </c>
      <c r="AF18" s="74">
        <v>0</v>
      </c>
      <c r="AG18" s="74">
        <v>0</v>
      </c>
      <c r="AH18" s="75"/>
      <c r="AJ18" s="105">
        <v>9</v>
      </c>
      <c r="AK18" s="106">
        <v>23240023</v>
      </c>
      <c r="AL18" s="102" t="s">
        <v>388</v>
      </c>
      <c r="AM18" s="68">
        <v>64</v>
      </c>
      <c r="AN18" s="68">
        <v>71</v>
      </c>
      <c r="AO18" s="68">
        <v>78</v>
      </c>
      <c r="AP18" s="68">
        <v>83.699999999999989</v>
      </c>
      <c r="AQ18" s="68">
        <v>79</v>
      </c>
      <c r="AR18" s="68">
        <v>76.5</v>
      </c>
      <c r="AS18" s="68">
        <v>57</v>
      </c>
      <c r="AT18" s="68">
        <v>99</v>
      </c>
      <c r="AU18" s="68">
        <v>71</v>
      </c>
      <c r="AV18" s="68">
        <v>67</v>
      </c>
      <c r="AW18" s="76">
        <v>80</v>
      </c>
      <c r="AX18" s="76">
        <v>55</v>
      </c>
      <c r="AY18" s="76">
        <v>90</v>
      </c>
      <c r="AZ18" s="76">
        <v>100</v>
      </c>
      <c r="BA18" s="76">
        <v>75</v>
      </c>
      <c r="BB18" s="76">
        <v>100</v>
      </c>
      <c r="BC18" s="76">
        <v>100</v>
      </c>
      <c r="BD18" s="76">
        <v>72.5</v>
      </c>
      <c r="BE18" s="76">
        <v>85</v>
      </c>
      <c r="BF18" s="76">
        <v>75</v>
      </c>
      <c r="BG18" s="76">
        <v>75</v>
      </c>
      <c r="BH18" s="70">
        <f t="shared" si="24"/>
        <v>1146.2</v>
      </c>
      <c r="BI18" s="71">
        <f t="shared" si="25"/>
        <v>76.413333333333341</v>
      </c>
      <c r="BJ18" s="101" t="e">
        <f t="shared" si="26"/>
        <v>#N/A</v>
      </c>
      <c r="BK18" s="73" t="s">
        <v>805</v>
      </c>
      <c r="BL18" s="73" t="s">
        <v>805</v>
      </c>
      <c r="BM18" s="73" t="s">
        <v>805</v>
      </c>
      <c r="BN18" s="74"/>
      <c r="BO18" s="74"/>
      <c r="BP18" s="74"/>
      <c r="BQ18" s="75"/>
    </row>
    <row r="19" spans="1:69" ht="23.1" customHeight="1">
      <c r="A19" s="99">
        <v>16</v>
      </c>
      <c r="B19" s="109">
        <v>23240133</v>
      </c>
      <c r="C19" s="102" t="s">
        <v>389</v>
      </c>
      <c r="D19" s="68">
        <f t="shared" si="0"/>
        <v>67</v>
      </c>
      <c r="E19" s="68">
        <f t="shared" si="1"/>
        <v>86</v>
      </c>
      <c r="F19" s="68">
        <f t="shared" si="2"/>
        <v>80</v>
      </c>
      <c r="G19" s="68">
        <f t="shared" si="3"/>
        <v>78</v>
      </c>
      <c r="H19" s="68">
        <f t="shared" si="4"/>
        <v>81</v>
      </c>
      <c r="I19" s="68">
        <f t="shared" si="5"/>
        <v>73</v>
      </c>
      <c r="J19" s="68">
        <f t="shared" si="6"/>
        <v>52</v>
      </c>
      <c r="K19" s="68">
        <f t="shared" si="7"/>
        <v>96</v>
      </c>
      <c r="L19" s="68">
        <f t="shared" si="8"/>
        <v>58</v>
      </c>
      <c r="M19" s="68">
        <f t="shared" si="9"/>
        <v>61</v>
      </c>
      <c r="N19" s="69">
        <f t="shared" si="10"/>
        <v>80</v>
      </c>
      <c r="O19" s="69">
        <f t="shared" si="11"/>
        <v>50</v>
      </c>
      <c r="P19" s="69">
        <f t="shared" si="12"/>
        <v>85</v>
      </c>
      <c r="Q19" s="69">
        <f t="shared" si="13"/>
        <v>99</v>
      </c>
      <c r="R19" s="69">
        <f t="shared" si="14"/>
        <v>95</v>
      </c>
      <c r="S19" s="234">
        <f t="shared" si="15"/>
        <v>95</v>
      </c>
      <c r="T19" s="234">
        <f t="shared" si="16"/>
        <v>88</v>
      </c>
      <c r="U19" s="234">
        <f t="shared" si="17"/>
        <v>68</v>
      </c>
      <c r="V19" s="234">
        <f t="shared" si="18"/>
        <v>85</v>
      </c>
      <c r="W19" s="234">
        <f t="shared" si="19"/>
        <v>70</v>
      </c>
      <c r="X19" s="234">
        <f t="shared" si="20"/>
        <v>63</v>
      </c>
      <c r="Y19" s="70">
        <f t="shared" si="21"/>
        <v>1141</v>
      </c>
      <c r="Z19" s="71">
        <f t="shared" si="22"/>
        <v>76.066666666666663</v>
      </c>
      <c r="AA19" s="101"/>
      <c r="AB19" s="73" t="s">
        <v>805</v>
      </c>
      <c r="AC19" s="73" t="s">
        <v>805</v>
      </c>
      <c r="AD19" s="73" t="s">
        <v>805</v>
      </c>
      <c r="AE19" s="74">
        <v>12</v>
      </c>
      <c r="AF19" s="74">
        <v>17</v>
      </c>
      <c r="AG19" s="74">
        <v>7</v>
      </c>
      <c r="AH19" s="75"/>
      <c r="AJ19" s="105">
        <v>5</v>
      </c>
      <c r="AK19" s="109">
        <v>23240133</v>
      </c>
      <c r="AL19" s="102" t="s">
        <v>389</v>
      </c>
      <c r="AM19" s="68">
        <v>66.5</v>
      </c>
      <c r="AN19" s="68">
        <v>86</v>
      </c>
      <c r="AO19" s="68">
        <v>79.5</v>
      </c>
      <c r="AP19" s="68">
        <v>78.199999999999989</v>
      </c>
      <c r="AQ19" s="68">
        <v>81</v>
      </c>
      <c r="AR19" s="68">
        <v>72.5</v>
      </c>
      <c r="AS19" s="68">
        <v>52</v>
      </c>
      <c r="AT19" s="68">
        <v>96.3</v>
      </c>
      <c r="AU19" s="68">
        <v>57.5</v>
      </c>
      <c r="AV19" s="68">
        <v>61</v>
      </c>
      <c r="AW19" s="76">
        <v>80</v>
      </c>
      <c r="AX19" s="76">
        <v>50</v>
      </c>
      <c r="AY19" s="76">
        <v>85</v>
      </c>
      <c r="AZ19" s="76">
        <v>100</v>
      </c>
      <c r="BA19" s="76">
        <v>95</v>
      </c>
      <c r="BB19" s="76">
        <v>95</v>
      </c>
      <c r="BC19" s="76">
        <v>87.5</v>
      </c>
      <c r="BD19" s="76">
        <v>67.5</v>
      </c>
      <c r="BE19" s="76">
        <v>85</v>
      </c>
      <c r="BF19" s="76">
        <v>70</v>
      </c>
      <c r="BG19" s="76">
        <v>62.5</v>
      </c>
      <c r="BH19" s="70">
        <f t="shared" si="24"/>
        <v>1140.5</v>
      </c>
      <c r="BI19" s="71">
        <f t="shared" si="25"/>
        <v>76.033333333333331</v>
      </c>
      <c r="BJ19" s="101" t="e">
        <f t="shared" si="26"/>
        <v>#N/A</v>
      </c>
      <c r="BK19" s="73" t="s">
        <v>805</v>
      </c>
      <c r="BL19" s="73" t="s">
        <v>805</v>
      </c>
      <c r="BM19" s="73" t="s">
        <v>805</v>
      </c>
      <c r="BN19" s="74"/>
      <c r="BO19" s="74"/>
      <c r="BP19" s="74"/>
      <c r="BQ19" s="75"/>
    </row>
    <row r="20" spans="1:69" ht="23.1" customHeight="1">
      <c r="A20" s="99">
        <v>17</v>
      </c>
      <c r="B20" s="99">
        <v>23240172</v>
      </c>
      <c r="C20" s="107" t="s">
        <v>381</v>
      </c>
      <c r="D20" s="68">
        <f t="shared" si="0"/>
        <v>66</v>
      </c>
      <c r="E20" s="68">
        <f t="shared" si="1"/>
        <v>81</v>
      </c>
      <c r="F20" s="68">
        <f t="shared" si="2"/>
        <v>64</v>
      </c>
      <c r="G20" s="68">
        <f t="shared" si="3"/>
        <v>57</v>
      </c>
      <c r="H20" s="68">
        <f t="shared" si="4"/>
        <v>87</v>
      </c>
      <c r="I20" s="68">
        <f t="shared" si="5"/>
        <v>68</v>
      </c>
      <c r="J20" s="68">
        <f t="shared" si="6"/>
        <v>41</v>
      </c>
      <c r="K20" s="68">
        <f t="shared" si="7"/>
        <v>85</v>
      </c>
      <c r="L20" s="68">
        <f t="shared" si="8"/>
        <v>63</v>
      </c>
      <c r="M20" s="68">
        <f t="shared" si="9"/>
        <v>57</v>
      </c>
      <c r="N20" s="69">
        <f t="shared" si="10"/>
        <v>60</v>
      </c>
      <c r="O20" s="69">
        <f t="shared" si="11"/>
        <v>60</v>
      </c>
      <c r="P20" s="69">
        <f t="shared" si="12"/>
        <v>99</v>
      </c>
      <c r="Q20" s="69">
        <f t="shared" si="13"/>
        <v>99</v>
      </c>
      <c r="R20" s="69">
        <f t="shared" si="14"/>
        <v>99</v>
      </c>
      <c r="S20" s="234">
        <f t="shared" si="15"/>
        <v>95</v>
      </c>
      <c r="T20" s="234">
        <f t="shared" si="16"/>
        <v>93</v>
      </c>
      <c r="U20" s="234">
        <f t="shared" si="17"/>
        <v>63</v>
      </c>
      <c r="V20" s="234">
        <f t="shared" si="18"/>
        <v>85</v>
      </c>
      <c r="W20" s="234">
        <f t="shared" si="19"/>
        <v>68</v>
      </c>
      <c r="X20" s="234">
        <f t="shared" si="20"/>
        <v>78</v>
      </c>
      <c r="Y20" s="70">
        <f t="shared" si="21"/>
        <v>1086</v>
      </c>
      <c r="Z20" s="71">
        <f t="shared" si="22"/>
        <v>72.400000000000006</v>
      </c>
      <c r="AA20" s="101"/>
      <c r="AB20" s="73" t="s">
        <v>805</v>
      </c>
      <c r="AC20" s="73" t="s">
        <v>805</v>
      </c>
      <c r="AD20" s="73" t="s">
        <v>805</v>
      </c>
      <c r="AE20" s="74">
        <v>27</v>
      </c>
      <c r="AF20" s="74">
        <v>0</v>
      </c>
      <c r="AG20" s="74">
        <v>15</v>
      </c>
      <c r="AH20" s="75"/>
      <c r="AJ20" s="105">
        <v>16</v>
      </c>
      <c r="AK20" s="106">
        <v>23240172</v>
      </c>
      <c r="AL20" s="100" t="s">
        <v>381</v>
      </c>
      <c r="AM20" s="68">
        <v>66</v>
      </c>
      <c r="AN20" s="68">
        <v>81.3</v>
      </c>
      <c r="AO20" s="68">
        <v>63.5</v>
      </c>
      <c r="AP20" s="68">
        <v>57.2</v>
      </c>
      <c r="AQ20" s="68">
        <v>87.199999999999989</v>
      </c>
      <c r="AR20" s="68">
        <v>68</v>
      </c>
      <c r="AS20" s="68">
        <v>41</v>
      </c>
      <c r="AT20" s="68">
        <v>84.6</v>
      </c>
      <c r="AU20" s="68">
        <v>63</v>
      </c>
      <c r="AV20" s="68">
        <v>57</v>
      </c>
      <c r="AW20" s="76">
        <v>60</v>
      </c>
      <c r="AX20" s="76">
        <v>60</v>
      </c>
      <c r="AY20" s="76">
        <v>100</v>
      </c>
      <c r="AZ20" s="76">
        <v>100</v>
      </c>
      <c r="BA20" s="76">
        <v>100</v>
      </c>
      <c r="BB20" s="76">
        <v>95</v>
      </c>
      <c r="BC20" s="76">
        <v>92.5</v>
      </c>
      <c r="BD20" s="76">
        <v>62.5</v>
      </c>
      <c r="BE20" s="76">
        <v>85</v>
      </c>
      <c r="BF20" s="76">
        <v>67.5</v>
      </c>
      <c r="BG20" s="76">
        <v>77.5</v>
      </c>
      <c r="BH20" s="70">
        <f t="shared" si="24"/>
        <v>1088.8</v>
      </c>
      <c r="BI20" s="71">
        <f t="shared" si="25"/>
        <v>72.586666666666659</v>
      </c>
      <c r="BJ20" s="101" t="e">
        <f t="shared" si="26"/>
        <v>#N/A</v>
      </c>
      <c r="BK20" s="73" t="s">
        <v>805</v>
      </c>
      <c r="BL20" s="73" t="s">
        <v>805</v>
      </c>
      <c r="BM20" s="73" t="s">
        <v>805</v>
      </c>
      <c r="BN20" s="74"/>
      <c r="BO20" s="74"/>
      <c r="BP20" s="74"/>
      <c r="BQ20" s="75"/>
    </row>
    <row r="21" spans="1:69" ht="23.1" customHeight="1">
      <c r="A21" s="99">
        <v>18</v>
      </c>
      <c r="B21" s="99">
        <v>23240105</v>
      </c>
      <c r="C21" s="107" t="s">
        <v>392</v>
      </c>
      <c r="D21" s="68">
        <f t="shared" si="0"/>
        <v>62</v>
      </c>
      <c r="E21" s="68">
        <f t="shared" si="1"/>
        <v>70</v>
      </c>
      <c r="F21" s="68">
        <f t="shared" si="2"/>
        <v>66</v>
      </c>
      <c r="G21" s="68">
        <f t="shared" si="3"/>
        <v>65</v>
      </c>
      <c r="H21" s="68">
        <f t="shared" si="4"/>
        <v>79</v>
      </c>
      <c r="I21" s="68">
        <f t="shared" si="5"/>
        <v>73</v>
      </c>
      <c r="J21" s="68">
        <f t="shared" si="6"/>
        <v>42</v>
      </c>
      <c r="K21" s="68">
        <f t="shared" si="7"/>
        <v>87</v>
      </c>
      <c r="L21" s="68">
        <f t="shared" si="8"/>
        <v>63</v>
      </c>
      <c r="M21" s="68">
        <f t="shared" si="9"/>
        <v>61</v>
      </c>
      <c r="N21" s="69">
        <f t="shared" si="10"/>
        <v>80</v>
      </c>
      <c r="O21" s="69">
        <f t="shared" si="11"/>
        <v>50</v>
      </c>
      <c r="P21" s="69">
        <f t="shared" si="12"/>
        <v>80</v>
      </c>
      <c r="Q21" s="69">
        <f t="shared" si="13"/>
        <v>99</v>
      </c>
      <c r="R21" s="69">
        <f t="shared" si="14"/>
        <v>95</v>
      </c>
      <c r="S21" s="234">
        <f t="shared" si="15"/>
        <v>63</v>
      </c>
      <c r="T21" s="234">
        <f t="shared" si="16"/>
        <v>90</v>
      </c>
      <c r="U21" s="234">
        <f t="shared" si="17"/>
        <v>60</v>
      </c>
      <c r="V21" s="234">
        <f t="shared" si="18"/>
        <v>88</v>
      </c>
      <c r="W21" s="234">
        <f t="shared" si="19"/>
        <v>68</v>
      </c>
      <c r="X21" s="234">
        <f t="shared" si="20"/>
        <v>68</v>
      </c>
      <c r="Y21" s="70">
        <f t="shared" si="21"/>
        <v>1072</v>
      </c>
      <c r="Z21" s="71">
        <f t="shared" si="22"/>
        <v>71.466666666666669</v>
      </c>
      <c r="AA21" s="101"/>
      <c r="AB21" s="73" t="s">
        <v>805</v>
      </c>
      <c r="AC21" s="73" t="s">
        <v>805</v>
      </c>
      <c r="AD21" s="73" t="s">
        <v>805</v>
      </c>
      <c r="AE21" s="74">
        <v>23</v>
      </c>
      <c r="AF21" s="74">
        <v>0</v>
      </c>
      <c r="AG21" s="74">
        <v>0</v>
      </c>
      <c r="AH21" s="75"/>
      <c r="AJ21" s="105">
        <v>8</v>
      </c>
      <c r="AK21" s="99">
        <v>23240105</v>
      </c>
      <c r="AL21" s="107" t="s">
        <v>392</v>
      </c>
      <c r="AM21" s="68">
        <v>61.5</v>
      </c>
      <c r="AN21" s="68">
        <v>69.5</v>
      </c>
      <c r="AO21" s="68">
        <v>66</v>
      </c>
      <c r="AP21" s="68">
        <v>64.5</v>
      </c>
      <c r="AQ21" s="68">
        <v>78.5</v>
      </c>
      <c r="AR21" s="68">
        <v>73</v>
      </c>
      <c r="AS21" s="68">
        <v>42</v>
      </c>
      <c r="AT21" s="68">
        <v>87.199999999999989</v>
      </c>
      <c r="AU21" s="68">
        <v>63</v>
      </c>
      <c r="AV21" s="68">
        <v>60.5</v>
      </c>
      <c r="AW21" s="76">
        <v>80</v>
      </c>
      <c r="AX21" s="76">
        <v>50</v>
      </c>
      <c r="AY21" s="76">
        <v>80</v>
      </c>
      <c r="AZ21" s="76">
        <v>100</v>
      </c>
      <c r="BA21" s="76">
        <v>95</v>
      </c>
      <c r="BB21" s="76">
        <v>62.5</v>
      </c>
      <c r="BC21" s="76">
        <v>90</v>
      </c>
      <c r="BD21" s="76">
        <v>60</v>
      </c>
      <c r="BE21" s="76">
        <v>87.5</v>
      </c>
      <c r="BF21" s="76">
        <v>67.5</v>
      </c>
      <c r="BG21" s="76">
        <v>67.5</v>
      </c>
      <c r="BH21" s="70">
        <f t="shared" si="24"/>
        <v>1070.7</v>
      </c>
      <c r="BI21" s="71">
        <f t="shared" si="25"/>
        <v>71.38000000000001</v>
      </c>
      <c r="BJ21" s="101" t="e">
        <f t="shared" si="26"/>
        <v>#N/A</v>
      </c>
      <c r="BK21" s="73" t="s">
        <v>805</v>
      </c>
      <c r="BL21" s="73" t="s">
        <v>805</v>
      </c>
      <c r="BM21" s="73" t="s">
        <v>805</v>
      </c>
      <c r="BN21" s="74"/>
      <c r="BO21" s="74"/>
      <c r="BP21" s="74"/>
      <c r="BQ21" s="75"/>
    </row>
    <row r="22" spans="1:69" ht="23.1" customHeight="1">
      <c r="A22" s="99">
        <v>19</v>
      </c>
      <c r="B22" s="99">
        <v>23240121</v>
      </c>
      <c r="C22" s="107" t="s">
        <v>391</v>
      </c>
      <c r="D22" s="68">
        <f t="shared" si="0"/>
        <v>69</v>
      </c>
      <c r="E22" s="68">
        <f t="shared" si="1"/>
        <v>66</v>
      </c>
      <c r="F22" s="68">
        <f t="shared" si="2"/>
        <v>82</v>
      </c>
      <c r="G22" s="68">
        <f t="shared" si="3"/>
        <v>64</v>
      </c>
      <c r="H22" s="68">
        <f t="shared" si="4"/>
        <v>74</v>
      </c>
      <c r="I22" s="68">
        <f t="shared" si="5"/>
        <v>69</v>
      </c>
      <c r="J22" s="68">
        <f t="shared" si="6"/>
        <v>40</v>
      </c>
      <c r="K22" s="68">
        <f t="shared" si="7"/>
        <v>79</v>
      </c>
      <c r="L22" s="68">
        <f t="shared" si="8"/>
        <v>52</v>
      </c>
      <c r="M22" s="68">
        <f t="shared" si="9"/>
        <v>52</v>
      </c>
      <c r="N22" s="69">
        <f t="shared" si="10"/>
        <v>75</v>
      </c>
      <c r="O22" s="69">
        <f t="shared" si="11"/>
        <v>40</v>
      </c>
      <c r="P22" s="69">
        <f t="shared" si="12"/>
        <v>75</v>
      </c>
      <c r="Q22" s="69">
        <f t="shared" si="13"/>
        <v>90</v>
      </c>
      <c r="R22" s="69">
        <f t="shared" si="14"/>
        <v>85</v>
      </c>
      <c r="S22" s="234">
        <f t="shared" si="15"/>
        <v>85</v>
      </c>
      <c r="T22" s="234">
        <f t="shared" si="16"/>
        <v>83</v>
      </c>
      <c r="U22" s="234">
        <f t="shared" si="17"/>
        <v>63</v>
      </c>
      <c r="V22" s="234">
        <f t="shared" si="18"/>
        <v>83</v>
      </c>
      <c r="W22" s="234">
        <f t="shared" si="19"/>
        <v>68</v>
      </c>
      <c r="X22" s="234">
        <f t="shared" si="20"/>
        <v>80</v>
      </c>
      <c r="Y22" s="70">
        <f t="shared" si="21"/>
        <v>1012</v>
      </c>
      <c r="Z22" s="71">
        <f t="shared" si="22"/>
        <v>67.466666666666669</v>
      </c>
      <c r="AA22" s="101"/>
      <c r="AB22" s="73" t="s">
        <v>805</v>
      </c>
      <c r="AC22" s="73" t="s">
        <v>805</v>
      </c>
      <c r="AD22" s="73" t="s">
        <v>805</v>
      </c>
      <c r="AE22" s="74">
        <v>9</v>
      </c>
      <c r="AF22" s="74">
        <v>0</v>
      </c>
      <c r="AG22" s="74">
        <v>0</v>
      </c>
      <c r="AH22" s="75"/>
      <c r="AJ22" s="105">
        <v>2</v>
      </c>
      <c r="AK22" s="99">
        <v>23240121</v>
      </c>
      <c r="AL22" s="107" t="s">
        <v>391</v>
      </c>
      <c r="AM22" s="68">
        <v>69</v>
      </c>
      <c r="AN22" s="68">
        <v>65.5</v>
      </c>
      <c r="AO22" s="68">
        <v>82.2</v>
      </c>
      <c r="AP22" s="68">
        <v>63.699999999999996</v>
      </c>
      <c r="AQ22" s="68">
        <v>73.5</v>
      </c>
      <c r="AR22" s="68">
        <v>69</v>
      </c>
      <c r="AS22" s="68">
        <v>40</v>
      </c>
      <c r="AT22" s="68">
        <v>79.2</v>
      </c>
      <c r="AU22" s="68">
        <v>51.5</v>
      </c>
      <c r="AV22" s="68">
        <v>51.5</v>
      </c>
      <c r="AW22" s="76">
        <v>75</v>
      </c>
      <c r="AX22" s="76">
        <v>40</v>
      </c>
      <c r="AY22" s="76">
        <v>75</v>
      </c>
      <c r="AZ22" s="76">
        <v>90</v>
      </c>
      <c r="BA22" s="76">
        <v>85</v>
      </c>
      <c r="BB22" s="76">
        <v>85</v>
      </c>
      <c r="BC22" s="76">
        <v>82.5</v>
      </c>
      <c r="BD22" s="76">
        <v>62.5</v>
      </c>
      <c r="BE22" s="76">
        <v>82.5</v>
      </c>
      <c r="BF22" s="76">
        <v>67.5</v>
      </c>
      <c r="BG22" s="76">
        <v>80</v>
      </c>
      <c r="BH22" s="70">
        <f t="shared" si="24"/>
        <v>1010.1</v>
      </c>
      <c r="BI22" s="71">
        <f t="shared" si="25"/>
        <v>67.34</v>
      </c>
      <c r="BJ22" s="101" t="e">
        <f t="shared" si="26"/>
        <v>#N/A</v>
      </c>
      <c r="BK22" s="73" t="s">
        <v>805</v>
      </c>
      <c r="BL22" s="73" t="s">
        <v>805</v>
      </c>
      <c r="BM22" s="73" t="s">
        <v>805</v>
      </c>
      <c r="BN22" s="74"/>
      <c r="BO22" s="74"/>
      <c r="BP22" s="74"/>
      <c r="BQ22" s="75"/>
    </row>
    <row r="23" spans="1:69" ht="23.1" customHeight="1">
      <c r="A23" s="99">
        <v>20</v>
      </c>
      <c r="B23" s="99">
        <v>22230176</v>
      </c>
      <c r="C23" s="107" t="s">
        <v>393</v>
      </c>
      <c r="D23" s="68">
        <f t="shared" si="0"/>
        <v>74</v>
      </c>
      <c r="E23" s="68">
        <f t="shared" si="1"/>
        <v>65</v>
      </c>
      <c r="F23" s="68">
        <f t="shared" si="2"/>
        <v>70</v>
      </c>
      <c r="G23" s="68">
        <f t="shared" si="3"/>
        <v>66</v>
      </c>
      <c r="H23" s="68">
        <f t="shared" si="4"/>
        <v>72</v>
      </c>
      <c r="I23" s="68">
        <f t="shared" si="5"/>
        <v>68</v>
      </c>
      <c r="J23" s="68">
        <f t="shared" si="6"/>
        <v>40</v>
      </c>
      <c r="K23" s="68">
        <f t="shared" si="7"/>
        <v>85</v>
      </c>
      <c r="L23" s="68">
        <f t="shared" si="8"/>
        <v>59</v>
      </c>
      <c r="M23" s="68">
        <f t="shared" si="9"/>
        <v>59</v>
      </c>
      <c r="N23" s="69">
        <f t="shared" si="10"/>
        <v>60</v>
      </c>
      <c r="O23" s="69">
        <f t="shared" si="11"/>
        <v>80</v>
      </c>
      <c r="P23" s="69">
        <f t="shared" si="12"/>
        <v>90</v>
      </c>
      <c r="Q23" s="69">
        <f t="shared" si="13"/>
        <v>40</v>
      </c>
      <c r="R23" s="69">
        <f t="shared" si="14"/>
        <v>40</v>
      </c>
      <c r="S23" s="234">
        <f t="shared" si="15"/>
        <v>65</v>
      </c>
      <c r="T23" s="234">
        <f t="shared" si="16"/>
        <v>60</v>
      </c>
      <c r="U23" s="234">
        <f t="shared" si="17"/>
        <v>60</v>
      </c>
      <c r="V23" s="234">
        <f t="shared" si="18"/>
        <v>65</v>
      </c>
      <c r="W23" s="234">
        <f t="shared" si="19"/>
        <v>63</v>
      </c>
      <c r="X23" s="234">
        <f t="shared" si="20"/>
        <v>60</v>
      </c>
      <c r="Y23" s="70">
        <f t="shared" si="21"/>
        <v>968</v>
      </c>
      <c r="Z23" s="71">
        <f t="shared" si="22"/>
        <v>64.533333333333331</v>
      </c>
      <c r="AA23" s="101"/>
      <c r="AB23" s="73" t="s">
        <v>805</v>
      </c>
      <c r="AC23" s="73" t="s">
        <v>807</v>
      </c>
      <c r="AD23" s="73" t="s">
        <v>805</v>
      </c>
      <c r="AE23" s="74">
        <v>10</v>
      </c>
      <c r="AF23" s="74">
        <v>0</v>
      </c>
      <c r="AG23" s="74">
        <v>0</v>
      </c>
      <c r="AH23" s="75"/>
      <c r="AJ23" s="105">
        <v>25</v>
      </c>
      <c r="AK23" s="99">
        <v>22230176</v>
      </c>
      <c r="AL23" s="107" t="s">
        <v>393</v>
      </c>
      <c r="AM23" s="68">
        <v>74</v>
      </c>
      <c r="AN23" s="68">
        <v>64.5</v>
      </c>
      <c r="AO23" s="68">
        <v>70</v>
      </c>
      <c r="AP23" s="68">
        <v>65.699999999999989</v>
      </c>
      <c r="AQ23" s="68">
        <v>72</v>
      </c>
      <c r="AR23" s="68">
        <v>67.5</v>
      </c>
      <c r="AS23" s="68">
        <v>34</v>
      </c>
      <c r="AT23" s="68">
        <v>84.899999999999991</v>
      </c>
      <c r="AU23" s="68">
        <v>58.5</v>
      </c>
      <c r="AV23" s="68">
        <v>58.5</v>
      </c>
      <c r="AW23" s="76">
        <v>60</v>
      </c>
      <c r="AX23" s="76">
        <v>80</v>
      </c>
      <c r="AY23" s="76">
        <v>90</v>
      </c>
      <c r="AZ23" s="76">
        <v>40</v>
      </c>
      <c r="BA23" s="76">
        <v>40</v>
      </c>
      <c r="BB23" s="76">
        <v>65</v>
      </c>
      <c r="BC23" s="76">
        <v>60</v>
      </c>
      <c r="BD23" s="76">
        <v>60</v>
      </c>
      <c r="BE23" s="76">
        <v>65</v>
      </c>
      <c r="BF23" s="76">
        <v>62.5</v>
      </c>
      <c r="BG23" s="76">
        <v>60</v>
      </c>
      <c r="BH23" s="70">
        <f t="shared" si="24"/>
        <v>959.6</v>
      </c>
      <c r="BI23" s="71">
        <f t="shared" si="25"/>
        <v>63.973333333333336</v>
      </c>
      <c r="BJ23" s="101" t="e">
        <f t="shared" si="26"/>
        <v>#N/A</v>
      </c>
      <c r="BK23" s="73" t="s">
        <v>805</v>
      </c>
      <c r="BL23" s="73" t="s">
        <v>807</v>
      </c>
      <c r="BM23" s="73" t="s">
        <v>805</v>
      </c>
      <c r="BN23" s="74"/>
      <c r="BO23" s="74"/>
      <c r="BP23" s="74"/>
      <c r="BQ23" s="75"/>
    </row>
    <row r="24" spans="1:69" ht="23.1" customHeight="1">
      <c r="A24" s="99">
        <v>21</v>
      </c>
      <c r="B24" s="99">
        <v>23240185</v>
      </c>
      <c r="C24" s="107" t="s">
        <v>394</v>
      </c>
      <c r="D24" s="68">
        <f t="shared" si="0"/>
        <v>67</v>
      </c>
      <c r="E24" s="68">
        <f t="shared" si="1"/>
        <v>51</v>
      </c>
      <c r="F24" s="68">
        <f t="shared" si="2"/>
        <v>63</v>
      </c>
      <c r="G24" s="68">
        <f t="shared" si="3"/>
        <v>51</v>
      </c>
      <c r="H24" s="68">
        <f t="shared" si="4"/>
        <v>63</v>
      </c>
      <c r="I24" s="68">
        <f t="shared" si="5"/>
        <v>64</v>
      </c>
      <c r="J24" s="68">
        <f t="shared" si="6"/>
        <v>40</v>
      </c>
      <c r="K24" s="68">
        <f t="shared" si="7"/>
        <v>84</v>
      </c>
      <c r="L24" s="68">
        <f t="shared" si="8"/>
        <v>48</v>
      </c>
      <c r="M24" s="68">
        <f t="shared" si="9"/>
        <v>44</v>
      </c>
      <c r="N24" s="69">
        <f t="shared" si="10"/>
        <v>60</v>
      </c>
      <c r="O24" s="69">
        <f t="shared" si="11"/>
        <v>40</v>
      </c>
      <c r="P24" s="69">
        <f t="shared" si="12"/>
        <v>95</v>
      </c>
      <c r="Q24" s="69">
        <f t="shared" si="13"/>
        <v>99</v>
      </c>
      <c r="R24" s="69">
        <f t="shared" si="14"/>
        <v>40</v>
      </c>
      <c r="S24" s="234">
        <f t="shared" si="15"/>
        <v>63</v>
      </c>
      <c r="T24" s="234">
        <f t="shared" si="16"/>
        <v>68</v>
      </c>
      <c r="U24" s="234">
        <f t="shared" si="17"/>
        <v>63</v>
      </c>
      <c r="V24" s="234">
        <f t="shared" si="18"/>
        <v>65</v>
      </c>
      <c r="W24" s="234">
        <f t="shared" si="19"/>
        <v>70</v>
      </c>
      <c r="X24" s="234">
        <f t="shared" si="20"/>
        <v>65</v>
      </c>
      <c r="Y24" s="70">
        <f t="shared" si="21"/>
        <v>909</v>
      </c>
      <c r="Z24" s="71">
        <f t="shared" si="22"/>
        <v>60.6</v>
      </c>
      <c r="AA24" s="101"/>
      <c r="AB24" s="73" t="s">
        <v>807</v>
      </c>
      <c r="AC24" s="73" t="s">
        <v>807</v>
      </c>
      <c r="AD24" s="73" t="s">
        <v>805</v>
      </c>
      <c r="AE24" s="74">
        <v>45</v>
      </c>
      <c r="AF24" s="74">
        <v>0</v>
      </c>
      <c r="AG24" s="74">
        <v>5</v>
      </c>
      <c r="AH24" s="75"/>
      <c r="AJ24" s="105">
        <v>4</v>
      </c>
      <c r="AK24" s="99">
        <v>23240185</v>
      </c>
      <c r="AL24" s="107" t="s">
        <v>394</v>
      </c>
      <c r="AM24" s="68">
        <v>67</v>
      </c>
      <c r="AN24" s="68">
        <v>51</v>
      </c>
      <c r="AO24" s="68">
        <v>63</v>
      </c>
      <c r="AP24" s="68">
        <v>51</v>
      </c>
      <c r="AQ24" s="68">
        <v>63</v>
      </c>
      <c r="AR24" s="68">
        <v>64</v>
      </c>
      <c r="AS24" s="68">
        <v>36</v>
      </c>
      <c r="AT24" s="68">
        <v>83.6</v>
      </c>
      <c r="AU24" s="68">
        <v>48</v>
      </c>
      <c r="AV24" s="68">
        <v>44</v>
      </c>
      <c r="AW24" s="76">
        <v>60</v>
      </c>
      <c r="AX24" s="76">
        <v>40</v>
      </c>
      <c r="AY24" s="76">
        <v>95</v>
      </c>
      <c r="AZ24" s="76">
        <v>100</v>
      </c>
      <c r="BA24" s="76">
        <v>40</v>
      </c>
      <c r="BB24" s="76">
        <v>62.5</v>
      </c>
      <c r="BC24" s="76">
        <v>67.5</v>
      </c>
      <c r="BD24" s="76">
        <v>62.5</v>
      </c>
      <c r="BE24" s="76">
        <v>65</v>
      </c>
      <c r="BF24" s="76">
        <v>70</v>
      </c>
      <c r="BG24" s="76">
        <v>65</v>
      </c>
      <c r="BH24" s="70">
        <f t="shared" si="24"/>
        <v>905.6</v>
      </c>
      <c r="BI24" s="71">
        <f t="shared" si="25"/>
        <v>60.373333333333335</v>
      </c>
      <c r="BJ24" s="101" t="e">
        <f t="shared" si="26"/>
        <v>#N/A</v>
      </c>
      <c r="BK24" s="73" t="s">
        <v>807</v>
      </c>
      <c r="BL24" s="73" t="s">
        <v>807</v>
      </c>
      <c r="BM24" s="73" t="s">
        <v>805</v>
      </c>
      <c r="BN24" s="74"/>
      <c r="BO24" s="74"/>
      <c r="BP24" s="74"/>
      <c r="BQ24" s="75"/>
    </row>
    <row r="25" spans="1:69" ht="23.1" customHeight="1">
      <c r="A25" s="99">
        <v>22</v>
      </c>
      <c r="B25" s="113">
        <v>23240084</v>
      </c>
      <c r="C25" s="108" t="s">
        <v>390</v>
      </c>
      <c r="D25" s="68">
        <f t="shared" si="0"/>
        <v>69</v>
      </c>
      <c r="E25" s="68">
        <f t="shared" si="1"/>
        <v>61</v>
      </c>
      <c r="F25" s="68">
        <f t="shared" si="2"/>
        <v>58</v>
      </c>
      <c r="G25" s="68">
        <f t="shared" si="3"/>
        <v>69</v>
      </c>
      <c r="H25" s="68">
        <f t="shared" si="4"/>
        <v>72</v>
      </c>
      <c r="I25" s="68">
        <f t="shared" si="5"/>
        <v>66</v>
      </c>
      <c r="J25" s="68">
        <f t="shared" si="6"/>
        <v>40</v>
      </c>
      <c r="K25" s="68">
        <f t="shared" si="7"/>
        <v>75</v>
      </c>
      <c r="L25" s="68">
        <f t="shared" si="8"/>
        <v>45</v>
      </c>
      <c r="M25" s="68">
        <f t="shared" si="9"/>
        <v>40</v>
      </c>
      <c r="N25" s="69">
        <f t="shared" si="10"/>
        <v>60</v>
      </c>
      <c r="O25" s="69">
        <f t="shared" si="11"/>
        <v>40</v>
      </c>
      <c r="P25" s="69">
        <f t="shared" si="12"/>
        <v>45</v>
      </c>
      <c r="Q25" s="69">
        <f t="shared" si="13"/>
        <v>70</v>
      </c>
      <c r="R25" s="69">
        <f t="shared" si="14"/>
        <v>40</v>
      </c>
      <c r="S25" s="234">
        <f t="shared" si="15"/>
        <v>95</v>
      </c>
      <c r="T25" s="234">
        <f t="shared" si="16"/>
        <v>93</v>
      </c>
      <c r="U25" s="234">
        <f t="shared" si="17"/>
        <v>63</v>
      </c>
      <c r="V25" s="234">
        <f t="shared" si="18"/>
        <v>85</v>
      </c>
      <c r="W25" s="234">
        <f t="shared" si="19"/>
        <v>73</v>
      </c>
      <c r="X25" s="234">
        <f t="shared" si="20"/>
        <v>75</v>
      </c>
      <c r="Y25" s="70">
        <f t="shared" si="21"/>
        <v>850</v>
      </c>
      <c r="Z25" s="71">
        <f t="shared" si="22"/>
        <v>56.666666666666664</v>
      </c>
      <c r="AA25" s="101"/>
      <c r="AB25" s="73" t="s">
        <v>805</v>
      </c>
      <c r="AC25" s="73" t="s">
        <v>805</v>
      </c>
      <c r="AD25" s="73" t="s">
        <v>805</v>
      </c>
      <c r="AE25" s="74">
        <v>106</v>
      </c>
      <c r="AF25" s="74">
        <v>4</v>
      </c>
      <c r="AG25" s="74">
        <v>4</v>
      </c>
      <c r="AH25" s="75"/>
      <c r="AJ25" s="105">
        <v>23</v>
      </c>
      <c r="AK25" s="112">
        <v>23240084</v>
      </c>
      <c r="AL25" s="96" t="s">
        <v>390</v>
      </c>
      <c r="AM25" s="68">
        <v>69</v>
      </c>
      <c r="AN25" s="68">
        <v>60.5</v>
      </c>
      <c r="AO25" s="68">
        <v>57.5</v>
      </c>
      <c r="AP25" s="68">
        <v>69</v>
      </c>
      <c r="AQ25" s="68">
        <v>72</v>
      </c>
      <c r="AR25" s="68">
        <v>66</v>
      </c>
      <c r="AS25" s="68">
        <v>33</v>
      </c>
      <c r="AT25" s="68">
        <v>75</v>
      </c>
      <c r="AU25" s="68">
        <v>45</v>
      </c>
      <c r="AV25" s="68">
        <v>39</v>
      </c>
      <c r="AW25" s="76">
        <v>60</v>
      </c>
      <c r="AX25" s="76">
        <v>40</v>
      </c>
      <c r="AY25" s="76">
        <v>45</v>
      </c>
      <c r="AZ25" s="76">
        <v>70</v>
      </c>
      <c r="BA25" s="76">
        <v>40</v>
      </c>
      <c r="BB25" s="76">
        <v>95</v>
      </c>
      <c r="BC25" s="76">
        <v>92.5</v>
      </c>
      <c r="BD25" s="76">
        <v>62.5</v>
      </c>
      <c r="BE25" s="76">
        <v>85</v>
      </c>
      <c r="BF25" s="76">
        <v>72.5</v>
      </c>
      <c r="BG25" s="76">
        <v>75</v>
      </c>
      <c r="BH25" s="70">
        <f t="shared" si="24"/>
        <v>841</v>
      </c>
      <c r="BI25" s="71">
        <f t="shared" si="25"/>
        <v>56.06666666666667</v>
      </c>
      <c r="BJ25" s="101" t="e">
        <f t="shared" si="26"/>
        <v>#N/A</v>
      </c>
      <c r="BK25" s="73" t="s">
        <v>805</v>
      </c>
      <c r="BL25" s="73" t="s">
        <v>805</v>
      </c>
      <c r="BM25" s="73" t="s">
        <v>805</v>
      </c>
      <c r="BN25" s="74"/>
      <c r="BO25" s="74"/>
      <c r="BP25" s="74"/>
      <c r="BQ25" s="75"/>
    </row>
    <row r="26" spans="1:69" ht="23.1" customHeight="1">
      <c r="A26" s="99">
        <v>23</v>
      </c>
      <c r="B26" s="99">
        <v>23240103</v>
      </c>
      <c r="C26" s="107" t="s">
        <v>396</v>
      </c>
      <c r="D26" s="68">
        <f t="shared" si="0"/>
        <v>66</v>
      </c>
      <c r="E26" s="68">
        <f t="shared" si="1"/>
        <v>40</v>
      </c>
      <c r="F26" s="68">
        <f t="shared" si="2"/>
        <v>52</v>
      </c>
      <c r="G26" s="68">
        <f t="shared" si="3"/>
        <v>54</v>
      </c>
      <c r="H26" s="68">
        <f t="shared" si="4"/>
        <v>65</v>
      </c>
      <c r="I26" s="68">
        <f t="shared" si="5"/>
        <v>65</v>
      </c>
      <c r="J26" s="68">
        <f t="shared" si="6"/>
        <v>40</v>
      </c>
      <c r="K26" s="68">
        <f t="shared" si="7"/>
        <v>78</v>
      </c>
      <c r="L26" s="68">
        <f t="shared" si="8"/>
        <v>45</v>
      </c>
      <c r="M26" s="68">
        <f t="shared" si="9"/>
        <v>40</v>
      </c>
      <c r="N26" s="69">
        <f t="shared" si="10"/>
        <v>60</v>
      </c>
      <c r="O26" s="69">
        <f t="shared" si="11"/>
        <v>40</v>
      </c>
      <c r="P26" s="69">
        <f t="shared" si="12"/>
        <v>40</v>
      </c>
      <c r="Q26" s="69">
        <f t="shared" si="13"/>
        <v>70</v>
      </c>
      <c r="R26" s="69">
        <f t="shared" si="14"/>
        <v>40</v>
      </c>
      <c r="S26" s="234">
        <f t="shared" si="15"/>
        <v>93</v>
      </c>
      <c r="T26" s="234">
        <f t="shared" si="16"/>
        <v>93</v>
      </c>
      <c r="U26" s="234">
        <f t="shared" si="17"/>
        <v>60</v>
      </c>
      <c r="V26" s="234">
        <f t="shared" si="18"/>
        <v>93</v>
      </c>
      <c r="W26" s="234">
        <f t="shared" si="19"/>
        <v>78</v>
      </c>
      <c r="X26" s="234">
        <f t="shared" si="20"/>
        <v>83</v>
      </c>
      <c r="Y26" s="70">
        <f t="shared" si="21"/>
        <v>795</v>
      </c>
      <c r="Z26" s="71">
        <f t="shared" si="22"/>
        <v>53</v>
      </c>
      <c r="AA26" s="101"/>
      <c r="AB26" s="73" t="s">
        <v>807</v>
      </c>
      <c r="AC26" s="73" t="s">
        <v>807</v>
      </c>
      <c r="AD26" s="73" t="s">
        <v>805</v>
      </c>
      <c r="AE26" s="74">
        <v>28</v>
      </c>
      <c r="AF26" s="74">
        <v>0</v>
      </c>
      <c r="AG26" s="74">
        <v>26</v>
      </c>
      <c r="AH26" s="75"/>
      <c r="AJ26" s="105">
        <v>24</v>
      </c>
      <c r="AK26" s="109">
        <v>23240103</v>
      </c>
      <c r="AL26" s="103" t="s">
        <v>396</v>
      </c>
      <c r="AM26" s="68">
        <v>66</v>
      </c>
      <c r="AN26" s="68">
        <v>33</v>
      </c>
      <c r="AO26" s="68">
        <v>51.5</v>
      </c>
      <c r="AP26" s="68">
        <v>54</v>
      </c>
      <c r="AQ26" s="68">
        <v>65</v>
      </c>
      <c r="AR26" s="68">
        <v>65</v>
      </c>
      <c r="AS26" s="68">
        <v>33</v>
      </c>
      <c r="AT26" s="68">
        <v>78.2</v>
      </c>
      <c r="AU26" s="68">
        <v>44.5</v>
      </c>
      <c r="AV26" s="68">
        <v>39</v>
      </c>
      <c r="AW26" s="76">
        <v>60</v>
      </c>
      <c r="AX26" s="76">
        <v>40</v>
      </c>
      <c r="AY26" s="76">
        <v>40</v>
      </c>
      <c r="AZ26" s="76">
        <v>70</v>
      </c>
      <c r="BA26" s="76">
        <v>40</v>
      </c>
      <c r="BB26" s="76">
        <v>92.5</v>
      </c>
      <c r="BC26" s="76">
        <v>92.5</v>
      </c>
      <c r="BD26" s="76">
        <v>60</v>
      </c>
      <c r="BE26" s="76">
        <v>92.5</v>
      </c>
      <c r="BF26" s="76">
        <v>77.5</v>
      </c>
      <c r="BG26" s="76">
        <v>82.5</v>
      </c>
      <c r="BH26" s="70">
        <f t="shared" si="24"/>
        <v>779.2</v>
      </c>
      <c r="BI26" s="71">
        <f t="shared" si="25"/>
        <v>51.946666666666673</v>
      </c>
      <c r="BJ26" s="101" t="e">
        <f t="shared" si="26"/>
        <v>#N/A</v>
      </c>
      <c r="BK26" s="73" t="s">
        <v>807</v>
      </c>
      <c r="BL26" s="73" t="s">
        <v>807</v>
      </c>
      <c r="BM26" s="73" t="s">
        <v>805</v>
      </c>
      <c r="BN26" s="74"/>
      <c r="BO26" s="74"/>
      <c r="BP26" s="74"/>
      <c r="BQ26" s="75"/>
    </row>
    <row r="27" spans="1:69" ht="23.1" customHeight="1">
      <c r="A27" s="99">
        <v>24</v>
      </c>
      <c r="B27" s="99">
        <v>23240171</v>
      </c>
      <c r="C27" s="107" t="s">
        <v>395</v>
      </c>
      <c r="D27" s="68">
        <f t="shared" si="0"/>
        <v>0</v>
      </c>
      <c r="E27" s="68">
        <f t="shared" si="1"/>
        <v>0</v>
      </c>
      <c r="F27" s="68">
        <f t="shared" si="2"/>
        <v>0</v>
      </c>
      <c r="G27" s="68">
        <f t="shared" si="3"/>
        <v>0</v>
      </c>
      <c r="H27" s="68">
        <f t="shared" si="4"/>
        <v>0</v>
      </c>
      <c r="I27" s="68">
        <f t="shared" si="5"/>
        <v>0</v>
      </c>
      <c r="J27" s="68">
        <f t="shared" si="6"/>
        <v>0</v>
      </c>
      <c r="K27" s="68">
        <f t="shared" si="7"/>
        <v>0</v>
      </c>
      <c r="L27" s="68">
        <f t="shared" si="8"/>
        <v>0</v>
      </c>
      <c r="M27" s="68">
        <f t="shared" si="9"/>
        <v>0</v>
      </c>
      <c r="N27" s="69">
        <f t="shared" si="10"/>
        <v>0</v>
      </c>
      <c r="O27" s="69">
        <f t="shared" si="11"/>
        <v>0</v>
      </c>
      <c r="P27" s="69">
        <f t="shared" si="12"/>
        <v>0</v>
      </c>
      <c r="Q27" s="69">
        <f t="shared" si="13"/>
        <v>0</v>
      </c>
      <c r="R27" s="69">
        <f t="shared" si="14"/>
        <v>0</v>
      </c>
      <c r="S27" s="234">
        <f t="shared" si="15"/>
        <v>0</v>
      </c>
      <c r="T27" s="234">
        <f t="shared" si="16"/>
        <v>0</v>
      </c>
      <c r="U27" s="234">
        <f t="shared" si="17"/>
        <v>0</v>
      </c>
      <c r="V27" s="234">
        <f t="shared" si="18"/>
        <v>0</v>
      </c>
      <c r="W27" s="234">
        <f t="shared" si="19"/>
        <v>0</v>
      </c>
      <c r="X27" s="234">
        <f t="shared" si="20"/>
        <v>0</v>
      </c>
      <c r="Y27" s="70">
        <f t="shared" si="21"/>
        <v>0</v>
      </c>
      <c r="Z27" s="71">
        <f t="shared" si="22"/>
        <v>0</v>
      </c>
      <c r="AA27" s="101"/>
      <c r="AB27" s="73"/>
      <c r="AC27" s="73"/>
      <c r="AD27" s="73"/>
      <c r="AE27" s="74">
        <v>0</v>
      </c>
      <c r="AF27" s="74">
        <v>0</v>
      </c>
      <c r="AG27" s="74">
        <v>118</v>
      </c>
      <c r="AH27" s="75"/>
      <c r="AJ27" s="105">
        <v>11</v>
      </c>
      <c r="AK27" s="99">
        <v>23240171</v>
      </c>
      <c r="AL27" s="107" t="s">
        <v>395</v>
      </c>
      <c r="AM27" s="68">
        <v>0</v>
      </c>
      <c r="AN27" s="68">
        <v>0</v>
      </c>
      <c r="AO27" s="68">
        <v>0</v>
      </c>
      <c r="AP27" s="68">
        <v>0</v>
      </c>
      <c r="AQ27" s="68">
        <v>0</v>
      </c>
      <c r="AR27" s="68">
        <v>0</v>
      </c>
      <c r="AS27" s="68">
        <v>0</v>
      </c>
      <c r="AT27" s="68">
        <v>0</v>
      </c>
      <c r="AU27" s="68">
        <v>0</v>
      </c>
      <c r="AV27" s="68">
        <v>0</v>
      </c>
      <c r="AW27" s="76">
        <v>0</v>
      </c>
      <c r="AX27" s="76">
        <v>0</v>
      </c>
      <c r="AY27" s="76">
        <v>0</v>
      </c>
      <c r="AZ27" s="76">
        <v>0</v>
      </c>
      <c r="BA27" s="76">
        <v>0</v>
      </c>
      <c r="BB27" s="76"/>
      <c r="BC27" s="76"/>
      <c r="BD27" s="76"/>
      <c r="BE27" s="76"/>
      <c r="BF27" s="76"/>
      <c r="BG27" s="76"/>
      <c r="BH27" s="70">
        <f t="shared" si="24"/>
        <v>0</v>
      </c>
      <c r="BI27" s="71">
        <f t="shared" si="25"/>
        <v>0</v>
      </c>
      <c r="BJ27" s="101">
        <f t="shared" si="26"/>
        <v>24</v>
      </c>
      <c r="BK27" s="73"/>
      <c r="BL27" s="73"/>
      <c r="BM27" s="73"/>
      <c r="BN27" s="74"/>
      <c r="BO27" s="74"/>
      <c r="BP27" s="74"/>
      <c r="BQ27" s="75"/>
    </row>
    <row r="28" spans="1:69">
      <c r="A28" s="267" t="s">
        <v>202</v>
      </c>
      <c r="B28" s="268"/>
      <c r="C28" s="269"/>
      <c r="D28" s="72">
        <f t="shared" ref="D28:R28" si="27">SUM(D4:D27)</f>
        <v>1751</v>
      </c>
      <c r="E28" s="72">
        <f t="shared" si="27"/>
        <v>1876</v>
      </c>
      <c r="F28" s="72">
        <f t="shared" si="27"/>
        <v>1837</v>
      </c>
      <c r="G28" s="72">
        <f t="shared" si="27"/>
        <v>1668</v>
      </c>
      <c r="H28" s="72">
        <f t="shared" si="27"/>
        <v>1940</v>
      </c>
      <c r="I28" s="72">
        <f t="shared" si="27"/>
        <v>1754</v>
      </c>
      <c r="J28" s="72">
        <f t="shared" si="27"/>
        <v>1349</v>
      </c>
      <c r="K28" s="72">
        <f t="shared" si="27"/>
        <v>2057</v>
      </c>
      <c r="L28" s="72">
        <f t="shared" si="27"/>
        <v>1669</v>
      </c>
      <c r="M28" s="72">
        <f t="shared" si="27"/>
        <v>1589</v>
      </c>
      <c r="N28" s="72">
        <f t="shared" si="27"/>
        <v>1779</v>
      </c>
      <c r="O28" s="72">
        <f t="shared" si="27"/>
        <v>1696</v>
      </c>
      <c r="P28" s="72">
        <f t="shared" si="27"/>
        <v>1941</v>
      </c>
      <c r="Q28" s="72">
        <f t="shared" si="27"/>
        <v>2151</v>
      </c>
      <c r="R28" s="72">
        <f t="shared" si="27"/>
        <v>1967</v>
      </c>
      <c r="S28" s="72"/>
      <c r="T28" s="72"/>
      <c r="U28" s="72"/>
      <c r="V28" s="72"/>
      <c r="W28" s="72"/>
      <c r="X28" s="72"/>
      <c r="Y28" s="81"/>
      <c r="Z28" s="81"/>
      <c r="AA28" s="81"/>
      <c r="AB28" s="81"/>
      <c r="AC28" s="81"/>
      <c r="AD28" s="81"/>
      <c r="AE28" s="81"/>
      <c r="AF28" s="81"/>
      <c r="AG28" s="81"/>
      <c r="AH28" s="82"/>
      <c r="AJ28" s="267" t="s">
        <v>202</v>
      </c>
      <c r="AK28" s="268"/>
      <c r="AL28" s="269"/>
      <c r="AM28" s="72">
        <f t="shared" ref="AM28:BA28" si="28">SUM(AM4:AM27)</f>
        <v>1748</v>
      </c>
      <c r="AN28" s="72">
        <f t="shared" si="28"/>
        <v>1864.8</v>
      </c>
      <c r="AO28" s="72">
        <f t="shared" si="28"/>
        <v>1832.9</v>
      </c>
      <c r="AP28" s="72">
        <f t="shared" si="28"/>
        <v>1665.1000000000004</v>
      </c>
      <c r="AQ28" s="72">
        <f t="shared" si="28"/>
        <v>1937.4</v>
      </c>
      <c r="AR28" s="72">
        <f t="shared" si="28"/>
        <v>1750</v>
      </c>
      <c r="AS28" s="72">
        <f t="shared" si="28"/>
        <v>1325.5</v>
      </c>
      <c r="AT28" s="72">
        <f t="shared" si="28"/>
        <v>2056.9999999999995</v>
      </c>
      <c r="AU28" s="72">
        <f t="shared" si="28"/>
        <v>1662.9</v>
      </c>
      <c r="AV28" s="72">
        <f t="shared" si="28"/>
        <v>1581</v>
      </c>
      <c r="AW28" s="72">
        <f t="shared" si="28"/>
        <v>1780</v>
      </c>
      <c r="AX28" s="72">
        <f t="shared" si="28"/>
        <v>1696</v>
      </c>
      <c r="AY28" s="72">
        <f t="shared" si="28"/>
        <v>1943</v>
      </c>
      <c r="AZ28" s="72">
        <f t="shared" si="28"/>
        <v>2170</v>
      </c>
      <c r="BA28" s="72">
        <f t="shared" si="28"/>
        <v>1980</v>
      </c>
      <c r="BB28" s="72"/>
      <c r="BC28" s="72"/>
      <c r="BD28" s="72"/>
      <c r="BE28" s="72"/>
      <c r="BF28" s="72"/>
      <c r="BG28" s="72"/>
      <c r="BH28" s="81"/>
      <c r="BI28" s="81"/>
      <c r="BJ28" s="81"/>
      <c r="BK28" s="81"/>
      <c r="BL28" s="81"/>
      <c r="BM28" s="81"/>
      <c r="BN28" s="81"/>
      <c r="BO28" s="81"/>
      <c r="BP28" s="81"/>
      <c r="BQ28" s="82"/>
    </row>
    <row r="29" spans="1:69">
      <c r="A29" s="267" t="s">
        <v>203</v>
      </c>
      <c r="B29" s="268"/>
      <c r="C29" s="269"/>
      <c r="D29" s="72">
        <f t="shared" ref="D29:R29" si="29">AVERAGE(D4:D27)</f>
        <v>72.958333333333329</v>
      </c>
      <c r="E29" s="72">
        <f t="shared" si="29"/>
        <v>78.166666666666671</v>
      </c>
      <c r="F29" s="72">
        <f t="shared" si="29"/>
        <v>76.541666666666671</v>
      </c>
      <c r="G29" s="72">
        <f t="shared" si="29"/>
        <v>69.5</v>
      </c>
      <c r="H29" s="72">
        <f t="shared" si="29"/>
        <v>80.833333333333329</v>
      </c>
      <c r="I29" s="72">
        <f t="shared" si="29"/>
        <v>73.083333333333329</v>
      </c>
      <c r="J29" s="72">
        <f t="shared" si="29"/>
        <v>56.208333333333336</v>
      </c>
      <c r="K29" s="72">
        <f t="shared" si="29"/>
        <v>85.708333333333329</v>
      </c>
      <c r="L29" s="72">
        <f t="shared" si="29"/>
        <v>69.541666666666671</v>
      </c>
      <c r="M29" s="72">
        <f t="shared" si="29"/>
        <v>66.208333333333329</v>
      </c>
      <c r="N29" s="72">
        <f t="shared" si="29"/>
        <v>74.125</v>
      </c>
      <c r="O29" s="72">
        <f t="shared" si="29"/>
        <v>70.666666666666671</v>
      </c>
      <c r="P29" s="72">
        <f t="shared" si="29"/>
        <v>80.875</v>
      </c>
      <c r="Q29" s="72">
        <f t="shared" si="29"/>
        <v>89.625</v>
      </c>
      <c r="R29" s="72">
        <f t="shared" si="29"/>
        <v>81.958333333333329</v>
      </c>
      <c r="S29" s="72"/>
      <c r="T29" s="72"/>
      <c r="U29" s="72"/>
      <c r="V29" s="72"/>
      <c r="W29" s="72"/>
      <c r="X29" s="72"/>
      <c r="Y29" s="81"/>
      <c r="Z29" s="81"/>
      <c r="AA29" s="81"/>
      <c r="AB29" s="81"/>
      <c r="AC29" s="81"/>
      <c r="AD29" s="81"/>
      <c r="AE29" s="81"/>
      <c r="AF29" s="81"/>
      <c r="AG29" s="81"/>
      <c r="AH29" s="82"/>
      <c r="AJ29" s="267" t="s">
        <v>203</v>
      </c>
      <c r="AK29" s="268"/>
      <c r="AL29" s="269"/>
      <c r="AM29" s="72">
        <f t="shared" ref="AM29:BA29" si="30">AVERAGE(AM4:AM27)</f>
        <v>72.833333333333329</v>
      </c>
      <c r="AN29" s="72">
        <f t="shared" si="30"/>
        <v>77.7</v>
      </c>
      <c r="AO29" s="72">
        <f t="shared" si="30"/>
        <v>76.370833333333337</v>
      </c>
      <c r="AP29" s="72">
        <f t="shared" si="30"/>
        <v>69.379166666666677</v>
      </c>
      <c r="AQ29" s="72">
        <f t="shared" si="30"/>
        <v>80.725000000000009</v>
      </c>
      <c r="AR29" s="72">
        <f t="shared" si="30"/>
        <v>72.916666666666671</v>
      </c>
      <c r="AS29" s="72">
        <f t="shared" si="30"/>
        <v>55.229166666666664</v>
      </c>
      <c r="AT29" s="72">
        <f t="shared" si="30"/>
        <v>85.708333333333314</v>
      </c>
      <c r="AU29" s="72">
        <f t="shared" si="30"/>
        <v>69.287500000000009</v>
      </c>
      <c r="AV29" s="72">
        <f t="shared" si="30"/>
        <v>65.875</v>
      </c>
      <c r="AW29" s="72">
        <f t="shared" si="30"/>
        <v>74.166666666666671</v>
      </c>
      <c r="AX29" s="72">
        <f t="shared" si="30"/>
        <v>70.666666666666671</v>
      </c>
      <c r="AY29" s="72">
        <f t="shared" si="30"/>
        <v>80.958333333333329</v>
      </c>
      <c r="AZ29" s="72">
        <f t="shared" si="30"/>
        <v>90.416666666666671</v>
      </c>
      <c r="BA29" s="72">
        <f t="shared" si="30"/>
        <v>82.5</v>
      </c>
      <c r="BB29" s="72"/>
      <c r="BC29" s="72"/>
      <c r="BD29" s="72"/>
      <c r="BE29" s="72"/>
      <c r="BF29" s="72"/>
      <c r="BG29" s="72"/>
      <c r="BH29" s="81"/>
      <c r="BI29" s="81"/>
      <c r="BJ29" s="81"/>
      <c r="BK29" s="81"/>
      <c r="BL29" s="81"/>
      <c r="BM29" s="81"/>
      <c r="BN29" s="81"/>
      <c r="BO29" s="81"/>
      <c r="BP29" s="81"/>
      <c r="BQ29" s="82"/>
    </row>
    <row r="30" spans="1:69" s="83" customFormat="1">
      <c r="A30" s="83">
        <v>1</v>
      </c>
      <c r="B30" s="83">
        <v>2</v>
      </c>
      <c r="C30" s="83">
        <v>3</v>
      </c>
      <c r="D30" s="83">
        <v>4</v>
      </c>
      <c r="E30" s="83">
        <v>5</v>
      </c>
      <c r="F30" s="83">
        <v>6</v>
      </c>
      <c r="G30" s="83">
        <v>7</v>
      </c>
      <c r="H30" s="83">
        <v>8</v>
      </c>
      <c r="I30" s="83">
        <v>9</v>
      </c>
      <c r="J30" s="83">
        <v>10</v>
      </c>
      <c r="K30" s="83">
        <v>11</v>
      </c>
      <c r="L30" s="83">
        <v>12</v>
      </c>
      <c r="M30" s="83">
        <v>13</v>
      </c>
      <c r="N30" s="83">
        <v>14</v>
      </c>
      <c r="O30" s="83">
        <v>15</v>
      </c>
      <c r="P30" s="83">
        <v>16</v>
      </c>
      <c r="Q30" s="83">
        <v>17</v>
      </c>
      <c r="R30" s="83">
        <v>18</v>
      </c>
      <c r="S30" s="83">
        <v>19</v>
      </c>
      <c r="T30" s="83">
        <v>20</v>
      </c>
      <c r="U30" s="83">
        <v>21</v>
      </c>
      <c r="V30" s="83">
        <v>22</v>
      </c>
      <c r="W30" s="83">
        <v>23</v>
      </c>
      <c r="X30" s="83">
        <v>24</v>
      </c>
      <c r="Y30" s="83">
        <v>25</v>
      </c>
      <c r="Z30" s="83">
        <v>26</v>
      </c>
      <c r="AA30" s="83">
        <v>27</v>
      </c>
      <c r="AB30" s="83">
        <v>28</v>
      </c>
      <c r="AC30" s="83">
        <v>29</v>
      </c>
      <c r="AD30" s="83">
        <v>30</v>
      </c>
      <c r="AE30" s="83">
        <v>31</v>
      </c>
      <c r="AF30" s="83">
        <v>32</v>
      </c>
      <c r="AG30" s="83">
        <v>33</v>
      </c>
      <c r="AJ30" s="83">
        <v>1</v>
      </c>
      <c r="AK30" s="83">
        <v>2</v>
      </c>
      <c r="AL30" s="83">
        <v>3</v>
      </c>
      <c r="AM30" s="83">
        <v>4</v>
      </c>
      <c r="AN30" s="83">
        <v>5</v>
      </c>
      <c r="AO30" s="83">
        <v>6</v>
      </c>
      <c r="AP30" s="83">
        <v>7</v>
      </c>
      <c r="AQ30" s="83">
        <v>8</v>
      </c>
      <c r="AR30" s="83">
        <v>9</v>
      </c>
      <c r="AS30" s="83">
        <v>10</v>
      </c>
      <c r="AT30" s="83">
        <v>11</v>
      </c>
      <c r="AU30" s="83">
        <v>12</v>
      </c>
      <c r="AV30" s="83">
        <v>13</v>
      </c>
      <c r="AW30" s="83">
        <v>14</v>
      </c>
      <c r="AX30" s="83">
        <v>15</v>
      </c>
      <c r="AY30" s="83">
        <v>16</v>
      </c>
      <c r="AZ30" s="83">
        <v>17</v>
      </c>
      <c r="BA30" s="83">
        <v>18</v>
      </c>
      <c r="BH30" s="83">
        <v>19</v>
      </c>
      <c r="BI30" s="83">
        <v>20</v>
      </c>
      <c r="BJ30" s="83">
        <v>21</v>
      </c>
      <c r="BK30" s="83">
        <v>22</v>
      </c>
      <c r="BL30" s="83">
        <v>23</v>
      </c>
      <c r="BM30" s="83">
        <v>24</v>
      </c>
      <c r="BN30" s="83">
        <v>25</v>
      </c>
      <c r="BO30" s="83">
        <v>26</v>
      </c>
      <c r="BP30" s="83">
        <v>27</v>
      </c>
    </row>
    <row r="31" spans="1:69" ht="23.25">
      <c r="A31" s="84" t="s">
        <v>204</v>
      </c>
      <c r="C31" s="85"/>
    </row>
    <row r="32" spans="1:69">
      <c r="A32" s="86"/>
      <c r="B32" s="86"/>
      <c r="C32" s="60" t="s">
        <v>205</v>
      </c>
    </row>
    <row r="33" spans="1:3">
      <c r="A33" s="87"/>
      <c r="B33" s="87"/>
      <c r="C33" s="60" t="s">
        <v>206</v>
      </c>
    </row>
    <row r="34" spans="1:3">
      <c r="A34" s="88"/>
      <c r="B34" s="88"/>
      <c r="C34" s="60" t="s">
        <v>207</v>
      </c>
    </row>
    <row r="35" spans="1:3">
      <c r="A35" s="89"/>
      <c r="B35" s="89"/>
      <c r="C35" s="60" t="s">
        <v>208</v>
      </c>
    </row>
  </sheetData>
  <sortState xmlns:xlrd2="http://schemas.microsoft.com/office/spreadsheetml/2017/richdata2" ref="B4:BQ27">
    <sortCondition ref="AA4:AA27"/>
  </sortState>
  <mergeCells count="35">
    <mergeCell ref="A28:C28"/>
    <mergeCell ref="AJ28:AL28"/>
    <mergeCell ref="A29:C29"/>
    <mergeCell ref="AJ29:AL29"/>
    <mergeCell ref="BL2:BL3"/>
    <mergeCell ref="AM2:AV2"/>
    <mergeCell ref="AW2:AZ2"/>
    <mergeCell ref="BH2:BH3"/>
    <mergeCell ref="BI2:BI3"/>
    <mergeCell ref="BJ2:BJ3"/>
    <mergeCell ref="BK2:BK3"/>
    <mergeCell ref="AF2:AF3"/>
    <mergeCell ref="AG2:AG3"/>
    <mergeCell ref="AH2:AH3"/>
    <mergeCell ref="AJ2:AJ3"/>
    <mergeCell ref="AK2:AK3"/>
    <mergeCell ref="BM2:BM3"/>
    <mergeCell ref="BN2:BN3"/>
    <mergeCell ref="BO2:BO3"/>
    <mergeCell ref="BP2:BP3"/>
    <mergeCell ref="BQ2:BQ3"/>
    <mergeCell ref="AL2:AL3"/>
    <mergeCell ref="Z2:Z3"/>
    <mergeCell ref="AA2:AA3"/>
    <mergeCell ref="AB2:AB3"/>
    <mergeCell ref="AC2:AC3"/>
    <mergeCell ref="AD2:AD3"/>
    <mergeCell ref="AE2:AE3"/>
    <mergeCell ref="Y2:Y3"/>
    <mergeCell ref="A2:A3"/>
    <mergeCell ref="B2:B3"/>
    <mergeCell ref="C2:C3"/>
    <mergeCell ref="D2:M2"/>
    <mergeCell ref="N2:Q2"/>
    <mergeCell ref="S2:X2"/>
  </mergeCells>
  <conditionalFormatting sqref="B4">
    <cfRule type="duplicateValues" dxfId="533" priority="44"/>
    <cfRule type="duplicateValues" dxfId="532" priority="45"/>
  </conditionalFormatting>
  <conditionalFormatting sqref="B5">
    <cfRule type="duplicateValues" dxfId="531" priority="48"/>
    <cfRule type="duplicateValues" dxfId="530" priority="49"/>
  </conditionalFormatting>
  <conditionalFormatting sqref="B6">
    <cfRule type="duplicateValues" dxfId="529" priority="51"/>
  </conditionalFormatting>
  <conditionalFormatting sqref="B8">
    <cfRule type="duplicateValues" dxfId="528" priority="43"/>
  </conditionalFormatting>
  <conditionalFormatting sqref="B9">
    <cfRule type="duplicateValues" dxfId="527" priority="52"/>
    <cfRule type="duplicateValues" dxfId="526" priority="53"/>
  </conditionalFormatting>
  <conditionalFormatting sqref="B10">
    <cfRule type="duplicateValues" dxfId="525" priority="62"/>
  </conditionalFormatting>
  <conditionalFormatting sqref="B11">
    <cfRule type="duplicateValues" dxfId="524" priority="35"/>
    <cfRule type="duplicateValues" dxfId="523" priority="36"/>
  </conditionalFormatting>
  <conditionalFormatting sqref="B12">
    <cfRule type="duplicateValues" dxfId="522" priority="58"/>
    <cfRule type="duplicateValues" dxfId="521" priority="59"/>
  </conditionalFormatting>
  <conditionalFormatting sqref="B13">
    <cfRule type="duplicateValues" dxfId="520" priority="46"/>
    <cfRule type="duplicateValues" dxfId="519" priority="47"/>
  </conditionalFormatting>
  <conditionalFormatting sqref="B14">
    <cfRule type="duplicateValues" dxfId="518" priority="64"/>
  </conditionalFormatting>
  <conditionalFormatting sqref="B15">
    <cfRule type="duplicateValues" dxfId="517" priority="63"/>
  </conditionalFormatting>
  <conditionalFormatting sqref="B16">
    <cfRule type="duplicateValues" dxfId="516" priority="65"/>
    <cfRule type="duplicateValues" dxfId="515" priority="66"/>
  </conditionalFormatting>
  <conditionalFormatting sqref="B17">
    <cfRule type="duplicateValues" dxfId="514" priority="41"/>
    <cfRule type="duplicateValues" dxfId="513" priority="42"/>
  </conditionalFormatting>
  <conditionalFormatting sqref="B18">
    <cfRule type="duplicateValues" dxfId="512" priority="50"/>
  </conditionalFormatting>
  <conditionalFormatting sqref="B19">
    <cfRule type="duplicateValues" dxfId="511" priority="37"/>
    <cfRule type="duplicateValues" dxfId="510" priority="38"/>
  </conditionalFormatting>
  <conditionalFormatting sqref="B20">
    <cfRule type="duplicateValues" dxfId="509" priority="39"/>
    <cfRule type="duplicateValues" dxfId="508" priority="40"/>
  </conditionalFormatting>
  <conditionalFormatting sqref="B21">
    <cfRule type="duplicateValues" dxfId="507" priority="54"/>
    <cfRule type="duplicateValues" dxfId="506" priority="55"/>
  </conditionalFormatting>
  <conditionalFormatting sqref="B22">
    <cfRule type="duplicateValues" dxfId="505" priority="56"/>
    <cfRule type="duplicateValues" dxfId="504" priority="57"/>
  </conditionalFormatting>
  <conditionalFormatting sqref="B23:B27">
    <cfRule type="duplicateValues" dxfId="503" priority="131"/>
    <cfRule type="duplicateValues" dxfId="502" priority="132"/>
  </conditionalFormatting>
  <conditionalFormatting sqref="D4:X27 AM4:BG27">
    <cfRule type="cellIs" dxfId="501" priority="67" operator="lessThanOrEqual">
      <formula>59</formula>
    </cfRule>
  </conditionalFormatting>
  <conditionalFormatting sqref="Z4:Z27 BI4:BI27">
    <cfRule type="cellIs" dxfId="500" priority="68" operator="lessThan">
      <formula>60</formula>
    </cfRule>
  </conditionalFormatting>
  <conditionalFormatting sqref="AK4">
    <cfRule type="duplicateValues" dxfId="499" priority="10"/>
    <cfRule type="duplicateValues" dxfId="498" priority="11"/>
  </conditionalFormatting>
  <conditionalFormatting sqref="AK5">
    <cfRule type="duplicateValues" dxfId="497" priority="14"/>
    <cfRule type="duplicateValues" dxfId="496" priority="15"/>
  </conditionalFormatting>
  <conditionalFormatting sqref="AK6">
    <cfRule type="duplicateValues" dxfId="495" priority="17"/>
  </conditionalFormatting>
  <conditionalFormatting sqref="AK8">
    <cfRule type="duplicateValues" dxfId="494" priority="9"/>
  </conditionalFormatting>
  <conditionalFormatting sqref="AK9">
    <cfRule type="duplicateValues" dxfId="493" priority="18"/>
    <cfRule type="duplicateValues" dxfId="492" priority="19"/>
  </conditionalFormatting>
  <conditionalFormatting sqref="AK10">
    <cfRule type="duplicateValues" dxfId="491" priority="28"/>
  </conditionalFormatting>
  <conditionalFormatting sqref="AK11">
    <cfRule type="duplicateValues" dxfId="490" priority="1"/>
    <cfRule type="duplicateValues" dxfId="489" priority="2"/>
  </conditionalFormatting>
  <conditionalFormatting sqref="AK12">
    <cfRule type="duplicateValues" dxfId="488" priority="24"/>
    <cfRule type="duplicateValues" dxfId="487" priority="25"/>
  </conditionalFormatting>
  <conditionalFormatting sqref="AK13">
    <cfRule type="duplicateValues" dxfId="486" priority="12"/>
    <cfRule type="duplicateValues" dxfId="485" priority="13"/>
  </conditionalFormatting>
  <conditionalFormatting sqref="AK14">
    <cfRule type="duplicateValues" dxfId="484" priority="30"/>
  </conditionalFormatting>
  <conditionalFormatting sqref="AK15">
    <cfRule type="duplicateValues" dxfId="483" priority="29"/>
  </conditionalFormatting>
  <conditionalFormatting sqref="AK16">
    <cfRule type="duplicateValues" dxfId="482" priority="31"/>
    <cfRule type="duplicateValues" dxfId="481" priority="32"/>
  </conditionalFormatting>
  <conditionalFormatting sqref="AK17">
    <cfRule type="duplicateValues" dxfId="480" priority="7"/>
    <cfRule type="duplicateValues" dxfId="479" priority="8"/>
  </conditionalFormatting>
  <conditionalFormatting sqref="AK18">
    <cfRule type="duplicateValues" dxfId="478" priority="16"/>
  </conditionalFormatting>
  <conditionalFormatting sqref="AK19">
    <cfRule type="duplicateValues" dxfId="477" priority="3"/>
    <cfRule type="duplicateValues" dxfId="476" priority="4"/>
  </conditionalFormatting>
  <conditionalFormatting sqref="AK20">
    <cfRule type="duplicateValues" dxfId="475" priority="5"/>
    <cfRule type="duplicateValues" dxfId="474" priority="6"/>
  </conditionalFormatting>
  <conditionalFormatting sqref="AK21">
    <cfRule type="duplicateValues" dxfId="473" priority="20"/>
    <cfRule type="duplicateValues" dxfId="472" priority="21"/>
  </conditionalFormatting>
  <conditionalFormatting sqref="AK22">
    <cfRule type="duplicateValues" dxfId="471" priority="22"/>
    <cfRule type="duplicateValues" dxfId="470" priority="23"/>
  </conditionalFormatting>
  <conditionalFormatting sqref="AK23:AK27">
    <cfRule type="duplicateValues" dxfId="469" priority="136"/>
    <cfRule type="duplicateValues" dxfId="468" priority="137"/>
  </conditionalFormatting>
  <conditionalFormatting sqref="AA4:AA27">
    <cfRule type="duplicateValues" dxfId="467" priority="252"/>
    <cfRule type="duplicateValues" dxfId="466" priority="253"/>
    <cfRule type="duplicateValues" dxfId="465" priority="254"/>
  </conditionalFormatting>
  <conditionalFormatting sqref="BJ4:BJ27">
    <cfRule type="duplicateValues" dxfId="464" priority="262"/>
    <cfRule type="duplicateValues" dxfId="463" priority="263"/>
    <cfRule type="duplicateValues" dxfId="462" priority="264"/>
  </conditionalFormatting>
  <printOptions horizontalCentered="1"/>
  <pageMargins left="0.63" right="0.2" top="0.74803149606299202" bottom="0.38" header="0.31496062992126" footer="0.31496062992126"/>
  <pageSetup paperSize="10000" scale="80" orientation="landscape" horizontalDpi="203" verticalDpi="203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B396D-0B45-4EFC-A34A-8E28E19CCE47}">
  <sheetPr codeName="Sheet15">
    <tabColor theme="1" tint="0.499984740745262"/>
  </sheetPr>
  <dimension ref="A1:BQ36"/>
  <sheetViews>
    <sheetView topLeftCell="A6" zoomScale="55" zoomScaleNormal="55" workbookViewId="0">
      <selection activeCell="C12" sqref="C12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4" width="5.42578125" style="60" customWidth="1"/>
    <col min="25" max="27" width="7.140625" style="60" customWidth="1"/>
    <col min="28" max="34" width="5.42578125" style="60" customWidth="1"/>
    <col min="35" max="35" width="9.140625" style="60"/>
    <col min="36" max="36" width="9.28515625" style="60" bestFit="1" customWidth="1"/>
    <col min="37" max="37" width="10.42578125" style="60" bestFit="1" customWidth="1"/>
    <col min="38" max="38" width="34.85546875" style="60" bestFit="1" customWidth="1"/>
    <col min="39" max="41" width="9.28515625" style="60" bestFit="1" customWidth="1"/>
    <col min="42" max="16384" width="9.140625" style="60"/>
  </cols>
  <sheetData>
    <row r="1" spans="1:69" ht="23.25">
      <c r="A1" s="85" t="s">
        <v>560</v>
      </c>
      <c r="AJ1" s="85" t="s">
        <v>560</v>
      </c>
    </row>
    <row r="2" spans="1:69" ht="15.75" customHeight="1">
      <c r="A2" s="281" t="s">
        <v>151</v>
      </c>
      <c r="B2" s="281" t="s">
        <v>152</v>
      </c>
      <c r="C2" s="281" t="s">
        <v>0</v>
      </c>
      <c r="D2" s="273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86" t="s">
        <v>316</v>
      </c>
      <c r="O2" s="286"/>
      <c r="P2" s="286"/>
      <c r="Q2" s="286"/>
      <c r="R2" s="90"/>
      <c r="S2" s="425" t="s">
        <v>798</v>
      </c>
      <c r="T2" s="425"/>
      <c r="U2" s="425"/>
      <c r="V2" s="425"/>
      <c r="W2" s="425"/>
      <c r="X2" s="425"/>
      <c r="Y2" s="276" t="s">
        <v>155</v>
      </c>
      <c r="Z2" s="276" t="s">
        <v>156</v>
      </c>
      <c r="AA2" s="276" t="s">
        <v>157</v>
      </c>
      <c r="AB2" s="270" t="s">
        <v>158</v>
      </c>
      <c r="AC2" s="270" t="s">
        <v>159</v>
      </c>
      <c r="AD2" s="270" t="s">
        <v>160</v>
      </c>
      <c r="AE2" s="278" t="s">
        <v>161</v>
      </c>
      <c r="AF2" s="278" t="s">
        <v>162</v>
      </c>
      <c r="AG2" s="278" t="s">
        <v>163</v>
      </c>
      <c r="AH2" s="280" t="s">
        <v>164</v>
      </c>
      <c r="AJ2" s="281" t="s">
        <v>151</v>
      </c>
      <c r="AK2" s="281" t="s">
        <v>152</v>
      </c>
      <c r="AL2" s="281" t="s">
        <v>0</v>
      </c>
      <c r="AM2" s="273" t="s">
        <v>153</v>
      </c>
      <c r="AN2" s="273"/>
      <c r="AO2" s="273"/>
      <c r="AP2" s="273"/>
      <c r="AQ2" s="273"/>
      <c r="AR2" s="273"/>
      <c r="AS2" s="273"/>
      <c r="AT2" s="273"/>
      <c r="AU2" s="273"/>
      <c r="AV2" s="273"/>
      <c r="AW2" s="426" t="s">
        <v>316</v>
      </c>
      <c r="AX2" s="426"/>
      <c r="AY2" s="426"/>
      <c r="AZ2" s="426"/>
      <c r="BA2" s="104"/>
      <c r="BB2" s="425" t="s">
        <v>798</v>
      </c>
      <c r="BC2" s="425"/>
      <c r="BD2" s="425"/>
      <c r="BE2" s="425"/>
      <c r="BF2" s="425"/>
      <c r="BG2" s="425"/>
      <c r="BH2" s="276" t="s">
        <v>155</v>
      </c>
      <c r="BI2" s="276" t="s">
        <v>156</v>
      </c>
      <c r="BJ2" s="276" t="s">
        <v>157</v>
      </c>
      <c r="BK2" s="270" t="s">
        <v>158</v>
      </c>
      <c r="BL2" s="270" t="s">
        <v>159</v>
      </c>
      <c r="BM2" s="270" t="s">
        <v>160</v>
      </c>
      <c r="BN2" s="278" t="s">
        <v>161</v>
      </c>
      <c r="BO2" s="278" t="s">
        <v>162</v>
      </c>
      <c r="BP2" s="278" t="s">
        <v>163</v>
      </c>
      <c r="BQ2" s="280" t="s">
        <v>164</v>
      </c>
    </row>
    <row r="3" spans="1:69" ht="60">
      <c r="A3" s="282"/>
      <c r="B3" s="282"/>
      <c r="C3" s="282"/>
      <c r="D3" s="63" t="s">
        <v>118</v>
      </c>
      <c r="E3" s="63" t="s">
        <v>22</v>
      </c>
      <c r="F3" s="63" t="s">
        <v>55</v>
      </c>
      <c r="G3" s="63" t="s">
        <v>167</v>
      </c>
      <c r="H3" s="63" t="s">
        <v>168</v>
      </c>
      <c r="I3" s="63" t="s">
        <v>49</v>
      </c>
      <c r="J3" s="63" t="s">
        <v>111</v>
      </c>
      <c r="K3" s="63" t="s">
        <v>96</v>
      </c>
      <c r="L3" s="63" t="s">
        <v>14</v>
      </c>
      <c r="M3" s="63" t="s">
        <v>120</v>
      </c>
      <c r="N3" s="64" t="s">
        <v>103</v>
      </c>
      <c r="O3" s="64" t="s">
        <v>14</v>
      </c>
      <c r="P3" s="64" t="s">
        <v>120</v>
      </c>
      <c r="Q3" s="64" t="s">
        <v>34</v>
      </c>
      <c r="R3" s="64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277"/>
      <c r="Z3" s="277"/>
      <c r="AA3" s="277"/>
      <c r="AB3" s="271"/>
      <c r="AC3" s="271"/>
      <c r="AD3" s="271"/>
      <c r="AE3" s="279"/>
      <c r="AF3" s="279"/>
      <c r="AG3" s="279"/>
      <c r="AH3" s="280"/>
      <c r="AJ3" s="282"/>
      <c r="AK3" s="282"/>
      <c r="AL3" s="282"/>
      <c r="AM3" s="63" t="s">
        <v>118</v>
      </c>
      <c r="AN3" s="63" t="s">
        <v>22</v>
      </c>
      <c r="AO3" s="63" t="s">
        <v>55</v>
      </c>
      <c r="AP3" s="63" t="s">
        <v>167</v>
      </c>
      <c r="AQ3" s="63" t="s">
        <v>168</v>
      </c>
      <c r="AR3" s="63" t="s">
        <v>49</v>
      </c>
      <c r="AS3" s="63" t="s">
        <v>111</v>
      </c>
      <c r="AT3" s="63" t="s">
        <v>96</v>
      </c>
      <c r="AU3" s="63" t="s">
        <v>14</v>
      </c>
      <c r="AV3" s="63" t="s">
        <v>120</v>
      </c>
      <c r="AW3" s="98" t="s">
        <v>103</v>
      </c>
      <c r="AX3" s="98" t="s">
        <v>14</v>
      </c>
      <c r="AY3" s="98" t="s">
        <v>120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277"/>
      <c r="BI3" s="277"/>
      <c r="BJ3" s="277"/>
      <c r="BK3" s="271"/>
      <c r="BL3" s="271"/>
      <c r="BM3" s="271"/>
      <c r="BN3" s="279"/>
      <c r="BO3" s="279"/>
      <c r="BP3" s="279"/>
      <c r="BQ3" s="280"/>
    </row>
    <row r="4" spans="1:69" ht="23.1" customHeight="1">
      <c r="A4" s="141">
        <v>1</v>
      </c>
      <c r="B4" s="142">
        <v>23240071</v>
      </c>
      <c r="C4" s="81" t="s">
        <v>579</v>
      </c>
      <c r="D4" s="68">
        <f t="shared" ref="D4:D28" si="0">ROUND(IF(AM4=0,0,MIN(MAX(AM4,40),99)),0)</f>
        <v>97</v>
      </c>
      <c r="E4" s="68">
        <f t="shared" ref="E4:E28" si="1">ROUND(IF(AN4=0,0,MIN(MAX(AN4,40),99)),0)</f>
        <v>95</v>
      </c>
      <c r="F4" s="68">
        <f t="shared" ref="F4:F28" si="2">ROUND(IF(AO4=0,0,MIN(MAX(AO4,40),99)),0)</f>
        <v>97</v>
      </c>
      <c r="G4" s="68">
        <f t="shared" ref="G4:G28" si="3">ROUND(IF(AP4=0,0,MIN(MAX(AP4,40),99)),0)</f>
        <v>99</v>
      </c>
      <c r="H4" s="68">
        <f t="shared" ref="H4:H28" si="4">ROUND(IF(AQ4=0,0,MIN(MAX(AQ4,40),99)),0)</f>
        <v>94</v>
      </c>
      <c r="I4" s="68">
        <f t="shared" ref="I4:I28" si="5">ROUND(IF(AR4=0,0,MIN(MAX(AR4,40),99)),0)</f>
        <v>99</v>
      </c>
      <c r="J4" s="68">
        <f t="shared" ref="J4:J28" si="6">ROUND(IF(AS4=0,0,MIN(MAX(AS4,40),99)),0)</f>
        <v>95</v>
      </c>
      <c r="K4" s="68">
        <f t="shared" ref="K4:K28" si="7">ROUND(IF(AT4=0,0,MIN(MAX(AT4,40),99)),0)</f>
        <v>97</v>
      </c>
      <c r="L4" s="68">
        <f t="shared" ref="L4:L28" si="8">ROUND(IF(AU4=0,0,MIN(MAX(AU4,40),99)),0)</f>
        <v>99</v>
      </c>
      <c r="M4" s="68">
        <f t="shared" ref="M4:M28" si="9">ROUND(IF(AV4=0,0,MIN(MAX(AV4,40),99)),0)</f>
        <v>98</v>
      </c>
      <c r="N4" s="69">
        <f t="shared" ref="N4:N28" si="10">ROUND(IF(AW4=0,0,MIN(MAX(AW4,40),99)),0)</f>
        <v>99</v>
      </c>
      <c r="O4" s="69">
        <f t="shared" ref="O4:O28" si="11">ROUND(IF(AX4=0,0,MIN(MAX(AX4,40),99)),0)</f>
        <v>99</v>
      </c>
      <c r="P4" s="69">
        <f t="shared" ref="P4:P28" si="12">ROUND(IF(AY4=0,0,MIN(MAX(AY4,40),99)),0)</f>
        <v>98</v>
      </c>
      <c r="Q4" s="69">
        <f t="shared" ref="Q4:Q28" si="13">ROUND(IF(AZ4=0,0,MIN(MAX(AZ4,40),99)),0)</f>
        <v>95</v>
      </c>
      <c r="R4" s="69">
        <f t="shared" ref="R4:R28" si="14">ROUND(IF(BA4=0,0,MIN(MAX(BA4,40),99)),0)</f>
        <v>90</v>
      </c>
      <c r="S4" s="234">
        <f t="shared" ref="S4:S28" si="15">ROUND(IF(BB4=0,0,MIN(MAX(BB4,40),99)),0)</f>
        <v>93</v>
      </c>
      <c r="T4" s="234">
        <f t="shared" ref="T4:T28" si="16">ROUND(IF(BC4=0,0,MIN(MAX(BC4,40),99)),0)</f>
        <v>88</v>
      </c>
      <c r="U4" s="234">
        <f t="shared" ref="U4:U28" si="17">ROUND(IF(BD4=0,0,MIN(MAX(BD4,40),99)),0)</f>
        <v>78</v>
      </c>
      <c r="V4" s="234">
        <f t="shared" ref="V4:V28" si="18">ROUND(IF(BE4=0,0,MIN(MAX(BE4,40),99)),0)</f>
        <v>88</v>
      </c>
      <c r="W4" s="234">
        <f t="shared" ref="W4:W28" si="19">ROUND(IF(BF4=0,0,MIN(MAX(BF4,40),99)),0)</f>
        <v>73</v>
      </c>
      <c r="X4" s="234">
        <f t="shared" ref="X4:X28" si="20">ROUND(IF(BG4=0,0,MIN(MAX(BG4,40),99)),0)</f>
        <v>63</v>
      </c>
      <c r="Y4" s="70">
        <f t="shared" ref="Y4:Y28" si="21">SUM(D4:R4)</f>
        <v>1451</v>
      </c>
      <c r="Z4" s="71">
        <f t="shared" ref="Z4:Z28" si="22">AVERAGE(D4:R4)</f>
        <v>96.733333333333334</v>
      </c>
      <c r="AA4" s="101">
        <f t="shared" ref="AA4:AA28" si="23">RANK(Y4,$Y$4:$Y$28)</f>
        <v>1</v>
      </c>
      <c r="AB4" s="73" t="s">
        <v>806</v>
      </c>
      <c r="AC4" s="73" t="s">
        <v>806</v>
      </c>
      <c r="AD4" s="73" t="s">
        <v>806</v>
      </c>
      <c r="AE4" s="74">
        <v>0</v>
      </c>
      <c r="AF4" s="74">
        <v>0</v>
      </c>
      <c r="AG4" s="74">
        <v>0</v>
      </c>
      <c r="AH4" s="75"/>
      <c r="AJ4" s="141">
        <v>19</v>
      </c>
      <c r="AK4" s="142">
        <v>23240071</v>
      </c>
      <c r="AL4" s="81" t="s">
        <v>579</v>
      </c>
      <c r="AM4" s="68">
        <v>97.3</v>
      </c>
      <c r="AN4" s="68">
        <v>94.9</v>
      </c>
      <c r="AO4" s="68">
        <v>97</v>
      </c>
      <c r="AP4" s="68">
        <v>99</v>
      </c>
      <c r="AQ4" s="68">
        <v>94</v>
      </c>
      <c r="AR4" s="68">
        <v>99</v>
      </c>
      <c r="AS4" s="68">
        <v>94.5</v>
      </c>
      <c r="AT4" s="68">
        <v>97.1</v>
      </c>
      <c r="AU4" s="68">
        <v>100</v>
      </c>
      <c r="AV4" s="68">
        <v>98.3</v>
      </c>
      <c r="AW4" s="76">
        <v>100</v>
      </c>
      <c r="AX4" s="76">
        <v>100</v>
      </c>
      <c r="AY4" s="76">
        <v>98</v>
      </c>
      <c r="AZ4" s="76">
        <v>95</v>
      </c>
      <c r="BA4" s="76">
        <v>90</v>
      </c>
      <c r="BB4" s="240">
        <v>92.5</v>
      </c>
      <c r="BC4" s="240">
        <v>87.5</v>
      </c>
      <c r="BD4" s="240">
        <v>77.5</v>
      </c>
      <c r="BE4" s="240">
        <v>87.5</v>
      </c>
      <c r="BF4" s="240">
        <v>72.5</v>
      </c>
      <c r="BG4" s="240">
        <v>62.5</v>
      </c>
      <c r="BH4" s="70">
        <f t="shared" ref="BH4:BH28" si="24">SUM(AM4:BA4)</f>
        <v>1454.1</v>
      </c>
      <c r="BI4" s="71">
        <f t="shared" ref="BI4:BI28" si="25">AVERAGE(AM4:BA4)</f>
        <v>96.94</v>
      </c>
      <c r="BJ4" s="101" t="e">
        <f t="shared" ref="BJ4:BJ28" si="26">RANK(BH4,$Y$4:$Y$28)</f>
        <v>#N/A</v>
      </c>
      <c r="BK4" s="73"/>
      <c r="BL4" s="73"/>
      <c r="BM4" s="73"/>
      <c r="BN4" s="74"/>
      <c r="BO4" s="74"/>
      <c r="BP4" s="74"/>
      <c r="BQ4" s="75"/>
    </row>
    <row r="5" spans="1:69" ht="23.1" customHeight="1">
      <c r="A5" s="141">
        <v>2</v>
      </c>
      <c r="B5" s="142">
        <v>23240039</v>
      </c>
      <c r="C5" s="146" t="s">
        <v>576</v>
      </c>
      <c r="D5" s="68">
        <f t="shared" si="0"/>
        <v>99</v>
      </c>
      <c r="E5" s="68">
        <f t="shared" si="1"/>
        <v>95</v>
      </c>
      <c r="F5" s="68">
        <f t="shared" si="2"/>
        <v>97</v>
      </c>
      <c r="G5" s="68">
        <f t="shared" si="3"/>
        <v>96</v>
      </c>
      <c r="H5" s="68">
        <f t="shared" si="4"/>
        <v>94</v>
      </c>
      <c r="I5" s="68">
        <f t="shared" si="5"/>
        <v>99</v>
      </c>
      <c r="J5" s="68">
        <f t="shared" si="6"/>
        <v>95</v>
      </c>
      <c r="K5" s="68">
        <f t="shared" si="7"/>
        <v>98</v>
      </c>
      <c r="L5" s="68">
        <f t="shared" si="8"/>
        <v>91</v>
      </c>
      <c r="M5" s="68">
        <f t="shared" si="9"/>
        <v>91</v>
      </c>
      <c r="N5" s="69">
        <f t="shared" si="10"/>
        <v>99</v>
      </c>
      <c r="O5" s="69">
        <f t="shared" si="11"/>
        <v>97</v>
      </c>
      <c r="P5" s="69">
        <f t="shared" si="12"/>
        <v>98</v>
      </c>
      <c r="Q5" s="69">
        <f t="shared" si="13"/>
        <v>95</v>
      </c>
      <c r="R5" s="69">
        <f t="shared" si="14"/>
        <v>85</v>
      </c>
      <c r="S5" s="234">
        <f t="shared" si="15"/>
        <v>95</v>
      </c>
      <c r="T5" s="234">
        <f t="shared" si="16"/>
        <v>95</v>
      </c>
      <c r="U5" s="234">
        <f t="shared" si="17"/>
        <v>80</v>
      </c>
      <c r="V5" s="234">
        <f t="shared" si="18"/>
        <v>93</v>
      </c>
      <c r="W5" s="234">
        <f t="shared" si="19"/>
        <v>78</v>
      </c>
      <c r="X5" s="234">
        <f t="shared" si="20"/>
        <v>75</v>
      </c>
      <c r="Y5" s="70">
        <f t="shared" si="21"/>
        <v>1429</v>
      </c>
      <c r="Z5" s="71">
        <f t="shared" si="22"/>
        <v>95.266666666666666</v>
      </c>
      <c r="AA5" s="101">
        <f t="shared" si="23"/>
        <v>2</v>
      </c>
      <c r="AB5" s="73" t="s">
        <v>806</v>
      </c>
      <c r="AC5" s="73" t="s">
        <v>806</v>
      </c>
      <c r="AD5" s="73" t="s">
        <v>806</v>
      </c>
      <c r="AE5" s="74">
        <v>0</v>
      </c>
      <c r="AF5" s="74">
        <v>0</v>
      </c>
      <c r="AG5" s="74">
        <v>0</v>
      </c>
      <c r="AH5" s="75"/>
      <c r="AJ5" s="141">
        <v>16</v>
      </c>
      <c r="AK5" s="142">
        <v>23240039</v>
      </c>
      <c r="AL5" s="146" t="s">
        <v>576</v>
      </c>
      <c r="AM5" s="68">
        <v>99.7</v>
      </c>
      <c r="AN5" s="68">
        <v>94.9</v>
      </c>
      <c r="AO5" s="68">
        <v>97</v>
      </c>
      <c r="AP5" s="68">
        <v>96</v>
      </c>
      <c r="AQ5" s="68">
        <v>93.9</v>
      </c>
      <c r="AR5" s="68">
        <v>99</v>
      </c>
      <c r="AS5" s="68">
        <v>95.4</v>
      </c>
      <c r="AT5" s="68">
        <v>98.4</v>
      </c>
      <c r="AU5" s="68">
        <v>91</v>
      </c>
      <c r="AV5" s="68">
        <v>90.8</v>
      </c>
      <c r="AW5" s="76">
        <v>100</v>
      </c>
      <c r="AX5" s="76">
        <v>97</v>
      </c>
      <c r="AY5" s="76">
        <v>98</v>
      </c>
      <c r="AZ5" s="76">
        <v>95</v>
      </c>
      <c r="BA5" s="76">
        <v>85</v>
      </c>
      <c r="BB5" s="240">
        <v>95</v>
      </c>
      <c r="BC5" s="240">
        <v>95</v>
      </c>
      <c r="BD5" s="240">
        <v>80</v>
      </c>
      <c r="BE5" s="240">
        <v>92.5</v>
      </c>
      <c r="BF5" s="240">
        <v>77.5</v>
      </c>
      <c r="BG5" s="240">
        <v>75</v>
      </c>
      <c r="BH5" s="70">
        <f t="shared" si="24"/>
        <v>1431.1</v>
      </c>
      <c r="BI5" s="71">
        <f t="shared" si="25"/>
        <v>95.406666666666666</v>
      </c>
      <c r="BJ5" s="101" t="e">
        <f t="shared" si="26"/>
        <v>#N/A</v>
      </c>
      <c r="BK5" s="73"/>
      <c r="BL5" s="73"/>
      <c r="BM5" s="73"/>
      <c r="BN5" s="74"/>
      <c r="BO5" s="74"/>
      <c r="BP5" s="74"/>
      <c r="BQ5" s="75"/>
    </row>
    <row r="6" spans="1:69" ht="23.1" customHeight="1">
      <c r="A6" s="141">
        <v>3</v>
      </c>
      <c r="B6" s="142">
        <v>23240145</v>
      </c>
      <c r="C6" s="81" t="s">
        <v>565</v>
      </c>
      <c r="D6" s="68">
        <f t="shared" si="0"/>
        <v>88</v>
      </c>
      <c r="E6" s="68">
        <f t="shared" si="1"/>
        <v>95</v>
      </c>
      <c r="F6" s="68">
        <f t="shared" si="2"/>
        <v>90</v>
      </c>
      <c r="G6" s="68">
        <f t="shared" si="3"/>
        <v>91</v>
      </c>
      <c r="H6" s="68">
        <f t="shared" si="4"/>
        <v>95</v>
      </c>
      <c r="I6" s="68">
        <f t="shared" si="5"/>
        <v>95</v>
      </c>
      <c r="J6" s="68">
        <f t="shared" si="6"/>
        <v>95</v>
      </c>
      <c r="K6" s="68">
        <f t="shared" si="7"/>
        <v>94</v>
      </c>
      <c r="L6" s="68">
        <f t="shared" si="8"/>
        <v>93</v>
      </c>
      <c r="M6" s="68">
        <f t="shared" si="9"/>
        <v>95</v>
      </c>
      <c r="N6" s="69">
        <f t="shared" si="10"/>
        <v>85</v>
      </c>
      <c r="O6" s="69">
        <f t="shared" si="11"/>
        <v>95</v>
      </c>
      <c r="P6" s="69">
        <f t="shared" si="12"/>
        <v>95</v>
      </c>
      <c r="Q6" s="69">
        <f t="shared" si="13"/>
        <v>95</v>
      </c>
      <c r="R6" s="69">
        <f t="shared" si="14"/>
        <v>85</v>
      </c>
      <c r="S6" s="234">
        <f t="shared" si="15"/>
        <v>63</v>
      </c>
      <c r="T6" s="234">
        <f t="shared" si="16"/>
        <v>95</v>
      </c>
      <c r="U6" s="234">
        <f t="shared" si="17"/>
        <v>70</v>
      </c>
      <c r="V6" s="234">
        <f t="shared" si="18"/>
        <v>83</v>
      </c>
      <c r="W6" s="234">
        <f t="shared" si="19"/>
        <v>68</v>
      </c>
      <c r="X6" s="234">
        <f t="shared" si="20"/>
        <v>73</v>
      </c>
      <c r="Y6" s="70">
        <f t="shared" si="21"/>
        <v>1386</v>
      </c>
      <c r="Z6" s="71">
        <f t="shared" si="22"/>
        <v>92.4</v>
      </c>
      <c r="AA6" s="101">
        <f t="shared" si="23"/>
        <v>3</v>
      </c>
      <c r="AB6" s="73" t="s">
        <v>806</v>
      </c>
      <c r="AC6" s="73" t="s">
        <v>806</v>
      </c>
      <c r="AD6" s="73" t="s">
        <v>806</v>
      </c>
      <c r="AE6" s="74">
        <v>0</v>
      </c>
      <c r="AF6" s="74">
        <v>0</v>
      </c>
      <c r="AG6" s="74">
        <v>0</v>
      </c>
      <c r="AH6" s="75"/>
      <c r="AJ6" s="141">
        <v>5</v>
      </c>
      <c r="AK6" s="142">
        <v>23240145</v>
      </c>
      <c r="AL6" s="81" t="s">
        <v>565</v>
      </c>
      <c r="AM6" s="68">
        <v>87.5</v>
      </c>
      <c r="AN6" s="68">
        <v>94.9</v>
      </c>
      <c r="AO6" s="68">
        <v>90</v>
      </c>
      <c r="AP6" s="68">
        <v>90.5</v>
      </c>
      <c r="AQ6" s="68">
        <v>94.9</v>
      </c>
      <c r="AR6" s="68">
        <v>95</v>
      </c>
      <c r="AS6" s="68">
        <v>95.4</v>
      </c>
      <c r="AT6" s="68">
        <v>93.7</v>
      </c>
      <c r="AU6" s="68">
        <v>93.4</v>
      </c>
      <c r="AV6" s="68">
        <v>95</v>
      </c>
      <c r="AW6" s="76">
        <v>85</v>
      </c>
      <c r="AX6" s="76">
        <v>95</v>
      </c>
      <c r="AY6" s="76">
        <v>95</v>
      </c>
      <c r="AZ6" s="76">
        <v>95</v>
      </c>
      <c r="BA6" s="76">
        <v>85</v>
      </c>
      <c r="BB6" s="240">
        <v>62.5</v>
      </c>
      <c r="BC6" s="240">
        <v>95</v>
      </c>
      <c r="BD6" s="240">
        <v>70</v>
      </c>
      <c r="BE6" s="240">
        <v>82.5</v>
      </c>
      <c r="BF6" s="240">
        <v>67.5</v>
      </c>
      <c r="BG6" s="240">
        <v>72.5</v>
      </c>
      <c r="BH6" s="70">
        <f t="shared" si="24"/>
        <v>1385.3</v>
      </c>
      <c r="BI6" s="71">
        <f t="shared" si="25"/>
        <v>92.353333333333325</v>
      </c>
      <c r="BJ6" s="101" t="e">
        <f t="shared" si="26"/>
        <v>#N/A</v>
      </c>
      <c r="BK6" s="73"/>
      <c r="BL6" s="73"/>
      <c r="BM6" s="73"/>
      <c r="BN6" s="74"/>
      <c r="BO6" s="74"/>
      <c r="BP6" s="74"/>
      <c r="BQ6" s="75"/>
    </row>
    <row r="7" spans="1:69" ht="23.1" customHeight="1">
      <c r="A7" s="141">
        <v>4</v>
      </c>
      <c r="B7" s="142">
        <v>23240161</v>
      </c>
      <c r="C7" s="81" t="s">
        <v>566</v>
      </c>
      <c r="D7" s="68">
        <f t="shared" si="0"/>
        <v>97</v>
      </c>
      <c r="E7" s="68">
        <f t="shared" si="1"/>
        <v>93</v>
      </c>
      <c r="F7" s="68">
        <f t="shared" si="2"/>
        <v>96</v>
      </c>
      <c r="G7" s="68">
        <f t="shared" si="3"/>
        <v>99</v>
      </c>
      <c r="H7" s="68">
        <f t="shared" si="4"/>
        <v>80</v>
      </c>
      <c r="I7" s="68">
        <f t="shared" si="5"/>
        <v>97</v>
      </c>
      <c r="J7" s="68">
        <f t="shared" si="6"/>
        <v>81</v>
      </c>
      <c r="K7" s="68">
        <f t="shared" si="7"/>
        <v>94</v>
      </c>
      <c r="L7" s="68">
        <f t="shared" si="8"/>
        <v>92</v>
      </c>
      <c r="M7" s="68">
        <f t="shared" si="9"/>
        <v>90</v>
      </c>
      <c r="N7" s="69">
        <f t="shared" si="10"/>
        <v>79</v>
      </c>
      <c r="O7" s="69">
        <f t="shared" si="11"/>
        <v>98</v>
      </c>
      <c r="P7" s="69">
        <f t="shared" si="12"/>
        <v>90</v>
      </c>
      <c r="Q7" s="69">
        <f t="shared" si="13"/>
        <v>75</v>
      </c>
      <c r="R7" s="69">
        <f t="shared" si="14"/>
        <v>90</v>
      </c>
      <c r="S7" s="234">
        <f t="shared" si="15"/>
        <v>99</v>
      </c>
      <c r="T7" s="234">
        <f t="shared" si="16"/>
        <v>93</v>
      </c>
      <c r="U7" s="234">
        <f t="shared" si="17"/>
        <v>73</v>
      </c>
      <c r="V7" s="234">
        <f t="shared" si="18"/>
        <v>99</v>
      </c>
      <c r="W7" s="234">
        <f t="shared" si="19"/>
        <v>75</v>
      </c>
      <c r="X7" s="234">
        <f t="shared" si="20"/>
        <v>80</v>
      </c>
      <c r="Y7" s="70">
        <f t="shared" si="21"/>
        <v>1351</v>
      </c>
      <c r="Z7" s="71">
        <f t="shared" si="22"/>
        <v>90.066666666666663</v>
      </c>
      <c r="AA7" s="101">
        <f t="shared" si="23"/>
        <v>4</v>
      </c>
      <c r="AB7" s="73" t="s">
        <v>805</v>
      </c>
      <c r="AC7" s="73" t="s">
        <v>805</v>
      </c>
      <c r="AD7" s="73" t="s">
        <v>805</v>
      </c>
      <c r="AE7" s="74">
        <v>0</v>
      </c>
      <c r="AF7" s="74">
        <v>0</v>
      </c>
      <c r="AG7" s="74">
        <v>0</v>
      </c>
      <c r="AH7" s="75"/>
      <c r="AJ7" s="141">
        <v>6</v>
      </c>
      <c r="AK7" s="142">
        <v>23240161</v>
      </c>
      <c r="AL7" s="81" t="s">
        <v>566</v>
      </c>
      <c r="AM7" s="68">
        <v>96.9</v>
      </c>
      <c r="AN7" s="68">
        <v>92.5</v>
      </c>
      <c r="AO7" s="68">
        <v>96</v>
      </c>
      <c r="AP7" s="68">
        <v>98.5</v>
      </c>
      <c r="AQ7" s="68">
        <v>79.5</v>
      </c>
      <c r="AR7" s="68">
        <v>97</v>
      </c>
      <c r="AS7" s="68">
        <v>80.5</v>
      </c>
      <c r="AT7" s="68">
        <v>93.6</v>
      </c>
      <c r="AU7" s="68">
        <v>92</v>
      </c>
      <c r="AV7" s="68">
        <v>89.6</v>
      </c>
      <c r="AW7" s="76">
        <v>79</v>
      </c>
      <c r="AX7" s="76">
        <v>98</v>
      </c>
      <c r="AY7" s="76">
        <v>90</v>
      </c>
      <c r="AZ7" s="76">
        <v>75</v>
      </c>
      <c r="BA7" s="76">
        <v>90</v>
      </c>
      <c r="BB7" s="240">
        <v>100</v>
      </c>
      <c r="BC7" s="240">
        <v>92.5</v>
      </c>
      <c r="BD7" s="240">
        <v>72.5</v>
      </c>
      <c r="BE7" s="240">
        <v>100</v>
      </c>
      <c r="BF7" s="240">
        <v>75</v>
      </c>
      <c r="BG7" s="240">
        <v>80</v>
      </c>
      <c r="BH7" s="70">
        <f t="shared" si="24"/>
        <v>1348.1</v>
      </c>
      <c r="BI7" s="71">
        <f t="shared" si="25"/>
        <v>89.873333333333321</v>
      </c>
      <c r="BJ7" s="101" t="e">
        <f t="shared" si="26"/>
        <v>#N/A</v>
      </c>
      <c r="BK7" s="73"/>
      <c r="BL7" s="73"/>
      <c r="BM7" s="73"/>
      <c r="BN7" s="74"/>
      <c r="BO7" s="74"/>
      <c r="BP7" s="74"/>
      <c r="BQ7" s="75"/>
    </row>
    <row r="8" spans="1:69" ht="23.1" customHeight="1">
      <c r="A8" s="141">
        <v>5</v>
      </c>
      <c r="B8" s="142">
        <v>23240134</v>
      </c>
      <c r="C8" s="145" t="s">
        <v>580</v>
      </c>
      <c r="D8" s="68">
        <f t="shared" si="0"/>
        <v>98</v>
      </c>
      <c r="E8" s="68">
        <f t="shared" si="1"/>
        <v>92</v>
      </c>
      <c r="F8" s="68">
        <f t="shared" si="2"/>
        <v>94</v>
      </c>
      <c r="G8" s="68">
        <f t="shared" si="3"/>
        <v>88</v>
      </c>
      <c r="H8" s="68">
        <f t="shared" si="4"/>
        <v>87</v>
      </c>
      <c r="I8" s="68">
        <f t="shared" si="5"/>
        <v>89</v>
      </c>
      <c r="J8" s="68">
        <f t="shared" si="6"/>
        <v>87</v>
      </c>
      <c r="K8" s="68">
        <f t="shared" si="7"/>
        <v>92</v>
      </c>
      <c r="L8" s="68">
        <f t="shared" si="8"/>
        <v>81</v>
      </c>
      <c r="M8" s="68">
        <f t="shared" si="9"/>
        <v>78</v>
      </c>
      <c r="N8" s="69">
        <f t="shared" si="10"/>
        <v>85</v>
      </c>
      <c r="O8" s="69">
        <f t="shared" si="11"/>
        <v>95</v>
      </c>
      <c r="P8" s="69">
        <f t="shared" si="12"/>
        <v>97</v>
      </c>
      <c r="Q8" s="69">
        <f t="shared" si="13"/>
        <v>90</v>
      </c>
      <c r="R8" s="69">
        <f t="shared" si="14"/>
        <v>85</v>
      </c>
      <c r="S8" s="234">
        <f t="shared" si="15"/>
        <v>95</v>
      </c>
      <c r="T8" s="234">
        <f t="shared" si="16"/>
        <v>85</v>
      </c>
      <c r="U8" s="234">
        <f t="shared" si="17"/>
        <v>58</v>
      </c>
      <c r="V8" s="234">
        <f t="shared" si="18"/>
        <v>85</v>
      </c>
      <c r="W8" s="234">
        <f t="shared" si="19"/>
        <v>68</v>
      </c>
      <c r="X8" s="234">
        <f t="shared" si="20"/>
        <v>75</v>
      </c>
      <c r="Y8" s="70">
        <f t="shared" si="21"/>
        <v>1338</v>
      </c>
      <c r="Z8" s="71">
        <f t="shared" si="22"/>
        <v>89.2</v>
      </c>
      <c r="AA8" s="101">
        <f t="shared" si="23"/>
        <v>5</v>
      </c>
      <c r="AB8" s="73" t="s">
        <v>806</v>
      </c>
      <c r="AC8" s="73" t="s">
        <v>806</v>
      </c>
      <c r="AD8" s="73" t="s">
        <v>806</v>
      </c>
      <c r="AE8" s="74">
        <v>4</v>
      </c>
      <c r="AF8" s="74">
        <v>0</v>
      </c>
      <c r="AG8" s="74">
        <v>17</v>
      </c>
      <c r="AH8" s="75"/>
      <c r="AJ8" s="141">
        <v>20</v>
      </c>
      <c r="AK8" s="142">
        <v>23240134</v>
      </c>
      <c r="AL8" s="145" t="s">
        <v>580</v>
      </c>
      <c r="AM8" s="68">
        <v>97.7</v>
      </c>
      <c r="AN8" s="68">
        <v>91.9</v>
      </c>
      <c r="AO8" s="68">
        <v>94</v>
      </c>
      <c r="AP8" s="68">
        <v>88.1</v>
      </c>
      <c r="AQ8" s="68">
        <v>87</v>
      </c>
      <c r="AR8" s="68">
        <v>88.5</v>
      </c>
      <c r="AS8" s="68">
        <v>87</v>
      </c>
      <c r="AT8" s="68">
        <v>92.199999999999989</v>
      </c>
      <c r="AU8" s="68">
        <v>81</v>
      </c>
      <c r="AV8" s="68">
        <v>77.5</v>
      </c>
      <c r="AW8" s="76">
        <v>85</v>
      </c>
      <c r="AX8" s="76">
        <v>95</v>
      </c>
      <c r="AY8" s="76">
        <v>97</v>
      </c>
      <c r="AZ8" s="76">
        <v>90</v>
      </c>
      <c r="BA8" s="76">
        <v>85</v>
      </c>
      <c r="BB8" s="240">
        <v>95</v>
      </c>
      <c r="BC8" s="240">
        <v>85</v>
      </c>
      <c r="BD8" s="240">
        <v>57.5</v>
      </c>
      <c r="BE8" s="240">
        <v>85</v>
      </c>
      <c r="BF8" s="240">
        <v>67.5</v>
      </c>
      <c r="BG8" s="240">
        <v>75</v>
      </c>
      <c r="BH8" s="70">
        <f t="shared" si="24"/>
        <v>1336.9</v>
      </c>
      <c r="BI8" s="71">
        <f t="shared" si="25"/>
        <v>89.126666666666679</v>
      </c>
      <c r="BJ8" s="101" t="e">
        <f t="shared" si="26"/>
        <v>#N/A</v>
      </c>
      <c r="BK8" s="73"/>
      <c r="BL8" s="73"/>
      <c r="BM8" s="73"/>
      <c r="BN8" s="74"/>
      <c r="BO8" s="74"/>
      <c r="BP8" s="74"/>
      <c r="BQ8" s="75"/>
    </row>
    <row r="9" spans="1:69" ht="23.1" customHeight="1">
      <c r="A9" s="141">
        <v>6</v>
      </c>
      <c r="B9" s="142">
        <v>23240114</v>
      </c>
      <c r="C9" s="81" t="s">
        <v>574</v>
      </c>
      <c r="D9" s="68">
        <f t="shared" si="0"/>
        <v>91</v>
      </c>
      <c r="E9" s="68">
        <f t="shared" si="1"/>
        <v>85</v>
      </c>
      <c r="F9" s="68">
        <f t="shared" si="2"/>
        <v>95</v>
      </c>
      <c r="G9" s="68">
        <f t="shared" si="3"/>
        <v>83</v>
      </c>
      <c r="H9" s="68">
        <f t="shared" si="4"/>
        <v>84</v>
      </c>
      <c r="I9" s="68">
        <f t="shared" si="5"/>
        <v>90</v>
      </c>
      <c r="J9" s="68">
        <f t="shared" si="6"/>
        <v>86</v>
      </c>
      <c r="K9" s="68">
        <f t="shared" si="7"/>
        <v>94</v>
      </c>
      <c r="L9" s="68">
        <f t="shared" si="8"/>
        <v>88</v>
      </c>
      <c r="M9" s="68">
        <f t="shared" si="9"/>
        <v>75</v>
      </c>
      <c r="N9" s="69">
        <f t="shared" si="10"/>
        <v>80</v>
      </c>
      <c r="O9" s="69">
        <f t="shared" si="11"/>
        <v>97</v>
      </c>
      <c r="P9" s="69">
        <f t="shared" si="12"/>
        <v>90</v>
      </c>
      <c r="Q9" s="69">
        <f t="shared" si="13"/>
        <v>85</v>
      </c>
      <c r="R9" s="69">
        <f t="shared" si="14"/>
        <v>85</v>
      </c>
      <c r="S9" s="234">
        <f t="shared" si="15"/>
        <v>98</v>
      </c>
      <c r="T9" s="234">
        <f t="shared" si="16"/>
        <v>90</v>
      </c>
      <c r="U9" s="234">
        <f t="shared" si="17"/>
        <v>63</v>
      </c>
      <c r="V9" s="234">
        <f t="shared" si="18"/>
        <v>95</v>
      </c>
      <c r="W9" s="234">
        <f t="shared" si="19"/>
        <v>70</v>
      </c>
      <c r="X9" s="234">
        <f t="shared" si="20"/>
        <v>73</v>
      </c>
      <c r="Y9" s="70">
        <f t="shared" si="21"/>
        <v>1308</v>
      </c>
      <c r="Z9" s="71">
        <f t="shared" si="22"/>
        <v>87.2</v>
      </c>
      <c r="AA9" s="101">
        <f t="shared" si="23"/>
        <v>6</v>
      </c>
      <c r="AB9" s="73" t="s">
        <v>805</v>
      </c>
      <c r="AC9" s="73" t="s">
        <v>805</v>
      </c>
      <c r="AD9" s="73" t="s">
        <v>805</v>
      </c>
      <c r="AE9" s="74">
        <v>4</v>
      </c>
      <c r="AF9" s="74">
        <v>0</v>
      </c>
      <c r="AG9" s="74">
        <v>0</v>
      </c>
      <c r="AH9" s="75"/>
      <c r="AJ9" s="141">
        <v>14</v>
      </c>
      <c r="AK9" s="142">
        <v>23240114</v>
      </c>
      <c r="AL9" s="81" t="s">
        <v>574</v>
      </c>
      <c r="AM9" s="68">
        <v>90.6</v>
      </c>
      <c r="AN9" s="68">
        <v>84.5</v>
      </c>
      <c r="AO9" s="68">
        <v>95</v>
      </c>
      <c r="AP9" s="68">
        <v>82.8</v>
      </c>
      <c r="AQ9" s="68">
        <v>83.5</v>
      </c>
      <c r="AR9" s="68">
        <v>90</v>
      </c>
      <c r="AS9" s="68">
        <v>85.5</v>
      </c>
      <c r="AT9" s="68">
        <v>93.6</v>
      </c>
      <c r="AU9" s="68">
        <v>88.3</v>
      </c>
      <c r="AV9" s="68">
        <v>74.8</v>
      </c>
      <c r="AW9" s="76">
        <v>80</v>
      </c>
      <c r="AX9" s="76">
        <v>97</v>
      </c>
      <c r="AY9" s="76">
        <v>90</v>
      </c>
      <c r="AZ9" s="76">
        <v>85</v>
      </c>
      <c r="BA9" s="76">
        <v>85</v>
      </c>
      <c r="BB9" s="240">
        <v>97.5</v>
      </c>
      <c r="BC9" s="240">
        <v>90</v>
      </c>
      <c r="BD9" s="240">
        <v>62.5</v>
      </c>
      <c r="BE9" s="240">
        <v>95</v>
      </c>
      <c r="BF9" s="240">
        <v>70</v>
      </c>
      <c r="BG9" s="240">
        <v>72.5</v>
      </c>
      <c r="BH9" s="70">
        <f t="shared" si="24"/>
        <v>1305.5999999999999</v>
      </c>
      <c r="BI9" s="71">
        <f t="shared" si="25"/>
        <v>87.039999999999992</v>
      </c>
      <c r="BJ9" s="101" t="e">
        <f t="shared" si="26"/>
        <v>#N/A</v>
      </c>
      <c r="BK9" s="73"/>
      <c r="BL9" s="73"/>
      <c r="BM9" s="73"/>
      <c r="BN9" s="74"/>
      <c r="BO9" s="74"/>
      <c r="BP9" s="74"/>
      <c r="BQ9" s="75"/>
    </row>
    <row r="10" spans="1:69" ht="23.1" customHeight="1">
      <c r="A10" s="141">
        <v>7</v>
      </c>
      <c r="B10" s="142">
        <v>23240122</v>
      </c>
      <c r="C10" s="145" t="s">
        <v>568</v>
      </c>
      <c r="D10" s="68">
        <f t="shared" si="0"/>
        <v>97</v>
      </c>
      <c r="E10" s="68">
        <f t="shared" si="1"/>
        <v>87</v>
      </c>
      <c r="F10" s="68">
        <f t="shared" si="2"/>
        <v>79</v>
      </c>
      <c r="G10" s="68">
        <f t="shared" si="3"/>
        <v>95</v>
      </c>
      <c r="H10" s="68">
        <f t="shared" si="4"/>
        <v>81</v>
      </c>
      <c r="I10" s="68">
        <f t="shared" si="5"/>
        <v>75</v>
      </c>
      <c r="J10" s="68">
        <f t="shared" si="6"/>
        <v>81</v>
      </c>
      <c r="K10" s="68">
        <f t="shared" si="7"/>
        <v>93</v>
      </c>
      <c r="L10" s="68">
        <f t="shared" si="8"/>
        <v>88</v>
      </c>
      <c r="M10" s="68">
        <f t="shared" si="9"/>
        <v>95</v>
      </c>
      <c r="N10" s="69">
        <f t="shared" si="10"/>
        <v>79</v>
      </c>
      <c r="O10" s="69">
        <f t="shared" si="11"/>
        <v>97</v>
      </c>
      <c r="P10" s="69">
        <f t="shared" si="12"/>
        <v>95</v>
      </c>
      <c r="Q10" s="69">
        <f t="shared" si="13"/>
        <v>80</v>
      </c>
      <c r="R10" s="69">
        <f t="shared" si="14"/>
        <v>85</v>
      </c>
      <c r="S10" s="234">
        <f t="shared" si="15"/>
        <v>95</v>
      </c>
      <c r="T10" s="234">
        <f t="shared" si="16"/>
        <v>93</v>
      </c>
      <c r="U10" s="234">
        <f t="shared" si="17"/>
        <v>70</v>
      </c>
      <c r="V10" s="234">
        <f t="shared" si="18"/>
        <v>95</v>
      </c>
      <c r="W10" s="234">
        <f t="shared" si="19"/>
        <v>70</v>
      </c>
      <c r="X10" s="234">
        <f t="shared" si="20"/>
        <v>80</v>
      </c>
      <c r="Y10" s="70">
        <f t="shared" si="21"/>
        <v>1307</v>
      </c>
      <c r="Z10" s="71">
        <f t="shared" si="22"/>
        <v>87.13333333333334</v>
      </c>
      <c r="AA10" s="101">
        <f t="shared" si="23"/>
        <v>7</v>
      </c>
      <c r="AB10" s="73" t="s">
        <v>805</v>
      </c>
      <c r="AC10" s="73" t="s">
        <v>805</v>
      </c>
      <c r="AD10" s="73" t="s">
        <v>805</v>
      </c>
      <c r="AE10" s="74">
        <v>0</v>
      </c>
      <c r="AF10" s="74">
        <v>0</v>
      </c>
      <c r="AG10" s="74">
        <v>0</v>
      </c>
      <c r="AH10" s="75"/>
      <c r="AJ10" s="141">
        <v>8</v>
      </c>
      <c r="AK10" s="142">
        <v>23240122</v>
      </c>
      <c r="AL10" s="145" t="s">
        <v>568</v>
      </c>
      <c r="AM10" s="68">
        <v>97.3</v>
      </c>
      <c r="AN10" s="68">
        <v>87</v>
      </c>
      <c r="AO10" s="68">
        <v>79</v>
      </c>
      <c r="AP10" s="68">
        <v>95</v>
      </c>
      <c r="AQ10" s="68">
        <v>80.5</v>
      </c>
      <c r="AR10" s="68">
        <v>75</v>
      </c>
      <c r="AS10" s="68">
        <v>80.5</v>
      </c>
      <c r="AT10" s="68">
        <v>93.2</v>
      </c>
      <c r="AU10" s="68">
        <v>87.699999999999989</v>
      </c>
      <c r="AV10" s="68">
        <v>94.8</v>
      </c>
      <c r="AW10" s="76">
        <v>79</v>
      </c>
      <c r="AX10" s="76">
        <v>97</v>
      </c>
      <c r="AY10" s="76">
        <v>95</v>
      </c>
      <c r="AZ10" s="76">
        <v>80</v>
      </c>
      <c r="BA10" s="76">
        <v>85</v>
      </c>
      <c r="BB10" s="240">
        <v>95</v>
      </c>
      <c r="BC10" s="240">
        <v>92.5</v>
      </c>
      <c r="BD10" s="240">
        <v>70</v>
      </c>
      <c r="BE10" s="240">
        <v>95</v>
      </c>
      <c r="BF10" s="240">
        <v>70</v>
      </c>
      <c r="BG10" s="240">
        <v>80</v>
      </c>
      <c r="BH10" s="70">
        <f t="shared" si="24"/>
        <v>1306</v>
      </c>
      <c r="BI10" s="71">
        <f t="shared" si="25"/>
        <v>87.066666666666663</v>
      </c>
      <c r="BJ10" s="101" t="e">
        <f t="shared" si="26"/>
        <v>#N/A</v>
      </c>
      <c r="BK10" s="73"/>
      <c r="BL10" s="73"/>
      <c r="BM10" s="73"/>
      <c r="BN10" s="74"/>
      <c r="BO10" s="74"/>
      <c r="BP10" s="74"/>
      <c r="BQ10" s="75"/>
    </row>
    <row r="11" spans="1:69" ht="23.1" customHeight="1">
      <c r="A11" s="141">
        <v>8</v>
      </c>
      <c r="B11" s="142">
        <v>23240005</v>
      </c>
      <c r="C11" s="81" t="s">
        <v>567</v>
      </c>
      <c r="D11" s="68">
        <f t="shared" si="0"/>
        <v>92</v>
      </c>
      <c r="E11" s="68">
        <f t="shared" si="1"/>
        <v>87</v>
      </c>
      <c r="F11" s="68">
        <f t="shared" si="2"/>
        <v>75</v>
      </c>
      <c r="G11" s="68">
        <f t="shared" si="3"/>
        <v>76</v>
      </c>
      <c r="H11" s="68">
        <f t="shared" si="4"/>
        <v>93</v>
      </c>
      <c r="I11" s="68">
        <f t="shared" si="5"/>
        <v>78</v>
      </c>
      <c r="J11" s="68">
        <f t="shared" si="6"/>
        <v>93</v>
      </c>
      <c r="K11" s="68">
        <f t="shared" si="7"/>
        <v>88</v>
      </c>
      <c r="L11" s="68">
        <f t="shared" si="8"/>
        <v>80</v>
      </c>
      <c r="M11" s="68">
        <f t="shared" si="9"/>
        <v>74</v>
      </c>
      <c r="N11" s="69">
        <f t="shared" si="10"/>
        <v>95</v>
      </c>
      <c r="O11" s="69">
        <f t="shared" si="11"/>
        <v>95</v>
      </c>
      <c r="P11" s="69">
        <f t="shared" si="12"/>
        <v>87</v>
      </c>
      <c r="Q11" s="69">
        <f t="shared" si="13"/>
        <v>95</v>
      </c>
      <c r="R11" s="69">
        <f t="shared" si="14"/>
        <v>85</v>
      </c>
      <c r="S11" s="234">
        <f t="shared" si="15"/>
        <v>93</v>
      </c>
      <c r="T11" s="234">
        <f t="shared" si="16"/>
        <v>75</v>
      </c>
      <c r="U11" s="234">
        <f t="shared" si="17"/>
        <v>65</v>
      </c>
      <c r="V11" s="234">
        <f t="shared" si="18"/>
        <v>83</v>
      </c>
      <c r="W11" s="234">
        <f t="shared" si="19"/>
        <v>68</v>
      </c>
      <c r="X11" s="234">
        <f t="shared" si="20"/>
        <v>63</v>
      </c>
      <c r="Y11" s="70">
        <f t="shared" si="21"/>
        <v>1293</v>
      </c>
      <c r="Z11" s="71">
        <f t="shared" si="22"/>
        <v>86.2</v>
      </c>
      <c r="AA11" s="101">
        <f t="shared" si="23"/>
        <v>8</v>
      </c>
      <c r="AB11" s="73" t="s">
        <v>806</v>
      </c>
      <c r="AC11" s="73" t="s">
        <v>806</v>
      </c>
      <c r="AD11" s="73" t="s">
        <v>806</v>
      </c>
      <c r="AE11" s="74">
        <v>0</v>
      </c>
      <c r="AF11" s="74">
        <v>0</v>
      </c>
      <c r="AG11" s="74">
        <v>7</v>
      </c>
      <c r="AH11" s="75"/>
      <c r="AJ11" s="141">
        <v>7</v>
      </c>
      <c r="AK11" s="142">
        <v>23240005</v>
      </c>
      <c r="AL11" s="81" t="s">
        <v>567</v>
      </c>
      <c r="AM11" s="68">
        <v>92.1</v>
      </c>
      <c r="AN11" s="68">
        <v>86.5</v>
      </c>
      <c r="AO11" s="68">
        <v>75</v>
      </c>
      <c r="AP11" s="68">
        <v>76.3</v>
      </c>
      <c r="AQ11" s="68">
        <v>92.9</v>
      </c>
      <c r="AR11" s="68">
        <v>78</v>
      </c>
      <c r="AS11" s="68">
        <v>93.4</v>
      </c>
      <c r="AT11" s="68">
        <v>87.6</v>
      </c>
      <c r="AU11" s="68">
        <v>79.5</v>
      </c>
      <c r="AV11" s="68">
        <v>74.3</v>
      </c>
      <c r="AW11" s="76">
        <v>95</v>
      </c>
      <c r="AX11" s="76">
        <v>95</v>
      </c>
      <c r="AY11" s="76">
        <v>87</v>
      </c>
      <c r="AZ11" s="76">
        <v>95</v>
      </c>
      <c r="BA11" s="76">
        <v>85</v>
      </c>
      <c r="BB11" s="240">
        <v>92.5</v>
      </c>
      <c r="BC11" s="240">
        <v>75</v>
      </c>
      <c r="BD11" s="240">
        <v>65</v>
      </c>
      <c r="BE11" s="240">
        <v>82.5</v>
      </c>
      <c r="BF11" s="240">
        <v>67.5</v>
      </c>
      <c r="BG11" s="240">
        <v>62.5</v>
      </c>
      <c r="BH11" s="70">
        <f t="shared" si="24"/>
        <v>1292.5999999999999</v>
      </c>
      <c r="BI11" s="71">
        <f t="shared" si="25"/>
        <v>86.173333333333332</v>
      </c>
      <c r="BJ11" s="101" t="e">
        <f t="shared" si="26"/>
        <v>#N/A</v>
      </c>
      <c r="BK11" s="73"/>
      <c r="BL11" s="73"/>
      <c r="BM11" s="73"/>
      <c r="BN11" s="74"/>
      <c r="BO11" s="74"/>
      <c r="BP11" s="74"/>
      <c r="BQ11" s="75"/>
    </row>
    <row r="12" spans="1:69" ht="23.1" customHeight="1">
      <c r="A12" s="141">
        <v>9</v>
      </c>
      <c r="B12" s="142">
        <v>23240029</v>
      </c>
      <c r="C12" s="81" t="s">
        <v>561</v>
      </c>
      <c r="D12" s="68">
        <f t="shared" si="0"/>
        <v>87</v>
      </c>
      <c r="E12" s="68">
        <f t="shared" si="1"/>
        <v>86</v>
      </c>
      <c r="F12" s="68">
        <f t="shared" si="2"/>
        <v>93</v>
      </c>
      <c r="G12" s="68">
        <f t="shared" si="3"/>
        <v>90</v>
      </c>
      <c r="H12" s="68">
        <f t="shared" si="4"/>
        <v>78</v>
      </c>
      <c r="I12" s="68">
        <f t="shared" si="5"/>
        <v>87</v>
      </c>
      <c r="J12" s="68">
        <f t="shared" si="6"/>
        <v>79</v>
      </c>
      <c r="K12" s="68">
        <f t="shared" si="7"/>
        <v>93</v>
      </c>
      <c r="L12" s="68">
        <f t="shared" si="8"/>
        <v>93</v>
      </c>
      <c r="M12" s="68">
        <f t="shared" si="9"/>
        <v>72</v>
      </c>
      <c r="N12" s="69">
        <f t="shared" si="10"/>
        <v>85</v>
      </c>
      <c r="O12" s="69">
        <f t="shared" si="11"/>
        <v>80</v>
      </c>
      <c r="P12" s="69">
        <f t="shared" si="12"/>
        <v>80</v>
      </c>
      <c r="Q12" s="69">
        <f t="shared" si="13"/>
        <v>80</v>
      </c>
      <c r="R12" s="69">
        <f t="shared" si="14"/>
        <v>85</v>
      </c>
      <c r="S12" s="234">
        <f t="shared" si="15"/>
        <v>70</v>
      </c>
      <c r="T12" s="234">
        <f t="shared" si="16"/>
        <v>68</v>
      </c>
      <c r="U12" s="234">
        <f t="shared" si="17"/>
        <v>70</v>
      </c>
      <c r="V12" s="234">
        <f t="shared" si="18"/>
        <v>60</v>
      </c>
      <c r="W12" s="234">
        <f t="shared" si="19"/>
        <v>60</v>
      </c>
      <c r="X12" s="234">
        <f t="shared" si="20"/>
        <v>68</v>
      </c>
      <c r="Y12" s="70">
        <f t="shared" si="21"/>
        <v>1268</v>
      </c>
      <c r="Z12" s="71">
        <f t="shared" si="22"/>
        <v>84.533333333333331</v>
      </c>
      <c r="AA12" s="101">
        <f t="shared" si="23"/>
        <v>9</v>
      </c>
      <c r="AB12" s="73" t="s">
        <v>805</v>
      </c>
      <c r="AC12" s="73" t="s">
        <v>805</v>
      </c>
      <c r="AD12" s="73" t="s">
        <v>805</v>
      </c>
      <c r="AE12" s="74">
        <v>29</v>
      </c>
      <c r="AF12" s="74">
        <v>8</v>
      </c>
      <c r="AG12" s="74">
        <v>0</v>
      </c>
      <c r="AH12" s="75"/>
      <c r="AJ12" s="141">
        <v>1</v>
      </c>
      <c r="AK12" s="142">
        <v>23240029</v>
      </c>
      <c r="AL12" s="81" t="s">
        <v>561</v>
      </c>
      <c r="AM12" s="68">
        <v>86.9</v>
      </c>
      <c r="AN12" s="68">
        <v>86</v>
      </c>
      <c r="AO12" s="68">
        <v>92.5</v>
      </c>
      <c r="AP12" s="68">
        <v>89.5</v>
      </c>
      <c r="AQ12" s="68">
        <v>78</v>
      </c>
      <c r="AR12" s="68">
        <v>87</v>
      </c>
      <c r="AS12" s="68">
        <v>79</v>
      </c>
      <c r="AT12" s="68">
        <v>92.5</v>
      </c>
      <c r="AU12" s="68">
        <v>92.8</v>
      </c>
      <c r="AV12" s="68">
        <v>72.099999999999994</v>
      </c>
      <c r="AW12" s="76">
        <v>85</v>
      </c>
      <c r="AX12" s="76">
        <v>80</v>
      </c>
      <c r="AY12" s="76">
        <v>80</v>
      </c>
      <c r="AZ12" s="76">
        <v>80</v>
      </c>
      <c r="BA12" s="76">
        <v>85</v>
      </c>
      <c r="BB12" s="240">
        <v>70</v>
      </c>
      <c r="BC12" s="240">
        <v>67.5</v>
      </c>
      <c r="BD12" s="240">
        <v>70</v>
      </c>
      <c r="BE12" s="240">
        <v>60</v>
      </c>
      <c r="BF12" s="240">
        <v>60</v>
      </c>
      <c r="BG12" s="240">
        <v>67.5</v>
      </c>
      <c r="BH12" s="70">
        <f t="shared" si="24"/>
        <v>1266.3</v>
      </c>
      <c r="BI12" s="71">
        <f t="shared" si="25"/>
        <v>84.42</v>
      </c>
      <c r="BJ12" s="101" t="e">
        <f t="shared" si="26"/>
        <v>#N/A</v>
      </c>
      <c r="BK12" s="73"/>
      <c r="BL12" s="73"/>
      <c r="BM12" s="73"/>
      <c r="BN12" s="74"/>
      <c r="BO12" s="74"/>
      <c r="BP12" s="74"/>
      <c r="BQ12" s="75"/>
    </row>
    <row r="13" spans="1:69" ht="23.1" customHeight="1">
      <c r="A13" s="141">
        <v>10</v>
      </c>
      <c r="B13" s="142">
        <v>23240094</v>
      </c>
      <c r="C13" s="81" t="s">
        <v>575</v>
      </c>
      <c r="D13" s="68">
        <f t="shared" si="0"/>
        <v>85</v>
      </c>
      <c r="E13" s="68">
        <f t="shared" si="1"/>
        <v>86</v>
      </c>
      <c r="F13" s="68">
        <f t="shared" si="2"/>
        <v>92</v>
      </c>
      <c r="G13" s="68">
        <f t="shared" si="3"/>
        <v>79</v>
      </c>
      <c r="H13" s="68">
        <f t="shared" si="4"/>
        <v>76</v>
      </c>
      <c r="I13" s="68">
        <f t="shared" si="5"/>
        <v>87</v>
      </c>
      <c r="J13" s="68">
        <f t="shared" si="6"/>
        <v>76</v>
      </c>
      <c r="K13" s="68">
        <f t="shared" si="7"/>
        <v>98</v>
      </c>
      <c r="L13" s="68">
        <f t="shared" si="8"/>
        <v>74</v>
      </c>
      <c r="M13" s="68">
        <f t="shared" si="9"/>
        <v>71</v>
      </c>
      <c r="N13" s="69">
        <f t="shared" si="10"/>
        <v>98</v>
      </c>
      <c r="O13" s="69">
        <f t="shared" si="11"/>
        <v>98</v>
      </c>
      <c r="P13" s="69">
        <f t="shared" si="12"/>
        <v>92</v>
      </c>
      <c r="Q13" s="69">
        <f t="shared" si="13"/>
        <v>75</v>
      </c>
      <c r="R13" s="69">
        <f t="shared" si="14"/>
        <v>75</v>
      </c>
      <c r="S13" s="234">
        <f t="shared" si="15"/>
        <v>95</v>
      </c>
      <c r="T13" s="234">
        <f t="shared" si="16"/>
        <v>85</v>
      </c>
      <c r="U13" s="234">
        <f t="shared" si="17"/>
        <v>70</v>
      </c>
      <c r="V13" s="234">
        <f t="shared" si="18"/>
        <v>83</v>
      </c>
      <c r="W13" s="234">
        <f t="shared" si="19"/>
        <v>73</v>
      </c>
      <c r="X13" s="234">
        <f t="shared" si="20"/>
        <v>70</v>
      </c>
      <c r="Y13" s="70">
        <f t="shared" si="21"/>
        <v>1262</v>
      </c>
      <c r="Z13" s="71">
        <f t="shared" si="22"/>
        <v>84.13333333333334</v>
      </c>
      <c r="AA13" s="101">
        <f t="shared" si="23"/>
        <v>10</v>
      </c>
      <c r="AB13" s="73" t="s">
        <v>805</v>
      </c>
      <c r="AC13" s="73" t="s">
        <v>805</v>
      </c>
      <c r="AD13" s="73" t="s">
        <v>805</v>
      </c>
      <c r="AE13" s="74">
        <v>0</v>
      </c>
      <c r="AF13" s="74">
        <v>0</v>
      </c>
      <c r="AG13" s="74">
        <v>0</v>
      </c>
      <c r="AH13" s="75"/>
      <c r="AJ13" s="141">
        <v>15</v>
      </c>
      <c r="AK13" s="142">
        <v>23240094</v>
      </c>
      <c r="AL13" s="81" t="s">
        <v>575</v>
      </c>
      <c r="AM13" s="68">
        <v>85.4</v>
      </c>
      <c r="AN13" s="68">
        <v>85.8</v>
      </c>
      <c r="AO13" s="68">
        <v>92</v>
      </c>
      <c r="AP13" s="68">
        <v>78.5</v>
      </c>
      <c r="AQ13" s="68">
        <v>75.5</v>
      </c>
      <c r="AR13" s="68">
        <v>87</v>
      </c>
      <c r="AS13" s="68">
        <v>75.5</v>
      </c>
      <c r="AT13" s="68">
        <v>97.899999999999991</v>
      </c>
      <c r="AU13" s="68">
        <v>73.5</v>
      </c>
      <c r="AV13" s="68">
        <v>70.699999999999989</v>
      </c>
      <c r="AW13" s="76">
        <v>98</v>
      </c>
      <c r="AX13" s="76">
        <v>98</v>
      </c>
      <c r="AY13" s="76">
        <v>92</v>
      </c>
      <c r="AZ13" s="76">
        <v>75</v>
      </c>
      <c r="BA13" s="76">
        <v>75</v>
      </c>
      <c r="BB13" s="240">
        <v>95</v>
      </c>
      <c r="BC13" s="240">
        <v>85</v>
      </c>
      <c r="BD13" s="240">
        <v>70</v>
      </c>
      <c r="BE13" s="240">
        <v>82.5</v>
      </c>
      <c r="BF13" s="240">
        <v>72.5</v>
      </c>
      <c r="BG13" s="240">
        <v>70</v>
      </c>
      <c r="BH13" s="70">
        <f t="shared" si="24"/>
        <v>1259.8</v>
      </c>
      <c r="BI13" s="71">
        <f t="shared" si="25"/>
        <v>83.986666666666665</v>
      </c>
      <c r="BJ13" s="101" t="e">
        <f t="shared" si="26"/>
        <v>#N/A</v>
      </c>
      <c r="BK13" s="73"/>
      <c r="BL13" s="73"/>
      <c r="BM13" s="73"/>
      <c r="BN13" s="74"/>
      <c r="BO13" s="74"/>
      <c r="BP13" s="74"/>
      <c r="BQ13" s="75"/>
    </row>
    <row r="14" spans="1:69" ht="23.1" customHeight="1">
      <c r="A14" s="141">
        <v>11</v>
      </c>
      <c r="B14" s="142">
        <v>23240116</v>
      </c>
      <c r="C14" s="81" t="s">
        <v>571</v>
      </c>
      <c r="D14" s="68">
        <f t="shared" si="0"/>
        <v>83</v>
      </c>
      <c r="E14" s="68">
        <f t="shared" si="1"/>
        <v>90</v>
      </c>
      <c r="F14" s="68">
        <f t="shared" si="2"/>
        <v>69</v>
      </c>
      <c r="G14" s="68">
        <f t="shared" si="3"/>
        <v>80</v>
      </c>
      <c r="H14" s="68">
        <f t="shared" si="4"/>
        <v>80</v>
      </c>
      <c r="I14" s="68">
        <f t="shared" si="5"/>
        <v>84</v>
      </c>
      <c r="J14" s="68">
        <f t="shared" si="6"/>
        <v>81</v>
      </c>
      <c r="K14" s="68">
        <f t="shared" si="7"/>
        <v>94</v>
      </c>
      <c r="L14" s="68">
        <f t="shared" si="8"/>
        <v>78</v>
      </c>
      <c r="M14" s="68">
        <f t="shared" si="9"/>
        <v>67</v>
      </c>
      <c r="N14" s="69">
        <f t="shared" si="10"/>
        <v>80</v>
      </c>
      <c r="O14" s="69">
        <f t="shared" si="11"/>
        <v>95</v>
      </c>
      <c r="P14" s="69">
        <f t="shared" si="12"/>
        <v>95</v>
      </c>
      <c r="Q14" s="69">
        <f t="shared" si="13"/>
        <v>80</v>
      </c>
      <c r="R14" s="69">
        <f t="shared" si="14"/>
        <v>85</v>
      </c>
      <c r="S14" s="234">
        <f t="shared" si="15"/>
        <v>93</v>
      </c>
      <c r="T14" s="234">
        <f t="shared" si="16"/>
        <v>98</v>
      </c>
      <c r="U14" s="234">
        <f t="shared" si="17"/>
        <v>75</v>
      </c>
      <c r="V14" s="234">
        <f t="shared" si="18"/>
        <v>88</v>
      </c>
      <c r="W14" s="234">
        <f t="shared" si="19"/>
        <v>73</v>
      </c>
      <c r="X14" s="234">
        <f t="shared" si="20"/>
        <v>78</v>
      </c>
      <c r="Y14" s="70">
        <f t="shared" si="21"/>
        <v>1241</v>
      </c>
      <c r="Z14" s="71">
        <f t="shared" si="22"/>
        <v>82.733333333333334</v>
      </c>
      <c r="AA14" s="101">
        <f t="shared" si="23"/>
        <v>11</v>
      </c>
      <c r="AB14" s="73" t="s">
        <v>805</v>
      </c>
      <c r="AC14" s="73" t="s">
        <v>805</v>
      </c>
      <c r="AD14" s="73" t="s">
        <v>805</v>
      </c>
      <c r="AE14" s="74">
        <v>0</v>
      </c>
      <c r="AF14" s="74">
        <v>0</v>
      </c>
      <c r="AG14" s="74">
        <v>0</v>
      </c>
      <c r="AH14" s="75"/>
      <c r="AJ14" s="141">
        <v>11</v>
      </c>
      <c r="AK14" s="142">
        <v>23240116</v>
      </c>
      <c r="AL14" s="81" t="s">
        <v>571</v>
      </c>
      <c r="AM14" s="68">
        <v>83.199999999999989</v>
      </c>
      <c r="AN14" s="68">
        <v>89.5</v>
      </c>
      <c r="AO14" s="68">
        <v>69</v>
      </c>
      <c r="AP14" s="68">
        <v>80</v>
      </c>
      <c r="AQ14" s="68">
        <v>79.5</v>
      </c>
      <c r="AR14" s="68">
        <v>84</v>
      </c>
      <c r="AS14" s="68">
        <v>80.5</v>
      </c>
      <c r="AT14" s="68">
        <v>94</v>
      </c>
      <c r="AU14" s="68">
        <v>77.599999999999994</v>
      </c>
      <c r="AV14" s="68">
        <v>66.5</v>
      </c>
      <c r="AW14" s="76">
        <v>80</v>
      </c>
      <c r="AX14" s="76">
        <v>95</v>
      </c>
      <c r="AY14" s="76">
        <v>95</v>
      </c>
      <c r="AZ14" s="76">
        <v>80</v>
      </c>
      <c r="BA14" s="76">
        <v>85</v>
      </c>
      <c r="BB14" s="240">
        <v>92.5</v>
      </c>
      <c r="BC14" s="240">
        <v>97.5</v>
      </c>
      <c r="BD14" s="240">
        <v>75</v>
      </c>
      <c r="BE14" s="240">
        <v>87.5</v>
      </c>
      <c r="BF14" s="240">
        <v>72.5</v>
      </c>
      <c r="BG14" s="240">
        <v>77.5</v>
      </c>
      <c r="BH14" s="70">
        <f t="shared" si="24"/>
        <v>1238.8000000000002</v>
      </c>
      <c r="BI14" s="71">
        <f t="shared" si="25"/>
        <v>82.586666666666673</v>
      </c>
      <c r="BJ14" s="101" t="e">
        <f t="shared" si="26"/>
        <v>#N/A</v>
      </c>
      <c r="BK14" s="73"/>
      <c r="BL14" s="73"/>
      <c r="BM14" s="73"/>
      <c r="BN14" s="74"/>
      <c r="BO14" s="74"/>
      <c r="BP14" s="74"/>
      <c r="BQ14" s="75"/>
    </row>
    <row r="15" spans="1:69" ht="23.1" customHeight="1">
      <c r="A15" s="141">
        <v>12</v>
      </c>
      <c r="B15" s="142">
        <v>23240076</v>
      </c>
      <c r="C15" s="145" t="s">
        <v>570</v>
      </c>
      <c r="D15" s="68">
        <f t="shared" si="0"/>
        <v>89</v>
      </c>
      <c r="E15" s="68">
        <f t="shared" si="1"/>
        <v>92</v>
      </c>
      <c r="F15" s="68">
        <f t="shared" si="2"/>
        <v>90</v>
      </c>
      <c r="G15" s="68">
        <f t="shared" si="3"/>
        <v>79</v>
      </c>
      <c r="H15" s="68">
        <f t="shared" si="4"/>
        <v>76</v>
      </c>
      <c r="I15" s="68">
        <f t="shared" si="5"/>
        <v>85</v>
      </c>
      <c r="J15" s="68">
        <f t="shared" si="6"/>
        <v>76</v>
      </c>
      <c r="K15" s="68">
        <f t="shared" si="7"/>
        <v>96</v>
      </c>
      <c r="L15" s="68">
        <f t="shared" si="8"/>
        <v>73</v>
      </c>
      <c r="M15" s="68">
        <f t="shared" si="9"/>
        <v>68</v>
      </c>
      <c r="N15" s="69">
        <f t="shared" si="10"/>
        <v>75</v>
      </c>
      <c r="O15" s="69">
        <f t="shared" si="11"/>
        <v>90</v>
      </c>
      <c r="P15" s="69">
        <f t="shared" si="12"/>
        <v>85</v>
      </c>
      <c r="Q15" s="69">
        <f t="shared" si="13"/>
        <v>75</v>
      </c>
      <c r="R15" s="69">
        <f t="shared" si="14"/>
        <v>86</v>
      </c>
      <c r="S15" s="234">
        <f t="shared" si="15"/>
        <v>85</v>
      </c>
      <c r="T15" s="234">
        <f t="shared" si="16"/>
        <v>88</v>
      </c>
      <c r="U15" s="234">
        <f t="shared" si="17"/>
        <v>70</v>
      </c>
      <c r="V15" s="234">
        <f t="shared" si="18"/>
        <v>80</v>
      </c>
      <c r="W15" s="234">
        <f t="shared" si="19"/>
        <v>70</v>
      </c>
      <c r="X15" s="234">
        <f t="shared" si="20"/>
        <v>75</v>
      </c>
      <c r="Y15" s="70">
        <f t="shared" si="21"/>
        <v>1235</v>
      </c>
      <c r="Z15" s="71">
        <f t="shared" si="22"/>
        <v>82.333333333333329</v>
      </c>
      <c r="AA15" s="101">
        <f t="shared" si="23"/>
        <v>12</v>
      </c>
      <c r="AB15" s="73" t="s">
        <v>805</v>
      </c>
      <c r="AC15" s="73" t="s">
        <v>805</v>
      </c>
      <c r="AD15" s="73" t="s">
        <v>805</v>
      </c>
      <c r="AE15" s="74">
        <v>0</v>
      </c>
      <c r="AF15" s="74">
        <v>0</v>
      </c>
      <c r="AG15" s="74">
        <v>0</v>
      </c>
      <c r="AH15" s="75"/>
      <c r="AJ15" s="141">
        <v>10</v>
      </c>
      <c r="AK15" s="142">
        <v>23240076</v>
      </c>
      <c r="AL15" s="145" t="s">
        <v>570</v>
      </c>
      <c r="AM15" s="68">
        <v>88.9</v>
      </c>
      <c r="AN15" s="68">
        <v>92.4</v>
      </c>
      <c r="AO15" s="68">
        <v>90</v>
      </c>
      <c r="AP15" s="68">
        <v>78.5</v>
      </c>
      <c r="AQ15" s="68">
        <v>75.5</v>
      </c>
      <c r="AR15" s="68">
        <v>84.5</v>
      </c>
      <c r="AS15" s="68">
        <v>75.5</v>
      </c>
      <c r="AT15" s="68">
        <v>95.9</v>
      </c>
      <c r="AU15" s="68">
        <v>73</v>
      </c>
      <c r="AV15" s="68">
        <v>68</v>
      </c>
      <c r="AW15" s="76">
        <v>75</v>
      </c>
      <c r="AX15" s="76">
        <v>90</v>
      </c>
      <c r="AY15" s="76">
        <v>85</v>
      </c>
      <c r="AZ15" s="76">
        <v>75</v>
      </c>
      <c r="BA15" s="76">
        <v>86</v>
      </c>
      <c r="BB15" s="240">
        <v>85</v>
      </c>
      <c r="BC15" s="240">
        <v>87.5</v>
      </c>
      <c r="BD15" s="240">
        <v>70</v>
      </c>
      <c r="BE15" s="240">
        <v>80</v>
      </c>
      <c r="BF15" s="240">
        <v>70</v>
      </c>
      <c r="BG15" s="240">
        <v>75</v>
      </c>
      <c r="BH15" s="70">
        <f t="shared" si="24"/>
        <v>1233.1999999999998</v>
      </c>
      <c r="BI15" s="71">
        <f t="shared" si="25"/>
        <v>82.213333333333324</v>
      </c>
      <c r="BJ15" s="101" t="e">
        <f t="shared" si="26"/>
        <v>#N/A</v>
      </c>
      <c r="BK15" s="73"/>
      <c r="BL15" s="73"/>
      <c r="BM15" s="73"/>
      <c r="BN15" s="74"/>
      <c r="BO15" s="74"/>
      <c r="BP15" s="74"/>
      <c r="BQ15" s="75"/>
    </row>
    <row r="16" spans="1:69" ht="23.1" customHeight="1">
      <c r="A16" s="141">
        <v>13</v>
      </c>
      <c r="B16" s="142">
        <v>23240140</v>
      </c>
      <c r="C16" s="81" t="s">
        <v>584</v>
      </c>
      <c r="D16" s="68">
        <f t="shared" si="0"/>
        <v>83</v>
      </c>
      <c r="E16" s="68">
        <f t="shared" si="1"/>
        <v>83</v>
      </c>
      <c r="F16" s="68">
        <f t="shared" si="2"/>
        <v>67</v>
      </c>
      <c r="G16" s="68">
        <f t="shared" si="3"/>
        <v>85</v>
      </c>
      <c r="H16" s="68">
        <f t="shared" si="4"/>
        <v>88</v>
      </c>
      <c r="I16" s="68">
        <f t="shared" si="5"/>
        <v>89</v>
      </c>
      <c r="J16" s="68">
        <f t="shared" si="6"/>
        <v>88</v>
      </c>
      <c r="K16" s="68">
        <f t="shared" si="7"/>
        <v>85</v>
      </c>
      <c r="L16" s="68">
        <f t="shared" si="8"/>
        <v>84</v>
      </c>
      <c r="M16" s="68">
        <f t="shared" si="9"/>
        <v>69</v>
      </c>
      <c r="N16" s="69">
        <f t="shared" si="10"/>
        <v>79</v>
      </c>
      <c r="O16" s="69">
        <f t="shared" si="11"/>
        <v>70</v>
      </c>
      <c r="P16" s="69">
        <f t="shared" si="12"/>
        <v>75</v>
      </c>
      <c r="Q16" s="69">
        <f t="shared" si="13"/>
        <v>95</v>
      </c>
      <c r="R16" s="69">
        <f t="shared" si="14"/>
        <v>86</v>
      </c>
      <c r="S16" s="234">
        <f t="shared" si="15"/>
        <v>98</v>
      </c>
      <c r="T16" s="234">
        <f t="shared" si="16"/>
        <v>70</v>
      </c>
      <c r="U16" s="234">
        <f t="shared" si="17"/>
        <v>68</v>
      </c>
      <c r="V16" s="234">
        <f t="shared" si="18"/>
        <v>90</v>
      </c>
      <c r="W16" s="234">
        <f t="shared" si="19"/>
        <v>63</v>
      </c>
      <c r="X16" s="234">
        <f t="shared" si="20"/>
        <v>78</v>
      </c>
      <c r="Y16" s="70">
        <f t="shared" si="21"/>
        <v>1226</v>
      </c>
      <c r="Z16" s="71">
        <f t="shared" si="22"/>
        <v>81.733333333333334</v>
      </c>
      <c r="AA16" s="101">
        <f t="shared" si="23"/>
        <v>13</v>
      </c>
      <c r="AB16" s="73" t="s">
        <v>806</v>
      </c>
      <c r="AC16" s="73" t="s">
        <v>806</v>
      </c>
      <c r="AD16" s="73" t="s">
        <v>806</v>
      </c>
      <c r="AE16" s="74">
        <v>7</v>
      </c>
      <c r="AF16" s="74">
        <v>0</v>
      </c>
      <c r="AG16" s="74">
        <v>0</v>
      </c>
      <c r="AH16" s="75"/>
      <c r="AJ16" s="141">
        <v>24</v>
      </c>
      <c r="AK16" s="142">
        <v>23240140</v>
      </c>
      <c r="AL16" s="81" t="s">
        <v>584</v>
      </c>
      <c r="AM16" s="68">
        <v>83</v>
      </c>
      <c r="AN16" s="68">
        <v>82.5</v>
      </c>
      <c r="AO16" s="68">
        <v>67</v>
      </c>
      <c r="AP16" s="68">
        <v>84.5</v>
      </c>
      <c r="AQ16" s="68">
        <v>87.5</v>
      </c>
      <c r="AR16" s="68">
        <v>88.5</v>
      </c>
      <c r="AS16" s="68">
        <v>87.5</v>
      </c>
      <c r="AT16" s="68">
        <v>85</v>
      </c>
      <c r="AU16" s="68">
        <v>83.5</v>
      </c>
      <c r="AV16" s="68">
        <v>69</v>
      </c>
      <c r="AW16" s="76">
        <v>79</v>
      </c>
      <c r="AX16" s="76">
        <v>70</v>
      </c>
      <c r="AY16" s="76">
        <v>75</v>
      </c>
      <c r="AZ16" s="76">
        <v>95</v>
      </c>
      <c r="BA16" s="76">
        <v>86</v>
      </c>
      <c r="BB16" s="240">
        <v>97.5</v>
      </c>
      <c r="BC16" s="240">
        <v>70</v>
      </c>
      <c r="BD16" s="240">
        <v>67.5</v>
      </c>
      <c r="BE16" s="240">
        <v>90</v>
      </c>
      <c r="BF16" s="240">
        <v>62.5</v>
      </c>
      <c r="BG16" s="240">
        <v>77.5</v>
      </c>
      <c r="BH16" s="70">
        <f t="shared" si="24"/>
        <v>1223</v>
      </c>
      <c r="BI16" s="71">
        <f t="shared" si="25"/>
        <v>81.533333333333331</v>
      </c>
      <c r="BJ16" s="101" t="e">
        <f t="shared" si="26"/>
        <v>#N/A</v>
      </c>
      <c r="BK16" s="73"/>
      <c r="BL16" s="73"/>
      <c r="BM16" s="73"/>
      <c r="BN16" s="74"/>
      <c r="BO16" s="74"/>
      <c r="BP16" s="74"/>
      <c r="BQ16" s="75"/>
    </row>
    <row r="17" spans="1:69" ht="23.1" customHeight="1">
      <c r="A17" s="141">
        <v>14</v>
      </c>
      <c r="B17" s="142">
        <v>23240120</v>
      </c>
      <c r="C17" s="81" t="s">
        <v>569</v>
      </c>
      <c r="D17" s="68">
        <f t="shared" si="0"/>
        <v>85</v>
      </c>
      <c r="E17" s="68">
        <f t="shared" si="1"/>
        <v>81</v>
      </c>
      <c r="F17" s="68">
        <f t="shared" si="2"/>
        <v>73</v>
      </c>
      <c r="G17" s="68">
        <f t="shared" si="3"/>
        <v>73</v>
      </c>
      <c r="H17" s="68">
        <f t="shared" si="4"/>
        <v>90</v>
      </c>
      <c r="I17" s="68">
        <f t="shared" si="5"/>
        <v>79</v>
      </c>
      <c r="J17" s="68">
        <f t="shared" si="6"/>
        <v>91</v>
      </c>
      <c r="K17" s="68">
        <f t="shared" si="7"/>
        <v>64</v>
      </c>
      <c r="L17" s="68">
        <f t="shared" si="8"/>
        <v>68</v>
      </c>
      <c r="M17" s="68">
        <f t="shared" si="9"/>
        <v>66</v>
      </c>
      <c r="N17" s="69">
        <f t="shared" si="10"/>
        <v>80</v>
      </c>
      <c r="O17" s="69">
        <f t="shared" si="11"/>
        <v>95</v>
      </c>
      <c r="P17" s="69">
        <f t="shared" si="12"/>
        <v>95</v>
      </c>
      <c r="Q17" s="69">
        <f t="shared" si="13"/>
        <v>90</v>
      </c>
      <c r="R17" s="69">
        <f t="shared" si="14"/>
        <v>86</v>
      </c>
      <c r="S17" s="234">
        <f t="shared" si="15"/>
        <v>98</v>
      </c>
      <c r="T17" s="234">
        <f t="shared" si="16"/>
        <v>88</v>
      </c>
      <c r="U17" s="234">
        <f t="shared" si="17"/>
        <v>65</v>
      </c>
      <c r="V17" s="234">
        <f t="shared" si="18"/>
        <v>83</v>
      </c>
      <c r="W17" s="234">
        <f t="shared" si="19"/>
        <v>58</v>
      </c>
      <c r="X17" s="234">
        <f t="shared" si="20"/>
        <v>68</v>
      </c>
      <c r="Y17" s="70">
        <f t="shared" si="21"/>
        <v>1216</v>
      </c>
      <c r="Z17" s="71">
        <f t="shared" si="22"/>
        <v>81.066666666666663</v>
      </c>
      <c r="AA17" s="101">
        <f t="shared" si="23"/>
        <v>14</v>
      </c>
      <c r="AB17" s="73" t="s">
        <v>806</v>
      </c>
      <c r="AC17" s="73" t="s">
        <v>806</v>
      </c>
      <c r="AD17" s="73" t="s">
        <v>806</v>
      </c>
      <c r="AE17" s="74">
        <v>0</v>
      </c>
      <c r="AF17" s="74">
        <v>4</v>
      </c>
      <c r="AG17" s="74">
        <v>0</v>
      </c>
      <c r="AH17" s="75"/>
      <c r="AJ17" s="141">
        <v>9</v>
      </c>
      <c r="AK17" s="142">
        <v>23240120</v>
      </c>
      <c r="AL17" s="81" t="s">
        <v>569</v>
      </c>
      <c r="AM17" s="68">
        <v>85</v>
      </c>
      <c r="AN17" s="68">
        <v>80.5</v>
      </c>
      <c r="AO17" s="68">
        <v>73</v>
      </c>
      <c r="AP17" s="68">
        <v>72.5</v>
      </c>
      <c r="AQ17" s="68">
        <v>89.9</v>
      </c>
      <c r="AR17" s="68">
        <v>78.5</v>
      </c>
      <c r="AS17" s="68">
        <v>90.5</v>
      </c>
      <c r="AT17" s="68">
        <v>63.7</v>
      </c>
      <c r="AU17" s="68">
        <v>67.5</v>
      </c>
      <c r="AV17" s="68">
        <v>65.5</v>
      </c>
      <c r="AW17" s="76">
        <v>80</v>
      </c>
      <c r="AX17" s="76">
        <v>95</v>
      </c>
      <c r="AY17" s="76">
        <v>95</v>
      </c>
      <c r="AZ17" s="76">
        <v>90</v>
      </c>
      <c r="BA17" s="76">
        <v>86</v>
      </c>
      <c r="BB17" s="240">
        <v>97.5</v>
      </c>
      <c r="BC17" s="240">
        <v>87.5</v>
      </c>
      <c r="BD17" s="240">
        <v>65</v>
      </c>
      <c r="BE17" s="240">
        <v>83</v>
      </c>
      <c r="BF17" s="240">
        <v>57.5</v>
      </c>
      <c r="BG17" s="240">
        <v>67.5</v>
      </c>
      <c r="BH17" s="70">
        <f t="shared" si="24"/>
        <v>1212.5999999999999</v>
      </c>
      <c r="BI17" s="71">
        <f t="shared" si="25"/>
        <v>80.839999999999989</v>
      </c>
      <c r="BJ17" s="101" t="e">
        <f t="shared" si="26"/>
        <v>#N/A</v>
      </c>
      <c r="BK17" s="73"/>
      <c r="BL17" s="73"/>
      <c r="BM17" s="73"/>
      <c r="BN17" s="74"/>
      <c r="BO17" s="74"/>
      <c r="BP17" s="74"/>
      <c r="BQ17" s="75"/>
    </row>
    <row r="18" spans="1:69" ht="23.1" customHeight="1">
      <c r="A18" s="141">
        <v>15</v>
      </c>
      <c r="B18" s="142">
        <v>23240113</v>
      </c>
      <c r="C18" s="81" t="s">
        <v>577</v>
      </c>
      <c r="D18" s="68">
        <f t="shared" si="0"/>
        <v>89</v>
      </c>
      <c r="E18" s="68">
        <f t="shared" si="1"/>
        <v>87</v>
      </c>
      <c r="F18" s="68">
        <f t="shared" si="2"/>
        <v>66</v>
      </c>
      <c r="G18" s="68">
        <f t="shared" si="3"/>
        <v>71</v>
      </c>
      <c r="H18" s="68">
        <f t="shared" si="4"/>
        <v>80</v>
      </c>
      <c r="I18" s="68">
        <f t="shared" si="5"/>
        <v>79</v>
      </c>
      <c r="J18" s="68">
        <f t="shared" si="6"/>
        <v>79</v>
      </c>
      <c r="K18" s="68">
        <f t="shared" si="7"/>
        <v>93</v>
      </c>
      <c r="L18" s="68">
        <f t="shared" si="8"/>
        <v>80</v>
      </c>
      <c r="M18" s="68">
        <f t="shared" si="9"/>
        <v>75</v>
      </c>
      <c r="N18" s="69">
        <f t="shared" si="10"/>
        <v>82</v>
      </c>
      <c r="O18" s="69">
        <f t="shared" si="11"/>
        <v>80</v>
      </c>
      <c r="P18" s="69">
        <f t="shared" si="12"/>
        <v>97</v>
      </c>
      <c r="Q18" s="69">
        <f t="shared" si="13"/>
        <v>80</v>
      </c>
      <c r="R18" s="69">
        <f t="shared" si="14"/>
        <v>75</v>
      </c>
      <c r="S18" s="234">
        <f t="shared" si="15"/>
        <v>98</v>
      </c>
      <c r="T18" s="234">
        <f t="shared" si="16"/>
        <v>90</v>
      </c>
      <c r="U18" s="234">
        <f t="shared" si="17"/>
        <v>68</v>
      </c>
      <c r="V18" s="234">
        <f t="shared" si="18"/>
        <v>88</v>
      </c>
      <c r="W18" s="234">
        <f t="shared" si="19"/>
        <v>75</v>
      </c>
      <c r="X18" s="234">
        <f t="shared" si="20"/>
        <v>75</v>
      </c>
      <c r="Y18" s="70">
        <f t="shared" si="21"/>
        <v>1213</v>
      </c>
      <c r="Z18" s="71">
        <f t="shared" si="22"/>
        <v>80.86666666666666</v>
      </c>
      <c r="AA18" s="101">
        <f t="shared" si="23"/>
        <v>15</v>
      </c>
      <c r="AB18" s="73" t="s">
        <v>805</v>
      </c>
      <c r="AC18" s="73" t="s">
        <v>805</v>
      </c>
      <c r="AD18" s="73" t="s">
        <v>805</v>
      </c>
      <c r="AE18" s="74">
        <v>5</v>
      </c>
      <c r="AF18" s="74">
        <v>0</v>
      </c>
      <c r="AG18" s="74">
        <v>0</v>
      </c>
      <c r="AH18" s="75"/>
      <c r="AJ18" s="141">
        <v>17</v>
      </c>
      <c r="AK18" s="142">
        <v>23240113</v>
      </c>
      <c r="AL18" s="81" t="s">
        <v>577</v>
      </c>
      <c r="AM18" s="68">
        <v>89.199999999999989</v>
      </c>
      <c r="AN18" s="68">
        <v>86.5</v>
      </c>
      <c r="AO18" s="68">
        <v>66</v>
      </c>
      <c r="AP18" s="68">
        <v>71</v>
      </c>
      <c r="AQ18" s="68">
        <v>79.5</v>
      </c>
      <c r="AR18" s="68">
        <v>78.5</v>
      </c>
      <c r="AS18" s="68">
        <v>78.5</v>
      </c>
      <c r="AT18" s="68">
        <v>93.2</v>
      </c>
      <c r="AU18" s="68">
        <v>80</v>
      </c>
      <c r="AV18" s="68">
        <v>74.5</v>
      </c>
      <c r="AW18" s="76">
        <v>82</v>
      </c>
      <c r="AX18" s="76">
        <v>80</v>
      </c>
      <c r="AY18" s="76">
        <v>97</v>
      </c>
      <c r="AZ18" s="76">
        <v>80</v>
      </c>
      <c r="BA18" s="76">
        <v>75</v>
      </c>
      <c r="BB18" s="240">
        <v>97.5</v>
      </c>
      <c r="BC18" s="240">
        <v>90</v>
      </c>
      <c r="BD18" s="240">
        <v>67.5</v>
      </c>
      <c r="BE18" s="240">
        <v>87.5</v>
      </c>
      <c r="BF18" s="240">
        <v>75</v>
      </c>
      <c r="BG18" s="240">
        <v>75</v>
      </c>
      <c r="BH18" s="70">
        <f t="shared" si="24"/>
        <v>1210.9000000000001</v>
      </c>
      <c r="BI18" s="71">
        <f t="shared" si="25"/>
        <v>80.726666666666674</v>
      </c>
      <c r="BJ18" s="101" t="e">
        <f t="shared" si="26"/>
        <v>#N/A</v>
      </c>
      <c r="BK18" s="73"/>
      <c r="BL18" s="73"/>
      <c r="BM18" s="73"/>
      <c r="BN18" s="74"/>
      <c r="BO18" s="74"/>
      <c r="BP18" s="74"/>
      <c r="BQ18" s="75"/>
    </row>
    <row r="19" spans="1:69" ht="23.1" customHeight="1">
      <c r="A19" s="141">
        <v>16</v>
      </c>
      <c r="B19" s="142">
        <v>23240036</v>
      </c>
      <c r="C19" s="81" t="s">
        <v>583</v>
      </c>
      <c r="D19" s="68">
        <f t="shared" si="0"/>
        <v>84</v>
      </c>
      <c r="E19" s="68">
        <f t="shared" si="1"/>
        <v>69</v>
      </c>
      <c r="F19" s="68">
        <f t="shared" si="2"/>
        <v>84</v>
      </c>
      <c r="G19" s="68">
        <f t="shared" si="3"/>
        <v>77</v>
      </c>
      <c r="H19" s="68">
        <f t="shared" si="4"/>
        <v>88</v>
      </c>
      <c r="I19" s="68">
        <f t="shared" si="5"/>
        <v>83</v>
      </c>
      <c r="J19" s="68">
        <f t="shared" si="6"/>
        <v>84</v>
      </c>
      <c r="K19" s="68">
        <f t="shared" si="7"/>
        <v>68</v>
      </c>
      <c r="L19" s="68">
        <f t="shared" si="8"/>
        <v>77</v>
      </c>
      <c r="M19" s="68">
        <f t="shared" si="9"/>
        <v>65</v>
      </c>
      <c r="N19" s="69">
        <f t="shared" si="10"/>
        <v>80</v>
      </c>
      <c r="O19" s="69">
        <f t="shared" si="11"/>
        <v>90</v>
      </c>
      <c r="P19" s="69">
        <f t="shared" si="12"/>
        <v>95</v>
      </c>
      <c r="Q19" s="69">
        <f t="shared" si="13"/>
        <v>90</v>
      </c>
      <c r="R19" s="69">
        <f t="shared" si="14"/>
        <v>76</v>
      </c>
      <c r="S19" s="234">
        <f t="shared" si="15"/>
        <v>99</v>
      </c>
      <c r="T19" s="234">
        <f t="shared" si="16"/>
        <v>98</v>
      </c>
      <c r="U19" s="234">
        <f t="shared" si="17"/>
        <v>60</v>
      </c>
      <c r="V19" s="234">
        <f t="shared" si="18"/>
        <v>98</v>
      </c>
      <c r="W19" s="234">
        <f t="shared" si="19"/>
        <v>73</v>
      </c>
      <c r="X19" s="234">
        <f t="shared" si="20"/>
        <v>65</v>
      </c>
      <c r="Y19" s="70">
        <f t="shared" si="21"/>
        <v>1210</v>
      </c>
      <c r="Z19" s="71">
        <f t="shared" si="22"/>
        <v>80.666666666666671</v>
      </c>
      <c r="AA19" s="101">
        <f t="shared" si="23"/>
        <v>16</v>
      </c>
      <c r="AB19" s="73" t="s">
        <v>806</v>
      </c>
      <c r="AC19" s="73" t="s">
        <v>806</v>
      </c>
      <c r="AD19" s="73" t="s">
        <v>806</v>
      </c>
      <c r="AE19" s="74">
        <v>0</v>
      </c>
      <c r="AF19" s="74">
        <v>0</v>
      </c>
      <c r="AG19" s="74">
        <v>0</v>
      </c>
      <c r="AH19" s="75"/>
      <c r="AJ19" s="141">
        <v>23</v>
      </c>
      <c r="AK19" s="142">
        <v>23240036</v>
      </c>
      <c r="AL19" s="81" t="s">
        <v>583</v>
      </c>
      <c r="AM19" s="68">
        <v>83.5</v>
      </c>
      <c r="AN19" s="68">
        <v>68.5</v>
      </c>
      <c r="AO19" s="68">
        <v>84</v>
      </c>
      <c r="AP19" s="68">
        <v>76.5</v>
      </c>
      <c r="AQ19" s="68">
        <v>88</v>
      </c>
      <c r="AR19" s="68">
        <v>82.5</v>
      </c>
      <c r="AS19" s="68">
        <v>84</v>
      </c>
      <c r="AT19" s="68">
        <v>68.3</v>
      </c>
      <c r="AU19" s="68">
        <v>76.5</v>
      </c>
      <c r="AV19" s="68">
        <v>65</v>
      </c>
      <c r="AW19" s="76">
        <v>80</v>
      </c>
      <c r="AX19" s="76">
        <v>90</v>
      </c>
      <c r="AY19" s="76">
        <v>95</v>
      </c>
      <c r="AZ19" s="76">
        <v>90</v>
      </c>
      <c r="BA19" s="76">
        <v>76</v>
      </c>
      <c r="BB19" s="240">
        <v>100</v>
      </c>
      <c r="BC19" s="240">
        <v>97.5</v>
      </c>
      <c r="BD19" s="240">
        <v>60</v>
      </c>
      <c r="BE19" s="240">
        <v>97.5</v>
      </c>
      <c r="BF19" s="240">
        <v>72.5</v>
      </c>
      <c r="BG19" s="240">
        <v>65</v>
      </c>
      <c r="BH19" s="70">
        <f t="shared" si="24"/>
        <v>1207.8</v>
      </c>
      <c r="BI19" s="71">
        <f t="shared" si="25"/>
        <v>80.52</v>
      </c>
      <c r="BJ19" s="101" t="e">
        <f t="shared" si="26"/>
        <v>#N/A</v>
      </c>
      <c r="BK19" s="73"/>
      <c r="BL19" s="73"/>
      <c r="BM19" s="73"/>
      <c r="BN19" s="74"/>
      <c r="BO19" s="74"/>
      <c r="BP19" s="74"/>
      <c r="BQ19" s="75"/>
    </row>
    <row r="20" spans="1:69" ht="23.1" customHeight="1">
      <c r="A20" s="141">
        <v>17</v>
      </c>
      <c r="B20" s="142">
        <v>23240018</v>
      </c>
      <c r="C20" s="81" t="s">
        <v>572</v>
      </c>
      <c r="D20" s="68">
        <f t="shared" si="0"/>
        <v>78</v>
      </c>
      <c r="E20" s="68">
        <f t="shared" si="1"/>
        <v>80</v>
      </c>
      <c r="F20" s="68">
        <f t="shared" si="2"/>
        <v>67</v>
      </c>
      <c r="G20" s="68">
        <f t="shared" si="3"/>
        <v>81</v>
      </c>
      <c r="H20" s="68">
        <f t="shared" si="4"/>
        <v>78</v>
      </c>
      <c r="I20" s="68">
        <f t="shared" si="5"/>
        <v>84</v>
      </c>
      <c r="J20" s="68">
        <f t="shared" si="6"/>
        <v>79</v>
      </c>
      <c r="K20" s="68">
        <f t="shared" si="7"/>
        <v>75</v>
      </c>
      <c r="L20" s="68">
        <f t="shared" si="8"/>
        <v>83</v>
      </c>
      <c r="M20" s="68">
        <f t="shared" si="9"/>
        <v>67</v>
      </c>
      <c r="N20" s="69">
        <f t="shared" si="10"/>
        <v>97</v>
      </c>
      <c r="O20" s="69">
        <f t="shared" si="11"/>
        <v>80</v>
      </c>
      <c r="P20" s="69">
        <f t="shared" si="12"/>
        <v>75</v>
      </c>
      <c r="Q20" s="69">
        <f t="shared" si="13"/>
        <v>80</v>
      </c>
      <c r="R20" s="69">
        <f t="shared" si="14"/>
        <v>80</v>
      </c>
      <c r="S20" s="234">
        <f t="shared" si="15"/>
        <v>95</v>
      </c>
      <c r="T20" s="234">
        <f t="shared" si="16"/>
        <v>90</v>
      </c>
      <c r="U20" s="234">
        <f t="shared" si="17"/>
        <v>60</v>
      </c>
      <c r="V20" s="234">
        <f t="shared" si="18"/>
        <v>85</v>
      </c>
      <c r="W20" s="234">
        <f t="shared" si="19"/>
        <v>70</v>
      </c>
      <c r="X20" s="234">
        <f t="shared" si="20"/>
        <v>68</v>
      </c>
      <c r="Y20" s="70">
        <f t="shared" si="21"/>
        <v>1184</v>
      </c>
      <c r="Z20" s="71">
        <f t="shared" si="22"/>
        <v>78.933333333333337</v>
      </c>
      <c r="AA20" s="101">
        <f t="shared" si="23"/>
        <v>17</v>
      </c>
      <c r="AB20" s="73" t="s">
        <v>805</v>
      </c>
      <c r="AC20" s="73" t="s">
        <v>805</v>
      </c>
      <c r="AD20" s="73" t="s">
        <v>805</v>
      </c>
      <c r="AE20" s="74">
        <v>10</v>
      </c>
      <c r="AF20" s="74">
        <v>0</v>
      </c>
      <c r="AG20" s="74">
        <v>0</v>
      </c>
      <c r="AH20" s="75"/>
      <c r="AJ20" s="141">
        <v>12</v>
      </c>
      <c r="AK20" s="142">
        <v>23240018</v>
      </c>
      <c r="AL20" s="81" t="s">
        <v>572</v>
      </c>
      <c r="AM20" s="68">
        <v>78.3</v>
      </c>
      <c r="AN20" s="68">
        <v>80</v>
      </c>
      <c r="AO20" s="68">
        <v>67</v>
      </c>
      <c r="AP20" s="68">
        <v>81.3</v>
      </c>
      <c r="AQ20" s="68">
        <v>77.5</v>
      </c>
      <c r="AR20" s="68">
        <v>83.5</v>
      </c>
      <c r="AS20" s="68">
        <v>79</v>
      </c>
      <c r="AT20" s="68">
        <v>74.900000000000006</v>
      </c>
      <c r="AU20" s="68">
        <v>82.5</v>
      </c>
      <c r="AV20" s="68">
        <v>67</v>
      </c>
      <c r="AW20" s="76">
        <v>97</v>
      </c>
      <c r="AX20" s="76">
        <v>80</v>
      </c>
      <c r="AY20" s="76">
        <v>75</v>
      </c>
      <c r="AZ20" s="76">
        <v>80</v>
      </c>
      <c r="BA20" s="76">
        <v>80</v>
      </c>
      <c r="BB20" s="240">
        <v>95</v>
      </c>
      <c r="BC20" s="240">
        <v>90</v>
      </c>
      <c r="BD20" s="240">
        <v>60</v>
      </c>
      <c r="BE20" s="240">
        <v>85</v>
      </c>
      <c r="BF20" s="240">
        <v>70</v>
      </c>
      <c r="BG20" s="240">
        <v>67.5</v>
      </c>
      <c r="BH20" s="70">
        <f t="shared" si="24"/>
        <v>1183</v>
      </c>
      <c r="BI20" s="71">
        <f t="shared" si="25"/>
        <v>78.86666666666666</v>
      </c>
      <c r="BJ20" s="101" t="e">
        <f t="shared" si="26"/>
        <v>#N/A</v>
      </c>
      <c r="BK20" s="73"/>
      <c r="BL20" s="73"/>
      <c r="BM20" s="73"/>
      <c r="BN20" s="74"/>
      <c r="BO20" s="74"/>
      <c r="BP20" s="74"/>
      <c r="BQ20" s="75"/>
    </row>
    <row r="21" spans="1:69" ht="23.1" customHeight="1">
      <c r="A21" s="141">
        <v>18</v>
      </c>
      <c r="B21" s="142">
        <v>22230078</v>
      </c>
      <c r="C21" s="81" t="s">
        <v>582</v>
      </c>
      <c r="D21" s="68">
        <f t="shared" si="0"/>
        <v>86</v>
      </c>
      <c r="E21" s="68">
        <f t="shared" si="1"/>
        <v>73</v>
      </c>
      <c r="F21" s="68">
        <f t="shared" si="2"/>
        <v>65</v>
      </c>
      <c r="G21" s="68">
        <f t="shared" si="3"/>
        <v>70</v>
      </c>
      <c r="H21" s="68">
        <f t="shared" si="4"/>
        <v>89</v>
      </c>
      <c r="I21" s="68">
        <f t="shared" si="5"/>
        <v>92</v>
      </c>
      <c r="J21" s="68">
        <f t="shared" si="6"/>
        <v>89</v>
      </c>
      <c r="K21" s="68">
        <f t="shared" si="7"/>
        <v>75</v>
      </c>
      <c r="L21" s="68">
        <f t="shared" si="8"/>
        <v>79</v>
      </c>
      <c r="M21" s="68">
        <f t="shared" si="9"/>
        <v>68</v>
      </c>
      <c r="N21" s="69">
        <f t="shared" si="10"/>
        <v>90</v>
      </c>
      <c r="O21" s="69">
        <f t="shared" si="11"/>
        <v>40</v>
      </c>
      <c r="P21" s="69">
        <f t="shared" si="12"/>
        <v>75</v>
      </c>
      <c r="Q21" s="69">
        <f t="shared" si="13"/>
        <v>90</v>
      </c>
      <c r="R21" s="69">
        <f t="shared" si="14"/>
        <v>75</v>
      </c>
      <c r="S21" s="234">
        <f t="shared" si="15"/>
        <v>75</v>
      </c>
      <c r="T21" s="234">
        <f t="shared" si="16"/>
        <v>73</v>
      </c>
      <c r="U21" s="234">
        <f t="shared" si="17"/>
        <v>63</v>
      </c>
      <c r="V21" s="234">
        <f t="shared" si="18"/>
        <v>74</v>
      </c>
      <c r="W21" s="234">
        <f t="shared" si="19"/>
        <v>63</v>
      </c>
      <c r="X21" s="234">
        <f t="shared" si="20"/>
        <v>58</v>
      </c>
      <c r="Y21" s="70">
        <f t="shared" si="21"/>
        <v>1156</v>
      </c>
      <c r="Z21" s="71">
        <f t="shared" si="22"/>
        <v>77.066666666666663</v>
      </c>
      <c r="AA21" s="101">
        <f t="shared" si="23"/>
        <v>18</v>
      </c>
      <c r="AB21" s="73" t="s">
        <v>806</v>
      </c>
      <c r="AC21" s="73" t="s">
        <v>806</v>
      </c>
      <c r="AD21" s="73" t="s">
        <v>806</v>
      </c>
      <c r="AE21" s="74">
        <v>0</v>
      </c>
      <c r="AF21" s="74">
        <v>0</v>
      </c>
      <c r="AG21" s="74">
        <v>0</v>
      </c>
      <c r="AH21" s="75"/>
      <c r="AJ21" s="141">
        <v>22</v>
      </c>
      <c r="AK21" s="142">
        <v>22230078</v>
      </c>
      <c r="AL21" s="81" t="s">
        <v>582</v>
      </c>
      <c r="AM21" s="68">
        <v>86</v>
      </c>
      <c r="AN21" s="68">
        <v>72.5</v>
      </c>
      <c r="AO21" s="68">
        <v>65</v>
      </c>
      <c r="AP21" s="68">
        <v>69.5</v>
      </c>
      <c r="AQ21" s="68">
        <v>88.5</v>
      </c>
      <c r="AR21" s="68">
        <v>91.5</v>
      </c>
      <c r="AS21" s="68">
        <v>89</v>
      </c>
      <c r="AT21" s="68">
        <v>74.599999999999994</v>
      </c>
      <c r="AU21" s="68">
        <v>79.099999999999994</v>
      </c>
      <c r="AV21" s="68">
        <v>68</v>
      </c>
      <c r="AW21" s="76">
        <v>90</v>
      </c>
      <c r="AX21" s="76">
        <v>6</v>
      </c>
      <c r="AY21" s="76">
        <v>75</v>
      </c>
      <c r="AZ21" s="76">
        <v>90</v>
      </c>
      <c r="BA21" s="76">
        <v>75</v>
      </c>
      <c r="BB21" s="240">
        <v>75</v>
      </c>
      <c r="BC21" s="240">
        <v>72.5</v>
      </c>
      <c r="BD21" s="240">
        <v>62.5</v>
      </c>
      <c r="BE21" s="240">
        <v>74</v>
      </c>
      <c r="BF21" s="240">
        <v>62.5</v>
      </c>
      <c r="BG21" s="240">
        <v>57.5</v>
      </c>
      <c r="BH21" s="70">
        <f t="shared" si="24"/>
        <v>1119.7</v>
      </c>
      <c r="BI21" s="71">
        <f t="shared" si="25"/>
        <v>74.646666666666675</v>
      </c>
      <c r="BJ21" s="101" t="e">
        <f t="shared" si="26"/>
        <v>#N/A</v>
      </c>
      <c r="BK21" s="73"/>
      <c r="BL21" s="73"/>
      <c r="BM21" s="73"/>
      <c r="BN21" s="74"/>
      <c r="BO21" s="74"/>
      <c r="BP21" s="74"/>
      <c r="BQ21" s="75"/>
    </row>
    <row r="22" spans="1:69" ht="23.1" customHeight="1">
      <c r="A22" s="141">
        <v>19</v>
      </c>
      <c r="B22" s="142">
        <v>22230191</v>
      </c>
      <c r="C22" s="81" t="s">
        <v>581</v>
      </c>
      <c r="D22" s="68">
        <f t="shared" si="0"/>
        <v>85</v>
      </c>
      <c r="E22" s="68">
        <f t="shared" si="1"/>
        <v>84</v>
      </c>
      <c r="F22" s="68">
        <f t="shared" si="2"/>
        <v>72</v>
      </c>
      <c r="G22" s="68">
        <f t="shared" si="3"/>
        <v>72</v>
      </c>
      <c r="H22" s="68">
        <f t="shared" si="4"/>
        <v>76</v>
      </c>
      <c r="I22" s="68">
        <f t="shared" si="5"/>
        <v>75</v>
      </c>
      <c r="J22" s="68">
        <f t="shared" si="6"/>
        <v>79</v>
      </c>
      <c r="K22" s="68">
        <f t="shared" si="7"/>
        <v>72</v>
      </c>
      <c r="L22" s="68">
        <f t="shared" si="8"/>
        <v>69</v>
      </c>
      <c r="M22" s="68">
        <f t="shared" si="9"/>
        <v>62</v>
      </c>
      <c r="N22" s="69">
        <f t="shared" si="10"/>
        <v>80</v>
      </c>
      <c r="O22" s="69">
        <f t="shared" si="11"/>
        <v>80</v>
      </c>
      <c r="P22" s="69">
        <f t="shared" si="12"/>
        <v>90</v>
      </c>
      <c r="Q22" s="69">
        <f t="shared" si="13"/>
        <v>80</v>
      </c>
      <c r="R22" s="69">
        <f t="shared" si="14"/>
        <v>75</v>
      </c>
      <c r="S22" s="234">
        <f t="shared" si="15"/>
        <v>95</v>
      </c>
      <c r="T22" s="234">
        <f t="shared" si="16"/>
        <v>93</v>
      </c>
      <c r="U22" s="234">
        <f t="shared" si="17"/>
        <v>70</v>
      </c>
      <c r="V22" s="234">
        <f t="shared" si="18"/>
        <v>80</v>
      </c>
      <c r="W22" s="234">
        <f t="shared" si="19"/>
        <v>70</v>
      </c>
      <c r="X22" s="234">
        <f t="shared" si="20"/>
        <v>80</v>
      </c>
      <c r="Y22" s="70">
        <f t="shared" si="21"/>
        <v>1151</v>
      </c>
      <c r="Z22" s="71">
        <f t="shared" si="22"/>
        <v>76.733333333333334</v>
      </c>
      <c r="AA22" s="101">
        <f t="shared" si="23"/>
        <v>19</v>
      </c>
      <c r="AB22" s="73" t="s">
        <v>805</v>
      </c>
      <c r="AC22" s="73" t="s">
        <v>805</v>
      </c>
      <c r="AD22" s="73" t="s">
        <v>805</v>
      </c>
      <c r="AE22" s="74">
        <v>34</v>
      </c>
      <c r="AF22" s="74">
        <v>13</v>
      </c>
      <c r="AG22" s="74">
        <v>1</v>
      </c>
      <c r="AH22" s="75"/>
      <c r="AJ22" s="141">
        <v>21</v>
      </c>
      <c r="AK22" s="142">
        <v>22230191</v>
      </c>
      <c r="AL22" s="81" t="s">
        <v>581</v>
      </c>
      <c r="AM22" s="68">
        <v>84.9</v>
      </c>
      <c r="AN22" s="68">
        <v>84</v>
      </c>
      <c r="AO22" s="68">
        <v>71.5</v>
      </c>
      <c r="AP22" s="68">
        <v>72</v>
      </c>
      <c r="AQ22" s="68">
        <v>75.5</v>
      </c>
      <c r="AR22" s="68">
        <v>75</v>
      </c>
      <c r="AS22" s="68">
        <v>79.099999999999994</v>
      </c>
      <c r="AT22" s="68">
        <v>72</v>
      </c>
      <c r="AU22" s="68">
        <v>69</v>
      </c>
      <c r="AV22" s="68">
        <v>62.2</v>
      </c>
      <c r="AW22" s="76">
        <v>80</v>
      </c>
      <c r="AX22" s="76">
        <v>80</v>
      </c>
      <c r="AY22" s="76">
        <v>90</v>
      </c>
      <c r="AZ22" s="76">
        <v>80</v>
      </c>
      <c r="BA22" s="76">
        <v>75</v>
      </c>
      <c r="BB22" s="240">
        <v>95</v>
      </c>
      <c r="BC22" s="240">
        <v>92.5</v>
      </c>
      <c r="BD22" s="240">
        <v>70</v>
      </c>
      <c r="BE22" s="240">
        <v>80</v>
      </c>
      <c r="BF22" s="240">
        <v>70</v>
      </c>
      <c r="BG22" s="240">
        <v>80</v>
      </c>
      <c r="BH22" s="70">
        <f t="shared" si="24"/>
        <v>1150.2</v>
      </c>
      <c r="BI22" s="71">
        <f t="shared" si="25"/>
        <v>76.680000000000007</v>
      </c>
      <c r="BJ22" s="101" t="e">
        <f t="shared" si="26"/>
        <v>#N/A</v>
      </c>
      <c r="BK22" s="73"/>
      <c r="BL22" s="73"/>
      <c r="BM22" s="73"/>
      <c r="BN22" s="74"/>
      <c r="BO22" s="74"/>
      <c r="BP22" s="74"/>
      <c r="BQ22" s="75"/>
    </row>
    <row r="23" spans="1:69" ht="23.1" customHeight="1">
      <c r="A23" s="141">
        <v>20</v>
      </c>
      <c r="B23" s="142">
        <v>23240127</v>
      </c>
      <c r="C23" s="81" t="s">
        <v>578</v>
      </c>
      <c r="D23" s="68">
        <f t="shared" si="0"/>
        <v>85</v>
      </c>
      <c r="E23" s="68">
        <f t="shared" si="1"/>
        <v>80</v>
      </c>
      <c r="F23" s="68">
        <f t="shared" si="2"/>
        <v>66</v>
      </c>
      <c r="G23" s="68">
        <f t="shared" si="3"/>
        <v>70</v>
      </c>
      <c r="H23" s="68">
        <f t="shared" si="4"/>
        <v>77</v>
      </c>
      <c r="I23" s="68">
        <f t="shared" si="5"/>
        <v>93</v>
      </c>
      <c r="J23" s="68">
        <f t="shared" si="6"/>
        <v>77</v>
      </c>
      <c r="K23" s="68">
        <f t="shared" si="7"/>
        <v>71</v>
      </c>
      <c r="L23" s="68">
        <f t="shared" si="8"/>
        <v>64</v>
      </c>
      <c r="M23" s="68">
        <f t="shared" si="9"/>
        <v>65</v>
      </c>
      <c r="N23" s="69">
        <f t="shared" si="10"/>
        <v>79</v>
      </c>
      <c r="O23" s="69">
        <f t="shared" si="11"/>
        <v>79</v>
      </c>
      <c r="P23" s="69">
        <f t="shared" si="12"/>
        <v>80</v>
      </c>
      <c r="Q23" s="69">
        <f t="shared" si="13"/>
        <v>80</v>
      </c>
      <c r="R23" s="69">
        <f t="shared" si="14"/>
        <v>75</v>
      </c>
      <c r="S23" s="234">
        <f t="shared" si="15"/>
        <v>90</v>
      </c>
      <c r="T23" s="234">
        <f t="shared" si="16"/>
        <v>88</v>
      </c>
      <c r="U23" s="234">
        <f t="shared" si="17"/>
        <v>65</v>
      </c>
      <c r="V23" s="234">
        <f t="shared" si="18"/>
        <v>88</v>
      </c>
      <c r="W23" s="234">
        <f t="shared" si="19"/>
        <v>65</v>
      </c>
      <c r="X23" s="234">
        <f t="shared" si="20"/>
        <v>70</v>
      </c>
      <c r="Y23" s="70">
        <f t="shared" si="21"/>
        <v>1141</v>
      </c>
      <c r="Z23" s="71">
        <f t="shared" si="22"/>
        <v>76.066666666666663</v>
      </c>
      <c r="AA23" s="101">
        <f t="shared" si="23"/>
        <v>20</v>
      </c>
      <c r="AB23" s="73" t="s">
        <v>805</v>
      </c>
      <c r="AC23" s="73" t="s">
        <v>805</v>
      </c>
      <c r="AD23" s="73" t="s">
        <v>805</v>
      </c>
      <c r="AE23" s="74">
        <v>11</v>
      </c>
      <c r="AF23" s="74">
        <v>0</v>
      </c>
      <c r="AG23" s="74">
        <v>0</v>
      </c>
      <c r="AH23" s="75"/>
      <c r="AJ23" s="141">
        <v>18</v>
      </c>
      <c r="AK23" s="142">
        <v>23240127</v>
      </c>
      <c r="AL23" s="81" t="s">
        <v>578</v>
      </c>
      <c r="AM23" s="68">
        <v>85.3</v>
      </c>
      <c r="AN23" s="68">
        <v>79.5</v>
      </c>
      <c r="AO23" s="68">
        <v>66</v>
      </c>
      <c r="AP23" s="68">
        <v>70</v>
      </c>
      <c r="AQ23" s="68">
        <v>76.5</v>
      </c>
      <c r="AR23" s="68">
        <v>93</v>
      </c>
      <c r="AS23" s="68">
        <v>76.5</v>
      </c>
      <c r="AT23" s="68">
        <v>71.2</v>
      </c>
      <c r="AU23" s="68">
        <v>63.5</v>
      </c>
      <c r="AV23" s="68">
        <v>65</v>
      </c>
      <c r="AW23" s="76">
        <v>79</v>
      </c>
      <c r="AX23" s="76">
        <v>79</v>
      </c>
      <c r="AY23" s="76">
        <v>80</v>
      </c>
      <c r="AZ23" s="76">
        <v>80</v>
      </c>
      <c r="BA23" s="76">
        <v>75</v>
      </c>
      <c r="BB23" s="240">
        <v>90</v>
      </c>
      <c r="BC23" s="240">
        <v>87.5</v>
      </c>
      <c r="BD23" s="240">
        <v>65</v>
      </c>
      <c r="BE23" s="240">
        <v>87.5</v>
      </c>
      <c r="BF23" s="240">
        <v>65</v>
      </c>
      <c r="BG23" s="240">
        <v>70</v>
      </c>
      <c r="BH23" s="70">
        <f t="shared" si="24"/>
        <v>1139.5</v>
      </c>
      <c r="BI23" s="71">
        <f t="shared" si="25"/>
        <v>75.966666666666669</v>
      </c>
      <c r="BJ23" s="101" t="e">
        <f t="shared" si="26"/>
        <v>#N/A</v>
      </c>
      <c r="BK23" s="73"/>
      <c r="BL23" s="73"/>
      <c r="BM23" s="73"/>
      <c r="BN23" s="74"/>
      <c r="BO23" s="74"/>
      <c r="BP23" s="74"/>
      <c r="BQ23" s="75"/>
    </row>
    <row r="24" spans="1:69" ht="23.1" customHeight="1">
      <c r="A24" s="141">
        <v>21</v>
      </c>
      <c r="B24" s="142">
        <v>23240003</v>
      </c>
      <c r="C24" s="81" t="s">
        <v>573</v>
      </c>
      <c r="D24" s="68">
        <f t="shared" si="0"/>
        <v>64</v>
      </c>
      <c r="E24" s="68">
        <f t="shared" si="1"/>
        <v>65</v>
      </c>
      <c r="F24" s="68">
        <f t="shared" si="2"/>
        <v>67</v>
      </c>
      <c r="G24" s="68">
        <f t="shared" si="3"/>
        <v>71</v>
      </c>
      <c r="H24" s="68">
        <f t="shared" si="4"/>
        <v>73</v>
      </c>
      <c r="I24" s="68">
        <f t="shared" si="5"/>
        <v>68</v>
      </c>
      <c r="J24" s="68">
        <f t="shared" si="6"/>
        <v>73</v>
      </c>
      <c r="K24" s="68">
        <f t="shared" si="7"/>
        <v>68</v>
      </c>
      <c r="L24" s="68">
        <f t="shared" si="8"/>
        <v>65</v>
      </c>
      <c r="M24" s="68">
        <f t="shared" si="9"/>
        <v>64</v>
      </c>
      <c r="N24" s="69">
        <f t="shared" si="10"/>
        <v>79</v>
      </c>
      <c r="O24" s="69">
        <f t="shared" si="11"/>
        <v>90</v>
      </c>
      <c r="P24" s="69">
        <f t="shared" si="12"/>
        <v>89</v>
      </c>
      <c r="Q24" s="69">
        <f t="shared" si="13"/>
        <v>75</v>
      </c>
      <c r="R24" s="69">
        <f t="shared" si="14"/>
        <v>70</v>
      </c>
      <c r="S24" s="234">
        <f t="shared" si="15"/>
        <v>95</v>
      </c>
      <c r="T24" s="234">
        <f t="shared" si="16"/>
        <v>88</v>
      </c>
      <c r="U24" s="234">
        <f t="shared" si="17"/>
        <v>75</v>
      </c>
      <c r="V24" s="234">
        <f t="shared" si="18"/>
        <v>93</v>
      </c>
      <c r="W24" s="234">
        <f t="shared" si="19"/>
        <v>73</v>
      </c>
      <c r="X24" s="234">
        <f t="shared" si="20"/>
        <v>75</v>
      </c>
      <c r="Y24" s="70">
        <f t="shared" si="21"/>
        <v>1081</v>
      </c>
      <c r="Z24" s="71">
        <f t="shared" si="22"/>
        <v>72.066666666666663</v>
      </c>
      <c r="AA24" s="101">
        <f t="shared" si="23"/>
        <v>21</v>
      </c>
      <c r="AB24" s="73" t="s">
        <v>805</v>
      </c>
      <c r="AC24" s="73" t="s">
        <v>805</v>
      </c>
      <c r="AD24" s="73" t="s">
        <v>805</v>
      </c>
      <c r="AE24" s="74">
        <v>4</v>
      </c>
      <c r="AF24" s="74">
        <v>0</v>
      </c>
      <c r="AG24" s="74">
        <v>0</v>
      </c>
      <c r="AH24" s="75"/>
      <c r="AJ24" s="141">
        <v>13</v>
      </c>
      <c r="AK24" s="142">
        <v>23240003</v>
      </c>
      <c r="AL24" s="81" t="s">
        <v>573</v>
      </c>
      <c r="AM24" s="68">
        <v>64.3</v>
      </c>
      <c r="AN24" s="68">
        <v>64.5</v>
      </c>
      <c r="AO24" s="68">
        <v>67</v>
      </c>
      <c r="AP24" s="68">
        <v>71</v>
      </c>
      <c r="AQ24" s="68">
        <v>73</v>
      </c>
      <c r="AR24" s="68">
        <v>67.5</v>
      </c>
      <c r="AS24" s="68">
        <v>73</v>
      </c>
      <c r="AT24" s="68">
        <v>68</v>
      </c>
      <c r="AU24" s="68">
        <v>64.5</v>
      </c>
      <c r="AV24" s="68">
        <v>64</v>
      </c>
      <c r="AW24" s="76">
        <v>79</v>
      </c>
      <c r="AX24" s="76">
        <v>90</v>
      </c>
      <c r="AY24" s="76">
        <v>89</v>
      </c>
      <c r="AZ24" s="76">
        <v>75</v>
      </c>
      <c r="BA24" s="76">
        <v>70</v>
      </c>
      <c r="BB24" s="240">
        <v>95</v>
      </c>
      <c r="BC24" s="240">
        <v>87.5</v>
      </c>
      <c r="BD24" s="240">
        <v>75</v>
      </c>
      <c r="BE24" s="240">
        <v>92.5</v>
      </c>
      <c r="BF24" s="240">
        <v>72.5</v>
      </c>
      <c r="BG24" s="240">
        <v>75</v>
      </c>
      <c r="BH24" s="70">
        <f t="shared" si="24"/>
        <v>1079.8</v>
      </c>
      <c r="BI24" s="71">
        <f t="shared" si="25"/>
        <v>71.986666666666665</v>
      </c>
      <c r="BJ24" s="101" t="e">
        <f t="shared" si="26"/>
        <v>#N/A</v>
      </c>
      <c r="BK24" s="73"/>
      <c r="BL24" s="73"/>
      <c r="BM24" s="73"/>
      <c r="BN24" s="74"/>
      <c r="BO24" s="74"/>
      <c r="BP24" s="74"/>
      <c r="BQ24" s="75"/>
    </row>
    <row r="25" spans="1:69" ht="23.1" customHeight="1">
      <c r="A25" s="141">
        <v>22</v>
      </c>
      <c r="B25" s="142">
        <v>22230011</v>
      </c>
      <c r="C25" s="144" t="s">
        <v>563</v>
      </c>
      <c r="D25" s="68">
        <f t="shared" si="0"/>
        <v>64</v>
      </c>
      <c r="E25" s="68">
        <f t="shared" si="1"/>
        <v>67</v>
      </c>
      <c r="F25" s="68">
        <f t="shared" si="2"/>
        <v>63</v>
      </c>
      <c r="G25" s="68">
        <f t="shared" si="3"/>
        <v>71</v>
      </c>
      <c r="H25" s="68">
        <f t="shared" si="4"/>
        <v>75</v>
      </c>
      <c r="I25" s="68">
        <f t="shared" si="5"/>
        <v>67</v>
      </c>
      <c r="J25" s="68">
        <f t="shared" si="6"/>
        <v>75</v>
      </c>
      <c r="K25" s="68">
        <f t="shared" si="7"/>
        <v>61</v>
      </c>
      <c r="L25" s="68">
        <f t="shared" si="8"/>
        <v>50</v>
      </c>
      <c r="M25" s="68">
        <f t="shared" si="9"/>
        <v>64</v>
      </c>
      <c r="N25" s="69">
        <f t="shared" si="10"/>
        <v>80</v>
      </c>
      <c r="O25" s="69">
        <f t="shared" si="11"/>
        <v>75</v>
      </c>
      <c r="P25" s="69">
        <f t="shared" si="12"/>
        <v>89</v>
      </c>
      <c r="Q25" s="69">
        <f t="shared" si="13"/>
        <v>75</v>
      </c>
      <c r="R25" s="69">
        <f t="shared" si="14"/>
        <v>60</v>
      </c>
      <c r="S25" s="234">
        <f t="shared" si="15"/>
        <v>60</v>
      </c>
      <c r="T25" s="234">
        <f t="shared" si="16"/>
        <v>75</v>
      </c>
      <c r="U25" s="234">
        <f t="shared" si="17"/>
        <v>68</v>
      </c>
      <c r="V25" s="234">
        <f t="shared" si="18"/>
        <v>60</v>
      </c>
      <c r="W25" s="234">
        <f t="shared" si="19"/>
        <v>60</v>
      </c>
      <c r="X25" s="234">
        <f t="shared" si="20"/>
        <v>65</v>
      </c>
      <c r="Y25" s="70">
        <f t="shared" si="21"/>
        <v>1036</v>
      </c>
      <c r="Z25" s="71">
        <f t="shared" si="22"/>
        <v>69.066666666666663</v>
      </c>
      <c r="AA25" s="101">
        <f t="shared" si="23"/>
        <v>22</v>
      </c>
      <c r="AB25" s="73" t="s">
        <v>805</v>
      </c>
      <c r="AC25" s="73" t="s">
        <v>805</v>
      </c>
      <c r="AD25" s="73" t="s">
        <v>805</v>
      </c>
      <c r="AE25" s="74">
        <v>0</v>
      </c>
      <c r="AF25" s="74">
        <v>0</v>
      </c>
      <c r="AG25" s="74">
        <v>0</v>
      </c>
      <c r="AH25" s="75"/>
      <c r="AJ25" s="141">
        <v>3</v>
      </c>
      <c r="AK25" s="142">
        <v>22230011</v>
      </c>
      <c r="AL25" s="144" t="s">
        <v>563</v>
      </c>
      <c r="AM25" s="68">
        <v>63.5</v>
      </c>
      <c r="AN25" s="68">
        <v>67</v>
      </c>
      <c r="AO25" s="68">
        <v>63</v>
      </c>
      <c r="AP25" s="68">
        <v>70.5</v>
      </c>
      <c r="AQ25" s="68">
        <v>74.5</v>
      </c>
      <c r="AR25" s="68">
        <v>67</v>
      </c>
      <c r="AS25" s="68">
        <v>74.5</v>
      </c>
      <c r="AT25" s="68">
        <v>61.2</v>
      </c>
      <c r="AU25" s="68">
        <v>49.5</v>
      </c>
      <c r="AV25" s="68">
        <v>63.5</v>
      </c>
      <c r="AW25" s="76">
        <v>80</v>
      </c>
      <c r="AX25" s="76">
        <v>75</v>
      </c>
      <c r="AY25" s="76">
        <v>89</v>
      </c>
      <c r="AZ25" s="76">
        <v>75</v>
      </c>
      <c r="BA25" s="76">
        <v>60</v>
      </c>
      <c r="BB25" s="240">
        <v>60</v>
      </c>
      <c r="BC25" s="240">
        <v>75</v>
      </c>
      <c r="BD25" s="240">
        <v>67.5</v>
      </c>
      <c r="BE25" s="240">
        <v>60</v>
      </c>
      <c r="BF25" s="240">
        <v>60</v>
      </c>
      <c r="BG25" s="240">
        <v>65</v>
      </c>
      <c r="BH25" s="70">
        <f t="shared" si="24"/>
        <v>1033.2</v>
      </c>
      <c r="BI25" s="71">
        <f t="shared" si="25"/>
        <v>68.88000000000001</v>
      </c>
      <c r="BJ25" s="101" t="e">
        <f t="shared" si="26"/>
        <v>#N/A</v>
      </c>
      <c r="BK25" s="73"/>
      <c r="BL25" s="73"/>
      <c r="BM25" s="73"/>
      <c r="BN25" s="74"/>
      <c r="BO25" s="74"/>
      <c r="BP25" s="74"/>
      <c r="BQ25" s="75"/>
    </row>
    <row r="26" spans="1:69" ht="23.1" customHeight="1">
      <c r="A26" s="141">
        <v>23</v>
      </c>
      <c r="B26" s="142">
        <v>23240083</v>
      </c>
      <c r="C26" s="143" t="s">
        <v>562</v>
      </c>
      <c r="D26" s="68">
        <f t="shared" si="0"/>
        <v>57</v>
      </c>
      <c r="E26" s="68">
        <f t="shared" si="1"/>
        <v>65</v>
      </c>
      <c r="F26" s="68">
        <f t="shared" si="2"/>
        <v>64</v>
      </c>
      <c r="G26" s="68">
        <f t="shared" si="3"/>
        <v>69</v>
      </c>
      <c r="H26" s="68">
        <f t="shared" si="4"/>
        <v>75</v>
      </c>
      <c r="I26" s="68">
        <f t="shared" si="5"/>
        <v>64</v>
      </c>
      <c r="J26" s="68">
        <f t="shared" si="6"/>
        <v>75</v>
      </c>
      <c r="K26" s="68">
        <f t="shared" si="7"/>
        <v>56</v>
      </c>
      <c r="L26" s="68">
        <f t="shared" si="8"/>
        <v>56</v>
      </c>
      <c r="M26" s="68">
        <f t="shared" si="9"/>
        <v>65</v>
      </c>
      <c r="N26" s="69">
        <f t="shared" si="10"/>
        <v>79</v>
      </c>
      <c r="O26" s="69">
        <f t="shared" si="11"/>
        <v>85</v>
      </c>
      <c r="P26" s="69">
        <f t="shared" si="12"/>
        <v>75</v>
      </c>
      <c r="Q26" s="69">
        <f t="shared" si="13"/>
        <v>75</v>
      </c>
      <c r="R26" s="69">
        <f t="shared" si="14"/>
        <v>65</v>
      </c>
      <c r="S26" s="234">
        <f t="shared" si="15"/>
        <v>95</v>
      </c>
      <c r="T26" s="234">
        <f t="shared" si="16"/>
        <v>90</v>
      </c>
      <c r="U26" s="234">
        <f t="shared" si="17"/>
        <v>65</v>
      </c>
      <c r="V26" s="234">
        <f t="shared" si="18"/>
        <v>90</v>
      </c>
      <c r="W26" s="234">
        <f t="shared" si="19"/>
        <v>65</v>
      </c>
      <c r="X26" s="234">
        <f t="shared" si="20"/>
        <v>80</v>
      </c>
      <c r="Y26" s="70">
        <f t="shared" si="21"/>
        <v>1025</v>
      </c>
      <c r="Z26" s="71">
        <f t="shared" si="22"/>
        <v>68.333333333333329</v>
      </c>
      <c r="AA26" s="101">
        <f t="shared" si="23"/>
        <v>23</v>
      </c>
      <c r="AB26" s="73" t="s">
        <v>805</v>
      </c>
      <c r="AC26" s="73" t="s">
        <v>805</v>
      </c>
      <c r="AD26" s="73" t="s">
        <v>805</v>
      </c>
      <c r="AE26" s="74">
        <v>5</v>
      </c>
      <c r="AF26" s="74">
        <v>0</v>
      </c>
      <c r="AG26" s="74">
        <v>0</v>
      </c>
      <c r="AH26" s="75"/>
      <c r="AJ26" s="141">
        <v>2</v>
      </c>
      <c r="AK26" s="142">
        <v>23240083</v>
      </c>
      <c r="AL26" s="143" t="s">
        <v>562</v>
      </c>
      <c r="AM26" s="68">
        <v>57</v>
      </c>
      <c r="AN26" s="68">
        <v>65</v>
      </c>
      <c r="AO26" s="68">
        <v>64</v>
      </c>
      <c r="AP26" s="68">
        <v>68.5</v>
      </c>
      <c r="AQ26" s="68">
        <v>74.5</v>
      </c>
      <c r="AR26" s="68">
        <v>63.5</v>
      </c>
      <c r="AS26" s="68">
        <v>74.5</v>
      </c>
      <c r="AT26" s="68">
        <v>55.7</v>
      </c>
      <c r="AU26" s="68">
        <v>56.4</v>
      </c>
      <c r="AV26" s="68">
        <v>64.5</v>
      </c>
      <c r="AW26" s="76">
        <v>79</v>
      </c>
      <c r="AX26" s="76">
        <v>85</v>
      </c>
      <c r="AY26" s="76">
        <v>75</v>
      </c>
      <c r="AZ26" s="76">
        <v>75</v>
      </c>
      <c r="BA26" s="76">
        <v>65</v>
      </c>
      <c r="BB26" s="240">
        <v>95</v>
      </c>
      <c r="BC26" s="240">
        <v>90</v>
      </c>
      <c r="BD26" s="240">
        <v>65</v>
      </c>
      <c r="BE26" s="240">
        <v>90</v>
      </c>
      <c r="BF26" s="240">
        <v>65</v>
      </c>
      <c r="BG26" s="240">
        <v>80</v>
      </c>
      <c r="BH26" s="70">
        <f t="shared" si="24"/>
        <v>1022.6</v>
      </c>
      <c r="BI26" s="71">
        <f t="shared" si="25"/>
        <v>68.173333333333332</v>
      </c>
      <c r="BJ26" s="101" t="e">
        <f t="shared" si="26"/>
        <v>#N/A</v>
      </c>
      <c r="BK26" s="73"/>
      <c r="BL26" s="73"/>
      <c r="BM26" s="73"/>
      <c r="BN26" s="74"/>
      <c r="BO26" s="74"/>
      <c r="BP26" s="74"/>
      <c r="BQ26" s="75"/>
    </row>
    <row r="27" spans="1:69" ht="23.1" customHeight="1">
      <c r="A27" s="141">
        <v>24</v>
      </c>
      <c r="B27" s="142">
        <v>23240181</v>
      </c>
      <c r="C27" s="81" t="s">
        <v>564</v>
      </c>
      <c r="D27" s="68">
        <f t="shared" si="0"/>
        <v>71</v>
      </c>
      <c r="E27" s="68">
        <f t="shared" si="1"/>
        <v>69</v>
      </c>
      <c r="F27" s="68">
        <f t="shared" si="2"/>
        <v>64</v>
      </c>
      <c r="G27" s="68">
        <f t="shared" si="3"/>
        <v>69</v>
      </c>
      <c r="H27" s="68">
        <f t="shared" si="4"/>
        <v>76</v>
      </c>
      <c r="I27" s="68">
        <f t="shared" si="5"/>
        <v>68</v>
      </c>
      <c r="J27" s="68">
        <f t="shared" si="6"/>
        <v>78</v>
      </c>
      <c r="K27" s="68">
        <f t="shared" si="7"/>
        <v>68</v>
      </c>
      <c r="L27" s="68">
        <f t="shared" si="8"/>
        <v>55</v>
      </c>
      <c r="M27" s="68">
        <f t="shared" si="9"/>
        <v>64</v>
      </c>
      <c r="N27" s="69">
        <f t="shared" si="10"/>
        <v>80</v>
      </c>
      <c r="O27" s="69">
        <f t="shared" si="11"/>
        <v>60</v>
      </c>
      <c r="P27" s="69">
        <f t="shared" si="12"/>
        <v>62</v>
      </c>
      <c r="Q27" s="69">
        <f t="shared" si="13"/>
        <v>75</v>
      </c>
      <c r="R27" s="69">
        <f t="shared" si="14"/>
        <v>65</v>
      </c>
      <c r="S27" s="234">
        <f t="shared" si="15"/>
        <v>88</v>
      </c>
      <c r="T27" s="234">
        <f t="shared" si="16"/>
        <v>78</v>
      </c>
      <c r="U27" s="234">
        <f t="shared" si="17"/>
        <v>60</v>
      </c>
      <c r="V27" s="234">
        <f t="shared" si="18"/>
        <v>78</v>
      </c>
      <c r="W27" s="234">
        <f t="shared" si="19"/>
        <v>73</v>
      </c>
      <c r="X27" s="234">
        <f t="shared" si="20"/>
        <v>65</v>
      </c>
      <c r="Y27" s="70">
        <f t="shared" si="21"/>
        <v>1024</v>
      </c>
      <c r="Z27" s="71">
        <f t="shared" si="22"/>
        <v>68.266666666666666</v>
      </c>
      <c r="AA27" s="101">
        <f t="shared" si="23"/>
        <v>24</v>
      </c>
      <c r="AB27" s="73" t="s">
        <v>805</v>
      </c>
      <c r="AC27" s="73" t="s">
        <v>805</v>
      </c>
      <c r="AD27" s="73" t="s">
        <v>805</v>
      </c>
      <c r="AE27" s="74">
        <v>0</v>
      </c>
      <c r="AF27" s="74">
        <v>0</v>
      </c>
      <c r="AG27" s="74">
        <v>0</v>
      </c>
      <c r="AH27" s="75"/>
      <c r="AJ27" s="141">
        <v>4</v>
      </c>
      <c r="AK27" s="142">
        <v>23240181</v>
      </c>
      <c r="AL27" s="81" t="s">
        <v>564</v>
      </c>
      <c r="AM27" s="68">
        <v>70.5</v>
      </c>
      <c r="AN27" s="68">
        <v>68.5</v>
      </c>
      <c r="AO27" s="68">
        <v>64</v>
      </c>
      <c r="AP27" s="68">
        <v>68.5</v>
      </c>
      <c r="AQ27" s="68">
        <v>76</v>
      </c>
      <c r="AR27" s="68">
        <v>67.5</v>
      </c>
      <c r="AS27" s="68">
        <v>78</v>
      </c>
      <c r="AT27" s="68">
        <v>67.7</v>
      </c>
      <c r="AU27" s="68">
        <v>54.6</v>
      </c>
      <c r="AV27" s="68">
        <v>64</v>
      </c>
      <c r="AW27" s="76">
        <v>80</v>
      </c>
      <c r="AX27" s="76">
        <v>60</v>
      </c>
      <c r="AY27" s="76">
        <v>62</v>
      </c>
      <c r="AZ27" s="76">
        <v>75</v>
      </c>
      <c r="BA27" s="76">
        <v>65</v>
      </c>
      <c r="BB27" s="240">
        <v>87.5</v>
      </c>
      <c r="BC27" s="240">
        <v>77.5</v>
      </c>
      <c r="BD27" s="240">
        <v>60</v>
      </c>
      <c r="BE27" s="240">
        <v>77.5</v>
      </c>
      <c r="BF27" s="240">
        <v>72.5</v>
      </c>
      <c r="BG27" s="240">
        <v>65</v>
      </c>
      <c r="BH27" s="70">
        <f t="shared" si="24"/>
        <v>1021.3000000000001</v>
      </c>
      <c r="BI27" s="71">
        <f t="shared" si="25"/>
        <v>68.086666666666673</v>
      </c>
      <c r="BJ27" s="101" t="e">
        <f t="shared" si="26"/>
        <v>#N/A</v>
      </c>
      <c r="BK27" s="73"/>
      <c r="BL27" s="73"/>
      <c r="BM27" s="73"/>
      <c r="BN27" s="74"/>
      <c r="BO27" s="74"/>
      <c r="BP27" s="74"/>
      <c r="BQ27" s="75"/>
    </row>
    <row r="28" spans="1:69" ht="23.1" customHeight="1">
      <c r="A28" s="141">
        <v>25</v>
      </c>
      <c r="B28" s="142">
        <v>20210269</v>
      </c>
      <c r="C28" s="81" t="s">
        <v>585</v>
      </c>
      <c r="D28" s="68">
        <f t="shared" si="0"/>
        <v>45</v>
      </c>
      <c r="E28" s="68">
        <f t="shared" si="1"/>
        <v>61</v>
      </c>
      <c r="F28" s="68">
        <f t="shared" si="2"/>
        <v>60</v>
      </c>
      <c r="G28" s="68">
        <f t="shared" si="3"/>
        <v>64</v>
      </c>
      <c r="H28" s="68">
        <f t="shared" si="4"/>
        <v>48</v>
      </c>
      <c r="I28" s="68">
        <f t="shared" si="5"/>
        <v>58</v>
      </c>
      <c r="J28" s="68">
        <f t="shared" si="6"/>
        <v>48</v>
      </c>
      <c r="K28" s="68">
        <f t="shared" si="7"/>
        <v>42</v>
      </c>
      <c r="L28" s="68">
        <f t="shared" si="8"/>
        <v>42</v>
      </c>
      <c r="M28" s="68">
        <f t="shared" si="9"/>
        <v>57</v>
      </c>
      <c r="N28" s="69">
        <f t="shared" si="10"/>
        <v>75</v>
      </c>
      <c r="O28" s="69">
        <f t="shared" si="11"/>
        <v>55</v>
      </c>
      <c r="P28" s="69">
        <f t="shared" si="12"/>
        <v>85</v>
      </c>
      <c r="Q28" s="69">
        <f t="shared" si="13"/>
        <v>70</v>
      </c>
      <c r="R28" s="69">
        <f t="shared" si="14"/>
        <v>60</v>
      </c>
      <c r="S28" s="234">
        <f t="shared" si="15"/>
        <v>88</v>
      </c>
      <c r="T28" s="234">
        <f t="shared" si="16"/>
        <v>80</v>
      </c>
      <c r="U28" s="234">
        <f t="shared" si="17"/>
        <v>65</v>
      </c>
      <c r="V28" s="234">
        <f t="shared" si="18"/>
        <v>88</v>
      </c>
      <c r="W28" s="234">
        <f t="shared" si="19"/>
        <v>73</v>
      </c>
      <c r="X28" s="234">
        <f t="shared" si="20"/>
        <v>70</v>
      </c>
      <c r="Y28" s="70">
        <f t="shared" si="21"/>
        <v>870</v>
      </c>
      <c r="Z28" s="71">
        <f t="shared" si="22"/>
        <v>58</v>
      </c>
      <c r="AA28" s="101">
        <f t="shared" si="23"/>
        <v>25</v>
      </c>
      <c r="AB28" s="73" t="s">
        <v>805</v>
      </c>
      <c r="AC28" s="73" t="s">
        <v>805</v>
      </c>
      <c r="AD28" s="73" t="s">
        <v>805</v>
      </c>
      <c r="AE28" s="74">
        <v>13</v>
      </c>
      <c r="AF28" s="74">
        <v>17</v>
      </c>
      <c r="AG28" s="74">
        <v>45</v>
      </c>
      <c r="AH28" s="75"/>
      <c r="AJ28" s="141">
        <v>25</v>
      </c>
      <c r="AK28" s="142">
        <v>20210269</v>
      </c>
      <c r="AL28" s="81" t="s">
        <v>585</v>
      </c>
      <c r="AM28" s="68">
        <v>45</v>
      </c>
      <c r="AN28" s="68">
        <v>60.5</v>
      </c>
      <c r="AO28" s="68">
        <v>60</v>
      </c>
      <c r="AP28" s="68">
        <v>63.5</v>
      </c>
      <c r="AQ28" s="68">
        <v>48</v>
      </c>
      <c r="AR28" s="68">
        <v>58</v>
      </c>
      <c r="AS28" s="68">
        <v>48</v>
      </c>
      <c r="AT28" s="68">
        <v>42</v>
      </c>
      <c r="AU28" s="68">
        <v>42</v>
      </c>
      <c r="AV28" s="68">
        <v>57</v>
      </c>
      <c r="AW28" s="76">
        <v>75</v>
      </c>
      <c r="AX28" s="76">
        <v>55</v>
      </c>
      <c r="AY28" s="76">
        <v>85</v>
      </c>
      <c r="AZ28" s="76">
        <v>70</v>
      </c>
      <c r="BA28" s="76">
        <v>60</v>
      </c>
      <c r="BB28" s="240">
        <v>87.5</v>
      </c>
      <c r="BC28" s="240">
        <v>80</v>
      </c>
      <c r="BD28" s="240">
        <v>65</v>
      </c>
      <c r="BE28" s="240">
        <v>87.5</v>
      </c>
      <c r="BF28" s="240">
        <v>72.5</v>
      </c>
      <c r="BG28" s="240">
        <v>70</v>
      </c>
      <c r="BH28" s="70">
        <f t="shared" si="24"/>
        <v>869</v>
      </c>
      <c r="BI28" s="71">
        <f t="shared" si="25"/>
        <v>57.93333333333333</v>
      </c>
      <c r="BJ28" s="101" t="e">
        <f t="shared" si="26"/>
        <v>#N/A</v>
      </c>
      <c r="BK28" s="73"/>
      <c r="BL28" s="73"/>
      <c r="BM28" s="73"/>
      <c r="BN28" s="74"/>
      <c r="BO28" s="74"/>
      <c r="BP28" s="74"/>
      <c r="BQ28" s="75"/>
    </row>
    <row r="29" spans="1:69">
      <c r="A29" s="267" t="s">
        <v>202</v>
      </c>
      <c r="B29" s="268"/>
      <c r="C29" s="269"/>
      <c r="D29" s="72">
        <f t="shared" ref="D29:R29" si="27">SUM(D4:D28)</f>
        <v>2079</v>
      </c>
      <c r="E29" s="72">
        <f t="shared" si="27"/>
        <v>2047</v>
      </c>
      <c r="F29" s="72">
        <f t="shared" si="27"/>
        <v>1945</v>
      </c>
      <c r="G29" s="72">
        <f t="shared" si="27"/>
        <v>1998</v>
      </c>
      <c r="H29" s="72">
        <f t="shared" si="27"/>
        <v>2031</v>
      </c>
      <c r="I29" s="72">
        <f t="shared" si="27"/>
        <v>2064</v>
      </c>
      <c r="J29" s="72">
        <f t="shared" si="27"/>
        <v>2040</v>
      </c>
      <c r="K29" s="72">
        <f t="shared" si="27"/>
        <v>2029</v>
      </c>
      <c r="L29" s="72">
        <f t="shared" si="27"/>
        <v>1902</v>
      </c>
      <c r="M29" s="72">
        <f t="shared" si="27"/>
        <v>1825</v>
      </c>
      <c r="N29" s="72">
        <f t="shared" si="27"/>
        <v>2099</v>
      </c>
      <c r="O29" s="72">
        <f t="shared" si="27"/>
        <v>2115</v>
      </c>
      <c r="P29" s="72">
        <f t="shared" si="27"/>
        <v>2184</v>
      </c>
      <c r="Q29" s="72">
        <f t="shared" si="27"/>
        <v>2075</v>
      </c>
      <c r="R29" s="72">
        <f t="shared" si="27"/>
        <v>1969</v>
      </c>
      <c r="S29" s="72"/>
      <c r="T29" s="72"/>
      <c r="U29" s="72"/>
      <c r="V29" s="72"/>
      <c r="W29" s="72"/>
      <c r="X29" s="72"/>
      <c r="Y29" s="81"/>
      <c r="Z29" s="81"/>
      <c r="AA29" s="81"/>
      <c r="AB29" s="81"/>
      <c r="AC29" s="81"/>
      <c r="AD29" s="81"/>
      <c r="AE29" s="81"/>
      <c r="AF29" s="81"/>
      <c r="AG29" s="81"/>
      <c r="AH29" s="82"/>
      <c r="AJ29" s="267" t="s">
        <v>202</v>
      </c>
      <c r="AK29" s="268"/>
      <c r="AL29" s="269"/>
      <c r="AM29" s="72">
        <f t="shared" ref="AM29:BA29" si="28">SUM(AM4:AM28)</f>
        <v>2079</v>
      </c>
      <c r="AN29" s="72">
        <f t="shared" si="28"/>
        <v>2040.3</v>
      </c>
      <c r="AO29" s="72">
        <f t="shared" si="28"/>
        <v>1944</v>
      </c>
      <c r="AP29" s="72">
        <f t="shared" si="28"/>
        <v>1991.9999999999998</v>
      </c>
      <c r="AQ29" s="72">
        <f t="shared" si="28"/>
        <v>2023.6</v>
      </c>
      <c r="AR29" s="72">
        <f t="shared" si="28"/>
        <v>2058.5</v>
      </c>
      <c r="AS29" s="72">
        <f t="shared" si="28"/>
        <v>2034.7999999999997</v>
      </c>
      <c r="AT29" s="72">
        <f t="shared" si="28"/>
        <v>2027.2000000000003</v>
      </c>
      <c r="AU29" s="72">
        <f t="shared" si="28"/>
        <v>1898.3999999999996</v>
      </c>
      <c r="AV29" s="72">
        <f t="shared" si="28"/>
        <v>1821.6</v>
      </c>
      <c r="AW29" s="72">
        <f t="shared" si="28"/>
        <v>2101</v>
      </c>
      <c r="AX29" s="72">
        <f t="shared" si="28"/>
        <v>2082</v>
      </c>
      <c r="AY29" s="72">
        <f t="shared" si="28"/>
        <v>2184</v>
      </c>
      <c r="AZ29" s="72">
        <f t="shared" si="28"/>
        <v>2075</v>
      </c>
      <c r="BA29" s="72">
        <f t="shared" si="28"/>
        <v>1969</v>
      </c>
      <c r="BB29" s="72"/>
      <c r="BC29" s="72"/>
      <c r="BD29" s="72"/>
      <c r="BE29" s="72"/>
      <c r="BF29" s="72"/>
      <c r="BG29" s="72"/>
      <c r="BH29" s="81"/>
      <c r="BI29" s="81"/>
      <c r="BJ29" s="81"/>
      <c r="BK29" s="81"/>
      <c r="BL29" s="81"/>
      <c r="BM29" s="81"/>
      <c r="BN29" s="81"/>
      <c r="BO29" s="81"/>
      <c r="BP29" s="81"/>
      <c r="BQ29" s="82"/>
    </row>
    <row r="30" spans="1:69">
      <c r="A30" s="267" t="s">
        <v>203</v>
      </c>
      <c r="B30" s="268"/>
      <c r="C30" s="269"/>
      <c r="D30" s="72">
        <f t="shared" ref="D30:R30" si="29">AVERAGE(D4:D28)</f>
        <v>83.16</v>
      </c>
      <c r="E30" s="72">
        <f t="shared" si="29"/>
        <v>81.88</v>
      </c>
      <c r="F30" s="72">
        <f t="shared" si="29"/>
        <v>77.8</v>
      </c>
      <c r="G30" s="72">
        <f t="shared" si="29"/>
        <v>79.92</v>
      </c>
      <c r="H30" s="72">
        <f t="shared" si="29"/>
        <v>81.239999999999995</v>
      </c>
      <c r="I30" s="72">
        <f t="shared" si="29"/>
        <v>82.56</v>
      </c>
      <c r="J30" s="72">
        <f t="shared" si="29"/>
        <v>81.599999999999994</v>
      </c>
      <c r="K30" s="72">
        <f t="shared" si="29"/>
        <v>81.16</v>
      </c>
      <c r="L30" s="72">
        <f t="shared" si="29"/>
        <v>76.08</v>
      </c>
      <c r="M30" s="72">
        <f t="shared" si="29"/>
        <v>73</v>
      </c>
      <c r="N30" s="72">
        <f t="shared" si="29"/>
        <v>83.96</v>
      </c>
      <c r="O30" s="72">
        <f t="shared" si="29"/>
        <v>84.6</v>
      </c>
      <c r="P30" s="72">
        <f t="shared" si="29"/>
        <v>87.36</v>
      </c>
      <c r="Q30" s="72">
        <f t="shared" si="29"/>
        <v>83</v>
      </c>
      <c r="R30" s="72">
        <f t="shared" si="29"/>
        <v>78.760000000000005</v>
      </c>
      <c r="S30" s="72"/>
      <c r="T30" s="72"/>
      <c r="U30" s="72"/>
      <c r="V30" s="72"/>
      <c r="W30" s="72"/>
      <c r="X30" s="72"/>
      <c r="Y30" s="81"/>
      <c r="Z30" s="81"/>
      <c r="AA30" s="81"/>
      <c r="AB30" s="81"/>
      <c r="AC30" s="81"/>
      <c r="AD30" s="81"/>
      <c r="AE30" s="81"/>
      <c r="AF30" s="81"/>
      <c r="AG30" s="81"/>
      <c r="AH30" s="82"/>
      <c r="AJ30" s="267" t="s">
        <v>203</v>
      </c>
      <c r="AK30" s="268"/>
      <c r="AL30" s="269"/>
      <c r="AM30" s="72">
        <f t="shared" ref="AM30:BA30" si="30">AVERAGE(AM4:AM28)</f>
        <v>83.16</v>
      </c>
      <c r="AN30" s="72">
        <f t="shared" si="30"/>
        <v>81.611999999999995</v>
      </c>
      <c r="AO30" s="72">
        <f t="shared" si="30"/>
        <v>77.760000000000005</v>
      </c>
      <c r="AP30" s="72">
        <f t="shared" si="30"/>
        <v>79.679999999999993</v>
      </c>
      <c r="AQ30" s="72">
        <f t="shared" si="30"/>
        <v>80.944000000000003</v>
      </c>
      <c r="AR30" s="72">
        <f t="shared" si="30"/>
        <v>82.34</v>
      </c>
      <c r="AS30" s="72">
        <f t="shared" si="30"/>
        <v>81.391999999999996</v>
      </c>
      <c r="AT30" s="72">
        <f t="shared" si="30"/>
        <v>81.088000000000008</v>
      </c>
      <c r="AU30" s="72">
        <f t="shared" si="30"/>
        <v>75.935999999999979</v>
      </c>
      <c r="AV30" s="72">
        <f t="shared" si="30"/>
        <v>72.86399999999999</v>
      </c>
      <c r="AW30" s="72">
        <f t="shared" si="30"/>
        <v>84.04</v>
      </c>
      <c r="AX30" s="72">
        <f t="shared" si="30"/>
        <v>83.28</v>
      </c>
      <c r="AY30" s="72">
        <f t="shared" si="30"/>
        <v>87.36</v>
      </c>
      <c r="AZ30" s="72">
        <f t="shared" si="30"/>
        <v>83</v>
      </c>
      <c r="BA30" s="72">
        <f t="shared" si="30"/>
        <v>78.760000000000005</v>
      </c>
      <c r="BB30" s="72"/>
      <c r="BC30" s="72"/>
      <c r="BD30" s="72"/>
      <c r="BE30" s="72"/>
      <c r="BF30" s="72"/>
      <c r="BG30" s="72"/>
      <c r="BH30" s="81"/>
      <c r="BI30" s="81"/>
      <c r="BJ30" s="81"/>
      <c r="BK30" s="81"/>
      <c r="BL30" s="81"/>
      <c r="BM30" s="81"/>
      <c r="BN30" s="81"/>
      <c r="BO30" s="81"/>
      <c r="BP30" s="81"/>
      <c r="BQ30" s="82"/>
    </row>
    <row r="31" spans="1:69" s="83" customFormat="1">
      <c r="A31" s="83">
        <v>1</v>
      </c>
      <c r="B31" s="83">
        <v>2</v>
      </c>
      <c r="C31" s="83">
        <v>3</v>
      </c>
      <c r="D31" s="83">
        <v>4</v>
      </c>
      <c r="E31" s="83">
        <v>5</v>
      </c>
      <c r="F31" s="83">
        <v>6</v>
      </c>
      <c r="G31" s="83">
        <v>7</v>
      </c>
      <c r="H31" s="83">
        <v>8</v>
      </c>
      <c r="I31" s="83">
        <v>9</v>
      </c>
      <c r="J31" s="83">
        <v>10</v>
      </c>
      <c r="K31" s="83">
        <v>11</v>
      </c>
      <c r="L31" s="83">
        <v>12</v>
      </c>
      <c r="M31" s="83">
        <v>13</v>
      </c>
      <c r="N31" s="83">
        <v>14</v>
      </c>
      <c r="O31" s="83">
        <v>15</v>
      </c>
      <c r="P31" s="83">
        <v>16</v>
      </c>
      <c r="Q31" s="83">
        <v>17</v>
      </c>
      <c r="R31" s="83">
        <v>18</v>
      </c>
      <c r="S31" s="83">
        <v>19</v>
      </c>
      <c r="T31" s="83">
        <v>20</v>
      </c>
      <c r="U31" s="83">
        <v>21</v>
      </c>
      <c r="V31" s="83">
        <v>22</v>
      </c>
      <c r="W31" s="83">
        <v>23</v>
      </c>
      <c r="X31" s="83">
        <v>24</v>
      </c>
      <c r="Y31" s="83">
        <v>25</v>
      </c>
      <c r="Z31" s="83">
        <v>26</v>
      </c>
      <c r="AA31" s="83">
        <v>27</v>
      </c>
      <c r="AB31" s="83">
        <v>28</v>
      </c>
      <c r="AC31" s="83">
        <v>29</v>
      </c>
      <c r="AD31" s="83">
        <v>30</v>
      </c>
      <c r="AE31" s="83">
        <v>31</v>
      </c>
      <c r="AF31" s="83">
        <v>32</v>
      </c>
      <c r="AG31" s="83">
        <v>33</v>
      </c>
      <c r="AJ31" s="83">
        <v>1</v>
      </c>
      <c r="AK31" s="83">
        <v>2</v>
      </c>
      <c r="AL31" s="83">
        <v>3</v>
      </c>
      <c r="AM31" s="83">
        <v>4</v>
      </c>
      <c r="AN31" s="83">
        <v>5</v>
      </c>
      <c r="AO31" s="83">
        <v>6</v>
      </c>
      <c r="AP31" s="83">
        <v>7</v>
      </c>
      <c r="AQ31" s="83">
        <v>8</v>
      </c>
      <c r="AR31" s="83">
        <v>9</v>
      </c>
      <c r="AS31" s="83">
        <v>10</v>
      </c>
      <c r="AT31" s="83">
        <v>11</v>
      </c>
      <c r="AU31" s="83">
        <v>12</v>
      </c>
      <c r="AV31" s="83">
        <v>13</v>
      </c>
      <c r="AW31" s="83">
        <v>14</v>
      </c>
      <c r="AX31" s="83">
        <v>15</v>
      </c>
      <c r="AY31" s="83">
        <v>16</v>
      </c>
      <c r="AZ31" s="83">
        <v>17</v>
      </c>
      <c r="BA31" s="83">
        <v>18</v>
      </c>
      <c r="BH31" s="83">
        <v>19</v>
      </c>
      <c r="BI31" s="83">
        <v>20</v>
      </c>
      <c r="BJ31" s="83">
        <v>21</v>
      </c>
      <c r="BK31" s="83">
        <v>22</v>
      </c>
      <c r="BL31" s="83">
        <v>23</v>
      </c>
      <c r="BM31" s="83">
        <v>24</v>
      </c>
      <c r="BN31" s="83">
        <v>25</v>
      </c>
      <c r="BO31" s="83">
        <v>26</v>
      </c>
      <c r="BP31" s="83">
        <v>27</v>
      </c>
    </row>
    <row r="32" spans="1:69" ht="23.25">
      <c r="A32" s="84" t="s">
        <v>204</v>
      </c>
      <c r="C32" s="85"/>
    </row>
    <row r="33" spans="1:3">
      <c r="A33" s="86"/>
      <c r="B33" s="86"/>
      <c r="C33" s="60" t="s">
        <v>205</v>
      </c>
    </row>
    <row r="34" spans="1:3">
      <c r="A34" s="87"/>
      <c r="B34" s="87"/>
      <c r="C34" s="60" t="s">
        <v>206</v>
      </c>
    </row>
    <row r="35" spans="1:3">
      <c r="A35" s="88"/>
      <c r="B35" s="88"/>
      <c r="C35" s="60" t="s">
        <v>207</v>
      </c>
    </row>
    <row r="36" spans="1:3">
      <c r="A36" s="89"/>
      <c r="B36" s="89"/>
      <c r="C36" s="60" t="s">
        <v>208</v>
      </c>
    </row>
  </sheetData>
  <sortState xmlns:xlrd2="http://schemas.microsoft.com/office/spreadsheetml/2017/richdata2" ref="B4:BQ28">
    <sortCondition ref="AA4:AA28"/>
  </sortState>
  <mergeCells count="36">
    <mergeCell ref="A29:C29"/>
    <mergeCell ref="AJ29:AL29"/>
    <mergeCell ref="A30:C30"/>
    <mergeCell ref="AJ30:AL30"/>
    <mergeCell ref="AF2:AF3"/>
    <mergeCell ref="AG2:AG3"/>
    <mergeCell ref="AH2:AH3"/>
    <mergeCell ref="AJ2:AJ3"/>
    <mergeCell ref="AK2:AK3"/>
    <mergeCell ref="AL2:AL3"/>
    <mergeCell ref="Z2:Z3"/>
    <mergeCell ref="AA2:AA3"/>
    <mergeCell ref="AB2:AB3"/>
    <mergeCell ref="AC2:AC3"/>
    <mergeCell ref="AD2:AD3"/>
    <mergeCell ref="AE2:AE3"/>
    <mergeCell ref="BL2:BL3"/>
    <mergeCell ref="AM2:AV2"/>
    <mergeCell ref="AW2:AZ2"/>
    <mergeCell ref="BH2:BH3"/>
    <mergeCell ref="BI2:BI3"/>
    <mergeCell ref="BJ2:BJ3"/>
    <mergeCell ref="BK2:BK3"/>
    <mergeCell ref="BB2:BG2"/>
    <mergeCell ref="BM2:BM3"/>
    <mergeCell ref="BN2:BN3"/>
    <mergeCell ref="BO2:BO3"/>
    <mergeCell ref="BP2:BP3"/>
    <mergeCell ref="BQ2:BQ3"/>
    <mergeCell ref="Y2:Y3"/>
    <mergeCell ref="A2:A3"/>
    <mergeCell ref="B2:B3"/>
    <mergeCell ref="C2:C3"/>
    <mergeCell ref="D2:M2"/>
    <mergeCell ref="N2:Q2"/>
    <mergeCell ref="S2:X2"/>
  </mergeCells>
  <conditionalFormatting sqref="B4">
    <cfRule type="duplicateValues" dxfId="461" priority="44"/>
    <cfRule type="duplicateValues" dxfId="460" priority="45"/>
  </conditionalFormatting>
  <conditionalFormatting sqref="B5">
    <cfRule type="duplicateValues" dxfId="459" priority="48"/>
    <cfRule type="duplicateValues" dxfId="458" priority="49"/>
  </conditionalFormatting>
  <conditionalFormatting sqref="B6">
    <cfRule type="duplicateValues" dxfId="457" priority="51"/>
  </conditionalFormatting>
  <conditionalFormatting sqref="B8">
    <cfRule type="duplicateValues" dxfId="456" priority="43"/>
  </conditionalFormatting>
  <conditionalFormatting sqref="B9">
    <cfRule type="duplicateValues" dxfId="455" priority="52"/>
    <cfRule type="duplicateValues" dxfId="454" priority="53"/>
  </conditionalFormatting>
  <conditionalFormatting sqref="B10">
    <cfRule type="duplicateValues" dxfId="453" priority="62"/>
  </conditionalFormatting>
  <conditionalFormatting sqref="B11">
    <cfRule type="duplicateValues" dxfId="452" priority="35"/>
    <cfRule type="duplicateValues" dxfId="451" priority="36"/>
  </conditionalFormatting>
  <conditionalFormatting sqref="B12">
    <cfRule type="duplicateValues" dxfId="450" priority="58"/>
    <cfRule type="duplicateValues" dxfId="449" priority="59"/>
  </conditionalFormatting>
  <conditionalFormatting sqref="B13">
    <cfRule type="duplicateValues" dxfId="448" priority="46"/>
    <cfRule type="duplicateValues" dxfId="447" priority="47"/>
  </conditionalFormatting>
  <conditionalFormatting sqref="B14">
    <cfRule type="duplicateValues" dxfId="446" priority="64"/>
  </conditionalFormatting>
  <conditionalFormatting sqref="B15">
    <cfRule type="duplicateValues" dxfId="445" priority="63"/>
  </conditionalFormatting>
  <conditionalFormatting sqref="B16">
    <cfRule type="duplicateValues" dxfId="444" priority="65"/>
    <cfRule type="duplicateValues" dxfId="443" priority="66"/>
  </conditionalFormatting>
  <conditionalFormatting sqref="B17">
    <cfRule type="duplicateValues" dxfId="442" priority="41"/>
    <cfRule type="duplicateValues" dxfId="441" priority="42"/>
  </conditionalFormatting>
  <conditionalFormatting sqref="B18">
    <cfRule type="duplicateValues" dxfId="440" priority="50"/>
  </conditionalFormatting>
  <conditionalFormatting sqref="B19">
    <cfRule type="duplicateValues" dxfId="439" priority="37"/>
    <cfRule type="duplicateValues" dxfId="438" priority="38"/>
  </conditionalFormatting>
  <conditionalFormatting sqref="B20">
    <cfRule type="duplicateValues" dxfId="437" priority="39"/>
    <cfRule type="duplicateValues" dxfId="436" priority="40"/>
  </conditionalFormatting>
  <conditionalFormatting sqref="B21">
    <cfRule type="duplicateValues" dxfId="435" priority="60"/>
    <cfRule type="duplicateValues" dxfId="434" priority="61"/>
  </conditionalFormatting>
  <conditionalFormatting sqref="B22">
    <cfRule type="duplicateValues" dxfId="433" priority="54"/>
    <cfRule type="duplicateValues" dxfId="432" priority="55"/>
  </conditionalFormatting>
  <conditionalFormatting sqref="B23">
    <cfRule type="duplicateValues" dxfId="431" priority="56"/>
    <cfRule type="duplicateValues" dxfId="430" priority="57"/>
  </conditionalFormatting>
  <conditionalFormatting sqref="B24:B28">
    <cfRule type="duplicateValues" dxfId="429" priority="69"/>
    <cfRule type="duplicateValues" dxfId="428" priority="70"/>
  </conditionalFormatting>
  <conditionalFormatting sqref="AM4:BG28 D4:X28">
    <cfRule type="cellIs" dxfId="427" priority="67" operator="lessThanOrEqual">
      <formula>59</formula>
    </cfRule>
  </conditionalFormatting>
  <conditionalFormatting sqref="Z4:Z28">
    <cfRule type="cellIs" dxfId="426" priority="68" operator="lessThan">
      <formula>60</formula>
    </cfRule>
  </conditionalFormatting>
  <conditionalFormatting sqref="AA4:AA28">
    <cfRule type="duplicateValues" dxfId="425" priority="71"/>
    <cfRule type="duplicateValues" dxfId="424" priority="72"/>
    <cfRule type="duplicateValues" dxfId="423" priority="73"/>
  </conditionalFormatting>
  <conditionalFormatting sqref="AK4">
    <cfRule type="duplicateValues" dxfId="422" priority="10"/>
    <cfRule type="duplicateValues" dxfId="421" priority="11"/>
  </conditionalFormatting>
  <conditionalFormatting sqref="AK5">
    <cfRule type="duplicateValues" dxfId="420" priority="14"/>
    <cfRule type="duplicateValues" dxfId="419" priority="15"/>
  </conditionalFormatting>
  <conditionalFormatting sqref="AK6">
    <cfRule type="duplicateValues" dxfId="418" priority="17"/>
  </conditionalFormatting>
  <conditionalFormatting sqref="AK8">
    <cfRule type="duplicateValues" dxfId="417" priority="9"/>
  </conditionalFormatting>
  <conditionalFormatting sqref="AK9">
    <cfRule type="duplicateValues" dxfId="416" priority="18"/>
    <cfRule type="duplicateValues" dxfId="415" priority="19"/>
  </conditionalFormatting>
  <conditionalFormatting sqref="AK10">
    <cfRule type="duplicateValues" dxfId="414" priority="28"/>
  </conditionalFormatting>
  <conditionalFormatting sqref="AK11">
    <cfRule type="duplicateValues" dxfId="413" priority="1"/>
    <cfRule type="duplicateValues" dxfId="412" priority="2"/>
  </conditionalFormatting>
  <conditionalFormatting sqref="AK12">
    <cfRule type="duplicateValues" dxfId="411" priority="24"/>
    <cfRule type="duplicateValues" dxfId="410" priority="25"/>
  </conditionalFormatting>
  <conditionalFormatting sqref="AK13">
    <cfRule type="duplicateValues" dxfId="409" priority="12"/>
    <cfRule type="duplicateValues" dxfId="408" priority="13"/>
  </conditionalFormatting>
  <conditionalFormatting sqref="AK14">
    <cfRule type="duplicateValues" dxfId="407" priority="30"/>
  </conditionalFormatting>
  <conditionalFormatting sqref="AK15">
    <cfRule type="duplicateValues" dxfId="406" priority="29"/>
  </conditionalFormatting>
  <conditionalFormatting sqref="AK16">
    <cfRule type="duplicateValues" dxfId="405" priority="31"/>
    <cfRule type="duplicateValues" dxfId="404" priority="32"/>
  </conditionalFormatting>
  <conditionalFormatting sqref="AK17">
    <cfRule type="duplicateValues" dxfId="403" priority="7"/>
    <cfRule type="duplicateValues" dxfId="402" priority="8"/>
  </conditionalFormatting>
  <conditionalFormatting sqref="AK18">
    <cfRule type="duplicateValues" dxfId="401" priority="16"/>
  </conditionalFormatting>
  <conditionalFormatting sqref="AK19">
    <cfRule type="duplicateValues" dxfId="400" priority="3"/>
    <cfRule type="duplicateValues" dxfId="399" priority="4"/>
  </conditionalFormatting>
  <conditionalFormatting sqref="AK20">
    <cfRule type="duplicateValues" dxfId="398" priority="5"/>
    <cfRule type="duplicateValues" dxfId="397" priority="6"/>
  </conditionalFormatting>
  <conditionalFormatting sqref="AK21">
    <cfRule type="duplicateValues" dxfId="396" priority="26"/>
    <cfRule type="duplicateValues" dxfId="395" priority="27"/>
  </conditionalFormatting>
  <conditionalFormatting sqref="AK22">
    <cfRule type="duplicateValues" dxfId="394" priority="20"/>
    <cfRule type="duplicateValues" dxfId="393" priority="21"/>
  </conditionalFormatting>
  <conditionalFormatting sqref="AK23">
    <cfRule type="duplicateValues" dxfId="392" priority="22"/>
    <cfRule type="duplicateValues" dxfId="391" priority="23"/>
  </conditionalFormatting>
  <conditionalFormatting sqref="AK24:AK28">
    <cfRule type="duplicateValues" dxfId="390" priority="74"/>
    <cfRule type="duplicateValues" dxfId="389" priority="75"/>
  </conditionalFormatting>
  <conditionalFormatting sqref="BI4:BI28">
    <cfRule type="cellIs" dxfId="388" priority="34" operator="lessThan">
      <formula>60</formula>
    </cfRule>
  </conditionalFormatting>
  <conditionalFormatting sqref="BJ4:BJ28">
    <cfRule type="duplicateValues" dxfId="387" priority="76"/>
    <cfRule type="duplicateValues" dxfId="386" priority="77"/>
    <cfRule type="duplicateValues" dxfId="385" priority="78"/>
  </conditionalFormatting>
  <printOptions horizontalCentered="1"/>
  <pageMargins left="0.63" right="0.2" top="0.74803149606299202" bottom="0.38" header="0.31496062992126" footer="0.31496062992126"/>
  <pageSetup paperSize="10000" scale="80" orientation="landscape" horizontalDpi="203" verticalDpi="20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707DD-90A2-4CCF-B18B-E6B9F6B113E9}">
  <sheetPr codeName="Sheet16">
    <tabColor theme="1" tint="0.499984740745262"/>
  </sheetPr>
  <dimension ref="A1:BQ41"/>
  <sheetViews>
    <sheetView topLeftCell="A20" zoomScale="55" zoomScaleNormal="55" workbookViewId="0">
      <selection activeCell="Q36" sqref="Q36:AG36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4" width="5.42578125" style="60" customWidth="1"/>
    <col min="25" max="27" width="7.140625" style="60" customWidth="1"/>
    <col min="28" max="30" width="5.42578125" style="60" customWidth="1"/>
    <col min="31" max="34" width="5.28515625" style="60" customWidth="1"/>
    <col min="35" max="35" width="9.140625" style="60"/>
    <col min="36" max="36" width="9.28515625" style="60" bestFit="1" customWidth="1"/>
    <col min="37" max="37" width="10.42578125" style="60" bestFit="1" customWidth="1"/>
    <col min="38" max="38" width="34.85546875" style="60" bestFit="1" customWidth="1"/>
    <col min="39" max="41" width="9.28515625" style="60" bestFit="1" customWidth="1"/>
    <col min="42" max="16384" width="9.140625" style="60"/>
  </cols>
  <sheetData>
    <row r="1" spans="1:69" ht="23.25">
      <c r="A1" s="85" t="s">
        <v>586</v>
      </c>
      <c r="AJ1" s="85" t="s">
        <v>586</v>
      </c>
    </row>
    <row r="2" spans="1:69" ht="15.75" customHeight="1">
      <c r="A2" s="281" t="s">
        <v>151</v>
      </c>
      <c r="B2" s="281" t="s">
        <v>152</v>
      </c>
      <c r="C2" s="281" t="s">
        <v>0</v>
      </c>
      <c r="D2" s="273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286" t="s">
        <v>316</v>
      </c>
      <c r="O2" s="286"/>
      <c r="P2" s="286"/>
      <c r="Q2" s="286"/>
      <c r="R2" s="90"/>
      <c r="S2" s="283" t="s">
        <v>798</v>
      </c>
      <c r="T2" s="284"/>
      <c r="U2" s="284"/>
      <c r="V2" s="284"/>
      <c r="W2" s="284"/>
      <c r="X2" s="285"/>
      <c r="Y2" s="276" t="s">
        <v>155</v>
      </c>
      <c r="Z2" s="276" t="s">
        <v>156</v>
      </c>
      <c r="AA2" s="276" t="s">
        <v>157</v>
      </c>
      <c r="AB2" s="270" t="s">
        <v>158</v>
      </c>
      <c r="AC2" s="270" t="s">
        <v>159</v>
      </c>
      <c r="AD2" s="270" t="s">
        <v>160</v>
      </c>
      <c r="AE2" s="278" t="s">
        <v>161</v>
      </c>
      <c r="AF2" s="278" t="s">
        <v>162</v>
      </c>
      <c r="AG2" s="278" t="s">
        <v>163</v>
      </c>
      <c r="AH2" s="280" t="s">
        <v>164</v>
      </c>
      <c r="AJ2" s="281" t="s">
        <v>151</v>
      </c>
      <c r="AK2" s="281" t="s">
        <v>152</v>
      </c>
      <c r="AL2" s="281" t="s">
        <v>0</v>
      </c>
      <c r="AM2" s="273" t="s">
        <v>153</v>
      </c>
      <c r="AN2" s="273"/>
      <c r="AO2" s="273"/>
      <c r="AP2" s="273"/>
      <c r="AQ2" s="273"/>
      <c r="AR2" s="273"/>
      <c r="AS2" s="273"/>
      <c r="AT2" s="273"/>
      <c r="AU2" s="273"/>
      <c r="AV2" s="273"/>
      <c r="AW2" s="426" t="s">
        <v>316</v>
      </c>
      <c r="AX2" s="426"/>
      <c r="AY2" s="426"/>
      <c r="AZ2" s="426"/>
      <c r="BA2" s="104"/>
      <c r="BB2" s="283" t="s">
        <v>798</v>
      </c>
      <c r="BC2" s="284"/>
      <c r="BD2" s="284"/>
      <c r="BE2" s="284"/>
      <c r="BF2" s="284"/>
      <c r="BG2" s="285"/>
      <c r="BH2" s="276" t="s">
        <v>155</v>
      </c>
      <c r="BI2" s="276" t="s">
        <v>156</v>
      </c>
      <c r="BJ2" s="276" t="s">
        <v>157</v>
      </c>
      <c r="BK2" s="270" t="s">
        <v>158</v>
      </c>
      <c r="BL2" s="270" t="s">
        <v>159</v>
      </c>
      <c r="BM2" s="270" t="s">
        <v>160</v>
      </c>
      <c r="BN2" s="278" t="s">
        <v>161</v>
      </c>
      <c r="BO2" s="278" t="s">
        <v>162</v>
      </c>
      <c r="BP2" s="278" t="s">
        <v>163</v>
      </c>
      <c r="BQ2" s="280" t="s">
        <v>164</v>
      </c>
    </row>
    <row r="3" spans="1:69" ht="65.25">
      <c r="A3" s="282"/>
      <c r="B3" s="282"/>
      <c r="C3" s="282"/>
      <c r="D3" s="63" t="s">
        <v>118</v>
      </c>
      <c r="E3" s="63" t="s">
        <v>22</v>
      </c>
      <c r="F3" s="63" t="s">
        <v>55</v>
      </c>
      <c r="G3" s="63" t="s">
        <v>167</v>
      </c>
      <c r="H3" s="63" t="s">
        <v>168</v>
      </c>
      <c r="I3" s="63" t="s">
        <v>111</v>
      </c>
      <c r="J3" s="63" t="s">
        <v>171</v>
      </c>
      <c r="K3" s="63" t="s">
        <v>96</v>
      </c>
      <c r="L3" s="63" t="s">
        <v>14</v>
      </c>
      <c r="M3" s="63" t="s">
        <v>120</v>
      </c>
      <c r="N3" s="64" t="s">
        <v>103</v>
      </c>
      <c r="O3" s="64" t="s">
        <v>14</v>
      </c>
      <c r="P3" s="64" t="s">
        <v>120</v>
      </c>
      <c r="Q3" s="64" t="s">
        <v>34</v>
      </c>
      <c r="R3" s="64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277"/>
      <c r="Z3" s="277"/>
      <c r="AA3" s="277"/>
      <c r="AB3" s="271"/>
      <c r="AC3" s="271"/>
      <c r="AD3" s="271"/>
      <c r="AE3" s="279"/>
      <c r="AF3" s="279"/>
      <c r="AG3" s="279"/>
      <c r="AH3" s="280"/>
      <c r="AJ3" s="282"/>
      <c r="AK3" s="282"/>
      <c r="AL3" s="282"/>
      <c r="AM3" s="63" t="s">
        <v>118</v>
      </c>
      <c r="AN3" s="63" t="s">
        <v>22</v>
      </c>
      <c r="AO3" s="63" t="s">
        <v>55</v>
      </c>
      <c r="AP3" s="63" t="s">
        <v>167</v>
      </c>
      <c r="AQ3" s="63" t="s">
        <v>168</v>
      </c>
      <c r="AR3" s="63" t="s">
        <v>111</v>
      </c>
      <c r="AS3" s="63" t="s">
        <v>171</v>
      </c>
      <c r="AT3" s="63" t="s">
        <v>96</v>
      </c>
      <c r="AU3" s="63" t="s">
        <v>14</v>
      </c>
      <c r="AV3" s="63" t="s">
        <v>120</v>
      </c>
      <c r="AW3" s="98" t="s">
        <v>103</v>
      </c>
      <c r="AX3" s="98" t="s">
        <v>14</v>
      </c>
      <c r="AY3" s="98" t="s">
        <v>120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277"/>
      <c r="BI3" s="277"/>
      <c r="BJ3" s="277"/>
      <c r="BK3" s="271"/>
      <c r="BL3" s="271"/>
      <c r="BM3" s="271"/>
      <c r="BN3" s="279"/>
      <c r="BO3" s="279"/>
      <c r="BP3" s="279"/>
      <c r="BQ3" s="280"/>
    </row>
    <row r="4" spans="1:69" ht="27.95" customHeight="1">
      <c r="A4" s="141">
        <v>1</v>
      </c>
      <c r="B4" s="141">
        <v>23240102</v>
      </c>
      <c r="C4" s="148" t="s">
        <v>592</v>
      </c>
      <c r="D4" s="68">
        <f t="shared" ref="D4:D33" si="0">ROUND(IF(AM4=0,0,MIN(MAX(AM4,40),99)),0)</f>
        <v>97</v>
      </c>
      <c r="E4" s="68">
        <f t="shared" ref="E4:E33" si="1">ROUND(IF(AN4=0,0,MIN(MAX(AN4,40),99)),0)</f>
        <v>99</v>
      </c>
      <c r="F4" s="68">
        <f t="shared" ref="F4:F33" si="2">ROUND(IF(AO4=0,0,MIN(MAX(AO4,40),99)),0)</f>
        <v>99</v>
      </c>
      <c r="G4" s="68">
        <f t="shared" ref="G4:G33" si="3">ROUND(IF(AP4=0,0,MIN(MAX(AP4,40),99)),0)</f>
        <v>99</v>
      </c>
      <c r="H4" s="68">
        <f t="shared" ref="H4:H33" si="4">ROUND(IF(AQ4=0,0,MIN(MAX(AQ4,40),99)),0)</f>
        <v>99</v>
      </c>
      <c r="I4" s="68">
        <f t="shared" ref="I4:I33" si="5">ROUND(IF(AR4=0,0,MIN(MAX(AR4,40),99)),0)</f>
        <v>90</v>
      </c>
      <c r="J4" s="68">
        <f t="shared" ref="J4:J33" si="6">ROUND(IF(AS4=0,0,MIN(MAX(AS4,40),99)),0)</f>
        <v>99</v>
      </c>
      <c r="K4" s="68">
        <f t="shared" ref="K4:K33" si="7">ROUND(IF(AT4=0,0,MIN(MAX(AT4,40),99)),0)</f>
        <v>99</v>
      </c>
      <c r="L4" s="68">
        <f t="shared" ref="L4:L33" si="8">ROUND(IF(AU4=0,0,MIN(MAX(AU4,40),99)),0)</f>
        <v>99</v>
      </c>
      <c r="M4" s="68">
        <f t="shared" ref="M4:M33" si="9">ROUND(IF(AV4=0,0,MIN(MAX(AV4,40),99)),0)</f>
        <v>99</v>
      </c>
      <c r="N4" s="69">
        <f t="shared" ref="N4:N33" si="10">ROUND(IF(AW4=0,0,MIN(MAX(AW4,40),99)),0)</f>
        <v>95</v>
      </c>
      <c r="O4" s="69">
        <f t="shared" ref="O4:O33" si="11">ROUND(IF(AX4=0,0,MIN(MAX(AX4,40),99)),0)</f>
        <v>99</v>
      </c>
      <c r="P4" s="69">
        <f t="shared" ref="P4:P33" si="12">ROUND(IF(AY4=0,0,MIN(MAX(AY4,40),99)),0)</f>
        <v>99</v>
      </c>
      <c r="Q4" s="69">
        <f t="shared" ref="Q4:Q33" si="13">ROUND(IF(AZ4=0,0,MIN(MAX(AZ4,40),99)),0)</f>
        <v>99</v>
      </c>
      <c r="R4" s="69">
        <f t="shared" ref="R4:R33" si="14">ROUND(IF(BA4=0,0,MIN(MAX(BA4,40),99)),0)</f>
        <v>99</v>
      </c>
      <c r="S4" s="234">
        <f t="shared" ref="S4:S33" si="15">ROUND(IF(BB4=0,0,MIN(MAX(BB4,40),99)),0)</f>
        <v>95</v>
      </c>
      <c r="T4" s="234">
        <f t="shared" ref="T4:T33" si="16">ROUND(IF(BC4=0,0,MIN(MAX(BC4,40),99)),0)</f>
        <v>75</v>
      </c>
      <c r="U4" s="234">
        <f t="shared" ref="U4:U33" si="17">ROUND(IF(BD4=0,0,MIN(MAX(BD4,40),99)),0)</f>
        <v>75</v>
      </c>
      <c r="V4" s="234">
        <f t="shared" ref="V4:V33" si="18">ROUND(IF(BE4=0,0,MIN(MAX(BE4,40),99)),0)</f>
        <v>90</v>
      </c>
      <c r="W4" s="234">
        <f t="shared" ref="W4:W33" si="19">ROUND(IF(BF4=0,0,MIN(MAX(BF4,40),99)),0)</f>
        <v>78</v>
      </c>
      <c r="X4" s="234">
        <f t="shared" ref="X4:X33" si="20">ROUND(IF(BG4=0,0,MIN(MAX(BG4,40),99)),0)</f>
        <v>75</v>
      </c>
      <c r="Y4" s="70">
        <f t="shared" ref="Y4:Y33" si="21">SUM(D4:R4)</f>
        <v>1470</v>
      </c>
      <c r="Z4" s="71">
        <f t="shared" ref="Z4:Z33" si="22">AVERAGE(D4:R4)</f>
        <v>98</v>
      </c>
      <c r="AA4" s="101">
        <f t="shared" ref="AA4:AA33" si="23">RANK(Y4,$Y$4:$Y$33)</f>
        <v>1</v>
      </c>
      <c r="AB4" s="73" t="s">
        <v>806</v>
      </c>
      <c r="AC4" s="73" t="s">
        <v>806</v>
      </c>
      <c r="AD4" s="73" t="s">
        <v>806</v>
      </c>
      <c r="AE4" s="74">
        <v>0</v>
      </c>
      <c r="AF4" s="74">
        <v>0</v>
      </c>
      <c r="AG4" s="74">
        <v>0</v>
      </c>
      <c r="AH4" s="75"/>
      <c r="AJ4" s="141">
        <v>6</v>
      </c>
      <c r="AK4" s="141">
        <v>23240102</v>
      </c>
      <c r="AL4" s="148" t="s">
        <v>592</v>
      </c>
      <c r="AM4" s="68">
        <v>96.7</v>
      </c>
      <c r="AN4" s="68">
        <v>99.7</v>
      </c>
      <c r="AO4" s="68">
        <v>99.8</v>
      </c>
      <c r="AP4" s="68">
        <v>98.5</v>
      </c>
      <c r="AQ4" s="68">
        <v>99.7</v>
      </c>
      <c r="AR4" s="68">
        <v>90</v>
      </c>
      <c r="AS4" s="68">
        <v>100</v>
      </c>
      <c r="AT4" s="68">
        <v>100</v>
      </c>
      <c r="AU4" s="68">
        <v>100</v>
      </c>
      <c r="AV4" s="68">
        <v>99.5</v>
      </c>
      <c r="AW4" s="76">
        <v>95</v>
      </c>
      <c r="AX4" s="76">
        <v>100</v>
      </c>
      <c r="AY4" s="76">
        <v>100</v>
      </c>
      <c r="AZ4" s="76">
        <v>100</v>
      </c>
      <c r="BA4" s="76">
        <v>100</v>
      </c>
      <c r="BB4" s="240">
        <v>95</v>
      </c>
      <c r="BC4" s="240">
        <v>75</v>
      </c>
      <c r="BD4" s="240">
        <v>75</v>
      </c>
      <c r="BE4" s="240">
        <v>90</v>
      </c>
      <c r="BF4" s="240">
        <v>77.5</v>
      </c>
      <c r="BG4" s="240">
        <v>75</v>
      </c>
      <c r="BH4" s="70">
        <f t="shared" ref="BH4:BH33" si="24">SUM(AM4:BA4)</f>
        <v>1478.9</v>
      </c>
      <c r="BI4" s="71">
        <f t="shared" ref="BI4:BI33" si="25">AVERAGE(AM4:BA4)</f>
        <v>98.593333333333334</v>
      </c>
      <c r="BJ4" s="101" t="e">
        <f t="shared" ref="BJ4:BJ33" si="26">RANK(BH4,$Y$4:$Y$28)</f>
        <v>#N/A</v>
      </c>
      <c r="BK4" s="73"/>
      <c r="BL4" s="73"/>
      <c r="BM4" s="73"/>
      <c r="BN4" s="74"/>
      <c r="BO4" s="74"/>
      <c r="BP4" s="74"/>
      <c r="BQ4" s="75"/>
    </row>
    <row r="5" spans="1:69" ht="27.95" customHeight="1">
      <c r="A5" s="141">
        <v>2</v>
      </c>
      <c r="B5" s="141">
        <v>23240074</v>
      </c>
      <c r="C5" s="148" t="s">
        <v>596</v>
      </c>
      <c r="D5" s="68">
        <f t="shared" si="0"/>
        <v>98</v>
      </c>
      <c r="E5" s="68">
        <f t="shared" si="1"/>
        <v>99</v>
      </c>
      <c r="F5" s="68">
        <f t="shared" si="2"/>
        <v>99</v>
      </c>
      <c r="G5" s="68">
        <f t="shared" si="3"/>
        <v>99</v>
      </c>
      <c r="H5" s="68">
        <f t="shared" si="4"/>
        <v>99</v>
      </c>
      <c r="I5" s="68">
        <f t="shared" si="5"/>
        <v>84</v>
      </c>
      <c r="J5" s="68">
        <f t="shared" si="6"/>
        <v>99</v>
      </c>
      <c r="K5" s="68">
        <f t="shared" si="7"/>
        <v>99</v>
      </c>
      <c r="L5" s="68">
        <f t="shared" si="8"/>
        <v>99</v>
      </c>
      <c r="M5" s="68">
        <f t="shared" si="9"/>
        <v>88</v>
      </c>
      <c r="N5" s="69">
        <f t="shared" si="10"/>
        <v>95</v>
      </c>
      <c r="O5" s="69">
        <f t="shared" si="11"/>
        <v>99</v>
      </c>
      <c r="P5" s="69">
        <f t="shared" si="12"/>
        <v>99</v>
      </c>
      <c r="Q5" s="69">
        <f t="shared" si="13"/>
        <v>99</v>
      </c>
      <c r="R5" s="69">
        <f t="shared" si="14"/>
        <v>99</v>
      </c>
      <c r="S5" s="234">
        <f t="shared" si="15"/>
        <v>95</v>
      </c>
      <c r="T5" s="234">
        <f t="shared" si="16"/>
        <v>75</v>
      </c>
      <c r="U5" s="234">
        <f t="shared" si="17"/>
        <v>75</v>
      </c>
      <c r="V5" s="234">
        <f t="shared" si="18"/>
        <v>93</v>
      </c>
      <c r="W5" s="234">
        <f t="shared" si="19"/>
        <v>78</v>
      </c>
      <c r="X5" s="234">
        <f t="shared" si="20"/>
        <v>75</v>
      </c>
      <c r="Y5" s="70">
        <f t="shared" si="21"/>
        <v>1454</v>
      </c>
      <c r="Z5" s="71">
        <f t="shared" si="22"/>
        <v>96.933333333333337</v>
      </c>
      <c r="AA5" s="101">
        <f t="shared" si="23"/>
        <v>2</v>
      </c>
      <c r="AB5" s="73" t="s">
        <v>806</v>
      </c>
      <c r="AC5" s="73" t="s">
        <v>805</v>
      </c>
      <c r="AD5" s="73" t="s">
        <v>806</v>
      </c>
      <c r="AE5" s="74">
        <v>2</v>
      </c>
      <c r="AF5" s="74">
        <v>0</v>
      </c>
      <c r="AG5" s="74">
        <v>0</v>
      </c>
      <c r="AH5" s="75"/>
      <c r="AJ5" s="141">
        <v>10</v>
      </c>
      <c r="AK5" s="141">
        <v>23240074</v>
      </c>
      <c r="AL5" s="148" t="s">
        <v>596</v>
      </c>
      <c r="AM5" s="68">
        <v>97.899999999999991</v>
      </c>
      <c r="AN5" s="68">
        <v>99.6</v>
      </c>
      <c r="AO5" s="68">
        <v>100</v>
      </c>
      <c r="AP5" s="68">
        <v>98.5</v>
      </c>
      <c r="AQ5" s="68">
        <v>99.5</v>
      </c>
      <c r="AR5" s="68">
        <v>84</v>
      </c>
      <c r="AS5" s="68">
        <v>99.5</v>
      </c>
      <c r="AT5" s="68">
        <v>100</v>
      </c>
      <c r="AU5" s="68">
        <v>100</v>
      </c>
      <c r="AV5" s="68">
        <v>88</v>
      </c>
      <c r="AW5" s="76">
        <v>95</v>
      </c>
      <c r="AX5" s="76">
        <v>100</v>
      </c>
      <c r="AY5" s="76">
        <v>100</v>
      </c>
      <c r="AZ5" s="76">
        <v>100</v>
      </c>
      <c r="BA5" s="76">
        <v>100</v>
      </c>
      <c r="BB5" s="240">
        <v>95</v>
      </c>
      <c r="BC5" s="240">
        <v>75</v>
      </c>
      <c r="BD5" s="240">
        <v>75</v>
      </c>
      <c r="BE5" s="240">
        <v>92.5</v>
      </c>
      <c r="BF5" s="240">
        <v>77.5</v>
      </c>
      <c r="BG5" s="240">
        <v>75</v>
      </c>
      <c r="BH5" s="70">
        <f t="shared" si="24"/>
        <v>1462</v>
      </c>
      <c r="BI5" s="71">
        <f t="shared" si="25"/>
        <v>97.466666666666669</v>
      </c>
      <c r="BJ5" s="101" t="e">
        <f t="shared" si="26"/>
        <v>#N/A</v>
      </c>
      <c r="BK5" s="73"/>
      <c r="BL5" s="73"/>
      <c r="BM5" s="73"/>
      <c r="BN5" s="74"/>
      <c r="BO5" s="74"/>
      <c r="BP5" s="74"/>
      <c r="BQ5" s="75"/>
    </row>
    <row r="6" spans="1:69" ht="27.95" customHeight="1">
      <c r="A6" s="141">
        <v>3</v>
      </c>
      <c r="B6" s="141">
        <v>23240124</v>
      </c>
      <c r="C6" s="148" t="s">
        <v>609</v>
      </c>
      <c r="D6" s="68">
        <f t="shared" si="0"/>
        <v>94</v>
      </c>
      <c r="E6" s="68">
        <f t="shared" si="1"/>
        <v>94</v>
      </c>
      <c r="F6" s="68">
        <f t="shared" si="2"/>
        <v>97</v>
      </c>
      <c r="G6" s="68">
        <f t="shared" si="3"/>
        <v>99</v>
      </c>
      <c r="H6" s="68">
        <f t="shared" si="4"/>
        <v>99</v>
      </c>
      <c r="I6" s="68">
        <f t="shared" si="5"/>
        <v>82</v>
      </c>
      <c r="J6" s="68">
        <f t="shared" si="6"/>
        <v>99</v>
      </c>
      <c r="K6" s="68">
        <f t="shared" si="7"/>
        <v>99</v>
      </c>
      <c r="L6" s="68">
        <f t="shared" si="8"/>
        <v>99</v>
      </c>
      <c r="M6" s="68">
        <f t="shared" si="9"/>
        <v>99</v>
      </c>
      <c r="N6" s="69">
        <f t="shared" si="10"/>
        <v>95</v>
      </c>
      <c r="O6" s="69">
        <f t="shared" si="11"/>
        <v>99</v>
      </c>
      <c r="P6" s="69">
        <f t="shared" si="12"/>
        <v>99</v>
      </c>
      <c r="Q6" s="69">
        <f t="shared" si="13"/>
        <v>99</v>
      </c>
      <c r="R6" s="69">
        <f t="shared" si="14"/>
        <v>99</v>
      </c>
      <c r="S6" s="234">
        <f t="shared" si="15"/>
        <v>98</v>
      </c>
      <c r="T6" s="234">
        <f t="shared" si="16"/>
        <v>75</v>
      </c>
      <c r="U6" s="234">
        <f t="shared" si="17"/>
        <v>75</v>
      </c>
      <c r="V6" s="234">
        <f t="shared" si="18"/>
        <v>98</v>
      </c>
      <c r="W6" s="234">
        <f t="shared" si="19"/>
        <v>73</v>
      </c>
      <c r="X6" s="234">
        <f t="shared" si="20"/>
        <v>75</v>
      </c>
      <c r="Y6" s="70">
        <f t="shared" si="21"/>
        <v>1452</v>
      </c>
      <c r="Z6" s="71">
        <f t="shared" si="22"/>
        <v>96.8</v>
      </c>
      <c r="AA6" s="101">
        <f t="shared" si="23"/>
        <v>3</v>
      </c>
      <c r="AB6" s="73" t="s">
        <v>806</v>
      </c>
      <c r="AC6" s="73" t="s">
        <v>806</v>
      </c>
      <c r="AD6" s="73" t="s">
        <v>806</v>
      </c>
      <c r="AE6" s="74">
        <v>12</v>
      </c>
      <c r="AF6" s="74">
        <v>0</v>
      </c>
      <c r="AG6" s="74">
        <v>0</v>
      </c>
      <c r="AH6" s="75"/>
      <c r="AJ6" s="141">
        <v>23</v>
      </c>
      <c r="AK6" s="141">
        <v>23240124</v>
      </c>
      <c r="AL6" s="148" t="s">
        <v>609</v>
      </c>
      <c r="AM6" s="68">
        <v>94.3</v>
      </c>
      <c r="AN6" s="68">
        <v>93.6</v>
      </c>
      <c r="AO6" s="68">
        <v>96.8</v>
      </c>
      <c r="AP6" s="68">
        <v>98.5</v>
      </c>
      <c r="AQ6" s="68">
        <v>99.6</v>
      </c>
      <c r="AR6" s="68">
        <v>82</v>
      </c>
      <c r="AS6" s="68">
        <v>100</v>
      </c>
      <c r="AT6" s="68">
        <v>99.5</v>
      </c>
      <c r="AU6" s="68">
        <v>100</v>
      </c>
      <c r="AV6" s="68">
        <v>100</v>
      </c>
      <c r="AW6" s="76">
        <v>95</v>
      </c>
      <c r="AX6" s="76">
        <v>100</v>
      </c>
      <c r="AY6" s="76">
        <v>100</v>
      </c>
      <c r="AZ6" s="76">
        <v>100</v>
      </c>
      <c r="BA6" s="76">
        <v>100</v>
      </c>
      <c r="BB6" s="240">
        <v>97.5</v>
      </c>
      <c r="BC6" s="240">
        <v>75</v>
      </c>
      <c r="BD6" s="240">
        <v>75</v>
      </c>
      <c r="BE6" s="240">
        <v>97.5</v>
      </c>
      <c r="BF6" s="240">
        <v>72.5</v>
      </c>
      <c r="BG6" s="240">
        <v>75</v>
      </c>
      <c r="BH6" s="70">
        <f t="shared" si="24"/>
        <v>1459.3</v>
      </c>
      <c r="BI6" s="71">
        <f t="shared" si="25"/>
        <v>97.286666666666662</v>
      </c>
      <c r="BJ6" s="101" t="e">
        <f t="shared" si="26"/>
        <v>#N/A</v>
      </c>
      <c r="BK6" s="73"/>
      <c r="BL6" s="73"/>
      <c r="BM6" s="73"/>
      <c r="BN6" s="74"/>
      <c r="BO6" s="74"/>
      <c r="BP6" s="74"/>
      <c r="BQ6" s="75"/>
    </row>
    <row r="7" spans="1:69" ht="27.95" customHeight="1">
      <c r="A7" s="141">
        <v>4</v>
      </c>
      <c r="B7" s="141">
        <v>23240075</v>
      </c>
      <c r="C7" s="148" t="s">
        <v>610</v>
      </c>
      <c r="D7" s="68">
        <f t="shared" si="0"/>
        <v>93</v>
      </c>
      <c r="E7" s="68">
        <f t="shared" si="1"/>
        <v>88</v>
      </c>
      <c r="F7" s="68">
        <f t="shared" si="2"/>
        <v>90</v>
      </c>
      <c r="G7" s="68">
        <f t="shared" si="3"/>
        <v>91</v>
      </c>
      <c r="H7" s="68">
        <f t="shared" si="4"/>
        <v>96</v>
      </c>
      <c r="I7" s="68">
        <f t="shared" si="5"/>
        <v>88</v>
      </c>
      <c r="J7" s="68">
        <f t="shared" si="6"/>
        <v>99</v>
      </c>
      <c r="K7" s="68">
        <f t="shared" si="7"/>
        <v>97</v>
      </c>
      <c r="L7" s="68">
        <f t="shared" si="8"/>
        <v>99</v>
      </c>
      <c r="M7" s="68">
        <f t="shared" si="9"/>
        <v>97</v>
      </c>
      <c r="N7" s="69">
        <f t="shared" si="10"/>
        <v>80</v>
      </c>
      <c r="O7" s="69">
        <f t="shared" si="11"/>
        <v>99</v>
      </c>
      <c r="P7" s="69">
        <f t="shared" si="12"/>
        <v>99</v>
      </c>
      <c r="Q7" s="69">
        <f t="shared" si="13"/>
        <v>99</v>
      </c>
      <c r="R7" s="69">
        <f t="shared" si="14"/>
        <v>99</v>
      </c>
      <c r="S7" s="234">
        <f t="shared" si="15"/>
        <v>98</v>
      </c>
      <c r="T7" s="234">
        <f t="shared" si="16"/>
        <v>75</v>
      </c>
      <c r="U7" s="234">
        <f t="shared" si="17"/>
        <v>75</v>
      </c>
      <c r="V7" s="234">
        <f t="shared" si="18"/>
        <v>93</v>
      </c>
      <c r="W7" s="234">
        <f t="shared" si="19"/>
        <v>80</v>
      </c>
      <c r="X7" s="234">
        <f t="shared" si="20"/>
        <v>75</v>
      </c>
      <c r="Y7" s="70">
        <f t="shared" si="21"/>
        <v>1414</v>
      </c>
      <c r="Z7" s="71">
        <f t="shared" si="22"/>
        <v>94.266666666666666</v>
      </c>
      <c r="AA7" s="101">
        <f t="shared" si="23"/>
        <v>4</v>
      </c>
      <c r="AB7" s="73" t="s">
        <v>806</v>
      </c>
      <c r="AC7" s="73" t="s">
        <v>806</v>
      </c>
      <c r="AD7" s="73" t="s">
        <v>806</v>
      </c>
      <c r="AE7" s="74">
        <v>0</v>
      </c>
      <c r="AF7" s="74">
        <v>21</v>
      </c>
      <c r="AG7" s="74">
        <v>0</v>
      </c>
      <c r="AH7" s="75"/>
      <c r="AJ7" s="141">
        <v>24</v>
      </c>
      <c r="AK7" s="141">
        <v>23240075</v>
      </c>
      <c r="AL7" s="148" t="s">
        <v>610</v>
      </c>
      <c r="AM7" s="68">
        <v>93.199999999999989</v>
      </c>
      <c r="AN7" s="68">
        <v>87.6</v>
      </c>
      <c r="AO7" s="68">
        <v>89.8</v>
      </c>
      <c r="AP7" s="68">
        <v>90.5</v>
      </c>
      <c r="AQ7" s="68">
        <v>96.199999999999989</v>
      </c>
      <c r="AR7" s="68">
        <v>88</v>
      </c>
      <c r="AS7" s="68">
        <v>98.5</v>
      </c>
      <c r="AT7" s="68">
        <v>97.3</v>
      </c>
      <c r="AU7" s="68">
        <v>99.5</v>
      </c>
      <c r="AV7" s="68">
        <v>97</v>
      </c>
      <c r="AW7" s="76">
        <v>80</v>
      </c>
      <c r="AX7" s="76">
        <v>100</v>
      </c>
      <c r="AY7" s="76">
        <v>100</v>
      </c>
      <c r="AZ7" s="76">
        <v>100</v>
      </c>
      <c r="BA7" s="76">
        <v>100</v>
      </c>
      <c r="BB7" s="240">
        <v>97.5</v>
      </c>
      <c r="BC7" s="240">
        <v>75</v>
      </c>
      <c r="BD7" s="240">
        <v>75</v>
      </c>
      <c r="BE7" s="240">
        <v>92.5</v>
      </c>
      <c r="BF7" s="240">
        <v>80</v>
      </c>
      <c r="BG7" s="240">
        <v>75</v>
      </c>
      <c r="BH7" s="70">
        <f t="shared" si="24"/>
        <v>1417.6</v>
      </c>
      <c r="BI7" s="71">
        <f t="shared" si="25"/>
        <v>94.506666666666661</v>
      </c>
      <c r="BJ7" s="101" t="e">
        <f t="shared" si="26"/>
        <v>#N/A</v>
      </c>
      <c r="BK7" s="73"/>
      <c r="BL7" s="73"/>
      <c r="BM7" s="73"/>
      <c r="BN7" s="74"/>
      <c r="BO7" s="74"/>
      <c r="BP7" s="74"/>
      <c r="BQ7" s="75"/>
    </row>
    <row r="8" spans="1:69" ht="27.95" customHeight="1">
      <c r="A8" s="141">
        <v>5</v>
      </c>
      <c r="B8" s="141">
        <v>23240099</v>
      </c>
      <c r="C8" s="148" t="s">
        <v>593</v>
      </c>
      <c r="D8" s="68">
        <f t="shared" si="0"/>
        <v>97</v>
      </c>
      <c r="E8" s="68">
        <f t="shared" si="1"/>
        <v>99</v>
      </c>
      <c r="F8" s="68">
        <f t="shared" si="2"/>
        <v>94</v>
      </c>
      <c r="G8" s="68">
        <f t="shared" si="3"/>
        <v>93</v>
      </c>
      <c r="H8" s="68">
        <f t="shared" si="4"/>
        <v>99</v>
      </c>
      <c r="I8" s="68">
        <f t="shared" si="5"/>
        <v>78</v>
      </c>
      <c r="J8" s="68">
        <f t="shared" si="6"/>
        <v>84</v>
      </c>
      <c r="K8" s="68">
        <f t="shared" si="7"/>
        <v>86</v>
      </c>
      <c r="L8" s="68">
        <f t="shared" si="8"/>
        <v>96</v>
      </c>
      <c r="M8" s="68">
        <f t="shared" si="9"/>
        <v>92</v>
      </c>
      <c r="N8" s="69">
        <f t="shared" si="10"/>
        <v>99</v>
      </c>
      <c r="O8" s="69">
        <f t="shared" si="11"/>
        <v>99</v>
      </c>
      <c r="P8" s="69">
        <f t="shared" si="12"/>
        <v>90</v>
      </c>
      <c r="Q8" s="69">
        <f t="shared" si="13"/>
        <v>99</v>
      </c>
      <c r="R8" s="69">
        <f t="shared" si="14"/>
        <v>99</v>
      </c>
      <c r="S8" s="234">
        <f t="shared" si="15"/>
        <v>90</v>
      </c>
      <c r="T8" s="234">
        <f t="shared" si="16"/>
        <v>75</v>
      </c>
      <c r="U8" s="234">
        <f t="shared" si="17"/>
        <v>75</v>
      </c>
      <c r="V8" s="234">
        <f t="shared" si="18"/>
        <v>90</v>
      </c>
      <c r="W8" s="234">
        <f t="shared" si="19"/>
        <v>78</v>
      </c>
      <c r="X8" s="234">
        <f t="shared" si="20"/>
        <v>75</v>
      </c>
      <c r="Y8" s="70">
        <f t="shared" si="21"/>
        <v>1404</v>
      </c>
      <c r="Z8" s="71">
        <f t="shared" si="22"/>
        <v>93.6</v>
      </c>
      <c r="AA8" s="101">
        <f t="shared" si="23"/>
        <v>5</v>
      </c>
      <c r="AB8" s="73" t="s">
        <v>806</v>
      </c>
      <c r="AC8" s="73" t="s">
        <v>806</v>
      </c>
      <c r="AD8" s="73" t="s">
        <v>805</v>
      </c>
      <c r="AE8" s="74">
        <v>12</v>
      </c>
      <c r="AF8" s="74">
        <v>0</v>
      </c>
      <c r="AG8" s="74">
        <v>0</v>
      </c>
      <c r="AH8" s="75"/>
      <c r="AJ8" s="141">
        <v>7</v>
      </c>
      <c r="AK8" s="141">
        <v>23240099</v>
      </c>
      <c r="AL8" s="148" t="s">
        <v>593</v>
      </c>
      <c r="AM8" s="68">
        <v>96.7</v>
      </c>
      <c r="AN8" s="68">
        <v>98.7</v>
      </c>
      <c r="AO8" s="68">
        <v>94</v>
      </c>
      <c r="AP8" s="68">
        <v>92.5</v>
      </c>
      <c r="AQ8" s="68">
        <v>98.8</v>
      </c>
      <c r="AR8" s="68">
        <v>78</v>
      </c>
      <c r="AS8" s="68">
        <v>83.5</v>
      </c>
      <c r="AT8" s="68">
        <v>86</v>
      </c>
      <c r="AU8" s="68">
        <v>96</v>
      </c>
      <c r="AV8" s="68">
        <v>92</v>
      </c>
      <c r="AW8" s="76">
        <v>100</v>
      </c>
      <c r="AX8" s="76">
        <v>100</v>
      </c>
      <c r="AY8" s="76">
        <v>90</v>
      </c>
      <c r="AZ8" s="76">
        <v>100</v>
      </c>
      <c r="BA8" s="76">
        <v>100</v>
      </c>
      <c r="BB8" s="240">
        <v>90</v>
      </c>
      <c r="BC8" s="240">
        <v>75</v>
      </c>
      <c r="BD8" s="240">
        <v>75</v>
      </c>
      <c r="BE8" s="240">
        <v>90</v>
      </c>
      <c r="BF8" s="240">
        <v>77.5</v>
      </c>
      <c r="BG8" s="240">
        <v>75</v>
      </c>
      <c r="BH8" s="70">
        <f t="shared" si="24"/>
        <v>1406.2</v>
      </c>
      <c r="BI8" s="71">
        <f t="shared" si="25"/>
        <v>93.74666666666667</v>
      </c>
      <c r="BJ8" s="101" t="e">
        <f t="shared" si="26"/>
        <v>#N/A</v>
      </c>
      <c r="BK8" s="73"/>
      <c r="BL8" s="73"/>
      <c r="BM8" s="73"/>
      <c r="BN8" s="74"/>
      <c r="BO8" s="74"/>
      <c r="BP8" s="74"/>
      <c r="BQ8" s="75"/>
    </row>
    <row r="9" spans="1:69" ht="27.95" customHeight="1">
      <c r="A9" s="141">
        <v>6</v>
      </c>
      <c r="B9" s="141">
        <v>23240092</v>
      </c>
      <c r="C9" s="149" t="s">
        <v>607</v>
      </c>
      <c r="D9" s="68">
        <f t="shared" si="0"/>
        <v>99</v>
      </c>
      <c r="E9" s="68">
        <f t="shared" si="1"/>
        <v>94</v>
      </c>
      <c r="F9" s="68">
        <f t="shared" si="2"/>
        <v>99</v>
      </c>
      <c r="G9" s="68">
        <f t="shared" si="3"/>
        <v>79</v>
      </c>
      <c r="H9" s="68">
        <f t="shared" si="4"/>
        <v>97</v>
      </c>
      <c r="I9" s="68">
        <f t="shared" si="5"/>
        <v>81</v>
      </c>
      <c r="J9" s="68">
        <f t="shared" si="6"/>
        <v>84</v>
      </c>
      <c r="K9" s="68">
        <f t="shared" si="7"/>
        <v>89</v>
      </c>
      <c r="L9" s="68">
        <f t="shared" si="8"/>
        <v>87</v>
      </c>
      <c r="M9" s="68">
        <f t="shared" si="9"/>
        <v>85</v>
      </c>
      <c r="N9" s="69">
        <f t="shared" si="10"/>
        <v>95</v>
      </c>
      <c r="O9" s="69">
        <f t="shared" si="11"/>
        <v>90</v>
      </c>
      <c r="P9" s="69">
        <f t="shared" si="12"/>
        <v>85</v>
      </c>
      <c r="Q9" s="69">
        <f t="shared" si="13"/>
        <v>99</v>
      </c>
      <c r="R9" s="69">
        <f t="shared" si="14"/>
        <v>99</v>
      </c>
      <c r="S9" s="234">
        <f t="shared" si="15"/>
        <v>93</v>
      </c>
      <c r="T9" s="234">
        <f t="shared" si="16"/>
        <v>75</v>
      </c>
      <c r="U9" s="234">
        <f t="shared" si="17"/>
        <v>75</v>
      </c>
      <c r="V9" s="234">
        <f t="shared" si="18"/>
        <v>83</v>
      </c>
      <c r="W9" s="234">
        <f t="shared" si="19"/>
        <v>75</v>
      </c>
      <c r="X9" s="234">
        <f t="shared" si="20"/>
        <v>75</v>
      </c>
      <c r="Y9" s="70">
        <f t="shared" si="21"/>
        <v>1362</v>
      </c>
      <c r="Z9" s="71">
        <f t="shared" si="22"/>
        <v>90.8</v>
      </c>
      <c r="AA9" s="101">
        <f t="shared" si="23"/>
        <v>6</v>
      </c>
      <c r="AB9" s="73" t="s">
        <v>806</v>
      </c>
      <c r="AC9" s="73" t="s">
        <v>805</v>
      </c>
      <c r="AD9" s="73" t="s">
        <v>805</v>
      </c>
      <c r="AE9" s="74">
        <v>0</v>
      </c>
      <c r="AF9" s="74">
        <v>8</v>
      </c>
      <c r="AG9" s="74">
        <v>0</v>
      </c>
      <c r="AH9" s="75"/>
      <c r="AJ9" s="141">
        <v>21</v>
      </c>
      <c r="AK9" s="141">
        <v>23240092</v>
      </c>
      <c r="AL9" s="149" t="s">
        <v>607</v>
      </c>
      <c r="AM9" s="68">
        <v>98.5</v>
      </c>
      <c r="AN9" s="68">
        <v>93.6</v>
      </c>
      <c r="AO9" s="68">
        <v>99</v>
      </c>
      <c r="AP9" s="68">
        <v>78.5</v>
      </c>
      <c r="AQ9" s="68">
        <v>96.6</v>
      </c>
      <c r="AR9" s="68">
        <v>80.5</v>
      </c>
      <c r="AS9" s="68">
        <v>84</v>
      </c>
      <c r="AT9" s="68">
        <v>89.399999999999991</v>
      </c>
      <c r="AU9" s="68">
        <v>86.5</v>
      </c>
      <c r="AV9" s="68">
        <v>84.5</v>
      </c>
      <c r="AW9" s="76">
        <v>95</v>
      </c>
      <c r="AX9" s="76">
        <v>90</v>
      </c>
      <c r="AY9" s="76">
        <v>85</v>
      </c>
      <c r="AZ9" s="76">
        <v>100</v>
      </c>
      <c r="BA9" s="76">
        <v>100</v>
      </c>
      <c r="BB9" s="240">
        <v>92.5</v>
      </c>
      <c r="BC9" s="240">
        <v>75</v>
      </c>
      <c r="BD9" s="240">
        <v>75</v>
      </c>
      <c r="BE9" s="240">
        <v>82.5</v>
      </c>
      <c r="BF9" s="240">
        <v>75</v>
      </c>
      <c r="BG9" s="240">
        <v>75</v>
      </c>
      <c r="BH9" s="70">
        <f t="shared" si="24"/>
        <v>1361.1</v>
      </c>
      <c r="BI9" s="71">
        <f t="shared" si="25"/>
        <v>90.74</v>
      </c>
      <c r="BJ9" s="101" t="e">
        <f t="shared" si="26"/>
        <v>#N/A</v>
      </c>
      <c r="BK9" s="73"/>
      <c r="BL9" s="73"/>
      <c r="BM9" s="73"/>
      <c r="BN9" s="74"/>
      <c r="BO9" s="74"/>
      <c r="BP9" s="74"/>
      <c r="BQ9" s="75"/>
    </row>
    <row r="10" spans="1:69" ht="27.95" customHeight="1">
      <c r="A10" s="141">
        <v>7</v>
      </c>
      <c r="B10" s="141">
        <v>23240159</v>
      </c>
      <c r="C10" s="148" t="s">
        <v>595</v>
      </c>
      <c r="D10" s="68">
        <f t="shared" si="0"/>
        <v>88</v>
      </c>
      <c r="E10" s="68">
        <f t="shared" si="1"/>
        <v>97</v>
      </c>
      <c r="F10" s="68">
        <f t="shared" si="2"/>
        <v>87</v>
      </c>
      <c r="G10" s="68">
        <f t="shared" si="3"/>
        <v>84</v>
      </c>
      <c r="H10" s="68">
        <f t="shared" si="4"/>
        <v>93</v>
      </c>
      <c r="I10" s="68">
        <f t="shared" si="5"/>
        <v>57</v>
      </c>
      <c r="J10" s="68">
        <f t="shared" si="6"/>
        <v>94</v>
      </c>
      <c r="K10" s="68">
        <f t="shared" si="7"/>
        <v>91</v>
      </c>
      <c r="L10" s="68">
        <f t="shared" si="8"/>
        <v>90</v>
      </c>
      <c r="M10" s="68">
        <f t="shared" si="9"/>
        <v>91</v>
      </c>
      <c r="N10" s="69">
        <f t="shared" si="10"/>
        <v>85</v>
      </c>
      <c r="O10" s="69">
        <f t="shared" si="11"/>
        <v>99</v>
      </c>
      <c r="P10" s="69">
        <f t="shared" si="12"/>
        <v>90</v>
      </c>
      <c r="Q10" s="69">
        <f t="shared" si="13"/>
        <v>99</v>
      </c>
      <c r="R10" s="69">
        <f t="shared" si="14"/>
        <v>99</v>
      </c>
      <c r="S10" s="234">
        <f t="shared" si="15"/>
        <v>98</v>
      </c>
      <c r="T10" s="234">
        <f t="shared" si="16"/>
        <v>75</v>
      </c>
      <c r="U10" s="234">
        <f t="shared" si="17"/>
        <v>75</v>
      </c>
      <c r="V10" s="234">
        <f t="shared" si="18"/>
        <v>88</v>
      </c>
      <c r="W10" s="234">
        <f t="shared" si="19"/>
        <v>63</v>
      </c>
      <c r="X10" s="234">
        <f t="shared" si="20"/>
        <v>75</v>
      </c>
      <c r="Y10" s="70">
        <f t="shared" si="21"/>
        <v>1344</v>
      </c>
      <c r="Z10" s="71">
        <f t="shared" si="22"/>
        <v>89.6</v>
      </c>
      <c r="AA10" s="101">
        <f t="shared" si="23"/>
        <v>7</v>
      </c>
      <c r="AB10" s="73" t="s">
        <v>806</v>
      </c>
      <c r="AC10" s="73" t="s">
        <v>806</v>
      </c>
      <c r="AD10" s="73" t="s">
        <v>805</v>
      </c>
      <c r="AE10" s="74">
        <v>4</v>
      </c>
      <c r="AF10" s="74">
        <v>0</v>
      </c>
      <c r="AG10" s="74">
        <v>0</v>
      </c>
      <c r="AH10" s="75"/>
      <c r="AJ10" s="141">
        <v>9</v>
      </c>
      <c r="AK10" s="141">
        <v>23240159</v>
      </c>
      <c r="AL10" s="148" t="s">
        <v>595</v>
      </c>
      <c r="AM10" s="68">
        <v>87.5</v>
      </c>
      <c r="AN10" s="68">
        <v>96.5</v>
      </c>
      <c r="AO10" s="68">
        <v>86.8</v>
      </c>
      <c r="AP10" s="68">
        <v>84</v>
      </c>
      <c r="AQ10" s="68">
        <v>93.4</v>
      </c>
      <c r="AR10" s="68">
        <v>57</v>
      </c>
      <c r="AS10" s="68">
        <v>93.5</v>
      </c>
      <c r="AT10" s="68">
        <v>91</v>
      </c>
      <c r="AU10" s="68">
        <v>90</v>
      </c>
      <c r="AV10" s="68">
        <v>90.5</v>
      </c>
      <c r="AW10" s="76">
        <v>85</v>
      </c>
      <c r="AX10" s="76">
        <v>100</v>
      </c>
      <c r="AY10" s="76">
        <v>90</v>
      </c>
      <c r="AZ10" s="76">
        <v>99</v>
      </c>
      <c r="BA10" s="76">
        <v>99</v>
      </c>
      <c r="BB10" s="240">
        <v>97.5</v>
      </c>
      <c r="BC10" s="240">
        <v>75</v>
      </c>
      <c r="BD10" s="240">
        <v>75</v>
      </c>
      <c r="BE10" s="240">
        <v>87.5</v>
      </c>
      <c r="BF10" s="240">
        <v>62.5</v>
      </c>
      <c r="BG10" s="240">
        <v>75</v>
      </c>
      <c r="BH10" s="70">
        <f t="shared" si="24"/>
        <v>1343.2</v>
      </c>
      <c r="BI10" s="71">
        <f t="shared" si="25"/>
        <v>89.546666666666667</v>
      </c>
      <c r="BJ10" s="101" t="e">
        <f t="shared" si="26"/>
        <v>#N/A</v>
      </c>
      <c r="BK10" s="73"/>
      <c r="BL10" s="73"/>
      <c r="BM10" s="73"/>
      <c r="BN10" s="74"/>
      <c r="BO10" s="74"/>
      <c r="BP10" s="74"/>
      <c r="BQ10" s="75"/>
    </row>
    <row r="11" spans="1:69" ht="27.95" customHeight="1">
      <c r="A11" s="141">
        <v>8</v>
      </c>
      <c r="B11" s="141">
        <v>23240043</v>
      </c>
      <c r="C11" s="148" t="s">
        <v>616</v>
      </c>
      <c r="D11" s="68">
        <f t="shared" si="0"/>
        <v>92</v>
      </c>
      <c r="E11" s="68">
        <f t="shared" si="1"/>
        <v>93</v>
      </c>
      <c r="F11" s="68">
        <f t="shared" si="2"/>
        <v>96</v>
      </c>
      <c r="G11" s="68">
        <f t="shared" si="3"/>
        <v>83</v>
      </c>
      <c r="H11" s="68">
        <f t="shared" si="4"/>
        <v>96</v>
      </c>
      <c r="I11" s="68">
        <f t="shared" si="5"/>
        <v>67</v>
      </c>
      <c r="J11" s="68">
        <f t="shared" si="6"/>
        <v>83</v>
      </c>
      <c r="K11" s="68">
        <f t="shared" si="7"/>
        <v>84</v>
      </c>
      <c r="L11" s="68">
        <f t="shared" si="8"/>
        <v>92</v>
      </c>
      <c r="M11" s="68">
        <f t="shared" si="9"/>
        <v>84</v>
      </c>
      <c r="N11" s="69">
        <f t="shared" si="10"/>
        <v>85</v>
      </c>
      <c r="O11" s="69">
        <f t="shared" si="11"/>
        <v>85</v>
      </c>
      <c r="P11" s="69">
        <f t="shared" si="12"/>
        <v>80</v>
      </c>
      <c r="Q11" s="69">
        <f t="shared" si="13"/>
        <v>99</v>
      </c>
      <c r="R11" s="69">
        <f t="shared" si="14"/>
        <v>99</v>
      </c>
      <c r="S11" s="234">
        <f t="shared" si="15"/>
        <v>98</v>
      </c>
      <c r="T11" s="234">
        <f t="shared" si="16"/>
        <v>75</v>
      </c>
      <c r="U11" s="234">
        <f t="shared" si="17"/>
        <v>75</v>
      </c>
      <c r="V11" s="234">
        <f t="shared" si="18"/>
        <v>93</v>
      </c>
      <c r="W11" s="234">
        <f t="shared" si="19"/>
        <v>75</v>
      </c>
      <c r="X11" s="234">
        <f t="shared" si="20"/>
        <v>75</v>
      </c>
      <c r="Y11" s="70">
        <f t="shared" si="21"/>
        <v>1318</v>
      </c>
      <c r="Z11" s="71">
        <f t="shared" si="22"/>
        <v>87.86666666666666</v>
      </c>
      <c r="AA11" s="101">
        <f t="shared" si="23"/>
        <v>8</v>
      </c>
      <c r="AB11" s="73" t="s">
        <v>805</v>
      </c>
      <c r="AC11" s="73" t="s">
        <v>805</v>
      </c>
      <c r="AD11" s="73" t="s">
        <v>805</v>
      </c>
      <c r="AE11" s="74">
        <v>0</v>
      </c>
      <c r="AF11" s="74">
        <v>0</v>
      </c>
      <c r="AG11" s="74">
        <v>0</v>
      </c>
      <c r="AH11" s="75"/>
      <c r="AJ11" s="141">
        <v>30</v>
      </c>
      <c r="AK11" s="141">
        <v>23240043</v>
      </c>
      <c r="AL11" s="148" t="s">
        <v>616</v>
      </c>
      <c r="AM11" s="68">
        <v>92</v>
      </c>
      <c r="AN11" s="68">
        <v>92.8</v>
      </c>
      <c r="AO11" s="68">
        <v>96</v>
      </c>
      <c r="AP11" s="68">
        <v>82.5</v>
      </c>
      <c r="AQ11" s="68">
        <v>96.3</v>
      </c>
      <c r="AR11" s="68">
        <v>67</v>
      </c>
      <c r="AS11" s="68">
        <v>82.5</v>
      </c>
      <c r="AT11" s="68">
        <v>84.2</v>
      </c>
      <c r="AU11" s="68">
        <v>91.5</v>
      </c>
      <c r="AV11" s="68">
        <v>83.5</v>
      </c>
      <c r="AW11" s="76">
        <v>85</v>
      </c>
      <c r="AX11" s="76">
        <v>85</v>
      </c>
      <c r="AY11" s="76">
        <v>80</v>
      </c>
      <c r="AZ11" s="76">
        <v>99</v>
      </c>
      <c r="BA11" s="76">
        <v>100</v>
      </c>
      <c r="BB11" s="240">
        <v>97.5</v>
      </c>
      <c r="BC11" s="240">
        <v>75</v>
      </c>
      <c r="BD11" s="240">
        <v>75</v>
      </c>
      <c r="BE11" s="240">
        <v>92.5</v>
      </c>
      <c r="BF11" s="240">
        <v>75</v>
      </c>
      <c r="BG11" s="240">
        <v>75</v>
      </c>
      <c r="BH11" s="70">
        <f t="shared" si="24"/>
        <v>1317.3000000000002</v>
      </c>
      <c r="BI11" s="71">
        <f t="shared" si="25"/>
        <v>87.820000000000007</v>
      </c>
      <c r="BJ11" s="101" t="e">
        <f t="shared" si="26"/>
        <v>#N/A</v>
      </c>
      <c r="BK11" s="73"/>
      <c r="BL11" s="73"/>
      <c r="BM11" s="73"/>
      <c r="BN11" s="74"/>
      <c r="BO11" s="74"/>
      <c r="BP11" s="74"/>
      <c r="BQ11" s="75"/>
    </row>
    <row r="12" spans="1:69" ht="27.95" customHeight="1">
      <c r="A12" s="141">
        <v>9</v>
      </c>
      <c r="B12" s="141">
        <v>23240112</v>
      </c>
      <c r="C12" s="148" t="s">
        <v>601</v>
      </c>
      <c r="D12" s="68">
        <f t="shared" si="0"/>
        <v>85</v>
      </c>
      <c r="E12" s="68">
        <f t="shared" si="1"/>
        <v>98</v>
      </c>
      <c r="F12" s="68">
        <f t="shared" si="2"/>
        <v>81</v>
      </c>
      <c r="G12" s="68">
        <f t="shared" si="3"/>
        <v>77</v>
      </c>
      <c r="H12" s="68">
        <f t="shared" si="4"/>
        <v>96</v>
      </c>
      <c r="I12" s="68">
        <f t="shared" si="5"/>
        <v>71</v>
      </c>
      <c r="J12" s="68">
        <f t="shared" si="6"/>
        <v>85</v>
      </c>
      <c r="K12" s="68">
        <f t="shared" si="7"/>
        <v>82</v>
      </c>
      <c r="L12" s="68">
        <f t="shared" si="8"/>
        <v>92</v>
      </c>
      <c r="M12" s="68">
        <f t="shared" si="9"/>
        <v>87</v>
      </c>
      <c r="N12" s="69">
        <f t="shared" si="10"/>
        <v>85</v>
      </c>
      <c r="O12" s="69">
        <f t="shared" si="11"/>
        <v>90</v>
      </c>
      <c r="P12" s="69">
        <f t="shared" si="12"/>
        <v>80</v>
      </c>
      <c r="Q12" s="69">
        <f t="shared" si="13"/>
        <v>99</v>
      </c>
      <c r="R12" s="69">
        <f t="shared" si="14"/>
        <v>99</v>
      </c>
      <c r="S12" s="234">
        <f t="shared" si="15"/>
        <v>95</v>
      </c>
      <c r="T12" s="234">
        <f t="shared" si="16"/>
        <v>75</v>
      </c>
      <c r="U12" s="234">
        <f t="shared" si="17"/>
        <v>75</v>
      </c>
      <c r="V12" s="234">
        <f t="shared" si="18"/>
        <v>93</v>
      </c>
      <c r="W12" s="234">
        <f t="shared" si="19"/>
        <v>75</v>
      </c>
      <c r="X12" s="234">
        <f t="shared" si="20"/>
        <v>75</v>
      </c>
      <c r="Y12" s="70">
        <f t="shared" si="21"/>
        <v>1307</v>
      </c>
      <c r="Z12" s="71">
        <f t="shared" si="22"/>
        <v>87.13333333333334</v>
      </c>
      <c r="AA12" s="101">
        <f t="shared" si="23"/>
        <v>9</v>
      </c>
      <c r="AB12" s="73" t="s">
        <v>806</v>
      </c>
      <c r="AC12" s="73" t="s">
        <v>805</v>
      </c>
      <c r="AD12" s="73" t="s">
        <v>805</v>
      </c>
      <c r="AE12" s="74">
        <v>0</v>
      </c>
      <c r="AF12" s="74">
        <v>0</v>
      </c>
      <c r="AG12" s="74">
        <v>0</v>
      </c>
      <c r="AH12" s="75"/>
      <c r="AJ12" s="141">
        <v>15</v>
      </c>
      <c r="AK12" s="141">
        <v>23240112</v>
      </c>
      <c r="AL12" s="148" t="s">
        <v>601</v>
      </c>
      <c r="AM12" s="68">
        <v>84.8</v>
      </c>
      <c r="AN12" s="68">
        <v>97.8</v>
      </c>
      <c r="AO12" s="68">
        <v>81</v>
      </c>
      <c r="AP12" s="68">
        <v>77</v>
      </c>
      <c r="AQ12" s="68">
        <v>95.7</v>
      </c>
      <c r="AR12" s="68">
        <v>71</v>
      </c>
      <c r="AS12" s="68">
        <v>84.5</v>
      </c>
      <c r="AT12" s="68">
        <v>81.5</v>
      </c>
      <c r="AU12" s="68">
        <v>91.5</v>
      </c>
      <c r="AV12" s="68">
        <v>86.5</v>
      </c>
      <c r="AW12" s="76">
        <v>85</v>
      </c>
      <c r="AX12" s="76">
        <v>90</v>
      </c>
      <c r="AY12" s="76">
        <v>80</v>
      </c>
      <c r="AZ12" s="76">
        <v>100</v>
      </c>
      <c r="BA12" s="76">
        <v>100</v>
      </c>
      <c r="BB12" s="240">
        <v>95</v>
      </c>
      <c r="BC12" s="240">
        <v>75</v>
      </c>
      <c r="BD12" s="240">
        <v>75</v>
      </c>
      <c r="BE12" s="240">
        <v>92.5</v>
      </c>
      <c r="BF12" s="240">
        <v>75</v>
      </c>
      <c r="BG12" s="240">
        <v>75</v>
      </c>
      <c r="BH12" s="70">
        <f t="shared" si="24"/>
        <v>1306.3</v>
      </c>
      <c r="BI12" s="71">
        <f t="shared" si="25"/>
        <v>87.086666666666659</v>
      </c>
      <c r="BJ12" s="101" t="e">
        <f t="shared" si="26"/>
        <v>#N/A</v>
      </c>
      <c r="BK12" s="73"/>
      <c r="BL12" s="73"/>
      <c r="BM12" s="73"/>
      <c r="BN12" s="74"/>
      <c r="BO12" s="74"/>
      <c r="BP12" s="74"/>
      <c r="BQ12" s="75"/>
    </row>
    <row r="13" spans="1:69" ht="27.95" customHeight="1">
      <c r="A13" s="141">
        <v>10</v>
      </c>
      <c r="B13" s="141">
        <v>23240059</v>
      </c>
      <c r="C13" s="148" t="s">
        <v>603</v>
      </c>
      <c r="D13" s="68">
        <f t="shared" si="0"/>
        <v>87</v>
      </c>
      <c r="E13" s="68">
        <f t="shared" si="1"/>
        <v>69</v>
      </c>
      <c r="F13" s="68">
        <f t="shared" si="2"/>
        <v>75</v>
      </c>
      <c r="G13" s="68">
        <f t="shared" si="3"/>
        <v>73</v>
      </c>
      <c r="H13" s="68">
        <f t="shared" si="4"/>
        <v>87</v>
      </c>
      <c r="I13" s="68">
        <f t="shared" si="5"/>
        <v>77</v>
      </c>
      <c r="J13" s="68">
        <f t="shared" si="6"/>
        <v>93</v>
      </c>
      <c r="K13" s="68">
        <f t="shared" si="7"/>
        <v>92</v>
      </c>
      <c r="L13" s="68">
        <f t="shared" si="8"/>
        <v>94</v>
      </c>
      <c r="M13" s="68">
        <f t="shared" si="9"/>
        <v>77</v>
      </c>
      <c r="N13" s="69">
        <f t="shared" si="10"/>
        <v>85</v>
      </c>
      <c r="O13" s="69">
        <f t="shared" si="11"/>
        <v>99</v>
      </c>
      <c r="P13" s="69">
        <f t="shared" si="12"/>
        <v>90</v>
      </c>
      <c r="Q13" s="69">
        <f t="shared" si="13"/>
        <v>99</v>
      </c>
      <c r="R13" s="69">
        <f t="shared" si="14"/>
        <v>99</v>
      </c>
      <c r="S13" s="234">
        <f t="shared" si="15"/>
        <v>88</v>
      </c>
      <c r="T13" s="234">
        <f t="shared" si="16"/>
        <v>75</v>
      </c>
      <c r="U13" s="234">
        <f t="shared" si="17"/>
        <v>75</v>
      </c>
      <c r="V13" s="234">
        <f t="shared" si="18"/>
        <v>90</v>
      </c>
      <c r="W13" s="234">
        <f t="shared" si="19"/>
        <v>73</v>
      </c>
      <c r="X13" s="234">
        <f t="shared" si="20"/>
        <v>75</v>
      </c>
      <c r="Y13" s="70">
        <f t="shared" si="21"/>
        <v>1296</v>
      </c>
      <c r="Z13" s="71">
        <f t="shared" si="22"/>
        <v>86.4</v>
      </c>
      <c r="AA13" s="101">
        <f t="shared" si="23"/>
        <v>10</v>
      </c>
      <c r="AB13" s="73" t="s">
        <v>806</v>
      </c>
      <c r="AC13" s="73" t="s">
        <v>806</v>
      </c>
      <c r="AD13" s="73" t="s">
        <v>805</v>
      </c>
      <c r="AE13" s="74">
        <v>0</v>
      </c>
      <c r="AF13" s="74">
        <v>0</v>
      </c>
      <c r="AG13" s="74">
        <v>0</v>
      </c>
      <c r="AH13" s="75"/>
      <c r="AJ13" s="141">
        <v>17</v>
      </c>
      <c r="AK13" s="141">
        <v>23240059</v>
      </c>
      <c r="AL13" s="148" t="s">
        <v>603</v>
      </c>
      <c r="AM13" s="68">
        <v>87.199999999999989</v>
      </c>
      <c r="AN13" s="68">
        <v>69.400000000000006</v>
      </c>
      <c r="AO13" s="68">
        <v>75.199999999999989</v>
      </c>
      <c r="AP13" s="68">
        <v>72.5</v>
      </c>
      <c r="AQ13" s="68">
        <v>86.7</v>
      </c>
      <c r="AR13" s="68">
        <v>77</v>
      </c>
      <c r="AS13" s="68">
        <v>93</v>
      </c>
      <c r="AT13" s="68">
        <v>92.199999999999989</v>
      </c>
      <c r="AU13" s="68">
        <v>94</v>
      </c>
      <c r="AV13" s="68">
        <v>76.5</v>
      </c>
      <c r="AW13" s="76">
        <v>85</v>
      </c>
      <c r="AX13" s="76">
        <v>100</v>
      </c>
      <c r="AY13" s="76">
        <v>90</v>
      </c>
      <c r="AZ13" s="76">
        <v>99</v>
      </c>
      <c r="BA13" s="76">
        <v>99</v>
      </c>
      <c r="BB13" s="240">
        <v>87.5</v>
      </c>
      <c r="BC13" s="240">
        <v>75</v>
      </c>
      <c r="BD13" s="240">
        <v>75</v>
      </c>
      <c r="BE13" s="240">
        <v>90</v>
      </c>
      <c r="BF13" s="240">
        <v>72.5</v>
      </c>
      <c r="BG13" s="240">
        <v>75</v>
      </c>
      <c r="BH13" s="70">
        <f t="shared" si="24"/>
        <v>1296.7</v>
      </c>
      <c r="BI13" s="71">
        <f t="shared" si="25"/>
        <v>86.446666666666673</v>
      </c>
      <c r="BJ13" s="101" t="e">
        <f t="shared" si="26"/>
        <v>#N/A</v>
      </c>
      <c r="BK13" s="73"/>
      <c r="BL13" s="73"/>
      <c r="BM13" s="73"/>
      <c r="BN13" s="74"/>
      <c r="BO13" s="74"/>
      <c r="BP13" s="74"/>
      <c r="BQ13" s="75"/>
    </row>
    <row r="14" spans="1:69" ht="27.95" customHeight="1">
      <c r="A14" s="141">
        <v>11</v>
      </c>
      <c r="B14" s="141">
        <v>23240146</v>
      </c>
      <c r="C14" s="148" t="s">
        <v>612</v>
      </c>
      <c r="D14" s="68">
        <f t="shared" si="0"/>
        <v>87</v>
      </c>
      <c r="E14" s="68">
        <f t="shared" si="1"/>
        <v>93</v>
      </c>
      <c r="F14" s="68">
        <f t="shared" si="2"/>
        <v>73</v>
      </c>
      <c r="G14" s="68">
        <f t="shared" si="3"/>
        <v>80</v>
      </c>
      <c r="H14" s="68">
        <f t="shared" si="4"/>
        <v>91</v>
      </c>
      <c r="I14" s="68">
        <f t="shared" si="5"/>
        <v>67</v>
      </c>
      <c r="J14" s="68">
        <f t="shared" si="6"/>
        <v>95</v>
      </c>
      <c r="K14" s="68">
        <f t="shared" si="7"/>
        <v>97</v>
      </c>
      <c r="L14" s="68">
        <f t="shared" si="8"/>
        <v>88</v>
      </c>
      <c r="M14" s="68">
        <f t="shared" si="9"/>
        <v>79</v>
      </c>
      <c r="N14" s="69">
        <f t="shared" si="10"/>
        <v>95</v>
      </c>
      <c r="O14" s="69">
        <f t="shared" si="11"/>
        <v>80</v>
      </c>
      <c r="P14" s="69">
        <f t="shared" si="12"/>
        <v>70</v>
      </c>
      <c r="Q14" s="69">
        <f t="shared" si="13"/>
        <v>99</v>
      </c>
      <c r="R14" s="69">
        <f t="shared" si="14"/>
        <v>99</v>
      </c>
      <c r="S14" s="234">
        <f t="shared" si="15"/>
        <v>98</v>
      </c>
      <c r="T14" s="234">
        <f t="shared" si="16"/>
        <v>75</v>
      </c>
      <c r="U14" s="234">
        <f t="shared" si="17"/>
        <v>75</v>
      </c>
      <c r="V14" s="234">
        <f t="shared" si="18"/>
        <v>90</v>
      </c>
      <c r="W14" s="234">
        <f t="shared" si="19"/>
        <v>70</v>
      </c>
      <c r="X14" s="234">
        <f t="shared" si="20"/>
        <v>75</v>
      </c>
      <c r="Y14" s="70">
        <f t="shared" si="21"/>
        <v>1293</v>
      </c>
      <c r="Z14" s="71">
        <f t="shared" si="22"/>
        <v>86.2</v>
      </c>
      <c r="AA14" s="101">
        <f t="shared" si="23"/>
        <v>11</v>
      </c>
      <c r="AB14" s="73" t="s">
        <v>806</v>
      </c>
      <c r="AC14" s="73" t="s">
        <v>805</v>
      </c>
      <c r="AD14" s="73" t="s">
        <v>805</v>
      </c>
      <c r="AE14" s="74">
        <v>0</v>
      </c>
      <c r="AF14" s="74">
        <v>14</v>
      </c>
      <c r="AG14" s="74">
        <v>0</v>
      </c>
      <c r="AH14" s="75"/>
      <c r="AJ14" s="141">
        <v>26</v>
      </c>
      <c r="AK14" s="141">
        <v>23240146</v>
      </c>
      <c r="AL14" s="148" t="s">
        <v>612</v>
      </c>
      <c r="AM14" s="68">
        <v>86.8</v>
      </c>
      <c r="AN14" s="68">
        <v>92.6</v>
      </c>
      <c r="AO14" s="68">
        <v>72.8</v>
      </c>
      <c r="AP14" s="68">
        <v>79.5</v>
      </c>
      <c r="AQ14" s="68">
        <v>90.5</v>
      </c>
      <c r="AR14" s="68">
        <v>67</v>
      </c>
      <c r="AS14" s="68">
        <v>94.5</v>
      </c>
      <c r="AT14" s="68">
        <v>97.3</v>
      </c>
      <c r="AU14" s="68">
        <v>87.5</v>
      </c>
      <c r="AV14" s="68">
        <v>79</v>
      </c>
      <c r="AW14" s="76">
        <v>95</v>
      </c>
      <c r="AX14" s="76">
        <v>80</v>
      </c>
      <c r="AY14" s="76">
        <v>70</v>
      </c>
      <c r="AZ14" s="76">
        <v>100</v>
      </c>
      <c r="BA14" s="76">
        <v>99</v>
      </c>
      <c r="BB14" s="240">
        <v>97.5</v>
      </c>
      <c r="BC14" s="240">
        <v>75</v>
      </c>
      <c r="BD14" s="240">
        <v>75</v>
      </c>
      <c r="BE14" s="240">
        <v>90</v>
      </c>
      <c r="BF14" s="240">
        <v>70</v>
      </c>
      <c r="BG14" s="240">
        <v>75</v>
      </c>
      <c r="BH14" s="70">
        <f t="shared" si="24"/>
        <v>1291.5</v>
      </c>
      <c r="BI14" s="71">
        <f t="shared" si="25"/>
        <v>86.1</v>
      </c>
      <c r="BJ14" s="101" t="e">
        <f t="shared" si="26"/>
        <v>#N/A</v>
      </c>
      <c r="BK14" s="73"/>
      <c r="BL14" s="73"/>
      <c r="BM14" s="73"/>
      <c r="BN14" s="74"/>
      <c r="BO14" s="74"/>
      <c r="BP14" s="74"/>
      <c r="BQ14" s="75"/>
    </row>
    <row r="15" spans="1:69" ht="27.95" customHeight="1">
      <c r="A15" s="141">
        <v>12</v>
      </c>
      <c r="B15" s="141">
        <v>23240128</v>
      </c>
      <c r="C15" s="148" t="s">
        <v>606</v>
      </c>
      <c r="D15" s="68">
        <f t="shared" si="0"/>
        <v>89</v>
      </c>
      <c r="E15" s="68">
        <f t="shared" si="1"/>
        <v>92</v>
      </c>
      <c r="F15" s="68">
        <f t="shared" si="2"/>
        <v>75</v>
      </c>
      <c r="G15" s="68">
        <f t="shared" si="3"/>
        <v>70</v>
      </c>
      <c r="H15" s="68">
        <f t="shared" si="4"/>
        <v>90</v>
      </c>
      <c r="I15" s="68">
        <f t="shared" si="5"/>
        <v>74</v>
      </c>
      <c r="J15" s="68">
        <f t="shared" si="6"/>
        <v>77</v>
      </c>
      <c r="K15" s="68">
        <f t="shared" si="7"/>
        <v>89</v>
      </c>
      <c r="L15" s="68">
        <f t="shared" si="8"/>
        <v>92</v>
      </c>
      <c r="M15" s="68">
        <f t="shared" si="9"/>
        <v>75</v>
      </c>
      <c r="N15" s="69">
        <f t="shared" si="10"/>
        <v>85</v>
      </c>
      <c r="O15" s="69">
        <f t="shared" si="11"/>
        <v>90</v>
      </c>
      <c r="P15" s="69">
        <f t="shared" si="12"/>
        <v>75</v>
      </c>
      <c r="Q15" s="69">
        <f t="shared" si="13"/>
        <v>99</v>
      </c>
      <c r="R15" s="69">
        <f t="shared" si="14"/>
        <v>99</v>
      </c>
      <c r="S15" s="234">
        <f t="shared" si="15"/>
        <v>88</v>
      </c>
      <c r="T15" s="234">
        <f t="shared" si="16"/>
        <v>75</v>
      </c>
      <c r="U15" s="234">
        <f t="shared" si="17"/>
        <v>75</v>
      </c>
      <c r="V15" s="234">
        <f t="shared" si="18"/>
        <v>63</v>
      </c>
      <c r="W15" s="234">
        <f t="shared" si="19"/>
        <v>73</v>
      </c>
      <c r="X15" s="234">
        <f t="shared" si="20"/>
        <v>75</v>
      </c>
      <c r="Y15" s="70">
        <f t="shared" si="21"/>
        <v>1271</v>
      </c>
      <c r="Z15" s="71">
        <f t="shared" si="22"/>
        <v>84.733333333333334</v>
      </c>
      <c r="AA15" s="101">
        <f t="shared" si="23"/>
        <v>12</v>
      </c>
      <c r="AB15" s="73" t="s">
        <v>806</v>
      </c>
      <c r="AC15" s="73" t="s">
        <v>805</v>
      </c>
      <c r="AD15" s="73" t="s">
        <v>805</v>
      </c>
      <c r="AE15" s="74">
        <v>8</v>
      </c>
      <c r="AF15" s="74">
        <v>0</v>
      </c>
      <c r="AG15" s="74">
        <v>0</v>
      </c>
      <c r="AH15" s="75"/>
      <c r="AJ15" s="141">
        <v>20</v>
      </c>
      <c r="AK15" s="141">
        <v>23240128</v>
      </c>
      <c r="AL15" s="148" t="s">
        <v>606</v>
      </c>
      <c r="AM15" s="68">
        <v>89</v>
      </c>
      <c r="AN15" s="68">
        <v>91.7</v>
      </c>
      <c r="AO15" s="68">
        <v>75</v>
      </c>
      <c r="AP15" s="68">
        <v>69.5</v>
      </c>
      <c r="AQ15" s="68">
        <v>90.1</v>
      </c>
      <c r="AR15" s="68">
        <v>74</v>
      </c>
      <c r="AS15" s="68">
        <v>76.5</v>
      </c>
      <c r="AT15" s="68">
        <v>89.3</v>
      </c>
      <c r="AU15" s="68">
        <v>91.5</v>
      </c>
      <c r="AV15" s="68">
        <v>75</v>
      </c>
      <c r="AW15" s="76">
        <v>85</v>
      </c>
      <c r="AX15" s="76">
        <v>90</v>
      </c>
      <c r="AY15" s="76">
        <v>75</v>
      </c>
      <c r="AZ15" s="76">
        <v>100</v>
      </c>
      <c r="BA15" s="76">
        <v>100</v>
      </c>
      <c r="BB15" s="240">
        <v>87.5</v>
      </c>
      <c r="BC15" s="240">
        <v>75</v>
      </c>
      <c r="BD15" s="240">
        <v>75</v>
      </c>
      <c r="BE15" s="240">
        <v>62.5</v>
      </c>
      <c r="BF15" s="240">
        <v>72.5</v>
      </c>
      <c r="BG15" s="240">
        <v>75</v>
      </c>
      <c r="BH15" s="70">
        <f t="shared" si="24"/>
        <v>1271.5999999999999</v>
      </c>
      <c r="BI15" s="71">
        <f t="shared" si="25"/>
        <v>84.773333333333326</v>
      </c>
      <c r="BJ15" s="101" t="e">
        <f t="shared" si="26"/>
        <v>#N/A</v>
      </c>
      <c r="BK15" s="73"/>
      <c r="BL15" s="73"/>
      <c r="BM15" s="73"/>
      <c r="BN15" s="74"/>
      <c r="BO15" s="74"/>
      <c r="BP15" s="74"/>
      <c r="BQ15" s="75"/>
    </row>
    <row r="16" spans="1:69" ht="27.95" customHeight="1">
      <c r="A16" s="141">
        <v>13</v>
      </c>
      <c r="B16" s="141">
        <v>23240004</v>
      </c>
      <c r="C16" s="148" t="s">
        <v>591</v>
      </c>
      <c r="D16" s="68">
        <f t="shared" si="0"/>
        <v>89</v>
      </c>
      <c r="E16" s="68">
        <f t="shared" si="1"/>
        <v>72</v>
      </c>
      <c r="F16" s="68">
        <f t="shared" si="2"/>
        <v>56</v>
      </c>
      <c r="G16" s="68">
        <f t="shared" si="3"/>
        <v>68</v>
      </c>
      <c r="H16" s="68">
        <f t="shared" si="4"/>
        <v>78</v>
      </c>
      <c r="I16" s="68">
        <f t="shared" si="5"/>
        <v>92</v>
      </c>
      <c r="J16" s="68">
        <f t="shared" si="6"/>
        <v>74</v>
      </c>
      <c r="K16" s="68">
        <f t="shared" si="7"/>
        <v>95</v>
      </c>
      <c r="L16" s="68">
        <f t="shared" si="8"/>
        <v>74</v>
      </c>
      <c r="M16" s="68">
        <f t="shared" si="9"/>
        <v>71</v>
      </c>
      <c r="N16" s="69">
        <f t="shared" si="10"/>
        <v>85</v>
      </c>
      <c r="O16" s="69">
        <f t="shared" si="11"/>
        <v>85</v>
      </c>
      <c r="P16" s="69">
        <f t="shared" si="12"/>
        <v>80</v>
      </c>
      <c r="Q16" s="69">
        <f t="shared" si="13"/>
        <v>85</v>
      </c>
      <c r="R16" s="69">
        <f t="shared" si="14"/>
        <v>95</v>
      </c>
      <c r="S16" s="234">
        <f t="shared" si="15"/>
        <v>95</v>
      </c>
      <c r="T16" s="234">
        <f t="shared" si="16"/>
        <v>75</v>
      </c>
      <c r="U16" s="234">
        <f t="shared" si="17"/>
        <v>75</v>
      </c>
      <c r="V16" s="234">
        <f t="shared" si="18"/>
        <v>90</v>
      </c>
      <c r="W16" s="234">
        <f t="shared" si="19"/>
        <v>68</v>
      </c>
      <c r="X16" s="234">
        <f t="shared" si="20"/>
        <v>75</v>
      </c>
      <c r="Y16" s="70">
        <f t="shared" si="21"/>
        <v>1199</v>
      </c>
      <c r="Z16" s="71">
        <f t="shared" si="22"/>
        <v>79.933333333333337</v>
      </c>
      <c r="AA16" s="101">
        <f t="shared" si="23"/>
        <v>13</v>
      </c>
      <c r="AB16" s="73" t="s">
        <v>806</v>
      </c>
      <c r="AC16" s="73" t="s">
        <v>806</v>
      </c>
      <c r="AD16" s="73" t="s">
        <v>805</v>
      </c>
      <c r="AE16" s="74">
        <v>14</v>
      </c>
      <c r="AF16" s="74">
        <v>0</v>
      </c>
      <c r="AG16" s="74">
        <v>0</v>
      </c>
      <c r="AH16" s="75"/>
      <c r="AJ16" s="141">
        <v>5</v>
      </c>
      <c r="AK16" s="141">
        <v>23240004</v>
      </c>
      <c r="AL16" s="148" t="s">
        <v>591</v>
      </c>
      <c r="AM16" s="68">
        <v>89</v>
      </c>
      <c r="AN16" s="68">
        <v>72</v>
      </c>
      <c r="AO16" s="68">
        <v>56</v>
      </c>
      <c r="AP16" s="68">
        <v>67.5</v>
      </c>
      <c r="AQ16" s="68">
        <v>77.8</v>
      </c>
      <c r="AR16" s="68">
        <v>92</v>
      </c>
      <c r="AS16" s="68">
        <v>74</v>
      </c>
      <c r="AT16" s="68">
        <v>94.5</v>
      </c>
      <c r="AU16" s="68">
        <v>73.5</v>
      </c>
      <c r="AV16" s="68">
        <v>70.5</v>
      </c>
      <c r="AW16" s="76">
        <v>85</v>
      </c>
      <c r="AX16" s="76">
        <v>85</v>
      </c>
      <c r="AY16" s="76">
        <v>80</v>
      </c>
      <c r="AZ16" s="76">
        <v>85</v>
      </c>
      <c r="BA16" s="76">
        <v>95</v>
      </c>
      <c r="BB16" s="240">
        <v>95</v>
      </c>
      <c r="BC16" s="240">
        <v>75</v>
      </c>
      <c r="BD16" s="240">
        <v>75</v>
      </c>
      <c r="BE16" s="240">
        <v>90</v>
      </c>
      <c r="BF16" s="240">
        <v>67.5</v>
      </c>
      <c r="BG16" s="240">
        <v>75</v>
      </c>
      <c r="BH16" s="70">
        <f t="shared" si="24"/>
        <v>1196.8</v>
      </c>
      <c r="BI16" s="71">
        <f t="shared" si="25"/>
        <v>79.786666666666662</v>
      </c>
      <c r="BJ16" s="101" t="e">
        <f t="shared" si="26"/>
        <v>#N/A</v>
      </c>
      <c r="BK16" s="73"/>
      <c r="BL16" s="73"/>
      <c r="BM16" s="73"/>
      <c r="BN16" s="74"/>
      <c r="BO16" s="74"/>
      <c r="BP16" s="74"/>
      <c r="BQ16" s="75"/>
    </row>
    <row r="17" spans="1:69" ht="27.95" customHeight="1">
      <c r="A17" s="141">
        <v>14</v>
      </c>
      <c r="B17" s="141">
        <v>23240089</v>
      </c>
      <c r="C17" s="149" t="s">
        <v>590</v>
      </c>
      <c r="D17" s="68">
        <f t="shared" si="0"/>
        <v>83</v>
      </c>
      <c r="E17" s="68">
        <f t="shared" si="1"/>
        <v>70</v>
      </c>
      <c r="F17" s="68">
        <f t="shared" si="2"/>
        <v>73</v>
      </c>
      <c r="G17" s="68">
        <f t="shared" si="3"/>
        <v>66</v>
      </c>
      <c r="H17" s="68">
        <f t="shared" si="4"/>
        <v>87</v>
      </c>
      <c r="I17" s="68">
        <f t="shared" si="5"/>
        <v>58</v>
      </c>
      <c r="J17" s="68">
        <f t="shared" si="6"/>
        <v>79</v>
      </c>
      <c r="K17" s="68">
        <f t="shared" si="7"/>
        <v>90</v>
      </c>
      <c r="L17" s="68">
        <f t="shared" si="8"/>
        <v>83</v>
      </c>
      <c r="M17" s="68">
        <f t="shared" si="9"/>
        <v>69</v>
      </c>
      <c r="N17" s="69">
        <f t="shared" si="10"/>
        <v>85</v>
      </c>
      <c r="O17" s="69">
        <f t="shared" si="11"/>
        <v>75</v>
      </c>
      <c r="P17" s="69">
        <f t="shared" si="12"/>
        <v>80</v>
      </c>
      <c r="Q17" s="69">
        <f t="shared" si="13"/>
        <v>99</v>
      </c>
      <c r="R17" s="69">
        <f t="shared" si="14"/>
        <v>99</v>
      </c>
      <c r="S17" s="234">
        <f t="shared" si="15"/>
        <v>93</v>
      </c>
      <c r="T17" s="234">
        <f t="shared" si="16"/>
        <v>75</v>
      </c>
      <c r="U17" s="234">
        <f t="shared" si="17"/>
        <v>75</v>
      </c>
      <c r="V17" s="234">
        <f t="shared" si="18"/>
        <v>88</v>
      </c>
      <c r="W17" s="234">
        <f t="shared" si="19"/>
        <v>70</v>
      </c>
      <c r="X17" s="234">
        <f t="shared" si="20"/>
        <v>75</v>
      </c>
      <c r="Y17" s="70">
        <f t="shared" si="21"/>
        <v>1196</v>
      </c>
      <c r="Z17" s="71">
        <f t="shared" si="22"/>
        <v>79.733333333333334</v>
      </c>
      <c r="AA17" s="101">
        <f t="shared" si="23"/>
        <v>14</v>
      </c>
      <c r="AB17" s="73" t="s">
        <v>805</v>
      </c>
      <c r="AC17" s="73" t="s">
        <v>805</v>
      </c>
      <c r="AD17" s="73" t="s">
        <v>805</v>
      </c>
      <c r="AE17" s="74">
        <v>0</v>
      </c>
      <c r="AF17" s="74">
        <v>2</v>
      </c>
      <c r="AG17" s="74">
        <v>0</v>
      </c>
      <c r="AH17" s="75"/>
      <c r="AJ17" s="141">
        <v>4</v>
      </c>
      <c r="AK17" s="141">
        <v>23240089</v>
      </c>
      <c r="AL17" s="149" t="s">
        <v>590</v>
      </c>
      <c r="AM17" s="68">
        <v>83</v>
      </c>
      <c r="AN17" s="68">
        <v>69.5</v>
      </c>
      <c r="AO17" s="68">
        <v>72.8</v>
      </c>
      <c r="AP17" s="68">
        <v>65.5</v>
      </c>
      <c r="AQ17" s="68">
        <v>86.9</v>
      </c>
      <c r="AR17" s="68">
        <v>58</v>
      </c>
      <c r="AS17" s="68">
        <v>79</v>
      </c>
      <c r="AT17" s="68">
        <v>89.699999999999989</v>
      </c>
      <c r="AU17" s="68">
        <v>83</v>
      </c>
      <c r="AV17" s="68">
        <v>68.5</v>
      </c>
      <c r="AW17" s="76">
        <v>85</v>
      </c>
      <c r="AX17" s="76">
        <v>75</v>
      </c>
      <c r="AY17" s="76">
        <v>80</v>
      </c>
      <c r="AZ17" s="76">
        <v>99</v>
      </c>
      <c r="BA17" s="76">
        <v>99</v>
      </c>
      <c r="BB17" s="240">
        <v>92.5</v>
      </c>
      <c r="BC17" s="240">
        <v>75</v>
      </c>
      <c r="BD17" s="240">
        <v>75</v>
      </c>
      <c r="BE17" s="240">
        <v>87.5</v>
      </c>
      <c r="BF17" s="240">
        <v>70</v>
      </c>
      <c r="BG17" s="240">
        <v>75</v>
      </c>
      <c r="BH17" s="70">
        <f t="shared" si="24"/>
        <v>1193.9000000000001</v>
      </c>
      <c r="BI17" s="71">
        <f t="shared" si="25"/>
        <v>79.593333333333334</v>
      </c>
      <c r="BJ17" s="101" t="e">
        <f t="shared" si="26"/>
        <v>#N/A</v>
      </c>
      <c r="BK17" s="73"/>
      <c r="BL17" s="73"/>
      <c r="BM17" s="73"/>
      <c r="BN17" s="74"/>
      <c r="BO17" s="74"/>
      <c r="BP17" s="74"/>
      <c r="BQ17" s="75"/>
    </row>
    <row r="18" spans="1:69" ht="27.95" customHeight="1">
      <c r="A18" s="141">
        <v>15</v>
      </c>
      <c r="B18" s="141">
        <v>23240130</v>
      </c>
      <c r="C18" s="148" t="s">
        <v>602</v>
      </c>
      <c r="D18" s="68">
        <f t="shared" si="0"/>
        <v>87</v>
      </c>
      <c r="E18" s="68">
        <f t="shared" si="1"/>
        <v>81</v>
      </c>
      <c r="F18" s="68">
        <f t="shared" si="2"/>
        <v>75</v>
      </c>
      <c r="G18" s="68">
        <f t="shared" si="3"/>
        <v>73</v>
      </c>
      <c r="H18" s="68">
        <f t="shared" si="4"/>
        <v>88</v>
      </c>
      <c r="I18" s="68">
        <f t="shared" si="5"/>
        <v>53</v>
      </c>
      <c r="J18" s="68">
        <f t="shared" si="6"/>
        <v>65</v>
      </c>
      <c r="K18" s="68">
        <f t="shared" si="7"/>
        <v>74</v>
      </c>
      <c r="L18" s="68">
        <f t="shared" si="8"/>
        <v>84</v>
      </c>
      <c r="M18" s="68">
        <f t="shared" si="9"/>
        <v>69</v>
      </c>
      <c r="N18" s="69">
        <f t="shared" si="10"/>
        <v>85</v>
      </c>
      <c r="O18" s="69">
        <f t="shared" si="11"/>
        <v>80</v>
      </c>
      <c r="P18" s="69">
        <f t="shared" si="12"/>
        <v>80</v>
      </c>
      <c r="Q18" s="69">
        <f t="shared" si="13"/>
        <v>99</v>
      </c>
      <c r="R18" s="69">
        <f t="shared" si="14"/>
        <v>98</v>
      </c>
      <c r="S18" s="234">
        <f t="shared" si="15"/>
        <v>65</v>
      </c>
      <c r="T18" s="234">
        <f t="shared" si="16"/>
        <v>75</v>
      </c>
      <c r="U18" s="234">
        <f t="shared" si="17"/>
        <v>75</v>
      </c>
      <c r="V18" s="234">
        <f t="shared" si="18"/>
        <v>68</v>
      </c>
      <c r="W18" s="234">
        <f t="shared" si="19"/>
        <v>58</v>
      </c>
      <c r="X18" s="234">
        <f t="shared" si="20"/>
        <v>75</v>
      </c>
      <c r="Y18" s="70">
        <f t="shared" si="21"/>
        <v>1191</v>
      </c>
      <c r="Z18" s="71">
        <f t="shared" si="22"/>
        <v>79.400000000000006</v>
      </c>
      <c r="AA18" s="101">
        <f t="shared" si="23"/>
        <v>15</v>
      </c>
      <c r="AB18" s="73" t="s">
        <v>805</v>
      </c>
      <c r="AC18" s="73" t="s">
        <v>805</v>
      </c>
      <c r="AD18" s="73" t="s">
        <v>805</v>
      </c>
      <c r="AE18" s="74">
        <v>0</v>
      </c>
      <c r="AF18" s="74">
        <v>0</v>
      </c>
      <c r="AG18" s="74">
        <v>0</v>
      </c>
      <c r="AH18" s="75"/>
      <c r="AJ18" s="141">
        <v>16</v>
      </c>
      <c r="AK18" s="141">
        <v>23240130</v>
      </c>
      <c r="AL18" s="148" t="s">
        <v>602</v>
      </c>
      <c r="AM18" s="68">
        <v>87.199999999999989</v>
      </c>
      <c r="AN18" s="68">
        <v>80.5</v>
      </c>
      <c r="AO18" s="68">
        <v>75</v>
      </c>
      <c r="AP18" s="68">
        <v>72.5</v>
      </c>
      <c r="AQ18" s="68">
        <v>87.7</v>
      </c>
      <c r="AR18" s="68">
        <v>53</v>
      </c>
      <c r="AS18" s="68">
        <v>64.5</v>
      </c>
      <c r="AT18" s="68">
        <v>74.199999999999989</v>
      </c>
      <c r="AU18" s="68">
        <v>84</v>
      </c>
      <c r="AV18" s="68">
        <v>69</v>
      </c>
      <c r="AW18" s="76">
        <v>85</v>
      </c>
      <c r="AX18" s="76">
        <v>80</v>
      </c>
      <c r="AY18" s="76">
        <v>80</v>
      </c>
      <c r="AZ18" s="76">
        <v>100</v>
      </c>
      <c r="BA18" s="76">
        <v>98</v>
      </c>
      <c r="BB18" s="240">
        <v>65</v>
      </c>
      <c r="BC18" s="240">
        <v>75</v>
      </c>
      <c r="BD18" s="240">
        <v>75</v>
      </c>
      <c r="BE18" s="240">
        <v>67.5</v>
      </c>
      <c r="BF18" s="240">
        <v>57.5</v>
      </c>
      <c r="BG18" s="240">
        <v>75</v>
      </c>
      <c r="BH18" s="70">
        <f t="shared" si="24"/>
        <v>1190.5999999999999</v>
      </c>
      <c r="BI18" s="71">
        <f t="shared" si="25"/>
        <v>79.373333333333321</v>
      </c>
      <c r="BJ18" s="101" t="e">
        <f t="shared" si="26"/>
        <v>#N/A</v>
      </c>
      <c r="BK18" s="73"/>
      <c r="BL18" s="73"/>
      <c r="BM18" s="73"/>
      <c r="BN18" s="74"/>
      <c r="BO18" s="74"/>
      <c r="BP18" s="74"/>
      <c r="BQ18" s="75"/>
    </row>
    <row r="19" spans="1:69" ht="27.95" customHeight="1">
      <c r="A19" s="141">
        <v>16</v>
      </c>
      <c r="B19" s="141">
        <v>23240060</v>
      </c>
      <c r="C19" s="150" t="s">
        <v>611</v>
      </c>
      <c r="D19" s="68">
        <f t="shared" si="0"/>
        <v>91</v>
      </c>
      <c r="E19" s="68">
        <f t="shared" si="1"/>
        <v>75</v>
      </c>
      <c r="F19" s="68">
        <f t="shared" si="2"/>
        <v>72</v>
      </c>
      <c r="G19" s="68">
        <f t="shared" si="3"/>
        <v>80</v>
      </c>
      <c r="H19" s="68">
        <f t="shared" si="4"/>
        <v>84</v>
      </c>
      <c r="I19" s="68">
        <f t="shared" si="5"/>
        <v>52</v>
      </c>
      <c r="J19" s="68">
        <f t="shared" si="6"/>
        <v>79</v>
      </c>
      <c r="K19" s="68">
        <f t="shared" si="7"/>
        <v>92</v>
      </c>
      <c r="L19" s="68">
        <f t="shared" si="8"/>
        <v>74</v>
      </c>
      <c r="M19" s="68">
        <f t="shared" si="9"/>
        <v>69</v>
      </c>
      <c r="N19" s="69">
        <f t="shared" si="10"/>
        <v>85</v>
      </c>
      <c r="O19" s="69">
        <f t="shared" si="11"/>
        <v>70</v>
      </c>
      <c r="P19" s="69">
        <f t="shared" si="12"/>
        <v>70</v>
      </c>
      <c r="Q19" s="69">
        <f t="shared" si="13"/>
        <v>99</v>
      </c>
      <c r="R19" s="69">
        <f t="shared" si="14"/>
        <v>99</v>
      </c>
      <c r="S19" s="234">
        <f t="shared" si="15"/>
        <v>93</v>
      </c>
      <c r="T19" s="234">
        <f t="shared" si="16"/>
        <v>75</v>
      </c>
      <c r="U19" s="234">
        <f t="shared" si="17"/>
        <v>75</v>
      </c>
      <c r="V19" s="234">
        <f t="shared" si="18"/>
        <v>60</v>
      </c>
      <c r="W19" s="234">
        <f t="shared" si="19"/>
        <v>63</v>
      </c>
      <c r="X19" s="234">
        <f t="shared" si="20"/>
        <v>75</v>
      </c>
      <c r="Y19" s="70">
        <f t="shared" si="21"/>
        <v>1191</v>
      </c>
      <c r="Z19" s="71">
        <f t="shared" si="22"/>
        <v>79.400000000000006</v>
      </c>
      <c r="AA19" s="101">
        <f t="shared" si="23"/>
        <v>15</v>
      </c>
      <c r="AB19" s="73" t="s">
        <v>806</v>
      </c>
      <c r="AC19" s="73" t="s">
        <v>805</v>
      </c>
      <c r="AD19" s="73" t="s">
        <v>805</v>
      </c>
      <c r="AE19" s="74">
        <v>13</v>
      </c>
      <c r="AF19" s="74">
        <v>10</v>
      </c>
      <c r="AG19" s="74">
        <v>0</v>
      </c>
      <c r="AH19" s="75"/>
      <c r="AJ19" s="141">
        <v>25</v>
      </c>
      <c r="AK19" s="141">
        <v>23240060</v>
      </c>
      <c r="AL19" s="150" t="s">
        <v>611</v>
      </c>
      <c r="AM19" s="68">
        <v>91.3</v>
      </c>
      <c r="AN19" s="68">
        <v>74.5</v>
      </c>
      <c r="AO19" s="68">
        <v>72</v>
      </c>
      <c r="AP19" s="68">
        <v>79.5</v>
      </c>
      <c r="AQ19" s="68">
        <v>84.3</v>
      </c>
      <c r="AR19" s="68">
        <v>52</v>
      </c>
      <c r="AS19" s="68">
        <v>78.5</v>
      </c>
      <c r="AT19" s="68">
        <v>91.7</v>
      </c>
      <c r="AU19" s="68">
        <v>74</v>
      </c>
      <c r="AV19" s="68">
        <v>69</v>
      </c>
      <c r="AW19" s="76">
        <v>85</v>
      </c>
      <c r="AX19" s="76">
        <v>70</v>
      </c>
      <c r="AY19" s="76">
        <v>70</v>
      </c>
      <c r="AZ19" s="76">
        <v>100</v>
      </c>
      <c r="BA19" s="76">
        <v>100</v>
      </c>
      <c r="BB19" s="240">
        <v>92.5</v>
      </c>
      <c r="BC19" s="240">
        <v>75</v>
      </c>
      <c r="BD19" s="240">
        <v>75</v>
      </c>
      <c r="BE19" s="240">
        <v>60</v>
      </c>
      <c r="BF19" s="240">
        <v>62.5</v>
      </c>
      <c r="BG19" s="240">
        <v>75</v>
      </c>
      <c r="BH19" s="70">
        <f t="shared" si="24"/>
        <v>1191.8000000000002</v>
      </c>
      <c r="BI19" s="71">
        <f t="shared" si="25"/>
        <v>79.453333333333347</v>
      </c>
      <c r="BJ19" s="101" t="e">
        <f t="shared" si="26"/>
        <v>#N/A</v>
      </c>
      <c r="BK19" s="73"/>
      <c r="BL19" s="73"/>
      <c r="BM19" s="73"/>
      <c r="BN19" s="74"/>
      <c r="BO19" s="74"/>
      <c r="BP19" s="74"/>
      <c r="BQ19" s="75"/>
    </row>
    <row r="20" spans="1:69" ht="27.95" customHeight="1">
      <c r="A20" s="141">
        <v>17</v>
      </c>
      <c r="B20" s="141">
        <v>23240148</v>
      </c>
      <c r="C20" s="148" t="s">
        <v>605</v>
      </c>
      <c r="D20" s="68">
        <f t="shared" si="0"/>
        <v>80</v>
      </c>
      <c r="E20" s="68">
        <f t="shared" si="1"/>
        <v>90</v>
      </c>
      <c r="F20" s="68">
        <f t="shared" si="2"/>
        <v>50</v>
      </c>
      <c r="G20" s="68">
        <f t="shared" si="3"/>
        <v>61</v>
      </c>
      <c r="H20" s="68">
        <f t="shared" si="4"/>
        <v>88</v>
      </c>
      <c r="I20" s="68">
        <f t="shared" si="5"/>
        <v>53</v>
      </c>
      <c r="J20" s="68">
        <f t="shared" si="6"/>
        <v>67</v>
      </c>
      <c r="K20" s="68">
        <f t="shared" si="7"/>
        <v>72</v>
      </c>
      <c r="L20" s="68">
        <f t="shared" si="8"/>
        <v>77</v>
      </c>
      <c r="M20" s="68">
        <f t="shared" si="9"/>
        <v>69</v>
      </c>
      <c r="N20" s="69">
        <f t="shared" si="10"/>
        <v>90</v>
      </c>
      <c r="O20" s="69">
        <f t="shared" si="11"/>
        <v>70</v>
      </c>
      <c r="P20" s="69">
        <f t="shared" si="12"/>
        <v>75</v>
      </c>
      <c r="Q20" s="69">
        <f t="shared" si="13"/>
        <v>98</v>
      </c>
      <c r="R20" s="69">
        <f t="shared" si="14"/>
        <v>90</v>
      </c>
      <c r="S20" s="234">
        <f t="shared" si="15"/>
        <v>95</v>
      </c>
      <c r="T20" s="234">
        <f t="shared" si="16"/>
        <v>75</v>
      </c>
      <c r="U20" s="234">
        <f t="shared" si="17"/>
        <v>75</v>
      </c>
      <c r="V20" s="234">
        <f t="shared" si="18"/>
        <v>90</v>
      </c>
      <c r="W20" s="234">
        <f t="shared" si="19"/>
        <v>60</v>
      </c>
      <c r="X20" s="234">
        <f t="shared" si="20"/>
        <v>75</v>
      </c>
      <c r="Y20" s="70">
        <f t="shared" si="21"/>
        <v>1130</v>
      </c>
      <c r="Z20" s="71">
        <f t="shared" si="22"/>
        <v>75.333333333333329</v>
      </c>
      <c r="AA20" s="101">
        <f t="shared" si="23"/>
        <v>17</v>
      </c>
      <c r="AB20" s="73" t="s">
        <v>805</v>
      </c>
      <c r="AC20" s="73" t="s">
        <v>805</v>
      </c>
      <c r="AD20" s="73" t="s">
        <v>805</v>
      </c>
      <c r="AE20" s="74">
        <v>14</v>
      </c>
      <c r="AF20" s="74">
        <v>0</v>
      </c>
      <c r="AG20" s="74">
        <v>0</v>
      </c>
      <c r="AH20" s="75"/>
      <c r="AJ20" s="141">
        <v>19</v>
      </c>
      <c r="AK20" s="141">
        <v>23240148</v>
      </c>
      <c r="AL20" s="148" t="s">
        <v>605</v>
      </c>
      <c r="AM20" s="68">
        <v>80</v>
      </c>
      <c r="AN20" s="68">
        <v>90</v>
      </c>
      <c r="AO20" s="68">
        <v>50</v>
      </c>
      <c r="AP20" s="68">
        <v>60.5</v>
      </c>
      <c r="AQ20" s="68">
        <v>87.6</v>
      </c>
      <c r="AR20" s="68">
        <v>53</v>
      </c>
      <c r="AS20" s="68">
        <v>67</v>
      </c>
      <c r="AT20" s="68">
        <v>72</v>
      </c>
      <c r="AU20" s="68">
        <v>77</v>
      </c>
      <c r="AV20" s="68">
        <v>68.5</v>
      </c>
      <c r="AW20" s="76">
        <v>90</v>
      </c>
      <c r="AX20" s="76">
        <v>70</v>
      </c>
      <c r="AY20" s="76">
        <v>75</v>
      </c>
      <c r="AZ20" s="76">
        <v>98</v>
      </c>
      <c r="BA20" s="76">
        <v>90</v>
      </c>
      <c r="BB20" s="240">
        <v>95</v>
      </c>
      <c r="BC20" s="240">
        <v>75</v>
      </c>
      <c r="BD20" s="240">
        <v>75</v>
      </c>
      <c r="BE20" s="240">
        <v>90</v>
      </c>
      <c r="BF20" s="240">
        <v>60</v>
      </c>
      <c r="BG20" s="240">
        <v>75</v>
      </c>
      <c r="BH20" s="70">
        <f t="shared" si="24"/>
        <v>1128.5999999999999</v>
      </c>
      <c r="BI20" s="71">
        <f t="shared" si="25"/>
        <v>75.239999999999995</v>
      </c>
      <c r="BJ20" s="101" t="e">
        <f t="shared" si="26"/>
        <v>#N/A</v>
      </c>
      <c r="BK20" s="73"/>
      <c r="BL20" s="73"/>
      <c r="BM20" s="73"/>
      <c r="BN20" s="74"/>
      <c r="BO20" s="74"/>
      <c r="BP20" s="74"/>
      <c r="BQ20" s="75"/>
    </row>
    <row r="21" spans="1:69" ht="27.95" customHeight="1">
      <c r="A21" s="141">
        <v>18</v>
      </c>
      <c r="B21" s="141">
        <v>23240054</v>
      </c>
      <c r="C21" s="148" t="s">
        <v>599</v>
      </c>
      <c r="D21" s="68">
        <f t="shared" si="0"/>
        <v>83</v>
      </c>
      <c r="E21" s="68">
        <f t="shared" si="1"/>
        <v>64</v>
      </c>
      <c r="F21" s="68">
        <f t="shared" si="2"/>
        <v>66</v>
      </c>
      <c r="G21" s="68">
        <f t="shared" si="3"/>
        <v>72</v>
      </c>
      <c r="H21" s="68">
        <f t="shared" si="4"/>
        <v>79</v>
      </c>
      <c r="I21" s="68">
        <f t="shared" si="5"/>
        <v>79</v>
      </c>
      <c r="J21" s="68">
        <f t="shared" si="6"/>
        <v>64</v>
      </c>
      <c r="K21" s="68">
        <f t="shared" si="7"/>
        <v>88</v>
      </c>
      <c r="L21" s="68">
        <f t="shared" si="8"/>
        <v>67</v>
      </c>
      <c r="M21" s="68">
        <f t="shared" si="9"/>
        <v>70</v>
      </c>
      <c r="N21" s="69">
        <f t="shared" si="10"/>
        <v>70</v>
      </c>
      <c r="O21" s="69">
        <f t="shared" si="11"/>
        <v>60</v>
      </c>
      <c r="P21" s="69">
        <f t="shared" si="12"/>
        <v>60</v>
      </c>
      <c r="Q21" s="69">
        <f t="shared" si="13"/>
        <v>98</v>
      </c>
      <c r="R21" s="69">
        <f t="shared" si="14"/>
        <v>95</v>
      </c>
      <c r="S21" s="234">
        <f t="shared" si="15"/>
        <v>93</v>
      </c>
      <c r="T21" s="234">
        <f t="shared" si="16"/>
        <v>75</v>
      </c>
      <c r="U21" s="234">
        <f t="shared" si="17"/>
        <v>75</v>
      </c>
      <c r="V21" s="234">
        <f t="shared" si="18"/>
        <v>93</v>
      </c>
      <c r="W21" s="234">
        <f t="shared" si="19"/>
        <v>83</v>
      </c>
      <c r="X21" s="234">
        <f t="shared" si="20"/>
        <v>75</v>
      </c>
      <c r="Y21" s="70">
        <f t="shared" si="21"/>
        <v>1115</v>
      </c>
      <c r="Z21" s="71">
        <f t="shared" si="22"/>
        <v>74.333333333333329</v>
      </c>
      <c r="AA21" s="101">
        <f t="shared" si="23"/>
        <v>18</v>
      </c>
      <c r="AB21" s="73" t="s">
        <v>805</v>
      </c>
      <c r="AC21" s="73" t="s">
        <v>807</v>
      </c>
      <c r="AD21" s="73" t="s">
        <v>806</v>
      </c>
      <c r="AE21" s="74">
        <v>0</v>
      </c>
      <c r="AF21" s="74">
        <v>0</v>
      </c>
      <c r="AG21" s="74">
        <v>0</v>
      </c>
      <c r="AH21" s="75"/>
      <c r="AJ21" s="141">
        <v>13</v>
      </c>
      <c r="AK21" s="141">
        <v>23240054</v>
      </c>
      <c r="AL21" s="148" t="s">
        <v>599</v>
      </c>
      <c r="AM21" s="68">
        <v>83.199999999999989</v>
      </c>
      <c r="AN21" s="68">
        <v>64.2</v>
      </c>
      <c r="AO21" s="68">
        <v>66</v>
      </c>
      <c r="AP21" s="68">
        <v>72</v>
      </c>
      <c r="AQ21" s="68">
        <v>79</v>
      </c>
      <c r="AR21" s="68">
        <v>79</v>
      </c>
      <c r="AS21" s="68">
        <v>64</v>
      </c>
      <c r="AT21" s="68">
        <v>88.3</v>
      </c>
      <c r="AU21" s="68">
        <v>67</v>
      </c>
      <c r="AV21" s="68">
        <v>70</v>
      </c>
      <c r="AW21" s="76">
        <v>70</v>
      </c>
      <c r="AX21" s="76">
        <v>60</v>
      </c>
      <c r="AY21" s="76">
        <v>60</v>
      </c>
      <c r="AZ21" s="76">
        <v>98</v>
      </c>
      <c r="BA21" s="76">
        <v>95</v>
      </c>
      <c r="BB21" s="240">
        <v>92.5</v>
      </c>
      <c r="BC21" s="240">
        <v>75</v>
      </c>
      <c r="BD21" s="240">
        <v>75</v>
      </c>
      <c r="BE21" s="240">
        <v>92.5</v>
      </c>
      <c r="BF21" s="240">
        <v>82.5</v>
      </c>
      <c r="BG21" s="240">
        <v>75</v>
      </c>
      <c r="BH21" s="70">
        <f t="shared" si="24"/>
        <v>1115.6999999999998</v>
      </c>
      <c r="BI21" s="71">
        <f t="shared" si="25"/>
        <v>74.379999999999981</v>
      </c>
      <c r="BJ21" s="101" t="e">
        <f t="shared" si="26"/>
        <v>#N/A</v>
      </c>
      <c r="BK21" s="73"/>
      <c r="BL21" s="73"/>
      <c r="BM21" s="73"/>
      <c r="BN21" s="74"/>
      <c r="BO21" s="74"/>
      <c r="BP21" s="74"/>
      <c r="BQ21" s="75"/>
    </row>
    <row r="22" spans="1:69" ht="27.95" customHeight="1">
      <c r="A22" s="141">
        <v>19</v>
      </c>
      <c r="B22" s="141">
        <v>23240019</v>
      </c>
      <c r="C22" s="148" t="s">
        <v>615</v>
      </c>
      <c r="D22" s="68">
        <f t="shared" si="0"/>
        <v>78</v>
      </c>
      <c r="E22" s="68">
        <f t="shared" si="1"/>
        <v>62</v>
      </c>
      <c r="F22" s="68">
        <f t="shared" si="2"/>
        <v>50</v>
      </c>
      <c r="G22" s="68">
        <f t="shared" si="3"/>
        <v>58</v>
      </c>
      <c r="H22" s="68">
        <f t="shared" si="4"/>
        <v>86</v>
      </c>
      <c r="I22" s="68">
        <f t="shared" si="5"/>
        <v>58</v>
      </c>
      <c r="J22" s="68">
        <f t="shared" si="6"/>
        <v>61</v>
      </c>
      <c r="K22" s="68">
        <f t="shared" si="7"/>
        <v>87</v>
      </c>
      <c r="L22" s="68">
        <f t="shared" si="8"/>
        <v>69</v>
      </c>
      <c r="M22" s="68">
        <f t="shared" si="9"/>
        <v>65</v>
      </c>
      <c r="N22" s="69">
        <f t="shared" si="10"/>
        <v>85</v>
      </c>
      <c r="O22" s="69">
        <f t="shared" si="11"/>
        <v>60</v>
      </c>
      <c r="P22" s="69">
        <f t="shared" si="12"/>
        <v>70</v>
      </c>
      <c r="Q22" s="69">
        <f t="shared" si="13"/>
        <v>99</v>
      </c>
      <c r="R22" s="69">
        <f t="shared" si="14"/>
        <v>99</v>
      </c>
      <c r="S22" s="234">
        <f t="shared" si="15"/>
        <v>90</v>
      </c>
      <c r="T22" s="234">
        <f t="shared" si="16"/>
        <v>75</v>
      </c>
      <c r="U22" s="234">
        <f t="shared" si="17"/>
        <v>75</v>
      </c>
      <c r="V22" s="234">
        <f t="shared" si="18"/>
        <v>75</v>
      </c>
      <c r="W22" s="234">
        <f t="shared" si="19"/>
        <v>65</v>
      </c>
      <c r="X22" s="234">
        <f t="shared" si="20"/>
        <v>75</v>
      </c>
      <c r="Y22" s="70">
        <f t="shared" si="21"/>
        <v>1087</v>
      </c>
      <c r="Z22" s="71">
        <f t="shared" si="22"/>
        <v>72.466666666666669</v>
      </c>
      <c r="AA22" s="101">
        <f t="shared" si="23"/>
        <v>19</v>
      </c>
      <c r="AB22" s="73" t="s">
        <v>805</v>
      </c>
      <c r="AC22" s="73" t="s">
        <v>805</v>
      </c>
      <c r="AD22" s="73" t="s">
        <v>805</v>
      </c>
      <c r="AE22" s="74">
        <v>15</v>
      </c>
      <c r="AF22" s="74">
        <v>26</v>
      </c>
      <c r="AG22" s="74">
        <v>0</v>
      </c>
      <c r="AH22" s="75"/>
      <c r="AJ22" s="141">
        <v>29</v>
      </c>
      <c r="AK22" s="141">
        <v>23240019</v>
      </c>
      <c r="AL22" s="148" t="s">
        <v>615</v>
      </c>
      <c r="AM22" s="68">
        <v>78</v>
      </c>
      <c r="AN22" s="68">
        <v>61.7</v>
      </c>
      <c r="AO22" s="68">
        <v>50</v>
      </c>
      <c r="AP22" s="68">
        <v>57.5</v>
      </c>
      <c r="AQ22" s="68">
        <v>86.2</v>
      </c>
      <c r="AR22" s="68">
        <v>58</v>
      </c>
      <c r="AS22" s="68">
        <v>60.5</v>
      </c>
      <c r="AT22" s="68">
        <v>86.8</v>
      </c>
      <c r="AU22" s="68">
        <v>69</v>
      </c>
      <c r="AV22" s="68">
        <v>64.5</v>
      </c>
      <c r="AW22" s="76">
        <v>85</v>
      </c>
      <c r="AX22" s="76">
        <v>60</v>
      </c>
      <c r="AY22" s="76">
        <v>70</v>
      </c>
      <c r="AZ22" s="76">
        <v>100</v>
      </c>
      <c r="BA22" s="76">
        <v>99</v>
      </c>
      <c r="BB22" s="240">
        <v>90</v>
      </c>
      <c r="BC22" s="240">
        <v>75</v>
      </c>
      <c r="BD22" s="240">
        <v>75</v>
      </c>
      <c r="BE22" s="240">
        <v>75</v>
      </c>
      <c r="BF22" s="240">
        <v>65</v>
      </c>
      <c r="BG22" s="240">
        <v>75</v>
      </c>
      <c r="BH22" s="70">
        <f t="shared" si="24"/>
        <v>1086.1999999999998</v>
      </c>
      <c r="BI22" s="71">
        <f t="shared" si="25"/>
        <v>72.413333333333327</v>
      </c>
      <c r="BJ22" s="101" t="e">
        <f t="shared" si="26"/>
        <v>#N/A</v>
      </c>
      <c r="BK22" s="73"/>
      <c r="BL22" s="73"/>
      <c r="BM22" s="73"/>
      <c r="BN22" s="74"/>
      <c r="BO22" s="74"/>
      <c r="BP22" s="74"/>
      <c r="BQ22" s="75"/>
    </row>
    <row r="23" spans="1:69" ht="27.95" customHeight="1">
      <c r="A23" s="141">
        <v>20</v>
      </c>
      <c r="B23" s="141">
        <v>23240079</v>
      </c>
      <c r="C23" s="148" t="s">
        <v>613</v>
      </c>
      <c r="D23" s="68">
        <f t="shared" si="0"/>
        <v>77</v>
      </c>
      <c r="E23" s="68">
        <f t="shared" si="1"/>
        <v>74</v>
      </c>
      <c r="F23" s="68">
        <f t="shared" si="2"/>
        <v>62</v>
      </c>
      <c r="G23" s="68">
        <f t="shared" si="3"/>
        <v>72</v>
      </c>
      <c r="H23" s="68">
        <f t="shared" si="4"/>
        <v>88</v>
      </c>
      <c r="I23" s="68">
        <f t="shared" si="5"/>
        <v>51</v>
      </c>
      <c r="J23" s="68">
        <f t="shared" si="6"/>
        <v>55</v>
      </c>
      <c r="K23" s="68">
        <f t="shared" si="7"/>
        <v>81</v>
      </c>
      <c r="L23" s="68">
        <f t="shared" si="8"/>
        <v>71</v>
      </c>
      <c r="M23" s="68">
        <f t="shared" si="9"/>
        <v>64</v>
      </c>
      <c r="N23" s="69">
        <f t="shared" si="10"/>
        <v>80</v>
      </c>
      <c r="O23" s="69">
        <f t="shared" si="11"/>
        <v>50</v>
      </c>
      <c r="P23" s="69">
        <f t="shared" si="12"/>
        <v>70</v>
      </c>
      <c r="Q23" s="69">
        <f t="shared" si="13"/>
        <v>95</v>
      </c>
      <c r="R23" s="69">
        <f t="shared" si="14"/>
        <v>95</v>
      </c>
      <c r="S23" s="234">
        <f t="shared" si="15"/>
        <v>90</v>
      </c>
      <c r="T23" s="234">
        <f t="shared" si="16"/>
        <v>75</v>
      </c>
      <c r="U23" s="234">
        <f t="shared" si="17"/>
        <v>75</v>
      </c>
      <c r="V23" s="234">
        <f t="shared" si="18"/>
        <v>95</v>
      </c>
      <c r="W23" s="234">
        <f t="shared" si="19"/>
        <v>65</v>
      </c>
      <c r="X23" s="234">
        <f t="shared" si="20"/>
        <v>75</v>
      </c>
      <c r="Y23" s="70">
        <f t="shared" si="21"/>
        <v>1085</v>
      </c>
      <c r="Z23" s="71">
        <f t="shared" si="22"/>
        <v>72.333333333333329</v>
      </c>
      <c r="AA23" s="101">
        <f t="shared" si="23"/>
        <v>20</v>
      </c>
      <c r="AB23" s="73" t="s">
        <v>805</v>
      </c>
      <c r="AC23" s="73" t="s">
        <v>807</v>
      </c>
      <c r="AD23" s="73" t="s">
        <v>807</v>
      </c>
      <c r="AE23" s="74">
        <v>12</v>
      </c>
      <c r="AF23" s="74">
        <v>0</v>
      </c>
      <c r="AG23" s="74">
        <v>0</v>
      </c>
      <c r="AH23" s="75"/>
      <c r="AJ23" s="141">
        <v>27</v>
      </c>
      <c r="AK23" s="141">
        <v>23240079</v>
      </c>
      <c r="AL23" s="148" t="s">
        <v>613</v>
      </c>
      <c r="AM23" s="68">
        <v>77.199999999999989</v>
      </c>
      <c r="AN23" s="68">
        <v>73.7</v>
      </c>
      <c r="AO23" s="68">
        <v>62</v>
      </c>
      <c r="AP23" s="68">
        <v>71.5</v>
      </c>
      <c r="AQ23" s="68">
        <v>87.5</v>
      </c>
      <c r="AR23" s="68">
        <v>51</v>
      </c>
      <c r="AS23" s="68">
        <v>54.5</v>
      </c>
      <c r="AT23" s="68">
        <v>81.199999999999989</v>
      </c>
      <c r="AU23" s="68">
        <v>70.5</v>
      </c>
      <c r="AV23" s="68">
        <v>64</v>
      </c>
      <c r="AW23" s="76">
        <v>80</v>
      </c>
      <c r="AX23" s="76">
        <v>50</v>
      </c>
      <c r="AY23" s="76">
        <v>70</v>
      </c>
      <c r="AZ23" s="76">
        <v>95</v>
      </c>
      <c r="BA23" s="76">
        <v>95</v>
      </c>
      <c r="BB23" s="240">
        <v>90</v>
      </c>
      <c r="BC23" s="240">
        <v>75</v>
      </c>
      <c r="BD23" s="240">
        <v>75</v>
      </c>
      <c r="BE23" s="240">
        <v>95</v>
      </c>
      <c r="BF23" s="240">
        <v>65</v>
      </c>
      <c r="BG23" s="240">
        <v>75</v>
      </c>
      <c r="BH23" s="70">
        <f t="shared" si="24"/>
        <v>1083.0999999999999</v>
      </c>
      <c r="BI23" s="71">
        <f t="shared" si="25"/>
        <v>72.206666666666663</v>
      </c>
      <c r="BJ23" s="101" t="e">
        <f t="shared" si="26"/>
        <v>#N/A</v>
      </c>
      <c r="BK23" s="73"/>
      <c r="BL23" s="73"/>
      <c r="BM23" s="73"/>
      <c r="BN23" s="74"/>
      <c r="BO23" s="74"/>
      <c r="BP23" s="74"/>
      <c r="BQ23" s="75"/>
    </row>
    <row r="24" spans="1:69" ht="27.95" customHeight="1">
      <c r="A24" s="141">
        <v>21</v>
      </c>
      <c r="B24" s="141">
        <v>23240184</v>
      </c>
      <c r="C24" s="148" t="s">
        <v>600</v>
      </c>
      <c r="D24" s="68">
        <f t="shared" si="0"/>
        <v>80</v>
      </c>
      <c r="E24" s="68">
        <f t="shared" si="1"/>
        <v>81</v>
      </c>
      <c r="F24" s="68">
        <f t="shared" si="2"/>
        <v>43</v>
      </c>
      <c r="G24" s="68">
        <f t="shared" si="3"/>
        <v>53</v>
      </c>
      <c r="H24" s="68">
        <f t="shared" si="4"/>
        <v>90</v>
      </c>
      <c r="I24" s="68">
        <f t="shared" si="5"/>
        <v>52</v>
      </c>
      <c r="J24" s="68">
        <f t="shared" si="6"/>
        <v>60</v>
      </c>
      <c r="K24" s="68">
        <f t="shared" si="7"/>
        <v>79</v>
      </c>
      <c r="L24" s="68">
        <f t="shared" si="8"/>
        <v>75</v>
      </c>
      <c r="M24" s="68">
        <f t="shared" si="9"/>
        <v>66</v>
      </c>
      <c r="N24" s="69">
        <f t="shared" si="10"/>
        <v>85</v>
      </c>
      <c r="O24" s="69">
        <f t="shared" si="11"/>
        <v>60</v>
      </c>
      <c r="P24" s="69">
        <f t="shared" si="12"/>
        <v>60</v>
      </c>
      <c r="Q24" s="69">
        <f t="shared" si="13"/>
        <v>99</v>
      </c>
      <c r="R24" s="69">
        <f t="shared" si="14"/>
        <v>85</v>
      </c>
      <c r="S24" s="234">
        <f t="shared" si="15"/>
        <v>99</v>
      </c>
      <c r="T24" s="234">
        <f t="shared" si="16"/>
        <v>75</v>
      </c>
      <c r="U24" s="234">
        <f t="shared" si="17"/>
        <v>75</v>
      </c>
      <c r="V24" s="234">
        <f t="shared" si="18"/>
        <v>93</v>
      </c>
      <c r="W24" s="234">
        <f t="shared" si="19"/>
        <v>63</v>
      </c>
      <c r="X24" s="234">
        <f t="shared" si="20"/>
        <v>75</v>
      </c>
      <c r="Y24" s="70">
        <f t="shared" si="21"/>
        <v>1068</v>
      </c>
      <c r="Z24" s="71">
        <f t="shared" si="22"/>
        <v>71.2</v>
      </c>
      <c r="AA24" s="101">
        <f t="shared" si="23"/>
        <v>21</v>
      </c>
      <c r="AB24" s="73" t="s">
        <v>805</v>
      </c>
      <c r="AC24" s="73" t="s">
        <v>805</v>
      </c>
      <c r="AD24" s="73" t="s">
        <v>807</v>
      </c>
      <c r="AE24" s="74">
        <v>36</v>
      </c>
      <c r="AF24" s="74">
        <v>0</v>
      </c>
      <c r="AG24" s="74">
        <v>0</v>
      </c>
      <c r="AH24" s="75"/>
      <c r="AJ24" s="141">
        <v>14</v>
      </c>
      <c r="AK24" s="141">
        <v>23240184</v>
      </c>
      <c r="AL24" s="148" t="s">
        <v>600</v>
      </c>
      <c r="AM24" s="68">
        <v>80</v>
      </c>
      <c r="AN24" s="68">
        <v>80.599999999999994</v>
      </c>
      <c r="AO24" s="68">
        <v>43</v>
      </c>
      <c r="AP24" s="68">
        <v>53</v>
      </c>
      <c r="AQ24" s="68">
        <v>89.6</v>
      </c>
      <c r="AR24" s="68">
        <v>52</v>
      </c>
      <c r="AS24" s="68">
        <v>60</v>
      </c>
      <c r="AT24" s="68">
        <v>78.599999999999994</v>
      </c>
      <c r="AU24" s="68">
        <v>74.5</v>
      </c>
      <c r="AV24" s="68">
        <v>66</v>
      </c>
      <c r="AW24" s="76">
        <v>85</v>
      </c>
      <c r="AX24" s="76">
        <v>60</v>
      </c>
      <c r="AY24" s="76">
        <v>60</v>
      </c>
      <c r="AZ24" s="76">
        <v>100</v>
      </c>
      <c r="BA24" s="76">
        <v>85</v>
      </c>
      <c r="BB24" s="240">
        <v>100</v>
      </c>
      <c r="BC24" s="240">
        <v>75</v>
      </c>
      <c r="BD24" s="240">
        <v>75</v>
      </c>
      <c r="BE24" s="240">
        <v>92.5</v>
      </c>
      <c r="BF24" s="240">
        <v>62.5</v>
      </c>
      <c r="BG24" s="240">
        <v>75</v>
      </c>
      <c r="BH24" s="70">
        <f t="shared" si="24"/>
        <v>1067.3000000000002</v>
      </c>
      <c r="BI24" s="71">
        <f t="shared" si="25"/>
        <v>71.15333333333335</v>
      </c>
      <c r="BJ24" s="101" t="e">
        <f t="shared" si="26"/>
        <v>#N/A</v>
      </c>
      <c r="BK24" s="73"/>
      <c r="BL24" s="73"/>
      <c r="BM24" s="73"/>
      <c r="BN24" s="74"/>
      <c r="BO24" s="74"/>
      <c r="BP24" s="74"/>
      <c r="BQ24" s="75"/>
    </row>
    <row r="25" spans="1:69" ht="27.95" customHeight="1">
      <c r="A25" s="141">
        <v>22</v>
      </c>
      <c r="B25" s="141">
        <v>24250183</v>
      </c>
      <c r="C25" s="148" t="s">
        <v>614</v>
      </c>
      <c r="D25" s="68">
        <f t="shared" si="0"/>
        <v>81</v>
      </c>
      <c r="E25" s="68">
        <f t="shared" si="1"/>
        <v>55</v>
      </c>
      <c r="F25" s="68">
        <f t="shared" si="2"/>
        <v>51</v>
      </c>
      <c r="G25" s="68">
        <f t="shared" si="3"/>
        <v>58</v>
      </c>
      <c r="H25" s="68">
        <f t="shared" si="4"/>
        <v>62</v>
      </c>
      <c r="I25" s="68">
        <f t="shared" si="5"/>
        <v>55</v>
      </c>
      <c r="J25" s="68">
        <f t="shared" si="6"/>
        <v>67</v>
      </c>
      <c r="K25" s="68">
        <f t="shared" si="7"/>
        <v>91</v>
      </c>
      <c r="L25" s="68">
        <f t="shared" si="8"/>
        <v>67</v>
      </c>
      <c r="M25" s="68">
        <f t="shared" si="9"/>
        <v>61</v>
      </c>
      <c r="N25" s="69">
        <f t="shared" si="10"/>
        <v>80</v>
      </c>
      <c r="O25" s="69">
        <f t="shared" si="11"/>
        <v>60</v>
      </c>
      <c r="P25" s="69">
        <f t="shared" si="12"/>
        <v>70</v>
      </c>
      <c r="Q25" s="69">
        <f t="shared" si="13"/>
        <v>80</v>
      </c>
      <c r="R25" s="69">
        <f t="shared" si="14"/>
        <v>85</v>
      </c>
      <c r="S25" s="234">
        <f t="shared" si="15"/>
        <v>63</v>
      </c>
      <c r="T25" s="234">
        <f t="shared" si="16"/>
        <v>75</v>
      </c>
      <c r="U25" s="234">
        <f t="shared" si="17"/>
        <v>75</v>
      </c>
      <c r="V25" s="234">
        <f t="shared" si="18"/>
        <v>99</v>
      </c>
      <c r="W25" s="234">
        <f t="shared" si="19"/>
        <v>68</v>
      </c>
      <c r="X25" s="234">
        <f t="shared" si="20"/>
        <v>75</v>
      </c>
      <c r="Y25" s="70">
        <f t="shared" si="21"/>
        <v>1023</v>
      </c>
      <c r="Z25" s="71">
        <f t="shared" si="22"/>
        <v>68.2</v>
      </c>
      <c r="AA25" s="101">
        <f t="shared" si="23"/>
        <v>22</v>
      </c>
      <c r="AB25" s="73" t="s">
        <v>806</v>
      </c>
      <c r="AC25" s="73" t="s">
        <v>807</v>
      </c>
      <c r="AD25" s="73" t="s">
        <v>807</v>
      </c>
      <c r="AE25" s="74">
        <v>0</v>
      </c>
      <c r="AF25" s="74">
        <v>0</v>
      </c>
      <c r="AG25" s="74">
        <v>0</v>
      </c>
      <c r="AH25" s="75"/>
      <c r="AJ25" s="141">
        <v>28</v>
      </c>
      <c r="AK25" s="141">
        <v>24250183</v>
      </c>
      <c r="AL25" s="148" t="s">
        <v>614</v>
      </c>
      <c r="AM25" s="68">
        <v>80.8</v>
      </c>
      <c r="AN25" s="68">
        <v>54.5</v>
      </c>
      <c r="AO25" s="68">
        <v>51</v>
      </c>
      <c r="AP25" s="68">
        <v>57.5</v>
      </c>
      <c r="AQ25" s="68">
        <v>61.7</v>
      </c>
      <c r="AR25" s="68">
        <v>55</v>
      </c>
      <c r="AS25" s="68">
        <v>67</v>
      </c>
      <c r="AT25" s="68">
        <v>91.3</v>
      </c>
      <c r="AU25" s="68">
        <v>67</v>
      </c>
      <c r="AV25" s="68">
        <v>61</v>
      </c>
      <c r="AW25" s="76">
        <v>80</v>
      </c>
      <c r="AX25" s="76">
        <v>60</v>
      </c>
      <c r="AY25" s="76">
        <v>70</v>
      </c>
      <c r="AZ25" s="76">
        <v>80</v>
      </c>
      <c r="BA25" s="76">
        <v>85</v>
      </c>
      <c r="BB25" s="240">
        <v>62.5</v>
      </c>
      <c r="BC25" s="240">
        <v>75</v>
      </c>
      <c r="BD25" s="240">
        <v>75</v>
      </c>
      <c r="BE25" s="240">
        <v>100</v>
      </c>
      <c r="BF25" s="240">
        <v>67.5</v>
      </c>
      <c r="BG25" s="240">
        <v>75</v>
      </c>
      <c r="BH25" s="70">
        <f t="shared" si="24"/>
        <v>1021.8</v>
      </c>
      <c r="BI25" s="71">
        <f t="shared" si="25"/>
        <v>68.11999999999999</v>
      </c>
      <c r="BJ25" s="101" t="e">
        <f t="shared" si="26"/>
        <v>#N/A</v>
      </c>
      <c r="BK25" s="73"/>
      <c r="BL25" s="73"/>
      <c r="BM25" s="73"/>
      <c r="BN25" s="74"/>
      <c r="BO25" s="74"/>
      <c r="BP25" s="74"/>
      <c r="BQ25" s="75"/>
    </row>
    <row r="26" spans="1:69" ht="27.95" customHeight="1">
      <c r="A26" s="141">
        <v>23</v>
      </c>
      <c r="B26" s="141">
        <v>22230071</v>
      </c>
      <c r="C26" s="148" t="s">
        <v>604</v>
      </c>
      <c r="D26" s="68">
        <f t="shared" si="0"/>
        <v>82</v>
      </c>
      <c r="E26" s="68">
        <f t="shared" si="1"/>
        <v>60</v>
      </c>
      <c r="F26" s="68">
        <f t="shared" si="2"/>
        <v>40</v>
      </c>
      <c r="G26" s="68">
        <f t="shared" si="3"/>
        <v>59</v>
      </c>
      <c r="H26" s="68">
        <f t="shared" si="4"/>
        <v>81</v>
      </c>
      <c r="I26" s="68">
        <f t="shared" si="5"/>
        <v>52</v>
      </c>
      <c r="J26" s="68">
        <f t="shared" si="6"/>
        <v>81</v>
      </c>
      <c r="K26" s="68">
        <f t="shared" si="7"/>
        <v>76</v>
      </c>
      <c r="L26" s="68">
        <f t="shared" si="8"/>
        <v>62</v>
      </c>
      <c r="M26" s="68">
        <f t="shared" si="9"/>
        <v>66</v>
      </c>
      <c r="N26" s="69">
        <f t="shared" si="10"/>
        <v>60</v>
      </c>
      <c r="O26" s="69">
        <f t="shared" si="11"/>
        <v>55</v>
      </c>
      <c r="P26" s="69">
        <f t="shared" si="12"/>
        <v>50</v>
      </c>
      <c r="Q26" s="69">
        <f t="shared" si="13"/>
        <v>98</v>
      </c>
      <c r="R26" s="69">
        <f t="shared" si="14"/>
        <v>98</v>
      </c>
      <c r="S26" s="234">
        <f t="shared" si="15"/>
        <v>90</v>
      </c>
      <c r="T26" s="234">
        <f t="shared" si="16"/>
        <v>75</v>
      </c>
      <c r="U26" s="234">
        <f t="shared" si="17"/>
        <v>75</v>
      </c>
      <c r="V26" s="234">
        <f t="shared" si="18"/>
        <v>88</v>
      </c>
      <c r="W26" s="234">
        <f t="shared" si="19"/>
        <v>65</v>
      </c>
      <c r="X26" s="234">
        <f t="shared" si="20"/>
        <v>75</v>
      </c>
      <c r="Y26" s="70">
        <f t="shared" si="21"/>
        <v>1020</v>
      </c>
      <c r="Z26" s="71">
        <f t="shared" si="22"/>
        <v>68</v>
      </c>
      <c r="AA26" s="101">
        <f t="shared" si="23"/>
        <v>23</v>
      </c>
      <c r="AB26" s="73" t="s">
        <v>805</v>
      </c>
      <c r="AC26" s="73" t="s">
        <v>805</v>
      </c>
      <c r="AD26" s="73" t="s">
        <v>807</v>
      </c>
      <c r="AE26" s="74">
        <v>37</v>
      </c>
      <c r="AF26" s="74">
        <v>0</v>
      </c>
      <c r="AG26" s="74">
        <v>0</v>
      </c>
      <c r="AH26" s="75"/>
      <c r="AJ26" s="141">
        <v>18</v>
      </c>
      <c r="AK26" s="141">
        <v>22230071</v>
      </c>
      <c r="AL26" s="148" t="s">
        <v>604</v>
      </c>
      <c r="AM26" s="68">
        <v>81.599999999999994</v>
      </c>
      <c r="AN26" s="68">
        <v>59.9</v>
      </c>
      <c r="AO26" s="68">
        <v>39</v>
      </c>
      <c r="AP26" s="68">
        <v>59</v>
      </c>
      <c r="AQ26" s="68">
        <v>81.3</v>
      </c>
      <c r="AR26" s="68">
        <v>52</v>
      </c>
      <c r="AS26" s="68">
        <v>80.5</v>
      </c>
      <c r="AT26" s="68">
        <v>76.3</v>
      </c>
      <c r="AU26" s="68">
        <v>62</v>
      </c>
      <c r="AV26" s="68">
        <v>66</v>
      </c>
      <c r="AW26" s="76">
        <v>60</v>
      </c>
      <c r="AX26" s="76">
        <v>55</v>
      </c>
      <c r="AY26" s="76">
        <v>50</v>
      </c>
      <c r="AZ26" s="76">
        <v>98</v>
      </c>
      <c r="BA26" s="76">
        <v>98</v>
      </c>
      <c r="BB26" s="240">
        <v>90</v>
      </c>
      <c r="BC26" s="240">
        <v>75</v>
      </c>
      <c r="BD26" s="240">
        <v>75</v>
      </c>
      <c r="BE26" s="240">
        <v>87.5</v>
      </c>
      <c r="BF26" s="240">
        <v>65</v>
      </c>
      <c r="BG26" s="240">
        <v>75</v>
      </c>
      <c r="BH26" s="70">
        <f t="shared" si="24"/>
        <v>1018.6</v>
      </c>
      <c r="BI26" s="71">
        <f t="shared" si="25"/>
        <v>67.906666666666666</v>
      </c>
      <c r="BJ26" s="101" t="e">
        <f t="shared" si="26"/>
        <v>#N/A</v>
      </c>
      <c r="BK26" s="73"/>
      <c r="BL26" s="73"/>
      <c r="BM26" s="73"/>
      <c r="BN26" s="74"/>
      <c r="BO26" s="74"/>
      <c r="BP26" s="74"/>
      <c r="BQ26" s="75"/>
    </row>
    <row r="27" spans="1:69" ht="27.95" customHeight="1">
      <c r="A27" s="141">
        <v>24</v>
      </c>
      <c r="B27" s="141">
        <v>23240109</v>
      </c>
      <c r="C27" s="150" t="s">
        <v>594</v>
      </c>
      <c r="D27" s="68">
        <f t="shared" si="0"/>
        <v>77</v>
      </c>
      <c r="E27" s="68">
        <f t="shared" si="1"/>
        <v>40</v>
      </c>
      <c r="F27" s="68">
        <f t="shared" si="2"/>
        <v>40</v>
      </c>
      <c r="G27" s="68">
        <f t="shared" si="3"/>
        <v>56</v>
      </c>
      <c r="H27" s="68">
        <f t="shared" si="4"/>
        <v>52</v>
      </c>
      <c r="I27" s="68">
        <f t="shared" si="5"/>
        <v>75</v>
      </c>
      <c r="J27" s="68">
        <f t="shared" si="6"/>
        <v>54</v>
      </c>
      <c r="K27" s="68">
        <f t="shared" si="7"/>
        <v>74</v>
      </c>
      <c r="L27" s="68">
        <f t="shared" si="8"/>
        <v>58</v>
      </c>
      <c r="M27" s="68">
        <f t="shared" si="9"/>
        <v>65</v>
      </c>
      <c r="N27" s="69">
        <f t="shared" si="10"/>
        <v>70</v>
      </c>
      <c r="O27" s="69">
        <f t="shared" si="11"/>
        <v>50</v>
      </c>
      <c r="P27" s="69">
        <f t="shared" si="12"/>
        <v>50</v>
      </c>
      <c r="Q27" s="69">
        <f t="shared" si="13"/>
        <v>60</v>
      </c>
      <c r="R27" s="69">
        <f t="shared" si="14"/>
        <v>85</v>
      </c>
      <c r="S27" s="234">
        <f t="shared" si="15"/>
        <v>53</v>
      </c>
      <c r="T27" s="234">
        <f t="shared" si="16"/>
        <v>75</v>
      </c>
      <c r="U27" s="234">
        <f t="shared" si="17"/>
        <v>75</v>
      </c>
      <c r="V27" s="234">
        <f t="shared" si="18"/>
        <v>65</v>
      </c>
      <c r="W27" s="234">
        <f t="shared" si="19"/>
        <v>60</v>
      </c>
      <c r="X27" s="234">
        <f t="shared" si="20"/>
        <v>75</v>
      </c>
      <c r="Y27" s="70">
        <f t="shared" si="21"/>
        <v>906</v>
      </c>
      <c r="Z27" s="71">
        <f t="shared" si="22"/>
        <v>60.4</v>
      </c>
      <c r="AA27" s="101">
        <f t="shared" si="23"/>
        <v>24</v>
      </c>
      <c r="AB27" s="73" t="s">
        <v>805</v>
      </c>
      <c r="AC27" s="73" t="s">
        <v>807</v>
      </c>
      <c r="AD27" s="73" t="s">
        <v>807</v>
      </c>
      <c r="AE27" s="74">
        <v>89</v>
      </c>
      <c r="AF27" s="74">
        <v>0</v>
      </c>
      <c r="AG27" s="74">
        <v>1</v>
      </c>
      <c r="AH27" s="75"/>
      <c r="AJ27" s="141">
        <v>8</v>
      </c>
      <c r="AK27" s="141">
        <v>23240109</v>
      </c>
      <c r="AL27" s="150" t="s">
        <v>594</v>
      </c>
      <c r="AM27" s="68">
        <v>77</v>
      </c>
      <c r="AN27" s="68">
        <v>40</v>
      </c>
      <c r="AO27" s="68">
        <v>32</v>
      </c>
      <c r="AP27" s="68">
        <v>55.5</v>
      </c>
      <c r="AQ27" s="68">
        <v>52.3</v>
      </c>
      <c r="AR27" s="68">
        <v>75</v>
      </c>
      <c r="AS27" s="68">
        <v>53.5</v>
      </c>
      <c r="AT27" s="68">
        <v>74</v>
      </c>
      <c r="AU27" s="68">
        <v>57.5</v>
      </c>
      <c r="AV27" s="68">
        <v>64.5</v>
      </c>
      <c r="AW27" s="76">
        <v>70</v>
      </c>
      <c r="AX27" s="76">
        <v>50</v>
      </c>
      <c r="AY27" s="76">
        <v>50</v>
      </c>
      <c r="AZ27" s="76">
        <v>60</v>
      </c>
      <c r="BA27" s="76">
        <v>85</v>
      </c>
      <c r="BB27" s="240">
        <v>52.5</v>
      </c>
      <c r="BC27" s="240">
        <v>75</v>
      </c>
      <c r="BD27" s="240">
        <v>75</v>
      </c>
      <c r="BE27" s="240">
        <v>65</v>
      </c>
      <c r="BF27" s="240">
        <v>60</v>
      </c>
      <c r="BG27" s="240">
        <v>75</v>
      </c>
      <c r="BH27" s="70">
        <f t="shared" si="24"/>
        <v>896.3</v>
      </c>
      <c r="BI27" s="71">
        <f t="shared" si="25"/>
        <v>59.75333333333333</v>
      </c>
      <c r="BJ27" s="101" t="e">
        <f t="shared" si="26"/>
        <v>#N/A</v>
      </c>
      <c r="BK27" s="73"/>
      <c r="BL27" s="73"/>
      <c r="BM27" s="73"/>
      <c r="BN27" s="74"/>
      <c r="BO27" s="74"/>
      <c r="BP27" s="74"/>
      <c r="BQ27" s="75"/>
    </row>
    <row r="28" spans="1:69" ht="27.95" customHeight="1">
      <c r="A28" s="141">
        <v>25</v>
      </c>
      <c r="B28" s="141">
        <v>21220095</v>
      </c>
      <c r="C28" s="148" t="s">
        <v>587</v>
      </c>
      <c r="D28" s="68">
        <f t="shared" si="0"/>
        <v>75</v>
      </c>
      <c r="E28" s="68">
        <f t="shared" si="1"/>
        <v>53</v>
      </c>
      <c r="F28" s="68">
        <f t="shared" si="2"/>
        <v>40</v>
      </c>
      <c r="G28" s="68">
        <f t="shared" si="3"/>
        <v>55</v>
      </c>
      <c r="H28" s="68">
        <f t="shared" si="4"/>
        <v>56</v>
      </c>
      <c r="I28" s="68">
        <f t="shared" si="5"/>
        <v>52</v>
      </c>
      <c r="J28" s="68">
        <f t="shared" si="6"/>
        <v>54</v>
      </c>
      <c r="K28" s="68">
        <f t="shared" si="7"/>
        <v>72</v>
      </c>
      <c r="L28" s="68">
        <f t="shared" si="8"/>
        <v>58</v>
      </c>
      <c r="M28" s="68">
        <f t="shared" si="9"/>
        <v>61</v>
      </c>
      <c r="N28" s="69">
        <f t="shared" si="10"/>
        <v>70</v>
      </c>
      <c r="O28" s="69">
        <f t="shared" si="11"/>
        <v>50</v>
      </c>
      <c r="P28" s="69">
        <f t="shared" si="12"/>
        <v>40</v>
      </c>
      <c r="Q28" s="69">
        <f t="shared" si="13"/>
        <v>60</v>
      </c>
      <c r="R28" s="69">
        <f t="shared" si="14"/>
        <v>70</v>
      </c>
      <c r="S28" s="234">
        <f t="shared" si="15"/>
        <v>85</v>
      </c>
      <c r="T28" s="234">
        <f t="shared" si="16"/>
        <v>75</v>
      </c>
      <c r="U28" s="234">
        <f t="shared" si="17"/>
        <v>75</v>
      </c>
      <c r="V28" s="234">
        <f t="shared" si="18"/>
        <v>85</v>
      </c>
      <c r="W28" s="234">
        <f t="shared" si="19"/>
        <v>60</v>
      </c>
      <c r="X28" s="234">
        <f t="shared" si="20"/>
        <v>75</v>
      </c>
      <c r="Y28" s="70">
        <f t="shared" si="21"/>
        <v>866</v>
      </c>
      <c r="Z28" s="71">
        <f t="shared" si="22"/>
        <v>57.733333333333334</v>
      </c>
      <c r="AA28" s="101">
        <f t="shared" si="23"/>
        <v>25</v>
      </c>
      <c r="AB28" s="73" t="s">
        <v>805</v>
      </c>
      <c r="AC28" s="73" t="s">
        <v>805</v>
      </c>
      <c r="AD28" s="73" t="s">
        <v>807</v>
      </c>
      <c r="AE28" s="74">
        <v>6</v>
      </c>
      <c r="AF28" s="74">
        <v>0</v>
      </c>
      <c r="AG28" s="74">
        <v>0</v>
      </c>
      <c r="AH28" s="75"/>
      <c r="AJ28" s="141">
        <v>1</v>
      </c>
      <c r="AK28" s="141">
        <v>21220095</v>
      </c>
      <c r="AL28" s="148" t="s">
        <v>587</v>
      </c>
      <c r="AM28" s="68">
        <v>74.8</v>
      </c>
      <c r="AN28" s="68">
        <v>53</v>
      </c>
      <c r="AO28" s="68">
        <v>34</v>
      </c>
      <c r="AP28" s="68">
        <v>55</v>
      </c>
      <c r="AQ28" s="68">
        <v>56</v>
      </c>
      <c r="AR28" s="68">
        <v>52</v>
      </c>
      <c r="AS28" s="68">
        <v>54</v>
      </c>
      <c r="AT28" s="68">
        <v>72.2</v>
      </c>
      <c r="AU28" s="68">
        <v>58</v>
      </c>
      <c r="AV28" s="68">
        <v>61</v>
      </c>
      <c r="AW28" s="76">
        <v>70</v>
      </c>
      <c r="AX28" s="76">
        <v>50</v>
      </c>
      <c r="AY28" s="76">
        <v>40</v>
      </c>
      <c r="AZ28" s="76">
        <v>60</v>
      </c>
      <c r="BA28" s="76">
        <v>70</v>
      </c>
      <c r="BB28" s="240">
        <v>85</v>
      </c>
      <c r="BC28" s="240">
        <v>75</v>
      </c>
      <c r="BD28" s="240">
        <v>75</v>
      </c>
      <c r="BE28" s="240">
        <v>85</v>
      </c>
      <c r="BF28" s="240">
        <v>60</v>
      </c>
      <c r="BG28" s="240">
        <v>75</v>
      </c>
      <c r="BH28" s="70">
        <f t="shared" si="24"/>
        <v>860</v>
      </c>
      <c r="BI28" s="71">
        <f t="shared" si="25"/>
        <v>57.333333333333336</v>
      </c>
      <c r="BJ28" s="101" t="e">
        <f t="shared" si="26"/>
        <v>#N/A</v>
      </c>
      <c r="BK28" s="73"/>
      <c r="BL28" s="73"/>
      <c r="BM28" s="73"/>
      <c r="BN28" s="74"/>
      <c r="BO28" s="74"/>
      <c r="BP28" s="74"/>
      <c r="BQ28" s="75"/>
    </row>
    <row r="29" spans="1:69" ht="27.95" customHeight="1">
      <c r="A29" s="141">
        <v>26</v>
      </c>
      <c r="B29" s="141">
        <v>23240041</v>
      </c>
      <c r="C29" s="148" t="s">
        <v>589</v>
      </c>
      <c r="D29" s="68">
        <f t="shared" si="0"/>
        <v>75</v>
      </c>
      <c r="E29" s="68">
        <f t="shared" si="1"/>
        <v>47</v>
      </c>
      <c r="F29" s="68">
        <f t="shared" si="2"/>
        <v>40</v>
      </c>
      <c r="G29" s="68">
        <f t="shared" si="3"/>
        <v>57</v>
      </c>
      <c r="H29" s="68">
        <f t="shared" si="4"/>
        <v>53</v>
      </c>
      <c r="I29" s="68">
        <f t="shared" si="5"/>
        <v>52</v>
      </c>
      <c r="J29" s="68">
        <f t="shared" si="6"/>
        <v>55</v>
      </c>
      <c r="K29" s="68">
        <f t="shared" si="7"/>
        <v>73</v>
      </c>
      <c r="L29" s="68">
        <f t="shared" si="8"/>
        <v>58</v>
      </c>
      <c r="M29" s="68">
        <f t="shared" si="9"/>
        <v>61</v>
      </c>
      <c r="N29" s="69">
        <f t="shared" si="10"/>
        <v>70</v>
      </c>
      <c r="O29" s="69">
        <f t="shared" si="11"/>
        <v>50</v>
      </c>
      <c r="P29" s="69">
        <f t="shared" si="12"/>
        <v>60</v>
      </c>
      <c r="Q29" s="69">
        <f t="shared" si="13"/>
        <v>40</v>
      </c>
      <c r="R29" s="69">
        <f t="shared" si="14"/>
        <v>65</v>
      </c>
      <c r="S29" s="234">
        <f t="shared" si="15"/>
        <v>98</v>
      </c>
      <c r="T29" s="234">
        <f t="shared" si="16"/>
        <v>75</v>
      </c>
      <c r="U29" s="234">
        <f t="shared" si="17"/>
        <v>75</v>
      </c>
      <c r="V29" s="234">
        <f t="shared" si="18"/>
        <v>90</v>
      </c>
      <c r="W29" s="234">
        <f t="shared" si="19"/>
        <v>63</v>
      </c>
      <c r="X29" s="234">
        <f t="shared" si="20"/>
        <v>75</v>
      </c>
      <c r="Y29" s="70">
        <f t="shared" si="21"/>
        <v>856</v>
      </c>
      <c r="Z29" s="71">
        <f t="shared" si="22"/>
        <v>57.06666666666667</v>
      </c>
      <c r="AA29" s="101">
        <f t="shared" si="23"/>
        <v>26</v>
      </c>
      <c r="AB29" s="73" t="s">
        <v>805</v>
      </c>
      <c r="AC29" s="73" t="s">
        <v>805</v>
      </c>
      <c r="AD29" s="73" t="s">
        <v>807</v>
      </c>
      <c r="AE29" s="74">
        <v>18</v>
      </c>
      <c r="AF29" s="74">
        <v>2</v>
      </c>
      <c r="AG29" s="74">
        <v>0</v>
      </c>
      <c r="AH29" s="75"/>
      <c r="AJ29" s="141">
        <v>3</v>
      </c>
      <c r="AK29" s="141">
        <v>23240041</v>
      </c>
      <c r="AL29" s="148" t="s">
        <v>589</v>
      </c>
      <c r="AM29" s="68">
        <v>74.8</v>
      </c>
      <c r="AN29" s="68">
        <v>47</v>
      </c>
      <c r="AO29" s="68">
        <v>34</v>
      </c>
      <c r="AP29" s="68">
        <v>56.5</v>
      </c>
      <c r="AQ29" s="68">
        <v>53</v>
      </c>
      <c r="AR29" s="68">
        <v>52</v>
      </c>
      <c r="AS29" s="68">
        <v>54.5</v>
      </c>
      <c r="AT29" s="68">
        <v>72.800000000000011</v>
      </c>
      <c r="AU29" s="68">
        <v>58</v>
      </c>
      <c r="AV29" s="68">
        <v>61</v>
      </c>
      <c r="AW29" s="76">
        <v>70</v>
      </c>
      <c r="AX29" s="76">
        <v>50</v>
      </c>
      <c r="AY29" s="76">
        <v>60</v>
      </c>
      <c r="AZ29" s="76">
        <v>40</v>
      </c>
      <c r="BA29" s="76">
        <v>65</v>
      </c>
      <c r="BB29" s="240">
        <v>97.5</v>
      </c>
      <c r="BC29" s="240">
        <v>75</v>
      </c>
      <c r="BD29" s="240">
        <v>75</v>
      </c>
      <c r="BE29" s="240">
        <v>90</v>
      </c>
      <c r="BF29" s="240">
        <v>62.5</v>
      </c>
      <c r="BG29" s="240">
        <v>75</v>
      </c>
      <c r="BH29" s="70">
        <f t="shared" si="24"/>
        <v>848.6</v>
      </c>
      <c r="BI29" s="71">
        <f t="shared" si="25"/>
        <v>56.573333333333338</v>
      </c>
      <c r="BJ29" s="101" t="e">
        <f t="shared" si="26"/>
        <v>#N/A</v>
      </c>
      <c r="BK29" s="73"/>
      <c r="BL29" s="73"/>
      <c r="BM29" s="73"/>
      <c r="BN29" s="74"/>
      <c r="BO29" s="74"/>
      <c r="BP29" s="74"/>
      <c r="BQ29" s="75"/>
    </row>
    <row r="30" spans="1:69" ht="27.95" customHeight="1">
      <c r="A30" s="141">
        <v>27</v>
      </c>
      <c r="B30" s="141">
        <v>23240077</v>
      </c>
      <c r="C30" s="148" t="s">
        <v>608</v>
      </c>
      <c r="D30" s="68">
        <f t="shared" si="0"/>
        <v>78</v>
      </c>
      <c r="E30" s="68">
        <f t="shared" si="1"/>
        <v>40</v>
      </c>
      <c r="F30" s="68">
        <f t="shared" si="2"/>
        <v>40</v>
      </c>
      <c r="G30" s="68">
        <f t="shared" si="3"/>
        <v>54</v>
      </c>
      <c r="H30" s="68">
        <f t="shared" si="4"/>
        <v>54</v>
      </c>
      <c r="I30" s="68">
        <f t="shared" si="5"/>
        <v>51</v>
      </c>
      <c r="J30" s="68">
        <f t="shared" si="6"/>
        <v>54</v>
      </c>
      <c r="K30" s="68">
        <f t="shared" si="7"/>
        <v>79</v>
      </c>
      <c r="L30" s="68">
        <f t="shared" si="8"/>
        <v>59</v>
      </c>
      <c r="M30" s="68">
        <f t="shared" si="9"/>
        <v>60</v>
      </c>
      <c r="N30" s="69">
        <f t="shared" si="10"/>
        <v>65</v>
      </c>
      <c r="O30" s="69">
        <f t="shared" si="11"/>
        <v>50</v>
      </c>
      <c r="P30" s="69">
        <f t="shared" si="12"/>
        <v>50</v>
      </c>
      <c r="Q30" s="69">
        <f t="shared" si="13"/>
        <v>55</v>
      </c>
      <c r="R30" s="69">
        <f t="shared" si="14"/>
        <v>60</v>
      </c>
      <c r="S30" s="234">
        <f t="shared" si="15"/>
        <v>95</v>
      </c>
      <c r="T30" s="234">
        <f t="shared" si="16"/>
        <v>75</v>
      </c>
      <c r="U30" s="234">
        <f t="shared" si="17"/>
        <v>75</v>
      </c>
      <c r="V30" s="234">
        <f t="shared" si="18"/>
        <v>85</v>
      </c>
      <c r="W30" s="234">
        <f t="shared" si="19"/>
        <v>63</v>
      </c>
      <c r="X30" s="234">
        <f t="shared" si="20"/>
        <v>75</v>
      </c>
      <c r="Y30" s="70">
        <f t="shared" si="21"/>
        <v>849</v>
      </c>
      <c r="Z30" s="71">
        <f t="shared" si="22"/>
        <v>56.6</v>
      </c>
      <c r="AA30" s="101">
        <f t="shared" si="23"/>
        <v>27</v>
      </c>
      <c r="AB30" s="73" t="s">
        <v>805</v>
      </c>
      <c r="AC30" s="73" t="s">
        <v>807</v>
      </c>
      <c r="AD30" s="73" t="s">
        <v>807</v>
      </c>
      <c r="AE30" s="74">
        <v>23</v>
      </c>
      <c r="AF30" s="74">
        <v>2</v>
      </c>
      <c r="AG30" s="74">
        <v>0</v>
      </c>
      <c r="AH30" s="75"/>
      <c r="AJ30" s="141">
        <v>22</v>
      </c>
      <c r="AK30" s="141">
        <v>23240077</v>
      </c>
      <c r="AL30" s="148" t="s">
        <v>608</v>
      </c>
      <c r="AM30" s="68">
        <v>78</v>
      </c>
      <c r="AN30" s="68">
        <v>37.5</v>
      </c>
      <c r="AO30" s="68">
        <v>33</v>
      </c>
      <c r="AP30" s="68">
        <v>54</v>
      </c>
      <c r="AQ30" s="68">
        <v>54.2</v>
      </c>
      <c r="AR30" s="68">
        <v>51</v>
      </c>
      <c r="AS30" s="68">
        <v>54</v>
      </c>
      <c r="AT30" s="68">
        <v>78.899999999999991</v>
      </c>
      <c r="AU30" s="68">
        <v>59</v>
      </c>
      <c r="AV30" s="68">
        <v>60</v>
      </c>
      <c r="AW30" s="76">
        <v>65</v>
      </c>
      <c r="AX30" s="76">
        <v>50</v>
      </c>
      <c r="AY30" s="76">
        <v>50</v>
      </c>
      <c r="AZ30" s="76">
        <v>55</v>
      </c>
      <c r="BA30" s="76">
        <v>60</v>
      </c>
      <c r="BB30" s="240">
        <v>95</v>
      </c>
      <c r="BC30" s="240">
        <v>75</v>
      </c>
      <c r="BD30" s="240">
        <v>75</v>
      </c>
      <c r="BE30" s="240">
        <v>85</v>
      </c>
      <c r="BF30" s="240">
        <v>62.5</v>
      </c>
      <c r="BG30" s="240">
        <v>75</v>
      </c>
      <c r="BH30" s="70">
        <f t="shared" si="24"/>
        <v>839.59999999999991</v>
      </c>
      <c r="BI30" s="71">
        <f t="shared" si="25"/>
        <v>55.973333333333329</v>
      </c>
      <c r="BJ30" s="101" t="e">
        <f t="shared" si="26"/>
        <v>#N/A</v>
      </c>
      <c r="BK30" s="73"/>
      <c r="BL30" s="73"/>
      <c r="BM30" s="73"/>
      <c r="BN30" s="74"/>
      <c r="BO30" s="74"/>
      <c r="BP30" s="74"/>
      <c r="BQ30" s="75"/>
    </row>
    <row r="31" spans="1:69" ht="27.95" customHeight="1">
      <c r="A31" s="141">
        <v>28</v>
      </c>
      <c r="B31" s="141">
        <v>22230110</v>
      </c>
      <c r="C31" s="148" t="s">
        <v>588</v>
      </c>
      <c r="D31" s="68">
        <f t="shared" si="0"/>
        <v>71</v>
      </c>
      <c r="E31" s="68">
        <f t="shared" si="1"/>
        <v>40</v>
      </c>
      <c r="F31" s="68">
        <f t="shared" si="2"/>
        <v>40</v>
      </c>
      <c r="G31" s="68">
        <f t="shared" si="3"/>
        <v>55</v>
      </c>
      <c r="H31" s="68">
        <f t="shared" si="4"/>
        <v>50</v>
      </c>
      <c r="I31" s="68">
        <f t="shared" si="5"/>
        <v>52</v>
      </c>
      <c r="J31" s="68">
        <f t="shared" si="6"/>
        <v>54</v>
      </c>
      <c r="K31" s="68">
        <f t="shared" si="7"/>
        <v>72</v>
      </c>
      <c r="L31" s="68">
        <f t="shared" si="8"/>
        <v>58</v>
      </c>
      <c r="M31" s="68">
        <f t="shared" si="9"/>
        <v>61</v>
      </c>
      <c r="N31" s="69">
        <f t="shared" si="10"/>
        <v>60</v>
      </c>
      <c r="O31" s="69">
        <f t="shared" si="11"/>
        <v>50</v>
      </c>
      <c r="P31" s="69">
        <f t="shared" si="12"/>
        <v>60</v>
      </c>
      <c r="Q31" s="69">
        <f t="shared" si="13"/>
        <v>55</v>
      </c>
      <c r="R31" s="69">
        <f t="shared" si="14"/>
        <v>65</v>
      </c>
      <c r="S31" s="234">
        <f t="shared" si="15"/>
        <v>58</v>
      </c>
      <c r="T31" s="234">
        <f t="shared" si="16"/>
        <v>75</v>
      </c>
      <c r="U31" s="234">
        <f t="shared" si="17"/>
        <v>75</v>
      </c>
      <c r="V31" s="234">
        <f t="shared" si="18"/>
        <v>85</v>
      </c>
      <c r="W31" s="234">
        <f t="shared" si="19"/>
        <v>70</v>
      </c>
      <c r="X31" s="234">
        <f t="shared" si="20"/>
        <v>75</v>
      </c>
      <c r="Y31" s="70">
        <f t="shared" si="21"/>
        <v>843</v>
      </c>
      <c r="Z31" s="71">
        <f t="shared" si="22"/>
        <v>56.2</v>
      </c>
      <c r="AA31" s="101">
        <f t="shared" si="23"/>
        <v>28</v>
      </c>
      <c r="AB31" s="73" t="s">
        <v>807</v>
      </c>
      <c r="AC31" s="73" t="s">
        <v>805</v>
      </c>
      <c r="AD31" s="73" t="s">
        <v>807</v>
      </c>
      <c r="AE31" s="74">
        <v>10</v>
      </c>
      <c r="AF31" s="74">
        <v>8</v>
      </c>
      <c r="AG31" s="74">
        <v>1</v>
      </c>
      <c r="AH31" s="75"/>
      <c r="AJ31" s="141">
        <v>2</v>
      </c>
      <c r="AK31" s="141">
        <v>22230110</v>
      </c>
      <c r="AL31" s="148" t="s">
        <v>588</v>
      </c>
      <c r="AM31" s="68">
        <v>71.199999999999989</v>
      </c>
      <c r="AN31" s="68">
        <v>40</v>
      </c>
      <c r="AO31" s="68">
        <v>34</v>
      </c>
      <c r="AP31" s="68">
        <v>55</v>
      </c>
      <c r="AQ31" s="68">
        <v>50</v>
      </c>
      <c r="AR31" s="68">
        <v>52</v>
      </c>
      <c r="AS31" s="68">
        <v>53.5</v>
      </c>
      <c r="AT31" s="68">
        <v>72.3</v>
      </c>
      <c r="AU31" s="68">
        <v>58</v>
      </c>
      <c r="AV31" s="68">
        <v>61</v>
      </c>
      <c r="AW31" s="76">
        <v>60</v>
      </c>
      <c r="AX31" s="76">
        <v>50</v>
      </c>
      <c r="AY31" s="76">
        <v>60</v>
      </c>
      <c r="AZ31" s="76">
        <v>55</v>
      </c>
      <c r="BA31" s="76">
        <v>65</v>
      </c>
      <c r="BB31" s="240">
        <v>57.5</v>
      </c>
      <c r="BC31" s="240">
        <v>75</v>
      </c>
      <c r="BD31" s="240">
        <v>75</v>
      </c>
      <c r="BE31" s="240">
        <v>85</v>
      </c>
      <c r="BF31" s="240">
        <v>70</v>
      </c>
      <c r="BG31" s="240">
        <v>75</v>
      </c>
      <c r="BH31" s="70">
        <f t="shared" si="24"/>
        <v>837</v>
      </c>
      <c r="BI31" s="71">
        <f t="shared" si="25"/>
        <v>55.8</v>
      </c>
      <c r="BJ31" s="101" t="e">
        <f t="shared" si="26"/>
        <v>#N/A</v>
      </c>
      <c r="BK31" s="73"/>
      <c r="BL31" s="73"/>
      <c r="BM31" s="73"/>
      <c r="BN31" s="74"/>
      <c r="BO31" s="74"/>
      <c r="BP31" s="74"/>
      <c r="BQ31" s="75"/>
    </row>
    <row r="32" spans="1:69" ht="27.95" customHeight="1">
      <c r="A32" s="141">
        <v>29</v>
      </c>
      <c r="B32" s="141">
        <v>22230067</v>
      </c>
      <c r="C32" s="148" t="s">
        <v>597</v>
      </c>
      <c r="D32" s="68">
        <f t="shared" si="0"/>
        <v>66</v>
      </c>
      <c r="E32" s="68">
        <f t="shared" si="1"/>
        <v>55</v>
      </c>
      <c r="F32" s="68">
        <f t="shared" si="2"/>
        <v>40</v>
      </c>
      <c r="G32" s="68">
        <f t="shared" si="3"/>
        <v>53</v>
      </c>
      <c r="H32" s="68">
        <f t="shared" si="4"/>
        <v>52</v>
      </c>
      <c r="I32" s="68">
        <f t="shared" si="5"/>
        <v>49</v>
      </c>
      <c r="J32" s="68">
        <f t="shared" si="6"/>
        <v>54</v>
      </c>
      <c r="K32" s="68">
        <f t="shared" si="7"/>
        <v>64</v>
      </c>
      <c r="L32" s="68">
        <f t="shared" si="8"/>
        <v>59</v>
      </c>
      <c r="M32" s="68">
        <f t="shared" si="9"/>
        <v>60</v>
      </c>
      <c r="N32" s="69">
        <f t="shared" si="10"/>
        <v>60</v>
      </c>
      <c r="O32" s="69">
        <f t="shared" si="11"/>
        <v>55</v>
      </c>
      <c r="P32" s="69">
        <f t="shared" si="12"/>
        <v>50</v>
      </c>
      <c r="Q32" s="69">
        <f t="shared" si="13"/>
        <v>50</v>
      </c>
      <c r="R32" s="69">
        <f t="shared" si="14"/>
        <v>70</v>
      </c>
      <c r="S32" s="234">
        <f t="shared" si="15"/>
        <v>90</v>
      </c>
      <c r="T32" s="234">
        <f t="shared" si="16"/>
        <v>75</v>
      </c>
      <c r="U32" s="234">
        <f t="shared" si="17"/>
        <v>75</v>
      </c>
      <c r="V32" s="234">
        <f t="shared" si="18"/>
        <v>88</v>
      </c>
      <c r="W32" s="234">
        <f t="shared" si="19"/>
        <v>70</v>
      </c>
      <c r="X32" s="234">
        <f t="shared" si="20"/>
        <v>75</v>
      </c>
      <c r="Y32" s="70">
        <f t="shared" si="21"/>
        <v>837</v>
      </c>
      <c r="Z32" s="71">
        <f t="shared" si="22"/>
        <v>55.8</v>
      </c>
      <c r="AA32" s="101">
        <f t="shared" si="23"/>
        <v>29</v>
      </c>
      <c r="AB32" s="73" t="s">
        <v>805</v>
      </c>
      <c r="AC32" s="73" t="s">
        <v>807</v>
      </c>
      <c r="AD32" s="73" t="s">
        <v>807</v>
      </c>
      <c r="AE32" s="74">
        <v>50</v>
      </c>
      <c r="AF32" s="74">
        <v>0</v>
      </c>
      <c r="AG32" s="74">
        <v>0</v>
      </c>
      <c r="AH32" s="75"/>
      <c r="AJ32" s="141">
        <v>11</v>
      </c>
      <c r="AK32" s="141">
        <v>22230067</v>
      </c>
      <c r="AL32" s="148" t="s">
        <v>597</v>
      </c>
      <c r="AM32" s="68">
        <v>66</v>
      </c>
      <c r="AN32" s="68">
        <v>55</v>
      </c>
      <c r="AO32" s="68">
        <v>33</v>
      </c>
      <c r="AP32" s="68">
        <v>53</v>
      </c>
      <c r="AQ32" s="68">
        <v>51.5</v>
      </c>
      <c r="AR32" s="68">
        <v>49</v>
      </c>
      <c r="AS32" s="68">
        <v>54</v>
      </c>
      <c r="AT32" s="68">
        <v>63.5</v>
      </c>
      <c r="AU32" s="68">
        <v>58.5</v>
      </c>
      <c r="AV32" s="68">
        <v>60</v>
      </c>
      <c r="AW32" s="76">
        <v>60</v>
      </c>
      <c r="AX32" s="76">
        <v>55</v>
      </c>
      <c r="AY32" s="76">
        <v>50</v>
      </c>
      <c r="AZ32" s="76">
        <v>50</v>
      </c>
      <c r="BA32" s="76">
        <v>70</v>
      </c>
      <c r="BB32" s="240">
        <v>90</v>
      </c>
      <c r="BC32" s="240">
        <v>75</v>
      </c>
      <c r="BD32" s="240">
        <v>75</v>
      </c>
      <c r="BE32" s="240">
        <v>87.5</v>
      </c>
      <c r="BF32" s="240">
        <v>70</v>
      </c>
      <c r="BG32" s="240">
        <v>75</v>
      </c>
      <c r="BH32" s="70">
        <f t="shared" si="24"/>
        <v>828.5</v>
      </c>
      <c r="BI32" s="71">
        <f t="shared" si="25"/>
        <v>55.233333333333334</v>
      </c>
      <c r="BJ32" s="101" t="e">
        <f t="shared" si="26"/>
        <v>#N/A</v>
      </c>
      <c r="BK32" s="73"/>
      <c r="BL32" s="73"/>
      <c r="BM32" s="73"/>
      <c r="BN32" s="74"/>
      <c r="BO32" s="74"/>
      <c r="BP32" s="74"/>
      <c r="BQ32" s="75"/>
    </row>
    <row r="33" spans="1:69" ht="27.95" customHeight="1">
      <c r="A33" s="141">
        <v>30</v>
      </c>
      <c r="B33" s="141">
        <v>23240002</v>
      </c>
      <c r="C33" s="150" t="s">
        <v>598</v>
      </c>
      <c r="D33" s="68">
        <f t="shared" si="0"/>
        <v>73</v>
      </c>
      <c r="E33" s="68">
        <f t="shared" si="1"/>
        <v>58</v>
      </c>
      <c r="F33" s="68">
        <f t="shared" si="2"/>
        <v>40</v>
      </c>
      <c r="G33" s="68">
        <f t="shared" si="3"/>
        <v>54</v>
      </c>
      <c r="H33" s="68">
        <f t="shared" si="4"/>
        <v>47</v>
      </c>
      <c r="I33" s="68">
        <f t="shared" si="5"/>
        <v>51</v>
      </c>
      <c r="J33" s="68">
        <f t="shared" si="6"/>
        <v>56</v>
      </c>
      <c r="K33" s="68">
        <f t="shared" si="7"/>
        <v>72</v>
      </c>
      <c r="L33" s="68">
        <f t="shared" si="8"/>
        <v>61</v>
      </c>
      <c r="M33" s="68">
        <f t="shared" si="9"/>
        <v>66</v>
      </c>
      <c r="N33" s="69">
        <f t="shared" si="10"/>
        <v>60</v>
      </c>
      <c r="O33" s="69">
        <f t="shared" si="11"/>
        <v>55</v>
      </c>
      <c r="P33" s="69">
        <f t="shared" si="12"/>
        <v>50</v>
      </c>
      <c r="Q33" s="69">
        <f t="shared" si="13"/>
        <v>50</v>
      </c>
      <c r="R33" s="69">
        <f t="shared" si="14"/>
        <v>40</v>
      </c>
      <c r="S33" s="234">
        <f t="shared" si="15"/>
        <v>78</v>
      </c>
      <c r="T33" s="234">
        <f t="shared" si="16"/>
        <v>75</v>
      </c>
      <c r="U33" s="234">
        <f t="shared" si="17"/>
        <v>75</v>
      </c>
      <c r="V33" s="234">
        <f t="shared" si="18"/>
        <v>78</v>
      </c>
      <c r="W33" s="234">
        <f t="shared" si="19"/>
        <v>65</v>
      </c>
      <c r="X33" s="234">
        <f t="shared" si="20"/>
        <v>75</v>
      </c>
      <c r="Y33" s="70">
        <f t="shared" si="21"/>
        <v>833</v>
      </c>
      <c r="Z33" s="71">
        <f t="shared" si="22"/>
        <v>55.533333333333331</v>
      </c>
      <c r="AA33" s="101">
        <f t="shared" si="23"/>
        <v>30</v>
      </c>
      <c r="AB33" s="73" t="s">
        <v>805</v>
      </c>
      <c r="AC33" s="73" t="s">
        <v>807</v>
      </c>
      <c r="AD33" s="73" t="s">
        <v>807</v>
      </c>
      <c r="AE33" s="74">
        <v>5</v>
      </c>
      <c r="AF33" s="74">
        <v>0</v>
      </c>
      <c r="AG33" s="74">
        <v>0</v>
      </c>
      <c r="AH33" s="75"/>
      <c r="AJ33" s="141">
        <v>12</v>
      </c>
      <c r="AK33" s="141">
        <v>23240002</v>
      </c>
      <c r="AL33" s="150" t="s">
        <v>598</v>
      </c>
      <c r="AM33" s="68">
        <v>73</v>
      </c>
      <c r="AN33" s="68">
        <v>57.5</v>
      </c>
      <c r="AO33" s="68">
        <v>34</v>
      </c>
      <c r="AP33" s="68">
        <v>53.5</v>
      </c>
      <c r="AQ33" s="68">
        <v>46.5</v>
      </c>
      <c r="AR33" s="68">
        <v>51</v>
      </c>
      <c r="AS33" s="68">
        <v>56</v>
      </c>
      <c r="AT33" s="68">
        <v>72.2</v>
      </c>
      <c r="AU33" s="68">
        <v>60.5</v>
      </c>
      <c r="AV33" s="68">
        <v>65.5</v>
      </c>
      <c r="AW33" s="76">
        <v>60</v>
      </c>
      <c r="AX33" s="76">
        <v>55</v>
      </c>
      <c r="AY33" s="76">
        <v>50</v>
      </c>
      <c r="AZ33" s="76">
        <v>50</v>
      </c>
      <c r="BA33" s="76">
        <v>40</v>
      </c>
      <c r="BB33" s="240">
        <v>77.5</v>
      </c>
      <c r="BC33" s="240">
        <v>75</v>
      </c>
      <c r="BD33" s="240">
        <v>75</v>
      </c>
      <c r="BE33" s="240">
        <v>77.5</v>
      </c>
      <c r="BF33" s="240">
        <v>65</v>
      </c>
      <c r="BG33" s="240">
        <v>75</v>
      </c>
      <c r="BH33" s="70">
        <f t="shared" si="24"/>
        <v>824.7</v>
      </c>
      <c r="BI33" s="71">
        <f t="shared" si="25"/>
        <v>54.980000000000004</v>
      </c>
      <c r="BJ33" s="101" t="e">
        <f t="shared" si="26"/>
        <v>#N/A</v>
      </c>
      <c r="BK33" s="73"/>
      <c r="BL33" s="73"/>
      <c r="BM33" s="73"/>
      <c r="BN33" s="74"/>
      <c r="BO33" s="74"/>
      <c r="BP33" s="74"/>
      <c r="BQ33" s="75"/>
    </row>
    <row r="34" spans="1:69">
      <c r="A34" s="267" t="s">
        <v>202</v>
      </c>
      <c r="B34" s="268"/>
      <c r="C34" s="269"/>
      <c r="D34" s="72">
        <f t="shared" ref="D34:R34" si="27">SUM(D4:D28)</f>
        <v>2169</v>
      </c>
      <c r="E34" s="72">
        <f t="shared" si="27"/>
        <v>1992</v>
      </c>
      <c r="F34" s="72">
        <f t="shared" si="27"/>
        <v>1783</v>
      </c>
      <c r="G34" s="72">
        <f t="shared" si="27"/>
        <v>1858</v>
      </c>
      <c r="H34" s="72">
        <f t="shared" si="27"/>
        <v>2161</v>
      </c>
      <c r="I34" s="72">
        <f t="shared" si="27"/>
        <v>1698</v>
      </c>
      <c r="J34" s="72">
        <f t="shared" si="27"/>
        <v>1951</v>
      </c>
      <c r="K34" s="72">
        <f t="shared" si="27"/>
        <v>2175</v>
      </c>
      <c r="L34" s="72">
        <f t="shared" si="27"/>
        <v>2046</v>
      </c>
      <c r="M34" s="72">
        <f t="shared" si="27"/>
        <v>1918</v>
      </c>
      <c r="N34" s="72">
        <f t="shared" si="27"/>
        <v>2109</v>
      </c>
      <c r="O34" s="72">
        <f t="shared" si="27"/>
        <v>1953</v>
      </c>
      <c r="P34" s="72">
        <f t="shared" si="27"/>
        <v>1911</v>
      </c>
      <c r="Q34" s="72">
        <f t="shared" si="27"/>
        <v>2357</v>
      </c>
      <c r="R34" s="72">
        <f t="shared" si="27"/>
        <v>2381</v>
      </c>
      <c r="S34" s="72"/>
      <c r="T34" s="72"/>
      <c r="U34" s="72"/>
      <c r="V34" s="72"/>
      <c r="W34" s="72"/>
      <c r="X34" s="72"/>
      <c r="Y34" s="81"/>
      <c r="Z34" s="81"/>
      <c r="AA34" s="81"/>
      <c r="AB34" s="81"/>
      <c r="AC34" s="81"/>
      <c r="AD34" s="81"/>
      <c r="AE34" s="81"/>
      <c r="AF34" s="81"/>
      <c r="AG34" s="81"/>
      <c r="AH34" s="82"/>
      <c r="AJ34" s="267" t="s">
        <v>202</v>
      </c>
      <c r="AK34" s="268"/>
      <c r="AL34" s="269"/>
      <c r="AM34" s="72">
        <f t="shared" ref="AM34:AV34" si="28">SUM(AM4:AM28)</f>
        <v>2167.6999999999998</v>
      </c>
      <c r="AN34" s="72">
        <f t="shared" si="28"/>
        <v>1987.7</v>
      </c>
      <c r="AO34" s="72">
        <f t="shared" si="28"/>
        <v>1769</v>
      </c>
      <c r="AP34" s="72">
        <f t="shared" si="28"/>
        <v>1848.5</v>
      </c>
      <c r="AQ34" s="72">
        <f t="shared" si="28"/>
        <v>2161</v>
      </c>
      <c r="AR34" s="72">
        <f t="shared" si="28"/>
        <v>1697.5</v>
      </c>
      <c r="AS34" s="72">
        <f t="shared" si="28"/>
        <v>1947</v>
      </c>
      <c r="AT34" s="72">
        <f t="shared" si="28"/>
        <v>2178.5</v>
      </c>
      <c r="AU34" s="72">
        <f t="shared" si="28"/>
        <v>2045</v>
      </c>
      <c r="AV34" s="72">
        <f t="shared" si="28"/>
        <v>1914.5</v>
      </c>
      <c r="AW34" s="72">
        <f>SUM(AW4:AW33)</f>
        <v>2425</v>
      </c>
      <c r="AX34" s="72">
        <f>SUM(AX4:AX33)</f>
        <v>2220</v>
      </c>
      <c r="AY34" s="72">
        <f>SUM(AY4:AY33)</f>
        <v>2185</v>
      </c>
      <c r="AZ34" s="72">
        <f>SUM(AZ4:AZ33)</f>
        <v>2620</v>
      </c>
      <c r="BA34" s="72">
        <f>SUM(BA4:BA33)</f>
        <v>2691</v>
      </c>
      <c r="BB34" s="72"/>
      <c r="BC34" s="72"/>
      <c r="BD34" s="72"/>
      <c r="BE34" s="72"/>
      <c r="BF34" s="72"/>
      <c r="BG34" s="72"/>
      <c r="BH34" s="81"/>
      <c r="BI34" s="81"/>
      <c r="BJ34" s="81"/>
      <c r="BK34" s="81"/>
      <c r="BL34" s="81"/>
      <c r="BM34" s="81"/>
      <c r="BN34" s="81"/>
      <c r="BO34" s="81"/>
      <c r="BP34" s="81"/>
      <c r="BQ34" s="82"/>
    </row>
    <row r="35" spans="1:69">
      <c r="A35" s="267" t="s">
        <v>203</v>
      </c>
      <c r="B35" s="268"/>
      <c r="C35" s="269"/>
      <c r="D35" s="72">
        <f t="shared" ref="D35:R35" si="29">AVERAGE(D4:D28)</f>
        <v>86.76</v>
      </c>
      <c r="E35" s="72">
        <f t="shared" si="29"/>
        <v>79.680000000000007</v>
      </c>
      <c r="F35" s="72">
        <f t="shared" si="29"/>
        <v>71.319999999999993</v>
      </c>
      <c r="G35" s="72">
        <f t="shared" si="29"/>
        <v>74.319999999999993</v>
      </c>
      <c r="H35" s="72">
        <f t="shared" si="29"/>
        <v>86.44</v>
      </c>
      <c r="I35" s="72">
        <f t="shared" si="29"/>
        <v>67.92</v>
      </c>
      <c r="J35" s="72">
        <f t="shared" si="29"/>
        <v>78.040000000000006</v>
      </c>
      <c r="K35" s="72">
        <f t="shared" si="29"/>
        <v>87</v>
      </c>
      <c r="L35" s="72">
        <f t="shared" si="29"/>
        <v>81.84</v>
      </c>
      <c r="M35" s="72">
        <f t="shared" si="29"/>
        <v>76.72</v>
      </c>
      <c r="N35" s="72">
        <f t="shared" si="29"/>
        <v>84.36</v>
      </c>
      <c r="O35" s="72">
        <f t="shared" si="29"/>
        <v>78.12</v>
      </c>
      <c r="P35" s="72">
        <f t="shared" si="29"/>
        <v>76.44</v>
      </c>
      <c r="Q35" s="72">
        <f t="shared" si="29"/>
        <v>94.28</v>
      </c>
      <c r="R35" s="72">
        <f t="shared" si="29"/>
        <v>95.24</v>
      </c>
      <c r="S35" s="72"/>
      <c r="T35" s="72"/>
      <c r="U35" s="72"/>
      <c r="V35" s="72"/>
      <c r="W35" s="72"/>
      <c r="X35" s="72"/>
      <c r="Y35" s="81"/>
      <c r="Z35" s="81"/>
      <c r="AA35" s="81"/>
      <c r="AB35" s="81"/>
      <c r="AC35" s="81"/>
      <c r="AD35" s="81"/>
      <c r="AE35" s="81"/>
      <c r="AF35" s="81"/>
      <c r="AG35" s="81"/>
      <c r="AH35" s="82"/>
      <c r="AJ35" s="267" t="s">
        <v>203</v>
      </c>
      <c r="AK35" s="268"/>
      <c r="AL35" s="269"/>
      <c r="AM35" s="72">
        <f t="shared" ref="AM35:AV35" si="30">AVERAGE(AM4:AM28)</f>
        <v>86.707999999999998</v>
      </c>
      <c r="AN35" s="72">
        <f t="shared" si="30"/>
        <v>79.507999999999996</v>
      </c>
      <c r="AO35" s="72">
        <f t="shared" si="30"/>
        <v>70.760000000000005</v>
      </c>
      <c r="AP35" s="72">
        <f t="shared" si="30"/>
        <v>73.94</v>
      </c>
      <c r="AQ35" s="72">
        <f t="shared" si="30"/>
        <v>86.44</v>
      </c>
      <c r="AR35" s="72">
        <f t="shared" si="30"/>
        <v>67.900000000000006</v>
      </c>
      <c r="AS35" s="72">
        <f t="shared" si="30"/>
        <v>77.88</v>
      </c>
      <c r="AT35" s="72">
        <f t="shared" si="30"/>
        <v>87.14</v>
      </c>
      <c r="AU35" s="72">
        <f t="shared" si="30"/>
        <v>81.8</v>
      </c>
      <c r="AV35" s="72">
        <f t="shared" si="30"/>
        <v>76.58</v>
      </c>
      <c r="AW35" s="72">
        <f>AVERAGE(AW4:AW33)</f>
        <v>80.833333333333329</v>
      </c>
      <c r="AX35" s="72">
        <f>AVERAGE(AX4:AX33)</f>
        <v>74</v>
      </c>
      <c r="AY35" s="72">
        <f>AVERAGE(AY4:AY33)</f>
        <v>72.833333333333329</v>
      </c>
      <c r="AZ35" s="72">
        <f>AVERAGE(AZ4:AZ33)</f>
        <v>87.333333333333329</v>
      </c>
      <c r="BA35" s="72">
        <f>AVERAGE(BA4:BA33)</f>
        <v>89.7</v>
      </c>
      <c r="BB35" s="72"/>
      <c r="BC35" s="72"/>
      <c r="BD35" s="72"/>
      <c r="BE35" s="72"/>
      <c r="BF35" s="72"/>
      <c r="BG35" s="72"/>
      <c r="BH35" s="81"/>
      <c r="BI35" s="81"/>
      <c r="BJ35" s="81"/>
      <c r="BK35" s="81"/>
      <c r="BL35" s="81"/>
      <c r="BM35" s="81"/>
      <c r="BN35" s="81"/>
      <c r="BO35" s="81"/>
      <c r="BP35" s="81"/>
      <c r="BQ35" s="82"/>
    </row>
    <row r="36" spans="1:69" s="83" customFormat="1">
      <c r="A36" s="83">
        <v>1</v>
      </c>
      <c r="B36" s="83">
        <v>2</v>
      </c>
      <c r="C36" s="83">
        <v>3</v>
      </c>
      <c r="D36" s="83">
        <v>4</v>
      </c>
      <c r="E36" s="83">
        <v>5</v>
      </c>
      <c r="F36" s="83">
        <v>6</v>
      </c>
      <c r="G36" s="83">
        <v>7</v>
      </c>
      <c r="H36" s="83">
        <v>8</v>
      </c>
      <c r="I36" s="83">
        <v>9</v>
      </c>
      <c r="J36" s="83">
        <v>10</v>
      </c>
      <c r="K36" s="83">
        <v>11</v>
      </c>
      <c r="L36" s="83">
        <v>12</v>
      </c>
      <c r="M36" s="83">
        <v>13</v>
      </c>
      <c r="N36" s="83">
        <v>14</v>
      </c>
      <c r="O36" s="83">
        <v>15</v>
      </c>
      <c r="P36" s="83">
        <v>16</v>
      </c>
      <c r="Q36" s="83">
        <v>17</v>
      </c>
      <c r="R36" s="83">
        <v>18</v>
      </c>
      <c r="S36" s="83">
        <v>19</v>
      </c>
      <c r="T36" s="83">
        <v>20</v>
      </c>
      <c r="U36" s="83">
        <v>21</v>
      </c>
      <c r="V36" s="83">
        <v>22</v>
      </c>
      <c r="W36" s="83">
        <v>23</v>
      </c>
      <c r="X36" s="83">
        <v>24</v>
      </c>
      <c r="Y36" s="83">
        <v>25</v>
      </c>
      <c r="Z36" s="83">
        <v>26</v>
      </c>
      <c r="AA36" s="83">
        <v>27</v>
      </c>
      <c r="AB36" s="83">
        <v>28</v>
      </c>
      <c r="AC36" s="83">
        <v>29</v>
      </c>
      <c r="AD36" s="83">
        <v>30</v>
      </c>
      <c r="AE36" s="83">
        <v>31</v>
      </c>
      <c r="AF36" s="83">
        <v>32</v>
      </c>
      <c r="AG36" s="83">
        <v>33</v>
      </c>
      <c r="AJ36" s="83">
        <v>1</v>
      </c>
      <c r="AK36" s="83">
        <v>2</v>
      </c>
      <c r="AL36" s="83">
        <v>3</v>
      </c>
      <c r="AM36" s="83">
        <v>4</v>
      </c>
      <c r="AN36" s="83">
        <v>5</v>
      </c>
      <c r="AO36" s="83">
        <v>6</v>
      </c>
      <c r="AP36" s="83">
        <v>7</v>
      </c>
      <c r="AQ36" s="83">
        <v>8</v>
      </c>
      <c r="AR36" s="83">
        <v>9</v>
      </c>
      <c r="AS36" s="83">
        <v>10</v>
      </c>
      <c r="AT36" s="83">
        <v>11</v>
      </c>
      <c r="AU36" s="83">
        <v>12</v>
      </c>
      <c r="AV36" s="83">
        <v>13</v>
      </c>
      <c r="AW36" s="83">
        <v>14</v>
      </c>
      <c r="AX36" s="83">
        <v>15</v>
      </c>
      <c r="AY36" s="83">
        <v>16</v>
      </c>
      <c r="AZ36" s="83">
        <v>17</v>
      </c>
      <c r="BA36" s="83">
        <v>18</v>
      </c>
      <c r="BH36" s="83">
        <v>19</v>
      </c>
      <c r="BI36" s="83">
        <v>20</v>
      </c>
      <c r="BJ36" s="83">
        <v>21</v>
      </c>
      <c r="BK36" s="83">
        <v>22</v>
      </c>
      <c r="BL36" s="83">
        <v>23</v>
      </c>
      <c r="BM36" s="83">
        <v>24</v>
      </c>
      <c r="BN36" s="83">
        <v>25</v>
      </c>
      <c r="BO36" s="83">
        <v>26</v>
      </c>
      <c r="BP36" s="83">
        <v>27</v>
      </c>
    </row>
    <row r="37" spans="1:69" ht="23.25">
      <c r="A37" s="84" t="s">
        <v>204</v>
      </c>
      <c r="C37" s="85"/>
    </row>
    <row r="38" spans="1:69">
      <c r="A38" s="86"/>
      <c r="B38" s="86"/>
      <c r="C38" s="60" t="s">
        <v>205</v>
      </c>
    </row>
    <row r="39" spans="1:69">
      <c r="A39" s="87"/>
      <c r="B39" s="87"/>
      <c r="C39" s="60" t="s">
        <v>206</v>
      </c>
    </row>
    <row r="40" spans="1:69">
      <c r="A40" s="88"/>
      <c r="B40" s="88"/>
      <c r="C40" s="60" t="s">
        <v>207</v>
      </c>
    </row>
    <row r="41" spans="1:69">
      <c r="A41" s="89"/>
      <c r="B41" s="89"/>
      <c r="C41" s="60" t="s">
        <v>208</v>
      </c>
    </row>
  </sheetData>
  <sortState xmlns:xlrd2="http://schemas.microsoft.com/office/spreadsheetml/2017/richdata2" ref="B4:BQ33">
    <sortCondition ref="AA4:AA33"/>
  </sortState>
  <mergeCells count="36">
    <mergeCell ref="A34:C34"/>
    <mergeCell ref="AJ34:AL34"/>
    <mergeCell ref="A35:C35"/>
    <mergeCell ref="AJ35:AL35"/>
    <mergeCell ref="AF2:AF3"/>
    <mergeCell ref="AG2:AG3"/>
    <mergeCell ref="AH2:AH3"/>
    <mergeCell ref="AJ2:AJ3"/>
    <mergeCell ref="AK2:AK3"/>
    <mergeCell ref="AL2:AL3"/>
    <mergeCell ref="Z2:Z3"/>
    <mergeCell ref="AA2:AA3"/>
    <mergeCell ref="AB2:AB3"/>
    <mergeCell ref="AC2:AC3"/>
    <mergeCell ref="AD2:AD3"/>
    <mergeCell ref="AE2:AE3"/>
    <mergeCell ref="BL2:BL3"/>
    <mergeCell ref="AM2:AV2"/>
    <mergeCell ref="AW2:AZ2"/>
    <mergeCell ref="BH2:BH3"/>
    <mergeCell ref="BI2:BI3"/>
    <mergeCell ref="BJ2:BJ3"/>
    <mergeCell ref="BK2:BK3"/>
    <mergeCell ref="BB2:BG2"/>
    <mergeCell ref="BM2:BM3"/>
    <mergeCell ref="BN2:BN3"/>
    <mergeCell ref="BO2:BO3"/>
    <mergeCell ref="BP2:BP3"/>
    <mergeCell ref="BQ2:BQ3"/>
    <mergeCell ref="Y2:Y3"/>
    <mergeCell ref="A2:A3"/>
    <mergeCell ref="B2:B3"/>
    <mergeCell ref="C2:C3"/>
    <mergeCell ref="D2:M2"/>
    <mergeCell ref="N2:Q2"/>
    <mergeCell ref="S2:X2"/>
  </mergeCells>
  <conditionalFormatting sqref="B4">
    <cfRule type="duplicateValues" dxfId="384" priority="44"/>
    <cfRule type="duplicateValues" dxfId="383" priority="45"/>
  </conditionalFormatting>
  <conditionalFormatting sqref="B5">
    <cfRule type="duplicateValues" dxfId="382" priority="48"/>
    <cfRule type="duplicateValues" dxfId="381" priority="49"/>
  </conditionalFormatting>
  <conditionalFormatting sqref="B6">
    <cfRule type="duplicateValues" dxfId="380" priority="51"/>
  </conditionalFormatting>
  <conditionalFormatting sqref="B8">
    <cfRule type="duplicateValues" dxfId="379" priority="43"/>
  </conditionalFormatting>
  <conditionalFormatting sqref="B9">
    <cfRule type="duplicateValues" dxfId="378" priority="52"/>
    <cfRule type="duplicateValues" dxfId="377" priority="53"/>
  </conditionalFormatting>
  <conditionalFormatting sqref="B10">
    <cfRule type="duplicateValues" dxfId="376" priority="62"/>
  </conditionalFormatting>
  <conditionalFormatting sqref="B11">
    <cfRule type="duplicateValues" dxfId="375" priority="35"/>
    <cfRule type="duplicateValues" dxfId="374" priority="36"/>
  </conditionalFormatting>
  <conditionalFormatting sqref="B12">
    <cfRule type="duplicateValues" dxfId="373" priority="58"/>
    <cfRule type="duplicateValues" dxfId="372" priority="59"/>
  </conditionalFormatting>
  <conditionalFormatting sqref="B13">
    <cfRule type="duplicateValues" dxfId="371" priority="46"/>
    <cfRule type="duplicateValues" dxfId="370" priority="47"/>
  </conditionalFormatting>
  <conditionalFormatting sqref="B14">
    <cfRule type="duplicateValues" dxfId="369" priority="64"/>
  </conditionalFormatting>
  <conditionalFormatting sqref="B15">
    <cfRule type="duplicateValues" dxfId="368" priority="63"/>
  </conditionalFormatting>
  <conditionalFormatting sqref="B16">
    <cfRule type="duplicateValues" dxfId="367" priority="65"/>
    <cfRule type="duplicateValues" dxfId="366" priority="66"/>
  </conditionalFormatting>
  <conditionalFormatting sqref="B17">
    <cfRule type="duplicateValues" dxfId="365" priority="41"/>
    <cfRule type="duplicateValues" dxfId="364" priority="42"/>
  </conditionalFormatting>
  <conditionalFormatting sqref="B18">
    <cfRule type="duplicateValues" dxfId="363" priority="50"/>
  </conditionalFormatting>
  <conditionalFormatting sqref="B19">
    <cfRule type="duplicateValues" dxfId="362" priority="37"/>
    <cfRule type="duplicateValues" dxfId="361" priority="38"/>
  </conditionalFormatting>
  <conditionalFormatting sqref="B20">
    <cfRule type="duplicateValues" dxfId="360" priority="39"/>
    <cfRule type="duplicateValues" dxfId="359" priority="40"/>
  </conditionalFormatting>
  <conditionalFormatting sqref="B21">
    <cfRule type="duplicateValues" dxfId="358" priority="60"/>
    <cfRule type="duplicateValues" dxfId="357" priority="61"/>
  </conditionalFormatting>
  <conditionalFormatting sqref="B22">
    <cfRule type="duplicateValues" dxfId="356" priority="54"/>
    <cfRule type="duplicateValues" dxfId="355" priority="55"/>
  </conditionalFormatting>
  <conditionalFormatting sqref="B23">
    <cfRule type="duplicateValues" dxfId="354" priority="56"/>
    <cfRule type="duplicateValues" dxfId="353" priority="57"/>
  </conditionalFormatting>
  <conditionalFormatting sqref="B24:B33">
    <cfRule type="duplicateValues" dxfId="352" priority="69"/>
    <cfRule type="duplicateValues" dxfId="351" priority="70"/>
  </conditionalFormatting>
  <conditionalFormatting sqref="D4:X33">
    <cfRule type="cellIs" dxfId="350" priority="67" operator="lessThanOrEqual">
      <formula>59</formula>
    </cfRule>
  </conditionalFormatting>
  <conditionalFormatting sqref="Z4:Z33">
    <cfRule type="cellIs" dxfId="349" priority="68" operator="lessThan">
      <formula>60</formula>
    </cfRule>
  </conditionalFormatting>
  <conditionalFormatting sqref="AA4:AA33">
    <cfRule type="duplicateValues" dxfId="348" priority="71"/>
    <cfRule type="duplicateValues" dxfId="347" priority="72"/>
    <cfRule type="duplicateValues" dxfId="346" priority="73"/>
  </conditionalFormatting>
  <conditionalFormatting sqref="AK4">
    <cfRule type="duplicateValues" dxfId="345" priority="10"/>
    <cfRule type="duplicateValues" dxfId="344" priority="11"/>
  </conditionalFormatting>
  <conditionalFormatting sqref="AK5">
    <cfRule type="duplicateValues" dxfId="343" priority="14"/>
    <cfRule type="duplicateValues" dxfId="342" priority="15"/>
  </conditionalFormatting>
  <conditionalFormatting sqref="AK6">
    <cfRule type="duplicateValues" dxfId="341" priority="17"/>
  </conditionalFormatting>
  <conditionalFormatting sqref="AK8">
    <cfRule type="duplicateValues" dxfId="340" priority="9"/>
  </conditionalFormatting>
  <conditionalFormatting sqref="AK9">
    <cfRule type="duplicateValues" dxfId="339" priority="18"/>
    <cfRule type="duplicateValues" dxfId="338" priority="19"/>
  </conditionalFormatting>
  <conditionalFormatting sqref="AK10">
    <cfRule type="duplicateValues" dxfId="337" priority="28"/>
  </conditionalFormatting>
  <conditionalFormatting sqref="AK11">
    <cfRule type="duplicateValues" dxfId="336" priority="1"/>
    <cfRule type="duplicateValues" dxfId="335" priority="2"/>
  </conditionalFormatting>
  <conditionalFormatting sqref="AK12">
    <cfRule type="duplicateValues" dxfId="334" priority="24"/>
    <cfRule type="duplicateValues" dxfId="333" priority="25"/>
  </conditionalFormatting>
  <conditionalFormatting sqref="AK13">
    <cfRule type="duplicateValues" dxfId="332" priority="12"/>
    <cfRule type="duplicateValues" dxfId="331" priority="13"/>
  </conditionalFormatting>
  <conditionalFormatting sqref="AK14">
    <cfRule type="duplicateValues" dxfId="330" priority="30"/>
  </conditionalFormatting>
  <conditionalFormatting sqref="AK15">
    <cfRule type="duplicateValues" dxfId="329" priority="29"/>
  </conditionalFormatting>
  <conditionalFormatting sqref="AK16">
    <cfRule type="duplicateValues" dxfId="328" priority="31"/>
    <cfRule type="duplicateValues" dxfId="327" priority="32"/>
  </conditionalFormatting>
  <conditionalFormatting sqref="AK17">
    <cfRule type="duplicateValues" dxfId="326" priority="7"/>
    <cfRule type="duplicateValues" dxfId="325" priority="8"/>
  </conditionalFormatting>
  <conditionalFormatting sqref="AK18">
    <cfRule type="duplicateValues" dxfId="324" priority="16"/>
  </conditionalFormatting>
  <conditionalFormatting sqref="AK19">
    <cfRule type="duplicateValues" dxfId="323" priority="3"/>
    <cfRule type="duplicateValues" dxfId="322" priority="4"/>
  </conditionalFormatting>
  <conditionalFormatting sqref="AK20">
    <cfRule type="duplicateValues" dxfId="321" priority="5"/>
    <cfRule type="duplicateValues" dxfId="320" priority="6"/>
  </conditionalFormatting>
  <conditionalFormatting sqref="AK21">
    <cfRule type="duplicateValues" dxfId="319" priority="26"/>
    <cfRule type="duplicateValues" dxfId="318" priority="27"/>
  </conditionalFormatting>
  <conditionalFormatting sqref="AK22">
    <cfRule type="duplicateValues" dxfId="317" priority="20"/>
    <cfRule type="duplicateValues" dxfId="316" priority="21"/>
  </conditionalFormatting>
  <conditionalFormatting sqref="AK23">
    <cfRule type="duplicateValues" dxfId="315" priority="22"/>
    <cfRule type="duplicateValues" dxfId="314" priority="23"/>
  </conditionalFormatting>
  <conditionalFormatting sqref="AK24:AK33">
    <cfRule type="duplicateValues" dxfId="313" priority="74"/>
    <cfRule type="duplicateValues" dxfId="312" priority="75"/>
  </conditionalFormatting>
  <conditionalFormatting sqref="AM4:BG33">
    <cfRule type="cellIs" dxfId="311" priority="33" operator="lessThanOrEqual">
      <formula>59</formula>
    </cfRule>
  </conditionalFormatting>
  <conditionalFormatting sqref="BI4:BI33">
    <cfRule type="cellIs" dxfId="310" priority="34" operator="lessThan">
      <formula>60</formula>
    </cfRule>
  </conditionalFormatting>
  <conditionalFormatting sqref="BJ4:BJ33">
    <cfRule type="duplicateValues" dxfId="309" priority="76"/>
    <cfRule type="duplicateValues" dxfId="308" priority="77"/>
    <cfRule type="duplicateValues" dxfId="307" priority="78"/>
  </conditionalFormatting>
  <printOptions horizontalCentered="1"/>
  <pageMargins left="0.63" right="0.2" top="0.74803149606299202" bottom="0.38" header="0.31496062992126" footer="0.31496062992126"/>
  <pageSetup paperSize="10000" scale="80" orientation="landscape" horizontalDpi="203" verticalDpi="203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B12C2-A61C-48AC-9256-B7A23D817AB9}">
  <sheetPr codeName="Sheet17">
    <tabColor theme="1" tint="0.499984740745262"/>
  </sheetPr>
  <dimension ref="A1:BQ41"/>
  <sheetViews>
    <sheetView zoomScale="55" zoomScaleNormal="55" workbookViewId="0">
      <selection activeCell="AI14" sqref="AI14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24" width="5.42578125" style="60" customWidth="1"/>
    <col min="25" max="27" width="7.140625" style="60" customWidth="1"/>
    <col min="28" max="30" width="5.42578125" style="60" customWidth="1"/>
    <col min="31" max="34" width="5.28515625" style="60" customWidth="1"/>
    <col min="35" max="35" width="9.140625" style="60"/>
    <col min="36" max="36" width="9.28515625" style="60" bestFit="1" customWidth="1"/>
    <col min="37" max="37" width="10.42578125" style="60" bestFit="1" customWidth="1"/>
    <col min="38" max="38" width="34.85546875" style="60" bestFit="1" customWidth="1"/>
    <col min="39" max="41" width="9.28515625" style="60" bestFit="1" customWidth="1"/>
    <col min="42" max="16384" width="9.140625" style="60"/>
  </cols>
  <sheetData>
    <row r="1" spans="1:69" ht="23.25">
      <c r="A1" s="85" t="s">
        <v>586</v>
      </c>
      <c r="AJ1" s="85" t="s">
        <v>586</v>
      </c>
    </row>
    <row r="2" spans="1:69" ht="15.75" customHeight="1">
      <c r="A2" s="281" t="s">
        <v>151</v>
      </c>
      <c r="B2" s="281" t="s">
        <v>152</v>
      </c>
      <c r="C2" s="281" t="s">
        <v>0</v>
      </c>
      <c r="D2" s="273" t="s">
        <v>153</v>
      </c>
      <c r="E2" s="273"/>
      <c r="F2" s="273"/>
      <c r="G2" s="273"/>
      <c r="H2" s="273"/>
      <c r="I2" s="273"/>
      <c r="J2" s="273"/>
      <c r="K2" s="273"/>
      <c r="L2" s="273"/>
      <c r="M2" s="273"/>
      <c r="N2" s="428" t="s">
        <v>316</v>
      </c>
      <c r="O2" s="286"/>
      <c r="P2" s="286"/>
      <c r="Q2" s="286"/>
      <c r="R2" s="229"/>
      <c r="S2" s="283" t="s">
        <v>798</v>
      </c>
      <c r="T2" s="284"/>
      <c r="U2" s="284"/>
      <c r="V2" s="284"/>
      <c r="W2" s="284"/>
      <c r="X2" s="285"/>
      <c r="Y2" s="276" t="s">
        <v>155</v>
      </c>
      <c r="Z2" s="276" t="s">
        <v>156</v>
      </c>
      <c r="AA2" s="276" t="s">
        <v>157</v>
      </c>
      <c r="AB2" s="270" t="s">
        <v>158</v>
      </c>
      <c r="AC2" s="270" t="s">
        <v>159</v>
      </c>
      <c r="AD2" s="270" t="s">
        <v>160</v>
      </c>
      <c r="AE2" s="278" t="s">
        <v>161</v>
      </c>
      <c r="AF2" s="278" t="s">
        <v>162</v>
      </c>
      <c r="AG2" s="278" t="s">
        <v>163</v>
      </c>
      <c r="AH2" s="280" t="s">
        <v>164</v>
      </c>
      <c r="AJ2" s="281" t="s">
        <v>151</v>
      </c>
      <c r="AK2" s="281" t="s">
        <v>152</v>
      </c>
      <c r="AL2" s="281" t="s">
        <v>0</v>
      </c>
      <c r="AM2" s="273" t="s">
        <v>153</v>
      </c>
      <c r="AN2" s="273"/>
      <c r="AO2" s="273"/>
      <c r="AP2" s="273"/>
      <c r="AQ2" s="273"/>
      <c r="AR2" s="273"/>
      <c r="AS2" s="273"/>
      <c r="AT2" s="273"/>
      <c r="AU2" s="273"/>
      <c r="AV2" s="273"/>
      <c r="AW2" s="426" t="s">
        <v>316</v>
      </c>
      <c r="AX2" s="426"/>
      <c r="AY2" s="426"/>
      <c r="AZ2" s="426"/>
      <c r="BA2" s="104"/>
      <c r="BB2" s="239"/>
      <c r="BC2" s="230"/>
      <c r="BD2" s="230"/>
      <c r="BE2" s="230"/>
      <c r="BF2" s="230"/>
      <c r="BG2" s="231"/>
      <c r="BH2" s="276" t="s">
        <v>155</v>
      </c>
      <c r="BI2" s="276" t="s">
        <v>156</v>
      </c>
      <c r="BJ2" s="276" t="s">
        <v>157</v>
      </c>
      <c r="BK2" s="270" t="s">
        <v>158</v>
      </c>
      <c r="BL2" s="270" t="s">
        <v>159</v>
      </c>
      <c r="BM2" s="270" t="s">
        <v>160</v>
      </c>
      <c r="BN2" s="278" t="s">
        <v>161</v>
      </c>
      <c r="BO2" s="278" t="s">
        <v>162</v>
      </c>
      <c r="BP2" s="278" t="s">
        <v>163</v>
      </c>
      <c r="BQ2" s="280" t="s">
        <v>164</v>
      </c>
    </row>
    <row r="3" spans="1:69" ht="65.25">
      <c r="A3" s="282"/>
      <c r="B3" s="282"/>
      <c r="C3" s="282"/>
      <c r="D3" s="63" t="s">
        <v>118</v>
      </c>
      <c r="E3" s="63" t="s">
        <v>22</v>
      </c>
      <c r="F3" s="63" t="s">
        <v>55</v>
      </c>
      <c r="G3" s="63" t="s">
        <v>167</v>
      </c>
      <c r="H3" s="63" t="s">
        <v>168</v>
      </c>
      <c r="I3" s="63" t="s">
        <v>111</v>
      </c>
      <c r="J3" s="63" t="s">
        <v>171</v>
      </c>
      <c r="K3" s="63" t="s">
        <v>96</v>
      </c>
      <c r="L3" s="63" t="s">
        <v>14</v>
      </c>
      <c r="M3" s="63" t="s">
        <v>120</v>
      </c>
      <c r="N3" s="64" t="s">
        <v>103</v>
      </c>
      <c r="O3" s="64" t="s">
        <v>14</v>
      </c>
      <c r="P3" s="64" t="s">
        <v>120</v>
      </c>
      <c r="Q3" s="64" t="s">
        <v>34</v>
      </c>
      <c r="R3" s="64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277"/>
      <c r="Z3" s="277"/>
      <c r="AA3" s="277"/>
      <c r="AB3" s="271"/>
      <c r="AC3" s="271"/>
      <c r="AD3" s="271"/>
      <c r="AE3" s="279"/>
      <c r="AF3" s="279"/>
      <c r="AG3" s="279"/>
      <c r="AH3" s="280"/>
      <c r="AJ3" s="282"/>
      <c r="AK3" s="282"/>
      <c r="AL3" s="282"/>
      <c r="AM3" s="63" t="s">
        <v>118</v>
      </c>
      <c r="AN3" s="63" t="s">
        <v>22</v>
      </c>
      <c r="AO3" s="63" t="s">
        <v>55</v>
      </c>
      <c r="AP3" s="63" t="s">
        <v>167</v>
      </c>
      <c r="AQ3" s="63" t="s">
        <v>168</v>
      </c>
      <c r="AR3" s="63" t="s">
        <v>111</v>
      </c>
      <c r="AS3" s="63" t="s">
        <v>171</v>
      </c>
      <c r="AT3" s="63" t="s">
        <v>96</v>
      </c>
      <c r="AU3" s="63" t="s">
        <v>14</v>
      </c>
      <c r="AV3" s="63" t="s">
        <v>120</v>
      </c>
      <c r="AW3" s="98" t="s">
        <v>103</v>
      </c>
      <c r="AX3" s="98" t="s">
        <v>14</v>
      </c>
      <c r="AY3" s="98" t="s">
        <v>120</v>
      </c>
      <c r="AZ3" s="98" t="s">
        <v>34</v>
      </c>
      <c r="BA3" s="238" t="s">
        <v>22</v>
      </c>
      <c r="BB3" s="232" t="s">
        <v>799</v>
      </c>
      <c r="BC3" s="232" t="s">
        <v>800</v>
      </c>
      <c r="BD3" s="232" t="s">
        <v>801</v>
      </c>
      <c r="BE3" s="232" t="s">
        <v>802</v>
      </c>
      <c r="BF3" s="232" t="s">
        <v>803</v>
      </c>
      <c r="BG3" s="232" t="s">
        <v>804</v>
      </c>
      <c r="BH3" s="277"/>
      <c r="BI3" s="277"/>
      <c r="BJ3" s="277"/>
      <c r="BK3" s="271"/>
      <c r="BL3" s="271"/>
      <c r="BM3" s="271"/>
      <c r="BN3" s="279"/>
      <c r="BO3" s="279"/>
      <c r="BP3" s="279"/>
      <c r="BQ3" s="280"/>
    </row>
    <row r="4" spans="1:69" ht="27.95" customHeight="1">
      <c r="A4" s="141">
        <v>1</v>
      </c>
      <c r="B4" s="141">
        <v>24250060</v>
      </c>
      <c r="C4" s="148" t="s">
        <v>645</v>
      </c>
      <c r="D4" s="68">
        <f t="shared" ref="D4:D33" si="0">ROUND(IF(AM4=0,0,MIN(MAX(AM4,40),99)),0)</f>
        <v>99</v>
      </c>
      <c r="E4" s="68">
        <f t="shared" ref="E4:E33" si="1">ROUND(IF(AN4=0,0,MIN(MAX(AN4,40),99)),0)</f>
        <v>99</v>
      </c>
      <c r="F4" s="68">
        <f t="shared" ref="F4:F33" si="2">ROUND(IF(AO4=0,0,MIN(MAX(AO4,40),99)),0)</f>
        <v>99</v>
      </c>
      <c r="G4" s="68">
        <f t="shared" ref="G4:G33" si="3">ROUND(IF(AP4=0,0,MIN(MAX(AP4,40),99)),0)</f>
        <v>95</v>
      </c>
      <c r="H4" s="68">
        <f t="shared" ref="H4:H33" si="4">ROUND(IF(AQ4=0,0,MIN(MAX(AQ4,40),99)),0)</f>
        <v>93</v>
      </c>
      <c r="I4" s="68">
        <f t="shared" ref="I4:I33" si="5">ROUND(IF(AR4=0,0,MIN(MAX(AR4,40),99)),0)</f>
        <v>97</v>
      </c>
      <c r="J4" s="68">
        <f t="shared" ref="J4:J33" si="6">ROUND(IF(AS4=0,0,MIN(MAX(AS4,40),99)),0)</f>
        <v>92</v>
      </c>
      <c r="K4" s="68">
        <f t="shared" ref="K4:K33" si="7">ROUND(IF(AT4=0,0,MIN(MAX(AT4,40),99)),0)</f>
        <v>95</v>
      </c>
      <c r="L4" s="68">
        <f t="shared" ref="L4:L33" si="8">ROUND(IF(AU4=0,0,MIN(MAX(AU4,40),99)),0)</f>
        <v>99</v>
      </c>
      <c r="M4" s="68">
        <f t="shared" ref="M4:M33" si="9">ROUND(IF(AV4=0,0,MIN(MAX(AV4,40),99)),0)</f>
        <v>97</v>
      </c>
      <c r="N4" s="69">
        <f t="shared" ref="N4:N33" si="10">ROUND(IF(AW4=0,0,MIN(MAX(AW4,40),99)),0)</f>
        <v>99</v>
      </c>
      <c r="O4" s="69">
        <f t="shared" ref="O4:O33" si="11">ROUND(IF(AX4=0,0,MIN(MAX(AX4,40),99)),0)</f>
        <v>99</v>
      </c>
      <c r="P4" s="69">
        <f t="shared" ref="P4:P33" si="12">ROUND(IF(AY4=0,0,MIN(MAX(AY4,40),99)),0)</f>
        <v>99</v>
      </c>
      <c r="Q4" s="69">
        <f t="shared" ref="Q4:Q33" si="13">ROUND(IF(AZ4=0,0,MIN(MAX(AZ4,40),99)),0)</f>
        <v>99</v>
      </c>
      <c r="R4" s="69">
        <f t="shared" ref="R4:R33" si="14">ROUND(IF(BA4=0,0,MIN(MAX(BA4,40),99)),0)</f>
        <v>99</v>
      </c>
      <c r="S4" s="234">
        <f t="shared" ref="S4:S33" si="15">ROUND(IF(BB4=0,0,MIN(MAX(BB4,40),99)),0)</f>
        <v>75</v>
      </c>
      <c r="T4" s="234">
        <f t="shared" ref="T4:T33" si="16">ROUND(IF(BC4=0,0,MIN(MAX(BC4,40),99)),0)</f>
        <v>85</v>
      </c>
      <c r="U4" s="234">
        <f t="shared" ref="U4:U33" si="17">ROUND(IF(BD4=0,0,MIN(MAX(BD4,40),99)),0)</f>
        <v>70</v>
      </c>
      <c r="V4" s="234">
        <f t="shared" ref="V4:V33" si="18">ROUND(IF(BE4=0,0,MIN(MAX(BE4,40),99)),0)</f>
        <v>75</v>
      </c>
      <c r="W4" s="234">
        <f t="shared" ref="W4:W33" si="19">ROUND(IF(BF4=0,0,MIN(MAX(BF4,40),99)),0)</f>
        <v>75</v>
      </c>
      <c r="X4" s="234">
        <f t="shared" ref="X4:X33" si="20">ROUND(IF(BG4=0,0,MIN(MAX(BG4,40),99)),0)</f>
        <v>75</v>
      </c>
      <c r="Y4" s="70">
        <f t="shared" ref="Y4:Y33" si="21">SUM(D4:R4)</f>
        <v>1460</v>
      </c>
      <c r="Z4" s="71">
        <f t="shared" ref="Z4:Z33" si="22">AVERAGE(D4:R4)</f>
        <v>97.333333333333329</v>
      </c>
      <c r="AA4" s="101">
        <f t="shared" ref="AA4:AA33" si="23">RANK(Y4,$Y$4:$Y$33)</f>
        <v>1</v>
      </c>
      <c r="AB4" s="73" t="s">
        <v>805</v>
      </c>
      <c r="AC4" s="73" t="s">
        <v>805</v>
      </c>
      <c r="AD4" s="73" t="s">
        <v>805</v>
      </c>
      <c r="AE4" s="74">
        <v>0</v>
      </c>
      <c r="AF4" s="74">
        <v>0</v>
      </c>
      <c r="AG4" s="74">
        <v>0</v>
      </c>
      <c r="AH4" s="75"/>
      <c r="AJ4" s="141">
        <v>31</v>
      </c>
      <c r="AK4" s="141">
        <v>24250060</v>
      </c>
      <c r="AL4" s="148" t="s">
        <v>645</v>
      </c>
      <c r="AM4" s="235">
        <v>100</v>
      </c>
      <c r="AN4" s="237">
        <v>98.5</v>
      </c>
      <c r="AO4" s="235">
        <v>99</v>
      </c>
      <c r="AP4" s="235">
        <v>95</v>
      </c>
      <c r="AQ4" s="235">
        <v>92.8</v>
      </c>
      <c r="AR4" s="235">
        <v>97</v>
      </c>
      <c r="AS4" s="235">
        <v>91.699999999999989</v>
      </c>
      <c r="AT4" s="235">
        <v>95</v>
      </c>
      <c r="AU4" s="235">
        <v>99.7</v>
      </c>
      <c r="AV4" s="235">
        <v>97</v>
      </c>
      <c r="AW4" s="76">
        <v>100</v>
      </c>
      <c r="AX4" s="76">
        <v>100</v>
      </c>
      <c r="AY4" s="76">
        <v>99</v>
      </c>
      <c r="AZ4" s="76">
        <v>99</v>
      </c>
      <c r="BA4" s="76">
        <v>100</v>
      </c>
      <c r="BB4" s="76">
        <v>75</v>
      </c>
      <c r="BC4" s="76">
        <v>85</v>
      </c>
      <c r="BD4" s="76">
        <v>70</v>
      </c>
      <c r="BE4" s="76">
        <v>75</v>
      </c>
      <c r="BF4" s="76">
        <v>75</v>
      </c>
      <c r="BG4" s="76">
        <v>75</v>
      </c>
      <c r="BH4" s="70">
        <f t="shared" ref="BH4:BH33" si="24">SUM(AM4:BA4)</f>
        <v>1463.7</v>
      </c>
      <c r="BI4" s="71">
        <f t="shared" ref="BI4:BI33" si="25">AVERAGE(AM4:BA4)</f>
        <v>97.58</v>
      </c>
      <c r="BJ4" s="101" t="e">
        <f t="shared" ref="BJ4:BJ33" si="26">RANK(BH4,$Y$4:$Y$26)</f>
        <v>#N/A</v>
      </c>
      <c r="BK4" s="73"/>
      <c r="BL4" s="73"/>
      <c r="BM4" s="73"/>
      <c r="BN4" s="74"/>
      <c r="BO4" s="74"/>
      <c r="BP4" s="74"/>
      <c r="BQ4" s="75"/>
    </row>
    <row r="5" spans="1:69" ht="27.95" customHeight="1">
      <c r="A5" s="141">
        <v>2</v>
      </c>
      <c r="B5" s="141">
        <v>24250033</v>
      </c>
      <c r="C5" s="148" t="s">
        <v>624</v>
      </c>
      <c r="D5" s="68">
        <f t="shared" si="0"/>
        <v>98</v>
      </c>
      <c r="E5" s="68">
        <f t="shared" si="1"/>
        <v>99</v>
      </c>
      <c r="F5" s="68">
        <f t="shared" si="2"/>
        <v>90</v>
      </c>
      <c r="G5" s="68">
        <f t="shared" si="3"/>
        <v>95</v>
      </c>
      <c r="H5" s="68">
        <f t="shared" si="4"/>
        <v>89</v>
      </c>
      <c r="I5" s="68">
        <f t="shared" si="5"/>
        <v>94</v>
      </c>
      <c r="J5" s="68">
        <f t="shared" si="6"/>
        <v>91</v>
      </c>
      <c r="K5" s="68">
        <f t="shared" si="7"/>
        <v>95</v>
      </c>
      <c r="L5" s="68">
        <f t="shared" si="8"/>
        <v>99</v>
      </c>
      <c r="M5" s="68">
        <f t="shared" si="9"/>
        <v>98</v>
      </c>
      <c r="N5" s="69">
        <f t="shared" si="10"/>
        <v>99</v>
      </c>
      <c r="O5" s="69">
        <f t="shared" si="11"/>
        <v>99</v>
      </c>
      <c r="P5" s="69">
        <f t="shared" si="12"/>
        <v>90</v>
      </c>
      <c r="Q5" s="69">
        <f t="shared" si="13"/>
        <v>98</v>
      </c>
      <c r="R5" s="69">
        <f t="shared" si="14"/>
        <v>99</v>
      </c>
      <c r="S5" s="234">
        <f t="shared" si="15"/>
        <v>75</v>
      </c>
      <c r="T5" s="234">
        <f t="shared" si="16"/>
        <v>95</v>
      </c>
      <c r="U5" s="234">
        <f t="shared" si="17"/>
        <v>58</v>
      </c>
      <c r="V5" s="234">
        <f t="shared" si="18"/>
        <v>75</v>
      </c>
      <c r="W5" s="234">
        <f t="shared" si="19"/>
        <v>75</v>
      </c>
      <c r="X5" s="234">
        <f t="shared" si="20"/>
        <v>65</v>
      </c>
      <c r="Y5" s="70">
        <f t="shared" si="21"/>
        <v>1433</v>
      </c>
      <c r="Z5" s="71">
        <f t="shared" si="22"/>
        <v>95.533333333333331</v>
      </c>
      <c r="AA5" s="101">
        <f t="shared" si="23"/>
        <v>2</v>
      </c>
      <c r="AB5" s="73" t="s">
        <v>805</v>
      </c>
      <c r="AC5" s="73" t="s">
        <v>805</v>
      </c>
      <c r="AD5" s="73" t="s">
        <v>805</v>
      </c>
      <c r="AE5" s="74">
        <v>0</v>
      </c>
      <c r="AF5" s="74">
        <v>0</v>
      </c>
      <c r="AG5" s="74">
        <v>0</v>
      </c>
      <c r="AH5" s="75"/>
      <c r="AJ5" s="141">
        <v>9</v>
      </c>
      <c r="AK5" s="141">
        <v>24250033</v>
      </c>
      <c r="AL5" s="148" t="s">
        <v>624</v>
      </c>
      <c r="AM5" s="235">
        <v>97.5</v>
      </c>
      <c r="AN5" s="237">
        <v>98.5</v>
      </c>
      <c r="AO5" s="235">
        <v>90</v>
      </c>
      <c r="AP5" s="235">
        <v>95.4</v>
      </c>
      <c r="AQ5" s="235">
        <v>89.3</v>
      </c>
      <c r="AR5" s="235">
        <v>94</v>
      </c>
      <c r="AS5" s="235">
        <v>91.399999999999991</v>
      </c>
      <c r="AT5" s="235">
        <v>95</v>
      </c>
      <c r="AU5" s="235">
        <v>98.8</v>
      </c>
      <c r="AV5" s="235">
        <v>98.1</v>
      </c>
      <c r="AW5" s="76">
        <v>100</v>
      </c>
      <c r="AX5" s="76">
        <v>100</v>
      </c>
      <c r="AY5" s="76">
        <v>90</v>
      </c>
      <c r="AZ5" s="76">
        <v>98</v>
      </c>
      <c r="BA5" s="76">
        <v>100</v>
      </c>
      <c r="BB5" s="76">
        <v>75</v>
      </c>
      <c r="BC5" s="76">
        <v>95</v>
      </c>
      <c r="BD5" s="76">
        <v>57.5</v>
      </c>
      <c r="BE5" s="76">
        <v>75</v>
      </c>
      <c r="BF5" s="76">
        <v>75</v>
      </c>
      <c r="BG5" s="76">
        <v>65</v>
      </c>
      <c r="BH5" s="70">
        <f t="shared" si="24"/>
        <v>1436</v>
      </c>
      <c r="BI5" s="71">
        <f t="shared" si="25"/>
        <v>95.733333333333334</v>
      </c>
      <c r="BJ5" s="101" t="e">
        <f t="shared" si="26"/>
        <v>#N/A</v>
      </c>
      <c r="BK5" s="73"/>
      <c r="BL5" s="73"/>
      <c r="BM5" s="73"/>
      <c r="BN5" s="74"/>
      <c r="BO5" s="74"/>
      <c r="BP5" s="74"/>
      <c r="BQ5" s="75"/>
    </row>
    <row r="6" spans="1:69" ht="27.95" customHeight="1">
      <c r="A6" s="141">
        <v>3</v>
      </c>
      <c r="B6" s="141">
        <v>24250104</v>
      </c>
      <c r="C6" s="148" t="s">
        <v>630</v>
      </c>
      <c r="D6" s="68">
        <f t="shared" si="0"/>
        <v>88</v>
      </c>
      <c r="E6" s="68">
        <f t="shared" si="1"/>
        <v>99</v>
      </c>
      <c r="F6" s="68">
        <f t="shared" si="2"/>
        <v>94</v>
      </c>
      <c r="G6" s="68">
        <f t="shared" si="3"/>
        <v>90</v>
      </c>
      <c r="H6" s="68">
        <f t="shared" si="4"/>
        <v>92</v>
      </c>
      <c r="I6" s="68">
        <f t="shared" si="5"/>
        <v>97</v>
      </c>
      <c r="J6" s="68">
        <f t="shared" si="6"/>
        <v>90</v>
      </c>
      <c r="K6" s="68">
        <f t="shared" si="7"/>
        <v>94</v>
      </c>
      <c r="L6" s="68">
        <f t="shared" si="8"/>
        <v>99</v>
      </c>
      <c r="M6" s="68">
        <f t="shared" si="9"/>
        <v>97</v>
      </c>
      <c r="N6" s="69">
        <f t="shared" si="10"/>
        <v>99</v>
      </c>
      <c r="O6" s="69">
        <f t="shared" si="11"/>
        <v>99</v>
      </c>
      <c r="P6" s="69">
        <f t="shared" si="12"/>
        <v>99</v>
      </c>
      <c r="Q6" s="69">
        <f t="shared" si="13"/>
        <v>95</v>
      </c>
      <c r="R6" s="69">
        <f t="shared" si="14"/>
        <v>99</v>
      </c>
      <c r="S6" s="234">
        <f t="shared" si="15"/>
        <v>75</v>
      </c>
      <c r="T6" s="234">
        <f t="shared" si="16"/>
        <v>83</v>
      </c>
      <c r="U6" s="234">
        <f t="shared" si="17"/>
        <v>68</v>
      </c>
      <c r="V6" s="234">
        <f t="shared" si="18"/>
        <v>75</v>
      </c>
      <c r="W6" s="234">
        <f t="shared" si="19"/>
        <v>75</v>
      </c>
      <c r="X6" s="234">
        <f t="shared" si="20"/>
        <v>83</v>
      </c>
      <c r="Y6" s="70">
        <f t="shared" si="21"/>
        <v>1431</v>
      </c>
      <c r="Z6" s="71">
        <f t="shared" si="22"/>
        <v>95.4</v>
      </c>
      <c r="AA6" s="101">
        <f t="shared" si="23"/>
        <v>3</v>
      </c>
      <c r="AB6" s="73" t="s">
        <v>805</v>
      </c>
      <c r="AC6" s="73" t="s">
        <v>805</v>
      </c>
      <c r="AD6" s="73" t="s">
        <v>805</v>
      </c>
      <c r="AE6" s="74">
        <v>0</v>
      </c>
      <c r="AF6" s="74">
        <v>0</v>
      </c>
      <c r="AG6" s="74">
        <v>0</v>
      </c>
      <c r="AH6" s="75"/>
      <c r="AJ6" s="141">
        <v>15</v>
      </c>
      <c r="AK6" s="141">
        <v>24250104</v>
      </c>
      <c r="AL6" s="148" t="s">
        <v>630</v>
      </c>
      <c r="AM6" s="235">
        <v>88</v>
      </c>
      <c r="AN6" s="237">
        <v>98.5</v>
      </c>
      <c r="AO6" s="235">
        <v>94.199999999999989</v>
      </c>
      <c r="AP6" s="235">
        <v>90</v>
      </c>
      <c r="AQ6" s="235">
        <v>91.5</v>
      </c>
      <c r="AR6" s="235">
        <v>97</v>
      </c>
      <c r="AS6" s="235">
        <v>90</v>
      </c>
      <c r="AT6" s="235">
        <v>94</v>
      </c>
      <c r="AU6" s="235">
        <v>99.7</v>
      </c>
      <c r="AV6" s="235">
        <v>96.6</v>
      </c>
      <c r="AW6" s="76">
        <v>100</v>
      </c>
      <c r="AX6" s="76">
        <v>100</v>
      </c>
      <c r="AY6" s="76">
        <v>99</v>
      </c>
      <c r="AZ6" s="76">
        <v>95</v>
      </c>
      <c r="BA6" s="76">
        <v>100</v>
      </c>
      <c r="BB6" s="76">
        <v>75</v>
      </c>
      <c r="BC6" s="76">
        <v>82.5</v>
      </c>
      <c r="BD6" s="76">
        <v>67.5</v>
      </c>
      <c r="BE6" s="76">
        <v>75</v>
      </c>
      <c r="BF6" s="76">
        <v>75</v>
      </c>
      <c r="BG6" s="76">
        <v>82.5</v>
      </c>
      <c r="BH6" s="70">
        <f t="shared" si="24"/>
        <v>1433.5</v>
      </c>
      <c r="BI6" s="71">
        <f t="shared" si="25"/>
        <v>95.566666666666663</v>
      </c>
      <c r="BJ6" s="101" t="e">
        <f t="shared" si="26"/>
        <v>#N/A</v>
      </c>
      <c r="BK6" s="73"/>
      <c r="BL6" s="73"/>
      <c r="BM6" s="73"/>
      <c r="BN6" s="74"/>
      <c r="BO6" s="74"/>
      <c r="BP6" s="74"/>
      <c r="BQ6" s="75"/>
    </row>
    <row r="7" spans="1:69" ht="27.95" customHeight="1">
      <c r="A7" s="141">
        <v>4</v>
      </c>
      <c r="B7" s="141">
        <v>24250039</v>
      </c>
      <c r="C7" s="149" t="s">
        <v>620</v>
      </c>
      <c r="D7" s="68">
        <f t="shared" si="0"/>
        <v>95</v>
      </c>
      <c r="E7" s="68">
        <f t="shared" si="1"/>
        <v>99</v>
      </c>
      <c r="F7" s="68">
        <f t="shared" si="2"/>
        <v>84</v>
      </c>
      <c r="G7" s="68">
        <f t="shared" si="3"/>
        <v>94</v>
      </c>
      <c r="H7" s="68">
        <f t="shared" si="4"/>
        <v>97</v>
      </c>
      <c r="I7" s="68">
        <f t="shared" si="5"/>
        <v>88</v>
      </c>
      <c r="J7" s="68">
        <f t="shared" si="6"/>
        <v>87</v>
      </c>
      <c r="K7" s="68">
        <f t="shared" si="7"/>
        <v>95</v>
      </c>
      <c r="L7" s="68">
        <f t="shared" si="8"/>
        <v>87</v>
      </c>
      <c r="M7" s="68">
        <f t="shared" si="9"/>
        <v>94</v>
      </c>
      <c r="N7" s="69">
        <f t="shared" si="10"/>
        <v>99</v>
      </c>
      <c r="O7" s="69">
        <f t="shared" si="11"/>
        <v>99</v>
      </c>
      <c r="P7" s="69">
        <f t="shared" si="12"/>
        <v>85</v>
      </c>
      <c r="Q7" s="69">
        <f t="shared" si="13"/>
        <v>98</v>
      </c>
      <c r="R7" s="69">
        <f t="shared" si="14"/>
        <v>99</v>
      </c>
      <c r="S7" s="234">
        <f t="shared" si="15"/>
        <v>75</v>
      </c>
      <c r="T7" s="234">
        <f t="shared" si="16"/>
        <v>88</v>
      </c>
      <c r="U7" s="234">
        <f t="shared" si="17"/>
        <v>65</v>
      </c>
      <c r="V7" s="234">
        <f t="shared" si="18"/>
        <v>75</v>
      </c>
      <c r="W7" s="234">
        <f t="shared" si="19"/>
        <v>75</v>
      </c>
      <c r="X7" s="234">
        <f t="shared" si="20"/>
        <v>85</v>
      </c>
      <c r="Y7" s="70">
        <f t="shared" si="21"/>
        <v>1400</v>
      </c>
      <c r="Z7" s="71">
        <f t="shared" si="22"/>
        <v>93.333333333333329</v>
      </c>
      <c r="AA7" s="101">
        <f t="shared" si="23"/>
        <v>4</v>
      </c>
      <c r="AB7" s="73" t="s">
        <v>805</v>
      </c>
      <c r="AC7" s="73" t="s">
        <v>805</v>
      </c>
      <c r="AD7" s="73" t="s">
        <v>805</v>
      </c>
      <c r="AE7" s="74">
        <v>0</v>
      </c>
      <c r="AF7" s="74">
        <v>0</v>
      </c>
      <c r="AG7" s="74">
        <v>0</v>
      </c>
      <c r="AH7" s="75"/>
      <c r="AJ7" s="141">
        <v>4</v>
      </c>
      <c r="AK7" s="141">
        <v>24250039</v>
      </c>
      <c r="AL7" s="149" t="s">
        <v>620</v>
      </c>
      <c r="AM7" s="235">
        <v>95</v>
      </c>
      <c r="AN7" s="237">
        <v>98.5</v>
      </c>
      <c r="AO7" s="235">
        <v>84</v>
      </c>
      <c r="AP7" s="235">
        <v>94.3</v>
      </c>
      <c r="AQ7" s="235">
        <v>96.6</v>
      </c>
      <c r="AR7" s="235">
        <v>88</v>
      </c>
      <c r="AS7" s="235">
        <v>86.6</v>
      </c>
      <c r="AT7" s="235">
        <v>95</v>
      </c>
      <c r="AU7" s="235">
        <v>87</v>
      </c>
      <c r="AV7" s="235">
        <v>93.8</v>
      </c>
      <c r="AW7" s="76">
        <v>100</v>
      </c>
      <c r="AX7" s="76">
        <v>100</v>
      </c>
      <c r="AY7" s="76">
        <v>85</v>
      </c>
      <c r="AZ7" s="76">
        <v>98</v>
      </c>
      <c r="BA7" s="76">
        <v>100</v>
      </c>
      <c r="BB7" s="76">
        <v>75</v>
      </c>
      <c r="BC7" s="76">
        <v>87.5</v>
      </c>
      <c r="BD7" s="76">
        <v>65</v>
      </c>
      <c r="BE7" s="76">
        <v>75</v>
      </c>
      <c r="BF7" s="76">
        <v>75</v>
      </c>
      <c r="BG7" s="76">
        <v>85</v>
      </c>
      <c r="BH7" s="70">
        <f t="shared" si="24"/>
        <v>1401.8</v>
      </c>
      <c r="BI7" s="71">
        <f t="shared" si="25"/>
        <v>93.453333333333333</v>
      </c>
      <c r="BJ7" s="101" t="e">
        <f t="shared" si="26"/>
        <v>#N/A</v>
      </c>
      <c r="BK7" s="73"/>
      <c r="BL7" s="73"/>
      <c r="BM7" s="73"/>
      <c r="BN7" s="74"/>
      <c r="BO7" s="74"/>
      <c r="BP7" s="74"/>
      <c r="BQ7" s="75"/>
    </row>
    <row r="8" spans="1:69" ht="27.95" customHeight="1">
      <c r="A8" s="141">
        <v>5</v>
      </c>
      <c r="B8" s="141">
        <v>24250118</v>
      </c>
      <c r="C8" s="148" t="s">
        <v>631</v>
      </c>
      <c r="D8" s="68">
        <f t="shared" si="0"/>
        <v>99</v>
      </c>
      <c r="E8" s="68">
        <f t="shared" si="1"/>
        <v>99</v>
      </c>
      <c r="F8" s="68">
        <f t="shared" si="2"/>
        <v>87</v>
      </c>
      <c r="G8" s="68">
        <f t="shared" si="3"/>
        <v>86</v>
      </c>
      <c r="H8" s="68">
        <f t="shared" si="4"/>
        <v>94</v>
      </c>
      <c r="I8" s="68">
        <f t="shared" si="5"/>
        <v>94</v>
      </c>
      <c r="J8" s="68">
        <f t="shared" si="6"/>
        <v>77</v>
      </c>
      <c r="K8" s="68">
        <f t="shared" si="7"/>
        <v>69</v>
      </c>
      <c r="L8" s="68">
        <f t="shared" si="8"/>
        <v>97</v>
      </c>
      <c r="M8" s="68">
        <f t="shared" si="9"/>
        <v>97</v>
      </c>
      <c r="N8" s="69">
        <f t="shared" si="10"/>
        <v>99</v>
      </c>
      <c r="O8" s="69">
        <f t="shared" si="11"/>
        <v>99</v>
      </c>
      <c r="P8" s="69">
        <f t="shared" si="12"/>
        <v>90</v>
      </c>
      <c r="Q8" s="69">
        <f t="shared" si="13"/>
        <v>98</v>
      </c>
      <c r="R8" s="69">
        <f t="shared" si="14"/>
        <v>99</v>
      </c>
      <c r="S8" s="234">
        <f t="shared" si="15"/>
        <v>75</v>
      </c>
      <c r="T8" s="234">
        <f t="shared" si="16"/>
        <v>85</v>
      </c>
      <c r="U8" s="234">
        <f t="shared" si="17"/>
        <v>65</v>
      </c>
      <c r="V8" s="234">
        <f t="shared" si="18"/>
        <v>75</v>
      </c>
      <c r="W8" s="234">
        <f t="shared" si="19"/>
        <v>75</v>
      </c>
      <c r="X8" s="234">
        <f t="shared" si="20"/>
        <v>75</v>
      </c>
      <c r="Y8" s="70">
        <f t="shared" si="21"/>
        <v>1384</v>
      </c>
      <c r="Z8" s="71">
        <f t="shared" si="22"/>
        <v>92.266666666666666</v>
      </c>
      <c r="AA8" s="101">
        <f t="shared" si="23"/>
        <v>5</v>
      </c>
      <c r="AB8" s="73" t="s">
        <v>805</v>
      </c>
      <c r="AC8" s="73" t="s">
        <v>805</v>
      </c>
      <c r="AD8" s="73" t="s">
        <v>805</v>
      </c>
      <c r="AE8" s="74">
        <v>0</v>
      </c>
      <c r="AF8" s="74">
        <v>0</v>
      </c>
      <c r="AG8" s="74">
        <v>0</v>
      </c>
      <c r="AH8" s="75"/>
      <c r="AJ8" s="141">
        <v>16</v>
      </c>
      <c r="AK8" s="141">
        <v>24250118</v>
      </c>
      <c r="AL8" s="148" t="s">
        <v>631</v>
      </c>
      <c r="AM8" s="235">
        <v>99</v>
      </c>
      <c r="AN8" s="237">
        <v>98.5</v>
      </c>
      <c r="AO8" s="235">
        <v>87</v>
      </c>
      <c r="AP8" s="235">
        <v>86</v>
      </c>
      <c r="AQ8" s="235">
        <v>94.1</v>
      </c>
      <c r="AR8" s="235">
        <v>94</v>
      </c>
      <c r="AS8" s="235">
        <v>77</v>
      </c>
      <c r="AT8" s="235">
        <v>68.5</v>
      </c>
      <c r="AU8" s="235">
        <v>96.7</v>
      </c>
      <c r="AV8" s="235">
        <v>96.7</v>
      </c>
      <c r="AW8" s="76">
        <v>100</v>
      </c>
      <c r="AX8" s="76">
        <v>100</v>
      </c>
      <c r="AY8" s="76">
        <v>90</v>
      </c>
      <c r="AZ8" s="76">
        <v>98</v>
      </c>
      <c r="BA8" s="76">
        <v>100</v>
      </c>
      <c r="BB8" s="76">
        <v>75</v>
      </c>
      <c r="BC8" s="76">
        <v>85</v>
      </c>
      <c r="BD8" s="76">
        <v>65</v>
      </c>
      <c r="BE8" s="76">
        <v>75</v>
      </c>
      <c r="BF8" s="76">
        <v>75</v>
      </c>
      <c r="BG8" s="76">
        <v>75</v>
      </c>
      <c r="BH8" s="70">
        <f t="shared" si="24"/>
        <v>1385.5</v>
      </c>
      <c r="BI8" s="71">
        <f t="shared" si="25"/>
        <v>92.36666666666666</v>
      </c>
      <c r="BJ8" s="101" t="e">
        <f t="shared" si="26"/>
        <v>#N/A</v>
      </c>
      <c r="BK8" s="73"/>
      <c r="BL8" s="73"/>
      <c r="BM8" s="73"/>
      <c r="BN8" s="74"/>
      <c r="BO8" s="74"/>
      <c r="BP8" s="74"/>
      <c r="BQ8" s="75"/>
    </row>
    <row r="9" spans="1:69" ht="27.95" customHeight="1">
      <c r="A9" s="141">
        <v>6</v>
      </c>
      <c r="B9" s="141">
        <v>24250096</v>
      </c>
      <c r="C9" s="148" t="s">
        <v>625</v>
      </c>
      <c r="D9" s="68">
        <f t="shared" si="0"/>
        <v>93</v>
      </c>
      <c r="E9" s="68">
        <f t="shared" si="1"/>
        <v>98</v>
      </c>
      <c r="F9" s="68">
        <f t="shared" si="2"/>
        <v>83</v>
      </c>
      <c r="G9" s="68">
        <f t="shared" si="3"/>
        <v>81</v>
      </c>
      <c r="H9" s="68">
        <f t="shared" si="4"/>
        <v>86</v>
      </c>
      <c r="I9" s="68">
        <f t="shared" si="5"/>
        <v>96</v>
      </c>
      <c r="J9" s="68">
        <f t="shared" si="6"/>
        <v>90</v>
      </c>
      <c r="K9" s="68">
        <f t="shared" si="7"/>
        <v>93</v>
      </c>
      <c r="L9" s="68">
        <f t="shared" si="8"/>
        <v>95</v>
      </c>
      <c r="M9" s="68">
        <f t="shared" si="9"/>
        <v>95</v>
      </c>
      <c r="N9" s="69">
        <f t="shared" si="10"/>
        <v>95</v>
      </c>
      <c r="O9" s="69">
        <f t="shared" si="11"/>
        <v>99</v>
      </c>
      <c r="P9" s="69">
        <f t="shared" si="12"/>
        <v>78</v>
      </c>
      <c r="Q9" s="69">
        <f t="shared" si="13"/>
        <v>95</v>
      </c>
      <c r="R9" s="69">
        <f t="shared" si="14"/>
        <v>99</v>
      </c>
      <c r="S9" s="234">
        <f t="shared" si="15"/>
        <v>75</v>
      </c>
      <c r="T9" s="234">
        <f t="shared" si="16"/>
        <v>88</v>
      </c>
      <c r="U9" s="234">
        <f t="shared" si="17"/>
        <v>70</v>
      </c>
      <c r="V9" s="234">
        <f t="shared" si="18"/>
        <v>75</v>
      </c>
      <c r="W9" s="234">
        <f t="shared" si="19"/>
        <v>75</v>
      </c>
      <c r="X9" s="234">
        <f t="shared" si="20"/>
        <v>73</v>
      </c>
      <c r="Y9" s="70">
        <f t="shared" si="21"/>
        <v>1376</v>
      </c>
      <c r="Z9" s="71">
        <f t="shared" si="22"/>
        <v>91.733333333333334</v>
      </c>
      <c r="AA9" s="101">
        <f t="shared" si="23"/>
        <v>6</v>
      </c>
      <c r="AB9" s="73" t="s">
        <v>805</v>
      </c>
      <c r="AC9" s="73" t="s">
        <v>805</v>
      </c>
      <c r="AD9" s="73" t="s">
        <v>805</v>
      </c>
      <c r="AE9" s="74">
        <v>18</v>
      </c>
      <c r="AF9" s="74">
        <v>17</v>
      </c>
      <c r="AG9" s="74">
        <v>0</v>
      </c>
      <c r="AH9" s="75"/>
      <c r="AJ9" s="141">
        <v>10</v>
      </c>
      <c r="AK9" s="141">
        <v>24250096</v>
      </c>
      <c r="AL9" s="148" t="s">
        <v>625</v>
      </c>
      <c r="AM9" s="235">
        <v>92.5</v>
      </c>
      <c r="AN9" s="237">
        <v>97.5</v>
      </c>
      <c r="AO9" s="235">
        <v>83</v>
      </c>
      <c r="AP9" s="235">
        <v>80.599999999999994</v>
      </c>
      <c r="AQ9" s="235">
        <v>85.8</v>
      </c>
      <c r="AR9" s="235">
        <v>95.5</v>
      </c>
      <c r="AS9" s="235">
        <v>90.399999999999991</v>
      </c>
      <c r="AT9" s="235">
        <v>92.8</v>
      </c>
      <c r="AU9" s="235">
        <v>94.8</v>
      </c>
      <c r="AV9" s="235">
        <v>94.6</v>
      </c>
      <c r="AW9" s="76">
        <v>95</v>
      </c>
      <c r="AX9" s="76">
        <v>100</v>
      </c>
      <c r="AY9" s="76">
        <v>78</v>
      </c>
      <c r="AZ9" s="76">
        <v>95</v>
      </c>
      <c r="BA9" s="76">
        <v>100</v>
      </c>
      <c r="BB9" s="76">
        <v>75</v>
      </c>
      <c r="BC9" s="76">
        <v>87.5</v>
      </c>
      <c r="BD9" s="76">
        <v>70</v>
      </c>
      <c r="BE9" s="76">
        <v>75</v>
      </c>
      <c r="BF9" s="76">
        <v>75</v>
      </c>
      <c r="BG9" s="76">
        <v>72.5</v>
      </c>
      <c r="BH9" s="70">
        <f t="shared" si="24"/>
        <v>1375.5</v>
      </c>
      <c r="BI9" s="71">
        <f t="shared" si="25"/>
        <v>91.7</v>
      </c>
      <c r="BJ9" s="101" t="e">
        <f t="shared" si="26"/>
        <v>#N/A</v>
      </c>
      <c r="BK9" s="73"/>
      <c r="BL9" s="73"/>
      <c r="BM9" s="73"/>
      <c r="BN9" s="74"/>
      <c r="BO9" s="74"/>
      <c r="BP9" s="74"/>
      <c r="BQ9" s="75"/>
    </row>
    <row r="10" spans="1:69" ht="27.95" customHeight="1">
      <c r="A10" s="141">
        <v>7</v>
      </c>
      <c r="B10" s="141">
        <v>24250181</v>
      </c>
      <c r="C10" s="148" t="s">
        <v>633</v>
      </c>
      <c r="D10" s="68">
        <f t="shared" si="0"/>
        <v>86</v>
      </c>
      <c r="E10" s="68">
        <f t="shared" si="1"/>
        <v>99</v>
      </c>
      <c r="F10" s="68">
        <f t="shared" si="2"/>
        <v>90</v>
      </c>
      <c r="G10" s="68">
        <f t="shared" si="3"/>
        <v>92</v>
      </c>
      <c r="H10" s="68">
        <f t="shared" si="4"/>
        <v>94</v>
      </c>
      <c r="I10" s="68">
        <f t="shared" si="5"/>
        <v>97</v>
      </c>
      <c r="J10" s="68">
        <f t="shared" si="6"/>
        <v>85</v>
      </c>
      <c r="K10" s="68">
        <f t="shared" si="7"/>
        <v>72</v>
      </c>
      <c r="L10" s="68">
        <f t="shared" si="8"/>
        <v>84</v>
      </c>
      <c r="M10" s="68">
        <f t="shared" si="9"/>
        <v>91</v>
      </c>
      <c r="N10" s="69">
        <f t="shared" si="10"/>
        <v>95</v>
      </c>
      <c r="O10" s="69">
        <f t="shared" si="11"/>
        <v>99</v>
      </c>
      <c r="P10" s="69">
        <f t="shared" si="12"/>
        <v>78</v>
      </c>
      <c r="Q10" s="69">
        <f t="shared" si="13"/>
        <v>98</v>
      </c>
      <c r="R10" s="69">
        <f t="shared" si="14"/>
        <v>99</v>
      </c>
      <c r="S10" s="234">
        <f t="shared" si="15"/>
        <v>75</v>
      </c>
      <c r="T10" s="234">
        <f t="shared" si="16"/>
        <v>83</v>
      </c>
      <c r="U10" s="234">
        <f t="shared" si="17"/>
        <v>58</v>
      </c>
      <c r="V10" s="234">
        <f t="shared" si="18"/>
        <v>75</v>
      </c>
      <c r="W10" s="234">
        <f t="shared" si="19"/>
        <v>75</v>
      </c>
      <c r="X10" s="234">
        <f t="shared" si="20"/>
        <v>75</v>
      </c>
      <c r="Y10" s="70">
        <f t="shared" si="21"/>
        <v>1359</v>
      </c>
      <c r="Z10" s="71">
        <f t="shared" si="22"/>
        <v>90.6</v>
      </c>
      <c r="AA10" s="101">
        <f t="shared" si="23"/>
        <v>7</v>
      </c>
      <c r="AB10" s="73" t="s">
        <v>805</v>
      </c>
      <c r="AC10" s="73" t="s">
        <v>805</v>
      </c>
      <c r="AD10" s="73" t="s">
        <v>805</v>
      </c>
      <c r="AE10" s="74">
        <v>0</v>
      </c>
      <c r="AF10" s="74">
        <v>0</v>
      </c>
      <c r="AG10" s="74">
        <v>0</v>
      </c>
      <c r="AH10" s="75"/>
      <c r="AJ10" s="141">
        <v>18</v>
      </c>
      <c r="AK10" s="141">
        <v>24250181</v>
      </c>
      <c r="AL10" s="148" t="s">
        <v>633</v>
      </c>
      <c r="AM10" s="235">
        <v>86</v>
      </c>
      <c r="AN10" s="237">
        <v>98.5</v>
      </c>
      <c r="AO10" s="235">
        <v>90</v>
      </c>
      <c r="AP10" s="235">
        <v>92</v>
      </c>
      <c r="AQ10" s="235">
        <v>94.1</v>
      </c>
      <c r="AR10" s="235">
        <v>96.7</v>
      </c>
      <c r="AS10" s="235">
        <v>85.399999999999991</v>
      </c>
      <c r="AT10" s="235">
        <v>72</v>
      </c>
      <c r="AU10" s="235">
        <v>84.1</v>
      </c>
      <c r="AV10" s="235">
        <v>91</v>
      </c>
      <c r="AW10" s="76">
        <v>95</v>
      </c>
      <c r="AX10" s="76">
        <v>100</v>
      </c>
      <c r="AY10" s="76">
        <v>78</v>
      </c>
      <c r="AZ10" s="76">
        <v>98</v>
      </c>
      <c r="BA10" s="76">
        <v>100</v>
      </c>
      <c r="BB10" s="76">
        <v>75</v>
      </c>
      <c r="BC10" s="76">
        <v>82.5</v>
      </c>
      <c r="BD10" s="76">
        <v>57.5</v>
      </c>
      <c r="BE10" s="76">
        <v>75</v>
      </c>
      <c r="BF10" s="76">
        <v>75</v>
      </c>
      <c r="BG10" s="76">
        <v>75</v>
      </c>
      <c r="BH10" s="70">
        <f t="shared" si="24"/>
        <v>1360.8000000000002</v>
      </c>
      <c r="BI10" s="71">
        <f t="shared" si="25"/>
        <v>90.720000000000013</v>
      </c>
      <c r="BJ10" s="101" t="e">
        <f t="shared" si="26"/>
        <v>#N/A</v>
      </c>
      <c r="BK10" s="73"/>
      <c r="BL10" s="73"/>
      <c r="BM10" s="73"/>
      <c r="BN10" s="74"/>
      <c r="BO10" s="74"/>
      <c r="BP10" s="74"/>
      <c r="BQ10" s="75"/>
    </row>
    <row r="11" spans="1:69" ht="27.95" customHeight="1">
      <c r="A11" s="141">
        <v>8</v>
      </c>
      <c r="B11" s="141">
        <v>24250163</v>
      </c>
      <c r="C11" s="148" t="s">
        <v>642</v>
      </c>
      <c r="D11" s="68">
        <f t="shared" si="0"/>
        <v>86</v>
      </c>
      <c r="E11" s="68">
        <f t="shared" si="1"/>
        <v>98</v>
      </c>
      <c r="F11" s="68">
        <f t="shared" si="2"/>
        <v>85</v>
      </c>
      <c r="G11" s="68">
        <f t="shared" si="3"/>
        <v>76</v>
      </c>
      <c r="H11" s="68">
        <f t="shared" si="4"/>
        <v>91</v>
      </c>
      <c r="I11" s="68">
        <f t="shared" si="5"/>
        <v>93</v>
      </c>
      <c r="J11" s="68">
        <f t="shared" si="6"/>
        <v>81</v>
      </c>
      <c r="K11" s="68">
        <f t="shared" si="7"/>
        <v>68</v>
      </c>
      <c r="L11" s="68">
        <f t="shared" si="8"/>
        <v>99</v>
      </c>
      <c r="M11" s="68">
        <f t="shared" si="9"/>
        <v>98</v>
      </c>
      <c r="N11" s="69">
        <f t="shared" si="10"/>
        <v>99</v>
      </c>
      <c r="O11" s="69">
        <f t="shared" si="11"/>
        <v>99</v>
      </c>
      <c r="P11" s="69">
        <f t="shared" si="12"/>
        <v>90</v>
      </c>
      <c r="Q11" s="69">
        <f t="shared" si="13"/>
        <v>95</v>
      </c>
      <c r="R11" s="69">
        <f t="shared" si="14"/>
        <v>99</v>
      </c>
      <c r="S11" s="234">
        <f t="shared" si="15"/>
        <v>75</v>
      </c>
      <c r="T11" s="234">
        <f t="shared" si="16"/>
        <v>68</v>
      </c>
      <c r="U11" s="234">
        <f t="shared" si="17"/>
        <v>65</v>
      </c>
      <c r="V11" s="234">
        <f t="shared" si="18"/>
        <v>75</v>
      </c>
      <c r="W11" s="234">
        <f t="shared" si="19"/>
        <v>75</v>
      </c>
      <c r="X11" s="234">
        <f t="shared" si="20"/>
        <v>68</v>
      </c>
      <c r="Y11" s="70">
        <f t="shared" si="21"/>
        <v>1357</v>
      </c>
      <c r="Z11" s="71">
        <f t="shared" si="22"/>
        <v>90.466666666666669</v>
      </c>
      <c r="AA11" s="101">
        <f t="shared" si="23"/>
        <v>8</v>
      </c>
      <c r="AB11" s="73" t="s">
        <v>805</v>
      </c>
      <c r="AC11" s="73" t="s">
        <v>805</v>
      </c>
      <c r="AD11" s="73" t="s">
        <v>805</v>
      </c>
      <c r="AE11" s="74">
        <v>14</v>
      </c>
      <c r="AF11" s="74">
        <v>0</v>
      </c>
      <c r="AG11" s="74">
        <v>0</v>
      </c>
      <c r="AH11" s="75"/>
      <c r="AJ11" s="141">
        <v>28</v>
      </c>
      <c r="AK11" s="141">
        <v>24250163</v>
      </c>
      <c r="AL11" s="148" t="s">
        <v>642</v>
      </c>
      <c r="AM11" s="235">
        <v>86</v>
      </c>
      <c r="AN11" s="237">
        <v>97.5</v>
      </c>
      <c r="AO11" s="235">
        <v>84.8</v>
      </c>
      <c r="AP11" s="235">
        <v>76</v>
      </c>
      <c r="AQ11" s="235">
        <v>90.8</v>
      </c>
      <c r="AR11" s="235">
        <v>93</v>
      </c>
      <c r="AS11" s="235">
        <v>81</v>
      </c>
      <c r="AT11" s="235">
        <v>67.5</v>
      </c>
      <c r="AU11" s="235">
        <v>98.7</v>
      </c>
      <c r="AV11" s="235">
        <v>97.5</v>
      </c>
      <c r="AW11" s="76">
        <v>100</v>
      </c>
      <c r="AX11" s="76">
        <v>100</v>
      </c>
      <c r="AY11" s="76">
        <v>90</v>
      </c>
      <c r="AZ11" s="76">
        <v>95</v>
      </c>
      <c r="BA11" s="76">
        <v>100</v>
      </c>
      <c r="BB11" s="76">
        <v>75</v>
      </c>
      <c r="BC11" s="76">
        <v>67.5</v>
      </c>
      <c r="BD11" s="76">
        <v>65</v>
      </c>
      <c r="BE11" s="76">
        <v>75</v>
      </c>
      <c r="BF11" s="76">
        <v>75</v>
      </c>
      <c r="BG11" s="76">
        <v>67.5</v>
      </c>
      <c r="BH11" s="70">
        <f t="shared" si="24"/>
        <v>1357.8000000000002</v>
      </c>
      <c r="BI11" s="71">
        <f t="shared" si="25"/>
        <v>90.52000000000001</v>
      </c>
      <c r="BJ11" s="101" t="e">
        <f t="shared" si="26"/>
        <v>#N/A</v>
      </c>
      <c r="BK11" s="73"/>
      <c r="BL11" s="73"/>
      <c r="BM11" s="73"/>
      <c r="BN11" s="74"/>
      <c r="BO11" s="74"/>
      <c r="BP11" s="74"/>
      <c r="BQ11" s="75"/>
    </row>
    <row r="12" spans="1:69" ht="27.95" customHeight="1">
      <c r="A12" s="141">
        <v>9</v>
      </c>
      <c r="B12" s="141">
        <v>24250091</v>
      </c>
      <c r="C12" s="148" t="s">
        <v>646</v>
      </c>
      <c r="D12" s="68">
        <f t="shared" si="0"/>
        <v>80</v>
      </c>
      <c r="E12" s="68">
        <f t="shared" si="1"/>
        <v>95</v>
      </c>
      <c r="F12" s="68">
        <f t="shared" si="2"/>
        <v>74</v>
      </c>
      <c r="G12" s="68">
        <f t="shared" si="3"/>
        <v>75</v>
      </c>
      <c r="H12" s="68">
        <f t="shared" si="4"/>
        <v>92</v>
      </c>
      <c r="I12" s="68">
        <f t="shared" si="5"/>
        <v>96</v>
      </c>
      <c r="J12" s="68">
        <f t="shared" si="6"/>
        <v>79</v>
      </c>
      <c r="K12" s="68">
        <f t="shared" si="7"/>
        <v>93</v>
      </c>
      <c r="L12" s="68">
        <f t="shared" si="8"/>
        <v>90</v>
      </c>
      <c r="M12" s="68">
        <f t="shared" si="9"/>
        <v>99</v>
      </c>
      <c r="N12" s="69">
        <f t="shared" si="10"/>
        <v>99</v>
      </c>
      <c r="O12" s="69">
        <f t="shared" si="11"/>
        <v>99</v>
      </c>
      <c r="P12" s="69">
        <f t="shared" si="12"/>
        <v>75</v>
      </c>
      <c r="Q12" s="69">
        <f t="shared" si="13"/>
        <v>95</v>
      </c>
      <c r="R12" s="69">
        <f t="shared" si="14"/>
        <v>99</v>
      </c>
      <c r="S12" s="234">
        <f t="shared" si="15"/>
        <v>75</v>
      </c>
      <c r="T12" s="234">
        <f t="shared" si="16"/>
        <v>99</v>
      </c>
      <c r="U12" s="234">
        <f t="shared" si="17"/>
        <v>65</v>
      </c>
      <c r="V12" s="234">
        <f t="shared" si="18"/>
        <v>75</v>
      </c>
      <c r="W12" s="234">
        <f t="shared" si="19"/>
        <v>75</v>
      </c>
      <c r="X12" s="234">
        <f t="shared" si="20"/>
        <v>70</v>
      </c>
      <c r="Y12" s="70">
        <f t="shared" si="21"/>
        <v>1340</v>
      </c>
      <c r="Z12" s="71">
        <f t="shared" si="22"/>
        <v>89.333333333333329</v>
      </c>
      <c r="AA12" s="101">
        <f t="shared" si="23"/>
        <v>9</v>
      </c>
      <c r="AB12" s="73" t="s">
        <v>805</v>
      </c>
      <c r="AC12" s="73" t="s">
        <v>805</v>
      </c>
      <c r="AD12" s="73" t="s">
        <v>805</v>
      </c>
      <c r="AE12" s="74">
        <v>0</v>
      </c>
      <c r="AF12" s="74">
        <v>0</v>
      </c>
      <c r="AG12" s="74">
        <v>0</v>
      </c>
      <c r="AH12" s="75"/>
      <c r="AJ12" s="141">
        <v>32</v>
      </c>
      <c r="AK12" s="141">
        <v>24250091</v>
      </c>
      <c r="AL12" s="148" t="s">
        <v>646</v>
      </c>
      <c r="AM12" s="235">
        <v>80</v>
      </c>
      <c r="AN12" s="237">
        <v>94.5</v>
      </c>
      <c r="AO12" s="235">
        <v>74</v>
      </c>
      <c r="AP12" s="235">
        <v>74.5</v>
      </c>
      <c r="AQ12" s="235">
        <v>91.8</v>
      </c>
      <c r="AR12" s="235">
        <v>96</v>
      </c>
      <c r="AS12" s="235">
        <v>78.5</v>
      </c>
      <c r="AT12" s="235">
        <v>93.2</v>
      </c>
      <c r="AU12" s="235">
        <v>89.7</v>
      </c>
      <c r="AV12" s="235">
        <v>98.7</v>
      </c>
      <c r="AW12" s="76">
        <v>100</v>
      </c>
      <c r="AX12" s="76">
        <v>100</v>
      </c>
      <c r="AY12" s="76">
        <v>75</v>
      </c>
      <c r="AZ12" s="76">
        <v>95</v>
      </c>
      <c r="BA12" s="76">
        <v>100</v>
      </c>
      <c r="BB12" s="76">
        <v>75</v>
      </c>
      <c r="BC12" s="76">
        <v>100</v>
      </c>
      <c r="BD12" s="76">
        <v>65</v>
      </c>
      <c r="BE12" s="76">
        <v>75</v>
      </c>
      <c r="BF12" s="76">
        <v>75</v>
      </c>
      <c r="BG12" s="76">
        <v>70</v>
      </c>
      <c r="BH12" s="70">
        <f t="shared" si="24"/>
        <v>1340.9</v>
      </c>
      <c r="BI12" s="71">
        <f t="shared" si="25"/>
        <v>89.393333333333345</v>
      </c>
      <c r="BJ12" s="101" t="e">
        <f t="shared" si="26"/>
        <v>#N/A</v>
      </c>
      <c r="BK12" s="73"/>
      <c r="BL12" s="73"/>
      <c r="BM12" s="73"/>
      <c r="BN12" s="74"/>
      <c r="BO12" s="74"/>
      <c r="BP12" s="74"/>
      <c r="BQ12" s="75"/>
    </row>
    <row r="13" spans="1:69" ht="27.95" customHeight="1">
      <c r="A13" s="141">
        <v>10</v>
      </c>
      <c r="B13" s="141">
        <v>24250048</v>
      </c>
      <c r="C13" s="148" t="s">
        <v>634</v>
      </c>
      <c r="D13" s="68">
        <f t="shared" si="0"/>
        <v>76</v>
      </c>
      <c r="E13" s="68">
        <f t="shared" si="1"/>
        <v>98</v>
      </c>
      <c r="F13" s="68">
        <f t="shared" si="2"/>
        <v>90</v>
      </c>
      <c r="G13" s="68">
        <f t="shared" si="3"/>
        <v>95</v>
      </c>
      <c r="H13" s="68">
        <f t="shared" si="4"/>
        <v>90</v>
      </c>
      <c r="I13" s="68">
        <f t="shared" si="5"/>
        <v>93</v>
      </c>
      <c r="J13" s="68">
        <f t="shared" si="6"/>
        <v>72</v>
      </c>
      <c r="K13" s="68">
        <f t="shared" si="7"/>
        <v>68</v>
      </c>
      <c r="L13" s="68">
        <f t="shared" si="8"/>
        <v>94</v>
      </c>
      <c r="M13" s="68">
        <f t="shared" si="9"/>
        <v>96</v>
      </c>
      <c r="N13" s="69">
        <f t="shared" si="10"/>
        <v>75</v>
      </c>
      <c r="O13" s="69">
        <f t="shared" si="11"/>
        <v>99</v>
      </c>
      <c r="P13" s="69">
        <f t="shared" si="12"/>
        <v>75</v>
      </c>
      <c r="Q13" s="69">
        <f t="shared" si="13"/>
        <v>95</v>
      </c>
      <c r="R13" s="69">
        <f t="shared" si="14"/>
        <v>99</v>
      </c>
      <c r="S13" s="234">
        <f t="shared" si="15"/>
        <v>75</v>
      </c>
      <c r="T13" s="234">
        <f t="shared" si="16"/>
        <v>60</v>
      </c>
      <c r="U13" s="234">
        <f t="shared" si="17"/>
        <v>65</v>
      </c>
      <c r="V13" s="234">
        <f t="shared" si="18"/>
        <v>75</v>
      </c>
      <c r="W13" s="234">
        <f t="shared" si="19"/>
        <v>75</v>
      </c>
      <c r="X13" s="234">
        <f t="shared" si="20"/>
        <v>60</v>
      </c>
      <c r="Y13" s="70">
        <f t="shared" si="21"/>
        <v>1315</v>
      </c>
      <c r="Z13" s="71">
        <f t="shared" si="22"/>
        <v>87.666666666666671</v>
      </c>
      <c r="AA13" s="101">
        <f t="shared" si="23"/>
        <v>10</v>
      </c>
      <c r="AB13" s="73" t="s">
        <v>805</v>
      </c>
      <c r="AC13" s="73" t="s">
        <v>805</v>
      </c>
      <c r="AD13" s="73" t="s">
        <v>805</v>
      </c>
      <c r="AE13" s="74">
        <v>0</v>
      </c>
      <c r="AF13" s="74">
        <v>0</v>
      </c>
      <c r="AG13" s="74">
        <v>0</v>
      </c>
      <c r="AH13" s="75"/>
      <c r="AJ13" s="141">
        <v>19</v>
      </c>
      <c r="AK13" s="141">
        <v>24250048</v>
      </c>
      <c r="AL13" s="148" t="s">
        <v>634</v>
      </c>
      <c r="AM13" s="235">
        <v>76</v>
      </c>
      <c r="AN13" s="237">
        <v>97.5</v>
      </c>
      <c r="AO13" s="235">
        <v>90.3</v>
      </c>
      <c r="AP13" s="235">
        <v>94.8</v>
      </c>
      <c r="AQ13" s="235">
        <v>90</v>
      </c>
      <c r="AR13" s="235">
        <v>92.5</v>
      </c>
      <c r="AS13" s="235">
        <v>72</v>
      </c>
      <c r="AT13" s="235">
        <v>68</v>
      </c>
      <c r="AU13" s="235">
        <v>94.4</v>
      </c>
      <c r="AV13" s="235">
        <v>96.1</v>
      </c>
      <c r="AW13" s="76">
        <v>75</v>
      </c>
      <c r="AX13" s="76">
        <v>100</v>
      </c>
      <c r="AY13" s="76">
        <v>75</v>
      </c>
      <c r="AZ13" s="76">
        <v>95</v>
      </c>
      <c r="BA13" s="76">
        <v>100</v>
      </c>
      <c r="BB13" s="76">
        <v>75</v>
      </c>
      <c r="BC13" s="76">
        <v>60</v>
      </c>
      <c r="BD13" s="76">
        <v>65</v>
      </c>
      <c r="BE13" s="76">
        <v>75</v>
      </c>
      <c r="BF13" s="76">
        <v>75</v>
      </c>
      <c r="BG13" s="76">
        <v>60</v>
      </c>
      <c r="BH13" s="70">
        <f t="shared" si="24"/>
        <v>1316.6</v>
      </c>
      <c r="BI13" s="71">
        <f t="shared" si="25"/>
        <v>87.773333333333326</v>
      </c>
      <c r="BJ13" s="101" t="e">
        <f t="shared" si="26"/>
        <v>#N/A</v>
      </c>
      <c r="BK13" s="73"/>
      <c r="BL13" s="73"/>
      <c r="BM13" s="73"/>
      <c r="BN13" s="74"/>
      <c r="BO13" s="74"/>
      <c r="BP13" s="74"/>
      <c r="BQ13" s="75"/>
    </row>
    <row r="14" spans="1:69" ht="27.95" customHeight="1">
      <c r="A14" s="141">
        <v>11</v>
      </c>
      <c r="B14" s="141">
        <v>24250077</v>
      </c>
      <c r="C14" s="148" t="s">
        <v>626</v>
      </c>
      <c r="D14" s="68">
        <f t="shared" si="0"/>
        <v>82</v>
      </c>
      <c r="E14" s="68">
        <f t="shared" si="1"/>
        <v>98</v>
      </c>
      <c r="F14" s="68">
        <f t="shared" si="2"/>
        <v>80</v>
      </c>
      <c r="G14" s="68">
        <f t="shared" si="3"/>
        <v>68</v>
      </c>
      <c r="H14" s="68">
        <f t="shared" si="4"/>
        <v>91</v>
      </c>
      <c r="I14" s="68">
        <f t="shared" si="5"/>
        <v>96</v>
      </c>
      <c r="J14" s="68">
        <f t="shared" si="6"/>
        <v>77</v>
      </c>
      <c r="K14" s="68">
        <f t="shared" si="7"/>
        <v>70</v>
      </c>
      <c r="L14" s="68">
        <f t="shared" si="8"/>
        <v>83</v>
      </c>
      <c r="M14" s="68">
        <f t="shared" si="9"/>
        <v>92</v>
      </c>
      <c r="N14" s="69">
        <f t="shared" si="10"/>
        <v>90</v>
      </c>
      <c r="O14" s="69">
        <f t="shared" si="11"/>
        <v>99</v>
      </c>
      <c r="P14" s="69">
        <f t="shared" si="12"/>
        <v>75</v>
      </c>
      <c r="Q14" s="69">
        <f t="shared" si="13"/>
        <v>90</v>
      </c>
      <c r="R14" s="69">
        <f t="shared" si="14"/>
        <v>98</v>
      </c>
      <c r="S14" s="234">
        <f t="shared" si="15"/>
        <v>75</v>
      </c>
      <c r="T14" s="234">
        <f t="shared" si="16"/>
        <v>88</v>
      </c>
      <c r="U14" s="234">
        <f t="shared" si="17"/>
        <v>65</v>
      </c>
      <c r="V14" s="234">
        <f t="shared" si="18"/>
        <v>75</v>
      </c>
      <c r="W14" s="234">
        <f t="shared" si="19"/>
        <v>75</v>
      </c>
      <c r="X14" s="234">
        <f t="shared" si="20"/>
        <v>70</v>
      </c>
      <c r="Y14" s="70">
        <f t="shared" si="21"/>
        <v>1289</v>
      </c>
      <c r="Z14" s="71">
        <f t="shared" si="22"/>
        <v>85.933333333333337</v>
      </c>
      <c r="AA14" s="101">
        <f t="shared" si="23"/>
        <v>11</v>
      </c>
      <c r="AB14" s="73" t="s">
        <v>805</v>
      </c>
      <c r="AC14" s="73" t="s">
        <v>805</v>
      </c>
      <c r="AD14" s="73" t="s">
        <v>805</v>
      </c>
      <c r="AE14" s="74">
        <v>3</v>
      </c>
      <c r="AF14" s="74">
        <v>0</v>
      </c>
      <c r="AG14" s="74">
        <v>0</v>
      </c>
      <c r="AH14" s="75"/>
      <c r="AJ14" s="141">
        <v>11</v>
      </c>
      <c r="AK14" s="141">
        <v>24250077</v>
      </c>
      <c r="AL14" s="148" t="s">
        <v>626</v>
      </c>
      <c r="AM14" s="235">
        <v>81.5</v>
      </c>
      <c r="AN14" s="237">
        <v>97.5</v>
      </c>
      <c r="AO14" s="235">
        <v>80</v>
      </c>
      <c r="AP14" s="235">
        <v>67.5</v>
      </c>
      <c r="AQ14" s="235">
        <v>90.8</v>
      </c>
      <c r="AR14" s="235">
        <v>95.5</v>
      </c>
      <c r="AS14" s="235">
        <v>76.899999999999991</v>
      </c>
      <c r="AT14" s="235">
        <v>70</v>
      </c>
      <c r="AU14" s="235">
        <v>82.7</v>
      </c>
      <c r="AV14" s="235">
        <v>91.5</v>
      </c>
      <c r="AW14" s="76">
        <v>90</v>
      </c>
      <c r="AX14" s="76">
        <v>100</v>
      </c>
      <c r="AY14" s="76">
        <v>75</v>
      </c>
      <c r="AZ14" s="76">
        <v>90</v>
      </c>
      <c r="BA14" s="76">
        <v>98</v>
      </c>
      <c r="BB14" s="76">
        <v>75</v>
      </c>
      <c r="BC14" s="76">
        <v>87.5</v>
      </c>
      <c r="BD14" s="76">
        <v>65</v>
      </c>
      <c r="BE14" s="76">
        <v>75</v>
      </c>
      <c r="BF14" s="76">
        <v>75</v>
      </c>
      <c r="BG14" s="76">
        <v>70</v>
      </c>
      <c r="BH14" s="70">
        <f t="shared" si="24"/>
        <v>1286.9000000000001</v>
      </c>
      <c r="BI14" s="71">
        <f t="shared" si="25"/>
        <v>85.793333333333337</v>
      </c>
      <c r="BJ14" s="101" t="e">
        <f t="shared" si="26"/>
        <v>#N/A</v>
      </c>
      <c r="BK14" s="73"/>
      <c r="BL14" s="73"/>
      <c r="BM14" s="73"/>
      <c r="BN14" s="74"/>
      <c r="BO14" s="74"/>
      <c r="BP14" s="74"/>
      <c r="BQ14" s="75"/>
    </row>
    <row r="15" spans="1:69" ht="27.95" customHeight="1">
      <c r="A15" s="141">
        <v>12</v>
      </c>
      <c r="B15" s="141">
        <v>24250043</v>
      </c>
      <c r="C15" s="148" t="s">
        <v>629</v>
      </c>
      <c r="D15" s="68">
        <f t="shared" si="0"/>
        <v>78</v>
      </c>
      <c r="E15" s="68">
        <f t="shared" si="1"/>
        <v>98</v>
      </c>
      <c r="F15" s="68">
        <f t="shared" si="2"/>
        <v>75</v>
      </c>
      <c r="G15" s="68">
        <f t="shared" si="3"/>
        <v>60</v>
      </c>
      <c r="H15" s="68">
        <f t="shared" si="4"/>
        <v>90</v>
      </c>
      <c r="I15" s="68">
        <f t="shared" si="5"/>
        <v>96</v>
      </c>
      <c r="J15" s="68">
        <f t="shared" si="6"/>
        <v>73</v>
      </c>
      <c r="K15" s="68">
        <f t="shared" si="7"/>
        <v>82</v>
      </c>
      <c r="L15" s="68">
        <f t="shared" si="8"/>
        <v>98</v>
      </c>
      <c r="M15" s="68">
        <f t="shared" si="9"/>
        <v>97</v>
      </c>
      <c r="N15" s="69">
        <f t="shared" si="10"/>
        <v>80</v>
      </c>
      <c r="O15" s="69">
        <f t="shared" si="11"/>
        <v>86</v>
      </c>
      <c r="P15" s="69">
        <f t="shared" si="12"/>
        <v>78</v>
      </c>
      <c r="Q15" s="69">
        <f t="shared" si="13"/>
        <v>95</v>
      </c>
      <c r="R15" s="69">
        <f t="shared" si="14"/>
        <v>99</v>
      </c>
      <c r="S15" s="234">
        <f t="shared" si="15"/>
        <v>75</v>
      </c>
      <c r="T15" s="234">
        <f t="shared" si="16"/>
        <v>93</v>
      </c>
      <c r="U15" s="234">
        <f t="shared" si="17"/>
        <v>70</v>
      </c>
      <c r="V15" s="234">
        <f t="shared" si="18"/>
        <v>75</v>
      </c>
      <c r="W15" s="234">
        <f t="shared" si="19"/>
        <v>75</v>
      </c>
      <c r="X15" s="234">
        <f t="shared" si="20"/>
        <v>80</v>
      </c>
      <c r="Y15" s="70">
        <f t="shared" si="21"/>
        <v>1285</v>
      </c>
      <c r="Z15" s="71">
        <f t="shared" si="22"/>
        <v>85.666666666666671</v>
      </c>
      <c r="AA15" s="101">
        <f t="shared" si="23"/>
        <v>12</v>
      </c>
      <c r="AB15" s="73" t="s">
        <v>805</v>
      </c>
      <c r="AC15" s="73" t="s">
        <v>805</v>
      </c>
      <c r="AD15" s="73" t="s">
        <v>805</v>
      </c>
      <c r="AE15" s="74">
        <v>0</v>
      </c>
      <c r="AF15" s="74">
        <v>0</v>
      </c>
      <c r="AG15" s="74">
        <v>0</v>
      </c>
      <c r="AH15" s="75"/>
      <c r="AJ15" s="141">
        <v>14</v>
      </c>
      <c r="AK15" s="141">
        <v>24250043</v>
      </c>
      <c r="AL15" s="148" t="s">
        <v>629</v>
      </c>
      <c r="AM15" s="235">
        <v>78</v>
      </c>
      <c r="AN15" s="237">
        <v>97.5</v>
      </c>
      <c r="AO15" s="235">
        <v>74.699999999999989</v>
      </c>
      <c r="AP15" s="235">
        <v>60.3</v>
      </c>
      <c r="AQ15" s="235">
        <v>90</v>
      </c>
      <c r="AR15" s="235">
        <v>95.5</v>
      </c>
      <c r="AS15" s="235">
        <v>73</v>
      </c>
      <c r="AT15" s="235">
        <v>82</v>
      </c>
      <c r="AU15" s="235">
        <v>98.1</v>
      </c>
      <c r="AV15" s="235">
        <v>96.5</v>
      </c>
      <c r="AW15" s="76">
        <v>80</v>
      </c>
      <c r="AX15" s="76">
        <v>86</v>
      </c>
      <c r="AY15" s="76">
        <v>78</v>
      </c>
      <c r="AZ15" s="76">
        <v>95</v>
      </c>
      <c r="BA15" s="76">
        <v>100</v>
      </c>
      <c r="BB15" s="76">
        <v>75</v>
      </c>
      <c r="BC15" s="76">
        <v>92.5</v>
      </c>
      <c r="BD15" s="76">
        <v>70</v>
      </c>
      <c r="BE15" s="76">
        <v>75</v>
      </c>
      <c r="BF15" s="76">
        <v>75</v>
      </c>
      <c r="BG15" s="76">
        <v>80</v>
      </c>
      <c r="BH15" s="70">
        <f t="shared" si="24"/>
        <v>1284.5999999999999</v>
      </c>
      <c r="BI15" s="71">
        <f t="shared" si="25"/>
        <v>85.64</v>
      </c>
      <c r="BJ15" s="101" t="e">
        <f t="shared" si="26"/>
        <v>#N/A</v>
      </c>
      <c r="BK15" s="73"/>
      <c r="BL15" s="73"/>
      <c r="BM15" s="73"/>
      <c r="BN15" s="74"/>
      <c r="BO15" s="74"/>
      <c r="BP15" s="74"/>
      <c r="BQ15" s="75"/>
    </row>
    <row r="16" spans="1:69" ht="27.95" customHeight="1">
      <c r="A16" s="141">
        <v>13</v>
      </c>
      <c r="B16" s="141">
        <v>24250063</v>
      </c>
      <c r="C16" s="150" t="s">
        <v>639</v>
      </c>
      <c r="D16" s="68">
        <f t="shared" si="0"/>
        <v>71</v>
      </c>
      <c r="E16" s="68">
        <f t="shared" si="1"/>
        <v>86</v>
      </c>
      <c r="F16" s="68">
        <f t="shared" si="2"/>
        <v>87</v>
      </c>
      <c r="G16" s="68">
        <f t="shared" si="3"/>
        <v>54</v>
      </c>
      <c r="H16" s="68">
        <f t="shared" si="4"/>
        <v>92</v>
      </c>
      <c r="I16" s="68">
        <f t="shared" si="5"/>
        <v>96</v>
      </c>
      <c r="J16" s="68">
        <f t="shared" si="6"/>
        <v>73</v>
      </c>
      <c r="K16" s="68">
        <f t="shared" si="7"/>
        <v>86</v>
      </c>
      <c r="L16" s="68">
        <f t="shared" si="8"/>
        <v>90</v>
      </c>
      <c r="M16" s="68">
        <f t="shared" si="9"/>
        <v>96</v>
      </c>
      <c r="N16" s="69">
        <f t="shared" si="10"/>
        <v>85</v>
      </c>
      <c r="O16" s="69">
        <f t="shared" si="11"/>
        <v>88</v>
      </c>
      <c r="P16" s="69">
        <f t="shared" si="12"/>
        <v>75</v>
      </c>
      <c r="Q16" s="69">
        <f t="shared" si="13"/>
        <v>95</v>
      </c>
      <c r="R16" s="69">
        <f t="shared" si="14"/>
        <v>99</v>
      </c>
      <c r="S16" s="234">
        <f t="shared" si="15"/>
        <v>75</v>
      </c>
      <c r="T16" s="234">
        <f t="shared" si="16"/>
        <v>98</v>
      </c>
      <c r="U16" s="234">
        <f t="shared" si="17"/>
        <v>73</v>
      </c>
      <c r="V16" s="234">
        <f t="shared" si="18"/>
        <v>75</v>
      </c>
      <c r="W16" s="234">
        <f t="shared" si="19"/>
        <v>75</v>
      </c>
      <c r="X16" s="234">
        <f t="shared" si="20"/>
        <v>75</v>
      </c>
      <c r="Y16" s="70">
        <f t="shared" si="21"/>
        <v>1273</v>
      </c>
      <c r="Z16" s="71">
        <f t="shared" si="22"/>
        <v>84.86666666666666</v>
      </c>
      <c r="AA16" s="101">
        <f t="shared" si="23"/>
        <v>13</v>
      </c>
      <c r="AB16" s="73" t="s">
        <v>805</v>
      </c>
      <c r="AC16" s="73" t="s">
        <v>805</v>
      </c>
      <c r="AD16" s="73" t="s">
        <v>805</v>
      </c>
      <c r="AE16" s="74">
        <v>8</v>
      </c>
      <c r="AF16" s="74">
        <v>0</v>
      </c>
      <c r="AG16" s="74">
        <v>0</v>
      </c>
      <c r="AH16" s="75"/>
      <c r="AJ16" s="141">
        <v>25</v>
      </c>
      <c r="AK16" s="141">
        <v>24250063</v>
      </c>
      <c r="AL16" s="150" t="s">
        <v>639</v>
      </c>
      <c r="AM16" s="235">
        <v>71</v>
      </c>
      <c r="AN16" s="237">
        <v>85.5</v>
      </c>
      <c r="AO16" s="235">
        <v>86.5</v>
      </c>
      <c r="AP16" s="235">
        <v>53.8</v>
      </c>
      <c r="AQ16" s="235">
        <v>92.3</v>
      </c>
      <c r="AR16" s="235">
        <v>95.5</v>
      </c>
      <c r="AS16" s="235">
        <v>72.5</v>
      </c>
      <c r="AT16" s="235">
        <v>86.1</v>
      </c>
      <c r="AU16" s="235">
        <v>90.3</v>
      </c>
      <c r="AV16" s="235">
        <v>95.699999999999989</v>
      </c>
      <c r="AW16" s="76">
        <v>85</v>
      </c>
      <c r="AX16" s="76">
        <v>88</v>
      </c>
      <c r="AY16" s="76">
        <v>75</v>
      </c>
      <c r="AZ16" s="76">
        <v>95</v>
      </c>
      <c r="BA16" s="76">
        <v>100</v>
      </c>
      <c r="BB16" s="76">
        <v>75</v>
      </c>
      <c r="BC16" s="76">
        <v>97.5</v>
      </c>
      <c r="BD16" s="76">
        <v>72.5</v>
      </c>
      <c r="BE16" s="76">
        <v>75</v>
      </c>
      <c r="BF16" s="76">
        <v>75</v>
      </c>
      <c r="BG16" s="76">
        <v>75</v>
      </c>
      <c r="BH16" s="70">
        <f t="shared" si="24"/>
        <v>1272.2</v>
      </c>
      <c r="BI16" s="71">
        <f t="shared" si="25"/>
        <v>84.813333333333333</v>
      </c>
      <c r="BJ16" s="101" t="e">
        <f t="shared" si="26"/>
        <v>#N/A</v>
      </c>
      <c r="BK16" s="73"/>
      <c r="BL16" s="73"/>
      <c r="BM16" s="73"/>
      <c r="BN16" s="74"/>
      <c r="BO16" s="74"/>
      <c r="BP16" s="74"/>
      <c r="BQ16" s="75"/>
    </row>
    <row r="17" spans="1:69" ht="27.95" customHeight="1">
      <c r="A17" s="141">
        <v>14</v>
      </c>
      <c r="B17" s="141">
        <v>24250009</v>
      </c>
      <c r="C17" s="148" t="s">
        <v>641</v>
      </c>
      <c r="D17" s="68">
        <f t="shared" si="0"/>
        <v>82</v>
      </c>
      <c r="E17" s="68">
        <f t="shared" si="1"/>
        <v>95</v>
      </c>
      <c r="F17" s="68">
        <f t="shared" si="2"/>
        <v>82</v>
      </c>
      <c r="G17" s="68">
        <f t="shared" si="3"/>
        <v>67</v>
      </c>
      <c r="H17" s="68">
        <f t="shared" si="4"/>
        <v>90</v>
      </c>
      <c r="I17" s="68">
        <f t="shared" si="5"/>
        <v>87</v>
      </c>
      <c r="J17" s="68">
        <f t="shared" si="6"/>
        <v>66</v>
      </c>
      <c r="K17" s="68">
        <f t="shared" si="7"/>
        <v>65</v>
      </c>
      <c r="L17" s="68">
        <f t="shared" si="8"/>
        <v>80</v>
      </c>
      <c r="M17" s="68">
        <f t="shared" si="9"/>
        <v>92</v>
      </c>
      <c r="N17" s="69">
        <f t="shared" si="10"/>
        <v>95</v>
      </c>
      <c r="O17" s="69">
        <f t="shared" si="11"/>
        <v>99</v>
      </c>
      <c r="P17" s="69">
        <f t="shared" si="12"/>
        <v>75</v>
      </c>
      <c r="Q17" s="69">
        <f t="shared" si="13"/>
        <v>90</v>
      </c>
      <c r="R17" s="69">
        <f t="shared" si="14"/>
        <v>98</v>
      </c>
      <c r="S17" s="234">
        <f t="shared" si="15"/>
        <v>75</v>
      </c>
      <c r="T17" s="234">
        <f t="shared" si="16"/>
        <v>90</v>
      </c>
      <c r="U17" s="234">
        <f t="shared" si="17"/>
        <v>80</v>
      </c>
      <c r="V17" s="234">
        <f t="shared" si="18"/>
        <v>75</v>
      </c>
      <c r="W17" s="234">
        <f t="shared" si="19"/>
        <v>75</v>
      </c>
      <c r="X17" s="234">
        <f t="shared" si="20"/>
        <v>88</v>
      </c>
      <c r="Y17" s="70">
        <f t="shared" si="21"/>
        <v>1263</v>
      </c>
      <c r="Z17" s="71">
        <f t="shared" si="22"/>
        <v>84.2</v>
      </c>
      <c r="AA17" s="101">
        <f t="shared" si="23"/>
        <v>14</v>
      </c>
      <c r="AB17" s="73" t="s">
        <v>805</v>
      </c>
      <c r="AC17" s="73" t="s">
        <v>805</v>
      </c>
      <c r="AD17" s="73" t="s">
        <v>805</v>
      </c>
      <c r="AE17" s="74">
        <v>6</v>
      </c>
      <c r="AF17" s="74">
        <v>0</v>
      </c>
      <c r="AG17" s="74">
        <v>0</v>
      </c>
      <c r="AH17" s="75"/>
      <c r="AJ17" s="141">
        <v>27</v>
      </c>
      <c r="AK17" s="141">
        <v>24250009</v>
      </c>
      <c r="AL17" s="148" t="s">
        <v>641</v>
      </c>
      <c r="AM17" s="235">
        <v>82</v>
      </c>
      <c r="AN17" s="237">
        <v>94.5</v>
      </c>
      <c r="AO17" s="235">
        <v>81.5</v>
      </c>
      <c r="AP17" s="235">
        <v>66.5</v>
      </c>
      <c r="AQ17" s="235">
        <v>89.8</v>
      </c>
      <c r="AR17" s="235">
        <v>86.5</v>
      </c>
      <c r="AS17" s="235">
        <v>65.5</v>
      </c>
      <c r="AT17" s="235">
        <v>65</v>
      </c>
      <c r="AU17" s="235">
        <v>79.900000000000006</v>
      </c>
      <c r="AV17" s="235">
        <v>91.9</v>
      </c>
      <c r="AW17" s="76">
        <v>95</v>
      </c>
      <c r="AX17" s="76">
        <v>100</v>
      </c>
      <c r="AY17" s="76">
        <v>75</v>
      </c>
      <c r="AZ17" s="76">
        <v>90</v>
      </c>
      <c r="BA17" s="76">
        <v>98</v>
      </c>
      <c r="BB17" s="76">
        <v>75</v>
      </c>
      <c r="BC17" s="76">
        <v>90</v>
      </c>
      <c r="BD17" s="76">
        <v>80</v>
      </c>
      <c r="BE17" s="76">
        <v>75</v>
      </c>
      <c r="BF17" s="76">
        <v>75</v>
      </c>
      <c r="BG17" s="76">
        <v>87.5</v>
      </c>
      <c r="BH17" s="70">
        <f t="shared" si="24"/>
        <v>1261.0999999999999</v>
      </c>
      <c r="BI17" s="71">
        <f t="shared" si="25"/>
        <v>84.073333333333323</v>
      </c>
      <c r="BJ17" s="101" t="e">
        <f t="shared" si="26"/>
        <v>#N/A</v>
      </c>
      <c r="BK17" s="73"/>
      <c r="BL17" s="73"/>
      <c r="BM17" s="73"/>
      <c r="BN17" s="74"/>
      <c r="BO17" s="74"/>
      <c r="BP17" s="74"/>
      <c r="BQ17" s="75"/>
    </row>
    <row r="18" spans="1:69" ht="27.95" customHeight="1">
      <c r="A18" s="141">
        <v>15</v>
      </c>
      <c r="B18" s="141">
        <v>24250006</v>
      </c>
      <c r="C18" s="148" t="s">
        <v>644</v>
      </c>
      <c r="D18" s="68">
        <f t="shared" si="0"/>
        <v>79</v>
      </c>
      <c r="E18" s="68">
        <f t="shared" si="1"/>
        <v>95</v>
      </c>
      <c r="F18" s="68">
        <f t="shared" si="2"/>
        <v>83</v>
      </c>
      <c r="G18" s="68">
        <f t="shared" si="3"/>
        <v>54</v>
      </c>
      <c r="H18" s="68">
        <f t="shared" si="4"/>
        <v>92</v>
      </c>
      <c r="I18" s="68">
        <f t="shared" si="5"/>
        <v>96</v>
      </c>
      <c r="J18" s="68">
        <f t="shared" si="6"/>
        <v>84</v>
      </c>
      <c r="K18" s="68">
        <f t="shared" si="7"/>
        <v>58</v>
      </c>
      <c r="L18" s="68">
        <f t="shared" si="8"/>
        <v>82</v>
      </c>
      <c r="M18" s="68">
        <f t="shared" si="9"/>
        <v>71</v>
      </c>
      <c r="N18" s="69">
        <f t="shared" si="10"/>
        <v>90</v>
      </c>
      <c r="O18" s="69">
        <f t="shared" si="11"/>
        <v>99</v>
      </c>
      <c r="P18" s="69">
        <f t="shared" si="12"/>
        <v>75</v>
      </c>
      <c r="Q18" s="69">
        <f t="shared" si="13"/>
        <v>90</v>
      </c>
      <c r="R18" s="69">
        <f t="shared" si="14"/>
        <v>99</v>
      </c>
      <c r="S18" s="234">
        <f t="shared" si="15"/>
        <v>75</v>
      </c>
      <c r="T18" s="234">
        <f t="shared" si="16"/>
        <v>93</v>
      </c>
      <c r="U18" s="234">
        <f t="shared" si="17"/>
        <v>68</v>
      </c>
      <c r="V18" s="234">
        <f t="shared" si="18"/>
        <v>75</v>
      </c>
      <c r="W18" s="234">
        <f t="shared" si="19"/>
        <v>75</v>
      </c>
      <c r="X18" s="234">
        <f t="shared" si="20"/>
        <v>78</v>
      </c>
      <c r="Y18" s="70">
        <f t="shared" si="21"/>
        <v>1247</v>
      </c>
      <c r="Z18" s="71">
        <f t="shared" si="22"/>
        <v>83.13333333333334</v>
      </c>
      <c r="AA18" s="101">
        <f t="shared" si="23"/>
        <v>15</v>
      </c>
      <c r="AB18" s="73" t="s">
        <v>805</v>
      </c>
      <c r="AC18" s="73" t="s">
        <v>805</v>
      </c>
      <c r="AD18" s="73" t="s">
        <v>805</v>
      </c>
      <c r="AE18" s="74">
        <v>0</v>
      </c>
      <c r="AF18" s="74">
        <v>0</v>
      </c>
      <c r="AG18" s="74">
        <v>0</v>
      </c>
      <c r="AH18" s="75"/>
      <c r="AJ18" s="141">
        <v>30</v>
      </c>
      <c r="AK18" s="141">
        <v>24250006</v>
      </c>
      <c r="AL18" s="148" t="s">
        <v>644</v>
      </c>
      <c r="AM18" s="235">
        <v>78.5</v>
      </c>
      <c r="AN18" s="237">
        <v>94.5</v>
      </c>
      <c r="AO18" s="235">
        <v>82.5</v>
      </c>
      <c r="AP18" s="235">
        <v>54</v>
      </c>
      <c r="AQ18" s="235">
        <v>92</v>
      </c>
      <c r="AR18" s="235">
        <v>96</v>
      </c>
      <c r="AS18" s="235">
        <v>84.399999999999991</v>
      </c>
      <c r="AT18" s="235">
        <v>58</v>
      </c>
      <c r="AU18" s="235">
        <v>82.3</v>
      </c>
      <c r="AV18" s="235">
        <v>71.3</v>
      </c>
      <c r="AW18" s="76">
        <v>90</v>
      </c>
      <c r="AX18" s="76">
        <v>100</v>
      </c>
      <c r="AY18" s="76">
        <v>75</v>
      </c>
      <c r="AZ18" s="76">
        <v>90</v>
      </c>
      <c r="BA18" s="76">
        <v>100</v>
      </c>
      <c r="BB18" s="76">
        <v>75</v>
      </c>
      <c r="BC18" s="76">
        <v>92.5</v>
      </c>
      <c r="BD18" s="76">
        <v>67.5</v>
      </c>
      <c r="BE18" s="76">
        <v>75</v>
      </c>
      <c r="BF18" s="76">
        <v>75</v>
      </c>
      <c r="BG18" s="76">
        <v>77.5</v>
      </c>
      <c r="BH18" s="70">
        <f t="shared" si="24"/>
        <v>1248.5</v>
      </c>
      <c r="BI18" s="71">
        <f t="shared" si="25"/>
        <v>83.233333333333334</v>
      </c>
      <c r="BJ18" s="101" t="e">
        <f t="shared" si="26"/>
        <v>#N/A</v>
      </c>
      <c r="BK18" s="73"/>
      <c r="BL18" s="73"/>
      <c r="BM18" s="73"/>
      <c r="BN18" s="74"/>
      <c r="BO18" s="74"/>
      <c r="BP18" s="74"/>
      <c r="BQ18" s="75"/>
    </row>
    <row r="19" spans="1:69" ht="27.95" customHeight="1">
      <c r="A19" s="141">
        <v>16</v>
      </c>
      <c r="B19" s="141">
        <v>24250003</v>
      </c>
      <c r="C19" s="148" t="s">
        <v>621</v>
      </c>
      <c r="D19" s="68">
        <f t="shared" si="0"/>
        <v>68</v>
      </c>
      <c r="E19" s="68">
        <f t="shared" si="1"/>
        <v>99</v>
      </c>
      <c r="F19" s="68">
        <f t="shared" si="2"/>
        <v>80</v>
      </c>
      <c r="G19" s="68">
        <f t="shared" si="3"/>
        <v>74</v>
      </c>
      <c r="H19" s="68">
        <f t="shared" si="4"/>
        <v>96</v>
      </c>
      <c r="I19" s="68">
        <f t="shared" si="5"/>
        <v>92</v>
      </c>
      <c r="J19" s="68">
        <f t="shared" si="6"/>
        <v>75</v>
      </c>
      <c r="K19" s="68">
        <f t="shared" si="7"/>
        <v>65</v>
      </c>
      <c r="L19" s="68">
        <f t="shared" si="8"/>
        <v>72</v>
      </c>
      <c r="M19" s="68">
        <f t="shared" si="9"/>
        <v>81</v>
      </c>
      <c r="N19" s="69">
        <f t="shared" si="10"/>
        <v>70</v>
      </c>
      <c r="O19" s="69">
        <f t="shared" si="11"/>
        <v>85</v>
      </c>
      <c r="P19" s="69">
        <f t="shared" si="12"/>
        <v>95</v>
      </c>
      <c r="Q19" s="69">
        <f t="shared" si="13"/>
        <v>90</v>
      </c>
      <c r="R19" s="69">
        <f t="shared" si="14"/>
        <v>99</v>
      </c>
      <c r="S19" s="234">
        <f t="shared" si="15"/>
        <v>75</v>
      </c>
      <c r="T19" s="234">
        <f t="shared" si="16"/>
        <v>75</v>
      </c>
      <c r="U19" s="234">
        <f t="shared" si="17"/>
        <v>65</v>
      </c>
      <c r="V19" s="234">
        <f t="shared" si="18"/>
        <v>75</v>
      </c>
      <c r="W19" s="234">
        <f t="shared" si="19"/>
        <v>75</v>
      </c>
      <c r="X19" s="234">
        <f t="shared" si="20"/>
        <v>63</v>
      </c>
      <c r="Y19" s="70">
        <f t="shared" si="21"/>
        <v>1241</v>
      </c>
      <c r="Z19" s="71">
        <f t="shared" si="22"/>
        <v>82.733333333333334</v>
      </c>
      <c r="AA19" s="101">
        <f t="shared" si="23"/>
        <v>16</v>
      </c>
      <c r="AB19" s="73" t="s">
        <v>805</v>
      </c>
      <c r="AC19" s="73" t="s">
        <v>805</v>
      </c>
      <c r="AD19" s="73" t="s">
        <v>805</v>
      </c>
      <c r="AE19" s="74">
        <v>0</v>
      </c>
      <c r="AF19" s="74">
        <v>0</v>
      </c>
      <c r="AG19" s="74">
        <v>0</v>
      </c>
      <c r="AH19" s="75"/>
      <c r="AJ19" s="141">
        <v>5</v>
      </c>
      <c r="AK19" s="141">
        <v>24250003</v>
      </c>
      <c r="AL19" s="148" t="s">
        <v>621</v>
      </c>
      <c r="AM19" s="235">
        <v>67.5</v>
      </c>
      <c r="AN19" s="237">
        <v>98.5</v>
      </c>
      <c r="AO19" s="235">
        <v>80.2</v>
      </c>
      <c r="AP19" s="235">
        <v>74</v>
      </c>
      <c r="AQ19" s="235">
        <v>96</v>
      </c>
      <c r="AR19" s="235">
        <v>92.199999999999989</v>
      </c>
      <c r="AS19" s="235">
        <v>74.8</v>
      </c>
      <c r="AT19" s="235">
        <v>65</v>
      </c>
      <c r="AU19" s="235">
        <v>71.5</v>
      </c>
      <c r="AV19" s="235">
        <v>80.5</v>
      </c>
      <c r="AW19" s="76">
        <v>70</v>
      </c>
      <c r="AX19" s="76">
        <v>85</v>
      </c>
      <c r="AY19" s="76">
        <v>95</v>
      </c>
      <c r="AZ19" s="76">
        <v>90</v>
      </c>
      <c r="BA19" s="76">
        <v>100</v>
      </c>
      <c r="BB19" s="76">
        <v>75</v>
      </c>
      <c r="BC19" s="76">
        <v>75</v>
      </c>
      <c r="BD19" s="76">
        <v>65</v>
      </c>
      <c r="BE19" s="76">
        <v>75</v>
      </c>
      <c r="BF19" s="76">
        <v>75</v>
      </c>
      <c r="BG19" s="76">
        <v>62.5</v>
      </c>
      <c r="BH19" s="70">
        <f t="shared" si="24"/>
        <v>1240.1999999999998</v>
      </c>
      <c r="BI19" s="71">
        <f t="shared" si="25"/>
        <v>82.679999999999993</v>
      </c>
      <c r="BJ19" s="101" t="e">
        <f t="shared" si="26"/>
        <v>#N/A</v>
      </c>
      <c r="BK19" s="73"/>
      <c r="BL19" s="73"/>
      <c r="BM19" s="73"/>
      <c r="BN19" s="74"/>
      <c r="BO19" s="74"/>
      <c r="BP19" s="74"/>
      <c r="BQ19" s="75"/>
    </row>
    <row r="20" spans="1:69" ht="27.95" customHeight="1">
      <c r="A20" s="141">
        <v>17</v>
      </c>
      <c r="B20" s="141">
        <v>24250074</v>
      </c>
      <c r="C20" s="148" t="s">
        <v>637</v>
      </c>
      <c r="D20" s="68">
        <f t="shared" si="0"/>
        <v>78</v>
      </c>
      <c r="E20" s="68">
        <f t="shared" si="1"/>
        <v>93</v>
      </c>
      <c r="F20" s="68">
        <f t="shared" si="2"/>
        <v>81</v>
      </c>
      <c r="G20" s="68">
        <f t="shared" si="3"/>
        <v>63</v>
      </c>
      <c r="H20" s="68">
        <f t="shared" si="4"/>
        <v>76</v>
      </c>
      <c r="I20" s="68">
        <f t="shared" si="5"/>
        <v>97</v>
      </c>
      <c r="J20" s="68">
        <f t="shared" si="6"/>
        <v>77</v>
      </c>
      <c r="K20" s="68">
        <f t="shared" si="7"/>
        <v>62</v>
      </c>
      <c r="L20" s="68">
        <f t="shared" si="8"/>
        <v>79</v>
      </c>
      <c r="M20" s="68">
        <f t="shared" si="9"/>
        <v>91</v>
      </c>
      <c r="N20" s="69">
        <f t="shared" si="10"/>
        <v>70</v>
      </c>
      <c r="O20" s="69">
        <f t="shared" si="11"/>
        <v>99</v>
      </c>
      <c r="P20" s="69">
        <f t="shared" si="12"/>
        <v>80</v>
      </c>
      <c r="Q20" s="69">
        <f t="shared" si="13"/>
        <v>95</v>
      </c>
      <c r="R20" s="69">
        <f t="shared" si="14"/>
        <v>99</v>
      </c>
      <c r="S20" s="234">
        <f t="shared" si="15"/>
        <v>75</v>
      </c>
      <c r="T20" s="234">
        <f t="shared" si="16"/>
        <v>98</v>
      </c>
      <c r="U20" s="234">
        <f t="shared" si="17"/>
        <v>55</v>
      </c>
      <c r="V20" s="234">
        <f t="shared" si="18"/>
        <v>75</v>
      </c>
      <c r="W20" s="234">
        <f t="shared" si="19"/>
        <v>75</v>
      </c>
      <c r="X20" s="234">
        <f t="shared" si="20"/>
        <v>80</v>
      </c>
      <c r="Y20" s="70">
        <f t="shared" si="21"/>
        <v>1240</v>
      </c>
      <c r="Z20" s="71">
        <f t="shared" si="22"/>
        <v>82.666666666666671</v>
      </c>
      <c r="AA20" s="101">
        <f t="shared" si="23"/>
        <v>17</v>
      </c>
      <c r="AB20" s="73" t="s">
        <v>805</v>
      </c>
      <c r="AC20" s="73" t="s">
        <v>805</v>
      </c>
      <c r="AD20" s="73" t="s">
        <v>805</v>
      </c>
      <c r="AE20" s="74">
        <v>10</v>
      </c>
      <c r="AF20" s="74">
        <v>0</v>
      </c>
      <c r="AG20" s="74">
        <v>0</v>
      </c>
      <c r="AH20" s="75"/>
      <c r="AJ20" s="141">
        <v>23</v>
      </c>
      <c r="AK20" s="141">
        <v>24250074</v>
      </c>
      <c r="AL20" s="148" t="s">
        <v>637</v>
      </c>
      <c r="AM20" s="235">
        <v>77.8</v>
      </c>
      <c r="AN20" s="237">
        <v>92.5</v>
      </c>
      <c r="AO20" s="235">
        <v>81</v>
      </c>
      <c r="AP20" s="235">
        <v>63.3</v>
      </c>
      <c r="AQ20" s="235">
        <v>76</v>
      </c>
      <c r="AR20" s="235">
        <v>97</v>
      </c>
      <c r="AS20" s="235">
        <v>77</v>
      </c>
      <c r="AT20" s="235">
        <v>62</v>
      </c>
      <c r="AU20" s="235">
        <v>79.400000000000006</v>
      </c>
      <c r="AV20" s="235">
        <v>91</v>
      </c>
      <c r="AW20" s="76">
        <v>70</v>
      </c>
      <c r="AX20" s="76">
        <v>100</v>
      </c>
      <c r="AY20" s="76">
        <v>80</v>
      </c>
      <c r="AZ20" s="76">
        <v>95</v>
      </c>
      <c r="BA20" s="76">
        <v>100</v>
      </c>
      <c r="BB20" s="76">
        <v>75</v>
      </c>
      <c r="BC20" s="76">
        <v>97.5</v>
      </c>
      <c r="BD20" s="76">
        <v>55</v>
      </c>
      <c r="BE20" s="76">
        <v>75</v>
      </c>
      <c r="BF20" s="76">
        <v>75</v>
      </c>
      <c r="BG20" s="76">
        <v>80</v>
      </c>
      <c r="BH20" s="70">
        <f t="shared" si="24"/>
        <v>1242</v>
      </c>
      <c r="BI20" s="71">
        <f t="shared" si="25"/>
        <v>82.8</v>
      </c>
      <c r="BJ20" s="101" t="e">
        <f t="shared" si="26"/>
        <v>#N/A</v>
      </c>
      <c r="BK20" s="73"/>
      <c r="BL20" s="73"/>
      <c r="BM20" s="73"/>
      <c r="BN20" s="74"/>
      <c r="BO20" s="74"/>
      <c r="BP20" s="74"/>
      <c r="BQ20" s="75"/>
    </row>
    <row r="21" spans="1:69" ht="27.95" customHeight="1">
      <c r="A21" s="141">
        <v>18</v>
      </c>
      <c r="B21" s="141">
        <v>24250059</v>
      </c>
      <c r="C21" s="148" t="s">
        <v>619</v>
      </c>
      <c r="D21" s="68">
        <f t="shared" si="0"/>
        <v>73</v>
      </c>
      <c r="E21" s="68">
        <f t="shared" si="1"/>
        <v>84</v>
      </c>
      <c r="F21" s="68">
        <f t="shared" si="2"/>
        <v>84</v>
      </c>
      <c r="G21" s="68">
        <f t="shared" si="3"/>
        <v>74</v>
      </c>
      <c r="H21" s="68">
        <f t="shared" si="4"/>
        <v>88</v>
      </c>
      <c r="I21" s="68">
        <f t="shared" si="5"/>
        <v>97</v>
      </c>
      <c r="J21" s="68">
        <f t="shared" si="6"/>
        <v>69</v>
      </c>
      <c r="K21" s="68">
        <f t="shared" si="7"/>
        <v>65</v>
      </c>
      <c r="L21" s="68">
        <f t="shared" si="8"/>
        <v>73</v>
      </c>
      <c r="M21" s="68">
        <f t="shared" si="9"/>
        <v>96</v>
      </c>
      <c r="N21" s="69">
        <f t="shared" si="10"/>
        <v>70</v>
      </c>
      <c r="O21" s="69">
        <f t="shared" si="11"/>
        <v>99</v>
      </c>
      <c r="P21" s="69">
        <f t="shared" si="12"/>
        <v>80</v>
      </c>
      <c r="Q21" s="69">
        <f t="shared" si="13"/>
        <v>85</v>
      </c>
      <c r="R21" s="69">
        <f t="shared" si="14"/>
        <v>99</v>
      </c>
      <c r="S21" s="234">
        <f t="shared" si="15"/>
        <v>75</v>
      </c>
      <c r="T21" s="234">
        <f t="shared" si="16"/>
        <v>93</v>
      </c>
      <c r="U21" s="234">
        <f t="shared" si="17"/>
        <v>58</v>
      </c>
      <c r="V21" s="234">
        <f t="shared" si="18"/>
        <v>75</v>
      </c>
      <c r="W21" s="234">
        <f t="shared" si="19"/>
        <v>75</v>
      </c>
      <c r="X21" s="234">
        <f t="shared" si="20"/>
        <v>75</v>
      </c>
      <c r="Y21" s="70">
        <f t="shared" si="21"/>
        <v>1236</v>
      </c>
      <c r="Z21" s="71">
        <f t="shared" si="22"/>
        <v>82.4</v>
      </c>
      <c r="AA21" s="101">
        <f t="shared" si="23"/>
        <v>18</v>
      </c>
      <c r="AB21" s="73" t="s">
        <v>805</v>
      </c>
      <c r="AC21" s="73" t="s">
        <v>805</v>
      </c>
      <c r="AD21" s="73" t="s">
        <v>805</v>
      </c>
      <c r="AE21" s="74">
        <v>4</v>
      </c>
      <c r="AF21" s="74">
        <v>0</v>
      </c>
      <c r="AG21" s="74">
        <v>0</v>
      </c>
      <c r="AH21" s="75"/>
      <c r="AJ21" s="141">
        <v>3</v>
      </c>
      <c r="AK21" s="141">
        <v>24250059</v>
      </c>
      <c r="AL21" s="148" t="s">
        <v>619</v>
      </c>
      <c r="AM21" s="235">
        <v>73</v>
      </c>
      <c r="AN21" s="237">
        <v>83.5</v>
      </c>
      <c r="AO21" s="235">
        <v>83.5</v>
      </c>
      <c r="AP21" s="235">
        <v>73.699999999999989</v>
      </c>
      <c r="AQ21" s="235">
        <v>87.8</v>
      </c>
      <c r="AR21" s="235">
        <v>97</v>
      </c>
      <c r="AS21" s="235">
        <v>69</v>
      </c>
      <c r="AT21" s="235">
        <v>65</v>
      </c>
      <c r="AU21" s="235">
        <v>73.199999999999989</v>
      </c>
      <c r="AV21" s="235">
        <v>95.8</v>
      </c>
      <c r="AW21" s="76">
        <v>70</v>
      </c>
      <c r="AX21" s="76">
        <v>100</v>
      </c>
      <c r="AY21" s="76">
        <v>80</v>
      </c>
      <c r="AZ21" s="76">
        <v>85</v>
      </c>
      <c r="BA21" s="76">
        <v>100</v>
      </c>
      <c r="BB21" s="76">
        <v>75</v>
      </c>
      <c r="BC21" s="76">
        <v>92.5</v>
      </c>
      <c r="BD21" s="76">
        <v>57.5</v>
      </c>
      <c r="BE21" s="76">
        <v>75</v>
      </c>
      <c r="BF21" s="76">
        <v>75</v>
      </c>
      <c r="BG21" s="76">
        <v>75</v>
      </c>
      <c r="BH21" s="70">
        <f t="shared" si="24"/>
        <v>1236.5</v>
      </c>
      <c r="BI21" s="71">
        <f t="shared" si="25"/>
        <v>82.433333333333337</v>
      </c>
      <c r="BJ21" s="101" t="e">
        <f t="shared" si="26"/>
        <v>#N/A</v>
      </c>
      <c r="BK21" s="73"/>
      <c r="BL21" s="73"/>
      <c r="BM21" s="73"/>
      <c r="BN21" s="74"/>
      <c r="BO21" s="74"/>
      <c r="BP21" s="74"/>
      <c r="BQ21" s="75"/>
    </row>
    <row r="22" spans="1:69" ht="27.95" customHeight="1">
      <c r="A22" s="141">
        <v>19</v>
      </c>
      <c r="B22" s="141">
        <v>24250093</v>
      </c>
      <c r="C22" s="148" t="s">
        <v>638</v>
      </c>
      <c r="D22" s="68">
        <f t="shared" si="0"/>
        <v>78</v>
      </c>
      <c r="E22" s="68">
        <f t="shared" si="1"/>
        <v>83</v>
      </c>
      <c r="F22" s="68">
        <f t="shared" si="2"/>
        <v>80</v>
      </c>
      <c r="G22" s="68">
        <f t="shared" si="3"/>
        <v>78</v>
      </c>
      <c r="H22" s="68">
        <f t="shared" si="4"/>
        <v>86</v>
      </c>
      <c r="I22" s="68">
        <f t="shared" si="5"/>
        <v>84</v>
      </c>
      <c r="J22" s="68">
        <f t="shared" si="6"/>
        <v>68</v>
      </c>
      <c r="K22" s="68">
        <f t="shared" si="7"/>
        <v>59</v>
      </c>
      <c r="L22" s="68">
        <f t="shared" si="8"/>
        <v>76</v>
      </c>
      <c r="M22" s="68">
        <f t="shared" si="9"/>
        <v>89</v>
      </c>
      <c r="N22" s="69">
        <f t="shared" si="10"/>
        <v>90</v>
      </c>
      <c r="O22" s="69">
        <f t="shared" si="11"/>
        <v>80</v>
      </c>
      <c r="P22" s="69">
        <f t="shared" si="12"/>
        <v>90</v>
      </c>
      <c r="Q22" s="69">
        <f t="shared" si="13"/>
        <v>95</v>
      </c>
      <c r="R22" s="69">
        <f t="shared" si="14"/>
        <v>99</v>
      </c>
      <c r="S22" s="234">
        <f t="shared" si="15"/>
        <v>75</v>
      </c>
      <c r="T22" s="234">
        <f t="shared" si="16"/>
        <v>98</v>
      </c>
      <c r="U22" s="234">
        <f t="shared" si="17"/>
        <v>55</v>
      </c>
      <c r="V22" s="234">
        <f t="shared" si="18"/>
        <v>75</v>
      </c>
      <c r="W22" s="234">
        <f t="shared" si="19"/>
        <v>75</v>
      </c>
      <c r="X22" s="234">
        <f t="shared" si="20"/>
        <v>73</v>
      </c>
      <c r="Y22" s="70">
        <f t="shared" si="21"/>
        <v>1235</v>
      </c>
      <c r="Z22" s="71">
        <f t="shared" si="22"/>
        <v>82.333333333333329</v>
      </c>
      <c r="AA22" s="101">
        <f t="shared" si="23"/>
        <v>19</v>
      </c>
      <c r="AB22" s="73" t="s">
        <v>805</v>
      </c>
      <c r="AC22" s="73" t="s">
        <v>805</v>
      </c>
      <c r="AD22" s="73" t="s">
        <v>805</v>
      </c>
      <c r="AE22" s="74">
        <v>0</v>
      </c>
      <c r="AF22" s="74">
        <v>0</v>
      </c>
      <c r="AG22" s="74">
        <v>0</v>
      </c>
      <c r="AH22" s="75"/>
      <c r="AJ22" s="141">
        <v>24</v>
      </c>
      <c r="AK22" s="141">
        <v>24250093</v>
      </c>
      <c r="AL22" s="148" t="s">
        <v>638</v>
      </c>
      <c r="AM22" s="235">
        <v>78</v>
      </c>
      <c r="AN22" s="237">
        <v>82.5</v>
      </c>
      <c r="AO22" s="235">
        <v>80</v>
      </c>
      <c r="AP22" s="235">
        <v>78.3</v>
      </c>
      <c r="AQ22" s="235">
        <v>85.5</v>
      </c>
      <c r="AR22" s="235">
        <v>84</v>
      </c>
      <c r="AS22" s="235">
        <v>68</v>
      </c>
      <c r="AT22" s="235">
        <v>59</v>
      </c>
      <c r="AU22" s="235">
        <v>75.8</v>
      </c>
      <c r="AV22" s="235">
        <v>88.7</v>
      </c>
      <c r="AW22" s="76">
        <v>90</v>
      </c>
      <c r="AX22" s="76">
        <v>80</v>
      </c>
      <c r="AY22" s="76">
        <v>90</v>
      </c>
      <c r="AZ22" s="76">
        <v>95</v>
      </c>
      <c r="BA22" s="76">
        <v>100</v>
      </c>
      <c r="BB22" s="76">
        <v>75</v>
      </c>
      <c r="BC22" s="76">
        <v>97.5</v>
      </c>
      <c r="BD22" s="76">
        <v>55</v>
      </c>
      <c r="BE22" s="76">
        <v>75</v>
      </c>
      <c r="BF22" s="76">
        <v>75</v>
      </c>
      <c r="BG22" s="76">
        <v>72.5</v>
      </c>
      <c r="BH22" s="70">
        <f t="shared" si="24"/>
        <v>1234.8</v>
      </c>
      <c r="BI22" s="71">
        <f t="shared" si="25"/>
        <v>82.32</v>
      </c>
      <c r="BJ22" s="101" t="e">
        <f t="shared" si="26"/>
        <v>#N/A</v>
      </c>
      <c r="BK22" s="73"/>
      <c r="BL22" s="73"/>
      <c r="BM22" s="73"/>
      <c r="BN22" s="74"/>
      <c r="BO22" s="74"/>
      <c r="BP22" s="74"/>
      <c r="BQ22" s="75"/>
    </row>
    <row r="23" spans="1:69" ht="27.95" customHeight="1">
      <c r="A23" s="141">
        <v>20</v>
      </c>
      <c r="B23" s="141">
        <v>24250169</v>
      </c>
      <c r="C23" s="148" t="s">
        <v>636</v>
      </c>
      <c r="D23" s="68">
        <f t="shared" si="0"/>
        <v>72</v>
      </c>
      <c r="E23" s="68">
        <f t="shared" si="1"/>
        <v>98</v>
      </c>
      <c r="F23" s="68">
        <f t="shared" si="2"/>
        <v>88</v>
      </c>
      <c r="G23" s="68">
        <f t="shared" si="3"/>
        <v>76</v>
      </c>
      <c r="H23" s="68">
        <f t="shared" si="4"/>
        <v>84</v>
      </c>
      <c r="I23" s="68">
        <f t="shared" si="5"/>
        <v>66</v>
      </c>
      <c r="J23" s="68">
        <f t="shared" si="6"/>
        <v>70</v>
      </c>
      <c r="K23" s="68">
        <f t="shared" si="7"/>
        <v>58</v>
      </c>
      <c r="L23" s="68">
        <f t="shared" si="8"/>
        <v>82</v>
      </c>
      <c r="M23" s="68">
        <f t="shared" si="9"/>
        <v>87</v>
      </c>
      <c r="N23" s="69">
        <f t="shared" si="10"/>
        <v>80</v>
      </c>
      <c r="O23" s="69">
        <f t="shared" si="11"/>
        <v>99</v>
      </c>
      <c r="P23" s="69">
        <f t="shared" si="12"/>
        <v>75</v>
      </c>
      <c r="Q23" s="69">
        <f t="shared" si="13"/>
        <v>95</v>
      </c>
      <c r="R23" s="69">
        <f t="shared" si="14"/>
        <v>99</v>
      </c>
      <c r="S23" s="234">
        <f t="shared" si="15"/>
        <v>75</v>
      </c>
      <c r="T23" s="234">
        <f t="shared" si="16"/>
        <v>93</v>
      </c>
      <c r="U23" s="234">
        <f t="shared" si="17"/>
        <v>53</v>
      </c>
      <c r="V23" s="234">
        <f t="shared" si="18"/>
        <v>75</v>
      </c>
      <c r="W23" s="234">
        <f t="shared" si="19"/>
        <v>75</v>
      </c>
      <c r="X23" s="234">
        <f t="shared" si="20"/>
        <v>80</v>
      </c>
      <c r="Y23" s="70">
        <f t="shared" si="21"/>
        <v>1229</v>
      </c>
      <c r="Z23" s="71">
        <f t="shared" si="22"/>
        <v>81.933333333333337</v>
      </c>
      <c r="AA23" s="101">
        <f t="shared" si="23"/>
        <v>20</v>
      </c>
      <c r="AB23" s="73" t="s">
        <v>805</v>
      </c>
      <c r="AC23" s="73" t="s">
        <v>805</v>
      </c>
      <c r="AD23" s="73" t="s">
        <v>805</v>
      </c>
      <c r="AE23" s="74">
        <v>0</v>
      </c>
      <c r="AF23" s="74">
        <v>2</v>
      </c>
      <c r="AG23" s="74">
        <v>0</v>
      </c>
      <c r="AH23" s="75"/>
      <c r="AJ23" s="141">
        <v>22</v>
      </c>
      <c r="AK23" s="141">
        <v>24250169</v>
      </c>
      <c r="AL23" s="148" t="s">
        <v>636</v>
      </c>
      <c r="AM23" s="235">
        <v>72</v>
      </c>
      <c r="AN23" s="237">
        <v>97.5</v>
      </c>
      <c r="AO23" s="235">
        <v>88.2</v>
      </c>
      <c r="AP23" s="235">
        <v>76</v>
      </c>
      <c r="AQ23" s="235">
        <v>84.1</v>
      </c>
      <c r="AR23" s="235">
        <v>66</v>
      </c>
      <c r="AS23" s="235">
        <v>70</v>
      </c>
      <c r="AT23" s="235">
        <v>57.5</v>
      </c>
      <c r="AU23" s="235">
        <v>81.599999999999994</v>
      </c>
      <c r="AV23" s="235">
        <v>87.2</v>
      </c>
      <c r="AW23" s="76">
        <v>80</v>
      </c>
      <c r="AX23" s="76">
        <v>100</v>
      </c>
      <c r="AY23" s="76">
        <v>75</v>
      </c>
      <c r="AZ23" s="76">
        <v>95</v>
      </c>
      <c r="BA23" s="76">
        <v>100</v>
      </c>
      <c r="BB23" s="76">
        <v>75</v>
      </c>
      <c r="BC23" s="76">
        <v>92.5</v>
      </c>
      <c r="BD23" s="76">
        <v>52.5</v>
      </c>
      <c r="BE23" s="76">
        <v>75</v>
      </c>
      <c r="BF23" s="76">
        <v>75</v>
      </c>
      <c r="BG23" s="76">
        <v>80</v>
      </c>
      <c r="BH23" s="70">
        <f t="shared" si="24"/>
        <v>1230.0999999999999</v>
      </c>
      <c r="BI23" s="71">
        <f t="shared" si="25"/>
        <v>82.006666666666661</v>
      </c>
      <c r="BJ23" s="101" t="e">
        <f t="shared" si="26"/>
        <v>#N/A</v>
      </c>
      <c r="BK23" s="73"/>
      <c r="BL23" s="73"/>
      <c r="BM23" s="73"/>
      <c r="BN23" s="74"/>
      <c r="BO23" s="74"/>
      <c r="BP23" s="74"/>
      <c r="BQ23" s="75"/>
    </row>
    <row r="24" spans="1:69" ht="27.95" customHeight="1">
      <c r="A24" s="141">
        <v>21</v>
      </c>
      <c r="B24" s="141">
        <v>24250052</v>
      </c>
      <c r="C24" s="148" t="s">
        <v>640</v>
      </c>
      <c r="D24" s="68">
        <f t="shared" si="0"/>
        <v>78</v>
      </c>
      <c r="E24" s="68">
        <f t="shared" si="1"/>
        <v>83</v>
      </c>
      <c r="F24" s="68">
        <f t="shared" si="2"/>
        <v>78</v>
      </c>
      <c r="G24" s="68">
        <f t="shared" si="3"/>
        <v>51</v>
      </c>
      <c r="H24" s="68">
        <f t="shared" si="4"/>
        <v>83</v>
      </c>
      <c r="I24" s="68">
        <f t="shared" si="5"/>
        <v>81</v>
      </c>
      <c r="J24" s="68">
        <f t="shared" si="6"/>
        <v>64</v>
      </c>
      <c r="K24" s="68">
        <f t="shared" si="7"/>
        <v>70</v>
      </c>
      <c r="L24" s="68">
        <f t="shared" si="8"/>
        <v>75</v>
      </c>
      <c r="M24" s="68">
        <f t="shared" si="9"/>
        <v>81</v>
      </c>
      <c r="N24" s="69">
        <f t="shared" si="10"/>
        <v>70</v>
      </c>
      <c r="O24" s="69">
        <f t="shared" si="11"/>
        <v>95</v>
      </c>
      <c r="P24" s="69">
        <f t="shared" si="12"/>
        <v>80</v>
      </c>
      <c r="Q24" s="69">
        <f t="shared" si="13"/>
        <v>95</v>
      </c>
      <c r="R24" s="69">
        <f t="shared" si="14"/>
        <v>98</v>
      </c>
      <c r="S24" s="234">
        <f t="shared" si="15"/>
        <v>75</v>
      </c>
      <c r="T24" s="234">
        <f t="shared" si="16"/>
        <v>83</v>
      </c>
      <c r="U24" s="234">
        <f t="shared" si="17"/>
        <v>60</v>
      </c>
      <c r="V24" s="234">
        <f t="shared" si="18"/>
        <v>75</v>
      </c>
      <c r="W24" s="234">
        <f t="shared" si="19"/>
        <v>75</v>
      </c>
      <c r="X24" s="234">
        <f t="shared" si="20"/>
        <v>68</v>
      </c>
      <c r="Y24" s="70">
        <f t="shared" si="21"/>
        <v>1182</v>
      </c>
      <c r="Z24" s="71">
        <f t="shared" si="22"/>
        <v>78.8</v>
      </c>
      <c r="AA24" s="101">
        <f t="shared" si="23"/>
        <v>21</v>
      </c>
      <c r="AB24" s="73" t="s">
        <v>805</v>
      </c>
      <c r="AC24" s="73" t="s">
        <v>805</v>
      </c>
      <c r="AD24" s="73" t="s">
        <v>805</v>
      </c>
      <c r="AE24" s="74">
        <v>6</v>
      </c>
      <c r="AF24" s="74">
        <v>17</v>
      </c>
      <c r="AG24" s="74">
        <v>0</v>
      </c>
      <c r="AH24" s="75"/>
      <c r="AJ24" s="141">
        <v>26</v>
      </c>
      <c r="AK24" s="141">
        <v>24250052</v>
      </c>
      <c r="AL24" s="148" t="s">
        <v>640</v>
      </c>
      <c r="AM24" s="235">
        <v>77.5</v>
      </c>
      <c r="AN24" s="237">
        <v>82.5</v>
      </c>
      <c r="AO24" s="235">
        <v>77.5</v>
      </c>
      <c r="AP24" s="235">
        <v>50.5</v>
      </c>
      <c r="AQ24" s="235">
        <v>82.8</v>
      </c>
      <c r="AR24" s="235">
        <v>80.5</v>
      </c>
      <c r="AS24" s="235">
        <v>64</v>
      </c>
      <c r="AT24" s="235">
        <v>70</v>
      </c>
      <c r="AU24" s="235">
        <v>75.3</v>
      </c>
      <c r="AV24" s="235">
        <v>80.5</v>
      </c>
      <c r="AW24" s="76">
        <v>70</v>
      </c>
      <c r="AX24" s="76">
        <v>95</v>
      </c>
      <c r="AY24" s="76">
        <v>80</v>
      </c>
      <c r="AZ24" s="76">
        <v>95</v>
      </c>
      <c r="BA24" s="76">
        <v>98</v>
      </c>
      <c r="BB24" s="76">
        <v>75</v>
      </c>
      <c r="BC24" s="76">
        <v>82.5</v>
      </c>
      <c r="BD24" s="76">
        <v>60</v>
      </c>
      <c r="BE24" s="76">
        <v>75</v>
      </c>
      <c r="BF24" s="76">
        <v>75</v>
      </c>
      <c r="BG24" s="76">
        <v>67.5</v>
      </c>
      <c r="BH24" s="70">
        <f t="shared" si="24"/>
        <v>1179.0999999999999</v>
      </c>
      <c r="BI24" s="71">
        <f t="shared" si="25"/>
        <v>78.606666666666655</v>
      </c>
      <c r="BJ24" s="101" t="e">
        <f t="shared" si="26"/>
        <v>#N/A</v>
      </c>
      <c r="BK24" s="73"/>
      <c r="BL24" s="73"/>
      <c r="BM24" s="73"/>
      <c r="BN24" s="74"/>
      <c r="BO24" s="74"/>
      <c r="BP24" s="74"/>
      <c r="BQ24" s="75"/>
    </row>
    <row r="25" spans="1:69" ht="27.95" customHeight="1">
      <c r="A25" s="141">
        <v>22</v>
      </c>
      <c r="B25" s="141">
        <v>24250053</v>
      </c>
      <c r="C25" s="148" t="s">
        <v>617</v>
      </c>
      <c r="D25" s="68">
        <f t="shared" si="0"/>
        <v>63</v>
      </c>
      <c r="E25" s="68">
        <f t="shared" si="1"/>
        <v>92</v>
      </c>
      <c r="F25" s="68">
        <f t="shared" si="2"/>
        <v>81</v>
      </c>
      <c r="G25" s="68">
        <f t="shared" si="3"/>
        <v>48</v>
      </c>
      <c r="H25" s="68">
        <f t="shared" si="4"/>
        <v>86</v>
      </c>
      <c r="I25" s="68">
        <f t="shared" si="5"/>
        <v>81</v>
      </c>
      <c r="J25" s="68">
        <f t="shared" si="6"/>
        <v>69</v>
      </c>
      <c r="K25" s="68">
        <f t="shared" si="7"/>
        <v>58</v>
      </c>
      <c r="L25" s="68">
        <f t="shared" si="8"/>
        <v>71</v>
      </c>
      <c r="M25" s="68">
        <f t="shared" si="9"/>
        <v>73</v>
      </c>
      <c r="N25" s="69">
        <f t="shared" si="10"/>
        <v>85</v>
      </c>
      <c r="O25" s="69">
        <f t="shared" si="11"/>
        <v>85</v>
      </c>
      <c r="P25" s="69">
        <f t="shared" si="12"/>
        <v>99</v>
      </c>
      <c r="Q25" s="69">
        <f t="shared" si="13"/>
        <v>90</v>
      </c>
      <c r="R25" s="69">
        <f t="shared" si="14"/>
        <v>99</v>
      </c>
      <c r="S25" s="234">
        <f t="shared" si="15"/>
        <v>75</v>
      </c>
      <c r="T25" s="234">
        <f t="shared" si="16"/>
        <v>90</v>
      </c>
      <c r="U25" s="234">
        <f t="shared" si="17"/>
        <v>68</v>
      </c>
      <c r="V25" s="234">
        <f t="shared" si="18"/>
        <v>75</v>
      </c>
      <c r="W25" s="234">
        <f t="shared" si="19"/>
        <v>75</v>
      </c>
      <c r="X25" s="234">
        <f t="shared" si="20"/>
        <v>88</v>
      </c>
      <c r="Y25" s="70">
        <f t="shared" si="21"/>
        <v>1180</v>
      </c>
      <c r="Z25" s="71">
        <f t="shared" si="22"/>
        <v>78.666666666666671</v>
      </c>
      <c r="AA25" s="101">
        <f t="shared" si="23"/>
        <v>22</v>
      </c>
      <c r="AB25" s="73" t="s">
        <v>805</v>
      </c>
      <c r="AC25" s="73" t="s">
        <v>805</v>
      </c>
      <c r="AD25" s="73" t="s">
        <v>805</v>
      </c>
      <c r="AE25" s="74">
        <v>4</v>
      </c>
      <c r="AF25" s="74">
        <v>0</v>
      </c>
      <c r="AG25" s="74">
        <v>0</v>
      </c>
      <c r="AH25" s="75"/>
      <c r="AJ25" s="141">
        <v>1</v>
      </c>
      <c r="AK25" s="141">
        <v>24250053</v>
      </c>
      <c r="AL25" s="148" t="s">
        <v>617</v>
      </c>
      <c r="AM25" s="235">
        <v>62.5</v>
      </c>
      <c r="AN25" s="237">
        <v>91.5</v>
      </c>
      <c r="AO25" s="235">
        <v>80.5</v>
      </c>
      <c r="AP25" s="235">
        <v>48</v>
      </c>
      <c r="AQ25" s="235">
        <v>85.5</v>
      </c>
      <c r="AR25" s="235">
        <v>81</v>
      </c>
      <c r="AS25" s="235">
        <v>68.5</v>
      </c>
      <c r="AT25" s="235">
        <v>57.5</v>
      </c>
      <c r="AU25" s="235">
        <v>71.400000000000006</v>
      </c>
      <c r="AV25" s="235">
        <v>73</v>
      </c>
      <c r="AW25" s="76">
        <v>85</v>
      </c>
      <c r="AX25" s="76">
        <v>85</v>
      </c>
      <c r="AY25" s="76">
        <v>99</v>
      </c>
      <c r="AZ25" s="76">
        <v>90</v>
      </c>
      <c r="BA25" s="76">
        <v>100</v>
      </c>
      <c r="BB25" s="76">
        <v>75</v>
      </c>
      <c r="BC25" s="76">
        <v>90</v>
      </c>
      <c r="BD25" s="76">
        <v>67.5</v>
      </c>
      <c r="BE25" s="76">
        <v>75</v>
      </c>
      <c r="BF25" s="76">
        <v>75</v>
      </c>
      <c r="BG25" s="76">
        <v>87.5</v>
      </c>
      <c r="BH25" s="70">
        <f t="shared" si="24"/>
        <v>1178.4000000000001</v>
      </c>
      <c r="BI25" s="71">
        <f t="shared" si="25"/>
        <v>78.56</v>
      </c>
      <c r="BJ25" s="101" t="e">
        <f t="shared" si="26"/>
        <v>#N/A</v>
      </c>
      <c r="BK25" s="73"/>
      <c r="BL25" s="73"/>
      <c r="BM25" s="73"/>
      <c r="BN25" s="74"/>
      <c r="BO25" s="74"/>
      <c r="BP25" s="74"/>
      <c r="BQ25" s="75"/>
    </row>
    <row r="26" spans="1:69" ht="27.95" customHeight="1">
      <c r="A26" s="141">
        <v>23</v>
      </c>
      <c r="B26" s="141">
        <v>24250025</v>
      </c>
      <c r="C26" s="149" t="s">
        <v>635</v>
      </c>
      <c r="D26" s="68">
        <f t="shared" si="0"/>
        <v>79</v>
      </c>
      <c r="E26" s="68">
        <f t="shared" si="1"/>
        <v>80</v>
      </c>
      <c r="F26" s="68">
        <f t="shared" si="2"/>
        <v>75</v>
      </c>
      <c r="G26" s="68">
        <f t="shared" si="3"/>
        <v>43</v>
      </c>
      <c r="H26" s="68">
        <f t="shared" si="4"/>
        <v>86</v>
      </c>
      <c r="I26" s="68">
        <f t="shared" si="5"/>
        <v>66</v>
      </c>
      <c r="J26" s="68">
        <f t="shared" si="6"/>
        <v>67</v>
      </c>
      <c r="K26" s="68">
        <f t="shared" si="7"/>
        <v>59</v>
      </c>
      <c r="L26" s="68">
        <f t="shared" si="8"/>
        <v>89</v>
      </c>
      <c r="M26" s="68">
        <f t="shared" si="9"/>
        <v>78</v>
      </c>
      <c r="N26" s="69">
        <f t="shared" si="10"/>
        <v>80</v>
      </c>
      <c r="O26" s="69">
        <f t="shared" si="11"/>
        <v>87</v>
      </c>
      <c r="P26" s="69">
        <f t="shared" si="12"/>
        <v>78</v>
      </c>
      <c r="Q26" s="69">
        <f t="shared" si="13"/>
        <v>95</v>
      </c>
      <c r="R26" s="69">
        <f t="shared" si="14"/>
        <v>98</v>
      </c>
      <c r="S26" s="234">
        <f t="shared" si="15"/>
        <v>75</v>
      </c>
      <c r="T26" s="234">
        <f t="shared" si="16"/>
        <v>93</v>
      </c>
      <c r="U26" s="234">
        <f t="shared" si="17"/>
        <v>58</v>
      </c>
      <c r="V26" s="234">
        <f t="shared" si="18"/>
        <v>75</v>
      </c>
      <c r="W26" s="234">
        <f t="shared" si="19"/>
        <v>75</v>
      </c>
      <c r="X26" s="234">
        <f t="shared" si="20"/>
        <v>85</v>
      </c>
      <c r="Y26" s="70">
        <f t="shared" si="21"/>
        <v>1160</v>
      </c>
      <c r="Z26" s="71">
        <f t="shared" si="22"/>
        <v>77.333333333333329</v>
      </c>
      <c r="AA26" s="101">
        <f t="shared" si="23"/>
        <v>23</v>
      </c>
      <c r="AB26" s="73" t="s">
        <v>805</v>
      </c>
      <c r="AC26" s="73" t="s">
        <v>805</v>
      </c>
      <c r="AD26" s="73" t="s">
        <v>805</v>
      </c>
      <c r="AE26" s="74">
        <v>7</v>
      </c>
      <c r="AF26" s="74">
        <v>0</v>
      </c>
      <c r="AG26" s="74">
        <v>0</v>
      </c>
      <c r="AH26" s="75"/>
      <c r="AJ26" s="141">
        <v>21</v>
      </c>
      <c r="AK26" s="141">
        <v>24250025</v>
      </c>
      <c r="AL26" s="149" t="s">
        <v>635</v>
      </c>
      <c r="AM26" s="235">
        <v>78.5</v>
      </c>
      <c r="AN26" s="237">
        <v>79.5</v>
      </c>
      <c r="AO26" s="235">
        <v>74.5</v>
      </c>
      <c r="AP26" s="235">
        <v>43</v>
      </c>
      <c r="AQ26" s="235">
        <v>86</v>
      </c>
      <c r="AR26" s="235">
        <v>65.5</v>
      </c>
      <c r="AS26" s="235">
        <v>67</v>
      </c>
      <c r="AT26" s="235">
        <v>58.5</v>
      </c>
      <c r="AU26" s="235">
        <v>89.4</v>
      </c>
      <c r="AV26" s="235">
        <v>77.900000000000006</v>
      </c>
      <c r="AW26" s="76">
        <v>80</v>
      </c>
      <c r="AX26" s="76">
        <v>87</v>
      </c>
      <c r="AY26" s="76">
        <v>78</v>
      </c>
      <c r="AZ26" s="76">
        <v>95</v>
      </c>
      <c r="BA26" s="76">
        <v>98</v>
      </c>
      <c r="BB26" s="76">
        <v>75</v>
      </c>
      <c r="BC26" s="76">
        <v>92.5</v>
      </c>
      <c r="BD26" s="76">
        <v>57.5</v>
      </c>
      <c r="BE26" s="76">
        <v>75</v>
      </c>
      <c r="BF26" s="76">
        <v>75</v>
      </c>
      <c r="BG26" s="76">
        <v>85</v>
      </c>
      <c r="BH26" s="70">
        <f t="shared" si="24"/>
        <v>1157.8</v>
      </c>
      <c r="BI26" s="71">
        <f t="shared" si="25"/>
        <v>77.186666666666667</v>
      </c>
      <c r="BJ26" s="101" t="e">
        <f t="shared" si="26"/>
        <v>#N/A</v>
      </c>
      <c r="BK26" s="73"/>
      <c r="BL26" s="73"/>
      <c r="BM26" s="73"/>
      <c r="BN26" s="74"/>
      <c r="BO26" s="74"/>
      <c r="BP26" s="74"/>
      <c r="BQ26" s="75"/>
    </row>
    <row r="27" spans="1:69" ht="27.95" customHeight="1">
      <c r="A27" s="141">
        <v>24</v>
      </c>
      <c r="B27" s="141">
        <v>24250162</v>
      </c>
      <c r="C27" s="148" t="s">
        <v>622</v>
      </c>
      <c r="D27" s="68">
        <f t="shared" si="0"/>
        <v>72</v>
      </c>
      <c r="E27" s="68">
        <f t="shared" si="1"/>
        <v>74</v>
      </c>
      <c r="F27" s="68">
        <f t="shared" si="2"/>
        <v>74</v>
      </c>
      <c r="G27" s="68">
        <f t="shared" si="3"/>
        <v>46</v>
      </c>
      <c r="H27" s="68">
        <f t="shared" si="4"/>
        <v>86</v>
      </c>
      <c r="I27" s="68">
        <f t="shared" si="5"/>
        <v>84</v>
      </c>
      <c r="J27" s="68">
        <f t="shared" si="6"/>
        <v>74</v>
      </c>
      <c r="K27" s="68">
        <f t="shared" si="7"/>
        <v>45</v>
      </c>
      <c r="L27" s="68">
        <f t="shared" si="8"/>
        <v>77</v>
      </c>
      <c r="M27" s="68">
        <f t="shared" si="9"/>
        <v>84</v>
      </c>
      <c r="N27" s="69">
        <f t="shared" si="10"/>
        <v>75</v>
      </c>
      <c r="O27" s="69">
        <f t="shared" si="11"/>
        <v>99</v>
      </c>
      <c r="P27" s="69">
        <f t="shared" si="12"/>
        <v>75</v>
      </c>
      <c r="Q27" s="69">
        <f t="shared" si="13"/>
        <v>85</v>
      </c>
      <c r="R27" s="69">
        <f t="shared" si="14"/>
        <v>97</v>
      </c>
      <c r="S27" s="234">
        <f t="shared" si="15"/>
        <v>75</v>
      </c>
      <c r="T27" s="234">
        <f t="shared" si="16"/>
        <v>73</v>
      </c>
      <c r="U27" s="234">
        <f t="shared" si="17"/>
        <v>75</v>
      </c>
      <c r="V27" s="234">
        <f t="shared" si="18"/>
        <v>75</v>
      </c>
      <c r="W27" s="234">
        <f t="shared" si="19"/>
        <v>75</v>
      </c>
      <c r="X27" s="234">
        <f t="shared" si="20"/>
        <v>70</v>
      </c>
      <c r="Y27" s="70">
        <f t="shared" si="21"/>
        <v>1147</v>
      </c>
      <c r="Z27" s="71">
        <f t="shared" si="22"/>
        <v>76.466666666666669</v>
      </c>
      <c r="AA27" s="101">
        <f t="shared" si="23"/>
        <v>24</v>
      </c>
      <c r="AB27" s="73" t="s">
        <v>805</v>
      </c>
      <c r="AC27" s="73" t="s">
        <v>805</v>
      </c>
      <c r="AD27" s="73" t="s">
        <v>805</v>
      </c>
      <c r="AE27" s="74">
        <v>0</v>
      </c>
      <c r="AF27" s="74">
        <v>0</v>
      </c>
      <c r="AG27" s="74">
        <v>0</v>
      </c>
      <c r="AH27" s="75"/>
      <c r="AJ27" s="141">
        <v>6</v>
      </c>
      <c r="AK27" s="141">
        <v>24250162</v>
      </c>
      <c r="AL27" s="148" t="s">
        <v>622</v>
      </c>
      <c r="AM27" s="235">
        <v>71.5</v>
      </c>
      <c r="AN27" s="237">
        <v>73.5</v>
      </c>
      <c r="AO27" s="235">
        <v>74.399999999999991</v>
      </c>
      <c r="AP27" s="235">
        <v>45.5</v>
      </c>
      <c r="AQ27" s="235">
        <v>86.3</v>
      </c>
      <c r="AR27" s="235">
        <v>83.5</v>
      </c>
      <c r="AS27" s="235">
        <v>73.5</v>
      </c>
      <c r="AT27" s="235">
        <v>45</v>
      </c>
      <c r="AU27" s="235">
        <v>76.7</v>
      </c>
      <c r="AV27" s="235">
        <v>84</v>
      </c>
      <c r="AW27" s="76">
        <v>75</v>
      </c>
      <c r="AX27" s="76">
        <v>100</v>
      </c>
      <c r="AY27" s="76">
        <v>75</v>
      </c>
      <c r="AZ27" s="76">
        <v>85</v>
      </c>
      <c r="BA27" s="76">
        <v>97</v>
      </c>
      <c r="BB27" s="76">
        <v>75</v>
      </c>
      <c r="BC27" s="76">
        <v>72.5</v>
      </c>
      <c r="BD27" s="76">
        <v>75</v>
      </c>
      <c r="BE27" s="76">
        <v>75</v>
      </c>
      <c r="BF27" s="76">
        <v>75</v>
      </c>
      <c r="BG27" s="76">
        <v>70</v>
      </c>
      <c r="BH27" s="70">
        <f t="shared" si="24"/>
        <v>1145.9000000000001</v>
      </c>
      <c r="BI27" s="71">
        <f t="shared" si="25"/>
        <v>76.393333333333345</v>
      </c>
      <c r="BJ27" s="101" t="e">
        <f t="shared" si="26"/>
        <v>#N/A</v>
      </c>
      <c r="BK27" s="73"/>
      <c r="BL27" s="73"/>
      <c r="BM27" s="73"/>
      <c r="BN27" s="74"/>
      <c r="BO27" s="74"/>
      <c r="BP27" s="74"/>
      <c r="BQ27" s="75"/>
    </row>
    <row r="28" spans="1:69" ht="27.95" customHeight="1">
      <c r="A28" s="141">
        <v>25</v>
      </c>
      <c r="B28" s="141">
        <v>24250018</v>
      </c>
      <c r="C28" s="150" t="s">
        <v>623</v>
      </c>
      <c r="D28" s="68">
        <f t="shared" si="0"/>
        <v>69</v>
      </c>
      <c r="E28" s="68">
        <f t="shared" si="1"/>
        <v>74</v>
      </c>
      <c r="F28" s="68">
        <f t="shared" si="2"/>
        <v>76</v>
      </c>
      <c r="G28" s="68">
        <f t="shared" si="3"/>
        <v>40</v>
      </c>
      <c r="H28" s="68">
        <f t="shared" si="4"/>
        <v>80</v>
      </c>
      <c r="I28" s="68">
        <f t="shared" si="5"/>
        <v>84</v>
      </c>
      <c r="J28" s="68">
        <f t="shared" si="6"/>
        <v>74</v>
      </c>
      <c r="K28" s="68">
        <f t="shared" si="7"/>
        <v>58</v>
      </c>
      <c r="L28" s="68">
        <f t="shared" si="8"/>
        <v>71</v>
      </c>
      <c r="M28" s="68">
        <f t="shared" si="9"/>
        <v>76</v>
      </c>
      <c r="N28" s="69">
        <f t="shared" si="10"/>
        <v>75</v>
      </c>
      <c r="O28" s="69">
        <f t="shared" si="11"/>
        <v>99</v>
      </c>
      <c r="P28" s="69">
        <f t="shared" si="12"/>
        <v>75</v>
      </c>
      <c r="Q28" s="69">
        <f t="shared" si="13"/>
        <v>85</v>
      </c>
      <c r="R28" s="69">
        <f t="shared" si="14"/>
        <v>99</v>
      </c>
      <c r="S28" s="234">
        <f t="shared" si="15"/>
        <v>75</v>
      </c>
      <c r="T28" s="234">
        <f t="shared" si="16"/>
        <v>88</v>
      </c>
      <c r="U28" s="234">
        <f t="shared" si="17"/>
        <v>60</v>
      </c>
      <c r="V28" s="234">
        <f t="shared" si="18"/>
        <v>75</v>
      </c>
      <c r="W28" s="234">
        <f t="shared" si="19"/>
        <v>75</v>
      </c>
      <c r="X28" s="234">
        <f t="shared" si="20"/>
        <v>85</v>
      </c>
      <c r="Y28" s="70">
        <f t="shared" si="21"/>
        <v>1135</v>
      </c>
      <c r="Z28" s="71">
        <f t="shared" si="22"/>
        <v>75.666666666666671</v>
      </c>
      <c r="AA28" s="101">
        <f t="shared" si="23"/>
        <v>25</v>
      </c>
      <c r="AB28" s="73" t="s">
        <v>805</v>
      </c>
      <c r="AC28" s="73" t="s">
        <v>805</v>
      </c>
      <c r="AD28" s="73" t="s">
        <v>805</v>
      </c>
      <c r="AE28" s="74">
        <v>0</v>
      </c>
      <c r="AF28" s="74">
        <v>0</v>
      </c>
      <c r="AG28" s="74">
        <v>0</v>
      </c>
      <c r="AH28" s="75"/>
      <c r="AJ28" s="141">
        <v>8</v>
      </c>
      <c r="AK28" s="141">
        <v>24250018</v>
      </c>
      <c r="AL28" s="150" t="s">
        <v>623</v>
      </c>
      <c r="AM28" s="236">
        <v>69</v>
      </c>
      <c r="AN28" s="237">
        <v>73.5</v>
      </c>
      <c r="AO28" s="236">
        <v>75.699999999999989</v>
      </c>
      <c r="AP28" s="236">
        <v>38.5</v>
      </c>
      <c r="AQ28" s="236">
        <v>79.5</v>
      </c>
      <c r="AR28" s="236">
        <v>83.5</v>
      </c>
      <c r="AS28" s="236">
        <v>74</v>
      </c>
      <c r="AT28" s="236">
        <v>57.5</v>
      </c>
      <c r="AU28" s="236">
        <v>71</v>
      </c>
      <c r="AV28" s="236">
        <v>76</v>
      </c>
      <c r="AW28" s="76">
        <v>75</v>
      </c>
      <c r="AX28" s="76">
        <v>100</v>
      </c>
      <c r="AY28" s="76">
        <v>75</v>
      </c>
      <c r="AZ28" s="76">
        <v>85</v>
      </c>
      <c r="BA28" s="76">
        <v>100</v>
      </c>
      <c r="BB28" s="76">
        <v>75</v>
      </c>
      <c r="BC28" s="76">
        <v>87.5</v>
      </c>
      <c r="BD28" s="76">
        <v>60</v>
      </c>
      <c r="BE28" s="76">
        <v>75</v>
      </c>
      <c r="BF28" s="76">
        <v>75</v>
      </c>
      <c r="BG28" s="76">
        <v>85</v>
      </c>
      <c r="BH28" s="70">
        <f t="shared" si="24"/>
        <v>1133.2</v>
      </c>
      <c r="BI28" s="71">
        <f t="shared" si="25"/>
        <v>75.546666666666667</v>
      </c>
      <c r="BJ28" s="101" t="e">
        <f t="shared" si="26"/>
        <v>#N/A</v>
      </c>
      <c r="BK28" s="73"/>
      <c r="BL28" s="73"/>
      <c r="BM28" s="73"/>
      <c r="BN28" s="74"/>
      <c r="BO28" s="74"/>
      <c r="BP28" s="74"/>
      <c r="BQ28" s="75"/>
    </row>
    <row r="29" spans="1:69" ht="27.95" customHeight="1">
      <c r="A29" s="141">
        <v>26</v>
      </c>
      <c r="B29" s="141">
        <v>24250026</v>
      </c>
      <c r="C29" s="148" t="s">
        <v>628</v>
      </c>
      <c r="D29" s="68">
        <f t="shared" si="0"/>
        <v>67</v>
      </c>
      <c r="E29" s="68">
        <f t="shared" si="1"/>
        <v>86</v>
      </c>
      <c r="F29" s="68">
        <f t="shared" si="2"/>
        <v>75</v>
      </c>
      <c r="G29" s="68">
        <f t="shared" si="3"/>
        <v>51</v>
      </c>
      <c r="H29" s="68">
        <f t="shared" si="4"/>
        <v>85</v>
      </c>
      <c r="I29" s="68">
        <f t="shared" si="5"/>
        <v>66</v>
      </c>
      <c r="J29" s="68">
        <f t="shared" si="6"/>
        <v>60</v>
      </c>
      <c r="K29" s="68">
        <f t="shared" si="7"/>
        <v>68</v>
      </c>
      <c r="L29" s="68">
        <f t="shared" si="8"/>
        <v>70</v>
      </c>
      <c r="M29" s="68">
        <f t="shared" si="9"/>
        <v>94</v>
      </c>
      <c r="N29" s="69">
        <f t="shared" si="10"/>
        <v>70</v>
      </c>
      <c r="O29" s="69">
        <f t="shared" si="11"/>
        <v>80</v>
      </c>
      <c r="P29" s="69">
        <f t="shared" si="12"/>
        <v>70</v>
      </c>
      <c r="Q29" s="69">
        <f t="shared" si="13"/>
        <v>85</v>
      </c>
      <c r="R29" s="69">
        <f t="shared" si="14"/>
        <v>97</v>
      </c>
      <c r="S29" s="234">
        <f t="shared" si="15"/>
        <v>75</v>
      </c>
      <c r="T29" s="234">
        <f t="shared" si="16"/>
        <v>90</v>
      </c>
      <c r="U29" s="234">
        <f t="shared" si="17"/>
        <v>63</v>
      </c>
      <c r="V29" s="234">
        <f t="shared" si="18"/>
        <v>75</v>
      </c>
      <c r="W29" s="234">
        <f t="shared" si="19"/>
        <v>75</v>
      </c>
      <c r="X29" s="234">
        <f t="shared" si="20"/>
        <v>70</v>
      </c>
      <c r="Y29" s="70">
        <f t="shared" si="21"/>
        <v>1124</v>
      </c>
      <c r="Z29" s="71">
        <f t="shared" si="22"/>
        <v>74.933333333333337</v>
      </c>
      <c r="AA29" s="101">
        <f t="shared" si="23"/>
        <v>26</v>
      </c>
      <c r="AB29" s="73" t="s">
        <v>805</v>
      </c>
      <c r="AC29" s="73" t="s">
        <v>805</v>
      </c>
      <c r="AD29" s="73" t="s">
        <v>805</v>
      </c>
      <c r="AE29" s="74">
        <v>30</v>
      </c>
      <c r="AF29" s="74">
        <v>0</v>
      </c>
      <c r="AG29" s="74">
        <v>1</v>
      </c>
      <c r="AH29" s="75"/>
      <c r="AJ29" s="141">
        <v>13</v>
      </c>
      <c r="AK29" s="141">
        <v>24250026</v>
      </c>
      <c r="AL29" s="148" t="s">
        <v>628</v>
      </c>
      <c r="AM29" s="235">
        <v>67</v>
      </c>
      <c r="AN29" s="237">
        <v>85.5</v>
      </c>
      <c r="AO29" s="235">
        <v>74.699999999999989</v>
      </c>
      <c r="AP29" s="235">
        <v>51</v>
      </c>
      <c r="AQ29" s="235">
        <v>84.5</v>
      </c>
      <c r="AR29" s="235">
        <v>65.5</v>
      </c>
      <c r="AS29" s="235">
        <v>60</v>
      </c>
      <c r="AT29" s="235">
        <v>68</v>
      </c>
      <c r="AU29" s="235">
        <v>70.400000000000006</v>
      </c>
      <c r="AV29" s="235">
        <v>94.199999999999989</v>
      </c>
      <c r="AW29" s="76">
        <v>70</v>
      </c>
      <c r="AX29" s="76">
        <v>80</v>
      </c>
      <c r="AY29" s="76">
        <v>70</v>
      </c>
      <c r="AZ29" s="76">
        <v>85</v>
      </c>
      <c r="BA29" s="76">
        <v>97</v>
      </c>
      <c r="BB29" s="76">
        <v>75</v>
      </c>
      <c r="BC29" s="76">
        <v>90</v>
      </c>
      <c r="BD29" s="76">
        <v>62.5</v>
      </c>
      <c r="BE29" s="76">
        <v>75</v>
      </c>
      <c r="BF29" s="76">
        <v>75</v>
      </c>
      <c r="BG29" s="76">
        <v>70</v>
      </c>
      <c r="BH29" s="70">
        <f t="shared" si="24"/>
        <v>1122.8</v>
      </c>
      <c r="BI29" s="71">
        <f t="shared" si="25"/>
        <v>74.853333333333325</v>
      </c>
      <c r="BJ29" s="101" t="e">
        <f t="shared" si="26"/>
        <v>#N/A</v>
      </c>
      <c r="BK29" s="73"/>
      <c r="BL29" s="73"/>
      <c r="BM29" s="73"/>
      <c r="BN29" s="74"/>
      <c r="BO29" s="74"/>
      <c r="BP29" s="74"/>
      <c r="BQ29" s="75"/>
    </row>
    <row r="30" spans="1:69" ht="27.95" customHeight="1">
      <c r="A30" s="141">
        <v>27</v>
      </c>
      <c r="B30" s="141">
        <v>24250064</v>
      </c>
      <c r="C30" s="150" t="s">
        <v>627</v>
      </c>
      <c r="D30" s="68">
        <f t="shared" si="0"/>
        <v>66</v>
      </c>
      <c r="E30" s="68">
        <f t="shared" si="1"/>
        <v>74</v>
      </c>
      <c r="F30" s="68">
        <f t="shared" si="2"/>
        <v>71</v>
      </c>
      <c r="G30" s="68">
        <f t="shared" si="3"/>
        <v>57</v>
      </c>
      <c r="H30" s="68">
        <f t="shared" si="4"/>
        <v>63</v>
      </c>
      <c r="I30" s="68">
        <f t="shared" si="5"/>
        <v>78</v>
      </c>
      <c r="J30" s="68">
        <f t="shared" si="6"/>
        <v>66</v>
      </c>
      <c r="K30" s="68">
        <f t="shared" si="7"/>
        <v>73</v>
      </c>
      <c r="L30" s="68">
        <f t="shared" si="8"/>
        <v>69</v>
      </c>
      <c r="M30" s="68">
        <f t="shared" si="9"/>
        <v>78</v>
      </c>
      <c r="N30" s="69">
        <f t="shared" si="10"/>
        <v>70</v>
      </c>
      <c r="O30" s="69">
        <f t="shared" si="11"/>
        <v>99</v>
      </c>
      <c r="P30" s="69">
        <f t="shared" si="12"/>
        <v>75</v>
      </c>
      <c r="Q30" s="69">
        <f t="shared" si="13"/>
        <v>85</v>
      </c>
      <c r="R30" s="69">
        <f t="shared" si="14"/>
        <v>98</v>
      </c>
      <c r="S30" s="234">
        <f t="shared" si="15"/>
        <v>75</v>
      </c>
      <c r="T30" s="234">
        <f t="shared" si="16"/>
        <v>88</v>
      </c>
      <c r="U30" s="234">
        <f t="shared" si="17"/>
        <v>73</v>
      </c>
      <c r="V30" s="234">
        <f t="shared" si="18"/>
        <v>75</v>
      </c>
      <c r="W30" s="234">
        <f t="shared" si="19"/>
        <v>75</v>
      </c>
      <c r="X30" s="234">
        <f t="shared" si="20"/>
        <v>78</v>
      </c>
      <c r="Y30" s="70">
        <f t="shared" si="21"/>
        <v>1122</v>
      </c>
      <c r="Z30" s="71">
        <f t="shared" si="22"/>
        <v>74.8</v>
      </c>
      <c r="AA30" s="101">
        <f t="shared" si="23"/>
        <v>27</v>
      </c>
      <c r="AB30" s="73" t="s">
        <v>805</v>
      </c>
      <c r="AC30" s="73" t="s">
        <v>805</v>
      </c>
      <c r="AD30" s="73" t="s">
        <v>805</v>
      </c>
      <c r="AE30" s="74">
        <v>6</v>
      </c>
      <c r="AF30" s="74">
        <v>0</v>
      </c>
      <c r="AG30" s="74">
        <v>0</v>
      </c>
      <c r="AH30" s="75"/>
      <c r="AJ30" s="141">
        <v>12</v>
      </c>
      <c r="AK30" s="141">
        <v>24250064</v>
      </c>
      <c r="AL30" s="150" t="s">
        <v>627</v>
      </c>
      <c r="AM30" s="235">
        <v>65.5</v>
      </c>
      <c r="AN30" s="237">
        <v>73.5</v>
      </c>
      <c r="AO30" s="235">
        <v>71</v>
      </c>
      <c r="AP30" s="235">
        <v>56.5</v>
      </c>
      <c r="AQ30" s="235">
        <v>62.5</v>
      </c>
      <c r="AR30" s="235">
        <v>77.5</v>
      </c>
      <c r="AS30" s="235">
        <v>66</v>
      </c>
      <c r="AT30" s="235">
        <v>73</v>
      </c>
      <c r="AU30" s="235">
        <v>68.8</v>
      </c>
      <c r="AV30" s="235">
        <v>78.3</v>
      </c>
      <c r="AW30" s="76">
        <v>70</v>
      </c>
      <c r="AX30" s="76">
        <v>100</v>
      </c>
      <c r="AY30" s="76">
        <v>75</v>
      </c>
      <c r="AZ30" s="76">
        <v>85</v>
      </c>
      <c r="BA30" s="76">
        <v>98</v>
      </c>
      <c r="BB30" s="76">
        <v>75</v>
      </c>
      <c r="BC30" s="76">
        <v>87.5</v>
      </c>
      <c r="BD30" s="76">
        <v>72.5</v>
      </c>
      <c r="BE30" s="76">
        <v>75</v>
      </c>
      <c r="BF30" s="76">
        <v>75</v>
      </c>
      <c r="BG30" s="76">
        <v>77.5</v>
      </c>
      <c r="BH30" s="70">
        <f t="shared" si="24"/>
        <v>1120.5999999999999</v>
      </c>
      <c r="BI30" s="71">
        <f t="shared" si="25"/>
        <v>74.706666666666663</v>
      </c>
      <c r="BJ30" s="101" t="e">
        <f t="shared" si="26"/>
        <v>#N/A</v>
      </c>
      <c r="BK30" s="73"/>
      <c r="BL30" s="73"/>
      <c r="BM30" s="73"/>
      <c r="BN30" s="74"/>
      <c r="BO30" s="74"/>
      <c r="BP30" s="74"/>
      <c r="BQ30" s="75"/>
    </row>
    <row r="31" spans="1:69" ht="27.95" customHeight="1">
      <c r="A31" s="141">
        <v>28</v>
      </c>
      <c r="B31" s="141">
        <v>24250125</v>
      </c>
      <c r="C31" s="148" t="s">
        <v>618</v>
      </c>
      <c r="D31" s="68">
        <f t="shared" si="0"/>
        <v>57</v>
      </c>
      <c r="E31" s="68">
        <f t="shared" si="1"/>
        <v>74</v>
      </c>
      <c r="F31" s="68">
        <f t="shared" si="2"/>
        <v>62</v>
      </c>
      <c r="G31" s="68">
        <f t="shared" si="3"/>
        <v>62</v>
      </c>
      <c r="H31" s="68">
        <f t="shared" si="4"/>
        <v>81</v>
      </c>
      <c r="I31" s="68">
        <f t="shared" si="5"/>
        <v>66</v>
      </c>
      <c r="J31" s="68">
        <f t="shared" si="6"/>
        <v>68</v>
      </c>
      <c r="K31" s="68">
        <f t="shared" si="7"/>
        <v>66</v>
      </c>
      <c r="L31" s="68">
        <f t="shared" si="8"/>
        <v>63</v>
      </c>
      <c r="M31" s="68">
        <f t="shared" si="9"/>
        <v>72</v>
      </c>
      <c r="N31" s="69">
        <f t="shared" si="10"/>
        <v>65</v>
      </c>
      <c r="O31" s="69">
        <f t="shared" si="11"/>
        <v>80</v>
      </c>
      <c r="P31" s="69">
        <f t="shared" si="12"/>
        <v>70</v>
      </c>
      <c r="Q31" s="69">
        <f t="shared" si="13"/>
        <v>80</v>
      </c>
      <c r="R31" s="69">
        <f t="shared" si="14"/>
        <v>95</v>
      </c>
      <c r="S31" s="234">
        <f t="shared" si="15"/>
        <v>75</v>
      </c>
      <c r="T31" s="234">
        <f t="shared" si="16"/>
        <v>93</v>
      </c>
      <c r="U31" s="234">
        <f t="shared" si="17"/>
        <v>68</v>
      </c>
      <c r="V31" s="234">
        <f t="shared" si="18"/>
        <v>75</v>
      </c>
      <c r="W31" s="234">
        <f t="shared" si="19"/>
        <v>75</v>
      </c>
      <c r="X31" s="234">
        <f t="shared" si="20"/>
        <v>75</v>
      </c>
      <c r="Y31" s="70">
        <f t="shared" si="21"/>
        <v>1061</v>
      </c>
      <c r="Z31" s="71">
        <f t="shared" si="22"/>
        <v>70.733333333333334</v>
      </c>
      <c r="AA31" s="101">
        <f t="shared" si="23"/>
        <v>28</v>
      </c>
      <c r="AB31" s="73" t="s">
        <v>805</v>
      </c>
      <c r="AC31" s="73" t="s">
        <v>805</v>
      </c>
      <c r="AD31" s="73" t="s">
        <v>805</v>
      </c>
      <c r="AE31" s="74">
        <v>0</v>
      </c>
      <c r="AF31" s="74">
        <v>0</v>
      </c>
      <c r="AG31" s="74">
        <v>0</v>
      </c>
      <c r="AH31" s="75"/>
      <c r="AJ31" s="141">
        <v>2</v>
      </c>
      <c r="AK31" s="141">
        <v>24250125</v>
      </c>
      <c r="AL31" s="148" t="s">
        <v>618</v>
      </c>
      <c r="AM31" s="235">
        <v>57</v>
      </c>
      <c r="AN31" s="237">
        <v>73.5</v>
      </c>
      <c r="AO31" s="235">
        <v>61.5</v>
      </c>
      <c r="AP31" s="235">
        <v>62</v>
      </c>
      <c r="AQ31" s="235">
        <v>81</v>
      </c>
      <c r="AR31" s="235">
        <v>65.5</v>
      </c>
      <c r="AS31" s="235">
        <v>68</v>
      </c>
      <c r="AT31" s="235">
        <v>66</v>
      </c>
      <c r="AU31" s="235">
        <v>62.5</v>
      </c>
      <c r="AV31" s="235">
        <v>72.3</v>
      </c>
      <c r="AW31" s="76">
        <v>65</v>
      </c>
      <c r="AX31" s="76">
        <v>80</v>
      </c>
      <c r="AY31" s="76">
        <v>70</v>
      </c>
      <c r="AZ31" s="76">
        <v>80</v>
      </c>
      <c r="BA31" s="76">
        <v>95</v>
      </c>
      <c r="BB31" s="76">
        <v>75</v>
      </c>
      <c r="BC31" s="76">
        <v>92.5</v>
      </c>
      <c r="BD31" s="76">
        <v>67.5</v>
      </c>
      <c r="BE31" s="76">
        <v>75</v>
      </c>
      <c r="BF31" s="76">
        <v>75</v>
      </c>
      <c r="BG31" s="76">
        <v>75</v>
      </c>
      <c r="BH31" s="70">
        <f t="shared" si="24"/>
        <v>1059.3</v>
      </c>
      <c r="BI31" s="71">
        <f t="shared" si="25"/>
        <v>70.61999999999999</v>
      </c>
      <c r="BJ31" s="101" t="e">
        <f t="shared" si="26"/>
        <v>#N/A</v>
      </c>
      <c r="BK31" s="73"/>
      <c r="BL31" s="73"/>
      <c r="BM31" s="73"/>
      <c r="BN31" s="74"/>
      <c r="BO31" s="74"/>
      <c r="BP31" s="74"/>
      <c r="BQ31" s="75"/>
    </row>
    <row r="32" spans="1:69" ht="27.95" customHeight="1">
      <c r="A32" s="141">
        <v>29</v>
      </c>
      <c r="B32" s="141">
        <v>24250102</v>
      </c>
      <c r="C32" s="148" t="s">
        <v>643</v>
      </c>
      <c r="D32" s="68">
        <f t="shared" si="0"/>
        <v>57</v>
      </c>
      <c r="E32" s="68">
        <f t="shared" si="1"/>
        <v>74</v>
      </c>
      <c r="F32" s="68">
        <f t="shared" si="2"/>
        <v>66</v>
      </c>
      <c r="G32" s="68">
        <f t="shared" si="3"/>
        <v>47</v>
      </c>
      <c r="H32" s="68">
        <f t="shared" si="4"/>
        <v>70</v>
      </c>
      <c r="I32" s="68">
        <f t="shared" si="5"/>
        <v>65</v>
      </c>
      <c r="J32" s="68">
        <f t="shared" si="6"/>
        <v>59</v>
      </c>
      <c r="K32" s="68">
        <f t="shared" si="7"/>
        <v>59</v>
      </c>
      <c r="L32" s="68">
        <f t="shared" si="8"/>
        <v>70</v>
      </c>
      <c r="M32" s="68">
        <f t="shared" si="9"/>
        <v>70</v>
      </c>
      <c r="N32" s="69">
        <f t="shared" si="10"/>
        <v>70</v>
      </c>
      <c r="O32" s="69">
        <f t="shared" si="11"/>
        <v>70</v>
      </c>
      <c r="P32" s="69">
        <f t="shared" si="12"/>
        <v>78</v>
      </c>
      <c r="Q32" s="69">
        <f t="shared" si="13"/>
        <v>80</v>
      </c>
      <c r="R32" s="69">
        <f t="shared" si="14"/>
        <v>90</v>
      </c>
      <c r="S32" s="234">
        <f t="shared" si="15"/>
        <v>75</v>
      </c>
      <c r="T32" s="234">
        <f t="shared" si="16"/>
        <v>99</v>
      </c>
      <c r="U32" s="234">
        <f t="shared" si="17"/>
        <v>88</v>
      </c>
      <c r="V32" s="234">
        <f t="shared" si="18"/>
        <v>75</v>
      </c>
      <c r="W32" s="234">
        <f t="shared" si="19"/>
        <v>75</v>
      </c>
      <c r="X32" s="234">
        <f t="shared" si="20"/>
        <v>93</v>
      </c>
      <c r="Y32" s="70">
        <f t="shared" si="21"/>
        <v>1025</v>
      </c>
      <c r="Z32" s="71">
        <f t="shared" si="22"/>
        <v>68.333333333333329</v>
      </c>
      <c r="AA32" s="101">
        <f t="shared" si="23"/>
        <v>29</v>
      </c>
      <c r="AB32" s="73" t="s">
        <v>805</v>
      </c>
      <c r="AC32" s="73" t="s">
        <v>805</v>
      </c>
      <c r="AD32" s="73" t="s">
        <v>805</v>
      </c>
      <c r="AE32" s="74">
        <v>12</v>
      </c>
      <c r="AF32" s="74">
        <v>1</v>
      </c>
      <c r="AG32" s="74">
        <v>1</v>
      </c>
      <c r="AH32" s="75"/>
      <c r="AJ32" s="147">
        <v>29</v>
      </c>
      <c r="AK32" s="151">
        <v>24250102</v>
      </c>
      <c r="AL32" s="152" t="s">
        <v>643</v>
      </c>
      <c r="AM32" s="235">
        <v>57</v>
      </c>
      <c r="AN32" s="237">
        <v>73.5</v>
      </c>
      <c r="AO32" s="235">
        <v>65.5</v>
      </c>
      <c r="AP32" s="235">
        <v>46.5</v>
      </c>
      <c r="AQ32" s="235">
        <v>70</v>
      </c>
      <c r="AR32" s="235">
        <v>64.5</v>
      </c>
      <c r="AS32" s="235">
        <v>59</v>
      </c>
      <c r="AT32" s="235">
        <v>58.5</v>
      </c>
      <c r="AU32" s="235">
        <v>70.3</v>
      </c>
      <c r="AV32" s="235">
        <v>69.5</v>
      </c>
      <c r="AW32" s="76">
        <v>70</v>
      </c>
      <c r="AX32" s="76">
        <v>70</v>
      </c>
      <c r="AY32" s="76">
        <v>78</v>
      </c>
      <c r="AZ32" s="76">
        <v>80</v>
      </c>
      <c r="BA32" s="76">
        <v>90</v>
      </c>
      <c r="BB32" s="76">
        <v>75</v>
      </c>
      <c r="BC32" s="76">
        <v>100</v>
      </c>
      <c r="BD32" s="76">
        <v>87.5</v>
      </c>
      <c r="BE32" s="76">
        <v>75</v>
      </c>
      <c r="BF32" s="76">
        <v>75</v>
      </c>
      <c r="BG32" s="76">
        <v>92.5</v>
      </c>
      <c r="BH32" s="70">
        <f t="shared" si="24"/>
        <v>1022.3</v>
      </c>
      <c r="BI32" s="71">
        <f t="shared" si="25"/>
        <v>68.153333333333336</v>
      </c>
      <c r="BJ32" s="101" t="e">
        <f t="shared" si="26"/>
        <v>#N/A</v>
      </c>
      <c r="BK32" s="73"/>
      <c r="BL32" s="73"/>
      <c r="BM32" s="73"/>
      <c r="BN32" s="74"/>
      <c r="BO32" s="74"/>
      <c r="BP32" s="74"/>
      <c r="BQ32" s="75"/>
    </row>
    <row r="33" spans="1:69" ht="27.95" customHeight="1">
      <c r="A33" s="141">
        <v>30</v>
      </c>
      <c r="B33" s="141">
        <v>24250132</v>
      </c>
      <c r="C33" s="148" t="s">
        <v>632</v>
      </c>
      <c r="D33" s="68">
        <f t="shared" si="0"/>
        <v>61</v>
      </c>
      <c r="E33" s="68">
        <f t="shared" si="1"/>
        <v>74</v>
      </c>
      <c r="F33" s="68">
        <f t="shared" si="2"/>
        <v>66</v>
      </c>
      <c r="G33" s="68">
        <f t="shared" si="3"/>
        <v>40</v>
      </c>
      <c r="H33" s="68">
        <f t="shared" si="4"/>
        <v>68</v>
      </c>
      <c r="I33" s="68">
        <f t="shared" si="5"/>
        <v>65</v>
      </c>
      <c r="J33" s="68">
        <f t="shared" si="6"/>
        <v>58</v>
      </c>
      <c r="K33" s="68">
        <f t="shared" si="7"/>
        <v>45</v>
      </c>
      <c r="L33" s="68">
        <f t="shared" si="8"/>
        <v>65</v>
      </c>
      <c r="M33" s="68">
        <f t="shared" si="9"/>
        <v>66</v>
      </c>
      <c r="N33" s="69">
        <f t="shared" si="10"/>
        <v>65</v>
      </c>
      <c r="O33" s="69">
        <f t="shared" si="11"/>
        <v>88</v>
      </c>
      <c r="P33" s="69">
        <f t="shared" si="12"/>
        <v>75</v>
      </c>
      <c r="Q33" s="69">
        <f t="shared" si="13"/>
        <v>80</v>
      </c>
      <c r="R33" s="69">
        <f t="shared" si="14"/>
        <v>85</v>
      </c>
      <c r="S33" s="234">
        <f t="shared" si="15"/>
        <v>75</v>
      </c>
      <c r="T33" s="234">
        <f t="shared" si="16"/>
        <v>95</v>
      </c>
      <c r="U33" s="234">
        <f t="shared" si="17"/>
        <v>78</v>
      </c>
      <c r="V33" s="234">
        <f t="shared" si="18"/>
        <v>75</v>
      </c>
      <c r="W33" s="234">
        <f t="shared" si="19"/>
        <v>75</v>
      </c>
      <c r="X33" s="234">
        <f t="shared" si="20"/>
        <v>85</v>
      </c>
      <c r="Y33" s="70">
        <f t="shared" si="21"/>
        <v>1001</v>
      </c>
      <c r="Z33" s="71">
        <f t="shared" si="22"/>
        <v>66.733333333333334</v>
      </c>
      <c r="AA33" s="101">
        <f t="shared" si="23"/>
        <v>30</v>
      </c>
      <c r="AB33" s="73" t="s">
        <v>805</v>
      </c>
      <c r="AC33" s="73" t="s">
        <v>805</v>
      </c>
      <c r="AD33" s="73" t="s">
        <v>805</v>
      </c>
      <c r="AE33" s="74">
        <v>0</v>
      </c>
      <c r="AF33" s="74">
        <v>0</v>
      </c>
      <c r="AG33" s="74">
        <v>0</v>
      </c>
      <c r="AH33" s="75"/>
      <c r="AJ33" s="147">
        <v>17</v>
      </c>
      <c r="AK33" s="151">
        <v>24250132</v>
      </c>
      <c r="AL33" s="152" t="s">
        <v>632</v>
      </c>
      <c r="AM33" s="235">
        <v>61</v>
      </c>
      <c r="AN33" s="237">
        <v>73.5</v>
      </c>
      <c r="AO33" s="235">
        <v>65.5</v>
      </c>
      <c r="AP33" s="235">
        <v>32</v>
      </c>
      <c r="AQ33" s="235">
        <v>68</v>
      </c>
      <c r="AR33" s="235">
        <v>64.5</v>
      </c>
      <c r="AS33" s="235">
        <v>58</v>
      </c>
      <c r="AT33" s="235">
        <v>44.5</v>
      </c>
      <c r="AU33" s="235">
        <v>65</v>
      </c>
      <c r="AV33" s="235">
        <v>66</v>
      </c>
      <c r="AW33" s="76">
        <v>65</v>
      </c>
      <c r="AX33" s="76">
        <v>88</v>
      </c>
      <c r="AY33" s="76">
        <v>75</v>
      </c>
      <c r="AZ33" s="76">
        <v>80</v>
      </c>
      <c r="BA33" s="76">
        <v>85</v>
      </c>
      <c r="BB33" s="76">
        <v>75</v>
      </c>
      <c r="BC33" s="76">
        <v>95</v>
      </c>
      <c r="BD33" s="76">
        <v>77.5</v>
      </c>
      <c r="BE33" s="76">
        <v>75</v>
      </c>
      <c r="BF33" s="76">
        <v>75</v>
      </c>
      <c r="BG33" s="76">
        <v>85</v>
      </c>
      <c r="BH33" s="70">
        <f t="shared" si="24"/>
        <v>991</v>
      </c>
      <c r="BI33" s="71">
        <f t="shared" si="25"/>
        <v>66.066666666666663</v>
      </c>
      <c r="BJ33" s="101" t="e">
        <f t="shared" si="26"/>
        <v>#N/A</v>
      </c>
      <c r="BK33" s="73"/>
      <c r="BL33" s="73"/>
      <c r="BM33" s="73"/>
      <c r="BN33" s="74"/>
      <c r="BO33" s="74"/>
      <c r="BP33" s="74"/>
      <c r="BQ33" s="75"/>
    </row>
    <row r="34" spans="1:69">
      <c r="A34" s="267" t="s">
        <v>202</v>
      </c>
      <c r="B34" s="268"/>
      <c r="C34" s="269"/>
      <c r="D34" s="72">
        <f t="shared" ref="D34:R34" si="27">SUM(D4:D26)</f>
        <v>1881</v>
      </c>
      <c r="E34" s="72">
        <f t="shared" si="27"/>
        <v>2167</v>
      </c>
      <c r="F34" s="72">
        <f t="shared" si="27"/>
        <v>1930</v>
      </c>
      <c r="G34" s="72">
        <f t="shared" si="27"/>
        <v>1689</v>
      </c>
      <c r="H34" s="72">
        <f t="shared" si="27"/>
        <v>2058</v>
      </c>
      <c r="I34" s="72">
        <f t="shared" si="27"/>
        <v>2080</v>
      </c>
      <c r="J34" s="72">
        <f t="shared" si="27"/>
        <v>1776</v>
      </c>
      <c r="K34" s="72">
        <f t="shared" si="27"/>
        <v>1699</v>
      </c>
      <c r="L34" s="72">
        <f t="shared" si="27"/>
        <v>1993</v>
      </c>
      <c r="M34" s="72">
        <f t="shared" si="27"/>
        <v>2086</v>
      </c>
      <c r="N34" s="72">
        <f t="shared" si="27"/>
        <v>2013</v>
      </c>
      <c r="O34" s="72">
        <f t="shared" si="27"/>
        <v>2190</v>
      </c>
      <c r="P34" s="72">
        <f t="shared" si="27"/>
        <v>1914</v>
      </c>
      <c r="Q34" s="72">
        <f t="shared" si="27"/>
        <v>2166</v>
      </c>
      <c r="R34" s="72">
        <f t="shared" si="27"/>
        <v>2273</v>
      </c>
      <c r="S34" s="72"/>
      <c r="T34" s="72"/>
      <c r="U34" s="72"/>
      <c r="V34" s="72"/>
      <c r="W34" s="72"/>
      <c r="X34" s="72"/>
      <c r="Y34" s="81"/>
      <c r="Z34" s="81"/>
      <c r="AA34" s="81"/>
      <c r="AB34" s="81"/>
      <c r="AC34" s="81"/>
      <c r="AD34" s="81"/>
      <c r="AE34" s="81"/>
      <c r="AF34" s="81"/>
      <c r="AG34" s="81"/>
      <c r="AH34" s="82"/>
      <c r="AJ34" s="267" t="s">
        <v>202</v>
      </c>
      <c r="AK34" s="268"/>
      <c r="AL34" s="269"/>
      <c r="AM34" s="72">
        <f t="shared" ref="AM34:AV34" si="28">SUM(AM4:AM26)</f>
        <v>1877.8</v>
      </c>
      <c r="AN34" s="72">
        <f t="shared" si="28"/>
        <v>2155.5</v>
      </c>
      <c r="AO34" s="72">
        <f t="shared" si="28"/>
        <v>1926.9</v>
      </c>
      <c r="AP34" s="72">
        <f t="shared" si="28"/>
        <v>1687.4999999999998</v>
      </c>
      <c r="AQ34" s="72">
        <f t="shared" si="28"/>
        <v>2055.3999999999996</v>
      </c>
      <c r="AR34" s="72">
        <f t="shared" si="28"/>
        <v>2075.9</v>
      </c>
      <c r="AS34" s="72">
        <f t="shared" si="28"/>
        <v>1774.6</v>
      </c>
      <c r="AT34" s="72">
        <f t="shared" si="28"/>
        <v>1696.6</v>
      </c>
      <c r="AU34" s="72">
        <f t="shared" si="28"/>
        <v>1994.5</v>
      </c>
      <c r="AV34" s="72">
        <f t="shared" si="28"/>
        <v>2081.6</v>
      </c>
      <c r="AW34" s="72">
        <f>SUM(AW4:AW33)</f>
        <v>2510</v>
      </c>
      <c r="AX34" s="72">
        <f>SUM(AX4:AX33)</f>
        <v>2824</v>
      </c>
      <c r="AY34" s="72">
        <f>SUM(AY4:AY33)</f>
        <v>2432</v>
      </c>
      <c r="AZ34" s="72">
        <f>SUM(AZ4:AZ33)</f>
        <v>2746</v>
      </c>
      <c r="BA34" s="72">
        <f>SUM(BA4:BA33)</f>
        <v>2954</v>
      </c>
      <c r="BB34" s="72"/>
      <c r="BC34" s="72"/>
      <c r="BD34" s="72"/>
      <c r="BE34" s="72"/>
      <c r="BF34" s="72"/>
      <c r="BG34" s="72"/>
      <c r="BH34" s="81"/>
      <c r="BI34" s="81"/>
      <c r="BJ34" s="81"/>
      <c r="BK34" s="81"/>
      <c r="BL34" s="81"/>
      <c r="BM34" s="81"/>
      <c r="BN34" s="81"/>
      <c r="BO34" s="81"/>
      <c r="BP34" s="81"/>
      <c r="BQ34" s="82"/>
    </row>
    <row r="35" spans="1:69">
      <c r="A35" s="267" t="s">
        <v>203</v>
      </c>
      <c r="B35" s="268"/>
      <c r="C35" s="269"/>
      <c r="D35" s="72">
        <f t="shared" ref="D35:R35" si="29">AVERAGE(D4:D26)</f>
        <v>81.782608695652172</v>
      </c>
      <c r="E35" s="72">
        <f t="shared" si="29"/>
        <v>94.217391304347828</v>
      </c>
      <c r="F35" s="72">
        <f t="shared" si="29"/>
        <v>83.913043478260875</v>
      </c>
      <c r="G35" s="72">
        <f t="shared" si="29"/>
        <v>73.434782608695656</v>
      </c>
      <c r="H35" s="72">
        <f t="shared" si="29"/>
        <v>89.478260869565219</v>
      </c>
      <c r="I35" s="72">
        <f t="shared" si="29"/>
        <v>90.434782608695656</v>
      </c>
      <c r="J35" s="72">
        <f t="shared" si="29"/>
        <v>77.217391304347828</v>
      </c>
      <c r="K35" s="72">
        <f t="shared" si="29"/>
        <v>73.869565217391298</v>
      </c>
      <c r="L35" s="72">
        <f t="shared" si="29"/>
        <v>86.652173913043484</v>
      </c>
      <c r="M35" s="72">
        <f t="shared" si="29"/>
        <v>90.695652173913047</v>
      </c>
      <c r="N35" s="72">
        <f t="shared" si="29"/>
        <v>87.521739130434781</v>
      </c>
      <c r="O35" s="72">
        <f t="shared" si="29"/>
        <v>95.217391304347828</v>
      </c>
      <c r="P35" s="72">
        <f t="shared" si="29"/>
        <v>83.217391304347828</v>
      </c>
      <c r="Q35" s="72">
        <f t="shared" si="29"/>
        <v>94.173913043478265</v>
      </c>
      <c r="R35" s="72">
        <f t="shared" si="29"/>
        <v>98.826086956521735</v>
      </c>
      <c r="S35" s="72"/>
      <c r="T35" s="72"/>
      <c r="U35" s="72"/>
      <c r="V35" s="72"/>
      <c r="W35" s="72"/>
      <c r="X35" s="72"/>
      <c r="Y35" s="81"/>
      <c r="Z35" s="81"/>
      <c r="AA35" s="81"/>
      <c r="AB35" s="81"/>
      <c r="AC35" s="81"/>
      <c r="AD35" s="81"/>
      <c r="AE35" s="81"/>
      <c r="AF35" s="81"/>
      <c r="AG35" s="81"/>
      <c r="AH35" s="82"/>
      <c r="AJ35" s="267" t="s">
        <v>203</v>
      </c>
      <c r="AK35" s="268"/>
      <c r="AL35" s="269"/>
      <c r="AM35" s="72">
        <f t="shared" ref="AM35:AV35" si="30">AVERAGE(AM4:AM26)</f>
        <v>81.643478260869557</v>
      </c>
      <c r="AN35" s="72">
        <f t="shared" si="30"/>
        <v>93.717391304347828</v>
      </c>
      <c r="AO35" s="72">
        <f t="shared" si="30"/>
        <v>83.778260869565216</v>
      </c>
      <c r="AP35" s="72">
        <f t="shared" si="30"/>
        <v>73.369565217391298</v>
      </c>
      <c r="AQ35" s="72">
        <f t="shared" si="30"/>
        <v>89.365217391304327</v>
      </c>
      <c r="AR35" s="72">
        <f t="shared" si="30"/>
        <v>90.256521739130434</v>
      </c>
      <c r="AS35" s="72">
        <f t="shared" si="30"/>
        <v>77.156521739130426</v>
      </c>
      <c r="AT35" s="72">
        <f t="shared" si="30"/>
        <v>73.765217391304347</v>
      </c>
      <c r="AU35" s="72">
        <f t="shared" si="30"/>
        <v>86.717391304347828</v>
      </c>
      <c r="AV35" s="72">
        <f t="shared" si="30"/>
        <v>90.504347826086956</v>
      </c>
      <c r="AW35" s="72">
        <f>AVERAGE(AW4:AW33)</f>
        <v>83.666666666666671</v>
      </c>
      <c r="AX35" s="72">
        <f>AVERAGE(AX4:AX33)</f>
        <v>94.13333333333334</v>
      </c>
      <c r="AY35" s="72">
        <f>AVERAGE(AY4:AY33)</f>
        <v>81.066666666666663</v>
      </c>
      <c r="AZ35" s="72">
        <f>AVERAGE(AZ4:AZ33)</f>
        <v>91.533333333333331</v>
      </c>
      <c r="BA35" s="72">
        <f>AVERAGE(BA4:BA33)</f>
        <v>98.466666666666669</v>
      </c>
      <c r="BB35" s="72"/>
      <c r="BC35" s="72"/>
      <c r="BD35" s="72"/>
      <c r="BE35" s="72"/>
      <c r="BF35" s="72"/>
      <c r="BG35" s="72"/>
      <c r="BH35" s="81"/>
      <c r="BI35" s="81"/>
      <c r="BJ35" s="81"/>
      <c r="BK35" s="81"/>
      <c r="BL35" s="81"/>
      <c r="BM35" s="81"/>
      <c r="BN35" s="81"/>
      <c r="BO35" s="81"/>
      <c r="BP35" s="81"/>
      <c r="BQ35" s="82"/>
    </row>
    <row r="36" spans="1:69" s="83" customFormat="1">
      <c r="A36" s="83">
        <v>1</v>
      </c>
      <c r="B36" s="83">
        <v>2</v>
      </c>
      <c r="C36" s="83">
        <v>3</v>
      </c>
      <c r="D36" s="83">
        <v>4</v>
      </c>
      <c r="E36" s="83">
        <v>5</v>
      </c>
      <c r="F36" s="83">
        <v>6</v>
      </c>
      <c r="G36" s="83">
        <v>7</v>
      </c>
      <c r="H36" s="83">
        <v>8</v>
      </c>
      <c r="I36" s="83">
        <v>9</v>
      </c>
      <c r="J36" s="83">
        <v>10</v>
      </c>
      <c r="K36" s="83">
        <v>11</v>
      </c>
      <c r="L36" s="83">
        <v>12</v>
      </c>
      <c r="M36" s="83">
        <v>13</v>
      </c>
      <c r="N36" s="83">
        <v>14</v>
      </c>
      <c r="O36" s="83">
        <v>15</v>
      </c>
      <c r="P36" s="83">
        <v>16</v>
      </c>
      <c r="Q36" s="83">
        <v>17</v>
      </c>
      <c r="R36" s="83">
        <v>18</v>
      </c>
      <c r="S36" s="83">
        <v>19</v>
      </c>
      <c r="T36" s="83">
        <v>20</v>
      </c>
      <c r="U36" s="83">
        <v>21</v>
      </c>
      <c r="V36" s="83">
        <v>22</v>
      </c>
      <c r="W36" s="83">
        <v>23</v>
      </c>
      <c r="X36" s="83">
        <v>24</v>
      </c>
      <c r="Y36" s="83">
        <v>25</v>
      </c>
      <c r="Z36" s="83">
        <v>26</v>
      </c>
      <c r="AA36" s="83">
        <v>27</v>
      </c>
      <c r="AB36" s="83">
        <v>28</v>
      </c>
      <c r="AC36" s="83">
        <v>29</v>
      </c>
      <c r="AD36" s="83">
        <v>30</v>
      </c>
      <c r="AE36" s="83">
        <v>31</v>
      </c>
      <c r="AF36" s="83">
        <v>32</v>
      </c>
      <c r="AG36" s="83">
        <v>33</v>
      </c>
      <c r="AJ36" s="83">
        <v>1</v>
      </c>
      <c r="AK36" s="83">
        <v>2</v>
      </c>
      <c r="AL36" s="83">
        <v>3</v>
      </c>
      <c r="AM36" s="83">
        <v>4</v>
      </c>
      <c r="AN36" s="83">
        <v>5</v>
      </c>
      <c r="AO36" s="83">
        <v>6</v>
      </c>
      <c r="AP36" s="83">
        <v>7</v>
      </c>
      <c r="AQ36" s="83">
        <v>8</v>
      </c>
      <c r="AR36" s="83">
        <v>9</v>
      </c>
      <c r="AS36" s="83">
        <v>10</v>
      </c>
      <c r="AT36" s="83">
        <v>11</v>
      </c>
      <c r="AU36" s="83">
        <v>12</v>
      </c>
      <c r="AV36" s="83">
        <v>13</v>
      </c>
      <c r="AW36" s="83">
        <v>14</v>
      </c>
      <c r="AX36" s="83">
        <v>15</v>
      </c>
      <c r="AY36" s="83">
        <v>16</v>
      </c>
      <c r="AZ36" s="83">
        <v>17</v>
      </c>
      <c r="BA36" s="83">
        <v>18</v>
      </c>
      <c r="BH36" s="83">
        <v>19</v>
      </c>
      <c r="BI36" s="83">
        <v>20</v>
      </c>
      <c r="BJ36" s="83">
        <v>21</v>
      </c>
      <c r="BK36" s="83">
        <v>22</v>
      </c>
      <c r="BL36" s="83">
        <v>23</v>
      </c>
      <c r="BM36" s="83">
        <v>24</v>
      </c>
      <c r="BN36" s="83">
        <v>25</v>
      </c>
      <c r="BO36" s="83">
        <v>26</v>
      </c>
      <c r="BP36" s="83">
        <v>27</v>
      </c>
    </row>
    <row r="37" spans="1:69" ht="23.25">
      <c r="A37" s="84" t="s">
        <v>204</v>
      </c>
      <c r="C37" s="85"/>
    </row>
    <row r="38" spans="1:69">
      <c r="A38" s="86"/>
      <c r="B38" s="86"/>
      <c r="C38" s="60" t="s">
        <v>205</v>
      </c>
    </row>
    <row r="39" spans="1:69">
      <c r="A39" s="87"/>
      <c r="B39" s="87"/>
      <c r="C39" s="60" t="s">
        <v>206</v>
      </c>
    </row>
    <row r="40" spans="1:69">
      <c r="A40" s="88"/>
      <c r="B40" s="88"/>
      <c r="C40" s="60" t="s">
        <v>207</v>
      </c>
    </row>
    <row r="41" spans="1:69">
      <c r="A41" s="89"/>
      <c r="B41" s="89"/>
      <c r="C41" s="60" t="s">
        <v>208</v>
      </c>
    </row>
  </sheetData>
  <sortState xmlns:xlrd2="http://schemas.microsoft.com/office/spreadsheetml/2017/richdata2" ref="B4:BQ33">
    <sortCondition ref="AA4:AA33"/>
  </sortState>
  <mergeCells count="35">
    <mergeCell ref="A34:C34"/>
    <mergeCell ref="AJ34:AL34"/>
    <mergeCell ref="A35:C35"/>
    <mergeCell ref="AJ35:AL35"/>
    <mergeCell ref="BL2:BL3"/>
    <mergeCell ref="AM2:AV2"/>
    <mergeCell ref="AW2:AZ2"/>
    <mergeCell ref="BH2:BH3"/>
    <mergeCell ref="BI2:BI3"/>
    <mergeCell ref="BJ2:BJ3"/>
    <mergeCell ref="BK2:BK3"/>
    <mergeCell ref="AF2:AF3"/>
    <mergeCell ref="AG2:AG3"/>
    <mergeCell ref="AH2:AH3"/>
    <mergeCell ref="AJ2:AJ3"/>
    <mergeCell ref="AK2:AK3"/>
    <mergeCell ref="BM2:BM3"/>
    <mergeCell ref="BN2:BN3"/>
    <mergeCell ref="BO2:BO3"/>
    <mergeCell ref="BP2:BP3"/>
    <mergeCell ref="BQ2:BQ3"/>
    <mergeCell ref="AL2:AL3"/>
    <mergeCell ref="Z2:Z3"/>
    <mergeCell ref="AA2:AA3"/>
    <mergeCell ref="AB2:AB3"/>
    <mergeCell ref="AC2:AC3"/>
    <mergeCell ref="AD2:AD3"/>
    <mergeCell ref="AE2:AE3"/>
    <mergeCell ref="Y2:Y3"/>
    <mergeCell ref="A2:A3"/>
    <mergeCell ref="B2:B3"/>
    <mergeCell ref="C2:C3"/>
    <mergeCell ref="D2:M2"/>
    <mergeCell ref="N2:Q2"/>
    <mergeCell ref="S2:X2"/>
  </mergeCells>
  <conditionalFormatting sqref="B4">
    <cfRule type="duplicateValues" dxfId="306" priority="46"/>
    <cfRule type="duplicateValues" dxfId="305" priority="47"/>
  </conditionalFormatting>
  <conditionalFormatting sqref="B5">
    <cfRule type="duplicateValues" dxfId="304" priority="50"/>
    <cfRule type="duplicateValues" dxfId="303" priority="51"/>
  </conditionalFormatting>
  <conditionalFormatting sqref="B6">
    <cfRule type="duplicateValues" dxfId="302" priority="53"/>
  </conditionalFormatting>
  <conditionalFormatting sqref="B8">
    <cfRule type="duplicateValues" dxfId="301" priority="45"/>
  </conditionalFormatting>
  <conditionalFormatting sqref="B9">
    <cfRule type="duplicateValues" dxfId="300" priority="54"/>
    <cfRule type="duplicateValues" dxfId="299" priority="55"/>
  </conditionalFormatting>
  <conditionalFormatting sqref="B10">
    <cfRule type="duplicateValues" dxfId="298" priority="37"/>
    <cfRule type="duplicateValues" dxfId="297" priority="38"/>
  </conditionalFormatting>
  <conditionalFormatting sqref="B11">
    <cfRule type="duplicateValues" dxfId="296" priority="60"/>
    <cfRule type="duplicateValues" dxfId="295" priority="61"/>
  </conditionalFormatting>
  <conditionalFormatting sqref="B12">
    <cfRule type="duplicateValues" dxfId="294" priority="48"/>
    <cfRule type="duplicateValues" dxfId="293" priority="49"/>
  </conditionalFormatting>
  <conditionalFormatting sqref="B13">
    <cfRule type="duplicateValues" dxfId="292" priority="66"/>
  </conditionalFormatting>
  <conditionalFormatting sqref="B14">
    <cfRule type="duplicateValues" dxfId="291" priority="65"/>
  </conditionalFormatting>
  <conditionalFormatting sqref="B15">
    <cfRule type="duplicateValues" dxfId="290" priority="67"/>
    <cfRule type="duplicateValues" dxfId="289" priority="68"/>
  </conditionalFormatting>
  <conditionalFormatting sqref="B16">
    <cfRule type="duplicateValues" dxfId="288" priority="43"/>
    <cfRule type="duplicateValues" dxfId="287" priority="44"/>
  </conditionalFormatting>
  <conditionalFormatting sqref="B17">
    <cfRule type="duplicateValues" dxfId="286" priority="52"/>
  </conditionalFormatting>
  <conditionalFormatting sqref="B18">
    <cfRule type="duplicateValues" dxfId="285" priority="39"/>
    <cfRule type="duplicateValues" dxfId="284" priority="40"/>
  </conditionalFormatting>
  <conditionalFormatting sqref="B19">
    <cfRule type="duplicateValues" dxfId="283" priority="41"/>
    <cfRule type="duplicateValues" dxfId="282" priority="42"/>
  </conditionalFormatting>
  <conditionalFormatting sqref="B20">
    <cfRule type="duplicateValues" dxfId="281" priority="62"/>
    <cfRule type="duplicateValues" dxfId="280" priority="63"/>
  </conditionalFormatting>
  <conditionalFormatting sqref="B21">
    <cfRule type="duplicateValues" dxfId="279" priority="56"/>
    <cfRule type="duplicateValues" dxfId="278" priority="57"/>
  </conditionalFormatting>
  <conditionalFormatting sqref="B22:B33">
    <cfRule type="duplicateValues" dxfId="277" priority="71"/>
    <cfRule type="duplicateValues" dxfId="276" priority="72"/>
  </conditionalFormatting>
  <conditionalFormatting sqref="D4:X33 AW4:BG31">
    <cfRule type="cellIs" dxfId="275" priority="69" operator="lessThanOrEqual">
      <formula>59</formula>
    </cfRule>
  </conditionalFormatting>
  <conditionalFormatting sqref="Z4:Z33 BI4:BI33">
    <cfRule type="cellIs" dxfId="274" priority="70" operator="lessThan">
      <formula>60</formula>
    </cfRule>
  </conditionalFormatting>
  <conditionalFormatting sqref="AK4">
    <cfRule type="duplicateValues" dxfId="273" priority="12"/>
    <cfRule type="duplicateValues" dxfId="272" priority="13"/>
  </conditionalFormatting>
  <conditionalFormatting sqref="AK5">
    <cfRule type="duplicateValues" dxfId="271" priority="16"/>
    <cfRule type="duplicateValues" dxfId="270" priority="17"/>
  </conditionalFormatting>
  <conditionalFormatting sqref="AK6">
    <cfRule type="duplicateValues" dxfId="269" priority="19"/>
  </conditionalFormatting>
  <conditionalFormatting sqref="AK8">
    <cfRule type="duplicateValues" dxfId="268" priority="11"/>
  </conditionalFormatting>
  <conditionalFormatting sqref="AK9">
    <cfRule type="duplicateValues" dxfId="267" priority="20"/>
    <cfRule type="duplicateValues" dxfId="266" priority="21"/>
  </conditionalFormatting>
  <conditionalFormatting sqref="AK10">
    <cfRule type="duplicateValues" dxfId="265" priority="3"/>
    <cfRule type="duplicateValues" dxfId="264" priority="4"/>
  </conditionalFormatting>
  <conditionalFormatting sqref="AK11">
    <cfRule type="duplicateValues" dxfId="263" priority="26"/>
    <cfRule type="duplicateValues" dxfId="262" priority="27"/>
  </conditionalFormatting>
  <conditionalFormatting sqref="AK12">
    <cfRule type="duplicateValues" dxfId="261" priority="14"/>
    <cfRule type="duplicateValues" dxfId="260" priority="15"/>
  </conditionalFormatting>
  <conditionalFormatting sqref="AK13">
    <cfRule type="duplicateValues" dxfId="259" priority="32"/>
  </conditionalFormatting>
  <conditionalFormatting sqref="AK14">
    <cfRule type="duplicateValues" dxfId="258" priority="31"/>
  </conditionalFormatting>
  <conditionalFormatting sqref="AK15">
    <cfRule type="duplicateValues" dxfId="257" priority="33"/>
    <cfRule type="duplicateValues" dxfId="256" priority="34"/>
  </conditionalFormatting>
  <conditionalFormatting sqref="AK16">
    <cfRule type="duplicateValues" dxfId="255" priority="9"/>
    <cfRule type="duplicateValues" dxfId="254" priority="10"/>
  </conditionalFormatting>
  <conditionalFormatting sqref="AK17">
    <cfRule type="duplicateValues" dxfId="253" priority="18"/>
  </conditionalFormatting>
  <conditionalFormatting sqref="AK18">
    <cfRule type="duplicateValues" dxfId="252" priority="5"/>
    <cfRule type="duplicateValues" dxfId="251" priority="6"/>
  </conditionalFormatting>
  <conditionalFormatting sqref="AK19">
    <cfRule type="duplicateValues" dxfId="250" priority="7"/>
    <cfRule type="duplicateValues" dxfId="249" priority="8"/>
  </conditionalFormatting>
  <conditionalFormatting sqref="AK20">
    <cfRule type="duplicateValues" dxfId="248" priority="28"/>
    <cfRule type="duplicateValues" dxfId="247" priority="29"/>
  </conditionalFormatting>
  <conditionalFormatting sqref="AK21">
    <cfRule type="duplicateValues" dxfId="246" priority="22"/>
    <cfRule type="duplicateValues" dxfId="245" priority="23"/>
  </conditionalFormatting>
  <conditionalFormatting sqref="AK22:AK33">
    <cfRule type="duplicateValues" dxfId="244" priority="76"/>
    <cfRule type="duplicateValues" dxfId="243" priority="77"/>
  </conditionalFormatting>
  <conditionalFormatting sqref="AW32:BG33">
    <cfRule type="cellIs" dxfId="242" priority="35" operator="lessThanOrEqual">
      <formula>59</formula>
    </cfRule>
  </conditionalFormatting>
  <conditionalFormatting sqref="AA4:AA33">
    <cfRule type="duplicateValues" dxfId="241" priority="239"/>
    <cfRule type="duplicateValues" dxfId="240" priority="240"/>
    <cfRule type="duplicateValues" dxfId="239" priority="241"/>
  </conditionalFormatting>
  <conditionalFormatting sqref="BJ4:BJ33">
    <cfRule type="duplicateValues" dxfId="238" priority="245"/>
    <cfRule type="duplicateValues" dxfId="237" priority="246"/>
    <cfRule type="duplicateValues" dxfId="236" priority="247"/>
  </conditionalFormatting>
  <conditionalFormatting sqref="AM4:AV33">
    <cfRule type="cellIs" dxfId="235" priority="1" operator="lessThan">
      <formula>61</formula>
    </cfRule>
  </conditionalFormatting>
  <printOptions horizontalCentered="1"/>
  <pageMargins left="0.63" right="0.2" top="0.74803149606299202" bottom="0.38" header="0.31496062992126" footer="0.31496062992126"/>
  <pageSetup paperSize="10000" scale="80" orientation="landscape" horizontalDpi="203" verticalDpi="203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069FE-AFC1-4415-8D4D-B544CC9977F5}">
  <sheetPr codeName="Sheet18">
    <tabColor theme="1" tint="0.499984740745262"/>
  </sheetPr>
  <dimension ref="A1:BQ40"/>
  <sheetViews>
    <sheetView zoomScale="70" zoomScaleNormal="70" zoomScaleSheetLayoutView="55" workbookViewId="0">
      <selection activeCell="B4" sqref="B4:BQ31"/>
    </sheetView>
  </sheetViews>
  <sheetFormatPr defaultColWidth="8.85546875" defaultRowHeight="15"/>
  <cols>
    <col min="1" max="1" width="5.42578125" customWidth="1"/>
    <col min="2" max="2" width="14.85546875" customWidth="1"/>
    <col min="3" max="3" width="30.85546875" customWidth="1"/>
    <col min="4" max="13" width="5.5703125" customWidth="1"/>
    <col min="14" max="24" width="5.140625" customWidth="1"/>
    <col min="25" max="25" width="6.28515625" customWidth="1"/>
    <col min="26" max="26" width="7.7109375" customWidth="1"/>
    <col min="27" max="34" width="5.42578125" customWidth="1"/>
    <col min="38" max="38" width="31.5703125" bestFit="1" customWidth="1"/>
    <col min="39" max="70" width="6.5703125" customWidth="1"/>
  </cols>
  <sheetData>
    <row r="1" spans="1:69" ht="23.25">
      <c r="A1" s="85" t="s">
        <v>371</v>
      </c>
      <c r="N1" s="115"/>
      <c r="O1" s="115"/>
      <c r="P1" s="115"/>
      <c r="Q1" s="115"/>
      <c r="R1" s="116"/>
      <c r="S1" s="116"/>
      <c r="T1" s="116"/>
      <c r="U1" s="116"/>
      <c r="V1" s="116"/>
      <c r="W1" s="116"/>
      <c r="X1" s="116"/>
      <c r="AJ1" s="85" t="s">
        <v>371</v>
      </c>
      <c r="AW1" s="115"/>
      <c r="AX1" s="115"/>
      <c r="AY1" s="115"/>
      <c r="AZ1" s="115"/>
      <c r="BA1" s="116"/>
      <c r="BB1" s="116"/>
      <c r="BC1" s="116"/>
      <c r="BD1" s="116"/>
      <c r="BE1" s="116"/>
      <c r="BF1" s="116"/>
      <c r="BG1" s="116"/>
    </row>
    <row r="2" spans="1:69" ht="15.6" customHeight="1">
      <c r="A2" s="431" t="s">
        <v>151</v>
      </c>
      <c r="B2" s="431" t="s">
        <v>152</v>
      </c>
      <c r="C2" s="431" t="s">
        <v>0</v>
      </c>
      <c r="D2" s="433" t="s">
        <v>153</v>
      </c>
      <c r="E2" s="433"/>
      <c r="F2" s="433"/>
      <c r="G2" s="433"/>
      <c r="H2" s="433"/>
      <c r="I2" s="433"/>
      <c r="J2" s="433"/>
      <c r="K2" s="433"/>
      <c r="L2" s="433"/>
      <c r="M2" s="433"/>
      <c r="N2" s="434" t="s">
        <v>316</v>
      </c>
      <c r="O2" s="434"/>
      <c r="P2" s="434"/>
      <c r="Q2" s="434"/>
      <c r="R2" s="434"/>
      <c r="S2" s="283" t="s">
        <v>798</v>
      </c>
      <c r="T2" s="284"/>
      <c r="U2" s="284"/>
      <c r="V2" s="284"/>
      <c r="W2" s="284"/>
      <c r="X2" s="285"/>
      <c r="Y2" s="429" t="s">
        <v>155</v>
      </c>
      <c r="Z2" s="429" t="s">
        <v>156</v>
      </c>
      <c r="AA2" s="429" t="s">
        <v>157</v>
      </c>
      <c r="AB2" s="435" t="s">
        <v>158</v>
      </c>
      <c r="AC2" s="435" t="s">
        <v>159</v>
      </c>
      <c r="AD2" s="435" t="s">
        <v>160</v>
      </c>
      <c r="AE2" s="437" t="s">
        <v>161</v>
      </c>
      <c r="AF2" s="437" t="s">
        <v>162</v>
      </c>
      <c r="AG2" s="437" t="s">
        <v>163</v>
      </c>
      <c r="AH2" s="280" t="s">
        <v>164</v>
      </c>
      <c r="AJ2" s="431" t="s">
        <v>151</v>
      </c>
      <c r="AK2" s="431" t="s">
        <v>152</v>
      </c>
      <c r="AL2" s="431" t="s">
        <v>0</v>
      </c>
      <c r="AM2" s="433" t="s">
        <v>153</v>
      </c>
      <c r="AN2" s="433"/>
      <c r="AO2" s="433"/>
      <c r="AP2" s="433"/>
      <c r="AQ2" s="433"/>
      <c r="AR2" s="433"/>
      <c r="AS2" s="433"/>
      <c r="AT2" s="433"/>
      <c r="AU2" s="433"/>
      <c r="AV2" s="433"/>
      <c r="AW2" s="434" t="s">
        <v>316</v>
      </c>
      <c r="AX2" s="434"/>
      <c r="AY2" s="434"/>
      <c r="AZ2" s="434"/>
      <c r="BA2" s="434"/>
      <c r="BB2" s="283" t="s">
        <v>798</v>
      </c>
      <c r="BC2" s="284"/>
      <c r="BD2" s="284"/>
      <c r="BE2" s="284"/>
      <c r="BF2" s="284"/>
      <c r="BG2" s="285"/>
      <c r="BH2" s="429" t="s">
        <v>155</v>
      </c>
      <c r="BI2" s="429" t="s">
        <v>156</v>
      </c>
      <c r="BJ2" s="429" t="s">
        <v>157</v>
      </c>
      <c r="BK2" s="435" t="s">
        <v>158</v>
      </c>
      <c r="BL2" s="435" t="s">
        <v>159</v>
      </c>
      <c r="BM2" s="435" t="s">
        <v>160</v>
      </c>
      <c r="BN2" s="437" t="s">
        <v>161</v>
      </c>
      <c r="BO2" s="437" t="s">
        <v>162</v>
      </c>
      <c r="BP2" s="437" t="s">
        <v>163</v>
      </c>
      <c r="BQ2" s="280" t="s">
        <v>164</v>
      </c>
    </row>
    <row r="3" spans="1:69" s="118" customFormat="1" ht="54" customHeight="1">
      <c r="A3" s="432"/>
      <c r="B3" s="432"/>
      <c r="C3" s="432"/>
      <c r="D3" s="117" t="s">
        <v>118</v>
      </c>
      <c r="E3" s="117" t="s">
        <v>22</v>
      </c>
      <c r="F3" s="117" t="s">
        <v>55</v>
      </c>
      <c r="G3" s="117" t="s">
        <v>167</v>
      </c>
      <c r="H3" s="117" t="s">
        <v>168</v>
      </c>
      <c r="I3" s="117" t="s">
        <v>126</v>
      </c>
      <c r="J3" s="117" t="s">
        <v>111</v>
      </c>
      <c r="K3" s="117" t="s">
        <v>96</v>
      </c>
      <c r="L3" s="117" t="s">
        <v>14</v>
      </c>
      <c r="M3" s="117" t="s">
        <v>120</v>
      </c>
      <c r="N3" s="98" t="s">
        <v>103</v>
      </c>
      <c r="O3" s="98" t="s">
        <v>14</v>
      </c>
      <c r="P3" s="98" t="s">
        <v>120</v>
      </c>
      <c r="Q3" s="98" t="s">
        <v>34</v>
      </c>
      <c r="R3" s="98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430"/>
      <c r="Z3" s="430"/>
      <c r="AA3" s="430"/>
      <c r="AB3" s="436"/>
      <c r="AC3" s="436"/>
      <c r="AD3" s="436"/>
      <c r="AE3" s="438"/>
      <c r="AF3" s="438"/>
      <c r="AG3" s="438"/>
      <c r="AH3" s="280"/>
      <c r="AJ3" s="432"/>
      <c r="AK3" s="432"/>
      <c r="AL3" s="432"/>
      <c r="AM3" s="117" t="s">
        <v>118</v>
      </c>
      <c r="AN3" s="117" t="s">
        <v>22</v>
      </c>
      <c r="AO3" s="117" t="s">
        <v>55</v>
      </c>
      <c r="AP3" s="117" t="s">
        <v>167</v>
      </c>
      <c r="AQ3" s="117" t="s">
        <v>168</v>
      </c>
      <c r="AR3" s="117" t="s">
        <v>126</v>
      </c>
      <c r="AS3" s="117" t="s">
        <v>111</v>
      </c>
      <c r="AT3" s="117" t="s">
        <v>96</v>
      </c>
      <c r="AU3" s="117" t="s">
        <v>14</v>
      </c>
      <c r="AV3" s="117" t="s">
        <v>120</v>
      </c>
      <c r="AW3" s="98" t="s">
        <v>103</v>
      </c>
      <c r="AX3" s="98" t="s">
        <v>14</v>
      </c>
      <c r="AY3" s="98" t="s">
        <v>120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430"/>
      <c r="BI3" s="430"/>
      <c r="BJ3" s="430"/>
      <c r="BK3" s="436"/>
      <c r="BL3" s="436"/>
      <c r="BM3" s="436"/>
      <c r="BN3" s="438"/>
      <c r="BO3" s="438"/>
      <c r="BP3" s="438"/>
      <c r="BQ3" s="280"/>
    </row>
    <row r="4" spans="1:69" ht="27.95" customHeight="1">
      <c r="A4" s="138">
        <v>1</v>
      </c>
      <c r="B4" s="221">
        <v>24250002</v>
      </c>
      <c r="C4" s="220" t="s">
        <v>402</v>
      </c>
      <c r="D4" s="121">
        <f t="shared" ref="D4:D31" si="0">ROUND(IF(AM4=0,0,MIN(MAX(AM4,40),99)),0)</f>
        <v>99</v>
      </c>
      <c r="E4" s="121">
        <f t="shared" ref="E4:E31" si="1">ROUND(IF(AN4=0,0,MIN(MAX(AN4,40),99)),0)</f>
        <v>98</v>
      </c>
      <c r="F4" s="121">
        <f t="shared" ref="F4:F31" si="2">ROUND(IF(AO4=0,0,MIN(MAX(AO4,40),99)),0)</f>
        <v>99</v>
      </c>
      <c r="G4" s="121">
        <f t="shared" ref="G4:G31" si="3">ROUND(IF(AP4=0,0,MIN(MAX(AP4,40),99)),0)</f>
        <v>99</v>
      </c>
      <c r="H4" s="121">
        <f t="shared" ref="H4:H31" si="4">ROUND(IF(AQ4=0,0,MIN(MAX(AQ4,40),99)),0)</f>
        <v>97</v>
      </c>
      <c r="I4" s="121">
        <f t="shared" ref="I4:I31" si="5">ROUND(IF(AR4=0,0,MIN(MAX(AR4,40),99)),0)</f>
        <v>99</v>
      </c>
      <c r="J4" s="121">
        <f t="shared" ref="J4:J31" si="6">ROUND(IF(AS4=0,0,MIN(MAX(AS4,40),99)),0)</f>
        <v>98</v>
      </c>
      <c r="K4" s="121">
        <f t="shared" ref="K4:K31" si="7">ROUND(IF(AT4=0,0,MIN(MAX(AT4,40),99)),0)</f>
        <v>99</v>
      </c>
      <c r="L4" s="121">
        <f t="shared" ref="L4:L31" si="8">ROUND(IF(AU4=0,0,MIN(MAX(AU4,40),99)),0)</f>
        <v>99</v>
      </c>
      <c r="M4" s="121">
        <f t="shared" ref="M4:M31" si="9">ROUND(IF(AV4=0,0,MIN(MAX(AV4,40),99)),0)</f>
        <v>99</v>
      </c>
      <c r="N4" s="122">
        <f t="shared" ref="N4:N31" si="10">ROUND(IF(AW4=0,0,MIN(MAX(AW4,40),99)),0)</f>
        <v>99</v>
      </c>
      <c r="O4" s="122">
        <f t="shared" ref="O4:O31" si="11">ROUND(IF(AX4=0,0,MIN(MAX(AX4,40),99)),0)</f>
        <v>99</v>
      </c>
      <c r="P4" s="122">
        <f t="shared" ref="P4:P31" si="12">ROUND(IF(AY4=0,0,MIN(MAX(AY4,40),99)),0)</f>
        <v>99</v>
      </c>
      <c r="Q4" s="122">
        <f t="shared" ref="Q4:Q31" si="13">ROUND(IF(AZ4=0,0,MIN(MAX(AZ4,40),99)),0)</f>
        <v>99</v>
      </c>
      <c r="R4" s="122">
        <f t="shared" ref="R4:R31" si="14">ROUND(IF(BA4=0,0,MIN(MAX(BA4,40),99)),0)</f>
        <v>99</v>
      </c>
      <c r="S4" s="241">
        <f t="shared" ref="S4:S31" si="15">ROUND(IF(BB4=0,0,MIN(MAX(BB4,40),99)),0)</f>
        <v>93</v>
      </c>
      <c r="T4" s="241">
        <f t="shared" ref="T4:T31" si="16">ROUND(IF(BC4=0,0,MIN(MAX(BC4,40),99)),0)</f>
        <v>99</v>
      </c>
      <c r="U4" s="241">
        <f t="shared" ref="U4:U31" si="17">ROUND(IF(BD4=0,0,MIN(MAX(BD4,40),99)),0)</f>
        <v>78</v>
      </c>
      <c r="V4" s="241">
        <f t="shared" ref="V4:V31" si="18">ROUND(IF(BE4=0,0,MIN(MAX(BE4,40),99)),0)</f>
        <v>88</v>
      </c>
      <c r="W4" s="241">
        <f t="shared" ref="W4:W31" si="19">ROUND(IF(BF4=0,0,MIN(MAX(BF4,40),99)),0)</f>
        <v>95</v>
      </c>
      <c r="X4" s="241">
        <f t="shared" ref="X4:X31" si="20">ROUND(IF(BG4=0,0,MIN(MAX(BG4,40),99)),0)</f>
        <v>88</v>
      </c>
      <c r="Y4" s="123">
        <f t="shared" ref="Y4:Y31" si="21">SUM(D4:R4)</f>
        <v>1481</v>
      </c>
      <c r="Z4" s="124">
        <f t="shared" ref="Z4:Z31" si="22">AVERAGE(D4:R4)</f>
        <v>98.733333333333334</v>
      </c>
      <c r="AA4" s="125">
        <f t="shared" ref="AA4:AA31" si="23">RANK(Y4,$Y$2:$Y$31)</f>
        <v>1</v>
      </c>
      <c r="AB4" s="126" t="s">
        <v>806</v>
      </c>
      <c r="AC4" s="126" t="s">
        <v>806</v>
      </c>
      <c r="AD4" s="126" t="s">
        <v>806</v>
      </c>
      <c r="AE4" s="127">
        <v>0</v>
      </c>
      <c r="AF4" s="127">
        <v>0</v>
      </c>
      <c r="AG4" s="127">
        <v>0</v>
      </c>
      <c r="AH4" s="128"/>
      <c r="AJ4" s="93">
        <v>6</v>
      </c>
      <c r="AK4" s="131">
        <v>24250002</v>
      </c>
      <c r="AL4" s="120" t="s">
        <v>402</v>
      </c>
      <c r="AM4" s="129">
        <v>99</v>
      </c>
      <c r="AN4" s="129">
        <v>98</v>
      </c>
      <c r="AO4" s="129">
        <v>99</v>
      </c>
      <c r="AP4" s="129">
        <v>100</v>
      </c>
      <c r="AQ4" s="129">
        <v>96.5</v>
      </c>
      <c r="AR4" s="129">
        <v>98.5</v>
      </c>
      <c r="AS4" s="129">
        <v>97.5</v>
      </c>
      <c r="AT4" s="132">
        <v>98.5</v>
      </c>
      <c r="AU4" s="129">
        <v>99</v>
      </c>
      <c r="AV4" s="129">
        <v>99</v>
      </c>
      <c r="AW4" s="133">
        <v>100</v>
      </c>
      <c r="AX4" s="130">
        <v>100</v>
      </c>
      <c r="AY4" s="130">
        <v>100</v>
      </c>
      <c r="AZ4" s="130">
        <v>100</v>
      </c>
      <c r="BA4" s="130">
        <v>100</v>
      </c>
      <c r="BB4" s="243">
        <v>92.5</v>
      </c>
      <c r="BC4" s="243">
        <v>100</v>
      </c>
      <c r="BD4" s="243">
        <v>77.5</v>
      </c>
      <c r="BE4" s="243">
        <v>87.5</v>
      </c>
      <c r="BF4" s="243">
        <v>95</v>
      </c>
      <c r="BG4" s="243">
        <v>87.5</v>
      </c>
      <c r="BH4" s="123">
        <f t="shared" ref="BH4:BH31" si="24">SUM(AM4:BA4)</f>
        <v>1485</v>
      </c>
      <c r="BI4" s="124">
        <f t="shared" ref="BI4:BI31" si="25">AVERAGE(AM4:BA4)</f>
        <v>99</v>
      </c>
      <c r="BJ4" s="125" t="e">
        <f t="shared" ref="BJ4:BJ31" si="26">RANK(BH4,$Y$2:$Y$31)</f>
        <v>#N/A</v>
      </c>
      <c r="BK4" s="126"/>
      <c r="BL4" s="126"/>
      <c r="BM4" s="126"/>
      <c r="BN4" s="127"/>
      <c r="BO4" s="127"/>
      <c r="BP4" s="127"/>
      <c r="BQ4" s="128"/>
    </row>
    <row r="5" spans="1:69" ht="27.95" customHeight="1">
      <c r="A5" s="138">
        <v>2</v>
      </c>
      <c r="B5" s="221">
        <v>24250124</v>
      </c>
      <c r="C5" s="220" t="s">
        <v>515</v>
      </c>
      <c r="D5" s="121">
        <f t="shared" si="0"/>
        <v>87</v>
      </c>
      <c r="E5" s="121">
        <f t="shared" si="1"/>
        <v>98</v>
      </c>
      <c r="F5" s="121">
        <f t="shared" si="2"/>
        <v>93</v>
      </c>
      <c r="G5" s="121">
        <f t="shared" si="3"/>
        <v>98</v>
      </c>
      <c r="H5" s="121">
        <f t="shared" si="4"/>
        <v>92</v>
      </c>
      <c r="I5" s="121">
        <f t="shared" si="5"/>
        <v>98</v>
      </c>
      <c r="J5" s="121">
        <f t="shared" si="6"/>
        <v>96</v>
      </c>
      <c r="K5" s="121">
        <f t="shared" si="7"/>
        <v>96</v>
      </c>
      <c r="L5" s="121">
        <f t="shared" si="8"/>
        <v>99</v>
      </c>
      <c r="M5" s="121">
        <f t="shared" si="9"/>
        <v>99</v>
      </c>
      <c r="N5" s="122">
        <f t="shared" si="10"/>
        <v>75</v>
      </c>
      <c r="O5" s="122">
        <f t="shared" si="11"/>
        <v>99</v>
      </c>
      <c r="P5" s="122">
        <f t="shared" si="12"/>
        <v>99</v>
      </c>
      <c r="Q5" s="122">
        <f t="shared" si="13"/>
        <v>99</v>
      </c>
      <c r="R5" s="122">
        <f t="shared" si="14"/>
        <v>99</v>
      </c>
      <c r="S5" s="241">
        <f t="shared" si="15"/>
        <v>93</v>
      </c>
      <c r="T5" s="241">
        <f t="shared" si="16"/>
        <v>98</v>
      </c>
      <c r="U5" s="241">
        <f t="shared" si="17"/>
        <v>83</v>
      </c>
      <c r="V5" s="241">
        <f t="shared" si="18"/>
        <v>78</v>
      </c>
      <c r="W5" s="241">
        <f t="shared" si="19"/>
        <v>98</v>
      </c>
      <c r="X5" s="241">
        <f t="shared" si="20"/>
        <v>85</v>
      </c>
      <c r="Y5" s="123">
        <f t="shared" si="21"/>
        <v>1427</v>
      </c>
      <c r="Z5" s="124">
        <f t="shared" si="22"/>
        <v>95.13333333333334</v>
      </c>
      <c r="AA5" s="125">
        <f t="shared" si="23"/>
        <v>2</v>
      </c>
      <c r="AB5" s="126" t="s">
        <v>806</v>
      </c>
      <c r="AC5" s="126" t="s">
        <v>806</v>
      </c>
      <c r="AD5" s="126" t="s">
        <v>806</v>
      </c>
      <c r="AE5" s="127">
        <v>0</v>
      </c>
      <c r="AF5" s="127">
        <v>0</v>
      </c>
      <c r="AG5" s="127">
        <v>0</v>
      </c>
      <c r="AH5" s="128"/>
      <c r="AJ5" s="93">
        <v>17</v>
      </c>
      <c r="AK5" s="131">
        <v>24250124</v>
      </c>
      <c r="AL5" s="120" t="s">
        <v>515</v>
      </c>
      <c r="AM5" s="129">
        <v>87</v>
      </c>
      <c r="AN5" s="129">
        <v>97.5</v>
      </c>
      <c r="AO5" s="129">
        <v>93</v>
      </c>
      <c r="AP5" s="129">
        <v>98</v>
      </c>
      <c r="AQ5" s="129">
        <v>91.5</v>
      </c>
      <c r="AR5" s="129">
        <v>97.5</v>
      </c>
      <c r="AS5" s="129">
        <v>95.699999999999989</v>
      </c>
      <c r="AT5" s="129">
        <v>96</v>
      </c>
      <c r="AU5" s="129">
        <v>99</v>
      </c>
      <c r="AV5" s="129">
        <v>99</v>
      </c>
      <c r="AW5" s="130">
        <v>75</v>
      </c>
      <c r="AX5" s="130">
        <v>100</v>
      </c>
      <c r="AY5" s="130">
        <v>100</v>
      </c>
      <c r="AZ5" s="130">
        <v>100</v>
      </c>
      <c r="BA5" s="130">
        <v>100</v>
      </c>
      <c r="BB5" s="243">
        <v>92.5</v>
      </c>
      <c r="BC5" s="243">
        <v>97.5</v>
      </c>
      <c r="BD5" s="243">
        <v>82.5</v>
      </c>
      <c r="BE5" s="243">
        <v>77.5</v>
      </c>
      <c r="BF5" s="243">
        <v>97.5</v>
      </c>
      <c r="BG5" s="243">
        <v>85</v>
      </c>
      <c r="BH5" s="123">
        <f t="shared" si="24"/>
        <v>1429.2</v>
      </c>
      <c r="BI5" s="124">
        <f t="shared" si="25"/>
        <v>95.28</v>
      </c>
      <c r="BJ5" s="125" t="e">
        <f t="shared" si="26"/>
        <v>#N/A</v>
      </c>
      <c r="BK5" s="126"/>
      <c r="BL5" s="126"/>
      <c r="BM5" s="126"/>
      <c r="BN5" s="127"/>
      <c r="BO5" s="127"/>
      <c r="BP5" s="127"/>
      <c r="BQ5" s="128"/>
    </row>
    <row r="6" spans="1:69" ht="27.95" customHeight="1">
      <c r="A6" s="138">
        <v>3</v>
      </c>
      <c r="B6" s="221">
        <v>24250023</v>
      </c>
      <c r="C6" s="220" t="s">
        <v>407</v>
      </c>
      <c r="D6" s="121">
        <f t="shared" si="0"/>
        <v>85</v>
      </c>
      <c r="E6" s="121">
        <f t="shared" si="1"/>
        <v>99</v>
      </c>
      <c r="F6" s="121">
        <f t="shared" si="2"/>
        <v>91</v>
      </c>
      <c r="G6" s="121">
        <f t="shared" si="3"/>
        <v>66</v>
      </c>
      <c r="H6" s="121">
        <f t="shared" si="4"/>
        <v>98</v>
      </c>
      <c r="I6" s="121">
        <f t="shared" si="5"/>
        <v>97</v>
      </c>
      <c r="J6" s="121">
        <f t="shared" si="6"/>
        <v>96</v>
      </c>
      <c r="K6" s="121">
        <f t="shared" si="7"/>
        <v>86</v>
      </c>
      <c r="L6" s="121">
        <f t="shared" si="8"/>
        <v>99</v>
      </c>
      <c r="M6" s="121">
        <f t="shared" si="9"/>
        <v>99</v>
      </c>
      <c r="N6" s="122">
        <f t="shared" si="10"/>
        <v>90</v>
      </c>
      <c r="O6" s="122">
        <f t="shared" si="11"/>
        <v>99</v>
      </c>
      <c r="P6" s="122">
        <f t="shared" si="12"/>
        <v>99</v>
      </c>
      <c r="Q6" s="122">
        <f t="shared" si="13"/>
        <v>99</v>
      </c>
      <c r="R6" s="122">
        <f t="shared" si="14"/>
        <v>99</v>
      </c>
      <c r="S6" s="241">
        <f t="shared" si="15"/>
        <v>90</v>
      </c>
      <c r="T6" s="241">
        <f t="shared" si="16"/>
        <v>99</v>
      </c>
      <c r="U6" s="241">
        <f t="shared" si="17"/>
        <v>65</v>
      </c>
      <c r="V6" s="241">
        <f t="shared" si="18"/>
        <v>80</v>
      </c>
      <c r="W6" s="241">
        <f t="shared" si="19"/>
        <v>95</v>
      </c>
      <c r="X6" s="241">
        <f t="shared" si="20"/>
        <v>98</v>
      </c>
      <c r="Y6" s="123">
        <f t="shared" si="21"/>
        <v>1402</v>
      </c>
      <c r="Z6" s="124">
        <f t="shared" si="22"/>
        <v>93.466666666666669</v>
      </c>
      <c r="AA6" s="125">
        <f t="shared" si="23"/>
        <v>3</v>
      </c>
      <c r="AB6" s="126" t="s">
        <v>806</v>
      </c>
      <c r="AC6" s="126" t="s">
        <v>806</v>
      </c>
      <c r="AD6" s="126" t="s">
        <v>806</v>
      </c>
      <c r="AE6" s="127">
        <v>5</v>
      </c>
      <c r="AF6" s="127">
        <v>0</v>
      </c>
      <c r="AG6" s="127">
        <v>0</v>
      </c>
      <c r="AH6" s="128"/>
      <c r="AJ6" s="93">
        <v>4</v>
      </c>
      <c r="AK6" s="131">
        <v>24250023</v>
      </c>
      <c r="AL6" s="120" t="s">
        <v>407</v>
      </c>
      <c r="AM6" s="129">
        <v>84.5</v>
      </c>
      <c r="AN6" s="129">
        <v>98.5</v>
      </c>
      <c r="AO6" s="129">
        <v>90.5</v>
      </c>
      <c r="AP6" s="129">
        <v>66</v>
      </c>
      <c r="AQ6" s="129">
        <v>97.5</v>
      </c>
      <c r="AR6" s="129">
        <v>97.3</v>
      </c>
      <c r="AS6" s="129">
        <v>95.699999999999989</v>
      </c>
      <c r="AT6" s="129">
        <v>86</v>
      </c>
      <c r="AU6" s="129">
        <v>99</v>
      </c>
      <c r="AV6" s="129">
        <v>99</v>
      </c>
      <c r="AW6" s="130">
        <v>90</v>
      </c>
      <c r="AX6" s="130">
        <v>100</v>
      </c>
      <c r="AY6" s="130">
        <v>100</v>
      </c>
      <c r="AZ6" s="130">
        <v>100</v>
      </c>
      <c r="BA6" s="130">
        <v>100</v>
      </c>
      <c r="BB6" s="243">
        <v>90</v>
      </c>
      <c r="BC6" s="243">
        <v>100</v>
      </c>
      <c r="BD6" s="243">
        <v>65</v>
      </c>
      <c r="BE6" s="243">
        <v>80</v>
      </c>
      <c r="BF6" s="243">
        <v>95</v>
      </c>
      <c r="BG6" s="243">
        <v>97.5</v>
      </c>
      <c r="BH6" s="123">
        <f t="shared" si="24"/>
        <v>1404</v>
      </c>
      <c r="BI6" s="124">
        <f t="shared" si="25"/>
        <v>93.6</v>
      </c>
      <c r="BJ6" s="125" t="e">
        <f t="shared" si="26"/>
        <v>#N/A</v>
      </c>
      <c r="BK6" s="126"/>
      <c r="BL6" s="126"/>
      <c r="BM6" s="126"/>
      <c r="BN6" s="127"/>
      <c r="BO6" s="127"/>
      <c r="BP6" s="127"/>
      <c r="BQ6" s="128"/>
    </row>
    <row r="7" spans="1:69" ht="27.95" customHeight="1">
      <c r="A7" s="138">
        <v>4</v>
      </c>
      <c r="B7" s="221">
        <v>24250038</v>
      </c>
      <c r="C7" s="220" t="s">
        <v>410</v>
      </c>
      <c r="D7" s="121">
        <f t="shared" si="0"/>
        <v>91</v>
      </c>
      <c r="E7" s="121">
        <f t="shared" si="1"/>
        <v>72</v>
      </c>
      <c r="F7" s="121">
        <f t="shared" si="2"/>
        <v>91</v>
      </c>
      <c r="G7" s="121">
        <f t="shared" si="3"/>
        <v>92</v>
      </c>
      <c r="H7" s="121">
        <f t="shared" si="4"/>
        <v>96</v>
      </c>
      <c r="I7" s="121">
        <f t="shared" si="5"/>
        <v>89</v>
      </c>
      <c r="J7" s="121">
        <f t="shared" si="6"/>
        <v>73</v>
      </c>
      <c r="K7" s="121">
        <f t="shared" si="7"/>
        <v>91</v>
      </c>
      <c r="L7" s="121">
        <f t="shared" si="8"/>
        <v>82</v>
      </c>
      <c r="M7" s="121">
        <f t="shared" si="9"/>
        <v>85</v>
      </c>
      <c r="N7" s="122">
        <f t="shared" si="10"/>
        <v>80</v>
      </c>
      <c r="O7" s="122">
        <f t="shared" si="11"/>
        <v>85</v>
      </c>
      <c r="P7" s="122">
        <f t="shared" si="12"/>
        <v>95</v>
      </c>
      <c r="Q7" s="122">
        <f t="shared" si="13"/>
        <v>99</v>
      </c>
      <c r="R7" s="122">
        <f t="shared" si="14"/>
        <v>90</v>
      </c>
      <c r="S7" s="241">
        <f t="shared" si="15"/>
        <v>70</v>
      </c>
      <c r="T7" s="241">
        <f t="shared" si="16"/>
        <v>98</v>
      </c>
      <c r="U7" s="241">
        <f t="shared" si="17"/>
        <v>68</v>
      </c>
      <c r="V7" s="241">
        <f t="shared" si="18"/>
        <v>65</v>
      </c>
      <c r="W7" s="241">
        <f t="shared" si="19"/>
        <v>60</v>
      </c>
      <c r="X7" s="241">
        <f t="shared" si="20"/>
        <v>98</v>
      </c>
      <c r="Y7" s="123">
        <f t="shared" si="21"/>
        <v>1311</v>
      </c>
      <c r="Z7" s="124">
        <f t="shared" si="22"/>
        <v>87.4</v>
      </c>
      <c r="AA7" s="125">
        <f t="shared" si="23"/>
        <v>4</v>
      </c>
      <c r="AB7" s="126" t="s">
        <v>806</v>
      </c>
      <c r="AC7" s="126" t="s">
        <v>806</v>
      </c>
      <c r="AD7" s="126" t="s">
        <v>806</v>
      </c>
      <c r="AE7" s="127">
        <v>15</v>
      </c>
      <c r="AF7" s="127">
        <v>0</v>
      </c>
      <c r="AG7" s="127">
        <v>0</v>
      </c>
      <c r="AH7" s="128"/>
      <c r="AJ7" s="93">
        <v>12</v>
      </c>
      <c r="AK7" s="131">
        <v>24250038</v>
      </c>
      <c r="AL7" s="120" t="s">
        <v>410</v>
      </c>
      <c r="AM7" s="129">
        <v>91</v>
      </c>
      <c r="AN7" s="129">
        <v>72</v>
      </c>
      <c r="AO7" s="129">
        <v>91</v>
      </c>
      <c r="AP7" s="129">
        <v>92</v>
      </c>
      <c r="AQ7" s="129">
        <v>95.5</v>
      </c>
      <c r="AR7" s="129">
        <v>89</v>
      </c>
      <c r="AS7" s="129">
        <v>72.5</v>
      </c>
      <c r="AT7" s="129">
        <v>91</v>
      </c>
      <c r="AU7" s="129">
        <v>82</v>
      </c>
      <c r="AV7" s="129">
        <v>85</v>
      </c>
      <c r="AW7" s="130">
        <v>80</v>
      </c>
      <c r="AX7" s="130">
        <v>85</v>
      </c>
      <c r="AY7" s="130">
        <v>95</v>
      </c>
      <c r="AZ7" s="130">
        <v>100</v>
      </c>
      <c r="BA7" s="130">
        <v>90</v>
      </c>
      <c r="BB7" s="243">
        <v>70</v>
      </c>
      <c r="BC7" s="243">
        <v>97.5</v>
      </c>
      <c r="BD7" s="243">
        <v>67.5</v>
      </c>
      <c r="BE7" s="243">
        <v>65</v>
      </c>
      <c r="BF7" s="243">
        <v>60</v>
      </c>
      <c r="BG7" s="243">
        <v>97.5</v>
      </c>
      <c r="BH7" s="123">
        <f t="shared" si="24"/>
        <v>1311</v>
      </c>
      <c r="BI7" s="124">
        <f t="shared" si="25"/>
        <v>87.4</v>
      </c>
      <c r="BJ7" s="125">
        <f t="shared" si="26"/>
        <v>4</v>
      </c>
      <c r="BK7" s="126"/>
      <c r="BL7" s="126"/>
      <c r="BM7" s="126"/>
      <c r="BN7" s="127"/>
      <c r="BO7" s="127"/>
      <c r="BP7" s="127"/>
      <c r="BQ7" s="128"/>
    </row>
    <row r="8" spans="1:69" ht="27.95" customHeight="1">
      <c r="A8" s="138">
        <v>5</v>
      </c>
      <c r="B8" s="219">
        <v>24250087</v>
      </c>
      <c r="C8" s="220" t="s">
        <v>648</v>
      </c>
      <c r="D8" s="121">
        <f t="shared" si="0"/>
        <v>81</v>
      </c>
      <c r="E8" s="121">
        <f t="shared" si="1"/>
        <v>75</v>
      </c>
      <c r="F8" s="121">
        <f t="shared" si="2"/>
        <v>81</v>
      </c>
      <c r="G8" s="121">
        <f t="shared" si="3"/>
        <v>72</v>
      </c>
      <c r="H8" s="121">
        <f t="shared" si="4"/>
        <v>86</v>
      </c>
      <c r="I8" s="121">
        <f t="shared" si="5"/>
        <v>99</v>
      </c>
      <c r="J8" s="121">
        <f t="shared" si="6"/>
        <v>71</v>
      </c>
      <c r="K8" s="121">
        <f t="shared" si="7"/>
        <v>93</v>
      </c>
      <c r="L8" s="121">
        <f t="shared" si="8"/>
        <v>92</v>
      </c>
      <c r="M8" s="121">
        <f t="shared" si="9"/>
        <v>86</v>
      </c>
      <c r="N8" s="122">
        <f t="shared" si="10"/>
        <v>90</v>
      </c>
      <c r="O8" s="122">
        <f t="shared" si="11"/>
        <v>80</v>
      </c>
      <c r="P8" s="122">
        <f t="shared" si="12"/>
        <v>95</v>
      </c>
      <c r="Q8" s="122">
        <f t="shared" si="13"/>
        <v>90</v>
      </c>
      <c r="R8" s="122">
        <f t="shared" si="14"/>
        <v>99</v>
      </c>
      <c r="S8" s="241">
        <f t="shared" si="15"/>
        <v>90</v>
      </c>
      <c r="T8" s="241">
        <f t="shared" si="16"/>
        <v>99</v>
      </c>
      <c r="U8" s="241">
        <f t="shared" si="17"/>
        <v>63</v>
      </c>
      <c r="V8" s="241">
        <f t="shared" si="18"/>
        <v>68</v>
      </c>
      <c r="W8" s="241">
        <f t="shared" si="19"/>
        <v>95</v>
      </c>
      <c r="X8" s="241">
        <f t="shared" si="20"/>
        <v>88</v>
      </c>
      <c r="Y8" s="123">
        <f t="shared" si="21"/>
        <v>1290</v>
      </c>
      <c r="Z8" s="124">
        <f t="shared" si="22"/>
        <v>86</v>
      </c>
      <c r="AA8" s="125">
        <f t="shared" si="23"/>
        <v>5</v>
      </c>
      <c r="AB8" s="126" t="s">
        <v>806</v>
      </c>
      <c r="AC8" s="126" t="s">
        <v>806</v>
      </c>
      <c r="AD8" s="126" t="s">
        <v>806</v>
      </c>
      <c r="AE8" s="127">
        <v>0</v>
      </c>
      <c r="AF8" s="127">
        <v>0</v>
      </c>
      <c r="AG8" s="127">
        <v>0</v>
      </c>
      <c r="AH8" s="128"/>
      <c r="AJ8" s="93">
        <v>8</v>
      </c>
      <c r="AK8" s="119">
        <v>24250087</v>
      </c>
      <c r="AL8" s="120" t="s">
        <v>648</v>
      </c>
      <c r="AM8" s="129">
        <v>81</v>
      </c>
      <c r="AN8" s="129">
        <v>75</v>
      </c>
      <c r="AO8" s="129">
        <v>81</v>
      </c>
      <c r="AP8" s="129">
        <v>71.8</v>
      </c>
      <c r="AQ8" s="129">
        <v>85.5</v>
      </c>
      <c r="AR8" s="129">
        <v>98.5</v>
      </c>
      <c r="AS8" s="129">
        <v>71</v>
      </c>
      <c r="AT8" s="129">
        <v>93.3</v>
      </c>
      <c r="AU8" s="129">
        <v>92</v>
      </c>
      <c r="AV8" s="129">
        <v>86</v>
      </c>
      <c r="AW8" s="130">
        <v>90</v>
      </c>
      <c r="AX8" s="130">
        <v>80</v>
      </c>
      <c r="AY8" s="130">
        <v>95</v>
      </c>
      <c r="AZ8" s="130">
        <v>90</v>
      </c>
      <c r="BA8" s="130">
        <v>100</v>
      </c>
      <c r="BB8" s="243">
        <v>90</v>
      </c>
      <c r="BC8" s="243">
        <v>100</v>
      </c>
      <c r="BD8" s="243">
        <v>62.5</v>
      </c>
      <c r="BE8" s="243">
        <v>67.5</v>
      </c>
      <c r="BF8" s="243">
        <v>95</v>
      </c>
      <c r="BG8" s="243">
        <v>87.5</v>
      </c>
      <c r="BH8" s="123">
        <f t="shared" si="24"/>
        <v>1290.0999999999999</v>
      </c>
      <c r="BI8" s="124">
        <f t="shared" si="25"/>
        <v>86.006666666666661</v>
      </c>
      <c r="BJ8" s="125" t="e">
        <f t="shared" si="26"/>
        <v>#N/A</v>
      </c>
      <c r="BK8" s="126"/>
      <c r="BL8" s="126"/>
      <c r="BM8" s="126"/>
      <c r="BN8" s="127"/>
      <c r="BO8" s="127"/>
      <c r="BP8" s="127"/>
      <c r="BQ8" s="128"/>
    </row>
    <row r="9" spans="1:69" ht="27.95" customHeight="1">
      <c r="A9" s="138">
        <v>6</v>
      </c>
      <c r="B9" s="221">
        <v>25260112</v>
      </c>
      <c r="C9" s="220" t="s">
        <v>661</v>
      </c>
      <c r="D9" s="121">
        <f t="shared" si="0"/>
        <v>70</v>
      </c>
      <c r="E9" s="121">
        <f t="shared" si="1"/>
        <v>64</v>
      </c>
      <c r="F9" s="121">
        <f t="shared" si="2"/>
        <v>82</v>
      </c>
      <c r="G9" s="121">
        <f t="shared" si="3"/>
        <v>64</v>
      </c>
      <c r="H9" s="121">
        <f t="shared" si="4"/>
        <v>97</v>
      </c>
      <c r="I9" s="121">
        <f t="shared" si="5"/>
        <v>85</v>
      </c>
      <c r="J9" s="121">
        <f t="shared" si="6"/>
        <v>97</v>
      </c>
      <c r="K9" s="121">
        <f t="shared" si="7"/>
        <v>64</v>
      </c>
      <c r="L9" s="121">
        <f t="shared" si="8"/>
        <v>97</v>
      </c>
      <c r="M9" s="121">
        <f t="shared" si="9"/>
        <v>97</v>
      </c>
      <c r="N9" s="122">
        <f t="shared" si="10"/>
        <v>80</v>
      </c>
      <c r="O9" s="122">
        <f t="shared" si="11"/>
        <v>99</v>
      </c>
      <c r="P9" s="122">
        <f t="shared" si="12"/>
        <v>99</v>
      </c>
      <c r="Q9" s="122">
        <f t="shared" si="13"/>
        <v>80</v>
      </c>
      <c r="R9" s="122">
        <f t="shared" si="14"/>
        <v>90</v>
      </c>
      <c r="S9" s="241">
        <f t="shared" si="15"/>
        <v>93</v>
      </c>
      <c r="T9" s="241">
        <f t="shared" si="16"/>
        <v>90</v>
      </c>
      <c r="U9" s="241">
        <f t="shared" si="17"/>
        <v>60</v>
      </c>
      <c r="V9" s="241">
        <f t="shared" si="18"/>
        <v>78</v>
      </c>
      <c r="W9" s="241">
        <f t="shared" si="19"/>
        <v>95</v>
      </c>
      <c r="X9" s="241">
        <f t="shared" si="20"/>
        <v>93</v>
      </c>
      <c r="Y9" s="123">
        <f t="shared" si="21"/>
        <v>1265</v>
      </c>
      <c r="Z9" s="124">
        <f t="shared" si="22"/>
        <v>84.333333333333329</v>
      </c>
      <c r="AA9" s="125">
        <f t="shared" si="23"/>
        <v>6</v>
      </c>
      <c r="AB9" s="126" t="s">
        <v>805</v>
      </c>
      <c r="AC9" s="126" t="s">
        <v>805</v>
      </c>
      <c r="AD9" s="126" t="s">
        <v>805</v>
      </c>
      <c r="AE9" s="127">
        <v>0</v>
      </c>
      <c r="AF9" s="127">
        <v>0</v>
      </c>
      <c r="AG9" s="127">
        <v>0</v>
      </c>
      <c r="AH9" s="128"/>
      <c r="AJ9" s="93">
        <v>27</v>
      </c>
      <c r="AK9" s="131">
        <v>25260112</v>
      </c>
      <c r="AL9" s="120" t="s">
        <v>661</v>
      </c>
      <c r="AM9" s="129">
        <v>70</v>
      </c>
      <c r="AN9" s="129">
        <v>64</v>
      </c>
      <c r="AO9" s="129">
        <v>82</v>
      </c>
      <c r="AP9" s="129">
        <v>64</v>
      </c>
      <c r="AQ9" s="129">
        <v>97</v>
      </c>
      <c r="AR9" s="129">
        <v>85</v>
      </c>
      <c r="AS9" s="129">
        <v>97</v>
      </c>
      <c r="AT9" s="129">
        <v>64</v>
      </c>
      <c r="AU9" s="129">
        <v>97</v>
      </c>
      <c r="AV9" s="129">
        <v>97</v>
      </c>
      <c r="AW9" s="130">
        <v>80</v>
      </c>
      <c r="AX9" s="130">
        <v>100</v>
      </c>
      <c r="AY9" s="130">
        <v>100</v>
      </c>
      <c r="AZ9" s="130">
        <v>80</v>
      </c>
      <c r="BA9" s="130">
        <v>90</v>
      </c>
      <c r="BB9" s="243">
        <v>92.5</v>
      </c>
      <c r="BC9" s="243">
        <v>90</v>
      </c>
      <c r="BD9" s="243">
        <v>60</v>
      </c>
      <c r="BE9" s="243">
        <v>77.5</v>
      </c>
      <c r="BF9" s="243">
        <v>95</v>
      </c>
      <c r="BG9" s="243">
        <v>92.5</v>
      </c>
      <c r="BH9" s="123">
        <f t="shared" si="24"/>
        <v>1267</v>
      </c>
      <c r="BI9" s="124">
        <f t="shared" si="25"/>
        <v>84.466666666666669</v>
      </c>
      <c r="BJ9" s="125" t="e">
        <f t="shared" si="26"/>
        <v>#N/A</v>
      </c>
      <c r="BK9" s="126"/>
      <c r="BL9" s="126"/>
      <c r="BM9" s="126"/>
      <c r="BN9" s="127"/>
      <c r="BO9" s="127"/>
      <c r="BP9" s="127"/>
      <c r="BQ9" s="128"/>
    </row>
    <row r="10" spans="1:69" ht="27.95" customHeight="1">
      <c r="A10" s="138">
        <v>7</v>
      </c>
      <c r="B10" s="219">
        <v>25260042</v>
      </c>
      <c r="C10" s="220" t="s">
        <v>659</v>
      </c>
      <c r="D10" s="121">
        <f t="shared" si="0"/>
        <v>70</v>
      </c>
      <c r="E10" s="121">
        <f t="shared" si="1"/>
        <v>73</v>
      </c>
      <c r="F10" s="121">
        <f t="shared" si="2"/>
        <v>85</v>
      </c>
      <c r="G10" s="121">
        <f t="shared" si="3"/>
        <v>67</v>
      </c>
      <c r="H10" s="121">
        <f t="shared" si="4"/>
        <v>82</v>
      </c>
      <c r="I10" s="121">
        <f t="shared" si="5"/>
        <v>85</v>
      </c>
      <c r="J10" s="121">
        <f t="shared" si="6"/>
        <v>97</v>
      </c>
      <c r="K10" s="121">
        <f t="shared" si="7"/>
        <v>69</v>
      </c>
      <c r="L10" s="121">
        <f t="shared" si="8"/>
        <v>97</v>
      </c>
      <c r="M10" s="121">
        <f t="shared" si="9"/>
        <v>97</v>
      </c>
      <c r="N10" s="122">
        <f t="shared" si="10"/>
        <v>80</v>
      </c>
      <c r="O10" s="122">
        <f t="shared" si="11"/>
        <v>85</v>
      </c>
      <c r="P10" s="122">
        <f t="shared" si="12"/>
        <v>90</v>
      </c>
      <c r="Q10" s="122">
        <f t="shared" si="13"/>
        <v>70</v>
      </c>
      <c r="R10" s="122">
        <f t="shared" si="14"/>
        <v>99</v>
      </c>
      <c r="S10" s="241">
        <f t="shared" si="15"/>
        <v>83</v>
      </c>
      <c r="T10" s="241">
        <f t="shared" si="16"/>
        <v>99</v>
      </c>
      <c r="U10" s="241">
        <f t="shared" si="17"/>
        <v>60</v>
      </c>
      <c r="V10" s="241">
        <f t="shared" si="18"/>
        <v>63</v>
      </c>
      <c r="W10" s="241">
        <f t="shared" si="19"/>
        <v>80</v>
      </c>
      <c r="X10" s="241">
        <f t="shared" si="20"/>
        <v>85</v>
      </c>
      <c r="Y10" s="123">
        <f t="shared" si="21"/>
        <v>1246</v>
      </c>
      <c r="Z10" s="124">
        <f t="shared" si="22"/>
        <v>83.066666666666663</v>
      </c>
      <c r="AA10" s="125">
        <f t="shared" si="23"/>
        <v>7</v>
      </c>
      <c r="AB10" s="126" t="s">
        <v>805</v>
      </c>
      <c r="AC10" s="126" t="s">
        <v>805</v>
      </c>
      <c r="AD10" s="126" t="s">
        <v>805</v>
      </c>
      <c r="AE10" s="127">
        <v>0</v>
      </c>
      <c r="AF10" s="127">
        <v>0</v>
      </c>
      <c r="AG10" s="127">
        <v>0</v>
      </c>
      <c r="AH10" s="128"/>
      <c r="AJ10" s="93">
        <v>25</v>
      </c>
      <c r="AK10" s="119">
        <v>25260042</v>
      </c>
      <c r="AL10" s="120" t="s">
        <v>659</v>
      </c>
      <c r="AM10" s="129">
        <v>70</v>
      </c>
      <c r="AN10" s="129">
        <v>73</v>
      </c>
      <c r="AO10" s="129">
        <v>85</v>
      </c>
      <c r="AP10" s="129">
        <v>67</v>
      </c>
      <c r="AQ10" s="129">
        <v>82</v>
      </c>
      <c r="AR10" s="129">
        <v>85</v>
      </c>
      <c r="AS10" s="129">
        <v>97</v>
      </c>
      <c r="AT10" s="129">
        <v>68.8</v>
      </c>
      <c r="AU10" s="129">
        <v>97</v>
      </c>
      <c r="AV10" s="129">
        <v>97</v>
      </c>
      <c r="AW10" s="130">
        <v>80</v>
      </c>
      <c r="AX10" s="130">
        <v>85</v>
      </c>
      <c r="AY10" s="130">
        <v>90</v>
      </c>
      <c r="AZ10" s="130">
        <v>70</v>
      </c>
      <c r="BA10" s="130">
        <v>100</v>
      </c>
      <c r="BB10" s="243">
        <v>82.5</v>
      </c>
      <c r="BC10" s="243">
        <v>100</v>
      </c>
      <c r="BD10" s="243">
        <v>60</v>
      </c>
      <c r="BE10" s="243">
        <v>62.5</v>
      </c>
      <c r="BF10" s="243">
        <v>80</v>
      </c>
      <c r="BG10" s="243">
        <v>85</v>
      </c>
      <c r="BH10" s="123">
        <f t="shared" si="24"/>
        <v>1246.8</v>
      </c>
      <c r="BI10" s="124">
        <f t="shared" si="25"/>
        <v>83.11999999999999</v>
      </c>
      <c r="BJ10" s="125" t="e">
        <f t="shared" si="26"/>
        <v>#N/A</v>
      </c>
      <c r="BK10" s="126"/>
      <c r="BL10" s="126"/>
      <c r="BM10" s="126"/>
      <c r="BN10" s="127"/>
      <c r="BO10" s="127"/>
      <c r="BP10" s="127"/>
      <c r="BQ10" s="128"/>
    </row>
    <row r="11" spans="1:69" ht="27.95" customHeight="1">
      <c r="A11" s="138">
        <v>8</v>
      </c>
      <c r="B11" s="219">
        <v>24250080</v>
      </c>
      <c r="C11" s="220" t="s">
        <v>655</v>
      </c>
      <c r="D11" s="121">
        <f t="shared" si="0"/>
        <v>85</v>
      </c>
      <c r="E11" s="121">
        <f t="shared" si="1"/>
        <v>69</v>
      </c>
      <c r="F11" s="121">
        <f t="shared" si="2"/>
        <v>85</v>
      </c>
      <c r="G11" s="121">
        <f t="shared" si="3"/>
        <v>63</v>
      </c>
      <c r="H11" s="121">
        <f t="shared" si="4"/>
        <v>86</v>
      </c>
      <c r="I11" s="121">
        <f t="shared" si="5"/>
        <v>83</v>
      </c>
      <c r="J11" s="121">
        <f t="shared" si="6"/>
        <v>81</v>
      </c>
      <c r="K11" s="121">
        <f t="shared" si="7"/>
        <v>72</v>
      </c>
      <c r="L11" s="121">
        <f t="shared" si="8"/>
        <v>94</v>
      </c>
      <c r="M11" s="121">
        <f t="shared" si="9"/>
        <v>91</v>
      </c>
      <c r="N11" s="122">
        <f t="shared" si="10"/>
        <v>80</v>
      </c>
      <c r="O11" s="122">
        <f t="shared" si="11"/>
        <v>85</v>
      </c>
      <c r="P11" s="122">
        <f t="shared" si="12"/>
        <v>95</v>
      </c>
      <c r="Q11" s="122">
        <f t="shared" si="13"/>
        <v>80</v>
      </c>
      <c r="R11" s="122">
        <f t="shared" si="14"/>
        <v>90</v>
      </c>
      <c r="S11" s="241">
        <f t="shared" si="15"/>
        <v>65</v>
      </c>
      <c r="T11" s="241">
        <f t="shared" si="16"/>
        <v>70</v>
      </c>
      <c r="U11" s="241">
        <f t="shared" si="17"/>
        <v>63</v>
      </c>
      <c r="V11" s="241">
        <f t="shared" si="18"/>
        <v>70</v>
      </c>
      <c r="W11" s="241">
        <f t="shared" si="19"/>
        <v>85</v>
      </c>
      <c r="X11" s="241">
        <f t="shared" si="20"/>
        <v>70</v>
      </c>
      <c r="Y11" s="123">
        <f t="shared" si="21"/>
        <v>1239</v>
      </c>
      <c r="Z11" s="124">
        <f t="shared" si="22"/>
        <v>82.6</v>
      </c>
      <c r="AA11" s="125">
        <f t="shared" si="23"/>
        <v>8</v>
      </c>
      <c r="AB11" s="126" t="s">
        <v>806</v>
      </c>
      <c r="AC11" s="126" t="s">
        <v>806</v>
      </c>
      <c r="AD11" s="126" t="s">
        <v>806</v>
      </c>
      <c r="AE11" s="127">
        <v>0</v>
      </c>
      <c r="AF11" s="127">
        <v>0</v>
      </c>
      <c r="AG11" s="127">
        <v>0</v>
      </c>
      <c r="AH11" s="128"/>
      <c r="AJ11" s="93">
        <v>20</v>
      </c>
      <c r="AK11" s="119">
        <v>24250080</v>
      </c>
      <c r="AL11" s="120" t="s">
        <v>655</v>
      </c>
      <c r="AM11" s="129">
        <v>85</v>
      </c>
      <c r="AN11" s="129">
        <v>69</v>
      </c>
      <c r="AO11" s="129">
        <v>85</v>
      </c>
      <c r="AP11" s="129">
        <v>62.5</v>
      </c>
      <c r="AQ11" s="129">
        <v>85.5</v>
      </c>
      <c r="AR11" s="129">
        <v>83</v>
      </c>
      <c r="AS11" s="132">
        <v>80.5</v>
      </c>
      <c r="AT11" s="129">
        <v>72</v>
      </c>
      <c r="AU11" s="129">
        <v>94</v>
      </c>
      <c r="AV11" s="132">
        <v>91</v>
      </c>
      <c r="AW11" s="130">
        <v>80</v>
      </c>
      <c r="AX11" s="130">
        <v>85</v>
      </c>
      <c r="AY11" s="130">
        <v>95</v>
      </c>
      <c r="AZ11" s="130">
        <v>80</v>
      </c>
      <c r="BA11" s="130">
        <v>90</v>
      </c>
      <c r="BB11" s="243">
        <v>65</v>
      </c>
      <c r="BC11" s="243">
        <v>70</v>
      </c>
      <c r="BD11" s="243">
        <v>62.5</v>
      </c>
      <c r="BE11" s="243">
        <v>70</v>
      </c>
      <c r="BF11" s="243">
        <v>85</v>
      </c>
      <c r="BG11" s="243">
        <v>70</v>
      </c>
      <c r="BH11" s="123">
        <f t="shared" si="24"/>
        <v>1237.5</v>
      </c>
      <c r="BI11" s="124">
        <f t="shared" si="25"/>
        <v>82.5</v>
      </c>
      <c r="BJ11" s="125" t="e">
        <f t="shared" si="26"/>
        <v>#N/A</v>
      </c>
      <c r="BK11" s="126"/>
      <c r="BL11" s="126"/>
      <c r="BM11" s="126"/>
      <c r="BN11" s="127"/>
      <c r="BO11" s="127"/>
      <c r="BP11" s="127"/>
      <c r="BQ11" s="128"/>
    </row>
    <row r="12" spans="1:69" ht="27.95" customHeight="1">
      <c r="A12" s="138">
        <v>9</v>
      </c>
      <c r="B12" s="221">
        <v>25260047</v>
      </c>
      <c r="C12" s="220" t="s">
        <v>660</v>
      </c>
      <c r="D12" s="121">
        <f t="shared" si="0"/>
        <v>70</v>
      </c>
      <c r="E12" s="121">
        <f t="shared" si="1"/>
        <v>64</v>
      </c>
      <c r="F12" s="121">
        <f t="shared" si="2"/>
        <v>85</v>
      </c>
      <c r="G12" s="121">
        <f t="shared" si="3"/>
        <v>73</v>
      </c>
      <c r="H12" s="121">
        <f t="shared" si="4"/>
        <v>80</v>
      </c>
      <c r="I12" s="121">
        <f t="shared" si="5"/>
        <v>70</v>
      </c>
      <c r="J12" s="121">
        <f t="shared" si="6"/>
        <v>97</v>
      </c>
      <c r="K12" s="121">
        <f t="shared" si="7"/>
        <v>64</v>
      </c>
      <c r="L12" s="121">
        <f t="shared" si="8"/>
        <v>97</v>
      </c>
      <c r="M12" s="121">
        <f t="shared" si="9"/>
        <v>76</v>
      </c>
      <c r="N12" s="122">
        <f t="shared" si="10"/>
        <v>80</v>
      </c>
      <c r="O12" s="122">
        <f t="shared" si="11"/>
        <v>80</v>
      </c>
      <c r="P12" s="122">
        <f t="shared" si="12"/>
        <v>85</v>
      </c>
      <c r="Q12" s="122">
        <f t="shared" si="13"/>
        <v>99</v>
      </c>
      <c r="R12" s="122">
        <f t="shared" si="14"/>
        <v>90</v>
      </c>
      <c r="S12" s="241">
        <f t="shared" si="15"/>
        <v>90</v>
      </c>
      <c r="T12" s="241">
        <f t="shared" si="16"/>
        <v>99</v>
      </c>
      <c r="U12" s="241">
        <f t="shared" si="17"/>
        <v>68</v>
      </c>
      <c r="V12" s="241">
        <f t="shared" si="18"/>
        <v>83</v>
      </c>
      <c r="W12" s="241">
        <f t="shared" si="19"/>
        <v>93</v>
      </c>
      <c r="X12" s="241">
        <f t="shared" si="20"/>
        <v>93</v>
      </c>
      <c r="Y12" s="123">
        <f t="shared" si="21"/>
        <v>1210</v>
      </c>
      <c r="Z12" s="124">
        <f t="shared" si="22"/>
        <v>80.666666666666671</v>
      </c>
      <c r="AA12" s="125">
        <f t="shared" si="23"/>
        <v>9</v>
      </c>
      <c r="AB12" s="126" t="s">
        <v>805</v>
      </c>
      <c r="AC12" s="126" t="s">
        <v>805</v>
      </c>
      <c r="AD12" s="126" t="s">
        <v>805</v>
      </c>
      <c r="AE12" s="127">
        <v>0</v>
      </c>
      <c r="AF12" s="127">
        <v>0</v>
      </c>
      <c r="AG12" s="127">
        <v>0</v>
      </c>
      <c r="AH12" s="128"/>
      <c r="AJ12" s="93">
        <v>26</v>
      </c>
      <c r="AK12" s="131">
        <v>25260047</v>
      </c>
      <c r="AL12" s="120" t="s">
        <v>660</v>
      </c>
      <c r="AM12" s="129">
        <v>70</v>
      </c>
      <c r="AN12" s="129">
        <v>64</v>
      </c>
      <c r="AO12" s="129">
        <v>85</v>
      </c>
      <c r="AP12" s="129">
        <v>73</v>
      </c>
      <c r="AQ12" s="129">
        <v>80</v>
      </c>
      <c r="AR12" s="129">
        <v>70</v>
      </c>
      <c r="AS12" s="129">
        <v>97</v>
      </c>
      <c r="AT12" s="129">
        <v>64</v>
      </c>
      <c r="AU12" s="129">
        <v>97</v>
      </c>
      <c r="AV12" s="129">
        <v>76</v>
      </c>
      <c r="AW12" s="130">
        <v>80</v>
      </c>
      <c r="AX12" s="130">
        <v>80</v>
      </c>
      <c r="AY12" s="130">
        <v>85</v>
      </c>
      <c r="AZ12" s="130">
        <v>100</v>
      </c>
      <c r="BA12" s="130">
        <v>90</v>
      </c>
      <c r="BB12" s="243">
        <v>90</v>
      </c>
      <c r="BC12" s="243">
        <v>100</v>
      </c>
      <c r="BD12" s="243">
        <v>67.5</v>
      </c>
      <c r="BE12" s="243">
        <v>82.5</v>
      </c>
      <c r="BF12" s="243">
        <v>92.5</v>
      </c>
      <c r="BG12" s="243">
        <v>92.5</v>
      </c>
      <c r="BH12" s="123">
        <f t="shared" si="24"/>
        <v>1211</v>
      </c>
      <c r="BI12" s="124">
        <f t="shared" si="25"/>
        <v>80.733333333333334</v>
      </c>
      <c r="BJ12" s="125" t="e">
        <f t="shared" si="26"/>
        <v>#N/A</v>
      </c>
      <c r="BK12" s="126"/>
      <c r="BL12" s="126"/>
      <c r="BM12" s="126"/>
      <c r="BN12" s="127"/>
      <c r="BO12" s="127"/>
      <c r="BP12" s="127"/>
      <c r="BQ12" s="128"/>
    </row>
    <row r="13" spans="1:69" ht="27.95" customHeight="1">
      <c r="A13" s="138">
        <v>10</v>
      </c>
      <c r="B13" s="221">
        <v>24250084</v>
      </c>
      <c r="C13" s="220" t="s">
        <v>647</v>
      </c>
      <c r="D13" s="121">
        <f t="shared" si="0"/>
        <v>70</v>
      </c>
      <c r="E13" s="121">
        <f t="shared" si="1"/>
        <v>74</v>
      </c>
      <c r="F13" s="121">
        <f t="shared" si="2"/>
        <v>70</v>
      </c>
      <c r="G13" s="121">
        <f t="shared" si="3"/>
        <v>63</v>
      </c>
      <c r="H13" s="121">
        <f t="shared" si="4"/>
        <v>84</v>
      </c>
      <c r="I13" s="121">
        <f t="shared" si="5"/>
        <v>86</v>
      </c>
      <c r="J13" s="121">
        <f t="shared" si="6"/>
        <v>80</v>
      </c>
      <c r="K13" s="121">
        <f t="shared" si="7"/>
        <v>71</v>
      </c>
      <c r="L13" s="121">
        <f t="shared" si="8"/>
        <v>80</v>
      </c>
      <c r="M13" s="121">
        <f t="shared" si="9"/>
        <v>77</v>
      </c>
      <c r="N13" s="122">
        <f t="shared" si="10"/>
        <v>70</v>
      </c>
      <c r="O13" s="122">
        <f t="shared" si="11"/>
        <v>75</v>
      </c>
      <c r="P13" s="122">
        <f t="shared" si="12"/>
        <v>90</v>
      </c>
      <c r="Q13" s="122">
        <f t="shared" si="13"/>
        <v>90</v>
      </c>
      <c r="R13" s="122">
        <f t="shared" si="14"/>
        <v>99</v>
      </c>
      <c r="S13" s="241">
        <f t="shared" si="15"/>
        <v>90</v>
      </c>
      <c r="T13" s="241">
        <f t="shared" si="16"/>
        <v>99</v>
      </c>
      <c r="U13" s="241">
        <f t="shared" si="17"/>
        <v>63</v>
      </c>
      <c r="V13" s="241">
        <f t="shared" si="18"/>
        <v>78</v>
      </c>
      <c r="W13" s="241">
        <f t="shared" si="19"/>
        <v>95</v>
      </c>
      <c r="X13" s="241">
        <f t="shared" si="20"/>
        <v>90</v>
      </c>
      <c r="Y13" s="123">
        <f t="shared" si="21"/>
        <v>1179</v>
      </c>
      <c r="Z13" s="124">
        <f t="shared" si="22"/>
        <v>78.599999999999994</v>
      </c>
      <c r="AA13" s="125">
        <f t="shared" si="23"/>
        <v>10</v>
      </c>
      <c r="AB13" s="126" t="s">
        <v>806</v>
      </c>
      <c r="AC13" s="126" t="s">
        <v>806</v>
      </c>
      <c r="AD13" s="126" t="s">
        <v>805</v>
      </c>
      <c r="AE13" s="127">
        <v>0</v>
      </c>
      <c r="AF13" s="127">
        <v>0</v>
      </c>
      <c r="AG13" s="127">
        <v>0</v>
      </c>
      <c r="AH13" s="128"/>
      <c r="AJ13" s="93">
        <v>5</v>
      </c>
      <c r="AK13" s="131">
        <v>24250084</v>
      </c>
      <c r="AL13" s="120" t="s">
        <v>647</v>
      </c>
      <c r="AM13" s="129">
        <v>70</v>
      </c>
      <c r="AN13" s="129">
        <v>73.5</v>
      </c>
      <c r="AO13" s="129">
        <v>70</v>
      </c>
      <c r="AP13" s="129">
        <v>62.5</v>
      </c>
      <c r="AQ13" s="129">
        <v>83.5</v>
      </c>
      <c r="AR13" s="129">
        <v>86</v>
      </c>
      <c r="AS13" s="129">
        <v>80</v>
      </c>
      <c r="AT13" s="129">
        <v>70.5</v>
      </c>
      <c r="AU13" s="129">
        <v>80</v>
      </c>
      <c r="AV13" s="129">
        <v>77</v>
      </c>
      <c r="AW13" s="130">
        <v>70</v>
      </c>
      <c r="AX13" s="130">
        <v>75</v>
      </c>
      <c r="AY13" s="130">
        <v>90</v>
      </c>
      <c r="AZ13" s="130">
        <v>90</v>
      </c>
      <c r="BA13" s="130">
        <v>100</v>
      </c>
      <c r="BB13" s="243">
        <v>90</v>
      </c>
      <c r="BC13" s="243">
        <v>100</v>
      </c>
      <c r="BD13" s="243">
        <v>62.5</v>
      </c>
      <c r="BE13" s="243">
        <v>77.5</v>
      </c>
      <c r="BF13" s="243">
        <v>95</v>
      </c>
      <c r="BG13" s="243">
        <v>90</v>
      </c>
      <c r="BH13" s="123">
        <f t="shared" si="24"/>
        <v>1178</v>
      </c>
      <c r="BI13" s="124">
        <f t="shared" si="25"/>
        <v>78.533333333333331</v>
      </c>
      <c r="BJ13" s="125" t="e">
        <f t="shared" si="26"/>
        <v>#N/A</v>
      </c>
      <c r="BK13" s="126"/>
      <c r="BL13" s="126"/>
      <c r="BM13" s="126"/>
      <c r="BN13" s="127"/>
      <c r="BO13" s="127"/>
      <c r="BP13" s="127"/>
      <c r="BQ13" s="128"/>
    </row>
    <row r="14" spans="1:69" ht="27.95" customHeight="1">
      <c r="A14" s="138">
        <v>11</v>
      </c>
      <c r="B14" s="219">
        <v>25260075</v>
      </c>
      <c r="C14" s="220" t="s">
        <v>658</v>
      </c>
      <c r="D14" s="121">
        <f t="shared" si="0"/>
        <v>70</v>
      </c>
      <c r="E14" s="121">
        <f t="shared" si="1"/>
        <v>64</v>
      </c>
      <c r="F14" s="121">
        <f t="shared" si="2"/>
        <v>88</v>
      </c>
      <c r="G14" s="121">
        <f t="shared" si="3"/>
        <v>67</v>
      </c>
      <c r="H14" s="121">
        <f t="shared" si="4"/>
        <v>67</v>
      </c>
      <c r="I14" s="121">
        <f t="shared" si="5"/>
        <v>85</v>
      </c>
      <c r="J14" s="121">
        <f t="shared" si="6"/>
        <v>84</v>
      </c>
      <c r="K14" s="121">
        <f t="shared" si="7"/>
        <v>64</v>
      </c>
      <c r="L14" s="121">
        <f t="shared" si="8"/>
        <v>76</v>
      </c>
      <c r="M14" s="121">
        <f t="shared" si="9"/>
        <v>76</v>
      </c>
      <c r="N14" s="122">
        <f t="shared" si="10"/>
        <v>80</v>
      </c>
      <c r="O14" s="122">
        <f t="shared" si="11"/>
        <v>80</v>
      </c>
      <c r="P14" s="122">
        <f t="shared" si="12"/>
        <v>60</v>
      </c>
      <c r="Q14" s="122">
        <f t="shared" si="13"/>
        <v>70</v>
      </c>
      <c r="R14" s="122">
        <f t="shared" si="14"/>
        <v>99</v>
      </c>
      <c r="S14" s="241">
        <f t="shared" si="15"/>
        <v>90</v>
      </c>
      <c r="T14" s="241">
        <f t="shared" si="16"/>
        <v>99</v>
      </c>
      <c r="U14" s="241">
        <f t="shared" si="17"/>
        <v>60</v>
      </c>
      <c r="V14" s="241">
        <f t="shared" si="18"/>
        <v>68</v>
      </c>
      <c r="W14" s="241">
        <f t="shared" si="19"/>
        <v>90</v>
      </c>
      <c r="X14" s="241">
        <f t="shared" si="20"/>
        <v>93</v>
      </c>
      <c r="Y14" s="123">
        <f t="shared" si="21"/>
        <v>1130</v>
      </c>
      <c r="Z14" s="124">
        <f t="shared" si="22"/>
        <v>75.333333333333329</v>
      </c>
      <c r="AA14" s="125">
        <f t="shared" si="23"/>
        <v>11</v>
      </c>
      <c r="AB14" s="126" t="s">
        <v>805</v>
      </c>
      <c r="AC14" s="126" t="s">
        <v>805</v>
      </c>
      <c r="AD14" s="126" t="s">
        <v>805</v>
      </c>
      <c r="AE14" s="127">
        <v>12</v>
      </c>
      <c r="AF14" s="127">
        <v>0</v>
      </c>
      <c r="AG14" s="127">
        <v>0</v>
      </c>
      <c r="AH14" s="128"/>
      <c r="AJ14" s="93">
        <v>24</v>
      </c>
      <c r="AK14" s="119">
        <v>25260075</v>
      </c>
      <c r="AL14" s="120" t="s">
        <v>658</v>
      </c>
      <c r="AM14" s="129">
        <v>70</v>
      </c>
      <c r="AN14" s="129">
        <v>64</v>
      </c>
      <c r="AO14" s="129">
        <v>88</v>
      </c>
      <c r="AP14" s="129">
        <v>67</v>
      </c>
      <c r="AQ14" s="129">
        <v>67</v>
      </c>
      <c r="AR14" s="129">
        <v>85</v>
      </c>
      <c r="AS14" s="129">
        <v>83.8</v>
      </c>
      <c r="AT14" s="129">
        <v>64</v>
      </c>
      <c r="AU14" s="129">
        <v>76</v>
      </c>
      <c r="AV14" s="129">
        <v>76</v>
      </c>
      <c r="AW14" s="130">
        <v>80</v>
      </c>
      <c r="AX14" s="130">
        <v>80</v>
      </c>
      <c r="AY14" s="130">
        <v>60</v>
      </c>
      <c r="AZ14" s="130">
        <v>70</v>
      </c>
      <c r="BA14" s="130">
        <v>100</v>
      </c>
      <c r="BB14" s="243">
        <v>90</v>
      </c>
      <c r="BC14" s="243">
        <v>100</v>
      </c>
      <c r="BD14" s="243">
        <v>60</v>
      </c>
      <c r="BE14" s="243">
        <v>67.5</v>
      </c>
      <c r="BF14" s="243">
        <v>90</v>
      </c>
      <c r="BG14" s="243">
        <v>92.5</v>
      </c>
      <c r="BH14" s="123">
        <f t="shared" si="24"/>
        <v>1130.8</v>
      </c>
      <c r="BI14" s="124">
        <f t="shared" si="25"/>
        <v>75.38666666666667</v>
      </c>
      <c r="BJ14" s="125" t="e">
        <f t="shared" si="26"/>
        <v>#N/A</v>
      </c>
      <c r="BK14" s="126"/>
      <c r="BL14" s="126"/>
      <c r="BM14" s="126"/>
      <c r="BN14" s="127"/>
      <c r="BO14" s="127"/>
      <c r="BP14" s="127"/>
      <c r="BQ14" s="128"/>
    </row>
    <row r="15" spans="1:69" ht="27.95" customHeight="1">
      <c r="A15" s="138">
        <v>12</v>
      </c>
      <c r="B15" s="221">
        <v>24250067</v>
      </c>
      <c r="C15" s="220" t="s">
        <v>416</v>
      </c>
      <c r="D15" s="121">
        <f t="shared" si="0"/>
        <v>78</v>
      </c>
      <c r="E15" s="121">
        <f t="shared" si="1"/>
        <v>69</v>
      </c>
      <c r="F15" s="121">
        <f t="shared" si="2"/>
        <v>75</v>
      </c>
      <c r="G15" s="121">
        <f t="shared" si="3"/>
        <v>46</v>
      </c>
      <c r="H15" s="121">
        <f t="shared" si="4"/>
        <v>62</v>
      </c>
      <c r="I15" s="121">
        <f t="shared" si="5"/>
        <v>74</v>
      </c>
      <c r="J15" s="121">
        <f t="shared" si="6"/>
        <v>90</v>
      </c>
      <c r="K15" s="121">
        <f t="shared" si="7"/>
        <v>65</v>
      </c>
      <c r="L15" s="121">
        <f t="shared" si="8"/>
        <v>76</v>
      </c>
      <c r="M15" s="121">
        <f t="shared" si="9"/>
        <v>79</v>
      </c>
      <c r="N15" s="122">
        <f t="shared" si="10"/>
        <v>80</v>
      </c>
      <c r="O15" s="122">
        <f t="shared" si="11"/>
        <v>80</v>
      </c>
      <c r="P15" s="122">
        <f t="shared" si="12"/>
        <v>80</v>
      </c>
      <c r="Q15" s="122">
        <f t="shared" si="13"/>
        <v>70</v>
      </c>
      <c r="R15" s="122">
        <f t="shared" si="14"/>
        <v>99</v>
      </c>
      <c r="S15" s="241">
        <f t="shared" si="15"/>
        <v>75</v>
      </c>
      <c r="T15" s="241">
        <f t="shared" si="16"/>
        <v>98</v>
      </c>
      <c r="U15" s="241">
        <f t="shared" si="17"/>
        <v>70</v>
      </c>
      <c r="V15" s="241">
        <f t="shared" si="18"/>
        <v>65</v>
      </c>
      <c r="W15" s="241">
        <f t="shared" si="19"/>
        <v>75</v>
      </c>
      <c r="X15" s="241">
        <f t="shared" si="20"/>
        <v>80</v>
      </c>
      <c r="Y15" s="123">
        <f t="shared" si="21"/>
        <v>1123</v>
      </c>
      <c r="Z15" s="124">
        <f t="shared" si="22"/>
        <v>74.86666666666666</v>
      </c>
      <c r="AA15" s="125">
        <f t="shared" si="23"/>
        <v>12</v>
      </c>
      <c r="AB15" s="126" t="s">
        <v>806</v>
      </c>
      <c r="AC15" s="126" t="s">
        <v>805</v>
      </c>
      <c r="AD15" s="126" t="s">
        <v>805</v>
      </c>
      <c r="AE15" s="127">
        <v>10</v>
      </c>
      <c r="AF15" s="127">
        <v>0</v>
      </c>
      <c r="AG15" s="127">
        <v>0</v>
      </c>
      <c r="AH15" s="128"/>
      <c r="AJ15" s="93">
        <v>13</v>
      </c>
      <c r="AK15" s="131">
        <v>24250067</v>
      </c>
      <c r="AL15" s="120" t="s">
        <v>416</v>
      </c>
      <c r="AM15" s="132">
        <v>78</v>
      </c>
      <c r="AN15" s="132">
        <v>69</v>
      </c>
      <c r="AO15" s="129">
        <v>75</v>
      </c>
      <c r="AP15" s="129">
        <v>46</v>
      </c>
      <c r="AQ15" s="129">
        <v>61.5</v>
      </c>
      <c r="AR15" s="129">
        <v>73.5</v>
      </c>
      <c r="AS15" s="132">
        <v>89.5</v>
      </c>
      <c r="AT15" s="129">
        <v>65</v>
      </c>
      <c r="AU15" s="129">
        <v>76</v>
      </c>
      <c r="AV15" s="129">
        <v>79</v>
      </c>
      <c r="AW15" s="130">
        <v>80</v>
      </c>
      <c r="AX15" s="130">
        <v>80</v>
      </c>
      <c r="AY15" s="130">
        <v>80</v>
      </c>
      <c r="AZ15" s="133">
        <v>70</v>
      </c>
      <c r="BA15" s="133">
        <v>100</v>
      </c>
      <c r="BB15" s="244">
        <v>75</v>
      </c>
      <c r="BC15" s="244">
        <v>97.5</v>
      </c>
      <c r="BD15" s="244">
        <v>70</v>
      </c>
      <c r="BE15" s="244">
        <v>65</v>
      </c>
      <c r="BF15" s="244">
        <v>75</v>
      </c>
      <c r="BG15" s="244">
        <v>80</v>
      </c>
      <c r="BH15" s="123">
        <f t="shared" si="24"/>
        <v>1122.5</v>
      </c>
      <c r="BI15" s="124">
        <f t="shared" si="25"/>
        <v>74.833333333333329</v>
      </c>
      <c r="BJ15" s="125" t="e">
        <f t="shared" si="26"/>
        <v>#N/A</v>
      </c>
      <c r="BK15" s="126"/>
      <c r="BL15" s="126"/>
      <c r="BM15" s="126"/>
      <c r="BN15" s="127"/>
      <c r="BO15" s="127"/>
      <c r="BP15" s="127"/>
      <c r="BQ15" s="128"/>
    </row>
    <row r="16" spans="1:69" ht="27.95" customHeight="1">
      <c r="A16" s="138">
        <v>13</v>
      </c>
      <c r="B16" s="221">
        <v>24250164</v>
      </c>
      <c r="C16" s="220" t="s">
        <v>650</v>
      </c>
      <c r="D16" s="121">
        <f t="shared" si="0"/>
        <v>67</v>
      </c>
      <c r="E16" s="121">
        <f t="shared" si="1"/>
        <v>66</v>
      </c>
      <c r="F16" s="121">
        <f t="shared" si="2"/>
        <v>70</v>
      </c>
      <c r="G16" s="121">
        <f t="shared" si="3"/>
        <v>65</v>
      </c>
      <c r="H16" s="121">
        <f t="shared" si="4"/>
        <v>69</v>
      </c>
      <c r="I16" s="121">
        <f t="shared" si="5"/>
        <v>70</v>
      </c>
      <c r="J16" s="121">
        <f t="shared" si="6"/>
        <v>70</v>
      </c>
      <c r="K16" s="121">
        <f t="shared" si="7"/>
        <v>70</v>
      </c>
      <c r="L16" s="121">
        <f t="shared" si="8"/>
        <v>92</v>
      </c>
      <c r="M16" s="121">
        <f t="shared" si="9"/>
        <v>83</v>
      </c>
      <c r="N16" s="122">
        <f t="shared" si="10"/>
        <v>70</v>
      </c>
      <c r="O16" s="122">
        <f t="shared" si="11"/>
        <v>85</v>
      </c>
      <c r="P16" s="122">
        <f t="shared" si="12"/>
        <v>80</v>
      </c>
      <c r="Q16" s="122">
        <f t="shared" si="13"/>
        <v>80</v>
      </c>
      <c r="R16" s="122">
        <f t="shared" si="14"/>
        <v>60</v>
      </c>
      <c r="S16" s="241">
        <f t="shared" si="15"/>
        <v>65</v>
      </c>
      <c r="T16" s="241">
        <f t="shared" si="16"/>
        <v>99</v>
      </c>
      <c r="U16" s="241">
        <f t="shared" si="17"/>
        <v>65</v>
      </c>
      <c r="V16" s="241">
        <f t="shared" si="18"/>
        <v>70</v>
      </c>
      <c r="W16" s="241">
        <f t="shared" si="19"/>
        <v>65</v>
      </c>
      <c r="X16" s="241">
        <f t="shared" si="20"/>
        <v>88</v>
      </c>
      <c r="Y16" s="123">
        <f t="shared" si="21"/>
        <v>1097</v>
      </c>
      <c r="Z16" s="124">
        <f t="shared" si="22"/>
        <v>73.13333333333334</v>
      </c>
      <c r="AA16" s="125">
        <f t="shared" si="23"/>
        <v>13</v>
      </c>
      <c r="AB16" s="126" t="s">
        <v>806</v>
      </c>
      <c r="AC16" s="126" t="s">
        <v>805</v>
      </c>
      <c r="AD16" s="126" t="s">
        <v>806</v>
      </c>
      <c r="AE16" s="127">
        <v>0</v>
      </c>
      <c r="AF16" s="127">
        <v>0</v>
      </c>
      <c r="AG16" s="127">
        <v>0</v>
      </c>
      <c r="AH16" s="128"/>
      <c r="AJ16" s="93">
        <v>11</v>
      </c>
      <c r="AK16" s="131">
        <v>24250164</v>
      </c>
      <c r="AL16" s="120" t="s">
        <v>650</v>
      </c>
      <c r="AM16" s="129">
        <v>67.3</v>
      </c>
      <c r="AN16" s="129">
        <v>66</v>
      </c>
      <c r="AO16" s="129">
        <v>70.3</v>
      </c>
      <c r="AP16" s="129">
        <v>64.5</v>
      </c>
      <c r="AQ16" s="129">
        <v>68.5</v>
      </c>
      <c r="AR16" s="129">
        <v>70</v>
      </c>
      <c r="AS16" s="129">
        <v>69.5</v>
      </c>
      <c r="AT16" s="129">
        <v>70</v>
      </c>
      <c r="AU16" s="129">
        <v>92</v>
      </c>
      <c r="AV16" s="129">
        <v>83</v>
      </c>
      <c r="AW16" s="130">
        <v>70</v>
      </c>
      <c r="AX16" s="130">
        <v>85</v>
      </c>
      <c r="AY16" s="130">
        <v>80</v>
      </c>
      <c r="AZ16" s="130">
        <v>80</v>
      </c>
      <c r="BA16" s="130">
        <v>60</v>
      </c>
      <c r="BB16" s="243">
        <v>65</v>
      </c>
      <c r="BC16" s="243">
        <v>100</v>
      </c>
      <c r="BD16" s="243">
        <v>65</v>
      </c>
      <c r="BE16" s="243">
        <v>70</v>
      </c>
      <c r="BF16" s="243">
        <v>65</v>
      </c>
      <c r="BG16" s="243">
        <v>87.5</v>
      </c>
      <c r="BH16" s="123">
        <f t="shared" si="24"/>
        <v>1096.0999999999999</v>
      </c>
      <c r="BI16" s="124">
        <f t="shared" si="25"/>
        <v>73.073333333333323</v>
      </c>
      <c r="BJ16" s="125" t="e">
        <f t="shared" si="26"/>
        <v>#N/A</v>
      </c>
      <c r="BK16" s="126"/>
      <c r="BL16" s="126"/>
      <c r="BM16" s="126"/>
      <c r="BN16" s="127"/>
      <c r="BO16" s="127"/>
      <c r="BP16" s="127"/>
      <c r="BQ16" s="128"/>
    </row>
    <row r="17" spans="1:69" ht="27.95" customHeight="1">
      <c r="A17" s="138">
        <v>14</v>
      </c>
      <c r="B17" s="221">
        <v>24250032</v>
      </c>
      <c r="C17" s="220" t="s">
        <v>422</v>
      </c>
      <c r="D17" s="121">
        <f t="shared" si="0"/>
        <v>71</v>
      </c>
      <c r="E17" s="121">
        <f t="shared" si="1"/>
        <v>67</v>
      </c>
      <c r="F17" s="121">
        <f t="shared" si="2"/>
        <v>71</v>
      </c>
      <c r="G17" s="121">
        <f t="shared" si="3"/>
        <v>54</v>
      </c>
      <c r="H17" s="121">
        <f t="shared" si="4"/>
        <v>63</v>
      </c>
      <c r="I17" s="121">
        <f t="shared" si="5"/>
        <v>74</v>
      </c>
      <c r="J17" s="121">
        <f t="shared" si="6"/>
        <v>73</v>
      </c>
      <c r="K17" s="121">
        <f t="shared" si="7"/>
        <v>80</v>
      </c>
      <c r="L17" s="121">
        <f t="shared" si="8"/>
        <v>75</v>
      </c>
      <c r="M17" s="121">
        <f t="shared" si="9"/>
        <v>78</v>
      </c>
      <c r="N17" s="122">
        <f t="shared" si="10"/>
        <v>70</v>
      </c>
      <c r="O17" s="122">
        <f t="shared" si="11"/>
        <v>70</v>
      </c>
      <c r="P17" s="122">
        <f t="shared" si="12"/>
        <v>90</v>
      </c>
      <c r="Q17" s="122">
        <f t="shared" si="13"/>
        <v>70</v>
      </c>
      <c r="R17" s="122">
        <f t="shared" si="14"/>
        <v>90</v>
      </c>
      <c r="S17" s="241">
        <f t="shared" si="15"/>
        <v>65</v>
      </c>
      <c r="T17" s="241">
        <f t="shared" si="16"/>
        <v>78</v>
      </c>
      <c r="U17" s="241">
        <f t="shared" si="17"/>
        <v>60</v>
      </c>
      <c r="V17" s="241">
        <f t="shared" si="18"/>
        <v>73</v>
      </c>
      <c r="W17" s="241">
        <f t="shared" si="19"/>
        <v>68</v>
      </c>
      <c r="X17" s="241">
        <f t="shared" si="20"/>
        <v>83</v>
      </c>
      <c r="Y17" s="123">
        <f t="shared" si="21"/>
        <v>1096</v>
      </c>
      <c r="Z17" s="124">
        <f t="shared" si="22"/>
        <v>73.066666666666663</v>
      </c>
      <c r="AA17" s="125">
        <f t="shared" si="23"/>
        <v>14</v>
      </c>
      <c r="AB17" s="126" t="s">
        <v>805</v>
      </c>
      <c r="AC17" s="126" t="s">
        <v>805</v>
      </c>
      <c r="AD17" s="126" t="s">
        <v>806</v>
      </c>
      <c r="AE17" s="127">
        <v>8</v>
      </c>
      <c r="AF17" s="127">
        <v>0</v>
      </c>
      <c r="AG17" s="127">
        <v>0</v>
      </c>
      <c r="AH17" s="128"/>
      <c r="AJ17" s="93">
        <v>7</v>
      </c>
      <c r="AK17" s="131">
        <v>24250032</v>
      </c>
      <c r="AL17" s="120" t="s">
        <v>422</v>
      </c>
      <c r="AM17" s="129">
        <v>70.5</v>
      </c>
      <c r="AN17" s="129">
        <v>67</v>
      </c>
      <c r="AO17" s="129">
        <v>70.5</v>
      </c>
      <c r="AP17" s="129">
        <v>53.5</v>
      </c>
      <c r="AQ17" s="129">
        <v>62.5</v>
      </c>
      <c r="AR17" s="129">
        <v>73.5</v>
      </c>
      <c r="AS17" s="129">
        <v>72.5</v>
      </c>
      <c r="AT17" s="129">
        <v>79.5</v>
      </c>
      <c r="AU17" s="129">
        <v>74.5</v>
      </c>
      <c r="AV17" s="129">
        <v>77.5</v>
      </c>
      <c r="AW17" s="130">
        <v>70</v>
      </c>
      <c r="AX17" s="130">
        <v>70</v>
      </c>
      <c r="AY17" s="130">
        <v>90</v>
      </c>
      <c r="AZ17" s="130">
        <v>70</v>
      </c>
      <c r="BA17" s="130">
        <v>90</v>
      </c>
      <c r="BB17" s="243">
        <v>65</v>
      </c>
      <c r="BC17" s="243">
        <v>77.5</v>
      </c>
      <c r="BD17" s="243">
        <v>60</v>
      </c>
      <c r="BE17" s="243">
        <v>72.5</v>
      </c>
      <c r="BF17" s="243">
        <v>67.5</v>
      </c>
      <c r="BG17" s="243">
        <v>82.5</v>
      </c>
      <c r="BH17" s="123">
        <f t="shared" si="24"/>
        <v>1091.5</v>
      </c>
      <c r="BI17" s="124">
        <f t="shared" si="25"/>
        <v>72.766666666666666</v>
      </c>
      <c r="BJ17" s="125" t="e">
        <f t="shared" si="26"/>
        <v>#N/A</v>
      </c>
      <c r="BK17" s="126"/>
      <c r="BL17" s="126"/>
      <c r="BM17" s="126"/>
      <c r="BN17" s="127"/>
      <c r="BO17" s="127"/>
      <c r="BP17" s="127"/>
      <c r="BQ17" s="128"/>
    </row>
    <row r="18" spans="1:69" ht="27.95" customHeight="1">
      <c r="A18" s="138">
        <v>15</v>
      </c>
      <c r="B18" s="221">
        <v>24250040</v>
      </c>
      <c r="C18" s="220" t="s">
        <v>419</v>
      </c>
      <c r="D18" s="121">
        <f t="shared" si="0"/>
        <v>62</v>
      </c>
      <c r="E18" s="121">
        <f t="shared" si="1"/>
        <v>71</v>
      </c>
      <c r="F18" s="121">
        <f t="shared" si="2"/>
        <v>71</v>
      </c>
      <c r="G18" s="121">
        <f t="shared" si="3"/>
        <v>59</v>
      </c>
      <c r="H18" s="121">
        <f t="shared" si="4"/>
        <v>74</v>
      </c>
      <c r="I18" s="121">
        <f t="shared" si="5"/>
        <v>94</v>
      </c>
      <c r="J18" s="121">
        <f t="shared" si="6"/>
        <v>69</v>
      </c>
      <c r="K18" s="121">
        <f t="shared" si="7"/>
        <v>69</v>
      </c>
      <c r="L18" s="121">
        <f t="shared" si="8"/>
        <v>71</v>
      </c>
      <c r="M18" s="121">
        <f t="shared" si="9"/>
        <v>71</v>
      </c>
      <c r="N18" s="122">
        <f t="shared" si="10"/>
        <v>70</v>
      </c>
      <c r="O18" s="122">
        <f t="shared" si="11"/>
        <v>65</v>
      </c>
      <c r="P18" s="122">
        <f t="shared" si="12"/>
        <v>60</v>
      </c>
      <c r="Q18" s="122">
        <f t="shared" si="13"/>
        <v>90</v>
      </c>
      <c r="R18" s="122">
        <f t="shared" si="14"/>
        <v>99</v>
      </c>
      <c r="S18" s="241">
        <f t="shared" si="15"/>
        <v>68</v>
      </c>
      <c r="T18" s="241">
        <f t="shared" si="16"/>
        <v>63</v>
      </c>
      <c r="U18" s="241">
        <f t="shared" si="17"/>
        <v>60</v>
      </c>
      <c r="V18" s="241">
        <f t="shared" si="18"/>
        <v>63</v>
      </c>
      <c r="W18" s="241">
        <f t="shared" si="19"/>
        <v>90</v>
      </c>
      <c r="X18" s="241">
        <f t="shared" si="20"/>
        <v>73</v>
      </c>
      <c r="Y18" s="123">
        <f t="shared" si="21"/>
        <v>1095</v>
      </c>
      <c r="Z18" s="124">
        <f t="shared" si="22"/>
        <v>73</v>
      </c>
      <c r="AA18" s="125">
        <f t="shared" si="23"/>
        <v>15</v>
      </c>
      <c r="AB18" s="126" t="s">
        <v>805</v>
      </c>
      <c r="AC18" s="126" t="s">
        <v>805</v>
      </c>
      <c r="AD18" s="126" t="s">
        <v>806</v>
      </c>
      <c r="AE18" s="127">
        <v>26</v>
      </c>
      <c r="AF18" s="127">
        <v>0</v>
      </c>
      <c r="AG18" s="127">
        <v>0</v>
      </c>
      <c r="AH18" s="128"/>
      <c r="AJ18" s="93">
        <v>2</v>
      </c>
      <c r="AK18" s="131">
        <v>24250040</v>
      </c>
      <c r="AL18" s="120" t="s">
        <v>419</v>
      </c>
      <c r="AM18" s="129">
        <v>62</v>
      </c>
      <c r="AN18" s="129">
        <v>70.5</v>
      </c>
      <c r="AO18" s="129">
        <v>71</v>
      </c>
      <c r="AP18" s="129">
        <v>58.5</v>
      </c>
      <c r="AQ18" s="129">
        <v>73.5</v>
      </c>
      <c r="AR18" s="129">
        <v>94</v>
      </c>
      <c r="AS18" s="129">
        <v>68.5</v>
      </c>
      <c r="AT18" s="129">
        <v>69</v>
      </c>
      <c r="AU18" s="129">
        <v>71</v>
      </c>
      <c r="AV18" s="129">
        <v>71</v>
      </c>
      <c r="AW18" s="130">
        <v>70</v>
      </c>
      <c r="AX18" s="130">
        <v>65</v>
      </c>
      <c r="AY18" s="130">
        <v>60</v>
      </c>
      <c r="AZ18" s="130">
        <v>90</v>
      </c>
      <c r="BA18" s="130">
        <v>100</v>
      </c>
      <c r="BB18" s="243">
        <v>67.5</v>
      </c>
      <c r="BC18" s="243">
        <v>62.5</v>
      </c>
      <c r="BD18" s="243">
        <v>60</v>
      </c>
      <c r="BE18" s="243">
        <v>62.5</v>
      </c>
      <c r="BF18" s="243">
        <v>90</v>
      </c>
      <c r="BG18" s="243">
        <v>72.5</v>
      </c>
      <c r="BH18" s="123">
        <f t="shared" si="24"/>
        <v>1094</v>
      </c>
      <c r="BI18" s="124">
        <f t="shared" si="25"/>
        <v>72.933333333333337</v>
      </c>
      <c r="BJ18" s="125" t="e">
        <f t="shared" si="26"/>
        <v>#N/A</v>
      </c>
      <c r="BK18" s="126"/>
      <c r="BL18" s="126"/>
      <c r="BM18" s="126"/>
      <c r="BN18" s="127"/>
      <c r="BO18" s="127"/>
      <c r="BP18" s="127"/>
      <c r="BQ18" s="128"/>
    </row>
    <row r="19" spans="1:69" ht="27.95" customHeight="1">
      <c r="A19" s="138">
        <v>16</v>
      </c>
      <c r="B19" s="221">
        <v>24250175</v>
      </c>
      <c r="C19" s="220" t="s">
        <v>652</v>
      </c>
      <c r="D19" s="121">
        <f t="shared" si="0"/>
        <v>84</v>
      </c>
      <c r="E19" s="121">
        <f t="shared" si="1"/>
        <v>62</v>
      </c>
      <c r="F19" s="121">
        <f t="shared" si="2"/>
        <v>78</v>
      </c>
      <c r="G19" s="121">
        <f t="shared" si="3"/>
        <v>48</v>
      </c>
      <c r="H19" s="121">
        <f t="shared" si="4"/>
        <v>67</v>
      </c>
      <c r="I19" s="121">
        <f t="shared" si="5"/>
        <v>74</v>
      </c>
      <c r="J19" s="121">
        <f t="shared" si="6"/>
        <v>92</v>
      </c>
      <c r="K19" s="121">
        <f t="shared" si="7"/>
        <v>69</v>
      </c>
      <c r="L19" s="121">
        <f t="shared" si="8"/>
        <v>71</v>
      </c>
      <c r="M19" s="121">
        <f t="shared" si="9"/>
        <v>74</v>
      </c>
      <c r="N19" s="122">
        <f t="shared" si="10"/>
        <v>80</v>
      </c>
      <c r="O19" s="122">
        <f t="shared" si="11"/>
        <v>70</v>
      </c>
      <c r="P19" s="122">
        <f t="shared" si="12"/>
        <v>70</v>
      </c>
      <c r="Q19" s="122">
        <f t="shared" si="13"/>
        <v>70</v>
      </c>
      <c r="R19" s="122">
        <f t="shared" si="14"/>
        <v>60</v>
      </c>
      <c r="S19" s="241">
        <f t="shared" si="15"/>
        <v>78</v>
      </c>
      <c r="T19" s="241">
        <f t="shared" si="16"/>
        <v>70</v>
      </c>
      <c r="U19" s="241">
        <f t="shared" si="17"/>
        <v>68</v>
      </c>
      <c r="V19" s="241">
        <f t="shared" si="18"/>
        <v>60</v>
      </c>
      <c r="W19" s="241">
        <f t="shared" si="19"/>
        <v>93</v>
      </c>
      <c r="X19" s="241">
        <f t="shared" si="20"/>
        <v>83</v>
      </c>
      <c r="Y19" s="123">
        <f t="shared" si="21"/>
        <v>1069</v>
      </c>
      <c r="Z19" s="124">
        <f t="shared" si="22"/>
        <v>71.266666666666666</v>
      </c>
      <c r="AA19" s="125">
        <f t="shared" si="23"/>
        <v>16</v>
      </c>
      <c r="AB19" s="126" t="s">
        <v>806</v>
      </c>
      <c r="AC19" s="126" t="s">
        <v>805</v>
      </c>
      <c r="AD19" s="126" t="s">
        <v>805</v>
      </c>
      <c r="AE19" s="127">
        <v>7</v>
      </c>
      <c r="AF19" s="127">
        <v>0</v>
      </c>
      <c r="AG19" s="127">
        <v>0</v>
      </c>
      <c r="AH19" s="128"/>
      <c r="AJ19" s="93">
        <v>15</v>
      </c>
      <c r="AK19" s="131">
        <v>24250175</v>
      </c>
      <c r="AL19" s="120" t="s">
        <v>652</v>
      </c>
      <c r="AM19" s="129">
        <v>84</v>
      </c>
      <c r="AN19" s="129">
        <v>61.5</v>
      </c>
      <c r="AO19" s="129">
        <v>78</v>
      </c>
      <c r="AP19" s="129">
        <v>48</v>
      </c>
      <c r="AQ19" s="129">
        <v>66.5</v>
      </c>
      <c r="AR19" s="129">
        <v>74</v>
      </c>
      <c r="AS19" s="129">
        <v>91.699999999999989</v>
      </c>
      <c r="AT19" s="129">
        <v>68.5</v>
      </c>
      <c r="AU19" s="129">
        <v>71</v>
      </c>
      <c r="AV19" s="129">
        <v>74</v>
      </c>
      <c r="AW19" s="130">
        <v>80</v>
      </c>
      <c r="AX19" s="130">
        <v>70</v>
      </c>
      <c r="AY19" s="130">
        <v>70</v>
      </c>
      <c r="AZ19" s="130">
        <v>70</v>
      </c>
      <c r="BA19" s="130">
        <v>60</v>
      </c>
      <c r="BB19" s="243">
        <v>77.5</v>
      </c>
      <c r="BC19" s="243">
        <v>70</v>
      </c>
      <c r="BD19" s="243">
        <v>67.5</v>
      </c>
      <c r="BE19" s="243">
        <v>60</v>
      </c>
      <c r="BF19" s="243">
        <v>92.5</v>
      </c>
      <c r="BG19" s="243">
        <v>82.5</v>
      </c>
      <c r="BH19" s="123">
        <f t="shared" si="24"/>
        <v>1067.2</v>
      </c>
      <c r="BI19" s="124">
        <f t="shared" si="25"/>
        <v>71.146666666666675</v>
      </c>
      <c r="BJ19" s="125" t="e">
        <f t="shared" si="26"/>
        <v>#N/A</v>
      </c>
      <c r="BK19" s="126"/>
      <c r="BL19" s="126"/>
      <c r="BM19" s="126"/>
      <c r="BN19" s="127"/>
      <c r="BO19" s="127"/>
      <c r="BP19" s="127"/>
      <c r="BQ19" s="128"/>
    </row>
    <row r="20" spans="1:69" ht="27.95" customHeight="1">
      <c r="A20" s="138">
        <v>17</v>
      </c>
      <c r="B20" s="221">
        <v>25260003</v>
      </c>
      <c r="C20" s="220" t="s">
        <v>662</v>
      </c>
      <c r="D20" s="121">
        <f t="shared" si="0"/>
        <v>70</v>
      </c>
      <c r="E20" s="121">
        <f t="shared" si="1"/>
        <v>58</v>
      </c>
      <c r="F20" s="121">
        <f t="shared" si="2"/>
        <v>73</v>
      </c>
      <c r="G20" s="121">
        <f t="shared" si="3"/>
        <v>64</v>
      </c>
      <c r="H20" s="121">
        <f t="shared" si="4"/>
        <v>58</v>
      </c>
      <c r="I20" s="121">
        <f t="shared" si="5"/>
        <v>67</v>
      </c>
      <c r="J20" s="121">
        <f t="shared" si="6"/>
        <v>64</v>
      </c>
      <c r="K20" s="121">
        <f t="shared" si="7"/>
        <v>58</v>
      </c>
      <c r="L20" s="121">
        <f t="shared" si="8"/>
        <v>76</v>
      </c>
      <c r="M20" s="121">
        <f t="shared" si="9"/>
        <v>70</v>
      </c>
      <c r="N20" s="122">
        <f t="shared" si="10"/>
        <v>80</v>
      </c>
      <c r="O20" s="122">
        <f t="shared" si="11"/>
        <v>75</v>
      </c>
      <c r="P20" s="122">
        <f t="shared" si="12"/>
        <v>90</v>
      </c>
      <c r="Q20" s="122">
        <f t="shared" si="13"/>
        <v>80</v>
      </c>
      <c r="R20" s="122">
        <f t="shared" si="14"/>
        <v>80</v>
      </c>
      <c r="S20" s="241">
        <f t="shared" si="15"/>
        <v>78</v>
      </c>
      <c r="T20" s="241">
        <f t="shared" si="16"/>
        <v>98</v>
      </c>
      <c r="U20" s="241">
        <f t="shared" si="17"/>
        <v>70</v>
      </c>
      <c r="V20" s="241">
        <f t="shared" si="18"/>
        <v>60</v>
      </c>
      <c r="W20" s="241">
        <f t="shared" si="19"/>
        <v>93</v>
      </c>
      <c r="X20" s="241">
        <f t="shared" si="20"/>
        <v>83</v>
      </c>
      <c r="Y20" s="123">
        <f t="shared" si="21"/>
        <v>1063</v>
      </c>
      <c r="Z20" s="124">
        <f t="shared" si="22"/>
        <v>70.86666666666666</v>
      </c>
      <c r="AA20" s="125">
        <f t="shared" si="23"/>
        <v>17</v>
      </c>
      <c r="AB20" s="126" t="s">
        <v>805</v>
      </c>
      <c r="AC20" s="126" t="s">
        <v>805</v>
      </c>
      <c r="AD20" s="126" t="s">
        <v>805</v>
      </c>
      <c r="AE20" s="127">
        <v>0</v>
      </c>
      <c r="AF20" s="127">
        <v>0</v>
      </c>
      <c r="AG20" s="127">
        <v>0</v>
      </c>
      <c r="AH20" s="128"/>
      <c r="AJ20" s="93">
        <v>28</v>
      </c>
      <c r="AK20" s="131">
        <v>25260003</v>
      </c>
      <c r="AL20" s="120" t="s">
        <v>662</v>
      </c>
      <c r="AM20" s="129">
        <v>70</v>
      </c>
      <c r="AN20" s="129">
        <v>58</v>
      </c>
      <c r="AO20" s="129">
        <v>73</v>
      </c>
      <c r="AP20" s="129">
        <v>64</v>
      </c>
      <c r="AQ20" s="129">
        <v>58</v>
      </c>
      <c r="AR20" s="129">
        <v>67</v>
      </c>
      <c r="AS20" s="129">
        <v>64</v>
      </c>
      <c r="AT20" s="129">
        <v>58</v>
      </c>
      <c r="AU20" s="129">
        <v>76</v>
      </c>
      <c r="AV20" s="129">
        <v>70</v>
      </c>
      <c r="AW20" s="130">
        <v>80</v>
      </c>
      <c r="AX20" s="130">
        <v>75</v>
      </c>
      <c r="AY20" s="130">
        <v>90</v>
      </c>
      <c r="AZ20" s="130">
        <v>80</v>
      </c>
      <c r="BA20" s="130">
        <v>80</v>
      </c>
      <c r="BB20" s="243">
        <v>77.5</v>
      </c>
      <c r="BC20" s="243">
        <v>97.5</v>
      </c>
      <c r="BD20" s="243">
        <v>70</v>
      </c>
      <c r="BE20" s="243">
        <v>60</v>
      </c>
      <c r="BF20" s="243">
        <v>92.5</v>
      </c>
      <c r="BG20" s="243">
        <v>82.5</v>
      </c>
      <c r="BH20" s="123">
        <f t="shared" si="24"/>
        <v>1063</v>
      </c>
      <c r="BI20" s="124">
        <f t="shared" si="25"/>
        <v>70.86666666666666</v>
      </c>
      <c r="BJ20" s="125">
        <f t="shared" si="26"/>
        <v>17</v>
      </c>
      <c r="BK20" s="126"/>
      <c r="BL20" s="126"/>
      <c r="BM20" s="126"/>
      <c r="BN20" s="127"/>
      <c r="BO20" s="127"/>
      <c r="BP20" s="127"/>
      <c r="BQ20" s="128"/>
    </row>
    <row r="21" spans="1:69" ht="27.95" customHeight="1">
      <c r="A21" s="138">
        <v>18</v>
      </c>
      <c r="B21" s="219">
        <v>24250046</v>
      </c>
      <c r="C21" s="220" t="s">
        <v>413</v>
      </c>
      <c r="D21" s="121">
        <f t="shared" si="0"/>
        <v>65</v>
      </c>
      <c r="E21" s="121">
        <f t="shared" si="1"/>
        <v>65</v>
      </c>
      <c r="F21" s="121">
        <f t="shared" si="2"/>
        <v>65</v>
      </c>
      <c r="G21" s="121">
        <f t="shared" si="3"/>
        <v>55</v>
      </c>
      <c r="H21" s="121">
        <f t="shared" si="4"/>
        <v>70</v>
      </c>
      <c r="I21" s="121">
        <f t="shared" si="5"/>
        <v>73</v>
      </c>
      <c r="J21" s="121">
        <f t="shared" si="6"/>
        <v>80</v>
      </c>
      <c r="K21" s="121">
        <f t="shared" si="7"/>
        <v>74</v>
      </c>
      <c r="L21" s="121">
        <f t="shared" si="8"/>
        <v>74</v>
      </c>
      <c r="M21" s="121">
        <f t="shared" si="9"/>
        <v>68</v>
      </c>
      <c r="N21" s="122">
        <f t="shared" si="10"/>
        <v>80</v>
      </c>
      <c r="O21" s="122">
        <f t="shared" si="11"/>
        <v>60</v>
      </c>
      <c r="P21" s="122">
        <f t="shared" si="12"/>
        <v>60</v>
      </c>
      <c r="Q21" s="122">
        <f t="shared" si="13"/>
        <v>70</v>
      </c>
      <c r="R21" s="122">
        <f t="shared" si="14"/>
        <v>60</v>
      </c>
      <c r="S21" s="241">
        <f t="shared" si="15"/>
        <v>95</v>
      </c>
      <c r="T21" s="241">
        <f t="shared" si="16"/>
        <v>99</v>
      </c>
      <c r="U21" s="241">
        <f t="shared" si="17"/>
        <v>60</v>
      </c>
      <c r="V21" s="241">
        <f t="shared" si="18"/>
        <v>65</v>
      </c>
      <c r="W21" s="241">
        <f t="shared" si="19"/>
        <v>83</v>
      </c>
      <c r="X21" s="241">
        <f t="shared" si="20"/>
        <v>90</v>
      </c>
      <c r="Y21" s="123">
        <f t="shared" si="21"/>
        <v>1019</v>
      </c>
      <c r="Z21" s="124">
        <f t="shared" si="22"/>
        <v>67.933333333333337</v>
      </c>
      <c r="AA21" s="125">
        <f t="shared" si="23"/>
        <v>18</v>
      </c>
      <c r="AB21" s="126" t="s">
        <v>806</v>
      </c>
      <c r="AC21" s="126" t="s">
        <v>805</v>
      </c>
      <c r="AD21" s="126" t="s">
        <v>805</v>
      </c>
      <c r="AE21" s="127">
        <v>17</v>
      </c>
      <c r="AF21" s="127">
        <v>0</v>
      </c>
      <c r="AG21" s="127">
        <v>0</v>
      </c>
      <c r="AH21" s="128"/>
      <c r="AJ21" s="93">
        <v>1</v>
      </c>
      <c r="AK21" s="119">
        <v>24250046</v>
      </c>
      <c r="AL21" s="120" t="s">
        <v>413</v>
      </c>
      <c r="AM21" s="129">
        <v>65.3</v>
      </c>
      <c r="AN21" s="129">
        <v>64.5</v>
      </c>
      <c r="AO21" s="129">
        <v>65.3</v>
      </c>
      <c r="AP21" s="129">
        <v>54.5</v>
      </c>
      <c r="AQ21" s="129">
        <v>69.5</v>
      </c>
      <c r="AR21" s="129">
        <v>73</v>
      </c>
      <c r="AS21" s="129">
        <v>79.5</v>
      </c>
      <c r="AT21" s="129">
        <v>73.5</v>
      </c>
      <c r="AU21" s="129">
        <v>74</v>
      </c>
      <c r="AV21" s="129">
        <v>68</v>
      </c>
      <c r="AW21" s="130">
        <v>80</v>
      </c>
      <c r="AX21" s="130">
        <v>60</v>
      </c>
      <c r="AY21" s="130">
        <v>60</v>
      </c>
      <c r="AZ21" s="130">
        <v>70</v>
      </c>
      <c r="BA21" s="130">
        <v>60</v>
      </c>
      <c r="BB21" s="243">
        <v>95</v>
      </c>
      <c r="BC21" s="243">
        <v>100</v>
      </c>
      <c r="BD21" s="243">
        <v>60</v>
      </c>
      <c r="BE21" s="243">
        <v>65</v>
      </c>
      <c r="BF21" s="243">
        <v>82.5</v>
      </c>
      <c r="BG21" s="243">
        <v>90</v>
      </c>
      <c r="BH21" s="123">
        <f t="shared" si="24"/>
        <v>1017.1</v>
      </c>
      <c r="BI21" s="124">
        <f t="shared" si="25"/>
        <v>67.806666666666672</v>
      </c>
      <c r="BJ21" s="125" t="e">
        <f t="shared" si="26"/>
        <v>#N/A</v>
      </c>
      <c r="BK21" s="126"/>
      <c r="BL21" s="126"/>
      <c r="BM21" s="126"/>
      <c r="BN21" s="127"/>
      <c r="BO21" s="127"/>
      <c r="BP21" s="127"/>
      <c r="BQ21" s="128"/>
    </row>
    <row r="22" spans="1:69" ht="27.95" customHeight="1">
      <c r="A22" s="138">
        <v>19</v>
      </c>
      <c r="B22" s="221">
        <v>25260060</v>
      </c>
      <c r="C22" s="220" t="s">
        <v>657</v>
      </c>
      <c r="D22" s="121">
        <f t="shared" si="0"/>
        <v>70</v>
      </c>
      <c r="E22" s="121">
        <f t="shared" si="1"/>
        <v>58</v>
      </c>
      <c r="F22" s="121">
        <f t="shared" si="2"/>
        <v>64</v>
      </c>
      <c r="G22" s="121">
        <f t="shared" si="3"/>
        <v>58</v>
      </c>
      <c r="H22" s="121">
        <f t="shared" si="4"/>
        <v>65</v>
      </c>
      <c r="I22" s="121">
        <f t="shared" si="5"/>
        <v>72</v>
      </c>
      <c r="J22" s="121">
        <f t="shared" si="6"/>
        <v>70</v>
      </c>
      <c r="K22" s="121">
        <f t="shared" si="7"/>
        <v>58</v>
      </c>
      <c r="L22" s="121">
        <f t="shared" si="8"/>
        <v>70</v>
      </c>
      <c r="M22" s="121">
        <f t="shared" si="9"/>
        <v>67</v>
      </c>
      <c r="N22" s="122">
        <f t="shared" si="10"/>
        <v>80</v>
      </c>
      <c r="O22" s="122">
        <f t="shared" si="11"/>
        <v>55</v>
      </c>
      <c r="P22" s="122">
        <f t="shared" si="12"/>
        <v>50</v>
      </c>
      <c r="Q22" s="122">
        <f t="shared" si="13"/>
        <v>90</v>
      </c>
      <c r="R22" s="122">
        <f t="shared" si="14"/>
        <v>80</v>
      </c>
      <c r="S22" s="241">
        <f t="shared" si="15"/>
        <v>60</v>
      </c>
      <c r="T22" s="241">
        <f t="shared" si="16"/>
        <v>75</v>
      </c>
      <c r="U22" s="241">
        <f t="shared" si="17"/>
        <v>60</v>
      </c>
      <c r="V22" s="241">
        <f t="shared" si="18"/>
        <v>65</v>
      </c>
      <c r="W22" s="241">
        <f t="shared" si="19"/>
        <v>65</v>
      </c>
      <c r="X22" s="241">
        <f t="shared" si="20"/>
        <v>80</v>
      </c>
      <c r="Y22" s="123">
        <f t="shared" si="21"/>
        <v>1007</v>
      </c>
      <c r="Z22" s="124">
        <f t="shared" si="22"/>
        <v>67.13333333333334</v>
      </c>
      <c r="AA22" s="125">
        <f t="shared" si="23"/>
        <v>19</v>
      </c>
      <c r="AB22" s="126" t="s">
        <v>805</v>
      </c>
      <c r="AC22" s="126" t="s">
        <v>805</v>
      </c>
      <c r="AD22" s="126" t="s">
        <v>805</v>
      </c>
      <c r="AE22" s="127">
        <v>0</v>
      </c>
      <c r="AF22" s="127">
        <v>0</v>
      </c>
      <c r="AG22" s="127">
        <v>0</v>
      </c>
      <c r="AH22" s="128"/>
      <c r="AJ22" s="93">
        <v>23</v>
      </c>
      <c r="AK22" s="131">
        <v>25260060</v>
      </c>
      <c r="AL22" s="120" t="s">
        <v>657</v>
      </c>
      <c r="AM22" s="129">
        <v>70</v>
      </c>
      <c r="AN22" s="129">
        <v>58</v>
      </c>
      <c r="AO22" s="129">
        <v>64</v>
      </c>
      <c r="AP22" s="129">
        <v>58</v>
      </c>
      <c r="AQ22" s="129">
        <v>65</v>
      </c>
      <c r="AR22" s="129">
        <v>71.8</v>
      </c>
      <c r="AS22" s="129">
        <v>70</v>
      </c>
      <c r="AT22" s="129">
        <v>58</v>
      </c>
      <c r="AU22" s="129">
        <v>70</v>
      </c>
      <c r="AV22" s="129">
        <v>67</v>
      </c>
      <c r="AW22" s="130">
        <v>80</v>
      </c>
      <c r="AX22" s="130">
        <v>55</v>
      </c>
      <c r="AY22" s="130">
        <v>50</v>
      </c>
      <c r="AZ22" s="130">
        <v>90</v>
      </c>
      <c r="BA22" s="130">
        <v>80</v>
      </c>
      <c r="BB22" s="243">
        <v>60</v>
      </c>
      <c r="BC22" s="243">
        <v>75</v>
      </c>
      <c r="BD22" s="243">
        <v>60</v>
      </c>
      <c r="BE22" s="243">
        <v>65</v>
      </c>
      <c r="BF22" s="243">
        <v>65</v>
      </c>
      <c r="BG22" s="243">
        <v>80</v>
      </c>
      <c r="BH22" s="123">
        <f t="shared" si="24"/>
        <v>1006.8</v>
      </c>
      <c r="BI22" s="124">
        <f t="shared" si="25"/>
        <v>67.11999999999999</v>
      </c>
      <c r="BJ22" s="125" t="e">
        <f t="shared" si="26"/>
        <v>#N/A</v>
      </c>
      <c r="BK22" s="126"/>
      <c r="BL22" s="126"/>
      <c r="BM22" s="126"/>
      <c r="BN22" s="127"/>
      <c r="BO22" s="127"/>
      <c r="BP22" s="127"/>
      <c r="BQ22" s="128"/>
    </row>
    <row r="23" spans="1:69" ht="27.95" customHeight="1">
      <c r="A23" s="138">
        <v>20</v>
      </c>
      <c r="B23" s="221">
        <v>24250097</v>
      </c>
      <c r="C23" s="220" t="s">
        <v>651</v>
      </c>
      <c r="D23" s="121">
        <f t="shared" si="0"/>
        <v>61</v>
      </c>
      <c r="E23" s="121">
        <f t="shared" si="1"/>
        <v>59</v>
      </c>
      <c r="F23" s="121">
        <f t="shared" si="2"/>
        <v>73</v>
      </c>
      <c r="G23" s="121">
        <f t="shared" si="3"/>
        <v>55</v>
      </c>
      <c r="H23" s="121">
        <f t="shared" si="4"/>
        <v>61</v>
      </c>
      <c r="I23" s="121">
        <f t="shared" si="5"/>
        <v>74</v>
      </c>
      <c r="J23" s="121">
        <f t="shared" si="6"/>
        <v>66</v>
      </c>
      <c r="K23" s="121">
        <f t="shared" si="7"/>
        <v>64</v>
      </c>
      <c r="L23" s="121">
        <f t="shared" si="8"/>
        <v>73</v>
      </c>
      <c r="M23" s="121">
        <f t="shared" si="9"/>
        <v>73</v>
      </c>
      <c r="N23" s="122">
        <f t="shared" si="10"/>
        <v>70</v>
      </c>
      <c r="O23" s="122">
        <f t="shared" si="11"/>
        <v>70</v>
      </c>
      <c r="P23" s="122">
        <f t="shared" si="12"/>
        <v>75</v>
      </c>
      <c r="Q23" s="122">
        <f t="shared" si="13"/>
        <v>60</v>
      </c>
      <c r="R23" s="122">
        <f t="shared" si="14"/>
        <v>60</v>
      </c>
      <c r="S23" s="241">
        <f t="shared" si="15"/>
        <v>78</v>
      </c>
      <c r="T23" s="241">
        <f t="shared" si="16"/>
        <v>90</v>
      </c>
      <c r="U23" s="241">
        <f t="shared" si="17"/>
        <v>60</v>
      </c>
      <c r="V23" s="241">
        <f t="shared" si="18"/>
        <v>60</v>
      </c>
      <c r="W23" s="241">
        <f t="shared" si="19"/>
        <v>88</v>
      </c>
      <c r="X23" s="241">
        <f t="shared" si="20"/>
        <v>85</v>
      </c>
      <c r="Y23" s="123">
        <f t="shared" si="21"/>
        <v>994</v>
      </c>
      <c r="Z23" s="124">
        <f t="shared" si="22"/>
        <v>66.266666666666666</v>
      </c>
      <c r="AA23" s="125">
        <f t="shared" si="23"/>
        <v>20</v>
      </c>
      <c r="AB23" s="126" t="s">
        <v>805</v>
      </c>
      <c r="AC23" s="126" t="s">
        <v>805</v>
      </c>
      <c r="AD23" s="126" t="s">
        <v>805</v>
      </c>
      <c r="AE23" s="127">
        <v>47</v>
      </c>
      <c r="AF23" s="127">
        <v>0</v>
      </c>
      <c r="AG23" s="127">
        <v>1</v>
      </c>
      <c r="AH23" s="128"/>
      <c r="AJ23" s="93">
        <v>14</v>
      </c>
      <c r="AK23" s="131">
        <v>24250097</v>
      </c>
      <c r="AL23" s="120" t="s">
        <v>651</v>
      </c>
      <c r="AM23" s="129">
        <v>61</v>
      </c>
      <c r="AN23" s="129">
        <v>58.5</v>
      </c>
      <c r="AO23" s="129">
        <v>73</v>
      </c>
      <c r="AP23" s="129">
        <v>54.5</v>
      </c>
      <c r="AQ23" s="129">
        <v>60.5</v>
      </c>
      <c r="AR23" s="129">
        <v>73.5</v>
      </c>
      <c r="AS23" s="129">
        <v>66</v>
      </c>
      <c r="AT23" s="129">
        <v>63.5</v>
      </c>
      <c r="AU23" s="129">
        <v>73</v>
      </c>
      <c r="AV23" s="129">
        <v>73</v>
      </c>
      <c r="AW23" s="133">
        <v>70</v>
      </c>
      <c r="AX23" s="130">
        <v>70</v>
      </c>
      <c r="AY23" s="130">
        <v>75</v>
      </c>
      <c r="AZ23" s="130">
        <v>60</v>
      </c>
      <c r="BA23" s="130">
        <v>60</v>
      </c>
      <c r="BB23" s="243">
        <v>77.5</v>
      </c>
      <c r="BC23" s="243">
        <v>90</v>
      </c>
      <c r="BD23" s="243">
        <v>60</v>
      </c>
      <c r="BE23" s="243">
        <v>60</v>
      </c>
      <c r="BF23" s="243">
        <v>87.5</v>
      </c>
      <c r="BG23" s="243">
        <v>85</v>
      </c>
      <c r="BH23" s="123">
        <f t="shared" si="24"/>
        <v>991.5</v>
      </c>
      <c r="BI23" s="124">
        <f t="shared" si="25"/>
        <v>66.099999999999994</v>
      </c>
      <c r="BJ23" s="125" t="e">
        <f t="shared" si="26"/>
        <v>#N/A</v>
      </c>
      <c r="BK23" s="126"/>
      <c r="BL23" s="126"/>
      <c r="BM23" s="126"/>
      <c r="BN23" s="127"/>
      <c r="BO23" s="127"/>
      <c r="BP23" s="127"/>
      <c r="BQ23" s="128"/>
    </row>
    <row r="24" spans="1:69" ht="27.95" customHeight="1">
      <c r="A24" s="138">
        <v>21</v>
      </c>
      <c r="B24" s="221">
        <v>24250036</v>
      </c>
      <c r="C24" s="220" t="s">
        <v>425</v>
      </c>
      <c r="D24" s="121">
        <f t="shared" si="0"/>
        <v>60</v>
      </c>
      <c r="E24" s="121">
        <f t="shared" si="1"/>
        <v>61</v>
      </c>
      <c r="F24" s="121">
        <f t="shared" si="2"/>
        <v>69</v>
      </c>
      <c r="G24" s="121">
        <f t="shared" si="3"/>
        <v>47</v>
      </c>
      <c r="H24" s="121">
        <f t="shared" si="4"/>
        <v>70</v>
      </c>
      <c r="I24" s="121">
        <f t="shared" si="5"/>
        <v>61</v>
      </c>
      <c r="J24" s="121">
        <f t="shared" si="6"/>
        <v>80</v>
      </c>
      <c r="K24" s="121">
        <f t="shared" si="7"/>
        <v>64</v>
      </c>
      <c r="L24" s="121">
        <f t="shared" si="8"/>
        <v>69</v>
      </c>
      <c r="M24" s="121">
        <f t="shared" si="9"/>
        <v>69</v>
      </c>
      <c r="N24" s="122">
        <f t="shared" si="10"/>
        <v>80</v>
      </c>
      <c r="O24" s="122">
        <f t="shared" si="11"/>
        <v>65</v>
      </c>
      <c r="P24" s="122">
        <f t="shared" si="12"/>
        <v>60</v>
      </c>
      <c r="Q24" s="122">
        <f t="shared" si="13"/>
        <v>70</v>
      </c>
      <c r="R24" s="122">
        <f t="shared" si="14"/>
        <v>60</v>
      </c>
      <c r="S24" s="241">
        <f t="shared" si="15"/>
        <v>60</v>
      </c>
      <c r="T24" s="241">
        <f t="shared" si="16"/>
        <v>60</v>
      </c>
      <c r="U24" s="241">
        <f t="shared" si="17"/>
        <v>60</v>
      </c>
      <c r="V24" s="241">
        <f t="shared" si="18"/>
        <v>70</v>
      </c>
      <c r="W24" s="241">
        <f t="shared" si="19"/>
        <v>70</v>
      </c>
      <c r="X24" s="241">
        <f t="shared" si="20"/>
        <v>83</v>
      </c>
      <c r="Y24" s="123">
        <f t="shared" si="21"/>
        <v>985</v>
      </c>
      <c r="Z24" s="124">
        <f t="shared" si="22"/>
        <v>65.666666666666671</v>
      </c>
      <c r="AA24" s="125">
        <f t="shared" si="23"/>
        <v>21</v>
      </c>
      <c r="AB24" s="126" t="s">
        <v>806</v>
      </c>
      <c r="AC24" s="126" t="s">
        <v>805</v>
      </c>
      <c r="AD24" s="126" t="s">
        <v>805</v>
      </c>
      <c r="AE24" s="127">
        <v>0</v>
      </c>
      <c r="AF24" s="127">
        <v>0</v>
      </c>
      <c r="AG24" s="127">
        <v>0</v>
      </c>
      <c r="AH24" s="128"/>
      <c r="AJ24" s="93">
        <v>3</v>
      </c>
      <c r="AK24" s="131">
        <v>24250036</v>
      </c>
      <c r="AL24" s="120" t="s">
        <v>425</v>
      </c>
      <c r="AM24" s="129">
        <v>60.3</v>
      </c>
      <c r="AN24" s="129">
        <v>60.5</v>
      </c>
      <c r="AO24" s="129">
        <v>69.3</v>
      </c>
      <c r="AP24" s="129">
        <v>47</v>
      </c>
      <c r="AQ24" s="129">
        <v>69.5</v>
      </c>
      <c r="AR24" s="129">
        <v>61</v>
      </c>
      <c r="AS24" s="129">
        <v>79.5</v>
      </c>
      <c r="AT24" s="129">
        <v>64</v>
      </c>
      <c r="AU24" s="129">
        <v>69</v>
      </c>
      <c r="AV24" s="129">
        <v>69</v>
      </c>
      <c r="AW24" s="130">
        <v>80</v>
      </c>
      <c r="AX24" s="130">
        <v>65</v>
      </c>
      <c r="AY24" s="130">
        <v>60</v>
      </c>
      <c r="AZ24" s="130">
        <v>70</v>
      </c>
      <c r="BA24" s="130">
        <v>60</v>
      </c>
      <c r="BB24" s="243">
        <v>60</v>
      </c>
      <c r="BC24" s="243">
        <v>60</v>
      </c>
      <c r="BD24" s="243">
        <v>60</v>
      </c>
      <c r="BE24" s="243">
        <v>70</v>
      </c>
      <c r="BF24" s="243">
        <v>70</v>
      </c>
      <c r="BG24" s="243">
        <v>82.5</v>
      </c>
      <c r="BH24" s="123">
        <f t="shared" si="24"/>
        <v>984.1</v>
      </c>
      <c r="BI24" s="124">
        <f t="shared" si="25"/>
        <v>65.606666666666669</v>
      </c>
      <c r="BJ24" s="125" t="e">
        <f t="shared" si="26"/>
        <v>#N/A</v>
      </c>
      <c r="BK24" s="126"/>
      <c r="BL24" s="126"/>
      <c r="BM24" s="126"/>
      <c r="BN24" s="127"/>
      <c r="BO24" s="127"/>
      <c r="BP24" s="127"/>
      <c r="BQ24" s="128"/>
    </row>
    <row r="25" spans="1:69" ht="27.95" customHeight="1">
      <c r="A25" s="138">
        <v>22</v>
      </c>
      <c r="B25" s="219">
        <v>24250088</v>
      </c>
      <c r="C25" s="220" t="s">
        <v>654</v>
      </c>
      <c r="D25" s="121">
        <f t="shared" si="0"/>
        <v>67</v>
      </c>
      <c r="E25" s="121">
        <f t="shared" si="1"/>
        <v>57</v>
      </c>
      <c r="F25" s="121">
        <f t="shared" si="2"/>
        <v>70</v>
      </c>
      <c r="G25" s="121">
        <f t="shared" si="3"/>
        <v>45</v>
      </c>
      <c r="H25" s="121">
        <f t="shared" si="4"/>
        <v>61</v>
      </c>
      <c r="I25" s="121">
        <f t="shared" si="5"/>
        <v>80</v>
      </c>
      <c r="J25" s="121">
        <f t="shared" si="6"/>
        <v>71</v>
      </c>
      <c r="K25" s="121">
        <f t="shared" si="7"/>
        <v>59</v>
      </c>
      <c r="L25" s="121">
        <f t="shared" si="8"/>
        <v>67</v>
      </c>
      <c r="M25" s="121">
        <f t="shared" si="9"/>
        <v>67</v>
      </c>
      <c r="N25" s="122">
        <f t="shared" si="10"/>
        <v>70</v>
      </c>
      <c r="O25" s="122">
        <f t="shared" si="11"/>
        <v>60</v>
      </c>
      <c r="P25" s="122">
        <f t="shared" si="12"/>
        <v>50</v>
      </c>
      <c r="Q25" s="122">
        <f t="shared" si="13"/>
        <v>60</v>
      </c>
      <c r="R25" s="122">
        <f t="shared" si="14"/>
        <v>60</v>
      </c>
      <c r="S25" s="241">
        <f t="shared" si="15"/>
        <v>80</v>
      </c>
      <c r="T25" s="241">
        <f t="shared" si="16"/>
        <v>93</v>
      </c>
      <c r="U25" s="241">
        <f t="shared" si="17"/>
        <v>63</v>
      </c>
      <c r="V25" s="241">
        <f t="shared" si="18"/>
        <v>65</v>
      </c>
      <c r="W25" s="241">
        <f t="shared" si="19"/>
        <v>80</v>
      </c>
      <c r="X25" s="241">
        <f t="shared" si="20"/>
        <v>83</v>
      </c>
      <c r="Y25" s="123">
        <f t="shared" si="21"/>
        <v>944</v>
      </c>
      <c r="Z25" s="124">
        <f t="shared" si="22"/>
        <v>62.93333333333333</v>
      </c>
      <c r="AA25" s="125">
        <f t="shared" si="23"/>
        <v>22</v>
      </c>
      <c r="AB25" s="126" t="s">
        <v>805</v>
      </c>
      <c r="AC25" s="126" t="s">
        <v>805</v>
      </c>
      <c r="AD25" s="126" t="s">
        <v>805</v>
      </c>
      <c r="AE25" s="127">
        <v>31</v>
      </c>
      <c r="AF25" s="127">
        <v>0</v>
      </c>
      <c r="AG25" s="127">
        <v>0</v>
      </c>
      <c r="AH25" s="128"/>
      <c r="AJ25" s="93">
        <v>19</v>
      </c>
      <c r="AK25" s="119">
        <v>24250088</v>
      </c>
      <c r="AL25" s="120" t="s">
        <v>654</v>
      </c>
      <c r="AM25" s="129">
        <v>67</v>
      </c>
      <c r="AN25" s="129">
        <v>57</v>
      </c>
      <c r="AO25" s="129">
        <v>70</v>
      </c>
      <c r="AP25" s="129">
        <v>45</v>
      </c>
      <c r="AQ25" s="129">
        <v>60.5</v>
      </c>
      <c r="AR25" s="129">
        <v>79.5</v>
      </c>
      <c r="AS25" s="129">
        <v>70.8</v>
      </c>
      <c r="AT25" s="129">
        <v>59</v>
      </c>
      <c r="AU25" s="129">
        <v>67</v>
      </c>
      <c r="AV25" s="129">
        <v>67</v>
      </c>
      <c r="AW25" s="130">
        <v>70</v>
      </c>
      <c r="AX25" s="130">
        <v>60</v>
      </c>
      <c r="AY25" s="130">
        <v>50</v>
      </c>
      <c r="AZ25" s="130">
        <v>60</v>
      </c>
      <c r="BA25" s="130">
        <v>60</v>
      </c>
      <c r="BB25" s="243">
        <v>80</v>
      </c>
      <c r="BC25" s="243">
        <v>92.5</v>
      </c>
      <c r="BD25" s="243">
        <v>62.5</v>
      </c>
      <c r="BE25" s="243">
        <v>65</v>
      </c>
      <c r="BF25" s="243">
        <v>80</v>
      </c>
      <c r="BG25" s="243">
        <v>82.5</v>
      </c>
      <c r="BH25" s="123">
        <f t="shared" si="24"/>
        <v>942.8</v>
      </c>
      <c r="BI25" s="124">
        <f t="shared" si="25"/>
        <v>62.853333333333332</v>
      </c>
      <c r="BJ25" s="125" t="e">
        <f t="shared" si="26"/>
        <v>#N/A</v>
      </c>
      <c r="BK25" s="126"/>
      <c r="BL25" s="126"/>
      <c r="BM25" s="126"/>
      <c r="BN25" s="127"/>
      <c r="BO25" s="127"/>
      <c r="BP25" s="127"/>
      <c r="BQ25" s="128"/>
    </row>
    <row r="26" spans="1:69" ht="27.95" customHeight="1">
      <c r="A26" s="138">
        <v>23</v>
      </c>
      <c r="B26" s="221">
        <v>24250007</v>
      </c>
      <c r="C26" s="220" t="s">
        <v>431</v>
      </c>
      <c r="D26" s="121">
        <f t="shared" si="0"/>
        <v>65</v>
      </c>
      <c r="E26" s="121">
        <f t="shared" si="1"/>
        <v>56</v>
      </c>
      <c r="F26" s="121">
        <f t="shared" si="2"/>
        <v>59</v>
      </c>
      <c r="G26" s="121">
        <f t="shared" si="3"/>
        <v>47</v>
      </c>
      <c r="H26" s="121">
        <f t="shared" si="4"/>
        <v>56</v>
      </c>
      <c r="I26" s="121">
        <f t="shared" si="5"/>
        <v>61</v>
      </c>
      <c r="J26" s="121">
        <f t="shared" si="6"/>
        <v>69</v>
      </c>
      <c r="K26" s="121">
        <f t="shared" si="7"/>
        <v>60</v>
      </c>
      <c r="L26" s="121">
        <f t="shared" si="8"/>
        <v>69</v>
      </c>
      <c r="M26" s="121">
        <f t="shared" si="9"/>
        <v>66</v>
      </c>
      <c r="N26" s="122">
        <f t="shared" si="10"/>
        <v>70</v>
      </c>
      <c r="O26" s="122">
        <f t="shared" si="11"/>
        <v>70</v>
      </c>
      <c r="P26" s="122">
        <f t="shared" si="12"/>
        <v>65</v>
      </c>
      <c r="Q26" s="122">
        <f t="shared" si="13"/>
        <v>70</v>
      </c>
      <c r="R26" s="122">
        <f t="shared" si="14"/>
        <v>60</v>
      </c>
      <c r="S26" s="241">
        <f t="shared" si="15"/>
        <v>63</v>
      </c>
      <c r="T26" s="241">
        <f t="shared" si="16"/>
        <v>80</v>
      </c>
      <c r="U26" s="241">
        <f t="shared" si="17"/>
        <v>65</v>
      </c>
      <c r="V26" s="241">
        <f t="shared" si="18"/>
        <v>68</v>
      </c>
      <c r="W26" s="241">
        <f t="shared" si="19"/>
        <v>70</v>
      </c>
      <c r="X26" s="241">
        <f t="shared" si="20"/>
        <v>70</v>
      </c>
      <c r="Y26" s="123">
        <f t="shared" si="21"/>
        <v>943</v>
      </c>
      <c r="Z26" s="124">
        <f t="shared" si="22"/>
        <v>62.866666666666667</v>
      </c>
      <c r="AA26" s="125">
        <f t="shared" si="23"/>
        <v>23</v>
      </c>
      <c r="AB26" s="126" t="s">
        <v>805</v>
      </c>
      <c r="AC26" s="126" t="s">
        <v>805</v>
      </c>
      <c r="AD26" s="126" t="s">
        <v>805</v>
      </c>
      <c r="AE26" s="127">
        <v>34</v>
      </c>
      <c r="AF26" s="127">
        <v>0</v>
      </c>
      <c r="AG26" s="127">
        <v>0</v>
      </c>
      <c r="AH26" s="128"/>
      <c r="AJ26" s="93">
        <v>16</v>
      </c>
      <c r="AK26" s="131">
        <v>24250007</v>
      </c>
      <c r="AL26" s="120" t="s">
        <v>431</v>
      </c>
      <c r="AM26" s="129">
        <v>64.5</v>
      </c>
      <c r="AN26" s="129">
        <v>56</v>
      </c>
      <c r="AO26" s="129">
        <v>58.5</v>
      </c>
      <c r="AP26" s="129">
        <v>47</v>
      </c>
      <c r="AQ26" s="129">
        <v>55.5</v>
      </c>
      <c r="AR26" s="129">
        <v>61</v>
      </c>
      <c r="AS26" s="129">
        <v>68.5</v>
      </c>
      <c r="AT26" s="129">
        <v>60</v>
      </c>
      <c r="AU26" s="129">
        <v>68.5</v>
      </c>
      <c r="AV26" s="129">
        <v>65.5</v>
      </c>
      <c r="AW26" s="130">
        <v>70</v>
      </c>
      <c r="AX26" s="130">
        <v>70</v>
      </c>
      <c r="AY26" s="130">
        <v>65</v>
      </c>
      <c r="AZ26" s="130">
        <v>70</v>
      </c>
      <c r="BA26" s="130">
        <v>60</v>
      </c>
      <c r="BB26" s="243">
        <v>62.5</v>
      </c>
      <c r="BC26" s="243">
        <v>80</v>
      </c>
      <c r="BD26" s="243">
        <v>65</v>
      </c>
      <c r="BE26" s="243">
        <v>67.5</v>
      </c>
      <c r="BF26" s="243">
        <v>70</v>
      </c>
      <c r="BG26" s="243">
        <v>70</v>
      </c>
      <c r="BH26" s="123">
        <f t="shared" si="24"/>
        <v>940</v>
      </c>
      <c r="BI26" s="124">
        <f t="shared" si="25"/>
        <v>62.666666666666664</v>
      </c>
      <c r="BJ26" s="125" t="e">
        <f t="shared" si="26"/>
        <v>#N/A</v>
      </c>
      <c r="BK26" s="126"/>
      <c r="BL26" s="126"/>
      <c r="BM26" s="126"/>
      <c r="BN26" s="127"/>
      <c r="BO26" s="127"/>
      <c r="BP26" s="127"/>
      <c r="BQ26" s="128"/>
    </row>
    <row r="27" spans="1:69" ht="27.95" customHeight="1">
      <c r="A27" s="138">
        <v>24</v>
      </c>
      <c r="B27" s="221">
        <v>24250066</v>
      </c>
      <c r="C27" s="220" t="s">
        <v>428</v>
      </c>
      <c r="D27" s="121">
        <f t="shared" si="0"/>
        <v>71</v>
      </c>
      <c r="E27" s="121">
        <f t="shared" si="1"/>
        <v>63</v>
      </c>
      <c r="F27" s="121">
        <f t="shared" si="2"/>
        <v>65</v>
      </c>
      <c r="G27" s="121">
        <f t="shared" si="3"/>
        <v>47</v>
      </c>
      <c r="H27" s="121">
        <f t="shared" si="4"/>
        <v>64</v>
      </c>
      <c r="I27" s="121">
        <f t="shared" si="5"/>
        <v>74</v>
      </c>
      <c r="J27" s="121">
        <f t="shared" si="6"/>
        <v>66</v>
      </c>
      <c r="K27" s="121">
        <f t="shared" si="7"/>
        <v>59</v>
      </c>
      <c r="L27" s="121">
        <f t="shared" si="8"/>
        <v>68</v>
      </c>
      <c r="M27" s="121">
        <f t="shared" si="9"/>
        <v>65</v>
      </c>
      <c r="N27" s="122">
        <f t="shared" si="10"/>
        <v>70</v>
      </c>
      <c r="O27" s="122">
        <f t="shared" si="11"/>
        <v>60</v>
      </c>
      <c r="P27" s="122">
        <f t="shared" si="12"/>
        <v>50</v>
      </c>
      <c r="Q27" s="122">
        <f t="shared" si="13"/>
        <v>70</v>
      </c>
      <c r="R27" s="122">
        <f t="shared" si="14"/>
        <v>50</v>
      </c>
      <c r="S27" s="241">
        <f t="shared" si="15"/>
        <v>70</v>
      </c>
      <c r="T27" s="241">
        <f t="shared" si="16"/>
        <v>95</v>
      </c>
      <c r="U27" s="241">
        <f t="shared" si="17"/>
        <v>65</v>
      </c>
      <c r="V27" s="241">
        <f t="shared" si="18"/>
        <v>68</v>
      </c>
      <c r="W27" s="241">
        <f t="shared" si="19"/>
        <v>63</v>
      </c>
      <c r="X27" s="241">
        <f t="shared" si="20"/>
        <v>80</v>
      </c>
      <c r="Y27" s="123">
        <f t="shared" si="21"/>
        <v>942</v>
      </c>
      <c r="Z27" s="124">
        <f t="shared" si="22"/>
        <v>62.8</v>
      </c>
      <c r="AA27" s="125">
        <f t="shared" si="23"/>
        <v>24</v>
      </c>
      <c r="AB27" s="126" t="s">
        <v>806</v>
      </c>
      <c r="AC27" s="126" t="s">
        <v>805</v>
      </c>
      <c r="AD27" s="126" t="s">
        <v>805</v>
      </c>
      <c r="AE27" s="127">
        <v>9</v>
      </c>
      <c r="AF27" s="127">
        <v>0</v>
      </c>
      <c r="AG27" s="127">
        <v>2</v>
      </c>
      <c r="AH27" s="128"/>
      <c r="AJ27" s="93">
        <v>9</v>
      </c>
      <c r="AK27" s="131">
        <v>24250066</v>
      </c>
      <c r="AL27" s="120" t="s">
        <v>428</v>
      </c>
      <c r="AM27" s="129">
        <v>70.5</v>
      </c>
      <c r="AN27" s="129">
        <v>63</v>
      </c>
      <c r="AO27" s="129">
        <v>64.5</v>
      </c>
      <c r="AP27" s="129">
        <v>47</v>
      </c>
      <c r="AQ27" s="129">
        <v>63.5</v>
      </c>
      <c r="AR27" s="129">
        <v>73.5</v>
      </c>
      <c r="AS27" s="129">
        <v>66</v>
      </c>
      <c r="AT27" s="129">
        <v>59</v>
      </c>
      <c r="AU27" s="129">
        <v>68</v>
      </c>
      <c r="AV27" s="129">
        <v>65</v>
      </c>
      <c r="AW27" s="130">
        <v>70</v>
      </c>
      <c r="AX27" s="130">
        <v>60</v>
      </c>
      <c r="AY27" s="130">
        <v>50</v>
      </c>
      <c r="AZ27" s="130">
        <v>70</v>
      </c>
      <c r="BA27" s="130">
        <v>50</v>
      </c>
      <c r="BB27" s="243">
        <v>70</v>
      </c>
      <c r="BC27" s="243">
        <v>95</v>
      </c>
      <c r="BD27" s="243">
        <v>65</v>
      </c>
      <c r="BE27" s="243">
        <v>67.5</v>
      </c>
      <c r="BF27" s="243">
        <v>62.5</v>
      </c>
      <c r="BG27" s="243">
        <v>80</v>
      </c>
      <c r="BH27" s="123">
        <f t="shared" si="24"/>
        <v>940</v>
      </c>
      <c r="BI27" s="124">
        <f t="shared" si="25"/>
        <v>62.666666666666664</v>
      </c>
      <c r="BJ27" s="125" t="e">
        <f t="shared" si="26"/>
        <v>#N/A</v>
      </c>
      <c r="BK27" s="126"/>
      <c r="BL27" s="126"/>
      <c r="BM27" s="126"/>
      <c r="BN27" s="127"/>
      <c r="BO27" s="127"/>
      <c r="BP27" s="127"/>
      <c r="BQ27" s="128"/>
    </row>
    <row r="28" spans="1:69" ht="27.95" customHeight="1">
      <c r="A28" s="138">
        <v>25</v>
      </c>
      <c r="B28" s="221">
        <v>24250153</v>
      </c>
      <c r="C28" s="220" t="s">
        <v>653</v>
      </c>
      <c r="D28" s="121">
        <f t="shared" si="0"/>
        <v>65</v>
      </c>
      <c r="E28" s="121">
        <f t="shared" si="1"/>
        <v>61</v>
      </c>
      <c r="F28" s="121">
        <f t="shared" si="2"/>
        <v>68</v>
      </c>
      <c r="G28" s="121">
        <f t="shared" si="3"/>
        <v>44</v>
      </c>
      <c r="H28" s="121">
        <f t="shared" si="4"/>
        <v>66</v>
      </c>
      <c r="I28" s="121">
        <f t="shared" si="5"/>
        <v>72</v>
      </c>
      <c r="J28" s="121">
        <f t="shared" si="6"/>
        <v>70</v>
      </c>
      <c r="K28" s="121">
        <f t="shared" si="7"/>
        <v>64</v>
      </c>
      <c r="L28" s="121">
        <f t="shared" si="8"/>
        <v>61</v>
      </c>
      <c r="M28" s="121">
        <f t="shared" si="9"/>
        <v>61</v>
      </c>
      <c r="N28" s="122">
        <f t="shared" si="10"/>
        <v>70</v>
      </c>
      <c r="O28" s="122">
        <f t="shared" si="11"/>
        <v>50</v>
      </c>
      <c r="P28" s="122">
        <f t="shared" si="12"/>
        <v>50</v>
      </c>
      <c r="Q28" s="122">
        <f t="shared" si="13"/>
        <v>70</v>
      </c>
      <c r="R28" s="122">
        <f t="shared" si="14"/>
        <v>60</v>
      </c>
      <c r="S28" s="241">
        <f t="shared" si="15"/>
        <v>78</v>
      </c>
      <c r="T28" s="241">
        <f t="shared" si="16"/>
        <v>95</v>
      </c>
      <c r="U28" s="241">
        <f t="shared" si="17"/>
        <v>60</v>
      </c>
      <c r="V28" s="241">
        <f t="shared" si="18"/>
        <v>63</v>
      </c>
      <c r="W28" s="241">
        <f t="shared" si="19"/>
        <v>75</v>
      </c>
      <c r="X28" s="241">
        <f t="shared" si="20"/>
        <v>80</v>
      </c>
      <c r="Y28" s="123">
        <f t="shared" si="21"/>
        <v>932</v>
      </c>
      <c r="Z28" s="124">
        <f t="shared" si="22"/>
        <v>62.133333333333333</v>
      </c>
      <c r="AA28" s="125">
        <f t="shared" si="23"/>
        <v>25</v>
      </c>
      <c r="AB28" s="126" t="s">
        <v>805</v>
      </c>
      <c r="AC28" s="126" t="s">
        <v>805</v>
      </c>
      <c r="AD28" s="126" t="s">
        <v>805</v>
      </c>
      <c r="AE28" s="127">
        <v>0</v>
      </c>
      <c r="AF28" s="127">
        <v>0</v>
      </c>
      <c r="AG28" s="127">
        <v>0</v>
      </c>
      <c r="AH28" s="128"/>
      <c r="AJ28" s="93">
        <v>18</v>
      </c>
      <c r="AK28" s="131">
        <v>24250153</v>
      </c>
      <c r="AL28" s="120" t="s">
        <v>653</v>
      </c>
      <c r="AM28" s="129">
        <v>65.3</v>
      </c>
      <c r="AN28" s="129">
        <v>61</v>
      </c>
      <c r="AO28" s="129">
        <v>68.3</v>
      </c>
      <c r="AP28" s="129">
        <v>44</v>
      </c>
      <c r="AQ28" s="132">
        <v>65.5</v>
      </c>
      <c r="AR28" s="129">
        <v>71.5</v>
      </c>
      <c r="AS28" s="129">
        <v>70</v>
      </c>
      <c r="AT28" s="129">
        <v>64</v>
      </c>
      <c r="AU28" s="129">
        <v>61</v>
      </c>
      <c r="AV28" s="129">
        <v>61</v>
      </c>
      <c r="AW28" s="130">
        <v>70</v>
      </c>
      <c r="AX28" s="130">
        <v>50</v>
      </c>
      <c r="AY28" s="130">
        <v>50</v>
      </c>
      <c r="AZ28" s="130">
        <v>70</v>
      </c>
      <c r="BA28" s="130">
        <v>60</v>
      </c>
      <c r="BB28" s="243">
        <v>77.5</v>
      </c>
      <c r="BC28" s="243">
        <v>95</v>
      </c>
      <c r="BD28" s="243">
        <v>60</v>
      </c>
      <c r="BE28" s="243">
        <v>62.5</v>
      </c>
      <c r="BF28" s="243">
        <v>75</v>
      </c>
      <c r="BG28" s="243">
        <v>80</v>
      </c>
      <c r="BH28" s="123">
        <f t="shared" si="24"/>
        <v>931.6</v>
      </c>
      <c r="BI28" s="124">
        <f t="shared" si="25"/>
        <v>62.106666666666669</v>
      </c>
      <c r="BJ28" s="125" t="e">
        <f t="shared" si="26"/>
        <v>#N/A</v>
      </c>
      <c r="BK28" s="126"/>
      <c r="BL28" s="126"/>
      <c r="BM28" s="126"/>
      <c r="BN28" s="127"/>
      <c r="BO28" s="127"/>
      <c r="BP28" s="127"/>
      <c r="BQ28" s="128"/>
    </row>
    <row r="29" spans="1:69" ht="27.95" customHeight="1">
      <c r="A29" s="138">
        <v>26</v>
      </c>
      <c r="B29" s="221">
        <v>24250029</v>
      </c>
      <c r="C29" s="220" t="s">
        <v>434</v>
      </c>
      <c r="D29" s="121">
        <f t="shared" si="0"/>
        <v>66</v>
      </c>
      <c r="E29" s="121">
        <f t="shared" si="1"/>
        <v>56</v>
      </c>
      <c r="F29" s="121">
        <f t="shared" si="2"/>
        <v>66</v>
      </c>
      <c r="G29" s="121">
        <f t="shared" si="3"/>
        <v>43</v>
      </c>
      <c r="H29" s="121">
        <f t="shared" si="4"/>
        <v>62</v>
      </c>
      <c r="I29" s="121">
        <f t="shared" si="5"/>
        <v>61</v>
      </c>
      <c r="J29" s="121">
        <f t="shared" si="6"/>
        <v>72</v>
      </c>
      <c r="K29" s="121">
        <f t="shared" si="7"/>
        <v>62</v>
      </c>
      <c r="L29" s="121">
        <f t="shared" si="8"/>
        <v>61</v>
      </c>
      <c r="M29" s="121">
        <f t="shared" si="9"/>
        <v>61</v>
      </c>
      <c r="N29" s="122">
        <f t="shared" si="10"/>
        <v>80</v>
      </c>
      <c r="O29" s="122">
        <f t="shared" si="11"/>
        <v>50</v>
      </c>
      <c r="P29" s="122">
        <f t="shared" si="12"/>
        <v>50</v>
      </c>
      <c r="Q29" s="122">
        <f t="shared" si="13"/>
        <v>70</v>
      </c>
      <c r="R29" s="122">
        <f t="shared" si="14"/>
        <v>50</v>
      </c>
      <c r="S29" s="241">
        <f t="shared" si="15"/>
        <v>60</v>
      </c>
      <c r="T29" s="241">
        <f t="shared" si="16"/>
        <v>65</v>
      </c>
      <c r="U29" s="241">
        <f t="shared" si="17"/>
        <v>70</v>
      </c>
      <c r="V29" s="241">
        <f t="shared" si="18"/>
        <v>63</v>
      </c>
      <c r="W29" s="241">
        <f t="shared" si="19"/>
        <v>75</v>
      </c>
      <c r="X29" s="241">
        <f t="shared" si="20"/>
        <v>75</v>
      </c>
      <c r="Y29" s="123">
        <f t="shared" si="21"/>
        <v>910</v>
      </c>
      <c r="Z29" s="124">
        <f t="shared" si="22"/>
        <v>60.666666666666664</v>
      </c>
      <c r="AA29" s="125">
        <f t="shared" si="23"/>
        <v>26</v>
      </c>
      <c r="AB29" s="126" t="s">
        <v>805</v>
      </c>
      <c r="AC29" s="126" t="s">
        <v>805</v>
      </c>
      <c r="AD29" s="126" t="s">
        <v>805</v>
      </c>
      <c r="AE29" s="127">
        <v>22</v>
      </c>
      <c r="AF29" s="127">
        <v>0</v>
      </c>
      <c r="AG29" s="127">
        <v>0</v>
      </c>
      <c r="AH29" s="128"/>
      <c r="AJ29" s="93">
        <v>21</v>
      </c>
      <c r="AK29" s="131">
        <v>24250029</v>
      </c>
      <c r="AL29" s="120" t="s">
        <v>434</v>
      </c>
      <c r="AM29" s="129">
        <v>66</v>
      </c>
      <c r="AN29" s="129">
        <v>56</v>
      </c>
      <c r="AO29" s="129">
        <v>66</v>
      </c>
      <c r="AP29" s="129">
        <v>42.5</v>
      </c>
      <c r="AQ29" s="129">
        <v>62</v>
      </c>
      <c r="AR29" s="129">
        <v>61</v>
      </c>
      <c r="AS29" s="129">
        <v>71.8</v>
      </c>
      <c r="AT29" s="129">
        <v>61.5</v>
      </c>
      <c r="AU29" s="129">
        <v>61</v>
      </c>
      <c r="AV29" s="129">
        <v>61</v>
      </c>
      <c r="AW29" s="130">
        <v>80</v>
      </c>
      <c r="AX29" s="130">
        <v>50</v>
      </c>
      <c r="AY29" s="130">
        <v>50</v>
      </c>
      <c r="AZ29" s="130">
        <v>70</v>
      </c>
      <c r="BA29" s="130">
        <v>50</v>
      </c>
      <c r="BB29" s="243">
        <v>60</v>
      </c>
      <c r="BC29" s="243">
        <v>65</v>
      </c>
      <c r="BD29" s="243">
        <v>70</v>
      </c>
      <c r="BE29" s="243">
        <v>62.5</v>
      </c>
      <c r="BF29" s="243">
        <v>75</v>
      </c>
      <c r="BG29" s="243">
        <v>75</v>
      </c>
      <c r="BH29" s="123">
        <f t="shared" si="24"/>
        <v>908.8</v>
      </c>
      <c r="BI29" s="124">
        <f t="shared" si="25"/>
        <v>60.586666666666666</v>
      </c>
      <c r="BJ29" s="125" t="e">
        <f t="shared" si="26"/>
        <v>#N/A</v>
      </c>
      <c r="BK29" s="126"/>
      <c r="BL29" s="126"/>
      <c r="BM29" s="126"/>
      <c r="BN29" s="127"/>
      <c r="BO29" s="127"/>
      <c r="BP29" s="127"/>
      <c r="BQ29" s="128"/>
    </row>
    <row r="30" spans="1:69" ht="27.95" customHeight="1">
      <c r="A30" s="138">
        <v>27</v>
      </c>
      <c r="B30" s="221">
        <v>24250158</v>
      </c>
      <c r="C30" s="220" t="s">
        <v>649</v>
      </c>
      <c r="D30" s="121">
        <f t="shared" si="0"/>
        <v>57</v>
      </c>
      <c r="E30" s="121">
        <f t="shared" si="1"/>
        <v>54</v>
      </c>
      <c r="F30" s="121">
        <f t="shared" si="2"/>
        <v>57</v>
      </c>
      <c r="G30" s="121">
        <f t="shared" si="3"/>
        <v>40</v>
      </c>
      <c r="H30" s="121">
        <f t="shared" si="4"/>
        <v>54</v>
      </c>
      <c r="I30" s="121">
        <f t="shared" si="5"/>
        <v>57</v>
      </c>
      <c r="J30" s="121">
        <f t="shared" si="6"/>
        <v>78</v>
      </c>
      <c r="K30" s="121">
        <f t="shared" si="7"/>
        <v>58</v>
      </c>
      <c r="L30" s="121">
        <f t="shared" si="8"/>
        <v>59</v>
      </c>
      <c r="M30" s="121">
        <f t="shared" si="9"/>
        <v>59</v>
      </c>
      <c r="N30" s="122">
        <f t="shared" si="10"/>
        <v>70</v>
      </c>
      <c r="O30" s="122">
        <f t="shared" si="11"/>
        <v>50</v>
      </c>
      <c r="P30" s="122">
        <f t="shared" si="12"/>
        <v>50</v>
      </c>
      <c r="Q30" s="122">
        <f t="shared" si="13"/>
        <v>60</v>
      </c>
      <c r="R30" s="122">
        <f t="shared" si="14"/>
        <v>50</v>
      </c>
      <c r="S30" s="241">
        <f t="shared" si="15"/>
        <v>78</v>
      </c>
      <c r="T30" s="241">
        <f t="shared" si="16"/>
        <v>83</v>
      </c>
      <c r="U30" s="241">
        <f t="shared" si="17"/>
        <v>75</v>
      </c>
      <c r="V30" s="241">
        <f t="shared" si="18"/>
        <v>73</v>
      </c>
      <c r="W30" s="241">
        <f t="shared" si="19"/>
        <v>83</v>
      </c>
      <c r="X30" s="241">
        <f t="shared" si="20"/>
        <v>83</v>
      </c>
      <c r="Y30" s="123">
        <f t="shared" si="21"/>
        <v>853</v>
      </c>
      <c r="Z30" s="124">
        <f t="shared" si="22"/>
        <v>56.866666666666667</v>
      </c>
      <c r="AA30" s="125">
        <f t="shared" si="23"/>
        <v>27</v>
      </c>
      <c r="AB30" s="126" t="s">
        <v>805</v>
      </c>
      <c r="AC30" s="126" t="s">
        <v>805</v>
      </c>
      <c r="AD30" s="126" t="s">
        <v>805</v>
      </c>
      <c r="AE30" s="127">
        <v>61</v>
      </c>
      <c r="AF30" s="127">
        <v>0</v>
      </c>
      <c r="AG30" s="127">
        <v>11</v>
      </c>
      <c r="AH30" s="128"/>
      <c r="AJ30" s="93">
        <v>10</v>
      </c>
      <c r="AK30" s="131">
        <v>24250158</v>
      </c>
      <c r="AL30" s="120" t="s">
        <v>649</v>
      </c>
      <c r="AM30" s="129">
        <v>57</v>
      </c>
      <c r="AN30" s="129">
        <v>54</v>
      </c>
      <c r="AO30" s="129">
        <v>57</v>
      </c>
      <c r="AP30" s="129">
        <v>39.5</v>
      </c>
      <c r="AQ30" s="129">
        <v>53.5</v>
      </c>
      <c r="AR30" s="129">
        <v>57</v>
      </c>
      <c r="AS30" s="129">
        <v>77.5</v>
      </c>
      <c r="AT30" s="129">
        <v>58</v>
      </c>
      <c r="AU30" s="129">
        <v>59</v>
      </c>
      <c r="AV30" s="129">
        <v>59</v>
      </c>
      <c r="AW30" s="130">
        <v>70</v>
      </c>
      <c r="AX30" s="130">
        <v>50</v>
      </c>
      <c r="AY30" s="130">
        <v>50</v>
      </c>
      <c r="AZ30" s="130">
        <v>60</v>
      </c>
      <c r="BA30" s="130">
        <v>50</v>
      </c>
      <c r="BB30" s="243">
        <v>77.5</v>
      </c>
      <c r="BC30" s="243">
        <v>82.5</v>
      </c>
      <c r="BD30" s="243">
        <v>75</v>
      </c>
      <c r="BE30" s="243">
        <v>72.5</v>
      </c>
      <c r="BF30" s="243">
        <v>82.5</v>
      </c>
      <c r="BG30" s="243">
        <v>82.5</v>
      </c>
      <c r="BH30" s="123">
        <f t="shared" si="24"/>
        <v>851.5</v>
      </c>
      <c r="BI30" s="124">
        <f t="shared" si="25"/>
        <v>56.766666666666666</v>
      </c>
      <c r="BJ30" s="125" t="e">
        <f t="shared" si="26"/>
        <v>#N/A</v>
      </c>
      <c r="BK30" s="126"/>
      <c r="BL30" s="126"/>
      <c r="BM30" s="126"/>
      <c r="BN30" s="127"/>
      <c r="BO30" s="127"/>
      <c r="BP30" s="127"/>
      <c r="BQ30" s="128"/>
    </row>
    <row r="31" spans="1:69" ht="27.95" customHeight="1">
      <c r="A31" s="138">
        <v>28</v>
      </c>
      <c r="B31" s="222">
        <v>22230092</v>
      </c>
      <c r="C31" s="220" t="s">
        <v>656</v>
      </c>
      <c r="D31" s="121">
        <f t="shared" si="0"/>
        <v>54</v>
      </c>
      <c r="E31" s="121">
        <f t="shared" si="1"/>
        <v>63</v>
      </c>
      <c r="F31" s="121">
        <f t="shared" si="2"/>
        <v>54</v>
      </c>
      <c r="G31" s="121">
        <f t="shared" si="3"/>
        <v>42</v>
      </c>
      <c r="H31" s="121">
        <f t="shared" si="4"/>
        <v>52</v>
      </c>
      <c r="I31" s="121">
        <f t="shared" si="5"/>
        <v>57</v>
      </c>
      <c r="J31" s="121">
        <f t="shared" si="6"/>
        <v>60</v>
      </c>
      <c r="K31" s="121">
        <f t="shared" si="7"/>
        <v>49</v>
      </c>
      <c r="L31" s="121">
        <f t="shared" si="8"/>
        <v>54</v>
      </c>
      <c r="M31" s="121">
        <f t="shared" si="9"/>
        <v>60</v>
      </c>
      <c r="N31" s="122">
        <f t="shared" si="10"/>
        <v>60</v>
      </c>
      <c r="O31" s="122">
        <f t="shared" si="11"/>
        <v>50</v>
      </c>
      <c r="P31" s="122">
        <f t="shared" si="12"/>
        <v>50</v>
      </c>
      <c r="Q31" s="122">
        <f t="shared" si="13"/>
        <v>50</v>
      </c>
      <c r="R31" s="122">
        <f t="shared" si="14"/>
        <v>50</v>
      </c>
      <c r="S31" s="241">
        <f t="shared" si="15"/>
        <v>70</v>
      </c>
      <c r="T31" s="241">
        <f t="shared" si="16"/>
        <v>60</v>
      </c>
      <c r="U31" s="241">
        <f t="shared" si="17"/>
        <v>63</v>
      </c>
      <c r="V31" s="241">
        <f t="shared" si="18"/>
        <v>60</v>
      </c>
      <c r="W31" s="241">
        <f t="shared" si="19"/>
        <v>65</v>
      </c>
      <c r="X31" s="241">
        <f t="shared" si="20"/>
        <v>60</v>
      </c>
      <c r="Y31" s="123">
        <f t="shared" si="21"/>
        <v>805</v>
      </c>
      <c r="Z31" s="124">
        <f t="shared" si="22"/>
        <v>53.666666666666664</v>
      </c>
      <c r="AA31" s="125">
        <f t="shared" si="23"/>
        <v>28</v>
      </c>
      <c r="AB31" s="126" t="s">
        <v>805</v>
      </c>
      <c r="AC31" s="126" t="s">
        <v>805</v>
      </c>
      <c r="AD31" s="126" t="s">
        <v>805</v>
      </c>
      <c r="AE31" s="127">
        <v>29</v>
      </c>
      <c r="AF31" s="127">
        <v>0</v>
      </c>
      <c r="AG31" s="127">
        <v>0</v>
      </c>
      <c r="AH31" s="128"/>
      <c r="AJ31" s="93">
        <v>22</v>
      </c>
      <c r="AK31" s="134">
        <v>22230092</v>
      </c>
      <c r="AL31" s="120" t="s">
        <v>656</v>
      </c>
      <c r="AM31" s="129">
        <v>54</v>
      </c>
      <c r="AN31" s="129">
        <v>63</v>
      </c>
      <c r="AO31" s="129">
        <v>54</v>
      </c>
      <c r="AP31" s="129">
        <v>41.5</v>
      </c>
      <c r="AQ31" s="129">
        <v>52</v>
      </c>
      <c r="AR31" s="129">
        <v>57</v>
      </c>
      <c r="AS31" s="129">
        <v>60</v>
      </c>
      <c r="AT31" s="129">
        <v>49</v>
      </c>
      <c r="AU31" s="129">
        <v>54</v>
      </c>
      <c r="AV31" s="129">
        <v>60</v>
      </c>
      <c r="AW31" s="130">
        <v>60</v>
      </c>
      <c r="AX31" s="130">
        <v>50</v>
      </c>
      <c r="AY31" s="130">
        <v>50</v>
      </c>
      <c r="AZ31" s="130">
        <v>50</v>
      </c>
      <c r="BA31" s="130">
        <v>50</v>
      </c>
      <c r="BB31" s="243">
        <v>70</v>
      </c>
      <c r="BC31" s="243">
        <v>60</v>
      </c>
      <c r="BD31" s="243">
        <v>62.5</v>
      </c>
      <c r="BE31" s="243">
        <v>60</v>
      </c>
      <c r="BF31" s="243">
        <v>65</v>
      </c>
      <c r="BG31" s="243">
        <v>60</v>
      </c>
      <c r="BH31" s="123">
        <f t="shared" si="24"/>
        <v>804.5</v>
      </c>
      <c r="BI31" s="124">
        <f t="shared" si="25"/>
        <v>53.633333333333333</v>
      </c>
      <c r="BJ31" s="125" t="e">
        <f t="shared" si="26"/>
        <v>#N/A</v>
      </c>
      <c r="BK31" s="126"/>
      <c r="BL31" s="126"/>
      <c r="BM31" s="126"/>
      <c r="BN31" s="127"/>
      <c r="BO31" s="127"/>
      <c r="BP31" s="127"/>
      <c r="BQ31" s="128"/>
    </row>
    <row r="32" spans="1:69" ht="15.75">
      <c r="A32" s="439" t="s">
        <v>202</v>
      </c>
      <c r="B32" s="440"/>
      <c r="C32" s="441"/>
      <c r="D32" s="125">
        <f t="shared" ref="D32:R32" si="27">SUM(D4:D31)</f>
        <v>2011</v>
      </c>
      <c r="E32" s="125">
        <f t="shared" si="27"/>
        <v>1896</v>
      </c>
      <c r="F32" s="125">
        <f t="shared" si="27"/>
        <v>2098</v>
      </c>
      <c r="G32" s="125">
        <f t="shared" si="27"/>
        <v>1683</v>
      </c>
      <c r="H32" s="125">
        <f t="shared" si="27"/>
        <v>2039</v>
      </c>
      <c r="I32" s="125">
        <f t="shared" si="27"/>
        <v>2171</v>
      </c>
      <c r="J32" s="125">
        <f t="shared" si="27"/>
        <v>2210</v>
      </c>
      <c r="K32" s="125">
        <f t="shared" si="27"/>
        <v>1951</v>
      </c>
      <c r="L32" s="125">
        <f t="shared" si="27"/>
        <v>2198</v>
      </c>
      <c r="M32" s="125">
        <f t="shared" si="27"/>
        <v>2153</v>
      </c>
      <c r="N32" s="125">
        <f t="shared" si="27"/>
        <v>2154</v>
      </c>
      <c r="O32" s="125">
        <f t="shared" si="27"/>
        <v>2051</v>
      </c>
      <c r="P32" s="125">
        <f t="shared" si="27"/>
        <v>2086</v>
      </c>
      <c r="Q32" s="125">
        <f t="shared" si="27"/>
        <v>2175</v>
      </c>
      <c r="R32" s="125">
        <f t="shared" si="27"/>
        <v>2181</v>
      </c>
      <c r="S32" s="125"/>
      <c r="T32" s="125"/>
      <c r="U32" s="125"/>
      <c r="V32" s="125"/>
      <c r="W32" s="125"/>
      <c r="X32" s="125"/>
      <c r="Y32" s="123">
        <f t="shared" ref="Y32:Y33" si="28">SUM(D32:R32)</f>
        <v>31057</v>
      </c>
      <c r="Z32" s="124">
        <f t="shared" ref="Z32:Z33" si="29">AVERAGE(D32:R32)</f>
        <v>2070.4666666666667</v>
      </c>
      <c r="AA32" s="135"/>
      <c r="AB32" s="135"/>
      <c r="AC32" s="135"/>
      <c r="AD32" s="135"/>
      <c r="AE32" s="135"/>
      <c r="AF32" s="135"/>
      <c r="AG32" s="135"/>
      <c r="AH32" s="136"/>
      <c r="AJ32" s="439" t="s">
        <v>202</v>
      </c>
      <c r="AK32" s="440"/>
      <c r="AL32" s="441"/>
      <c r="AM32" s="125">
        <f t="shared" ref="AM32:BA32" si="30">SUM(AM4:AM31)</f>
        <v>2010.1999999999998</v>
      </c>
      <c r="AN32" s="125">
        <f t="shared" si="30"/>
        <v>1892</v>
      </c>
      <c r="AO32" s="125">
        <f t="shared" si="30"/>
        <v>2097.1999999999998</v>
      </c>
      <c r="AP32" s="125">
        <f t="shared" si="30"/>
        <v>1678.8</v>
      </c>
      <c r="AQ32" s="125">
        <f t="shared" si="30"/>
        <v>2029</v>
      </c>
      <c r="AR32" s="125">
        <f t="shared" si="30"/>
        <v>2166.6</v>
      </c>
      <c r="AS32" s="125">
        <f t="shared" si="30"/>
        <v>2203</v>
      </c>
      <c r="AT32" s="125">
        <f t="shared" si="30"/>
        <v>1947.6</v>
      </c>
      <c r="AU32" s="125">
        <f t="shared" si="30"/>
        <v>2197</v>
      </c>
      <c r="AV32" s="125">
        <f t="shared" si="30"/>
        <v>2152</v>
      </c>
      <c r="AW32" s="125">
        <f t="shared" si="30"/>
        <v>2155</v>
      </c>
      <c r="AX32" s="125">
        <f t="shared" si="30"/>
        <v>2055</v>
      </c>
      <c r="AY32" s="125">
        <f t="shared" si="30"/>
        <v>2090</v>
      </c>
      <c r="AZ32" s="125">
        <f t="shared" si="30"/>
        <v>2180</v>
      </c>
      <c r="BA32" s="125">
        <f t="shared" si="30"/>
        <v>2190</v>
      </c>
      <c r="BB32" s="125"/>
      <c r="BC32" s="125"/>
      <c r="BD32" s="125"/>
      <c r="BE32" s="125"/>
      <c r="BF32" s="125"/>
      <c r="BG32" s="125"/>
      <c r="BH32" s="123">
        <f t="shared" ref="BH32:BH33" si="31">SUM(AM32:BA32)</f>
        <v>31043.4</v>
      </c>
      <c r="BI32" s="124">
        <f t="shared" ref="BI32:BI33" si="32">AVERAGE(AM32:BA32)</f>
        <v>2069.56</v>
      </c>
      <c r="BJ32" s="135"/>
      <c r="BK32" s="135"/>
      <c r="BL32" s="135"/>
      <c r="BM32" s="135"/>
      <c r="BN32" s="135"/>
      <c r="BO32" s="135"/>
      <c r="BP32" s="135"/>
      <c r="BQ32" s="136"/>
    </row>
    <row r="33" spans="1:69" ht="15.75">
      <c r="A33" s="439" t="s">
        <v>203</v>
      </c>
      <c r="B33" s="440"/>
      <c r="C33" s="441"/>
      <c r="D33" s="125">
        <f t="shared" ref="D33:R33" si="33">AVERAGE(D4:D31)</f>
        <v>71.821428571428569</v>
      </c>
      <c r="E33" s="125">
        <f t="shared" si="33"/>
        <v>67.714285714285708</v>
      </c>
      <c r="F33" s="125">
        <f t="shared" si="33"/>
        <v>74.928571428571431</v>
      </c>
      <c r="G33" s="125">
        <f t="shared" si="33"/>
        <v>60.107142857142854</v>
      </c>
      <c r="H33" s="125">
        <f t="shared" si="33"/>
        <v>72.821428571428569</v>
      </c>
      <c r="I33" s="125">
        <f t="shared" si="33"/>
        <v>77.535714285714292</v>
      </c>
      <c r="J33" s="125">
        <f t="shared" si="33"/>
        <v>78.928571428571431</v>
      </c>
      <c r="K33" s="125">
        <f t="shared" si="33"/>
        <v>69.678571428571431</v>
      </c>
      <c r="L33" s="125">
        <f t="shared" si="33"/>
        <v>78.5</v>
      </c>
      <c r="M33" s="125">
        <f t="shared" si="33"/>
        <v>76.892857142857139</v>
      </c>
      <c r="N33" s="125">
        <f t="shared" si="33"/>
        <v>76.928571428571431</v>
      </c>
      <c r="O33" s="125">
        <f t="shared" si="33"/>
        <v>73.25</v>
      </c>
      <c r="P33" s="125">
        <f t="shared" si="33"/>
        <v>74.5</v>
      </c>
      <c r="Q33" s="125">
        <f t="shared" si="33"/>
        <v>77.678571428571431</v>
      </c>
      <c r="R33" s="125">
        <f t="shared" si="33"/>
        <v>77.892857142857139</v>
      </c>
      <c r="S33" s="125"/>
      <c r="T33" s="125"/>
      <c r="U33" s="125"/>
      <c r="V33" s="125"/>
      <c r="W33" s="125"/>
      <c r="X33" s="125"/>
      <c r="Y33" s="123">
        <f t="shared" si="28"/>
        <v>1109.1785714285713</v>
      </c>
      <c r="Z33" s="124">
        <f t="shared" si="29"/>
        <v>73.945238095238082</v>
      </c>
      <c r="AA33" s="135"/>
      <c r="AB33" s="135"/>
      <c r="AC33" s="135"/>
      <c r="AD33" s="135"/>
      <c r="AE33" s="135"/>
      <c r="AF33" s="135"/>
      <c r="AG33" s="135"/>
      <c r="AH33" s="136"/>
      <c r="AJ33" s="439" t="s">
        <v>203</v>
      </c>
      <c r="AK33" s="440"/>
      <c r="AL33" s="441"/>
      <c r="AM33" s="125">
        <f t="shared" ref="AM33:BA33" si="34">AVERAGE(AM4:AM31)</f>
        <v>71.79285714285713</v>
      </c>
      <c r="AN33" s="125">
        <f t="shared" si="34"/>
        <v>67.571428571428569</v>
      </c>
      <c r="AO33" s="125">
        <f t="shared" si="34"/>
        <v>74.899999999999991</v>
      </c>
      <c r="AP33" s="125">
        <f t="shared" si="34"/>
        <v>59.957142857142856</v>
      </c>
      <c r="AQ33" s="125">
        <f t="shared" si="34"/>
        <v>72.464285714285708</v>
      </c>
      <c r="AR33" s="125">
        <f t="shared" si="34"/>
        <v>77.378571428571419</v>
      </c>
      <c r="AS33" s="125">
        <f t="shared" si="34"/>
        <v>78.678571428571431</v>
      </c>
      <c r="AT33" s="125">
        <f t="shared" si="34"/>
        <v>69.55714285714285</v>
      </c>
      <c r="AU33" s="125">
        <f t="shared" si="34"/>
        <v>78.464285714285708</v>
      </c>
      <c r="AV33" s="125">
        <f t="shared" si="34"/>
        <v>76.857142857142861</v>
      </c>
      <c r="AW33" s="125">
        <f t="shared" si="34"/>
        <v>76.964285714285708</v>
      </c>
      <c r="AX33" s="125">
        <f t="shared" si="34"/>
        <v>73.392857142857139</v>
      </c>
      <c r="AY33" s="125">
        <f t="shared" si="34"/>
        <v>74.642857142857139</v>
      </c>
      <c r="AZ33" s="125">
        <f t="shared" si="34"/>
        <v>77.857142857142861</v>
      </c>
      <c r="BA33" s="125">
        <f t="shared" si="34"/>
        <v>78.214285714285708</v>
      </c>
      <c r="BB33" s="125"/>
      <c r="BC33" s="125"/>
      <c r="BD33" s="125"/>
      <c r="BE33" s="125"/>
      <c r="BF33" s="125"/>
      <c r="BG33" s="125"/>
      <c r="BH33" s="123">
        <f t="shared" si="31"/>
        <v>1108.6928571428571</v>
      </c>
      <c r="BI33" s="124">
        <f t="shared" si="32"/>
        <v>73.912857142857135</v>
      </c>
      <c r="BJ33" s="135"/>
      <c r="BK33" s="135"/>
      <c r="BL33" s="135"/>
      <c r="BM33" s="135"/>
      <c r="BN33" s="135"/>
      <c r="BO33" s="135"/>
      <c r="BP33" s="135"/>
      <c r="BQ33" s="136"/>
    </row>
    <row r="34" spans="1:69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16</v>
      </c>
      <c r="O34">
        <v>17</v>
      </c>
      <c r="P34">
        <v>18</v>
      </c>
      <c r="Q34">
        <v>19</v>
      </c>
      <c r="R34">
        <v>20</v>
      </c>
      <c r="Y34">
        <v>21</v>
      </c>
      <c r="Z34">
        <v>22</v>
      </c>
      <c r="AA34">
        <v>23</v>
      </c>
      <c r="AB34">
        <v>24</v>
      </c>
      <c r="AC34">
        <v>25</v>
      </c>
      <c r="AD34">
        <v>26</v>
      </c>
      <c r="AE34">
        <v>27</v>
      </c>
      <c r="AF34">
        <v>28</v>
      </c>
      <c r="AG34">
        <v>29</v>
      </c>
      <c r="AJ34">
        <v>1</v>
      </c>
      <c r="AK34">
        <v>2</v>
      </c>
      <c r="AL34">
        <v>3</v>
      </c>
      <c r="AM34">
        <v>4</v>
      </c>
      <c r="AN34">
        <v>5</v>
      </c>
      <c r="AO34">
        <v>6</v>
      </c>
      <c r="AP34">
        <v>7</v>
      </c>
      <c r="AQ34">
        <v>8</v>
      </c>
      <c r="AR34">
        <v>9</v>
      </c>
      <c r="AS34">
        <v>10</v>
      </c>
      <c r="AT34">
        <v>11</v>
      </c>
      <c r="AU34">
        <v>12</v>
      </c>
      <c r="AV34">
        <v>13</v>
      </c>
      <c r="AW34">
        <v>16</v>
      </c>
      <c r="AX34">
        <v>17</v>
      </c>
      <c r="AY34">
        <v>18</v>
      </c>
      <c r="AZ34">
        <v>19</v>
      </c>
      <c r="BA34">
        <v>20</v>
      </c>
      <c r="BH34">
        <v>21</v>
      </c>
      <c r="BI34">
        <v>22</v>
      </c>
      <c r="BJ34">
        <v>23</v>
      </c>
      <c r="BK34">
        <v>24</v>
      </c>
      <c r="BL34">
        <v>25</v>
      </c>
      <c r="BM34">
        <v>26</v>
      </c>
      <c r="BN34">
        <v>27</v>
      </c>
      <c r="BO34">
        <v>28</v>
      </c>
      <c r="BP34">
        <v>29</v>
      </c>
    </row>
    <row r="36" spans="1:69" ht="23.25">
      <c r="A36" s="84" t="s">
        <v>204</v>
      </c>
      <c r="B36" s="60"/>
      <c r="C36" s="85"/>
    </row>
    <row r="37" spans="1:69" ht="15.75">
      <c r="A37" s="86"/>
      <c r="B37" s="86"/>
      <c r="C37" s="60" t="s">
        <v>205</v>
      </c>
    </row>
    <row r="38" spans="1:69" ht="15.75">
      <c r="A38" s="87"/>
      <c r="B38" s="87"/>
      <c r="C38" s="60" t="s">
        <v>206</v>
      </c>
    </row>
    <row r="39" spans="1:69" ht="15.75">
      <c r="A39" s="88"/>
      <c r="B39" s="88"/>
      <c r="C39" s="60" t="s">
        <v>207</v>
      </c>
    </row>
    <row r="40" spans="1:69" ht="15.75">
      <c r="A40" s="89"/>
      <c r="B40" s="89"/>
      <c r="C40" s="60" t="s">
        <v>208</v>
      </c>
    </row>
  </sheetData>
  <sortState xmlns:xlrd2="http://schemas.microsoft.com/office/spreadsheetml/2017/richdata2" ref="B4:BQ31">
    <sortCondition ref="AA4:AA31"/>
  </sortState>
  <mergeCells count="36">
    <mergeCell ref="A32:C32"/>
    <mergeCell ref="AJ32:AL32"/>
    <mergeCell ref="A33:C33"/>
    <mergeCell ref="AJ33:AL33"/>
    <mergeCell ref="BL2:BL3"/>
    <mergeCell ref="AM2:AV2"/>
    <mergeCell ref="AW2:BA2"/>
    <mergeCell ref="BH2:BH3"/>
    <mergeCell ref="BI2:BI3"/>
    <mergeCell ref="BJ2:BJ3"/>
    <mergeCell ref="BK2:BK3"/>
    <mergeCell ref="AF2:AF3"/>
    <mergeCell ref="AG2:AG3"/>
    <mergeCell ref="AH2:AH3"/>
    <mergeCell ref="AJ2:AJ3"/>
    <mergeCell ref="AK2:AK3"/>
    <mergeCell ref="BM2:BM3"/>
    <mergeCell ref="BN2:BN3"/>
    <mergeCell ref="BO2:BO3"/>
    <mergeCell ref="BP2:BP3"/>
    <mergeCell ref="BQ2:BQ3"/>
    <mergeCell ref="BB2:BG2"/>
    <mergeCell ref="Y2:Y3"/>
    <mergeCell ref="A2:A3"/>
    <mergeCell ref="B2:B3"/>
    <mergeCell ref="C2:C3"/>
    <mergeCell ref="D2:M2"/>
    <mergeCell ref="N2:R2"/>
    <mergeCell ref="S2:X2"/>
    <mergeCell ref="AL2:AL3"/>
    <mergeCell ref="Z2:Z3"/>
    <mergeCell ref="AA2:AA3"/>
    <mergeCell ref="AB2:AB3"/>
    <mergeCell ref="AC2:AC3"/>
    <mergeCell ref="AD2:AD3"/>
    <mergeCell ref="AE2:AE3"/>
  </mergeCells>
  <conditionalFormatting sqref="B5">
    <cfRule type="duplicateValues" dxfId="234" priority="50"/>
    <cfRule type="duplicateValues" dxfId="233" priority="51"/>
  </conditionalFormatting>
  <conditionalFormatting sqref="B6">
    <cfRule type="duplicateValues" dxfId="232" priority="52"/>
    <cfRule type="duplicateValues" dxfId="231" priority="53"/>
  </conditionalFormatting>
  <conditionalFormatting sqref="B7">
    <cfRule type="duplicateValues" dxfId="230" priority="48"/>
    <cfRule type="duplicateValues" dxfId="229" priority="49"/>
  </conditionalFormatting>
  <conditionalFormatting sqref="B8">
    <cfRule type="duplicateValues" dxfId="228" priority="63"/>
  </conditionalFormatting>
  <conditionalFormatting sqref="B9">
    <cfRule type="duplicateValues" dxfId="227" priority="47"/>
  </conditionalFormatting>
  <conditionalFormatting sqref="B10">
    <cfRule type="duplicateValues" dxfId="226" priority="45"/>
    <cfRule type="duplicateValues" dxfId="225" priority="46"/>
  </conditionalFormatting>
  <conditionalFormatting sqref="B11">
    <cfRule type="duplicateValues" dxfId="224" priority="43"/>
    <cfRule type="duplicateValues" dxfId="223" priority="44"/>
  </conditionalFormatting>
  <conditionalFormatting sqref="B12">
    <cfRule type="duplicateValues" dxfId="222" priority="59"/>
    <cfRule type="duplicateValues" dxfId="221" priority="60"/>
  </conditionalFormatting>
  <conditionalFormatting sqref="B13">
    <cfRule type="duplicateValues" dxfId="220" priority="70"/>
  </conditionalFormatting>
  <conditionalFormatting sqref="B14">
    <cfRule type="duplicateValues" dxfId="219" priority="69"/>
  </conditionalFormatting>
  <conditionalFormatting sqref="B15">
    <cfRule type="duplicateValues" dxfId="218" priority="58"/>
  </conditionalFormatting>
  <conditionalFormatting sqref="B16">
    <cfRule type="duplicateValues" dxfId="217" priority="54"/>
    <cfRule type="duplicateValues" dxfId="216" priority="55"/>
  </conditionalFormatting>
  <conditionalFormatting sqref="B17">
    <cfRule type="duplicateValues" dxfId="215" priority="66"/>
    <cfRule type="duplicateValues" dxfId="214" priority="67"/>
  </conditionalFormatting>
  <conditionalFormatting sqref="B18">
    <cfRule type="duplicateValues" dxfId="213" priority="64"/>
    <cfRule type="duplicateValues" dxfId="212" priority="65"/>
  </conditionalFormatting>
  <conditionalFormatting sqref="B19">
    <cfRule type="duplicateValues" dxfId="211" priority="68"/>
  </conditionalFormatting>
  <conditionalFormatting sqref="B20">
    <cfRule type="duplicateValues" dxfId="210" priority="61"/>
    <cfRule type="duplicateValues" dxfId="209" priority="62"/>
  </conditionalFormatting>
  <conditionalFormatting sqref="B21">
    <cfRule type="duplicateValues" dxfId="208" priority="40"/>
  </conditionalFormatting>
  <conditionalFormatting sqref="B22">
    <cfRule type="duplicateValues" dxfId="207" priority="73"/>
  </conditionalFormatting>
  <conditionalFormatting sqref="B23">
    <cfRule type="duplicateValues" dxfId="206" priority="56"/>
  </conditionalFormatting>
  <conditionalFormatting sqref="B24">
    <cfRule type="duplicateValues" dxfId="205" priority="41"/>
    <cfRule type="duplicateValues" dxfId="204" priority="42"/>
  </conditionalFormatting>
  <conditionalFormatting sqref="B25">
    <cfRule type="duplicateValues" dxfId="203" priority="57"/>
  </conditionalFormatting>
  <conditionalFormatting sqref="B27:B31">
    <cfRule type="duplicateValues" dxfId="202" priority="141"/>
    <cfRule type="duplicateValues" dxfId="201" priority="142"/>
  </conditionalFormatting>
  <conditionalFormatting sqref="D4:X31">
    <cfRule type="cellIs" dxfId="200" priority="74" operator="lessThanOrEqual">
      <formula>59</formula>
    </cfRule>
  </conditionalFormatting>
  <conditionalFormatting sqref="Z4:Z33 BI4:BI33">
    <cfRule type="cellIs" dxfId="199" priority="75" operator="lessThan">
      <formula>59</formula>
    </cfRule>
  </conditionalFormatting>
  <conditionalFormatting sqref="AA4:AA31">
    <cfRule type="duplicateValues" dxfId="198" priority="145"/>
    <cfRule type="duplicateValues" dxfId="197" priority="146"/>
    <cfRule type="duplicateValues" dxfId="196" priority="147"/>
  </conditionalFormatting>
  <conditionalFormatting sqref="AK5">
    <cfRule type="duplicateValues" dxfId="195" priority="11"/>
    <cfRule type="duplicateValues" dxfId="194" priority="12"/>
  </conditionalFormatting>
  <conditionalFormatting sqref="AK6">
    <cfRule type="duplicateValues" dxfId="193" priority="13"/>
    <cfRule type="duplicateValues" dxfId="192" priority="14"/>
  </conditionalFormatting>
  <conditionalFormatting sqref="AK7">
    <cfRule type="duplicateValues" dxfId="191" priority="9"/>
    <cfRule type="duplicateValues" dxfId="190" priority="10"/>
  </conditionalFormatting>
  <conditionalFormatting sqref="AK8">
    <cfRule type="duplicateValues" dxfId="189" priority="24"/>
  </conditionalFormatting>
  <conditionalFormatting sqref="AK9">
    <cfRule type="duplicateValues" dxfId="188" priority="8"/>
  </conditionalFormatting>
  <conditionalFormatting sqref="AK10">
    <cfRule type="duplicateValues" dxfId="187" priority="6"/>
    <cfRule type="duplicateValues" dxfId="186" priority="7"/>
  </conditionalFormatting>
  <conditionalFormatting sqref="AK11">
    <cfRule type="duplicateValues" dxfId="185" priority="4"/>
    <cfRule type="duplicateValues" dxfId="184" priority="5"/>
  </conditionalFormatting>
  <conditionalFormatting sqref="AK12">
    <cfRule type="duplicateValues" dxfId="183" priority="20"/>
    <cfRule type="duplicateValues" dxfId="182" priority="21"/>
  </conditionalFormatting>
  <conditionalFormatting sqref="AK13">
    <cfRule type="duplicateValues" dxfId="181" priority="31"/>
  </conditionalFormatting>
  <conditionalFormatting sqref="AK14">
    <cfRule type="duplicateValues" dxfId="180" priority="30"/>
  </conditionalFormatting>
  <conditionalFormatting sqref="AK15">
    <cfRule type="duplicateValues" dxfId="179" priority="19"/>
  </conditionalFormatting>
  <conditionalFormatting sqref="AK16">
    <cfRule type="duplicateValues" dxfId="178" priority="15"/>
    <cfRule type="duplicateValues" dxfId="177" priority="16"/>
  </conditionalFormatting>
  <conditionalFormatting sqref="AK17">
    <cfRule type="duplicateValues" dxfId="176" priority="27"/>
    <cfRule type="duplicateValues" dxfId="175" priority="28"/>
  </conditionalFormatting>
  <conditionalFormatting sqref="AK18">
    <cfRule type="duplicateValues" dxfId="174" priority="25"/>
    <cfRule type="duplicateValues" dxfId="173" priority="26"/>
  </conditionalFormatting>
  <conditionalFormatting sqref="AK19">
    <cfRule type="duplicateValues" dxfId="172" priority="29"/>
  </conditionalFormatting>
  <conditionalFormatting sqref="AK20">
    <cfRule type="duplicateValues" dxfId="171" priority="22"/>
    <cfRule type="duplicateValues" dxfId="170" priority="23"/>
  </conditionalFormatting>
  <conditionalFormatting sqref="AK21">
    <cfRule type="duplicateValues" dxfId="169" priority="1"/>
  </conditionalFormatting>
  <conditionalFormatting sqref="AK22">
    <cfRule type="duplicateValues" dxfId="168" priority="34"/>
  </conditionalFormatting>
  <conditionalFormatting sqref="AK23">
    <cfRule type="duplicateValues" dxfId="167" priority="17"/>
  </conditionalFormatting>
  <conditionalFormatting sqref="AK24">
    <cfRule type="duplicateValues" dxfId="166" priority="2"/>
    <cfRule type="duplicateValues" dxfId="165" priority="3"/>
  </conditionalFormatting>
  <conditionalFormatting sqref="AK25">
    <cfRule type="duplicateValues" dxfId="164" priority="18"/>
  </conditionalFormatting>
  <conditionalFormatting sqref="AK27:AK31">
    <cfRule type="duplicateValues" dxfId="163" priority="148"/>
    <cfRule type="duplicateValues" dxfId="162" priority="149"/>
  </conditionalFormatting>
  <conditionalFormatting sqref="AM4:BG31">
    <cfRule type="cellIs" dxfId="161" priority="35" operator="lessThanOrEqual">
      <formula>59</formula>
    </cfRule>
  </conditionalFormatting>
  <conditionalFormatting sqref="BJ4:BJ31">
    <cfRule type="duplicateValues" dxfId="160" priority="152"/>
    <cfRule type="duplicateValues" dxfId="159" priority="153"/>
    <cfRule type="duplicateValues" dxfId="158" priority="154"/>
  </conditionalFormatting>
  <pageMargins left="0.26" right="0.18" top="0.74803149606299202" bottom="0.41" header="0.31496062992126" footer="0.31496062992126"/>
  <pageSetup paperSize="10000" scale="85" orientation="landscape" horizontalDpi="203" verticalDpi="203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8CB71-9FC2-41D9-BCDD-1DB5031CE0E6}">
  <sheetPr codeName="Sheet19">
    <tabColor theme="1" tint="0.499984740745262"/>
  </sheetPr>
  <dimension ref="A1:BQ40"/>
  <sheetViews>
    <sheetView topLeftCell="A18" zoomScale="70" zoomScaleNormal="70" zoomScaleSheetLayoutView="55" workbookViewId="0">
      <selection activeCell="B4" sqref="B4:BQ31"/>
    </sheetView>
  </sheetViews>
  <sheetFormatPr defaultColWidth="8.85546875" defaultRowHeight="15"/>
  <cols>
    <col min="1" max="1" width="5.42578125" customWidth="1"/>
    <col min="2" max="2" width="14.85546875" customWidth="1"/>
    <col min="3" max="3" width="29.42578125" customWidth="1"/>
    <col min="4" max="13" width="5.5703125" customWidth="1"/>
    <col min="14" max="24" width="5.140625" customWidth="1"/>
    <col min="25" max="25" width="6.28515625" customWidth="1"/>
    <col min="26" max="26" width="7.7109375" customWidth="1"/>
    <col min="27" max="34" width="5.42578125" customWidth="1"/>
    <col min="38" max="38" width="31.5703125" bestFit="1" customWidth="1"/>
  </cols>
  <sheetData>
    <row r="1" spans="1:69" ht="23.25">
      <c r="A1" s="85" t="s">
        <v>663</v>
      </c>
      <c r="N1" s="115"/>
      <c r="O1" s="115"/>
      <c r="P1" s="115"/>
      <c r="Q1" s="115"/>
      <c r="R1" s="116"/>
      <c r="S1" s="116"/>
      <c r="T1" s="116"/>
      <c r="U1" s="116"/>
      <c r="V1" s="116"/>
      <c r="W1" s="116"/>
      <c r="X1" s="116"/>
      <c r="AJ1" s="85" t="s">
        <v>663</v>
      </c>
      <c r="AW1" s="115"/>
      <c r="AX1" s="115"/>
      <c r="AY1" s="115"/>
      <c r="AZ1" s="115"/>
      <c r="BA1" s="116"/>
      <c r="BB1" s="116"/>
      <c r="BC1" s="116"/>
      <c r="BD1" s="116"/>
      <c r="BE1" s="116"/>
      <c r="BF1" s="116"/>
      <c r="BG1" s="116"/>
      <c r="BN1" t="s">
        <v>372</v>
      </c>
    </row>
    <row r="2" spans="1:69" ht="15.6" customHeight="1">
      <c r="A2" s="431" t="s">
        <v>151</v>
      </c>
      <c r="B2" s="431" t="s">
        <v>152</v>
      </c>
      <c r="C2" s="431" t="s">
        <v>0</v>
      </c>
      <c r="D2" s="433" t="s">
        <v>153</v>
      </c>
      <c r="E2" s="433"/>
      <c r="F2" s="433"/>
      <c r="G2" s="433"/>
      <c r="H2" s="433"/>
      <c r="I2" s="433"/>
      <c r="J2" s="433"/>
      <c r="K2" s="433"/>
      <c r="L2" s="433"/>
      <c r="M2" s="433"/>
      <c r="N2" s="434" t="s">
        <v>316</v>
      </c>
      <c r="O2" s="434"/>
      <c r="P2" s="434"/>
      <c r="Q2" s="434"/>
      <c r="R2" s="434"/>
      <c r="S2" s="283" t="s">
        <v>798</v>
      </c>
      <c r="T2" s="284"/>
      <c r="U2" s="284"/>
      <c r="V2" s="284"/>
      <c r="W2" s="284"/>
      <c r="X2" s="285"/>
      <c r="Y2" s="429" t="s">
        <v>155</v>
      </c>
      <c r="Z2" s="429" t="s">
        <v>156</v>
      </c>
      <c r="AA2" s="429" t="s">
        <v>157</v>
      </c>
      <c r="AB2" s="435" t="s">
        <v>158</v>
      </c>
      <c r="AC2" s="435" t="s">
        <v>159</v>
      </c>
      <c r="AD2" s="435" t="s">
        <v>160</v>
      </c>
      <c r="AE2" s="437" t="s">
        <v>161</v>
      </c>
      <c r="AF2" s="437" t="s">
        <v>162</v>
      </c>
      <c r="AG2" s="437" t="s">
        <v>163</v>
      </c>
      <c r="AH2" s="280" t="s">
        <v>164</v>
      </c>
      <c r="AJ2" s="431" t="s">
        <v>151</v>
      </c>
      <c r="AK2" s="431" t="s">
        <v>152</v>
      </c>
      <c r="AL2" s="431" t="s">
        <v>0</v>
      </c>
      <c r="AM2" s="433" t="s">
        <v>153</v>
      </c>
      <c r="AN2" s="433"/>
      <c r="AO2" s="433"/>
      <c r="AP2" s="433"/>
      <c r="AQ2" s="433"/>
      <c r="AR2" s="433"/>
      <c r="AS2" s="433"/>
      <c r="AT2" s="433"/>
      <c r="AU2" s="433"/>
      <c r="AV2" s="433"/>
      <c r="AW2" s="434" t="s">
        <v>316</v>
      </c>
      <c r="AX2" s="434"/>
      <c r="AY2" s="434"/>
      <c r="AZ2" s="434"/>
      <c r="BA2" s="434"/>
      <c r="BB2" s="283" t="s">
        <v>798</v>
      </c>
      <c r="BC2" s="284"/>
      <c r="BD2" s="284"/>
      <c r="BE2" s="284"/>
      <c r="BF2" s="284"/>
      <c r="BG2" s="285"/>
      <c r="BH2" s="429" t="s">
        <v>155</v>
      </c>
      <c r="BI2" s="429" t="s">
        <v>156</v>
      </c>
      <c r="BJ2" s="429" t="s">
        <v>157</v>
      </c>
      <c r="BK2" s="435" t="s">
        <v>158</v>
      </c>
      <c r="BL2" s="435" t="s">
        <v>159</v>
      </c>
      <c r="BM2" s="435" t="s">
        <v>160</v>
      </c>
      <c r="BN2" s="437" t="s">
        <v>161</v>
      </c>
      <c r="BO2" s="437" t="s">
        <v>162</v>
      </c>
      <c r="BP2" s="437" t="s">
        <v>163</v>
      </c>
      <c r="BQ2" s="280" t="s">
        <v>164</v>
      </c>
    </row>
    <row r="3" spans="1:69" s="118" customFormat="1" ht="54" customHeight="1">
      <c r="A3" s="432"/>
      <c r="B3" s="432"/>
      <c r="C3" s="432"/>
      <c r="D3" s="117" t="s">
        <v>118</v>
      </c>
      <c r="E3" s="117" t="s">
        <v>22</v>
      </c>
      <c r="F3" s="117" t="s">
        <v>55</v>
      </c>
      <c r="G3" s="117" t="s">
        <v>167</v>
      </c>
      <c r="H3" s="117" t="s">
        <v>168</v>
      </c>
      <c r="I3" s="117" t="s">
        <v>126</v>
      </c>
      <c r="J3" s="117" t="s">
        <v>111</v>
      </c>
      <c r="K3" s="117" t="s">
        <v>96</v>
      </c>
      <c r="L3" s="117" t="s">
        <v>14</v>
      </c>
      <c r="M3" s="117" t="s">
        <v>120</v>
      </c>
      <c r="N3" s="98" t="s">
        <v>103</v>
      </c>
      <c r="O3" s="98" t="s">
        <v>14</v>
      </c>
      <c r="P3" s="98" t="s">
        <v>120</v>
      </c>
      <c r="Q3" s="98" t="s">
        <v>34</v>
      </c>
      <c r="R3" s="98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430"/>
      <c r="Z3" s="430"/>
      <c r="AA3" s="430"/>
      <c r="AB3" s="436"/>
      <c r="AC3" s="436"/>
      <c r="AD3" s="436"/>
      <c r="AE3" s="438"/>
      <c r="AF3" s="438"/>
      <c r="AG3" s="438"/>
      <c r="AH3" s="280"/>
      <c r="AJ3" s="432"/>
      <c r="AK3" s="432"/>
      <c r="AL3" s="432"/>
      <c r="AM3" s="117" t="s">
        <v>118</v>
      </c>
      <c r="AN3" s="117" t="s">
        <v>22</v>
      </c>
      <c r="AO3" s="117" t="s">
        <v>55</v>
      </c>
      <c r="AP3" s="117" t="s">
        <v>167</v>
      </c>
      <c r="AQ3" s="117" t="s">
        <v>168</v>
      </c>
      <c r="AR3" s="117" t="s">
        <v>126</v>
      </c>
      <c r="AS3" s="117" t="s">
        <v>111</v>
      </c>
      <c r="AT3" s="117" t="s">
        <v>96</v>
      </c>
      <c r="AU3" s="117" t="s">
        <v>14</v>
      </c>
      <c r="AV3" s="117" t="s">
        <v>120</v>
      </c>
      <c r="AW3" s="98" t="s">
        <v>103</v>
      </c>
      <c r="AX3" s="98" t="s">
        <v>14</v>
      </c>
      <c r="AY3" s="98" t="s">
        <v>120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430"/>
      <c r="BI3" s="430"/>
      <c r="BJ3" s="430"/>
      <c r="BK3" s="436"/>
      <c r="BL3" s="436"/>
      <c r="BM3" s="436"/>
      <c r="BN3" s="438"/>
      <c r="BO3" s="438"/>
      <c r="BP3" s="438"/>
      <c r="BQ3" s="280"/>
    </row>
    <row r="4" spans="1:69" ht="22.5" customHeight="1">
      <c r="A4" s="138">
        <v>1</v>
      </c>
      <c r="B4" s="131">
        <v>24250058</v>
      </c>
      <c r="C4" s="120" t="s">
        <v>404</v>
      </c>
      <c r="D4" s="121">
        <f t="shared" ref="D4:D31" si="0">ROUND(IF(AM4=0,0,MIN(MAX(AM4,40),99)),0)</f>
        <v>98</v>
      </c>
      <c r="E4" s="121">
        <f t="shared" ref="E4:E31" si="1">ROUND(IF(AN4=0,0,MIN(MAX(AN4,40),99)),0)</f>
        <v>94</v>
      </c>
      <c r="F4" s="121">
        <f t="shared" ref="F4:F31" si="2">ROUND(IF(AO4=0,0,MIN(MAX(AO4,40),99)),0)</f>
        <v>98</v>
      </c>
      <c r="G4" s="121">
        <f t="shared" ref="G4:G31" si="3">ROUND(IF(AP4=0,0,MIN(MAX(AP4,40),99)),0)</f>
        <v>99</v>
      </c>
      <c r="H4" s="121">
        <f t="shared" ref="H4:H31" si="4">ROUND(IF(AQ4=0,0,MIN(MAX(AQ4,40),99)),0)</f>
        <v>90</v>
      </c>
      <c r="I4" s="121">
        <f t="shared" ref="I4:I31" si="5">ROUND(IF(AR4=0,0,MIN(MAX(AR4,40),99)),0)</f>
        <v>98</v>
      </c>
      <c r="J4" s="121">
        <f t="shared" ref="J4:J31" si="6">ROUND(IF(AS4=0,0,MIN(MAX(AS4,40),99)),0)</f>
        <v>93</v>
      </c>
      <c r="K4" s="121">
        <f t="shared" ref="K4:K31" si="7">ROUND(IF(AT4=0,0,MIN(MAX(AT4,40),99)),0)</f>
        <v>90</v>
      </c>
      <c r="L4" s="121">
        <f t="shared" ref="L4:L31" si="8">ROUND(IF(AU4=0,0,MIN(MAX(AU4,40),99)),0)</f>
        <v>96</v>
      </c>
      <c r="M4" s="121">
        <f t="shared" ref="M4:M31" si="9">ROUND(IF(AV4=0,0,MIN(MAX(AV4,40),99)),0)</f>
        <v>99</v>
      </c>
      <c r="N4" s="122">
        <f t="shared" ref="N4:N31" si="10">ROUND(IF(AW4=0,0,MIN(MAX(AW4,40),99)),0)</f>
        <v>99</v>
      </c>
      <c r="O4" s="122">
        <f t="shared" ref="O4:O31" si="11">ROUND(IF(AX4=0,0,MIN(MAX(AX4,40),99)),0)</f>
        <v>95</v>
      </c>
      <c r="P4" s="122">
        <f t="shared" ref="P4:P31" si="12">ROUND(IF(AY4=0,0,MIN(MAX(AY4,40),99)),0)</f>
        <v>99</v>
      </c>
      <c r="Q4" s="122">
        <f t="shared" ref="Q4:Q31" si="13">ROUND(IF(AZ4=0,0,MIN(MAX(AZ4,40),99)),0)</f>
        <v>85</v>
      </c>
      <c r="R4" s="122">
        <f t="shared" ref="R4:R31" si="14">ROUND(IF(BA4=0,0,MIN(MAX(BA4,40),99)),0)</f>
        <v>90</v>
      </c>
      <c r="S4" s="241">
        <f t="shared" ref="S4:S31" si="15">ROUND(IF(BB4=0,0,MIN(MAX(BB4,40),99)),0)</f>
        <v>90</v>
      </c>
      <c r="T4" s="241">
        <f t="shared" ref="T4:T31" si="16">ROUND(IF(BC4=0,0,MIN(MAX(BC4,40),99)),0)</f>
        <v>93</v>
      </c>
      <c r="U4" s="241">
        <f t="shared" ref="U4:U31" si="17">ROUND(IF(BD4=0,0,MIN(MAX(BD4,40),99)),0)</f>
        <v>65</v>
      </c>
      <c r="V4" s="241">
        <f t="shared" ref="V4:V31" si="18">ROUND(IF(BE4=0,0,MIN(MAX(BE4,40),99)),0)</f>
        <v>80</v>
      </c>
      <c r="W4" s="241">
        <f t="shared" ref="W4:W31" si="19">ROUND(IF(BF4=0,0,MIN(MAX(BF4,40),99)),0)</f>
        <v>83</v>
      </c>
      <c r="X4" s="241">
        <f t="shared" ref="X4:X31" si="20">ROUND(IF(BG4=0,0,MIN(MAX(BG4,40),99)),0)</f>
        <v>95</v>
      </c>
      <c r="Y4" s="123">
        <f t="shared" ref="Y4:Y31" si="21">SUM(D4:R4)</f>
        <v>1423</v>
      </c>
      <c r="Z4" s="124">
        <f t="shared" ref="Z4:Z31" si="22">AVERAGE(D4:R4)</f>
        <v>94.86666666666666</v>
      </c>
      <c r="AA4" s="125">
        <f t="shared" ref="AA4:AA31" si="23">RANK(Y4,$Y$2:$Y$31)</f>
        <v>1</v>
      </c>
      <c r="AB4" s="126" t="s">
        <v>806</v>
      </c>
      <c r="AC4" s="126" t="s">
        <v>806</v>
      </c>
      <c r="AD4" s="126" t="s">
        <v>806</v>
      </c>
      <c r="AE4" s="127">
        <v>24</v>
      </c>
      <c r="AF4" s="127">
        <v>0</v>
      </c>
      <c r="AG4" s="127">
        <v>3</v>
      </c>
      <c r="AH4" s="128"/>
      <c r="AJ4" s="93">
        <v>9</v>
      </c>
      <c r="AK4" s="131">
        <v>24250058</v>
      </c>
      <c r="AL4" s="120" t="s">
        <v>404</v>
      </c>
      <c r="AM4" s="129">
        <v>98</v>
      </c>
      <c r="AN4" s="129">
        <v>93.5</v>
      </c>
      <c r="AO4" s="129">
        <v>97.5</v>
      </c>
      <c r="AP4" s="129">
        <v>98.5</v>
      </c>
      <c r="AQ4" s="129">
        <v>90</v>
      </c>
      <c r="AR4" s="129">
        <v>98.1</v>
      </c>
      <c r="AS4" s="129">
        <v>92.5</v>
      </c>
      <c r="AT4" s="129">
        <v>90</v>
      </c>
      <c r="AU4" s="129">
        <v>96.4</v>
      </c>
      <c r="AV4" s="129">
        <v>99.7</v>
      </c>
      <c r="AW4" s="130">
        <v>100</v>
      </c>
      <c r="AX4" s="130">
        <v>95</v>
      </c>
      <c r="AY4" s="130">
        <v>99</v>
      </c>
      <c r="AZ4" s="130">
        <v>85</v>
      </c>
      <c r="BA4" s="130">
        <v>90</v>
      </c>
      <c r="BB4" s="243">
        <v>90</v>
      </c>
      <c r="BC4" s="243">
        <v>92.5</v>
      </c>
      <c r="BD4" s="243">
        <v>65</v>
      </c>
      <c r="BE4" s="243">
        <v>80</v>
      </c>
      <c r="BF4" s="243">
        <v>82.5</v>
      </c>
      <c r="BG4" s="243">
        <v>95</v>
      </c>
      <c r="BH4" s="123">
        <f t="shared" ref="BH4:BH24" si="24">SUM(AM4:BA4)</f>
        <v>1423.2</v>
      </c>
      <c r="BI4" s="124">
        <f t="shared" ref="BI4:BI24" si="25">AVERAGE(AM4:BA4)</f>
        <v>94.88000000000001</v>
      </c>
      <c r="BJ4" s="125" t="e">
        <f t="shared" ref="BJ4:BJ24" si="26">RANK(BH4,$Y$2:$Y$27)</f>
        <v>#N/A</v>
      </c>
      <c r="BK4" s="126"/>
      <c r="BL4" s="126"/>
      <c r="BM4" s="126"/>
      <c r="BN4" s="127"/>
      <c r="BO4" s="127"/>
      <c r="BP4" s="127"/>
      <c r="BQ4" s="128"/>
    </row>
    <row r="5" spans="1:69" ht="22.5" customHeight="1">
      <c r="A5" s="138">
        <v>2</v>
      </c>
      <c r="B5" s="131">
        <v>24250130</v>
      </c>
      <c r="C5" s="120" t="s">
        <v>673</v>
      </c>
      <c r="D5" s="121">
        <f t="shared" si="0"/>
        <v>96</v>
      </c>
      <c r="E5" s="121">
        <f t="shared" si="1"/>
        <v>91</v>
      </c>
      <c r="F5" s="121">
        <f t="shared" si="2"/>
        <v>99</v>
      </c>
      <c r="G5" s="121">
        <f t="shared" si="3"/>
        <v>93</v>
      </c>
      <c r="H5" s="121">
        <f t="shared" si="4"/>
        <v>93</v>
      </c>
      <c r="I5" s="121">
        <f t="shared" si="5"/>
        <v>97</v>
      </c>
      <c r="J5" s="121">
        <f t="shared" si="6"/>
        <v>93</v>
      </c>
      <c r="K5" s="121">
        <f t="shared" si="7"/>
        <v>90</v>
      </c>
      <c r="L5" s="121">
        <f t="shared" si="8"/>
        <v>91</v>
      </c>
      <c r="M5" s="121">
        <f t="shared" si="9"/>
        <v>99</v>
      </c>
      <c r="N5" s="122">
        <f t="shared" si="10"/>
        <v>97</v>
      </c>
      <c r="O5" s="122">
        <f t="shared" si="11"/>
        <v>95</v>
      </c>
      <c r="P5" s="122">
        <f t="shared" si="12"/>
        <v>99</v>
      </c>
      <c r="Q5" s="122">
        <f t="shared" si="13"/>
        <v>85</v>
      </c>
      <c r="R5" s="122">
        <f t="shared" si="14"/>
        <v>90</v>
      </c>
      <c r="S5" s="241">
        <f t="shared" si="15"/>
        <v>70</v>
      </c>
      <c r="T5" s="241">
        <f t="shared" si="16"/>
        <v>99</v>
      </c>
      <c r="U5" s="241">
        <f t="shared" si="17"/>
        <v>68</v>
      </c>
      <c r="V5" s="241">
        <f t="shared" si="18"/>
        <v>65</v>
      </c>
      <c r="W5" s="241">
        <f t="shared" si="19"/>
        <v>83</v>
      </c>
      <c r="X5" s="241">
        <f t="shared" si="20"/>
        <v>88</v>
      </c>
      <c r="Y5" s="123">
        <f t="shared" si="21"/>
        <v>1408</v>
      </c>
      <c r="Z5" s="124">
        <f t="shared" si="22"/>
        <v>93.86666666666666</v>
      </c>
      <c r="AA5" s="125">
        <f t="shared" si="23"/>
        <v>2</v>
      </c>
      <c r="AB5" s="126" t="s">
        <v>806</v>
      </c>
      <c r="AC5" s="126" t="s">
        <v>806</v>
      </c>
      <c r="AD5" s="126" t="s">
        <v>806</v>
      </c>
      <c r="AE5" s="127">
        <v>0</v>
      </c>
      <c r="AF5" s="127">
        <v>0</v>
      </c>
      <c r="AG5" s="127">
        <v>0</v>
      </c>
      <c r="AH5" s="128"/>
      <c r="AJ5" s="93">
        <v>18</v>
      </c>
      <c r="AK5" s="131">
        <v>24250130</v>
      </c>
      <c r="AL5" s="120" t="s">
        <v>673</v>
      </c>
      <c r="AM5" s="129">
        <v>96.199999999999989</v>
      </c>
      <c r="AN5" s="129">
        <v>91</v>
      </c>
      <c r="AO5" s="129">
        <v>99.5</v>
      </c>
      <c r="AP5" s="129">
        <v>93</v>
      </c>
      <c r="AQ5" s="132">
        <v>93</v>
      </c>
      <c r="AR5" s="129">
        <v>96.6</v>
      </c>
      <c r="AS5" s="129">
        <v>93</v>
      </c>
      <c r="AT5" s="129">
        <v>89.5</v>
      </c>
      <c r="AU5" s="129">
        <v>91.3</v>
      </c>
      <c r="AV5" s="129">
        <v>99.3</v>
      </c>
      <c r="AW5" s="130">
        <v>97</v>
      </c>
      <c r="AX5" s="130">
        <v>95</v>
      </c>
      <c r="AY5" s="130">
        <v>99</v>
      </c>
      <c r="AZ5" s="130">
        <v>85</v>
      </c>
      <c r="BA5" s="130">
        <v>90</v>
      </c>
      <c r="BB5" s="243">
        <v>70</v>
      </c>
      <c r="BC5" s="243">
        <v>100</v>
      </c>
      <c r="BD5" s="243">
        <v>67.5</v>
      </c>
      <c r="BE5" s="243">
        <v>65</v>
      </c>
      <c r="BF5" s="243">
        <v>82.5</v>
      </c>
      <c r="BG5" s="243">
        <v>87.5</v>
      </c>
      <c r="BH5" s="123">
        <f t="shared" si="24"/>
        <v>1408.3999999999999</v>
      </c>
      <c r="BI5" s="124">
        <f t="shared" si="25"/>
        <v>93.893333333333331</v>
      </c>
      <c r="BJ5" s="125" t="e">
        <f t="shared" si="26"/>
        <v>#N/A</v>
      </c>
      <c r="BK5" s="126"/>
      <c r="BL5" s="126"/>
      <c r="BM5" s="126"/>
      <c r="BN5" s="127"/>
      <c r="BO5" s="127"/>
      <c r="BP5" s="127"/>
      <c r="BQ5" s="128"/>
    </row>
    <row r="6" spans="1:69" ht="22.5" customHeight="1">
      <c r="A6" s="138">
        <v>3</v>
      </c>
      <c r="B6" s="134">
        <v>24250011</v>
      </c>
      <c r="C6" s="120" t="s">
        <v>411</v>
      </c>
      <c r="D6" s="121">
        <f t="shared" si="0"/>
        <v>96</v>
      </c>
      <c r="E6" s="121">
        <f t="shared" si="1"/>
        <v>80</v>
      </c>
      <c r="F6" s="121">
        <f t="shared" si="2"/>
        <v>95</v>
      </c>
      <c r="G6" s="121">
        <f t="shared" si="3"/>
        <v>65</v>
      </c>
      <c r="H6" s="121">
        <f t="shared" si="4"/>
        <v>88</v>
      </c>
      <c r="I6" s="121">
        <f t="shared" si="5"/>
        <v>86</v>
      </c>
      <c r="J6" s="121">
        <f t="shared" si="6"/>
        <v>91</v>
      </c>
      <c r="K6" s="121">
        <f t="shared" si="7"/>
        <v>83</v>
      </c>
      <c r="L6" s="121">
        <f t="shared" si="8"/>
        <v>97</v>
      </c>
      <c r="M6" s="121">
        <f t="shared" si="9"/>
        <v>98</v>
      </c>
      <c r="N6" s="122">
        <f t="shared" si="10"/>
        <v>99</v>
      </c>
      <c r="O6" s="122">
        <f t="shared" si="11"/>
        <v>95</v>
      </c>
      <c r="P6" s="122">
        <f t="shared" si="12"/>
        <v>99</v>
      </c>
      <c r="Q6" s="122">
        <f t="shared" si="13"/>
        <v>80</v>
      </c>
      <c r="R6" s="122">
        <f t="shared" si="14"/>
        <v>85</v>
      </c>
      <c r="S6" s="241">
        <f t="shared" si="15"/>
        <v>83</v>
      </c>
      <c r="T6" s="241">
        <f t="shared" si="16"/>
        <v>99</v>
      </c>
      <c r="U6" s="241">
        <f t="shared" si="17"/>
        <v>65</v>
      </c>
      <c r="V6" s="241">
        <f t="shared" si="18"/>
        <v>83</v>
      </c>
      <c r="W6" s="241">
        <f t="shared" si="19"/>
        <v>83</v>
      </c>
      <c r="X6" s="241">
        <f t="shared" si="20"/>
        <v>78</v>
      </c>
      <c r="Y6" s="123">
        <f t="shared" si="21"/>
        <v>1337</v>
      </c>
      <c r="Z6" s="124">
        <f t="shared" si="22"/>
        <v>89.13333333333334</v>
      </c>
      <c r="AA6" s="125">
        <f t="shared" si="23"/>
        <v>3</v>
      </c>
      <c r="AB6" s="126" t="s">
        <v>806</v>
      </c>
      <c r="AC6" s="126" t="s">
        <v>806</v>
      </c>
      <c r="AD6" s="126" t="s">
        <v>806</v>
      </c>
      <c r="AE6" s="127">
        <v>4</v>
      </c>
      <c r="AF6" s="127">
        <v>0</v>
      </c>
      <c r="AG6" s="127">
        <v>2</v>
      </c>
      <c r="AH6" s="128"/>
      <c r="AJ6" s="93">
        <v>22</v>
      </c>
      <c r="AK6" s="134">
        <v>24250011</v>
      </c>
      <c r="AL6" s="120" t="s">
        <v>411</v>
      </c>
      <c r="AM6" s="129">
        <v>96.199999999999989</v>
      </c>
      <c r="AN6" s="129">
        <v>80</v>
      </c>
      <c r="AO6" s="129">
        <v>94.5</v>
      </c>
      <c r="AP6" s="129">
        <v>65</v>
      </c>
      <c r="AQ6" s="129">
        <v>87.5</v>
      </c>
      <c r="AR6" s="129">
        <v>86.1</v>
      </c>
      <c r="AS6" s="129">
        <v>90.5</v>
      </c>
      <c r="AT6" s="129">
        <v>82.5</v>
      </c>
      <c r="AU6" s="129">
        <v>96.7</v>
      </c>
      <c r="AV6" s="129">
        <v>97.8</v>
      </c>
      <c r="AW6" s="130">
        <v>100</v>
      </c>
      <c r="AX6" s="130">
        <v>95</v>
      </c>
      <c r="AY6" s="130">
        <v>99</v>
      </c>
      <c r="AZ6" s="130">
        <v>80</v>
      </c>
      <c r="BA6" s="130">
        <v>85</v>
      </c>
      <c r="BB6" s="243">
        <v>82.5</v>
      </c>
      <c r="BC6" s="243">
        <v>100</v>
      </c>
      <c r="BD6" s="243">
        <v>65</v>
      </c>
      <c r="BE6" s="243">
        <v>82.5</v>
      </c>
      <c r="BF6" s="243">
        <v>82.5</v>
      </c>
      <c r="BG6" s="243">
        <v>77.5</v>
      </c>
      <c r="BH6" s="123">
        <f t="shared" si="24"/>
        <v>1335.8</v>
      </c>
      <c r="BI6" s="124">
        <f t="shared" si="25"/>
        <v>89.053333333333327</v>
      </c>
      <c r="BJ6" s="125" t="e">
        <f t="shared" si="26"/>
        <v>#N/A</v>
      </c>
      <c r="BK6" s="126"/>
      <c r="BL6" s="126"/>
      <c r="BM6" s="126"/>
      <c r="BN6" s="127"/>
      <c r="BO6" s="127"/>
      <c r="BP6" s="127"/>
      <c r="BQ6" s="128"/>
    </row>
    <row r="7" spans="1:69" ht="22.5" customHeight="1">
      <c r="A7" s="138">
        <v>4</v>
      </c>
      <c r="B7" s="119">
        <v>24250127</v>
      </c>
      <c r="C7" s="120" t="s">
        <v>674</v>
      </c>
      <c r="D7" s="121">
        <f t="shared" si="0"/>
        <v>92</v>
      </c>
      <c r="E7" s="121">
        <f t="shared" si="1"/>
        <v>82</v>
      </c>
      <c r="F7" s="121">
        <f t="shared" si="2"/>
        <v>99</v>
      </c>
      <c r="G7" s="121">
        <f t="shared" si="3"/>
        <v>65</v>
      </c>
      <c r="H7" s="121">
        <f t="shared" si="4"/>
        <v>78</v>
      </c>
      <c r="I7" s="121">
        <f t="shared" si="5"/>
        <v>89</v>
      </c>
      <c r="J7" s="121">
        <f t="shared" si="6"/>
        <v>90</v>
      </c>
      <c r="K7" s="121">
        <f t="shared" si="7"/>
        <v>82</v>
      </c>
      <c r="L7" s="121">
        <f t="shared" si="8"/>
        <v>91</v>
      </c>
      <c r="M7" s="121">
        <f t="shared" si="9"/>
        <v>97</v>
      </c>
      <c r="N7" s="122">
        <f t="shared" si="10"/>
        <v>99</v>
      </c>
      <c r="O7" s="122">
        <f t="shared" si="11"/>
        <v>95</v>
      </c>
      <c r="P7" s="122">
        <f t="shared" si="12"/>
        <v>99</v>
      </c>
      <c r="Q7" s="122">
        <f t="shared" si="13"/>
        <v>85</v>
      </c>
      <c r="R7" s="122">
        <f t="shared" si="14"/>
        <v>90</v>
      </c>
      <c r="S7" s="241">
        <f t="shared" si="15"/>
        <v>88</v>
      </c>
      <c r="T7" s="241">
        <f t="shared" si="16"/>
        <v>90</v>
      </c>
      <c r="U7" s="241">
        <f t="shared" si="17"/>
        <v>73</v>
      </c>
      <c r="V7" s="241">
        <f t="shared" si="18"/>
        <v>65</v>
      </c>
      <c r="W7" s="241">
        <f t="shared" si="19"/>
        <v>88</v>
      </c>
      <c r="X7" s="241">
        <f t="shared" si="20"/>
        <v>85</v>
      </c>
      <c r="Y7" s="123">
        <f t="shared" si="21"/>
        <v>1333</v>
      </c>
      <c r="Z7" s="124">
        <f t="shared" si="22"/>
        <v>88.86666666666666</v>
      </c>
      <c r="AA7" s="125">
        <f t="shared" si="23"/>
        <v>4</v>
      </c>
      <c r="AB7" s="126" t="s">
        <v>806</v>
      </c>
      <c r="AC7" s="126" t="s">
        <v>806</v>
      </c>
      <c r="AD7" s="126" t="s">
        <v>806</v>
      </c>
      <c r="AE7" s="127">
        <v>39</v>
      </c>
      <c r="AF7" s="127">
        <v>0</v>
      </c>
      <c r="AG7" s="127">
        <v>0</v>
      </c>
      <c r="AH7" s="128"/>
      <c r="AJ7" s="93">
        <v>19</v>
      </c>
      <c r="AK7" s="119">
        <v>24250127</v>
      </c>
      <c r="AL7" s="120" t="s">
        <v>674</v>
      </c>
      <c r="AM7" s="129">
        <v>92</v>
      </c>
      <c r="AN7" s="129">
        <v>81.5</v>
      </c>
      <c r="AO7" s="129">
        <v>99.5</v>
      </c>
      <c r="AP7" s="129">
        <v>64.5</v>
      </c>
      <c r="AQ7" s="129">
        <v>77.5</v>
      </c>
      <c r="AR7" s="129">
        <v>89.199999999999989</v>
      </c>
      <c r="AS7" s="129">
        <v>89.5</v>
      </c>
      <c r="AT7" s="129">
        <v>81.5</v>
      </c>
      <c r="AU7" s="129">
        <v>91.4</v>
      </c>
      <c r="AV7" s="129">
        <v>97</v>
      </c>
      <c r="AW7" s="130">
        <v>100</v>
      </c>
      <c r="AX7" s="130">
        <v>95</v>
      </c>
      <c r="AY7" s="130">
        <v>99</v>
      </c>
      <c r="AZ7" s="130">
        <v>85</v>
      </c>
      <c r="BA7" s="130">
        <v>90</v>
      </c>
      <c r="BB7" s="243">
        <v>87.5</v>
      </c>
      <c r="BC7" s="243">
        <v>90</v>
      </c>
      <c r="BD7" s="243">
        <v>72.5</v>
      </c>
      <c r="BE7" s="243">
        <v>65</v>
      </c>
      <c r="BF7" s="243">
        <v>87.5</v>
      </c>
      <c r="BG7" s="243">
        <v>85</v>
      </c>
      <c r="BH7" s="123">
        <f t="shared" si="24"/>
        <v>1332.6</v>
      </c>
      <c r="BI7" s="124">
        <f t="shared" si="25"/>
        <v>88.839999999999989</v>
      </c>
      <c r="BJ7" s="125" t="e">
        <f t="shared" si="26"/>
        <v>#N/A</v>
      </c>
      <c r="BK7" s="126"/>
      <c r="BL7" s="126"/>
      <c r="BM7" s="126"/>
      <c r="BN7" s="127"/>
      <c r="BO7" s="127"/>
      <c r="BP7" s="127"/>
      <c r="BQ7" s="128"/>
    </row>
    <row r="8" spans="1:69" ht="22.5" customHeight="1">
      <c r="A8" s="138">
        <v>5</v>
      </c>
      <c r="B8" s="119">
        <v>24250098</v>
      </c>
      <c r="C8" s="120" t="s">
        <v>675</v>
      </c>
      <c r="D8" s="121">
        <f t="shared" si="0"/>
        <v>86</v>
      </c>
      <c r="E8" s="121">
        <f t="shared" si="1"/>
        <v>82</v>
      </c>
      <c r="F8" s="121">
        <f t="shared" si="2"/>
        <v>96</v>
      </c>
      <c r="G8" s="121">
        <f t="shared" si="3"/>
        <v>75</v>
      </c>
      <c r="H8" s="121">
        <f t="shared" si="4"/>
        <v>72</v>
      </c>
      <c r="I8" s="121">
        <f t="shared" si="5"/>
        <v>93</v>
      </c>
      <c r="J8" s="121">
        <f t="shared" si="6"/>
        <v>90</v>
      </c>
      <c r="K8" s="121">
        <f t="shared" si="7"/>
        <v>82</v>
      </c>
      <c r="L8" s="121">
        <f t="shared" si="8"/>
        <v>91</v>
      </c>
      <c r="M8" s="121">
        <f t="shared" si="9"/>
        <v>85</v>
      </c>
      <c r="N8" s="122">
        <f t="shared" si="10"/>
        <v>99</v>
      </c>
      <c r="O8" s="122">
        <f t="shared" si="11"/>
        <v>95</v>
      </c>
      <c r="P8" s="122">
        <f t="shared" si="12"/>
        <v>99</v>
      </c>
      <c r="Q8" s="122">
        <f t="shared" si="13"/>
        <v>85</v>
      </c>
      <c r="R8" s="122">
        <f t="shared" si="14"/>
        <v>90</v>
      </c>
      <c r="S8" s="241">
        <f t="shared" si="15"/>
        <v>70</v>
      </c>
      <c r="T8" s="241">
        <f t="shared" si="16"/>
        <v>63</v>
      </c>
      <c r="U8" s="241">
        <f t="shared" si="17"/>
        <v>63</v>
      </c>
      <c r="V8" s="241">
        <f t="shared" si="18"/>
        <v>63</v>
      </c>
      <c r="W8" s="241">
        <f t="shared" si="19"/>
        <v>93</v>
      </c>
      <c r="X8" s="241">
        <f t="shared" si="20"/>
        <v>70</v>
      </c>
      <c r="Y8" s="123">
        <f t="shared" si="21"/>
        <v>1320</v>
      </c>
      <c r="Z8" s="124">
        <f t="shared" si="22"/>
        <v>88</v>
      </c>
      <c r="AA8" s="125">
        <f t="shared" si="23"/>
        <v>5</v>
      </c>
      <c r="AB8" s="126" t="s">
        <v>806</v>
      </c>
      <c r="AC8" s="126" t="s">
        <v>806</v>
      </c>
      <c r="AD8" s="126" t="s">
        <v>806</v>
      </c>
      <c r="AE8" s="127">
        <v>50</v>
      </c>
      <c r="AF8" s="127">
        <v>87</v>
      </c>
      <c r="AG8" s="127">
        <v>15</v>
      </c>
      <c r="AH8" s="128"/>
      <c r="AJ8" s="93">
        <v>20</v>
      </c>
      <c r="AK8" s="119">
        <v>24250098</v>
      </c>
      <c r="AL8" s="120" t="s">
        <v>675</v>
      </c>
      <c r="AM8" s="129">
        <v>86</v>
      </c>
      <c r="AN8" s="129">
        <v>81.5</v>
      </c>
      <c r="AO8" s="129">
        <v>95.5</v>
      </c>
      <c r="AP8" s="129">
        <v>75.199999999999989</v>
      </c>
      <c r="AQ8" s="129">
        <v>71.5</v>
      </c>
      <c r="AR8" s="129">
        <v>93.3</v>
      </c>
      <c r="AS8" s="132">
        <v>89.5</v>
      </c>
      <c r="AT8" s="129">
        <v>81.5</v>
      </c>
      <c r="AU8" s="129">
        <v>91.2</v>
      </c>
      <c r="AV8" s="132">
        <v>84.9</v>
      </c>
      <c r="AW8" s="130">
        <v>100</v>
      </c>
      <c r="AX8" s="130">
        <v>95</v>
      </c>
      <c r="AY8" s="130">
        <v>99</v>
      </c>
      <c r="AZ8" s="130">
        <v>85</v>
      </c>
      <c r="BA8" s="130">
        <v>90</v>
      </c>
      <c r="BB8" s="243">
        <v>70</v>
      </c>
      <c r="BC8" s="243">
        <v>62.5</v>
      </c>
      <c r="BD8" s="243">
        <v>62.5</v>
      </c>
      <c r="BE8" s="243">
        <v>62.5</v>
      </c>
      <c r="BF8" s="243">
        <v>92.5</v>
      </c>
      <c r="BG8" s="243">
        <v>70</v>
      </c>
      <c r="BH8" s="123">
        <f t="shared" si="24"/>
        <v>1319.1</v>
      </c>
      <c r="BI8" s="124">
        <f t="shared" si="25"/>
        <v>87.94</v>
      </c>
      <c r="BJ8" s="125" t="e">
        <f t="shared" si="26"/>
        <v>#N/A</v>
      </c>
      <c r="BK8" s="126"/>
      <c r="BL8" s="126"/>
      <c r="BM8" s="126"/>
      <c r="BN8" s="127"/>
      <c r="BO8" s="127"/>
      <c r="BP8" s="127"/>
      <c r="BQ8" s="128"/>
    </row>
    <row r="9" spans="1:69" ht="22.5" customHeight="1">
      <c r="A9" s="138">
        <v>6</v>
      </c>
      <c r="B9" s="131">
        <v>24250044</v>
      </c>
      <c r="C9" s="120" t="s">
        <v>414</v>
      </c>
      <c r="D9" s="121">
        <f t="shared" si="0"/>
        <v>79</v>
      </c>
      <c r="E9" s="121">
        <f t="shared" si="1"/>
        <v>74</v>
      </c>
      <c r="F9" s="121">
        <f t="shared" si="2"/>
        <v>94</v>
      </c>
      <c r="G9" s="121">
        <f t="shared" si="3"/>
        <v>94</v>
      </c>
      <c r="H9" s="121">
        <f t="shared" si="4"/>
        <v>72</v>
      </c>
      <c r="I9" s="121">
        <f t="shared" si="5"/>
        <v>81</v>
      </c>
      <c r="J9" s="121">
        <f t="shared" si="6"/>
        <v>82</v>
      </c>
      <c r="K9" s="121">
        <f t="shared" si="7"/>
        <v>88</v>
      </c>
      <c r="L9" s="121">
        <f t="shared" si="8"/>
        <v>80</v>
      </c>
      <c r="M9" s="121">
        <f t="shared" si="9"/>
        <v>92</v>
      </c>
      <c r="N9" s="122">
        <f t="shared" si="10"/>
        <v>97</v>
      </c>
      <c r="O9" s="122">
        <f t="shared" si="11"/>
        <v>95</v>
      </c>
      <c r="P9" s="122">
        <f t="shared" si="12"/>
        <v>99</v>
      </c>
      <c r="Q9" s="122">
        <f t="shared" si="13"/>
        <v>80</v>
      </c>
      <c r="R9" s="122">
        <f t="shared" si="14"/>
        <v>85</v>
      </c>
      <c r="S9" s="241">
        <f t="shared" si="15"/>
        <v>80</v>
      </c>
      <c r="T9" s="241">
        <f t="shared" si="16"/>
        <v>99</v>
      </c>
      <c r="U9" s="241">
        <f t="shared" si="17"/>
        <v>68</v>
      </c>
      <c r="V9" s="241">
        <f t="shared" si="18"/>
        <v>78</v>
      </c>
      <c r="W9" s="241">
        <f t="shared" si="19"/>
        <v>90</v>
      </c>
      <c r="X9" s="241">
        <f t="shared" si="20"/>
        <v>88</v>
      </c>
      <c r="Y9" s="123">
        <f t="shared" si="21"/>
        <v>1292</v>
      </c>
      <c r="Z9" s="124">
        <f t="shared" si="22"/>
        <v>86.13333333333334</v>
      </c>
      <c r="AA9" s="125">
        <f t="shared" si="23"/>
        <v>6</v>
      </c>
      <c r="AB9" s="126" t="s">
        <v>806</v>
      </c>
      <c r="AC9" s="126" t="s">
        <v>806</v>
      </c>
      <c r="AD9" s="126" t="s">
        <v>806</v>
      </c>
      <c r="AE9" s="127">
        <v>1</v>
      </c>
      <c r="AF9" s="127">
        <v>0</v>
      </c>
      <c r="AG9" s="127">
        <v>1</v>
      </c>
      <c r="AH9" s="128"/>
      <c r="AJ9" s="93">
        <v>11</v>
      </c>
      <c r="AK9" s="131">
        <v>24250044</v>
      </c>
      <c r="AL9" s="120" t="s">
        <v>414</v>
      </c>
      <c r="AM9" s="129">
        <v>79</v>
      </c>
      <c r="AN9" s="129">
        <v>73.5</v>
      </c>
      <c r="AO9" s="129">
        <v>94</v>
      </c>
      <c r="AP9" s="129">
        <v>93.5</v>
      </c>
      <c r="AQ9" s="129">
        <v>71.5</v>
      </c>
      <c r="AR9" s="129">
        <v>81.400000000000006</v>
      </c>
      <c r="AS9" s="129">
        <v>81.5</v>
      </c>
      <c r="AT9" s="129">
        <v>87.5</v>
      </c>
      <c r="AU9" s="129">
        <v>80.400000000000006</v>
      </c>
      <c r="AV9" s="129">
        <v>91.8</v>
      </c>
      <c r="AW9" s="130">
        <v>97</v>
      </c>
      <c r="AX9" s="130">
        <v>95</v>
      </c>
      <c r="AY9" s="130">
        <v>99</v>
      </c>
      <c r="AZ9" s="130">
        <v>80</v>
      </c>
      <c r="BA9" s="130">
        <v>85</v>
      </c>
      <c r="BB9" s="243">
        <v>80</v>
      </c>
      <c r="BC9" s="243">
        <v>100</v>
      </c>
      <c r="BD9" s="243">
        <v>67.5</v>
      </c>
      <c r="BE9" s="243">
        <v>77.5</v>
      </c>
      <c r="BF9" s="243">
        <v>90</v>
      </c>
      <c r="BG9" s="243">
        <v>87.5</v>
      </c>
      <c r="BH9" s="123">
        <f t="shared" si="24"/>
        <v>1290.0999999999999</v>
      </c>
      <c r="BI9" s="124">
        <f t="shared" si="25"/>
        <v>86.006666666666661</v>
      </c>
      <c r="BJ9" s="125" t="e">
        <f t="shared" si="26"/>
        <v>#N/A</v>
      </c>
      <c r="BK9" s="126"/>
      <c r="BL9" s="126"/>
      <c r="BM9" s="126"/>
      <c r="BN9" s="127"/>
      <c r="BO9" s="127"/>
      <c r="BP9" s="127"/>
      <c r="BQ9" s="128"/>
    </row>
    <row r="10" spans="1:69" ht="22.5" customHeight="1">
      <c r="A10" s="138">
        <v>7</v>
      </c>
      <c r="B10" s="131">
        <v>24250004</v>
      </c>
      <c r="C10" s="120" t="s">
        <v>408</v>
      </c>
      <c r="D10" s="121">
        <f t="shared" si="0"/>
        <v>78</v>
      </c>
      <c r="E10" s="121">
        <f t="shared" si="1"/>
        <v>82</v>
      </c>
      <c r="F10" s="121">
        <f t="shared" si="2"/>
        <v>89</v>
      </c>
      <c r="G10" s="121">
        <f t="shared" si="3"/>
        <v>70</v>
      </c>
      <c r="H10" s="121">
        <f t="shared" si="4"/>
        <v>76</v>
      </c>
      <c r="I10" s="121">
        <f t="shared" si="5"/>
        <v>69</v>
      </c>
      <c r="J10" s="121">
        <f t="shared" si="6"/>
        <v>80</v>
      </c>
      <c r="K10" s="121">
        <f t="shared" si="7"/>
        <v>87</v>
      </c>
      <c r="L10" s="121">
        <f t="shared" si="8"/>
        <v>78</v>
      </c>
      <c r="M10" s="121">
        <f t="shared" si="9"/>
        <v>86</v>
      </c>
      <c r="N10" s="122">
        <f t="shared" si="10"/>
        <v>90</v>
      </c>
      <c r="O10" s="122">
        <f t="shared" si="11"/>
        <v>95</v>
      </c>
      <c r="P10" s="122">
        <f t="shared" si="12"/>
        <v>99</v>
      </c>
      <c r="Q10" s="122">
        <f t="shared" si="13"/>
        <v>80</v>
      </c>
      <c r="R10" s="122">
        <f t="shared" si="14"/>
        <v>85</v>
      </c>
      <c r="S10" s="241">
        <f t="shared" si="15"/>
        <v>88</v>
      </c>
      <c r="T10" s="241">
        <f t="shared" si="16"/>
        <v>99</v>
      </c>
      <c r="U10" s="241">
        <f t="shared" si="17"/>
        <v>60</v>
      </c>
      <c r="V10" s="241">
        <f t="shared" si="18"/>
        <v>78</v>
      </c>
      <c r="W10" s="241">
        <f t="shared" si="19"/>
        <v>90</v>
      </c>
      <c r="X10" s="241">
        <f t="shared" si="20"/>
        <v>90</v>
      </c>
      <c r="Y10" s="123">
        <f t="shared" si="21"/>
        <v>1244</v>
      </c>
      <c r="Z10" s="124">
        <f t="shared" si="22"/>
        <v>82.933333333333337</v>
      </c>
      <c r="AA10" s="125">
        <f t="shared" si="23"/>
        <v>7</v>
      </c>
      <c r="AB10" s="126" t="s">
        <v>806</v>
      </c>
      <c r="AC10" s="126" t="s">
        <v>806</v>
      </c>
      <c r="AD10" s="126" t="s">
        <v>806</v>
      </c>
      <c r="AE10" s="127">
        <v>21</v>
      </c>
      <c r="AF10" s="127">
        <v>0</v>
      </c>
      <c r="AG10" s="127">
        <v>0</v>
      </c>
      <c r="AH10" s="128"/>
      <c r="AJ10" s="93">
        <v>21</v>
      </c>
      <c r="AK10" s="131">
        <v>24250004</v>
      </c>
      <c r="AL10" s="120" t="s">
        <v>408</v>
      </c>
      <c r="AM10" s="129">
        <v>78</v>
      </c>
      <c r="AN10" s="129">
        <v>82</v>
      </c>
      <c r="AO10" s="129">
        <v>89</v>
      </c>
      <c r="AP10" s="129">
        <v>70</v>
      </c>
      <c r="AQ10" s="129">
        <v>75.5</v>
      </c>
      <c r="AR10" s="129">
        <v>68.5</v>
      </c>
      <c r="AS10" s="129">
        <v>80</v>
      </c>
      <c r="AT10" s="129">
        <v>86.5</v>
      </c>
      <c r="AU10" s="129">
        <v>77.8</v>
      </c>
      <c r="AV10" s="129">
        <v>86.4</v>
      </c>
      <c r="AW10" s="130">
        <v>90</v>
      </c>
      <c r="AX10" s="130">
        <v>95</v>
      </c>
      <c r="AY10" s="130">
        <v>99</v>
      </c>
      <c r="AZ10" s="130">
        <v>80</v>
      </c>
      <c r="BA10" s="130">
        <v>85</v>
      </c>
      <c r="BB10" s="243">
        <v>87.5</v>
      </c>
      <c r="BC10" s="243">
        <v>100</v>
      </c>
      <c r="BD10" s="243">
        <v>60</v>
      </c>
      <c r="BE10" s="243">
        <v>77.5</v>
      </c>
      <c r="BF10" s="243">
        <v>90</v>
      </c>
      <c r="BG10" s="243">
        <v>90</v>
      </c>
      <c r="BH10" s="123">
        <f t="shared" si="24"/>
        <v>1242.6999999999998</v>
      </c>
      <c r="BI10" s="124">
        <f t="shared" si="25"/>
        <v>82.84666666666665</v>
      </c>
      <c r="BJ10" s="125" t="e">
        <f t="shared" si="26"/>
        <v>#N/A</v>
      </c>
      <c r="BK10" s="126"/>
      <c r="BL10" s="126"/>
      <c r="BM10" s="126"/>
      <c r="BN10" s="127"/>
      <c r="BO10" s="127"/>
      <c r="BP10" s="127"/>
      <c r="BQ10" s="128"/>
    </row>
    <row r="11" spans="1:69" ht="22.5" customHeight="1">
      <c r="A11" s="138">
        <v>8</v>
      </c>
      <c r="B11" s="131">
        <v>24250051</v>
      </c>
      <c r="C11" s="120" t="s">
        <v>417</v>
      </c>
      <c r="D11" s="121">
        <f t="shared" si="0"/>
        <v>85</v>
      </c>
      <c r="E11" s="121">
        <f t="shared" si="1"/>
        <v>87</v>
      </c>
      <c r="F11" s="121">
        <f t="shared" si="2"/>
        <v>74</v>
      </c>
      <c r="G11" s="121">
        <f t="shared" si="3"/>
        <v>66</v>
      </c>
      <c r="H11" s="121">
        <f t="shared" si="4"/>
        <v>73</v>
      </c>
      <c r="I11" s="121">
        <f t="shared" si="5"/>
        <v>89</v>
      </c>
      <c r="J11" s="121">
        <f t="shared" si="6"/>
        <v>81</v>
      </c>
      <c r="K11" s="121">
        <f t="shared" si="7"/>
        <v>82</v>
      </c>
      <c r="L11" s="121">
        <f t="shared" si="8"/>
        <v>70</v>
      </c>
      <c r="M11" s="121">
        <f t="shared" si="9"/>
        <v>80</v>
      </c>
      <c r="N11" s="122">
        <f t="shared" si="10"/>
        <v>89</v>
      </c>
      <c r="O11" s="122">
        <f t="shared" si="11"/>
        <v>95</v>
      </c>
      <c r="P11" s="122">
        <f t="shared" si="12"/>
        <v>99</v>
      </c>
      <c r="Q11" s="122">
        <f t="shared" si="13"/>
        <v>80</v>
      </c>
      <c r="R11" s="122">
        <f t="shared" si="14"/>
        <v>85</v>
      </c>
      <c r="S11" s="241">
        <f t="shared" si="15"/>
        <v>88</v>
      </c>
      <c r="T11" s="241">
        <f t="shared" si="16"/>
        <v>98</v>
      </c>
      <c r="U11" s="241">
        <f t="shared" si="17"/>
        <v>65</v>
      </c>
      <c r="V11" s="241">
        <f t="shared" si="18"/>
        <v>78</v>
      </c>
      <c r="W11" s="241">
        <f t="shared" si="19"/>
        <v>93</v>
      </c>
      <c r="X11" s="241">
        <f t="shared" si="20"/>
        <v>83</v>
      </c>
      <c r="Y11" s="123">
        <f t="shared" si="21"/>
        <v>1235</v>
      </c>
      <c r="Z11" s="124">
        <f t="shared" si="22"/>
        <v>82.333333333333329</v>
      </c>
      <c r="AA11" s="125">
        <f t="shared" si="23"/>
        <v>8</v>
      </c>
      <c r="AB11" s="126" t="s">
        <v>806</v>
      </c>
      <c r="AC11" s="126" t="s">
        <v>806</v>
      </c>
      <c r="AD11" s="126" t="s">
        <v>806</v>
      </c>
      <c r="AE11" s="127">
        <v>18</v>
      </c>
      <c r="AF11" s="127">
        <v>50</v>
      </c>
      <c r="AG11" s="127">
        <v>140</v>
      </c>
      <c r="AH11" s="128"/>
      <c r="AJ11" s="93">
        <v>5</v>
      </c>
      <c r="AK11" s="131">
        <v>24250051</v>
      </c>
      <c r="AL11" s="120" t="s">
        <v>417</v>
      </c>
      <c r="AM11" s="129">
        <v>84.5</v>
      </c>
      <c r="AN11" s="129">
        <v>86.5</v>
      </c>
      <c r="AO11" s="129">
        <v>73.5</v>
      </c>
      <c r="AP11" s="129">
        <v>66</v>
      </c>
      <c r="AQ11" s="129">
        <v>72.5</v>
      </c>
      <c r="AR11" s="129">
        <v>89.2</v>
      </c>
      <c r="AS11" s="129">
        <v>80.5</v>
      </c>
      <c r="AT11" s="129">
        <v>82</v>
      </c>
      <c r="AU11" s="129">
        <v>69.5</v>
      </c>
      <c r="AV11" s="129">
        <v>80</v>
      </c>
      <c r="AW11" s="130">
        <v>89</v>
      </c>
      <c r="AX11" s="130">
        <v>95</v>
      </c>
      <c r="AY11" s="130">
        <v>99</v>
      </c>
      <c r="AZ11" s="130">
        <v>80</v>
      </c>
      <c r="BA11" s="130">
        <v>85</v>
      </c>
      <c r="BB11" s="243">
        <v>87.5</v>
      </c>
      <c r="BC11" s="243">
        <v>97.5</v>
      </c>
      <c r="BD11" s="243">
        <v>65</v>
      </c>
      <c r="BE11" s="243">
        <v>77.5</v>
      </c>
      <c r="BF11" s="243">
        <v>92.5</v>
      </c>
      <c r="BG11" s="243">
        <v>82.5</v>
      </c>
      <c r="BH11" s="123">
        <f t="shared" si="24"/>
        <v>1232.2</v>
      </c>
      <c r="BI11" s="124">
        <f t="shared" si="25"/>
        <v>82.146666666666675</v>
      </c>
      <c r="BJ11" s="125" t="e">
        <f t="shared" si="26"/>
        <v>#N/A</v>
      </c>
      <c r="BK11" s="126"/>
      <c r="BL11" s="126"/>
      <c r="BM11" s="126"/>
      <c r="BN11" s="127"/>
      <c r="BO11" s="127"/>
      <c r="BP11" s="127"/>
      <c r="BQ11" s="128"/>
    </row>
    <row r="12" spans="1:69" ht="22.5" customHeight="1">
      <c r="A12" s="138">
        <v>9</v>
      </c>
      <c r="B12" s="131">
        <v>24250089</v>
      </c>
      <c r="C12" s="120" t="s">
        <v>671</v>
      </c>
      <c r="D12" s="121">
        <f t="shared" si="0"/>
        <v>79</v>
      </c>
      <c r="E12" s="121">
        <f t="shared" si="1"/>
        <v>82</v>
      </c>
      <c r="F12" s="121">
        <f t="shared" si="2"/>
        <v>75</v>
      </c>
      <c r="G12" s="121">
        <f t="shared" si="3"/>
        <v>51</v>
      </c>
      <c r="H12" s="121">
        <f t="shared" si="4"/>
        <v>68</v>
      </c>
      <c r="I12" s="121">
        <f t="shared" si="5"/>
        <v>77</v>
      </c>
      <c r="J12" s="121">
        <f t="shared" si="6"/>
        <v>86</v>
      </c>
      <c r="K12" s="121">
        <f t="shared" si="7"/>
        <v>84</v>
      </c>
      <c r="L12" s="121">
        <f t="shared" si="8"/>
        <v>68</v>
      </c>
      <c r="M12" s="121">
        <f t="shared" si="9"/>
        <v>96</v>
      </c>
      <c r="N12" s="122">
        <f t="shared" si="10"/>
        <v>85</v>
      </c>
      <c r="O12" s="122">
        <f t="shared" si="11"/>
        <v>95</v>
      </c>
      <c r="P12" s="122">
        <f t="shared" si="12"/>
        <v>99</v>
      </c>
      <c r="Q12" s="122">
        <f t="shared" si="13"/>
        <v>80</v>
      </c>
      <c r="R12" s="122">
        <f t="shared" si="14"/>
        <v>85</v>
      </c>
      <c r="S12" s="241">
        <f t="shared" si="15"/>
        <v>75</v>
      </c>
      <c r="T12" s="241">
        <f t="shared" si="16"/>
        <v>88</v>
      </c>
      <c r="U12" s="241">
        <f t="shared" si="17"/>
        <v>63</v>
      </c>
      <c r="V12" s="241">
        <f t="shared" si="18"/>
        <v>70</v>
      </c>
      <c r="W12" s="241">
        <f t="shared" si="19"/>
        <v>85</v>
      </c>
      <c r="X12" s="241">
        <f t="shared" si="20"/>
        <v>83</v>
      </c>
      <c r="Y12" s="123">
        <f t="shared" si="21"/>
        <v>1210</v>
      </c>
      <c r="Z12" s="124">
        <f t="shared" si="22"/>
        <v>80.666666666666671</v>
      </c>
      <c r="AA12" s="125">
        <f t="shared" si="23"/>
        <v>9</v>
      </c>
      <c r="AB12" s="126" t="s">
        <v>806</v>
      </c>
      <c r="AC12" s="126" t="s">
        <v>806</v>
      </c>
      <c r="AD12" s="126" t="s">
        <v>806</v>
      </c>
      <c r="AE12" s="127">
        <v>17</v>
      </c>
      <c r="AF12" s="127">
        <v>0</v>
      </c>
      <c r="AG12" s="127">
        <v>4</v>
      </c>
      <c r="AH12" s="128"/>
      <c r="AJ12" s="93">
        <v>15</v>
      </c>
      <c r="AK12" s="131">
        <v>24250089</v>
      </c>
      <c r="AL12" s="120" t="s">
        <v>671</v>
      </c>
      <c r="AM12" s="129">
        <v>78.5</v>
      </c>
      <c r="AN12" s="129">
        <v>82</v>
      </c>
      <c r="AO12" s="129">
        <v>74.5</v>
      </c>
      <c r="AP12" s="129">
        <v>51</v>
      </c>
      <c r="AQ12" s="129">
        <v>67.5</v>
      </c>
      <c r="AR12" s="129">
        <v>76.8</v>
      </c>
      <c r="AS12" s="129">
        <v>85.5</v>
      </c>
      <c r="AT12" s="129">
        <v>83.5</v>
      </c>
      <c r="AU12" s="129">
        <v>68</v>
      </c>
      <c r="AV12" s="129">
        <v>95.9</v>
      </c>
      <c r="AW12" s="130">
        <v>85</v>
      </c>
      <c r="AX12" s="130">
        <v>95</v>
      </c>
      <c r="AY12" s="130">
        <v>99</v>
      </c>
      <c r="AZ12" s="130">
        <v>80</v>
      </c>
      <c r="BA12" s="130">
        <v>85</v>
      </c>
      <c r="BB12" s="243">
        <v>75</v>
      </c>
      <c r="BC12" s="243">
        <v>87.5</v>
      </c>
      <c r="BD12" s="243">
        <v>62.5</v>
      </c>
      <c r="BE12" s="243">
        <v>70</v>
      </c>
      <c r="BF12" s="243">
        <v>85</v>
      </c>
      <c r="BG12" s="243">
        <v>82.5</v>
      </c>
      <c r="BH12" s="123">
        <f t="shared" si="24"/>
        <v>1207.1999999999998</v>
      </c>
      <c r="BI12" s="124">
        <f t="shared" si="25"/>
        <v>80.47999999999999</v>
      </c>
      <c r="BJ12" s="125" t="e">
        <f t="shared" si="26"/>
        <v>#N/A</v>
      </c>
      <c r="BK12" s="126"/>
      <c r="BL12" s="126"/>
      <c r="BM12" s="126"/>
      <c r="BN12" s="127"/>
      <c r="BO12" s="127"/>
      <c r="BP12" s="127"/>
      <c r="BQ12" s="128"/>
    </row>
    <row r="13" spans="1:69" ht="22.5" customHeight="1">
      <c r="A13" s="138">
        <v>10</v>
      </c>
      <c r="B13" s="131">
        <v>24250152</v>
      </c>
      <c r="C13" s="120" t="s">
        <v>667</v>
      </c>
      <c r="D13" s="121">
        <f t="shared" si="0"/>
        <v>92</v>
      </c>
      <c r="E13" s="121">
        <f t="shared" si="1"/>
        <v>75</v>
      </c>
      <c r="F13" s="121">
        <f t="shared" si="2"/>
        <v>80</v>
      </c>
      <c r="G13" s="121">
        <f t="shared" si="3"/>
        <v>66</v>
      </c>
      <c r="H13" s="121">
        <f t="shared" si="4"/>
        <v>72</v>
      </c>
      <c r="I13" s="121">
        <f t="shared" si="5"/>
        <v>79</v>
      </c>
      <c r="J13" s="121">
        <f t="shared" si="6"/>
        <v>76</v>
      </c>
      <c r="K13" s="121">
        <f t="shared" si="7"/>
        <v>79</v>
      </c>
      <c r="L13" s="121">
        <f t="shared" si="8"/>
        <v>74</v>
      </c>
      <c r="M13" s="121">
        <f t="shared" si="9"/>
        <v>75</v>
      </c>
      <c r="N13" s="122">
        <f t="shared" si="10"/>
        <v>97</v>
      </c>
      <c r="O13" s="122">
        <f t="shared" si="11"/>
        <v>95</v>
      </c>
      <c r="P13" s="122">
        <f t="shared" si="12"/>
        <v>80</v>
      </c>
      <c r="Q13" s="122">
        <f t="shared" si="13"/>
        <v>75</v>
      </c>
      <c r="R13" s="122">
        <f t="shared" si="14"/>
        <v>80</v>
      </c>
      <c r="S13" s="241">
        <f t="shared" si="15"/>
        <v>63</v>
      </c>
      <c r="T13" s="241">
        <f t="shared" si="16"/>
        <v>98</v>
      </c>
      <c r="U13" s="241">
        <f t="shared" si="17"/>
        <v>60</v>
      </c>
      <c r="V13" s="241">
        <f t="shared" si="18"/>
        <v>70</v>
      </c>
      <c r="W13" s="241">
        <f t="shared" si="19"/>
        <v>93</v>
      </c>
      <c r="X13" s="241">
        <f t="shared" si="20"/>
        <v>88</v>
      </c>
      <c r="Y13" s="123">
        <f t="shared" si="21"/>
        <v>1195</v>
      </c>
      <c r="Z13" s="124">
        <f t="shared" si="22"/>
        <v>79.666666666666671</v>
      </c>
      <c r="AA13" s="125">
        <f t="shared" si="23"/>
        <v>10</v>
      </c>
      <c r="AB13" s="126" t="s">
        <v>806</v>
      </c>
      <c r="AC13" s="126" t="s">
        <v>806</v>
      </c>
      <c r="AD13" s="126" t="s">
        <v>806</v>
      </c>
      <c r="AE13" s="127">
        <v>18</v>
      </c>
      <c r="AF13" s="127">
        <v>5</v>
      </c>
      <c r="AG13" s="127">
        <v>2</v>
      </c>
      <c r="AH13" s="128"/>
      <c r="AJ13" s="93">
        <v>4</v>
      </c>
      <c r="AK13" s="131">
        <v>24250152</v>
      </c>
      <c r="AL13" s="120" t="s">
        <v>667</v>
      </c>
      <c r="AM13" s="129">
        <v>91.5</v>
      </c>
      <c r="AN13" s="129">
        <v>74.5</v>
      </c>
      <c r="AO13" s="129">
        <v>79.5</v>
      </c>
      <c r="AP13" s="129">
        <v>66</v>
      </c>
      <c r="AQ13" s="129">
        <v>71.5</v>
      </c>
      <c r="AR13" s="129">
        <v>79.2</v>
      </c>
      <c r="AS13" s="129">
        <v>75.5</v>
      </c>
      <c r="AT13" s="129">
        <v>79</v>
      </c>
      <c r="AU13" s="129">
        <v>73.699999999999989</v>
      </c>
      <c r="AV13" s="129">
        <v>74.5</v>
      </c>
      <c r="AW13" s="130">
        <v>97</v>
      </c>
      <c r="AX13" s="130">
        <v>95</v>
      </c>
      <c r="AY13" s="130">
        <v>80</v>
      </c>
      <c r="AZ13" s="130">
        <v>75</v>
      </c>
      <c r="BA13" s="130">
        <v>80</v>
      </c>
      <c r="BB13" s="243">
        <v>62.5</v>
      </c>
      <c r="BC13" s="243">
        <v>97.5</v>
      </c>
      <c r="BD13" s="243">
        <v>60</v>
      </c>
      <c r="BE13" s="243">
        <v>70</v>
      </c>
      <c r="BF13" s="243">
        <v>92.5</v>
      </c>
      <c r="BG13" s="243">
        <v>87.5</v>
      </c>
      <c r="BH13" s="123">
        <f t="shared" si="24"/>
        <v>1191.9000000000001</v>
      </c>
      <c r="BI13" s="124">
        <f t="shared" si="25"/>
        <v>79.460000000000008</v>
      </c>
      <c r="BJ13" s="125" t="e">
        <f t="shared" si="26"/>
        <v>#N/A</v>
      </c>
      <c r="BK13" s="126"/>
      <c r="BL13" s="126"/>
      <c r="BM13" s="126"/>
      <c r="BN13" s="127"/>
      <c r="BO13" s="127"/>
      <c r="BP13" s="127"/>
      <c r="BQ13" s="128"/>
    </row>
    <row r="14" spans="1:69" ht="22.5" customHeight="1">
      <c r="A14" s="138">
        <v>11</v>
      </c>
      <c r="B14" s="131">
        <v>24250101</v>
      </c>
      <c r="C14" s="120" t="s">
        <v>672</v>
      </c>
      <c r="D14" s="121">
        <f t="shared" si="0"/>
        <v>77</v>
      </c>
      <c r="E14" s="121">
        <f t="shared" si="1"/>
        <v>81</v>
      </c>
      <c r="F14" s="121">
        <f t="shared" si="2"/>
        <v>73</v>
      </c>
      <c r="G14" s="121">
        <f t="shared" si="3"/>
        <v>61</v>
      </c>
      <c r="H14" s="121">
        <f t="shared" si="4"/>
        <v>70</v>
      </c>
      <c r="I14" s="121">
        <f t="shared" si="5"/>
        <v>43</v>
      </c>
      <c r="J14" s="121">
        <f t="shared" si="6"/>
        <v>84</v>
      </c>
      <c r="K14" s="121">
        <f t="shared" si="7"/>
        <v>75</v>
      </c>
      <c r="L14" s="121">
        <f t="shared" si="8"/>
        <v>72</v>
      </c>
      <c r="M14" s="121">
        <f t="shared" si="9"/>
        <v>91</v>
      </c>
      <c r="N14" s="122">
        <f t="shared" si="10"/>
        <v>85</v>
      </c>
      <c r="O14" s="122">
        <f t="shared" si="11"/>
        <v>95</v>
      </c>
      <c r="P14" s="122">
        <f t="shared" si="12"/>
        <v>99</v>
      </c>
      <c r="Q14" s="122">
        <f t="shared" si="13"/>
        <v>80</v>
      </c>
      <c r="R14" s="122">
        <f t="shared" si="14"/>
        <v>80</v>
      </c>
      <c r="S14" s="241">
        <f t="shared" si="15"/>
        <v>83</v>
      </c>
      <c r="T14" s="241">
        <f t="shared" si="16"/>
        <v>99</v>
      </c>
      <c r="U14" s="241">
        <f t="shared" si="17"/>
        <v>65</v>
      </c>
      <c r="V14" s="241">
        <f t="shared" si="18"/>
        <v>60</v>
      </c>
      <c r="W14" s="241">
        <f t="shared" si="19"/>
        <v>90</v>
      </c>
      <c r="X14" s="241">
        <f t="shared" si="20"/>
        <v>90</v>
      </c>
      <c r="Y14" s="123">
        <f t="shared" si="21"/>
        <v>1166</v>
      </c>
      <c r="Z14" s="124">
        <f t="shared" si="22"/>
        <v>77.733333333333334</v>
      </c>
      <c r="AA14" s="125">
        <f t="shared" si="23"/>
        <v>11</v>
      </c>
      <c r="AB14" s="126" t="s">
        <v>806</v>
      </c>
      <c r="AC14" s="126" t="s">
        <v>806</v>
      </c>
      <c r="AD14" s="126" t="s">
        <v>806</v>
      </c>
      <c r="AE14" s="127">
        <v>3</v>
      </c>
      <c r="AF14" s="127">
        <v>0</v>
      </c>
      <c r="AG14" s="127">
        <v>0</v>
      </c>
      <c r="AH14" s="128"/>
      <c r="AJ14" s="93">
        <v>16</v>
      </c>
      <c r="AK14" s="131">
        <v>24250101</v>
      </c>
      <c r="AL14" s="120" t="s">
        <v>672</v>
      </c>
      <c r="AM14" s="129">
        <v>77</v>
      </c>
      <c r="AN14" s="129">
        <v>81</v>
      </c>
      <c r="AO14" s="129">
        <v>73</v>
      </c>
      <c r="AP14" s="129">
        <v>60.5</v>
      </c>
      <c r="AQ14" s="129">
        <v>69.5</v>
      </c>
      <c r="AR14" s="129">
        <v>42.8</v>
      </c>
      <c r="AS14" s="129">
        <v>83.5</v>
      </c>
      <c r="AT14" s="129">
        <v>75</v>
      </c>
      <c r="AU14" s="129">
        <v>71.8</v>
      </c>
      <c r="AV14" s="129">
        <v>90.9</v>
      </c>
      <c r="AW14" s="130">
        <v>85</v>
      </c>
      <c r="AX14" s="130">
        <v>95</v>
      </c>
      <c r="AY14" s="130">
        <v>99</v>
      </c>
      <c r="AZ14" s="130">
        <v>80</v>
      </c>
      <c r="BA14" s="130">
        <v>80</v>
      </c>
      <c r="BB14" s="243">
        <v>82.5</v>
      </c>
      <c r="BC14" s="243">
        <v>100</v>
      </c>
      <c r="BD14" s="243">
        <v>65</v>
      </c>
      <c r="BE14" s="243">
        <v>60</v>
      </c>
      <c r="BF14" s="243">
        <v>90</v>
      </c>
      <c r="BG14" s="243">
        <v>90</v>
      </c>
      <c r="BH14" s="123">
        <f t="shared" si="24"/>
        <v>1164</v>
      </c>
      <c r="BI14" s="124">
        <f t="shared" si="25"/>
        <v>77.599999999999994</v>
      </c>
      <c r="BJ14" s="125" t="e">
        <f t="shared" si="26"/>
        <v>#N/A</v>
      </c>
      <c r="BK14" s="126"/>
      <c r="BL14" s="126"/>
      <c r="BM14" s="126"/>
      <c r="BN14" s="127"/>
      <c r="BO14" s="127"/>
      <c r="BP14" s="127"/>
      <c r="BQ14" s="128"/>
    </row>
    <row r="15" spans="1:69" ht="22.5" customHeight="1">
      <c r="A15" s="138">
        <v>12</v>
      </c>
      <c r="B15" s="131">
        <v>24250021</v>
      </c>
      <c r="C15" s="120" t="s">
        <v>420</v>
      </c>
      <c r="D15" s="121">
        <f t="shared" si="0"/>
        <v>79</v>
      </c>
      <c r="E15" s="121">
        <f t="shared" si="1"/>
        <v>84</v>
      </c>
      <c r="F15" s="121">
        <f t="shared" si="2"/>
        <v>75</v>
      </c>
      <c r="G15" s="121">
        <f t="shared" si="3"/>
        <v>62</v>
      </c>
      <c r="H15" s="121">
        <f t="shared" si="4"/>
        <v>69</v>
      </c>
      <c r="I15" s="121">
        <f t="shared" si="5"/>
        <v>40</v>
      </c>
      <c r="J15" s="121">
        <f t="shared" si="6"/>
        <v>77</v>
      </c>
      <c r="K15" s="121">
        <f t="shared" si="7"/>
        <v>73</v>
      </c>
      <c r="L15" s="121">
        <f t="shared" si="8"/>
        <v>71</v>
      </c>
      <c r="M15" s="121">
        <f t="shared" si="9"/>
        <v>85</v>
      </c>
      <c r="N15" s="122">
        <f t="shared" si="10"/>
        <v>95</v>
      </c>
      <c r="O15" s="122">
        <f t="shared" si="11"/>
        <v>80</v>
      </c>
      <c r="P15" s="122">
        <f t="shared" si="12"/>
        <v>99</v>
      </c>
      <c r="Q15" s="122">
        <f t="shared" si="13"/>
        <v>80</v>
      </c>
      <c r="R15" s="122">
        <f t="shared" si="14"/>
        <v>85</v>
      </c>
      <c r="S15" s="241">
        <f t="shared" si="15"/>
        <v>83</v>
      </c>
      <c r="T15" s="241">
        <f t="shared" si="16"/>
        <v>98</v>
      </c>
      <c r="U15" s="241">
        <f t="shared" si="17"/>
        <v>65</v>
      </c>
      <c r="V15" s="241">
        <f t="shared" si="18"/>
        <v>70</v>
      </c>
      <c r="W15" s="241">
        <f t="shared" si="19"/>
        <v>75</v>
      </c>
      <c r="X15" s="241">
        <f t="shared" si="20"/>
        <v>83</v>
      </c>
      <c r="Y15" s="123">
        <f t="shared" si="21"/>
        <v>1154</v>
      </c>
      <c r="Z15" s="124">
        <f t="shared" si="22"/>
        <v>76.933333333333337</v>
      </c>
      <c r="AA15" s="125">
        <f t="shared" si="23"/>
        <v>12</v>
      </c>
      <c r="AB15" s="126" t="s">
        <v>806</v>
      </c>
      <c r="AC15" s="126" t="s">
        <v>806</v>
      </c>
      <c r="AD15" s="126" t="s">
        <v>806</v>
      </c>
      <c r="AE15" s="127">
        <v>0</v>
      </c>
      <c r="AF15" s="127">
        <v>9</v>
      </c>
      <c r="AG15" s="127">
        <v>0</v>
      </c>
      <c r="AH15" s="128"/>
      <c r="AJ15" s="93">
        <v>13</v>
      </c>
      <c r="AK15" s="131">
        <v>24250021</v>
      </c>
      <c r="AL15" s="120" t="s">
        <v>420</v>
      </c>
      <c r="AM15" s="132">
        <v>78.5</v>
      </c>
      <c r="AN15" s="132">
        <v>83.5</v>
      </c>
      <c r="AO15" s="129">
        <v>74.5</v>
      </c>
      <c r="AP15" s="129">
        <v>61.5</v>
      </c>
      <c r="AQ15" s="129">
        <v>68.5</v>
      </c>
      <c r="AR15" s="129">
        <v>37.200000000000003</v>
      </c>
      <c r="AS15" s="132">
        <v>76.5</v>
      </c>
      <c r="AT15" s="129">
        <v>73</v>
      </c>
      <c r="AU15" s="129">
        <v>70.900000000000006</v>
      </c>
      <c r="AV15" s="129">
        <v>84.8</v>
      </c>
      <c r="AW15" s="130">
        <v>95</v>
      </c>
      <c r="AX15" s="130">
        <v>80</v>
      </c>
      <c r="AY15" s="130">
        <v>99</v>
      </c>
      <c r="AZ15" s="133">
        <v>80</v>
      </c>
      <c r="BA15" s="133">
        <v>85</v>
      </c>
      <c r="BB15" s="244">
        <v>82.5</v>
      </c>
      <c r="BC15" s="244">
        <v>97.5</v>
      </c>
      <c r="BD15" s="244">
        <v>65</v>
      </c>
      <c r="BE15" s="244">
        <v>70</v>
      </c>
      <c r="BF15" s="244">
        <v>75</v>
      </c>
      <c r="BG15" s="244">
        <v>82.5</v>
      </c>
      <c r="BH15" s="123">
        <f t="shared" si="24"/>
        <v>1147.9000000000001</v>
      </c>
      <c r="BI15" s="124">
        <f t="shared" si="25"/>
        <v>76.526666666666671</v>
      </c>
      <c r="BJ15" s="125" t="e">
        <f t="shared" si="26"/>
        <v>#N/A</v>
      </c>
      <c r="BK15" s="126"/>
      <c r="BL15" s="126"/>
      <c r="BM15" s="126"/>
      <c r="BN15" s="127"/>
      <c r="BO15" s="127"/>
      <c r="BP15" s="127"/>
      <c r="BQ15" s="128"/>
    </row>
    <row r="16" spans="1:69" ht="22.5" customHeight="1">
      <c r="A16" s="138">
        <v>13</v>
      </c>
      <c r="B16" s="131">
        <v>24250113</v>
      </c>
      <c r="C16" s="120" t="s">
        <v>666</v>
      </c>
      <c r="D16" s="121">
        <f t="shared" si="0"/>
        <v>85</v>
      </c>
      <c r="E16" s="121">
        <f t="shared" si="1"/>
        <v>71</v>
      </c>
      <c r="F16" s="121">
        <f t="shared" si="2"/>
        <v>76</v>
      </c>
      <c r="G16" s="121">
        <f t="shared" si="3"/>
        <v>53</v>
      </c>
      <c r="H16" s="121">
        <f t="shared" si="4"/>
        <v>78</v>
      </c>
      <c r="I16" s="121">
        <f t="shared" si="5"/>
        <v>42</v>
      </c>
      <c r="J16" s="121">
        <f t="shared" si="6"/>
        <v>73</v>
      </c>
      <c r="K16" s="121">
        <f t="shared" si="7"/>
        <v>82</v>
      </c>
      <c r="L16" s="121">
        <f t="shared" si="8"/>
        <v>72</v>
      </c>
      <c r="M16" s="121">
        <f t="shared" si="9"/>
        <v>93</v>
      </c>
      <c r="N16" s="122">
        <f t="shared" si="10"/>
        <v>87</v>
      </c>
      <c r="O16" s="122">
        <f t="shared" si="11"/>
        <v>65</v>
      </c>
      <c r="P16" s="122">
        <f t="shared" si="12"/>
        <v>99</v>
      </c>
      <c r="Q16" s="122">
        <f t="shared" si="13"/>
        <v>80</v>
      </c>
      <c r="R16" s="122">
        <f t="shared" si="14"/>
        <v>85</v>
      </c>
      <c r="S16" s="241">
        <f t="shared" si="15"/>
        <v>80</v>
      </c>
      <c r="T16" s="241">
        <f t="shared" si="16"/>
        <v>98</v>
      </c>
      <c r="U16" s="241">
        <f t="shared" si="17"/>
        <v>68</v>
      </c>
      <c r="V16" s="241">
        <f t="shared" si="18"/>
        <v>68</v>
      </c>
      <c r="W16" s="241">
        <f t="shared" si="19"/>
        <v>88</v>
      </c>
      <c r="X16" s="241">
        <f t="shared" si="20"/>
        <v>83</v>
      </c>
      <c r="Y16" s="123">
        <f t="shared" si="21"/>
        <v>1141</v>
      </c>
      <c r="Z16" s="124">
        <f t="shared" si="22"/>
        <v>76.066666666666663</v>
      </c>
      <c r="AA16" s="125">
        <f t="shared" si="23"/>
        <v>13</v>
      </c>
      <c r="AB16" s="126" t="s">
        <v>806</v>
      </c>
      <c r="AC16" s="126" t="s">
        <v>806</v>
      </c>
      <c r="AD16" s="126" t="s">
        <v>806</v>
      </c>
      <c r="AE16" s="127">
        <v>13</v>
      </c>
      <c r="AF16" s="127">
        <v>0</v>
      </c>
      <c r="AG16" s="127">
        <v>0</v>
      </c>
      <c r="AH16" s="128"/>
      <c r="AJ16" s="93">
        <v>3</v>
      </c>
      <c r="AK16" s="131">
        <v>24250113</v>
      </c>
      <c r="AL16" s="120" t="s">
        <v>666</v>
      </c>
      <c r="AM16" s="129">
        <v>85</v>
      </c>
      <c r="AN16" s="129">
        <v>71</v>
      </c>
      <c r="AO16" s="129">
        <v>76</v>
      </c>
      <c r="AP16" s="129">
        <v>52.5</v>
      </c>
      <c r="AQ16" s="129">
        <v>78</v>
      </c>
      <c r="AR16" s="129">
        <v>41.5</v>
      </c>
      <c r="AS16" s="129">
        <v>73</v>
      </c>
      <c r="AT16" s="129">
        <v>82</v>
      </c>
      <c r="AU16" s="129">
        <v>72</v>
      </c>
      <c r="AV16" s="129">
        <v>92.6</v>
      </c>
      <c r="AW16" s="130">
        <v>87</v>
      </c>
      <c r="AX16" s="130">
        <v>65</v>
      </c>
      <c r="AY16" s="130">
        <v>99</v>
      </c>
      <c r="AZ16" s="130">
        <v>80</v>
      </c>
      <c r="BA16" s="130">
        <v>85</v>
      </c>
      <c r="BB16" s="243">
        <v>80</v>
      </c>
      <c r="BC16" s="243">
        <v>97.5</v>
      </c>
      <c r="BD16" s="243">
        <v>67.5</v>
      </c>
      <c r="BE16" s="243">
        <v>67.5</v>
      </c>
      <c r="BF16" s="243">
        <v>87.5</v>
      </c>
      <c r="BG16" s="243">
        <v>82.5</v>
      </c>
      <c r="BH16" s="123">
        <f t="shared" si="24"/>
        <v>1139.5999999999999</v>
      </c>
      <c r="BI16" s="124">
        <f t="shared" si="25"/>
        <v>75.973333333333329</v>
      </c>
      <c r="BJ16" s="125" t="e">
        <f t="shared" si="26"/>
        <v>#N/A</v>
      </c>
      <c r="BK16" s="126"/>
      <c r="BL16" s="126"/>
      <c r="BM16" s="126"/>
      <c r="BN16" s="127"/>
      <c r="BO16" s="127"/>
      <c r="BP16" s="127"/>
      <c r="BQ16" s="128"/>
    </row>
    <row r="17" spans="1:69" ht="22.5" customHeight="1">
      <c r="A17" s="138">
        <v>14</v>
      </c>
      <c r="B17" s="119">
        <v>24250035</v>
      </c>
      <c r="C17" s="120" t="s">
        <v>426</v>
      </c>
      <c r="D17" s="121">
        <f t="shared" si="0"/>
        <v>84</v>
      </c>
      <c r="E17" s="121">
        <f t="shared" si="1"/>
        <v>86</v>
      </c>
      <c r="F17" s="121">
        <f t="shared" si="2"/>
        <v>79</v>
      </c>
      <c r="G17" s="121">
        <f t="shared" si="3"/>
        <v>61</v>
      </c>
      <c r="H17" s="121">
        <f t="shared" si="4"/>
        <v>80</v>
      </c>
      <c r="I17" s="121">
        <f t="shared" si="5"/>
        <v>59</v>
      </c>
      <c r="J17" s="121">
        <f t="shared" si="6"/>
        <v>66</v>
      </c>
      <c r="K17" s="121">
        <f t="shared" si="7"/>
        <v>79</v>
      </c>
      <c r="L17" s="121">
        <f t="shared" si="8"/>
        <v>60</v>
      </c>
      <c r="M17" s="121">
        <f t="shared" si="9"/>
        <v>66</v>
      </c>
      <c r="N17" s="122">
        <f t="shared" si="10"/>
        <v>85</v>
      </c>
      <c r="O17" s="122">
        <f t="shared" si="11"/>
        <v>80</v>
      </c>
      <c r="P17" s="122">
        <f t="shared" si="12"/>
        <v>86</v>
      </c>
      <c r="Q17" s="122">
        <f t="shared" si="13"/>
        <v>80</v>
      </c>
      <c r="R17" s="122">
        <f t="shared" si="14"/>
        <v>85</v>
      </c>
      <c r="S17" s="241">
        <f t="shared" si="15"/>
        <v>83</v>
      </c>
      <c r="T17" s="241">
        <f t="shared" si="16"/>
        <v>95</v>
      </c>
      <c r="U17" s="241">
        <f t="shared" si="17"/>
        <v>60</v>
      </c>
      <c r="V17" s="241">
        <f t="shared" si="18"/>
        <v>75</v>
      </c>
      <c r="W17" s="241">
        <f t="shared" si="19"/>
        <v>90</v>
      </c>
      <c r="X17" s="241">
        <f t="shared" si="20"/>
        <v>83</v>
      </c>
      <c r="Y17" s="123">
        <f t="shared" si="21"/>
        <v>1136</v>
      </c>
      <c r="Z17" s="124">
        <f t="shared" si="22"/>
        <v>75.733333333333334</v>
      </c>
      <c r="AA17" s="125">
        <f t="shared" si="23"/>
        <v>14</v>
      </c>
      <c r="AB17" s="126" t="s">
        <v>806</v>
      </c>
      <c r="AC17" s="126" t="s">
        <v>806</v>
      </c>
      <c r="AD17" s="126" t="s">
        <v>806</v>
      </c>
      <c r="AE17" s="127">
        <v>0</v>
      </c>
      <c r="AF17" s="127">
        <v>3</v>
      </c>
      <c r="AG17" s="127">
        <v>0</v>
      </c>
      <c r="AH17" s="128"/>
      <c r="AJ17" s="93">
        <v>8</v>
      </c>
      <c r="AK17" s="119">
        <v>24250035</v>
      </c>
      <c r="AL17" s="120" t="s">
        <v>426</v>
      </c>
      <c r="AM17" s="129">
        <v>83.5</v>
      </c>
      <c r="AN17" s="129">
        <v>85.5</v>
      </c>
      <c r="AO17" s="129">
        <v>78.5</v>
      </c>
      <c r="AP17" s="129">
        <v>60.5</v>
      </c>
      <c r="AQ17" s="129">
        <v>80</v>
      </c>
      <c r="AR17" s="129">
        <v>58.8</v>
      </c>
      <c r="AS17" s="129">
        <v>66</v>
      </c>
      <c r="AT17" s="129">
        <v>79</v>
      </c>
      <c r="AU17" s="129">
        <v>60</v>
      </c>
      <c r="AV17" s="129">
        <v>65.900000000000006</v>
      </c>
      <c r="AW17" s="130">
        <v>85</v>
      </c>
      <c r="AX17" s="130">
        <v>80</v>
      </c>
      <c r="AY17" s="130">
        <v>86</v>
      </c>
      <c r="AZ17" s="130">
        <v>80</v>
      </c>
      <c r="BA17" s="130">
        <v>85</v>
      </c>
      <c r="BB17" s="243">
        <v>82.5</v>
      </c>
      <c r="BC17" s="243">
        <v>95</v>
      </c>
      <c r="BD17" s="243">
        <v>60</v>
      </c>
      <c r="BE17" s="243">
        <v>75</v>
      </c>
      <c r="BF17" s="243">
        <v>90</v>
      </c>
      <c r="BG17" s="243">
        <v>82.5</v>
      </c>
      <c r="BH17" s="123">
        <f t="shared" si="24"/>
        <v>1133.6999999999998</v>
      </c>
      <c r="BI17" s="124">
        <f t="shared" si="25"/>
        <v>75.579999999999984</v>
      </c>
      <c r="BJ17" s="125" t="e">
        <f t="shared" si="26"/>
        <v>#N/A</v>
      </c>
      <c r="BK17" s="126"/>
      <c r="BL17" s="126"/>
      <c r="BM17" s="126"/>
      <c r="BN17" s="127"/>
      <c r="BO17" s="127"/>
      <c r="BP17" s="127"/>
      <c r="BQ17" s="128"/>
    </row>
    <row r="18" spans="1:69" ht="22.5" customHeight="1">
      <c r="A18" s="138">
        <v>15</v>
      </c>
      <c r="B18" s="131">
        <v>24250062</v>
      </c>
      <c r="C18" s="120" t="s">
        <v>423</v>
      </c>
      <c r="D18" s="121">
        <f t="shared" si="0"/>
        <v>83</v>
      </c>
      <c r="E18" s="121">
        <f t="shared" si="1"/>
        <v>77</v>
      </c>
      <c r="F18" s="121">
        <f t="shared" si="2"/>
        <v>65</v>
      </c>
      <c r="G18" s="121">
        <f t="shared" si="3"/>
        <v>57</v>
      </c>
      <c r="H18" s="121">
        <f t="shared" si="4"/>
        <v>70</v>
      </c>
      <c r="I18" s="121">
        <f t="shared" si="5"/>
        <v>54</v>
      </c>
      <c r="J18" s="121">
        <f t="shared" si="6"/>
        <v>80</v>
      </c>
      <c r="K18" s="121">
        <f t="shared" si="7"/>
        <v>83</v>
      </c>
      <c r="L18" s="121">
        <f t="shared" si="8"/>
        <v>63</v>
      </c>
      <c r="M18" s="121">
        <f t="shared" si="9"/>
        <v>74</v>
      </c>
      <c r="N18" s="122">
        <f t="shared" si="10"/>
        <v>85</v>
      </c>
      <c r="O18" s="122">
        <f t="shared" si="11"/>
        <v>70</v>
      </c>
      <c r="P18" s="122">
        <f t="shared" si="12"/>
        <v>99</v>
      </c>
      <c r="Q18" s="122">
        <f t="shared" si="13"/>
        <v>80</v>
      </c>
      <c r="R18" s="122">
        <f t="shared" si="14"/>
        <v>90</v>
      </c>
      <c r="S18" s="241">
        <f t="shared" si="15"/>
        <v>73</v>
      </c>
      <c r="T18" s="241">
        <f t="shared" si="16"/>
        <v>98</v>
      </c>
      <c r="U18" s="241">
        <f t="shared" si="17"/>
        <v>65</v>
      </c>
      <c r="V18" s="241">
        <f t="shared" si="18"/>
        <v>83</v>
      </c>
      <c r="W18" s="241">
        <f t="shared" si="19"/>
        <v>93</v>
      </c>
      <c r="X18" s="241">
        <f t="shared" si="20"/>
        <v>90</v>
      </c>
      <c r="Y18" s="123">
        <f t="shared" si="21"/>
        <v>1130</v>
      </c>
      <c r="Z18" s="124">
        <f t="shared" si="22"/>
        <v>75.333333333333329</v>
      </c>
      <c r="AA18" s="125">
        <f t="shared" si="23"/>
        <v>15</v>
      </c>
      <c r="AB18" s="126" t="s">
        <v>806</v>
      </c>
      <c r="AC18" s="126" t="s">
        <v>806</v>
      </c>
      <c r="AD18" s="126" t="s">
        <v>806</v>
      </c>
      <c r="AE18" s="127">
        <v>0</v>
      </c>
      <c r="AF18" s="127">
        <v>0</v>
      </c>
      <c r="AG18" s="127">
        <v>0</v>
      </c>
      <c r="AH18" s="128"/>
      <c r="AJ18" s="93">
        <v>14</v>
      </c>
      <c r="AK18" s="131">
        <v>24250062</v>
      </c>
      <c r="AL18" s="120" t="s">
        <v>423</v>
      </c>
      <c r="AM18" s="129">
        <v>83</v>
      </c>
      <c r="AN18" s="129">
        <v>76.5</v>
      </c>
      <c r="AO18" s="129">
        <v>65</v>
      </c>
      <c r="AP18" s="129">
        <v>57</v>
      </c>
      <c r="AQ18" s="129">
        <v>69.5</v>
      </c>
      <c r="AR18" s="129">
        <v>53.7</v>
      </c>
      <c r="AS18" s="129">
        <v>79.5</v>
      </c>
      <c r="AT18" s="129">
        <v>82.5</v>
      </c>
      <c r="AU18" s="129">
        <v>62.5</v>
      </c>
      <c r="AV18" s="129">
        <v>74</v>
      </c>
      <c r="AW18" s="133">
        <v>85</v>
      </c>
      <c r="AX18" s="130">
        <v>70</v>
      </c>
      <c r="AY18" s="130">
        <v>99</v>
      </c>
      <c r="AZ18" s="130">
        <v>80</v>
      </c>
      <c r="BA18" s="130">
        <v>90</v>
      </c>
      <c r="BB18" s="243">
        <v>72.5</v>
      </c>
      <c r="BC18" s="243">
        <v>97.5</v>
      </c>
      <c r="BD18" s="243">
        <v>65</v>
      </c>
      <c r="BE18" s="243">
        <v>82.5</v>
      </c>
      <c r="BF18" s="243">
        <v>92.5</v>
      </c>
      <c r="BG18" s="243">
        <v>90</v>
      </c>
      <c r="BH18" s="123">
        <f t="shared" si="24"/>
        <v>1127.2</v>
      </c>
      <c r="BI18" s="124">
        <f t="shared" si="25"/>
        <v>75.146666666666675</v>
      </c>
      <c r="BJ18" s="125" t="e">
        <f t="shared" si="26"/>
        <v>#N/A</v>
      </c>
      <c r="BK18" s="126"/>
      <c r="BL18" s="126"/>
      <c r="BM18" s="126"/>
      <c r="BN18" s="127"/>
      <c r="BO18" s="127"/>
      <c r="BP18" s="127"/>
      <c r="BQ18" s="128"/>
    </row>
    <row r="19" spans="1:69" ht="22.5" customHeight="1">
      <c r="A19" s="138">
        <v>16</v>
      </c>
      <c r="B19" s="131">
        <v>24250167</v>
      </c>
      <c r="C19" s="120" t="s">
        <v>669</v>
      </c>
      <c r="D19" s="121">
        <f t="shared" si="0"/>
        <v>79</v>
      </c>
      <c r="E19" s="121">
        <f t="shared" si="1"/>
        <v>69</v>
      </c>
      <c r="F19" s="121">
        <f t="shared" si="2"/>
        <v>76</v>
      </c>
      <c r="G19" s="121">
        <f t="shared" si="3"/>
        <v>51</v>
      </c>
      <c r="H19" s="121">
        <f t="shared" si="4"/>
        <v>73</v>
      </c>
      <c r="I19" s="121">
        <f t="shared" si="5"/>
        <v>56</v>
      </c>
      <c r="J19" s="121">
        <f t="shared" si="6"/>
        <v>76</v>
      </c>
      <c r="K19" s="121">
        <f t="shared" si="7"/>
        <v>78</v>
      </c>
      <c r="L19" s="121">
        <f t="shared" si="8"/>
        <v>72</v>
      </c>
      <c r="M19" s="121">
        <f t="shared" si="9"/>
        <v>74</v>
      </c>
      <c r="N19" s="122">
        <f t="shared" si="10"/>
        <v>75</v>
      </c>
      <c r="O19" s="122">
        <f t="shared" si="11"/>
        <v>95</v>
      </c>
      <c r="P19" s="122">
        <f t="shared" si="12"/>
        <v>99</v>
      </c>
      <c r="Q19" s="122">
        <f t="shared" si="13"/>
        <v>70</v>
      </c>
      <c r="R19" s="122">
        <f t="shared" si="14"/>
        <v>80</v>
      </c>
      <c r="S19" s="241">
        <f t="shared" si="15"/>
        <v>88</v>
      </c>
      <c r="T19" s="241">
        <f t="shared" si="16"/>
        <v>99</v>
      </c>
      <c r="U19" s="241">
        <f t="shared" si="17"/>
        <v>63</v>
      </c>
      <c r="V19" s="241">
        <f t="shared" si="18"/>
        <v>68</v>
      </c>
      <c r="W19" s="241">
        <f t="shared" si="19"/>
        <v>90</v>
      </c>
      <c r="X19" s="241">
        <f t="shared" si="20"/>
        <v>68</v>
      </c>
      <c r="Y19" s="123">
        <f t="shared" si="21"/>
        <v>1123</v>
      </c>
      <c r="Z19" s="124">
        <f t="shared" si="22"/>
        <v>74.86666666666666</v>
      </c>
      <c r="AA19" s="125">
        <f t="shared" si="23"/>
        <v>16</v>
      </c>
      <c r="AB19" s="126" t="s">
        <v>806</v>
      </c>
      <c r="AC19" s="126" t="s">
        <v>806</v>
      </c>
      <c r="AD19" s="126" t="s">
        <v>805</v>
      </c>
      <c r="AE19" s="127">
        <v>24</v>
      </c>
      <c r="AF19" s="127">
        <v>0</v>
      </c>
      <c r="AG19" s="127">
        <v>17</v>
      </c>
      <c r="AH19" s="128"/>
      <c r="AJ19" s="93">
        <v>10</v>
      </c>
      <c r="AK19" s="131">
        <v>24250167</v>
      </c>
      <c r="AL19" s="120" t="s">
        <v>669</v>
      </c>
      <c r="AM19" s="129">
        <v>78.5</v>
      </c>
      <c r="AN19" s="129">
        <v>68.5</v>
      </c>
      <c r="AO19" s="129">
        <v>75.5</v>
      </c>
      <c r="AP19" s="129">
        <v>50.5</v>
      </c>
      <c r="AQ19" s="129">
        <v>73</v>
      </c>
      <c r="AR19" s="129">
        <v>56.1</v>
      </c>
      <c r="AS19" s="129">
        <v>76</v>
      </c>
      <c r="AT19" s="129">
        <v>78</v>
      </c>
      <c r="AU19" s="129">
        <v>71.5</v>
      </c>
      <c r="AV19" s="129">
        <v>74.3</v>
      </c>
      <c r="AW19" s="130">
        <v>75</v>
      </c>
      <c r="AX19" s="130">
        <v>95</v>
      </c>
      <c r="AY19" s="130">
        <v>99</v>
      </c>
      <c r="AZ19" s="130">
        <v>70</v>
      </c>
      <c r="BA19" s="130">
        <v>80</v>
      </c>
      <c r="BB19" s="243">
        <v>87.5</v>
      </c>
      <c r="BC19" s="243">
        <v>100</v>
      </c>
      <c r="BD19" s="243">
        <v>62.5</v>
      </c>
      <c r="BE19" s="243">
        <v>67.5</v>
      </c>
      <c r="BF19" s="243">
        <v>90</v>
      </c>
      <c r="BG19" s="243">
        <v>67.5</v>
      </c>
      <c r="BH19" s="123">
        <f t="shared" si="24"/>
        <v>1120.9000000000001</v>
      </c>
      <c r="BI19" s="124">
        <f t="shared" si="25"/>
        <v>74.726666666666674</v>
      </c>
      <c r="BJ19" s="125" t="e">
        <f t="shared" si="26"/>
        <v>#N/A</v>
      </c>
      <c r="BK19" s="126"/>
      <c r="BL19" s="126"/>
      <c r="BM19" s="126"/>
      <c r="BN19" s="127"/>
      <c r="BO19" s="127"/>
      <c r="BP19" s="127"/>
      <c r="BQ19" s="128"/>
    </row>
    <row r="20" spans="1:69" ht="22.5" customHeight="1">
      <c r="A20" s="138">
        <v>17</v>
      </c>
      <c r="B20" s="131">
        <v>24250138</v>
      </c>
      <c r="C20" s="120" t="s">
        <v>670</v>
      </c>
      <c r="D20" s="121">
        <f t="shared" si="0"/>
        <v>66</v>
      </c>
      <c r="E20" s="121">
        <f t="shared" si="1"/>
        <v>66</v>
      </c>
      <c r="F20" s="121">
        <f t="shared" si="2"/>
        <v>85</v>
      </c>
      <c r="G20" s="121">
        <f t="shared" si="3"/>
        <v>52</v>
      </c>
      <c r="H20" s="121">
        <f t="shared" si="4"/>
        <v>56</v>
      </c>
      <c r="I20" s="121">
        <f t="shared" si="5"/>
        <v>43</v>
      </c>
      <c r="J20" s="121">
        <f t="shared" si="6"/>
        <v>66</v>
      </c>
      <c r="K20" s="121">
        <f t="shared" si="7"/>
        <v>72</v>
      </c>
      <c r="L20" s="121">
        <f t="shared" si="8"/>
        <v>81</v>
      </c>
      <c r="M20" s="121">
        <f t="shared" si="9"/>
        <v>96</v>
      </c>
      <c r="N20" s="122">
        <f t="shared" si="10"/>
        <v>87</v>
      </c>
      <c r="O20" s="122">
        <f t="shared" si="11"/>
        <v>95</v>
      </c>
      <c r="P20" s="122">
        <f t="shared" si="12"/>
        <v>99</v>
      </c>
      <c r="Q20" s="122">
        <f t="shared" si="13"/>
        <v>70</v>
      </c>
      <c r="R20" s="122">
        <f t="shared" si="14"/>
        <v>80</v>
      </c>
      <c r="S20" s="241">
        <f t="shared" si="15"/>
        <v>60</v>
      </c>
      <c r="T20" s="241">
        <f t="shared" si="16"/>
        <v>75</v>
      </c>
      <c r="U20" s="241">
        <f t="shared" si="17"/>
        <v>65</v>
      </c>
      <c r="V20" s="241">
        <f t="shared" si="18"/>
        <v>70</v>
      </c>
      <c r="W20" s="241">
        <f t="shared" si="19"/>
        <v>73</v>
      </c>
      <c r="X20" s="241">
        <f t="shared" si="20"/>
        <v>65</v>
      </c>
      <c r="Y20" s="123">
        <f t="shared" si="21"/>
        <v>1114</v>
      </c>
      <c r="Z20" s="124">
        <f t="shared" si="22"/>
        <v>74.266666666666666</v>
      </c>
      <c r="AA20" s="125">
        <f t="shared" si="23"/>
        <v>17</v>
      </c>
      <c r="AB20" s="126" t="s">
        <v>806</v>
      </c>
      <c r="AC20" s="126" t="s">
        <v>806</v>
      </c>
      <c r="AD20" s="126" t="s">
        <v>805</v>
      </c>
      <c r="AE20" s="127">
        <v>65</v>
      </c>
      <c r="AF20" s="127">
        <v>0</v>
      </c>
      <c r="AG20" s="127">
        <v>0</v>
      </c>
      <c r="AH20" s="128"/>
      <c r="AJ20" s="93">
        <v>12</v>
      </c>
      <c r="AK20" s="131">
        <v>24250138</v>
      </c>
      <c r="AL20" s="120" t="s">
        <v>670</v>
      </c>
      <c r="AM20" s="129">
        <v>66</v>
      </c>
      <c r="AN20" s="129">
        <v>66</v>
      </c>
      <c r="AO20" s="129">
        <v>84.5</v>
      </c>
      <c r="AP20" s="129">
        <v>52</v>
      </c>
      <c r="AQ20" s="129">
        <v>55.5</v>
      </c>
      <c r="AR20" s="129">
        <v>43</v>
      </c>
      <c r="AS20" s="129">
        <v>65.5</v>
      </c>
      <c r="AT20" s="129">
        <v>72</v>
      </c>
      <c r="AU20" s="129">
        <v>80.699999999999989</v>
      </c>
      <c r="AV20" s="129">
        <v>95.8</v>
      </c>
      <c r="AW20" s="130">
        <v>87</v>
      </c>
      <c r="AX20" s="130">
        <v>95</v>
      </c>
      <c r="AY20" s="130">
        <v>99</v>
      </c>
      <c r="AZ20" s="130">
        <v>70</v>
      </c>
      <c r="BA20" s="130">
        <v>80</v>
      </c>
      <c r="BB20" s="243">
        <v>60</v>
      </c>
      <c r="BC20" s="243">
        <v>75</v>
      </c>
      <c r="BD20" s="243">
        <v>65</v>
      </c>
      <c r="BE20" s="243">
        <v>70</v>
      </c>
      <c r="BF20" s="243">
        <v>72.5</v>
      </c>
      <c r="BG20" s="243">
        <v>65</v>
      </c>
      <c r="BH20" s="123">
        <f t="shared" si="24"/>
        <v>1112</v>
      </c>
      <c r="BI20" s="124">
        <f t="shared" si="25"/>
        <v>74.13333333333334</v>
      </c>
      <c r="BJ20" s="125" t="e">
        <f t="shared" si="26"/>
        <v>#N/A</v>
      </c>
      <c r="BK20" s="126"/>
      <c r="BL20" s="126"/>
      <c r="BM20" s="126"/>
      <c r="BN20" s="127"/>
      <c r="BO20" s="127"/>
      <c r="BP20" s="127"/>
      <c r="BQ20" s="128"/>
    </row>
    <row r="21" spans="1:69" ht="22.5" customHeight="1">
      <c r="A21" s="138">
        <v>18</v>
      </c>
      <c r="B21" s="131">
        <v>24250111</v>
      </c>
      <c r="C21" s="120" t="s">
        <v>665</v>
      </c>
      <c r="D21" s="121">
        <f t="shared" si="0"/>
        <v>77</v>
      </c>
      <c r="E21" s="121">
        <f t="shared" si="1"/>
        <v>82</v>
      </c>
      <c r="F21" s="121">
        <f t="shared" si="2"/>
        <v>71</v>
      </c>
      <c r="G21" s="121">
        <f t="shared" si="3"/>
        <v>48</v>
      </c>
      <c r="H21" s="121">
        <f t="shared" si="4"/>
        <v>72</v>
      </c>
      <c r="I21" s="121">
        <f t="shared" si="5"/>
        <v>46</v>
      </c>
      <c r="J21" s="121">
        <f t="shared" si="6"/>
        <v>79</v>
      </c>
      <c r="K21" s="121">
        <f t="shared" si="7"/>
        <v>76</v>
      </c>
      <c r="L21" s="121">
        <f t="shared" si="8"/>
        <v>69</v>
      </c>
      <c r="M21" s="121">
        <f t="shared" si="9"/>
        <v>76</v>
      </c>
      <c r="N21" s="122">
        <f t="shared" si="10"/>
        <v>95</v>
      </c>
      <c r="O21" s="122">
        <f t="shared" si="11"/>
        <v>80</v>
      </c>
      <c r="P21" s="122">
        <f t="shared" si="12"/>
        <v>75</v>
      </c>
      <c r="Q21" s="122">
        <f t="shared" si="13"/>
        <v>80</v>
      </c>
      <c r="R21" s="122">
        <f t="shared" si="14"/>
        <v>85</v>
      </c>
      <c r="S21" s="241">
        <f t="shared" si="15"/>
        <v>63</v>
      </c>
      <c r="T21" s="241">
        <f t="shared" si="16"/>
        <v>93</v>
      </c>
      <c r="U21" s="241">
        <f t="shared" si="17"/>
        <v>65</v>
      </c>
      <c r="V21" s="241">
        <f t="shared" si="18"/>
        <v>68</v>
      </c>
      <c r="W21" s="241">
        <f t="shared" si="19"/>
        <v>68</v>
      </c>
      <c r="X21" s="241">
        <f t="shared" si="20"/>
        <v>78</v>
      </c>
      <c r="Y21" s="123">
        <f t="shared" si="21"/>
        <v>1111</v>
      </c>
      <c r="Z21" s="124">
        <f t="shared" si="22"/>
        <v>74.066666666666663</v>
      </c>
      <c r="AA21" s="125">
        <f t="shared" si="23"/>
        <v>18</v>
      </c>
      <c r="AB21" s="126" t="s">
        <v>806</v>
      </c>
      <c r="AC21" s="126" t="s">
        <v>806</v>
      </c>
      <c r="AD21" s="126" t="s">
        <v>805</v>
      </c>
      <c r="AE21" s="127">
        <v>1</v>
      </c>
      <c r="AF21" s="127">
        <v>0</v>
      </c>
      <c r="AG21" s="127">
        <v>1</v>
      </c>
      <c r="AH21" s="128"/>
      <c r="AJ21" s="93">
        <v>2</v>
      </c>
      <c r="AK21" s="131">
        <v>24250111</v>
      </c>
      <c r="AL21" s="120" t="s">
        <v>665</v>
      </c>
      <c r="AM21" s="129">
        <v>77</v>
      </c>
      <c r="AN21" s="129">
        <v>81.5</v>
      </c>
      <c r="AO21" s="129">
        <v>71</v>
      </c>
      <c r="AP21" s="129">
        <v>48</v>
      </c>
      <c r="AQ21" s="129">
        <v>71.5</v>
      </c>
      <c r="AR21" s="129">
        <v>45.7</v>
      </c>
      <c r="AS21" s="129">
        <v>78.5</v>
      </c>
      <c r="AT21" s="129">
        <v>76</v>
      </c>
      <c r="AU21" s="129">
        <v>69</v>
      </c>
      <c r="AV21" s="129">
        <v>75.5</v>
      </c>
      <c r="AW21" s="130">
        <v>95</v>
      </c>
      <c r="AX21" s="130">
        <v>80</v>
      </c>
      <c r="AY21" s="130">
        <v>75</v>
      </c>
      <c r="AZ21" s="130">
        <v>80</v>
      </c>
      <c r="BA21" s="130">
        <v>85</v>
      </c>
      <c r="BB21" s="243">
        <v>62.5</v>
      </c>
      <c r="BC21" s="243">
        <v>92.5</v>
      </c>
      <c r="BD21" s="243">
        <v>65</v>
      </c>
      <c r="BE21" s="243">
        <v>67.5</v>
      </c>
      <c r="BF21" s="243">
        <v>67.5</v>
      </c>
      <c r="BG21" s="243">
        <v>77.5</v>
      </c>
      <c r="BH21" s="123">
        <f t="shared" si="24"/>
        <v>1108.7</v>
      </c>
      <c r="BI21" s="124">
        <f t="shared" si="25"/>
        <v>73.913333333333341</v>
      </c>
      <c r="BJ21" s="125" t="e">
        <f t="shared" si="26"/>
        <v>#N/A</v>
      </c>
      <c r="BK21" s="126"/>
      <c r="BL21" s="126"/>
      <c r="BM21" s="126"/>
      <c r="BN21" s="127"/>
      <c r="BO21" s="127"/>
      <c r="BP21" s="127"/>
      <c r="BQ21" s="128"/>
    </row>
    <row r="22" spans="1:69" ht="22.5" customHeight="1">
      <c r="A22" s="138">
        <v>19</v>
      </c>
      <c r="B22" s="119">
        <v>24250139</v>
      </c>
      <c r="C22" s="120" t="s">
        <v>677</v>
      </c>
      <c r="D22" s="121">
        <f t="shared" si="0"/>
        <v>78</v>
      </c>
      <c r="E22" s="121">
        <f t="shared" si="1"/>
        <v>68</v>
      </c>
      <c r="F22" s="121">
        <f t="shared" si="2"/>
        <v>70</v>
      </c>
      <c r="G22" s="121">
        <f t="shared" si="3"/>
        <v>52</v>
      </c>
      <c r="H22" s="121">
        <f t="shared" si="4"/>
        <v>69</v>
      </c>
      <c r="I22" s="121">
        <f t="shared" si="5"/>
        <v>62</v>
      </c>
      <c r="J22" s="121">
        <f t="shared" si="6"/>
        <v>82</v>
      </c>
      <c r="K22" s="121">
        <f t="shared" si="7"/>
        <v>72</v>
      </c>
      <c r="L22" s="121">
        <f t="shared" si="8"/>
        <v>67</v>
      </c>
      <c r="M22" s="121">
        <f t="shared" si="9"/>
        <v>78</v>
      </c>
      <c r="N22" s="122">
        <f t="shared" si="10"/>
        <v>85</v>
      </c>
      <c r="O22" s="122">
        <f t="shared" si="11"/>
        <v>70</v>
      </c>
      <c r="P22" s="122">
        <f t="shared" si="12"/>
        <v>99</v>
      </c>
      <c r="Q22" s="122">
        <f t="shared" si="13"/>
        <v>70</v>
      </c>
      <c r="R22" s="122">
        <f t="shared" si="14"/>
        <v>75</v>
      </c>
      <c r="S22" s="241">
        <f t="shared" si="15"/>
        <v>93</v>
      </c>
      <c r="T22" s="241">
        <f t="shared" si="16"/>
        <v>98</v>
      </c>
      <c r="U22" s="241">
        <f t="shared" si="17"/>
        <v>60</v>
      </c>
      <c r="V22" s="241">
        <f t="shared" si="18"/>
        <v>68</v>
      </c>
      <c r="W22" s="241">
        <f t="shared" si="19"/>
        <v>88</v>
      </c>
      <c r="X22" s="241">
        <f t="shared" si="20"/>
        <v>85</v>
      </c>
      <c r="Y22" s="123">
        <f t="shared" si="21"/>
        <v>1097</v>
      </c>
      <c r="Z22" s="124">
        <f t="shared" si="22"/>
        <v>73.13333333333334</v>
      </c>
      <c r="AA22" s="125">
        <f t="shared" si="23"/>
        <v>19</v>
      </c>
      <c r="AB22" s="126" t="s">
        <v>806</v>
      </c>
      <c r="AC22" s="126" t="s">
        <v>806</v>
      </c>
      <c r="AD22" s="126" t="s">
        <v>805</v>
      </c>
      <c r="AE22" s="127">
        <v>0</v>
      </c>
      <c r="AF22" s="127">
        <v>0</v>
      </c>
      <c r="AG22" s="127">
        <v>96</v>
      </c>
      <c r="AH22" s="128"/>
      <c r="AJ22" s="93">
        <v>24</v>
      </c>
      <c r="AK22" s="119">
        <v>24250139</v>
      </c>
      <c r="AL22" s="120" t="s">
        <v>677</v>
      </c>
      <c r="AM22" s="129">
        <v>78</v>
      </c>
      <c r="AN22" s="129">
        <v>67.5</v>
      </c>
      <c r="AO22" s="129">
        <v>69.5</v>
      </c>
      <c r="AP22" s="129">
        <v>52</v>
      </c>
      <c r="AQ22" s="129">
        <v>68.5</v>
      </c>
      <c r="AR22" s="129">
        <v>62</v>
      </c>
      <c r="AS22" s="129">
        <v>82</v>
      </c>
      <c r="AT22" s="129">
        <v>71.5</v>
      </c>
      <c r="AU22" s="129">
        <v>67</v>
      </c>
      <c r="AV22" s="129">
        <v>78.3</v>
      </c>
      <c r="AW22" s="130">
        <v>85</v>
      </c>
      <c r="AX22" s="130">
        <v>70</v>
      </c>
      <c r="AY22" s="130">
        <v>99</v>
      </c>
      <c r="AZ22" s="130">
        <v>70</v>
      </c>
      <c r="BA22" s="130">
        <v>75</v>
      </c>
      <c r="BB22" s="243">
        <v>92.5</v>
      </c>
      <c r="BC22" s="243">
        <v>97.5</v>
      </c>
      <c r="BD22" s="243">
        <v>60</v>
      </c>
      <c r="BE22" s="243">
        <v>67.5</v>
      </c>
      <c r="BF22" s="243">
        <v>87.5</v>
      </c>
      <c r="BG22" s="243">
        <v>85</v>
      </c>
      <c r="BH22" s="123">
        <f t="shared" si="24"/>
        <v>1095.3</v>
      </c>
      <c r="BI22" s="124">
        <f t="shared" si="25"/>
        <v>73.02</v>
      </c>
      <c r="BJ22" s="125" t="e">
        <f t="shared" si="26"/>
        <v>#N/A</v>
      </c>
      <c r="BK22" s="126"/>
      <c r="BL22" s="126"/>
      <c r="BM22" s="126"/>
      <c r="BN22" s="127"/>
      <c r="BO22" s="127"/>
      <c r="BP22" s="127"/>
      <c r="BQ22" s="128"/>
    </row>
    <row r="23" spans="1:69" ht="22.5" customHeight="1">
      <c r="A23" s="138">
        <v>20</v>
      </c>
      <c r="B23" s="131">
        <v>24250012</v>
      </c>
      <c r="C23" s="120" t="s">
        <v>429</v>
      </c>
      <c r="D23" s="121">
        <f t="shared" si="0"/>
        <v>75</v>
      </c>
      <c r="E23" s="121">
        <f t="shared" si="1"/>
        <v>71</v>
      </c>
      <c r="F23" s="121">
        <f t="shared" si="2"/>
        <v>74</v>
      </c>
      <c r="G23" s="121">
        <f t="shared" si="3"/>
        <v>48</v>
      </c>
      <c r="H23" s="121">
        <f t="shared" si="4"/>
        <v>68</v>
      </c>
      <c r="I23" s="121">
        <f t="shared" si="5"/>
        <v>44</v>
      </c>
      <c r="J23" s="121">
        <f t="shared" si="6"/>
        <v>81</v>
      </c>
      <c r="K23" s="121">
        <f t="shared" si="7"/>
        <v>77</v>
      </c>
      <c r="L23" s="121">
        <f t="shared" si="8"/>
        <v>69</v>
      </c>
      <c r="M23" s="121">
        <f t="shared" si="9"/>
        <v>85</v>
      </c>
      <c r="N23" s="122">
        <f t="shared" si="10"/>
        <v>85</v>
      </c>
      <c r="O23" s="122">
        <f t="shared" si="11"/>
        <v>65</v>
      </c>
      <c r="P23" s="122">
        <f t="shared" si="12"/>
        <v>99</v>
      </c>
      <c r="Q23" s="122">
        <f t="shared" si="13"/>
        <v>75</v>
      </c>
      <c r="R23" s="122">
        <f t="shared" si="14"/>
        <v>80</v>
      </c>
      <c r="S23" s="241">
        <f t="shared" si="15"/>
        <v>73</v>
      </c>
      <c r="T23" s="241">
        <f t="shared" si="16"/>
        <v>99</v>
      </c>
      <c r="U23" s="241">
        <f t="shared" si="17"/>
        <v>70</v>
      </c>
      <c r="V23" s="241">
        <f t="shared" si="18"/>
        <v>80</v>
      </c>
      <c r="W23" s="241">
        <f t="shared" si="19"/>
        <v>80</v>
      </c>
      <c r="X23" s="241">
        <f t="shared" si="20"/>
        <v>88</v>
      </c>
      <c r="Y23" s="123">
        <f t="shared" si="21"/>
        <v>1096</v>
      </c>
      <c r="Z23" s="124">
        <f t="shared" si="22"/>
        <v>73.066666666666663</v>
      </c>
      <c r="AA23" s="125">
        <f t="shared" si="23"/>
        <v>20</v>
      </c>
      <c r="AB23" s="126" t="s">
        <v>806</v>
      </c>
      <c r="AC23" s="126" t="s">
        <v>806</v>
      </c>
      <c r="AD23" s="126" t="s">
        <v>805</v>
      </c>
      <c r="AE23" s="127">
        <v>0</v>
      </c>
      <c r="AF23" s="127">
        <v>0</v>
      </c>
      <c r="AG23" s="127">
        <v>0</v>
      </c>
      <c r="AH23" s="128"/>
      <c r="AJ23" s="93">
        <v>17</v>
      </c>
      <c r="AK23" s="131">
        <v>24250012</v>
      </c>
      <c r="AL23" s="120" t="s">
        <v>429</v>
      </c>
      <c r="AM23" s="129">
        <v>74.5</v>
      </c>
      <c r="AN23" s="129">
        <v>70.5</v>
      </c>
      <c r="AO23" s="129">
        <v>74</v>
      </c>
      <c r="AP23" s="129">
        <v>48</v>
      </c>
      <c r="AQ23" s="129">
        <v>67.5</v>
      </c>
      <c r="AR23" s="129">
        <v>44</v>
      </c>
      <c r="AS23" s="129">
        <v>80.5</v>
      </c>
      <c r="AT23" s="129">
        <v>77</v>
      </c>
      <c r="AU23" s="129">
        <v>68.5</v>
      </c>
      <c r="AV23" s="129">
        <v>85.4</v>
      </c>
      <c r="AW23" s="130">
        <v>85</v>
      </c>
      <c r="AX23" s="130">
        <v>65</v>
      </c>
      <c r="AY23" s="130">
        <v>99</v>
      </c>
      <c r="AZ23" s="130">
        <v>75</v>
      </c>
      <c r="BA23" s="130">
        <v>80</v>
      </c>
      <c r="BB23" s="243">
        <v>72.5</v>
      </c>
      <c r="BC23" s="243">
        <v>100</v>
      </c>
      <c r="BD23" s="243">
        <v>70</v>
      </c>
      <c r="BE23" s="243">
        <v>80</v>
      </c>
      <c r="BF23" s="243">
        <v>80</v>
      </c>
      <c r="BG23" s="243">
        <v>87.5</v>
      </c>
      <c r="BH23" s="123">
        <f t="shared" si="24"/>
        <v>1093.9000000000001</v>
      </c>
      <c r="BI23" s="124">
        <f t="shared" si="25"/>
        <v>72.926666666666677</v>
      </c>
      <c r="BJ23" s="125" t="e">
        <f t="shared" si="26"/>
        <v>#N/A</v>
      </c>
      <c r="BK23" s="126"/>
      <c r="BL23" s="126"/>
      <c r="BM23" s="126"/>
      <c r="BN23" s="127"/>
      <c r="BO23" s="127"/>
      <c r="BP23" s="127"/>
      <c r="BQ23" s="128"/>
    </row>
    <row r="24" spans="1:69" ht="22.5" customHeight="1">
      <c r="A24" s="138">
        <v>21</v>
      </c>
      <c r="B24" s="131">
        <v>24250050</v>
      </c>
      <c r="C24" s="120" t="s">
        <v>432</v>
      </c>
      <c r="D24" s="121">
        <f t="shared" si="0"/>
        <v>71</v>
      </c>
      <c r="E24" s="121">
        <f t="shared" si="1"/>
        <v>66</v>
      </c>
      <c r="F24" s="121">
        <f t="shared" si="2"/>
        <v>72</v>
      </c>
      <c r="G24" s="121">
        <f t="shared" si="3"/>
        <v>54</v>
      </c>
      <c r="H24" s="121">
        <f t="shared" si="4"/>
        <v>65</v>
      </c>
      <c r="I24" s="121">
        <f t="shared" si="5"/>
        <v>41</v>
      </c>
      <c r="J24" s="121">
        <f t="shared" si="6"/>
        <v>64</v>
      </c>
      <c r="K24" s="121">
        <f t="shared" si="7"/>
        <v>72</v>
      </c>
      <c r="L24" s="121">
        <f t="shared" si="8"/>
        <v>67</v>
      </c>
      <c r="M24" s="121">
        <f t="shared" si="9"/>
        <v>76</v>
      </c>
      <c r="N24" s="122">
        <f t="shared" si="10"/>
        <v>89</v>
      </c>
      <c r="O24" s="122">
        <f t="shared" si="11"/>
        <v>95</v>
      </c>
      <c r="P24" s="122">
        <f t="shared" si="12"/>
        <v>99</v>
      </c>
      <c r="Q24" s="122">
        <f t="shared" si="13"/>
        <v>70</v>
      </c>
      <c r="R24" s="122">
        <f t="shared" si="14"/>
        <v>75</v>
      </c>
      <c r="S24" s="241">
        <f t="shared" si="15"/>
        <v>63</v>
      </c>
      <c r="T24" s="241">
        <f t="shared" si="16"/>
        <v>75</v>
      </c>
      <c r="U24" s="241">
        <f t="shared" si="17"/>
        <v>63</v>
      </c>
      <c r="V24" s="241">
        <f t="shared" si="18"/>
        <v>60</v>
      </c>
      <c r="W24" s="241">
        <f t="shared" si="19"/>
        <v>70</v>
      </c>
      <c r="X24" s="241">
        <f t="shared" si="20"/>
        <v>93</v>
      </c>
      <c r="Y24" s="123">
        <f t="shared" si="21"/>
        <v>1076</v>
      </c>
      <c r="Z24" s="124">
        <f t="shared" si="22"/>
        <v>71.733333333333334</v>
      </c>
      <c r="AA24" s="125">
        <f t="shared" si="23"/>
        <v>21</v>
      </c>
      <c r="AB24" s="126" t="s">
        <v>806</v>
      </c>
      <c r="AC24" s="126" t="s">
        <v>805</v>
      </c>
      <c r="AD24" s="126" t="s">
        <v>805</v>
      </c>
      <c r="AE24" s="127">
        <v>10</v>
      </c>
      <c r="AF24" s="127">
        <v>0</v>
      </c>
      <c r="AG24" s="127">
        <v>0</v>
      </c>
      <c r="AH24" s="128"/>
      <c r="AJ24" s="93">
        <v>6</v>
      </c>
      <c r="AK24" s="131">
        <v>24250050</v>
      </c>
      <c r="AL24" s="120" t="s">
        <v>432</v>
      </c>
      <c r="AM24" s="129">
        <v>71</v>
      </c>
      <c r="AN24" s="129">
        <v>65.5</v>
      </c>
      <c r="AO24" s="129">
        <v>71.5</v>
      </c>
      <c r="AP24" s="129">
        <v>53.5</v>
      </c>
      <c r="AQ24" s="129">
        <v>64.5</v>
      </c>
      <c r="AR24" s="129">
        <v>41</v>
      </c>
      <c r="AS24" s="129">
        <v>63.5</v>
      </c>
      <c r="AT24" s="132">
        <v>72</v>
      </c>
      <c r="AU24" s="129">
        <v>66.5</v>
      </c>
      <c r="AV24" s="129">
        <v>76</v>
      </c>
      <c r="AW24" s="133">
        <v>89</v>
      </c>
      <c r="AX24" s="130">
        <v>95</v>
      </c>
      <c r="AY24" s="130">
        <v>99</v>
      </c>
      <c r="AZ24" s="130">
        <v>70</v>
      </c>
      <c r="BA24" s="130">
        <v>75</v>
      </c>
      <c r="BB24" s="243">
        <v>62.5</v>
      </c>
      <c r="BC24" s="243">
        <v>75</v>
      </c>
      <c r="BD24" s="243">
        <v>62.5</v>
      </c>
      <c r="BE24" s="243">
        <v>60</v>
      </c>
      <c r="BF24" s="243">
        <v>70</v>
      </c>
      <c r="BG24" s="243">
        <v>92.5</v>
      </c>
      <c r="BH24" s="123">
        <f t="shared" si="24"/>
        <v>1073</v>
      </c>
      <c r="BI24" s="124">
        <f t="shared" si="25"/>
        <v>71.533333333333331</v>
      </c>
      <c r="BJ24" s="125" t="e">
        <f t="shared" si="26"/>
        <v>#N/A</v>
      </c>
      <c r="BK24" s="126"/>
      <c r="BL24" s="126"/>
      <c r="BM24" s="126"/>
      <c r="BN24" s="127"/>
      <c r="BO24" s="127"/>
      <c r="BP24" s="127"/>
      <c r="BQ24" s="128"/>
    </row>
    <row r="25" spans="1:69" ht="22.5" customHeight="1">
      <c r="A25" s="138">
        <v>22</v>
      </c>
      <c r="B25" s="119">
        <v>23240001</v>
      </c>
      <c r="C25" s="120" t="s">
        <v>398</v>
      </c>
      <c r="D25" s="121">
        <f t="shared" si="0"/>
        <v>70</v>
      </c>
      <c r="E25" s="121">
        <f t="shared" si="1"/>
        <v>67</v>
      </c>
      <c r="F25" s="121">
        <f t="shared" si="2"/>
        <v>58</v>
      </c>
      <c r="G25" s="121">
        <f t="shared" si="3"/>
        <v>53</v>
      </c>
      <c r="H25" s="121">
        <f t="shared" si="4"/>
        <v>65</v>
      </c>
      <c r="I25" s="121">
        <f t="shared" si="5"/>
        <v>60</v>
      </c>
      <c r="J25" s="121">
        <f t="shared" si="6"/>
        <v>65</v>
      </c>
      <c r="K25" s="121">
        <f t="shared" si="7"/>
        <v>77</v>
      </c>
      <c r="L25" s="121">
        <f t="shared" si="8"/>
        <v>72</v>
      </c>
      <c r="M25" s="121">
        <f t="shared" si="9"/>
        <v>68</v>
      </c>
      <c r="N25" s="122">
        <f t="shared" si="10"/>
        <v>85</v>
      </c>
      <c r="O25" s="122">
        <f t="shared" si="11"/>
        <v>90</v>
      </c>
      <c r="P25" s="122">
        <f t="shared" si="12"/>
        <v>99</v>
      </c>
      <c r="Q25" s="122">
        <f t="shared" si="13"/>
        <v>70</v>
      </c>
      <c r="R25" s="122">
        <f t="shared" si="14"/>
        <v>75</v>
      </c>
      <c r="S25" s="241">
        <f t="shared" si="15"/>
        <v>88</v>
      </c>
      <c r="T25" s="241">
        <f t="shared" si="16"/>
        <v>99</v>
      </c>
      <c r="U25" s="241">
        <f t="shared" si="17"/>
        <v>65</v>
      </c>
      <c r="V25" s="241">
        <f t="shared" si="18"/>
        <v>80</v>
      </c>
      <c r="W25" s="241">
        <f t="shared" si="19"/>
        <v>93</v>
      </c>
      <c r="X25" s="241">
        <f t="shared" si="20"/>
        <v>98</v>
      </c>
      <c r="Y25" s="123">
        <f t="shared" si="21"/>
        <v>1074</v>
      </c>
      <c r="Z25" s="124">
        <f t="shared" si="22"/>
        <v>71.599999999999994</v>
      </c>
      <c r="AA25" s="125">
        <f t="shared" si="23"/>
        <v>22</v>
      </c>
      <c r="AB25" s="126" t="s">
        <v>806</v>
      </c>
      <c r="AC25" s="126" t="s">
        <v>805</v>
      </c>
      <c r="AD25" s="126" t="s">
        <v>805</v>
      </c>
      <c r="AE25" s="127">
        <v>0</v>
      </c>
      <c r="AF25" s="127">
        <v>0</v>
      </c>
      <c r="AG25" s="127">
        <v>0</v>
      </c>
      <c r="AH25" s="128"/>
      <c r="AJ25" s="93"/>
      <c r="AK25" s="119"/>
      <c r="AL25" s="120"/>
      <c r="AM25" s="129">
        <v>70</v>
      </c>
      <c r="AN25" s="129">
        <v>66.5</v>
      </c>
      <c r="AO25" s="129">
        <v>58</v>
      </c>
      <c r="AP25" s="129">
        <v>53</v>
      </c>
      <c r="AQ25" s="129">
        <v>64.5</v>
      </c>
      <c r="AR25" s="129">
        <v>59.6</v>
      </c>
      <c r="AS25" s="129">
        <v>65</v>
      </c>
      <c r="AT25" s="129">
        <v>76.5</v>
      </c>
      <c r="AU25" s="129">
        <v>71.5</v>
      </c>
      <c r="AV25" s="129">
        <v>67.5</v>
      </c>
      <c r="AW25" s="130">
        <v>85</v>
      </c>
      <c r="AX25" s="130">
        <v>90</v>
      </c>
      <c r="AY25" s="130">
        <v>99</v>
      </c>
      <c r="AZ25" s="130">
        <v>70</v>
      </c>
      <c r="BA25" s="130">
        <v>75</v>
      </c>
      <c r="BB25" s="243">
        <v>87.5</v>
      </c>
      <c r="BC25" s="243">
        <v>100</v>
      </c>
      <c r="BD25" s="243">
        <v>65</v>
      </c>
      <c r="BE25" s="243">
        <v>80</v>
      </c>
      <c r="BF25" s="243">
        <v>92.5</v>
      </c>
      <c r="BG25" s="243">
        <v>97.5</v>
      </c>
      <c r="BH25" s="123"/>
      <c r="BI25" s="124"/>
      <c r="BJ25" s="125"/>
      <c r="BK25" s="126"/>
      <c r="BL25" s="126"/>
      <c r="BM25" s="126"/>
      <c r="BN25" s="127"/>
      <c r="BO25" s="127"/>
      <c r="BP25" s="127"/>
      <c r="BQ25" s="128"/>
    </row>
    <row r="26" spans="1:69" ht="22.5" customHeight="1">
      <c r="A26" s="138">
        <v>23</v>
      </c>
      <c r="B26" s="119">
        <v>23240117</v>
      </c>
      <c r="C26" s="120" t="s">
        <v>397</v>
      </c>
      <c r="D26" s="121">
        <f t="shared" si="0"/>
        <v>71</v>
      </c>
      <c r="E26" s="121">
        <f t="shared" si="1"/>
        <v>66</v>
      </c>
      <c r="F26" s="121">
        <f t="shared" si="2"/>
        <v>64</v>
      </c>
      <c r="G26" s="121">
        <f t="shared" si="3"/>
        <v>48</v>
      </c>
      <c r="H26" s="121">
        <f t="shared" si="4"/>
        <v>68</v>
      </c>
      <c r="I26" s="121">
        <f t="shared" si="5"/>
        <v>40</v>
      </c>
      <c r="J26" s="121">
        <f t="shared" si="6"/>
        <v>68</v>
      </c>
      <c r="K26" s="121">
        <f t="shared" si="7"/>
        <v>76</v>
      </c>
      <c r="L26" s="121">
        <f t="shared" si="8"/>
        <v>69</v>
      </c>
      <c r="M26" s="121">
        <f t="shared" si="9"/>
        <v>68</v>
      </c>
      <c r="N26" s="122">
        <f t="shared" si="10"/>
        <v>85</v>
      </c>
      <c r="O26" s="122">
        <f t="shared" si="11"/>
        <v>70</v>
      </c>
      <c r="P26" s="122">
        <f t="shared" si="12"/>
        <v>99</v>
      </c>
      <c r="Q26" s="122">
        <f t="shared" si="13"/>
        <v>70</v>
      </c>
      <c r="R26" s="122">
        <f t="shared" si="14"/>
        <v>75</v>
      </c>
      <c r="S26" s="241">
        <f t="shared" si="15"/>
        <v>60</v>
      </c>
      <c r="T26" s="241">
        <f t="shared" si="16"/>
        <v>99</v>
      </c>
      <c r="U26" s="241">
        <f t="shared" si="17"/>
        <v>73</v>
      </c>
      <c r="V26" s="241">
        <f t="shared" si="18"/>
        <v>60</v>
      </c>
      <c r="W26" s="241">
        <f t="shared" si="19"/>
        <v>83</v>
      </c>
      <c r="X26" s="241">
        <f t="shared" si="20"/>
        <v>83</v>
      </c>
      <c r="Y26" s="123">
        <f t="shared" si="21"/>
        <v>1037</v>
      </c>
      <c r="Z26" s="124">
        <f t="shared" si="22"/>
        <v>69.13333333333334</v>
      </c>
      <c r="AA26" s="125">
        <f t="shared" si="23"/>
        <v>23</v>
      </c>
      <c r="AB26" s="126" t="s">
        <v>806</v>
      </c>
      <c r="AC26" s="126" t="s">
        <v>805</v>
      </c>
      <c r="AD26" s="126" t="s">
        <v>805</v>
      </c>
      <c r="AE26" s="127">
        <v>22</v>
      </c>
      <c r="AF26" s="127">
        <v>7</v>
      </c>
      <c r="AG26" s="127">
        <v>0</v>
      </c>
      <c r="AH26" s="128"/>
      <c r="AJ26" s="93"/>
      <c r="AK26" s="119"/>
      <c r="AL26" s="120"/>
      <c r="AM26" s="129">
        <v>71</v>
      </c>
      <c r="AN26" s="129">
        <v>66</v>
      </c>
      <c r="AO26" s="129">
        <v>64</v>
      </c>
      <c r="AP26" s="129">
        <v>48</v>
      </c>
      <c r="AQ26" s="129">
        <v>68</v>
      </c>
      <c r="AR26" s="129">
        <v>24</v>
      </c>
      <c r="AS26" s="129">
        <v>67.5</v>
      </c>
      <c r="AT26" s="129">
        <v>75.5</v>
      </c>
      <c r="AU26" s="129">
        <v>68.5</v>
      </c>
      <c r="AV26" s="129">
        <v>67.5</v>
      </c>
      <c r="AW26" s="130">
        <v>85</v>
      </c>
      <c r="AX26" s="130">
        <v>70</v>
      </c>
      <c r="AY26" s="130">
        <v>99</v>
      </c>
      <c r="AZ26" s="130">
        <v>70</v>
      </c>
      <c r="BA26" s="130">
        <v>75</v>
      </c>
      <c r="BB26" s="243">
        <v>60</v>
      </c>
      <c r="BC26" s="243">
        <v>100</v>
      </c>
      <c r="BD26" s="243">
        <v>72.5</v>
      </c>
      <c r="BE26" s="243">
        <v>60</v>
      </c>
      <c r="BF26" s="243">
        <v>82.5</v>
      </c>
      <c r="BG26" s="243">
        <v>82.5</v>
      </c>
      <c r="BH26" s="123"/>
      <c r="BI26" s="124"/>
      <c r="BJ26" s="125"/>
      <c r="BK26" s="126"/>
      <c r="BL26" s="126"/>
      <c r="BM26" s="126"/>
      <c r="BN26" s="127"/>
      <c r="BO26" s="127"/>
      <c r="BP26" s="127"/>
      <c r="BQ26" s="128"/>
    </row>
    <row r="27" spans="1:69" ht="22.5" customHeight="1">
      <c r="A27" s="138">
        <v>24</v>
      </c>
      <c r="B27" s="119">
        <v>24250172</v>
      </c>
      <c r="C27" s="120" t="s">
        <v>664</v>
      </c>
      <c r="D27" s="121">
        <f t="shared" si="0"/>
        <v>77</v>
      </c>
      <c r="E27" s="121">
        <f t="shared" si="1"/>
        <v>79</v>
      </c>
      <c r="F27" s="121">
        <f t="shared" si="2"/>
        <v>69</v>
      </c>
      <c r="G27" s="121">
        <f t="shared" si="3"/>
        <v>47</v>
      </c>
      <c r="H27" s="121">
        <f t="shared" si="4"/>
        <v>68</v>
      </c>
      <c r="I27" s="121">
        <f t="shared" si="5"/>
        <v>48</v>
      </c>
      <c r="J27" s="121">
        <f t="shared" si="6"/>
        <v>65</v>
      </c>
      <c r="K27" s="121">
        <f t="shared" si="7"/>
        <v>76</v>
      </c>
      <c r="L27" s="121">
        <f t="shared" si="8"/>
        <v>64</v>
      </c>
      <c r="M27" s="121">
        <f t="shared" si="9"/>
        <v>65</v>
      </c>
      <c r="N27" s="122">
        <f t="shared" si="10"/>
        <v>75</v>
      </c>
      <c r="O27" s="122">
        <f t="shared" si="11"/>
        <v>65</v>
      </c>
      <c r="P27" s="122">
        <f t="shared" si="12"/>
        <v>70</v>
      </c>
      <c r="Q27" s="122">
        <f t="shared" si="13"/>
        <v>70</v>
      </c>
      <c r="R27" s="122">
        <f t="shared" si="14"/>
        <v>75</v>
      </c>
      <c r="S27" s="241">
        <f t="shared" si="15"/>
        <v>85</v>
      </c>
      <c r="T27" s="241">
        <f t="shared" si="16"/>
        <v>90</v>
      </c>
      <c r="U27" s="241">
        <f t="shared" si="17"/>
        <v>68</v>
      </c>
      <c r="V27" s="241">
        <f t="shared" si="18"/>
        <v>60</v>
      </c>
      <c r="W27" s="241">
        <f t="shared" si="19"/>
        <v>85</v>
      </c>
      <c r="X27" s="241">
        <f t="shared" si="20"/>
        <v>75</v>
      </c>
      <c r="Y27" s="123">
        <f t="shared" si="21"/>
        <v>1013</v>
      </c>
      <c r="Z27" s="124">
        <f t="shared" si="22"/>
        <v>67.533333333333331</v>
      </c>
      <c r="AA27" s="125">
        <f t="shared" si="23"/>
        <v>24</v>
      </c>
      <c r="AB27" s="126" t="s">
        <v>806</v>
      </c>
      <c r="AC27" s="126" t="s">
        <v>805</v>
      </c>
      <c r="AD27" s="126" t="s">
        <v>805</v>
      </c>
      <c r="AE27" s="127">
        <v>56</v>
      </c>
      <c r="AF27" s="127">
        <v>0</v>
      </c>
      <c r="AG27" s="127">
        <v>0</v>
      </c>
      <c r="AH27" s="128"/>
      <c r="AJ27" s="93">
        <v>1</v>
      </c>
      <c r="AK27" s="119">
        <v>24250172</v>
      </c>
      <c r="AL27" s="120" t="s">
        <v>664</v>
      </c>
      <c r="AM27" s="129">
        <v>76.5</v>
      </c>
      <c r="AN27" s="129">
        <v>78.5</v>
      </c>
      <c r="AO27" s="129">
        <v>68.5</v>
      </c>
      <c r="AP27" s="129">
        <v>47</v>
      </c>
      <c r="AQ27" s="129">
        <v>68</v>
      </c>
      <c r="AR27" s="129">
        <v>47.5</v>
      </c>
      <c r="AS27" s="129">
        <v>65</v>
      </c>
      <c r="AT27" s="129">
        <v>76</v>
      </c>
      <c r="AU27" s="129">
        <v>64</v>
      </c>
      <c r="AV27" s="129">
        <v>65.400000000000006</v>
      </c>
      <c r="AW27" s="130">
        <v>75</v>
      </c>
      <c r="AX27" s="130">
        <v>65</v>
      </c>
      <c r="AY27" s="130">
        <v>70</v>
      </c>
      <c r="AZ27" s="130">
        <v>70</v>
      </c>
      <c r="BA27" s="130">
        <v>75</v>
      </c>
      <c r="BB27" s="243">
        <v>85</v>
      </c>
      <c r="BC27" s="243">
        <v>90</v>
      </c>
      <c r="BD27" s="243">
        <v>67.5</v>
      </c>
      <c r="BE27" s="243">
        <v>60</v>
      </c>
      <c r="BF27" s="243">
        <v>85</v>
      </c>
      <c r="BG27" s="243">
        <v>75</v>
      </c>
      <c r="BH27" s="123">
        <f>SUM(AM27:BA27)</f>
        <v>1011.4</v>
      </c>
      <c r="BI27" s="124">
        <f>AVERAGE(AM27:BA27)</f>
        <v>67.426666666666662</v>
      </c>
      <c r="BJ27" s="125" t="e">
        <f>RANK(BH27,$Y$2:$Y$27)</f>
        <v>#N/A</v>
      </c>
      <c r="BK27" s="126"/>
      <c r="BL27" s="126"/>
      <c r="BM27" s="126"/>
      <c r="BN27" s="127"/>
      <c r="BO27" s="127"/>
      <c r="BP27" s="127"/>
      <c r="BQ27" s="128"/>
    </row>
    <row r="28" spans="1:69" ht="22.5" customHeight="1">
      <c r="A28" s="138">
        <v>25</v>
      </c>
      <c r="B28" s="119">
        <v>23240157</v>
      </c>
      <c r="C28" s="120" t="s">
        <v>678</v>
      </c>
      <c r="D28" s="121">
        <f t="shared" si="0"/>
        <v>53</v>
      </c>
      <c r="E28" s="121">
        <f t="shared" si="1"/>
        <v>49</v>
      </c>
      <c r="F28" s="121">
        <f t="shared" si="2"/>
        <v>57</v>
      </c>
      <c r="G28" s="121">
        <f t="shared" si="3"/>
        <v>43</v>
      </c>
      <c r="H28" s="121">
        <f t="shared" si="4"/>
        <v>43</v>
      </c>
      <c r="I28" s="121">
        <f t="shared" si="5"/>
        <v>46</v>
      </c>
      <c r="J28" s="121">
        <f t="shared" si="6"/>
        <v>55</v>
      </c>
      <c r="K28" s="121">
        <f t="shared" si="7"/>
        <v>55</v>
      </c>
      <c r="L28" s="121">
        <f t="shared" si="8"/>
        <v>63</v>
      </c>
      <c r="M28" s="121">
        <f t="shared" si="9"/>
        <v>72</v>
      </c>
      <c r="N28" s="122">
        <f t="shared" si="10"/>
        <v>95</v>
      </c>
      <c r="O28" s="122">
        <f t="shared" si="11"/>
        <v>90</v>
      </c>
      <c r="P28" s="122">
        <f t="shared" si="12"/>
        <v>99</v>
      </c>
      <c r="Q28" s="122">
        <f t="shared" si="13"/>
        <v>70</v>
      </c>
      <c r="R28" s="122">
        <f t="shared" si="14"/>
        <v>75</v>
      </c>
      <c r="S28" s="241">
        <f t="shared" si="15"/>
        <v>90</v>
      </c>
      <c r="T28" s="241">
        <f t="shared" si="16"/>
        <v>99</v>
      </c>
      <c r="U28" s="241">
        <f t="shared" si="17"/>
        <v>70</v>
      </c>
      <c r="V28" s="241">
        <f t="shared" si="18"/>
        <v>73</v>
      </c>
      <c r="W28" s="241">
        <f t="shared" si="19"/>
        <v>95</v>
      </c>
      <c r="X28" s="241">
        <f t="shared" si="20"/>
        <v>93</v>
      </c>
      <c r="Y28" s="123">
        <f t="shared" si="21"/>
        <v>965</v>
      </c>
      <c r="Z28" s="124">
        <f t="shared" si="22"/>
        <v>64.333333333333329</v>
      </c>
      <c r="AA28" s="125">
        <f t="shared" si="23"/>
        <v>25</v>
      </c>
      <c r="AB28" s="126" t="s">
        <v>806</v>
      </c>
      <c r="AC28" s="126" t="s">
        <v>805</v>
      </c>
      <c r="AD28" s="126" t="s">
        <v>805</v>
      </c>
      <c r="AE28" s="127">
        <v>0</v>
      </c>
      <c r="AF28" s="127">
        <v>0</v>
      </c>
      <c r="AG28" s="127">
        <v>0</v>
      </c>
      <c r="AH28" s="128"/>
      <c r="AJ28" s="247"/>
      <c r="AK28" s="256"/>
      <c r="AL28" s="257"/>
      <c r="AM28" s="129">
        <v>53</v>
      </c>
      <c r="AN28" s="129">
        <v>49</v>
      </c>
      <c r="AO28" s="129">
        <v>57</v>
      </c>
      <c r="AP28" s="129">
        <v>43</v>
      </c>
      <c r="AQ28" s="129">
        <v>43</v>
      </c>
      <c r="AR28" s="129">
        <v>46</v>
      </c>
      <c r="AS28" s="129">
        <v>55</v>
      </c>
      <c r="AT28" s="129">
        <v>55</v>
      </c>
      <c r="AU28" s="129">
        <v>62.5</v>
      </c>
      <c r="AV28" s="129">
        <v>72</v>
      </c>
      <c r="AW28" s="130">
        <v>95</v>
      </c>
      <c r="AX28" s="130">
        <v>90</v>
      </c>
      <c r="AY28" s="130">
        <v>99</v>
      </c>
      <c r="AZ28" s="130">
        <v>70</v>
      </c>
      <c r="BA28" s="130">
        <v>75</v>
      </c>
      <c r="BB28" s="243">
        <v>90</v>
      </c>
      <c r="BC28" s="243">
        <v>100</v>
      </c>
      <c r="BD28" s="243">
        <v>70</v>
      </c>
      <c r="BE28" s="243">
        <v>72.5</v>
      </c>
      <c r="BF28" s="243">
        <v>95</v>
      </c>
      <c r="BG28" s="243">
        <v>92.5</v>
      </c>
      <c r="BH28" s="123"/>
      <c r="BI28" s="124"/>
      <c r="BJ28" s="125"/>
      <c r="BK28" s="126"/>
      <c r="BL28" s="126"/>
      <c r="BM28" s="126"/>
      <c r="BN28" s="127"/>
      <c r="BO28" s="127"/>
      <c r="BP28" s="127"/>
      <c r="BQ28" s="128"/>
    </row>
    <row r="29" spans="1:69" ht="22.5" customHeight="1">
      <c r="A29" s="138">
        <v>26</v>
      </c>
      <c r="B29" s="131">
        <v>24250128</v>
      </c>
      <c r="C29" s="120" t="s">
        <v>676</v>
      </c>
      <c r="D29" s="121">
        <f t="shared" si="0"/>
        <v>40</v>
      </c>
      <c r="E29" s="121">
        <f t="shared" si="1"/>
        <v>62</v>
      </c>
      <c r="F29" s="121">
        <f t="shared" si="2"/>
        <v>55</v>
      </c>
      <c r="G29" s="121">
        <f t="shared" si="3"/>
        <v>43</v>
      </c>
      <c r="H29" s="121">
        <f t="shared" si="4"/>
        <v>63</v>
      </c>
      <c r="I29" s="121">
        <f t="shared" si="5"/>
        <v>44</v>
      </c>
      <c r="J29" s="121">
        <f t="shared" si="6"/>
        <v>74</v>
      </c>
      <c r="K29" s="121">
        <f t="shared" si="7"/>
        <v>69</v>
      </c>
      <c r="L29" s="121">
        <f t="shared" si="8"/>
        <v>66</v>
      </c>
      <c r="M29" s="121">
        <f t="shared" si="9"/>
        <v>65</v>
      </c>
      <c r="N29" s="122">
        <f t="shared" si="10"/>
        <v>50</v>
      </c>
      <c r="O29" s="122">
        <f t="shared" si="11"/>
        <v>70</v>
      </c>
      <c r="P29" s="122">
        <f t="shared" si="12"/>
        <v>75</v>
      </c>
      <c r="Q29" s="122">
        <f t="shared" si="13"/>
        <v>70</v>
      </c>
      <c r="R29" s="122">
        <f t="shared" si="14"/>
        <v>70</v>
      </c>
      <c r="S29" s="241">
        <f t="shared" si="15"/>
        <v>88</v>
      </c>
      <c r="T29" s="241">
        <f t="shared" si="16"/>
        <v>99</v>
      </c>
      <c r="U29" s="241">
        <f t="shared" si="17"/>
        <v>70</v>
      </c>
      <c r="V29" s="241">
        <f t="shared" si="18"/>
        <v>78</v>
      </c>
      <c r="W29" s="241">
        <f t="shared" si="19"/>
        <v>88</v>
      </c>
      <c r="X29" s="241">
        <f t="shared" si="20"/>
        <v>90</v>
      </c>
      <c r="Y29" s="123">
        <f t="shared" si="21"/>
        <v>916</v>
      </c>
      <c r="Z29" s="124">
        <f t="shared" si="22"/>
        <v>61.06666666666667</v>
      </c>
      <c r="AA29" s="125">
        <f t="shared" si="23"/>
        <v>26</v>
      </c>
      <c r="AB29" s="126" t="s">
        <v>806</v>
      </c>
      <c r="AC29" s="126" t="s">
        <v>805</v>
      </c>
      <c r="AD29" s="126" t="s">
        <v>805</v>
      </c>
      <c r="AE29" s="127">
        <v>0</v>
      </c>
      <c r="AF29" s="127">
        <v>0</v>
      </c>
      <c r="AG29" s="127">
        <v>137</v>
      </c>
      <c r="AH29" s="128"/>
      <c r="AJ29" s="247">
        <v>23</v>
      </c>
      <c r="AK29" s="258">
        <v>24250128</v>
      </c>
      <c r="AL29" s="257" t="s">
        <v>676</v>
      </c>
      <c r="AM29" s="129">
        <v>37</v>
      </c>
      <c r="AN29" s="129">
        <v>61.5</v>
      </c>
      <c r="AO29" s="129">
        <v>55</v>
      </c>
      <c r="AP29" s="129">
        <v>43</v>
      </c>
      <c r="AQ29" s="129">
        <v>63</v>
      </c>
      <c r="AR29" s="129">
        <v>44</v>
      </c>
      <c r="AS29" s="129">
        <v>74</v>
      </c>
      <c r="AT29" s="129">
        <v>68.5</v>
      </c>
      <c r="AU29" s="129">
        <v>65.5</v>
      </c>
      <c r="AV29" s="129">
        <v>64.599999999999994</v>
      </c>
      <c r="AW29" s="130">
        <v>50</v>
      </c>
      <c r="AX29" s="130">
        <v>70</v>
      </c>
      <c r="AY29" s="130">
        <v>75</v>
      </c>
      <c r="AZ29" s="130">
        <v>70</v>
      </c>
      <c r="BA29" s="130">
        <v>70</v>
      </c>
      <c r="BB29" s="243">
        <v>87.5</v>
      </c>
      <c r="BC29" s="243">
        <v>100</v>
      </c>
      <c r="BD29" s="243">
        <v>70</v>
      </c>
      <c r="BE29" s="243">
        <v>77.5</v>
      </c>
      <c r="BF29" s="243">
        <v>87.5</v>
      </c>
      <c r="BG29" s="243">
        <v>90</v>
      </c>
      <c r="BH29" s="123">
        <f>SUM(AM29:BA29)</f>
        <v>911.1</v>
      </c>
      <c r="BI29" s="124">
        <f>AVERAGE(AM29:BA29)</f>
        <v>60.74</v>
      </c>
      <c r="BJ29" s="125" t="e">
        <f>RANK(BH29,$Y$2:$Y$27)</f>
        <v>#N/A</v>
      </c>
      <c r="BK29" s="126"/>
      <c r="BL29" s="126"/>
      <c r="BM29" s="126"/>
      <c r="BN29" s="127"/>
      <c r="BO29" s="127"/>
      <c r="BP29" s="127"/>
      <c r="BQ29" s="128"/>
    </row>
    <row r="30" spans="1:69" ht="22.5" customHeight="1">
      <c r="A30" s="138">
        <v>27</v>
      </c>
      <c r="B30" s="119">
        <v>23240027</v>
      </c>
      <c r="C30" s="120" t="s">
        <v>679</v>
      </c>
      <c r="D30" s="121">
        <f t="shared" si="0"/>
        <v>40</v>
      </c>
      <c r="E30" s="121">
        <f t="shared" si="1"/>
        <v>43</v>
      </c>
      <c r="F30" s="121">
        <f t="shared" si="2"/>
        <v>40</v>
      </c>
      <c r="G30" s="121">
        <f t="shared" si="3"/>
        <v>43</v>
      </c>
      <c r="H30" s="121">
        <f t="shared" si="4"/>
        <v>43</v>
      </c>
      <c r="I30" s="121">
        <f t="shared" si="5"/>
        <v>40</v>
      </c>
      <c r="J30" s="121">
        <f t="shared" si="6"/>
        <v>46</v>
      </c>
      <c r="K30" s="121">
        <f t="shared" si="7"/>
        <v>40</v>
      </c>
      <c r="L30" s="121">
        <f t="shared" si="8"/>
        <v>42</v>
      </c>
      <c r="M30" s="121">
        <f t="shared" si="9"/>
        <v>46</v>
      </c>
      <c r="N30" s="122">
        <f t="shared" si="10"/>
        <v>50</v>
      </c>
      <c r="O30" s="122">
        <f t="shared" si="11"/>
        <v>60</v>
      </c>
      <c r="P30" s="122">
        <f t="shared" si="12"/>
        <v>70</v>
      </c>
      <c r="Q30" s="122">
        <f t="shared" si="13"/>
        <v>60</v>
      </c>
      <c r="R30" s="122">
        <f t="shared" si="14"/>
        <v>60</v>
      </c>
      <c r="S30" s="241">
        <f t="shared" si="15"/>
        <v>73</v>
      </c>
      <c r="T30" s="241">
        <f t="shared" si="16"/>
        <v>93</v>
      </c>
      <c r="U30" s="241">
        <f t="shared" si="17"/>
        <v>70</v>
      </c>
      <c r="V30" s="241">
        <f t="shared" si="18"/>
        <v>70</v>
      </c>
      <c r="W30" s="241">
        <f t="shared" si="19"/>
        <v>63</v>
      </c>
      <c r="X30" s="241">
        <f t="shared" si="20"/>
        <v>88</v>
      </c>
      <c r="Y30" s="123">
        <f t="shared" si="21"/>
        <v>723</v>
      </c>
      <c r="Z30" s="124">
        <f t="shared" si="22"/>
        <v>48.2</v>
      </c>
      <c r="AA30" s="125">
        <f t="shared" si="23"/>
        <v>27</v>
      </c>
      <c r="AB30" s="126" t="s">
        <v>806</v>
      </c>
      <c r="AC30" s="126" t="s">
        <v>805</v>
      </c>
      <c r="AD30" s="126" t="s">
        <v>805</v>
      </c>
      <c r="AE30" s="127">
        <v>12</v>
      </c>
      <c r="AF30" s="127">
        <v>0</v>
      </c>
      <c r="AG30" s="127">
        <v>0</v>
      </c>
      <c r="AH30" s="128"/>
      <c r="AJ30" s="247"/>
      <c r="AK30" s="256"/>
      <c r="AL30" s="257"/>
      <c r="AM30" s="129">
        <v>37</v>
      </c>
      <c r="AN30" s="129">
        <v>43</v>
      </c>
      <c r="AO30" s="129">
        <v>37</v>
      </c>
      <c r="AP30" s="129">
        <v>43</v>
      </c>
      <c r="AQ30" s="129">
        <v>43</v>
      </c>
      <c r="AR30" s="129">
        <v>13</v>
      </c>
      <c r="AS30" s="129">
        <v>46</v>
      </c>
      <c r="AT30" s="129">
        <v>13</v>
      </c>
      <c r="AU30" s="129">
        <v>42.4</v>
      </c>
      <c r="AV30" s="129">
        <v>46</v>
      </c>
      <c r="AW30" s="130">
        <v>50</v>
      </c>
      <c r="AX30" s="130">
        <v>60</v>
      </c>
      <c r="AY30" s="130">
        <v>70</v>
      </c>
      <c r="AZ30" s="130">
        <v>60</v>
      </c>
      <c r="BA30" s="130">
        <v>60</v>
      </c>
      <c r="BB30" s="243">
        <v>72.5</v>
      </c>
      <c r="BC30" s="243">
        <v>92.5</v>
      </c>
      <c r="BD30" s="243">
        <v>70</v>
      </c>
      <c r="BE30" s="243">
        <v>70</v>
      </c>
      <c r="BF30" s="243">
        <v>62.5</v>
      </c>
      <c r="BG30" s="243">
        <v>87.5</v>
      </c>
      <c r="BH30" s="123"/>
      <c r="BI30" s="124"/>
      <c r="BJ30" s="125"/>
      <c r="BK30" s="126"/>
      <c r="BL30" s="126"/>
      <c r="BM30" s="126"/>
      <c r="BN30" s="127"/>
      <c r="BO30" s="127"/>
      <c r="BP30" s="127"/>
      <c r="BQ30" s="128"/>
    </row>
    <row r="31" spans="1:69" ht="22.5" customHeight="1">
      <c r="A31" s="138">
        <v>28</v>
      </c>
      <c r="B31" s="131">
        <v>24250171</v>
      </c>
      <c r="C31" s="120" t="s">
        <v>668</v>
      </c>
      <c r="D31" s="121">
        <f t="shared" si="0"/>
        <v>0</v>
      </c>
      <c r="E31" s="121">
        <f t="shared" si="1"/>
        <v>0</v>
      </c>
      <c r="F31" s="121">
        <f t="shared" si="2"/>
        <v>0</v>
      </c>
      <c r="G31" s="121">
        <f t="shared" si="3"/>
        <v>0</v>
      </c>
      <c r="H31" s="121">
        <f t="shared" si="4"/>
        <v>0</v>
      </c>
      <c r="I31" s="121">
        <f t="shared" si="5"/>
        <v>0</v>
      </c>
      <c r="J31" s="121">
        <f t="shared" si="6"/>
        <v>0</v>
      </c>
      <c r="K31" s="121">
        <f t="shared" si="7"/>
        <v>40</v>
      </c>
      <c r="L31" s="121">
        <f t="shared" si="8"/>
        <v>0</v>
      </c>
      <c r="M31" s="121">
        <f t="shared" si="9"/>
        <v>0</v>
      </c>
      <c r="N31" s="122">
        <f t="shared" si="10"/>
        <v>0</v>
      </c>
      <c r="O31" s="122">
        <f t="shared" si="11"/>
        <v>0</v>
      </c>
      <c r="P31" s="122">
        <f t="shared" si="12"/>
        <v>0</v>
      </c>
      <c r="Q31" s="122">
        <f t="shared" si="13"/>
        <v>0</v>
      </c>
      <c r="R31" s="122">
        <f t="shared" si="14"/>
        <v>0</v>
      </c>
      <c r="S31" s="241">
        <f t="shared" si="15"/>
        <v>50</v>
      </c>
      <c r="T31" s="241">
        <f t="shared" si="16"/>
        <v>50</v>
      </c>
      <c r="U31" s="241">
        <f t="shared" si="17"/>
        <v>50</v>
      </c>
      <c r="V31" s="241">
        <f t="shared" si="18"/>
        <v>50</v>
      </c>
      <c r="W31" s="241">
        <f t="shared" si="19"/>
        <v>50</v>
      </c>
      <c r="X31" s="241">
        <f t="shared" si="20"/>
        <v>50</v>
      </c>
      <c r="Y31" s="123">
        <f t="shared" si="21"/>
        <v>40</v>
      </c>
      <c r="Z31" s="124">
        <f t="shared" si="22"/>
        <v>2.6666666666666665</v>
      </c>
      <c r="AA31" s="125">
        <f t="shared" si="23"/>
        <v>28</v>
      </c>
      <c r="AB31" s="126" t="s">
        <v>806</v>
      </c>
      <c r="AC31" s="126" t="s">
        <v>805</v>
      </c>
      <c r="AD31" s="126" t="s">
        <v>805</v>
      </c>
      <c r="AE31" s="127">
        <v>0</v>
      </c>
      <c r="AF31" s="127">
        <v>0</v>
      </c>
      <c r="AG31" s="127">
        <v>0</v>
      </c>
      <c r="AH31" s="128"/>
      <c r="AJ31" s="247">
        <v>7</v>
      </c>
      <c r="AK31" s="258">
        <v>24250171</v>
      </c>
      <c r="AL31" s="257" t="s">
        <v>668</v>
      </c>
      <c r="AM31" s="129">
        <v>0</v>
      </c>
      <c r="AN31" s="129">
        <v>0</v>
      </c>
      <c r="AO31" s="129">
        <v>0</v>
      </c>
      <c r="AP31" s="129">
        <v>0</v>
      </c>
      <c r="AQ31" s="129">
        <v>0</v>
      </c>
      <c r="AR31" s="129">
        <v>0</v>
      </c>
      <c r="AS31" s="129">
        <v>0</v>
      </c>
      <c r="AT31" s="129">
        <v>20.499999999999996</v>
      </c>
      <c r="AU31" s="129">
        <v>0</v>
      </c>
      <c r="AV31" s="129">
        <v>0</v>
      </c>
      <c r="AW31" s="130"/>
      <c r="AX31" s="130"/>
      <c r="AY31" s="130"/>
      <c r="AZ31" s="130"/>
      <c r="BA31" s="130"/>
      <c r="BB31" s="243">
        <v>50</v>
      </c>
      <c r="BC31" s="243">
        <v>50</v>
      </c>
      <c r="BD31" s="243">
        <v>50</v>
      </c>
      <c r="BE31" s="243">
        <v>50</v>
      </c>
      <c r="BF31" s="243">
        <v>50</v>
      </c>
      <c r="BG31" s="243">
        <v>50</v>
      </c>
      <c r="BH31" s="123">
        <f>SUM(AM31:BA31)</f>
        <v>20.499999999999996</v>
      </c>
      <c r="BI31" s="124">
        <f>AVERAGE(AM31:BA31)</f>
        <v>2.0499999999999998</v>
      </c>
      <c r="BJ31" s="125" t="e">
        <f>RANK(BH31,$Y$2:$Y$27)</f>
        <v>#N/A</v>
      </c>
      <c r="BK31" s="126"/>
      <c r="BL31" s="126"/>
      <c r="BM31" s="126"/>
      <c r="BN31" s="127"/>
      <c r="BO31" s="127"/>
      <c r="BP31" s="127"/>
      <c r="BQ31" s="128"/>
    </row>
    <row r="32" spans="1:69" ht="15.75">
      <c r="A32" s="439" t="s">
        <v>202</v>
      </c>
      <c r="B32" s="440"/>
      <c r="C32" s="441"/>
      <c r="D32" s="125">
        <f t="shared" ref="D32:R32" si="27">SUM(D4:D27)</f>
        <v>1953</v>
      </c>
      <c r="E32" s="125">
        <f t="shared" si="27"/>
        <v>1862</v>
      </c>
      <c r="F32" s="125">
        <f t="shared" si="27"/>
        <v>1906</v>
      </c>
      <c r="G32" s="125">
        <f t="shared" si="27"/>
        <v>1491</v>
      </c>
      <c r="H32" s="125">
        <f t="shared" si="27"/>
        <v>1753</v>
      </c>
      <c r="I32" s="125">
        <f t="shared" si="27"/>
        <v>1536</v>
      </c>
      <c r="J32" s="125">
        <f t="shared" si="27"/>
        <v>1888</v>
      </c>
      <c r="K32" s="125">
        <f t="shared" si="27"/>
        <v>1915</v>
      </c>
      <c r="L32" s="125">
        <f t="shared" si="27"/>
        <v>1804</v>
      </c>
      <c r="M32" s="125">
        <f t="shared" si="27"/>
        <v>2002</v>
      </c>
      <c r="N32" s="125">
        <f t="shared" si="27"/>
        <v>2149</v>
      </c>
      <c r="O32" s="125">
        <f t="shared" si="27"/>
        <v>2065</v>
      </c>
      <c r="P32" s="125">
        <f t="shared" si="27"/>
        <v>2291</v>
      </c>
      <c r="Q32" s="125">
        <f t="shared" si="27"/>
        <v>1860</v>
      </c>
      <c r="R32" s="125">
        <f t="shared" si="27"/>
        <v>1990</v>
      </c>
      <c r="S32" s="125"/>
      <c r="T32" s="125"/>
      <c r="U32" s="125"/>
      <c r="V32" s="125"/>
      <c r="W32" s="125"/>
      <c r="X32" s="125"/>
      <c r="Y32" s="123">
        <f t="shared" ref="Y32:Y33" si="28">SUM(D32:R32)</f>
        <v>28465</v>
      </c>
      <c r="Z32" s="124">
        <f t="shared" ref="Z32:Z33" si="29">AVERAGE(D32:R32)</f>
        <v>1897.6666666666667</v>
      </c>
      <c r="AA32" s="135"/>
      <c r="AB32" s="135"/>
      <c r="AC32" s="135"/>
      <c r="AD32" s="135"/>
      <c r="AE32" s="135"/>
      <c r="AF32" s="135"/>
      <c r="AG32" s="135"/>
      <c r="AH32" s="136"/>
      <c r="AJ32" s="439" t="s">
        <v>202</v>
      </c>
      <c r="AK32" s="440"/>
      <c r="AL32" s="441"/>
      <c r="AM32" s="125">
        <f t="shared" ref="AM32:BA32" si="30">SUM(AM4:AM27)</f>
        <v>1949.4</v>
      </c>
      <c r="AN32" s="125">
        <f t="shared" si="30"/>
        <v>1854</v>
      </c>
      <c r="AO32" s="125">
        <f t="shared" si="30"/>
        <v>1900.5</v>
      </c>
      <c r="AP32" s="125">
        <f t="shared" si="30"/>
        <v>1486.7</v>
      </c>
      <c r="AQ32" s="125">
        <f t="shared" si="30"/>
        <v>1744.5</v>
      </c>
      <c r="AR32" s="125">
        <f t="shared" si="30"/>
        <v>1515.3</v>
      </c>
      <c r="AS32" s="125">
        <f t="shared" si="30"/>
        <v>1880</v>
      </c>
      <c r="AT32" s="125">
        <f t="shared" si="30"/>
        <v>1909.5</v>
      </c>
      <c r="AU32" s="125">
        <f t="shared" si="30"/>
        <v>1800.8</v>
      </c>
      <c r="AV32" s="125">
        <f t="shared" si="30"/>
        <v>2001.2</v>
      </c>
      <c r="AW32" s="125">
        <f t="shared" si="30"/>
        <v>2153</v>
      </c>
      <c r="AX32" s="125">
        <f t="shared" si="30"/>
        <v>2065</v>
      </c>
      <c r="AY32" s="125">
        <f t="shared" si="30"/>
        <v>2291</v>
      </c>
      <c r="AZ32" s="125">
        <f t="shared" si="30"/>
        <v>1860</v>
      </c>
      <c r="BA32" s="125">
        <f t="shared" si="30"/>
        <v>1990</v>
      </c>
      <c r="BB32" s="125"/>
      <c r="BC32" s="125"/>
      <c r="BD32" s="125"/>
      <c r="BE32" s="125"/>
      <c r="BF32" s="125"/>
      <c r="BG32" s="125"/>
      <c r="BH32" s="123">
        <f t="shared" ref="BH32:BH33" si="31">SUM(AM32:BA32)</f>
        <v>28400.899999999998</v>
      </c>
      <c r="BI32" s="124">
        <f t="shared" ref="BI32:BI33" si="32">AVERAGE(AM32:BA32)</f>
        <v>1893.3933333333332</v>
      </c>
      <c r="BJ32" s="135"/>
      <c r="BK32" s="135"/>
      <c r="BL32" s="135"/>
      <c r="BM32" s="135"/>
      <c r="BN32" s="135"/>
      <c r="BO32" s="135"/>
      <c r="BP32" s="135"/>
      <c r="BQ32" s="136"/>
    </row>
    <row r="33" spans="1:69" ht="15.75">
      <c r="A33" s="439" t="s">
        <v>203</v>
      </c>
      <c r="B33" s="440"/>
      <c r="C33" s="441"/>
      <c r="D33" s="125">
        <f t="shared" ref="D33:R33" si="33">AVERAGE(D4:D27)</f>
        <v>81.375</v>
      </c>
      <c r="E33" s="125">
        <f t="shared" si="33"/>
        <v>77.583333333333329</v>
      </c>
      <c r="F33" s="125">
        <f t="shared" si="33"/>
        <v>79.416666666666671</v>
      </c>
      <c r="G33" s="125">
        <f t="shared" si="33"/>
        <v>62.125</v>
      </c>
      <c r="H33" s="125">
        <f t="shared" si="33"/>
        <v>73.041666666666671</v>
      </c>
      <c r="I33" s="125">
        <f t="shared" si="33"/>
        <v>64</v>
      </c>
      <c r="J33" s="125">
        <f t="shared" si="33"/>
        <v>78.666666666666671</v>
      </c>
      <c r="K33" s="125">
        <f t="shared" si="33"/>
        <v>79.791666666666671</v>
      </c>
      <c r="L33" s="125">
        <f t="shared" si="33"/>
        <v>75.166666666666671</v>
      </c>
      <c r="M33" s="125">
        <f t="shared" si="33"/>
        <v>83.416666666666671</v>
      </c>
      <c r="N33" s="125">
        <f t="shared" si="33"/>
        <v>89.541666666666671</v>
      </c>
      <c r="O33" s="125">
        <f t="shared" si="33"/>
        <v>86.041666666666671</v>
      </c>
      <c r="P33" s="125">
        <f t="shared" si="33"/>
        <v>95.458333333333329</v>
      </c>
      <c r="Q33" s="125">
        <f t="shared" si="33"/>
        <v>77.5</v>
      </c>
      <c r="R33" s="125">
        <f t="shared" si="33"/>
        <v>82.916666666666671</v>
      </c>
      <c r="S33" s="125"/>
      <c r="T33" s="125"/>
      <c r="U33" s="125"/>
      <c r="V33" s="125"/>
      <c r="W33" s="125"/>
      <c r="X33" s="125"/>
      <c r="Y33" s="123">
        <f t="shared" si="28"/>
        <v>1186.0416666666665</v>
      </c>
      <c r="Z33" s="124">
        <f t="shared" si="29"/>
        <v>79.069444444444429</v>
      </c>
      <c r="AA33" s="135"/>
      <c r="AB33" s="135"/>
      <c r="AC33" s="135"/>
      <c r="AD33" s="135"/>
      <c r="AE33" s="135"/>
      <c r="AF33" s="135"/>
      <c r="AG33" s="135"/>
      <c r="AH33" s="136"/>
      <c r="AJ33" s="439" t="s">
        <v>203</v>
      </c>
      <c r="AK33" s="440"/>
      <c r="AL33" s="441"/>
      <c r="AM33" s="125">
        <f t="shared" ref="AM33:BA33" si="34">AVERAGE(AM4:AM27)</f>
        <v>81.225000000000009</v>
      </c>
      <c r="AN33" s="125">
        <f t="shared" si="34"/>
        <v>77.25</v>
      </c>
      <c r="AO33" s="125">
        <f t="shared" si="34"/>
        <v>79.1875</v>
      </c>
      <c r="AP33" s="125">
        <f t="shared" si="34"/>
        <v>61.945833333333333</v>
      </c>
      <c r="AQ33" s="125">
        <f t="shared" si="34"/>
        <v>72.6875</v>
      </c>
      <c r="AR33" s="125">
        <f t="shared" si="34"/>
        <v>63.137499999999996</v>
      </c>
      <c r="AS33" s="125">
        <f t="shared" si="34"/>
        <v>78.333333333333329</v>
      </c>
      <c r="AT33" s="125">
        <f t="shared" si="34"/>
        <v>79.5625</v>
      </c>
      <c r="AU33" s="125">
        <f t="shared" si="34"/>
        <v>75.033333333333331</v>
      </c>
      <c r="AV33" s="125">
        <f t="shared" si="34"/>
        <v>83.38333333333334</v>
      </c>
      <c r="AW33" s="125">
        <f t="shared" si="34"/>
        <v>89.708333333333329</v>
      </c>
      <c r="AX33" s="125">
        <f t="shared" si="34"/>
        <v>86.041666666666671</v>
      </c>
      <c r="AY33" s="125">
        <f t="shared" si="34"/>
        <v>95.458333333333329</v>
      </c>
      <c r="AZ33" s="125">
        <f t="shared" si="34"/>
        <v>77.5</v>
      </c>
      <c r="BA33" s="125">
        <f t="shared" si="34"/>
        <v>82.916666666666671</v>
      </c>
      <c r="BB33" s="125"/>
      <c r="BC33" s="125"/>
      <c r="BD33" s="125"/>
      <c r="BE33" s="125"/>
      <c r="BF33" s="125"/>
      <c r="BG33" s="125"/>
      <c r="BH33" s="123">
        <f t="shared" si="31"/>
        <v>1183.3708333333334</v>
      </c>
      <c r="BI33" s="124">
        <f t="shared" si="32"/>
        <v>78.891388888888898</v>
      </c>
      <c r="BJ33" s="135"/>
      <c r="BK33" s="135"/>
      <c r="BL33" s="135"/>
      <c r="BM33" s="135"/>
      <c r="BN33" s="135"/>
      <c r="BO33" s="135"/>
      <c r="BP33" s="135"/>
      <c r="BQ33" s="136"/>
    </row>
    <row r="34" spans="1:69">
      <c r="A34">
        <v>1</v>
      </c>
      <c r="B34">
        <v>2</v>
      </c>
      <c r="C34">
        <v>3</v>
      </c>
      <c r="D34">
        <v>4</v>
      </c>
      <c r="E34">
        <v>5</v>
      </c>
      <c r="F34">
        <v>6</v>
      </c>
      <c r="G34">
        <v>7</v>
      </c>
      <c r="H34">
        <v>8</v>
      </c>
      <c r="I34">
        <v>9</v>
      </c>
      <c r="J34">
        <v>10</v>
      </c>
      <c r="K34">
        <v>11</v>
      </c>
      <c r="L34">
        <v>12</v>
      </c>
      <c r="M34">
        <v>13</v>
      </c>
      <c r="N34">
        <v>14</v>
      </c>
      <c r="O34">
        <v>15</v>
      </c>
      <c r="P34">
        <v>16</v>
      </c>
      <c r="Q34">
        <v>17</v>
      </c>
      <c r="R34">
        <v>18</v>
      </c>
      <c r="S34">
        <v>19</v>
      </c>
      <c r="T34">
        <v>20</v>
      </c>
      <c r="U34">
        <v>21</v>
      </c>
      <c r="V34">
        <v>22</v>
      </c>
      <c r="W34">
        <v>23</v>
      </c>
      <c r="X34">
        <v>24</v>
      </c>
      <c r="Y34">
        <v>25</v>
      </c>
      <c r="Z34">
        <v>26</v>
      </c>
      <c r="AA34">
        <v>27</v>
      </c>
      <c r="AB34">
        <v>28</v>
      </c>
      <c r="AC34">
        <v>29</v>
      </c>
      <c r="AD34">
        <v>30</v>
      </c>
      <c r="AE34">
        <v>31</v>
      </c>
      <c r="AF34">
        <v>32</v>
      </c>
      <c r="AG34">
        <v>33</v>
      </c>
      <c r="AJ34">
        <v>1</v>
      </c>
      <c r="AK34">
        <v>2</v>
      </c>
      <c r="AL34">
        <v>3</v>
      </c>
      <c r="AM34">
        <v>4</v>
      </c>
      <c r="AN34">
        <v>5</v>
      </c>
      <c r="AO34">
        <v>6</v>
      </c>
      <c r="AP34">
        <v>7</v>
      </c>
      <c r="AQ34">
        <v>8</v>
      </c>
      <c r="AR34">
        <v>9</v>
      </c>
      <c r="AS34">
        <v>10</v>
      </c>
      <c r="AT34">
        <v>11</v>
      </c>
      <c r="AU34">
        <v>12</v>
      </c>
      <c r="AV34">
        <v>13</v>
      </c>
      <c r="AW34">
        <v>16</v>
      </c>
      <c r="AX34">
        <v>17</v>
      </c>
      <c r="AY34">
        <v>18</v>
      </c>
      <c r="AZ34">
        <v>19</v>
      </c>
      <c r="BA34">
        <v>20</v>
      </c>
      <c r="BH34">
        <v>21</v>
      </c>
      <c r="BI34">
        <v>22</v>
      </c>
      <c r="BJ34">
        <v>23</v>
      </c>
      <c r="BK34">
        <v>24</v>
      </c>
      <c r="BL34">
        <v>25</v>
      </c>
      <c r="BM34">
        <v>26</v>
      </c>
      <c r="BN34">
        <v>27</v>
      </c>
      <c r="BO34">
        <v>28</v>
      </c>
      <c r="BP34">
        <v>29</v>
      </c>
    </row>
    <row r="36" spans="1:69" ht="23.25">
      <c r="A36" s="84" t="s">
        <v>204</v>
      </c>
      <c r="B36" s="60"/>
      <c r="C36" s="85"/>
    </row>
    <row r="37" spans="1:69" ht="15.75">
      <c r="A37" s="86"/>
      <c r="B37" s="86"/>
      <c r="C37" s="60" t="s">
        <v>205</v>
      </c>
    </row>
    <row r="38" spans="1:69" ht="15.75">
      <c r="A38" s="87"/>
      <c r="B38" s="87"/>
      <c r="C38" s="60" t="s">
        <v>206</v>
      </c>
    </row>
    <row r="39" spans="1:69" ht="15.75">
      <c r="A39" s="88"/>
      <c r="B39" s="88"/>
      <c r="C39" s="60" t="s">
        <v>207</v>
      </c>
    </row>
    <row r="40" spans="1:69" ht="15.75">
      <c r="A40" s="89"/>
      <c r="B40" s="89"/>
      <c r="C40" s="60" t="s">
        <v>208</v>
      </c>
    </row>
  </sheetData>
  <sortState xmlns:xlrd2="http://schemas.microsoft.com/office/spreadsheetml/2017/richdata2" ref="B4:BQ31">
    <sortCondition ref="AA4:AA31"/>
  </sortState>
  <mergeCells count="36">
    <mergeCell ref="A32:C32"/>
    <mergeCell ref="AJ32:AL32"/>
    <mergeCell ref="A33:C33"/>
    <mergeCell ref="AJ33:AL33"/>
    <mergeCell ref="BL2:BL3"/>
    <mergeCell ref="AM2:AV2"/>
    <mergeCell ref="AW2:BA2"/>
    <mergeCell ref="BH2:BH3"/>
    <mergeCell ref="BI2:BI3"/>
    <mergeCell ref="BJ2:BJ3"/>
    <mergeCell ref="BK2:BK3"/>
    <mergeCell ref="AF2:AF3"/>
    <mergeCell ref="AG2:AG3"/>
    <mergeCell ref="AH2:AH3"/>
    <mergeCell ref="AJ2:AJ3"/>
    <mergeCell ref="AK2:AK3"/>
    <mergeCell ref="BM2:BM3"/>
    <mergeCell ref="BN2:BN3"/>
    <mergeCell ref="BO2:BO3"/>
    <mergeCell ref="BP2:BP3"/>
    <mergeCell ref="BQ2:BQ3"/>
    <mergeCell ref="BB2:BG2"/>
    <mergeCell ref="Y2:Y3"/>
    <mergeCell ref="A2:A3"/>
    <mergeCell ref="B2:B3"/>
    <mergeCell ref="C2:C3"/>
    <mergeCell ref="D2:M2"/>
    <mergeCell ref="N2:R2"/>
    <mergeCell ref="S2:X2"/>
    <mergeCell ref="AL2:AL3"/>
    <mergeCell ref="Z2:Z3"/>
    <mergeCell ref="AA2:AA3"/>
    <mergeCell ref="AB2:AB3"/>
    <mergeCell ref="AC2:AC3"/>
    <mergeCell ref="AD2:AD3"/>
    <mergeCell ref="AE2:AE3"/>
  </mergeCells>
  <conditionalFormatting sqref="B5">
    <cfRule type="duplicateValues" dxfId="157" priority="46"/>
    <cfRule type="duplicateValues" dxfId="156" priority="47"/>
  </conditionalFormatting>
  <conditionalFormatting sqref="B6">
    <cfRule type="duplicateValues" dxfId="155" priority="57"/>
  </conditionalFormatting>
  <conditionalFormatting sqref="B7">
    <cfRule type="duplicateValues" dxfId="154" priority="41"/>
  </conditionalFormatting>
  <conditionalFormatting sqref="B8">
    <cfRule type="duplicateValues" dxfId="153" priority="39"/>
    <cfRule type="duplicateValues" dxfId="152" priority="40"/>
  </conditionalFormatting>
  <conditionalFormatting sqref="B9">
    <cfRule type="duplicateValues" dxfId="151" priority="37"/>
    <cfRule type="duplicateValues" dxfId="150" priority="38"/>
  </conditionalFormatting>
  <conditionalFormatting sqref="B10">
    <cfRule type="duplicateValues" dxfId="149" priority="53"/>
    <cfRule type="duplicateValues" dxfId="148" priority="54"/>
  </conditionalFormatting>
  <conditionalFormatting sqref="B11">
    <cfRule type="duplicateValues" dxfId="147" priority="64"/>
  </conditionalFormatting>
  <conditionalFormatting sqref="B12">
    <cfRule type="duplicateValues" dxfId="146" priority="63"/>
  </conditionalFormatting>
  <conditionalFormatting sqref="B13">
    <cfRule type="duplicateValues" dxfId="145" priority="52"/>
  </conditionalFormatting>
  <conditionalFormatting sqref="B14">
    <cfRule type="duplicateValues" dxfId="144" priority="48"/>
    <cfRule type="duplicateValues" dxfId="143" priority="49"/>
  </conditionalFormatting>
  <conditionalFormatting sqref="B15">
    <cfRule type="duplicateValues" dxfId="142" priority="60"/>
    <cfRule type="duplicateValues" dxfId="141" priority="61"/>
  </conditionalFormatting>
  <conditionalFormatting sqref="B16">
    <cfRule type="duplicateValues" dxfId="140" priority="58"/>
    <cfRule type="duplicateValues" dxfId="139" priority="59"/>
  </conditionalFormatting>
  <conditionalFormatting sqref="B17">
    <cfRule type="duplicateValues" dxfId="138" priority="62"/>
  </conditionalFormatting>
  <conditionalFormatting sqref="B18">
    <cfRule type="duplicateValues" dxfId="137" priority="55"/>
    <cfRule type="duplicateValues" dxfId="136" priority="56"/>
  </conditionalFormatting>
  <conditionalFormatting sqref="B19">
    <cfRule type="duplicateValues" dxfId="135" priority="34"/>
  </conditionalFormatting>
  <conditionalFormatting sqref="B20">
    <cfRule type="duplicateValues" dxfId="134" priority="65"/>
  </conditionalFormatting>
  <conditionalFormatting sqref="B21">
    <cfRule type="duplicateValues" dxfId="133" priority="50"/>
  </conditionalFormatting>
  <conditionalFormatting sqref="B22">
    <cfRule type="duplicateValues" dxfId="132" priority="35"/>
    <cfRule type="duplicateValues" dxfId="131" priority="36"/>
  </conditionalFormatting>
  <conditionalFormatting sqref="D4:X31 AM4:BG31">
    <cfRule type="cellIs" dxfId="130" priority="66" operator="lessThanOrEqual">
      <formula>59</formula>
    </cfRule>
  </conditionalFormatting>
  <conditionalFormatting sqref="BI4:BI33 Z4:Z33">
    <cfRule type="cellIs" dxfId="129" priority="67" operator="lessThan">
      <formula>59</formula>
    </cfRule>
  </conditionalFormatting>
  <conditionalFormatting sqref="AK5">
    <cfRule type="duplicateValues" dxfId="128" priority="13"/>
    <cfRule type="duplicateValues" dxfId="127" priority="14"/>
  </conditionalFormatting>
  <conditionalFormatting sqref="AK6">
    <cfRule type="duplicateValues" dxfId="126" priority="24"/>
  </conditionalFormatting>
  <conditionalFormatting sqref="AK7">
    <cfRule type="duplicateValues" dxfId="125" priority="8"/>
  </conditionalFormatting>
  <conditionalFormatting sqref="AK8">
    <cfRule type="duplicateValues" dxfId="124" priority="6"/>
    <cfRule type="duplicateValues" dxfId="123" priority="7"/>
  </conditionalFormatting>
  <conditionalFormatting sqref="AK9">
    <cfRule type="duplicateValues" dxfId="122" priority="4"/>
    <cfRule type="duplicateValues" dxfId="121" priority="5"/>
  </conditionalFormatting>
  <conditionalFormatting sqref="AK10">
    <cfRule type="duplicateValues" dxfId="120" priority="20"/>
    <cfRule type="duplicateValues" dxfId="119" priority="21"/>
  </conditionalFormatting>
  <conditionalFormatting sqref="AK11">
    <cfRule type="duplicateValues" dxfId="118" priority="31"/>
  </conditionalFormatting>
  <conditionalFormatting sqref="AK12">
    <cfRule type="duplicateValues" dxfId="117" priority="30"/>
  </conditionalFormatting>
  <conditionalFormatting sqref="AK13">
    <cfRule type="duplicateValues" dxfId="116" priority="19"/>
  </conditionalFormatting>
  <conditionalFormatting sqref="AK14">
    <cfRule type="duplicateValues" dxfId="115" priority="15"/>
    <cfRule type="duplicateValues" dxfId="114" priority="16"/>
  </conditionalFormatting>
  <conditionalFormatting sqref="AK15">
    <cfRule type="duplicateValues" dxfId="113" priority="27"/>
    <cfRule type="duplicateValues" dxfId="112" priority="28"/>
  </conditionalFormatting>
  <conditionalFormatting sqref="AK16">
    <cfRule type="duplicateValues" dxfId="111" priority="25"/>
    <cfRule type="duplicateValues" dxfId="110" priority="26"/>
  </conditionalFormatting>
  <conditionalFormatting sqref="AK17">
    <cfRule type="duplicateValues" dxfId="109" priority="29"/>
  </conditionalFormatting>
  <conditionalFormatting sqref="AK18">
    <cfRule type="duplicateValues" dxfId="108" priority="22"/>
    <cfRule type="duplicateValues" dxfId="107" priority="23"/>
  </conditionalFormatting>
  <conditionalFormatting sqref="AK19">
    <cfRule type="duplicateValues" dxfId="106" priority="1"/>
  </conditionalFormatting>
  <conditionalFormatting sqref="AK20">
    <cfRule type="duplicateValues" dxfId="105" priority="32"/>
  </conditionalFormatting>
  <conditionalFormatting sqref="AK21">
    <cfRule type="duplicateValues" dxfId="104" priority="17"/>
  </conditionalFormatting>
  <conditionalFormatting sqref="AK22">
    <cfRule type="duplicateValues" dxfId="103" priority="2"/>
    <cfRule type="duplicateValues" dxfId="102" priority="3"/>
  </conditionalFormatting>
  <conditionalFormatting sqref="B24:B31">
    <cfRule type="duplicateValues" dxfId="101" priority="419"/>
    <cfRule type="duplicateValues" dxfId="100" priority="420"/>
  </conditionalFormatting>
  <conditionalFormatting sqref="AK24:AK31">
    <cfRule type="duplicateValues" dxfId="99" priority="429"/>
    <cfRule type="duplicateValues" dxfId="98" priority="430"/>
  </conditionalFormatting>
  <conditionalFormatting sqref="AA4:AA31">
    <cfRule type="duplicateValues" dxfId="97" priority="431"/>
    <cfRule type="duplicateValues" dxfId="96" priority="432"/>
    <cfRule type="duplicateValues" dxfId="95" priority="433"/>
  </conditionalFormatting>
  <conditionalFormatting sqref="BJ4:BJ31">
    <cfRule type="duplicateValues" dxfId="94" priority="437"/>
    <cfRule type="duplicateValues" dxfId="93" priority="438"/>
    <cfRule type="duplicateValues" dxfId="92" priority="439"/>
  </conditionalFormatting>
  <pageMargins left="0.26" right="0.18" top="0.74803149606299202" bottom="0.41" header="0.31496062992126" footer="0.31496062992126"/>
  <pageSetup paperSize="10000" scale="85" orientation="landscape" horizontalDpi="203" verticalDpi="203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E3AE6-D83B-44FA-80A6-E270AE331BB3}">
  <sheetPr codeName="Sheet20">
    <tabColor theme="1" tint="0.499984740745262"/>
  </sheetPr>
  <dimension ref="A1:BQ36"/>
  <sheetViews>
    <sheetView topLeftCell="A14" zoomScale="70" zoomScaleNormal="70" zoomScaleSheetLayoutView="55" workbookViewId="0">
      <selection activeCell="AA14" sqref="AA14:AA27"/>
    </sheetView>
  </sheetViews>
  <sheetFormatPr defaultColWidth="8.85546875" defaultRowHeight="15"/>
  <cols>
    <col min="1" max="1" width="5.42578125" customWidth="1"/>
    <col min="2" max="2" width="14.85546875" customWidth="1"/>
    <col min="3" max="3" width="29.42578125" customWidth="1"/>
    <col min="4" max="13" width="5.5703125" customWidth="1"/>
    <col min="14" max="24" width="5.140625" customWidth="1"/>
    <col min="25" max="25" width="6.28515625" customWidth="1"/>
    <col min="26" max="26" width="7.7109375" customWidth="1"/>
    <col min="27" max="34" width="5.42578125" customWidth="1"/>
    <col min="38" max="38" width="31.5703125" bestFit="1" customWidth="1"/>
  </cols>
  <sheetData>
    <row r="1" spans="1:69" ht="23.25">
      <c r="A1" s="85" t="s">
        <v>690</v>
      </c>
      <c r="N1" s="115"/>
      <c r="O1" s="115"/>
      <c r="P1" s="115"/>
      <c r="Q1" s="115"/>
      <c r="R1" s="116"/>
      <c r="S1" s="116"/>
      <c r="T1" s="116"/>
      <c r="U1" s="116"/>
      <c r="V1" s="116"/>
      <c r="W1" s="116"/>
      <c r="X1" s="116"/>
      <c r="AJ1" s="85" t="s">
        <v>690</v>
      </c>
      <c r="AW1" s="115"/>
      <c r="AX1" s="115"/>
      <c r="AY1" s="115"/>
      <c r="AZ1" s="115"/>
      <c r="BA1" s="116"/>
      <c r="BB1" s="116"/>
      <c r="BC1" s="116"/>
      <c r="BD1" s="116"/>
      <c r="BE1" s="116"/>
      <c r="BF1" s="116"/>
      <c r="BG1" s="116"/>
      <c r="BN1" t="s">
        <v>372</v>
      </c>
    </row>
    <row r="2" spans="1:69" ht="15.6" customHeight="1">
      <c r="A2" s="431" t="s">
        <v>151</v>
      </c>
      <c r="B2" s="431" t="s">
        <v>152</v>
      </c>
      <c r="C2" s="431" t="s">
        <v>0</v>
      </c>
      <c r="D2" s="433" t="s">
        <v>153</v>
      </c>
      <c r="E2" s="433"/>
      <c r="F2" s="433"/>
      <c r="G2" s="433"/>
      <c r="H2" s="433"/>
      <c r="I2" s="433"/>
      <c r="J2" s="433"/>
      <c r="K2" s="433"/>
      <c r="L2" s="433"/>
      <c r="M2" s="433"/>
      <c r="N2" s="434" t="s">
        <v>316</v>
      </c>
      <c r="O2" s="434"/>
      <c r="P2" s="434"/>
      <c r="Q2" s="434"/>
      <c r="R2" s="434"/>
      <c r="S2" s="283" t="s">
        <v>798</v>
      </c>
      <c r="T2" s="284"/>
      <c r="U2" s="284"/>
      <c r="V2" s="284"/>
      <c r="W2" s="284"/>
      <c r="X2" s="285"/>
      <c r="Y2" s="429" t="s">
        <v>155</v>
      </c>
      <c r="Z2" s="429" t="s">
        <v>156</v>
      </c>
      <c r="AA2" s="429" t="s">
        <v>157</v>
      </c>
      <c r="AB2" s="435" t="s">
        <v>158</v>
      </c>
      <c r="AC2" s="435" t="s">
        <v>159</v>
      </c>
      <c r="AD2" s="435" t="s">
        <v>160</v>
      </c>
      <c r="AE2" s="437" t="s">
        <v>161</v>
      </c>
      <c r="AF2" s="437" t="s">
        <v>162</v>
      </c>
      <c r="AG2" s="437" t="s">
        <v>163</v>
      </c>
      <c r="AH2" s="280" t="s">
        <v>164</v>
      </c>
      <c r="AJ2" s="431" t="s">
        <v>151</v>
      </c>
      <c r="AK2" s="431" t="s">
        <v>152</v>
      </c>
      <c r="AL2" s="431" t="s">
        <v>0</v>
      </c>
      <c r="AM2" s="433" t="s">
        <v>153</v>
      </c>
      <c r="AN2" s="433"/>
      <c r="AO2" s="433"/>
      <c r="AP2" s="433"/>
      <c r="AQ2" s="433"/>
      <c r="AR2" s="433"/>
      <c r="AS2" s="433"/>
      <c r="AT2" s="433"/>
      <c r="AU2" s="433"/>
      <c r="AV2" s="433"/>
      <c r="AW2" s="434" t="s">
        <v>316</v>
      </c>
      <c r="AX2" s="434"/>
      <c r="AY2" s="434"/>
      <c r="AZ2" s="434"/>
      <c r="BA2" s="434"/>
      <c r="BB2" s="283" t="s">
        <v>798</v>
      </c>
      <c r="BC2" s="284"/>
      <c r="BD2" s="284"/>
      <c r="BE2" s="284"/>
      <c r="BF2" s="284"/>
      <c r="BG2" s="285"/>
      <c r="BH2" s="429" t="s">
        <v>155</v>
      </c>
      <c r="BI2" s="429" t="s">
        <v>156</v>
      </c>
      <c r="BJ2" s="429" t="s">
        <v>157</v>
      </c>
      <c r="BK2" s="435" t="s">
        <v>158</v>
      </c>
      <c r="BL2" s="435" t="s">
        <v>159</v>
      </c>
      <c r="BM2" s="435" t="s">
        <v>160</v>
      </c>
      <c r="BN2" s="437" t="s">
        <v>161</v>
      </c>
      <c r="BO2" s="437" t="s">
        <v>162</v>
      </c>
      <c r="BP2" s="437" t="s">
        <v>163</v>
      </c>
      <c r="BQ2" s="280" t="s">
        <v>164</v>
      </c>
    </row>
    <row r="3" spans="1:69" s="118" customFormat="1" ht="54" customHeight="1">
      <c r="A3" s="432"/>
      <c r="B3" s="432"/>
      <c r="C3" s="432"/>
      <c r="D3" s="117" t="s">
        <v>118</v>
      </c>
      <c r="E3" s="117" t="s">
        <v>22</v>
      </c>
      <c r="F3" s="117" t="s">
        <v>55</v>
      </c>
      <c r="G3" s="117" t="s">
        <v>167</v>
      </c>
      <c r="H3" s="117" t="s">
        <v>168</v>
      </c>
      <c r="I3" s="117" t="s">
        <v>126</v>
      </c>
      <c r="J3" s="117" t="s">
        <v>111</v>
      </c>
      <c r="K3" s="117" t="s">
        <v>96</v>
      </c>
      <c r="L3" s="117" t="s">
        <v>14</v>
      </c>
      <c r="M3" s="117" t="s">
        <v>120</v>
      </c>
      <c r="N3" s="98" t="s">
        <v>103</v>
      </c>
      <c r="O3" s="98" t="s">
        <v>14</v>
      </c>
      <c r="P3" s="98" t="s">
        <v>120</v>
      </c>
      <c r="Q3" s="98" t="s">
        <v>34</v>
      </c>
      <c r="R3" s="98" t="s">
        <v>22</v>
      </c>
      <c r="S3" s="233" t="s">
        <v>799</v>
      </c>
      <c r="T3" s="233" t="s">
        <v>800</v>
      </c>
      <c r="U3" s="233" t="s">
        <v>801</v>
      </c>
      <c r="V3" s="233" t="s">
        <v>802</v>
      </c>
      <c r="W3" s="233" t="s">
        <v>803</v>
      </c>
      <c r="X3" s="233" t="s">
        <v>804</v>
      </c>
      <c r="Y3" s="430"/>
      <c r="Z3" s="430"/>
      <c r="AA3" s="430"/>
      <c r="AB3" s="436"/>
      <c r="AC3" s="436"/>
      <c r="AD3" s="436"/>
      <c r="AE3" s="438"/>
      <c r="AF3" s="438"/>
      <c r="AG3" s="438"/>
      <c r="AH3" s="280"/>
      <c r="AJ3" s="432"/>
      <c r="AK3" s="432"/>
      <c r="AL3" s="432"/>
      <c r="AM3" s="117" t="s">
        <v>118</v>
      </c>
      <c r="AN3" s="117" t="s">
        <v>22</v>
      </c>
      <c r="AO3" s="117" t="s">
        <v>55</v>
      </c>
      <c r="AP3" s="117" t="s">
        <v>167</v>
      </c>
      <c r="AQ3" s="117" t="s">
        <v>168</v>
      </c>
      <c r="AR3" s="117" t="s">
        <v>126</v>
      </c>
      <c r="AS3" s="117" t="s">
        <v>111</v>
      </c>
      <c r="AT3" s="117" t="s">
        <v>96</v>
      </c>
      <c r="AU3" s="117" t="s">
        <v>14</v>
      </c>
      <c r="AV3" s="117" t="s">
        <v>120</v>
      </c>
      <c r="AW3" s="98" t="s">
        <v>103</v>
      </c>
      <c r="AX3" s="98" t="s">
        <v>14</v>
      </c>
      <c r="AY3" s="98" t="s">
        <v>120</v>
      </c>
      <c r="AZ3" s="98" t="s">
        <v>34</v>
      </c>
      <c r="BA3" s="98" t="s">
        <v>22</v>
      </c>
      <c r="BB3" s="233" t="s">
        <v>799</v>
      </c>
      <c r="BC3" s="233" t="s">
        <v>800</v>
      </c>
      <c r="BD3" s="233" t="s">
        <v>801</v>
      </c>
      <c r="BE3" s="233" t="s">
        <v>802</v>
      </c>
      <c r="BF3" s="233" t="s">
        <v>803</v>
      </c>
      <c r="BG3" s="233" t="s">
        <v>804</v>
      </c>
      <c r="BH3" s="430"/>
      <c r="BI3" s="430"/>
      <c r="BJ3" s="430"/>
      <c r="BK3" s="436"/>
      <c r="BL3" s="436"/>
      <c r="BM3" s="436"/>
      <c r="BN3" s="438"/>
      <c r="BO3" s="438"/>
      <c r="BP3" s="438"/>
      <c r="BQ3" s="280"/>
    </row>
    <row r="4" spans="1:69" ht="27.95" customHeight="1">
      <c r="A4" s="138">
        <v>1</v>
      </c>
      <c r="B4" s="221">
        <v>24250070</v>
      </c>
      <c r="C4" s="220" t="s">
        <v>403</v>
      </c>
      <c r="D4" s="121">
        <f t="shared" ref="D4:D27" si="0">ROUND(IF(AM4=0,0,MIN(MAX(AM4,40),99)),0)</f>
        <v>81</v>
      </c>
      <c r="E4" s="121">
        <f t="shared" ref="E4:E27" si="1">ROUND(IF(AN4=0,0,MIN(MAX(AN4,40),99)),0)</f>
        <v>98</v>
      </c>
      <c r="F4" s="121">
        <f t="shared" ref="F4:F27" si="2">ROUND(IF(AO4=0,0,MIN(MAX(AO4,40),99)),0)</f>
        <v>93</v>
      </c>
      <c r="G4" s="121">
        <f t="shared" ref="G4:G27" si="3">ROUND(IF(AP4=0,0,MIN(MAX(AP4,40),99)),0)</f>
        <v>96</v>
      </c>
      <c r="H4" s="121">
        <f t="shared" ref="H4:H27" si="4">ROUND(IF(AQ4=0,0,MIN(MAX(AQ4,40),99)),0)</f>
        <v>98</v>
      </c>
      <c r="I4" s="121">
        <f t="shared" ref="I4:I27" si="5">ROUND(IF(AR4=0,0,MIN(MAX(AR4,40),99)),0)</f>
        <v>88</v>
      </c>
      <c r="J4" s="121">
        <f t="shared" ref="J4:J27" si="6">ROUND(IF(AS4=0,0,MIN(MAX(AS4,40),99)),0)</f>
        <v>92</v>
      </c>
      <c r="K4" s="121">
        <f t="shared" ref="K4:K27" si="7">ROUND(IF(AT4=0,0,MIN(MAX(AT4,40),99)),0)</f>
        <v>89</v>
      </c>
      <c r="L4" s="121">
        <f t="shared" ref="L4:L27" si="8">ROUND(IF(AU4=0,0,MIN(MAX(AU4,40),99)),0)</f>
        <v>99</v>
      </c>
      <c r="M4" s="121">
        <f t="shared" ref="M4:M27" si="9">ROUND(IF(AV4=0,0,MIN(MAX(AV4,40),99)),0)</f>
        <v>99</v>
      </c>
      <c r="N4" s="122">
        <f t="shared" ref="N4:N27" si="10">ROUND(IF(AW4=0,0,MIN(MAX(AW4,40),99)),0)</f>
        <v>99</v>
      </c>
      <c r="O4" s="122">
        <f t="shared" ref="O4:O27" si="11">ROUND(IF(AX4=0,0,MIN(MAX(AX4,40),99)),0)</f>
        <v>99</v>
      </c>
      <c r="P4" s="122">
        <f t="shared" ref="P4:P27" si="12">ROUND(IF(AY4=0,0,MIN(MAX(AY4,40),99)),0)</f>
        <v>99</v>
      </c>
      <c r="Q4" s="122">
        <f t="shared" ref="Q4:Q27" si="13">ROUND(IF(AZ4=0,0,MIN(MAX(AZ4,40),99)),0)</f>
        <v>99</v>
      </c>
      <c r="R4" s="122">
        <f t="shared" ref="R4:R27" si="14">ROUND(IF(BA4=0,0,MIN(MAX(BA4,40),99)),0)</f>
        <v>99</v>
      </c>
      <c r="S4" s="241">
        <f t="shared" ref="S4:S27" si="15">ROUND(IF(BB4=0,0,MIN(MAX(BB4,40),99)),0)</f>
        <v>98</v>
      </c>
      <c r="T4" s="241">
        <f t="shared" ref="T4:T27" si="16">ROUND(IF(BC4=0,0,MIN(MAX(BC4,40),99)),0)</f>
        <v>98</v>
      </c>
      <c r="U4" s="241">
        <f t="shared" ref="U4:U27" si="17">ROUND(IF(BD4=0,0,MIN(MAX(BD4,40),99)),0)</f>
        <v>70</v>
      </c>
      <c r="V4" s="241">
        <f t="shared" ref="V4:V27" si="18">ROUND(IF(BE4=0,0,MIN(MAX(BE4,40),99)),0)</f>
        <v>80</v>
      </c>
      <c r="W4" s="241">
        <f t="shared" ref="W4:W27" si="19">ROUND(IF(BF4=0,0,MIN(MAX(BF4,40),99)),0)</f>
        <v>90</v>
      </c>
      <c r="X4" s="241">
        <f t="shared" ref="X4:X27" si="20">ROUND(IF(BG4=0,0,MIN(MAX(BG4,40),99)),0)</f>
        <v>95</v>
      </c>
      <c r="Y4" s="123">
        <f t="shared" ref="Y4:Y27" si="21">SUM(D4:R4)</f>
        <v>1428</v>
      </c>
      <c r="Z4" s="124">
        <f t="shared" ref="Z4:Z27" si="22">AVERAGE(D4:R4)</f>
        <v>95.2</v>
      </c>
      <c r="AA4" s="125">
        <f t="shared" ref="AA4:AA27" si="23">RANK(Y4,$Y$2:$Y$27)</f>
        <v>1</v>
      </c>
      <c r="AB4" s="253" t="s">
        <v>805</v>
      </c>
      <c r="AC4" s="253" t="s">
        <v>805</v>
      </c>
      <c r="AD4" s="253" t="s">
        <v>805</v>
      </c>
      <c r="AE4" s="127">
        <v>0</v>
      </c>
      <c r="AF4" s="127">
        <v>0</v>
      </c>
      <c r="AG4" s="127">
        <v>0</v>
      </c>
      <c r="AH4" s="128"/>
      <c r="AJ4" s="93">
        <v>15</v>
      </c>
      <c r="AK4" s="131">
        <v>24250070</v>
      </c>
      <c r="AL4" s="120" t="s">
        <v>403</v>
      </c>
      <c r="AM4" s="129">
        <v>80.5</v>
      </c>
      <c r="AN4" s="129">
        <v>98.4</v>
      </c>
      <c r="AO4" s="129">
        <v>92.8</v>
      </c>
      <c r="AP4" s="129">
        <v>95.5</v>
      </c>
      <c r="AQ4" s="129">
        <v>97.9</v>
      </c>
      <c r="AR4" s="129">
        <v>88</v>
      </c>
      <c r="AS4" s="129">
        <v>92</v>
      </c>
      <c r="AT4" s="129">
        <v>88.699999999999989</v>
      </c>
      <c r="AU4" s="129">
        <v>98.5</v>
      </c>
      <c r="AV4" s="129">
        <v>99.1</v>
      </c>
      <c r="AW4" s="250">
        <v>99</v>
      </c>
      <c r="AX4" s="250">
        <v>99</v>
      </c>
      <c r="AY4" s="250">
        <v>99</v>
      </c>
      <c r="AZ4" s="250">
        <v>99</v>
      </c>
      <c r="BA4" s="250">
        <v>99</v>
      </c>
      <c r="BB4" s="243">
        <v>97.5</v>
      </c>
      <c r="BC4" s="243">
        <v>97.5</v>
      </c>
      <c r="BD4" s="243">
        <v>70</v>
      </c>
      <c r="BE4" s="243">
        <v>80</v>
      </c>
      <c r="BF4" s="243">
        <v>90</v>
      </c>
      <c r="BG4" s="243">
        <v>95</v>
      </c>
      <c r="BH4" s="123">
        <f t="shared" ref="BH4:BH21" si="24">SUM(AM4:BA4)</f>
        <v>1426.4</v>
      </c>
      <c r="BI4" s="124">
        <f t="shared" ref="BI4:BI21" si="25">AVERAGE(AM4:BA4)</f>
        <v>95.093333333333334</v>
      </c>
      <c r="BJ4" s="125" t="e">
        <f t="shared" ref="BJ4:BJ21" si="26">RANK(BH4,$Y$2:$Y$27)</f>
        <v>#N/A</v>
      </c>
      <c r="BK4" s="126"/>
      <c r="BL4" s="126"/>
      <c r="BM4" s="126"/>
      <c r="BN4" s="127"/>
      <c r="BO4" s="127"/>
      <c r="BP4" s="127"/>
      <c r="BQ4" s="128"/>
    </row>
    <row r="5" spans="1:69" ht="27.95" customHeight="1">
      <c r="A5" s="138">
        <v>2</v>
      </c>
      <c r="B5" s="219">
        <v>24250179</v>
      </c>
      <c r="C5" s="220" t="s">
        <v>405</v>
      </c>
      <c r="D5" s="121">
        <f t="shared" si="0"/>
        <v>76</v>
      </c>
      <c r="E5" s="121">
        <f t="shared" si="1"/>
        <v>91</v>
      </c>
      <c r="F5" s="121">
        <f t="shared" si="2"/>
        <v>79</v>
      </c>
      <c r="G5" s="121">
        <f t="shared" si="3"/>
        <v>88</v>
      </c>
      <c r="H5" s="121">
        <f t="shared" si="4"/>
        <v>96</v>
      </c>
      <c r="I5" s="121">
        <f t="shared" si="5"/>
        <v>75</v>
      </c>
      <c r="J5" s="121">
        <f t="shared" si="6"/>
        <v>77</v>
      </c>
      <c r="K5" s="121">
        <f t="shared" si="7"/>
        <v>76</v>
      </c>
      <c r="L5" s="121">
        <f t="shared" si="8"/>
        <v>86</v>
      </c>
      <c r="M5" s="121">
        <f t="shared" si="9"/>
        <v>98</v>
      </c>
      <c r="N5" s="122">
        <f t="shared" si="10"/>
        <v>90</v>
      </c>
      <c r="O5" s="122">
        <f t="shared" si="11"/>
        <v>95</v>
      </c>
      <c r="P5" s="122">
        <f t="shared" si="12"/>
        <v>90</v>
      </c>
      <c r="Q5" s="122">
        <f t="shared" si="13"/>
        <v>99</v>
      </c>
      <c r="R5" s="122">
        <f t="shared" si="14"/>
        <v>95</v>
      </c>
      <c r="S5" s="241">
        <f t="shared" si="15"/>
        <v>90</v>
      </c>
      <c r="T5" s="241">
        <f t="shared" si="16"/>
        <v>95</v>
      </c>
      <c r="U5" s="241">
        <f t="shared" si="17"/>
        <v>80</v>
      </c>
      <c r="V5" s="241">
        <f t="shared" si="18"/>
        <v>85</v>
      </c>
      <c r="W5" s="241">
        <f t="shared" si="19"/>
        <v>95</v>
      </c>
      <c r="X5" s="241">
        <f t="shared" si="20"/>
        <v>93</v>
      </c>
      <c r="Y5" s="123">
        <f t="shared" si="21"/>
        <v>1311</v>
      </c>
      <c r="Z5" s="124">
        <f t="shared" si="22"/>
        <v>87.4</v>
      </c>
      <c r="AA5" s="125">
        <f t="shared" si="23"/>
        <v>2</v>
      </c>
      <c r="AB5" s="253" t="s">
        <v>805</v>
      </c>
      <c r="AC5" s="253" t="s">
        <v>805</v>
      </c>
      <c r="AD5" s="253" t="s">
        <v>805</v>
      </c>
      <c r="AE5" s="127">
        <v>1</v>
      </c>
      <c r="AF5" s="127">
        <v>9</v>
      </c>
      <c r="AG5" s="127">
        <v>0</v>
      </c>
      <c r="AH5" s="128"/>
      <c r="AJ5" s="93">
        <v>1</v>
      </c>
      <c r="AK5" s="119">
        <v>24250179</v>
      </c>
      <c r="AL5" s="120" t="s">
        <v>405</v>
      </c>
      <c r="AM5" s="129">
        <v>76</v>
      </c>
      <c r="AN5" s="129">
        <v>91</v>
      </c>
      <c r="AO5" s="129">
        <v>78.5</v>
      </c>
      <c r="AP5" s="129">
        <v>88</v>
      </c>
      <c r="AQ5" s="129">
        <v>95.5</v>
      </c>
      <c r="AR5" s="129">
        <v>75</v>
      </c>
      <c r="AS5" s="129">
        <v>76.5</v>
      </c>
      <c r="AT5" s="129">
        <v>76</v>
      </c>
      <c r="AU5" s="129">
        <v>85.5</v>
      </c>
      <c r="AV5" s="129">
        <v>97.9</v>
      </c>
      <c r="AW5" s="250">
        <v>90</v>
      </c>
      <c r="AX5" s="250">
        <v>95</v>
      </c>
      <c r="AY5" s="250">
        <v>90</v>
      </c>
      <c r="AZ5" s="250">
        <v>99</v>
      </c>
      <c r="BA5" s="250">
        <v>95</v>
      </c>
      <c r="BB5" s="243">
        <v>90</v>
      </c>
      <c r="BC5" s="243">
        <v>95</v>
      </c>
      <c r="BD5" s="243">
        <v>80</v>
      </c>
      <c r="BE5" s="243">
        <v>85</v>
      </c>
      <c r="BF5" s="243">
        <v>95</v>
      </c>
      <c r="BG5" s="243">
        <v>92.5</v>
      </c>
      <c r="BH5" s="123">
        <f t="shared" si="24"/>
        <v>1308.9000000000001</v>
      </c>
      <c r="BI5" s="124">
        <f t="shared" si="25"/>
        <v>87.26</v>
      </c>
      <c r="BJ5" s="125" t="e">
        <f t="shared" si="26"/>
        <v>#N/A</v>
      </c>
      <c r="BK5" s="126"/>
      <c r="BL5" s="126"/>
      <c r="BM5" s="126"/>
      <c r="BN5" s="127"/>
      <c r="BO5" s="127"/>
      <c r="BP5" s="127"/>
      <c r="BQ5" s="128"/>
    </row>
    <row r="6" spans="1:69" ht="27.95" customHeight="1">
      <c r="A6" s="138">
        <v>3</v>
      </c>
      <c r="B6" s="221">
        <v>24250010</v>
      </c>
      <c r="C6" s="220" t="s">
        <v>409</v>
      </c>
      <c r="D6" s="121">
        <f t="shared" si="0"/>
        <v>74</v>
      </c>
      <c r="E6" s="121">
        <f t="shared" si="1"/>
        <v>92</v>
      </c>
      <c r="F6" s="121">
        <f t="shared" si="2"/>
        <v>84</v>
      </c>
      <c r="G6" s="121">
        <f t="shared" si="3"/>
        <v>75</v>
      </c>
      <c r="H6" s="121">
        <f t="shared" si="4"/>
        <v>89</v>
      </c>
      <c r="I6" s="121">
        <f t="shared" si="5"/>
        <v>79</v>
      </c>
      <c r="J6" s="121">
        <f t="shared" si="6"/>
        <v>78</v>
      </c>
      <c r="K6" s="121">
        <f t="shared" si="7"/>
        <v>70</v>
      </c>
      <c r="L6" s="121">
        <f t="shared" si="8"/>
        <v>95</v>
      </c>
      <c r="M6" s="121">
        <f t="shared" si="9"/>
        <v>95</v>
      </c>
      <c r="N6" s="122">
        <f t="shared" si="10"/>
        <v>95</v>
      </c>
      <c r="O6" s="122">
        <f t="shared" si="11"/>
        <v>95</v>
      </c>
      <c r="P6" s="122">
        <f t="shared" si="12"/>
        <v>90</v>
      </c>
      <c r="Q6" s="122">
        <f t="shared" si="13"/>
        <v>99</v>
      </c>
      <c r="R6" s="122">
        <f t="shared" si="14"/>
        <v>99</v>
      </c>
      <c r="S6" s="241">
        <f t="shared" si="15"/>
        <v>73</v>
      </c>
      <c r="T6" s="241">
        <f t="shared" si="16"/>
        <v>99</v>
      </c>
      <c r="U6" s="241">
        <f t="shared" si="17"/>
        <v>75</v>
      </c>
      <c r="V6" s="241">
        <f t="shared" si="18"/>
        <v>68</v>
      </c>
      <c r="W6" s="241">
        <f t="shared" si="19"/>
        <v>88</v>
      </c>
      <c r="X6" s="241">
        <f t="shared" si="20"/>
        <v>90</v>
      </c>
      <c r="Y6" s="123">
        <f t="shared" si="21"/>
        <v>1309</v>
      </c>
      <c r="Z6" s="124">
        <f t="shared" si="22"/>
        <v>87.266666666666666</v>
      </c>
      <c r="AA6" s="125">
        <f t="shared" si="23"/>
        <v>3</v>
      </c>
      <c r="AB6" s="253" t="s">
        <v>805</v>
      </c>
      <c r="AC6" s="253" t="s">
        <v>805</v>
      </c>
      <c r="AD6" s="253" t="s">
        <v>805</v>
      </c>
      <c r="AE6" s="127">
        <v>0</v>
      </c>
      <c r="AF6" s="127">
        <v>0</v>
      </c>
      <c r="AG6" s="127">
        <v>0</v>
      </c>
      <c r="AH6" s="128"/>
      <c r="AJ6" s="93">
        <v>9</v>
      </c>
      <c r="AK6" s="131">
        <v>24250010</v>
      </c>
      <c r="AL6" s="120" t="s">
        <v>409</v>
      </c>
      <c r="AM6" s="129">
        <v>74</v>
      </c>
      <c r="AN6" s="129">
        <v>91.5</v>
      </c>
      <c r="AO6" s="129">
        <v>84</v>
      </c>
      <c r="AP6" s="129">
        <v>75</v>
      </c>
      <c r="AQ6" s="129">
        <v>89</v>
      </c>
      <c r="AR6" s="129">
        <v>78.5</v>
      </c>
      <c r="AS6" s="129">
        <v>78</v>
      </c>
      <c r="AT6" s="129">
        <v>70</v>
      </c>
      <c r="AU6" s="129">
        <v>95</v>
      </c>
      <c r="AV6" s="129">
        <v>95</v>
      </c>
      <c r="AW6" s="250">
        <v>95</v>
      </c>
      <c r="AX6" s="250">
        <v>95</v>
      </c>
      <c r="AY6" s="250">
        <v>90</v>
      </c>
      <c r="AZ6" s="250">
        <v>99</v>
      </c>
      <c r="BA6" s="250">
        <v>99</v>
      </c>
      <c r="BB6" s="243">
        <v>72.5</v>
      </c>
      <c r="BC6" s="243">
        <v>100</v>
      </c>
      <c r="BD6" s="243">
        <v>75</v>
      </c>
      <c r="BE6" s="243">
        <v>67.5</v>
      </c>
      <c r="BF6" s="243">
        <v>87.5</v>
      </c>
      <c r="BG6" s="243">
        <v>90</v>
      </c>
      <c r="BH6" s="123">
        <f t="shared" si="24"/>
        <v>1308</v>
      </c>
      <c r="BI6" s="124">
        <f t="shared" si="25"/>
        <v>87.2</v>
      </c>
      <c r="BJ6" s="125">
        <f t="shared" si="26"/>
        <v>4</v>
      </c>
      <c r="BK6" s="126"/>
      <c r="BL6" s="126"/>
      <c r="BM6" s="126"/>
      <c r="BN6" s="127"/>
      <c r="BO6" s="127"/>
      <c r="BP6" s="127"/>
      <c r="BQ6" s="128"/>
    </row>
    <row r="7" spans="1:69" ht="27.95" customHeight="1">
      <c r="A7" s="138">
        <v>4</v>
      </c>
      <c r="B7" s="221">
        <v>24250028</v>
      </c>
      <c r="C7" s="220" t="s">
        <v>406</v>
      </c>
      <c r="D7" s="121">
        <f t="shared" si="0"/>
        <v>80</v>
      </c>
      <c r="E7" s="121">
        <f t="shared" si="1"/>
        <v>95</v>
      </c>
      <c r="F7" s="121">
        <f t="shared" si="2"/>
        <v>75</v>
      </c>
      <c r="G7" s="121">
        <f t="shared" si="3"/>
        <v>81</v>
      </c>
      <c r="H7" s="121">
        <f t="shared" si="4"/>
        <v>90</v>
      </c>
      <c r="I7" s="121">
        <f t="shared" si="5"/>
        <v>66</v>
      </c>
      <c r="J7" s="121">
        <f t="shared" si="6"/>
        <v>83</v>
      </c>
      <c r="K7" s="121">
        <f t="shared" si="7"/>
        <v>76</v>
      </c>
      <c r="L7" s="121">
        <f t="shared" si="8"/>
        <v>90</v>
      </c>
      <c r="M7" s="121">
        <f t="shared" si="9"/>
        <v>90</v>
      </c>
      <c r="N7" s="122">
        <f t="shared" si="10"/>
        <v>90</v>
      </c>
      <c r="O7" s="122">
        <f t="shared" si="11"/>
        <v>99</v>
      </c>
      <c r="P7" s="122">
        <f t="shared" si="12"/>
        <v>99</v>
      </c>
      <c r="Q7" s="122">
        <f t="shared" si="13"/>
        <v>99</v>
      </c>
      <c r="R7" s="122">
        <f t="shared" si="14"/>
        <v>95</v>
      </c>
      <c r="S7" s="241">
        <f t="shared" si="15"/>
        <v>68</v>
      </c>
      <c r="T7" s="241">
        <f t="shared" si="16"/>
        <v>98</v>
      </c>
      <c r="U7" s="241">
        <f t="shared" si="17"/>
        <v>78</v>
      </c>
      <c r="V7" s="241">
        <f t="shared" si="18"/>
        <v>73</v>
      </c>
      <c r="W7" s="241">
        <f t="shared" si="19"/>
        <v>90</v>
      </c>
      <c r="X7" s="241">
        <f t="shared" si="20"/>
        <v>83</v>
      </c>
      <c r="Y7" s="123">
        <f t="shared" si="21"/>
        <v>1308</v>
      </c>
      <c r="Z7" s="124">
        <f t="shared" si="22"/>
        <v>87.2</v>
      </c>
      <c r="AA7" s="125">
        <f t="shared" si="23"/>
        <v>4</v>
      </c>
      <c r="AB7" s="253" t="s">
        <v>805</v>
      </c>
      <c r="AC7" s="253" t="s">
        <v>805</v>
      </c>
      <c r="AD7" s="253" t="s">
        <v>805</v>
      </c>
      <c r="AE7" s="127">
        <v>2</v>
      </c>
      <c r="AF7" s="127">
        <v>4</v>
      </c>
      <c r="AG7" s="127">
        <v>9</v>
      </c>
      <c r="AH7" s="128"/>
      <c r="AJ7" s="93">
        <v>10</v>
      </c>
      <c r="AK7" s="131">
        <v>24250028</v>
      </c>
      <c r="AL7" s="120" t="s">
        <v>406</v>
      </c>
      <c r="AM7" s="129">
        <v>80</v>
      </c>
      <c r="AN7" s="129">
        <v>95</v>
      </c>
      <c r="AO7" s="129">
        <v>74.8</v>
      </c>
      <c r="AP7" s="129">
        <v>81</v>
      </c>
      <c r="AQ7" s="129">
        <v>90</v>
      </c>
      <c r="AR7" s="129">
        <v>66</v>
      </c>
      <c r="AS7" s="129">
        <v>83.25</v>
      </c>
      <c r="AT7" s="129">
        <v>75.5</v>
      </c>
      <c r="AU7" s="129">
        <v>90</v>
      </c>
      <c r="AV7" s="129">
        <v>90</v>
      </c>
      <c r="AW7" s="250">
        <v>90</v>
      </c>
      <c r="AX7" s="250">
        <v>99</v>
      </c>
      <c r="AY7" s="250">
        <v>99</v>
      </c>
      <c r="AZ7" s="250">
        <v>99</v>
      </c>
      <c r="BA7" s="250">
        <v>95</v>
      </c>
      <c r="BB7" s="243">
        <v>67.5</v>
      </c>
      <c r="BC7" s="243">
        <v>97.5</v>
      </c>
      <c r="BD7" s="243">
        <v>77.5</v>
      </c>
      <c r="BE7" s="243">
        <v>72.5</v>
      </c>
      <c r="BF7" s="243">
        <v>90</v>
      </c>
      <c r="BG7" s="243">
        <v>82.5</v>
      </c>
      <c r="BH7" s="123">
        <f t="shared" si="24"/>
        <v>1307.55</v>
      </c>
      <c r="BI7" s="124">
        <f t="shared" si="25"/>
        <v>87.17</v>
      </c>
      <c r="BJ7" s="125" t="e">
        <f t="shared" si="26"/>
        <v>#N/A</v>
      </c>
      <c r="BK7" s="126"/>
      <c r="BL7" s="126"/>
      <c r="BM7" s="126"/>
      <c r="BN7" s="127"/>
      <c r="BO7" s="127"/>
      <c r="BP7" s="127"/>
      <c r="BQ7" s="128"/>
    </row>
    <row r="8" spans="1:69" ht="27.95" customHeight="1">
      <c r="A8" s="138">
        <v>5</v>
      </c>
      <c r="B8" s="221">
        <v>24250045</v>
      </c>
      <c r="C8" s="220" t="s">
        <v>412</v>
      </c>
      <c r="D8" s="121">
        <f t="shared" si="0"/>
        <v>69</v>
      </c>
      <c r="E8" s="121">
        <f t="shared" si="1"/>
        <v>84</v>
      </c>
      <c r="F8" s="121">
        <f t="shared" si="2"/>
        <v>78</v>
      </c>
      <c r="G8" s="121">
        <f t="shared" si="3"/>
        <v>88</v>
      </c>
      <c r="H8" s="121">
        <f t="shared" si="4"/>
        <v>89</v>
      </c>
      <c r="I8" s="121">
        <f t="shared" si="5"/>
        <v>85</v>
      </c>
      <c r="J8" s="121">
        <f t="shared" si="6"/>
        <v>83</v>
      </c>
      <c r="K8" s="121">
        <f t="shared" si="7"/>
        <v>61</v>
      </c>
      <c r="L8" s="121">
        <f t="shared" si="8"/>
        <v>92</v>
      </c>
      <c r="M8" s="121">
        <f t="shared" si="9"/>
        <v>96</v>
      </c>
      <c r="N8" s="122">
        <f t="shared" si="10"/>
        <v>90</v>
      </c>
      <c r="O8" s="122">
        <f t="shared" si="11"/>
        <v>95</v>
      </c>
      <c r="P8" s="122">
        <f t="shared" si="12"/>
        <v>99</v>
      </c>
      <c r="Q8" s="122">
        <f t="shared" si="13"/>
        <v>95</v>
      </c>
      <c r="R8" s="122">
        <f t="shared" si="14"/>
        <v>90</v>
      </c>
      <c r="S8" s="241">
        <f t="shared" si="15"/>
        <v>85</v>
      </c>
      <c r="T8" s="241">
        <f t="shared" si="16"/>
        <v>98</v>
      </c>
      <c r="U8" s="241">
        <f t="shared" si="17"/>
        <v>70</v>
      </c>
      <c r="V8" s="241">
        <f t="shared" si="18"/>
        <v>78</v>
      </c>
      <c r="W8" s="241">
        <f t="shared" si="19"/>
        <v>90</v>
      </c>
      <c r="X8" s="241">
        <f t="shared" si="20"/>
        <v>95</v>
      </c>
      <c r="Y8" s="123">
        <f t="shared" si="21"/>
        <v>1294</v>
      </c>
      <c r="Z8" s="124">
        <f t="shared" si="22"/>
        <v>86.266666666666666</v>
      </c>
      <c r="AA8" s="125">
        <f t="shared" si="23"/>
        <v>5</v>
      </c>
      <c r="AB8" s="253" t="s">
        <v>805</v>
      </c>
      <c r="AC8" s="253" t="s">
        <v>805</v>
      </c>
      <c r="AD8" s="253" t="s">
        <v>805</v>
      </c>
      <c r="AE8" s="127">
        <v>1</v>
      </c>
      <c r="AF8" s="127">
        <v>0</v>
      </c>
      <c r="AG8" s="127">
        <v>9</v>
      </c>
      <c r="AH8" s="128"/>
      <c r="AJ8" s="93">
        <v>11</v>
      </c>
      <c r="AK8" s="131">
        <v>24250045</v>
      </c>
      <c r="AL8" s="120" t="s">
        <v>412</v>
      </c>
      <c r="AM8" s="129">
        <v>69</v>
      </c>
      <c r="AN8" s="129">
        <v>83.5</v>
      </c>
      <c r="AO8" s="129">
        <v>77.599999999999994</v>
      </c>
      <c r="AP8" s="129">
        <v>88</v>
      </c>
      <c r="AQ8" s="129">
        <v>89.3</v>
      </c>
      <c r="AR8" s="129">
        <v>84.5</v>
      </c>
      <c r="AS8" s="129">
        <v>83.3</v>
      </c>
      <c r="AT8" s="129">
        <v>60.5</v>
      </c>
      <c r="AU8" s="129">
        <v>91.5</v>
      </c>
      <c r="AV8" s="129">
        <v>96.4</v>
      </c>
      <c r="AW8" s="250">
        <v>90</v>
      </c>
      <c r="AX8" s="250">
        <v>95</v>
      </c>
      <c r="AY8" s="250">
        <v>99</v>
      </c>
      <c r="AZ8" s="250">
        <v>95</v>
      </c>
      <c r="BA8" s="250">
        <v>90</v>
      </c>
      <c r="BB8" s="243">
        <v>85</v>
      </c>
      <c r="BC8" s="243">
        <v>97.5</v>
      </c>
      <c r="BD8" s="243">
        <v>70</v>
      </c>
      <c r="BE8" s="243">
        <v>77.5</v>
      </c>
      <c r="BF8" s="243">
        <v>90</v>
      </c>
      <c r="BG8" s="243">
        <v>95</v>
      </c>
      <c r="BH8" s="123">
        <f t="shared" si="24"/>
        <v>1292.5999999999999</v>
      </c>
      <c r="BI8" s="124">
        <f t="shared" si="25"/>
        <v>86.173333333333332</v>
      </c>
      <c r="BJ8" s="125" t="e">
        <f t="shared" si="26"/>
        <v>#N/A</v>
      </c>
      <c r="BK8" s="126"/>
      <c r="BL8" s="126"/>
      <c r="BM8" s="126"/>
      <c r="BN8" s="127"/>
      <c r="BO8" s="127"/>
      <c r="BP8" s="127"/>
      <c r="BQ8" s="128"/>
    </row>
    <row r="9" spans="1:69" ht="27.95" customHeight="1">
      <c r="A9" s="138">
        <v>6</v>
      </c>
      <c r="B9" s="221">
        <v>24250001</v>
      </c>
      <c r="C9" s="220" t="s">
        <v>418</v>
      </c>
      <c r="D9" s="121">
        <f t="shared" si="0"/>
        <v>66</v>
      </c>
      <c r="E9" s="121">
        <f t="shared" si="1"/>
        <v>69</v>
      </c>
      <c r="F9" s="121">
        <f t="shared" si="2"/>
        <v>85</v>
      </c>
      <c r="G9" s="121">
        <f t="shared" si="3"/>
        <v>66</v>
      </c>
      <c r="H9" s="121">
        <f t="shared" si="4"/>
        <v>82</v>
      </c>
      <c r="I9" s="121">
        <f t="shared" si="5"/>
        <v>64</v>
      </c>
      <c r="J9" s="121">
        <f t="shared" si="6"/>
        <v>73</v>
      </c>
      <c r="K9" s="121">
        <f t="shared" si="7"/>
        <v>69</v>
      </c>
      <c r="L9" s="121">
        <f t="shared" si="8"/>
        <v>88</v>
      </c>
      <c r="M9" s="121">
        <f t="shared" si="9"/>
        <v>90</v>
      </c>
      <c r="N9" s="122">
        <f t="shared" si="10"/>
        <v>70</v>
      </c>
      <c r="O9" s="122">
        <f t="shared" si="11"/>
        <v>99</v>
      </c>
      <c r="P9" s="122">
        <f t="shared" si="12"/>
        <v>99</v>
      </c>
      <c r="Q9" s="122">
        <f t="shared" si="13"/>
        <v>95</v>
      </c>
      <c r="R9" s="122">
        <f t="shared" si="14"/>
        <v>90</v>
      </c>
      <c r="S9" s="241">
        <f t="shared" si="15"/>
        <v>85</v>
      </c>
      <c r="T9" s="241">
        <f t="shared" si="16"/>
        <v>99</v>
      </c>
      <c r="U9" s="241">
        <f t="shared" si="17"/>
        <v>73</v>
      </c>
      <c r="V9" s="241">
        <f t="shared" si="18"/>
        <v>78</v>
      </c>
      <c r="W9" s="241">
        <f t="shared" si="19"/>
        <v>83</v>
      </c>
      <c r="X9" s="241">
        <f t="shared" si="20"/>
        <v>98</v>
      </c>
      <c r="Y9" s="123">
        <f t="shared" si="21"/>
        <v>1205</v>
      </c>
      <c r="Z9" s="124">
        <f t="shared" si="22"/>
        <v>80.333333333333329</v>
      </c>
      <c r="AA9" s="125">
        <f t="shared" si="23"/>
        <v>6</v>
      </c>
      <c r="AB9" s="253" t="s">
        <v>805</v>
      </c>
      <c r="AC9" s="253" t="s">
        <v>805</v>
      </c>
      <c r="AD9" s="253" t="s">
        <v>805</v>
      </c>
      <c r="AE9" s="127">
        <v>0</v>
      </c>
      <c r="AF9" s="127">
        <v>0</v>
      </c>
      <c r="AG9" s="127">
        <v>0</v>
      </c>
      <c r="AH9" s="128"/>
      <c r="AJ9" s="93">
        <v>5</v>
      </c>
      <c r="AK9" s="131">
        <v>24250001</v>
      </c>
      <c r="AL9" s="120" t="s">
        <v>418</v>
      </c>
      <c r="AM9" s="129">
        <v>66</v>
      </c>
      <c r="AN9" s="129">
        <v>68.5</v>
      </c>
      <c r="AO9" s="129">
        <v>84.8</v>
      </c>
      <c r="AP9" s="129">
        <v>66</v>
      </c>
      <c r="AQ9" s="129">
        <v>81.8</v>
      </c>
      <c r="AR9" s="129">
        <v>63.5</v>
      </c>
      <c r="AS9" s="129">
        <v>72.5</v>
      </c>
      <c r="AT9" s="129">
        <v>68.5</v>
      </c>
      <c r="AU9" s="129">
        <v>88.3</v>
      </c>
      <c r="AV9" s="129">
        <v>89.5</v>
      </c>
      <c r="AW9" s="250">
        <v>70</v>
      </c>
      <c r="AX9" s="250">
        <v>99</v>
      </c>
      <c r="AY9" s="250">
        <v>99</v>
      </c>
      <c r="AZ9" s="250">
        <v>95</v>
      </c>
      <c r="BA9" s="250">
        <v>90</v>
      </c>
      <c r="BB9" s="243">
        <v>85</v>
      </c>
      <c r="BC9" s="243">
        <v>100</v>
      </c>
      <c r="BD9" s="243">
        <v>72.5</v>
      </c>
      <c r="BE9" s="243">
        <v>77.5</v>
      </c>
      <c r="BF9" s="243">
        <v>82.5</v>
      </c>
      <c r="BG9" s="243">
        <v>97.5</v>
      </c>
      <c r="BH9" s="123">
        <f t="shared" si="24"/>
        <v>1202.4000000000001</v>
      </c>
      <c r="BI9" s="124">
        <f t="shared" si="25"/>
        <v>80.160000000000011</v>
      </c>
      <c r="BJ9" s="125" t="e">
        <f t="shared" si="26"/>
        <v>#N/A</v>
      </c>
      <c r="BK9" s="126"/>
      <c r="BL9" s="126"/>
      <c r="BM9" s="126"/>
      <c r="BN9" s="127"/>
      <c r="BO9" s="127"/>
      <c r="BP9" s="127"/>
      <c r="BQ9" s="128"/>
    </row>
    <row r="10" spans="1:69" ht="27.95" customHeight="1">
      <c r="A10" s="138">
        <v>7</v>
      </c>
      <c r="B10" s="221">
        <v>24250110</v>
      </c>
      <c r="C10" s="220" t="s">
        <v>685</v>
      </c>
      <c r="D10" s="121">
        <f t="shared" si="0"/>
        <v>67</v>
      </c>
      <c r="E10" s="121">
        <f t="shared" si="1"/>
        <v>78</v>
      </c>
      <c r="F10" s="121">
        <f t="shared" si="2"/>
        <v>76</v>
      </c>
      <c r="G10" s="121">
        <f t="shared" si="3"/>
        <v>66</v>
      </c>
      <c r="H10" s="121">
        <f t="shared" si="4"/>
        <v>77</v>
      </c>
      <c r="I10" s="121">
        <f t="shared" si="5"/>
        <v>81</v>
      </c>
      <c r="J10" s="121">
        <f t="shared" si="6"/>
        <v>77</v>
      </c>
      <c r="K10" s="121">
        <f t="shared" si="7"/>
        <v>58</v>
      </c>
      <c r="L10" s="121">
        <f t="shared" si="8"/>
        <v>80</v>
      </c>
      <c r="M10" s="121">
        <f t="shared" si="9"/>
        <v>91</v>
      </c>
      <c r="N10" s="122">
        <f t="shared" si="10"/>
        <v>60</v>
      </c>
      <c r="O10" s="122">
        <f t="shared" si="11"/>
        <v>95</v>
      </c>
      <c r="P10" s="122">
        <f t="shared" si="12"/>
        <v>95</v>
      </c>
      <c r="Q10" s="122">
        <f t="shared" si="13"/>
        <v>99</v>
      </c>
      <c r="R10" s="122">
        <f t="shared" si="14"/>
        <v>99</v>
      </c>
      <c r="S10" s="241">
        <f t="shared" si="15"/>
        <v>68</v>
      </c>
      <c r="T10" s="241">
        <f t="shared" si="16"/>
        <v>98</v>
      </c>
      <c r="U10" s="241">
        <f t="shared" si="17"/>
        <v>68</v>
      </c>
      <c r="V10" s="241">
        <f t="shared" si="18"/>
        <v>63</v>
      </c>
      <c r="W10" s="241">
        <f t="shared" si="19"/>
        <v>85</v>
      </c>
      <c r="X10" s="241">
        <f t="shared" si="20"/>
        <v>85</v>
      </c>
      <c r="Y10" s="123">
        <f t="shared" si="21"/>
        <v>1199</v>
      </c>
      <c r="Z10" s="124">
        <f t="shared" si="22"/>
        <v>79.933333333333337</v>
      </c>
      <c r="AA10" s="125">
        <f t="shared" si="23"/>
        <v>7</v>
      </c>
      <c r="AB10" s="253" t="s">
        <v>805</v>
      </c>
      <c r="AC10" s="253" t="s">
        <v>805</v>
      </c>
      <c r="AD10" s="253" t="s">
        <v>805</v>
      </c>
      <c r="AE10" s="127">
        <v>3</v>
      </c>
      <c r="AF10" s="127">
        <v>10</v>
      </c>
      <c r="AG10" s="127">
        <v>0</v>
      </c>
      <c r="AH10" s="128"/>
      <c r="AJ10" s="93">
        <v>17</v>
      </c>
      <c r="AK10" s="131">
        <v>24250110</v>
      </c>
      <c r="AL10" s="120" t="s">
        <v>685</v>
      </c>
      <c r="AM10" s="129">
        <v>67</v>
      </c>
      <c r="AN10" s="129">
        <v>78</v>
      </c>
      <c r="AO10" s="129">
        <v>76.399999999999991</v>
      </c>
      <c r="AP10" s="129">
        <v>66</v>
      </c>
      <c r="AQ10" s="129">
        <v>76.5</v>
      </c>
      <c r="AR10" s="129">
        <v>80.5</v>
      </c>
      <c r="AS10" s="129">
        <v>77</v>
      </c>
      <c r="AT10" s="129">
        <v>58</v>
      </c>
      <c r="AU10" s="129">
        <v>79.699999999999989</v>
      </c>
      <c r="AV10" s="129">
        <v>91</v>
      </c>
      <c r="AW10" s="250">
        <v>60</v>
      </c>
      <c r="AX10" s="250">
        <v>95</v>
      </c>
      <c r="AY10" s="250">
        <v>95</v>
      </c>
      <c r="AZ10" s="250">
        <v>99</v>
      </c>
      <c r="BA10" s="250">
        <v>99</v>
      </c>
      <c r="BB10" s="243">
        <v>67.5</v>
      </c>
      <c r="BC10" s="243">
        <v>97.5</v>
      </c>
      <c r="BD10" s="243">
        <v>67.5</v>
      </c>
      <c r="BE10" s="243">
        <v>62.5</v>
      </c>
      <c r="BF10" s="243">
        <v>85</v>
      </c>
      <c r="BG10" s="243">
        <v>85</v>
      </c>
      <c r="BH10" s="123">
        <f t="shared" si="24"/>
        <v>1198.0999999999999</v>
      </c>
      <c r="BI10" s="124">
        <f t="shared" si="25"/>
        <v>79.873333333333321</v>
      </c>
      <c r="BJ10" s="125" t="e">
        <f t="shared" si="26"/>
        <v>#N/A</v>
      </c>
      <c r="BK10" s="126"/>
      <c r="BL10" s="126"/>
      <c r="BM10" s="126"/>
      <c r="BN10" s="127"/>
      <c r="BO10" s="127"/>
      <c r="BP10" s="127"/>
      <c r="BQ10" s="128"/>
    </row>
    <row r="11" spans="1:69" ht="27.95" customHeight="1">
      <c r="A11" s="138">
        <v>8</v>
      </c>
      <c r="B11" s="221">
        <v>24250034</v>
      </c>
      <c r="C11" s="220" t="s">
        <v>421</v>
      </c>
      <c r="D11" s="121">
        <f t="shared" si="0"/>
        <v>64</v>
      </c>
      <c r="E11" s="121">
        <f t="shared" si="1"/>
        <v>77</v>
      </c>
      <c r="F11" s="121">
        <f t="shared" si="2"/>
        <v>69</v>
      </c>
      <c r="G11" s="121">
        <f t="shared" si="3"/>
        <v>65</v>
      </c>
      <c r="H11" s="121">
        <f t="shared" si="4"/>
        <v>68</v>
      </c>
      <c r="I11" s="121">
        <f t="shared" si="5"/>
        <v>62</v>
      </c>
      <c r="J11" s="121">
        <f t="shared" si="6"/>
        <v>73</v>
      </c>
      <c r="K11" s="121">
        <f t="shared" si="7"/>
        <v>54</v>
      </c>
      <c r="L11" s="121">
        <f t="shared" si="8"/>
        <v>92</v>
      </c>
      <c r="M11" s="121">
        <f t="shared" si="9"/>
        <v>97</v>
      </c>
      <c r="N11" s="122">
        <f t="shared" si="10"/>
        <v>90</v>
      </c>
      <c r="O11" s="122">
        <f t="shared" si="11"/>
        <v>95</v>
      </c>
      <c r="P11" s="122">
        <f t="shared" si="12"/>
        <v>99</v>
      </c>
      <c r="Q11" s="122">
        <f t="shared" si="13"/>
        <v>85</v>
      </c>
      <c r="R11" s="122">
        <f t="shared" si="14"/>
        <v>85</v>
      </c>
      <c r="S11" s="241">
        <f t="shared" si="15"/>
        <v>90</v>
      </c>
      <c r="T11" s="241">
        <f t="shared" si="16"/>
        <v>99</v>
      </c>
      <c r="U11" s="241">
        <f t="shared" si="17"/>
        <v>83</v>
      </c>
      <c r="V11" s="241">
        <f t="shared" si="18"/>
        <v>75</v>
      </c>
      <c r="W11" s="241">
        <f t="shared" si="19"/>
        <v>90</v>
      </c>
      <c r="X11" s="241">
        <f t="shared" si="20"/>
        <v>83</v>
      </c>
      <c r="Y11" s="123">
        <f t="shared" si="21"/>
        <v>1175</v>
      </c>
      <c r="Z11" s="124">
        <f t="shared" si="22"/>
        <v>78.333333333333329</v>
      </c>
      <c r="AA11" s="125">
        <f t="shared" si="23"/>
        <v>8</v>
      </c>
      <c r="AB11" s="253" t="s">
        <v>805</v>
      </c>
      <c r="AC11" s="253" t="s">
        <v>805</v>
      </c>
      <c r="AD11" s="253" t="s">
        <v>805</v>
      </c>
      <c r="AE11" s="127">
        <v>32</v>
      </c>
      <c r="AF11" s="127">
        <v>0</v>
      </c>
      <c r="AG11" s="127">
        <v>0</v>
      </c>
      <c r="AH11" s="128"/>
      <c r="AJ11" s="93">
        <v>21</v>
      </c>
      <c r="AK11" s="131">
        <v>24250034</v>
      </c>
      <c r="AL11" s="120" t="s">
        <v>421</v>
      </c>
      <c r="AM11" s="129">
        <v>64</v>
      </c>
      <c r="AN11" s="129">
        <v>77</v>
      </c>
      <c r="AO11" s="129">
        <v>69.3</v>
      </c>
      <c r="AP11" s="129">
        <v>65</v>
      </c>
      <c r="AQ11" s="129">
        <v>67.5</v>
      </c>
      <c r="AR11" s="129">
        <v>62</v>
      </c>
      <c r="AS11" s="129">
        <v>72.5</v>
      </c>
      <c r="AT11" s="129">
        <v>54</v>
      </c>
      <c r="AU11" s="129">
        <v>92.3</v>
      </c>
      <c r="AV11" s="129">
        <v>96.9</v>
      </c>
      <c r="AW11" s="250">
        <v>90</v>
      </c>
      <c r="AX11" s="250">
        <v>95</v>
      </c>
      <c r="AY11" s="250">
        <v>99</v>
      </c>
      <c r="AZ11" s="250">
        <v>85</v>
      </c>
      <c r="BA11" s="250">
        <v>85</v>
      </c>
      <c r="BB11" s="243">
        <v>90</v>
      </c>
      <c r="BC11" s="243">
        <v>100</v>
      </c>
      <c r="BD11" s="243">
        <v>82.5</v>
      </c>
      <c r="BE11" s="243">
        <v>75</v>
      </c>
      <c r="BF11" s="243">
        <v>90</v>
      </c>
      <c r="BG11" s="243">
        <v>82.5</v>
      </c>
      <c r="BH11" s="123">
        <f t="shared" si="24"/>
        <v>1174.5</v>
      </c>
      <c r="BI11" s="124">
        <f t="shared" si="25"/>
        <v>78.3</v>
      </c>
      <c r="BJ11" s="125" t="e">
        <f t="shared" si="26"/>
        <v>#N/A</v>
      </c>
      <c r="BK11" s="126"/>
      <c r="BL11" s="126"/>
      <c r="BM11" s="126"/>
      <c r="BN11" s="127"/>
      <c r="BO11" s="127"/>
      <c r="BP11" s="127"/>
      <c r="BQ11" s="128"/>
    </row>
    <row r="12" spans="1:69" ht="27.95" customHeight="1">
      <c r="A12" s="138">
        <v>9</v>
      </c>
      <c r="B12" s="221">
        <v>24250120</v>
      </c>
      <c r="C12" s="220" t="s">
        <v>684</v>
      </c>
      <c r="D12" s="121">
        <f t="shared" si="0"/>
        <v>69</v>
      </c>
      <c r="E12" s="121">
        <f t="shared" si="1"/>
        <v>76</v>
      </c>
      <c r="F12" s="121">
        <f t="shared" si="2"/>
        <v>72</v>
      </c>
      <c r="G12" s="121">
        <f t="shared" si="3"/>
        <v>69</v>
      </c>
      <c r="H12" s="121">
        <f t="shared" si="4"/>
        <v>82</v>
      </c>
      <c r="I12" s="121">
        <f t="shared" si="5"/>
        <v>78</v>
      </c>
      <c r="J12" s="121">
        <f t="shared" si="6"/>
        <v>70</v>
      </c>
      <c r="K12" s="121">
        <f t="shared" si="7"/>
        <v>60</v>
      </c>
      <c r="L12" s="121">
        <f t="shared" si="8"/>
        <v>74</v>
      </c>
      <c r="M12" s="121">
        <f t="shared" si="9"/>
        <v>72</v>
      </c>
      <c r="N12" s="122">
        <f t="shared" si="10"/>
        <v>80</v>
      </c>
      <c r="O12" s="122">
        <f t="shared" si="11"/>
        <v>95</v>
      </c>
      <c r="P12" s="122">
        <f t="shared" si="12"/>
        <v>75</v>
      </c>
      <c r="Q12" s="122">
        <f t="shared" si="13"/>
        <v>95</v>
      </c>
      <c r="R12" s="122">
        <f t="shared" si="14"/>
        <v>90</v>
      </c>
      <c r="S12" s="241">
        <f t="shared" si="15"/>
        <v>83</v>
      </c>
      <c r="T12" s="241">
        <f t="shared" si="16"/>
        <v>98</v>
      </c>
      <c r="U12" s="241">
        <f t="shared" si="17"/>
        <v>70</v>
      </c>
      <c r="V12" s="241">
        <f t="shared" si="18"/>
        <v>68</v>
      </c>
      <c r="W12" s="241">
        <f t="shared" si="19"/>
        <v>75</v>
      </c>
      <c r="X12" s="241">
        <f t="shared" si="20"/>
        <v>70</v>
      </c>
      <c r="Y12" s="123">
        <f t="shared" si="21"/>
        <v>1157</v>
      </c>
      <c r="Z12" s="124">
        <f t="shared" si="22"/>
        <v>77.13333333333334</v>
      </c>
      <c r="AA12" s="125">
        <f t="shared" si="23"/>
        <v>9</v>
      </c>
      <c r="AB12" s="253" t="s">
        <v>805</v>
      </c>
      <c r="AC12" s="253" t="s">
        <v>805</v>
      </c>
      <c r="AD12" s="253" t="s">
        <v>805</v>
      </c>
      <c r="AE12" s="127">
        <v>12</v>
      </c>
      <c r="AF12" s="127">
        <v>4</v>
      </c>
      <c r="AG12" s="127">
        <v>0</v>
      </c>
      <c r="AH12" s="128"/>
      <c r="AJ12" s="93">
        <v>16</v>
      </c>
      <c r="AK12" s="131">
        <v>24250120</v>
      </c>
      <c r="AL12" s="120" t="s">
        <v>684</v>
      </c>
      <c r="AM12" s="129">
        <v>68.5</v>
      </c>
      <c r="AN12" s="129">
        <v>76</v>
      </c>
      <c r="AO12" s="129">
        <v>72</v>
      </c>
      <c r="AP12" s="129">
        <v>68.5</v>
      </c>
      <c r="AQ12" s="129">
        <v>81.5</v>
      </c>
      <c r="AR12" s="129">
        <v>78</v>
      </c>
      <c r="AS12" s="129">
        <v>69.5</v>
      </c>
      <c r="AT12" s="129">
        <v>59.5</v>
      </c>
      <c r="AU12" s="129">
        <v>74</v>
      </c>
      <c r="AV12" s="129">
        <v>71.5</v>
      </c>
      <c r="AW12" s="250">
        <v>80</v>
      </c>
      <c r="AX12" s="250">
        <v>95</v>
      </c>
      <c r="AY12" s="250">
        <v>75</v>
      </c>
      <c r="AZ12" s="250">
        <v>95</v>
      </c>
      <c r="BA12" s="250">
        <v>90</v>
      </c>
      <c r="BB12" s="243">
        <v>82.5</v>
      </c>
      <c r="BC12" s="243">
        <v>97.5</v>
      </c>
      <c r="BD12" s="243">
        <v>70</v>
      </c>
      <c r="BE12" s="243">
        <v>67.5</v>
      </c>
      <c r="BF12" s="243">
        <v>75</v>
      </c>
      <c r="BG12" s="243">
        <v>70</v>
      </c>
      <c r="BH12" s="123">
        <f t="shared" si="24"/>
        <v>1154</v>
      </c>
      <c r="BI12" s="124">
        <f t="shared" si="25"/>
        <v>76.933333333333337</v>
      </c>
      <c r="BJ12" s="125">
        <f t="shared" si="26"/>
        <v>10</v>
      </c>
      <c r="BK12" s="126"/>
      <c r="BL12" s="126"/>
      <c r="BM12" s="126"/>
      <c r="BN12" s="127"/>
      <c r="BO12" s="127"/>
      <c r="BP12" s="127"/>
      <c r="BQ12" s="128"/>
    </row>
    <row r="13" spans="1:69" ht="27.95" customHeight="1">
      <c r="A13" s="138">
        <v>10</v>
      </c>
      <c r="B13" s="222">
        <v>24250015</v>
      </c>
      <c r="C13" s="220" t="s">
        <v>424</v>
      </c>
      <c r="D13" s="121">
        <f t="shared" si="0"/>
        <v>66</v>
      </c>
      <c r="E13" s="121">
        <f t="shared" si="1"/>
        <v>83</v>
      </c>
      <c r="F13" s="121">
        <f t="shared" si="2"/>
        <v>64</v>
      </c>
      <c r="G13" s="121">
        <f t="shared" si="3"/>
        <v>67</v>
      </c>
      <c r="H13" s="121">
        <f t="shared" si="4"/>
        <v>86</v>
      </c>
      <c r="I13" s="121">
        <f t="shared" si="5"/>
        <v>73</v>
      </c>
      <c r="J13" s="121">
        <f t="shared" si="6"/>
        <v>75</v>
      </c>
      <c r="K13" s="121">
        <f t="shared" si="7"/>
        <v>56</v>
      </c>
      <c r="L13" s="121">
        <f t="shared" si="8"/>
        <v>86</v>
      </c>
      <c r="M13" s="121">
        <f t="shared" si="9"/>
        <v>94</v>
      </c>
      <c r="N13" s="122">
        <f t="shared" si="10"/>
        <v>70</v>
      </c>
      <c r="O13" s="122">
        <f t="shared" si="11"/>
        <v>85</v>
      </c>
      <c r="P13" s="122">
        <f t="shared" si="12"/>
        <v>95</v>
      </c>
      <c r="Q13" s="122">
        <f t="shared" si="13"/>
        <v>95</v>
      </c>
      <c r="R13" s="122">
        <f t="shared" si="14"/>
        <v>59</v>
      </c>
      <c r="S13" s="241">
        <f t="shared" si="15"/>
        <v>90</v>
      </c>
      <c r="T13" s="241">
        <f t="shared" si="16"/>
        <v>99</v>
      </c>
      <c r="U13" s="241">
        <f t="shared" si="17"/>
        <v>78</v>
      </c>
      <c r="V13" s="241">
        <f t="shared" si="18"/>
        <v>68</v>
      </c>
      <c r="W13" s="241">
        <f t="shared" si="19"/>
        <v>90</v>
      </c>
      <c r="X13" s="241">
        <f t="shared" si="20"/>
        <v>95</v>
      </c>
      <c r="Y13" s="123">
        <f t="shared" si="21"/>
        <v>1154</v>
      </c>
      <c r="Z13" s="124">
        <f t="shared" si="22"/>
        <v>76.933333333333337</v>
      </c>
      <c r="AA13" s="125">
        <f t="shared" si="23"/>
        <v>10</v>
      </c>
      <c r="AB13" s="253" t="s">
        <v>805</v>
      </c>
      <c r="AC13" s="253" t="s">
        <v>805</v>
      </c>
      <c r="AD13" s="253" t="s">
        <v>805</v>
      </c>
      <c r="AE13" s="127">
        <v>29</v>
      </c>
      <c r="AF13" s="127">
        <v>12</v>
      </c>
      <c r="AG13" s="127">
        <v>0</v>
      </c>
      <c r="AH13" s="128"/>
      <c r="AJ13" s="93">
        <v>22</v>
      </c>
      <c r="AK13" s="134">
        <v>24250015</v>
      </c>
      <c r="AL13" s="120" t="s">
        <v>424</v>
      </c>
      <c r="AM13" s="129">
        <v>66</v>
      </c>
      <c r="AN13" s="129">
        <v>83</v>
      </c>
      <c r="AO13" s="129">
        <v>64</v>
      </c>
      <c r="AP13" s="129">
        <v>67</v>
      </c>
      <c r="AQ13" s="129">
        <v>86</v>
      </c>
      <c r="AR13" s="129">
        <v>73</v>
      </c>
      <c r="AS13" s="129">
        <v>75</v>
      </c>
      <c r="AT13" s="129">
        <v>55.5</v>
      </c>
      <c r="AU13" s="129">
        <v>86</v>
      </c>
      <c r="AV13" s="129">
        <v>93.9</v>
      </c>
      <c r="AW13" s="250">
        <v>70</v>
      </c>
      <c r="AX13" s="250">
        <v>85</v>
      </c>
      <c r="AY13" s="250">
        <v>95</v>
      </c>
      <c r="AZ13" s="250">
        <v>95</v>
      </c>
      <c r="BA13" s="251">
        <v>59</v>
      </c>
      <c r="BB13" s="243">
        <v>90</v>
      </c>
      <c r="BC13" s="243">
        <v>100</v>
      </c>
      <c r="BD13" s="243">
        <v>77.5</v>
      </c>
      <c r="BE13" s="243">
        <v>67.5</v>
      </c>
      <c r="BF13" s="243">
        <v>90</v>
      </c>
      <c r="BG13" s="243">
        <v>95</v>
      </c>
      <c r="BH13" s="123">
        <f t="shared" si="24"/>
        <v>1153.4000000000001</v>
      </c>
      <c r="BI13" s="124">
        <f t="shared" si="25"/>
        <v>76.893333333333345</v>
      </c>
      <c r="BJ13" s="125" t="e">
        <f t="shared" si="26"/>
        <v>#N/A</v>
      </c>
      <c r="BK13" s="126"/>
      <c r="BL13" s="126"/>
      <c r="BM13" s="126"/>
      <c r="BN13" s="127"/>
      <c r="BO13" s="127"/>
      <c r="BP13" s="127"/>
      <c r="BQ13" s="128"/>
    </row>
    <row r="14" spans="1:69" ht="27.95" customHeight="1">
      <c r="A14" s="138">
        <v>11</v>
      </c>
      <c r="B14" s="221">
        <v>24250013</v>
      </c>
      <c r="C14" s="220" t="s">
        <v>415</v>
      </c>
      <c r="D14" s="121">
        <f t="shared" si="0"/>
        <v>64</v>
      </c>
      <c r="E14" s="121">
        <f t="shared" si="1"/>
        <v>84</v>
      </c>
      <c r="F14" s="121">
        <f t="shared" si="2"/>
        <v>85</v>
      </c>
      <c r="G14" s="121">
        <f t="shared" si="3"/>
        <v>68</v>
      </c>
      <c r="H14" s="121">
        <f t="shared" si="4"/>
        <v>75</v>
      </c>
      <c r="I14" s="121">
        <f t="shared" si="5"/>
        <v>65</v>
      </c>
      <c r="J14" s="121">
        <f t="shared" si="6"/>
        <v>78</v>
      </c>
      <c r="K14" s="121">
        <f t="shared" si="7"/>
        <v>65</v>
      </c>
      <c r="L14" s="121">
        <f t="shared" si="8"/>
        <v>85</v>
      </c>
      <c r="M14" s="121">
        <f t="shared" si="9"/>
        <v>96</v>
      </c>
      <c r="N14" s="122">
        <f t="shared" si="10"/>
        <v>60</v>
      </c>
      <c r="O14" s="122">
        <f t="shared" si="11"/>
        <v>80</v>
      </c>
      <c r="P14" s="122">
        <f t="shared" si="12"/>
        <v>80</v>
      </c>
      <c r="Q14" s="122">
        <f t="shared" si="13"/>
        <v>85</v>
      </c>
      <c r="R14" s="122">
        <f t="shared" si="14"/>
        <v>59</v>
      </c>
      <c r="S14" s="241">
        <f t="shared" si="15"/>
        <v>85</v>
      </c>
      <c r="T14" s="241">
        <f t="shared" si="16"/>
        <v>98</v>
      </c>
      <c r="U14" s="241">
        <f t="shared" si="17"/>
        <v>88</v>
      </c>
      <c r="V14" s="241">
        <f t="shared" si="18"/>
        <v>65</v>
      </c>
      <c r="W14" s="241">
        <f t="shared" si="19"/>
        <v>78</v>
      </c>
      <c r="X14" s="241">
        <f t="shared" si="20"/>
        <v>88</v>
      </c>
      <c r="Y14" s="123">
        <f t="shared" si="21"/>
        <v>1129</v>
      </c>
      <c r="Z14" s="124">
        <f t="shared" si="22"/>
        <v>75.266666666666666</v>
      </c>
      <c r="AA14" s="125">
        <f t="shared" si="23"/>
        <v>11</v>
      </c>
      <c r="AB14" s="253" t="s">
        <v>805</v>
      </c>
      <c r="AC14" s="253" t="s">
        <v>805</v>
      </c>
      <c r="AD14" s="253" t="s">
        <v>805</v>
      </c>
      <c r="AE14" s="127">
        <v>0</v>
      </c>
      <c r="AF14" s="127">
        <v>0</v>
      </c>
      <c r="AG14" s="127">
        <v>0</v>
      </c>
      <c r="AH14" s="128"/>
      <c r="AJ14" s="93">
        <v>2</v>
      </c>
      <c r="AK14" s="131">
        <v>24250013</v>
      </c>
      <c r="AL14" s="120" t="s">
        <v>415</v>
      </c>
      <c r="AM14" s="129">
        <v>64</v>
      </c>
      <c r="AN14" s="129">
        <v>83.5</v>
      </c>
      <c r="AO14" s="129">
        <v>85.1</v>
      </c>
      <c r="AP14" s="129">
        <v>68.199999999999989</v>
      </c>
      <c r="AQ14" s="129">
        <v>74.5</v>
      </c>
      <c r="AR14" s="129">
        <v>65</v>
      </c>
      <c r="AS14" s="129">
        <v>77.5</v>
      </c>
      <c r="AT14" s="129">
        <v>65</v>
      </c>
      <c r="AU14" s="129">
        <v>85</v>
      </c>
      <c r="AV14" s="129">
        <v>96.4</v>
      </c>
      <c r="AW14" s="250">
        <v>60</v>
      </c>
      <c r="AX14" s="250">
        <v>80</v>
      </c>
      <c r="AY14" s="250">
        <v>80</v>
      </c>
      <c r="AZ14" s="250">
        <v>85</v>
      </c>
      <c r="BA14" s="251">
        <v>59</v>
      </c>
      <c r="BB14" s="243">
        <v>85</v>
      </c>
      <c r="BC14" s="243">
        <v>97.5</v>
      </c>
      <c r="BD14" s="243">
        <v>87.5</v>
      </c>
      <c r="BE14" s="243">
        <v>65</v>
      </c>
      <c r="BF14" s="243">
        <v>77.5</v>
      </c>
      <c r="BG14" s="243">
        <v>87.5</v>
      </c>
      <c r="BH14" s="123">
        <f t="shared" si="24"/>
        <v>1128.1999999999998</v>
      </c>
      <c r="BI14" s="124">
        <f t="shared" si="25"/>
        <v>75.213333333333324</v>
      </c>
      <c r="BJ14" s="125" t="e">
        <f t="shared" si="26"/>
        <v>#N/A</v>
      </c>
      <c r="BK14" s="126"/>
      <c r="BL14" s="126"/>
      <c r="BM14" s="126"/>
      <c r="BN14" s="127"/>
      <c r="BO14" s="127"/>
      <c r="BP14" s="127"/>
      <c r="BQ14" s="128"/>
    </row>
    <row r="15" spans="1:69" ht="27.95" customHeight="1">
      <c r="A15" s="138">
        <v>12</v>
      </c>
      <c r="B15" s="221">
        <v>24250108</v>
      </c>
      <c r="C15" s="220" t="s">
        <v>680</v>
      </c>
      <c r="D15" s="121">
        <f t="shared" si="0"/>
        <v>64</v>
      </c>
      <c r="E15" s="121">
        <f t="shared" si="1"/>
        <v>74</v>
      </c>
      <c r="F15" s="121">
        <f t="shared" si="2"/>
        <v>74</v>
      </c>
      <c r="G15" s="121">
        <f t="shared" si="3"/>
        <v>70</v>
      </c>
      <c r="H15" s="121">
        <f t="shared" si="4"/>
        <v>76</v>
      </c>
      <c r="I15" s="121">
        <f t="shared" si="5"/>
        <v>64</v>
      </c>
      <c r="J15" s="121">
        <f t="shared" si="6"/>
        <v>75</v>
      </c>
      <c r="K15" s="121">
        <f t="shared" si="7"/>
        <v>56</v>
      </c>
      <c r="L15" s="121">
        <f t="shared" si="8"/>
        <v>93</v>
      </c>
      <c r="M15" s="121">
        <f t="shared" si="9"/>
        <v>92</v>
      </c>
      <c r="N15" s="122">
        <f t="shared" si="10"/>
        <v>60</v>
      </c>
      <c r="O15" s="122">
        <f t="shared" si="11"/>
        <v>80</v>
      </c>
      <c r="P15" s="122">
        <f t="shared" si="12"/>
        <v>90</v>
      </c>
      <c r="Q15" s="122">
        <f t="shared" si="13"/>
        <v>90</v>
      </c>
      <c r="R15" s="122">
        <f t="shared" si="14"/>
        <v>59</v>
      </c>
      <c r="S15" s="241">
        <f t="shared" si="15"/>
        <v>85</v>
      </c>
      <c r="T15" s="241">
        <f t="shared" si="16"/>
        <v>99</v>
      </c>
      <c r="U15" s="241">
        <f t="shared" si="17"/>
        <v>85</v>
      </c>
      <c r="V15" s="241">
        <f t="shared" si="18"/>
        <v>73</v>
      </c>
      <c r="W15" s="241">
        <f t="shared" si="19"/>
        <v>88</v>
      </c>
      <c r="X15" s="241">
        <f t="shared" si="20"/>
        <v>85</v>
      </c>
      <c r="Y15" s="123">
        <f t="shared" si="21"/>
        <v>1117</v>
      </c>
      <c r="Z15" s="124">
        <f t="shared" si="22"/>
        <v>74.466666666666669</v>
      </c>
      <c r="AA15" s="125">
        <f t="shared" si="23"/>
        <v>12</v>
      </c>
      <c r="AB15" s="253" t="s">
        <v>805</v>
      </c>
      <c r="AC15" s="253" t="s">
        <v>805</v>
      </c>
      <c r="AD15" s="253" t="s">
        <v>805</v>
      </c>
      <c r="AE15" s="127">
        <v>9</v>
      </c>
      <c r="AF15" s="127">
        <v>26</v>
      </c>
      <c r="AG15" s="127">
        <v>0</v>
      </c>
      <c r="AH15" s="128"/>
      <c r="AJ15" s="93">
        <v>7</v>
      </c>
      <c r="AK15" s="131">
        <v>24250108</v>
      </c>
      <c r="AL15" s="120" t="s">
        <v>680</v>
      </c>
      <c r="AM15" s="129">
        <v>64</v>
      </c>
      <c r="AN15" s="129">
        <v>74</v>
      </c>
      <c r="AO15" s="129">
        <v>74</v>
      </c>
      <c r="AP15" s="129">
        <v>70</v>
      </c>
      <c r="AQ15" s="129">
        <v>76.3</v>
      </c>
      <c r="AR15" s="129">
        <v>63.5</v>
      </c>
      <c r="AS15" s="129">
        <v>75</v>
      </c>
      <c r="AT15" s="129">
        <v>56</v>
      </c>
      <c r="AU15" s="129">
        <v>93</v>
      </c>
      <c r="AV15" s="129">
        <v>91.5</v>
      </c>
      <c r="AW15" s="250">
        <v>60</v>
      </c>
      <c r="AX15" s="250">
        <v>80</v>
      </c>
      <c r="AY15" s="250">
        <v>90</v>
      </c>
      <c r="AZ15" s="250">
        <v>90</v>
      </c>
      <c r="BA15" s="251">
        <v>59</v>
      </c>
      <c r="BB15" s="243">
        <v>85</v>
      </c>
      <c r="BC15" s="243">
        <v>100</v>
      </c>
      <c r="BD15" s="243">
        <v>85</v>
      </c>
      <c r="BE15" s="243">
        <v>72.5</v>
      </c>
      <c r="BF15" s="243">
        <v>87.5</v>
      </c>
      <c r="BG15" s="243">
        <v>85</v>
      </c>
      <c r="BH15" s="123">
        <f t="shared" si="24"/>
        <v>1116.3</v>
      </c>
      <c r="BI15" s="124">
        <f t="shared" si="25"/>
        <v>74.42</v>
      </c>
      <c r="BJ15" s="125" t="e">
        <f t="shared" si="26"/>
        <v>#N/A</v>
      </c>
      <c r="BK15" s="126"/>
      <c r="BL15" s="126"/>
      <c r="BM15" s="126"/>
      <c r="BN15" s="127"/>
      <c r="BO15" s="127"/>
      <c r="BP15" s="127"/>
      <c r="BQ15" s="128"/>
    </row>
    <row r="16" spans="1:69" ht="27.95" customHeight="1">
      <c r="A16" s="138">
        <v>13</v>
      </c>
      <c r="B16" s="219">
        <v>24250161</v>
      </c>
      <c r="C16" s="220" t="s">
        <v>681</v>
      </c>
      <c r="D16" s="121">
        <f t="shared" si="0"/>
        <v>66</v>
      </c>
      <c r="E16" s="121">
        <f t="shared" si="1"/>
        <v>77</v>
      </c>
      <c r="F16" s="121">
        <f t="shared" si="2"/>
        <v>78</v>
      </c>
      <c r="G16" s="121">
        <f t="shared" si="3"/>
        <v>62</v>
      </c>
      <c r="H16" s="121">
        <f t="shared" si="4"/>
        <v>79</v>
      </c>
      <c r="I16" s="121">
        <f t="shared" si="5"/>
        <v>66</v>
      </c>
      <c r="J16" s="121">
        <f t="shared" si="6"/>
        <v>70</v>
      </c>
      <c r="K16" s="121">
        <f t="shared" si="7"/>
        <v>57</v>
      </c>
      <c r="L16" s="121">
        <f t="shared" si="8"/>
        <v>89</v>
      </c>
      <c r="M16" s="121">
        <f t="shared" si="9"/>
        <v>91</v>
      </c>
      <c r="N16" s="122">
        <f t="shared" si="10"/>
        <v>60</v>
      </c>
      <c r="O16" s="122">
        <f t="shared" si="11"/>
        <v>85</v>
      </c>
      <c r="P16" s="122">
        <f t="shared" si="12"/>
        <v>90</v>
      </c>
      <c r="Q16" s="122">
        <f t="shared" si="13"/>
        <v>85</v>
      </c>
      <c r="R16" s="122">
        <f t="shared" si="14"/>
        <v>59</v>
      </c>
      <c r="S16" s="241">
        <f t="shared" si="15"/>
        <v>85</v>
      </c>
      <c r="T16" s="241">
        <f t="shared" si="16"/>
        <v>95</v>
      </c>
      <c r="U16" s="241">
        <f t="shared" si="17"/>
        <v>80</v>
      </c>
      <c r="V16" s="241">
        <f t="shared" si="18"/>
        <v>63</v>
      </c>
      <c r="W16" s="241">
        <f t="shared" si="19"/>
        <v>83</v>
      </c>
      <c r="X16" s="241">
        <f t="shared" si="20"/>
        <v>88</v>
      </c>
      <c r="Y16" s="123">
        <f t="shared" si="21"/>
        <v>1114</v>
      </c>
      <c r="Z16" s="124">
        <f t="shared" si="22"/>
        <v>74.266666666666666</v>
      </c>
      <c r="AA16" s="125">
        <f t="shared" si="23"/>
        <v>13</v>
      </c>
      <c r="AB16" s="253" t="s">
        <v>805</v>
      </c>
      <c r="AC16" s="253" t="s">
        <v>805</v>
      </c>
      <c r="AD16" s="253" t="s">
        <v>805</v>
      </c>
      <c r="AE16" s="127">
        <v>3</v>
      </c>
      <c r="AF16" s="127">
        <v>0</v>
      </c>
      <c r="AG16" s="127">
        <v>0</v>
      </c>
      <c r="AH16" s="128"/>
      <c r="AJ16" s="93">
        <v>8</v>
      </c>
      <c r="AK16" s="119">
        <v>24250161</v>
      </c>
      <c r="AL16" s="120" t="s">
        <v>681</v>
      </c>
      <c r="AM16" s="129">
        <v>66</v>
      </c>
      <c r="AN16" s="129">
        <v>77</v>
      </c>
      <c r="AO16" s="129">
        <v>78.3</v>
      </c>
      <c r="AP16" s="129">
        <v>62</v>
      </c>
      <c r="AQ16" s="129">
        <v>79.3</v>
      </c>
      <c r="AR16" s="129">
        <v>66</v>
      </c>
      <c r="AS16" s="129">
        <v>70</v>
      </c>
      <c r="AT16" s="129">
        <v>56.5</v>
      </c>
      <c r="AU16" s="129">
        <v>89.3</v>
      </c>
      <c r="AV16" s="129">
        <v>91</v>
      </c>
      <c r="AW16" s="250">
        <v>60</v>
      </c>
      <c r="AX16" s="250">
        <v>85</v>
      </c>
      <c r="AY16" s="250">
        <v>90</v>
      </c>
      <c r="AZ16" s="250">
        <v>85</v>
      </c>
      <c r="BA16" s="251">
        <v>59</v>
      </c>
      <c r="BB16" s="243">
        <v>85</v>
      </c>
      <c r="BC16" s="243">
        <v>95</v>
      </c>
      <c r="BD16" s="243">
        <v>80</v>
      </c>
      <c r="BE16" s="243">
        <v>62.5</v>
      </c>
      <c r="BF16" s="243">
        <v>82.5</v>
      </c>
      <c r="BG16" s="243">
        <v>87.5</v>
      </c>
      <c r="BH16" s="123">
        <f t="shared" si="24"/>
        <v>1114.4000000000001</v>
      </c>
      <c r="BI16" s="124">
        <f t="shared" si="25"/>
        <v>74.293333333333337</v>
      </c>
      <c r="BJ16" s="125" t="e">
        <f t="shared" si="26"/>
        <v>#N/A</v>
      </c>
      <c r="BK16" s="126"/>
      <c r="BL16" s="126"/>
      <c r="BM16" s="126"/>
      <c r="BN16" s="127"/>
      <c r="BO16" s="127"/>
      <c r="BP16" s="127"/>
      <c r="BQ16" s="128"/>
    </row>
    <row r="17" spans="1:69" ht="27.95" customHeight="1">
      <c r="A17" s="138">
        <v>14</v>
      </c>
      <c r="B17" s="219">
        <v>23240040</v>
      </c>
      <c r="C17" s="220" t="s">
        <v>689</v>
      </c>
      <c r="D17" s="121">
        <f t="shared" si="0"/>
        <v>64</v>
      </c>
      <c r="E17" s="121">
        <f t="shared" si="1"/>
        <v>69</v>
      </c>
      <c r="F17" s="121">
        <f t="shared" si="2"/>
        <v>73</v>
      </c>
      <c r="G17" s="121">
        <f t="shared" si="3"/>
        <v>64</v>
      </c>
      <c r="H17" s="121">
        <f t="shared" si="4"/>
        <v>68</v>
      </c>
      <c r="I17" s="121">
        <f t="shared" si="5"/>
        <v>69</v>
      </c>
      <c r="J17" s="121">
        <f t="shared" si="6"/>
        <v>84</v>
      </c>
      <c r="K17" s="121">
        <f t="shared" si="7"/>
        <v>57</v>
      </c>
      <c r="L17" s="121">
        <f t="shared" si="8"/>
        <v>75</v>
      </c>
      <c r="M17" s="121">
        <f t="shared" si="9"/>
        <v>93</v>
      </c>
      <c r="N17" s="122">
        <f t="shared" si="10"/>
        <v>60</v>
      </c>
      <c r="O17" s="122">
        <f t="shared" si="11"/>
        <v>90</v>
      </c>
      <c r="P17" s="122">
        <f t="shared" si="12"/>
        <v>90</v>
      </c>
      <c r="Q17" s="122">
        <f t="shared" si="13"/>
        <v>95</v>
      </c>
      <c r="R17" s="122">
        <f t="shared" si="14"/>
        <v>59</v>
      </c>
      <c r="S17" s="241">
        <f t="shared" si="15"/>
        <v>90</v>
      </c>
      <c r="T17" s="241">
        <f t="shared" si="16"/>
        <v>98</v>
      </c>
      <c r="U17" s="241">
        <f t="shared" si="17"/>
        <v>65</v>
      </c>
      <c r="V17" s="241">
        <f t="shared" si="18"/>
        <v>68</v>
      </c>
      <c r="W17" s="241">
        <f t="shared" si="19"/>
        <v>85</v>
      </c>
      <c r="X17" s="241">
        <f t="shared" si="20"/>
        <v>88</v>
      </c>
      <c r="Y17" s="123">
        <f t="shared" si="21"/>
        <v>1110</v>
      </c>
      <c r="Z17" s="124">
        <f t="shared" si="22"/>
        <v>74</v>
      </c>
      <c r="AA17" s="125">
        <f t="shared" si="23"/>
        <v>14</v>
      </c>
      <c r="AB17" s="253" t="s">
        <v>805</v>
      </c>
      <c r="AC17" s="253" t="s">
        <v>805</v>
      </c>
      <c r="AD17" s="253" t="s">
        <v>805</v>
      </c>
      <c r="AE17" s="127">
        <v>49</v>
      </c>
      <c r="AF17" s="127">
        <v>0</v>
      </c>
      <c r="AG17" s="127">
        <v>3</v>
      </c>
      <c r="AH17" s="128"/>
      <c r="AJ17" s="93">
        <v>24</v>
      </c>
      <c r="AK17" s="119">
        <v>23240040</v>
      </c>
      <c r="AL17" s="120" t="s">
        <v>689</v>
      </c>
      <c r="AM17" s="129">
        <v>64</v>
      </c>
      <c r="AN17" s="129">
        <v>69</v>
      </c>
      <c r="AO17" s="129">
        <v>73.199999999999989</v>
      </c>
      <c r="AP17" s="129">
        <v>64</v>
      </c>
      <c r="AQ17" s="129">
        <v>67.5</v>
      </c>
      <c r="AR17" s="129">
        <v>69</v>
      </c>
      <c r="AS17" s="129">
        <v>84.1</v>
      </c>
      <c r="AT17" s="129">
        <v>56.7</v>
      </c>
      <c r="AU17" s="129">
        <v>75</v>
      </c>
      <c r="AV17" s="129">
        <v>93</v>
      </c>
      <c r="AW17" s="250">
        <v>60</v>
      </c>
      <c r="AX17" s="250">
        <v>90</v>
      </c>
      <c r="AY17" s="250">
        <v>90</v>
      </c>
      <c r="AZ17" s="250">
        <v>95</v>
      </c>
      <c r="BA17" s="251">
        <v>59</v>
      </c>
      <c r="BB17" s="243">
        <v>90</v>
      </c>
      <c r="BC17" s="243">
        <v>97.5</v>
      </c>
      <c r="BD17" s="243">
        <v>65</v>
      </c>
      <c r="BE17" s="243">
        <v>67.5</v>
      </c>
      <c r="BF17" s="243">
        <v>85</v>
      </c>
      <c r="BG17" s="243">
        <v>87.5</v>
      </c>
      <c r="BH17" s="123">
        <f t="shared" si="24"/>
        <v>1109.5</v>
      </c>
      <c r="BI17" s="124">
        <f t="shared" si="25"/>
        <v>73.966666666666669</v>
      </c>
      <c r="BJ17" s="125" t="e">
        <f t="shared" si="26"/>
        <v>#N/A</v>
      </c>
      <c r="BK17" s="126"/>
      <c r="BL17" s="126"/>
      <c r="BM17" s="126"/>
      <c r="BN17" s="127"/>
      <c r="BO17" s="127"/>
      <c r="BP17" s="127"/>
      <c r="BQ17" s="128"/>
    </row>
    <row r="18" spans="1:69" ht="27.95" customHeight="1">
      <c r="A18" s="138">
        <v>15</v>
      </c>
      <c r="B18" s="219">
        <v>24250176</v>
      </c>
      <c r="C18" s="220" t="s">
        <v>687</v>
      </c>
      <c r="D18" s="121">
        <f t="shared" si="0"/>
        <v>66</v>
      </c>
      <c r="E18" s="121">
        <f t="shared" si="1"/>
        <v>65</v>
      </c>
      <c r="F18" s="121">
        <f t="shared" si="2"/>
        <v>65</v>
      </c>
      <c r="G18" s="121">
        <f t="shared" si="3"/>
        <v>65</v>
      </c>
      <c r="H18" s="121">
        <f t="shared" si="4"/>
        <v>72</v>
      </c>
      <c r="I18" s="121">
        <f t="shared" si="5"/>
        <v>62</v>
      </c>
      <c r="J18" s="121">
        <f t="shared" si="6"/>
        <v>64</v>
      </c>
      <c r="K18" s="121">
        <f t="shared" si="7"/>
        <v>55</v>
      </c>
      <c r="L18" s="121">
        <f t="shared" si="8"/>
        <v>70</v>
      </c>
      <c r="M18" s="121">
        <f t="shared" si="9"/>
        <v>79</v>
      </c>
      <c r="N18" s="122">
        <f t="shared" si="10"/>
        <v>70</v>
      </c>
      <c r="O18" s="122">
        <f t="shared" si="11"/>
        <v>80</v>
      </c>
      <c r="P18" s="122">
        <f t="shared" si="12"/>
        <v>75</v>
      </c>
      <c r="Q18" s="122">
        <f t="shared" si="13"/>
        <v>85</v>
      </c>
      <c r="R18" s="122">
        <f t="shared" si="14"/>
        <v>85</v>
      </c>
      <c r="S18" s="241">
        <f t="shared" si="15"/>
        <v>88</v>
      </c>
      <c r="T18" s="241">
        <f t="shared" si="16"/>
        <v>99</v>
      </c>
      <c r="U18" s="241">
        <f t="shared" si="17"/>
        <v>75</v>
      </c>
      <c r="V18" s="241">
        <f t="shared" si="18"/>
        <v>73</v>
      </c>
      <c r="W18" s="241">
        <f t="shared" si="19"/>
        <v>83</v>
      </c>
      <c r="X18" s="241">
        <f t="shared" si="20"/>
        <v>90</v>
      </c>
      <c r="Y18" s="123">
        <f t="shared" si="21"/>
        <v>1058</v>
      </c>
      <c r="Z18" s="124">
        <f t="shared" si="22"/>
        <v>70.533333333333331</v>
      </c>
      <c r="AA18" s="125">
        <f t="shared" si="23"/>
        <v>15</v>
      </c>
      <c r="AB18" s="253" t="s">
        <v>805</v>
      </c>
      <c r="AC18" s="253" t="s">
        <v>805</v>
      </c>
      <c r="AD18" s="253" t="s">
        <v>805</v>
      </c>
      <c r="AE18" s="127">
        <v>4</v>
      </c>
      <c r="AF18" s="127">
        <v>0</v>
      </c>
      <c r="AG18" s="127">
        <v>0</v>
      </c>
      <c r="AH18" s="128"/>
      <c r="AJ18" s="93">
        <v>19</v>
      </c>
      <c r="AK18" s="119">
        <v>24250176</v>
      </c>
      <c r="AL18" s="120" t="s">
        <v>687</v>
      </c>
      <c r="AM18" s="129">
        <v>66</v>
      </c>
      <c r="AN18" s="129">
        <v>65</v>
      </c>
      <c r="AO18" s="129">
        <v>65</v>
      </c>
      <c r="AP18" s="129">
        <v>65</v>
      </c>
      <c r="AQ18" s="129">
        <v>71.5</v>
      </c>
      <c r="AR18" s="129">
        <v>62</v>
      </c>
      <c r="AS18" s="129">
        <v>64</v>
      </c>
      <c r="AT18" s="129">
        <v>54.5</v>
      </c>
      <c r="AU18" s="129">
        <v>69.5</v>
      </c>
      <c r="AV18" s="129">
        <v>79</v>
      </c>
      <c r="AW18" s="250">
        <v>70</v>
      </c>
      <c r="AX18" s="250">
        <v>80</v>
      </c>
      <c r="AY18" s="250">
        <v>75</v>
      </c>
      <c r="AZ18" s="250">
        <v>85</v>
      </c>
      <c r="BA18" s="250">
        <v>85</v>
      </c>
      <c r="BB18" s="243">
        <v>87.5</v>
      </c>
      <c r="BC18" s="243">
        <v>100</v>
      </c>
      <c r="BD18" s="243">
        <v>75</v>
      </c>
      <c r="BE18" s="243">
        <v>72.5</v>
      </c>
      <c r="BF18" s="243">
        <v>82.5</v>
      </c>
      <c r="BG18" s="243">
        <v>90</v>
      </c>
      <c r="BH18" s="123">
        <f t="shared" si="24"/>
        <v>1056.5</v>
      </c>
      <c r="BI18" s="124">
        <f t="shared" si="25"/>
        <v>70.433333333333337</v>
      </c>
      <c r="BJ18" s="125" t="e">
        <f t="shared" si="26"/>
        <v>#N/A</v>
      </c>
      <c r="BK18" s="126"/>
      <c r="BL18" s="126"/>
      <c r="BM18" s="126"/>
      <c r="BN18" s="127"/>
      <c r="BO18" s="127"/>
      <c r="BP18" s="127"/>
      <c r="BQ18" s="128"/>
    </row>
    <row r="19" spans="1:69" ht="27.95" customHeight="1">
      <c r="A19" s="138">
        <v>16</v>
      </c>
      <c r="B19" s="221">
        <v>24250148</v>
      </c>
      <c r="C19" s="220" t="s">
        <v>683</v>
      </c>
      <c r="D19" s="121">
        <f t="shared" si="0"/>
        <v>64</v>
      </c>
      <c r="E19" s="121">
        <f t="shared" si="1"/>
        <v>50</v>
      </c>
      <c r="F19" s="121">
        <f t="shared" si="2"/>
        <v>71</v>
      </c>
      <c r="G19" s="121">
        <f t="shared" si="3"/>
        <v>61</v>
      </c>
      <c r="H19" s="121">
        <f t="shared" si="4"/>
        <v>61</v>
      </c>
      <c r="I19" s="121">
        <f t="shared" si="5"/>
        <v>71</v>
      </c>
      <c r="J19" s="121">
        <f t="shared" si="6"/>
        <v>55</v>
      </c>
      <c r="K19" s="121">
        <f t="shared" si="7"/>
        <v>56</v>
      </c>
      <c r="L19" s="121">
        <f t="shared" si="8"/>
        <v>70</v>
      </c>
      <c r="M19" s="121">
        <f t="shared" si="9"/>
        <v>75</v>
      </c>
      <c r="N19" s="122">
        <f t="shared" si="10"/>
        <v>80</v>
      </c>
      <c r="O19" s="122">
        <f t="shared" si="11"/>
        <v>80</v>
      </c>
      <c r="P19" s="122">
        <f t="shared" si="12"/>
        <v>75</v>
      </c>
      <c r="Q19" s="122">
        <f t="shared" si="13"/>
        <v>85</v>
      </c>
      <c r="R19" s="122">
        <f t="shared" si="14"/>
        <v>90</v>
      </c>
      <c r="S19" s="241">
        <f t="shared" si="15"/>
        <v>78</v>
      </c>
      <c r="T19" s="241">
        <f t="shared" si="16"/>
        <v>93</v>
      </c>
      <c r="U19" s="241">
        <f t="shared" si="17"/>
        <v>88</v>
      </c>
      <c r="V19" s="241">
        <f t="shared" si="18"/>
        <v>70</v>
      </c>
      <c r="W19" s="241">
        <f t="shared" si="19"/>
        <v>83</v>
      </c>
      <c r="X19" s="241">
        <f t="shared" si="20"/>
        <v>83</v>
      </c>
      <c r="Y19" s="123">
        <f t="shared" si="21"/>
        <v>1044</v>
      </c>
      <c r="Z19" s="124">
        <f t="shared" si="22"/>
        <v>69.599999999999994</v>
      </c>
      <c r="AA19" s="125">
        <f t="shared" si="23"/>
        <v>16</v>
      </c>
      <c r="AB19" s="253" t="s">
        <v>805</v>
      </c>
      <c r="AC19" s="253" t="s">
        <v>805</v>
      </c>
      <c r="AD19" s="253" t="s">
        <v>805</v>
      </c>
      <c r="AE19" s="127">
        <v>76</v>
      </c>
      <c r="AF19" s="127">
        <v>35</v>
      </c>
      <c r="AG19" s="127">
        <v>0</v>
      </c>
      <c r="AH19" s="128"/>
      <c r="AJ19" s="93">
        <v>14</v>
      </c>
      <c r="AK19" s="131">
        <v>24250148</v>
      </c>
      <c r="AL19" s="120" t="s">
        <v>683</v>
      </c>
      <c r="AM19" s="129">
        <v>64</v>
      </c>
      <c r="AN19" s="129">
        <v>49.6</v>
      </c>
      <c r="AO19" s="129">
        <v>70.5</v>
      </c>
      <c r="AP19" s="129">
        <v>61</v>
      </c>
      <c r="AQ19" s="129">
        <v>60.5</v>
      </c>
      <c r="AR19" s="129">
        <v>70.5</v>
      </c>
      <c r="AS19" s="129">
        <v>55</v>
      </c>
      <c r="AT19" s="129">
        <v>55.5</v>
      </c>
      <c r="AU19" s="129">
        <v>69.5</v>
      </c>
      <c r="AV19" s="129">
        <v>75</v>
      </c>
      <c r="AW19" s="250">
        <v>80</v>
      </c>
      <c r="AX19" s="250">
        <v>80</v>
      </c>
      <c r="AY19" s="250">
        <v>75</v>
      </c>
      <c r="AZ19" s="250">
        <v>85</v>
      </c>
      <c r="BA19" s="250">
        <v>90</v>
      </c>
      <c r="BB19" s="243">
        <v>77.5</v>
      </c>
      <c r="BC19" s="243">
        <v>92.5</v>
      </c>
      <c r="BD19" s="243">
        <v>87.5</v>
      </c>
      <c r="BE19" s="243">
        <v>70</v>
      </c>
      <c r="BF19" s="243">
        <v>82.5</v>
      </c>
      <c r="BG19" s="243">
        <v>82.5</v>
      </c>
      <c r="BH19" s="123">
        <f t="shared" si="24"/>
        <v>1041.0999999999999</v>
      </c>
      <c r="BI19" s="124">
        <f t="shared" si="25"/>
        <v>69.406666666666666</v>
      </c>
      <c r="BJ19" s="125" t="e">
        <f t="shared" si="26"/>
        <v>#N/A</v>
      </c>
      <c r="BK19" s="126"/>
      <c r="BL19" s="126"/>
      <c r="BM19" s="126"/>
      <c r="BN19" s="127"/>
      <c r="BO19" s="127"/>
      <c r="BP19" s="127"/>
      <c r="BQ19" s="128"/>
    </row>
    <row r="20" spans="1:69" ht="27.95" customHeight="1">
      <c r="A20" s="138">
        <v>17</v>
      </c>
      <c r="B20" s="221">
        <v>24250100</v>
      </c>
      <c r="C20" s="220" t="s">
        <v>686</v>
      </c>
      <c r="D20" s="121">
        <f t="shared" si="0"/>
        <v>64</v>
      </c>
      <c r="E20" s="121">
        <f t="shared" si="1"/>
        <v>64</v>
      </c>
      <c r="F20" s="121">
        <f t="shared" si="2"/>
        <v>62</v>
      </c>
      <c r="G20" s="121">
        <f t="shared" si="3"/>
        <v>61</v>
      </c>
      <c r="H20" s="121">
        <f t="shared" si="4"/>
        <v>69</v>
      </c>
      <c r="I20" s="121">
        <f t="shared" si="5"/>
        <v>71</v>
      </c>
      <c r="J20" s="121">
        <f t="shared" si="6"/>
        <v>67</v>
      </c>
      <c r="K20" s="121">
        <f t="shared" si="7"/>
        <v>55</v>
      </c>
      <c r="L20" s="121">
        <f t="shared" si="8"/>
        <v>80</v>
      </c>
      <c r="M20" s="121">
        <f t="shared" si="9"/>
        <v>76</v>
      </c>
      <c r="N20" s="122">
        <f t="shared" si="10"/>
        <v>60</v>
      </c>
      <c r="O20" s="122">
        <f t="shared" si="11"/>
        <v>80</v>
      </c>
      <c r="P20" s="122">
        <f t="shared" si="12"/>
        <v>75</v>
      </c>
      <c r="Q20" s="122">
        <f t="shared" si="13"/>
        <v>80</v>
      </c>
      <c r="R20" s="122">
        <f t="shared" si="14"/>
        <v>59</v>
      </c>
      <c r="S20" s="241">
        <f t="shared" si="15"/>
        <v>88</v>
      </c>
      <c r="T20" s="241">
        <f t="shared" si="16"/>
        <v>93</v>
      </c>
      <c r="U20" s="241">
        <f t="shared" si="17"/>
        <v>90</v>
      </c>
      <c r="V20" s="241">
        <f t="shared" si="18"/>
        <v>78</v>
      </c>
      <c r="W20" s="241">
        <f t="shared" si="19"/>
        <v>78</v>
      </c>
      <c r="X20" s="241">
        <f t="shared" si="20"/>
        <v>85</v>
      </c>
      <c r="Y20" s="123">
        <f t="shared" si="21"/>
        <v>1023</v>
      </c>
      <c r="Z20" s="124">
        <f t="shared" si="22"/>
        <v>68.2</v>
      </c>
      <c r="AA20" s="125">
        <f t="shared" si="23"/>
        <v>17</v>
      </c>
      <c r="AB20" s="253" t="s">
        <v>805</v>
      </c>
      <c r="AC20" s="253" t="s">
        <v>805</v>
      </c>
      <c r="AD20" s="253" t="s">
        <v>805</v>
      </c>
      <c r="AE20" s="127">
        <v>11</v>
      </c>
      <c r="AF20" s="127">
        <v>0</v>
      </c>
      <c r="AG20" s="127">
        <v>0</v>
      </c>
      <c r="AH20" s="128"/>
      <c r="AJ20" s="93">
        <v>18</v>
      </c>
      <c r="AK20" s="131">
        <v>24250100</v>
      </c>
      <c r="AL20" s="120" t="s">
        <v>686</v>
      </c>
      <c r="AM20" s="129">
        <v>64</v>
      </c>
      <c r="AN20" s="129">
        <v>64</v>
      </c>
      <c r="AO20" s="129">
        <v>62</v>
      </c>
      <c r="AP20" s="129">
        <v>61</v>
      </c>
      <c r="AQ20" s="132">
        <v>68.5</v>
      </c>
      <c r="AR20" s="129">
        <v>71</v>
      </c>
      <c r="AS20" s="129">
        <v>66.5</v>
      </c>
      <c r="AT20" s="129">
        <v>54.5</v>
      </c>
      <c r="AU20" s="129">
        <v>80</v>
      </c>
      <c r="AV20" s="129">
        <v>76</v>
      </c>
      <c r="AW20" s="250">
        <v>60</v>
      </c>
      <c r="AX20" s="250">
        <v>80</v>
      </c>
      <c r="AY20" s="250">
        <v>75</v>
      </c>
      <c r="AZ20" s="250">
        <v>80</v>
      </c>
      <c r="BA20" s="251">
        <v>59</v>
      </c>
      <c r="BB20" s="243">
        <v>87.5</v>
      </c>
      <c r="BC20" s="243">
        <v>92.5</v>
      </c>
      <c r="BD20" s="243">
        <v>90</v>
      </c>
      <c r="BE20" s="243">
        <v>77.5</v>
      </c>
      <c r="BF20" s="243">
        <v>77.5</v>
      </c>
      <c r="BG20" s="243">
        <v>85</v>
      </c>
      <c r="BH20" s="123">
        <f t="shared" si="24"/>
        <v>1021.5</v>
      </c>
      <c r="BI20" s="124">
        <f t="shared" si="25"/>
        <v>68.099999999999994</v>
      </c>
      <c r="BJ20" s="125" t="e">
        <f t="shared" si="26"/>
        <v>#N/A</v>
      </c>
      <c r="BK20" s="126"/>
      <c r="BL20" s="126"/>
      <c r="BM20" s="126"/>
      <c r="BN20" s="127"/>
      <c r="BO20" s="127"/>
      <c r="BP20" s="127"/>
      <c r="BQ20" s="128"/>
    </row>
    <row r="21" spans="1:69" ht="27.95" customHeight="1">
      <c r="A21" s="138">
        <v>18</v>
      </c>
      <c r="B21" s="221">
        <v>24250041</v>
      </c>
      <c r="C21" s="220" t="s">
        <v>433</v>
      </c>
      <c r="D21" s="121">
        <f t="shared" si="0"/>
        <v>64</v>
      </c>
      <c r="E21" s="121">
        <f t="shared" si="1"/>
        <v>70</v>
      </c>
      <c r="F21" s="121">
        <f t="shared" si="2"/>
        <v>63</v>
      </c>
      <c r="G21" s="121">
        <f t="shared" si="3"/>
        <v>61</v>
      </c>
      <c r="H21" s="121">
        <f t="shared" si="4"/>
        <v>60</v>
      </c>
      <c r="I21" s="121">
        <f t="shared" si="5"/>
        <v>62</v>
      </c>
      <c r="J21" s="121">
        <f t="shared" si="6"/>
        <v>68</v>
      </c>
      <c r="K21" s="121">
        <f t="shared" si="7"/>
        <v>54</v>
      </c>
      <c r="L21" s="121">
        <f t="shared" si="8"/>
        <v>61</v>
      </c>
      <c r="M21" s="121">
        <f t="shared" si="9"/>
        <v>67</v>
      </c>
      <c r="N21" s="122">
        <f t="shared" si="10"/>
        <v>60</v>
      </c>
      <c r="O21" s="122">
        <f t="shared" si="11"/>
        <v>75</v>
      </c>
      <c r="P21" s="122">
        <f t="shared" si="12"/>
        <v>75</v>
      </c>
      <c r="Q21" s="122">
        <f t="shared" si="13"/>
        <v>85</v>
      </c>
      <c r="R21" s="122">
        <f t="shared" si="14"/>
        <v>59</v>
      </c>
      <c r="S21" s="241">
        <f t="shared" si="15"/>
        <v>80</v>
      </c>
      <c r="T21" s="241">
        <f t="shared" si="16"/>
        <v>98</v>
      </c>
      <c r="U21" s="241">
        <f t="shared" si="17"/>
        <v>80</v>
      </c>
      <c r="V21" s="241">
        <f t="shared" si="18"/>
        <v>73</v>
      </c>
      <c r="W21" s="241">
        <f t="shared" si="19"/>
        <v>90</v>
      </c>
      <c r="X21" s="241">
        <f t="shared" si="20"/>
        <v>88</v>
      </c>
      <c r="Y21" s="123">
        <f t="shared" si="21"/>
        <v>984</v>
      </c>
      <c r="Z21" s="124">
        <f t="shared" si="22"/>
        <v>65.599999999999994</v>
      </c>
      <c r="AA21" s="125">
        <f t="shared" si="23"/>
        <v>18</v>
      </c>
      <c r="AB21" s="253" t="s">
        <v>805</v>
      </c>
      <c r="AC21" s="253" t="s">
        <v>805</v>
      </c>
      <c r="AD21" s="253" t="s">
        <v>805</v>
      </c>
      <c r="AE21" s="127">
        <v>5</v>
      </c>
      <c r="AF21" s="127">
        <v>0</v>
      </c>
      <c r="AG21" s="127">
        <v>0</v>
      </c>
      <c r="AH21" s="128"/>
      <c r="AJ21" s="93">
        <v>4</v>
      </c>
      <c r="AK21" s="131">
        <v>24250041</v>
      </c>
      <c r="AL21" s="120" t="s">
        <v>433</v>
      </c>
      <c r="AM21" s="129">
        <v>64</v>
      </c>
      <c r="AN21" s="129">
        <v>70</v>
      </c>
      <c r="AO21" s="129">
        <v>63</v>
      </c>
      <c r="AP21" s="129">
        <v>61</v>
      </c>
      <c r="AQ21" s="129">
        <v>60</v>
      </c>
      <c r="AR21" s="129">
        <v>62</v>
      </c>
      <c r="AS21" s="129">
        <v>67.5</v>
      </c>
      <c r="AT21" s="129">
        <v>54</v>
      </c>
      <c r="AU21" s="129">
        <v>61</v>
      </c>
      <c r="AV21" s="129">
        <v>66.5</v>
      </c>
      <c r="AW21" s="250">
        <v>60</v>
      </c>
      <c r="AX21" s="250">
        <v>75</v>
      </c>
      <c r="AY21" s="250">
        <v>75</v>
      </c>
      <c r="AZ21" s="250">
        <v>85</v>
      </c>
      <c r="BA21" s="251">
        <v>59</v>
      </c>
      <c r="BB21" s="243">
        <v>80</v>
      </c>
      <c r="BC21" s="243">
        <v>97.5</v>
      </c>
      <c r="BD21" s="243">
        <v>80</v>
      </c>
      <c r="BE21" s="243">
        <v>72.5</v>
      </c>
      <c r="BF21" s="243">
        <v>90</v>
      </c>
      <c r="BG21" s="243">
        <v>87.5</v>
      </c>
      <c r="BH21" s="123">
        <f t="shared" si="24"/>
        <v>983</v>
      </c>
      <c r="BI21" s="124">
        <f t="shared" si="25"/>
        <v>65.533333333333331</v>
      </c>
      <c r="BJ21" s="125" t="e">
        <f t="shared" si="26"/>
        <v>#N/A</v>
      </c>
      <c r="BK21" s="126"/>
      <c r="BL21" s="126"/>
      <c r="BM21" s="126"/>
      <c r="BN21" s="127"/>
      <c r="BO21" s="127"/>
      <c r="BP21" s="127"/>
      <c r="BQ21" s="128"/>
    </row>
    <row r="22" spans="1:69" ht="27.95" customHeight="1">
      <c r="A22" s="138">
        <v>19</v>
      </c>
      <c r="B22" s="222">
        <v>22230052</v>
      </c>
      <c r="C22" s="220" t="s">
        <v>688</v>
      </c>
      <c r="D22" s="121">
        <f t="shared" si="0"/>
        <v>60</v>
      </c>
      <c r="E22" s="121">
        <f t="shared" si="1"/>
        <v>46</v>
      </c>
      <c r="F22" s="121">
        <f t="shared" si="2"/>
        <v>64</v>
      </c>
      <c r="G22" s="121">
        <f t="shared" si="3"/>
        <v>61</v>
      </c>
      <c r="H22" s="121">
        <f t="shared" si="4"/>
        <v>65</v>
      </c>
      <c r="I22" s="121">
        <f t="shared" si="5"/>
        <v>62</v>
      </c>
      <c r="J22" s="121">
        <f t="shared" si="6"/>
        <v>56</v>
      </c>
      <c r="K22" s="121">
        <f t="shared" si="7"/>
        <v>49</v>
      </c>
      <c r="L22" s="121">
        <f t="shared" si="8"/>
        <v>72</v>
      </c>
      <c r="M22" s="121">
        <f t="shared" si="9"/>
        <v>79</v>
      </c>
      <c r="N22" s="122">
        <f t="shared" si="10"/>
        <v>60</v>
      </c>
      <c r="O22" s="122">
        <f t="shared" si="11"/>
        <v>70</v>
      </c>
      <c r="P22" s="122">
        <f t="shared" si="12"/>
        <v>75</v>
      </c>
      <c r="Q22" s="122">
        <f t="shared" si="13"/>
        <v>95</v>
      </c>
      <c r="R22" s="122">
        <f t="shared" si="14"/>
        <v>70</v>
      </c>
      <c r="S22" s="241">
        <f t="shared" si="15"/>
        <v>90</v>
      </c>
      <c r="T22" s="241">
        <f t="shared" si="16"/>
        <v>98</v>
      </c>
      <c r="U22" s="241">
        <f t="shared" si="17"/>
        <v>68</v>
      </c>
      <c r="V22" s="241">
        <f t="shared" si="18"/>
        <v>73</v>
      </c>
      <c r="W22" s="241">
        <f t="shared" si="19"/>
        <v>90</v>
      </c>
      <c r="X22" s="241">
        <f t="shared" si="20"/>
        <v>88</v>
      </c>
      <c r="Y22" s="123">
        <f t="shared" si="21"/>
        <v>984</v>
      </c>
      <c r="Z22" s="124">
        <f t="shared" si="22"/>
        <v>65.599999999999994</v>
      </c>
      <c r="AA22" s="125">
        <f t="shared" si="23"/>
        <v>18</v>
      </c>
      <c r="AB22" s="253" t="s">
        <v>805</v>
      </c>
      <c r="AC22" s="253" t="s">
        <v>805</v>
      </c>
      <c r="AD22" s="253" t="s">
        <v>805</v>
      </c>
      <c r="AE22" s="127">
        <v>21</v>
      </c>
      <c r="AF22" s="127">
        <v>107</v>
      </c>
      <c r="AG22" s="127">
        <v>0</v>
      </c>
      <c r="AH22" s="128"/>
      <c r="AJ22" s="93"/>
      <c r="AK22" s="134"/>
      <c r="AL22" s="120"/>
      <c r="AM22" s="129">
        <v>60</v>
      </c>
      <c r="AN22" s="129">
        <v>46</v>
      </c>
      <c r="AO22" s="129">
        <v>64</v>
      </c>
      <c r="AP22" s="129">
        <v>61</v>
      </c>
      <c r="AQ22" s="129">
        <v>64.5</v>
      </c>
      <c r="AR22" s="129">
        <v>62</v>
      </c>
      <c r="AS22" s="129">
        <v>55.5</v>
      </c>
      <c r="AT22" s="129">
        <v>49</v>
      </c>
      <c r="AU22" s="129">
        <v>72</v>
      </c>
      <c r="AV22" s="129">
        <v>78.5</v>
      </c>
      <c r="AW22" s="250">
        <v>60</v>
      </c>
      <c r="AX22" s="250">
        <v>70</v>
      </c>
      <c r="AY22" s="250">
        <v>75</v>
      </c>
      <c r="AZ22" s="250">
        <v>95</v>
      </c>
      <c r="BA22" s="251">
        <v>70</v>
      </c>
      <c r="BB22" s="243">
        <v>90</v>
      </c>
      <c r="BC22" s="243">
        <v>97.5</v>
      </c>
      <c r="BD22" s="243">
        <v>67.5</v>
      </c>
      <c r="BE22" s="243">
        <v>72.5</v>
      </c>
      <c r="BF22" s="243">
        <v>90</v>
      </c>
      <c r="BG22" s="243">
        <v>87.5</v>
      </c>
      <c r="BH22" s="123"/>
      <c r="BI22" s="124"/>
      <c r="BJ22" s="125"/>
      <c r="BK22" s="126"/>
      <c r="BL22" s="126"/>
      <c r="BM22" s="126"/>
      <c r="BN22" s="127"/>
      <c r="BO22" s="127"/>
      <c r="BP22" s="127"/>
      <c r="BQ22" s="128"/>
    </row>
    <row r="23" spans="1:69" ht="27.95" customHeight="1">
      <c r="A23" s="138">
        <v>20</v>
      </c>
      <c r="B23" s="221">
        <v>24250014</v>
      </c>
      <c r="C23" s="220" t="s">
        <v>427</v>
      </c>
      <c r="D23" s="121">
        <f t="shared" si="0"/>
        <v>64</v>
      </c>
      <c r="E23" s="121">
        <f t="shared" si="1"/>
        <v>63</v>
      </c>
      <c r="F23" s="121">
        <f t="shared" si="2"/>
        <v>56</v>
      </c>
      <c r="G23" s="121">
        <f t="shared" si="3"/>
        <v>64</v>
      </c>
      <c r="H23" s="121">
        <f t="shared" si="4"/>
        <v>63</v>
      </c>
      <c r="I23" s="121">
        <f t="shared" si="5"/>
        <v>62</v>
      </c>
      <c r="J23" s="121">
        <f t="shared" si="6"/>
        <v>61</v>
      </c>
      <c r="K23" s="121">
        <f t="shared" si="7"/>
        <v>56</v>
      </c>
      <c r="L23" s="121">
        <f t="shared" si="8"/>
        <v>64</v>
      </c>
      <c r="M23" s="121">
        <f t="shared" si="9"/>
        <v>70</v>
      </c>
      <c r="N23" s="122">
        <f t="shared" si="10"/>
        <v>60</v>
      </c>
      <c r="O23" s="122">
        <f t="shared" si="11"/>
        <v>75</v>
      </c>
      <c r="P23" s="122">
        <f t="shared" si="12"/>
        <v>75</v>
      </c>
      <c r="Q23" s="122">
        <f t="shared" si="13"/>
        <v>85</v>
      </c>
      <c r="R23" s="122">
        <f t="shared" si="14"/>
        <v>59</v>
      </c>
      <c r="S23" s="241">
        <f t="shared" si="15"/>
        <v>78</v>
      </c>
      <c r="T23" s="241">
        <f t="shared" si="16"/>
        <v>99</v>
      </c>
      <c r="U23" s="241">
        <f t="shared" si="17"/>
        <v>65</v>
      </c>
      <c r="V23" s="241">
        <f t="shared" si="18"/>
        <v>73</v>
      </c>
      <c r="W23" s="241">
        <f t="shared" si="19"/>
        <v>83</v>
      </c>
      <c r="X23" s="241">
        <f t="shared" si="20"/>
        <v>93</v>
      </c>
      <c r="Y23" s="123">
        <f t="shared" si="21"/>
        <v>977</v>
      </c>
      <c r="Z23" s="124">
        <f t="shared" si="22"/>
        <v>65.13333333333334</v>
      </c>
      <c r="AA23" s="125">
        <f t="shared" si="23"/>
        <v>20</v>
      </c>
      <c r="AB23" s="253" t="s">
        <v>805</v>
      </c>
      <c r="AC23" s="253" t="s">
        <v>805</v>
      </c>
      <c r="AD23" s="253" t="s">
        <v>805</v>
      </c>
      <c r="AE23" s="127">
        <v>11</v>
      </c>
      <c r="AF23" s="127">
        <v>0</v>
      </c>
      <c r="AG23" s="127">
        <v>0</v>
      </c>
      <c r="AH23" s="128"/>
      <c r="AJ23" s="93">
        <v>3</v>
      </c>
      <c r="AK23" s="131">
        <v>24250014</v>
      </c>
      <c r="AL23" s="120" t="s">
        <v>427</v>
      </c>
      <c r="AM23" s="129">
        <v>64</v>
      </c>
      <c r="AN23" s="129">
        <v>63</v>
      </c>
      <c r="AO23" s="129">
        <v>56</v>
      </c>
      <c r="AP23" s="129">
        <v>64</v>
      </c>
      <c r="AQ23" s="129">
        <v>62.5</v>
      </c>
      <c r="AR23" s="129">
        <v>62</v>
      </c>
      <c r="AS23" s="129">
        <v>60.5</v>
      </c>
      <c r="AT23" s="129">
        <v>56</v>
      </c>
      <c r="AU23" s="129">
        <v>63.5</v>
      </c>
      <c r="AV23" s="129">
        <v>69.5</v>
      </c>
      <c r="AW23" s="250">
        <v>60</v>
      </c>
      <c r="AX23" s="250">
        <v>75</v>
      </c>
      <c r="AY23" s="250">
        <v>75</v>
      </c>
      <c r="AZ23" s="250">
        <v>85</v>
      </c>
      <c r="BA23" s="251">
        <v>59</v>
      </c>
      <c r="BB23" s="243">
        <v>77.5</v>
      </c>
      <c r="BC23" s="243">
        <v>100</v>
      </c>
      <c r="BD23" s="243">
        <v>65</v>
      </c>
      <c r="BE23" s="243">
        <v>72.5</v>
      </c>
      <c r="BF23" s="243">
        <v>82.5</v>
      </c>
      <c r="BG23" s="243">
        <v>92.5</v>
      </c>
      <c r="BH23" s="123">
        <f>SUM(AM23:BA23)</f>
        <v>975</v>
      </c>
      <c r="BI23" s="124">
        <f>AVERAGE(AM23:BA23)</f>
        <v>65</v>
      </c>
      <c r="BJ23" s="125" t="e">
        <f>RANK(BH23,$Y$2:$Y$27)</f>
        <v>#N/A</v>
      </c>
      <c r="BK23" s="126"/>
      <c r="BL23" s="126"/>
      <c r="BM23" s="126"/>
      <c r="BN23" s="127"/>
      <c r="BO23" s="127"/>
      <c r="BP23" s="127"/>
      <c r="BQ23" s="128"/>
    </row>
    <row r="24" spans="1:69" ht="27.95" customHeight="1">
      <c r="A24" s="138">
        <v>21</v>
      </c>
      <c r="B24" s="221">
        <v>24250114</v>
      </c>
      <c r="C24" s="220" t="s">
        <v>682</v>
      </c>
      <c r="D24" s="121">
        <f t="shared" si="0"/>
        <v>66</v>
      </c>
      <c r="E24" s="121">
        <f t="shared" si="1"/>
        <v>60</v>
      </c>
      <c r="F24" s="121">
        <f t="shared" si="2"/>
        <v>45</v>
      </c>
      <c r="G24" s="121">
        <f t="shared" si="3"/>
        <v>63</v>
      </c>
      <c r="H24" s="121">
        <f t="shared" si="4"/>
        <v>61</v>
      </c>
      <c r="I24" s="121">
        <f t="shared" si="5"/>
        <v>60</v>
      </c>
      <c r="J24" s="121">
        <f t="shared" si="6"/>
        <v>63</v>
      </c>
      <c r="K24" s="121">
        <f t="shared" si="7"/>
        <v>40</v>
      </c>
      <c r="L24" s="121">
        <f t="shared" si="8"/>
        <v>73</v>
      </c>
      <c r="M24" s="121">
        <f t="shared" si="9"/>
        <v>83</v>
      </c>
      <c r="N24" s="122">
        <f t="shared" si="10"/>
        <v>60</v>
      </c>
      <c r="O24" s="122">
        <f t="shared" si="11"/>
        <v>80</v>
      </c>
      <c r="P24" s="122">
        <f t="shared" si="12"/>
        <v>75</v>
      </c>
      <c r="Q24" s="122">
        <f t="shared" si="13"/>
        <v>85</v>
      </c>
      <c r="R24" s="122">
        <f t="shared" si="14"/>
        <v>59</v>
      </c>
      <c r="S24" s="241">
        <f t="shared" si="15"/>
        <v>60</v>
      </c>
      <c r="T24" s="241">
        <f t="shared" si="16"/>
        <v>85</v>
      </c>
      <c r="U24" s="241">
        <f t="shared" si="17"/>
        <v>58</v>
      </c>
      <c r="V24" s="241">
        <f t="shared" si="18"/>
        <v>60</v>
      </c>
      <c r="W24" s="241">
        <f t="shared" si="19"/>
        <v>60</v>
      </c>
      <c r="X24" s="241">
        <f t="shared" si="20"/>
        <v>75</v>
      </c>
      <c r="Y24" s="123">
        <f t="shared" si="21"/>
        <v>973</v>
      </c>
      <c r="Z24" s="124">
        <f t="shared" si="22"/>
        <v>64.86666666666666</v>
      </c>
      <c r="AA24" s="125">
        <f t="shared" si="23"/>
        <v>21</v>
      </c>
      <c r="AB24" s="253" t="s">
        <v>805</v>
      </c>
      <c r="AC24" s="253" t="s">
        <v>805</v>
      </c>
      <c r="AD24" s="253" t="s">
        <v>805</v>
      </c>
      <c r="AE24" s="127">
        <v>59</v>
      </c>
      <c r="AF24" s="127">
        <v>9</v>
      </c>
      <c r="AG24" s="127">
        <v>3</v>
      </c>
      <c r="AH24" s="128"/>
      <c r="AJ24" s="93">
        <v>12</v>
      </c>
      <c r="AK24" s="131">
        <v>24250114</v>
      </c>
      <c r="AL24" s="120" t="s">
        <v>682</v>
      </c>
      <c r="AM24" s="129">
        <v>66</v>
      </c>
      <c r="AN24" s="129">
        <v>59.5</v>
      </c>
      <c r="AO24" s="129">
        <v>45</v>
      </c>
      <c r="AP24" s="129">
        <v>63</v>
      </c>
      <c r="AQ24" s="129">
        <v>60.5</v>
      </c>
      <c r="AR24" s="129">
        <v>60</v>
      </c>
      <c r="AS24" s="129">
        <v>62.5</v>
      </c>
      <c r="AT24" s="129">
        <v>39</v>
      </c>
      <c r="AU24" s="129">
        <v>73.3</v>
      </c>
      <c r="AV24" s="129">
        <v>82.5</v>
      </c>
      <c r="AW24" s="250">
        <v>60</v>
      </c>
      <c r="AX24" s="250">
        <v>80</v>
      </c>
      <c r="AY24" s="250">
        <v>75</v>
      </c>
      <c r="AZ24" s="250">
        <v>85</v>
      </c>
      <c r="BA24" s="251">
        <v>59</v>
      </c>
      <c r="BB24" s="243">
        <v>60</v>
      </c>
      <c r="BC24" s="243">
        <v>85</v>
      </c>
      <c r="BD24" s="243">
        <v>57.5</v>
      </c>
      <c r="BE24" s="243">
        <v>60</v>
      </c>
      <c r="BF24" s="243">
        <v>60</v>
      </c>
      <c r="BG24" s="243">
        <v>75</v>
      </c>
      <c r="BH24" s="123">
        <f>SUM(AM24:BA24)</f>
        <v>970.3</v>
      </c>
      <c r="BI24" s="124">
        <f>AVERAGE(AM24:BA24)</f>
        <v>64.686666666666667</v>
      </c>
      <c r="BJ24" s="125" t="e">
        <f>RANK(BH24,$Y$2:$Y$27)</f>
        <v>#N/A</v>
      </c>
      <c r="BK24" s="126"/>
      <c r="BL24" s="126"/>
      <c r="BM24" s="126"/>
      <c r="BN24" s="127"/>
      <c r="BO24" s="127"/>
      <c r="BP24" s="127"/>
      <c r="BQ24" s="128"/>
    </row>
    <row r="25" spans="1:69" ht="27.95" customHeight="1">
      <c r="A25" s="138">
        <v>22</v>
      </c>
      <c r="B25" s="219">
        <v>24250027</v>
      </c>
      <c r="C25" s="220" t="s">
        <v>435</v>
      </c>
      <c r="D25" s="121">
        <f t="shared" si="0"/>
        <v>61</v>
      </c>
      <c r="E25" s="121">
        <f t="shared" si="1"/>
        <v>42</v>
      </c>
      <c r="F25" s="121">
        <f t="shared" si="2"/>
        <v>56</v>
      </c>
      <c r="G25" s="121">
        <f t="shared" si="3"/>
        <v>63</v>
      </c>
      <c r="H25" s="121">
        <f t="shared" si="4"/>
        <v>61</v>
      </c>
      <c r="I25" s="121">
        <f t="shared" si="5"/>
        <v>60</v>
      </c>
      <c r="J25" s="121">
        <f t="shared" si="6"/>
        <v>57</v>
      </c>
      <c r="K25" s="121">
        <f t="shared" si="7"/>
        <v>53</v>
      </c>
      <c r="L25" s="121">
        <f t="shared" si="8"/>
        <v>66</v>
      </c>
      <c r="M25" s="121">
        <f t="shared" si="9"/>
        <v>77</v>
      </c>
      <c r="N25" s="122">
        <f t="shared" si="10"/>
        <v>60</v>
      </c>
      <c r="O25" s="122">
        <f t="shared" si="11"/>
        <v>70</v>
      </c>
      <c r="P25" s="122">
        <f t="shared" si="12"/>
        <v>75</v>
      </c>
      <c r="Q25" s="122">
        <f t="shared" si="13"/>
        <v>85</v>
      </c>
      <c r="R25" s="122">
        <f t="shared" si="14"/>
        <v>59</v>
      </c>
      <c r="S25" s="241">
        <f t="shared" si="15"/>
        <v>65</v>
      </c>
      <c r="T25" s="241">
        <f t="shared" si="16"/>
        <v>95</v>
      </c>
      <c r="U25" s="241">
        <f t="shared" si="17"/>
        <v>70</v>
      </c>
      <c r="V25" s="241">
        <f t="shared" si="18"/>
        <v>60</v>
      </c>
      <c r="W25" s="241">
        <f t="shared" si="19"/>
        <v>78</v>
      </c>
      <c r="X25" s="241">
        <f t="shared" si="20"/>
        <v>98</v>
      </c>
      <c r="Y25" s="123">
        <f t="shared" si="21"/>
        <v>945</v>
      </c>
      <c r="Z25" s="124">
        <f t="shared" si="22"/>
        <v>63</v>
      </c>
      <c r="AA25" s="125">
        <f t="shared" si="23"/>
        <v>22</v>
      </c>
      <c r="AB25" s="253" t="s">
        <v>805</v>
      </c>
      <c r="AC25" s="253" t="s">
        <v>805</v>
      </c>
      <c r="AD25" s="253" t="s">
        <v>805</v>
      </c>
      <c r="AE25" s="127">
        <v>38</v>
      </c>
      <c r="AF25" s="127">
        <v>0</v>
      </c>
      <c r="AG25" s="127">
        <v>0</v>
      </c>
      <c r="AH25" s="128"/>
      <c r="AJ25" s="93">
        <v>20</v>
      </c>
      <c r="AK25" s="119">
        <v>24250027</v>
      </c>
      <c r="AL25" s="120" t="s">
        <v>435</v>
      </c>
      <c r="AM25" s="129">
        <v>61</v>
      </c>
      <c r="AN25" s="129">
        <v>42</v>
      </c>
      <c r="AO25" s="129">
        <v>56</v>
      </c>
      <c r="AP25" s="129">
        <v>63</v>
      </c>
      <c r="AQ25" s="129">
        <v>61</v>
      </c>
      <c r="AR25" s="129">
        <v>60</v>
      </c>
      <c r="AS25" s="132">
        <v>56.5</v>
      </c>
      <c r="AT25" s="129">
        <v>52.5</v>
      </c>
      <c r="AU25" s="129">
        <v>66</v>
      </c>
      <c r="AV25" s="132">
        <v>76.5</v>
      </c>
      <c r="AW25" s="250">
        <v>60</v>
      </c>
      <c r="AX25" s="250">
        <v>70</v>
      </c>
      <c r="AY25" s="250">
        <v>75</v>
      </c>
      <c r="AZ25" s="250">
        <v>85</v>
      </c>
      <c r="BA25" s="251">
        <v>59</v>
      </c>
      <c r="BB25" s="243">
        <v>65</v>
      </c>
      <c r="BC25" s="243">
        <v>95</v>
      </c>
      <c r="BD25" s="243">
        <v>70</v>
      </c>
      <c r="BE25" s="243">
        <v>60</v>
      </c>
      <c r="BF25" s="243">
        <v>77.5</v>
      </c>
      <c r="BG25" s="243">
        <v>97.5</v>
      </c>
      <c r="BH25" s="123">
        <f>SUM(AM25:BA25)</f>
        <v>943.5</v>
      </c>
      <c r="BI25" s="124">
        <f>AVERAGE(AM25:BA25)</f>
        <v>62.9</v>
      </c>
      <c r="BJ25" s="125" t="e">
        <f>RANK(BH25,$Y$2:$Y$27)</f>
        <v>#N/A</v>
      </c>
      <c r="BK25" s="126"/>
      <c r="BL25" s="126"/>
      <c r="BM25" s="126"/>
      <c r="BN25" s="127"/>
      <c r="BO25" s="127"/>
      <c r="BP25" s="127"/>
      <c r="BQ25" s="128"/>
    </row>
    <row r="26" spans="1:69" ht="27.95" customHeight="1">
      <c r="A26" s="138">
        <v>23</v>
      </c>
      <c r="B26" s="221">
        <v>24250056</v>
      </c>
      <c r="C26" s="220" t="s">
        <v>436</v>
      </c>
      <c r="D26" s="121">
        <f t="shared" si="0"/>
        <v>0</v>
      </c>
      <c r="E26" s="121">
        <f t="shared" si="1"/>
        <v>0</v>
      </c>
      <c r="F26" s="121">
        <f t="shared" si="2"/>
        <v>0</v>
      </c>
      <c r="G26" s="121">
        <f t="shared" si="3"/>
        <v>0</v>
      </c>
      <c r="H26" s="121">
        <f t="shared" si="4"/>
        <v>0</v>
      </c>
      <c r="I26" s="121">
        <f t="shared" si="5"/>
        <v>0</v>
      </c>
      <c r="J26" s="121">
        <f t="shared" si="6"/>
        <v>0</v>
      </c>
      <c r="K26" s="121">
        <f t="shared" si="7"/>
        <v>0</v>
      </c>
      <c r="L26" s="121">
        <f t="shared" si="8"/>
        <v>0</v>
      </c>
      <c r="M26" s="121">
        <f t="shared" si="9"/>
        <v>0</v>
      </c>
      <c r="N26" s="122">
        <f t="shared" si="10"/>
        <v>0</v>
      </c>
      <c r="O26" s="122">
        <f t="shared" si="11"/>
        <v>0</v>
      </c>
      <c r="P26" s="122">
        <f t="shared" si="12"/>
        <v>0</v>
      </c>
      <c r="Q26" s="122">
        <f t="shared" si="13"/>
        <v>0</v>
      </c>
      <c r="R26" s="122">
        <f t="shared" si="14"/>
        <v>0</v>
      </c>
      <c r="S26" s="241">
        <f t="shared" si="15"/>
        <v>0</v>
      </c>
      <c r="T26" s="241">
        <f t="shared" si="16"/>
        <v>0</v>
      </c>
      <c r="U26" s="241">
        <f t="shared" si="17"/>
        <v>0</v>
      </c>
      <c r="V26" s="241">
        <f t="shared" si="18"/>
        <v>0</v>
      </c>
      <c r="W26" s="241">
        <f t="shared" si="19"/>
        <v>0</v>
      </c>
      <c r="X26" s="241">
        <f t="shared" si="20"/>
        <v>0</v>
      </c>
      <c r="Y26" s="123">
        <f t="shared" si="21"/>
        <v>0</v>
      </c>
      <c r="Z26" s="124">
        <f t="shared" si="22"/>
        <v>0</v>
      </c>
      <c r="AA26" s="125">
        <f t="shared" si="23"/>
        <v>23</v>
      </c>
      <c r="AB26" s="254"/>
      <c r="AC26" s="254"/>
      <c r="AD26" s="254"/>
      <c r="AE26" s="127">
        <v>0</v>
      </c>
      <c r="AF26" s="127">
        <v>9</v>
      </c>
      <c r="AG26" s="127">
        <v>2</v>
      </c>
      <c r="AH26" s="128"/>
      <c r="AJ26" s="93">
        <v>6</v>
      </c>
      <c r="AK26" s="131">
        <v>24250056</v>
      </c>
      <c r="AL26" s="120" t="s">
        <v>436</v>
      </c>
      <c r="AM26" s="129"/>
      <c r="AN26" s="129"/>
      <c r="AO26" s="129"/>
      <c r="AP26" s="129"/>
      <c r="AQ26" s="129"/>
      <c r="AR26" s="129"/>
      <c r="AS26" s="129"/>
      <c r="AT26" s="132"/>
      <c r="AU26" s="129"/>
      <c r="AV26" s="129"/>
      <c r="AW26" s="252"/>
      <c r="AX26" s="252"/>
      <c r="AY26" s="252"/>
      <c r="AZ26" s="252"/>
      <c r="BA26" s="252"/>
      <c r="BB26" s="243"/>
      <c r="BC26" s="243"/>
      <c r="BD26" s="243"/>
      <c r="BE26" s="243"/>
      <c r="BF26" s="243"/>
      <c r="BG26" s="243"/>
      <c r="BH26" s="123">
        <f>SUM(AM26:BA26)</f>
        <v>0</v>
      </c>
      <c r="BI26" s="124" t="e">
        <f>AVERAGE(AM26:BA26)</f>
        <v>#DIV/0!</v>
      </c>
      <c r="BJ26" s="125">
        <f>RANK(BH26,$Y$2:$Y$27)</f>
        <v>23</v>
      </c>
      <c r="BK26" s="126"/>
      <c r="BL26" s="126"/>
      <c r="BM26" s="126"/>
      <c r="BN26" s="127"/>
      <c r="BO26" s="127"/>
      <c r="BP26" s="127"/>
      <c r="BQ26" s="128"/>
    </row>
    <row r="27" spans="1:69" ht="27.95" customHeight="1">
      <c r="A27" s="138">
        <v>24</v>
      </c>
      <c r="B27" s="221">
        <v>24250178</v>
      </c>
      <c r="C27" s="220" t="s">
        <v>430</v>
      </c>
      <c r="D27" s="121">
        <f t="shared" si="0"/>
        <v>0</v>
      </c>
      <c r="E27" s="121">
        <f t="shared" si="1"/>
        <v>0</v>
      </c>
      <c r="F27" s="121">
        <f t="shared" si="2"/>
        <v>0</v>
      </c>
      <c r="G27" s="121">
        <f t="shared" si="3"/>
        <v>0</v>
      </c>
      <c r="H27" s="121">
        <f t="shared" si="4"/>
        <v>0</v>
      </c>
      <c r="I27" s="121">
        <f t="shared" si="5"/>
        <v>0</v>
      </c>
      <c r="J27" s="121">
        <f t="shared" si="6"/>
        <v>0</v>
      </c>
      <c r="K27" s="121">
        <f t="shared" si="7"/>
        <v>0</v>
      </c>
      <c r="L27" s="121">
        <f t="shared" si="8"/>
        <v>0</v>
      </c>
      <c r="M27" s="121">
        <f t="shared" si="9"/>
        <v>0</v>
      </c>
      <c r="N27" s="122">
        <f t="shared" si="10"/>
        <v>0</v>
      </c>
      <c r="O27" s="122">
        <f t="shared" si="11"/>
        <v>0</v>
      </c>
      <c r="P27" s="122">
        <f t="shared" si="12"/>
        <v>0</v>
      </c>
      <c r="Q27" s="122">
        <f t="shared" si="13"/>
        <v>0</v>
      </c>
      <c r="R27" s="122">
        <f t="shared" si="14"/>
        <v>0</v>
      </c>
      <c r="S27" s="241">
        <f t="shared" si="15"/>
        <v>0</v>
      </c>
      <c r="T27" s="241">
        <f t="shared" si="16"/>
        <v>0</v>
      </c>
      <c r="U27" s="241">
        <f t="shared" si="17"/>
        <v>0</v>
      </c>
      <c r="V27" s="241">
        <f t="shared" si="18"/>
        <v>0</v>
      </c>
      <c r="W27" s="241">
        <f t="shared" si="19"/>
        <v>0</v>
      </c>
      <c r="X27" s="241">
        <f t="shared" si="20"/>
        <v>0</v>
      </c>
      <c r="Y27" s="123">
        <f t="shared" si="21"/>
        <v>0</v>
      </c>
      <c r="Z27" s="124">
        <f t="shared" si="22"/>
        <v>0</v>
      </c>
      <c r="AA27" s="125">
        <f t="shared" si="23"/>
        <v>23</v>
      </c>
      <c r="AB27" s="255"/>
      <c r="AC27" s="255"/>
      <c r="AD27" s="255"/>
      <c r="AE27" s="127">
        <v>0</v>
      </c>
      <c r="AF27" s="127">
        <v>0</v>
      </c>
      <c r="AG27" s="127">
        <v>109</v>
      </c>
      <c r="AH27" s="128"/>
      <c r="AJ27" s="93">
        <v>13</v>
      </c>
      <c r="AK27" s="131">
        <v>24250178</v>
      </c>
      <c r="AL27" s="120" t="s">
        <v>430</v>
      </c>
      <c r="AM27" s="132"/>
      <c r="AN27" s="132"/>
      <c r="AO27" s="129"/>
      <c r="AP27" s="129"/>
      <c r="AQ27" s="129"/>
      <c r="AR27" s="129"/>
      <c r="AS27" s="132"/>
      <c r="AT27" s="129"/>
      <c r="AU27" s="129"/>
      <c r="AV27" s="129"/>
      <c r="AW27" s="250"/>
      <c r="AX27" s="250"/>
      <c r="AY27" s="250"/>
      <c r="AZ27" s="250"/>
      <c r="BA27" s="251"/>
      <c r="BB27" s="244"/>
      <c r="BC27" s="244"/>
      <c r="BD27" s="244"/>
      <c r="BE27" s="244"/>
      <c r="BF27" s="244"/>
      <c r="BG27" s="244"/>
      <c r="BH27" s="123">
        <f>SUM(AM27:BA27)</f>
        <v>0</v>
      </c>
      <c r="BI27" s="124" t="e">
        <f>AVERAGE(AM27:BA27)</f>
        <v>#DIV/0!</v>
      </c>
      <c r="BJ27" s="125">
        <f>RANK(BH27,$Y$2:$Y$27)</f>
        <v>23</v>
      </c>
      <c r="BK27" s="126"/>
      <c r="BL27" s="126"/>
      <c r="BM27" s="126"/>
      <c r="BN27" s="127"/>
      <c r="BO27" s="127"/>
      <c r="BP27" s="127"/>
      <c r="BQ27" s="128"/>
    </row>
    <row r="28" spans="1:69" ht="15.75">
      <c r="A28" s="439" t="s">
        <v>202</v>
      </c>
      <c r="B28" s="440"/>
      <c r="C28" s="441"/>
      <c r="D28" s="125">
        <f t="shared" ref="D28:R28" si="27">SUM(D4:D27)</f>
        <v>1479</v>
      </c>
      <c r="E28" s="125">
        <f t="shared" si="27"/>
        <v>1607</v>
      </c>
      <c r="F28" s="125">
        <f t="shared" si="27"/>
        <v>1567</v>
      </c>
      <c r="G28" s="125">
        <f t="shared" si="27"/>
        <v>1524</v>
      </c>
      <c r="H28" s="125">
        <f t="shared" si="27"/>
        <v>1667</v>
      </c>
      <c r="I28" s="125">
        <f t="shared" si="27"/>
        <v>1525</v>
      </c>
      <c r="J28" s="125">
        <f t="shared" si="27"/>
        <v>1579</v>
      </c>
      <c r="K28" s="125">
        <f t="shared" si="27"/>
        <v>1322</v>
      </c>
      <c r="L28" s="125">
        <f t="shared" si="27"/>
        <v>1780</v>
      </c>
      <c r="M28" s="125">
        <f t="shared" si="27"/>
        <v>1900</v>
      </c>
      <c r="N28" s="125">
        <f t="shared" si="27"/>
        <v>1584</v>
      </c>
      <c r="O28" s="125">
        <f t="shared" si="27"/>
        <v>1897</v>
      </c>
      <c r="P28" s="125">
        <f t="shared" si="27"/>
        <v>1890</v>
      </c>
      <c r="Q28" s="125">
        <f t="shared" si="27"/>
        <v>2000</v>
      </c>
      <c r="R28" s="125">
        <f t="shared" si="27"/>
        <v>1677</v>
      </c>
      <c r="S28" s="125"/>
      <c r="T28" s="125"/>
      <c r="U28" s="125"/>
      <c r="V28" s="125"/>
      <c r="W28" s="125"/>
      <c r="X28" s="125"/>
      <c r="Y28" s="123">
        <f t="shared" ref="Y28:Y29" si="28">SUM(D28:R28)</f>
        <v>24998</v>
      </c>
      <c r="Z28" s="124">
        <f t="shared" ref="Z28:Z29" si="29">AVERAGE(D28:R28)</f>
        <v>1666.5333333333333</v>
      </c>
      <c r="AA28" s="135"/>
      <c r="AB28" s="135"/>
      <c r="AC28" s="135"/>
      <c r="AD28" s="135"/>
      <c r="AE28" s="135"/>
      <c r="AF28" s="135"/>
      <c r="AG28" s="135"/>
      <c r="AH28" s="136"/>
      <c r="AJ28" s="439" t="s">
        <v>202</v>
      </c>
      <c r="AK28" s="440"/>
      <c r="AL28" s="441"/>
      <c r="AM28" s="125">
        <f t="shared" ref="AM28:BA28" si="30">SUM(AM4:AM27)</f>
        <v>1478</v>
      </c>
      <c r="AN28" s="125">
        <f t="shared" si="30"/>
        <v>1604.5</v>
      </c>
      <c r="AO28" s="125">
        <f t="shared" si="30"/>
        <v>1566.3</v>
      </c>
      <c r="AP28" s="125">
        <f t="shared" si="30"/>
        <v>1523.2</v>
      </c>
      <c r="AQ28" s="125">
        <f t="shared" si="30"/>
        <v>1661.6</v>
      </c>
      <c r="AR28" s="125">
        <f t="shared" si="30"/>
        <v>1522</v>
      </c>
      <c r="AS28" s="125">
        <f t="shared" si="30"/>
        <v>1574.1499999999999</v>
      </c>
      <c r="AT28" s="125">
        <f t="shared" si="30"/>
        <v>1315.4</v>
      </c>
      <c r="AU28" s="125">
        <f t="shared" si="30"/>
        <v>1777.8999999999999</v>
      </c>
      <c r="AV28" s="125">
        <f t="shared" si="30"/>
        <v>1896.6</v>
      </c>
      <c r="AW28" s="125">
        <f t="shared" si="30"/>
        <v>1584</v>
      </c>
      <c r="AX28" s="125">
        <f t="shared" si="30"/>
        <v>1897</v>
      </c>
      <c r="AY28" s="125">
        <f t="shared" si="30"/>
        <v>1890</v>
      </c>
      <c r="AZ28" s="125">
        <f t="shared" si="30"/>
        <v>2000</v>
      </c>
      <c r="BA28" s="125">
        <f t="shared" si="30"/>
        <v>1677</v>
      </c>
      <c r="BB28" s="125"/>
      <c r="BC28" s="125"/>
      <c r="BD28" s="125"/>
      <c r="BE28" s="125"/>
      <c r="BF28" s="125"/>
      <c r="BG28" s="125"/>
      <c r="BH28" s="123">
        <f t="shared" ref="BH28:BH29" si="31">SUM(AM28:BA28)</f>
        <v>24967.65</v>
      </c>
      <c r="BI28" s="124">
        <f t="shared" ref="BI28:BI29" si="32">AVERAGE(AM28:BA28)</f>
        <v>1664.51</v>
      </c>
      <c r="BJ28" s="135"/>
      <c r="BK28" s="135"/>
      <c r="BL28" s="135"/>
      <c r="BM28" s="135"/>
      <c r="BN28" s="135"/>
      <c r="BO28" s="135"/>
      <c r="BP28" s="135"/>
      <c r="BQ28" s="136"/>
    </row>
    <row r="29" spans="1:69" ht="15.75">
      <c r="A29" s="439" t="s">
        <v>203</v>
      </c>
      <c r="B29" s="440"/>
      <c r="C29" s="441"/>
      <c r="D29" s="125">
        <f t="shared" ref="D29:R29" si="33">AVERAGE(D4:D27)</f>
        <v>61.625</v>
      </c>
      <c r="E29" s="125">
        <f t="shared" si="33"/>
        <v>66.958333333333329</v>
      </c>
      <c r="F29" s="125">
        <f t="shared" si="33"/>
        <v>65.291666666666671</v>
      </c>
      <c r="G29" s="125">
        <f t="shared" si="33"/>
        <v>63.5</v>
      </c>
      <c r="H29" s="125">
        <f t="shared" si="33"/>
        <v>69.458333333333329</v>
      </c>
      <c r="I29" s="125">
        <f t="shared" si="33"/>
        <v>63.541666666666664</v>
      </c>
      <c r="J29" s="125">
        <f t="shared" si="33"/>
        <v>65.791666666666671</v>
      </c>
      <c r="K29" s="125">
        <f t="shared" si="33"/>
        <v>55.083333333333336</v>
      </c>
      <c r="L29" s="125">
        <f t="shared" si="33"/>
        <v>74.166666666666671</v>
      </c>
      <c r="M29" s="125">
        <f t="shared" si="33"/>
        <v>79.166666666666671</v>
      </c>
      <c r="N29" s="125">
        <f t="shared" si="33"/>
        <v>66</v>
      </c>
      <c r="O29" s="125">
        <f t="shared" si="33"/>
        <v>79.041666666666671</v>
      </c>
      <c r="P29" s="125">
        <f t="shared" si="33"/>
        <v>78.75</v>
      </c>
      <c r="Q29" s="125">
        <f t="shared" si="33"/>
        <v>83.333333333333329</v>
      </c>
      <c r="R29" s="125">
        <f t="shared" si="33"/>
        <v>69.875</v>
      </c>
      <c r="S29" s="125"/>
      <c r="T29" s="125"/>
      <c r="U29" s="125"/>
      <c r="V29" s="125"/>
      <c r="W29" s="125"/>
      <c r="X29" s="125"/>
      <c r="Y29" s="123">
        <f t="shared" si="28"/>
        <v>1041.5833333333333</v>
      </c>
      <c r="Z29" s="124">
        <f t="shared" si="29"/>
        <v>69.438888888888883</v>
      </c>
      <c r="AA29" s="135"/>
      <c r="AB29" s="135"/>
      <c r="AC29" s="135"/>
      <c r="AD29" s="135"/>
      <c r="AE29" s="135"/>
      <c r="AF29" s="135"/>
      <c r="AG29" s="135"/>
      <c r="AH29" s="136"/>
      <c r="AJ29" s="439" t="s">
        <v>203</v>
      </c>
      <c r="AK29" s="440"/>
      <c r="AL29" s="441"/>
      <c r="AM29" s="125">
        <f t="shared" ref="AM29:BA29" si="34">AVERAGE(AM4:AM27)</f>
        <v>67.181818181818187</v>
      </c>
      <c r="AN29" s="125">
        <f t="shared" si="34"/>
        <v>72.931818181818187</v>
      </c>
      <c r="AO29" s="125">
        <f t="shared" si="34"/>
        <v>71.195454545454538</v>
      </c>
      <c r="AP29" s="125">
        <f t="shared" si="34"/>
        <v>69.236363636363635</v>
      </c>
      <c r="AQ29" s="125">
        <f t="shared" si="34"/>
        <v>75.527272727272717</v>
      </c>
      <c r="AR29" s="125">
        <f t="shared" si="34"/>
        <v>69.181818181818187</v>
      </c>
      <c r="AS29" s="125">
        <f t="shared" si="34"/>
        <v>71.552272727272722</v>
      </c>
      <c r="AT29" s="125">
        <f t="shared" si="34"/>
        <v>59.790909090909096</v>
      </c>
      <c r="AU29" s="125">
        <f t="shared" si="34"/>
        <v>80.813636363636363</v>
      </c>
      <c r="AV29" s="125">
        <f t="shared" si="34"/>
        <v>86.209090909090904</v>
      </c>
      <c r="AW29" s="125">
        <f t="shared" si="34"/>
        <v>72</v>
      </c>
      <c r="AX29" s="125">
        <f t="shared" si="34"/>
        <v>86.227272727272734</v>
      </c>
      <c r="AY29" s="125">
        <f t="shared" si="34"/>
        <v>85.909090909090907</v>
      </c>
      <c r="AZ29" s="125">
        <f t="shared" si="34"/>
        <v>90.909090909090907</v>
      </c>
      <c r="BA29" s="125">
        <f t="shared" si="34"/>
        <v>76.227272727272734</v>
      </c>
      <c r="BB29" s="125"/>
      <c r="BC29" s="125"/>
      <c r="BD29" s="125"/>
      <c r="BE29" s="125"/>
      <c r="BF29" s="125"/>
      <c r="BG29" s="125"/>
      <c r="BH29" s="123">
        <f t="shared" si="31"/>
        <v>1134.8931818181818</v>
      </c>
      <c r="BI29" s="124">
        <f t="shared" si="32"/>
        <v>75.659545454545452</v>
      </c>
      <c r="BJ29" s="135"/>
      <c r="BK29" s="135"/>
      <c r="BL29" s="135"/>
      <c r="BM29" s="135"/>
      <c r="BN29" s="135"/>
      <c r="BO29" s="135"/>
      <c r="BP29" s="135"/>
      <c r="BQ29" s="136"/>
    </row>
    <row r="30" spans="1:69">
      <c r="A30">
        <v>1</v>
      </c>
      <c r="B30">
        <v>2</v>
      </c>
      <c r="C30">
        <v>3</v>
      </c>
      <c r="D30">
        <v>4</v>
      </c>
      <c r="E30">
        <v>5</v>
      </c>
      <c r="F30">
        <v>6</v>
      </c>
      <c r="G30">
        <v>7</v>
      </c>
      <c r="H30">
        <v>8</v>
      </c>
      <c r="I30">
        <v>9</v>
      </c>
      <c r="J30">
        <v>10</v>
      </c>
      <c r="K30">
        <v>11</v>
      </c>
      <c r="L30">
        <v>12</v>
      </c>
      <c r="M30">
        <v>13</v>
      </c>
      <c r="N30">
        <v>16</v>
      </c>
      <c r="O30">
        <v>17</v>
      </c>
      <c r="P30">
        <v>18</v>
      </c>
      <c r="Q30">
        <v>19</v>
      </c>
      <c r="R30">
        <v>20</v>
      </c>
      <c r="Y30">
        <v>21</v>
      </c>
      <c r="Z30">
        <v>22</v>
      </c>
      <c r="AA30">
        <v>23</v>
      </c>
      <c r="AB30">
        <v>24</v>
      </c>
      <c r="AC30">
        <v>25</v>
      </c>
      <c r="AD30">
        <v>26</v>
      </c>
      <c r="AE30">
        <v>27</v>
      </c>
      <c r="AF30">
        <v>28</v>
      </c>
      <c r="AG30">
        <v>29</v>
      </c>
      <c r="AJ30">
        <v>1</v>
      </c>
      <c r="AK30">
        <v>2</v>
      </c>
      <c r="AL30">
        <v>3</v>
      </c>
      <c r="AM30">
        <v>4</v>
      </c>
      <c r="AN30">
        <v>5</v>
      </c>
      <c r="AO30">
        <v>6</v>
      </c>
      <c r="AP30">
        <v>7</v>
      </c>
      <c r="AQ30">
        <v>8</v>
      </c>
      <c r="AR30">
        <v>9</v>
      </c>
      <c r="AS30">
        <v>10</v>
      </c>
      <c r="AT30">
        <v>11</v>
      </c>
      <c r="AU30">
        <v>12</v>
      </c>
      <c r="AV30">
        <v>13</v>
      </c>
      <c r="AW30">
        <v>16</v>
      </c>
      <c r="AX30">
        <v>17</v>
      </c>
      <c r="AY30">
        <v>18</v>
      </c>
      <c r="AZ30">
        <v>19</v>
      </c>
      <c r="BA30">
        <v>20</v>
      </c>
      <c r="BH30">
        <v>21</v>
      </c>
      <c r="BI30">
        <v>22</v>
      </c>
      <c r="BJ30">
        <v>23</v>
      </c>
      <c r="BK30">
        <v>24</v>
      </c>
      <c r="BL30">
        <v>25</v>
      </c>
      <c r="BM30">
        <v>26</v>
      </c>
      <c r="BN30">
        <v>27</v>
      </c>
      <c r="BO30">
        <v>28</v>
      </c>
      <c r="BP30">
        <v>29</v>
      </c>
    </row>
    <row r="32" spans="1:69" ht="23.25">
      <c r="A32" s="84" t="s">
        <v>204</v>
      </c>
      <c r="B32" s="60"/>
      <c r="C32" s="85"/>
    </row>
    <row r="33" spans="1:3" ht="15.75">
      <c r="A33" s="86"/>
      <c r="B33" s="86"/>
      <c r="C33" s="60" t="s">
        <v>205</v>
      </c>
    </row>
    <row r="34" spans="1:3" ht="15.75">
      <c r="A34" s="87"/>
      <c r="B34" s="87"/>
      <c r="C34" s="60" t="s">
        <v>206</v>
      </c>
    </row>
    <row r="35" spans="1:3" ht="15.75">
      <c r="A35" s="88"/>
      <c r="B35" s="88"/>
      <c r="C35" s="60" t="s">
        <v>207</v>
      </c>
    </row>
    <row r="36" spans="1:3" ht="15.75">
      <c r="A36" s="89"/>
      <c r="B36" s="89"/>
      <c r="C36" s="60" t="s">
        <v>208</v>
      </c>
    </row>
  </sheetData>
  <sortState xmlns:xlrd2="http://schemas.microsoft.com/office/spreadsheetml/2017/richdata2" ref="B4:BQ27">
    <sortCondition ref="AA4:AA27"/>
  </sortState>
  <mergeCells count="36">
    <mergeCell ref="A28:C28"/>
    <mergeCell ref="AJ28:AL28"/>
    <mergeCell ref="A29:C29"/>
    <mergeCell ref="AJ29:AL29"/>
    <mergeCell ref="AF2:AF3"/>
    <mergeCell ref="AG2:AG3"/>
    <mergeCell ref="AH2:AH3"/>
    <mergeCell ref="AJ2:AJ3"/>
    <mergeCell ref="AK2:AK3"/>
    <mergeCell ref="AL2:AL3"/>
    <mergeCell ref="Z2:Z3"/>
    <mergeCell ref="AA2:AA3"/>
    <mergeCell ref="AB2:AB3"/>
    <mergeCell ref="AC2:AC3"/>
    <mergeCell ref="AD2:AD3"/>
    <mergeCell ref="AE2:AE3"/>
    <mergeCell ref="BL2:BL3"/>
    <mergeCell ref="AM2:AV2"/>
    <mergeCell ref="AW2:BA2"/>
    <mergeCell ref="BH2:BH3"/>
    <mergeCell ref="BI2:BI3"/>
    <mergeCell ref="BJ2:BJ3"/>
    <mergeCell ref="BK2:BK3"/>
    <mergeCell ref="BB2:BG2"/>
    <mergeCell ref="BM2:BM3"/>
    <mergeCell ref="BN2:BN3"/>
    <mergeCell ref="BO2:BO3"/>
    <mergeCell ref="BP2:BP3"/>
    <mergeCell ref="BQ2:BQ3"/>
    <mergeCell ref="Y2:Y3"/>
    <mergeCell ref="A2:A3"/>
    <mergeCell ref="B2:B3"/>
    <mergeCell ref="C2:C3"/>
    <mergeCell ref="D2:M2"/>
    <mergeCell ref="N2:R2"/>
    <mergeCell ref="S2:X2"/>
  </mergeCells>
  <conditionalFormatting sqref="B5">
    <cfRule type="duplicateValues" dxfId="91" priority="44"/>
    <cfRule type="duplicateValues" dxfId="90" priority="45"/>
  </conditionalFormatting>
  <conditionalFormatting sqref="B6">
    <cfRule type="duplicateValues" dxfId="89" priority="46"/>
    <cfRule type="duplicateValues" dxfId="88" priority="47"/>
  </conditionalFormatting>
  <conditionalFormatting sqref="B7">
    <cfRule type="duplicateValues" dxfId="87" priority="42"/>
    <cfRule type="duplicateValues" dxfId="86" priority="43"/>
  </conditionalFormatting>
  <conditionalFormatting sqref="B8">
    <cfRule type="duplicateValues" dxfId="85" priority="57"/>
  </conditionalFormatting>
  <conditionalFormatting sqref="B9">
    <cfRule type="duplicateValues" dxfId="84" priority="39"/>
    <cfRule type="duplicateValues" dxfId="83" priority="40"/>
  </conditionalFormatting>
  <conditionalFormatting sqref="B10">
    <cfRule type="duplicateValues" dxfId="82" priority="37"/>
    <cfRule type="duplicateValues" dxfId="81" priority="38"/>
  </conditionalFormatting>
  <conditionalFormatting sqref="B11">
    <cfRule type="duplicateValues" dxfId="80" priority="53"/>
    <cfRule type="duplicateValues" dxfId="79" priority="54"/>
  </conditionalFormatting>
  <conditionalFormatting sqref="B12">
    <cfRule type="duplicateValues" dxfId="78" priority="64"/>
  </conditionalFormatting>
  <conditionalFormatting sqref="B13">
    <cfRule type="duplicateValues" dxfId="77" priority="63"/>
  </conditionalFormatting>
  <conditionalFormatting sqref="B14">
    <cfRule type="duplicateValues" dxfId="76" priority="52"/>
  </conditionalFormatting>
  <conditionalFormatting sqref="B15">
    <cfRule type="duplicateValues" dxfId="75" priority="48"/>
    <cfRule type="duplicateValues" dxfId="74" priority="49"/>
  </conditionalFormatting>
  <conditionalFormatting sqref="B16">
    <cfRule type="duplicateValues" dxfId="73" priority="60"/>
    <cfRule type="duplicateValues" dxfId="72" priority="61"/>
  </conditionalFormatting>
  <conditionalFormatting sqref="B17">
    <cfRule type="duplicateValues" dxfId="71" priority="58"/>
    <cfRule type="duplicateValues" dxfId="70" priority="59"/>
  </conditionalFormatting>
  <conditionalFormatting sqref="B18">
    <cfRule type="duplicateValues" dxfId="69" priority="62"/>
  </conditionalFormatting>
  <conditionalFormatting sqref="B19">
    <cfRule type="duplicateValues" dxfId="68" priority="55"/>
    <cfRule type="duplicateValues" dxfId="67" priority="56"/>
  </conditionalFormatting>
  <conditionalFormatting sqref="B20">
    <cfRule type="duplicateValues" dxfId="66" priority="34"/>
  </conditionalFormatting>
  <conditionalFormatting sqref="B21">
    <cfRule type="duplicateValues" dxfId="65" priority="65"/>
  </conditionalFormatting>
  <conditionalFormatting sqref="B22">
    <cfRule type="duplicateValues" dxfId="64" priority="50"/>
  </conditionalFormatting>
  <conditionalFormatting sqref="B23">
    <cfRule type="duplicateValues" dxfId="63" priority="35"/>
    <cfRule type="duplicateValues" dxfId="62" priority="36"/>
  </conditionalFormatting>
  <conditionalFormatting sqref="B24">
    <cfRule type="duplicateValues" dxfId="61" priority="51"/>
  </conditionalFormatting>
  <conditionalFormatting sqref="B27">
    <cfRule type="duplicateValues" dxfId="60" priority="177"/>
    <cfRule type="duplicateValues" dxfId="59" priority="178"/>
  </conditionalFormatting>
  <conditionalFormatting sqref="AM4:AV27 BB4:BG27 D4:X27">
    <cfRule type="cellIs" dxfId="58" priority="66" operator="lessThanOrEqual">
      <formula>59</formula>
    </cfRule>
  </conditionalFormatting>
  <conditionalFormatting sqref="BI4:BI29 Z4:Z29">
    <cfRule type="cellIs" dxfId="57" priority="67" operator="lessThan">
      <formula>59</formula>
    </cfRule>
  </conditionalFormatting>
  <conditionalFormatting sqref="AK5">
    <cfRule type="duplicateValues" dxfId="56" priority="11"/>
    <cfRule type="duplicateValues" dxfId="55" priority="12"/>
  </conditionalFormatting>
  <conditionalFormatting sqref="AK6">
    <cfRule type="duplicateValues" dxfId="54" priority="13"/>
    <cfRule type="duplicateValues" dxfId="53" priority="14"/>
  </conditionalFormatting>
  <conditionalFormatting sqref="AK7">
    <cfRule type="duplicateValues" dxfId="52" priority="9"/>
    <cfRule type="duplicateValues" dxfId="51" priority="10"/>
  </conditionalFormatting>
  <conditionalFormatting sqref="AK8">
    <cfRule type="duplicateValues" dxfId="50" priority="24"/>
  </conditionalFormatting>
  <conditionalFormatting sqref="AK9">
    <cfRule type="duplicateValues" dxfId="49" priority="6"/>
    <cfRule type="duplicateValues" dxfId="48" priority="7"/>
  </conditionalFormatting>
  <conditionalFormatting sqref="AK10">
    <cfRule type="duplicateValues" dxfId="47" priority="4"/>
    <cfRule type="duplicateValues" dxfId="46" priority="5"/>
  </conditionalFormatting>
  <conditionalFormatting sqref="AK11">
    <cfRule type="duplicateValues" dxfId="45" priority="20"/>
    <cfRule type="duplicateValues" dxfId="44" priority="21"/>
  </conditionalFormatting>
  <conditionalFormatting sqref="AK12">
    <cfRule type="duplicateValues" dxfId="43" priority="31"/>
  </conditionalFormatting>
  <conditionalFormatting sqref="AK13">
    <cfRule type="duplicateValues" dxfId="42" priority="30"/>
  </conditionalFormatting>
  <conditionalFormatting sqref="AK14">
    <cfRule type="duplicateValues" dxfId="41" priority="19"/>
  </conditionalFormatting>
  <conditionalFormatting sqref="AK15">
    <cfRule type="duplicateValues" dxfId="40" priority="15"/>
    <cfRule type="duplicateValues" dxfId="39" priority="16"/>
  </conditionalFormatting>
  <conditionalFormatting sqref="AK16">
    <cfRule type="duplicateValues" dxfId="38" priority="27"/>
    <cfRule type="duplicateValues" dxfId="37" priority="28"/>
  </conditionalFormatting>
  <conditionalFormatting sqref="AK17">
    <cfRule type="duplicateValues" dxfId="36" priority="25"/>
    <cfRule type="duplicateValues" dxfId="35" priority="26"/>
  </conditionalFormatting>
  <conditionalFormatting sqref="AK18">
    <cfRule type="duplicateValues" dxfId="34" priority="29"/>
  </conditionalFormatting>
  <conditionalFormatting sqref="AK19">
    <cfRule type="duplicateValues" dxfId="33" priority="22"/>
    <cfRule type="duplicateValues" dxfId="32" priority="23"/>
  </conditionalFormatting>
  <conditionalFormatting sqref="AK20">
    <cfRule type="duplicateValues" dxfId="31" priority="1"/>
  </conditionalFormatting>
  <conditionalFormatting sqref="AK21">
    <cfRule type="duplicateValues" dxfId="30" priority="32"/>
  </conditionalFormatting>
  <conditionalFormatting sqref="AK22">
    <cfRule type="duplicateValues" dxfId="29" priority="17"/>
  </conditionalFormatting>
  <conditionalFormatting sqref="AK23">
    <cfRule type="duplicateValues" dxfId="28" priority="2"/>
    <cfRule type="duplicateValues" dxfId="27" priority="3"/>
  </conditionalFormatting>
  <conditionalFormatting sqref="AK24">
    <cfRule type="duplicateValues" dxfId="26" priority="18"/>
  </conditionalFormatting>
  <conditionalFormatting sqref="AK27">
    <cfRule type="duplicateValues" dxfId="25" priority="185"/>
    <cfRule type="duplicateValues" dxfId="24" priority="186"/>
  </conditionalFormatting>
  <conditionalFormatting sqref="AA4:AA27">
    <cfRule type="duplicateValues" dxfId="23" priority="359"/>
    <cfRule type="duplicateValues" dxfId="22" priority="360"/>
    <cfRule type="duplicateValues" dxfId="21" priority="361"/>
  </conditionalFormatting>
  <conditionalFormatting sqref="BJ4:BJ27">
    <cfRule type="duplicateValues" dxfId="20" priority="365"/>
    <cfRule type="duplicateValues" dxfId="19" priority="366"/>
    <cfRule type="duplicateValues" dxfId="18" priority="367"/>
  </conditionalFormatting>
  <pageMargins left="0.26" right="0.18" top="0.74803149606299202" bottom="0.41" header="0.31496062992126" footer="0.31496062992126"/>
  <pageSetup paperSize="10000" scale="85" orientation="landscape" horizontalDpi="203" verticalDpi="203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76788-C2F1-48E0-92F5-835C6408D536}">
  <sheetPr codeName="Sheet21">
    <tabColor theme="1" tint="0.499984740745262"/>
  </sheetPr>
  <dimension ref="A1:BG35"/>
  <sheetViews>
    <sheetView zoomScale="80" zoomScaleNormal="80" workbookViewId="0">
      <selection activeCell="Q14" sqref="Q14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19" width="5.42578125" style="60" customWidth="1"/>
    <col min="20" max="20" width="7.140625" style="60" customWidth="1"/>
    <col min="21" max="21" width="7.85546875" style="60" customWidth="1"/>
    <col min="22" max="22" width="7.140625" style="60" customWidth="1"/>
    <col min="23" max="25" width="5.42578125" style="60" customWidth="1"/>
    <col min="26" max="29" width="4.28515625" style="60" customWidth="1"/>
    <col min="30" max="32" width="9.140625" style="60"/>
    <col min="33" max="33" width="29.85546875" style="60" bestFit="1" customWidth="1"/>
    <col min="34" max="16384" width="9.140625" style="60"/>
  </cols>
  <sheetData>
    <row r="1" spans="1:59" ht="23.25">
      <c r="A1" s="85" t="s">
        <v>399</v>
      </c>
      <c r="AE1" s="85" t="s">
        <v>399</v>
      </c>
    </row>
    <row r="2" spans="1:59" ht="15.75" customHeight="1">
      <c r="A2" s="443" t="s">
        <v>151</v>
      </c>
      <c r="B2" s="443" t="s">
        <v>152</v>
      </c>
      <c r="C2" s="443" t="s">
        <v>0</v>
      </c>
      <c r="D2" s="444" t="s">
        <v>153</v>
      </c>
      <c r="E2" s="444"/>
      <c r="F2" s="444"/>
      <c r="G2" s="444"/>
      <c r="H2" s="444"/>
      <c r="I2" s="444"/>
      <c r="J2" s="444"/>
      <c r="K2" s="444"/>
      <c r="L2" s="444"/>
      <c r="M2" s="445" t="s">
        <v>316</v>
      </c>
      <c r="N2" s="445"/>
      <c r="O2" s="445"/>
      <c r="P2" s="445"/>
      <c r="Q2" s="445"/>
      <c r="R2" s="445"/>
      <c r="S2" s="445"/>
      <c r="T2" s="442" t="s">
        <v>155</v>
      </c>
      <c r="U2" s="442" t="s">
        <v>156</v>
      </c>
      <c r="V2" s="442" t="s">
        <v>157</v>
      </c>
      <c r="W2" s="446" t="s">
        <v>158</v>
      </c>
      <c r="X2" s="446" t="s">
        <v>159</v>
      </c>
      <c r="Y2" s="446" t="s">
        <v>160</v>
      </c>
      <c r="Z2" s="280" t="s">
        <v>161</v>
      </c>
      <c r="AA2" s="280" t="s">
        <v>162</v>
      </c>
      <c r="AB2" s="280" t="s">
        <v>163</v>
      </c>
      <c r="AC2" s="280" t="s">
        <v>164</v>
      </c>
      <c r="AE2" s="281" t="s">
        <v>151</v>
      </c>
      <c r="AF2" s="281" t="s">
        <v>152</v>
      </c>
      <c r="AG2" s="281" t="s">
        <v>0</v>
      </c>
      <c r="AH2" s="444" t="s">
        <v>153</v>
      </c>
      <c r="AI2" s="444"/>
      <c r="AJ2" s="444"/>
      <c r="AK2" s="444"/>
      <c r="AL2" s="444"/>
      <c r="AM2" s="444"/>
      <c r="AN2" s="444"/>
      <c r="AO2" s="444"/>
      <c r="AP2" s="137"/>
      <c r="AQ2" s="447" t="s">
        <v>316</v>
      </c>
      <c r="AR2" s="448"/>
      <c r="AS2" s="448"/>
      <c r="AT2" s="448"/>
      <c r="AU2" s="448"/>
      <c r="AV2" s="448"/>
      <c r="AW2" s="449"/>
      <c r="AX2" s="276" t="s">
        <v>155</v>
      </c>
      <c r="AY2" s="276" t="s">
        <v>156</v>
      </c>
      <c r="AZ2" s="276" t="s">
        <v>157</v>
      </c>
      <c r="BA2" s="270" t="s">
        <v>158</v>
      </c>
      <c r="BB2" s="270" t="s">
        <v>159</v>
      </c>
      <c r="BC2" s="270" t="s">
        <v>160</v>
      </c>
      <c r="BD2" s="278" t="s">
        <v>161</v>
      </c>
      <c r="BE2" s="278" t="s">
        <v>162</v>
      </c>
      <c r="BF2" s="278" t="s">
        <v>163</v>
      </c>
      <c r="BG2" s="280" t="s">
        <v>164</v>
      </c>
    </row>
    <row r="3" spans="1:59" ht="60.75">
      <c r="A3" s="443"/>
      <c r="B3" s="443"/>
      <c r="C3" s="443"/>
      <c r="D3" s="63" t="s">
        <v>118</v>
      </c>
      <c r="E3" s="63" t="s">
        <v>55</v>
      </c>
      <c r="F3" s="63" t="s">
        <v>168</v>
      </c>
      <c r="G3" s="63" t="s">
        <v>126</v>
      </c>
      <c r="H3" s="63" t="s">
        <v>128</v>
      </c>
      <c r="I3" s="63" t="s">
        <v>96</v>
      </c>
      <c r="J3" s="63" t="s">
        <v>22</v>
      </c>
      <c r="K3" s="63" t="s">
        <v>139</v>
      </c>
      <c r="L3" s="63" t="s">
        <v>400</v>
      </c>
      <c r="M3" s="64" t="s">
        <v>55</v>
      </c>
      <c r="N3" s="64" t="s">
        <v>168</v>
      </c>
      <c r="O3" s="64" t="s">
        <v>137</v>
      </c>
      <c r="P3" s="64" t="s">
        <v>401</v>
      </c>
      <c r="Q3" s="64" t="s">
        <v>22</v>
      </c>
      <c r="R3" s="64" t="s">
        <v>141</v>
      </c>
      <c r="S3" s="64" t="s">
        <v>143</v>
      </c>
      <c r="T3" s="442"/>
      <c r="U3" s="442"/>
      <c r="V3" s="442"/>
      <c r="W3" s="446"/>
      <c r="X3" s="446"/>
      <c r="Y3" s="446"/>
      <c r="Z3" s="280"/>
      <c r="AA3" s="280"/>
      <c r="AB3" s="280"/>
      <c r="AC3" s="280"/>
      <c r="AE3" s="282"/>
      <c r="AF3" s="282"/>
      <c r="AG3" s="282"/>
      <c r="AH3" s="63" t="s">
        <v>118</v>
      </c>
      <c r="AI3" s="63" t="s">
        <v>55</v>
      </c>
      <c r="AJ3" s="63" t="s">
        <v>168</v>
      </c>
      <c r="AK3" s="63" t="s">
        <v>126</v>
      </c>
      <c r="AL3" s="63" t="s">
        <v>128</v>
      </c>
      <c r="AM3" s="63" t="s">
        <v>96</v>
      </c>
      <c r="AN3" s="63" t="s">
        <v>22</v>
      </c>
      <c r="AO3" s="63" t="s">
        <v>139</v>
      </c>
      <c r="AP3" s="63" t="s">
        <v>400</v>
      </c>
      <c r="AQ3" s="98" t="s">
        <v>55</v>
      </c>
      <c r="AR3" s="98" t="s">
        <v>168</v>
      </c>
      <c r="AS3" s="98" t="s">
        <v>137</v>
      </c>
      <c r="AT3" s="98" t="s">
        <v>401</v>
      </c>
      <c r="AU3" s="98" t="s">
        <v>22</v>
      </c>
      <c r="AV3" s="98" t="s">
        <v>141</v>
      </c>
      <c r="AW3" s="98" t="s">
        <v>143</v>
      </c>
      <c r="AX3" s="277"/>
      <c r="AY3" s="277"/>
      <c r="AZ3" s="277"/>
      <c r="BA3" s="271"/>
      <c r="BB3" s="271"/>
      <c r="BC3" s="271"/>
      <c r="BD3" s="279"/>
      <c r="BE3" s="279"/>
      <c r="BF3" s="279"/>
      <c r="BG3" s="280"/>
    </row>
    <row r="4" spans="1:59" ht="18.600000000000001" customHeight="1">
      <c r="A4" s="51">
        <v>1</v>
      </c>
      <c r="B4" s="51">
        <v>25260040</v>
      </c>
      <c r="C4" s="136" t="s">
        <v>713</v>
      </c>
      <c r="D4" s="68">
        <f t="shared" ref="D4:D27" si="0">ROUND(IF(AH4=0,0,MIN(MAX(AH4,40),99)),0)</f>
        <v>99</v>
      </c>
      <c r="E4" s="68">
        <f t="shared" ref="E4:E27" si="1">ROUND(IF(AI4=0,0,MIN(MAX(AI4,40),99)),0)</f>
        <v>99</v>
      </c>
      <c r="F4" s="68">
        <f t="shared" ref="F4:F27" si="2">ROUND(IF(AJ4=0,0,MIN(MAX(AJ4,40),99)),0)</f>
        <v>99</v>
      </c>
      <c r="G4" s="68">
        <f t="shared" ref="G4:G27" si="3">ROUND(IF(AK4=0,0,MIN(MAX(AK4,40),99)),0)</f>
        <v>99</v>
      </c>
      <c r="H4" s="68">
        <f t="shared" ref="H4:H27" si="4">ROUND(IF(AL4=0,0,MIN(MAX(AL4,40),99)),0)</f>
        <v>99</v>
      </c>
      <c r="I4" s="68">
        <f t="shared" ref="I4:I27" si="5">ROUND(IF(AM4=0,0,MIN(MAX(AM4,40),99)),0)</f>
        <v>99</v>
      </c>
      <c r="J4" s="68">
        <f t="shared" ref="J4:J27" si="6">ROUND(IF(AN4=0,0,MIN(MAX(AN4,40),99)),0)</f>
        <v>99</v>
      </c>
      <c r="K4" s="68">
        <f t="shared" ref="K4:K27" si="7">ROUND(IF(AO4=0,0,MIN(MAX(AO4,40),99)),0)</f>
        <v>99</v>
      </c>
      <c r="L4" s="68">
        <f t="shared" ref="L4:L27" si="8">ROUND(IF(AP4=0,0,MIN(MAX(AP4,40),99)),0)</f>
        <v>99</v>
      </c>
      <c r="M4" s="69">
        <f t="shared" ref="M4:M27" si="9">ROUND(IF(AQ4=0,0,MIN(MAX(AQ4,40),99)),0)</f>
        <v>99</v>
      </c>
      <c r="N4" s="69">
        <f t="shared" ref="N4:N27" si="10">ROUND(IF(AR4=0,0,MIN(MAX(AR4,40),99)),0)</f>
        <v>99</v>
      </c>
      <c r="O4" s="69">
        <f t="shared" ref="O4:O27" si="11">ROUND(IF(AS4=0,0,MIN(MAX(AS4,40),99)),0)</f>
        <v>99</v>
      </c>
      <c r="P4" s="69">
        <f t="shared" ref="P4:P27" si="12">ROUND(IF(AT4=0,0,MIN(MAX(AT4,40),99)),0)</f>
        <v>99</v>
      </c>
      <c r="Q4" s="69">
        <f t="shared" ref="Q4:Q27" si="13">ROUND(IF(AU4=0,0,MIN(MAX(AU4,40),99)),0)</f>
        <v>99</v>
      </c>
      <c r="R4" s="69">
        <f t="shared" ref="R4:R27" si="14">ROUND(IF(AV4=0,0,MIN(MAX(AV4,40),99)),0)</f>
        <v>90</v>
      </c>
      <c r="S4" s="69">
        <f t="shared" ref="S4:S27" si="15">ROUND(IF(AW4=0,0,MIN(MAX(AW4,40),99)),0)</f>
        <v>99</v>
      </c>
      <c r="T4" s="70">
        <f t="shared" ref="T4:T27" si="16">SUM(D4:S4)</f>
        <v>1575</v>
      </c>
      <c r="U4" s="71">
        <f t="shared" ref="U4:U27" si="17">AVERAGE(D4:S4)</f>
        <v>98.4375</v>
      </c>
      <c r="V4" s="72">
        <f t="shared" ref="V4:V27" si="18">RANK(T4,$T$4:$T$27)</f>
        <v>1</v>
      </c>
      <c r="W4" s="73" t="s">
        <v>805</v>
      </c>
      <c r="X4" s="73" t="s">
        <v>806</v>
      </c>
      <c r="Y4" s="73" t="s">
        <v>805</v>
      </c>
      <c r="Z4" s="74"/>
      <c r="AA4" s="74"/>
      <c r="AB4" s="74"/>
      <c r="AC4" s="75"/>
      <c r="AE4" s="51">
        <v>24</v>
      </c>
      <c r="AF4" s="51">
        <v>25260040</v>
      </c>
      <c r="AG4" s="136" t="s">
        <v>713</v>
      </c>
      <c r="AH4" s="68">
        <v>100</v>
      </c>
      <c r="AI4" s="68">
        <v>100</v>
      </c>
      <c r="AJ4" s="68">
        <v>100</v>
      </c>
      <c r="AK4" s="68">
        <v>100</v>
      </c>
      <c r="AL4" s="68">
        <v>100</v>
      </c>
      <c r="AM4" s="68">
        <v>100</v>
      </c>
      <c r="AN4" s="68">
        <v>100</v>
      </c>
      <c r="AO4" s="68">
        <v>100</v>
      </c>
      <c r="AP4" s="68">
        <v>100</v>
      </c>
      <c r="AQ4" s="76">
        <v>100</v>
      </c>
      <c r="AR4" s="76">
        <v>100</v>
      </c>
      <c r="AS4" s="76">
        <v>100</v>
      </c>
      <c r="AT4" s="76">
        <v>100</v>
      </c>
      <c r="AU4" s="76">
        <v>100</v>
      </c>
      <c r="AV4" s="76">
        <v>90</v>
      </c>
      <c r="AW4" s="76">
        <v>99</v>
      </c>
      <c r="AX4" s="70">
        <f t="shared" ref="AX4:AX27" si="19">SUM(AH4:AW4)</f>
        <v>1589</v>
      </c>
      <c r="AY4" s="71">
        <f t="shared" ref="AY4:AY27" si="20">AVERAGE(AH4:AW4)</f>
        <v>99.3125</v>
      </c>
      <c r="AZ4" s="72" t="e">
        <f t="shared" ref="AZ4:AZ27" si="21">RANK(AX4,$T$4:$T$27)</f>
        <v>#N/A</v>
      </c>
      <c r="BA4" s="73"/>
      <c r="BB4" s="73"/>
      <c r="BC4" s="73"/>
      <c r="BD4" s="74"/>
      <c r="BE4" s="74"/>
      <c r="BF4" s="74"/>
      <c r="BG4" s="75"/>
    </row>
    <row r="5" spans="1:59" ht="18.600000000000001" customHeight="1">
      <c r="A5" s="51">
        <v>2</v>
      </c>
      <c r="B5" s="51">
        <v>25260002</v>
      </c>
      <c r="C5" s="136" t="s">
        <v>708</v>
      </c>
      <c r="D5" s="68">
        <f t="shared" si="0"/>
        <v>99</v>
      </c>
      <c r="E5" s="68">
        <f t="shared" si="1"/>
        <v>99</v>
      </c>
      <c r="F5" s="68">
        <f t="shared" si="2"/>
        <v>99</v>
      </c>
      <c r="G5" s="68">
        <f t="shared" si="3"/>
        <v>99</v>
      </c>
      <c r="H5" s="68">
        <f t="shared" si="4"/>
        <v>99</v>
      </c>
      <c r="I5" s="68">
        <f t="shared" si="5"/>
        <v>99</v>
      </c>
      <c r="J5" s="68">
        <f t="shared" si="6"/>
        <v>99</v>
      </c>
      <c r="K5" s="68">
        <f t="shared" si="7"/>
        <v>98</v>
      </c>
      <c r="L5" s="68">
        <f t="shared" si="8"/>
        <v>85</v>
      </c>
      <c r="M5" s="69">
        <f t="shared" si="9"/>
        <v>99</v>
      </c>
      <c r="N5" s="69">
        <f t="shared" si="10"/>
        <v>99</v>
      </c>
      <c r="O5" s="69">
        <f t="shared" si="11"/>
        <v>99</v>
      </c>
      <c r="P5" s="69">
        <f t="shared" si="12"/>
        <v>98</v>
      </c>
      <c r="Q5" s="69">
        <f t="shared" si="13"/>
        <v>99</v>
      </c>
      <c r="R5" s="69">
        <f t="shared" si="14"/>
        <v>90</v>
      </c>
      <c r="S5" s="69">
        <f t="shared" si="15"/>
        <v>90</v>
      </c>
      <c r="T5" s="70">
        <f t="shared" si="16"/>
        <v>1550</v>
      </c>
      <c r="U5" s="71">
        <f t="shared" si="17"/>
        <v>96.875</v>
      </c>
      <c r="V5" s="72">
        <f t="shared" si="18"/>
        <v>2</v>
      </c>
      <c r="W5" s="73" t="s">
        <v>805</v>
      </c>
      <c r="X5" s="73" t="s">
        <v>806</v>
      </c>
      <c r="Y5" s="73" t="s">
        <v>806</v>
      </c>
      <c r="Z5" s="74"/>
      <c r="AA5" s="74"/>
      <c r="AB5" s="74"/>
      <c r="AC5" s="75"/>
      <c r="AE5" s="51">
        <v>19</v>
      </c>
      <c r="AF5" s="51">
        <v>25260002</v>
      </c>
      <c r="AG5" s="136" t="s">
        <v>708</v>
      </c>
      <c r="AH5" s="68">
        <v>100</v>
      </c>
      <c r="AI5" s="68">
        <v>100</v>
      </c>
      <c r="AJ5" s="68">
        <v>100</v>
      </c>
      <c r="AK5" s="68">
        <v>100</v>
      </c>
      <c r="AL5" s="68">
        <v>100</v>
      </c>
      <c r="AM5" s="68">
        <v>100</v>
      </c>
      <c r="AN5" s="68">
        <v>100</v>
      </c>
      <c r="AO5" s="68">
        <v>98</v>
      </c>
      <c r="AP5" s="68">
        <v>85</v>
      </c>
      <c r="AQ5" s="76">
        <v>100</v>
      </c>
      <c r="AR5" s="76">
        <v>100</v>
      </c>
      <c r="AS5" s="76">
        <v>100</v>
      </c>
      <c r="AT5" s="76">
        <v>98</v>
      </c>
      <c r="AU5" s="76">
        <v>100</v>
      </c>
      <c r="AV5" s="76">
        <v>90</v>
      </c>
      <c r="AW5" s="76">
        <v>90</v>
      </c>
      <c r="AX5" s="70">
        <f t="shared" si="19"/>
        <v>1561</v>
      </c>
      <c r="AY5" s="71">
        <f t="shared" si="20"/>
        <v>97.5625</v>
      </c>
      <c r="AZ5" s="72" t="e">
        <f t="shared" si="21"/>
        <v>#N/A</v>
      </c>
      <c r="BA5" s="73"/>
      <c r="BB5" s="73"/>
      <c r="BC5" s="73"/>
      <c r="BD5" s="74"/>
      <c r="BE5" s="74"/>
      <c r="BF5" s="74"/>
      <c r="BG5" s="75"/>
    </row>
    <row r="6" spans="1:59" ht="18.600000000000001" customHeight="1">
      <c r="A6" s="51">
        <v>3</v>
      </c>
      <c r="B6" s="51">
        <v>25260080</v>
      </c>
      <c r="C6" s="136" t="s">
        <v>702</v>
      </c>
      <c r="D6" s="68">
        <f t="shared" si="0"/>
        <v>99</v>
      </c>
      <c r="E6" s="68">
        <f t="shared" si="1"/>
        <v>99</v>
      </c>
      <c r="F6" s="68">
        <f t="shared" si="2"/>
        <v>92</v>
      </c>
      <c r="G6" s="68">
        <f t="shared" si="3"/>
        <v>98</v>
      </c>
      <c r="H6" s="68">
        <f t="shared" si="4"/>
        <v>96</v>
      </c>
      <c r="I6" s="68">
        <f t="shared" si="5"/>
        <v>95</v>
      </c>
      <c r="J6" s="68">
        <f t="shared" si="6"/>
        <v>99</v>
      </c>
      <c r="K6" s="68">
        <f t="shared" si="7"/>
        <v>85</v>
      </c>
      <c r="L6" s="68">
        <f t="shared" si="8"/>
        <v>99</v>
      </c>
      <c r="M6" s="69">
        <f t="shared" si="9"/>
        <v>99</v>
      </c>
      <c r="N6" s="69">
        <f t="shared" si="10"/>
        <v>92</v>
      </c>
      <c r="O6" s="69">
        <f t="shared" si="11"/>
        <v>98</v>
      </c>
      <c r="P6" s="69">
        <f t="shared" si="12"/>
        <v>85</v>
      </c>
      <c r="Q6" s="69">
        <f t="shared" si="13"/>
        <v>99</v>
      </c>
      <c r="R6" s="69">
        <f t="shared" si="14"/>
        <v>80</v>
      </c>
      <c r="S6" s="69">
        <f t="shared" si="15"/>
        <v>99</v>
      </c>
      <c r="T6" s="70">
        <f t="shared" si="16"/>
        <v>1514</v>
      </c>
      <c r="U6" s="71">
        <f t="shared" si="17"/>
        <v>94.625</v>
      </c>
      <c r="V6" s="72">
        <f t="shared" si="18"/>
        <v>3</v>
      </c>
      <c r="W6" s="73" t="s">
        <v>805</v>
      </c>
      <c r="X6" s="73" t="s">
        <v>806</v>
      </c>
      <c r="Y6" s="73" t="s">
        <v>806</v>
      </c>
      <c r="Z6" s="74"/>
      <c r="AA6" s="74"/>
      <c r="AB6" s="74"/>
      <c r="AC6" s="75"/>
      <c r="AE6" s="51">
        <v>13</v>
      </c>
      <c r="AF6" s="51">
        <v>25260080</v>
      </c>
      <c r="AG6" s="136" t="s">
        <v>702</v>
      </c>
      <c r="AH6" s="68">
        <v>100</v>
      </c>
      <c r="AI6" s="68">
        <v>100</v>
      </c>
      <c r="AJ6" s="68">
        <v>92</v>
      </c>
      <c r="AK6" s="68">
        <v>98</v>
      </c>
      <c r="AL6" s="68">
        <v>96</v>
      </c>
      <c r="AM6" s="68">
        <v>95</v>
      </c>
      <c r="AN6" s="68">
        <v>100</v>
      </c>
      <c r="AO6" s="68">
        <v>85</v>
      </c>
      <c r="AP6" s="68">
        <v>100</v>
      </c>
      <c r="AQ6" s="76">
        <v>100</v>
      </c>
      <c r="AR6" s="76">
        <v>92</v>
      </c>
      <c r="AS6" s="76">
        <v>98</v>
      </c>
      <c r="AT6" s="76">
        <v>85</v>
      </c>
      <c r="AU6" s="76">
        <v>100</v>
      </c>
      <c r="AV6" s="76">
        <v>80</v>
      </c>
      <c r="AW6" s="76">
        <v>99</v>
      </c>
      <c r="AX6" s="70">
        <f t="shared" si="19"/>
        <v>1520</v>
      </c>
      <c r="AY6" s="71">
        <f t="shared" si="20"/>
        <v>95</v>
      </c>
      <c r="AZ6" s="72" t="e">
        <f t="shared" si="21"/>
        <v>#N/A</v>
      </c>
      <c r="BA6" s="73"/>
      <c r="BB6" s="73"/>
      <c r="BC6" s="73"/>
      <c r="BD6" s="74"/>
      <c r="BE6" s="74"/>
      <c r="BF6" s="74"/>
      <c r="BG6" s="75"/>
    </row>
    <row r="7" spans="1:59" ht="18.600000000000001" customHeight="1">
      <c r="A7" s="51">
        <v>4</v>
      </c>
      <c r="B7" s="51">
        <v>25260018</v>
      </c>
      <c r="C7" s="136" t="s">
        <v>709</v>
      </c>
      <c r="D7" s="68">
        <f t="shared" si="0"/>
        <v>99</v>
      </c>
      <c r="E7" s="68">
        <f t="shared" si="1"/>
        <v>99</v>
      </c>
      <c r="F7" s="68">
        <f t="shared" si="2"/>
        <v>96</v>
      </c>
      <c r="G7" s="68">
        <f t="shared" si="3"/>
        <v>99</v>
      </c>
      <c r="H7" s="68">
        <f t="shared" si="4"/>
        <v>88</v>
      </c>
      <c r="I7" s="68">
        <f t="shared" si="5"/>
        <v>99</v>
      </c>
      <c r="J7" s="68">
        <f t="shared" si="6"/>
        <v>99</v>
      </c>
      <c r="K7" s="68">
        <f t="shared" si="7"/>
        <v>90</v>
      </c>
      <c r="L7" s="68">
        <f t="shared" si="8"/>
        <v>80</v>
      </c>
      <c r="M7" s="69">
        <f t="shared" si="9"/>
        <v>99</v>
      </c>
      <c r="N7" s="69">
        <f t="shared" si="10"/>
        <v>96</v>
      </c>
      <c r="O7" s="69">
        <f t="shared" si="11"/>
        <v>99</v>
      </c>
      <c r="P7" s="69">
        <f t="shared" si="12"/>
        <v>90</v>
      </c>
      <c r="Q7" s="69">
        <f t="shared" si="13"/>
        <v>99</v>
      </c>
      <c r="R7" s="69">
        <f t="shared" si="14"/>
        <v>90</v>
      </c>
      <c r="S7" s="69">
        <f t="shared" si="15"/>
        <v>70</v>
      </c>
      <c r="T7" s="70">
        <f t="shared" si="16"/>
        <v>1492</v>
      </c>
      <c r="U7" s="71">
        <f t="shared" si="17"/>
        <v>93.25</v>
      </c>
      <c r="V7" s="72">
        <f t="shared" si="18"/>
        <v>4</v>
      </c>
      <c r="W7" s="73" t="s">
        <v>805</v>
      </c>
      <c r="X7" s="73" t="s">
        <v>805</v>
      </c>
      <c r="Y7" s="73" t="s">
        <v>806</v>
      </c>
      <c r="Z7" s="74"/>
      <c r="AA7" s="74"/>
      <c r="AB7" s="74"/>
      <c r="AC7" s="75"/>
      <c r="AE7" s="51">
        <v>20</v>
      </c>
      <c r="AF7" s="51">
        <v>25260018</v>
      </c>
      <c r="AG7" s="136" t="s">
        <v>709</v>
      </c>
      <c r="AH7" s="68">
        <v>100</v>
      </c>
      <c r="AI7" s="68">
        <v>100</v>
      </c>
      <c r="AJ7" s="68">
        <v>96</v>
      </c>
      <c r="AK7" s="68">
        <v>100</v>
      </c>
      <c r="AL7" s="68">
        <v>88</v>
      </c>
      <c r="AM7" s="68">
        <v>100</v>
      </c>
      <c r="AN7" s="68">
        <v>100</v>
      </c>
      <c r="AO7" s="68">
        <v>90</v>
      </c>
      <c r="AP7" s="68">
        <v>80</v>
      </c>
      <c r="AQ7" s="76">
        <v>100</v>
      </c>
      <c r="AR7" s="76">
        <v>96</v>
      </c>
      <c r="AS7" s="76">
        <v>100</v>
      </c>
      <c r="AT7" s="76">
        <v>90</v>
      </c>
      <c r="AU7" s="76">
        <v>100</v>
      </c>
      <c r="AV7" s="76">
        <v>90</v>
      </c>
      <c r="AW7" s="76">
        <v>70</v>
      </c>
      <c r="AX7" s="70">
        <f t="shared" si="19"/>
        <v>1500</v>
      </c>
      <c r="AY7" s="71">
        <f t="shared" si="20"/>
        <v>93.75</v>
      </c>
      <c r="AZ7" s="72" t="e">
        <f t="shared" si="21"/>
        <v>#N/A</v>
      </c>
      <c r="BA7" s="73"/>
      <c r="BB7" s="73"/>
      <c r="BC7" s="73"/>
      <c r="BD7" s="74"/>
      <c r="BE7" s="74"/>
      <c r="BF7" s="74"/>
      <c r="BG7" s="75"/>
    </row>
    <row r="8" spans="1:59" ht="18.600000000000001" customHeight="1">
      <c r="A8" s="51">
        <v>5</v>
      </c>
      <c r="B8" s="51">
        <v>25260025</v>
      </c>
      <c r="C8" s="136" t="s">
        <v>704</v>
      </c>
      <c r="D8" s="68">
        <f t="shared" si="0"/>
        <v>99</v>
      </c>
      <c r="E8" s="68">
        <f t="shared" si="1"/>
        <v>99</v>
      </c>
      <c r="F8" s="68">
        <f t="shared" si="2"/>
        <v>99</v>
      </c>
      <c r="G8" s="68">
        <f t="shared" si="3"/>
        <v>90</v>
      </c>
      <c r="H8" s="68">
        <f t="shared" si="4"/>
        <v>92</v>
      </c>
      <c r="I8" s="68">
        <f t="shared" si="5"/>
        <v>60</v>
      </c>
      <c r="J8" s="68">
        <f t="shared" si="6"/>
        <v>99</v>
      </c>
      <c r="K8" s="68">
        <f t="shared" si="7"/>
        <v>90</v>
      </c>
      <c r="L8" s="68">
        <f t="shared" si="8"/>
        <v>99</v>
      </c>
      <c r="M8" s="69">
        <f t="shared" si="9"/>
        <v>99</v>
      </c>
      <c r="N8" s="69">
        <f t="shared" si="10"/>
        <v>99</v>
      </c>
      <c r="O8" s="69">
        <f t="shared" si="11"/>
        <v>98</v>
      </c>
      <c r="P8" s="69">
        <f t="shared" si="12"/>
        <v>90</v>
      </c>
      <c r="Q8" s="69">
        <f t="shared" si="13"/>
        <v>99</v>
      </c>
      <c r="R8" s="69">
        <f t="shared" si="14"/>
        <v>70</v>
      </c>
      <c r="S8" s="69">
        <f t="shared" si="15"/>
        <v>99</v>
      </c>
      <c r="T8" s="70">
        <f t="shared" si="16"/>
        <v>1481</v>
      </c>
      <c r="U8" s="71">
        <f t="shared" si="17"/>
        <v>92.5625</v>
      </c>
      <c r="V8" s="72">
        <f t="shared" si="18"/>
        <v>5</v>
      </c>
      <c r="W8" s="73" t="s">
        <v>805</v>
      </c>
      <c r="X8" s="73" t="s">
        <v>805</v>
      </c>
      <c r="Y8" s="73" t="s">
        <v>806</v>
      </c>
      <c r="Z8" s="74"/>
      <c r="AA8" s="74"/>
      <c r="AB8" s="74"/>
      <c r="AC8" s="75"/>
      <c r="AE8" s="51">
        <v>15</v>
      </c>
      <c r="AF8" s="51">
        <v>25260025</v>
      </c>
      <c r="AG8" s="136" t="s">
        <v>704</v>
      </c>
      <c r="AH8" s="68">
        <v>100</v>
      </c>
      <c r="AI8" s="68">
        <v>100</v>
      </c>
      <c r="AJ8" s="68">
        <v>100</v>
      </c>
      <c r="AK8" s="68">
        <v>90</v>
      </c>
      <c r="AL8" s="68">
        <v>92</v>
      </c>
      <c r="AM8" s="68">
        <v>60</v>
      </c>
      <c r="AN8" s="68">
        <v>100</v>
      </c>
      <c r="AO8" s="68">
        <v>90</v>
      </c>
      <c r="AP8" s="68">
        <v>100</v>
      </c>
      <c r="AQ8" s="76">
        <v>100</v>
      </c>
      <c r="AR8" s="76">
        <v>100</v>
      </c>
      <c r="AS8" s="76">
        <v>98</v>
      </c>
      <c r="AT8" s="76">
        <v>90</v>
      </c>
      <c r="AU8" s="76">
        <v>100</v>
      </c>
      <c r="AV8" s="76">
        <v>70</v>
      </c>
      <c r="AW8" s="76">
        <v>99</v>
      </c>
      <c r="AX8" s="70">
        <f t="shared" si="19"/>
        <v>1489</v>
      </c>
      <c r="AY8" s="71">
        <f t="shared" si="20"/>
        <v>93.0625</v>
      </c>
      <c r="AZ8" s="72" t="e">
        <f t="shared" si="21"/>
        <v>#N/A</v>
      </c>
      <c r="BA8" s="73"/>
      <c r="BB8" s="73"/>
      <c r="BC8" s="73"/>
      <c r="BD8" s="74"/>
      <c r="BE8" s="74"/>
      <c r="BF8" s="74"/>
      <c r="BG8" s="75"/>
    </row>
    <row r="9" spans="1:59" ht="18.600000000000001" customHeight="1">
      <c r="A9" s="51">
        <v>6</v>
      </c>
      <c r="B9" s="51">
        <v>25260065</v>
      </c>
      <c r="C9" s="136" t="s">
        <v>698</v>
      </c>
      <c r="D9" s="68">
        <f t="shared" si="0"/>
        <v>80</v>
      </c>
      <c r="E9" s="68">
        <f t="shared" si="1"/>
        <v>99</v>
      </c>
      <c r="F9" s="68">
        <f t="shared" si="2"/>
        <v>99</v>
      </c>
      <c r="G9" s="68">
        <f t="shared" si="3"/>
        <v>90</v>
      </c>
      <c r="H9" s="68">
        <f t="shared" si="4"/>
        <v>96</v>
      </c>
      <c r="I9" s="68">
        <f t="shared" si="5"/>
        <v>95</v>
      </c>
      <c r="J9" s="68">
        <f t="shared" si="6"/>
        <v>99</v>
      </c>
      <c r="K9" s="68">
        <f t="shared" si="7"/>
        <v>95</v>
      </c>
      <c r="L9" s="68">
        <f t="shared" si="8"/>
        <v>75</v>
      </c>
      <c r="M9" s="69">
        <f t="shared" si="9"/>
        <v>99</v>
      </c>
      <c r="N9" s="69">
        <f t="shared" si="10"/>
        <v>99</v>
      </c>
      <c r="O9" s="69">
        <f t="shared" si="11"/>
        <v>85</v>
      </c>
      <c r="P9" s="69">
        <f t="shared" si="12"/>
        <v>95</v>
      </c>
      <c r="Q9" s="69">
        <f t="shared" si="13"/>
        <v>99</v>
      </c>
      <c r="R9" s="69">
        <f t="shared" si="14"/>
        <v>80</v>
      </c>
      <c r="S9" s="69">
        <f t="shared" si="15"/>
        <v>90</v>
      </c>
      <c r="T9" s="70">
        <f t="shared" si="16"/>
        <v>1475</v>
      </c>
      <c r="U9" s="71">
        <f t="shared" si="17"/>
        <v>92.1875</v>
      </c>
      <c r="V9" s="72">
        <f t="shared" si="18"/>
        <v>6</v>
      </c>
      <c r="W9" s="73" t="s">
        <v>805</v>
      </c>
      <c r="X9" s="73" t="s">
        <v>805</v>
      </c>
      <c r="Y9" s="73" t="s">
        <v>805</v>
      </c>
      <c r="Z9" s="74"/>
      <c r="AA9" s="74"/>
      <c r="AB9" s="74"/>
      <c r="AC9" s="75"/>
      <c r="AE9" s="51">
        <v>9</v>
      </c>
      <c r="AF9" s="51">
        <v>25260065</v>
      </c>
      <c r="AG9" s="136" t="s">
        <v>698</v>
      </c>
      <c r="AH9" s="68">
        <v>80</v>
      </c>
      <c r="AI9" s="68">
        <v>100</v>
      </c>
      <c r="AJ9" s="68">
        <v>100</v>
      </c>
      <c r="AK9" s="68">
        <v>90</v>
      </c>
      <c r="AL9" s="68">
        <v>96</v>
      </c>
      <c r="AM9" s="68">
        <v>95</v>
      </c>
      <c r="AN9" s="68">
        <v>100</v>
      </c>
      <c r="AO9" s="68">
        <v>95</v>
      </c>
      <c r="AP9" s="68">
        <v>75</v>
      </c>
      <c r="AQ9" s="76">
        <v>100</v>
      </c>
      <c r="AR9" s="76">
        <v>100</v>
      </c>
      <c r="AS9" s="76">
        <v>85</v>
      </c>
      <c r="AT9" s="76">
        <v>95</v>
      </c>
      <c r="AU9" s="76">
        <v>100</v>
      </c>
      <c r="AV9" s="76">
        <v>80</v>
      </c>
      <c r="AW9" s="76">
        <v>90</v>
      </c>
      <c r="AX9" s="70">
        <f t="shared" si="19"/>
        <v>1481</v>
      </c>
      <c r="AY9" s="71">
        <f t="shared" si="20"/>
        <v>92.5625</v>
      </c>
      <c r="AZ9" s="72">
        <f t="shared" si="21"/>
        <v>5</v>
      </c>
      <c r="BA9" s="73"/>
      <c r="BB9" s="73"/>
      <c r="BC9" s="73"/>
      <c r="BD9" s="74"/>
      <c r="BE9" s="74"/>
      <c r="BF9" s="74"/>
      <c r="BG9" s="75"/>
    </row>
    <row r="10" spans="1:59" ht="18.600000000000001" customHeight="1">
      <c r="A10" s="51">
        <v>7</v>
      </c>
      <c r="B10" s="51">
        <v>25260083</v>
      </c>
      <c r="C10" s="136" t="s">
        <v>712</v>
      </c>
      <c r="D10" s="68">
        <f t="shared" si="0"/>
        <v>70</v>
      </c>
      <c r="E10" s="68">
        <f t="shared" si="1"/>
        <v>99</v>
      </c>
      <c r="F10" s="68">
        <f t="shared" si="2"/>
        <v>92</v>
      </c>
      <c r="G10" s="68">
        <f t="shared" si="3"/>
        <v>99</v>
      </c>
      <c r="H10" s="68">
        <f t="shared" si="4"/>
        <v>92</v>
      </c>
      <c r="I10" s="68">
        <f t="shared" si="5"/>
        <v>99</v>
      </c>
      <c r="J10" s="68">
        <f t="shared" si="6"/>
        <v>99</v>
      </c>
      <c r="K10" s="68">
        <f t="shared" si="7"/>
        <v>80</v>
      </c>
      <c r="L10" s="68">
        <f t="shared" si="8"/>
        <v>85</v>
      </c>
      <c r="M10" s="69">
        <f t="shared" si="9"/>
        <v>99</v>
      </c>
      <c r="N10" s="69">
        <f t="shared" si="10"/>
        <v>92</v>
      </c>
      <c r="O10" s="69">
        <f t="shared" si="11"/>
        <v>99</v>
      </c>
      <c r="P10" s="69">
        <f t="shared" si="12"/>
        <v>80</v>
      </c>
      <c r="Q10" s="69">
        <f t="shared" si="13"/>
        <v>99</v>
      </c>
      <c r="R10" s="69">
        <f t="shared" si="14"/>
        <v>85</v>
      </c>
      <c r="S10" s="69">
        <f t="shared" si="15"/>
        <v>95</v>
      </c>
      <c r="T10" s="70">
        <f t="shared" si="16"/>
        <v>1464</v>
      </c>
      <c r="U10" s="71">
        <f t="shared" si="17"/>
        <v>91.5</v>
      </c>
      <c r="V10" s="72">
        <f t="shared" si="18"/>
        <v>7</v>
      </c>
      <c r="W10" s="73" t="s">
        <v>805</v>
      </c>
      <c r="X10" s="73" t="s">
        <v>805</v>
      </c>
      <c r="Y10" s="73" t="s">
        <v>806</v>
      </c>
      <c r="Z10" s="74"/>
      <c r="AA10" s="74"/>
      <c r="AB10" s="74"/>
      <c r="AC10" s="75"/>
      <c r="AE10" s="51">
        <v>23</v>
      </c>
      <c r="AF10" s="51">
        <v>25260083</v>
      </c>
      <c r="AG10" s="136" t="s">
        <v>712</v>
      </c>
      <c r="AH10" s="68">
        <v>70</v>
      </c>
      <c r="AI10" s="68">
        <v>100</v>
      </c>
      <c r="AJ10" s="68">
        <v>92</v>
      </c>
      <c r="AK10" s="68">
        <v>100</v>
      </c>
      <c r="AL10" s="68">
        <v>92</v>
      </c>
      <c r="AM10" s="68">
        <v>100</v>
      </c>
      <c r="AN10" s="68">
        <v>100</v>
      </c>
      <c r="AO10" s="68">
        <v>80</v>
      </c>
      <c r="AP10" s="68">
        <v>85</v>
      </c>
      <c r="AQ10" s="76">
        <v>100</v>
      </c>
      <c r="AR10" s="76">
        <v>92</v>
      </c>
      <c r="AS10" s="76">
        <v>100</v>
      </c>
      <c r="AT10" s="76">
        <v>80</v>
      </c>
      <c r="AU10" s="76">
        <v>100</v>
      </c>
      <c r="AV10" s="76">
        <v>85</v>
      </c>
      <c r="AW10" s="76">
        <v>95</v>
      </c>
      <c r="AX10" s="70">
        <f t="shared" si="19"/>
        <v>1471</v>
      </c>
      <c r="AY10" s="71">
        <f t="shared" si="20"/>
        <v>91.9375</v>
      </c>
      <c r="AZ10" s="72" t="e">
        <f t="shared" si="21"/>
        <v>#N/A</v>
      </c>
      <c r="BA10" s="73"/>
      <c r="BB10" s="73"/>
      <c r="BC10" s="73"/>
      <c r="BD10" s="74"/>
      <c r="BE10" s="74"/>
      <c r="BF10" s="74"/>
      <c r="BG10" s="75"/>
    </row>
    <row r="11" spans="1:59" ht="18.600000000000001" customHeight="1">
      <c r="A11" s="51">
        <v>8</v>
      </c>
      <c r="B11" s="51">
        <v>25260128</v>
      </c>
      <c r="C11" s="136" t="s">
        <v>705</v>
      </c>
      <c r="D11" s="68">
        <f t="shared" si="0"/>
        <v>65</v>
      </c>
      <c r="E11" s="68">
        <f t="shared" si="1"/>
        <v>99</v>
      </c>
      <c r="F11" s="68">
        <f t="shared" si="2"/>
        <v>92</v>
      </c>
      <c r="G11" s="68">
        <f t="shared" si="3"/>
        <v>99</v>
      </c>
      <c r="H11" s="68">
        <f t="shared" si="4"/>
        <v>84</v>
      </c>
      <c r="I11" s="68">
        <f t="shared" si="5"/>
        <v>99</v>
      </c>
      <c r="J11" s="68">
        <f t="shared" si="6"/>
        <v>99</v>
      </c>
      <c r="K11" s="68">
        <f t="shared" si="7"/>
        <v>85</v>
      </c>
      <c r="L11" s="68">
        <f t="shared" si="8"/>
        <v>99</v>
      </c>
      <c r="M11" s="69">
        <f t="shared" si="9"/>
        <v>99</v>
      </c>
      <c r="N11" s="69">
        <f t="shared" si="10"/>
        <v>92</v>
      </c>
      <c r="O11" s="69">
        <f t="shared" si="11"/>
        <v>65</v>
      </c>
      <c r="P11" s="69">
        <f t="shared" si="12"/>
        <v>85</v>
      </c>
      <c r="Q11" s="69">
        <f t="shared" si="13"/>
        <v>99</v>
      </c>
      <c r="R11" s="69">
        <f t="shared" si="14"/>
        <v>85</v>
      </c>
      <c r="S11" s="69">
        <f t="shared" si="15"/>
        <v>95</v>
      </c>
      <c r="T11" s="70">
        <f t="shared" si="16"/>
        <v>1441</v>
      </c>
      <c r="U11" s="71">
        <f t="shared" si="17"/>
        <v>90.0625</v>
      </c>
      <c r="V11" s="72">
        <f t="shared" si="18"/>
        <v>8</v>
      </c>
      <c r="W11" s="73" t="s">
        <v>805</v>
      </c>
      <c r="X11" s="73" t="s">
        <v>805</v>
      </c>
      <c r="Y11" s="73" t="s">
        <v>805</v>
      </c>
      <c r="Z11" s="74"/>
      <c r="AA11" s="74"/>
      <c r="AB11" s="74"/>
      <c r="AC11" s="75"/>
      <c r="AE11" s="51">
        <v>16</v>
      </c>
      <c r="AF11" s="51">
        <v>25260128</v>
      </c>
      <c r="AG11" s="136" t="s">
        <v>705</v>
      </c>
      <c r="AH11" s="68">
        <v>65</v>
      </c>
      <c r="AI11" s="68">
        <v>100</v>
      </c>
      <c r="AJ11" s="68">
        <v>92</v>
      </c>
      <c r="AK11" s="68">
        <v>100</v>
      </c>
      <c r="AL11" s="68">
        <v>84</v>
      </c>
      <c r="AM11" s="68">
        <v>100</v>
      </c>
      <c r="AN11" s="68">
        <v>100</v>
      </c>
      <c r="AO11" s="68">
        <v>85</v>
      </c>
      <c r="AP11" s="68">
        <v>100</v>
      </c>
      <c r="AQ11" s="76">
        <v>100</v>
      </c>
      <c r="AR11" s="76">
        <v>92</v>
      </c>
      <c r="AS11" s="76">
        <v>65</v>
      </c>
      <c r="AT11" s="76">
        <v>85</v>
      </c>
      <c r="AU11" s="76">
        <v>100</v>
      </c>
      <c r="AV11" s="76">
        <v>85</v>
      </c>
      <c r="AW11" s="76">
        <v>95</v>
      </c>
      <c r="AX11" s="70">
        <f t="shared" si="19"/>
        <v>1448</v>
      </c>
      <c r="AY11" s="71">
        <f t="shared" si="20"/>
        <v>90.5</v>
      </c>
      <c r="AZ11" s="72" t="e">
        <f t="shared" si="21"/>
        <v>#N/A</v>
      </c>
      <c r="BA11" s="73"/>
      <c r="BB11" s="73"/>
      <c r="BC11" s="73"/>
      <c r="BD11" s="74"/>
      <c r="BE11" s="74"/>
      <c r="BF11" s="74"/>
      <c r="BG11" s="75"/>
    </row>
    <row r="12" spans="1:59" ht="18.600000000000001" customHeight="1">
      <c r="A12" s="51">
        <v>9</v>
      </c>
      <c r="B12" s="51">
        <v>25260008</v>
      </c>
      <c r="C12" s="136" t="s">
        <v>707</v>
      </c>
      <c r="D12" s="68">
        <f t="shared" si="0"/>
        <v>85</v>
      </c>
      <c r="E12" s="68">
        <f t="shared" si="1"/>
        <v>99</v>
      </c>
      <c r="F12" s="68">
        <f t="shared" si="2"/>
        <v>88</v>
      </c>
      <c r="G12" s="68">
        <f t="shared" si="3"/>
        <v>99</v>
      </c>
      <c r="H12" s="68">
        <f t="shared" si="4"/>
        <v>96</v>
      </c>
      <c r="I12" s="68">
        <f t="shared" si="5"/>
        <v>99</v>
      </c>
      <c r="J12" s="68">
        <f t="shared" si="6"/>
        <v>99</v>
      </c>
      <c r="K12" s="68">
        <f t="shared" si="7"/>
        <v>50</v>
      </c>
      <c r="L12" s="68">
        <f t="shared" si="8"/>
        <v>80</v>
      </c>
      <c r="M12" s="69">
        <f t="shared" si="9"/>
        <v>99</v>
      </c>
      <c r="N12" s="69">
        <f t="shared" si="10"/>
        <v>88</v>
      </c>
      <c r="O12" s="69">
        <f t="shared" si="11"/>
        <v>75</v>
      </c>
      <c r="P12" s="69">
        <f t="shared" si="12"/>
        <v>60</v>
      </c>
      <c r="Q12" s="69">
        <f t="shared" si="13"/>
        <v>99</v>
      </c>
      <c r="R12" s="69">
        <f t="shared" si="14"/>
        <v>85</v>
      </c>
      <c r="S12" s="69">
        <f t="shared" si="15"/>
        <v>99</v>
      </c>
      <c r="T12" s="70">
        <f t="shared" si="16"/>
        <v>1400</v>
      </c>
      <c r="U12" s="71">
        <f t="shared" si="17"/>
        <v>87.5</v>
      </c>
      <c r="V12" s="72">
        <f t="shared" si="18"/>
        <v>9</v>
      </c>
      <c r="W12" s="73" t="s">
        <v>805</v>
      </c>
      <c r="X12" s="73" t="s">
        <v>805</v>
      </c>
      <c r="Y12" s="73" t="s">
        <v>805</v>
      </c>
      <c r="Z12" s="74"/>
      <c r="AA12" s="74"/>
      <c r="AB12" s="74"/>
      <c r="AC12" s="75"/>
      <c r="AE12" s="51">
        <v>18</v>
      </c>
      <c r="AF12" s="51">
        <v>25260008</v>
      </c>
      <c r="AG12" s="136" t="s">
        <v>707</v>
      </c>
      <c r="AH12" s="68">
        <v>85</v>
      </c>
      <c r="AI12" s="68">
        <v>100</v>
      </c>
      <c r="AJ12" s="68">
        <v>88</v>
      </c>
      <c r="AK12" s="68">
        <v>100</v>
      </c>
      <c r="AL12" s="68">
        <v>96</v>
      </c>
      <c r="AM12" s="68">
        <v>100</v>
      </c>
      <c r="AN12" s="68">
        <v>100</v>
      </c>
      <c r="AO12" s="68">
        <v>50</v>
      </c>
      <c r="AP12" s="68">
        <v>80</v>
      </c>
      <c r="AQ12" s="76">
        <v>100</v>
      </c>
      <c r="AR12" s="76">
        <v>88</v>
      </c>
      <c r="AS12" s="76">
        <v>75</v>
      </c>
      <c r="AT12" s="76">
        <v>60</v>
      </c>
      <c r="AU12" s="76">
        <v>100</v>
      </c>
      <c r="AV12" s="76">
        <v>85</v>
      </c>
      <c r="AW12" s="76">
        <v>99</v>
      </c>
      <c r="AX12" s="70">
        <f t="shared" si="19"/>
        <v>1406</v>
      </c>
      <c r="AY12" s="71">
        <f t="shared" si="20"/>
        <v>87.875</v>
      </c>
      <c r="AZ12" s="72" t="e">
        <f t="shared" si="21"/>
        <v>#N/A</v>
      </c>
      <c r="BA12" s="73"/>
      <c r="BB12" s="73"/>
      <c r="BC12" s="73"/>
      <c r="BD12" s="74"/>
      <c r="BE12" s="74"/>
      <c r="BF12" s="74"/>
      <c r="BG12" s="75"/>
    </row>
    <row r="13" spans="1:59" ht="18.600000000000001" customHeight="1">
      <c r="A13" s="51">
        <v>10</v>
      </c>
      <c r="B13" s="51">
        <v>25260006</v>
      </c>
      <c r="C13" s="136" t="s">
        <v>697</v>
      </c>
      <c r="D13" s="68">
        <f t="shared" si="0"/>
        <v>65</v>
      </c>
      <c r="E13" s="68">
        <f t="shared" si="1"/>
        <v>99</v>
      </c>
      <c r="F13" s="68">
        <f t="shared" si="2"/>
        <v>80</v>
      </c>
      <c r="G13" s="68">
        <f t="shared" si="3"/>
        <v>80</v>
      </c>
      <c r="H13" s="68">
        <f t="shared" si="4"/>
        <v>92</v>
      </c>
      <c r="I13" s="68">
        <f t="shared" si="5"/>
        <v>99</v>
      </c>
      <c r="J13" s="68">
        <f t="shared" si="6"/>
        <v>99</v>
      </c>
      <c r="K13" s="68">
        <f t="shared" si="7"/>
        <v>70</v>
      </c>
      <c r="L13" s="68">
        <f t="shared" si="8"/>
        <v>99</v>
      </c>
      <c r="M13" s="69">
        <f t="shared" si="9"/>
        <v>99</v>
      </c>
      <c r="N13" s="69">
        <f t="shared" si="10"/>
        <v>80</v>
      </c>
      <c r="O13" s="69">
        <f t="shared" si="11"/>
        <v>80</v>
      </c>
      <c r="P13" s="69">
        <f t="shared" si="12"/>
        <v>70</v>
      </c>
      <c r="Q13" s="69">
        <f t="shared" si="13"/>
        <v>99</v>
      </c>
      <c r="R13" s="69">
        <f t="shared" si="14"/>
        <v>85</v>
      </c>
      <c r="S13" s="69">
        <f t="shared" si="15"/>
        <v>99</v>
      </c>
      <c r="T13" s="70">
        <f t="shared" si="16"/>
        <v>1395</v>
      </c>
      <c r="U13" s="71">
        <f t="shared" si="17"/>
        <v>87.1875</v>
      </c>
      <c r="V13" s="72">
        <f t="shared" si="18"/>
        <v>10</v>
      </c>
      <c r="W13" s="73" t="s">
        <v>805</v>
      </c>
      <c r="X13" s="73" t="s">
        <v>805</v>
      </c>
      <c r="Y13" s="73" t="s">
        <v>805</v>
      </c>
      <c r="Z13" s="74"/>
      <c r="AA13" s="74"/>
      <c r="AB13" s="74"/>
      <c r="AC13" s="75"/>
      <c r="AE13" s="51">
        <v>8</v>
      </c>
      <c r="AF13" s="51">
        <v>25260006</v>
      </c>
      <c r="AG13" s="136" t="s">
        <v>697</v>
      </c>
      <c r="AH13" s="68">
        <v>65</v>
      </c>
      <c r="AI13" s="68">
        <v>100</v>
      </c>
      <c r="AJ13" s="68">
        <v>80</v>
      </c>
      <c r="AK13" s="68">
        <v>80</v>
      </c>
      <c r="AL13" s="68">
        <v>92</v>
      </c>
      <c r="AM13" s="68">
        <v>100</v>
      </c>
      <c r="AN13" s="68">
        <v>100</v>
      </c>
      <c r="AO13" s="68">
        <v>70</v>
      </c>
      <c r="AP13" s="68">
        <v>100</v>
      </c>
      <c r="AQ13" s="76">
        <v>100</v>
      </c>
      <c r="AR13" s="76">
        <v>80</v>
      </c>
      <c r="AS13" s="76">
        <v>80</v>
      </c>
      <c r="AT13" s="76">
        <v>70</v>
      </c>
      <c r="AU13" s="76">
        <v>100</v>
      </c>
      <c r="AV13" s="76">
        <v>85</v>
      </c>
      <c r="AW13" s="76">
        <v>99</v>
      </c>
      <c r="AX13" s="70">
        <f t="shared" si="19"/>
        <v>1401</v>
      </c>
      <c r="AY13" s="71">
        <f t="shared" si="20"/>
        <v>87.5625</v>
      </c>
      <c r="AZ13" s="72" t="e">
        <f t="shared" si="21"/>
        <v>#N/A</v>
      </c>
      <c r="BA13" s="73"/>
      <c r="BB13" s="73"/>
      <c r="BC13" s="73"/>
      <c r="BD13" s="74"/>
      <c r="BE13" s="74"/>
      <c r="BF13" s="74"/>
      <c r="BG13" s="75"/>
    </row>
    <row r="14" spans="1:59" ht="18.600000000000001" customHeight="1">
      <c r="A14" s="51">
        <v>11</v>
      </c>
      <c r="B14" s="51">
        <v>25260038</v>
      </c>
      <c r="C14" s="136" t="s">
        <v>691</v>
      </c>
      <c r="D14" s="68">
        <f t="shared" si="0"/>
        <v>99</v>
      </c>
      <c r="E14" s="68">
        <f t="shared" si="1"/>
        <v>99</v>
      </c>
      <c r="F14" s="68">
        <f t="shared" si="2"/>
        <v>76</v>
      </c>
      <c r="G14" s="68">
        <f t="shared" si="3"/>
        <v>95</v>
      </c>
      <c r="H14" s="68">
        <f t="shared" si="4"/>
        <v>96</v>
      </c>
      <c r="I14" s="68">
        <f t="shared" si="5"/>
        <v>99</v>
      </c>
      <c r="J14" s="68">
        <f t="shared" si="6"/>
        <v>99</v>
      </c>
      <c r="K14" s="68">
        <f t="shared" si="7"/>
        <v>75</v>
      </c>
      <c r="L14" s="68">
        <f t="shared" si="8"/>
        <v>50</v>
      </c>
      <c r="M14" s="69">
        <f t="shared" si="9"/>
        <v>99</v>
      </c>
      <c r="N14" s="69">
        <f t="shared" si="10"/>
        <v>76</v>
      </c>
      <c r="O14" s="69">
        <f t="shared" si="11"/>
        <v>99</v>
      </c>
      <c r="P14" s="69">
        <f t="shared" si="12"/>
        <v>75</v>
      </c>
      <c r="Q14" s="69">
        <f t="shared" si="13"/>
        <v>99</v>
      </c>
      <c r="R14" s="69">
        <f t="shared" si="14"/>
        <v>95</v>
      </c>
      <c r="S14" s="69">
        <f t="shared" si="15"/>
        <v>60</v>
      </c>
      <c r="T14" s="70">
        <f t="shared" si="16"/>
        <v>1391</v>
      </c>
      <c r="U14" s="71">
        <f t="shared" si="17"/>
        <v>86.9375</v>
      </c>
      <c r="V14" s="72">
        <f t="shared" si="18"/>
        <v>11</v>
      </c>
      <c r="W14" s="73" t="s">
        <v>805</v>
      </c>
      <c r="X14" s="73" t="s">
        <v>805</v>
      </c>
      <c r="Y14" s="73" t="s">
        <v>805</v>
      </c>
      <c r="Z14" s="74"/>
      <c r="AA14" s="74"/>
      <c r="AB14" s="74"/>
      <c r="AC14" s="75"/>
      <c r="AE14" s="51">
        <v>1</v>
      </c>
      <c r="AF14" s="51">
        <v>25260038</v>
      </c>
      <c r="AG14" s="136" t="s">
        <v>691</v>
      </c>
      <c r="AH14" s="68">
        <v>100</v>
      </c>
      <c r="AI14" s="68">
        <v>100</v>
      </c>
      <c r="AJ14" s="68">
        <v>76</v>
      </c>
      <c r="AK14" s="68">
        <v>95</v>
      </c>
      <c r="AL14" s="68">
        <v>96</v>
      </c>
      <c r="AM14" s="68">
        <v>100</v>
      </c>
      <c r="AN14" s="68">
        <v>100</v>
      </c>
      <c r="AO14" s="68">
        <v>75</v>
      </c>
      <c r="AP14" s="68">
        <v>50</v>
      </c>
      <c r="AQ14" s="76">
        <v>100</v>
      </c>
      <c r="AR14" s="76">
        <v>76</v>
      </c>
      <c r="AS14" s="76">
        <v>100</v>
      </c>
      <c r="AT14" s="76">
        <v>75</v>
      </c>
      <c r="AU14" s="76">
        <v>100</v>
      </c>
      <c r="AV14" s="76">
        <v>95</v>
      </c>
      <c r="AW14" s="76">
        <v>60</v>
      </c>
      <c r="AX14" s="70">
        <f t="shared" si="19"/>
        <v>1398</v>
      </c>
      <c r="AY14" s="71">
        <f t="shared" si="20"/>
        <v>87.375</v>
      </c>
      <c r="AZ14" s="72" t="e">
        <f t="shared" si="21"/>
        <v>#N/A</v>
      </c>
      <c r="BA14" s="73"/>
      <c r="BB14" s="73"/>
      <c r="BC14" s="73"/>
      <c r="BD14" s="74"/>
      <c r="BE14" s="74"/>
      <c r="BF14" s="74"/>
      <c r="BG14" s="75"/>
    </row>
    <row r="15" spans="1:59" ht="18.600000000000001" customHeight="1">
      <c r="A15" s="51">
        <v>12</v>
      </c>
      <c r="B15" s="51">
        <v>25260031</v>
      </c>
      <c r="C15" s="136" t="s">
        <v>701</v>
      </c>
      <c r="D15" s="68">
        <f t="shared" si="0"/>
        <v>60</v>
      </c>
      <c r="E15" s="68">
        <f t="shared" si="1"/>
        <v>99</v>
      </c>
      <c r="F15" s="68">
        <f t="shared" si="2"/>
        <v>76</v>
      </c>
      <c r="G15" s="68">
        <f t="shared" si="3"/>
        <v>90</v>
      </c>
      <c r="H15" s="68">
        <f t="shared" si="4"/>
        <v>88</v>
      </c>
      <c r="I15" s="68">
        <f t="shared" si="5"/>
        <v>60</v>
      </c>
      <c r="J15" s="68">
        <f t="shared" si="6"/>
        <v>99</v>
      </c>
      <c r="K15" s="68">
        <f t="shared" si="7"/>
        <v>90</v>
      </c>
      <c r="L15" s="68">
        <f t="shared" si="8"/>
        <v>99</v>
      </c>
      <c r="M15" s="69">
        <f t="shared" si="9"/>
        <v>99</v>
      </c>
      <c r="N15" s="69">
        <f t="shared" si="10"/>
        <v>76</v>
      </c>
      <c r="O15" s="69">
        <f t="shared" si="11"/>
        <v>90</v>
      </c>
      <c r="P15" s="69">
        <f t="shared" si="12"/>
        <v>90</v>
      </c>
      <c r="Q15" s="69">
        <f t="shared" si="13"/>
        <v>99</v>
      </c>
      <c r="R15" s="69">
        <f t="shared" si="14"/>
        <v>60</v>
      </c>
      <c r="S15" s="69">
        <f t="shared" si="15"/>
        <v>99</v>
      </c>
      <c r="T15" s="70">
        <f t="shared" si="16"/>
        <v>1374</v>
      </c>
      <c r="U15" s="71">
        <f t="shared" si="17"/>
        <v>85.875</v>
      </c>
      <c r="V15" s="72">
        <f t="shared" si="18"/>
        <v>12</v>
      </c>
      <c r="W15" s="73" t="s">
        <v>805</v>
      </c>
      <c r="X15" s="73" t="s">
        <v>805</v>
      </c>
      <c r="Y15" s="73" t="s">
        <v>805</v>
      </c>
      <c r="Z15" s="74"/>
      <c r="AA15" s="74"/>
      <c r="AB15" s="74"/>
      <c r="AC15" s="75"/>
      <c r="AE15" s="51">
        <v>12</v>
      </c>
      <c r="AF15" s="51">
        <v>25260031</v>
      </c>
      <c r="AG15" s="136" t="s">
        <v>701</v>
      </c>
      <c r="AH15" s="68">
        <v>60</v>
      </c>
      <c r="AI15" s="68">
        <v>100</v>
      </c>
      <c r="AJ15" s="68">
        <v>76</v>
      </c>
      <c r="AK15" s="68">
        <v>90</v>
      </c>
      <c r="AL15" s="68">
        <v>88</v>
      </c>
      <c r="AM15" s="68">
        <v>60</v>
      </c>
      <c r="AN15" s="68">
        <v>100</v>
      </c>
      <c r="AO15" s="68">
        <v>90</v>
      </c>
      <c r="AP15" s="68">
        <v>100</v>
      </c>
      <c r="AQ15" s="76">
        <v>100</v>
      </c>
      <c r="AR15" s="76">
        <v>76</v>
      </c>
      <c r="AS15" s="76">
        <v>90</v>
      </c>
      <c r="AT15" s="76">
        <v>90</v>
      </c>
      <c r="AU15" s="76">
        <v>100</v>
      </c>
      <c r="AV15" s="76">
        <v>60</v>
      </c>
      <c r="AW15" s="76">
        <v>99</v>
      </c>
      <c r="AX15" s="70">
        <f t="shared" si="19"/>
        <v>1379</v>
      </c>
      <c r="AY15" s="71">
        <f t="shared" si="20"/>
        <v>86.1875</v>
      </c>
      <c r="AZ15" s="72" t="e">
        <f t="shared" si="21"/>
        <v>#N/A</v>
      </c>
      <c r="BA15" s="73"/>
      <c r="BB15" s="73"/>
      <c r="BC15" s="73"/>
      <c r="BD15" s="74"/>
      <c r="BE15" s="74"/>
      <c r="BF15" s="74"/>
      <c r="BG15" s="75"/>
    </row>
    <row r="16" spans="1:59" ht="18.600000000000001" customHeight="1">
      <c r="A16" s="51">
        <v>13</v>
      </c>
      <c r="B16" s="51">
        <v>25260033</v>
      </c>
      <c r="C16" s="136" t="s">
        <v>703</v>
      </c>
      <c r="D16" s="68">
        <f t="shared" si="0"/>
        <v>99</v>
      </c>
      <c r="E16" s="68">
        <f t="shared" si="1"/>
        <v>99</v>
      </c>
      <c r="F16" s="68">
        <f t="shared" si="2"/>
        <v>84</v>
      </c>
      <c r="G16" s="68">
        <f t="shared" si="3"/>
        <v>99</v>
      </c>
      <c r="H16" s="68">
        <f t="shared" si="4"/>
        <v>88</v>
      </c>
      <c r="I16" s="68">
        <f t="shared" si="5"/>
        <v>60</v>
      </c>
      <c r="J16" s="68">
        <f t="shared" si="6"/>
        <v>99</v>
      </c>
      <c r="K16" s="68">
        <f t="shared" si="7"/>
        <v>50</v>
      </c>
      <c r="L16" s="68">
        <f t="shared" si="8"/>
        <v>85</v>
      </c>
      <c r="M16" s="69">
        <f t="shared" si="9"/>
        <v>99</v>
      </c>
      <c r="N16" s="69">
        <f t="shared" si="10"/>
        <v>84</v>
      </c>
      <c r="O16" s="69">
        <f t="shared" si="11"/>
        <v>98</v>
      </c>
      <c r="P16" s="69">
        <f t="shared" si="12"/>
        <v>60</v>
      </c>
      <c r="Q16" s="69">
        <f t="shared" si="13"/>
        <v>99</v>
      </c>
      <c r="R16" s="69">
        <f t="shared" si="14"/>
        <v>70</v>
      </c>
      <c r="S16" s="69">
        <f t="shared" si="15"/>
        <v>90</v>
      </c>
      <c r="T16" s="70">
        <f t="shared" si="16"/>
        <v>1363</v>
      </c>
      <c r="U16" s="71">
        <f t="shared" si="17"/>
        <v>85.1875</v>
      </c>
      <c r="V16" s="72">
        <f t="shared" si="18"/>
        <v>13</v>
      </c>
      <c r="W16" s="73" t="s">
        <v>805</v>
      </c>
      <c r="X16" s="73" t="s">
        <v>805</v>
      </c>
      <c r="Y16" s="73" t="s">
        <v>805</v>
      </c>
      <c r="Z16" s="74"/>
      <c r="AA16" s="74"/>
      <c r="AB16" s="74"/>
      <c r="AC16" s="75"/>
      <c r="AE16" s="51">
        <v>14</v>
      </c>
      <c r="AF16" s="51">
        <v>25260033</v>
      </c>
      <c r="AG16" s="136" t="s">
        <v>703</v>
      </c>
      <c r="AH16" s="68">
        <v>100</v>
      </c>
      <c r="AI16" s="68">
        <v>100</v>
      </c>
      <c r="AJ16" s="68">
        <v>84</v>
      </c>
      <c r="AK16" s="68">
        <v>100</v>
      </c>
      <c r="AL16" s="68">
        <v>88</v>
      </c>
      <c r="AM16" s="68">
        <v>60</v>
      </c>
      <c r="AN16" s="68">
        <v>100</v>
      </c>
      <c r="AO16" s="68">
        <v>50</v>
      </c>
      <c r="AP16" s="68">
        <v>85</v>
      </c>
      <c r="AQ16" s="76">
        <v>100</v>
      </c>
      <c r="AR16" s="76">
        <v>84</v>
      </c>
      <c r="AS16" s="76">
        <v>98</v>
      </c>
      <c r="AT16" s="76">
        <v>60</v>
      </c>
      <c r="AU16" s="76">
        <v>100</v>
      </c>
      <c r="AV16" s="76">
        <v>70</v>
      </c>
      <c r="AW16" s="76">
        <v>90</v>
      </c>
      <c r="AX16" s="70">
        <f t="shared" si="19"/>
        <v>1369</v>
      </c>
      <c r="AY16" s="71">
        <f t="shared" si="20"/>
        <v>85.5625</v>
      </c>
      <c r="AZ16" s="72" t="e">
        <f t="shared" si="21"/>
        <v>#N/A</v>
      </c>
      <c r="BA16" s="73"/>
      <c r="BB16" s="73"/>
      <c r="BC16" s="73"/>
      <c r="BD16" s="74"/>
      <c r="BE16" s="74"/>
      <c r="BF16" s="74"/>
      <c r="BG16" s="75"/>
    </row>
    <row r="17" spans="1:59" ht="18.600000000000001" customHeight="1">
      <c r="A17" s="51">
        <v>14</v>
      </c>
      <c r="B17" s="51">
        <v>25260130</v>
      </c>
      <c r="C17" s="136" t="s">
        <v>699</v>
      </c>
      <c r="D17" s="68">
        <f t="shared" si="0"/>
        <v>99</v>
      </c>
      <c r="E17" s="68">
        <f t="shared" si="1"/>
        <v>99</v>
      </c>
      <c r="F17" s="68">
        <f t="shared" si="2"/>
        <v>96</v>
      </c>
      <c r="G17" s="68">
        <f t="shared" si="3"/>
        <v>90</v>
      </c>
      <c r="H17" s="68">
        <f t="shared" si="4"/>
        <v>96</v>
      </c>
      <c r="I17" s="68">
        <f t="shared" si="5"/>
        <v>75</v>
      </c>
      <c r="J17" s="68">
        <f t="shared" si="6"/>
        <v>99</v>
      </c>
      <c r="K17" s="68">
        <f t="shared" si="7"/>
        <v>55</v>
      </c>
      <c r="L17" s="68">
        <f t="shared" si="8"/>
        <v>65</v>
      </c>
      <c r="M17" s="69">
        <f t="shared" si="9"/>
        <v>99</v>
      </c>
      <c r="N17" s="69">
        <f t="shared" si="10"/>
        <v>96</v>
      </c>
      <c r="O17" s="69">
        <f t="shared" si="11"/>
        <v>60</v>
      </c>
      <c r="P17" s="69">
        <f t="shared" si="12"/>
        <v>65</v>
      </c>
      <c r="Q17" s="69">
        <f t="shared" si="13"/>
        <v>99</v>
      </c>
      <c r="R17" s="69">
        <f t="shared" si="14"/>
        <v>70</v>
      </c>
      <c r="S17" s="69">
        <f t="shared" si="15"/>
        <v>90</v>
      </c>
      <c r="T17" s="70">
        <f t="shared" si="16"/>
        <v>1353</v>
      </c>
      <c r="U17" s="71">
        <f t="shared" si="17"/>
        <v>84.5625</v>
      </c>
      <c r="V17" s="72">
        <f t="shared" si="18"/>
        <v>14</v>
      </c>
      <c r="W17" s="73" t="s">
        <v>805</v>
      </c>
      <c r="X17" s="73" t="s">
        <v>805</v>
      </c>
      <c r="Y17" s="73" t="s">
        <v>805</v>
      </c>
      <c r="Z17" s="74"/>
      <c r="AA17" s="74"/>
      <c r="AB17" s="74"/>
      <c r="AC17" s="75"/>
      <c r="AE17" s="51">
        <v>10</v>
      </c>
      <c r="AF17" s="51">
        <v>25260130</v>
      </c>
      <c r="AG17" s="136" t="s">
        <v>699</v>
      </c>
      <c r="AH17" s="68">
        <v>100</v>
      </c>
      <c r="AI17" s="68">
        <v>100</v>
      </c>
      <c r="AJ17" s="68">
        <v>96</v>
      </c>
      <c r="AK17" s="68">
        <v>90</v>
      </c>
      <c r="AL17" s="68">
        <v>96</v>
      </c>
      <c r="AM17" s="68">
        <v>75</v>
      </c>
      <c r="AN17" s="68">
        <v>100</v>
      </c>
      <c r="AO17" s="68">
        <v>55</v>
      </c>
      <c r="AP17" s="68">
        <v>65</v>
      </c>
      <c r="AQ17" s="76">
        <v>100</v>
      </c>
      <c r="AR17" s="76">
        <v>96</v>
      </c>
      <c r="AS17" s="76">
        <v>60</v>
      </c>
      <c r="AT17" s="76">
        <v>65</v>
      </c>
      <c r="AU17" s="76">
        <v>100</v>
      </c>
      <c r="AV17" s="76">
        <v>70</v>
      </c>
      <c r="AW17" s="76">
        <v>90</v>
      </c>
      <c r="AX17" s="70">
        <f t="shared" si="19"/>
        <v>1358</v>
      </c>
      <c r="AY17" s="71">
        <f t="shared" si="20"/>
        <v>84.875</v>
      </c>
      <c r="AZ17" s="72" t="e">
        <f t="shared" si="21"/>
        <v>#N/A</v>
      </c>
      <c r="BA17" s="73"/>
      <c r="BB17" s="73"/>
      <c r="BC17" s="73"/>
      <c r="BD17" s="74"/>
      <c r="BE17" s="74"/>
      <c r="BF17" s="74"/>
      <c r="BG17" s="75"/>
    </row>
    <row r="18" spans="1:59" ht="18.600000000000001" customHeight="1">
      <c r="A18" s="51">
        <v>15</v>
      </c>
      <c r="B18" s="51">
        <v>25260024</v>
      </c>
      <c r="C18" s="136" t="s">
        <v>692</v>
      </c>
      <c r="D18" s="68">
        <f t="shared" si="0"/>
        <v>90</v>
      </c>
      <c r="E18" s="68">
        <f t="shared" si="1"/>
        <v>95</v>
      </c>
      <c r="F18" s="68">
        <f t="shared" si="2"/>
        <v>72</v>
      </c>
      <c r="G18" s="68">
        <f t="shared" si="3"/>
        <v>99</v>
      </c>
      <c r="H18" s="68">
        <f t="shared" si="4"/>
        <v>88</v>
      </c>
      <c r="I18" s="68">
        <f t="shared" si="5"/>
        <v>99</v>
      </c>
      <c r="J18" s="68">
        <f t="shared" si="6"/>
        <v>99</v>
      </c>
      <c r="K18" s="68">
        <f t="shared" si="7"/>
        <v>40</v>
      </c>
      <c r="L18" s="68">
        <f t="shared" si="8"/>
        <v>80</v>
      </c>
      <c r="M18" s="69">
        <f t="shared" si="9"/>
        <v>99</v>
      </c>
      <c r="N18" s="69">
        <f t="shared" si="10"/>
        <v>72</v>
      </c>
      <c r="O18" s="69">
        <f t="shared" si="11"/>
        <v>98</v>
      </c>
      <c r="P18" s="69">
        <f t="shared" si="12"/>
        <v>50</v>
      </c>
      <c r="Q18" s="69">
        <f t="shared" si="13"/>
        <v>99</v>
      </c>
      <c r="R18" s="69">
        <f t="shared" si="14"/>
        <v>85</v>
      </c>
      <c r="S18" s="69">
        <f t="shared" si="15"/>
        <v>85</v>
      </c>
      <c r="T18" s="70">
        <f t="shared" si="16"/>
        <v>1350</v>
      </c>
      <c r="U18" s="71">
        <f t="shared" si="17"/>
        <v>84.375</v>
      </c>
      <c r="V18" s="72">
        <f t="shared" si="18"/>
        <v>15</v>
      </c>
      <c r="W18" s="73" t="s">
        <v>805</v>
      </c>
      <c r="X18" s="73" t="s">
        <v>805</v>
      </c>
      <c r="Y18" s="73" t="s">
        <v>805</v>
      </c>
      <c r="Z18" s="74"/>
      <c r="AA18" s="74"/>
      <c r="AB18" s="74"/>
      <c r="AC18" s="75"/>
      <c r="AE18" s="51">
        <v>2</v>
      </c>
      <c r="AF18" s="51">
        <v>25260024</v>
      </c>
      <c r="AG18" s="136" t="s">
        <v>692</v>
      </c>
      <c r="AH18" s="68">
        <v>90</v>
      </c>
      <c r="AI18" s="68">
        <v>95</v>
      </c>
      <c r="AJ18" s="68">
        <v>72</v>
      </c>
      <c r="AK18" s="68">
        <v>100</v>
      </c>
      <c r="AL18" s="68">
        <v>88</v>
      </c>
      <c r="AM18" s="68">
        <v>100</v>
      </c>
      <c r="AN18" s="68">
        <v>100</v>
      </c>
      <c r="AO18" s="68">
        <v>40</v>
      </c>
      <c r="AP18" s="68">
        <v>80</v>
      </c>
      <c r="AQ18" s="76">
        <v>100</v>
      </c>
      <c r="AR18" s="76">
        <v>72</v>
      </c>
      <c r="AS18" s="76">
        <v>98</v>
      </c>
      <c r="AT18" s="76">
        <v>50</v>
      </c>
      <c r="AU18" s="76">
        <v>100</v>
      </c>
      <c r="AV18" s="76">
        <v>85</v>
      </c>
      <c r="AW18" s="76">
        <v>85</v>
      </c>
      <c r="AX18" s="70">
        <f t="shared" si="19"/>
        <v>1355</v>
      </c>
      <c r="AY18" s="71">
        <f t="shared" si="20"/>
        <v>84.6875</v>
      </c>
      <c r="AZ18" s="72" t="e">
        <f t="shared" si="21"/>
        <v>#N/A</v>
      </c>
      <c r="BA18" s="73"/>
      <c r="BB18" s="73"/>
      <c r="BC18" s="73"/>
      <c r="BD18" s="74"/>
      <c r="BE18" s="74"/>
      <c r="BF18" s="74"/>
      <c r="BG18" s="75"/>
    </row>
    <row r="19" spans="1:59" ht="18.600000000000001" customHeight="1">
      <c r="A19" s="51">
        <v>16</v>
      </c>
      <c r="B19" s="51">
        <v>25260054</v>
      </c>
      <c r="C19" s="136" t="s">
        <v>706</v>
      </c>
      <c r="D19" s="68">
        <f t="shared" si="0"/>
        <v>99</v>
      </c>
      <c r="E19" s="68">
        <f t="shared" si="1"/>
        <v>99</v>
      </c>
      <c r="F19" s="68">
        <f t="shared" si="2"/>
        <v>84</v>
      </c>
      <c r="G19" s="68">
        <f t="shared" si="3"/>
        <v>90</v>
      </c>
      <c r="H19" s="68">
        <f t="shared" si="4"/>
        <v>88</v>
      </c>
      <c r="I19" s="68">
        <f t="shared" si="5"/>
        <v>50</v>
      </c>
      <c r="J19" s="68">
        <f t="shared" si="6"/>
        <v>99</v>
      </c>
      <c r="K19" s="68">
        <f t="shared" si="7"/>
        <v>50</v>
      </c>
      <c r="L19" s="68">
        <f t="shared" si="8"/>
        <v>99</v>
      </c>
      <c r="M19" s="69">
        <f t="shared" si="9"/>
        <v>99</v>
      </c>
      <c r="N19" s="69">
        <f t="shared" si="10"/>
        <v>84</v>
      </c>
      <c r="O19" s="69">
        <f t="shared" si="11"/>
        <v>98</v>
      </c>
      <c r="P19" s="69">
        <f t="shared" si="12"/>
        <v>60</v>
      </c>
      <c r="Q19" s="69">
        <f t="shared" si="13"/>
        <v>99</v>
      </c>
      <c r="R19" s="69">
        <f t="shared" si="14"/>
        <v>60</v>
      </c>
      <c r="S19" s="69">
        <f t="shared" si="15"/>
        <v>85</v>
      </c>
      <c r="T19" s="70">
        <f t="shared" si="16"/>
        <v>1343</v>
      </c>
      <c r="U19" s="71">
        <f t="shared" si="17"/>
        <v>83.9375</v>
      </c>
      <c r="V19" s="72">
        <f t="shared" si="18"/>
        <v>16</v>
      </c>
      <c r="W19" s="73" t="s">
        <v>805</v>
      </c>
      <c r="X19" s="73" t="s">
        <v>805</v>
      </c>
      <c r="Y19" s="73" t="s">
        <v>805</v>
      </c>
      <c r="Z19" s="74"/>
      <c r="AA19" s="74"/>
      <c r="AB19" s="74"/>
      <c r="AC19" s="75"/>
      <c r="AE19" s="51">
        <v>17</v>
      </c>
      <c r="AF19" s="51">
        <v>25260054</v>
      </c>
      <c r="AG19" s="136" t="s">
        <v>706</v>
      </c>
      <c r="AH19" s="68">
        <v>100</v>
      </c>
      <c r="AI19" s="68">
        <v>100</v>
      </c>
      <c r="AJ19" s="68">
        <v>84</v>
      </c>
      <c r="AK19" s="68">
        <v>90</v>
      </c>
      <c r="AL19" s="68">
        <v>88</v>
      </c>
      <c r="AM19" s="68">
        <v>50</v>
      </c>
      <c r="AN19" s="68">
        <v>100</v>
      </c>
      <c r="AO19" s="68">
        <v>50</v>
      </c>
      <c r="AP19" s="68">
        <v>100</v>
      </c>
      <c r="AQ19" s="76">
        <v>100</v>
      </c>
      <c r="AR19" s="76">
        <v>84</v>
      </c>
      <c r="AS19" s="76">
        <v>98</v>
      </c>
      <c r="AT19" s="76">
        <v>60</v>
      </c>
      <c r="AU19" s="76">
        <v>100</v>
      </c>
      <c r="AV19" s="76">
        <v>60</v>
      </c>
      <c r="AW19" s="76">
        <v>85</v>
      </c>
      <c r="AX19" s="70">
        <f t="shared" si="19"/>
        <v>1349</v>
      </c>
      <c r="AY19" s="71">
        <f t="shared" si="20"/>
        <v>84.3125</v>
      </c>
      <c r="AZ19" s="72" t="e">
        <f t="shared" si="21"/>
        <v>#N/A</v>
      </c>
      <c r="BA19" s="73"/>
      <c r="BB19" s="73"/>
      <c r="BC19" s="73"/>
      <c r="BD19" s="74"/>
      <c r="BE19" s="74"/>
      <c r="BF19" s="74"/>
      <c r="BG19" s="75"/>
    </row>
    <row r="20" spans="1:59" ht="18.600000000000001" customHeight="1">
      <c r="A20" s="51">
        <v>17</v>
      </c>
      <c r="B20" s="51">
        <v>25260056</v>
      </c>
      <c r="C20" s="136" t="s">
        <v>710</v>
      </c>
      <c r="D20" s="68">
        <f t="shared" si="0"/>
        <v>70</v>
      </c>
      <c r="E20" s="68">
        <f t="shared" si="1"/>
        <v>99</v>
      </c>
      <c r="F20" s="68">
        <f t="shared" si="2"/>
        <v>90</v>
      </c>
      <c r="G20" s="68">
        <f t="shared" si="3"/>
        <v>98</v>
      </c>
      <c r="H20" s="68">
        <f t="shared" si="4"/>
        <v>92</v>
      </c>
      <c r="I20" s="68">
        <f t="shared" si="5"/>
        <v>50</v>
      </c>
      <c r="J20" s="68">
        <f t="shared" si="6"/>
        <v>99</v>
      </c>
      <c r="K20" s="68">
        <f t="shared" si="7"/>
        <v>60</v>
      </c>
      <c r="L20" s="68">
        <f t="shared" si="8"/>
        <v>85</v>
      </c>
      <c r="M20" s="69">
        <f t="shared" si="9"/>
        <v>99</v>
      </c>
      <c r="N20" s="69">
        <f t="shared" si="10"/>
        <v>96</v>
      </c>
      <c r="O20" s="69">
        <f t="shared" si="11"/>
        <v>90</v>
      </c>
      <c r="P20" s="69">
        <f t="shared" si="12"/>
        <v>60</v>
      </c>
      <c r="Q20" s="69">
        <f t="shared" si="13"/>
        <v>99</v>
      </c>
      <c r="R20" s="69">
        <f t="shared" si="14"/>
        <v>60</v>
      </c>
      <c r="S20" s="69">
        <f t="shared" si="15"/>
        <v>90</v>
      </c>
      <c r="T20" s="70">
        <f t="shared" si="16"/>
        <v>1337</v>
      </c>
      <c r="U20" s="71">
        <f t="shared" si="17"/>
        <v>83.5625</v>
      </c>
      <c r="V20" s="72">
        <f t="shared" si="18"/>
        <v>17</v>
      </c>
      <c r="W20" s="73" t="s">
        <v>805</v>
      </c>
      <c r="X20" s="73" t="s">
        <v>805</v>
      </c>
      <c r="Y20" s="73" t="s">
        <v>805</v>
      </c>
      <c r="Z20" s="74"/>
      <c r="AA20" s="74"/>
      <c r="AB20" s="74"/>
      <c r="AC20" s="75"/>
      <c r="AE20" s="51">
        <v>21</v>
      </c>
      <c r="AF20" s="51">
        <v>25260056</v>
      </c>
      <c r="AG20" s="136" t="s">
        <v>710</v>
      </c>
      <c r="AH20" s="68">
        <v>70</v>
      </c>
      <c r="AI20" s="68">
        <v>100</v>
      </c>
      <c r="AJ20" s="68">
        <v>90</v>
      </c>
      <c r="AK20" s="68">
        <v>98</v>
      </c>
      <c r="AL20" s="68">
        <v>92</v>
      </c>
      <c r="AM20" s="68">
        <v>50</v>
      </c>
      <c r="AN20" s="68">
        <v>100</v>
      </c>
      <c r="AO20" s="68">
        <v>60</v>
      </c>
      <c r="AP20" s="68">
        <v>85</v>
      </c>
      <c r="AQ20" s="76">
        <v>100</v>
      </c>
      <c r="AR20" s="76">
        <v>96</v>
      </c>
      <c r="AS20" s="76">
        <v>90</v>
      </c>
      <c r="AT20" s="76">
        <v>60</v>
      </c>
      <c r="AU20" s="76">
        <v>100</v>
      </c>
      <c r="AV20" s="76">
        <v>60</v>
      </c>
      <c r="AW20" s="76">
        <v>90</v>
      </c>
      <c r="AX20" s="70">
        <f t="shared" si="19"/>
        <v>1341</v>
      </c>
      <c r="AY20" s="71">
        <f t="shared" si="20"/>
        <v>83.8125</v>
      </c>
      <c r="AZ20" s="72" t="e">
        <f t="shared" si="21"/>
        <v>#N/A</v>
      </c>
      <c r="BA20" s="73"/>
      <c r="BB20" s="73"/>
      <c r="BC20" s="73"/>
      <c r="BD20" s="74"/>
      <c r="BE20" s="74"/>
      <c r="BF20" s="74"/>
      <c r="BG20" s="75"/>
    </row>
    <row r="21" spans="1:59" ht="18.600000000000001" customHeight="1">
      <c r="A21" s="51">
        <v>18</v>
      </c>
      <c r="B21" s="51">
        <v>25260113</v>
      </c>
      <c r="C21" s="136" t="s">
        <v>696</v>
      </c>
      <c r="D21" s="68">
        <f t="shared" si="0"/>
        <v>75</v>
      </c>
      <c r="E21" s="68">
        <f t="shared" si="1"/>
        <v>80</v>
      </c>
      <c r="F21" s="68">
        <f t="shared" si="2"/>
        <v>88</v>
      </c>
      <c r="G21" s="68">
        <f t="shared" si="3"/>
        <v>80</v>
      </c>
      <c r="H21" s="68">
        <f t="shared" si="4"/>
        <v>99</v>
      </c>
      <c r="I21" s="68">
        <f t="shared" si="5"/>
        <v>85</v>
      </c>
      <c r="J21" s="68">
        <f t="shared" si="6"/>
        <v>99</v>
      </c>
      <c r="K21" s="68">
        <f t="shared" si="7"/>
        <v>45</v>
      </c>
      <c r="L21" s="68">
        <f t="shared" si="8"/>
        <v>95</v>
      </c>
      <c r="M21" s="69">
        <f t="shared" si="9"/>
        <v>70</v>
      </c>
      <c r="N21" s="69">
        <f t="shared" si="10"/>
        <v>88</v>
      </c>
      <c r="O21" s="69">
        <f t="shared" si="11"/>
        <v>60</v>
      </c>
      <c r="P21" s="69">
        <f t="shared" si="12"/>
        <v>55</v>
      </c>
      <c r="Q21" s="69">
        <f t="shared" si="13"/>
        <v>99</v>
      </c>
      <c r="R21" s="69">
        <f t="shared" si="14"/>
        <v>80</v>
      </c>
      <c r="S21" s="69">
        <f t="shared" si="15"/>
        <v>95</v>
      </c>
      <c r="T21" s="70">
        <f t="shared" si="16"/>
        <v>1293</v>
      </c>
      <c r="U21" s="71">
        <f t="shared" si="17"/>
        <v>80.8125</v>
      </c>
      <c r="V21" s="72">
        <f t="shared" si="18"/>
        <v>18</v>
      </c>
      <c r="W21" s="73" t="s">
        <v>805</v>
      </c>
      <c r="X21" s="73" t="s">
        <v>805</v>
      </c>
      <c r="Y21" s="73" t="s">
        <v>805</v>
      </c>
      <c r="Z21" s="74"/>
      <c r="AA21" s="74"/>
      <c r="AB21" s="74"/>
      <c r="AC21" s="75"/>
      <c r="AE21" s="51">
        <v>7</v>
      </c>
      <c r="AF21" s="51">
        <v>25260113</v>
      </c>
      <c r="AG21" s="136" t="s">
        <v>696</v>
      </c>
      <c r="AH21" s="68">
        <v>75</v>
      </c>
      <c r="AI21" s="68">
        <v>80</v>
      </c>
      <c r="AJ21" s="68">
        <v>88</v>
      </c>
      <c r="AK21" s="68">
        <v>80</v>
      </c>
      <c r="AL21" s="68">
        <v>100</v>
      </c>
      <c r="AM21" s="68">
        <v>85</v>
      </c>
      <c r="AN21" s="68">
        <v>100</v>
      </c>
      <c r="AO21" s="68">
        <v>45</v>
      </c>
      <c r="AP21" s="68">
        <v>95</v>
      </c>
      <c r="AQ21" s="76">
        <v>70</v>
      </c>
      <c r="AR21" s="76">
        <v>88</v>
      </c>
      <c r="AS21" s="76">
        <v>60</v>
      </c>
      <c r="AT21" s="76">
        <v>55</v>
      </c>
      <c r="AU21" s="76">
        <v>100</v>
      </c>
      <c r="AV21" s="76">
        <v>80</v>
      </c>
      <c r="AW21" s="76">
        <v>95</v>
      </c>
      <c r="AX21" s="70">
        <f t="shared" si="19"/>
        <v>1296</v>
      </c>
      <c r="AY21" s="71">
        <f t="shared" si="20"/>
        <v>81</v>
      </c>
      <c r="AZ21" s="72" t="e">
        <f t="shared" si="21"/>
        <v>#N/A</v>
      </c>
      <c r="BA21" s="73"/>
      <c r="BB21" s="73"/>
      <c r="BC21" s="73"/>
      <c r="BD21" s="74"/>
      <c r="BE21" s="74"/>
      <c r="BF21" s="74"/>
      <c r="BG21" s="75"/>
    </row>
    <row r="22" spans="1:59" ht="18.600000000000001" customHeight="1">
      <c r="A22" s="51">
        <v>19</v>
      </c>
      <c r="B22" s="51">
        <v>25260058</v>
      </c>
      <c r="C22" s="136" t="s">
        <v>711</v>
      </c>
      <c r="D22" s="68">
        <f t="shared" si="0"/>
        <v>60</v>
      </c>
      <c r="E22" s="68">
        <f t="shared" si="1"/>
        <v>98</v>
      </c>
      <c r="F22" s="68">
        <f t="shared" si="2"/>
        <v>84</v>
      </c>
      <c r="G22" s="68">
        <f t="shared" si="3"/>
        <v>99</v>
      </c>
      <c r="H22" s="68">
        <f t="shared" si="4"/>
        <v>88</v>
      </c>
      <c r="I22" s="68">
        <f t="shared" si="5"/>
        <v>50</v>
      </c>
      <c r="J22" s="68">
        <f t="shared" si="6"/>
        <v>99</v>
      </c>
      <c r="K22" s="68">
        <f t="shared" si="7"/>
        <v>50</v>
      </c>
      <c r="L22" s="68">
        <f t="shared" si="8"/>
        <v>99</v>
      </c>
      <c r="M22" s="69">
        <f t="shared" si="9"/>
        <v>70</v>
      </c>
      <c r="N22" s="69">
        <f t="shared" si="10"/>
        <v>84</v>
      </c>
      <c r="O22" s="69">
        <f t="shared" si="11"/>
        <v>92</v>
      </c>
      <c r="P22" s="69">
        <f t="shared" si="12"/>
        <v>60</v>
      </c>
      <c r="Q22" s="69">
        <f t="shared" si="13"/>
        <v>99</v>
      </c>
      <c r="R22" s="69">
        <f t="shared" si="14"/>
        <v>60</v>
      </c>
      <c r="S22" s="69">
        <f t="shared" si="15"/>
        <v>90</v>
      </c>
      <c r="T22" s="70">
        <f t="shared" si="16"/>
        <v>1282</v>
      </c>
      <c r="U22" s="71">
        <f t="shared" si="17"/>
        <v>80.125</v>
      </c>
      <c r="V22" s="72">
        <f t="shared" si="18"/>
        <v>19</v>
      </c>
      <c r="W22" s="73" t="s">
        <v>805</v>
      </c>
      <c r="X22" s="73" t="s">
        <v>805</v>
      </c>
      <c r="Y22" s="73" t="s">
        <v>805</v>
      </c>
      <c r="Z22" s="74"/>
      <c r="AA22" s="74"/>
      <c r="AB22" s="74"/>
      <c r="AC22" s="75"/>
      <c r="AE22" s="51">
        <v>22</v>
      </c>
      <c r="AF22" s="51">
        <v>25260058</v>
      </c>
      <c r="AG22" s="136" t="s">
        <v>711</v>
      </c>
      <c r="AH22" s="68">
        <v>60</v>
      </c>
      <c r="AI22" s="68">
        <v>98</v>
      </c>
      <c r="AJ22" s="68">
        <v>84</v>
      </c>
      <c r="AK22" s="68">
        <v>100</v>
      </c>
      <c r="AL22" s="68">
        <v>88</v>
      </c>
      <c r="AM22" s="68">
        <v>50</v>
      </c>
      <c r="AN22" s="68">
        <v>100</v>
      </c>
      <c r="AO22" s="68">
        <v>50</v>
      </c>
      <c r="AP22" s="68">
        <v>100</v>
      </c>
      <c r="AQ22" s="76">
        <v>70</v>
      </c>
      <c r="AR22" s="76">
        <v>84</v>
      </c>
      <c r="AS22" s="76">
        <v>92</v>
      </c>
      <c r="AT22" s="76">
        <v>60</v>
      </c>
      <c r="AU22" s="76">
        <v>100</v>
      </c>
      <c r="AV22" s="76">
        <v>60</v>
      </c>
      <c r="AW22" s="76">
        <v>90</v>
      </c>
      <c r="AX22" s="70">
        <f t="shared" si="19"/>
        <v>1286</v>
      </c>
      <c r="AY22" s="71">
        <f t="shared" si="20"/>
        <v>80.375</v>
      </c>
      <c r="AZ22" s="72" t="e">
        <f t="shared" si="21"/>
        <v>#N/A</v>
      </c>
      <c r="BA22" s="73"/>
      <c r="BB22" s="73"/>
      <c r="BC22" s="73"/>
      <c r="BD22" s="74"/>
      <c r="BE22" s="74"/>
      <c r="BF22" s="74"/>
      <c r="BG22" s="75"/>
    </row>
    <row r="23" spans="1:59" ht="18.600000000000001" customHeight="1">
      <c r="A23" s="51">
        <v>20</v>
      </c>
      <c r="B23" s="51">
        <v>25260009</v>
      </c>
      <c r="C23" s="136" t="s">
        <v>695</v>
      </c>
      <c r="D23" s="68">
        <f t="shared" si="0"/>
        <v>90</v>
      </c>
      <c r="E23" s="68">
        <f t="shared" si="1"/>
        <v>95</v>
      </c>
      <c r="F23" s="68">
        <f t="shared" si="2"/>
        <v>72</v>
      </c>
      <c r="G23" s="68">
        <f t="shared" si="3"/>
        <v>85</v>
      </c>
      <c r="H23" s="68">
        <f t="shared" si="4"/>
        <v>96</v>
      </c>
      <c r="I23" s="68">
        <f t="shared" si="5"/>
        <v>60</v>
      </c>
      <c r="J23" s="68">
        <f t="shared" si="6"/>
        <v>99</v>
      </c>
      <c r="K23" s="68">
        <f t="shared" si="7"/>
        <v>60</v>
      </c>
      <c r="L23" s="68">
        <f t="shared" si="8"/>
        <v>65</v>
      </c>
      <c r="M23" s="69">
        <f t="shared" si="9"/>
        <v>70</v>
      </c>
      <c r="N23" s="69">
        <f t="shared" si="10"/>
        <v>72</v>
      </c>
      <c r="O23" s="69">
        <f t="shared" si="11"/>
        <v>70</v>
      </c>
      <c r="P23" s="69">
        <f t="shared" si="12"/>
        <v>60</v>
      </c>
      <c r="Q23" s="69">
        <f t="shared" si="13"/>
        <v>99</v>
      </c>
      <c r="R23" s="69">
        <f t="shared" si="14"/>
        <v>70</v>
      </c>
      <c r="S23" s="69">
        <f t="shared" si="15"/>
        <v>95</v>
      </c>
      <c r="T23" s="70">
        <f t="shared" si="16"/>
        <v>1258</v>
      </c>
      <c r="U23" s="71">
        <f t="shared" si="17"/>
        <v>78.625</v>
      </c>
      <c r="V23" s="72">
        <f t="shared" si="18"/>
        <v>20</v>
      </c>
      <c r="W23" s="73" t="s">
        <v>805</v>
      </c>
      <c r="X23" s="73" t="s">
        <v>805</v>
      </c>
      <c r="Y23" s="73" t="s">
        <v>805</v>
      </c>
      <c r="Z23" s="74"/>
      <c r="AA23" s="74"/>
      <c r="AB23" s="74"/>
      <c r="AC23" s="75"/>
      <c r="AE23" s="51">
        <v>6</v>
      </c>
      <c r="AF23" s="51">
        <v>25260009</v>
      </c>
      <c r="AG23" s="136" t="s">
        <v>695</v>
      </c>
      <c r="AH23" s="68">
        <v>90</v>
      </c>
      <c r="AI23" s="68">
        <v>95</v>
      </c>
      <c r="AJ23" s="68">
        <v>72</v>
      </c>
      <c r="AK23" s="68">
        <v>85</v>
      </c>
      <c r="AL23" s="68">
        <v>96</v>
      </c>
      <c r="AM23" s="68">
        <v>60</v>
      </c>
      <c r="AN23" s="68">
        <v>100</v>
      </c>
      <c r="AO23" s="68">
        <v>60</v>
      </c>
      <c r="AP23" s="68">
        <v>65</v>
      </c>
      <c r="AQ23" s="76">
        <v>70</v>
      </c>
      <c r="AR23" s="76">
        <v>72</v>
      </c>
      <c r="AS23" s="76">
        <v>70</v>
      </c>
      <c r="AT23" s="76">
        <v>60</v>
      </c>
      <c r="AU23" s="76">
        <v>100</v>
      </c>
      <c r="AV23" s="76">
        <v>70</v>
      </c>
      <c r="AW23" s="76">
        <v>95</v>
      </c>
      <c r="AX23" s="70">
        <f t="shared" si="19"/>
        <v>1260</v>
      </c>
      <c r="AY23" s="71">
        <f t="shared" si="20"/>
        <v>78.75</v>
      </c>
      <c r="AZ23" s="72" t="e">
        <f t="shared" si="21"/>
        <v>#N/A</v>
      </c>
      <c r="BA23" s="73"/>
      <c r="BB23" s="73"/>
      <c r="BC23" s="73"/>
      <c r="BD23" s="74"/>
      <c r="BE23" s="74"/>
      <c r="BF23" s="74"/>
      <c r="BG23" s="75"/>
    </row>
    <row r="24" spans="1:59" ht="18.600000000000001" customHeight="1">
      <c r="A24" s="51">
        <v>21</v>
      </c>
      <c r="B24" s="51">
        <v>25260069</v>
      </c>
      <c r="C24" s="136" t="s">
        <v>714</v>
      </c>
      <c r="D24" s="68">
        <f t="shared" si="0"/>
        <v>99</v>
      </c>
      <c r="E24" s="68">
        <f t="shared" si="1"/>
        <v>95</v>
      </c>
      <c r="F24" s="68">
        <f t="shared" si="2"/>
        <v>76</v>
      </c>
      <c r="G24" s="68">
        <f t="shared" si="3"/>
        <v>75</v>
      </c>
      <c r="H24" s="68">
        <f t="shared" si="4"/>
        <v>99</v>
      </c>
      <c r="I24" s="68">
        <f t="shared" si="5"/>
        <v>90</v>
      </c>
      <c r="J24" s="68">
        <f t="shared" si="6"/>
        <v>98</v>
      </c>
      <c r="K24" s="68">
        <f t="shared" si="7"/>
        <v>60</v>
      </c>
      <c r="L24" s="68">
        <f t="shared" si="8"/>
        <v>50</v>
      </c>
      <c r="M24" s="69">
        <f t="shared" si="9"/>
        <v>70</v>
      </c>
      <c r="N24" s="69">
        <f t="shared" si="10"/>
        <v>76</v>
      </c>
      <c r="O24" s="69">
        <f t="shared" si="11"/>
        <v>70</v>
      </c>
      <c r="P24" s="69">
        <f t="shared" si="12"/>
        <v>60</v>
      </c>
      <c r="Q24" s="69">
        <f t="shared" si="13"/>
        <v>99</v>
      </c>
      <c r="R24" s="69">
        <f t="shared" si="14"/>
        <v>60</v>
      </c>
      <c r="S24" s="69">
        <f t="shared" si="15"/>
        <v>80</v>
      </c>
      <c r="T24" s="70">
        <f t="shared" si="16"/>
        <v>1257</v>
      </c>
      <c r="U24" s="71">
        <f t="shared" si="17"/>
        <v>78.5625</v>
      </c>
      <c r="V24" s="72">
        <f t="shared" si="18"/>
        <v>21</v>
      </c>
      <c r="W24" s="73" t="s">
        <v>805</v>
      </c>
      <c r="X24" s="73" t="s">
        <v>805</v>
      </c>
      <c r="Y24" s="73" t="s">
        <v>806</v>
      </c>
      <c r="Z24" s="74"/>
      <c r="AA24" s="74"/>
      <c r="AB24" s="74"/>
      <c r="AC24" s="75"/>
      <c r="AE24" s="51">
        <v>25</v>
      </c>
      <c r="AF24" s="51">
        <v>25260069</v>
      </c>
      <c r="AG24" s="136" t="s">
        <v>714</v>
      </c>
      <c r="AH24" s="68">
        <v>100</v>
      </c>
      <c r="AI24" s="68">
        <v>95</v>
      </c>
      <c r="AJ24" s="68">
        <v>76</v>
      </c>
      <c r="AK24" s="68">
        <v>75</v>
      </c>
      <c r="AL24" s="68">
        <v>100</v>
      </c>
      <c r="AM24" s="68">
        <v>90</v>
      </c>
      <c r="AN24" s="68">
        <v>98</v>
      </c>
      <c r="AO24" s="68">
        <v>60</v>
      </c>
      <c r="AP24" s="68">
        <v>50</v>
      </c>
      <c r="AQ24" s="76">
        <v>70</v>
      </c>
      <c r="AR24" s="76">
        <v>76</v>
      </c>
      <c r="AS24" s="76">
        <v>70</v>
      </c>
      <c r="AT24" s="76">
        <v>60</v>
      </c>
      <c r="AU24" s="76">
        <v>100</v>
      </c>
      <c r="AV24" s="76">
        <v>60</v>
      </c>
      <c r="AW24" s="76">
        <v>80</v>
      </c>
      <c r="AX24" s="70">
        <f t="shared" si="19"/>
        <v>1260</v>
      </c>
      <c r="AY24" s="71">
        <f t="shared" si="20"/>
        <v>78.75</v>
      </c>
      <c r="AZ24" s="72" t="e">
        <f t="shared" si="21"/>
        <v>#N/A</v>
      </c>
      <c r="BA24" s="73"/>
      <c r="BB24" s="73"/>
      <c r="BC24" s="73"/>
      <c r="BD24" s="74"/>
      <c r="BE24" s="74"/>
      <c r="BF24" s="74"/>
      <c r="BG24" s="75"/>
    </row>
    <row r="25" spans="1:59" ht="18.600000000000001" customHeight="1">
      <c r="A25" s="51">
        <v>22</v>
      </c>
      <c r="B25" s="51">
        <v>25260074</v>
      </c>
      <c r="C25" s="136" t="s">
        <v>694</v>
      </c>
      <c r="D25" s="68">
        <f t="shared" si="0"/>
        <v>60</v>
      </c>
      <c r="E25" s="68">
        <f t="shared" si="1"/>
        <v>99</v>
      </c>
      <c r="F25" s="68">
        <f t="shared" si="2"/>
        <v>88</v>
      </c>
      <c r="G25" s="68">
        <f t="shared" si="3"/>
        <v>99</v>
      </c>
      <c r="H25" s="68">
        <f t="shared" si="4"/>
        <v>92</v>
      </c>
      <c r="I25" s="68">
        <f t="shared" si="5"/>
        <v>50</v>
      </c>
      <c r="J25" s="68">
        <f t="shared" si="6"/>
        <v>99</v>
      </c>
      <c r="K25" s="68">
        <f t="shared" si="7"/>
        <v>65</v>
      </c>
      <c r="L25" s="68">
        <f t="shared" si="8"/>
        <v>50</v>
      </c>
      <c r="M25" s="69">
        <f t="shared" si="9"/>
        <v>99</v>
      </c>
      <c r="N25" s="69">
        <f t="shared" si="10"/>
        <v>88</v>
      </c>
      <c r="O25" s="69">
        <f t="shared" si="11"/>
        <v>70</v>
      </c>
      <c r="P25" s="69">
        <f t="shared" si="12"/>
        <v>65</v>
      </c>
      <c r="Q25" s="69">
        <f t="shared" si="13"/>
        <v>99</v>
      </c>
      <c r="R25" s="69">
        <f t="shared" si="14"/>
        <v>60</v>
      </c>
      <c r="S25" s="69">
        <f t="shared" si="15"/>
        <v>65</v>
      </c>
      <c r="T25" s="70">
        <f t="shared" si="16"/>
        <v>1248</v>
      </c>
      <c r="U25" s="71">
        <f t="shared" si="17"/>
        <v>78</v>
      </c>
      <c r="V25" s="72">
        <f t="shared" si="18"/>
        <v>22</v>
      </c>
      <c r="W25" s="73" t="s">
        <v>805</v>
      </c>
      <c r="X25" s="73" t="s">
        <v>805</v>
      </c>
      <c r="Y25" s="73" t="s">
        <v>805</v>
      </c>
      <c r="Z25" s="74"/>
      <c r="AA25" s="74"/>
      <c r="AB25" s="74"/>
      <c r="AC25" s="75"/>
      <c r="AE25" s="51">
        <v>5</v>
      </c>
      <c r="AF25" s="51">
        <v>25260074</v>
      </c>
      <c r="AG25" s="136" t="s">
        <v>694</v>
      </c>
      <c r="AH25" s="68">
        <v>60</v>
      </c>
      <c r="AI25" s="68">
        <v>100</v>
      </c>
      <c r="AJ25" s="68">
        <v>88</v>
      </c>
      <c r="AK25" s="68">
        <v>100</v>
      </c>
      <c r="AL25" s="68">
        <v>92</v>
      </c>
      <c r="AM25" s="68">
        <v>50</v>
      </c>
      <c r="AN25" s="68">
        <v>100</v>
      </c>
      <c r="AO25" s="68">
        <v>65</v>
      </c>
      <c r="AP25" s="68">
        <v>50</v>
      </c>
      <c r="AQ25" s="76">
        <v>100</v>
      </c>
      <c r="AR25" s="76">
        <v>88</v>
      </c>
      <c r="AS25" s="76">
        <v>70</v>
      </c>
      <c r="AT25" s="76">
        <v>65</v>
      </c>
      <c r="AU25" s="76">
        <v>100</v>
      </c>
      <c r="AV25" s="76">
        <v>60</v>
      </c>
      <c r="AW25" s="76">
        <v>65</v>
      </c>
      <c r="AX25" s="70">
        <f t="shared" si="19"/>
        <v>1253</v>
      </c>
      <c r="AY25" s="71">
        <f t="shared" si="20"/>
        <v>78.3125</v>
      </c>
      <c r="AZ25" s="72" t="e">
        <f t="shared" si="21"/>
        <v>#N/A</v>
      </c>
      <c r="BA25" s="73"/>
      <c r="BB25" s="73"/>
      <c r="BC25" s="73"/>
      <c r="BD25" s="74"/>
      <c r="BE25" s="74"/>
      <c r="BF25" s="74"/>
      <c r="BG25" s="75"/>
    </row>
    <row r="26" spans="1:59" ht="18.600000000000001" customHeight="1">
      <c r="A26" s="51">
        <v>23</v>
      </c>
      <c r="B26" s="51">
        <v>25260016</v>
      </c>
      <c r="C26" s="136" t="s">
        <v>693</v>
      </c>
      <c r="D26" s="68">
        <f t="shared" si="0"/>
        <v>60</v>
      </c>
      <c r="E26" s="68">
        <f t="shared" si="1"/>
        <v>65</v>
      </c>
      <c r="F26" s="68">
        <f t="shared" si="2"/>
        <v>60</v>
      </c>
      <c r="G26" s="68">
        <f t="shared" si="3"/>
        <v>65</v>
      </c>
      <c r="H26" s="68">
        <f t="shared" si="4"/>
        <v>96</v>
      </c>
      <c r="I26" s="68">
        <f t="shared" si="5"/>
        <v>50</v>
      </c>
      <c r="J26" s="68">
        <f t="shared" si="6"/>
        <v>99</v>
      </c>
      <c r="K26" s="68">
        <f t="shared" si="7"/>
        <v>50</v>
      </c>
      <c r="L26" s="68">
        <f t="shared" si="8"/>
        <v>50</v>
      </c>
      <c r="M26" s="69">
        <f t="shared" si="9"/>
        <v>70</v>
      </c>
      <c r="N26" s="69">
        <f t="shared" si="10"/>
        <v>60</v>
      </c>
      <c r="O26" s="69">
        <f t="shared" si="11"/>
        <v>75</v>
      </c>
      <c r="P26" s="69">
        <f t="shared" si="12"/>
        <v>60</v>
      </c>
      <c r="Q26" s="69">
        <f t="shared" si="13"/>
        <v>99</v>
      </c>
      <c r="R26" s="69">
        <f t="shared" si="14"/>
        <v>60</v>
      </c>
      <c r="S26" s="69">
        <f t="shared" si="15"/>
        <v>75</v>
      </c>
      <c r="T26" s="70">
        <f t="shared" si="16"/>
        <v>1094</v>
      </c>
      <c r="U26" s="71">
        <f t="shared" si="17"/>
        <v>68.375</v>
      </c>
      <c r="V26" s="72">
        <f t="shared" si="18"/>
        <v>23</v>
      </c>
      <c r="W26" s="73" t="s">
        <v>805</v>
      </c>
      <c r="X26" s="73" t="s">
        <v>805</v>
      </c>
      <c r="Y26" s="73" t="s">
        <v>805</v>
      </c>
      <c r="Z26" s="74"/>
      <c r="AA26" s="74"/>
      <c r="AB26" s="74"/>
      <c r="AC26" s="75"/>
      <c r="AE26" s="51">
        <v>3</v>
      </c>
      <c r="AF26" s="51">
        <v>25260016</v>
      </c>
      <c r="AG26" s="136" t="s">
        <v>693</v>
      </c>
      <c r="AH26" s="68">
        <v>60</v>
      </c>
      <c r="AI26" s="68">
        <v>65</v>
      </c>
      <c r="AJ26" s="68">
        <v>60</v>
      </c>
      <c r="AK26" s="68">
        <v>65</v>
      </c>
      <c r="AL26" s="68">
        <v>96</v>
      </c>
      <c r="AM26" s="68">
        <v>50</v>
      </c>
      <c r="AN26" s="68">
        <v>100</v>
      </c>
      <c r="AO26" s="68">
        <v>50</v>
      </c>
      <c r="AP26" s="68">
        <v>50</v>
      </c>
      <c r="AQ26" s="76">
        <v>70</v>
      </c>
      <c r="AR26" s="76">
        <v>60</v>
      </c>
      <c r="AS26" s="76">
        <v>75</v>
      </c>
      <c r="AT26" s="76">
        <v>60</v>
      </c>
      <c r="AU26" s="76">
        <v>100</v>
      </c>
      <c r="AV26" s="76">
        <v>60</v>
      </c>
      <c r="AW26" s="76">
        <v>75</v>
      </c>
      <c r="AX26" s="70">
        <f t="shared" si="19"/>
        <v>1096</v>
      </c>
      <c r="AY26" s="71">
        <f t="shared" si="20"/>
        <v>68.5</v>
      </c>
      <c r="AZ26" s="72" t="e">
        <f t="shared" si="21"/>
        <v>#N/A</v>
      </c>
      <c r="BA26" s="73"/>
      <c r="BB26" s="73"/>
      <c r="BC26" s="73"/>
      <c r="BD26" s="74"/>
      <c r="BE26" s="74"/>
      <c r="BF26" s="74"/>
      <c r="BG26" s="75"/>
    </row>
    <row r="27" spans="1:59" ht="18.600000000000001" customHeight="1">
      <c r="A27" s="51">
        <v>24</v>
      </c>
      <c r="B27" s="51">
        <v>25260132</v>
      </c>
      <c r="C27" s="136" t="s">
        <v>700</v>
      </c>
      <c r="D27" s="68">
        <f t="shared" si="0"/>
        <v>60</v>
      </c>
      <c r="E27" s="68">
        <f t="shared" si="1"/>
        <v>75</v>
      </c>
      <c r="F27" s="68">
        <f t="shared" si="2"/>
        <v>56</v>
      </c>
      <c r="G27" s="68">
        <f t="shared" si="3"/>
        <v>80</v>
      </c>
      <c r="H27" s="68">
        <f t="shared" si="4"/>
        <v>96</v>
      </c>
      <c r="I27" s="68">
        <f t="shared" si="5"/>
        <v>50</v>
      </c>
      <c r="J27" s="68">
        <f t="shared" si="6"/>
        <v>99</v>
      </c>
      <c r="K27" s="68">
        <f t="shared" si="7"/>
        <v>40</v>
      </c>
      <c r="L27" s="68">
        <f t="shared" si="8"/>
        <v>50</v>
      </c>
      <c r="M27" s="69">
        <f t="shared" si="9"/>
        <v>70</v>
      </c>
      <c r="N27" s="69">
        <f t="shared" si="10"/>
        <v>56</v>
      </c>
      <c r="O27" s="69">
        <f t="shared" si="11"/>
        <v>65</v>
      </c>
      <c r="P27" s="69">
        <f t="shared" si="12"/>
        <v>50</v>
      </c>
      <c r="Q27" s="69">
        <f t="shared" si="13"/>
        <v>99</v>
      </c>
      <c r="R27" s="69">
        <f t="shared" si="14"/>
        <v>60</v>
      </c>
      <c r="S27" s="69">
        <f t="shared" si="15"/>
        <v>80</v>
      </c>
      <c r="T27" s="70">
        <f t="shared" si="16"/>
        <v>1086</v>
      </c>
      <c r="U27" s="71">
        <f t="shared" si="17"/>
        <v>67.875</v>
      </c>
      <c r="V27" s="72">
        <f t="shared" si="18"/>
        <v>24</v>
      </c>
      <c r="W27" s="73" t="s">
        <v>805</v>
      </c>
      <c r="X27" s="73" t="s">
        <v>805</v>
      </c>
      <c r="Y27" s="73" t="s">
        <v>805</v>
      </c>
      <c r="Z27" s="74"/>
      <c r="AA27" s="74"/>
      <c r="AB27" s="74"/>
      <c r="AC27" s="75"/>
      <c r="AE27" s="51">
        <v>11</v>
      </c>
      <c r="AF27" s="51">
        <v>25260132</v>
      </c>
      <c r="AG27" s="136" t="s">
        <v>700</v>
      </c>
      <c r="AH27" s="68">
        <v>60</v>
      </c>
      <c r="AI27" s="68">
        <v>75</v>
      </c>
      <c r="AJ27" s="68">
        <v>56</v>
      </c>
      <c r="AK27" s="68">
        <v>80</v>
      </c>
      <c r="AL27" s="68">
        <v>96</v>
      </c>
      <c r="AM27" s="68">
        <v>50</v>
      </c>
      <c r="AN27" s="68">
        <v>100</v>
      </c>
      <c r="AO27" s="68">
        <v>40</v>
      </c>
      <c r="AP27" s="68">
        <v>50</v>
      </c>
      <c r="AQ27" s="76">
        <v>70</v>
      </c>
      <c r="AR27" s="76">
        <v>56</v>
      </c>
      <c r="AS27" s="76">
        <v>65</v>
      </c>
      <c r="AT27" s="76">
        <v>50</v>
      </c>
      <c r="AU27" s="76">
        <v>100</v>
      </c>
      <c r="AV27" s="76">
        <v>60</v>
      </c>
      <c r="AW27" s="76">
        <v>80</v>
      </c>
      <c r="AX27" s="70">
        <f t="shared" si="19"/>
        <v>1088</v>
      </c>
      <c r="AY27" s="71">
        <f t="shared" si="20"/>
        <v>68</v>
      </c>
      <c r="AZ27" s="72" t="e">
        <f t="shared" si="21"/>
        <v>#N/A</v>
      </c>
      <c r="BA27" s="73"/>
      <c r="BB27" s="73"/>
      <c r="BC27" s="73"/>
      <c r="BD27" s="74"/>
      <c r="BE27" s="74"/>
      <c r="BF27" s="74"/>
      <c r="BG27" s="75"/>
    </row>
    <row r="28" spans="1:59">
      <c r="A28" s="267" t="s">
        <v>202</v>
      </c>
      <c r="B28" s="268"/>
      <c r="C28" s="269"/>
      <c r="D28" s="72">
        <f t="shared" ref="D28:S28" si="22">SUM(D4:D27)</f>
        <v>1980</v>
      </c>
      <c r="E28" s="72">
        <f t="shared" si="22"/>
        <v>2286</v>
      </c>
      <c r="F28" s="72">
        <f t="shared" si="22"/>
        <v>2038</v>
      </c>
      <c r="G28" s="72">
        <f t="shared" si="22"/>
        <v>2196</v>
      </c>
      <c r="H28" s="72">
        <f t="shared" si="22"/>
        <v>2236</v>
      </c>
      <c r="I28" s="72">
        <f t="shared" si="22"/>
        <v>1871</v>
      </c>
      <c r="J28" s="72">
        <f t="shared" si="22"/>
        <v>2375</v>
      </c>
      <c r="K28" s="72">
        <f t="shared" si="22"/>
        <v>1632</v>
      </c>
      <c r="L28" s="72">
        <f t="shared" si="22"/>
        <v>1922</v>
      </c>
      <c r="M28" s="72">
        <f t="shared" si="22"/>
        <v>2202</v>
      </c>
      <c r="N28" s="72">
        <f t="shared" si="22"/>
        <v>2044</v>
      </c>
      <c r="O28" s="72">
        <f t="shared" si="22"/>
        <v>2032</v>
      </c>
      <c r="P28" s="72">
        <f t="shared" si="22"/>
        <v>1722</v>
      </c>
      <c r="Q28" s="72">
        <f t="shared" si="22"/>
        <v>2376</v>
      </c>
      <c r="R28" s="72">
        <f t="shared" si="22"/>
        <v>1790</v>
      </c>
      <c r="S28" s="72">
        <f t="shared" si="22"/>
        <v>2114</v>
      </c>
      <c r="T28" s="81"/>
      <c r="U28" s="81"/>
      <c r="V28" s="81"/>
      <c r="W28" s="81"/>
      <c r="X28" s="81"/>
      <c r="Y28" s="81"/>
      <c r="Z28" s="81"/>
      <c r="AA28" s="81"/>
      <c r="AB28" s="81"/>
      <c r="AC28" s="82"/>
      <c r="AE28" s="267" t="s">
        <v>202</v>
      </c>
      <c r="AF28" s="268"/>
      <c r="AG28" s="269"/>
      <c r="AH28" s="72">
        <f t="shared" ref="AH28:AW28" si="23">SUM(AH4:AH27)</f>
        <v>1990</v>
      </c>
      <c r="AI28" s="72">
        <f t="shared" si="23"/>
        <v>2303</v>
      </c>
      <c r="AJ28" s="72">
        <f t="shared" si="23"/>
        <v>2042</v>
      </c>
      <c r="AK28" s="72">
        <f t="shared" si="23"/>
        <v>2206</v>
      </c>
      <c r="AL28" s="72">
        <f t="shared" si="23"/>
        <v>2240</v>
      </c>
      <c r="AM28" s="72">
        <f t="shared" si="23"/>
        <v>1880</v>
      </c>
      <c r="AN28" s="72">
        <f t="shared" si="23"/>
        <v>2398</v>
      </c>
      <c r="AO28" s="72">
        <f t="shared" si="23"/>
        <v>1633</v>
      </c>
      <c r="AP28" s="72">
        <f t="shared" si="23"/>
        <v>1930</v>
      </c>
      <c r="AQ28" s="72">
        <f t="shared" si="23"/>
        <v>2220</v>
      </c>
      <c r="AR28" s="72">
        <f t="shared" si="23"/>
        <v>2048</v>
      </c>
      <c r="AS28" s="72">
        <f t="shared" si="23"/>
        <v>2037</v>
      </c>
      <c r="AT28" s="72">
        <f t="shared" si="23"/>
        <v>1723</v>
      </c>
      <c r="AU28" s="72">
        <f t="shared" si="23"/>
        <v>2400</v>
      </c>
      <c r="AV28" s="72">
        <f t="shared" si="23"/>
        <v>1790</v>
      </c>
      <c r="AW28" s="72">
        <f t="shared" si="23"/>
        <v>2114</v>
      </c>
      <c r="AX28" s="81"/>
      <c r="AY28" s="81"/>
      <c r="AZ28" s="81"/>
      <c r="BA28" s="81"/>
      <c r="BB28" s="81"/>
      <c r="BC28" s="81"/>
      <c r="BD28" s="81"/>
      <c r="BE28" s="81"/>
      <c r="BF28" s="81"/>
      <c r="BG28" s="82"/>
    </row>
    <row r="29" spans="1:59">
      <c r="A29" s="267" t="s">
        <v>203</v>
      </c>
      <c r="B29" s="268"/>
      <c r="C29" s="269"/>
      <c r="D29" s="72">
        <f t="shared" ref="D29:S29" si="24">AVERAGE(D4:D27)</f>
        <v>82.5</v>
      </c>
      <c r="E29" s="72">
        <f t="shared" si="24"/>
        <v>95.25</v>
      </c>
      <c r="F29" s="72">
        <f t="shared" si="24"/>
        <v>84.916666666666671</v>
      </c>
      <c r="G29" s="72">
        <f t="shared" si="24"/>
        <v>91.5</v>
      </c>
      <c r="H29" s="72">
        <f t="shared" si="24"/>
        <v>93.166666666666671</v>
      </c>
      <c r="I29" s="72">
        <f t="shared" si="24"/>
        <v>77.958333333333329</v>
      </c>
      <c r="J29" s="72">
        <f t="shared" si="24"/>
        <v>98.958333333333329</v>
      </c>
      <c r="K29" s="72">
        <f t="shared" si="24"/>
        <v>68</v>
      </c>
      <c r="L29" s="72">
        <f t="shared" si="24"/>
        <v>80.083333333333329</v>
      </c>
      <c r="M29" s="72">
        <f t="shared" si="24"/>
        <v>91.75</v>
      </c>
      <c r="N29" s="72">
        <f t="shared" si="24"/>
        <v>85.166666666666671</v>
      </c>
      <c r="O29" s="72">
        <f t="shared" si="24"/>
        <v>84.666666666666671</v>
      </c>
      <c r="P29" s="72">
        <f t="shared" si="24"/>
        <v>71.75</v>
      </c>
      <c r="Q29" s="72">
        <f t="shared" si="24"/>
        <v>99</v>
      </c>
      <c r="R29" s="72">
        <f t="shared" si="24"/>
        <v>74.583333333333329</v>
      </c>
      <c r="S29" s="72">
        <f t="shared" si="24"/>
        <v>88.083333333333329</v>
      </c>
      <c r="T29" s="81"/>
      <c r="U29" s="81"/>
      <c r="V29" s="81"/>
      <c r="W29" s="81"/>
      <c r="X29" s="81"/>
      <c r="Y29" s="81"/>
      <c r="Z29" s="81"/>
      <c r="AA29" s="81"/>
      <c r="AB29" s="81"/>
      <c r="AC29" s="82"/>
      <c r="AE29" s="267" t="s">
        <v>203</v>
      </c>
      <c r="AF29" s="268"/>
      <c r="AG29" s="269"/>
      <c r="AH29" s="72">
        <f t="shared" ref="AH29:AW29" si="25">AVERAGE(AH4:AH27)</f>
        <v>82.916666666666671</v>
      </c>
      <c r="AI29" s="72">
        <f t="shared" si="25"/>
        <v>95.958333333333329</v>
      </c>
      <c r="AJ29" s="72">
        <f t="shared" si="25"/>
        <v>85.083333333333329</v>
      </c>
      <c r="AK29" s="72">
        <f t="shared" si="25"/>
        <v>91.916666666666671</v>
      </c>
      <c r="AL29" s="72">
        <f t="shared" si="25"/>
        <v>93.333333333333329</v>
      </c>
      <c r="AM29" s="72">
        <f t="shared" si="25"/>
        <v>78.333333333333329</v>
      </c>
      <c r="AN29" s="72">
        <f t="shared" si="25"/>
        <v>99.916666666666671</v>
      </c>
      <c r="AO29" s="72">
        <f t="shared" si="25"/>
        <v>68.041666666666671</v>
      </c>
      <c r="AP29" s="72">
        <f t="shared" si="25"/>
        <v>80.416666666666671</v>
      </c>
      <c r="AQ29" s="72">
        <f t="shared" si="25"/>
        <v>92.5</v>
      </c>
      <c r="AR29" s="72">
        <f t="shared" si="25"/>
        <v>85.333333333333329</v>
      </c>
      <c r="AS29" s="72">
        <f t="shared" si="25"/>
        <v>84.875</v>
      </c>
      <c r="AT29" s="72">
        <f t="shared" si="25"/>
        <v>71.791666666666671</v>
      </c>
      <c r="AU29" s="72">
        <f t="shared" si="25"/>
        <v>100</v>
      </c>
      <c r="AV29" s="72">
        <f t="shared" si="25"/>
        <v>74.583333333333329</v>
      </c>
      <c r="AW29" s="72">
        <f t="shared" si="25"/>
        <v>88.083333333333329</v>
      </c>
      <c r="AX29" s="81"/>
      <c r="AY29" s="81"/>
      <c r="AZ29" s="81"/>
      <c r="BA29" s="81"/>
      <c r="BB29" s="81"/>
      <c r="BC29" s="81"/>
      <c r="BD29" s="81"/>
      <c r="BE29" s="81"/>
      <c r="BF29" s="81"/>
      <c r="BG29" s="82"/>
    </row>
    <row r="30" spans="1:59" s="83" customFormat="1">
      <c r="A30" s="83">
        <v>1</v>
      </c>
      <c r="B30" s="83">
        <v>2</v>
      </c>
      <c r="C30" s="83">
        <v>3</v>
      </c>
      <c r="D30" s="83">
        <v>4</v>
      </c>
      <c r="E30" s="83">
        <v>5</v>
      </c>
      <c r="F30" s="83">
        <v>6</v>
      </c>
      <c r="G30" s="83">
        <v>7</v>
      </c>
      <c r="H30" s="83">
        <v>8</v>
      </c>
      <c r="I30" s="83">
        <v>9</v>
      </c>
      <c r="J30" s="83">
        <v>10</v>
      </c>
      <c r="K30" s="83">
        <v>11</v>
      </c>
      <c r="L30" s="83">
        <v>12</v>
      </c>
      <c r="M30" s="83">
        <v>13</v>
      </c>
      <c r="N30" s="83">
        <v>14</v>
      </c>
      <c r="O30" s="83">
        <v>15</v>
      </c>
      <c r="P30" s="83">
        <v>16</v>
      </c>
      <c r="Q30" s="83">
        <v>17</v>
      </c>
      <c r="R30" s="83">
        <v>18</v>
      </c>
      <c r="S30" s="83">
        <v>19</v>
      </c>
      <c r="T30" s="83">
        <v>20</v>
      </c>
      <c r="U30" s="83">
        <v>21</v>
      </c>
      <c r="V30" s="83">
        <v>22</v>
      </c>
      <c r="W30" s="83">
        <v>23</v>
      </c>
      <c r="X30" s="83">
        <v>24</v>
      </c>
      <c r="Y30" s="83">
        <v>25</v>
      </c>
      <c r="Z30" s="83">
        <v>26</v>
      </c>
      <c r="AA30" s="83">
        <v>27</v>
      </c>
      <c r="AB30" s="83">
        <v>28</v>
      </c>
      <c r="AE30" s="83">
        <v>1</v>
      </c>
      <c r="AF30" s="83">
        <v>2</v>
      </c>
      <c r="AG30" s="83">
        <v>3</v>
      </c>
      <c r="AH30" s="83">
        <v>4</v>
      </c>
      <c r="AI30" s="83">
        <v>5</v>
      </c>
      <c r="AJ30" s="83">
        <v>6</v>
      </c>
      <c r="AK30" s="83">
        <v>7</v>
      </c>
      <c r="AL30" s="83">
        <v>8</v>
      </c>
      <c r="AM30" s="83">
        <v>9</v>
      </c>
      <c r="AO30" s="83">
        <v>10</v>
      </c>
      <c r="AQ30" s="83">
        <v>11</v>
      </c>
      <c r="AR30" s="83">
        <v>12</v>
      </c>
      <c r="AS30" s="83">
        <v>13</v>
      </c>
      <c r="AT30" s="83">
        <v>14</v>
      </c>
      <c r="AU30" s="83">
        <v>15</v>
      </c>
      <c r="AW30" s="83">
        <v>16</v>
      </c>
      <c r="AX30" s="83">
        <v>17</v>
      </c>
      <c r="AY30" s="83">
        <v>18</v>
      </c>
      <c r="AZ30" s="83">
        <v>19</v>
      </c>
      <c r="BA30" s="83">
        <v>20</v>
      </c>
      <c r="BB30" s="83">
        <v>21</v>
      </c>
      <c r="BC30" s="83">
        <v>22</v>
      </c>
      <c r="BD30" s="83">
        <v>23</v>
      </c>
      <c r="BE30" s="83">
        <v>24</v>
      </c>
      <c r="BF30" s="83">
        <v>25</v>
      </c>
    </row>
    <row r="31" spans="1:59" ht="23.25">
      <c r="A31" s="84" t="s">
        <v>204</v>
      </c>
      <c r="C31" s="85"/>
    </row>
    <row r="32" spans="1:59">
      <c r="A32" s="86"/>
      <c r="B32" s="86"/>
      <c r="C32" s="60" t="s">
        <v>205</v>
      </c>
    </row>
    <row r="33" spans="1:3">
      <c r="A33" s="87"/>
      <c r="B33" s="87"/>
      <c r="C33" s="60" t="s">
        <v>206</v>
      </c>
    </row>
    <row r="34" spans="1:3">
      <c r="A34" s="88"/>
      <c r="B34" s="88"/>
      <c r="C34" s="60" t="s">
        <v>207</v>
      </c>
    </row>
    <row r="35" spans="1:3">
      <c r="A35" s="89"/>
      <c r="B35" s="89"/>
      <c r="C35" s="60" t="s">
        <v>208</v>
      </c>
    </row>
  </sheetData>
  <sortState xmlns:xlrd2="http://schemas.microsoft.com/office/spreadsheetml/2017/richdata2" ref="B4:BG27">
    <sortCondition ref="V4:V27"/>
  </sortState>
  <mergeCells count="34">
    <mergeCell ref="A28:C28"/>
    <mergeCell ref="AE28:AG28"/>
    <mergeCell ref="A29:C29"/>
    <mergeCell ref="AE29:AG29"/>
    <mergeCell ref="BB2:BB3"/>
    <mergeCell ref="AH2:AO2"/>
    <mergeCell ref="AQ2:AW2"/>
    <mergeCell ref="AX2:AX3"/>
    <mergeCell ref="AY2:AY3"/>
    <mergeCell ref="AZ2:AZ3"/>
    <mergeCell ref="BA2:BA3"/>
    <mergeCell ref="AA2:AA3"/>
    <mergeCell ref="AB2:AB3"/>
    <mergeCell ref="AC2:AC3"/>
    <mergeCell ref="AE2:AE3"/>
    <mergeCell ref="AF2:AF3"/>
    <mergeCell ref="BC2:BC3"/>
    <mergeCell ref="BD2:BD3"/>
    <mergeCell ref="BE2:BE3"/>
    <mergeCell ref="BF2:BF3"/>
    <mergeCell ref="BG2:BG3"/>
    <mergeCell ref="AG2:AG3"/>
    <mergeCell ref="U2:U3"/>
    <mergeCell ref="V2:V3"/>
    <mergeCell ref="W2:W3"/>
    <mergeCell ref="X2:X3"/>
    <mergeCell ref="Y2:Y3"/>
    <mergeCell ref="Z2:Z3"/>
    <mergeCell ref="T2:T3"/>
    <mergeCell ref="A2:A3"/>
    <mergeCell ref="B2:B3"/>
    <mergeCell ref="C2:C3"/>
    <mergeCell ref="D2:L2"/>
    <mergeCell ref="M2:S2"/>
  </mergeCells>
  <conditionalFormatting sqref="B17 B12:B13 B19">
    <cfRule type="duplicateValues" dxfId="17" priority="6"/>
  </conditionalFormatting>
  <conditionalFormatting sqref="D4:S27 AH4:AW27">
    <cfRule type="cellIs" dxfId="16" priority="4" operator="lessThanOrEqual">
      <formula>59</formula>
    </cfRule>
  </conditionalFormatting>
  <conditionalFormatting sqref="U4:U27 AY4:AY27">
    <cfRule type="cellIs" dxfId="15" priority="5" operator="lessThan">
      <formula>59</formula>
    </cfRule>
  </conditionalFormatting>
  <conditionalFormatting sqref="V4:V27">
    <cfRule type="duplicateValues" dxfId="14" priority="202"/>
  </conditionalFormatting>
  <conditionalFormatting sqref="AF17 AF12:AF13 AF19">
    <cfRule type="duplicateValues" dxfId="13" priority="3"/>
  </conditionalFormatting>
  <conditionalFormatting sqref="AZ4:AZ27">
    <cfRule type="duplicateValues" dxfId="12" priority="210"/>
  </conditionalFormatting>
  <pageMargins left="0.5" right="0.12" top="0.62" bottom="0.22" header="0.31496062992126" footer="0.99"/>
  <pageSetup paperSize="10000" scale="80" orientation="landscape" horizontalDpi="203" verticalDpi="203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AC881-900F-41C1-8C2E-609C9406B74A}">
  <sheetPr codeName="Sheet22">
    <tabColor theme="1" tint="0.499984740745262"/>
  </sheetPr>
  <dimension ref="A1:BC35"/>
  <sheetViews>
    <sheetView zoomScale="55" zoomScaleNormal="55" workbookViewId="0">
      <selection activeCell="AF1" sqref="AF1:BC1048576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17" width="5.42578125" style="60" customWidth="1"/>
    <col min="18" max="18" width="7.140625" style="60" customWidth="1"/>
    <col min="19" max="19" width="7.85546875" style="60" customWidth="1"/>
    <col min="20" max="20" width="7.140625" style="60" customWidth="1"/>
    <col min="21" max="23" width="5.42578125" style="60" customWidth="1"/>
    <col min="24" max="27" width="4.28515625" style="60" customWidth="1"/>
    <col min="28" max="30" width="9.140625" style="60"/>
    <col min="31" max="31" width="29.85546875" style="60" bestFit="1" customWidth="1"/>
    <col min="32" max="55" width="6.85546875" style="60" customWidth="1"/>
    <col min="56" max="16384" width="9.140625" style="60"/>
  </cols>
  <sheetData>
    <row r="1" spans="1:55" ht="23.25">
      <c r="A1" s="85" t="s">
        <v>715</v>
      </c>
      <c r="AC1" s="85" t="s">
        <v>715</v>
      </c>
    </row>
    <row r="2" spans="1:55" ht="15.75" customHeight="1">
      <c r="A2" s="443" t="s">
        <v>151</v>
      </c>
      <c r="B2" s="443" t="s">
        <v>152</v>
      </c>
      <c r="C2" s="443" t="s">
        <v>0</v>
      </c>
      <c r="D2" s="444" t="s">
        <v>153</v>
      </c>
      <c r="E2" s="444"/>
      <c r="F2" s="444"/>
      <c r="G2" s="444"/>
      <c r="H2" s="444"/>
      <c r="I2" s="444"/>
      <c r="J2" s="444"/>
      <c r="K2" s="444"/>
      <c r="L2" s="444"/>
      <c r="M2" s="445" t="s">
        <v>316</v>
      </c>
      <c r="N2" s="445"/>
      <c r="O2" s="445"/>
      <c r="P2" s="445"/>
      <c r="Q2" s="445"/>
      <c r="R2" s="442" t="s">
        <v>155</v>
      </c>
      <c r="S2" s="442" t="s">
        <v>156</v>
      </c>
      <c r="T2" s="442" t="s">
        <v>157</v>
      </c>
      <c r="U2" s="446" t="s">
        <v>158</v>
      </c>
      <c r="V2" s="446" t="s">
        <v>159</v>
      </c>
      <c r="W2" s="446" t="s">
        <v>160</v>
      </c>
      <c r="X2" s="280" t="s">
        <v>161</v>
      </c>
      <c r="Y2" s="280" t="s">
        <v>162</v>
      </c>
      <c r="Z2" s="280" t="s">
        <v>163</v>
      </c>
      <c r="AA2" s="280" t="s">
        <v>164</v>
      </c>
      <c r="AC2" s="281" t="s">
        <v>151</v>
      </c>
      <c r="AD2" s="281" t="s">
        <v>152</v>
      </c>
      <c r="AE2" s="281" t="s">
        <v>0</v>
      </c>
      <c r="AF2" s="444" t="s">
        <v>153</v>
      </c>
      <c r="AG2" s="444"/>
      <c r="AH2" s="444"/>
      <c r="AI2" s="444"/>
      <c r="AJ2" s="444"/>
      <c r="AK2" s="444"/>
      <c r="AL2" s="444"/>
      <c r="AM2" s="444"/>
      <c r="AN2" s="137"/>
      <c r="AO2" s="447" t="s">
        <v>316</v>
      </c>
      <c r="AP2" s="448"/>
      <c r="AQ2" s="448"/>
      <c r="AR2" s="448"/>
      <c r="AS2" s="448"/>
      <c r="AT2" s="276" t="s">
        <v>155</v>
      </c>
      <c r="AU2" s="276" t="s">
        <v>156</v>
      </c>
      <c r="AV2" s="276" t="s">
        <v>157</v>
      </c>
      <c r="AW2" s="270" t="s">
        <v>158</v>
      </c>
      <c r="AX2" s="270" t="s">
        <v>159</v>
      </c>
      <c r="AY2" s="270" t="s">
        <v>160</v>
      </c>
      <c r="AZ2" s="278" t="s">
        <v>161</v>
      </c>
      <c r="BA2" s="278" t="s">
        <v>162</v>
      </c>
      <c r="BB2" s="278" t="s">
        <v>163</v>
      </c>
      <c r="BC2" s="280" t="s">
        <v>164</v>
      </c>
    </row>
    <row r="3" spans="1:55" ht="61.5">
      <c r="A3" s="443"/>
      <c r="B3" s="443"/>
      <c r="C3" s="443"/>
      <c r="D3" s="63" t="s">
        <v>118</v>
      </c>
      <c r="E3" s="63" t="s">
        <v>55</v>
      </c>
      <c r="F3" s="63" t="s">
        <v>168</v>
      </c>
      <c r="G3" s="63" t="s">
        <v>126</v>
      </c>
      <c r="H3" s="63" t="s">
        <v>128</v>
      </c>
      <c r="I3" s="63" t="s">
        <v>96</v>
      </c>
      <c r="J3" s="63" t="s">
        <v>22</v>
      </c>
      <c r="K3" s="63" t="s">
        <v>139</v>
      </c>
      <c r="L3" s="63" t="s">
        <v>400</v>
      </c>
      <c r="M3" s="64" t="s">
        <v>168</v>
      </c>
      <c r="N3" s="64" t="s">
        <v>137</v>
      </c>
      <c r="O3" s="64" t="s">
        <v>401</v>
      </c>
      <c r="P3" s="64" t="s">
        <v>22</v>
      </c>
      <c r="Q3" s="64" t="s">
        <v>143</v>
      </c>
      <c r="R3" s="442"/>
      <c r="S3" s="442"/>
      <c r="T3" s="442"/>
      <c r="U3" s="446"/>
      <c r="V3" s="446"/>
      <c r="W3" s="446"/>
      <c r="X3" s="280"/>
      <c r="Y3" s="280"/>
      <c r="Z3" s="280"/>
      <c r="AA3" s="280"/>
      <c r="AC3" s="282"/>
      <c r="AD3" s="282"/>
      <c r="AE3" s="282"/>
      <c r="AF3" s="63" t="s">
        <v>118</v>
      </c>
      <c r="AG3" s="63" t="s">
        <v>55</v>
      </c>
      <c r="AH3" s="63" t="s">
        <v>168</v>
      </c>
      <c r="AI3" s="63" t="s">
        <v>126</v>
      </c>
      <c r="AJ3" s="63" t="s">
        <v>128</v>
      </c>
      <c r="AK3" s="63" t="s">
        <v>96</v>
      </c>
      <c r="AL3" s="63" t="s">
        <v>22</v>
      </c>
      <c r="AM3" s="63" t="s">
        <v>139</v>
      </c>
      <c r="AN3" s="63" t="s">
        <v>400</v>
      </c>
      <c r="AO3" s="98" t="s">
        <v>168</v>
      </c>
      <c r="AP3" s="98" t="s">
        <v>137</v>
      </c>
      <c r="AQ3" s="98" t="s">
        <v>401</v>
      </c>
      <c r="AR3" s="98" t="s">
        <v>22</v>
      </c>
      <c r="AS3" s="98" t="s">
        <v>143</v>
      </c>
      <c r="AT3" s="277"/>
      <c r="AU3" s="277"/>
      <c r="AV3" s="277"/>
      <c r="AW3" s="271"/>
      <c r="AX3" s="271"/>
      <c r="AY3" s="271"/>
      <c r="AZ3" s="279"/>
      <c r="BA3" s="279"/>
      <c r="BB3" s="279"/>
      <c r="BC3" s="280"/>
    </row>
    <row r="4" spans="1:55" ht="27.95" customHeight="1">
      <c r="A4" s="51">
        <v>1</v>
      </c>
      <c r="B4" s="142">
        <v>25260055</v>
      </c>
      <c r="C4" s="81" t="s">
        <v>717</v>
      </c>
      <c r="D4" s="68">
        <f t="shared" ref="D4:D27" si="0">ROUND(IF(AF4=0,0,MIN(MAX(AF4,40),99)),0)</f>
        <v>99</v>
      </c>
      <c r="E4" s="68">
        <f t="shared" ref="E4:E27" si="1">ROUND(IF(AG4=0,0,MIN(MAX(AG4,40),99)),0)</f>
        <v>99</v>
      </c>
      <c r="F4" s="68">
        <f t="shared" ref="F4:F27" si="2">ROUND(IF(AH4=0,0,MIN(MAX(AH4,40),99)),0)</f>
        <v>99</v>
      </c>
      <c r="G4" s="68">
        <f t="shared" ref="G4:G27" si="3">ROUND(IF(AI4=0,0,MIN(MAX(AI4,40),99)),0)</f>
        <v>99</v>
      </c>
      <c r="H4" s="68">
        <f t="shared" ref="H4:H27" si="4">ROUND(IF(AJ4=0,0,MIN(MAX(AJ4,40),99)),0)</f>
        <v>99</v>
      </c>
      <c r="I4" s="68">
        <f t="shared" ref="I4:I27" si="5">ROUND(IF(AK4=0,0,MIN(MAX(AK4,40),99)),0)</f>
        <v>99</v>
      </c>
      <c r="J4" s="68">
        <f t="shared" ref="J4:J27" si="6">ROUND(IF(AL4=0,0,MIN(MAX(AL4,40),99)),0)</f>
        <v>99</v>
      </c>
      <c r="K4" s="68">
        <f t="shared" ref="K4:K27" si="7">ROUND(IF(AM4=0,0,MIN(MAX(AM4,40),99)),0)</f>
        <v>99</v>
      </c>
      <c r="L4" s="68">
        <f t="shared" ref="L4:L27" si="8">ROUND(IF(AN4=0,0,MIN(MAX(AN4,40),99)),0)</f>
        <v>99</v>
      </c>
      <c r="M4" s="69">
        <f t="shared" ref="M4:M27" si="9">ROUND(IF(AO4=0,0,MIN(MAX(AO4,40),99)),0)</f>
        <v>99</v>
      </c>
      <c r="N4" s="69">
        <f t="shared" ref="N4:N27" si="10">ROUND(IF(AP4=0,0,MIN(MAX(AP4,40),99)),0)</f>
        <v>95</v>
      </c>
      <c r="O4" s="69">
        <f t="shared" ref="O4:O27" si="11">ROUND(IF(AQ4=0,0,MIN(MAX(AQ4,40),99)),0)</f>
        <v>99</v>
      </c>
      <c r="P4" s="69">
        <f t="shared" ref="P4:P27" si="12">ROUND(IF(AR4=0,0,MIN(MAX(AR4,40),99)),0)</f>
        <v>95</v>
      </c>
      <c r="Q4" s="69">
        <f t="shared" ref="Q4:Q27" si="13">ROUND(IF(AS4=0,0,MIN(MAX(AS4,40),99)),0)</f>
        <v>99</v>
      </c>
      <c r="R4" s="70">
        <f t="shared" ref="R4:R27" si="14">SUM(D4:Q4)</f>
        <v>1378</v>
      </c>
      <c r="S4" s="71">
        <f t="shared" ref="S4:S27" si="15">AVERAGE(D4:Q4)</f>
        <v>98.428571428571431</v>
      </c>
      <c r="T4" s="72">
        <f t="shared" ref="T4:T27" si="16">RANK(R4,$R$4:$R$27)</f>
        <v>1</v>
      </c>
      <c r="U4" s="73" t="s">
        <v>805</v>
      </c>
      <c r="V4" s="73" t="s">
        <v>805</v>
      </c>
      <c r="W4" s="73" t="s">
        <v>805</v>
      </c>
      <c r="X4" s="74"/>
      <c r="Y4" s="74"/>
      <c r="Z4" s="74"/>
      <c r="AA4" s="75"/>
      <c r="AC4" s="51">
        <v>2</v>
      </c>
      <c r="AD4" s="51">
        <v>25260055</v>
      </c>
      <c r="AE4" s="136" t="s">
        <v>717</v>
      </c>
      <c r="AF4" s="68">
        <v>100</v>
      </c>
      <c r="AG4" s="68">
        <v>100</v>
      </c>
      <c r="AH4" s="68">
        <v>100</v>
      </c>
      <c r="AI4" s="68">
        <v>100</v>
      </c>
      <c r="AJ4" s="68">
        <v>100</v>
      </c>
      <c r="AK4" s="68">
        <v>100</v>
      </c>
      <c r="AL4" s="68">
        <v>100</v>
      </c>
      <c r="AM4" s="68">
        <v>100</v>
      </c>
      <c r="AN4" s="68">
        <v>100</v>
      </c>
      <c r="AO4" s="76">
        <v>100</v>
      </c>
      <c r="AP4" s="76">
        <v>95</v>
      </c>
      <c r="AQ4" s="76">
        <v>100</v>
      </c>
      <c r="AR4" s="76">
        <v>95</v>
      </c>
      <c r="AS4" s="76">
        <v>100</v>
      </c>
      <c r="AT4" s="70">
        <f t="shared" ref="AT4:AT27" si="17">SUM(AF4:AS4)</f>
        <v>1390</v>
      </c>
      <c r="AU4" s="71">
        <f t="shared" ref="AU4:AU27" si="18">AVERAGE(AF4:AS4)</f>
        <v>99.285714285714292</v>
      </c>
      <c r="AV4" s="72" t="e">
        <f t="shared" ref="AV4:AV27" si="19">RANK(AT4,$R$4:$R$27)</f>
        <v>#N/A</v>
      </c>
      <c r="AW4" s="73"/>
      <c r="AX4" s="73"/>
      <c r="AY4" s="73"/>
      <c r="AZ4" s="74"/>
      <c r="BA4" s="74"/>
      <c r="BB4" s="74"/>
      <c r="BC4" s="75"/>
    </row>
    <row r="5" spans="1:55" ht="27.95" customHeight="1">
      <c r="A5" s="51">
        <v>2</v>
      </c>
      <c r="B5" s="142">
        <v>25260067</v>
      </c>
      <c r="C5" s="81" t="s">
        <v>729</v>
      </c>
      <c r="D5" s="68">
        <f t="shared" si="0"/>
        <v>99</v>
      </c>
      <c r="E5" s="68">
        <f t="shared" si="1"/>
        <v>99</v>
      </c>
      <c r="F5" s="68">
        <f t="shared" si="2"/>
        <v>99</v>
      </c>
      <c r="G5" s="68">
        <f t="shared" si="3"/>
        <v>99</v>
      </c>
      <c r="H5" s="68">
        <f t="shared" si="4"/>
        <v>99</v>
      </c>
      <c r="I5" s="68">
        <f t="shared" si="5"/>
        <v>99</v>
      </c>
      <c r="J5" s="68">
        <f t="shared" si="6"/>
        <v>85</v>
      </c>
      <c r="K5" s="68">
        <f t="shared" si="7"/>
        <v>99</v>
      </c>
      <c r="L5" s="68">
        <f t="shared" si="8"/>
        <v>99</v>
      </c>
      <c r="M5" s="69">
        <f t="shared" si="9"/>
        <v>99</v>
      </c>
      <c r="N5" s="69">
        <f t="shared" si="10"/>
        <v>95</v>
      </c>
      <c r="O5" s="69">
        <f t="shared" si="11"/>
        <v>99</v>
      </c>
      <c r="P5" s="69">
        <f t="shared" si="12"/>
        <v>99</v>
      </c>
      <c r="Q5" s="69">
        <f t="shared" si="13"/>
        <v>99</v>
      </c>
      <c r="R5" s="70">
        <f t="shared" si="14"/>
        <v>1368</v>
      </c>
      <c r="S5" s="71">
        <f t="shared" si="15"/>
        <v>97.714285714285708</v>
      </c>
      <c r="T5" s="72">
        <f t="shared" si="16"/>
        <v>2</v>
      </c>
      <c r="U5" s="73" t="s">
        <v>805</v>
      </c>
      <c r="V5" s="73" t="s">
        <v>805</v>
      </c>
      <c r="W5" s="73" t="s">
        <v>805</v>
      </c>
      <c r="X5" s="74"/>
      <c r="Y5" s="74"/>
      <c r="Z5" s="74"/>
      <c r="AA5" s="75"/>
      <c r="AC5" s="51">
        <v>16</v>
      </c>
      <c r="AD5" s="51">
        <v>25260067</v>
      </c>
      <c r="AE5" s="136" t="s">
        <v>729</v>
      </c>
      <c r="AF5" s="68">
        <v>100</v>
      </c>
      <c r="AG5" s="68">
        <v>100</v>
      </c>
      <c r="AH5" s="68">
        <v>100</v>
      </c>
      <c r="AI5" s="68">
        <v>100</v>
      </c>
      <c r="AJ5" s="68">
        <v>100</v>
      </c>
      <c r="AK5" s="68">
        <v>100</v>
      </c>
      <c r="AL5" s="68">
        <v>85</v>
      </c>
      <c r="AM5" s="68">
        <v>100</v>
      </c>
      <c r="AN5" s="68">
        <v>100</v>
      </c>
      <c r="AO5" s="76">
        <v>100</v>
      </c>
      <c r="AP5" s="76">
        <v>95</v>
      </c>
      <c r="AQ5" s="76">
        <v>100</v>
      </c>
      <c r="AR5" s="76">
        <v>100</v>
      </c>
      <c r="AS5" s="76">
        <v>100</v>
      </c>
      <c r="AT5" s="70">
        <f t="shared" si="17"/>
        <v>1380</v>
      </c>
      <c r="AU5" s="71">
        <f t="shared" si="18"/>
        <v>98.571428571428569</v>
      </c>
      <c r="AV5" s="72" t="e">
        <f t="shared" si="19"/>
        <v>#N/A</v>
      </c>
      <c r="AW5" s="73"/>
      <c r="AX5" s="73"/>
      <c r="AY5" s="73"/>
      <c r="AZ5" s="74"/>
      <c r="BA5" s="74"/>
      <c r="BB5" s="74"/>
      <c r="BC5" s="75"/>
    </row>
    <row r="6" spans="1:55" ht="27.95" customHeight="1">
      <c r="A6" s="51">
        <v>3</v>
      </c>
      <c r="B6" s="142">
        <v>25260011</v>
      </c>
      <c r="C6" s="81" t="s">
        <v>730</v>
      </c>
      <c r="D6" s="68">
        <f t="shared" si="0"/>
        <v>99</v>
      </c>
      <c r="E6" s="68">
        <f t="shared" si="1"/>
        <v>95</v>
      </c>
      <c r="F6" s="68">
        <f t="shared" si="2"/>
        <v>99</v>
      </c>
      <c r="G6" s="68">
        <f t="shared" si="3"/>
        <v>95</v>
      </c>
      <c r="H6" s="68">
        <f t="shared" si="4"/>
        <v>99</v>
      </c>
      <c r="I6" s="68">
        <f t="shared" si="5"/>
        <v>99</v>
      </c>
      <c r="J6" s="68">
        <f t="shared" si="6"/>
        <v>85</v>
      </c>
      <c r="K6" s="68">
        <f t="shared" si="7"/>
        <v>99</v>
      </c>
      <c r="L6" s="68">
        <f t="shared" si="8"/>
        <v>99</v>
      </c>
      <c r="M6" s="69">
        <f t="shared" si="9"/>
        <v>99</v>
      </c>
      <c r="N6" s="69">
        <f t="shared" si="10"/>
        <v>99</v>
      </c>
      <c r="O6" s="69">
        <f t="shared" si="11"/>
        <v>99</v>
      </c>
      <c r="P6" s="69">
        <f t="shared" si="12"/>
        <v>95</v>
      </c>
      <c r="Q6" s="69">
        <f t="shared" si="13"/>
        <v>99</v>
      </c>
      <c r="R6" s="70">
        <f t="shared" si="14"/>
        <v>1360</v>
      </c>
      <c r="S6" s="71">
        <f t="shared" si="15"/>
        <v>97.142857142857139</v>
      </c>
      <c r="T6" s="72">
        <f t="shared" si="16"/>
        <v>3</v>
      </c>
      <c r="U6" s="73" t="s">
        <v>805</v>
      </c>
      <c r="V6" s="73" t="s">
        <v>805</v>
      </c>
      <c r="W6" s="73" t="s">
        <v>805</v>
      </c>
      <c r="X6" s="74"/>
      <c r="Y6" s="74"/>
      <c r="Z6" s="74"/>
      <c r="AA6" s="75"/>
      <c r="AC6" s="51">
        <v>17</v>
      </c>
      <c r="AD6" s="51">
        <v>25260011</v>
      </c>
      <c r="AE6" s="136" t="s">
        <v>730</v>
      </c>
      <c r="AF6" s="68">
        <v>100</v>
      </c>
      <c r="AG6" s="68">
        <v>95</v>
      </c>
      <c r="AH6" s="68">
        <v>100</v>
      </c>
      <c r="AI6" s="68">
        <v>95</v>
      </c>
      <c r="AJ6" s="68">
        <v>100</v>
      </c>
      <c r="AK6" s="68">
        <v>100</v>
      </c>
      <c r="AL6" s="68">
        <v>85</v>
      </c>
      <c r="AM6" s="68">
        <v>100</v>
      </c>
      <c r="AN6" s="68">
        <v>100</v>
      </c>
      <c r="AO6" s="76">
        <v>100</v>
      </c>
      <c r="AP6" s="76">
        <v>100</v>
      </c>
      <c r="AQ6" s="76">
        <v>100</v>
      </c>
      <c r="AR6" s="76">
        <v>95</v>
      </c>
      <c r="AS6" s="76">
        <v>100</v>
      </c>
      <c r="AT6" s="70">
        <f t="shared" si="17"/>
        <v>1370</v>
      </c>
      <c r="AU6" s="71">
        <f t="shared" si="18"/>
        <v>97.857142857142861</v>
      </c>
      <c r="AV6" s="72" t="e">
        <f t="shared" si="19"/>
        <v>#N/A</v>
      </c>
      <c r="AW6" s="73"/>
      <c r="AX6" s="73"/>
      <c r="AY6" s="73"/>
      <c r="AZ6" s="74"/>
      <c r="BA6" s="74"/>
      <c r="BB6" s="74"/>
      <c r="BC6" s="75"/>
    </row>
    <row r="7" spans="1:55" ht="27.95" customHeight="1">
      <c r="A7" s="51">
        <v>4</v>
      </c>
      <c r="B7" s="142">
        <v>25260021</v>
      </c>
      <c r="C7" s="81" t="s">
        <v>727</v>
      </c>
      <c r="D7" s="68">
        <f t="shared" si="0"/>
        <v>95</v>
      </c>
      <c r="E7" s="68">
        <f t="shared" si="1"/>
        <v>99</v>
      </c>
      <c r="F7" s="68">
        <f t="shared" si="2"/>
        <v>99</v>
      </c>
      <c r="G7" s="68">
        <f t="shared" si="3"/>
        <v>99</v>
      </c>
      <c r="H7" s="68">
        <f t="shared" si="4"/>
        <v>90</v>
      </c>
      <c r="I7" s="68">
        <f t="shared" si="5"/>
        <v>95</v>
      </c>
      <c r="J7" s="68">
        <f t="shared" si="6"/>
        <v>99</v>
      </c>
      <c r="K7" s="68">
        <f t="shared" si="7"/>
        <v>99</v>
      </c>
      <c r="L7" s="68">
        <f t="shared" si="8"/>
        <v>99</v>
      </c>
      <c r="M7" s="69">
        <f t="shared" si="9"/>
        <v>99</v>
      </c>
      <c r="N7" s="69">
        <f t="shared" si="10"/>
        <v>60</v>
      </c>
      <c r="O7" s="69">
        <f t="shared" si="11"/>
        <v>99</v>
      </c>
      <c r="P7" s="69">
        <f t="shared" si="12"/>
        <v>99</v>
      </c>
      <c r="Q7" s="69">
        <f t="shared" si="13"/>
        <v>99</v>
      </c>
      <c r="R7" s="70">
        <f t="shared" si="14"/>
        <v>1330</v>
      </c>
      <c r="S7" s="71">
        <f t="shared" si="15"/>
        <v>95</v>
      </c>
      <c r="T7" s="72">
        <f t="shared" si="16"/>
        <v>4</v>
      </c>
      <c r="U7" s="73" t="s">
        <v>805</v>
      </c>
      <c r="V7" s="73" t="s">
        <v>805</v>
      </c>
      <c r="W7" s="73" t="s">
        <v>805</v>
      </c>
      <c r="X7" s="74"/>
      <c r="Y7" s="74"/>
      <c r="Z7" s="74"/>
      <c r="AA7" s="75"/>
      <c r="AC7" s="51">
        <v>14</v>
      </c>
      <c r="AD7" s="51">
        <v>25260021</v>
      </c>
      <c r="AE7" s="136" t="s">
        <v>727</v>
      </c>
      <c r="AF7" s="68">
        <v>95</v>
      </c>
      <c r="AG7" s="68">
        <v>100</v>
      </c>
      <c r="AH7" s="68">
        <v>100</v>
      </c>
      <c r="AI7" s="68">
        <v>100</v>
      </c>
      <c r="AJ7" s="68">
        <v>90</v>
      </c>
      <c r="AK7" s="68">
        <v>95</v>
      </c>
      <c r="AL7" s="68">
        <v>100</v>
      </c>
      <c r="AM7" s="68">
        <v>100</v>
      </c>
      <c r="AN7" s="68">
        <v>100</v>
      </c>
      <c r="AO7" s="76">
        <v>100</v>
      </c>
      <c r="AP7" s="76">
        <v>60</v>
      </c>
      <c r="AQ7" s="76">
        <v>100</v>
      </c>
      <c r="AR7" s="76">
        <v>100</v>
      </c>
      <c r="AS7" s="76">
        <v>100</v>
      </c>
      <c r="AT7" s="70">
        <f t="shared" si="17"/>
        <v>1340</v>
      </c>
      <c r="AU7" s="71">
        <f t="shared" si="18"/>
        <v>95.714285714285708</v>
      </c>
      <c r="AV7" s="72" t="e">
        <f t="shared" si="19"/>
        <v>#N/A</v>
      </c>
      <c r="AW7" s="73"/>
      <c r="AX7" s="73"/>
      <c r="AY7" s="73"/>
      <c r="AZ7" s="74"/>
      <c r="BA7" s="74"/>
      <c r="BB7" s="74"/>
      <c r="BC7" s="75"/>
    </row>
    <row r="8" spans="1:55" ht="27.95" customHeight="1">
      <c r="A8" s="51">
        <v>5</v>
      </c>
      <c r="B8" s="142">
        <v>25260027</v>
      </c>
      <c r="C8" s="81" t="s">
        <v>720</v>
      </c>
      <c r="D8" s="68">
        <f t="shared" si="0"/>
        <v>95</v>
      </c>
      <c r="E8" s="68">
        <f t="shared" si="1"/>
        <v>99</v>
      </c>
      <c r="F8" s="68">
        <f t="shared" si="2"/>
        <v>99</v>
      </c>
      <c r="G8" s="68">
        <f t="shared" si="3"/>
        <v>90</v>
      </c>
      <c r="H8" s="68">
        <f t="shared" si="4"/>
        <v>90</v>
      </c>
      <c r="I8" s="68">
        <f t="shared" si="5"/>
        <v>95</v>
      </c>
      <c r="J8" s="68">
        <f t="shared" si="6"/>
        <v>80</v>
      </c>
      <c r="K8" s="68">
        <f t="shared" si="7"/>
        <v>99</v>
      </c>
      <c r="L8" s="68">
        <f t="shared" si="8"/>
        <v>99</v>
      </c>
      <c r="M8" s="69">
        <f t="shared" si="9"/>
        <v>99</v>
      </c>
      <c r="N8" s="69">
        <f t="shared" si="10"/>
        <v>80</v>
      </c>
      <c r="O8" s="69">
        <f t="shared" si="11"/>
        <v>99</v>
      </c>
      <c r="P8" s="69">
        <f t="shared" si="12"/>
        <v>99</v>
      </c>
      <c r="Q8" s="69">
        <f t="shared" si="13"/>
        <v>95</v>
      </c>
      <c r="R8" s="70">
        <f t="shared" si="14"/>
        <v>1318</v>
      </c>
      <c r="S8" s="71">
        <f t="shared" si="15"/>
        <v>94.142857142857139</v>
      </c>
      <c r="T8" s="72">
        <f t="shared" si="16"/>
        <v>5</v>
      </c>
      <c r="U8" s="73" t="s">
        <v>805</v>
      </c>
      <c r="V8" s="73" t="s">
        <v>805</v>
      </c>
      <c r="W8" s="73" t="s">
        <v>805</v>
      </c>
      <c r="X8" s="74"/>
      <c r="Y8" s="74"/>
      <c r="Z8" s="74"/>
      <c r="AA8" s="75"/>
      <c r="AC8" s="51">
        <v>6</v>
      </c>
      <c r="AD8" s="51">
        <v>25260027</v>
      </c>
      <c r="AE8" s="136" t="s">
        <v>720</v>
      </c>
      <c r="AF8" s="68">
        <v>95</v>
      </c>
      <c r="AG8" s="68">
        <v>100</v>
      </c>
      <c r="AH8" s="68">
        <v>100</v>
      </c>
      <c r="AI8" s="68">
        <v>90</v>
      </c>
      <c r="AJ8" s="68">
        <v>90</v>
      </c>
      <c r="AK8" s="68">
        <v>95</v>
      </c>
      <c r="AL8" s="68">
        <v>80</v>
      </c>
      <c r="AM8" s="68">
        <v>100</v>
      </c>
      <c r="AN8" s="68">
        <v>100</v>
      </c>
      <c r="AO8" s="76">
        <v>100</v>
      </c>
      <c r="AP8" s="76">
        <v>80</v>
      </c>
      <c r="AQ8" s="76">
        <v>100</v>
      </c>
      <c r="AR8" s="76">
        <v>100</v>
      </c>
      <c r="AS8" s="76">
        <v>95</v>
      </c>
      <c r="AT8" s="70">
        <f t="shared" si="17"/>
        <v>1325</v>
      </c>
      <c r="AU8" s="71">
        <f t="shared" si="18"/>
        <v>94.642857142857139</v>
      </c>
      <c r="AV8" s="72" t="e">
        <f t="shared" si="19"/>
        <v>#N/A</v>
      </c>
      <c r="AW8" s="73"/>
      <c r="AX8" s="73"/>
      <c r="AY8" s="73"/>
      <c r="AZ8" s="74"/>
      <c r="BA8" s="74"/>
      <c r="BB8" s="74"/>
      <c r="BC8" s="75"/>
    </row>
    <row r="9" spans="1:55" ht="27.95" customHeight="1">
      <c r="A9" s="51">
        <v>6</v>
      </c>
      <c r="B9" s="142">
        <v>25260034</v>
      </c>
      <c r="C9" s="81" t="s">
        <v>726</v>
      </c>
      <c r="D9" s="68">
        <f t="shared" si="0"/>
        <v>99</v>
      </c>
      <c r="E9" s="68">
        <f t="shared" si="1"/>
        <v>95</v>
      </c>
      <c r="F9" s="68">
        <f t="shared" si="2"/>
        <v>99</v>
      </c>
      <c r="G9" s="68">
        <f t="shared" si="3"/>
        <v>70</v>
      </c>
      <c r="H9" s="68">
        <f t="shared" si="4"/>
        <v>99</v>
      </c>
      <c r="I9" s="68">
        <f t="shared" si="5"/>
        <v>99</v>
      </c>
      <c r="J9" s="68">
        <f t="shared" si="6"/>
        <v>85</v>
      </c>
      <c r="K9" s="68">
        <f t="shared" si="7"/>
        <v>95</v>
      </c>
      <c r="L9" s="68">
        <f t="shared" si="8"/>
        <v>99</v>
      </c>
      <c r="M9" s="69">
        <f t="shared" si="9"/>
        <v>99</v>
      </c>
      <c r="N9" s="69">
        <f t="shared" si="10"/>
        <v>95</v>
      </c>
      <c r="O9" s="69">
        <f t="shared" si="11"/>
        <v>99</v>
      </c>
      <c r="P9" s="69">
        <f t="shared" si="12"/>
        <v>99</v>
      </c>
      <c r="Q9" s="69">
        <f t="shared" si="13"/>
        <v>85</v>
      </c>
      <c r="R9" s="70">
        <f t="shared" si="14"/>
        <v>1317</v>
      </c>
      <c r="S9" s="71">
        <f t="shared" si="15"/>
        <v>94.071428571428569</v>
      </c>
      <c r="T9" s="72">
        <f t="shared" si="16"/>
        <v>6</v>
      </c>
      <c r="U9" s="73" t="s">
        <v>805</v>
      </c>
      <c r="V9" s="73" t="s">
        <v>805</v>
      </c>
      <c r="W9" s="73" t="s">
        <v>805</v>
      </c>
      <c r="X9" s="74"/>
      <c r="Y9" s="74"/>
      <c r="Z9" s="74"/>
      <c r="AA9" s="75"/>
      <c r="AC9" s="51">
        <v>13</v>
      </c>
      <c r="AD9" s="51">
        <v>25260034</v>
      </c>
      <c r="AE9" s="136" t="s">
        <v>726</v>
      </c>
      <c r="AF9" s="68">
        <v>100</v>
      </c>
      <c r="AG9" s="68">
        <v>95</v>
      </c>
      <c r="AH9" s="68">
        <v>100</v>
      </c>
      <c r="AI9" s="68">
        <v>70</v>
      </c>
      <c r="AJ9" s="68">
        <v>100</v>
      </c>
      <c r="AK9" s="68">
        <v>100</v>
      </c>
      <c r="AL9" s="68">
        <v>85</v>
      </c>
      <c r="AM9" s="68">
        <v>95</v>
      </c>
      <c r="AN9" s="68">
        <v>100</v>
      </c>
      <c r="AO9" s="76">
        <v>100</v>
      </c>
      <c r="AP9" s="76">
        <v>95</v>
      </c>
      <c r="AQ9" s="76">
        <v>100</v>
      </c>
      <c r="AR9" s="76">
        <v>100</v>
      </c>
      <c r="AS9" s="76">
        <v>85</v>
      </c>
      <c r="AT9" s="70">
        <f t="shared" si="17"/>
        <v>1325</v>
      </c>
      <c r="AU9" s="71">
        <f t="shared" si="18"/>
        <v>94.642857142857139</v>
      </c>
      <c r="AV9" s="72" t="e">
        <f t="shared" si="19"/>
        <v>#N/A</v>
      </c>
      <c r="AW9" s="73"/>
      <c r="AX9" s="73"/>
      <c r="AY9" s="73"/>
      <c r="AZ9" s="74"/>
      <c r="BA9" s="74"/>
      <c r="BB9" s="74"/>
      <c r="BC9" s="75"/>
    </row>
    <row r="10" spans="1:55" ht="27.95" customHeight="1">
      <c r="A10" s="51">
        <v>7</v>
      </c>
      <c r="B10" s="142">
        <v>25260078</v>
      </c>
      <c r="C10" s="81" t="s">
        <v>735</v>
      </c>
      <c r="D10" s="68">
        <f t="shared" si="0"/>
        <v>90</v>
      </c>
      <c r="E10" s="68">
        <f t="shared" si="1"/>
        <v>99</v>
      </c>
      <c r="F10" s="68">
        <f t="shared" si="2"/>
        <v>95</v>
      </c>
      <c r="G10" s="68">
        <f t="shared" si="3"/>
        <v>99</v>
      </c>
      <c r="H10" s="68">
        <f t="shared" si="4"/>
        <v>90</v>
      </c>
      <c r="I10" s="68">
        <f t="shared" si="5"/>
        <v>90</v>
      </c>
      <c r="J10" s="68">
        <f t="shared" si="6"/>
        <v>70</v>
      </c>
      <c r="K10" s="68">
        <f t="shared" si="7"/>
        <v>99</v>
      </c>
      <c r="L10" s="68">
        <f t="shared" si="8"/>
        <v>90</v>
      </c>
      <c r="M10" s="69">
        <f t="shared" si="9"/>
        <v>75</v>
      </c>
      <c r="N10" s="69">
        <f t="shared" si="10"/>
        <v>80</v>
      </c>
      <c r="O10" s="69">
        <f t="shared" si="11"/>
        <v>99</v>
      </c>
      <c r="P10" s="69">
        <f t="shared" si="12"/>
        <v>95</v>
      </c>
      <c r="Q10" s="69">
        <f t="shared" si="13"/>
        <v>95</v>
      </c>
      <c r="R10" s="70">
        <f t="shared" si="14"/>
        <v>1266</v>
      </c>
      <c r="S10" s="71">
        <f t="shared" si="15"/>
        <v>90.428571428571431</v>
      </c>
      <c r="T10" s="72">
        <f t="shared" si="16"/>
        <v>7</v>
      </c>
      <c r="U10" s="73" t="s">
        <v>805</v>
      </c>
      <c r="V10" s="73" t="s">
        <v>805</v>
      </c>
      <c r="W10" s="73" t="s">
        <v>805</v>
      </c>
      <c r="X10" s="74"/>
      <c r="Y10" s="74"/>
      <c r="Z10" s="74"/>
      <c r="AA10" s="75"/>
      <c r="AC10" s="51">
        <v>22</v>
      </c>
      <c r="AD10" s="51">
        <v>25260078</v>
      </c>
      <c r="AE10" s="136" t="s">
        <v>735</v>
      </c>
      <c r="AF10" s="68">
        <v>90</v>
      </c>
      <c r="AG10" s="68">
        <v>100</v>
      </c>
      <c r="AH10" s="68">
        <v>95</v>
      </c>
      <c r="AI10" s="68">
        <v>100</v>
      </c>
      <c r="AJ10" s="68">
        <v>90</v>
      </c>
      <c r="AK10" s="68">
        <v>90</v>
      </c>
      <c r="AL10" s="68">
        <v>70</v>
      </c>
      <c r="AM10" s="68">
        <v>100</v>
      </c>
      <c r="AN10" s="68">
        <v>90</v>
      </c>
      <c r="AO10" s="76">
        <v>75</v>
      </c>
      <c r="AP10" s="76">
        <v>80</v>
      </c>
      <c r="AQ10" s="76">
        <v>100</v>
      </c>
      <c r="AR10" s="76">
        <v>95</v>
      </c>
      <c r="AS10" s="76">
        <v>95</v>
      </c>
      <c r="AT10" s="70">
        <f t="shared" si="17"/>
        <v>1270</v>
      </c>
      <c r="AU10" s="71">
        <f t="shared" si="18"/>
        <v>90.714285714285708</v>
      </c>
      <c r="AV10" s="72" t="e">
        <f t="shared" si="19"/>
        <v>#N/A</v>
      </c>
      <c r="AW10" s="73"/>
      <c r="AX10" s="73"/>
      <c r="AY10" s="73"/>
      <c r="AZ10" s="74"/>
      <c r="BA10" s="74"/>
      <c r="BB10" s="74"/>
      <c r="BC10" s="75"/>
    </row>
    <row r="11" spans="1:55" ht="27.95" customHeight="1">
      <c r="A11" s="51">
        <v>8</v>
      </c>
      <c r="B11" s="142">
        <v>25260048</v>
      </c>
      <c r="C11" s="81" t="s">
        <v>736</v>
      </c>
      <c r="D11" s="68">
        <f t="shared" si="0"/>
        <v>95</v>
      </c>
      <c r="E11" s="68">
        <f t="shared" si="1"/>
        <v>80</v>
      </c>
      <c r="F11" s="68">
        <f t="shared" si="2"/>
        <v>95</v>
      </c>
      <c r="G11" s="68">
        <f t="shared" si="3"/>
        <v>80</v>
      </c>
      <c r="H11" s="68">
        <f t="shared" si="4"/>
        <v>80</v>
      </c>
      <c r="I11" s="68">
        <f t="shared" si="5"/>
        <v>95</v>
      </c>
      <c r="J11" s="68">
        <f t="shared" si="6"/>
        <v>80</v>
      </c>
      <c r="K11" s="68">
        <f t="shared" si="7"/>
        <v>95</v>
      </c>
      <c r="L11" s="68">
        <f t="shared" si="8"/>
        <v>99</v>
      </c>
      <c r="M11" s="69">
        <f t="shared" si="9"/>
        <v>80</v>
      </c>
      <c r="N11" s="69">
        <f t="shared" si="10"/>
        <v>95</v>
      </c>
      <c r="O11" s="69">
        <f t="shared" si="11"/>
        <v>99</v>
      </c>
      <c r="P11" s="69">
        <f t="shared" si="12"/>
        <v>85</v>
      </c>
      <c r="Q11" s="69">
        <f t="shared" si="13"/>
        <v>95</v>
      </c>
      <c r="R11" s="70">
        <f t="shared" si="14"/>
        <v>1253</v>
      </c>
      <c r="S11" s="71">
        <f t="shared" si="15"/>
        <v>89.5</v>
      </c>
      <c r="T11" s="72">
        <f t="shared" si="16"/>
        <v>8</v>
      </c>
      <c r="U11" s="73" t="s">
        <v>805</v>
      </c>
      <c r="V11" s="73" t="s">
        <v>805</v>
      </c>
      <c r="W11" s="73" t="s">
        <v>805</v>
      </c>
      <c r="X11" s="74"/>
      <c r="Y11" s="74"/>
      <c r="Z11" s="74"/>
      <c r="AA11" s="75"/>
      <c r="AC11" s="51">
        <v>23</v>
      </c>
      <c r="AD11" s="51">
        <v>25260048</v>
      </c>
      <c r="AE11" s="136" t="s">
        <v>736</v>
      </c>
      <c r="AF11" s="68">
        <v>95</v>
      </c>
      <c r="AG11" s="68">
        <v>80</v>
      </c>
      <c r="AH11" s="68">
        <v>95</v>
      </c>
      <c r="AI11" s="68">
        <v>80</v>
      </c>
      <c r="AJ11" s="68">
        <v>80</v>
      </c>
      <c r="AK11" s="68">
        <v>95</v>
      </c>
      <c r="AL11" s="68">
        <v>80</v>
      </c>
      <c r="AM11" s="68">
        <v>95</v>
      </c>
      <c r="AN11" s="68">
        <v>100</v>
      </c>
      <c r="AO11" s="76">
        <v>80</v>
      </c>
      <c r="AP11" s="76">
        <v>95</v>
      </c>
      <c r="AQ11" s="76">
        <v>100</v>
      </c>
      <c r="AR11" s="76">
        <v>85</v>
      </c>
      <c r="AS11" s="76">
        <v>95</v>
      </c>
      <c r="AT11" s="70">
        <f t="shared" si="17"/>
        <v>1255</v>
      </c>
      <c r="AU11" s="71">
        <f t="shared" si="18"/>
        <v>89.642857142857139</v>
      </c>
      <c r="AV11" s="72" t="e">
        <f t="shared" si="19"/>
        <v>#N/A</v>
      </c>
      <c r="AW11" s="73"/>
      <c r="AX11" s="73"/>
      <c r="AY11" s="73"/>
      <c r="AZ11" s="74"/>
      <c r="BA11" s="74"/>
      <c r="BB11" s="74"/>
      <c r="BC11" s="75"/>
    </row>
    <row r="12" spans="1:55" ht="27.95" customHeight="1">
      <c r="A12" s="51">
        <v>9</v>
      </c>
      <c r="B12" s="142">
        <v>25260051</v>
      </c>
      <c r="C12" s="81" t="s">
        <v>737</v>
      </c>
      <c r="D12" s="68">
        <f t="shared" si="0"/>
        <v>99</v>
      </c>
      <c r="E12" s="68">
        <f t="shared" si="1"/>
        <v>95</v>
      </c>
      <c r="F12" s="68">
        <f t="shared" si="2"/>
        <v>99</v>
      </c>
      <c r="G12" s="68">
        <f t="shared" si="3"/>
        <v>80</v>
      </c>
      <c r="H12" s="68">
        <f t="shared" si="4"/>
        <v>90</v>
      </c>
      <c r="I12" s="68">
        <f t="shared" si="5"/>
        <v>99</v>
      </c>
      <c r="J12" s="68">
        <f t="shared" si="6"/>
        <v>70</v>
      </c>
      <c r="K12" s="68">
        <f t="shared" si="7"/>
        <v>99</v>
      </c>
      <c r="L12" s="68">
        <f t="shared" si="8"/>
        <v>90</v>
      </c>
      <c r="M12" s="69">
        <f t="shared" si="9"/>
        <v>70</v>
      </c>
      <c r="N12" s="69">
        <f t="shared" si="10"/>
        <v>60</v>
      </c>
      <c r="O12" s="69">
        <f t="shared" si="11"/>
        <v>99</v>
      </c>
      <c r="P12" s="69">
        <f t="shared" si="12"/>
        <v>70</v>
      </c>
      <c r="Q12" s="69">
        <f t="shared" si="13"/>
        <v>95</v>
      </c>
      <c r="R12" s="70">
        <f t="shared" si="14"/>
        <v>1215</v>
      </c>
      <c r="S12" s="71">
        <f t="shared" si="15"/>
        <v>86.785714285714292</v>
      </c>
      <c r="T12" s="72">
        <f t="shared" si="16"/>
        <v>9</v>
      </c>
      <c r="U12" s="73" t="s">
        <v>805</v>
      </c>
      <c r="V12" s="73" t="s">
        <v>805</v>
      </c>
      <c r="W12" s="73" t="s">
        <v>805</v>
      </c>
      <c r="X12" s="74"/>
      <c r="Y12" s="74"/>
      <c r="Z12" s="74"/>
      <c r="AA12" s="75"/>
      <c r="AC12" s="51">
        <v>24</v>
      </c>
      <c r="AD12" s="51">
        <v>25260051</v>
      </c>
      <c r="AE12" s="136" t="s">
        <v>737</v>
      </c>
      <c r="AF12" s="68">
        <v>100</v>
      </c>
      <c r="AG12" s="68">
        <v>95</v>
      </c>
      <c r="AH12" s="68">
        <v>100</v>
      </c>
      <c r="AI12" s="68">
        <v>80</v>
      </c>
      <c r="AJ12" s="68">
        <v>90</v>
      </c>
      <c r="AK12" s="68">
        <v>100</v>
      </c>
      <c r="AL12" s="68">
        <v>70</v>
      </c>
      <c r="AM12" s="68">
        <v>100</v>
      </c>
      <c r="AN12" s="68">
        <v>90</v>
      </c>
      <c r="AO12" s="76">
        <v>70</v>
      </c>
      <c r="AP12" s="76">
        <v>60</v>
      </c>
      <c r="AQ12" s="76">
        <v>100</v>
      </c>
      <c r="AR12" s="76">
        <v>70</v>
      </c>
      <c r="AS12" s="76">
        <v>95</v>
      </c>
      <c r="AT12" s="70">
        <f t="shared" si="17"/>
        <v>1220</v>
      </c>
      <c r="AU12" s="71">
        <f t="shared" si="18"/>
        <v>87.142857142857139</v>
      </c>
      <c r="AV12" s="72" t="e">
        <f t="shared" si="19"/>
        <v>#N/A</v>
      </c>
      <c r="AW12" s="73"/>
      <c r="AX12" s="73"/>
      <c r="AY12" s="73"/>
      <c r="AZ12" s="74"/>
      <c r="BA12" s="74"/>
      <c r="BB12" s="74"/>
      <c r="BC12" s="75"/>
    </row>
    <row r="13" spans="1:55" ht="27.95" customHeight="1">
      <c r="A13" s="51">
        <v>10</v>
      </c>
      <c r="B13" s="142">
        <v>25260041</v>
      </c>
      <c r="C13" s="81" t="s">
        <v>734</v>
      </c>
      <c r="D13" s="68">
        <f t="shared" si="0"/>
        <v>95</v>
      </c>
      <c r="E13" s="68">
        <f t="shared" si="1"/>
        <v>85</v>
      </c>
      <c r="F13" s="68">
        <f t="shared" si="2"/>
        <v>75</v>
      </c>
      <c r="G13" s="68">
        <f t="shared" si="3"/>
        <v>70</v>
      </c>
      <c r="H13" s="68">
        <f t="shared" si="4"/>
        <v>70</v>
      </c>
      <c r="I13" s="68">
        <f t="shared" si="5"/>
        <v>95</v>
      </c>
      <c r="J13" s="68">
        <f t="shared" si="6"/>
        <v>70</v>
      </c>
      <c r="K13" s="68">
        <f t="shared" si="7"/>
        <v>99</v>
      </c>
      <c r="L13" s="68">
        <f t="shared" si="8"/>
        <v>99</v>
      </c>
      <c r="M13" s="69">
        <f t="shared" si="9"/>
        <v>75</v>
      </c>
      <c r="N13" s="69">
        <f t="shared" si="10"/>
        <v>85</v>
      </c>
      <c r="O13" s="69">
        <f t="shared" si="11"/>
        <v>99</v>
      </c>
      <c r="P13" s="69">
        <f t="shared" si="12"/>
        <v>90</v>
      </c>
      <c r="Q13" s="69">
        <f t="shared" si="13"/>
        <v>95</v>
      </c>
      <c r="R13" s="70">
        <f t="shared" si="14"/>
        <v>1202</v>
      </c>
      <c r="S13" s="71">
        <f t="shared" si="15"/>
        <v>85.857142857142861</v>
      </c>
      <c r="T13" s="72">
        <f t="shared" si="16"/>
        <v>10</v>
      </c>
      <c r="U13" s="73" t="s">
        <v>805</v>
      </c>
      <c r="V13" s="73" t="s">
        <v>805</v>
      </c>
      <c r="W13" s="73" t="s">
        <v>805</v>
      </c>
      <c r="X13" s="74"/>
      <c r="Y13" s="74"/>
      <c r="Z13" s="74"/>
      <c r="AA13" s="75"/>
      <c r="AC13" s="51">
        <v>21</v>
      </c>
      <c r="AD13" s="51">
        <v>25260041</v>
      </c>
      <c r="AE13" s="136" t="s">
        <v>734</v>
      </c>
      <c r="AF13" s="68">
        <v>95</v>
      </c>
      <c r="AG13" s="68">
        <v>85</v>
      </c>
      <c r="AH13" s="68">
        <v>75</v>
      </c>
      <c r="AI13" s="68">
        <v>70</v>
      </c>
      <c r="AJ13" s="68">
        <v>70</v>
      </c>
      <c r="AK13" s="68">
        <v>95</v>
      </c>
      <c r="AL13" s="68">
        <v>70</v>
      </c>
      <c r="AM13" s="68">
        <v>100</v>
      </c>
      <c r="AN13" s="68">
        <v>100</v>
      </c>
      <c r="AO13" s="76">
        <v>75</v>
      </c>
      <c r="AP13" s="76">
        <v>85</v>
      </c>
      <c r="AQ13" s="76">
        <v>100</v>
      </c>
      <c r="AR13" s="76">
        <v>90</v>
      </c>
      <c r="AS13" s="76">
        <v>95</v>
      </c>
      <c r="AT13" s="70">
        <f t="shared" si="17"/>
        <v>1205</v>
      </c>
      <c r="AU13" s="71">
        <f t="shared" si="18"/>
        <v>86.071428571428569</v>
      </c>
      <c r="AV13" s="72" t="e">
        <f t="shared" si="19"/>
        <v>#N/A</v>
      </c>
      <c r="AW13" s="73"/>
      <c r="AX13" s="73"/>
      <c r="AY13" s="73"/>
      <c r="AZ13" s="74"/>
      <c r="BA13" s="74"/>
      <c r="BB13" s="74"/>
      <c r="BC13" s="75"/>
    </row>
    <row r="14" spans="1:55" ht="27.95" customHeight="1">
      <c r="A14" s="51">
        <v>11</v>
      </c>
      <c r="B14" s="142">
        <v>25260010</v>
      </c>
      <c r="C14" s="81" t="s">
        <v>722</v>
      </c>
      <c r="D14" s="68">
        <f t="shared" si="0"/>
        <v>95</v>
      </c>
      <c r="E14" s="68">
        <f t="shared" si="1"/>
        <v>70</v>
      </c>
      <c r="F14" s="68">
        <f t="shared" si="2"/>
        <v>90</v>
      </c>
      <c r="G14" s="68">
        <f t="shared" si="3"/>
        <v>80</v>
      </c>
      <c r="H14" s="68">
        <f t="shared" si="4"/>
        <v>80</v>
      </c>
      <c r="I14" s="68">
        <f t="shared" si="5"/>
        <v>95</v>
      </c>
      <c r="J14" s="68">
        <f t="shared" si="6"/>
        <v>70</v>
      </c>
      <c r="K14" s="68">
        <f t="shared" si="7"/>
        <v>95</v>
      </c>
      <c r="L14" s="68">
        <f t="shared" si="8"/>
        <v>99</v>
      </c>
      <c r="M14" s="69">
        <f t="shared" si="9"/>
        <v>80</v>
      </c>
      <c r="N14" s="69">
        <f t="shared" si="10"/>
        <v>80</v>
      </c>
      <c r="O14" s="69">
        <f t="shared" si="11"/>
        <v>99</v>
      </c>
      <c r="P14" s="69">
        <f t="shared" si="12"/>
        <v>80</v>
      </c>
      <c r="Q14" s="69">
        <f t="shared" si="13"/>
        <v>85</v>
      </c>
      <c r="R14" s="70">
        <f t="shared" si="14"/>
        <v>1198</v>
      </c>
      <c r="S14" s="71">
        <f t="shared" si="15"/>
        <v>85.571428571428569</v>
      </c>
      <c r="T14" s="72">
        <f t="shared" si="16"/>
        <v>11</v>
      </c>
      <c r="U14" s="73" t="s">
        <v>805</v>
      </c>
      <c r="V14" s="73" t="s">
        <v>805</v>
      </c>
      <c r="W14" s="73" t="s">
        <v>805</v>
      </c>
      <c r="X14" s="74"/>
      <c r="Y14" s="74"/>
      <c r="Z14" s="74"/>
      <c r="AA14" s="75"/>
      <c r="AC14" s="51">
        <v>9</v>
      </c>
      <c r="AD14" s="51">
        <v>25260010</v>
      </c>
      <c r="AE14" s="136" t="s">
        <v>722</v>
      </c>
      <c r="AF14" s="68">
        <v>95</v>
      </c>
      <c r="AG14" s="68">
        <v>70</v>
      </c>
      <c r="AH14" s="68">
        <v>90</v>
      </c>
      <c r="AI14" s="68">
        <v>80</v>
      </c>
      <c r="AJ14" s="68">
        <v>80</v>
      </c>
      <c r="AK14" s="68">
        <v>95</v>
      </c>
      <c r="AL14" s="68">
        <v>70</v>
      </c>
      <c r="AM14" s="68">
        <v>95</v>
      </c>
      <c r="AN14" s="68">
        <v>100</v>
      </c>
      <c r="AO14" s="76">
        <v>80</v>
      </c>
      <c r="AP14" s="76">
        <v>80</v>
      </c>
      <c r="AQ14" s="76">
        <v>100</v>
      </c>
      <c r="AR14" s="76">
        <v>80</v>
      </c>
      <c r="AS14" s="76">
        <v>85</v>
      </c>
      <c r="AT14" s="70">
        <f t="shared" si="17"/>
        <v>1200</v>
      </c>
      <c r="AU14" s="71">
        <f t="shared" si="18"/>
        <v>85.714285714285708</v>
      </c>
      <c r="AV14" s="72" t="e">
        <f t="shared" si="19"/>
        <v>#N/A</v>
      </c>
      <c r="AW14" s="73"/>
      <c r="AX14" s="73"/>
      <c r="AY14" s="73"/>
      <c r="AZ14" s="74"/>
      <c r="BA14" s="74"/>
      <c r="BB14" s="74"/>
      <c r="BC14" s="75"/>
    </row>
    <row r="15" spans="1:55" ht="27.95" customHeight="1">
      <c r="A15" s="51">
        <v>12</v>
      </c>
      <c r="B15" s="142">
        <v>25260099</v>
      </c>
      <c r="C15" s="81" t="s">
        <v>719</v>
      </c>
      <c r="D15" s="68">
        <f t="shared" si="0"/>
        <v>95</v>
      </c>
      <c r="E15" s="68">
        <f t="shared" si="1"/>
        <v>80</v>
      </c>
      <c r="F15" s="68">
        <f t="shared" si="2"/>
        <v>95</v>
      </c>
      <c r="G15" s="68">
        <f t="shared" si="3"/>
        <v>80</v>
      </c>
      <c r="H15" s="68">
        <f t="shared" si="4"/>
        <v>80</v>
      </c>
      <c r="I15" s="68">
        <f t="shared" si="5"/>
        <v>95</v>
      </c>
      <c r="J15" s="68">
        <f t="shared" si="6"/>
        <v>75</v>
      </c>
      <c r="K15" s="68">
        <f t="shared" si="7"/>
        <v>99</v>
      </c>
      <c r="L15" s="68">
        <f t="shared" si="8"/>
        <v>99</v>
      </c>
      <c r="M15" s="69">
        <f t="shared" si="9"/>
        <v>60</v>
      </c>
      <c r="N15" s="69">
        <f t="shared" si="10"/>
        <v>60</v>
      </c>
      <c r="O15" s="69">
        <f t="shared" si="11"/>
        <v>99</v>
      </c>
      <c r="P15" s="69">
        <f t="shared" si="12"/>
        <v>80</v>
      </c>
      <c r="Q15" s="69">
        <f t="shared" si="13"/>
        <v>95</v>
      </c>
      <c r="R15" s="70">
        <f t="shared" si="14"/>
        <v>1192</v>
      </c>
      <c r="S15" s="71">
        <f t="shared" si="15"/>
        <v>85.142857142857139</v>
      </c>
      <c r="T15" s="72">
        <f t="shared" si="16"/>
        <v>12</v>
      </c>
      <c r="U15" s="73" t="s">
        <v>805</v>
      </c>
      <c r="V15" s="73" t="s">
        <v>805</v>
      </c>
      <c r="W15" s="73" t="s">
        <v>805</v>
      </c>
      <c r="X15" s="74"/>
      <c r="Y15" s="74"/>
      <c r="Z15" s="74"/>
      <c r="AA15" s="75"/>
      <c r="AC15" s="51">
        <v>5</v>
      </c>
      <c r="AD15" s="51">
        <v>25260099</v>
      </c>
      <c r="AE15" s="136" t="s">
        <v>719</v>
      </c>
      <c r="AF15" s="68">
        <v>95</v>
      </c>
      <c r="AG15" s="68">
        <v>80</v>
      </c>
      <c r="AH15" s="68">
        <v>95</v>
      </c>
      <c r="AI15" s="68">
        <v>80</v>
      </c>
      <c r="AJ15" s="68">
        <v>80</v>
      </c>
      <c r="AK15" s="68">
        <v>95</v>
      </c>
      <c r="AL15" s="68">
        <v>75</v>
      </c>
      <c r="AM15" s="68">
        <v>100</v>
      </c>
      <c r="AN15" s="68">
        <v>100</v>
      </c>
      <c r="AO15" s="76">
        <v>60</v>
      </c>
      <c r="AP15" s="76">
        <v>60</v>
      </c>
      <c r="AQ15" s="76">
        <v>100</v>
      </c>
      <c r="AR15" s="76">
        <v>80</v>
      </c>
      <c r="AS15" s="76">
        <v>95</v>
      </c>
      <c r="AT15" s="70">
        <f t="shared" si="17"/>
        <v>1195</v>
      </c>
      <c r="AU15" s="71">
        <f t="shared" si="18"/>
        <v>85.357142857142861</v>
      </c>
      <c r="AV15" s="72" t="e">
        <f t="shared" si="19"/>
        <v>#N/A</v>
      </c>
      <c r="AW15" s="73"/>
      <c r="AX15" s="73"/>
      <c r="AY15" s="73"/>
      <c r="AZ15" s="74"/>
      <c r="BA15" s="74"/>
      <c r="BB15" s="74"/>
      <c r="BC15" s="75"/>
    </row>
    <row r="16" spans="1:55" ht="27.95" customHeight="1">
      <c r="A16" s="51">
        <v>13</v>
      </c>
      <c r="B16" s="142">
        <v>25260059</v>
      </c>
      <c r="C16" s="81" t="s">
        <v>723</v>
      </c>
      <c r="D16" s="68">
        <f t="shared" si="0"/>
        <v>99</v>
      </c>
      <c r="E16" s="68">
        <f t="shared" si="1"/>
        <v>80</v>
      </c>
      <c r="F16" s="68">
        <f t="shared" si="2"/>
        <v>75</v>
      </c>
      <c r="G16" s="68">
        <f t="shared" si="3"/>
        <v>70</v>
      </c>
      <c r="H16" s="68">
        <f t="shared" si="4"/>
        <v>90</v>
      </c>
      <c r="I16" s="68">
        <f t="shared" si="5"/>
        <v>99</v>
      </c>
      <c r="J16" s="68">
        <f t="shared" si="6"/>
        <v>70</v>
      </c>
      <c r="K16" s="68">
        <f t="shared" si="7"/>
        <v>99</v>
      </c>
      <c r="L16" s="68">
        <f t="shared" si="8"/>
        <v>90</v>
      </c>
      <c r="M16" s="69">
        <f t="shared" si="9"/>
        <v>70</v>
      </c>
      <c r="N16" s="69">
        <f t="shared" si="10"/>
        <v>60</v>
      </c>
      <c r="O16" s="69">
        <f t="shared" si="11"/>
        <v>99</v>
      </c>
      <c r="P16" s="69">
        <f t="shared" si="12"/>
        <v>95</v>
      </c>
      <c r="Q16" s="69">
        <f t="shared" si="13"/>
        <v>80</v>
      </c>
      <c r="R16" s="70">
        <f t="shared" si="14"/>
        <v>1176</v>
      </c>
      <c r="S16" s="71">
        <f t="shared" si="15"/>
        <v>84</v>
      </c>
      <c r="T16" s="72">
        <f t="shared" si="16"/>
        <v>13</v>
      </c>
      <c r="U16" s="73" t="s">
        <v>805</v>
      </c>
      <c r="V16" s="73" t="s">
        <v>805</v>
      </c>
      <c r="W16" s="73" t="s">
        <v>805</v>
      </c>
      <c r="X16" s="74"/>
      <c r="Y16" s="74"/>
      <c r="Z16" s="74"/>
      <c r="AA16" s="75"/>
      <c r="AC16" s="51">
        <v>10</v>
      </c>
      <c r="AD16" s="51">
        <v>25260059</v>
      </c>
      <c r="AE16" s="136" t="s">
        <v>723</v>
      </c>
      <c r="AF16" s="68">
        <v>100</v>
      </c>
      <c r="AG16" s="68">
        <v>80</v>
      </c>
      <c r="AH16" s="68">
        <v>75</v>
      </c>
      <c r="AI16" s="68">
        <v>70</v>
      </c>
      <c r="AJ16" s="68">
        <v>90</v>
      </c>
      <c r="AK16" s="68">
        <v>100</v>
      </c>
      <c r="AL16" s="68">
        <v>70</v>
      </c>
      <c r="AM16" s="68">
        <v>100</v>
      </c>
      <c r="AN16" s="68">
        <v>90</v>
      </c>
      <c r="AO16" s="76">
        <v>70</v>
      </c>
      <c r="AP16" s="76">
        <v>60</v>
      </c>
      <c r="AQ16" s="76">
        <v>100</v>
      </c>
      <c r="AR16" s="76">
        <v>95</v>
      </c>
      <c r="AS16" s="76">
        <v>80</v>
      </c>
      <c r="AT16" s="70">
        <f t="shared" si="17"/>
        <v>1180</v>
      </c>
      <c r="AU16" s="71">
        <f t="shared" si="18"/>
        <v>84.285714285714292</v>
      </c>
      <c r="AV16" s="72" t="e">
        <f t="shared" si="19"/>
        <v>#N/A</v>
      </c>
      <c r="AW16" s="73"/>
      <c r="AX16" s="73"/>
      <c r="AY16" s="73"/>
      <c r="AZ16" s="74"/>
      <c r="BA16" s="74"/>
      <c r="BB16" s="74"/>
      <c r="BC16" s="75"/>
    </row>
    <row r="17" spans="1:55" ht="27.95" customHeight="1">
      <c r="A17" s="51">
        <v>14</v>
      </c>
      <c r="B17" s="142">
        <v>25260123</v>
      </c>
      <c r="C17" s="81" t="s">
        <v>724</v>
      </c>
      <c r="D17" s="68">
        <f t="shared" si="0"/>
        <v>95</v>
      </c>
      <c r="E17" s="68">
        <f t="shared" si="1"/>
        <v>70</v>
      </c>
      <c r="F17" s="68">
        <f t="shared" si="2"/>
        <v>99</v>
      </c>
      <c r="G17" s="68">
        <f t="shared" si="3"/>
        <v>70</v>
      </c>
      <c r="H17" s="68">
        <f t="shared" si="4"/>
        <v>60</v>
      </c>
      <c r="I17" s="68">
        <f t="shared" si="5"/>
        <v>95</v>
      </c>
      <c r="J17" s="68">
        <f t="shared" si="6"/>
        <v>70</v>
      </c>
      <c r="K17" s="68">
        <f t="shared" si="7"/>
        <v>70</v>
      </c>
      <c r="L17" s="68">
        <f t="shared" si="8"/>
        <v>99</v>
      </c>
      <c r="M17" s="69">
        <f t="shared" si="9"/>
        <v>99</v>
      </c>
      <c r="N17" s="69">
        <f t="shared" si="10"/>
        <v>80</v>
      </c>
      <c r="O17" s="69">
        <f t="shared" si="11"/>
        <v>99</v>
      </c>
      <c r="P17" s="69">
        <f t="shared" si="12"/>
        <v>90</v>
      </c>
      <c r="Q17" s="69">
        <f t="shared" si="13"/>
        <v>80</v>
      </c>
      <c r="R17" s="70">
        <f t="shared" si="14"/>
        <v>1176</v>
      </c>
      <c r="S17" s="71">
        <f t="shared" si="15"/>
        <v>84</v>
      </c>
      <c r="T17" s="72">
        <f t="shared" si="16"/>
        <v>13</v>
      </c>
      <c r="U17" s="73" t="s">
        <v>805</v>
      </c>
      <c r="V17" s="73" t="s">
        <v>805</v>
      </c>
      <c r="W17" s="73" t="s">
        <v>805</v>
      </c>
      <c r="X17" s="74"/>
      <c r="Y17" s="74"/>
      <c r="Z17" s="74"/>
      <c r="AA17" s="75"/>
      <c r="AC17" s="51">
        <v>11</v>
      </c>
      <c r="AD17" s="51">
        <v>25260123</v>
      </c>
      <c r="AE17" s="136" t="s">
        <v>724</v>
      </c>
      <c r="AF17" s="68">
        <v>95</v>
      </c>
      <c r="AG17" s="68">
        <v>70</v>
      </c>
      <c r="AH17" s="68">
        <v>100</v>
      </c>
      <c r="AI17" s="68">
        <v>70</v>
      </c>
      <c r="AJ17" s="68">
        <v>60</v>
      </c>
      <c r="AK17" s="68">
        <v>95</v>
      </c>
      <c r="AL17" s="68">
        <v>70</v>
      </c>
      <c r="AM17" s="68">
        <v>70</v>
      </c>
      <c r="AN17" s="68">
        <v>100</v>
      </c>
      <c r="AO17" s="76">
        <v>100</v>
      </c>
      <c r="AP17" s="76">
        <v>80</v>
      </c>
      <c r="AQ17" s="76">
        <v>100</v>
      </c>
      <c r="AR17" s="76">
        <v>90</v>
      </c>
      <c r="AS17" s="76">
        <v>80</v>
      </c>
      <c r="AT17" s="70">
        <f t="shared" si="17"/>
        <v>1180</v>
      </c>
      <c r="AU17" s="71">
        <f t="shared" si="18"/>
        <v>84.285714285714292</v>
      </c>
      <c r="AV17" s="72" t="e">
        <f t="shared" si="19"/>
        <v>#N/A</v>
      </c>
      <c r="AW17" s="73"/>
      <c r="AX17" s="73"/>
      <c r="AY17" s="73"/>
      <c r="AZ17" s="74"/>
      <c r="BA17" s="74"/>
      <c r="BB17" s="74"/>
      <c r="BC17" s="75"/>
    </row>
    <row r="18" spans="1:55" ht="27.95" customHeight="1">
      <c r="A18" s="51">
        <v>15</v>
      </c>
      <c r="B18" s="142">
        <v>25260017</v>
      </c>
      <c r="C18" s="81" t="s">
        <v>732</v>
      </c>
      <c r="D18" s="68">
        <f t="shared" si="0"/>
        <v>80</v>
      </c>
      <c r="E18" s="68">
        <f t="shared" si="1"/>
        <v>75</v>
      </c>
      <c r="F18" s="68">
        <f t="shared" si="2"/>
        <v>99</v>
      </c>
      <c r="G18" s="68">
        <f t="shared" si="3"/>
        <v>70</v>
      </c>
      <c r="H18" s="68">
        <f t="shared" si="4"/>
        <v>70</v>
      </c>
      <c r="I18" s="68">
        <f t="shared" si="5"/>
        <v>80</v>
      </c>
      <c r="J18" s="68">
        <f t="shared" si="6"/>
        <v>70</v>
      </c>
      <c r="K18" s="68">
        <f t="shared" si="7"/>
        <v>85</v>
      </c>
      <c r="L18" s="68">
        <f t="shared" si="8"/>
        <v>99</v>
      </c>
      <c r="M18" s="69">
        <f t="shared" si="9"/>
        <v>99</v>
      </c>
      <c r="N18" s="69">
        <f t="shared" si="10"/>
        <v>60</v>
      </c>
      <c r="O18" s="69">
        <f t="shared" si="11"/>
        <v>99</v>
      </c>
      <c r="P18" s="69">
        <f t="shared" si="12"/>
        <v>85</v>
      </c>
      <c r="Q18" s="69">
        <f t="shared" si="13"/>
        <v>90</v>
      </c>
      <c r="R18" s="70">
        <f t="shared" si="14"/>
        <v>1161</v>
      </c>
      <c r="S18" s="71">
        <f t="shared" si="15"/>
        <v>82.928571428571431</v>
      </c>
      <c r="T18" s="72">
        <f t="shared" si="16"/>
        <v>15</v>
      </c>
      <c r="U18" s="73" t="s">
        <v>805</v>
      </c>
      <c r="V18" s="73" t="s">
        <v>805</v>
      </c>
      <c r="W18" s="73" t="s">
        <v>805</v>
      </c>
      <c r="X18" s="74"/>
      <c r="Y18" s="74"/>
      <c r="Z18" s="74"/>
      <c r="AA18" s="75"/>
      <c r="AC18" s="51">
        <v>19</v>
      </c>
      <c r="AD18" s="51">
        <v>25260017</v>
      </c>
      <c r="AE18" s="136" t="s">
        <v>732</v>
      </c>
      <c r="AF18" s="68">
        <v>80</v>
      </c>
      <c r="AG18" s="68">
        <v>75</v>
      </c>
      <c r="AH18" s="68">
        <v>100</v>
      </c>
      <c r="AI18" s="68">
        <v>70</v>
      </c>
      <c r="AJ18" s="68">
        <v>70</v>
      </c>
      <c r="AK18" s="68">
        <v>80</v>
      </c>
      <c r="AL18" s="68">
        <v>70</v>
      </c>
      <c r="AM18" s="68">
        <v>85</v>
      </c>
      <c r="AN18" s="68">
        <v>100</v>
      </c>
      <c r="AO18" s="76">
        <v>100</v>
      </c>
      <c r="AP18" s="76">
        <v>60</v>
      </c>
      <c r="AQ18" s="76">
        <v>100</v>
      </c>
      <c r="AR18" s="76">
        <v>85</v>
      </c>
      <c r="AS18" s="76">
        <v>90</v>
      </c>
      <c r="AT18" s="70">
        <f t="shared" si="17"/>
        <v>1165</v>
      </c>
      <c r="AU18" s="71">
        <f t="shared" si="18"/>
        <v>83.214285714285708</v>
      </c>
      <c r="AV18" s="72" t="e">
        <f t="shared" si="19"/>
        <v>#N/A</v>
      </c>
      <c r="AW18" s="73"/>
      <c r="AX18" s="73"/>
      <c r="AY18" s="73"/>
      <c r="AZ18" s="74"/>
      <c r="BA18" s="74"/>
      <c r="BB18" s="74"/>
      <c r="BC18" s="75"/>
    </row>
    <row r="19" spans="1:55" ht="27.95" customHeight="1">
      <c r="A19" s="51">
        <v>16</v>
      </c>
      <c r="B19" s="142">
        <v>25260032</v>
      </c>
      <c r="C19" s="81" t="s">
        <v>733</v>
      </c>
      <c r="D19" s="68">
        <f t="shared" si="0"/>
        <v>80</v>
      </c>
      <c r="E19" s="68">
        <f t="shared" si="1"/>
        <v>85</v>
      </c>
      <c r="F19" s="68">
        <f t="shared" si="2"/>
        <v>80</v>
      </c>
      <c r="G19" s="68">
        <f t="shared" si="3"/>
        <v>70</v>
      </c>
      <c r="H19" s="68">
        <f t="shared" si="4"/>
        <v>80</v>
      </c>
      <c r="I19" s="68">
        <f t="shared" si="5"/>
        <v>80</v>
      </c>
      <c r="J19" s="68">
        <f t="shared" si="6"/>
        <v>70</v>
      </c>
      <c r="K19" s="68">
        <f t="shared" si="7"/>
        <v>99</v>
      </c>
      <c r="L19" s="68">
        <f t="shared" si="8"/>
        <v>90</v>
      </c>
      <c r="M19" s="69">
        <f t="shared" si="9"/>
        <v>70</v>
      </c>
      <c r="N19" s="69">
        <f t="shared" si="10"/>
        <v>95</v>
      </c>
      <c r="O19" s="69">
        <f t="shared" si="11"/>
        <v>99</v>
      </c>
      <c r="P19" s="69">
        <f t="shared" si="12"/>
        <v>80</v>
      </c>
      <c r="Q19" s="69">
        <f t="shared" si="13"/>
        <v>70</v>
      </c>
      <c r="R19" s="70">
        <f t="shared" si="14"/>
        <v>1148</v>
      </c>
      <c r="S19" s="71">
        <f t="shared" si="15"/>
        <v>82</v>
      </c>
      <c r="T19" s="72">
        <f t="shared" si="16"/>
        <v>16</v>
      </c>
      <c r="U19" s="73" t="s">
        <v>805</v>
      </c>
      <c r="V19" s="73" t="s">
        <v>805</v>
      </c>
      <c r="W19" s="73" t="s">
        <v>805</v>
      </c>
      <c r="X19" s="74"/>
      <c r="Y19" s="74"/>
      <c r="Z19" s="74"/>
      <c r="AA19" s="75"/>
      <c r="AC19" s="51">
        <v>20</v>
      </c>
      <c r="AD19" s="51">
        <v>25260032</v>
      </c>
      <c r="AE19" s="136" t="s">
        <v>733</v>
      </c>
      <c r="AF19" s="68">
        <v>80</v>
      </c>
      <c r="AG19" s="68">
        <v>85</v>
      </c>
      <c r="AH19" s="68">
        <v>80</v>
      </c>
      <c r="AI19" s="68">
        <v>70</v>
      </c>
      <c r="AJ19" s="68">
        <v>80</v>
      </c>
      <c r="AK19" s="68">
        <v>80</v>
      </c>
      <c r="AL19" s="68">
        <v>70</v>
      </c>
      <c r="AM19" s="68">
        <v>100</v>
      </c>
      <c r="AN19" s="68">
        <v>90</v>
      </c>
      <c r="AO19" s="76">
        <v>70</v>
      </c>
      <c r="AP19" s="76">
        <v>95</v>
      </c>
      <c r="AQ19" s="76">
        <v>100</v>
      </c>
      <c r="AR19" s="76">
        <v>80</v>
      </c>
      <c r="AS19" s="76">
        <v>70</v>
      </c>
      <c r="AT19" s="70">
        <f t="shared" si="17"/>
        <v>1150</v>
      </c>
      <c r="AU19" s="71">
        <f t="shared" si="18"/>
        <v>82.142857142857139</v>
      </c>
      <c r="AV19" s="72" t="e">
        <f t="shared" si="19"/>
        <v>#N/A</v>
      </c>
      <c r="AW19" s="73"/>
      <c r="AX19" s="73"/>
      <c r="AY19" s="73"/>
      <c r="AZ19" s="74"/>
      <c r="BA19" s="74"/>
      <c r="BB19" s="74"/>
      <c r="BC19" s="75"/>
    </row>
    <row r="20" spans="1:55" ht="27.95" customHeight="1">
      <c r="A20" s="51">
        <v>17</v>
      </c>
      <c r="B20" s="142">
        <v>25260140</v>
      </c>
      <c r="C20" s="81" t="s">
        <v>728</v>
      </c>
      <c r="D20" s="68">
        <f t="shared" si="0"/>
        <v>90</v>
      </c>
      <c r="E20" s="68">
        <f t="shared" si="1"/>
        <v>80</v>
      </c>
      <c r="F20" s="68">
        <f t="shared" si="2"/>
        <v>60</v>
      </c>
      <c r="G20" s="68">
        <f t="shared" si="3"/>
        <v>70</v>
      </c>
      <c r="H20" s="68">
        <f t="shared" si="4"/>
        <v>70</v>
      </c>
      <c r="I20" s="68">
        <f t="shared" si="5"/>
        <v>90</v>
      </c>
      <c r="J20" s="68">
        <f t="shared" si="6"/>
        <v>70</v>
      </c>
      <c r="K20" s="68">
        <f t="shared" si="7"/>
        <v>99</v>
      </c>
      <c r="L20" s="68">
        <f t="shared" si="8"/>
        <v>99</v>
      </c>
      <c r="M20" s="69">
        <f t="shared" si="9"/>
        <v>60</v>
      </c>
      <c r="N20" s="69">
        <f t="shared" si="10"/>
        <v>70</v>
      </c>
      <c r="O20" s="69">
        <f t="shared" si="11"/>
        <v>99</v>
      </c>
      <c r="P20" s="69">
        <f t="shared" si="12"/>
        <v>80</v>
      </c>
      <c r="Q20" s="69">
        <f t="shared" si="13"/>
        <v>90</v>
      </c>
      <c r="R20" s="70">
        <f t="shared" si="14"/>
        <v>1127</v>
      </c>
      <c r="S20" s="71">
        <f t="shared" si="15"/>
        <v>80.5</v>
      </c>
      <c r="T20" s="72">
        <f t="shared" si="16"/>
        <v>17</v>
      </c>
      <c r="U20" s="73" t="s">
        <v>805</v>
      </c>
      <c r="V20" s="73" t="s">
        <v>805</v>
      </c>
      <c r="W20" s="73" t="s">
        <v>805</v>
      </c>
      <c r="X20" s="74"/>
      <c r="Y20" s="74"/>
      <c r="Z20" s="74"/>
      <c r="AA20" s="75"/>
      <c r="AC20" s="51">
        <v>15</v>
      </c>
      <c r="AD20" s="51">
        <v>25260140</v>
      </c>
      <c r="AE20" s="136" t="s">
        <v>728</v>
      </c>
      <c r="AF20" s="68">
        <v>90</v>
      </c>
      <c r="AG20" s="68">
        <v>80</v>
      </c>
      <c r="AH20" s="68">
        <v>60</v>
      </c>
      <c r="AI20" s="68">
        <v>70</v>
      </c>
      <c r="AJ20" s="68">
        <v>70</v>
      </c>
      <c r="AK20" s="68">
        <v>90</v>
      </c>
      <c r="AL20" s="68">
        <v>70</v>
      </c>
      <c r="AM20" s="68">
        <v>100</v>
      </c>
      <c r="AN20" s="68">
        <v>100</v>
      </c>
      <c r="AO20" s="76">
        <v>60</v>
      </c>
      <c r="AP20" s="76">
        <v>70</v>
      </c>
      <c r="AQ20" s="76">
        <v>100</v>
      </c>
      <c r="AR20" s="76">
        <v>80</v>
      </c>
      <c r="AS20" s="76">
        <v>90</v>
      </c>
      <c r="AT20" s="70">
        <f t="shared" si="17"/>
        <v>1130</v>
      </c>
      <c r="AU20" s="71">
        <f t="shared" si="18"/>
        <v>80.714285714285708</v>
      </c>
      <c r="AV20" s="72" t="e">
        <f t="shared" si="19"/>
        <v>#N/A</v>
      </c>
      <c r="AW20" s="73"/>
      <c r="AX20" s="73"/>
      <c r="AY20" s="73"/>
      <c r="AZ20" s="74"/>
      <c r="BA20" s="74"/>
      <c r="BB20" s="74"/>
      <c r="BC20" s="75"/>
    </row>
    <row r="21" spans="1:55" ht="27.95" customHeight="1">
      <c r="A21" s="51">
        <v>18</v>
      </c>
      <c r="B21" s="142">
        <v>25260122</v>
      </c>
      <c r="C21" s="81" t="s">
        <v>721</v>
      </c>
      <c r="D21" s="68">
        <f t="shared" si="0"/>
        <v>60</v>
      </c>
      <c r="E21" s="68">
        <f t="shared" si="1"/>
        <v>80</v>
      </c>
      <c r="F21" s="68">
        <f t="shared" si="2"/>
        <v>95</v>
      </c>
      <c r="G21" s="68">
        <f t="shared" si="3"/>
        <v>70</v>
      </c>
      <c r="H21" s="68">
        <f t="shared" si="4"/>
        <v>80</v>
      </c>
      <c r="I21" s="68">
        <f t="shared" si="5"/>
        <v>60</v>
      </c>
      <c r="J21" s="68">
        <f t="shared" si="6"/>
        <v>70</v>
      </c>
      <c r="K21" s="68">
        <f t="shared" si="7"/>
        <v>99</v>
      </c>
      <c r="L21" s="68">
        <f t="shared" si="8"/>
        <v>90</v>
      </c>
      <c r="M21" s="69">
        <f t="shared" si="9"/>
        <v>75</v>
      </c>
      <c r="N21" s="69">
        <f t="shared" si="10"/>
        <v>65</v>
      </c>
      <c r="O21" s="69">
        <f t="shared" si="11"/>
        <v>99</v>
      </c>
      <c r="P21" s="69">
        <f t="shared" si="12"/>
        <v>80</v>
      </c>
      <c r="Q21" s="69">
        <f t="shared" si="13"/>
        <v>80</v>
      </c>
      <c r="R21" s="70">
        <f t="shared" si="14"/>
        <v>1103</v>
      </c>
      <c r="S21" s="71">
        <f t="shared" si="15"/>
        <v>78.785714285714292</v>
      </c>
      <c r="T21" s="72">
        <f t="shared" si="16"/>
        <v>18</v>
      </c>
      <c r="U21" s="73" t="s">
        <v>805</v>
      </c>
      <c r="V21" s="73" t="s">
        <v>805</v>
      </c>
      <c r="W21" s="73" t="s">
        <v>805</v>
      </c>
      <c r="X21" s="74"/>
      <c r="Y21" s="74"/>
      <c r="Z21" s="74"/>
      <c r="AA21" s="75"/>
      <c r="AC21" s="51">
        <v>7</v>
      </c>
      <c r="AD21" s="51">
        <v>25260122</v>
      </c>
      <c r="AE21" s="136" t="s">
        <v>721</v>
      </c>
      <c r="AF21" s="68">
        <v>60</v>
      </c>
      <c r="AG21" s="68">
        <v>80</v>
      </c>
      <c r="AH21" s="68">
        <v>95</v>
      </c>
      <c r="AI21" s="68">
        <v>70</v>
      </c>
      <c r="AJ21" s="68">
        <v>80</v>
      </c>
      <c r="AK21" s="68">
        <v>60</v>
      </c>
      <c r="AL21" s="68">
        <v>70</v>
      </c>
      <c r="AM21" s="68">
        <v>100</v>
      </c>
      <c r="AN21" s="68">
        <v>90</v>
      </c>
      <c r="AO21" s="76">
        <v>75</v>
      </c>
      <c r="AP21" s="76">
        <v>65</v>
      </c>
      <c r="AQ21" s="76">
        <v>100</v>
      </c>
      <c r="AR21" s="76">
        <v>80</v>
      </c>
      <c r="AS21" s="76">
        <v>80</v>
      </c>
      <c r="AT21" s="70">
        <f t="shared" si="17"/>
        <v>1105</v>
      </c>
      <c r="AU21" s="71">
        <f t="shared" si="18"/>
        <v>78.928571428571431</v>
      </c>
      <c r="AV21" s="72" t="e">
        <f t="shared" si="19"/>
        <v>#N/A</v>
      </c>
      <c r="AW21" s="73"/>
      <c r="AX21" s="73"/>
      <c r="AY21" s="73"/>
      <c r="AZ21" s="74"/>
      <c r="BA21" s="74"/>
      <c r="BB21" s="74"/>
      <c r="BC21" s="75"/>
    </row>
    <row r="22" spans="1:55" ht="27.95" customHeight="1">
      <c r="A22" s="51">
        <v>19</v>
      </c>
      <c r="B22" s="142">
        <v>25260068</v>
      </c>
      <c r="C22" s="81" t="s">
        <v>716</v>
      </c>
      <c r="D22" s="68">
        <f t="shared" si="0"/>
        <v>65</v>
      </c>
      <c r="E22" s="68">
        <f t="shared" si="1"/>
        <v>85</v>
      </c>
      <c r="F22" s="68">
        <f t="shared" si="2"/>
        <v>75</v>
      </c>
      <c r="G22" s="68">
        <f t="shared" si="3"/>
        <v>70</v>
      </c>
      <c r="H22" s="68">
        <f t="shared" si="4"/>
        <v>70</v>
      </c>
      <c r="I22" s="68">
        <f t="shared" si="5"/>
        <v>65</v>
      </c>
      <c r="J22" s="68">
        <f t="shared" si="6"/>
        <v>60</v>
      </c>
      <c r="K22" s="68">
        <f t="shared" si="7"/>
        <v>99</v>
      </c>
      <c r="L22" s="68">
        <f t="shared" si="8"/>
        <v>99</v>
      </c>
      <c r="M22" s="69">
        <f t="shared" si="9"/>
        <v>70</v>
      </c>
      <c r="N22" s="69">
        <f t="shared" si="10"/>
        <v>80</v>
      </c>
      <c r="O22" s="69">
        <f t="shared" si="11"/>
        <v>99</v>
      </c>
      <c r="P22" s="69">
        <f t="shared" si="12"/>
        <v>70</v>
      </c>
      <c r="Q22" s="69">
        <f t="shared" si="13"/>
        <v>80</v>
      </c>
      <c r="R22" s="70">
        <f t="shared" si="14"/>
        <v>1087</v>
      </c>
      <c r="S22" s="71">
        <f t="shared" si="15"/>
        <v>77.642857142857139</v>
      </c>
      <c r="T22" s="72">
        <f t="shared" si="16"/>
        <v>19</v>
      </c>
      <c r="U22" s="73" t="s">
        <v>805</v>
      </c>
      <c r="V22" s="73" t="s">
        <v>805</v>
      </c>
      <c r="W22" s="73" t="s">
        <v>805</v>
      </c>
      <c r="X22" s="74"/>
      <c r="Y22" s="74"/>
      <c r="Z22" s="74"/>
      <c r="AA22" s="75"/>
      <c r="AC22" s="51">
        <v>1</v>
      </c>
      <c r="AD22" s="51">
        <v>25260068</v>
      </c>
      <c r="AE22" s="136" t="s">
        <v>716</v>
      </c>
      <c r="AF22" s="68">
        <v>65</v>
      </c>
      <c r="AG22" s="68">
        <v>85</v>
      </c>
      <c r="AH22" s="68">
        <v>75</v>
      </c>
      <c r="AI22" s="68">
        <v>70</v>
      </c>
      <c r="AJ22" s="68">
        <v>70</v>
      </c>
      <c r="AK22" s="68">
        <v>65</v>
      </c>
      <c r="AL22" s="68">
        <v>60</v>
      </c>
      <c r="AM22" s="68">
        <v>100</v>
      </c>
      <c r="AN22" s="68">
        <v>100</v>
      </c>
      <c r="AO22" s="76">
        <v>70</v>
      </c>
      <c r="AP22" s="76">
        <v>80</v>
      </c>
      <c r="AQ22" s="76">
        <v>100</v>
      </c>
      <c r="AR22" s="76">
        <v>70</v>
      </c>
      <c r="AS22" s="76">
        <v>80</v>
      </c>
      <c r="AT22" s="70">
        <f t="shared" si="17"/>
        <v>1090</v>
      </c>
      <c r="AU22" s="71">
        <f t="shared" si="18"/>
        <v>77.857142857142861</v>
      </c>
      <c r="AV22" s="72" t="e">
        <f t="shared" si="19"/>
        <v>#N/A</v>
      </c>
      <c r="AW22" s="73"/>
      <c r="AX22" s="73"/>
      <c r="AY22" s="73"/>
      <c r="AZ22" s="74"/>
      <c r="BA22" s="74"/>
      <c r="BB22" s="74"/>
      <c r="BC22" s="75"/>
    </row>
    <row r="23" spans="1:55" ht="27.95" customHeight="1">
      <c r="A23" s="51">
        <v>20</v>
      </c>
      <c r="B23" s="142">
        <v>25260127</v>
      </c>
      <c r="C23" s="81" t="s">
        <v>725</v>
      </c>
      <c r="D23" s="68">
        <f t="shared" si="0"/>
        <v>90</v>
      </c>
      <c r="E23" s="68">
        <f t="shared" si="1"/>
        <v>75</v>
      </c>
      <c r="F23" s="68">
        <f t="shared" si="2"/>
        <v>60</v>
      </c>
      <c r="G23" s="68">
        <f t="shared" si="3"/>
        <v>70</v>
      </c>
      <c r="H23" s="68">
        <f t="shared" si="4"/>
        <v>70</v>
      </c>
      <c r="I23" s="68">
        <f t="shared" si="5"/>
        <v>90</v>
      </c>
      <c r="J23" s="68">
        <f t="shared" si="6"/>
        <v>60</v>
      </c>
      <c r="K23" s="68">
        <f t="shared" si="7"/>
        <v>80</v>
      </c>
      <c r="L23" s="68">
        <f t="shared" si="8"/>
        <v>90</v>
      </c>
      <c r="M23" s="69">
        <f t="shared" si="9"/>
        <v>75</v>
      </c>
      <c r="N23" s="69">
        <f t="shared" si="10"/>
        <v>75</v>
      </c>
      <c r="O23" s="69">
        <f t="shared" si="11"/>
        <v>99</v>
      </c>
      <c r="P23" s="69">
        <f t="shared" si="12"/>
        <v>70</v>
      </c>
      <c r="Q23" s="69">
        <f t="shared" si="13"/>
        <v>80</v>
      </c>
      <c r="R23" s="70">
        <f t="shared" si="14"/>
        <v>1084</v>
      </c>
      <c r="S23" s="71">
        <f t="shared" si="15"/>
        <v>77.428571428571431</v>
      </c>
      <c r="T23" s="72">
        <f t="shared" si="16"/>
        <v>20</v>
      </c>
      <c r="U23" s="73" t="s">
        <v>805</v>
      </c>
      <c r="V23" s="73" t="s">
        <v>805</v>
      </c>
      <c r="W23" s="73" t="s">
        <v>805</v>
      </c>
      <c r="X23" s="74"/>
      <c r="Y23" s="74"/>
      <c r="Z23" s="74"/>
      <c r="AA23" s="75"/>
      <c r="AC23" s="51">
        <v>12</v>
      </c>
      <c r="AD23" s="51">
        <v>25260127</v>
      </c>
      <c r="AE23" s="136" t="s">
        <v>725</v>
      </c>
      <c r="AF23" s="68">
        <v>90</v>
      </c>
      <c r="AG23" s="68">
        <v>75</v>
      </c>
      <c r="AH23" s="68">
        <v>60</v>
      </c>
      <c r="AI23" s="68">
        <v>70</v>
      </c>
      <c r="AJ23" s="68">
        <v>70</v>
      </c>
      <c r="AK23" s="68">
        <v>90</v>
      </c>
      <c r="AL23" s="68">
        <v>60</v>
      </c>
      <c r="AM23" s="68">
        <v>80</v>
      </c>
      <c r="AN23" s="68">
        <v>90</v>
      </c>
      <c r="AO23" s="76">
        <v>75</v>
      </c>
      <c r="AP23" s="76">
        <v>75</v>
      </c>
      <c r="AQ23" s="76">
        <v>100</v>
      </c>
      <c r="AR23" s="76">
        <v>70</v>
      </c>
      <c r="AS23" s="76">
        <v>80</v>
      </c>
      <c r="AT23" s="70">
        <f t="shared" si="17"/>
        <v>1085</v>
      </c>
      <c r="AU23" s="71">
        <f t="shared" si="18"/>
        <v>77.5</v>
      </c>
      <c r="AV23" s="72" t="e">
        <f t="shared" si="19"/>
        <v>#N/A</v>
      </c>
      <c r="AW23" s="73"/>
      <c r="AX23" s="73"/>
      <c r="AY23" s="73"/>
      <c r="AZ23" s="74"/>
      <c r="BA23" s="74"/>
      <c r="BB23" s="74"/>
      <c r="BC23" s="75"/>
    </row>
    <row r="24" spans="1:55" ht="27.95" customHeight="1">
      <c r="A24" s="51">
        <v>21</v>
      </c>
      <c r="B24" s="142">
        <v>25260026</v>
      </c>
      <c r="C24" s="81" t="s">
        <v>739</v>
      </c>
      <c r="D24" s="68">
        <f t="shared" si="0"/>
        <v>70</v>
      </c>
      <c r="E24" s="68">
        <f t="shared" si="1"/>
        <v>70</v>
      </c>
      <c r="F24" s="68">
        <f t="shared" si="2"/>
        <v>75</v>
      </c>
      <c r="G24" s="68">
        <f t="shared" si="3"/>
        <v>70</v>
      </c>
      <c r="H24" s="68">
        <f t="shared" si="4"/>
        <v>80</v>
      </c>
      <c r="I24" s="68">
        <f t="shared" si="5"/>
        <v>70</v>
      </c>
      <c r="J24" s="68">
        <f t="shared" si="6"/>
        <v>60</v>
      </c>
      <c r="K24" s="68">
        <f t="shared" si="7"/>
        <v>95</v>
      </c>
      <c r="L24" s="68">
        <f t="shared" si="8"/>
        <v>75</v>
      </c>
      <c r="M24" s="69">
        <f t="shared" si="9"/>
        <v>85</v>
      </c>
      <c r="N24" s="69">
        <f t="shared" si="10"/>
        <v>80</v>
      </c>
      <c r="O24" s="69">
        <f t="shared" si="11"/>
        <v>99</v>
      </c>
      <c r="P24" s="69">
        <f t="shared" si="12"/>
        <v>70</v>
      </c>
      <c r="Q24" s="69">
        <f t="shared" si="13"/>
        <v>75</v>
      </c>
      <c r="R24" s="70">
        <f t="shared" si="14"/>
        <v>1074</v>
      </c>
      <c r="S24" s="71">
        <f t="shared" si="15"/>
        <v>76.714285714285708</v>
      </c>
      <c r="T24" s="72">
        <f t="shared" si="16"/>
        <v>21</v>
      </c>
      <c r="U24" s="73" t="s">
        <v>805</v>
      </c>
      <c r="V24" s="73" t="s">
        <v>805</v>
      </c>
      <c r="W24" s="73" t="s">
        <v>805</v>
      </c>
      <c r="X24" s="74"/>
      <c r="Y24" s="74"/>
      <c r="Z24" s="74"/>
      <c r="AA24" s="75"/>
      <c r="AC24" s="51">
        <v>26</v>
      </c>
      <c r="AD24" s="51">
        <v>25260026</v>
      </c>
      <c r="AE24" s="136" t="s">
        <v>739</v>
      </c>
      <c r="AF24" s="68">
        <v>70</v>
      </c>
      <c r="AG24" s="68">
        <v>70</v>
      </c>
      <c r="AH24" s="68">
        <v>75</v>
      </c>
      <c r="AI24" s="68">
        <v>70</v>
      </c>
      <c r="AJ24" s="68">
        <v>80</v>
      </c>
      <c r="AK24" s="68">
        <v>70</v>
      </c>
      <c r="AL24" s="68">
        <v>60</v>
      </c>
      <c r="AM24" s="68">
        <v>95</v>
      </c>
      <c r="AN24" s="68">
        <v>75</v>
      </c>
      <c r="AO24" s="76">
        <v>85</v>
      </c>
      <c r="AP24" s="76">
        <v>80</v>
      </c>
      <c r="AQ24" s="76">
        <v>100</v>
      </c>
      <c r="AR24" s="76">
        <v>70</v>
      </c>
      <c r="AS24" s="76">
        <v>75</v>
      </c>
      <c r="AT24" s="70">
        <f t="shared" si="17"/>
        <v>1075</v>
      </c>
      <c r="AU24" s="71">
        <f t="shared" si="18"/>
        <v>76.785714285714292</v>
      </c>
      <c r="AV24" s="72" t="e">
        <f t="shared" si="19"/>
        <v>#N/A</v>
      </c>
      <c r="AW24" s="73"/>
      <c r="AX24" s="73"/>
      <c r="AY24" s="73"/>
      <c r="AZ24" s="74"/>
      <c r="BA24" s="74"/>
      <c r="BB24" s="74"/>
      <c r="BC24" s="75"/>
    </row>
    <row r="25" spans="1:55" ht="27.95" customHeight="1">
      <c r="A25" s="51">
        <v>22</v>
      </c>
      <c r="B25" s="142">
        <v>25260070</v>
      </c>
      <c r="C25" s="81" t="s">
        <v>738</v>
      </c>
      <c r="D25" s="68">
        <f t="shared" si="0"/>
        <v>90</v>
      </c>
      <c r="E25" s="68">
        <f t="shared" si="1"/>
        <v>70</v>
      </c>
      <c r="F25" s="68">
        <f t="shared" si="2"/>
        <v>70</v>
      </c>
      <c r="G25" s="68">
        <f t="shared" si="3"/>
        <v>70</v>
      </c>
      <c r="H25" s="68">
        <f t="shared" si="4"/>
        <v>70</v>
      </c>
      <c r="I25" s="68">
        <f t="shared" si="5"/>
        <v>90</v>
      </c>
      <c r="J25" s="68">
        <f t="shared" si="6"/>
        <v>60</v>
      </c>
      <c r="K25" s="68">
        <f t="shared" si="7"/>
        <v>80</v>
      </c>
      <c r="L25" s="68">
        <f t="shared" si="8"/>
        <v>80</v>
      </c>
      <c r="M25" s="69">
        <f t="shared" si="9"/>
        <v>70</v>
      </c>
      <c r="N25" s="69">
        <f t="shared" si="10"/>
        <v>80</v>
      </c>
      <c r="O25" s="69">
        <f t="shared" si="11"/>
        <v>70</v>
      </c>
      <c r="P25" s="69">
        <f t="shared" si="12"/>
        <v>70</v>
      </c>
      <c r="Q25" s="69">
        <f t="shared" si="13"/>
        <v>70</v>
      </c>
      <c r="R25" s="70">
        <f t="shared" si="14"/>
        <v>1040</v>
      </c>
      <c r="S25" s="71">
        <f t="shared" si="15"/>
        <v>74.285714285714292</v>
      </c>
      <c r="T25" s="72">
        <f t="shared" si="16"/>
        <v>22</v>
      </c>
      <c r="U25" s="73" t="s">
        <v>805</v>
      </c>
      <c r="V25" s="73" t="s">
        <v>805</v>
      </c>
      <c r="W25" s="73" t="s">
        <v>805</v>
      </c>
      <c r="X25" s="74"/>
      <c r="Y25" s="74"/>
      <c r="Z25" s="74"/>
      <c r="AA25" s="75"/>
      <c r="AC25" s="51">
        <v>25</v>
      </c>
      <c r="AD25" s="51">
        <v>25260070</v>
      </c>
      <c r="AE25" s="136" t="s">
        <v>738</v>
      </c>
      <c r="AF25" s="68">
        <v>90</v>
      </c>
      <c r="AG25" s="68">
        <v>70</v>
      </c>
      <c r="AH25" s="68">
        <v>70</v>
      </c>
      <c r="AI25" s="68">
        <v>70</v>
      </c>
      <c r="AJ25" s="68">
        <v>70</v>
      </c>
      <c r="AK25" s="68">
        <v>90</v>
      </c>
      <c r="AL25" s="68">
        <v>60</v>
      </c>
      <c r="AM25" s="68">
        <v>80</v>
      </c>
      <c r="AN25" s="68">
        <v>80</v>
      </c>
      <c r="AO25" s="76">
        <v>70</v>
      </c>
      <c r="AP25" s="76">
        <v>80</v>
      </c>
      <c r="AQ25" s="76">
        <v>70</v>
      </c>
      <c r="AR25" s="76">
        <v>70</v>
      </c>
      <c r="AS25" s="76">
        <v>70</v>
      </c>
      <c r="AT25" s="70">
        <f t="shared" si="17"/>
        <v>1040</v>
      </c>
      <c r="AU25" s="71">
        <f t="shared" si="18"/>
        <v>74.285714285714292</v>
      </c>
      <c r="AV25" s="72">
        <f t="shared" si="19"/>
        <v>22</v>
      </c>
      <c r="AW25" s="73"/>
      <c r="AX25" s="73"/>
      <c r="AY25" s="73"/>
      <c r="AZ25" s="74"/>
      <c r="BA25" s="74"/>
      <c r="BB25" s="74"/>
      <c r="BC25" s="75"/>
    </row>
    <row r="26" spans="1:55" ht="27.95" customHeight="1">
      <c r="A26" s="51">
        <v>23</v>
      </c>
      <c r="B26" s="142">
        <v>25260023</v>
      </c>
      <c r="C26" s="81" t="s">
        <v>718</v>
      </c>
      <c r="D26" s="68">
        <f t="shared" si="0"/>
        <v>65</v>
      </c>
      <c r="E26" s="68">
        <f t="shared" si="1"/>
        <v>70</v>
      </c>
      <c r="F26" s="68">
        <f t="shared" si="2"/>
        <v>70</v>
      </c>
      <c r="G26" s="68">
        <f t="shared" si="3"/>
        <v>70</v>
      </c>
      <c r="H26" s="68">
        <f t="shared" si="4"/>
        <v>60</v>
      </c>
      <c r="I26" s="68">
        <f t="shared" si="5"/>
        <v>65</v>
      </c>
      <c r="J26" s="68">
        <f t="shared" si="6"/>
        <v>60</v>
      </c>
      <c r="K26" s="68">
        <f t="shared" si="7"/>
        <v>80</v>
      </c>
      <c r="L26" s="68">
        <f t="shared" si="8"/>
        <v>90</v>
      </c>
      <c r="M26" s="69">
        <f t="shared" si="9"/>
        <v>60</v>
      </c>
      <c r="N26" s="69">
        <f t="shared" si="10"/>
        <v>60</v>
      </c>
      <c r="O26" s="69">
        <f t="shared" si="11"/>
        <v>70</v>
      </c>
      <c r="P26" s="69">
        <f t="shared" si="12"/>
        <v>70</v>
      </c>
      <c r="Q26" s="69">
        <f t="shared" si="13"/>
        <v>80</v>
      </c>
      <c r="R26" s="70">
        <f t="shared" si="14"/>
        <v>970</v>
      </c>
      <c r="S26" s="71">
        <f t="shared" si="15"/>
        <v>69.285714285714292</v>
      </c>
      <c r="T26" s="72">
        <f t="shared" si="16"/>
        <v>23</v>
      </c>
      <c r="U26" s="73" t="s">
        <v>805</v>
      </c>
      <c r="V26" s="73" t="s">
        <v>805</v>
      </c>
      <c r="W26" s="73" t="s">
        <v>805</v>
      </c>
      <c r="X26" s="74"/>
      <c r="Y26" s="74"/>
      <c r="Z26" s="74"/>
      <c r="AA26" s="75"/>
      <c r="AC26" s="51">
        <v>4</v>
      </c>
      <c r="AD26" s="51">
        <v>25260023</v>
      </c>
      <c r="AE26" s="136" t="s">
        <v>718</v>
      </c>
      <c r="AF26" s="68">
        <v>65</v>
      </c>
      <c r="AG26" s="68">
        <v>70</v>
      </c>
      <c r="AH26" s="68">
        <v>70</v>
      </c>
      <c r="AI26" s="68">
        <v>70</v>
      </c>
      <c r="AJ26" s="68">
        <v>60</v>
      </c>
      <c r="AK26" s="68">
        <v>65</v>
      </c>
      <c r="AL26" s="68">
        <v>60</v>
      </c>
      <c r="AM26" s="68">
        <v>80</v>
      </c>
      <c r="AN26" s="68">
        <v>90</v>
      </c>
      <c r="AO26" s="76">
        <v>60</v>
      </c>
      <c r="AP26" s="76">
        <v>60</v>
      </c>
      <c r="AQ26" s="76">
        <v>70</v>
      </c>
      <c r="AR26" s="76">
        <v>70</v>
      </c>
      <c r="AS26" s="76">
        <v>80</v>
      </c>
      <c r="AT26" s="70">
        <f t="shared" si="17"/>
        <v>970</v>
      </c>
      <c r="AU26" s="71">
        <f t="shared" si="18"/>
        <v>69.285714285714292</v>
      </c>
      <c r="AV26" s="72">
        <f t="shared" si="19"/>
        <v>23</v>
      </c>
      <c r="AW26" s="73"/>
      <c r="AX26" s="73"/>
      <c r="AY26" s="73"/>
      <c r="AZ26" s="74"/>
      <c r="BA26" s="74"/>
      <c r="BB26" s="74"/>
      <c r="BC26" s="75"/>
    </row>
    <row r="27" spans="1:55" ht="27.95" customHeight="1">
      <c r="A27" s="51">
        <v>24</v>
      </c>
      <c r="B27" s="142">
        <v>25260098</v>
      </c>
      <c r="C27" s="81" t="s">
        <v>731</v>
      </c>
      <c r="D27" s="68">
        <f t="shared" si="0"/>
        <v>60</v>
      </c>
      <c r="E27" s="68">
        <f t="shared" si="1"/>
        <v>70</v>
      </c>
      <c r="F27" s="68">
        <f t="shared" si="2"/>
        <v>70</v>
      </c>
      <c r="G27" s="68">
        <f t="shared" si="3"/>
        <v>70</v>
      </c>
      <c r="H27" s="68">
        <f t="shared" si="4"/>
        <v>60</v>
      </c>
      <c r="I27" s="68">
        <f t="shared" si="5"/>
        <v>60</v>
      </c>
      <c r="J27" s="68">
        <f t="shared" si="6"/>
        <v>60</v>
      </c>
      <c r="K27" s="68">
        <f t="shared" si="7"/>
        <v>65</v>
      </c>
      <c r="L27" s="68">
        <f t="shared" si="8"/>
        <v>80</v>
      </c>
      <c r="M27" s="69">
        <f t="shared" si="9"/>
        <v>70</v>
      </c>
      <c r="N27" s="69">
        <f t="shared" si="10"/>
        <v>60</v>
      </c>
      <c r="O27" s="69">
        <f t="shared" si="11"/>
        <v>70</v>
      </c>
      <c r="P27" s="69">
        <f t="shared" si="12"/>
        <v>90</v>
      </c>
      <c r="Q27" s="69">
        <f t="shared" si="13"/>
        <v>70</v>
      </c>
      <c r="R27" s="70">
        <f t="shared" si="14"/>
        <v>955</v>
      </c>
      <c r="S27" s="71">
        <f t="shared" si="15"/>
        <v>68.214285714285708</v>
      </c>
      <c r="T27" s="72">
        <f t="shared" si="16"/>
        <v>24</v>
      </c>
      <c r="U27" s="73" t="s">
        <v>805</v>
      </c>
      <c r="V27" s="73" t="s">
        <v>805</v>
      </c>
      <c r="W27" s="73" t="s">
        <v>805</v>
      </c>
      <c r="X27" s="74"/>
      <c r="Y27" s="74"/>
      <c r="Z27" s="74"/>
      <c r="AA27" s="75"/>
      <c r="AC27" s="51">
        <v>18</v>
      </c>
      <c r="AD27" s="51">
        <v>25260098</v>
      </c>
      <c r="AE27" s="136" t="s">
        <v>731</v>
      </c>
      <c r="AF27" s="68">
        <v>60</v>
      </c>
      <c r="AG27" s="68">
        <v>70</v>
      </c>
      <c r="AH27" s="68">
        <v>70</v>
      </c>
      <c r="AI27" s="68">
        <v>70</v>
      </c>
      <c r="AJ27" s="68">
        <v>60</v>
      </c>
      <c r="AK27" s="68">
        <v>60</v>
      </c>
      <c r="AL27" s="68">
        <v>60</v>
      </c>
      <c r="AM27" s="68">
        <v>65</v>
      </c>
      <c r="AN27" s="68">
        <v>80</v>
      </c>
      <c r="AO27" s="76">
        <v>70</v>
      </c>
      <c r="AP27" s="76">
        <v>60</v>
      </c>
      <c r="AQ27" s="76">
        <v>70</v>
      </c>
      <c r="AR27" s="76">
        <v>90</v>
      </c>
      <c r="AS27" s="76">
        <v>70</v>
      </c>
      <c r="AT27" s="70">
        <f t="shared" si="17"/>
        <v>955</v>
      </c>
      <c r="AU27" s="71">
        <f t="shared" si="18"/>
        <v>68.214285714285708</v>
      </c>
      <c r="AV27" s="72">
        <f t="shared" si="19"/>
        <v>24</v>
      </c>
      <c r="AW27" s="73"/>
      <c r="AX27" s="73"/>
      <c r="AY27" s="73"/>
      <c r="AZ27" s="74"/>
      <c r="BA27" s="74"/>
      <c r="BB27" s="74"/>
      <c r="BC27" s="75"/>
    </row>
    <row r="28" spans="1:55">
      <c r="A28" s="267" t="s">
        <v>202</v>
      </c>
      <c r="B28" s="268"/>
      <c r="C28" s="269"/>
      <c r="D28" s="72">
        <f t="shared" ref="D28:Q28" si="20">SUM(D4:D27)</f>
        <v>2099</v>
      </c>
      <c r="E28" s="72">
        <f t="shared" si="20"/>
        <v>2005</v>
      </c>
      <c r="F28" s="72">
        <f t="shared" si="20"/>
        <v>2071</v>
      </c>
      <c r="G28" s="72">
        <f t="shared" si="20"/>
        <v>1881</v>
      </c>
      <c r="H28" s="72">
        <f t="shared" si="20"/>
        <v>1926</v>
      </c>
      <c r="I28" s="72">
        <f t="shared" si="20"/>
        <v>2099</v>
      </c>
      <c r="J28" s="72">
        <f t="shared" si="20"/>
        <v>1748</v>
      </c>
      <c r="K28" s="72">
        <f t="shared" si="20"/>
        <v>2226</v>
      </c>
      <c r="L28" s="72">
        <f t="shared" si="20"/>
        <v>2251</v>
      </c>
      <c r="M28" s="72">
        <f t="shared" si="20"/>
        <v>1937</v>
      </c>
      <c r="N28" s="72">
        <f t="shared" si="20"/>
        <v>1849</v>
      </c>
      <c r="O28" s="72">
        <f t="shared" si="20"/>
        <v>2289</v>
      </c>
      <c r="P28" s="72">
        <f t="shared" si="20"/>
        <v>2036</v>
      </c>
      <c r="Q28" s="72">
        <f t="shared" si="20"/>
        <v>2081</v>
      </c>
      <c r="R28" s="81"/>
      <c r="S28" s="81"/>
      <c r="T28" s="81"/>
      <c r="U28" s="81"/>
      <c r="V28" s="81"/>
      <c r="W28" s="81"/>
      <c r="X28" s="81"/>
      <c r="Y28" s="81"/>
      <c r="Z28" s="81"/>
      <c r="AA28" s="82"/>
      <c r="AC28" s="267" t="s">
        <v>202</v>
      </c>
      <c r="AD28" s="268"/>
      <c r="AE28" s="269"/>
      <c r="AF28" s="72">
        <f t="shared" ref="AF28:AS28" si="21">SUM(AF4:AF27)</f>
        <v>2105</v>
      </c>
      <c r="AG28" s="72">
        <f t="shared" si="21"/>
        <v>2010</v>
      </c>
      <c r="AH28" s="72">
        <f t="shared" si="21"/>
        <v>2080</v>
      </c>
      <c r="AI28" s="72">
        <f t="shared" si="21"/>
        <v>1885</v>
      </c>
      <c r="AJ28" s="72">
        <f t="shared" si="21"/>
        <v>1930</v>
      </c>
      <c r="AK28" s="72">
        <f t="shared" si="21"/>
        <v>2105</v>
      </c>
      <c r="AL28" s="72">
        <f t="shared" si="21"/>
        <v>1750</v>
      </c>
      <c r="AM28" s="72">
        <f t="shared" si="21"/>
        <v>2240</v>
      </c>
      <c r="AN28" s="72">
        <f t="shared" si="21"/>
        <v>2265</v>
      </c>
      <c r="AO28" s="72">
        <f t="shared" si="21"/>
        <v>1945</v>
      </c>
      <c r="AP28" s="72">
        <f t="shared" si="21"/>
        <v>1850</v>
      </c>
      <c r="AQ28" s="72">
        <f t="shared" si="21"/>
        <v>2310</v>
      </c>
      <c r="AR28" s="72">
        <f t="shared" si="21"/>
        <v>2040</v>
      </c>
      <c r="AS28" s="72">
        <f t="shared" si="21"/>
        <v>2085</v>
      </c>
      <c r="AT28" s="81"/>
      <c r="AU28" s="81"/>
      <c r="AV28" s="81"/>
      <c r="AW28" s="81"/>
      <c r="AX28" s="81"/>
      <c r="AY28" s="81"/>
      <c r="AZ28" s="81"/>
      <c r="BA28" s="81"/>
      <c r="BB28" s="81"/>
      <c r="BC28" s="82"/>
    </row>
    <row r="29" spans="1:55">
      <c r="A29" s="267" t="s">
        <v>203</v>
      </c>
      <c r="B29" s="268"/>
      <c r="C29" s="269"/>
      <c r="D29" s="72">
        <f t="shared" ref="D29:Q29" si="22">AVERAGE(D4:D27)</f>
        <v>87.458333333333329</v>
      </c>
      <c r="E29" s="72">
        <f t="shared" si="22"/>
        <v>83.541666666666671</v>
      </c>
      <c r="F29" s="72">
        <f t="shared" si="22"/>
        <v>86.291666666666671</v>
      </c>
      <c r="G29" s="72">
        <f t="shared" si="22"/>
        <v>78.375</v>
      </c>
      <c r="H29" s="72">
        <f t="shared" si="22"/>
        <v>80.25</v>
      </c>
      <c r="I29" s="72">
        <f t="shared" si="22"/>
        <v>87.458333333333329</v>
      </c>
      <c r="J29" s="72">
        <f t="shared" si="22"/>
        <v>72.833333333333329</v>
      </c>
      <c r="K29" s="72">
        <f t="shared" si="22"/>
        <v>92.75</v>
      </c>
      <c r="L29" s="72">
        <f t="shared" si="22"/>
        <v>93.791666666666671</v>
      </c>
      <c r="M29" s="72">
        <f t="shared" si="22"/>
        <v>80.708333333333329</v>
      </c>
      <c r="N29" s="72">
        <f t="shared" si="22"/>
        <v>77.041666666666671</v>
      </c>
      <c r="O29" s="72">
        <f t="shared" si="22"/>
        <v>95.375</v>
      </c>
      <c r="P29" s="72">
        <f t="shared" si="22"/>
        <v>84.833333333333329</v>
      </c>
      <c r="Q29" s="72">
        <f t="shared" si="22"/>
        <v>86.708333333333329</v>
      </c>
      <c r="R29" s="81"/>
      <c r="S29" s="81"/>
      <c r="T29" s="81"/>
      <c r="U29" s="81"/>
      <c r="V29" s="81"/>
      <c r="W29" s="81"/>
      <c r="X29" s="81"/>
      <c r="Y29" s="81"/>
      <c r="Z29" s="81"/>
      <c r="AA29" s="82"/>
      <c r="AC29" s="267" t="s">
        <v>203</v>
      </c>
      <c r="AD29" s="268"/>
      <c r="AE29" s="269"/>
      <c r="AF29" s="72">
        <f t="shared" ref="AF29:AS29" si="23">AVERAGE(AF4:AF27)</f>
        <v>87.708333333333329</v>
      </c>
      <c r="AG29" s="72">
        <f t="shared" si="23"/>
        <v>83.75</v>
      </c>
      <c r="AH29" s="72">
        <f t="shared" si="23"/>
        <v>86.666666666666671</v>
      </c>
      <c r="AI29" s="72">
        <f t="shared" si="23"/>
        <v>78.541666666666671</v>
      </c>
      <c r="AJ29" s="72">
        <f t="shared" si="23"/>
        <v>80.416666666666671</v>
      </c>
      <c r="AK29" s="72">
        <f t="shared" si="23"/>
        <v>87.708333333333329</v>
      </c>
      <c r="AL29" s="72">
        <f t="shared" si="23"/>
        <v>72.916666666666671</v>
      </c>
      <c r="AM29" s="72">
        <f t="shared" si="23"/>
        <v>93.333333333333329</v>
      </c>
      <c r="AN29" s="72">
        <f t="shared" si="23"/>
        <v>94.375</v>
      </c>
      <c r="AO29" s="72">
        <f t="shared" si="23"/>
        <v>81.041666666666671</v>
      </c>
      <c r="AP29" s="72">
        <f t="shared" si="23"/>
        <v>77.083333333333329</v>
      </c>
      <c r="AQ29" s="72">
        <f t="shared" si="23"/>
        <v>96.25</v>
      </c>
      <c r="AR29" s="72">
        <f t="shared" si="23"/>
        <v>85</v>
      </c>
      <c r="AS29" s="72">
        <f t="shared" si="23"/>
        <v>86.875</v>
      </c>
      <c r="AT29" s="81"/>
      <c r="AU29" s="81"/>
      <c r="AV29" s="81"/>
      <c r="AW29" s="81"/>
      <c r="AX29" s="81"/>
      <c r="AY29" s="81"/>
      <c r="AZ29" s="81"/>
      <c r="BA29" s="81"/>
      <c r="BB29" s="81"/>
      <c r="BC29" s="82"/>
    </row>
    <row r="30" spans="1:55" s="83" customFormat="1">
      <c r="A30" s="83">
        <v>1</v>
      </c>
      <c r="B30" s="83">
        <v>2</v>
      </c>
      <c r="C30" s="83">
        <v>3</v>
      </c>
      <c r="D30" s="83">
        <v>4</v>
      </c>
      <c r="E30" s="83">
        <v>5</v>
      </c>
      <c r="F30" s="83">
        <v>6</v>
      </c>
      <c r="G30" s="83">
        <v>7</v>
      </c>
      <c r="H30" s="83">
        <v>8</v>
      </c>
      <c r="I30" s="83">
        <v>9</v>
      </c>
      <c r="K30" s="83">
        <v>10</v>
      </c>
      <c r="M30" s="83">
        <v>11</v>
      </c>
      <c r="N30" s="83">
        <v>12</v>
      </c>
      <c r="O30" s="83">
        <v>13</v>
      </c>
      <c r="P30" s="83">
        <v>14</v>
      </c>
      <c r="Q30" s="83">
        <v>15</v>
      </c>
      <c r="R30" s="83">
        <v>17</v>
      </c>
      <c r="S30" s="83">
        <v>18</v>
      </c>
      <c r="T30" s="83">
        <v>19</v>
      </c>
      <c r="U30" s="83">
        <v>20</v>
      </c>
      <c r="V30" s="83">
        <v>21</v>
      </c>
      <c r="W30" s="83">
        <v>22</v>
      </c>
      <c r="X30" s="83">
        <v>23</v>
      </c>
      <c r="Y30" s="83">
        <v>24</v>
      </c>
      <c r="Z30" s="83">
        <v>25</v>
      </c>
      <c r="AC30" s="83">
        <v>1</v>
      </c>
      <c r="AD30" s="83">
        <v>2</v>
      </c>
      <c r="AE30" s="83">
        <v>3</v>
      </c>
      <c r="AF30" s="83">
        <v>4</v>
      </c>
      <c r="AG30" s="83">
        <v>5</v>
      </c>
      <c r="AH30" s="83">
        <v>6</v>
      </c>
      <c r="AI30" s="83">
        <v>7</v>
      </c>
      <c r="AJ30" s="83">
        <v>8</v>
      </c>
      <c r="AK30" s="83">
        <v>9</v>
      </c>
      <c r="AM30" s="83">
        <v>10</v>
      </c>
      <c r="AO30" s="83">
        <v>11</v>
      </c>
      <c r="AP30" s="83">
        <v>12</v>
      </c>
      <c r="AQ30" s="83">
        <v>13</v>
      </c>
      <c r="AR30" s="83">
        <v>14</v>
      </c>
      <c r="AS30" s="83">
        <v>15</v>
      </c>
      <c r="AT30" s="83">
        <v>17</v>
      </c>
      <c r="AU30" s="83">
        <v>18</v>
      </c>
      <c r="AV30" s="83">
        <v>19</v>
      </c>
      <c r="AW30" s="83">
        <v>20</v>
      </c>
      <c r="AX30" s="83">
        <v>21</v>
      </c>
      <c r="AY30" s="83">
        <v>22</v>
      </c>
      <c r="AZ30" s="83">
        <v>23</v>
      </c>
      <c r="BA30" s="83">
        <v>24</v>
      </c>
      <c r="BB30" s="83">
        <v>25</v>
      </c>
    </row>
    <row r="31" spans="1:55" ht="23.25">
      <c r="A31" s="84" t="s">
        <v>204</v>
      </c>
      <c r="C31" s="85"/>
    </row>
    <row r="32" spans="1:55">
      <c r="A32" s="86"/>
      <c r="B32" s="86"/>
      <c r="C32" s="60" t="s">
        <v>205</v>
      </c>
    </row>
    <row r="33" spans="1:3">
      <c r="A33" s="87"/>
      <c r="B33" s="87"/>
      <c r="C33" s="60" t="s">
        <v>206</v>
      </c>
    </row>
    <row r="34" spans="1:3">
      <c r="A34" s="88"/>
      <c r="B34" s="88"/>
      <c r="C34" s="60" t="s">
        <v>207</v>
      </c>
    </row>
    <row r="35" spans="1:3">
      <c r="A35" s="89"/>
      <c r="B35" s="89"/>
      <c r="C35" s="60" t="s">
        <v>208</v>
      </c>
    </row>
  </sheetData>
  <sortState xmlns:xlrd2="http://schemas.microsoft.com/office/spreadsheetml/2017/richdata2" ref="B4:BC27">
    <sortCondition ref="T4:T27"/>
  </sortState>
  <mergeCells count="34">
    <mergeCell ref="A28:C28"/>
    <mergeCell ref="AC28:AE28"/>
    <mergeCell ref="A29:C29"/>
    <mergeCell ref="AC29:AE29"/>
    <mergeCell ref="AX2:AX3"/>
    <mergeCell ref="AF2:AM2"/>
    <mergeCell ref="AO2:AS2"/>
    <mergeCell ref="AT2:AT3"/>
    <mergeCell ref="AU2:AU3"/>
    <mergeCell ref="AV2:AV3"/>
    <mergeCell ref="AW2:AW3"/>
    <mergeCell ref="Y2:Y3"/>
    <mergeCell ref="Z2:Z3"/>
    <mergeCell ref="AA2:AA3"/>
    <mergeCell ref="AC2:AC3"/>
    <mergeCell ref="AD2:AD3"/>
    <mergeCell ref="AY2:AY3"/>
    <mergeCell ref="AZ2:AZ3"/>
    <mergeCell ref="BA2:BA3"/>
    <mergeCell ref="BB2:BB3"/>
    <mergeCell ref="BC2:BC3"/>
    <mergeCell ref="AE2:AE3"/>
    <mergeCell ref="S2:S3"/>
    <mergeCell ref="T2:T3"/>
    <mergeCell ref="U2:U3"/>
    <mergeCell ref="V2:V3"/>
    <mergeCell ref="W2:W3"/>
    <mergeCell ref="X2:X3"/>
    <mergeCell ref="R2:R3"/>
    <mergeCell ref="A2:A3"/>
    <mergeCell ref="B2:B3"/>
    <mergeCell ref="C2:C3"/>
    <mergeCell ref="D2:L2"/>
    <mergeCell ref="M2:Q2"/>
  </mergeCells>
  <conditionalFormatting sqref="B16 B11:B12 B18">
    <cfRule type="duplicateValues" dxfId="11" priority="6"/>
  </conditionalFormatting>
  <conditionalFormatting sqref="D4:Q27 AF4:AS27">
    <cfRule type="cellIs" dxfId="10" priority="4" operator="lessThanOrEqual">
      <formula>59</formula>
    </cfRule>
  </conditionalFormatting>
  <conditionalFormatting sqref="S4:S27 AU4:AU27">
    <cfRule type="cellIs" dxfId="9" priority="5" operator="lessThan">
      <formula>59</formula>
    </cfRule>
  </conditionalFormatting>
  <conditionalFormatting sqref="AD16 AD11:AD12 AD18">
    <cfRule type="duplicateValues" dxfId="8" priority="3"/>
  </conditionalFormatting>
  <conditionalFormatting sqref="T4:T27">
    <cfRule type="duplicateValues" dxfId="7" priority="346"/>
  </conditionalFormatting>
  <conditionalFormatting sqref="AV4:AV27">
    <cfRule type="duplicateValues" dxfId="6" priority="348"/>
  </conditionalFormatting>
  <pageMargins left="0.5" right="0.12" top="0.62" bottom="0.22" header="0.31496062992126" footer="0.99"/>
  <pageSetup paperSize="10000" scale="80" orientation="landscape" horizontalDpi="203" verticalDpi="203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742C6-3FA8-4135-95C2-882848B183BA}">
  <sheetPr codeName="Sheet23">
    <tabColor theme="1" tint="0.499984740745262"/>
  </sheetPr>
  <dimension ref="A1:BC36"/>
  <sheetViews>
    <sheetView zoomScale="70" zoomScaleNormal="70" workbookViewId="0">
      <selection activeCell="S4" sqref="S4"/>
    </sheetView>
  </sheetViews>
  <sheetFormatPr defaultColWidth="9.140625" defaultRowHeight="15.75"/>
  <cols>
    <col min="1" max="1" width="4.42578125" style="60" customWidth="1"/>
    <col min="2" max="2" width="14" style="60" customWidth="1"/>
    <col min="3" max="3" width="35.42578125" style="60" customWidth="1"/>
    <col min="4" max="17" width="5.42578125" style="60" customWidth="1"/>
    <col min="18" max="18" width="7.140625" style="60" customWidth="1"/>
    <col min="19" max="19" width="7.85546875" style="60" customWidth="1"/>
    <col min="20" max="20" width="7.140625" style="60" customWidth="1"/>
    <col min="21" max="23" width="5.42578125" style="60" customWidth="1"/>
    <col min="24" max="27" width="4.28515625" style="60" customWidth="1"/>
    <col min="28" max="30" width="9.140625" style="60"/>
    <col min="31" max="31" width="29.85546875" style="60" bestFit="1" customWidth="1"/>
    <col min="32" max="47" width="6.42578125" style="60" customWidth="1"/>
    <col min="48" max="48" width="7.42578125" style="60" customWidth="1"/>
    <col min="49" max="55" width="6.42578125" style="60" customWidth="1"/>
    <col min="56" max="16384" width="9.140625" style="60"/>
  </cols>
  <sheetData>
    <row r="1" spans="1:55" ht="23.25">
      <c r="A1" s="85" t="s">
        <v>762</v>
      </c>
      <c r="AC1" s="85" t="s">
        <v>762</v>
      </c>
    </row>
    <row r="2" spans="1:55" ht="15.75" customHeight="1">
      <c r="A2" s="443" t="s">
        <v>151</v>
      </c>
      <c r="B2" s="443" t="s">
        <v>152</v>
      </c>
      <c r="C2" s="443" t="s">
        <v>0</v>
      </c>
      <c r="D2" s="444" t="s">
        <v>153</v>
      </c>
      <c r="E2" s="444"/>
      <c r="F2" s="444"/>
      <c r="G2" s="444"/>
      <c r="H2" s="444"/>
      <c r="I2" s="444"/>
      <c r="J2" s="444"/>
      <c r="K2" s="444"/>
      <c r="L2" s="444"/>
      <c r="M2" s="445"/>
      <c r="N2" s="445"/>
      <c r="O2" s="445"/>
      <c r="P2" s="445"/>
      <c r="Q2" s="445"/>
      <c r="R2" s="442" t="s">
        <v>155</v>
      </c>
      <c r="S2" s="442" t="s">
        <v>156</v>
      </c>
      <c r="T2" s="442" t="s">
        <v>157</v>
      </c>
      <c r="U2" s="446" t="s">
        <v>158</v>
      </c>
      <c r="V2" s="446" t="s">
        <v>159</v>
      </c>
      <c r="W2" s="446" t="s">
        <v>160</v>
      </c>
      <c r="X2" s="280" t="s">
        <v>161</v>
      </c>
      <c r="Y2" s="280" t="s">
        <v>162</v>
      </c>
      <c r="Z2" s="280" t="s">
        <v>163</v>
      </c>
      <c r="AA2" s="280" t="s">
        <v>164</v>
      </c>
      <c r="AC2" s="281" t="s">
        <v>151</v>
      </c>
      <c r="AD2" s="281" t="s">
        <v>152</v>
      </c>
      <c r="AE2" s="281" t="s">
        <v>0</v>
      </c>
      <c r="AF2" s="444" t="s">
        <v>153</v>
      </c>
      <c r="AG2" s="444"/>
      <c r="AH2" s="444"/>
      <c r="AI2" s="444"/>
      <c r="AJ2" s="444"/>
      <c r="AK2" s="444"/>
      <c r="AL2" s="444"/>
      <c r="AM2" s="444"/>
      <c r="AN2" s="137"/>
      <c r="AO2" s="447" t="s">
        <v>316</v>
      </c>
      <c r="AP2" s="448"/>
      <c r="AQ2" s="448"/>
      <c r="AR2" s="448"/>
      <c r="AS2" s="448"/>
      <c r="AT2" s="276" t="s">
        <v>155</v>
      </c>
      <c r="AU2" s="276" t="s">
        <v>156</v>
      </c>
      <c r="AV2" s="276" t="s">
        <v>157</v>
      </c>
      <c r="AW2" s="270" t="s">
        <v>158</v>
      </c>
      <c r="AX2" s="270" t="s">
        <v>159</v>
      </c>
      <c r="AY2" s="270" t="s">
        <v>160</v>
      </c>
      <c r="AZ2" s="278" t="s">
        <v>161</v>
      </c>
      <c r="BA2" s="278" t="s">
        <v>162</v>
      </c>
      <c r="BB2" s="278" t="s">
        <v>163</v>
      </c>
      <c r="BC2" s="280" t="s">
        <v>164</v>
      </c>
    </row>
    <row r="3" spans="1:55" ht="60.75">
      <c r="A3" s="443"/>
      <c r="B3" s="443"/>
      <c r="C3" s="443"/>
      <c r="D3" s="63" t="s">
        <v>118</v>
      </c>
      <c r="E3" s="63" t="s">
        <v>55</v>
      </c>
      <c r="F3" s="63" t="s">
        <v>168</v>
      </c>
      <c r="G3" s="63" t="s">
        <v>126</v>
      </c>
      <c r="H3" s="63" t="s">
        <v>128</v>
      </c>
      <c r="I3" s="63" t="s">
        <v>96</v>
      </c>
      <c r="J3" s="63" t="s">
        <v>22</v>
      </c>
      <c r="K3" s="63" t="s">
        <v>139</v>
      </c>
      <c r="L3" s="63" t="s">
        <v>400</v>
      </c>
      <c r="M3" s="64" t="s">
        <v>168</v>
      </c>
      <c r="N3" s="64" t="s">
        <v>137</v>
      </c>
      <c r="O3" s="64" t="s">
        <v>401</v>
      </c>
      <c r="P3" s="64" t="s">
        <v>22</v>
      </c>
      <c r="Q3" s="64" t="s">
        <v>143</v>
      </c>
      <c r="R3" s="442"/>
      <c r="S3" s="442"/>
      <c r="T3" s="442"/>
      <c r="U3" s="446"/>
      <c r="V3" s="446"/>
      <c r="W3" s="446"/>
      <c r="X3" s="280"/>
      <c r="Y3" s="280"/>
      <c r="Z3" s="280"/>
      <c r="AA3" s="280"/>
      <c r="AC3" s="282"/>
      <c r="AD3" s="282"/>
      <c r="AE3" s="282"/>
      <c r="AF3" s="63" t="s">
        <v>118</v>
      </c>
      <c r="AG3" s="63" t="s">
        <v>55</v>
      </c>
      <c r="AH3" s="63" t="s">
        <v>168</v>
      </c>
      <c r="AI3" s="63" t="s">
        <v>126</v>
      </c>
      <c r="AJ3" s="63" t="s">
        <v>128</v>
      </c>
      <c r="AK3" s="63" t="s">
        <v>96</v>
      </c>
      <c r="AL3" s="63" t="s">
        <v>22</v>
      </c>
      <c r="AM3" s="63" t="s">
        <v>139</v>
      </c>
      <c r="AN3" s="63" t="s">
        <v>400</v>
      </c>
      <c r="AO3" s="98" t="s">
        <v>168</v>
      </c>
      <c r="AP3" s="98" t="s">
        <v>137</v>
      </c>
      <c r="AQ3" s="98" t="s">
        <v>401</v>
      </c>
      <c r="AR3" s="98" t="s">
        <v>22</v>
      </c>
      <c r="AS3" s="98" t="s">
        <v>143</v>
      </c>
      <c r="AT3" s="277"/>
      <c r="AU3" s="277"/>
      <c r="AV3" s="277"/>
      <c r="AW3" s="271"/>
      <c r="AX3" s="271"/>
      <c r="AY3" s="271"/>
      <c r="AZ3" s="279"/>
      <c r="BA3" s="279"/>
      <c r="BB3" s="279"/>
      <c r="BC3" s="280"/>
    </row>
    <row r="4" spans="1:55" ht="18.600000000000001" customHeight="1">
      <c r="A4" s="51">
        <v>1</v>
      </c>
      <c r="B4" s="51">
        <v>25260039</v>
      </c>
      <c r="C4" s="136" t="s">
        <v>754</v>
      </c>
      <c r="D4" s="68">
        <f t="shared" ref="D4:D28" si="0">ROUND(IF(AF4=0,0,MIN(MAX(AF4,40),99)),0)</f>
        <v>70</v>
      </c>
      <c r="E4" s="68">
        <f t="shared" ref="E4:E28" si="1">ROUND(IF(AG4=0,0,MIN(MAX(AG4,40),99)),0)</f>
        <v>99</v>
      </c>
      <c r="F4" s="68">
        <f t="shared" ref="F4:F28" si="2">ROUND(IF(AH4=0,0,MIN(MAX(AH4,40),99)),0)</f>
        <v>99</v>
      </c>
      <c r="G4" s="68">
        <f t="shared" ref="G4:G28" si="3">ROUND(IF(AI4=0,0,MIN(MAX(AI4,40),99)),0)</f>
        <v>60</v>
      </c>
      <c r="H4" s="68">
        <f t="shared" ref="H4:H28" si="4">ROUND(IF(AJ4=0,0,MIN(MAX(AJ4,40),99)),0)</f>
        <v>90</v>
      </c>
      <c r="I4" s="68">
        <f t="shared" ref="I4:I28" si="5">ROUND(IF(AK4=0,0,MIN(MAX(AK4,40),99)),0)</f>
        <v>90</v>
      </c>
      <c r="J4" s="68">
        <f t="shared" ref="J4:J28" si="6">ROUND(IF(AL4=0,0,MIN(MAX(AL4,40),99)),0)</f>
        <v>99</v>
      </c>
      <c r="K4" s="68">
        <f t="shared" ref="K4:K28" si="7">ROUND(IF(AM4=0,0,MIN(MAX(AM4,40),99)),0)</f>
        <v>90</v>
      </c>
      <c r="L4" s="68">
        <f t="shared" ref="L4:L28" si="8">ROUND(IF(AN4=0,0,MIN(MAX(AN4,40),99)),0)</f>
        <v>99</v>
      </c>
      <c r="M4" s="69">
        <f t="shared" ref="M4:M28" si="9">ROUND(IF(AO4=0,0,MIN(MAX(AO4,40),99)),0)</f>
        <v>95</v>
      </c>
      <c r="N4" s="69">
        <f t="shared" ref="N4:N28" si="10">ROUND(IF(AP4=0,0,MIN(MAX(AP4,40),99)),0)</f>
        <v>95</v>
      </c>
      <c r="O4" s="69">
        <f t="shared" ref="O4:O28" si="11">ROUND(IF(AQ4=0,0,MIN(MAX(AQ4,40),99)),0)</f>
        <v>85</v>
      </c>
      <c r="P4" s="69">
        <f t="shared" ref="P4:P28" si="12">ROUND(IF(AR4=0,0,MIN(MAX(AR4,40),99)),0)</f>
        <v>80</v>
      </c>
      <c r="Q4" s="69">
        <f t="shared" ref="Q4:Q28" si="13">ROUND(IF(AS4=0,0,MIN(MAX(AS4,40),99)),0)</f>
        <v>90</v>
      </c>
      <c r="R4" s="70">
        <f t="shared" ref="R4:R28" si="14">SUM(D4:Q4)</f>
        <v>1241</v>
      </c>
      <c r="S4" s="71">
        <f t="shared" ref="S4:S28" si="15">AVERAGE(D4:Q4)</f>
        <v>88.642857142857139</v>
      </c>
      <c r="T4" s="72">
        <f t="shared" ref="T4:T28" si="16">RANK(R4,$R$4:$R$28)</f>
        <v>1</v>
      </c>
      <c r="U4" s="73" t="s">
        <v>805</v>
      </c>
      <c r="V4" s="73" t="s">
        <v>805</v>
      </c>
      <c r="W4" s="73" t="s">
        <v>805</v>
      </c>
      <c r="X4" s="74"/>
      <c r="Y4" s="74"/>
      <c r="Z4" s="74"/>
      <c r="AA4" s="75"/>
      <c r="AC4" s="51">
        <v>18</v>
      </c>
      <c r="AD4" s="51">
        <v>25260039</v>
      </c>
      <c r="AE4" s="136" t="s">
        <v>754</v>
      </c>
      <c r="AF4" s="68">
        <v>70</v>
      </c>
      <c r="AG4" s="68">
        <v>100</v>
      </c>
      <c r="AH4" s="68">
        <v>100</v>
      </c>
      <c r="AI4" s="68">
        <v>60</v>
      </c>
      <c r="AJ4" s="68">
        <v>90</v>
      </c>
      <c r="AK4" s="68">
        <v>90</v>
      </c>
      <c r="AL4" s="68">
        <v>100</v>
      </c>
      <c r="AM4" s="68">
        <v>90</v>
      </c>
      <c r="AN4" s="68">
        <v>100</v>
      </c>
      <c r="AO4" s="76">
        <v>95</v>
      </c>
      <c r="AP4" s="76">
        <v>95</v>
      </c>
      <c r="AQ4" s="76">
        <v>85</v>
      </c>
      <c r="AR4" s="76">
        <v>80</v>
      </c>
      <c r="AS4" s="76">
        <v>90</v>
      </c>
      <c r="AT4" s="70">
        <f t="shared" ref="AT4:AT28" si="17">SUM(AF4:AS4)</f>
        <v>1245</v>
      </c>
      <c r="AU4" s="71">
        <f t="shared" ref="AU4:AU28" si="18">AVERAGE(AF4:AS4)</f>
        <v>88.928571428571431</v>
      </c>
      <c r="AV4" s="72" t="e" cm="1" vm="1">
        <f t="array" aca="1" ref="AV4" ca="1">RANK(AT4:AT28,$R$4:$R$27)</f>
        <v>#VALUE!</v>
      </c>
      <c r="AW4" s="73"/>
      <c r="AX4" s="73"/>
      <c r="AY4" s="73"/>
      <c r="AZ4" s="74"/>
      <c r="BA4" s="74"/>
      <c r="BB4" s="74"/>
      <c r="BC4" s="75"/>
    </row>
    <row r="5" spans="1:55" ht="18.600000000000001" customHeight="1">
      <c r="A5" s="51">
        <v>2</v>
      </c>
      <c r="B5" s="51">
        <v>25260096</v>
      </c>
      <c r="C5" s="136" t="s">
        <v>742</v>
      </c>
      <c r="D5" s="68">
        <f t="shared" si="0"/>
        <v>70</v>
      </c>
      <c r="E5" s="68">
        <f t="shared" si="1"/>
        <v>98</v>
      </c>
      <c r="F5" s="68">
        <f t="shared" si="2"/>
        <v>99</v>
      </c>
      <c r="G5" s="68">
        <f t="shared" si="3"/>
        <v>70</v>
      </c>
      <c r="H5" s="68">
        <f t="shared" si="4"/>
        <v>70</v>
      </c>
      <c r="I5" s="68">
        <f t="shared" si="5"/>
        <v>95</v>
      </c>
      <c r="J5" s="68">
        <f t="shared" si="6"/>
        <v>99</v>
      </c>
      <c r="K5" s="68">
        <f t="shared" si="7"/>
        <v>90</v>
      </c>
      <c r="L5" s="68">
        <f t="shared" si="8"/>
        <v>80</v>
      </c>
      <c r="M5" s="69">
        <f t="shared" si="9"/>
        <v>90</v>
      </c>
      <c r="N5" s="69">
        <f t="shared" si="10"/>
        <v>95</v>
      </c>
      <c r="O5" s="69">
        <f t="shared" si="11"/>
        <v>90</v>
      </c>
      <c r="P5" s="69">
        <f t="shared" si="12"/>
        <v>99</v>
      </c>
      <c r="Q5" s="69">
        <f t="shared" si="13"/>
        <v>90</v>
      </c>
      <c r="R5" s="70">
        <f t="shared" si="14"/>
        <v>1235</v>
      </c>
      <c r="S5" s="71">
        <f t="shared" si="15"/>
        <v>88.214285714285708</v>
      </c>
      <c r="T5" s="72">
        <f t="shared" si="16"/>
        <v>2</v>
      </c>
      <c r="U5" s="73" t="s">
        <v>805</v>
      </c>
      <c r="V5" s="73" t="s">
        <v>805</v>
      </c>
      <c r="W5" s="73" t="s">
        <v>805</v>
      </c>
      <c r="X5" s="74"/>
      <c r="Y5" s="74"/>
      <c r="Z5" s="74"/>
      <c r="AA5" s="75"/>
      <c r="AC5" s="51">
        <v>3</v>
      </c>
      <c r="AD5" s="51">
        <v>25260096</v>
      </c>
      <c r="AE5" s="136" t="s">
        <v>742</v>
      </c>
      <c r="AF5" s="68">
        <v>70</v>
      </c>
      <c r="AG5" s="68">
        <v>98</v>
      </c>
      <c r="AH5" s="68">
        <v>100</v>
      </c>
      <c r="AI5" s="68">
        <v>70</v>
      </c>
      <c r="AJ5" s="68">
        <v>70</v>
      </c>
      <c r="AK5" s="68">
        <v>95</v>
      </c>
      <c r="AL5" s="68">
        <v>100</v>
      </c>
      <c r="AM5" s="68">
        <v>90</v>
      </c>
      <c r="AN5" s="68">
        <v>80</v>
      </c>
      <c r="AO5" s="76">
        <v>90</v>
      </c>
      <c r="AP5" s="76">
        <v>95</v>
      </c>
      <c r="AQ5" s="76">
        <v>90</v>
      </c>
      <c r="AR5" s="76">
        <v>100</v>
      </c>
      <c r="AS5" s="76">
        <v>90</v>
      </c>
      <c r="AT5" s="70">
        <f t="shared" si="17"/>
        <v>1238</v>
      </c>
      <c r="AU5" s="71">
        <f t="shared" si="18"/>
        <v>88.428571428571431</v>
      </c>
      <c r="AV5" s="72" t="e">
        <f t="shared" ref="AV5:AV28" si="19">RANK(AT5,$R$4:$R$27)</f>
        <v>#N/A</v>
      </c>
      <c r="AW5" s="73"/>
      <c r="AX5" s="73"/>
      <c r="AY5" s="73"/>
      <c r="AZ5" s="74"/>
      <c r="BA5" s="74"/>
      <c r="BB5" s="74"/>
      <c r="BC5" s="75"/>
    </row>
    <row r="6" spans="1:55" ht="18.600000000000001" customHeight="1">
      <c r="A6" s="51">
        <v>3</v>
      </c>
      <c r="B6" s="51">
        <v>25260001</v>
      </c>
      <c r="C6" s="136" t="s">
        <v>760</v>
      </c>
      <c r="D6" s="68">
        <f t="shared" si="0"/>
        <v>70</v>
      </c>
      <c r="E6" s="68">
        <f t="shared" si="1"/>
        <v>98</v>
      </c>
      <c r="F6" s="68">
        <f t="shared" si="2"/>
        <v>99</v>
      </c>
      <c r="G6" s="68">
        <f t="shared" si="3"/>
        <v>75</v>
      </c>
      <c r="H6" s="68">
        <f t="shared" si="4"/>
        <v>60</v>
      </c>
      <c r="I6" s="68">
        <f t="shared" si="5"/>
        <v>95</v>
      </c>
      <c r="J6" s="68">
        <f t="shared" si="6"/>
        <v>70</v>
      </c>
      <c r="K6" s="68">
        <f t="shared" si="7"/>
        <v>99</v>
      </c>
      <c r="L6" s="68">
        <f t="shared" si="8"/>
        <v>99</v>
      </c>
      <c r="M6" s="69">
        <f t="shared" si="9"/>
        <v>95</v>
      </c>
      <c r="N6" s="69">
        <f t="shared" si="10"/>
        <v>93</v>
      </c>
      <c r="O6" s="69">
        <f t="shared" si="11"/>
        <v>90</v>
      </c>
      <c r="P6" s="69">
        <f t="shared" si="12"/>
        <v>80</v>
      </c>
      <c r="Q6" s="69">
        <f t="shared" si="13"/>
        <v>90</v>
      </c>
      <c r="R6" s="70">
        <f t="shared" si="14"/>
        <v>1213</v>
      </c>
      <c r="S6" s="71">
        <f t="shared" si="15"/>
        <v>86.642857142857139</v>
      </c>
      <c r="T6" s="72">
        <f t="shared" si="16"/>
        <v>3</v>
      </c>
      <c r="U6" s="73" t="s">
        <v>805</v>
      </c>
      <c r="V6" s="73" t="s">
        <v>805</v>
      </c>
      <c r="W6" s="73" t="s">
        <v>805</v>
      </c>
      <c r="X6" s="74"/>
      <c r="Y6" s="74"/>
      <c r="Z6" s="74"/>
      <c r="AA6" s="75"/>
      <c r="AC6" s="51">
        <v>24</v>
      </c>
      <c r="AD6" s="51">
        <v>25260001</v>
      </c>
      <c r="AE6" s="136" t="s">
        <v>760</v>
      </c>
      <c r="AF6" s="68">
        <v>70</v>
      </c>
      <c r="AG6" s="68">
        <v>98</v>
      </c>
      <c r="AH6" s="68">
        <v>100</v>
      </c>
      <c r="AI6" s="68">
        <v>75</v>
      </c>
      <c r="AJ6" s="68">
        <v>60</v>
      </c>
      <c r="AK6" s="68">
        <v>95</v>
      </c>
      <c r="AL6" s="68">
        <v>70</v>
      </c>
      <c r="AM6" s="68">
        <v>100</v>
      </c>
      <c r="AN6" s="68">
        <v>100</v>
      </c>
      <c r="AO6" s="76">
        <v>95</v>
      </c>
      <c r="AP6" s="76">
        <v>93</v>
      </c>
      <c r="AQ6" s="76">
        <v>90</v>
      </c>
      <c r="AR6" s="76">
        <v>80</v>
      </c>
      <c r="AS6" s="76">
        <v>90</v>
      </c>
      <c r="AT6" s="70">
        <f t="shared" si="17"/>
        <v>1216</v>
      </c>
      <c r="AU6" s="71">
        <f t="shared" si="18"/>
        <v>86.857142857142861</v>
      </c>
      <c r="AV6" s="72" t="e">
        <f t="shared" si="19"/>
        <v>#N/A</v>
      </c>
      <c r="AW6" s="73"/>
      <c r="AX6" s="73"/>
      <c r="AY6" s="73"/>
      <c r="AZ6" s="74"/>
      <c r="BA6" s="74"/>
      <c r="BB6" s="74"/>
      <c r="BC6" s="75"/>
    </row>
    <row r="7" spans="1:55" ht="18.600000000000001" customHeight="1">
      <c r="A7" s="51">
        <v>4</v>
      </c>
      <c r="B7" s="51">
        <v>25260014</v>
      </c>
      <c r="C7" s="136" t="s">
        <v>743</v>
      </c>
      <c r="D7" s="68">
        <f t="shared" si="0"/>
        <v>70</v>
      </c>
      <c r="E7" s="68">
        <f t="shared" si="1"/>
        <v>99</v>
      </c>
      <c r="F7" s="68">
        <f t="shared" si="2"/>
        <v>99</v>
      </c>
      <c r="G7" s="68">
        <f t="shared" si="3"/>
        <v>72</v>
      </c>
      <c r="H7" s="68">
        <f t="shared" si="4"/>
        <v>75</v>
      </c>
      <c r="I7" s="68">
        <f t="shared" si="5"/>
        <v>90</v>
      </c>
      <c r="J7" s="68">
        <f t="shared" si="6"/>
        <v>60</v>
      </c>
      <c r="K7" s="68">
        <f t="shared" si="7"/>
        <v>90</v>
      </c>
      <c r="L7" s="68">
        <f t="shared" si="8"/>
        <v>80</v>
      </c>
      <c r="M7" s="69">
        <f t="shared" si="9"/>
        <v>95</v>
      </c>
      <c r="N7" s="69">
        <f t="shared" si="10"/>
        <v>92</v>
      </c>
      <c r="O7" s="69">
        <f t="shared" si="11"/>
        <v>95</v>
      </c>
      <c r="P7" s="69">
        <f t="shared" si="12"/>
        <v>90</v>
      </c>
      <c r="Q7" s="69">
        <f t="shared" si="13"/>
        <v>90</v>
      </c>
      <c r="R7" s="70">
        <f t="shared" si="14"/>
        <v>1197</v>
      </c>
      <c r="S7" s="71">
        <f t="shared" si="15"/>
        <v>85.5</v>
      </c>
      <c r="T7" s="72">
        <f t="shared" si="16"/>
        <v>4</v>
      </c>
      <c r="U7" s="73" t="s">
        <v>805</v>
      </c>
      <c r="V7" s="73" t="s">
        <v>805</v>
      </c>
      <c r="W7" s="73" t="s">
        <v>805</v>
      </c>
      <c r="X7" s="74"/>
      <c r="Y7" s="74"/>
      <c r="Z7" s="74"/>
      <c r="AA7" s="75"/>
      <c r="AC7" s="51">
        <v>4</v>
      </c>
      <c r="AD7" s="51">
        <v>25260014</v>
      </c>
      <c r="AE7" s="136" t="s">
        <v>743</v>
      </c>
      <c r="AF7" s="68">
        <v>70</v>
      </c>
      <c r="AG7" s="68">
        <v>100</v>
      </c>
      <c r="AH7" s="68">
        <v>100</v>
      </c>
      <c r="AI7" s="68">
        <v>72</v>
      </c>
      <c r="AJ7" s="68">
        <v>75</v>
      </c>
      <c r="AK7" s="68">
        <v>90</v>
      </c>
      <c r="AL7" s="68">
        <v>60</v>
      </c>
      <c r="AM7" s="68">
        <v>90</v>
      </c>
      <c r="AN7" s="68">
        <v>80</v>
      </c>
      <c r="AO7" s="76">
        <v>95</v>
      </c>
      <c r="AP7" s="76">
        <v>92</v>
      </c>
      <c r="AQ7" s="76">
        <v>95</v>
      </c>
      <c r="AR7" s="76">
        <v>90</v>
      </c>
      <c r="AS7" s="76">
        <v>90</v>
      </c>
      <c r="AT7" s="70">
        <f t="shared" si="17"/>
        <v>1199</v>
      </c>
      <c r="AU7" s="71">
        <f t="shared" si="18"/>
        <v>85.642857142857139</v>
      </c>
      <c r="AV7" s="72" t="e">
        <f t="shared" si="19"/>
        <v>#N/A</v>
      </c>
      <c r="AW7" s="73"/>
      <c r="AX7" s="73"/>
      <c r="AY7" s="73"/>
      <c r="AZ7" s="74"/>
      <c r="BA7" s="74"/>
      <c r="BB7" s="74"/>
      <c r="BC7" s="75"/>
    </row>
    <row r="8" spans="1:55" ht="18.600000000000001" customHeight="1">
      <c r="A8" s="51">
        <v>5</v>
      </c>
      <c r="B8" s="51">
        <v>25260028</v>
      </c>
      <c r="C8" s="136" t="s">
        <v>741</v>
      </c>
      <c r="D8" s="68">
        <f t="shared" si="0"/>
        <v>70</v>
      </c>
      <c r="E8" s="68">
        <f t="shared" si="1"/>
        <v>99</v>
      </c>
      <c r="F8" s="68">
        <f t="shared" si="2"/>
        <v>90</v>
      </c>
      <c r="G8" s="68">
        <f t="shared" si="3"/>
        <v>85</v>
      </c>
      <c r="H8" s="68">
        <f t="shared" si="4"/>
        <v>75</v>
      </c>
      <c r="I8" s="68">
        <f t="shared" si="5"/>
        <v>80</v>
      </c>
      <c r="J8" s="68">
        <f t="shared" si="6"/>
        <v>60</v>
      </c>
      <c r="K8" s="68">
        <f t="shared" si="7"/>
        <v>75</v>
      </c>
      <c r="L8" s="68">
        <f t="shared" si="8"/>
        <v>99</v>
      </c>
      <c r="M8" s="69">
        <f t="shared" si="9"/>
        <v>90</v>
      </c>
      <c r="N8" s="69">
        <f t="shared" si="10"/>
        <v>95</v>
      </c>
      <c r="O8" s="69">
        <f t="shared" si="11"/>
        <v>90</v>
      </c>
      <c r="P8" s="69">
        <f t="shared" si="12"/>
        <v>90</v>
      </c>
      <c r="Q8" s="69">
        <f t="shared" si="13"/>
        <v>85</v>
      </c>
      <c r="R8" s="70">
        <f t="shared" si="14"/>
        <v>1183</v>
      </c>
      <c r="S8" s="71">
        <f t="shared" si="15"/>
        <v>84.5</v>
      </c>
      <c r="T8" s="72">
        <f t="shared" si="16"/>
        <v>5</v>
      </c>
      <c r="U8" s="73" t="s">
        <v>805</v>
      </c>
      <c r="V8" s="73" t="s">
        <v>805</v>
      </c>
      <c r="W8" s="73" t="s">
        <v>805</v>
      </c>
      <c r="X8" s="74"/>
      <c r="Y8" s="74"/>
      <c r="Z8" s="74"/>
      <c r="AA8" s="75"/>
      <c r="AC8" s="51">
        <v>2</v>
      </c>
      <c r="AD8" s="51">
        <v>25260028</v>
      </c>
      <c r="AE8" s="136" t="s">
        <v>741</v>
      </c>
      <c r="AF8" s="68">
        <v>70</v>
      </c>
      <c r="AG8" s="68">
        <v>100</v>
      </c>
      <c r="AH8" s="68">
        <v>90</v>
      </c>
      <c r="AI8" s="68">
        <v>85</v>
      </c>
      <c r="AJ8" s="68">
        <v>75</v>
      </c>
      <c r="AK8" s="68">
        <v>80</v>
      </c>
      <c r="AL8" s="68">
        <v>60</v>
      </c>
      <c r="AM8" s="68">
        <v>75</v>
      </c>
      <c r="AN8" s="68">
        <v>100</v>
      </c>
      <c r="AO8" s="76">
        <v>90</v>
      </c>
      <c r="AP8" s="76">
        <v>95</v>
      </c>
      <c r="AQ8" s="76">
        <v>90</v>
      </c>
      <c r="AR8" s="76">
        <v>90</v>
      </c>
      <c r="AS8" s="76">
        <v>85</v>
      </c>
      <c r="AT8" s="70">
        <f t="shared" si="17"/>
        <v>1185</v>
      </c>
      <c r="AU8" s="71">
        <f t="shared" si="18"/>
        <v>84.642857142857139</v>
      </c>
      <c r="AV8" s="72" t="e">
        <f t="shared" si="19"/>
        <v>#N/A</v>
      </c>
      <c r="AW8" s="73"/>
      <c r="AX8" s="73"/>
      <c r="AY8" s="73"/>
      <c r="AZ8" s="74"/>
      <c r="BA8" s="74"/>
      <c r="BB8" s="74"/>
      <c r="BC8" s="75"/>
    </row>
    <row r="9" spans="1:55" ht="18.600000000000001" customHeight="1">
      <c r="A9" s="51">
        <v>6</v>
      </c>
      <c r="B9" s="51">
        <v>25260116</v>
      </c>
      <c r="C9" s="136" t="s">
        <v>747</v>
      </c>
      <c r="D9" s="68">
        <f t="shared" si="0"/>
        <v>70</v>
      </c>
      <c r="E9" s="68">
        <f t="shared" si="1"/>
        <v>99</v>
      </c>
      <c r="F9" s="68">
        <f t="shared" si="2"/>
        <v>99</v>
      </c>
      <c r="G9" s="68">
        <f t="shared" si="3"/>
        <v>65</v>
      </c>
      <c r="H9" s="68">
        <f t="shared" si="4"/>
        <v>60</v>
      </c>
      <c r="I9" s="68">
        <f t="shared" si="5"/>
        <v>90</v>
      </c>
      <c r="J9" s="68">
        <f t="shared" si="6"/>
        <v>60</v>
      </c>
      <c r="K9" s="68">
        <f t="shared" si="7"/>
        <v>80</v>
      </c>
      <c r="L9" s="68">
        <f t="shared" si="8"/>
        <v>99</v>
      </c>
      <c r="M9" s="69">
        <f t="shared" si="9"/>
        <v>95</v>
      </c>
      <c r="N9" s="69">
        <f t="shared" si="10"/>
        <v>90</v>
      </c>
      <c r="O9" s="69">
        <f t="shared" si="11"/>
        <v>90</v>
      </c>
      <c r="P9" s="69">
        <f t="shared" si="12"/>
        <v>70</v>
      </c>
      <c r="Q9" s="69">
        <f t="shared" si="13"/>
        <v>85</v>
      </c>
      <c r="R9" s="70">
        <f t="shared" si="14"/>
        <v>1152</v>
      </c>
      <c r="S9" s="71">
        <f t="shared" si="15"/>
        <v>82.285714285714292</v>
      </c>
      <c r="T9" s="72">
        <f t="shared" si="16"/>
        <v>6</v>
      </c>
      <c r="U9" s="73" t="s">
        <v>805</v>
      </c>
      <c r="V9" s="73" t="s">
        <v>805</v>
      </c>
      <c r="W9" s="73" t="s">
        <v>805</v>
      </c>
      <c r="X9" s="74"/>
      <c r="Y9" s="74"/>
      <c r="Z9" s="74"/>
      <c r="AA9" s="75"/>
      <c r="AC9" s="51">
        <v>10</v>
      </c>
      <c r="AD9" s="51">
        <v>25260116</v>
      </c>
      <c r="AE9" s="136" t="s">
        <v>747</v>
      </c>
      <c r="AF9" s="68">
        <v>70</v>
      </c>
      <c r="AG9" s="68">
        <v>100</v>
      </c>
      <c r="AH9" s="68">
        <v>100</v>
      </c>
      <c r="AI9" s="68">
        <v>65</v>
      </c>
      <c r="AJ9" s="68">
        <v>60</v>
      </c>
      <c r="AK9" s="68">
        <v>90</v>
      </c>
      <c r="AL9" s="68">
        <v>60</v>
      </c>
      <c r="AM9" s="68">
        <v>80</v>
      </c>
      <c r="AN9" s="68">
        <v>100</v>
      </c>
      <c r="AO9" s="76">
        <v>95</v>
      </c>
      <c r="AP9" s="76">
        <v>90</v>
      </c>
      <c r="AQ9" s="76">
        <v>90</v>
      </c>
      <c r="AR9" s="76">
        <v>70</v>
      </c>
      <c r="AS9" s="76">
        <v>85</v>
      </c>
      <c r="AT9" s="70">
        <f t="shared" si="17"/>
        <v>1155</v>
      </c>
      <c r="AU9" s="71">
        <f t="shared" si="18"/>
        <v>82.5</v>
      </c>
      <c r="AV9" s="72" t="e">
        <f t="shared" si="19"/>
        <v>#N/A</v>
      </c>
      <c r="AW9" s="73"/>
      <c r="AX9" s="73"/>
      <c r="AY9" s="73"/>
      <c r="AZ9" s="74"/>
      <c r="BA9" s="74"/>
      <c r="BB9" s="74"/>
      <c r="BC9" s="75"/>
    </row>
    <row r="10" spans="1:55" ht="18.600000000000001" customHeight="1">
      <c r="A10" s="51">
        <v>7</v>
      </c>
      <c r="B10" s="51">
        <v>25260066</v>
      </c>
      <c r="C10" s="136" t="s">
        <v>748</v>
      </c>
      <c r="D10" s="68">
        <f t="shared" si="0"/>
        <v>70</v>
      </c>
      <c r="E10" s="68">
        <f t="shared" si="1"/>
        <v>88</v>
      </c>
      <c r="F10" s="68">
        <f t="shared" si="2"/>
        <v>85</v>
      </c>
      <c r="G10" s="68">
        <f t="shared" si="3"/>
        <v>60</v>
      </c>
      <c r="H10" s="68">
        <f t="shared" si="4"/>
        <v>75</v>
      </c>
      <c r="I10" s="68">
        <f t="shared" si="5"/>
        <v>70</v>
      </c>
      <c r="J10" s="68">
        <f t="shared" si="6"/>
        <v>99</v>
      </c>
      <c r="K10" s="68">
        <f t="shared" si="7"/>
        <v>90</v>
      </c>
      <c r="L10" s="68">
        <f t="shared" si="8"/>
        <v>90</v>
      </c>
      <c r="M10" s="69">
        <f t="shared" si="9"/>
        <v>55</v>
      </c>
      <c r="N10" s="69">
        <f t="shared" si="10"/>
        <v>93</v>
      </c>
      <c r="O10" s="69">
        <f t="shared" si="11"/>
        <v>85</v>
      </c>
      <c r="P10" s="69">
        <f t="shared" si="12"/>
        <v>99</v>
      </c>
      <c r="Q10" s="69">
        <f t="shared" si="13"/>
        <v>85</v>
      </c>
      <c r="R10" s="70">
        <f t="shared" si="14"/>
        <v>1144</v>
      </c>
      <c r="S10" s="71">
        <f t="shared" si="15"/>
        <v>81.714285714285708</v>
      </c>
      <c r="T10" s="72">
        <f t="shared" si="16"/>
        <v>7</v>
      </c>
      <c r="U10" s="73" t="s">
        <v>805</v>
      </c>
      <c r="V10" s="73" t="s">
        <v>805</v>
      </c>
      <c r="W10" s="73" t="s">
        <v>805</v>
      </c>
      <c r="X10" s="74"/>
      <c r="Y10" s="74"/>
      <c r="Z10" s="74"/>
      <c r="AA10" s="75"/>
      <c r="AC10" s="51">
        <v>11</v>
      </c>
      <c r="AD10" s="51">
        <v>25260066</v>
      </c>
      <c r="AE10" s="136" t="s">
        <v>748</v>
      </c>
      <c r="AF10" s="68">
        <v>70</v>
      </c>
      <c r="AG10" s="68">
        <v>88</v>
      </c>
      <c r="AH10" s="68">
        <v>85</v>
      </c>
      <c r="AI10" s="68">
        <v>60</v>
      </c>
      <c r="AJ10" s="68">
        <v>75</v>
      </c>
      <c r="AK10" s="68">
        <v>70</v>
      </c>
      <c r="AL10" s="68">
        <v>100</v>
      </c>
      <c r="AM10" s="68">
        <v>90</v>
      </c>
      <c r="AN10" s="68">
        <v>90</v>
      </c>
      <c r="AO10" s="76">
        <v>55</v>
      </c>
      <c r="AP10" s="76">
        <v>93</v>
      </c>
      <c r="AQ10" s="76">
        <v>85</v>
      </c>
      <c r="AR10" s="76">
        <v>100</v>
      </c>
      <c r="AS10" s="76">
        <v>85</v>
      </c>
      <c r="AT10" s="70">
        <f t="shared" si="17"/>
        <v>1146</v>
      </c>
      <c r="AU10" s="71">
        <f t="shared" si="18"/>
        <v>81.857142857142861</v>
      </c>
      <c r="AV10" s="72" t="e">
        <f t="shared" si="19"/>
        <v>#N/A</v>
      </c>
      <c r="AW10" s="73"/>
      <c r="AX10" s="73"/>
      <c r="AY10" s="73"/>
      <c r="AZ10" s="74"/>
      <c r="BA10" s="74"/>
      <c r="BB10" s="74"/>
      <c r="BC10" s="75"/>
    </row>
    <row r="11" spans="1:55" ht="18.600000000000001" customHeight="1">
      <c r="A11" s="51">
        <v>8</v>
      </c>
      <c r="B11" s="51">
        <v>25260121</v>
      </c>
      <c r="C11" s="136" t="s">
        <v>758</v>
      </c>
      <c r="D11" s="68">
        <f t="shared" si="0"/>
        <v>70</v>
      </c>
      <c r="E11" s="68">
        <f t="shared" si="1"/>
        <v>98</v>
      </c>
      <c r="F11" s="68">
        <f t="shared" si="2"/>
        <v>80</v>
      </c>
      <c r="G11" s="68">
        <f t="shared" si="3"/>
        <v>73</v>
      </c>
      <c r="H11" s="68">
        <f t="shared" si="4"/>
        <v>60</v>
      </c>
      <c r="I11" s="68">
        <f t="shared" si="5"/>
        <v>85</v>
      </c>
      <c r="J11" s="68">
        <f t="shared" si="6"/>
        <v>60</v>
      </c>
      <c r="K11" s="68">
        <f t="shared" si="7"/>
        <v>90</v>
      </c>
      <c r="L11" s="68">
        <f t="shared" si="8"/>
        <v>99</v>
      </c>
      <c r="M11" s="69">
        <f t="shared" si="9"/>
        <v>90</v>
      </c>
      <c r="N11" s="69">
        <f t="shared" si="10"/>
        <v>93</v>
      </c>
      <c r="O11" s="69">
        <f t="shared" si="11"/>
        <v>75</v>
      </c>
      <c r="P11" s="69">
        <f t="shared" si="12"/>
        <v>50</v>
      </c>
      <c r="Q11" s="69">
        <f t="shared" si="13"/>
        <v>85</v>
      </c>
      <c r="R11" s="70">
        <f t="shared" si="14"/>
        <v>1108</v>
      </c>
      <c r="S11" s="71">
        <f t="shared" si="15"/>
        <v>79.142857142857139</v>
      </c>
      <c r="T11" s="72">
        <f t="shared" si="16"/>
        <v>8</v>
      </c>
      <c r="U11" s="73" t="s">
        <v>805</v>
      </c>
      <c r="V11" s="73" t="s">
        <v>805</v>
      </c>
      <c r="W11" s="73" t="s">
        <v>805</v>
      </c>
      <c r="X11" s="74"/>
      <c r="Y11" s="74"/>
      <c r="Z11" s="74"/>
      <c r="AA11" s="75"/>
      <c r="AC11" s="51">
        <v>22</v>
      </c>
      <c r="AD11" s="51">
        <v>25260121</v>
      </c>
      <c r="AE11" s="136" t="s">
        <v>758</v>
      </c>
      <c r="AF11" s="68">
        <v>70</v>
      </c>
      <c r="AG11" s="68">
        <v>98</v>
      </c>
      <c r="AH11" s="68">
        <v>80</v>
      </c>
      <c r="AI11" s="68">
        <v>73</v>
      </c>
      <c r="AJ11" s="68">
        <v>60</v>
      </c>
      <c r="AK11" s="68">
        <v>85</v>
      </c>
      <c r="AL11" s="68">
        <v>60</v>
      </c>
      <c r="AM11" s="68">
        <v>90</v>
      </c>
      <c r="AN11" s="68">
        <v>100</v>
      </c>
      <c r="AO11" s="76">
        <v>90</v>
      </c>
      <c r="AP11" s="76">
        <v>93</v>
      </c>
      <c r="AQ11" s="76">
        <v>75</v>
      </c>
      <c r="AR11" s="76">
        <v>50</v>
      </c>
      <c r="AS11" s="76">
        <v>85</v>
      </c>
      <c r="AT11" s="70">
        <f t="shared" si="17"/>
        <v>1109</v>
      </c>
      <c r="AU11" s="71">
        <f t="shared" si="18"/>
        <v>79.214285714285708</v>
      </c>
      <c r="AV11" s="72" t="e">
        <f t="shared" si="19"/>
        <v>#N/A</v>
      </c>
      <c r="AW11" s="73"/>
      <c r="AX11" s="73"/>
      <c r="AY11" s="73"/>
      <c r="AZ11" s="74"/>
      <c r="BA11" s="74"/>
      <c r="BB11" s="74"/>
      <c r="BC11" s="75"/>
    </row>
    <row r="12" spans="1:55" ht="18.600000000000001" customHeight="1">
      <c r="A12" s="51">
        <v>9</v>
      </c>
      <c r="B12" s="51">
        <v>25260064</v>
      </c>
      <c r="C12" s="136" t="s">
        <v>744</v>
      </c>
      <c r="D12" s="68">
        <f t="shared" si="0"/>
        <v>70</v>
      </c>
      <c r="E12" s="68">
        <f t="shared" si="1"/>
        <v>98</v>
      </c>
      <c r="F12" s="68">
        <f t="shared" si="2"/>
        <v>70</v>
      </c>
      <c r="G12" s="68">
        <f t="shared" si="3"/>
        <v>63</v>
      </c>
      <c r="H12" s="68">
        <f t="shared" si="4"/>
        <v>70</v>
      </c>
      <c r="I12" s="68">
        <f t="shared" si="5"/>
        <v>80</v>
      </c>
      <c r="J12" s="68">
        <f t="shared" si="6"/>
        <v>60</v>
      </c>
      <c r="K12" s="68">
        <f t="shared" si="7"/>
        <v>90</v>
      </c>
      <c r="L12" s="68">
        <f t="shared" si="8"/>
        <v>99</v>
      </c>
      <c r="M12" s="69">
        <f t="shared" si="9"/>
        <v>85</v>
      </c>
      <c r="N12" s="69">
        <f t="shared" si="10"/>
        <v>90</v>
      </c>
      <c r="O12" s="69">
        <f t="shared" si="11"/>
        <v>88</v>
      </c>
      <c r="P12" s="69">
        <f t="shared" si="12"/>
        <v>55</v>
      </c>
      <c r="Q12" s="69">
        <f t="shared" si="13"/>
        <v>85</v>
      </c>
      <c r="R12" s="70">
        <f t="shared" si="14"/>
        <v>1103</v>
      </c>
      <c r="S12" s="71">
        <f t="shared" si="15"/>
        <v>78.785714285714292</v>
      </c>
      <c r="T12" s="72">
        <f t="shared" si="16"/>
        <v>9</v>
      </c>
      <c r="U12" s="73" t="s">
        <v>805</v>
      </c>
      <c r="V12" s="73" t="s">
        <v>805</v>
      </c>
      <c r="W12" s="73" t="s">
        <v>807</v>
      </c>
      <c r="X12" s="74"/>
      <c r="Y12" s="74"/>
      <c r="Z12" s="74"/>
      <c r="AA12" s="75"/>
      <c r="AC12" s="51">
        <v>6</v>
      </c>
      <c r="AD12" s="51">
        <v>25260064</v>
      </c>
      <c r="AE12" s="136" t="s">
        <v>744</v>
      </c>
      <c r="AF12" s="68">
        <v>70</v>
      </c>
      <c r="AG12" s="68">
        <v>98</v>
      </c>
      <c r="AH12" s="68">
        <v>70</v>
      </c>
      <c r="AI12" s="68">
        <v>63</v>
      </c>
      <c r="AJ12" s="68">
        <v>70</v>
      </c>
      <c r="AK12" s="68">
        <v>80</v>
      </c>
      <c r="AL12" s="68">
        <v>60</v>
      </c>
      <c r="AM12" s="68">
        <v>90</v>
      </c>
      <c r="AN12" s="68">
        <v>100</v>
      </c>
      <c r="AO12" s="76">
        <v>85</v>
      </c>
      <c r="AP12" s="76">
        <v>90</v>
      </c>
      <c r="AQ12" s="76">
        <v>88</v>
      </c>
      <c r="AR12" s="76">
        <v>55</v>
      </c>
      <c r="AS12" s="76">
        <v>85</v>
      </c>
      <c r="AT12" s="70">
        <f t="shared" si="17"/>
        <v>1104</v>
      </c>
      <c r="AU12" s="71">
        <f t="shared" si="18"/>
        <v>78.857142857142861</v>
      </c>
      <c r="AV12" s="72" t="e">
        <f t="shared" si="19"/>
        <v>#N/A</v>
      </c>
      <c r="AW12" s="73"/>
      <c r="AX12" s="73"/>
      <c r="AY12" s="73"/>
      <c r="AZ12" s="74"/>
      <c r="BA12" s="74"/>
      <c r="BB12" s="74"/>
      <c r="BC12" s="75"/>
    </row>
    <row r="13" spans="1:55" ht="18.600000000000001" customHeight="1">
      <c r="A13" s="51">
        <v>10</v>
      </c>
      <c r="B13" s="51">
        <v>25260035</v>
      </c>
      <c r="C13" s="136" t="s">
        <v>759</v>
      </c>
      <c r="D13" s="68">
        <f t="shared" si="0"/>
        <v>70</v>
      </c>
      <c r="E13" s="68">
        <f t="shared" si="1"/>
        <v>78</v>
      </c>
      <c r="F13" s="68">
        <f t="shared" si="2"/>
        <v>99</v>
      </c>
      <c r="G13" s="68">
        <f t="shared" si="3"/>
        <v>60</v>
      </c>
      <c r="H13" s="68">
        <f t="shared" si="4"/>
        <v>60</v>
      </c>
      <c r="I13" s="68">
        <f t="shared" si="5"/>
        <v>85</v>
      </c>
      <c r="J13" s="68">
        <f t="shared" si="6"/>
        <v>60</v>
      </c>
      <c r="K13" s="68">
        <f t="shared" si="7"/>
        <v>90</v>
      </c>
      <c r="L13" s="68">
        <f t="shared" si="8"/>
        <v>80</v>
      </c>
      <c r="M13" s="69">
        <f t="shared" si="9"/>
        <v>90</v>
      </c>
      <c r="N13" s="69">
        <f t="shared" si="10"/>
        <v>92</v>
      </c>
      <c r="O13" s="69">
        <f t="shared" si="11"/>
        <v>85</v>
      </c>
      <c r="P13" s="69">
        <f t="shared" si="12"/>
        <v>65</v>
      </c>
      <c r="Q13" s="69">
        <f t="shared" si="13"/>
        <v>85</v>
      </c>
      <c r="R13" s="70">
        <f t="shared" si="14"/>
        <v>1099</v>
      </c>
      <c r="S13" s="71">
        <f t="shared" si="15"/>
        <v>78.5</v>
      </c>
      <c r="T13" s="72">
        <f t="shared" si="16"/>
        <v>10</v>
      </c>
      <c r="U13" s="73" t="s">
        <v>805</v>
      </c>
      <c r="V13" s="73" t="s">
        <v>805</v>
      </c>
      <c r="W13" s="73" t="s">
        <v>805</v>
      </c>
      <c r="X13" s="74"/>
      <c r="Y13" s="74"/>
      <c r="Z13" s="74"/>
      <c r="AA13" s="75"/>
      <c r="AC13" s="51">
        <v>23</v>
      </c>
      <c r="AD13" s="51">
        <v>25260035</v>
      </c>
      <c r="AE13" s="136" t="s">
        <v>759</v>
      </c>
      <c r="AF13" s="68">
        <v>70</v>
      </c>
      <c r="AG13" s="68">
        <v>78</v>
      </c>
      <c r="AH13" s="68">
        <v>100</v>
      </c>
      <c r="AI13" s="68">
        <v>60</v>
      </c>
      <c r="AJ13" s="68">
        <v>60</v>
      </c>
      <c r="AK13" s="68">
        <v>85</v>
      </c>
      <c r="AL13" s="68">
        <v>60</v>
      </c>
      <c r="AM13" s="68">
        <v>90</v>
      </c>
      <c r="AN13" s="68">
        <v>80</v>
      </c>
      <c r="AO13" s="76">
        <v>90</v>
      </c>
      <c r="AP13" s="76">
        <v>92</v>
      </c>
      <c r="AQ13" s="76">
        <v>85</v>
      </c>
      <c r="AR13" s="76">
        <v>65</v>
      </c>
      <c r="AS13" s="76">
        <v>85</v>
      </c>
      <c r="AT13" s="70">
        <f t="shared" si="17"/>
        <v>1100</v>
      </c>
      <c r="AU13" s="71">
        <f t="shared" si="18"/>
        <v>78.571428571428569</v>
      </c>
      <c r="AV13" s="72" t="e">
        <f t="shared" si="19"/>
        <v>#N/A</v>
      </c>
      <c r="AW13" s="73"/>
      <c r="AX13" s="73"/>
      <c r="AY13" s="73"/>
      <c r="AZ13" s="74"/>
      <c r="BA13" s="74"/>
      <c r="BB13" s="74"/>
      <c r="BC13" s="75"/>
    </row>
    <row r="14" spans="1:55" ht="18.600000000000001" customHeight="1">
      <c r="A14" s="51">
        <v>11</v>
      </c>
      <c r="B14" s="51">
        <v>25260097</v>
      </c>
      <c r="C14" s="136" t="s">
        <v>749</v>
      </c>
      <c r="D14" s="68">
        <f t="shared" si="0"/>
        <v>70</v>
      </c>
      <c r="E14" s="68">
        <f t="shared" si="1"/>
        <v>88</v>
      </c>
      <c r="F14" s="68">
        <f t="shared" si="2"/>
        <v>75</v>
      </c>
      <c r="G14" s="68">
        <f t="shared" si="3"/>
        <v>70</v>
      </c>
      <c r="H14" s="68">
        <f t="shared" si="4"/>
        <v>70</v>
      </c>
      <c r="I14" s="68">
        <f t="shared" si="5"/>
        <v>85</v>
      </c>
      <c r="J14" s="68">
        <f t="shared" si="6"/>
        <v>60</v>
      </c>
      <c r="K14" s="68">
        <f t="shared" si="7"/>
        <v>80</v>
      </c>
      <c r="L14" s="68">
        <f t="shared" si="8"/>
        <v>99</v>
      </c>
      <c r="M14" s="69">
        <f t="shared" si="9"/>
        <v>85</v>
      </c>
      <c r="N14" s="69">
        <f t="shared" si="10"/>
        <v>90</v>
      </c>
      <c r="O14" s="69">
        <f t="shared" si="11"/>
        <v>85</v>
      </c>
      <c r="P14" s="69">
        <f t="shared" si="12"/>
        <v>70</v>
      </c>
      <c r="Q14" s="69">
        <f t="shared" si="13"/>
        <v>60</v>
      </c>
      <c r="R14" s="70">
        <f t="shared" si="14"/>
        <v>1087</v>
      </c>
      <c r="S14" s="71">
        <f t="shared" si="15"/>
        <v>77.642857142857139</v>
      </c>
      <c r="T14" s="72">
        <f t="shared" si="16"/>
        <v>11</v>
      </c>
      <c r="U14" s="73" t="s">
        <v>805</v>
      </c>
      <c r="V14" s="73" t="s">
        <v>805</v>
      </c>
      <c r="W14" s="73" t="s">
        <v>805</v>
      </c>
      <c r="X14" s="74"/>
      <c r="Y14" s="74"/>
      <c r="Z14" s="74"/>
      <c r="AA14" s="75"/>
      <c r="AC14" s="51">
        <v>13</v>
      </c>
      <c r="AD14" s="51">
        <v>25260097</v>
      </c>
      <c r="AE14" s="136" t="s">
        <v>749</v>
      </c>
      <c r="AF14" s="68">
        <v>70</v>
      </c>
      <c r="AG14" s="68">
        <v>88</v>
      </c>
      <c r="AH14" s="68">
        <v>75</v>
      </c>
      <c r="AI14" s="68">
        <v>70</v>
      </c>
      <c r="AJ14" s="68">
        <v>70</v>
      </c>
      <c r="AK14" s="68">
        <v>85</v>
      </c>
      <c r="AL14" s="68">
        <v>60</v>
      </c>
      <c r="AM14" s="68">
        <v>80</v>
      </c>
      <c r="AN14" s="68">
        <v>100</v>
      </c>
      <c r="AO14" s="76">
        <v>85</v>
      </c>
      <c r="AP14" s="76">
        <v>90</v>
      </c>
      <c r="AQ14" s="76">
        <v>85</v>
      </c>
      <c r="AR14" s="76">
        <v>70</v>
      </c>
      <c r="AS14" s="76">
        <v>60</v>
      </c>
      <c r="AT14" s="70">
        <f t="shared" si="17"/>
        <v>1088</v>
      </c>
      <c r="AU14" s="71">
        <f t="shared" si="18"/>
        <v>77.714285714285708</v>
      </c>
      <c r="AV14" s="72" t="e">
        <f t="shared" si="19"/>
        <v>#N/A</v>
      </c>
      <c r="AW14" s="73"/>
      <c r="AX14" s="73"/>
      <c r="AY14" s="73"/>
      <c r="AZ14" s="74"/>
      <c r="BA14" s="74"/>
      <c r="BB14" s="74"/>
      <c r="BC14" s="75"/>
    </row>
    <row r="15" spans="1:55" ht="18.600000000000001" customHeight="1">
      <c r="A15" s="51">
        <v>12</v>
      </c>
      <c r="B15" s="51">
        <v>25260063</v>
      </c>
      <c r="C15" s="136" t="s">
        <v>746</v>
      </c>
      <c r="D15" s="68">
        <f t="shared" si="0"/>
        <v>70</v>
      </c>
      <c r="E15" s="68">
        <f t="shared" si="1"/>
        <v>75</v>
      </c>
      <c r="F15" s="68">
        <f t="shared" si="2"/>
        <v>95</v>
      </c>
      <c r="G15" s="68">
        <f t="shared" si="3"/>
        <v>60</v>
      </c>
      <c r="H15" s="68">
        <f t="shared" si="4"/>
        <v>60</v>
      </c>
      <c r="I15" s="68">
        <f t="shared" si="5"/>
        <v>85</v>
      </c>
      <c r="J15" s="68">
        <f t="shared" si="6"/>
        <v>60</v>
      </c>
      <c r="K15" s="68">
        <f t="shared" si="7"/>
        <v>75</v>
      </c>
      <c r="L15" s="68">
        <f t="shared" si="8"/>
        <v>90</v>
      </c>
      <c r="M15" s="69">
        <f t="shared" si="9"/>
        <v>85</v>
      </c>
      <c r="N15" s="69">
        <f t="shared" si="10"/>
        <v>93</v>
      </c>
      <c r="O15" s="69">
        <f t="shared" si="11"/>
        <v>80</v>
      </c>
      <c r="P15" s="69">
        <f t="shared" si="12"/>
        <v>70</v>
      </c>
      <c r="Q15" s="69">
        <f t="shared" si="13"/>
        <v>85</v>
      </c>
      <c r="R15" s="70">
        <f t="shared" si="14"/>
        <v>1083</v>
      </c>
      <c r="S15" s="71">
        <f t="shared" si="15"/>
        <v>77.357142857142861</v>
      </c>
      <c r="T15" s="72">
        <f t="shared" si="16"/>
        <v>12</v>
      </c>
      <c r="U15" s="73" t="s">
        <v>805</v>
      </c>
      <c r="V15" s="73" t="s">
        <v>805</v>
      </c>
      <c r="W15" s="73" t="s">
        <v>805</v>
      </c>
      <c r="X15" s="74"/>
      <c r="Y15" s="74"/>
      <c r="Z15" s="74"/>
      <c r="AA15" s="75"/>
      <c r="AC15" s="51">
        <v>9</v>
      </c>
      <c r="AD15" s="51">
        <v>25260063</v>
      </c>
      <c r="AE15" s="136" t="s">
        <v>746</v>
      </c>
      <c r="AF15" s="68">
        <v>70</v>
      </c>
      <c r="AG15" s="68">
        <v>75</v>
      </c>
      <c r="AH15" s="68">
        <v>95</v>
      </c>
      <c r="AI15" s="68">
        <v>60</v>
      </c>
      <c r="AJ15" s="68">
        <v>60</v>
      </c>
      <c r="AK15" s="68">
        <v>85</v>
      </c>
      <c r="AL15" s="68">
        <v>60</v>
      </c>
      <c r="AM15" s="68">
        <v>75</v>
      </c>
      <c r="AN15" s="68">
        <v>90</v>
      </c>
      <c r="AO15" s="76">
        <v>85</v>
      </c>
      <c r="AP15" s="76">
        <v>93</v>
      </c>
      <c r="AQ15" s="76">
        <v>80</v>
      </c>
      <c r="AR15" s="76">
        <v>70</v>
      </c>
      <c r="AS15" s="76">
        <v>85</v>
      </c>
      <c r="AT15" s="70">
        <f t="shared" si="17"/>
        <v>1083</v>
      </c>
      <c r="AU15" s="71">
        <f t="shared" si="18"/>
        <v>77.357142857142861</v>
      </c>
      <c r="AV15" s="72">
        <f t="shared" si="19"/>
        <v>12</v>
      </c>
      <c r="AW15" s="73"/>
      <c r="AX15" s="73"/>
      <c r="AY15" s="73"/>
      <c r="AZ15" s="74"/>
      <c r="BA15" s="74"/>
      <c r="BB15" s="74"/>
      <c r="BC15" s="75"/>
    </row>
    <row r="16" spans="1:55" ht="18.600000000000001" customHeight="1">
      <c r="A16" s="51">
        <v>13</v>
      </c>
      <c r="B16" s="51">
        <v>25260062</v>
      </c>
      <c r="C16" s="136" t="s">
        <v>753</v>
      </c>
      <c r="D16" s="68">
        <f t="shared" si="0"/>
        <v>70</v>
      </c>
      <c r="E16" s="68">
        <f t="shared" si="1"/>
        <v>70</v>
      </c>
      <c r="F16" s="68">
        <f t="shared" si="2"/>
        <v>99</v>
      </c>
      <c r="G16" s="68">
        <f t="shared" si="3"/>
        <v>75</v>
      </c>
      <c r="H16" s="68">
        <f t="shared" si="4"/>
        <v>80</v>
      </c>
      <c r="I16" s="68">
        <f t="shared" si="5"/>
        <v>75</v>
      </c>
      <c r="J16" s="68">
        <f t="shared" si="6"/>
        <v>70</v>
      </c>
      <c r="K16" s="68">
        <f t="shared" si="7"/>
        <v>70</v>
      </c>
      <c r="L16" s="68">
        <f t="shared" si="8"/>
        <v>80</v>
      </c>
      <c r="M16" s="69">
        <f t="shared" si="9"/>
        <v>90</v>
      </c>
      <c r="N16" s="69">
        <f t="shared" si="10"/>
        <v>93</v>
      </c>
      <c r="O16" s="69">
        <f t="shared" si="11"/>
        <v>85</v>
      </c>
      <c r="P16" s="69">
        <f t="shared" si="12"/>
        <v>40</v>
      </c>
      <c r="Q16" s="69">
        <f t="shared" si="13"/>
        <v>85</v>
      </c>
      <c r="R16" s="70">
        <f t="shared" si="14"/>
        <v>1082</v>
      </c>
      <c r="S16" s="71">
        <f t="shared" si="15"/>
        <v>77.285714285714292</v>
      </c>
      <c r="T16" s="72">
        <f t="shared" si="16"/>
        <v>13</v>
      </c>
      <c r="U16" s="73" t="s">
        <v>805</v>
      </c>
      <c r="V16" s="73" t="s">
        <v>805</v>
      </c>
      <c r="W16" s="73" t="s">
        <v>805</v>
      </c>
      <c r="X16" s="74"/>
      <c r="Y16" s="74"/>
      <c r="Z16" s="74"/>
      <c r="AA16" s="75"/>
      <c r="AC16" s="51">
        <v>17</v>
      </c>
      <c r="AD16" s="51">
        <v>25260062</v>
      </c>
      <c r="AE16" s="136" t="s">
        <v>753</v>
      </c>
      <c r="AF16" s="68">
        <v>70</v>
      </c>
      <c r="AG16" s="68">
        <v>70</v>
      </c>
      <c r="AH16" s="68">
        <v>100</v>
      </c>
      <c r="AI16" s="68">
        <v>75</v>
      </c>
      <c r="AJ16" s="68">
        <v>80</v>
      </c>
      <c r="AK16" s="68">
        <v>75</v>
      </c>
      <c r="AL16" s="68">
        <v>70</v>
      </c>
      <c r="AM16" s="68">
        <v>70</v>
      </c>
      <c r="AN16" s="68">
        <v>80</v>
      </c>
      <c r="AO16" s="76">
        <v>90</v>
      </c>
      <c r="AP16" s="76">
        <v>93</v>
      </c>
      <c r="AQ16" s="76">
        <v>85</v>
      </c>
      <c r="AR16" s="76">
        <v>40</v>
      </c>
      <c r="AS16" s="76">
        <v>85</v>
      </c>
      <c r="AT16" s="70">
        <f t="shared" si="17"/>
        <v>1083</v>
      </c>
      <c r="AU16" s="71">
        <f t="shared" si="18"/>
        <v>77.357142857142861</v>
      </c>
      <c r="AV16" s="72">
        <f t="shared" si="19"/>
        <v>12</v>
      </c>
      <c r="AW16" s="73"/>
      <c r="AX16" s="73"/>
      <c r="AY16" s="73"/>
      <c r="AZ16" s="74"/>
      <c r="BA16" s="74"/>
      <c r="BB16" s="74"/>
      <c r="BC16" s="75"/>
    </row>
    <row r="17" spans="1:55" ht="18.600000000000001" customHeight="1">
      <c r="A17" s="51">
        <v>14</v>
      </c>
      <c r="B17" s="51">
        <v>25260012</v>
      </c>
      <c r="C17" s="136" t="s">
        <v>750</v>
      </c>
      <c r="D17" s="68">
        <f t="shared" si="0"/>
        <v>70</v>
      </c>
      <c r="E17" s="68">
        <f t="shared" si="1"/>
        <v>98</v>
      </c>
      <c r="F17" s="68">
        <f t="shared" si="2"/>
        <v>85</v>
      </c>
      <c r="G17" s="68">
        <f t="shared" si="3"/>
        <v>70</v>
      </c>
      <c r="H17" s="68">
        <f t="shared" si="4"/>
        <v>60</v>
      </c>
      <c r="I17" s="68">
        <f t="shared" si="5"/>
        <v>80</v>
      </c>
      <c r="J17" s="68">
        <f t="shared" si="6"/>
        <v>60</v>
      </c>
      <c r="K17" s="68">
        <f t="shared" si="7"/>
        <v>70</v>
      </c>
      <c r="L17" s="68">
        <f t="shared" si="8"/>
        <v>60</v>
      </c>
      <c r="M17" s="69">
        <f t="shared" si="9"/>
        <v>85</v>
      </c>
      <c r="N17" s="69">
        <f t="shared" si="10"/>
        <v>93</v>
      </c>
      <c r="O17" s="69">
        <f t="shared" si="11"/>
        <v>90</v>
      </c>
      <c r="P17" s="69">
        <f t="shared" si="12"/>
        <v>65</v>
      </c>
      <c r="Q17" s="69">
        <f t="shared" si="13"/>
        <v>85</v>
      </c>
      <c r="R17" s="70">
        <f t="shared" si="14"/>
        <v>1071</v>
      </c>
      <c r="S17" s="71">
        <f t="shared" si="15"/>
        <v>76.5</v>
      </c>
      <c r="T17" s="72">
        <f t="shared" si="16"/>
        <v>14</v>
      </c>
      <c r="U17" s="73" t="s">
        <v>805</v>
      </c>
      <c r="V17" s="73" t="s">
        <v>805</v>
      </c>
      <c r="W17" s="73" t="s">
        <v>805</v>
      </c>
      <c r="X17" s="74"/>
      <c r="Y17" s="74"/>
      <c r="Z17" s="74"/>
      <c r="AA17" s="75"/>
      <c r="AC17" s="51">
        <v>14</v>
      </c>
      <c r="AD17" s="51">
        <v>25260012</v>
      </c>
      <c r="AE17" s="136" t="s">
        <v>750</v>
      </c>
      <c r="AF17" s="68">
        <v>70</v>
      </c>
      <c r="AG17" s="68">
        <v>98</v>
      </c>
      <c r="AH17" s="68">
        <v>85</v>
      </c>
      <c r="AI17" s="68">
        <v>70</v>
      </c>
      <c r="AJ17" s="68">
        <v>60</v>
      </c>
      <c r="AK17" s="68">
        <v>80</v>
      </c>
      <c r="AL17" s="68">
        <v>60</v>
      </c>
      <c r="AM17" s="68">
        <v>70</v>
      </c>
      <c r="AN17" s="68">
        <v>60</v>
      </c>
      <c r="AO17" s="76">
        <v>85</v>
      </c>
      <c r="AP17" s="76">
        <v>93</v>
      </c>
      <c r="AQ17" s="76">
        <v>90</v>
      </c>
      <c r="AR17" s="76">
        <v>65</v>
      </c>
      <c r="AS17" s="76">
        <v>85</v>
      </c>
      <c r="AT17" s="70">
        <f t="shared" si="17"/>
        <v>1071</v>
      </c>
      <c r="AU17" s="71">
        <f t="shared" si="18"/>
        <v>76.5</v>
      </c>
      <c r="AV17" s="72">
        <f t="shared" si="19"/>
        <v>14</v>
      </c>
      <c r="AW17" s="73"/>
      <c r="AX17" s="73"/>
      <c r="AY17" s="73"/>
      <c r="AZ17" s="74"/>
      <c r="BA17" s="74"/>
      <c r="BB17" s="74"/>
      <c r="BC17" s="75"/>
    </row>
    <row r="18" spans="1:55" ht="18.600000000000001" customHeight="1">
      <c r="A18" s="51">
        <v>15</v>
      </c>
      <c r="B18" s="51">
        <v>25260061</v>
      </c>
      <c r="C18" s="136" t="s">
        <v>755</v>
      </c>
      <c r="D18" s="68">
        <f t="shared" si="0"/>
        <v>70</v>
      </c>
      <c r="E18" s="68">
        <f t="shared" si="1"/>
        <v>79</v>
      </c>
      <c r="F18" s="68">
        <f t="shared" si="2"/>
        <v>95</v>
      </c>
      <c r="G18" s="68">
        <f t="shared" si="3"/>
        <v>60</v>
      </c>
      <c r="H18" s="68">
        <f t="shared" si="4"/>
        <v>60</v>
      </c>
      <c r="I18" s="68">
        <f t="shared" si="5"/>
        <v>70</v>
      </c>
      <c r="J18" s="68">
        <f t="shared" si="6"/>
        <v>60</v>
      </c>
      <c r="K18" s="68">
        <f t="shared" si="7"/>
        <v>80</v>
      </c>
      <c r="L18" s="68">
        <f t="shared" si="8"/>
        <v>99</v>
      </c>
      <c r="M18" s="69">
        <f t="shared" si="9"/>
        <v>90</v>
      </c>
      <c r="N18" s="69">
        <f t="shared" si="10"/>
        <v>92</v>
      </c>
      <c r="O18" s="69">
        <f t="shared" si="11"/>
        <v>60</v>
      </c>
      <c r="P18" s="69">
        <f t="shared" si="12"/>
        <v>70</v>
      </c>
      <c r="Q18" s="69">
        <f t="shared" si="13"/>
        <v>55</v>
      </c>
      <c r="R18" s="70">
        <f t="shared" si="14"/>
        <v>1040</v>
      </c>
      <c r="S18" s="71">
        <f t="shared" si="15"/>
        <v>74.285714285714292</v>
      </c>
      <c r="T18" s="72">
        <f t="shared" si="16"/>
        <v>15</v>
      </c>
      <c r="U18" s="73" t="s">
        <v>805</v>
      </c>
      <c r="V18" s="73" t="s">
        <v>805</v>
      </c>
      <c r="W18" s="73" t="s">
        <v>805</v>
      </c>
      <c r="X18" s="74"/>
      <c r="Y18" s="74"/>
      <c r="Z18" s="74"/>
      <c r="AA18" s="75"/>
      <c r="AC18" s="51">
        <v>19</v>
      </c>
      <c r="AD18" s="51">
        <v>25260061</v>
      </c>
      <c r="AE18" s="136" t="s">
        <v>755</v>
      </c>
      <c r="AF18" s="68">
        <v>70</v>
      </c>
      <c r="AG18" s="68">
        <v>79</v>
      </c>
      <c r="AH18" s="68">
        <v>95</v>
      </c>
      <c r="AI18" s="68">
        <v>60</v>
      </c>
      <c r="AJ18" s="68">
        <v>60</v>
      </c>
      <c r="AK18" s="68">
        <v>70</v>
      </c>
      <c r="AL18" s="68">
        <v>60</v>
      </c>
      <c r="AM18" s="68">
        <v>80</v>
      </c>
      <c r="AN18" s="68">
        <v>100</v>
      </c>
      <c r="AO18" s="76">
        <v>90</v>
      </c>
      <c r="AP18" s="76">
        <v>92</v>
      </c>
      <c r="AQ18" s="76">
        <v>60</v>
      </c>
      <c r="AR18" s="76">
        <v>70</v>
      </c>
      <c r="AS18" s="76">
        <v>55</v>
      </c>
      <c r="AT18" s="70">
        <f t="shared" si="17"/>
        <v>1041</v>
      </c>
      <c r="AU18" s="71">
        <f t="shared" si="18"/>
        <v>74.357142857142861</v>
      </c>
      <c r="AV18" s="72" t="e">
        <f t="shared" si="19"/>
        <v>#N/A</v>
      </c>
      <c r="AW18" s="73"/>
      <c r="AX18" s="73"/>
      <c r="AY18" s="73"/>
      <c r="AZ18" s="74"/>
      <c r="BA18" s="74"/>
      <c r="BB18" s="74"/>
      <c r="BC18" s="75"/>
    </row>
    <row r="19" spans="1:55" ht="18.600000000000001" customHeight="1">
      <c r="A19" s="51">
        <v>16</v>
      </c>
      <c r="B19" s="51">
        <v>25260081</v>
      </c>
      <c r="C19" s="136" t="s">
        <v>751</v>
      </c>
      <c r="D19" s="68">
        <f t="shared" si="0"/>
        <v>70</v>
      </c>
      <c r="E19" s="68">
        <f t="shared" si="1"/>
        <v>70</v>
      </c>
      <c r="F19" s="68">
        <f t="shared" si="2"/>
        <v>85</v>
      </c>
      <c r="G19" s="68">
        <f t="shared" si="3"/>
        <v>60</v>
      </c>
      <c r="H19" s="68">
        <f t="shared" si="4"/>
        <v>60</v>
      </c>
      <c r="I19" s="68">
        <f t="shared" si="5"/>
        <v>70</v>
      </c>
      <c r="J19" s="68">
        <f t="shared" si="6"/>
        <v>60</v>
      </c>
      <c r="K19" s="68">
        <f t="shared" si="7"/>
        <v>80</v>
      </c>
      <c r="L19" s="68">
        <f t="shared" si="8"/>
        <v>90</v>
      </c>
      <c r="M19" s="69">
        <f t="shared" si="9"/>
        <v>80</v>
      </c>
      <c r="N19" s="69">
        <f t="shared" si="10"/>
        <v>90</v>
      </c>
      <c r="O19" s="69">
        <f t="shared" si="11"/>
        <v>80</v>
      </c>
      <c r="P19" s="69">
        <f t="shared" si="12"/>
        <v>55</v>
      </c>
      <c r="Q19" s="69">
        <f t="shared" si="13"/>
        <v>85</v>
      </c>
      <c r="R19" s="70">
        <f t="shared" si="14"/>
        <v>1035</v>
      </c>
      <c r="S19" s="71">
        <f t="shared" si="15"/>
        <v>73.928571428571431</v>
      </c>
      <c r="T19" s="72">
        <f t="shared" si="16"/>
        <v>16</v>
      </c>
      <c r="U19" s="73" t="s">
        <v>805</v>
      </c>
      <c r="V19" s="73" t="s">
        <v>805</v>
      </c>
      <c r="W19" s="73" t="s">
        <v>807</v>
      </c>
      <c r="X19" s="74"/>
      <c r="Y19" s="74"/>
      <c r="Z19" s="74"/>
      <c r="AA19" s="75"/>
      <c r="AC19" s="51">
        <v>15</v>
      </c>
      <c r="AD19" s="51">
        <v>25260081</v>
      </c>
      <c r="AE19" s="136" t="s">
        <v>751</v>
      </c>
      <c r="AF19" s="68">
        <v>70</v>
      </c>
      <c r="AG19" s="68">
        <v>70</v>
      </c>
      <c r="AH19" s="68">
        <v>85</v>
      </c>
      <c r="AI19" s="68">
        <v>60</v>
      </c>
      <c r="AJ19" s="68">
        <v>60</v>
      </c>
      <c r="AK19" s="68">
        <v>70</v>
      </c>
      <c r="AL19" s="68">
        <v>60</v>
      </c>
      <c r="AM19" s="68">
        <v>80</v>
      </c>
      <c r="AN19" s="68">
        <v>90</v>
      </c>
      <c r="AO19" s="76">
        <v>80</v>
      </c>
      <c r="AP19" s="76">
        <v>90</v>
      </c>
      <c r="AQ19" s="76">
        <v>80</v>
      </c>
      <c r="AR19" s="76">
        <v>55</v>
      </c>
      <c r="AS19" s="76">
        <v>85</v>
      </c>
      <c r="AT19" s="70">
        <f t="shared" si="17"/>
        <v>1035</v>
      </c>
      <c r="AU19" s="71">
        <f t="shared" si="18"/>
        <v>73.928571428571431</v>
      </c>
      <c r="AV19" s="72">
        <f t="shared" si="19"/>
        <v>16</v>
      </c>
      <c r="AW19" s="73"/>
      <c r="AX19" s="73"/>
      <c r="AY19" s="73"/>
      <c r="AZ19" s="74"/>
      <c r="BA19" s="74"/>
      <c r="BB19" s="74"/>
      <c r="BC19" s="75"/>
    </row>
    <row r="20" spans="1:55" ht="18.600000000000001" customHeight="1">
      <c r="A20" s="51">
        <v>17</v>
      </c>
      <c r="B20" s="51">
        <v>25260086</v>
      </c>
      <c r="C20" s="136" t="s">
        <v>740</v>
      </c>
      <c r="D20" s="68">
        <f t="shared" si="0"/>
        <v>70</v>
      </c>
      <c r="E20" s="68">
        <f t="shared" si="1"/>
        <v>80</v>
      </c>
      <c r="F20" s="68">
        <f t="shared" si="2"/>
        <v>70</v>
      </c>
      <c r="G20" s="68">
        <f t="shared" si="3"/>
        <v>63</v>
      </c>
      <c r="H20" s="68">
        <f t="shared" si="4"/>
        <v>60</v>
      </c>
      <c r="I20" s="68">
        <f t="shared" si="5"/>
        <v>75</v>
      </c>
      <c r="J20" s="68">
        <f t="shared" si="6"/>
        <v>60</v>
      </c>
      <c r="K20" s="68">
        <f t="shared" si="7"/>
        <v>80</v>
      </c>
      <c r="L20" s="68">
        <f t="shared" si="8"/>
        <v>60</v>
      </c>
      <c r="M20" s="69">
        <f t="shared" si="9"/>
        <v>85</v>
      </c>
      <c r="N20" s="69">
        <f t="shared" si="10"/>
        <v>90</v>
      </c>
      <c r="O20" s="69">
        <f t="shared" si="11"/>
        <v>78</v>
      </c>
      <c r="P20" s="69">
        <f t="shared" si="12"/>
        <v>65</v>
      </c>
      <c r="Q20" s="69">
        <f t="shared" si="13"/>
        <v>85</v>
      </c>
      <c r="R20" s="70">
        <f t="shared" si="14"/>
        <v>1021</v>
      </c>
      <c r="S20" s="71">
        <f t="shared" si="15"/>
        <v>72.928571428571431</v>
      </c>
      <c r="T20" s="72">
        <f t="shared" si="16"/>
        <v>17</v>
      </c>
      <c r="U20" s="73" t="s">
        <v>805</v>
      </c>
      <c r="V20" s="73" t="s">
        <v>805</v>
      </c>
      <c r="W20" s="73" t="s">
        <v>805</v>
      </c>
      <c r="X20" s="74"/>
      <c r="Y20" s="74"/>
      <c r="Z20" s="74"/>
      <c r="AA20" s="75"/>
      <c r="AC20" s="51">
        <v>1</v>
      </c>
      <c r="AD20" s="51">
        <v>25260086</v>
      </c>
      <c r="AE20" s="136" t="s">
        <v>740</v>
      </c>
      <c r="AF20" s="68">
        <v>70</v>
      </c>
      <c r="AG20" s="68">
        <v>80</v>
      </c>
      <c r="AH20" s="68">
        <v>70</v>
      </c>
      <c r="AI20" s="68">
        <v>63</v>
      </c>
      <c r="AJ20" s="68">
        <v>60</v>
      </c>
      <c r="AK20" s="68">
        <v>75</v>
      </c>
      <c r="AL20" s="68">
        <v>60</v>
      </c>
      <c r="AM20" s="68">
        <v>80</v>
      </c>
      <c r="AN20" s="68">
        <v>60</v>
      </c>
      <c r="AO20" s="76">
        <v>85</v>
      </c>
      <c r="AP20" s="76">
        <v>90</v>
      </c>
      <c r="AQ20" s="76">
        <v>78</v>
      </c>
      <c r="AR20" s="76">
        <v>65</v>
      </c>
      <c r="AS20" s="76">
        <v>85</v>
      </c>
      <c r="AT20" s="70">
        <f t="shared" si="17"/>
        <v>1021</v>
      </c>
      <c r="AU20" s="71">
        <f t="shared" si="18"/>
        <v>72.928571428571431</v>
      </c>
      <c r="AV20" s="72">
        <f t="shared" si="19"/>
        <v>17</v>
      </c>
      <c r="AW20" s="73"/>
      <c r="AX20" s="73"/>
      <c r="AY20" s="73"/>
      <c r="AZ20" s="74"/>
      <c r="BA20" s="74"/>
      <c r="BB20" s="74"/>
      <c r="BC20" s="75"/>
    </row>
    <row r="21" spans="1:55" ht="18.600000000000001" customHeight="1">
      <c r="A21" s="51">
        <v>18</v>
      </c>
      <c r="B21" s="51">
        <v>25260004</v>
      </c>
      <c r="C21" s="136" t="s">
        <v>756</v>
      </c>
      <c r="D21" s="68">
        <f t="shared" si="0"/>
        <v>70</v>
      </c>
      <c r="E21" s="68">
        <f t="shared" si="1"/>
        <v>76</v>
      </c>
      <c r="F21" s="68">
        <f t="shared" si="2"/>
        <v>65</v>
      </c>
      <c r="G21" s="68">
        <f t="shared" si="3"/>
        <v>60</v>
      </c>
      <c r="H21" s="68">
        <f t="shared" si="4"/>
        <v>60</v>
      </c>
      <c r="I21" s="68">
        <f t="shared" si="5"/>
        <v>70</v>
      </c>
      <c r="J21" s="68">
        <f t="shared" si="6"/>
        <v>60</v>
      </c>
      <c r="K21" s="68">
        <f t="shared" si="7"/>
        <v>80</v>
      </c>
      <c r="L21" s="68">
        <f t="shared" si="8"/>
        <v>60</v>
      </c>
      <c r="M21" s="69">
        <f t="shared" si="9"/>
        <v>80</v>
      </c>
      <c r="N21" s="69">
        <f t="shared" si="10"/>
        <v>90</v>
      </c>
      <c r="O21" s="69">
        <f t="shared" si="11"/>
        <v>75</v>
      </c>
      <c r="P21" s="69">
        <f t="shared" si="12"/>
        <v>85</v>
      </c>
      <c r="Q21" s="69">
        <f t="shared" si="13"/>
        <v>85</v>
      </c>
      <c r="R21" s="70">
        <f t="shared" si="14"/>
        <v>1016</v>
      </c>
      <c r="S21" s="71">
        <f t="shared" si="15"/>
        <v>72.571428571428569</v>
      </c>
      <c r="T21" s="72">
        <f t="shared" si="16"/>
        <v>18</v>
      </c>
      <c r="U21" s="73" t="s">
        <v>805</v>
      </c>
      <c r="V21" s="73" t="s">
        <v>805</v>
      </c>
      <c r="W21" s="73" t="s">
        <v>805</v>
      </c>
      <c r="X21" s="74"/>
      <c r="Y21" s="74"/>
      <c r="Z21" s="74"/>
      <c r="AA21" s="75"/>
      <c r="AC21" s="51">
        <v>20</v>
      </c>
      <c r="AD21" s="51">
        <v>25260004</v>
      </c>
      <c r="AE21" s="136" t="s">
        <v>756</v>
      </c>
      <c r="AF21" s="68">
        <v>70</v>
      </c>
      <c r="AG21" s="68">
        <v>76</v>
      </c>
      <c r="AH21" s="68">
        <v>65</v>
      </c>
      <c r="AI21" s="68">
        <v>60</v>
      </c>
      <c r="AJ21" s="68">
        <v>60</v>
      </c>
      <c r="AK21" s="68">
        <v>70</v>
      </c>
      <c r="AL21" s="68">
        <v>60</v>
      </c>
      <c r="AM21" s="68">
        <v>80</v>
      </c>
      <c r="AN21" s="68">
        <v>60</v>
      </c>
      <c r="AO21" s="76">
        <v>80</v>
      </c>
      <c r="AP21" s="76">
        <v>90</v>
      </c>
      <c r="AQ21" s="76">
        <v>75</v>
      </c>
      <c r="AR21" s="76">
        <v>85</v>
      </c>
      <c r="AS21" s="76">
        <v>85</v>
      </c>
      <c r="AT21" s="70">
        <f t="shared" si="17"/>
        <v>1016</v>
      </c>
      <c r="AU21" s="71">
        <f t="shared" si="18"/>
        <v>72.571428571428569</v>
      </c>
      <c r="AV21" s="72">
        <f t="shared" si="19"/>
        <v>18</v>
      </c>
      <c r="AW21" s="73"/>
      <c r="AX21" s="73"/>
      <c r="AY21" s="73"/>
      <c r="AZ21" s="74"/>
      <c r="BA21" s="74"/>
      <c r="BB21" s="74"/>
      <c r="BC21" s="75"/>
    </row>
    <row r="22" spans="1:55" ht="18.600000000000001" customHeight="1">
      <c r="A22" s="51">
        <v>19</v>
      </c>
      <c r="B22" s="51">
        <v>25260137</v>
      </c>
      <c r="C22" s="136" t="s">
        <v>761</v>
      </c>
      <c r="D22" s="68">
        <f t="shared" si="0"/>
        <v>70</v>
      </c>
      <c r="E22" s="68">
        <f t="shared" si="1"/>
        <v>68</v>
      </c>
      <c r="F22" s="68">
        <f t="shared" si="2"/>
        <v>99</v>
      </c>
      <c r="G22" s="68">
        <f t="shared" si="3"/>
        <v>60</v>
      </c>
      <c r="H22" s="68">
        <f t="shared" si="4"/>
        <v>55</v>
      </c>
      <c r="I22" s="68">
        <f t="shared" si="5"/>
        <v>75</v>
      </c>
      <c r="J22" s="68">
        <f t="shared" si="6"/>
        <v>60</v>
      </c>
      <c r="K22" s="68">
        <f t="shared" si="7"/>
        <v>80</v>
      </c>
      <c r="L22" s="68">
        <f t="shared" si="8"/>
        <v>99</v>
      </c>
      <c r="M22" s="69">
        <f t="shared" si="9"/>
        <v>55</v>
      </c>
      <c r="N22" s="69">
        <f t="shared" si="10"/>
        <v>95</v>
      </c>
      <c r="O22" s="69">
        <f t="shared" si="11"/>
        <v>90</v>
      </c>
      <c r="P22" s="69">
        <f t="shared" si="12"/>
        <v>50</v>
      </c>
      <c r="Q22" s="69">
        <f t="shared" si="13"/>
        <v>55</v>
      </c>
      <c r="R22" s="70">
        <f t="shared" si="14"/>
        <v>1011</v>
      </c>
      <c r="S22" s="71">
        <f t="shared" si="15"/>
        <v>72.214285714285708</v>
      </c>
      <c r="T22" s="72">
        <f t="shared" si="16"/>
        <v>19</v>
      </c>
      <c r="U22" s="73" t="s">
        <v>805</v>
      </c>
      <c r="V22" s="73" t="s">
        <v>805</v>
      </c>
      <c r="W22" s="73" t="s">
        <v>807</v>
      </c>
      <c r="X22" s="74"/>
      <c r="Y22" s="74"/>
      <c r="Z22" s="74"/>
      <c r="AA22" s="75"/>
      <c r="AC22" s="51">
        <v>25</v>
      </c>
      <c r="AD22" s="51">
        <v>25260137</v>
      </c>
      <c r="AE22" s="136" t="s">
        <v>761</v>
      </c>
      <c r="AF22" s="68">
        <v>70</v>
      </c>
      <c r="AG22" s="68">
        <v>68</v>
      </c>
      <c r="AH22" s="68">
        <v>100</v>
      </c>
      <c r="AI22" s="68">
        <v>60</v>
      </c>
      <c r="AJ22" s="68">
        <v>55</v>
      </c>
      <c r="AK22" s="68">
        <v>75</v>
      </c>
      <c r="AL22" s="68">
        <v>60</v>
      </c>
      <c r="AM22" s="68">
        <v>80</v>
      </c>
      <c r="AN22" s="68">
        <v>100</v>
      </c>
      <c r="AO22" s="76">
        <v>55</v>
      </c>
      <c r="AP22" s="76">
        <v>95</v>
      </c>
      <c r="AQ22" s="76">
        <v>90</v>
      </c>
      <c r="AR22" s="76">
        <v>50</v>
      </c>
      <c r="AS22" s="76">
        <v>55</v>
      </c>
      <c r="AT22" s="70">
        <f t="shared" si="17"/>
        <v>1013</v>
      </c>
      <c r="AU22" s="71">
        <f t="shared" si="18"/>
        <v>72.357142857142861</v>
      </c>
      <c r="AV22" s="72" t="e">
        <f t="shared" si="19"/>
        <v>#N/A</v>
      </c>
      <c r="AW22" s="73"/>
      <c r="AX22" s="73"/>
      <c r="AY22" s="73"/>
      <c r="AZ22" s="74"/>
      <c r="BA22" s="74"/>
      <c r="BB22" s="74"/>
      <c r="BC22" s="75"/>
    </row>
    <row r="23" spans="1:55" ht="18.600000000000001" customHeight="1">
      <c r="A23" s="51">
        <v>20</v>
      </c>
      <c r="B23" s="51">
        <v>25260013</v>
      </c>
      <c r="C23" s="136" t="s">
        <v>752</v>
      </c>
      <c r="D23" s="68">
        <f t="shared" si="0"/>
        <v>70</v>
      </c>
      <c r="E23" s="68">
        <f t="shared" si="1"/>
        <v>70</v>
      </c>
      <c r="F23" s="68">
        <f t="shared" si="2"/>
        <v>65</v>
      </c>
      <c r="G23" s="68">
        <f t="shared" si="3"/>
        <v>55</v>
      </c>
      <c r="H23" s="68">
        <f t="shared" si="4"/>
        <v>60</v>
      </c>
      <c r="I23" s="68">
        <f t="shared" si="5"/>
        <v>65</v>
      </c>
      <c r="J23" s="68">
        <f t="shared" si="6"/>
        <v>60</v>
      </c>
      <c r="K23" s="68">
        <f t="shared" si="7"/>
        <v>70</v>
      </c>
      <c r="L23" s="68">
        <f t="shared" si="8"/>
        <v>80</v>
      </c>
      <c r="M23" s="69">
        <f t="shared" si="9"/>
        <v>85</v>
      </c>
      <c r="N23" s="69">
        <f t="shared" si="10"/>
        <v>93</v>
      </c>
      <c r="O23" s="69">
        <f t="shared" si="11"/>
        <v>70</v>
      </c>
      <c r="P23" s="69">
        <f t="shared" si="12"/>
        <v>65</v>
      </c>
      <c r="Q23" s="69">
        <f t="shared" si="13"/>
        <v>85</v>
      </c>
      <c r="R23" s="70">
        <f t="shared" si="14"/>
        <v>993</v>
      </c>
      <c r="S23" s="71">
        <f t="shared" si="15"/>
        <v>70.928571428571431</v>
      </c>
      <c r="T23" s="72">
        <f t="shared" si="16"/>
        <v>20</v>
      </c>
      <c r="U23" s="73" t="s">
        <v>805</v>
      </c>
      <c r="V23" s="73" t="s">
        <v>805</v>
      </c>
      <c r="W23" s="73" t="s">
        <v>805</v>
      </c>
      <c r="X23" s="74"/>
      <c r="Y23" s="74"/>
      <c r="Z23" s="74"/>
      <c r="AA23" s="75"/>
      <c r="AC23" s="51">
        <v>16</v>
      </c>
      <c r="AD23" s="51">
        <v>25260013</v>
      </c>
      <c r="AE23" s="136" t="s">
        <v>752</v>
      </c>
      <c r="AF23" s="68">
        <v>70</v>
      </c>
      <c r="AG23" s="68">
        <v>70</v>
      </c>
      <c r="AH23" s="68">
        <v>65</v>
      </c>
      <c r="AI23" s="68">
        <v>55</v>
      </c>
      <c r="AJ23" s="68">
        <v>60</v>
      </c>
      <c r="AK23" s="68">
        <v>65</v>
      </c>
      <c r="AL23" s="68">
        <v>60</v>
      </c>
      <c r="AM23" s="68">
        <v>70</v>
      </c>
      <c r="AN23" s="68">
        <v>80</v>
      </c>
      <c r="AO23" s="76">
        <v>85</v>
      </c>
      <c r="AP23" s="76">
        <v>93</v>
      </c>
      <c r="AQ23" s="76">
        <v>70</v>
      </c>
      <c r="AR23" s="76">
        <v>65</v>
      </c>
      <c r="AS23" s="76">
        <v>85</v>
      </c>
      <c r="AT23" s="70">
        <f t="shared" si="17"/>
        <v>993</v>
      </c>
      <c r="AU23" s="71">
        <f t="shared" si="18"/>
        <v>70.928571428571431</v>
      </c>
      <c r="AV23" s="72">
        <f t="shared" si="19"/>
        <v>20</v>
      </c>
      <c r="AW23" s="73"/>
      <c r="AX23" s="73"/>
      <c r="AY23" s="73"/>
      <c r="AZ23" s="74"/>
      <c r="BA23" s="74"/>
      <c r="BB23" s="74"/>
      <c r="BC23" s="75"/>
    </row>
    <row r="24" spans="1:55" ht="18.600000000000001" customHeight="1">
      <c r="A24" s="51">
        <v>21</v>
      </c>
      <c r="B24" s="51">
        <v>25260005</v>
      </c>
      <c r="C24" s="136" t="s">
        <v>757</v>
      </c>
      <c r="D24" s="68">
        <f t="shared" si="0"/>
        <v>70</v>
      </c>
      <c r="E24" s="68">
        <f t="shared" si="1"/>
        <v>75</v>
      </c>
      <c r="F24" s="68">
        <f t="shared" si="2"/>
        <v>85</v>
      </c>
      <c r="G24" s="68">
        <f t="shared" si="3"/>
        <v>60</v>
      </c>
      <c r="H24" s="68">
        <f t="shared" si="4"/>
        <v>55</v>
      </c>
      <c r="I24" s="68">
        <f t="shared" si="5"/>
        <v>65</v>
      </c>
      <c r="J24" s="68">
        <f t="shared" si="6"/>
        <v>60</v>
      </c>
      <c r="K24" s="68">
        <f t="shared" si="7"/>
        <v>70</v>
      </c>
      <c r="L24" s="68">
        <f t="shared" si="8"/>
        <v>55</v>
      </c>
      <c r="M24" s="69">
        <f t="shared" si="9"/>
        <v>85</v>
      </c>
      <c r="N24" s="69">
        <f t="shared" si="10"/>
        <v>90</v>
      </c>
      <c r="O24" s="69">
        <f t="shared" si="11"/>
        <v>80</v>
      </c>
      <c r="P24" s="69">
        <f t="shared" si="12"/>
        <v>50</v>
      </c>
      <c r="Q24" s="69">
        <f t="shared" si="13"/>
        <v>55</v>
      </c>
      <c r="R24" s="70">
        <f t="shared" si="14"/>
        <v>955</v>
      </c>
      <c r="S24" s="71">
        <f t="shared" si="15"/>
        <v>68.214285714285708</v>
      </c>
      <c r="T24" s="72">
        <f t="shared" si="16"/>
        <v>21</v>
      </c>
      <c r="U24" s="73" t="s">
        <v>805</v>
      </c>
      <c r="V24" s="73" t="s">
        <v>805</v>
      </c>
      <c r="W24" s="73" t="s">
        <v>805</v>
      </c>
      <c r="X24" s="74"/>
      <c r="Y24" s="74"/>
      <c r="Z24" s="74"/>
      <c r="AA24" s="75"/>
      <c r="AC24" s="51">
        <v>21</v>
      </c>
      <c r="AD24" s="51">
        <v>25260005</v>
      </c>
      <c r="AE24" s="136" t="s">
        <v>757</v>
      </c>
      <c r="AF24" s="68">
        <v>70</v>
      </c>
      <c r="AG24" s="68">
        <v>75</v>
      </c>
      <c r="AH24" s="68">
        <v>85</v>
      </c>
      <c r="AI24" s="68">
        <v>60</v>
      </c>
      <c r="AJ24" s="68">
        <v>55</v>
      </c>
      <c r="AK24" s="68">
        <v>65</v>
      </c>
      <c r="AL24" s="68">
        <v>60</v>
      </c>
      <c r="AM24" s="68">
        <v>70</v>
      </c>
      <c r="AN24" s="68">
        <v>55</v>
      </c>
      <c r="AO24" s="76">
        <v>85</v>
      </c>
      <c r="AP24" s="76">
        <v>90</v>
      </c>
      <c r="AQ24" s="76">
        <v>80</v>
      </c>
      <c r="AR24" s="76">
        <v>50</v>
      </c>
      <c r="AS24" s="76">
        <v>55</v>
      </c>
      <c r="AT24" s="70">
        <f t="shared" si="17"/>
        <v>955</v>
      </c>
      <c r="AU24" s="71">
        <f t="shared" si="18"/>
        <v>68.214285714285708</v>
      </c>
      <c r="AV24" s="72">
        <f t="shared" si="19"/>
        <v>21</v>
      </c>
      <c r="AW24" s="73"/>
      <c r="AX24" s="73"/>
      <c r="AY24" s="73"/>
      <c r="AZ24" s="74"/>
      <c r="BA24" s="74"/>
      <c r="BB24" s="74"/>
      <c r="BC24" s="75"/>
    </row>
    <row r="25" spans="1:55" ht="18.600000000000001" customHeight="1">
      <c r="A25" s="51">
        <v>22</v>
      </c>
      <c r="B25" s="51">
        <v>25260129</v>
      </c>
      <c r="C25" s="136" t="s">
        <v>764</v>
      </c>
      <c r="D25" s="68">
        <f t="shared" si="0"/>
        <v>70</v>
      </c>
      <c r="E25" s="68">
        <f t="shared" si="1"/>
        <v>75</v>
      </c>
      <c r="F25" s="68">
        <f t="shared" si="2"/>
        <v>75</v>
      </c>
      <c r="G25" s="68">
        <f t="shared" si="3"/>
        <v>60</v>
      </c>
      <c r="H25" s="68">
        <f t="shared" si="4"/>
        <v>60</v>
      </c>
      <c r="I25" s="68">
        <f t="shared" si="5"/>
        <v>75</v>
      </c>
      <c r="J25" s="68">
        <f t="shared" si="6"/>
        <v>60</v>
      </c>
      <c r="K25" s="68">
        <f t="shared" si="7"/>
        <v>70</v>
      </c>
      <c r="L25" s="68">
        <f t="shared" si="8"/>
        <v>55</v>
      </c>
      <c r="M25" s="69">
        <f t="shared" si="9"/>
        <v>85</v>
      </c>
      <c r="N25" s="69">
        <f t="shared" si="10"/>
        <v>90</v>
      </c>
      <c r="O25" s="69">
        <f t="shared" si="11"/>
        <v>59</v>
      </c>
      <c r="P25" s="69">
        <f t="shared" si="12"/>
        <v>50</v>
      </c>
      <c r="Q25" s="69">
        <f t="shared" si="13"/>
        <v>55</v>
      </c>
      <c r="R25" s="70">
        <f t="shared" si="14"/>
        <v>939</v>
      </c>
      <c r="S25" s="71">
        <f t="shared" si="15"/>
        <v>67.071428571428569</v>
      </c>
      <c r="T25" s="72">
        <f t="shared" si="16"/>
        <v>22</v>
      </c>
      <c r="U25" s="73" t="s">
        <v>805</v>
      </c>
      <c r="V25" s="73" t="s">
        <v>807</v>
      </c>
      <c r="W25" s="73" t="s">
        <v>807</v>
      </c>
      <c r="X25" s="74"/>
      <c r="Y25" s="74"/>
      <c r="Z25" s="74"/>
      <c r="AA25" s="75"/>
      <c r="AC25" s="51">
        <v>12</v>
      </c>
      <c r="AD25" s="51">
        <v>25260129</v>
      </c>
      <c r="AE25" s="136" t="s">
        <v>764</v>
      </c>
      <c r="AF25" s="68">
        <v>70</v>
      </c>
      <c r="AG25" s="68">
        <v>75</v>
      </c>
      <c r="AH25" s="68">
        <v>75</v>
      </c>
      <c r="AI25" s="68">
        <v>60</v>
      </c>
      <c r="AJ25" s="68">
        <v>60</v>
      </c>
      <c r="AK25" s="68">
        <v>75</v>
      </c>
      <c r="AL25" s="68">
        <v>60</v>
      </c>
      <c r="AM25" s="68">
        <v>70</v>
      </c>
      <c r="AN25" s="68">
        <v>55</v>
      </c>
      <c r="AO25" s="76">
        <v>85</v>
      </c>
      <c r="AP25" s="76">
        <v>90</v>
      </c>
      <c r="AQ25" s="76">
        <v>59</v>
      </c>
      <c r="AR25" s="76">
        <v>50</v>
      </c>
      <c r="AS25" s="76">
        <v>55</v>
      </c>
      <c r="AT25" s="70">
        <f t="shared" si="17"/>
        <v>939</v>
      </c>
      <c r="AU25" s="71">
        <f t="shared" si="18"/>
        <v>67.071428571428569</v>
      </c>
      <c r="AV25" s="72">
        <f t="shared" si="19"/>
        <v>22</v>
      </c>
      <c r="AW25" s="73"/>
      <c r="AX25" s="73"/>
      <c r="AY25" s="73"/>
      <c r="AZ25" s="74"/>
      <c r="BA25" s="74"/>
      <c r="BB25" s="74"/>
      <c r="BC25" s="75"/>
    </row>
    <row r="26" spans="1:55" ht="18.600000000000001" customHeight="1">
      <c r="A26" s="51">
        <v>23</v>
      </c>
      <c r="B26" s="51">
        <v>25260109</v>
      </c>
      <c r="C26" s="136" t="s">
        <v>763</v>
      </c>
      <c r="D26" s="68">
        <f t="shared" si="0"/>
        <v>70</v>
      </c>
      <c r="E26" s="68">
        <f t="shared" si="1"/>
        <v>65</v>
      </c>
      <c r="F26" s="68">
        <f t="shared" si="2"/>
        <v>50</v>
      </c>
      <c r="G26" s="68">
        <f t="shared" si="3"/>
        <v>60</v>
      </c>
      <c r="H26" s="68">
        <f t="shared" si="4"/>
        <v>55</v>
      </c>
      <c r="I26" s="68">
        <f t="shared" si="5"/>
        <v>70</v>
      </c>
      <c r="J26" s="68">
        <f t="shared" si="6"/>
        <v>60</v>
      </c>
      <c r="K26" s="68">
        <f t="shared" si="7"/>
        <v>70</v>
      </c>
      <c r="L26" s="68">
        <f t="shared" si="8"/>
        <v>50</v>
      </c>
      <c r="M26" s="69">
        <f t="shared" si="9"/>
        <v>55</v>
      </c>
      <c r="N26" s="69">
        <f t="shared" si="10"/>
        <v>90</v>
      </c>
      <c r="O26" s="69">
        <f t="shared" si="11"/>
        <v>80</v>
      </c>
      <c r="P26" s="69">
        <f t="shared" si="12"/>
        <v>75</v>
      </c>
      <c r="Q26" s="69">
        <f t="shared" si="13"/>
        <v>80</v>
      </c>
      <c r="R26" s="70">
        <f t="shared" si="14"/>
        <v>930</v>
      </c>
      <c r="S26" s="71">
        <f t="shared" si="15"/>
        <v>66.428571428571431</v>
      </c>
      <c r="T26" s="72">
        <f t="shared" si="16"/>
        <v>23</v>
      </c>
      <c r="U26" s="73" t="s">
        <v>805</v>
      </c>
      <c r="V26" s="73" t="s">
        <v>805</v>
      </c>
      <c r="W26" s="73" t="s">
        <v>807</v>
      </c>
      <c r="X26" s="74"/>
      <c r="Y26" s="74"/>
      <c r="Z26" s="74"/>
      <c r="AA26" s="75"/>
      <c r="AC26" s="51">
        <v>7</v>
      </c>
      <c r="AD26" s="51">
        <v>25260109</v>
      </c>
      <c r="AE26" s="136" t="s">
        <v>763</v>
      </c>
      <c r="AF26" s="68">
        <v>70</v>
      </c>
      <c r="AG26" s="68">
        <v>65</v>
      </c>
      <c r="AH26" s="68">
        <v>50</v>
      </c>
      <c r="AI26" s="68">
        <v>60</v>
      </c>
      <c r="AJ26" s="68">
        <v>55</v>
      </c>
      <c r="AK26" s="68">
        <v>70</v>
      </c>
      <c r="AL26" s="68">
        <v>60</v>
      </c>
      <c r="AM26" s="68">
        <v>70</v>
      </c>
      <c r="AN26" s="68">
        <v>50</v>
      </c>
      <c r="AO26" s="76">
        <v>55</v>
      </c>
      <c r="AP26" s="76">
        <v>90</v>
      </c>
      <c r="AQ26" s="76">
        <v>80</v>
      </c>
      <c r="AR26" s="76">
        <v>75</v>
      </c>
      <c r="AS26" s="76">
        <v>80</v>
      </c>
      <c r="AT26" s="70">
        <f t="shared" si="17"/>
        <v>930</v>
      </c>
      <c r="AU26" s="71">
        <f t="shared" si="18"/>
        <v>66.428571428571431</v>
      </c>
      <c r="AV26" s="72">
        <f t="shared" si="19"/>
        <v>23</v>
      </c>
      <c r="AW26" s="73"/>
      <c r="AX26" s="73"/>
      <c r="AY26" s="73"/>
      <c r="AZ26" s="74"/>
      <c r="BA26" s="74"/>
      <c r="BB26" s="74"/>
      <c r="BC26" s="75"/>
    </row>
    <row r="27" spans="1:55" ht="18.600000000000001" customHeight="1">
      <c r="A27" s="51">
        <v>24</v>
      </c>
      <c r="B27" s="51">
        <v>25260037</v>
      </c>
      <c r="C27" s="136" t="s">
        <v>745</v>
      </c>
      <c r="D27" s="68">
        <f t="shared" si="0"/>
        <v>70</v>
      </c>
      <c r="E27" s="68">
        <f t="shared" si="1"/>
        <v>58</v>
      </c>
      <c r="F27" s="68">
        <f t="shared" si="2"/>
        <v>50</v>
      </c>
      <c r="G27" s="68">
        <f t="shared" si="3"/>
        <v>59</v>
      </c>
      <c r="H27" s="68">
        <f t="shared" si="4"/>
        <v>55</v>
      </c>
      <c r="I27" s="68">
        <f t="shared" si="5"/>
        <v>60</v>
      </c>
      <c r="J27" s="68">
        <f t="shared" si="6"/>
        <v>60</v>
      </c>
      <c r="K27" s="68">
        <f t="shared" si="7"/>
        <v>60</v>
      </c>
      <c r="L27" s="68">
        <f t="shared" si="8"/>
        <v>40</v>
      </c>
      <c r="M27" s="69">
        <f t="shared" si="9"/>
        <v>55</v>
      </c>
      <c r="N27" s="69">
        <f t="shared" si="10"/>
        <v>90</v>
      </c>
      <c r="O27" s="69">
        <f t="shared" si="11"/>
        <v>59</v>
      </c>
      <c r="P27" s="69">
        <f t="shared" si="12"/>
        <v>50</v>
      </c>
      <c r="Q27" s="69">
        <f t="shared" si="13"/>
        <v>85</v>
      </c>
      <c r="R27" s="70">
        <f t="shared" si="14"/>
        <v>851</v>
      </c>
      <c r="S27" s="71">
        <f t="shared" si="15"/>
        <v>60.785714285714285</v>
      </c>
      <c r="T27" s="72">
        <f t="shared" si="16"/>
        <v>24</v>
      </c>
      <c r="U27" s="73" t="s">
        <v>805</v>
      </c>
      <c r="V27" s="73" t="s">
        <v>807</v>
      </c>
      <c r="W27" s="73" t="s">
        <v>807</v>
      </c>
      <c r="X27" s="74"/>
      <c r="Y27" s="74"/>
      <c r="Z27" s="74"/>
      <c r="AA27" s="75"/>
      <c r="AC27" s="51">
        <v>8</v>
      </c>
      <c r="AD27" s="51">
        <v>25260037</v>
      </c>
      <c r="AE27" s="136" t="s">
        <v>745</v>
      </c>
      <c r="AF27" s="68">
        <v>70</v>
      </c>
      <c r="AG27" s="68">
        <v>58</v>
      </c>
      <c r="AH27" s="68">
        <v>50</v>
      </c>
      <c r="AI27" s="68">
        <v>59</v>
      </c>
      <c r="AJ27" s="68">
        <v>55</v>
      </c>
      <c r="AK27" s="68">
        <v>60</v>
      </c>
      <c r="AL27" s="68">
        <v>60</v>
      </c>
      <c r="AM27" s="68">
        <v>60</v>
      </c>
      <c r="AN27" s="68">
        <v>40</v>
      </c>
      <c r="AO27" s="76">
        <v>55</v>
      </c>
      <c r="AP27" s="76">
        <v>90</v>
      </c>
      <c r="AQ27" s="76">
        <v>59</v>
      </c>
      <c r="AR27" s="76">
        <v>50</v>
      </c>
      <c r="AS27" s="76">
        <v>85</v>
      </c>
      <c r="AT27" s="70">
        <f t="shared" si="17"/>
        <v>851</v>
      </c>
      <c r="AU27" s="71">
        <f t="shared" si="18"/>
        <v>60.785714285714285</v>
      </c>
      <c r="AV27" s="72">
        <f t="shared" si="19"/>
        <v>24</v>
      </c>
      <c r="AW27" s="73"/>
      <c r="AX27" s="73"/>
      <c r="AY27" s="73"/>
      <c r="AZ27" s="74"/>
      <c r="BA27" s="74"/>
      <c r="BB27" s="74"/>
      <c r="BC27" s="75"/>
    </row>
    <row r="28" spans="1:55" ht="18.600000000000001" customHeight="1">
      <c r="A28" s="51">
        <v>25</v>
      </c>
      <c r="B28" s="51">
        <v>25260126</v>
      </c>
      <c r="C28" s="136" t="s">
        <v>811</v>
      </c>
      <c r="D28" s="68">
        <f t="shared" si="0"/>
        <v>70</v>
      </c>
      <c r="E28" s="68">
        <f t="shared" si="1"/>
        <v>50</v>
      </c>
      <c r="F28" s="68">
        <f t="shared" si="2"/>
        <v>40</v>
      </c>
      <c r="G28" s="68">
        <f t="shared" si="3"/>
        <v>45</v>
      </c>
      <c r="H28" s="68">
        <f t="shared" si="4"/>
        <v>40</v>
      </c>
      <c r="I28" s="68">
        <f t="shared" si="5"/>
        <v>50</v>
      </c>
      <c r="J28" s="68">
        <f t="shared" si="6"/>
        <v>40</v>
      </c>
      <c r="K28" s="68">
        <f t="shared" si="7"/>
        <v>60</v>
      </c>
      <c r="L28" s="68">
        <f t="shared" si="8"/>
        <v>50</v>
      </c>
      <c r="M28" s="69">
        <f t="shared" si="9"/>
        <v>50</v>
      </c>
      <c r="N28" s="69">
        <f t="shared" si="10"/>
        <v>60</v>
      </c>
      <c r="O28" s="69">
        <f t="shared" si="11"/>
        <v>50</v>
      </c>
      <c r="P28" s="69">
        <f t="shared" si="12"/>
        <v>40</v>
      </c>
      <c r="Q28" s="69">
        <f t="shared" si="13"/>
        <v>50</v>
      </c>
      <c r="R28" s="70">
        <f t="shared" si="14"/>
        <v>695</v>
      </c>
      <c r="S28" s="71">
        <f t="shared" si="15"/>
        <v>49.642857142857146</v>
      </c>
      <c r="T28" s="72">
        <f t="shared" si="16"/>
        <v>25</v>
      </c>
      <c r="U28" s="73" t="s">
        <v>805</v>
      </c>
      <c r="V28" s="73" t="s">
        <v>805</v>
      </c>
      <c r="W28" s="73" t="s">
        <v>807</v>
      </c>
      <c r="X28" s="74"/>
      <c r="Y28" s="74"/>
      <c r="Z28" s="74"/>
      <c r="AA28" s="75"/>
      <c r="AC28" s="173"/>
      <c r="AD28" s="248"/>
      <c r="AE28" s="249"/>
      <c r="AF28" s="68">
        <v>70</v>
      </c>
      <c r="AG28" s="68">
        <v>50</v>
      </c>
      <c r="AH28" s="68">
        <v>40</v>
      </c>
      <c r="AI28" s="68">
        <v>45</v>
      </c>
      <c r="AJ28" s="68">
        <v>40</v>
      </c>
      <c r="AK28" s="68">
        <v>50</v>
      </c>
      <c r="AL28" s="68">
        <v>40</v>
      </c>
      <c r="AM28" s="68">
        <v>60</v>
      </c>
      <c r="AN28" s="68">
        <v>50</v>
      </c>
      <c r="AO28" s="76">
        <v>50</v>
      </c>
      <c r="AP28" s="76">
        <v>60</v>
      </c>
      <c r="AQ28" s="76">
        <v>50</v>
      </c>
      <c r="AR28" s="76">
        <v>40</v>
      </c>
      <c r="AS28" s="76">
        <v>50</v>
      </c>
      <c r="AT28" s="70">
        <f t="shared" si="17"/>
        <v>695</v>
      </c>
      <c r="AU28" s="71">
        <f t="shared" si="18"/>
        <v>49.642857142857146</v>
      </c>
      <c r="AV28" s="72" t="e">
        <f t="shared" si="19"/>
        <v>#N/A</v>
      </c>
      <c r="AW28" s="73"/>
      <c r="AX28" s="73"/>
      <c r="AY28" s="73"/>
      <c r="AZ28" s="74"/>
      <c r="BA28" s="74"/>
      <c r="BB28" s="74"/>
      <c r="BC28" s="75"/>
    </row>
    <row r="29" spans="1:55">
      <c r="A29" s="267" t="s">
        <v>202</v>
      </c>
      <c r="B29" s="268"/>
      <c r="C29" s="269"/>
      <c r="D29" s="72">
        <f t="shared" ref="D29:Q29" si="20">SUM(D4:D27)</f>
        <v>1680</v>
      </c>
      <c r="E29" s="72">
        <f t="shared" si="20"/>
        <v>2001</v>
      </c>
      <c r="F29" s="72">
        <f t="shared" si="20"/>
        <v>2012</v>
      </c>
      <c r="G29" s="72">
        <f t="shared" si="20"/>
        <v>1555</v>
      </c>
      <c r="H29" s="72">
        <f t="shared" si="20"/>
        <v>1545</v>
      </c>
      <c r="I29" s="72">
        <f t="shared" si="20"/>
        <v>1880</v>
      </c>
      <c r="J29" s="72">
        <f t="shared" si="20"/>
        <v>1577</v>
      </c>
      <c r="K29" s="72">
        <f t="shared" si="20"/>
        <v>1919</v>
      </c>
      <c r="L29" s="72">
        <f t="shared" si="20"/>
        <v>1941</v>
      </c>
      <c r="M29" s="72">
        <f t="shared" si="20"/>
        <v>1980</v>
      </c>
      <c r="N29" s="72">
        <f t="shared" si="20"/>
        <v>2207</v>
      </c>
      <c r="O29" s="72">
        <f t="shared" si="20"/>
        <v>1944</v>
      </c>
      <c r="P29" s="72">
        <f t="shared" si="20"/>
        <v>1638</v>
      </c>
      <c r="Q29" s="72">
        <f t="shared" si="20"/>
        <v>1910</v>
      </c>
      <c r="R29" s="81"/>
      <c r="S29" s="81"/>
      <c r="T29" s="81"/>
      <c r="U29" s="81"/>
      <c r="V29" s="81"/>
      <c r="W29" s="81"/>
      <c r="X29" s="81"/>
      <c r="Y29" s="81"/>
      <c r="Z29" s="81"/>
      <c r="AA29" s="82"/>
      <c r="AC29" s="267" t="s">
        <v>202</v>
      </c>
      <c r="AD29" s="268"/>
      <c r="AE29" s="269"/>
      <c r="AF29" s="72">
        <f>SUM(AF4:AF27)</f>
        <v>1680</v>
      </c>
      <c r="AG29" s="72">
        <f>SUM(AG4:AG28)</f>
        <v>2055</v>
      </c>
      <c r="AH29" s="72">
        <f t="shared" ref="AH29:AS29" si="21">SUM(AH4:AH27)</f>
        <v>2020</v>
      </c>
      <c r="AI29" s="72">
        <f t="shared" si="21"/>
        <v>1555</v>
      </c>
      <c r="AJ29" s="72">
        <f t="shared" si="21"/>
        <v>1545</v>
      </c>
      <c r="AK29" s="72">
        <f t="shared" si="21"/>
        <v>1880</v>
      </c>
      <c r="AL29" s="72">
        <f t="shared" si="21"/>
        <v>1580</v>
      </c>
      <c r="AM29" s="72">
        <f t="shared" si="21"/>
        <v>1920</v>
      </c>
      <c r="AN29" s="72">
        <f t="shared" si="21"/>
        <v>1950</v>
      </c>
      <c r="AO29" s="72">
        <f t="shared" si="21"/>
        <v>1980</v>
      </c>
      <c r="AP29" s="72">
        <f t="shared" si="21"/>
        <v>2207</v>
      </c>
      <c r="AQ29" s="72">
        <f t="shared" si="21"/>
        <v>1944</v>
      </c>
      <c r="AR29" s="72">
        <f t="shared" si="21"/>
        <v>1640</v>
      </c>
      <c r="AS29" s="72">
        <f t="shared" si="21"/>
        <v>1910</v>
      </c>
      <c r="AT29" s="81"/>
      <c r="AU29" s="81"/>
      <c r="AV29" s="81"/>
      <c r="AW29" s="81"/>
      <c r="AX29" s="81"/>
      <c r="AY29" s="81"/>
      <c r="AZ29" s="81"/>
      <c r="BA29" s="81"/>
      <c r="BB29" s="81"/>
      <c r="BC29" s="82"/>
    </row>
    <row r="30" spans="1:55">
      <c r="A30" s="267" t="s">
        <v>203</v>
      </c>
      <c r="B30" s="268"/>
      <c r="C30" s="269"/>
      <c r="D30" s="72">
        <f t="shared" ref="D30:Q30" si="22">AVERAGE(D4:D27)</f>
        <v>70</v>
      </c>
      <c r="E30" s="72">
        <f t="shared" si="22"/>
        <v>83.375</v>
      </c>
      <c r="F30" s="72">
        <f t="shared" si="22"/>
        <v>83.833333333333329</v>
      </c>
      <c r="G30" s="72">
        <f t="shared" si="22"/>
        <v>64.791666666666671</v>
      </c>
      <c r="H30" s="72">
        <f t="shared" si="22"/>
        <v>64.375</v>
      </c>
      <c r="I30" s="72">
        <f t="shared" si="22"/>
        <v>78.333333333333329</v>
      </c>
      <c r="J30" s="72">
        <f t="shared" si="22"/>
        <v>65.708333333333329</v>
      </c>
      <c r="K30" s="72">
        <f t="shared" si="22"/>
        <v>79.958333333333329</v>
      </c>
      <c r="L30" s="72">
        <f t="shared" si="22"/>
        <v>80.875</v>
      </c>
      <c r="M30" s="72">
        <f t="shared" si="22"/>
        <v>82.5</v>
      </c>
      <c r="N30" s="72">
        <f t="shared" si="22"/>
        <v>91.958333333333329</v>
      </c>
      <c r="O30" s="72">
        <f t="shared" si="22"/>
        <v>81</v>
      </c>
      <c r="P30" s="72">
        <f t="shared" si="22"/>
        <v>68.25</v>
      </c>
      <c r="Q30" s="72">
        <f t="shared" si="22"/>
        <v>79.583333333333329</v>
      </c>
      <c r="R30" s="81"/>
      <c r="S30" s="81"/>
      <c r="T30" s="81"/>
      <c r="U30" s="81"/>
      <c r="V30" s="81"/>
      <c r="W30" s="81"/>
      <c r="X30" s="81"/>
      <c r="Y30" s="81"/>
      <c r="Z30" s="81"/>
      <c r="AA30" s="82"/>
      <c r="AC30" s="267" t="s">
        <v>203</v>
      </c>
      <c r="AD30" s="268"/>
      <c r="AE30" s="269"/>
      <c r="AF30" s="72">
        <f t="shared" ref="AF30:AS30" si="23">AVERAGE(AF4:AF27)</f>
        <v>70</v>
      </c>
      <c r="AG30" s="72">
        <f>AVERAGE(AG4:AG28)</f>
        <v>82.2</v>
      </c>
      <c r="AH30" s="72">
        <f t="shared" si="23"/>
        <v>84.166666666666671</v>
      </c>
      <c r="AI30" s="72">
        <f t="shared" si="23"/>
        <v>64.791666666666671</v>
      </c>
      <c r="AJ30" s="72">
        <f t="shared" si="23"/>
        <v>64.375</v>
      </c>
      <c r="AK30" s="72">
        <f t="shared" si="23"/>
        <v>78.333333333333329</v>
      </c>
      <c r="AL30" s="72">
        <f t="shared" si="23"/>
        <v>65.833333333333329</v>
      </c>
      <c r="AM30" s="72">
        <f t="shared" si="23"/>
        <v>80</v>
      </c>
      <c r="AN30" s="72">
        <f t="shared" si="23"/>
        <v>81.25</v>
      </c>
      <c r="AO30" s="72">
        <f t="shared" si="23"/>
        <v>82.5</v>
      </c>
      <c r="AP30" s="72">
        <f t="shared" si="23"/>
        <v>91.958333333333329</v>
      </c>
      <c r="AQ30" s="72">
        <f t="shared" si="23"/>
        <v>81</v>
      </c>
      <c r="AR30" s="72">
        <f t="shared" si="23"/>
        <v>68.333333333333329</v>
      </c>
      <c r="AS30" s="72">
        <f t="shared" si="23"/>
        <v>79.583333333333329</v>
      </c>
      <c r="AT30" s="81"/>
      <c r="AU30" s="81"/>
      <c r="AV30" s="81"/>
      <c r="AW30" s="81"/>
      <c r="AX30" s="81"/>
      <c r="AY30" s="81"/>
      <c r="AZ30" s="81"/>
      <c r="BA30" s="81"/>
      <c r="BB30" s="81"/>
      <c r="BC30" s="82"/>
    </row>
    <row r="31" spans="1:55" s="83" customFormat="1">
      <c r="A31" s="83">
        <v>1</v>
      </c>
      <c r="B31" s="83">
        <v>2</v>
      </c>
      <c r="C31" s="83">
        <v>3</v>
      </c>
      <c r="D31" s="83">
        <v>4</v>
      </c>
      <c r="E31" s="83">
        <v>5</v>
      </c>
      <c r="F31" s="83">
        <v>6</v>
      </c>
      <c r="G31" s="83">
        <v>7</v>
      </c>
      <c r="H31" s="83">
        <v>8</v>
      </c>
      <c r="I31" s="83">
        <v>9</v>
      </c>
      <c r="K31" s="83">
        <v>10</v>
      </c>
      <c r="M31" s="83">
        <v>12</v>
      </c>
      <c r="N31" s="83">
        <v>13</v>
      </c>
      <c r="O31" s="83">
        <v>14</v>
      </c>
      <c r="P31" s="83">
        <v>15</v>
      </c>
      <c r="Q31" s="83">
        <v>16</v>
      </c>
      <c r="R31" s="83">
        <v>17</v>
      </c>
      <c r="S31" s="83">
        <v>18</v>
      </c>
      <c r="T31" s="83">
        <v>19</v>
      </c>
      <c r="U31" s="83">
        <v>20</v>
      </c>
      <c r="V31" s="83">
        <v>21</v>
      </c>
      <c r="W31" s="83">
        <v>22</v>
      </c>
      <c r="X31" s="83">
        <v>23</v>
      </c>
      <c r="Y31" s="83">
        <v>24</v>
      </c>
      <c r="Z31" s="83">
        <v>25</v>
      </c>
      <c r="AC31" s="83">
        <v>1</v>
      </c>
      <c r="AD31" s="83">
        <v>2</v>
      </c>
      <c r="AE31" s="83">
        <v>3</v>
      </c>
      <c r="AF31" s="83">
        <v>4</v>
      </c>
      <c r="AG31" s="83">
        <v>5</v>
      </c>
      <c r="AH31" s="83">
        <v>6</v>
      </c>
      <c r="AI31" s="83">
        <v>7</v>
      </c>
      <c r="AJ31" s="83">
        <v>8</v>
      </c>
      <c r="AK31" s="83">
        <v>9</v>
      </c>
      <c r="AM31" s="83">
        <v>10</v>
      </c>
      <c r="AO31" s="83">
        <v>11</v>
      </c>
      <c r="AP31" s="83">
        <v>12</v>
      </c>
      <c r="AQ31" s="83">
        <v>13</v>
      </c>
      <c r="AR31" s="83">
        <v>14</v>
      </c>
      <c r="AS31" s="83">
        <v>15</v>
      </c>
      <c r="AT31" s="83">
        <v>17</v>
      </c>
      <c r="AU31" s="83">
        <v>18</v>
      </c>
      <c r="AV31" s="83">
        <v>19</v>
      </c>
      <c r="AW31" s="83">
        <v>20</v>
      </c>
      <c r="AX31" s="83">
        <v>21</v>
      </c>
      <c r="AY31" s="83">
        <v>22</v>
      </c>
      <c r="AZ31" s="83">
        <v>23</v>
      </c>
      <c r="BA31" s="83">
        <v>24</v>
      </c>
      <c r="BB31" s="83">
        <v>25</v>
      </c>
    </row>
    <row r="32" spans="1:55" ht="23.25">
      <c r="A32" s="84" t="s">
        <v>204</v>
      </c>
      <c r="C32" s="85"/>
    </row>
    <row r="33" spans="1:3">
      <c r="A33" s="86"/>
      <c r="B33" s="86"/>
      <c r="C33" s="60" t="s">
        <v>205</v>
      </c>
    </row>
    <row r="34" spans="1:3">
      <c r="A34" s="87"/>
      <c r="B34" s="87"/>
      <c r="C34" s="60" t="s">
        <v>206</v>
      </c>
    </row>
    <row r="35" spans="1:3">
      <c r="A35" s="88"/>
      <c r="B35" s="88"/>
      <c r="C35" s="60" t="s">
        <v>207</v>
      </c>
    </row>
    <row r="36" spans="1:3">
      <c r="A36" s="89"/>
      <c r="B36" s="89"/>
      <c r="C36" s="60" t="s">
        <v>208</v>
      </c>
    </row>
  </sheetData>
  <sortState xmlns:xlrd2="http://schemas.microsoft.com/office/spreadsheetml/2017/richdata2" ref="B4:BC28">
    <sortCondition ref="T4:T28"/>
  </sortState>
  <mergeCells count="34">
    <mergeCell ref="A29:C29"/>
    <mergeCell ref="AC29:AE29"/>
    <mergeCell ref="A30:C30"/>
    <mergeCell ref="AC30:AE30"/>
    <mergeCell ref="AX2:AX3"/>
    <mergeCell ref="AF2:AM2"/>
    <mergeCell ref="AO2:AS2"/>
    <mergeCell ref="AT2:AT3"/>
    <mergeCell ref="AU2:AU3"/>
    <mergeCell ref="AV2:AV3"/>
    <mergeCell ref="AW2:AW3"/>
    <mergeCell ref="Y2:Y3"/>
    <mergeCell ref="Z2:Z3"/>
    <mergeCell ref="AA2:AA3"/>
    <mergeCell ref="AC2:AC3"/>
    <mergeCell ref="AD2:AD3"/>
    <mergeCell ref="AY2:AY3"/>
    <mergeCell ref="AZ2:AZ3"/>
    <mergeCell ref="BA2:BA3"/>
    <mergeCell ref="BB2:BB3"/>
    <mergeCell ref="BC2:BC3"/>
    <mergeCell ref="AE2:AE3"/>
    <mergeCell ref="S2:S3"/>
    <mergeCell ref="T2:T3"/>
    <mergeCell ref="U2:U3"/>
    <mergeCell ref="V2:V3"/>
    <mergeCell ref="W2:W3"/>
    <mergeCell ref="X2:X3"/>
    <mergeCell ref="R2:R3"/>
    <mergeCell ref="A2:A3"/>
    <mergeCell ref="B2:B3"/>
    <mergeCell ref="C2:C3"/>
    <mergeCell ref="D2:L2"/>
    <mergeCell ref="M2:Q2"/>
  </mergeCells>
  <conditionalFormatting sqref="B17 B12:B13 B19">
    <cfRule type="duplicateValues" dxfId="5" priority="6"/>
  </conditionalFormatting>
  <conditionalFormatting sqref="AF4:AS28 D4:Q28">
    <cfRule type="cellIs" dxfId="4" priority="4" operator="lessThanOrEqual">
      <formula>59</formula>
    </cfRule>
  </conditionalFormatting>
  <conditionalFormatting sqref="AU4:AU28 S4:S28">
    <cfRule type="cellIs" dxfId="3" priority="5" operator="lessThan">
      <formula>59</formula>
    </cfRule>
  </conditionalFormatting>
  <conditionalFormatting sqref="AD17 AD12:AD13 AD19">
    <cfRule type="duplicateValues" dxfId="2" priority="3"/>
  </conditionalFormatting>
  <conditionalFormatting sqref="T4:T28">
    <cfRule type="duplicateValues" dxfId="1" priority="310"/>
  </conditionalFormatting>
  <conditionalFormatting sqref="AV4:AV28">
    <cfRule type="duplicateValues" dxfId="0" priority="318"/>
  </conditionalFormatting>
  <pageMargins left="0.5" right="0.12" top="0.62" bottom="0.22" header="0.31496062992126" footer="0.99"/>
  <pageSetup paperSize="10000" scale="80" orientation="landscape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43</vt:i4>
      </vt:variant>
    </vt:vector>
  </HeadingPairs>
  <TitlesOfParts>
    <vt:vector size="66" baseType="lpstr">
      <vt:lpstr>DASHBOARD</vt:lpstr>
      <vt:lpstr>6a</vt:lpstr>
      <vt:lpstr>6b</vt:lpstr>
      <vt:lpstr>5A</vt:lpstr>
      <vt:lpstr>5b</vt:lpstr>
      <vt:lpstr>Raport</vt:lpstr>
      <vt:lpstr>5c</vt:lpstr>
      <vt:lpstr>4A</vt:lpstr>
      <vt:lpstr>4b</vt:lpstr>
      <vt:lpstr>4c</vt:lpstr>
      <vt:lpstr>3a</vt:lpstr>
      <vt:lpstr>3b</vt:lpstr>
      <vt:lpstr>3c</vt:lpstr>
      <vt:lpstr>2a</vt:lpstr>
      <vt:lpstr>2b</vt:lpstr>
      <vt:lpstr>2c</vt:lpstr>
      <vt:lpstr>2d</vt:lpstr>
      <vt:lpstr>1a</vt:lpstr>
      <vt:lpstr>1b</vt:lpstr>
      <vt:lpstr>1c</vt:lpstr>
      <vt:lpstr>TA</vt:lpstr>
      <vt:lpstr>TB</vt:lpstr>
      <vt:lpstr>TC</vt:lpstr>
      <vt:lpstr>'1a'!Print_Area</vt:lpstr>
      <vt:lpstr>'1b'!Print_Area</vt:lpstr>
      <vt:lpstr>'1c'!Print_Area</vt:lpstr>
      <vt:lpstr>'2a'!Print_Area</vt:lpstr>
      <vt:lpstr>'2b'!Print_Area</vt:lpstr>
      <vt:lpstr>'2c'!Print_Area</vt:lpstr>
      <vt:lpstr>'2d'!Print_Area</vt:lpstr>
      <vt:lpstr>'3a'!Print_Area</vt:lpstr>
      <vt:lpstr>'3b'!Print_Area</vt:lpstr>
      <vt:lpstr>'3c'!Print_Area</vt:lpstr>
      <vt:lpstr>'4A'!Print_Area</vt:lpstr>
      <vt:lpstr>'4b'!Print_Area</vt:lpstr>
      <vt:lpstr>'4c'!Print_Area</vt:lpstr>
      <vt:lpstr>'5A'!Print_Area</vt:lpstr>
      <vt:lpstr>'5b'!Print_Area</vt:lpstr>
      <vt:lpstr>'5c'!Print_Area</vt:lpstr>
      <vt:lpstr>'6a'!Print_Area</vt:lpstr>
      <vt:lpstr>'6b'!Print_Area</vt:lpstr>
      <vt:lpstr>Raport!Print_Area</vt:lpstr>
      <vt:lpstr>TA!Print_Area</vt:lpstr>
      <vt:lpstr>TB!Print_Area</vt:lpstr>
      <vt:lpstr>TC!Print_Area</vt:lpstr>
      <vt:lpstr>'1a'!Print_Titles</vt:lpstr>
      <vt:lpstr>'1b'!Print_Titles</vt:lpstr>
      <vt:lpstr>'1c'!Print_Titles</vt:lpstr>
      <vt:lpstr>'2a'!Print_Titles</vt:lpstr>
      <vt:lpstr>'2b'!Print_Titles</vt:lpstr>
      <vt:lpstr>'2c'!Print_Titles</vt:lpstr>
      <vt:lpstr>'2d'!Print_Titles</vt:lpstr>
      <vt:lpstr>'3a'!Print_Titles</vt:lpstr>
      <vt:lpstr>'3b'!Print_Titles</vt:lpstr>
      <vt:lpstr>'3c'!Print_Titles</vt:lpstr>
      <vt:lpstr>'4A'!Print_Titles</vt:lpstr>
      <vt:lpstr>'4b'!Print_Titles</vt:lpstr>
      <vt:lpstr>'4c'!Print_Titles</vt:lpstr>
      <vt:lpstr>'5A'!Print_Titles</vt:lpstr>
      <vt:lpstr>'5b'!Print_Titles</vt:lpstr>
      <vt:lpstr>'5c'!Print_Titles</vt:lpstr>
      <vt:lpstr>'6a'!Print_Titles</vt:lpstr>
      <vt:lpstr>'6b'!Print_Titles</vt:lpstr>
      <vt:lpstr>TA!Print_Titles</vt:lpstr>
      <vt:lpstr>TB!Print_Titles</vt:lpstr>
      <vt:lpstr>TC!Print_Titles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Ade Setiawan</dc:creator>
  <cp:lastModifiedBy>Ade Setiawan</cp:lastModifiedBy>
  <cp:lastPrinted>2025-09-06T08:38:42Z</cp:lastPrinted>
  <dcterms:created xsi:type="dcterms:W3CDTF">2025-08-08T08:50:26Z</dcterms:created>
  <dcterms:modified xsi:type="dcterms:W3CDTF">2025-09-28T11:05:21Z</dcterms:modified>
</cp:coreProperties>
</file>